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center" vertical="center" wrapText="1"/>
    </xf>
    <xf numFmtId="0" fontId="23" fillId="20" borderId="93" applyAlignment="1" pivotButton="0" quotePrefix="0" xfId="7">
      <alignment horizontal="center" vertical="center" wrapText="1"/>
    </xf>
    <xf numFmtId="0" fontId="24" fillId="0" borderId="92" applyAlignment="1" pivotButton="0" quotePrefix="0" xfId="7">
      <alignment horizontal="left" vertical="center" wrapText="1"/>
    </xf>
    <xf numFmtId="0" fontId="24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10" fontId="26" fillId="0" borderId="93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10" fontId="19" fillId="0" borderId="93" applyAlignment="1" pivotButton="0" quotePrefix="0" xfId="7">
      <alignment horizontal="center" vertical="center" shrinkToFit="1"/>
    </xf>
    <xf numFmtId="10" fontId="19" fillId="0" borderId="94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  <xf numFmtId="164" fontId="19" fillId="0" borderId="94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25" fillId="22" borderId="93" applyAlignment="1" pivotButton="0" quotePrefix="0" xfId="7">
      <alignment horizontal="left" vertical="center" wrapText="1"/>
    </xf>
    <xf numFmtId="0" fontId="23" fillId="22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center" vertical="center" wrapText="1"/>
    </xf>
    <xf numFmtId="0" fontId="21" fillId="0" borderId="93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93" applyAlignment="1" pivotButton="0" quotePrefix="0" xfId="7">
      <alignment horizontal="center" vertical="center" shrinkToFit="1"/>
    </xf>
    <xf numFmtId="0" fontId="0" fillId="0" borderId="88" pivotButton="0" quotePrefix="0" xfId="0"/>
    <xf numFmtId="0" fontId="0" fillId="0" borderId="89" pivotButton="0" quotePrefix="0" xfId="0"/>
    <xf numFmtId="0" fontId="24" fillId="0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left" vertical="center" wrapText="1"/>
    </xf>
    <xf numFmtId="10" fontId="19" fillId="0" borderId="93" applyAlignment="1" pivotButton="0" quotePrefix="0" xfId="7">
      <alignment horizontal="center" vertical="center" shrinkToFit="1"/>
    </xf>
    <xf numFmtId="0" fontId="19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center" vertical="center" wrapText="1"/>
    </xf>
    <xf numFmtId="0" fontId="23" fillId="21" borderId="93" applyAlignment="1" pivotButton="0" quotePrefix="0" xfId="7">
      <alignment horizontal="center" vertical="center" wrapText="1"/>
    </xf>
    <xf numFmtId="0" fontId="22" fillId="19" borderId="93" applyAlignment="1" pivotButton="0" quotePrefix="0" xfId="7">
      <alignment horizontal="center" vertical="center" wrapText="1"/>
    </xf>
    <xf numFmtId="0" fontId="19" fillId="0" borderId="93" applyAlignment="1" pivotButton="0" quotePrefix="0" xfId="7">
      <alignment horizontal="center" vertical="center" wrapText="1"/>
    </xf>
    <xf numFmtId="0" fontId="20" fillId="19" borderId="93" applyAlignment="1" pivotButton="0" quotePrefix="0" xfId="7">
      <alignment horizontal="center" vertical="center" wrapText="1"/>
    </xf>
    <xf numFmtId="0" fontId="23" fillId="22" borderId="93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3" fontId="23" fillId="0" borderId="93" applyAlignment="1" pivotButton="0" quotePrefix="0" xfId="7">
      <alignment horizontal="right" vertical="center" wrapText="1"/>
    </xf>
    <xf numFmtId="0" fontId="19" fillId="0" borderId="94" applyAlignment="1" pivotButton="0" quotePrefix="0" xfId="7">
      <alignment horizontal="left" vertical="center" wrapText="1"/>
    </xf>
    <xf numFmtId="0" fontId="0" fillId="0" borderId="91" pivotButton="0" quotePrefix="0" xfId="0"/>
    <xf numFmtId="0" fontId="19" fillId="0" borderId="90" applyAlignment="1" pivotButton="0" quotePrefix="0" xfId="7">
      <alignment horizontal="left" vertical="center" wrapText="1"/>
    </xf>
    <xf numFmtId="0" fontId="0" fillId="0" borderId="90" pivotButton="0" quotePrefix="0" xfId="0"/>
    <xf numFmtId="0" fontId="19" fillId="0" borderId="87" applyAlignment="1" pivotButton="0" quotePrefix="0" xfId="7">
      <alignment horizontal="left" vertical="center" wrapText="1"/>
    </xf>
    <xf numFmtId="0" fontId="22" fillId="19" borderId="92" applyAlignment="1" pivotButton="0" quotePrefix="0" xfId="7">
      <alignment horizontal="center" vertical="center" wrapText="1"/>
    </xf>
    <xf numFmtId="0" fontId="19" fillId="0" borderId="98" applyAlignment="1" pivotButton="0" quotePrefix="0" xfId="7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0" borderId="92" applyAlignment="1" pivotButton="0" quotePrefix="0" xfId="7">
      <alignment horizontal="left" vertical="center" wrapText="1"/>
    </xf>
    <xf numFmtId="0" fontId="19" fillId="0" borderId="99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0" fillId="0" borderId="3" pivotButton="0" quotePrefix="0" xfId="0"/>
    <xf numFmtId="0" fontId="19" fillId="0" borderId="96" applyAlignment="1" pivotButton="0" quotePrefix="0" xfId="7">
      <alignment horizontal="left" vertical="center" wrapText="1"/>
    </xf>
    <xf numFmtId="0" fontId="0" fillId="0" borderId="95" pivotButton="0" quotePrefix="0" xfId="0"/>
    <xf numFmtId="0" fontId="20" fillId="19" borderId="92" applyAlignment="1" pivotButton="0" quotePrefix="0" xfId="7">
      <alignment horizontal="center" vertical="center" wrapText="1"/>
    </xf>
    <xf numFmtId="0" fontId="20" fillId="19" borderId="97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2" fillId="19" borderId="94" applyAlignment="1" pivotButton="0" quotePrefix="0" xfId="7">
      <alignment horizontal="center" vertical="center" wrapText="1"/>
    </xf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3" fillId="0" borderId="92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0" fontId="25" fillId="0" borderId="93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74" t="inlineStr">
        <is>
          <t>Weightage for AMC Ranking</t>
        </is>
      </c>
      <c r="C3" s="375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98" t="inlineStr">
        <is>
          <t>AUM</t>
        </is>
      </c>
      <c r="C6" s="74" t="n">
        <v>0.15</v>
      </c>
    </row>
    <row r="7">
      <c r="A7" s="54" t="n"/>
      <c r="B7" s="39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98" t="inlineStr">
        <is>
          <t>3-Year Return</t>
        </is>
      </c>
      <c r="C9" s="74" t="n">
        <v>0.15</v>
      </c>
    </row>
    <row r="10">
      <c r="B10" s="398" t="inlineStr">
        <is>
          <t>5-Year Return</t>
        </is>
      </c>
      <c r="C10" s="74" t="n">
        <v>0.1</v>
      </c>
    </row>
    <row r="11">
      <c r="B11" s="39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98" t="inlineStr">
        <is>
          <t>Sharpe</t>
        </is>
      </c>
      <c r="C13" s="74" t="n">
        <v>0.05</v>
      </c>
    </row>
    <row r="14">
      <c r="B14" s="398" t="inlineStr">
        <is>
          <t>Sortino</t>
        </is>
      </c>
      <c r="C14" s="74" t="n">
        <v>0.075</v>
      </c>
    </row>
    <row r="15">
      <c r="B15" s="39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9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51" zoomScaleNormal="100" workbookViewId="0">
      <selection activeCell="A54" sqref="A54:D75"/>
    </sheetView>
  </sheetViews>
  <sheetFormatPr baseColWidth="8" defaultColWidth="8" defaultRowHeight="12.75"/>
  <cols>
    <col width="36.5703125" bestFit="1" customWidth="1" style="388" min="1" max="1"/>
    <col width="10.140625" customWidth="1" style="388" min="2" max="2"/>
    <col width="10.28515625" customWidth="1" style="388" min="3" max="3"/>
    <col width="2.28515625" customWidth="1" style="388" min="4" max="4"/>
    <col width="36.28515625" customWidth="1" style="388" min="5" max="5"/>
    <col width="15" customWidth="1" style="388" min="6" max="6"/>
    <col width="10.28515625" customWidth="1" style="388" min="7" max="7"/>
    <col width="8" customWidth="1" style="388" min="8" max="11"/>
    <col width="8" customWidth="1" style="388" min="12" max="16384"/>
  </cols>
  <sheetData>
    <row r="2" ht="15" customHeight="1">
      <c r="A2" s="393" t="inlineStr">
        <is>
          <t>Financial Product Catalog: A Ready Reckoner , As on 26th June 2026</t>
        </is>
      </c>
      <c r="B2" s="394" t="n"/>
      <c r="C2" s="394" t="n"/>
      <c r="D2" s="394" t="n"/>
      <c r="E2" s="394" t="n"/>
      <c r="F2" s="394" t="n"/>
      <c r="G2" s="395" t="n"/>
    </row>
    <row r="3" ht="15" customHeight="1">
      <c r="A3" s="383" t="n"/>
      <c r="B3" s="384" t="n"/>
      <c r="C3" s="384" t="n"/>
      <c r="D3" s="384" t="n"/>
      <c r="E3" s="384" t="n"/>
      <c r="F3" s="384" t="n"/>
      <c r="G3" s="385" t="n"/>
    </row>
    <row r="4" ht="15" customHeight="1">
      <c r="A4" s="392" t="inlineStr">
        <is>
          <t>Whats new? (July 2026)</t>
        </is>
      </c>
      <c r="B4" s="362" t="n"/>
      <c r="C4" s="363" t="n"/>
      <c r="D4" s="379" t="n"/>
      <c r="E4" s="396" t="inlineStr">
        <is>
          <t>Debt</t>
        </is>
      </c>
      <c r="F4" s="362" t="n"/>
      <c r="G4" s="378" t="n"/>
    </row>
    <row r="5" ht="15" customHeight="1">
      <c r="A5" s="338" t="inlineStr">
        <is>
          <t>Fund Name</t>
        </is>
      </c>
      <c r="B5" s="368" t="inlineStr">
        <is>
          <t>End Date</t>
        </is>
      </c>
      <c r="C5" s="363" t="n"/>
      <c r="D5" s="387" t="n"/>
      <c r="G5" s="389" t="n"/>
    </row>
    <row r="6" ht="25.5" customHeight="1">
      <c r="A6" s="340" t="inlineStr">
        <is>
          <t>HDFC Nifty Auto Index Fund - Powered by India's Auto Momentum (NFO)</t>
        </is>
      </c>
      <c r="B6" s="365" t="inlineStr">
        <is>
          <t>July 03, 2026</t>
        </is>
      </c>
      <c r="C6" s="363" t="n"/>
      <c r="D6" s="379" t="n"/>
      <c r="E6" s="342" t="inlineStr">
        <is>
          <t>Debt Mutual Funds (Ultra Short Duration)</t>
        </is>
      </c>
      <c r="F6" s="368" t="inlineStr">
        <is>
          <t>3-Year Return</t>
        </is>
      </c>
      <c r="G6" s="343" t="inlineStr">
        <is>
          <t>1-Year Return</t>
        </is>
      </c>
    </row>
    <row r="7" ht="15" customHeight="1">
      <c r="A7" s="340" t="inlineStr">
        <is>
          <t>TRUSTMF Large &amp; Mid Cap Fund (NFO)</t>
        </is>
      </c>
      <c r="B7" s="365" t="inlineStr">
        <is>
          <t>July 17, 2026</t>
        </is>
      </c>
      <c r="C7" s="363" t="n"/>
      <c r="D7" s="380" t="n"/>
      <c r="E7" s="459" t="inlineStr">
        <is>
          <t>NIFTY Ultra Short Duration Debt Index</t>
        </is>
      </c>
      <c r="F7" s="361" t="n">
        <v>0.0613</v>
      </c>
      <c r="G7" s="345" t="n">
        <v>0.0032</v>
      </c>
    </row>
    <row r="8" ht="25.5" customHeight="1">
      <c r="A8" s="390" t="n"/>
      <c r="D8" s="391" t="n"/>
      <c r="E8" s="342" t="inlineStr">
        <is>
          <t>Ultra Short - Fund Name ( Return CAGR )</t>
        </is>
      </c>
      <c r="F8" s="368" t="inlineStr">
        <is>
          <t>3-Year Return</t>
        </is>
      </c>
      <c r="G8" s="343" t="inlineStr">
        <is>
          <t>1-Year Return</t>
        </is>
      </c>
    </row>
    <row r="9" ht="25.5" customHeight="1">
      <c r="A9" s="382" t="inlineStr">
        <is>
          <t>Equity</t>
        </is>
      </c>
      <c r="B9" s="362" t="n"/>
      <c r="C9" s="363" t="n"/>
      <c r="D9" s="379" t="n"/>
      <c r="E9" s="365">
        <f>'Summary '!J4</f>
        <v/>
      </c>
      <c r="F9" s="366">
        <f>'Summary '!K4</f>
        <v/>
      </c>
      <c r="G9" s="347">
        <f>'Summary '!L4</f>
        <v/>
      </c>
    </row>
    <row r="10" ht="25.5" customHeight="1">
      <c r="A10" s="390" t="n"/>
      <c r="D10" s="391" t="n"/>
      <c r="E10" s="365">
        <f>'Summary '!J5</f>
        <v/>
      </c>
      <c r="F10" s="366">
        <f>'Summary '!K5</f>
        <v/>
      </c>
      <c r="G10" s="347">
        <f>'Summary '!L5</f>
        <v/>
      </c>
    </row>
    <row r="11" ht="25.5" customHeight="1">
      <c r="A11" s="338" t="inlineStr">
        <is>
          <t>Large Cap - Funds</t>
        </is>
      </c>
      <c r="B11" s="368" t="inlineStr">
        <is>
          <t>3-Year Return</t>
        </is>
      </c>
      <c r="C11" s="368" t="inlineStr">
        <is>
          <t>1-Year Return</t>
        </is>
      </c>
      <c r="D11" s="379" t="n"/>
      <c r="E11" s="365">
        <f>'Summary '!J6</f>
        <v/>
      </c>
      <c r="F11" s="366">
        <f>'Summary '!K6</f>
        <v/>
      </c>
      <c r="G11" s="347">
        <f>'Summary '!L6</f>
        <v/>
      </c>
    </row>
    <row r="12" ht="15" customHeight="1">
      <c r="A12" s="457" t="inlineStr">
        <is>
          <t>NIFTY 50</t>
        </is>
      </c>
      <c r="B12" s="361" t="n">
        <v>0.101</v>
      </c>
      <c r="C12" s="361" t="n">
        <v>-0.0351</v>
      </c>
      <c r="D12" s="380" t="n"/>
      <c r="E12" s="377" t="n"/>
      <c r="F12" s="362" t="n"/>
      <c r="G12" s="378" t="n"/>
    </row>
    <row r="13" ht="25.5" customHeight="1">
      <c r="A13" s="349" t="inlineStr">
        <is>
          <t>Large Cap - Funds (Return CAGR)</t>
        </is>
      </c>
      <c r="B13" s="368" t="inlineStr">
        <is>
          <t>3-Year Return</t>
        </is>
      </c>
      <c r="C13" s="368" t="inlineStr">
        <is>
          <t>1-Year Return</t>
        </is>
      </c>
      <c r="D13" s="380" t="n"/>
      <c r="E13" s="342" t="inlineStr">
        <is>
          <t>Debt Mutual Funds (Low Duration)</t>
        </is>
      </c>
      <c r="F13" s="368" t="inlineStr">
        <is>
          <t>3-Year Return</t>
        </is>
      </c>
      <c r="G13" s="343" t="inlineStr">
        <is>
          <t>1-Year Return</t>
        </is>
      </c>
    </row>
    <row r="14">
      <c r="A14" s="340">
        <f>'Summary '!D4</f>
        <v/>
      </c>
      <c r="B14" s="366">
        <f>'Summary '!E4</f>
        <v/>
      </c>
      <c r="C14" s="366">
        <f>'Summary '!F4</f>
        <v/>
      </c>
      <c r="D14" s="380" t="n"/>
      <c r="E14" s="459" t="inlineStr">
        <is>
          <t>NIFTY Low Duration Debt Index</t>
        </is>
      </c>
      <c r="F14" s="361" t="n">
        <v>0.0711</v>
      </c>
      <c r="G14" s="345" t="n">
        <v>0.0583</v>
      </c>
    </row>
    <row r="15" ht="25.5" customHeight="1">
      <c r="A15" s="340">
        <f>'Summary '!D5</f>
        <v/>
      </c>
      <c r="B15" s="366">
        <f>'Summary '!E5</f>
        <v/>
      </c>
      <c r="C15" s="366">
        <f>'Summary '!F5</f>
        <v/>
      </c>
      <c r="D15" s="380" t="n"/>
      <c r="E15" s="342" t="inlineStr">
        <is>
          <t>Low Duration - Funds ( Return CAGR )</t>
        </is>
      </c>
      <c r="F15" s="368" t="inlineStr">
        <is>
          <t>3-Year Return</t>
        </is>
      </c>
      <c r="G15" s="343" t="inlineStr">
        <is>
          <t>1-Year Return</t>
        </is>
      </c>
    </row>
    <row r="16">
      <c r="A16" s="340">
        <f>'Summary '!D6</f>
        <v/>
      </c>
      <c r="B16" s="366">
        <f>'Summary '!E6</f>
        <v/>
      </c>
      <c r="C16" s="366">
        <f>'Summary '!F6</f>
        <v/>
      </c>
      <c r="D16" s="380" t="n"/>
      <c r="E16" s="365">
        <f>'Summary '!J8</f>
        <v/>
      </c>
      <c r="F16" s="366">
        <f>'Summary '!K8</f>
        <v/>
      </c>
      <c r="G16" s="347">
        <f>'Summary '!L8</f>
        <v/>
      </c>
    </row>
    <row r="17" ht="25.5" customHeight="1">
      <c r="A17" s="457" t="inlineStr">
        <is>
          <t>SIP of 50000*36=1800000, Maturity Value Would be</t>
        </is>
      </c>
      <c r="B17" s="376" t="n">
        <v>2572605</v>
      </c>
      <c r="C17" s="363" t="n"/>
      <c r="D17" s="380" t="n"/>
      <c r="E17" s="365">
        <f>'Summary '!J9</f>
        <v/>
      </c>
      <c r="F17" s="366">
        <f>'Summary '!K9</f>
        <v/>
      </c>
      <c r="G17" s="347">
        <f>'Summary '!L9</f>
        <v/>
      </c>
    </row>
    <row r="18" ht="15" customHeight="1">
      <c r="A18" s="390" t="n"/>
      <c r="D18" s="391" t="n"/>
      <c r="E18" s="365">
        <f>'Summary '!J10</f>
        <v/>
      </c>
      <c r="F18" s="366">
        <f>'Summary '!K10</f>
        <v/>
      </c>
      <c r="G18" s="347">
        <f>'Summary '!L10</f>
        <v/>
      </c>
    </row>
    <row r="19" ht="25.5" customHeight="1">
      <c r="A19" s="349" t="inlineStr">
        <is>
          <t>Large &amp; Mid Cap - Funds</t>
        </is>
      </c>
      <c r="B19" s="368" t="inlineStr">
        <is>
          <t>3-Year Return</t>
        </is>
      </c>
      <c r="C19" s="368" t="inlineStr">
        <is>
          <t>1-Year Return</t>
        </is>
      </c>
      <c r="D19" s="331" t="n"/>
      <c r="E19" s="377" t="n"/>
      <c r="F19" s="362" t="n"/>
      <c r="G19" s="378" t="n"/>
    </row>
    <row r="20" ht="25.5" customHeight="1">
      <c r="A20" s="340">
        <f>'Summary '!D8</f>
        <v/>
      </c>
      <c r="B20" s="366">
        <f>'Summary '!E8</f>
        <v/>
      </c>
      <c r="C20" s="366">
        <f>'Summary '!F8</f>
        <v/>
      </c>
      <c r="D20" s="331" t="n"/>
      <c r="E20" s="342" t="inlineStr">
        <is>
          <t>Debt Mutual Funds (Short Duration)</t>
        </is>
      </c>
      <c r="F20" s="368" t="inlineStr">
        <is>
          <t>3-Year Return</t>
        </is>
      </c>
      <c r="G20" s="343" t="inlineStr">
        <is>
          <t>1-Year Return</t>
        </is>
      </c>
    </row>
    <row r="21">
      <c r="A21" s="340">
        <f>'Summary '!D9</f>
        <v/>
      </c>
      <c r="B21" s="366">
        <f>'Summary '!E9</f>
        <v/>
      </c>
      <c r="C21" s="366">
        <f>'Summary '!F9</f>
        <v/>
      </c>
      <c r="D21" s="331" t="n"/>
      <c r="E21" s="460" t="inlineStr">
        <is>
          <t>NIFTY Short Duration Debt Index A-II</t>
        </is>
      </c>
      <c r="F21" s="361" t="n">
        <v>0.06569999999999999</v>
      </c>
      <c r="G21" s="345" t="n">
        <v>0.07630000000000001</v>
      </c>
    </row>
    <row r="22" ht="25.5" customHeight="1">
      <c r="A22" s="340">
        <f>'Summary '!D10</f>
        <v/>
      </c>
      <c r="B22" s="366">
        <f>'Summary '!E10</f>
        <v/>
      </c>
      <c r="C22" s="366">
        <f>'Summary '!F10</f>
        <v/>
      </c>
      <c r="D22" s="331" t="n"/>
      <c r="E22" s="342" t="inlineStr">
        <is>
          <t>Medium Term - Funds ( Return CAGR )</t>
        </is>
      </c>
      <c r="F22" s="368" t="inlineStr">
        <is>
          <t>3-Year Return</t>
        </is>
      </c>
      <c r="G22" s="343" t="inlineStr">
        <is>
          <t>1-Year Return</t>
        </is>
      </c>
    </row>
    <row r="23" ht="25.5" customHeight="1">
      <c r="A23" s="457" t="inlineStr">
        <is>
          <t>SIP of 50000*36=1800000, Maturity Value Would be</t>
        </is>
      </c>
      <c r="B23" s="376" t="n">
        <v>2646895</v>
      </c>
      <c r="C23" s="363" t="n"/>
      <c r="D23" s="331" t="n"/>
      <c r="E23" s="365">
        <f>'Summary '!J12</f>
        <v/>
      </c>
      <c r="F23" s="366">
        <f>'Summary '!K12</f>
        <v/>
      </c>
      <c r="G23" s="347">
        <f>'Summary '!L12</f>
        <v/>
      </c>
    </row>
    <row r="24" ht="15" customHeight="1">
      <c r="A24" s="386" t="n"/>
      <c r="B24" s="362" t="n"/>
      <c r="C24" s="363" t="n"/>
      <c r="D24" s="331" t="n"/>
      <c r="E24" s="365">
        <f>'Summary '!J13</f>
        <v/>
      </c>
      <c r="F24" s="366">
        <f>'Summary '!K13</f>
        <v/>
      </c>
      <c r="G24" s="347">
        <f>'Summary '!L13</f>
        <v/>
      </c>
    </row>
    <row r="25" ht="25.5" customHeight="1">
      <c r="A25" s="338" t="inlineStr">
        <is>
          <t>Mid Cap - Funds</t>
        </is>
      </c>
      <c r="B25" s="368" t="inlineStr">
        <is>
          <t>3-Year Return</t>
        </is>
      </c>
      <c r="C25" s="368" t="inlineStr">
        <is>
          <t>1-Year Return</t>
        </is>
      </c>
      <c r="D25" s="331" t="n"/>
      <c r="E25" s="365">
        <f>'Summary '!J14</f>
        <v/>
      </c>
      <c r="F25" s="366">
        <f>'Summary '!K14</f>
        <v/>
      </c>
      <c r="G25" s="347">
        <f>'Summary '!L14</f>
        <v/>
      </c>
    </row>
    <row r="26" ht="15" customHeight="1">
      <c r="A26" s="457" t="inlineStr">
        <is>
          <t>NIFTY Midcap 100</t>
        </is>
      </c>
      <c r="B26" s="361" t="n">
        <v>0.2182</v>
      </c>
      <c r="C26" s="361" t="n">
        <v>0.0557</v>
      </c>
      <c r="D26" s="331" t="n"/>
      <c r="E26" s="377" t="n"/>
      <c r="F26" s="362" t="n"/>
      <c r="G26" s="378" t="n"/>
    </row>
    <row r="27" ht="25.5" customHeight="1">
      <c r="A27" s="349" t="inlineStr">
        <is>
          <t>Mid Cap - Funds  (Return CAGR)</t>
        </is>
      </c>
      <c r="B27" s="368" t="inlineStr">
        <is>
          <t>3-Year CAGR</t>
        </is>
      </c>
      <c r="C27" s="368" t="inlineStr">
        <is>
          <t>1-Year Return</t>
        </is>
      </c>
      <c r="E27" s="342" t="inlineStr">
        <is>
          <t>Debt Mutual Funds (Medium Duration)</t>
        </is>
      </c>
      <c r="F27" s="368" t="inlineStr">
        <is>
          <t>3-Year Return</t>
        </is>
      </c>
      <c r="G27" s="343" t="inlineStr">
        <is>
          <t>1-Year Return</t>
        </is>
      </c>
    </row>
    <row r="28">
      <c r="A28" s="340">
        <f>'Summary '!D12</f>
        <v/>
      </c>
      <c r="B28" s="366">
        <f>'Summary '!E12</f>
        <v/>
      </c>
      <c r="C28" s="366">
        <f>'Summary '!F12</f>
        <v/>
      </c>
      <c r="E28" s="460" t="inlineStr">
        <is>
          <t>NIFTY Medium Duration Debt Index A-III</t>
        </is>
      </c>
      <c r="F28" s="361" t="n">
        <v>0.0401</v>
      </c>
      <c r="G28" s="345" t="n">
        <v>0.0331</v>
      </c>
    </row>
    <row r="29" ht="25.5" customHeight="1">
      <c r="A29" s="340">
        <f>'Summary '!D13</f>
        <v/>
      </c>
      <c r="B29" s="366">
        <f>'Summary '!E13</f>
        <v/>
      </c>
      <c r="C29" s="366">
        <f>'Summary '!F13</f>
        <v/>
      </c>
      <c r="E29" s="342" t="inlineStr">
        <is>
          <t>Medium Term - Funds ( Return CAGR )</t>
        </is>
      </c>
      <c r="F29" s="368" t="inlineStr">
        <is>
          <t>3-Year Return</t>
        </is>
      </c>
      <c r="G29" s="343" t="inlineStr">
        <is>
          <t>1-Year Return</t>
        </is>
      </c>
    </row>
    <row r="30" ht="25.5" customHeight="1">
      <c r="A30" s="340">
        <f>'Summary '!D14</f>
        <v/>
      </c>
      <c r="B30" s="366">
        <f>'Summary '!E14</f>
        <v/>
      </c>
      <c r="C30" s="366">
        <f>'Summary '!F14</f>
        <v/>
      </c>
      <c r="E30" s="365">
        <f>'Summary '!J16</f>
        <v/>
      </c>
      <c r="F30" s="366">
        <f>'Summary '!K16</f>
        <v/>
      </c>
      <c r="G30" s="347">
        <f>'Summary '!L16</f>
        <v/>
      </c>
    </row>
    <row r="31" ht="25.5" customHeight="1">
      <c r="A31" s="457" t="inlineStr">
        <is>
          <t>SIP of 50000*36=1800000 , Maturity Value Would be</t>
        </is>
      </c>
      <c r="B31" s="376" t="n">
        <v>2767450</v>
      </c>
      <c r="C31" s="363" t="n"/>
      <c r="E31" s="365">
        <f>'Summary '!J17</f>
        <v/>
      </c>
      <c r="F31" s="366">
        <f>'Summary '!K17</f>
        <v/>
      </c>
      <c r="G31" s="347">
        <f>'Summary '!L17</f>
        <v/>
      </c>
    </row>
    <row r="32" ht="25.5" customHeight="1">
      <c r="A32" s="386" t="n"/>
      <c r="B32" s="362" t="n"/>
      <c r="C32" s="363" t="n"/>
      <c r="E32" s="365">
        <f>'Summary '!J18</f>
        <v/>
      </c>
      <c r="F32" s="366">
        <f>'Summary '!K18</f>
        <v/>
      </c>
      <c r="G32" s="347">
        <f>'Summary '!L18</f>
        <v/>
      </c>
    </row>
    <row r="33" ht="25.5" customHeight="1">
      <c r="A33" s="338" t="inlineStr">
        <is>
          <t>Small Cap - Funds</t>
        </is>
      </c>
      <c r="B33" s="368" t="inlineStr">
        <is>
          <t>3-Year Return</t>
        </is>
      </c>
      <c r="C33" s="368" t="inlineStr">
        <is>
          <t>1-Year Return</t>
        </is>
      </c>
      <c r="D33" s="331" t="n"/>
      <c r="G33" s="332" t="n"/>
    </row>
    <row r="34" ht="25.5" customHeight="1">
      <c r="A34" s="457" t="inlineStr">
        <is>
          <t>NIFTY Smallcap 100</t>
        </is>
      </c>
      <c r="B34" s="361" t="n">
        <v>0.2176</v>
      </c>
      <c r="C34" s="361" t="n">
        <v>0.009900000000000001</v>
      </c>
      <c r="D34" s="331" t="n"/>
      <c r="E34" s="342" t="inlineStr">
        <is>
          <t>Debt Mutual Funds (Medium to Long Duration)</t>
        </is>
      </c>
      <c r="F34" s="368" t="inlineStr">
        <is>
          <t>3-Year Return</t>
        </is>
      </c>
      <c r="G34" s="343" t="inlineStr">
        <is>
          <t>1-Year Return</t>
        </is>
      </c>
    </row>
    <row r="35">
      <c r="A35" s="349" t="inlineStr">
        <is>
          <t>Small Cap - Funds ( Return CAGR )</t>
        </is>
      </c>
      <c r="B35" s="368" t="inlineStr">
        <is>
          <t>3-Yr CAGR</t>
        </is>
      </c>
      <c r="C35" s="368" t="inlineStr">
        <is>
          <t>1-Yr Return</t>
        </is>
      </c>
      <c r="D35" s="331" t="n"/>
      <c r="E35" s="460" t="inlineStr">
        <is>
          <t>NIFTY Medium to Long Duration Debt Index</t>
        </is>
      </c>
      <c r="F35" s="361" t="n">
        <v>-0.0124</v>
      </c>
      <c r="G35" s="345" t="n">
        <v>0.0566</v>
      </c>
    </row>
    <row r="36" ht="25.5" customHeight="1">
      <c r="A36" s="340">
        <f>'Summary '!D16</f>
        <v/>
      </c>
      <c r="B36" s="366">
        <f>'Summary '!E16</f>
        <v/>
      </c>
      <c r="C36" s="366">
        <f>'Summary '!F16</f>
        <v/>
      </c>
      <c r="D36" s="331" t="n"/>
      <c r="E36" s="342" t="inlineStr">
        <is>
          <t>Medium to Long Term - Funds ( Return CAGR )</t>
        </is>
      </c>
      <c r="F36" s="368" t="inlineStr">
        <is>
          <t>3-Year Return</t>
        </is>
      </c>
      <c r="G36" s="343" t="inlineStr">
        <is>
          <t>1-Year Return</t>
        </is>
      </c>
    </row>
    <row r="37">
      <c r="A37" s="340">
        <f>'Summary '!D17</f>
        <v/>
      </c>
      <c r="B37" s="366">
        <f>'Summary '!E17</f>
        <v/>
      </c>
      <c r="C37" s="366">
        <f>'Summary '!F17</f>
        <v/>
      </c>
      <c r="D37" s="331" t="n"/>
      <c r="E37" s="365">
        <f>'Summary '!J20</f>
        <v/>
      </c>
      <c r="F37" s="366">
        <f>'Summary '!K20</f>
        <v/>
      </c>
      <c r="G37" s="347">
        <f>'Summary '!L20</f>
        <v/>
      </c>
    </row>
    <row r="38">
      <c r="A38" s="340">
        <f>'Summary '!D18</f>
        <v/>
      </c>
      <c r="B38" s="366">
        <f>'Summary '!E18</f>
        <v/>
      </c>
      <c r="C38" s="366">
        <f>'Summary '!F18</f>
        <v/>
      </c>
      <c r="D38" s="331" t="n"/>
      <c r="E38" s="365">
        <f>'Summary '!J21</f>
        <v/>
      </c>
      <c r="F38" s="366">
        <f>'Summary '!K21</f>
        <v/>
      </c>
      <c r="G38" s="347">
        <f>'Summary '!L21</f>
        <v/>
      </c>
    </row>
    <row r="39" ht="25.5" customHeight="1">
      <c r="A39" s="457" t="inlineStr">
        <is>
          <t>SIP of 50000*36=1800000 , Maturity Value Would be</t>
        </is>
      </c>
      <c r="B39" s="376" t="n">
        <v>2767450</v>
      </c>
      <c r="C39" s="363" t="n"/>
      <c r="D39" s="331" t="n"/>
      <c r="E39" s="365">
        <f>'Summary '!J22</f>
        <v/>
      </c>
      <c r="F39" s="366">
        <f>'Summary '!K22</f>
        <v/>
      </c>
      <c r="G39" s="347">
        <f>'Summary '!L22</f>
        <v/>
      </c>
    </row>
    <row r="40" ht="15" customHeight="1">
      <c r="A40" s="381" t="n"/>
      <c r="B40" s="362" t="n"/>
      <c r="C40" s="362" t="n"/>
      <c r="D40" s="333" t="n"/>
      <c r="E40" s="396" t="inlineStr">
        <is>
          <t>Others</t>
        </is>
      </c>
      <c r="F40" s="362" t="n"/>
      <c r="G40" s="378" t="n"/>
    </row>
    <row r="41" ht="25.5" customHeight="1">
      <c r="A41" s="338" t="inlineStr">
        <is>
          <t>Flexi Cap - Funds</t>
        </is>
      </c>
      <c r="B41" s="368" t="inlineStr">
        <is>
          <t>3-Year Return</t>
        </is>
      </c>
      <c r="C41" s="368" t="inlineStr">
        <is>
          <t>1-Year Return</t>
        </is>
      </c>
      <c r="D41" s="379" t="n"/>
      <c r="E41" s="368" t="inlineStr">
        <is>
          <t>Multi Asset</t>
        </is>
      </c>
      <c r="F41" s="368" t="inlineStr">
        <is>
          <t>3-Year Return</t>
        </is>
      </c>
      <c r="G41" s="343" t="inlineStr">
        <is>
          <t>1-Year Return</t>
        </is>
      </c>
    </row>
    <row r="42" ht="25.5" customHeight="1">
      <c r="A42" s="340">
        <f>'Summary '!D20</f>
        <v/>
      </c>
      <c r="B42" s="366">
        <f>'Summary '!E20</f>
        <v/>
      </c>
      <c r="C42" s="366">
        <f>'Summary '!F20</f>
        <v/>
      </c>
      <c r="D42" s="379" t="n"/>
      <c r="E42" s="459" t="inlineStr">
        <is>
          <t>Nifty 500</t>
        </is>
      </c>
      <c r="F42" s="361" t="n">
        <v>0.141</v>
      </c>
      <c r="G42" s="361" t="n">
        <v>0.0023</v>
      </c>
    </row>
    <row r="43">
      <c r="A43" s="340">
        <f>'Summary '!D21</f>
        <v/>
      </c>
      <c r="B43" s="366">
        <f>'Summary '!E21</f>
        <v/>
      </c>
      <c r="C43" s="366">
        <f>'Summary '!F21</f>
        <v/>
      </c>
      <c r="D43" s="379" t="n"/>
      <c r="E43" s="365">
        <f>'Summary '!D28</f>
        <v/>
      </c>
      <c r="F43" s="366">
        <f>'Summary '!E28</f>
        <v/>
      </c>
      <c r="G43" s="347">
        <f>'Summary '!F28</f>
        <v/>
      </c>
    </row>
    <row r="44" ht="25.5" customHeight="1">
      <c r="A44" s="340">
        <f>'Summary '!D22</f>
        <v/>
      </c>
      <c r="B44" s="366">
        <f>'Summary '!E22</f>
        <v/>
      </c>
      <c r="C44" s="366">
        <f>'Summary '!F22</f>
        <v/>
      </c>
      <c r="D44" s="379" t="n"/>
      <c r="E44" s="365">
        <f>'Summary '!D29</f>
        <v/>
      </c>
      <c r="F44" s="366">
        <f>'Summary '!E29</f>
        <v/>
      </c>
      <c r="G44" s="347">
        <f>'Summary '!F29</f>
        <v/>
      </c>
    </row>
    <row r="45" ht="25.5" customHeight="1">
      <c r="A45" s="457" t="inlineStr">
        <is>
          <t>SIP of 50000*36=1800000 , Maturity Value Would be</t>
        </is>
      </c>
      <c r="B45" s="376" t="n">
        <v>2669566</v>
      </c>
      <c r="C45" s="363" t="n"/>
      <c r="D45" s="379" t="n"/>
      <c r="E45" s="365">
        <f>'Summary '!D30</f>
        <v/>
      </c>
      <c r="F45" s="366">
        <f>'Summary '!E30</f>
        <v/>
      </c>
      <c r="G45" s="347">
        <f>'Summary '!F30</f>
        <v/>
      </c>
    </row>
    <row r="46">
      <c r="A46" s="334" t="n"/>
      <c r="B46" s="335" t="n"/>
      <c r="C46" s="335" t="n"/>
      <c r="D46" s="333" t="n"/>
      <c r="E46" s="333" t="n"/>
      <c r="F46" s="333" t="n"/>
      <c r="G46" s="336" t="n"/>
    </row>
    <row r="47" ht="25.5" customHeight="1">
      <c r="A47" s="338" t="inlineStr">
        <is>
          <t>Thematic</t>
        </is>
      </c>
      <c r="B47" s="368" t="inlineStr">
        <is>
          <t>3-Year Return</t>
        </is>
      </c>
      <c r="C47" s="343" t="inlineStr">
        <is>
          <t>1-Year Return</t>
        </is>
      </c>
      <c r="D47" s="337" t="n"/>
      <c r="E47" s="368" t="inlineStr">
        <is>
          <t>BAF</t>
        </is>
      </c>
      <c r="F47" s="368" t="inlineStr">
        <is>
          <t>3-Year Return</t>
        </is>
      </c>
      <c r="G47" s="343" t="inlineStr">
        <is>
          <t>1-Year Return</t>
        </is>
      </c>
    </row>
    <row r="48">
      <c r="A48" s="458" t="inlineStr">
        <is>
          <t>Nifty 500</t>
        </is>
      </c>
      <c r="B48" s="361" t="n">
        <v>0.141</v>
      </c>
      <c r="C48" s="361" t="n">
        <v>0.0023</v>
      </c>
      <c r="D48" s="337" t="n"/>
      <c r="E48" s="459" t="inlineStr">
        <is>
          <t>Nifty 50</t>
        </is>
      </c>
      <c r="F48" s="361" t="n">
        <v>0.011</v>
      </c>
      <c r="G48" s="361" t="n">
        <v>-0.0351</v>
      </c>
    </row>
    <row r="49" ht="25.5" customHeight="1">
      <c r="A49" s="340">
        <f>'Summary '!D43</f>
        <v/>
      </c>
      <c r="B49" s="366">
        <f>'Summary '!E43</f>
        <v/>
      </c>
      <c r="C49" s="347">
        <f>'Summary '!F43</f>
        <v/>
      </c>
      <c r="D49" s="337" t="n"/>
      <c r="E49" s="365">
        <f>'Summary '!D24</f>
        <v/>
      </c>
      <c r="F49" s="366">
        <f>'Summary '!E24</f>
        <v/>
      </c>
      <c r="G49" s="347">
        <f>'Summary '!F24</f>
        <v/>
      </c>
    </row>
    <row r="50" ht="25.5" customHeight="1">
      <c r="A50" s="340">
        <f>'Summary '!D44</f>
        <v/>
      </c>
      <c r="B50" s="366">
        <f>'Summary '!E44</f>
        <v/>
      </c>
      <c r="C50" s="347">
        <f>'Summary '!F44</f>
        <v/>
      </c>
      <c r="D50" s="337" t="n"/>
      <c r="E50" s="365">
        <f>'Summary '!D25</f>
        <v/>
      </c>
      <c r="F50" s="366">
        <f>'Summary '!E25</f>
        <v/>
      </c>
      <c r="G50" s="347">
        <f>'Summary '!F25</f>
        <v/>
      </c>
    </row>
    <row r="51" ht="25.5" customHeight="1">
      <c r="A51" s="340">
        <f>'Summary '!D45</f>
        <v/>
      </c>
      <c r="B51" s="366">
        <f>'Summary '!E45</f>
        <v/>
      </c>
      <c r="C51" s="351">
        <f>'Summary '!F45</f>
        <v/>
      </c>
      <c r="D51" s="337" t="n"/>
      <c r="E51" s="365">
        <f>'Summary '!D26</f>
        <v/>
      </c>
      <c r="F51" s="366">
        <f>'Summary '!E26</f>
        <v/>
      </c>
      <c r="G51" s="347">
        <f>'Summary '!F26</f>
        <v/>
      </c>
    </row>
    <row r="52">
      <c r="A52" s="352" t="n"/>
      <c r="B52" s="353" t="n"/>
      <c r="C52" s="353" t="n"/>
      <c r="D52" s="353" t="n"/>
      <c r="E52" s="353" t="n"/>
      <c r="F52" s="353" t="n"/>
      <c r="G52" s="354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55" min="1" max="1"/>
    <col width="24.42578125" bestFit="1" customWidth="1" style="355" min="2" max="2"/>
    <col width="11.85546875" customWidth="1" style="355" min="3" max="3"/>
    <col width="15.140625" bestFit="1" customWidth="1" style="355" min="4" max="4"/>
    <col width="12" customWidth="1" style="355" min="5" max="5"/>
    <col width="8.7109375" customWidth="1" style="355" min="6" max="9"/>
    <col width="8.7109375" customWidth="1" style="355" min="10" max="16384"/>
  </cols>
  <sheetData>
    <row r="2" ht="15" customHeight="1">
      <c r="B2" s="372" t="inlineStr">
        <is>
          <t>Financial Product Catalog: A Ready Reckoner , As on 26th June 2026</t>
        </is>
      </c>
      <c r="C2" s="362" t="n"/>
      <c r="D2" s="362" t="n"/>
      <c r="E2" s="363" t="n"/>
    </row>
    <row r="3" ht="15" customHeight="1">
      <c r="B3" s="371" t="n"/>
      <c r="C3" s="362" t="n"/>
      <c r="D3" s="362" t="n"/>
      <c r="E3" s="363" t="n"/>
    </row>
    <row r="4" ht="15" customHeight="1">
      <c r="B4" s="370" t="inlineStr">
        <is>
          <t>Credit ratings assessed by (e.g., CRISIL, ICRA, CARE)</t>
        </is>
      </c>
      <c r="C4" s="362" t="n"/>
      <c r="D4" s="362" t="n"/>
      <c r="E4" s="363" t="n"/>
    </row>
    <row r="5" ht="15" customHeight="1">
      <c r="B5" s="367" t="n"/>
      <c r="C5" s="362" t="n"/>
      <c r="D5" s="362" t="n"/>
      <c r="E5" s="363" t="n"/>
    </row>
    <row r="6" ht="15" customHeight="1">
      <c r="B6" s="369" t="inlineStr">
        <is>
          <t>Corporate FD's</t>
        </is>
      </c>
      <c r="C6" s="362" t="n"/>
      <c r="D6" s="362" t="n"/>
      <c r="E6" s="363" t="n"/>
    </row>
    <row r="7" ht="25.5" customHeight="1">
      <c r="B7" s="368" t="inlineStr">
        <is>
          <t>Institution</t>
        </is>
      </c>
      <c r="C7" s="368" t="inlineStr">
        <is>
          <t>3-Year FD Rate</t>
        </is>
      </c>
      <c r="D7" s="363" t="n"/>
      <c r="E7" s="368" t="inlineStr">
        <is>
          <t>1-Year FD Rate</t>
        </is>
      </c>
    </row>
    <row r="8" ht="15" customHeight="1">
      <c r="B8" s="356" t="inlineStr">
        <is>
          <t>SBI Bank FD</t>
        </is>
      </c>
      <c r="C8" s="373" t="inlineStr">
        <is>
          <t>6.30% - 6.80%</t>
        </is>
      </c>
      <c r="D8" s="363" t="n"/>
      <c r="E8" s="373" t="inlineStr">
        <is>
          <t>6.25% - 6.75%</t>
        </is>
      </c>
    </row>
    <row r="9" ht="13.5" customHeight="1">
      <c r="B9" s="365" t="inlineStr">
        <is>
          <t>Shriram Finance</t>
        </is>
      </c>
      <c r="C9" s="364" t="inlineStr">
        <is>
          <t>7.25% – 7.75%</t>
        </is>
      </c>
      <c r="D9" s="363" t="n"/>
      <c r="E9" s="364" t="inlineStr">
        <is>
          <t>6.75% – 7.25%</t>
        </is>
      </c>
    </row>
    <row r="10" ht="13.5" customHeight="1">
      <c r="B10" s="365" t="inlineStr">
        <is>
          <t>Bajaj Finance</t>
        </is>
      </c>
      <c r="C10" s="364" t="inlineStr">
        <is>
          <t>7.40% – 7.75%</t>
        </is>
      </c>
      <c r="D10" s="363" t="n"/>
      <c r="E10" s="364" t="inlineStr">
        <is>
          <t>6.60% – 6.95%</t>
        </is>
      </c>
    </row>
    <row r="11" ht="13.5" customHeight="1">
      <c r="B11" s="359" t="inlineStr">
        <is>
          <t>PNB Housing Finance</t>
        </is>
      </c>
      <c r="C11" s="364" t="inlineStr">
        <is>
          <t>6.90% – 7.15%</t>
        </is>
      </c>
      <c r="D11" s="363" t="n"/>
      <c r="E11" s="364" t="inlineStr">
        <is>
          <t>6.60% – 6.85%</t>
        </is>
      </c>
    </row>
    <row r="12" ht="13.5" customHeight="1">
      <c r="B12" s="365" t="inlineStr">
        <is>
          <t>ICICI Home Finance</t>
        </is>
      </c>
      <c r="C12" s="366" t="inlineStr">
        <is>
          <t>6.90% -7.25%</t>
        </is>
      </c>
      <c r="D12" s="363" t="n"/>
      <c r="E12" s="364" t="inlineStr">
        <is>
          <t>6.75% – 7.10%</t>
        </is>
      </c>
    </row>
    <row r="13" ht="13.5" customHeight="1">
      <c r="B13" s="359" t="inlineStr">
        <is>
          <t>LIC Housing Finance</t>
        </is>
      </c>
      <c r="C13" s="366" t="inlineStr">
        <is>
          <t>6.85% -7.10%</t>
        </is>
      </c>
      <c r="D13" s="363" t="n"/>
      <c r="E13" s="364" t="inlineStr">
        <is>
          <t>6.70% – 6.95%</t>
        </is>
      </c>
    </row>
    <row r="14" ht="15" customHeight="1">
      <c r="B14" s="369" t="inlineStr">
        <is>
          <t>Capital Gain Bonds/NCD</t>
        </is>
      </c>
      <c r="C14" s="362" t="n"/>
      <c r="D14" s="362" t="n"/>
      <c r="E14" s="363" t="n"/>
    </row>
    <row r="15" ht="15" customHeight="1">
      <c r="B15" s="368" t="inlineStr">
        <is>
          <t>Index Name</t>
        </is>
      </c>
      <c r="C15" s="368" t="inlineStr">
        <is>
          <t>5-Year Return</t>
        </is>
      </c>
      <c r="D15" s="362" t="n"/>
      <c r="E15" s="363" t="n"/>
    </row>
    <row r="16" ht="25.5" customHeight="1">
      <c r="B16" s="460" t="inlineStr">
        <is>
          <t>NIFTY 10 Year Benchmark G-Sec Index</t>
        </is>
      </c>
      <c r="C16" s="361" t="n">
        <v>0.0552</v>
      </c>
      <c r="D16" s="362" t="n"/>
      <c r="E16" s="363" t="n"/>
    </row>
    <row r="17" ht="15" customHeight="1">
      <c r="B17" s="368" t="inlineStr">
        <is>
          <t>Issuer</t>
        </is>
      </c>
      <c r="C17" s="368" t="inlineStr">
        <is>
          <t>Interest Rate</t>
        </is>
      </c>
      <c r="D17" s="368" t="inlineStr">
        <is>
          <t>Tenure</t>
        </is>
      </c>
      <c r="E17" s="363" t="n"/>
    </row>
    <row r="18" ht="15" customHeight="1">
      <c r="B18" s="365" t="inlineStr">
        <is>
          <t>IRFC</t>
        </is>
      </c>
      <c r="C18" s="364" t="inlineStr">
        <is>
          <t>5.25% p.a.</t>
        </is>
      </c>
      <c r="D18" s="364" t="inlineStr">
        <is>
          <t>5 years</t>
        </is>
      </c>
      <c r="E18" s="363" t="n"/>
    </row>
    <row r="19" ht="15" customHeight="1">
      <c r="B19" s="365" t="inlineStr">
        <is>
          <t>PFC</t>
        </is>
      </c>
      <c r="C19" s="364" t="inlineStr">
        <is>
          <t>5.25% p.a.</t>
        </is>
      </c>
      <c r="D19" s="364" t="inlineStr">
        <is>
          <t>5 years</t>
        </is>
      </c>
      <c r="E19" s="363" t="n"/>
    </row>
    <row r="20" ht="15" customHeight="1">
      <c r="B20" s="365" t="inlineStr">
        <is>
          <t>REC</t>
        </is>
      </c>
      <c r="C20" s="364" t="inlineStr">
        <is>
          <t>5.25% p.a.</t>
        </is>
      </c>
      <c r="D20" s="364" t="inlineStr">
        <is>
          <t>5 years</t>
        </is>
      </c>
      <c r="E20" s="363" t="n"/>
    </row>
    <row r="21" ht="15" customHeight="1">
      <c r="B21" s="367" t="n"/>
      <c r="C21" s="362" t="n"/>
      <c r="D21" s="362" t="n"/>
      <c r="E21" s="363" t="n"/>
    </row>
    <row r="22" ht="15" customHeight="1">
      <c r="B22" s="369" t="inlineStr">
        <is>
          <t>RBI Floating Rate Savings Bond</t>
        </is>
      </c>
      <c r="C22" s="363" t="n"/>
      <c r="D22" s="369" t="inlineStr">
        <is>
          <t>Interest Rate</t>
        </is>
      </c>
      <c r="E22" s="363" t="n"/>
    </row>
    <row r="23" ht="15" customHeight="1">
      <c r="B23" s="364" t="inlineStr">
        <is>
          <t>HDFC</t>
        </is>
      </c>
      <c r="C23" s="363" t="n"/>
      <c r="D23" s="364" t="inlineStr">
        <is>
          <t>8.05% p.a.</t>
        </is>
      </c>
      <c r="E23" s="363" t="n"/>
    </row>
    <row r="24">
      <c r="F24" s="360" t="n"/>
      <c r="G24" s="360" t="n"/>
      <c r="H24" s="360" t="n"/>
      <c r="I24" s="360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9"/>
    <col width="8.7109375" customWidth="1" style="115" min="20" max="16384"/>
  </cols>
  <sheetData>
    <row r="1" ht="15" customHeight="1" thickBot="1"/>
    <row r="2">
      <c r="B2" s="400" t="inlineStr">
        <is>
          <t>Equity</t>
        </is>
      </c>
      <c r="C2" s="401" t="n"/>
      <c r="D2" s="401" t="n"/>
      <c r="E2" s="401" t="n"/>
      <c r="F2" s="402" t="n"/>
      <c r="H2" s="400" t="inlineStr">
        <is>
          <t>Debt</t>
        </is>
      </c>
      <c r="I2" s="401" t="n"/>
      <c r="J2" s="401" t="n"/>
      <c r="K2" s="401" t="n"/>
      <c r="L2" s="40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9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9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9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9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9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9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9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9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9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9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9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9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9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9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9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9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9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9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9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9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9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9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9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9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9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40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9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9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9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40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9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9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9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40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9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9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40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9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9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9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9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9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9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9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9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9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40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9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40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9"/>
    <col width="8.7109375" customWidth="1" style="15" min="20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411" t="inlineStr">
        <is>
          <t>Investor Profile</t>
        </is>
      </c>
      <c r="J3" s="408" t="n"/>
      <c r="K3" s="408" t="n"/>
      <c r="L3" s="408" t="n"/>
    </row>
    <row r="4" ht="14.45" customHeight="1" thickBot="1">
      <c r="B4" s="410" t="inlineStr">
        <is>
          <t>Personal &amp; Financial Information</t>
        </is>
      </c>
      <c r="C4" s="401" t="n"/>
      <c r="D4" s="401" t="n"/>
      <c r="E4" s="40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407" t="inlineStr">
        <is>
          <t>Model Portfolio</t>
        </is>
      </c>
      <c r="J18" s="408" t="n"/>
      <c r="K18" s="408" t="n"/>
      <c r="L18" s="40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410" t="inlineStr">
        <is>
          <t>Investment Objective</t>
        </is>
      </c>
      <c r="C25" s="401" t="n"/>
      <c r="D25" s="401" t="n"/>
      <c r="E25" s="40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410" t="inlineStr">
        <is>
          <t>Risk Appetite</t>
        </is>
      </c>
      <c r="C34" s="401" t="n"/>
      <c r="D34" s="401" t="n"/>
      <c r="E34" s="40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410" t="inlineStr">
        <is>
          <t>Market Experience</t>
        </is>
      </c>
      <c r="C37" s="401" t="n"/>
      <c r="D37" s="401" t="n"/>
      <c r="E37" s="40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420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417">
        <f>HLOOKUP('Investor Persona'!$E$4, 'Investor Profile'!$I$19:$L$23,F$2,FALSE)</f>
        <v/>
      </c>
      <c r="G4" s="417">
        <f>HLOOKUP('Investor Persona'!$E$4, 'Investor Profile'!$I$19:$L$23,G$2,FALSE)</f>
        <v/>
      </c>
      <c r="H4" s="417">
        <f>HLOOKUP('Investor Persona'!$E$4, 'Investor Profile'!$I$19:$L$23,H$2,FALSE)</f>
        <v/>
      </c>
      <c r="I4" s="41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420">
        <f>IF(SUM($D$5:$D$7)&lt;5,"Limited Resources",IF(SUM($D$5:$D$7)&lt;=8,"Stable Financials",IF(SUM($D$5:$D$7)&lt;=12,"Affluent",IF(SUM($D$5:$D$7)&gt;=13,"HNI/UHNI",""))))</f>
        <v/>
      </c>
      <c r="F5" s="417">
        <f>HLOOKUP('Investor Persona'!$E$5, 'Investor Profile'!$I$24:$L$28,F$2,FALSE)</f>
        <v/>
      </c>
      <c r="G5" s="417">
        <f>HLOOKUP('Investor Persona'!$E$5, 'Investor Profile'!$I$24:$L$28,G$2,FALSE)</f>
        <v/>
      </c>
      <c r="H5" s="417">
        <f>HLOOKUP('Investor Persona'!$E$5, 'Investor Profile'!$I$24:$L$28,H$2,FALSE)</f>
        <v/>
      </c>
      <c r="I5" s="41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421" t="n"/>
      <c r="F6" s="418" t="n"/>
      <c r="G6" s="418" t="n"/>
      <c r="H6" s="418" t="n"/>
      <c r="I6" s="41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22" t="n"/>
      <c r="F7" s="419" t="n"/>
      <c r="G7" s="419" t="n"/>
      <c r="H7" s="419" t="n"/>
      <c r="I7" s="41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420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417">
        <f>HLOOKUP('Investor Persona'!$E$8, 'Investor Profile'!$I$29:$L$33,F$2,FALSE)</f>
        <v/>
      </c>
      <c r="G8" s="417">
        <f>HLOOKUP('Investor Persona'!$E$8, 'Investor Profile'!$I$29:$L$33,G$2,FALSE)</f>
        <v/>
      </c>
      <c r="H8" s="417">
        <f>HLOOKUP('Investor Persona'!$E$8, 'Investor Profile'!$I$29:$L$33,H$2,FALSE)</f>
        <v/>
      </c>
      <c r="I8" s="41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420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417">
        <f>HLOOKUP('Investor Persona'!$E$9, 'Investor Profile'!$I$34:$L$38,F$2,FALSE)</f>
        <v/>
      </c>
      <c r="G9" s="417">
        <f>HLOOKUP('Investor Persona'!$E$9, 'Investor Profile'!$I$34:$L$38,G$2,FALSE)</f>
        <v/>
      </c>
      <c r="H9" s="417">
        <f>HLOOKUP('Investor Persona'!$E$9, 'Investor Profile'!$I$34:$L$38,H$2,FALSE)</f>
        <v/>
      </c>
      <c r="I9" s="41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417">
        <f>HLOOKUP('Investor Persona'!$E$10,'Investor Profile'!$I$39:$J$43,F$2,FALSE)</f>
        <v/>
      </c>
      <c r="G10" s="417">
        <f>HLOOKUP('Investor Persona'!$E$10,'Investor Profile'!$I$39:$J$43,G$2,FALSE)</f>
        <v/>
      </c>
      <c r="H10" s="417">
        <f>HLOOKUP('Investor Persona'!$E$10,'Investor Profile'!$I$39:$J$43,H$2,FALSE)</f>
        <v/>
      </c>
      <c r="I10" s="41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420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415">
        <f>HLOOKUP('Investor Persona'!$E$11,'Investor Profile'!$I$44:$L$48,F$2,FALSE)</f>
        <v/>
      </c>
      <c r="G11" s="415">
        <f>HLOOKUP('Investor Persona'!$E$11,'Investor Profile'!$I$44:$L$48,G$2,FALSE)</f>
        <v/>
      </c>
      <c r="H11" s="415">
        <f>HLOOKUP('Investor Persona'!$E$11,'Investor Profile'!$I$44:$L$48,H$2,FALSE)</f>
        <v/>
      </c>
      <c r="I11" s="423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22" t="n"/>
      <c r="F12" s="416" t="n"/>
      <c r="G12" s="416" t="n"/>
      <c r="H12" s="416" t="n"/>
      <c r="I12" s="424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25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5" t="inlineStr">
        <is>
          <t>Normalized</t>
        </is>
      </c>
      <c r="N4" s="426" t="n"/>
      <c r="O4" s="426" t="n"/>
      <c r="P4" s="426" t="n"/>
      <c r="Q4" s="426" t="n"/>
      <c r="R4" s="426" t="n"/>
      <c r="S4" s="426" t="n"/>
      <c r="T4" s="426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30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-3.3649</v>
      </c>
      <c r="F6" s="248" t="n">
        <v>10.1827</v>
      </c>
      <c r="G6" s="248" t="n">
        <v>10.578</v>
      </c>
      <c r="H6" s="248" t="n">
        <v>11.4261</v>
      </c>
      <c r="I6" s="248" t="n">
        <v>0.0386547226437464</v>
      </c>
      <c r="J6" s="248" t="n">
        <v>0.00569431320097197</v>
      </c>
      <c r="K6" s="248" t="n">
        <v>1.00969653886829</v>
      </c>
      <c r="L6" s="248" t="n">
        <v>12.9544303372897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-1.1523</v>
      </c>
      <c r="F7" s="248" t="n">
        <v>10.6868</v>
      </c>
      <c r="G7" s="248" t="n">
        <v>12.3452</v>
      </c>
      <c r="H7" s="248" t="n">
        <v>12.3091</v>
      </c>
      <c r="I7" s="249" t="n">
        <v>0.0442202174868826</v>
      </c>
      <c r="J7" s="249" t="n">
        <v>0.0765214759541617</v>
      </c>
      <c r="K7" s="249" t="n">
        <v>0.936372606325187</v>
      </c>
      <c r="L7" s="249" t="n">
        <v>12.1127004829424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-2.201</v>
      </c>
      <c r="F8" s="248" t="n">
        <v>12.3985</v>
      </c>
      <c r="G8" s="248" t="n">
        <v>12.9334</v>
      </c>
      <c r="H8" s="248" t="n">
        <v>13.2425</v>
      </c>
      <c r="I8" s="249" t="n">
        <v>0.0552344773568704</v>
      </c>
      <c r="J8" s="249" t="n">
        <v>0.2081773896824</v>
      </c>
      <c r="K8" s="249" t="n">
        <v>0.9367328498145761</v>
      </c>
      <c r="L8" s="249" t="n">
        <v>12.0840971663791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-1.9654</v>
      </c>
      <c r="F9" s="248" t="n">
        <v>10.5879</v>
      </c>
      <c r="G9" s="248" t="n">
        <v>10.2425</v>
      </c>
      <c r="H9" s="248" t="n">
        <v>11.9671</v>
      </c>
      <c r="I9" s="249" t="n">
        <v>0.0415716242881469</v>
      </c>
      <c r="J9" s="249" t="n">
        <v>0.041924694838347</v>
      </c>
      <c r="K9" s="249" t="n">
        <v>1.0001546090056</v>
      </c>
      <c r="L9" s="249" t="n">
        <v>12.804452102678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-1.3511</v>
      </c>
      <c r="F10" s="248" t="n">
        <v>12.5094</v>
      </c>
      <c r="G10" s="248" t="n">
        <v>14.8065</v>
      </c>
      <c r="H10" s="248" t="n">
        <v>13.9046</v>
      </c>
      <c r="I10" s="249" t="n">
        <v>0.0535096928210593</v>
      </c>
      <c r="J10" s="249" t="n">
        <v>0.202071812028123</v>
      </c>
      <c r="K10" s="249" t="n">
        <v>0.982907596557416</v>
      </c>
      <c r="L10" s="249" t="n">
        <v>12.7675986537624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0.2601</v>
      </c>
      <c r="F11" s="248" t="n">
        <v>9.6358</v>
      </c>
      <c r="G11" s="248" t="n">
        <v>10.689</v>
      </c>
      <c r="H11" s="248" t="n">
        <v>11.7379</v>
      </c>
      <c r="I11" s="249" t="n">
        <v>0.037157794666254</v>
      </c>
      <c r="J11" s="249" t="n">
        <v>-0.00410255389493086</v>
      </c>
      <c r="K11" s="249" t="n">
        <v>0.916540289610577</v>
      </c>
      <c r="L11" s="249" t="n">
        <v>11.9633073642111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-4.0756</v>
      </c>
      <c r="F12" s="251" t="n">
        <v>7.8566</v>
      </c>
      <c r="G12" s="251" t="n">
        <v>8.3025</v>
      </c>
      <c r="H12" s="251" t="n">
        <v>10.9713</v>
      </c>
      <c r="I12" s="250" t="n">
        <v>0.0260055551328754</v>
      </c>
      <c r="J12" s="250" t="n">
        <v>-0.147194206248317</v>
      </c>
      <c r="K12" s="250" t="n">
        <v>0.965424107053919</v>
      </c>
      <c r="L12" s="250" t="n">
        <v>12.511417549192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25" t="inlineStr">
        <is>
          <t>Actuals</t>
        </is>
      </c>
      <c r="F15" s="426" t="n"/>
      <c r="G15" s="426" t="n"/>
      <c r="H15" s="426" t="n"/>
      <c r="I15" s="426" t="n"/>
      <c r="J15" s="426" t="n"/>
      <c r="K15" s="426" t="n"/>
      <c r="L15" s="426" t="n"/>
      <c r="M15" s="425" t="inlineStr">
        <is>
          <t>Normalized</t>
        </is>
      </c>
      <c r="N15" s="426" t="n"/>
      <c r="O15" s="426" t="n"/>
      <c r="P15" s="426" t="n"/>
      <c r="Q15" s="426" t="n"/>
      <c r="R15" s="426" t="n"/>
      <c r="S15" s="426" t="n"/>
      <c r="T15" s="426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3.766</v>
      </c>
      <c r="F17" s="252" t="n">
        <v>14.2635</v>
      </c>
      <c r="G17" s="248" t="n">
        <v>13.863</v>
      </c>
      <c r="H17" s="248" t="n">
        <v>14.7754</v>
      </c>
      <c r="I17" s="249" t="n">
        <v>0.0616631805228092</v>
      </c>
      <c r="J17" s="249" t="n">
        <v>0.0531514744999263</v>
      </c>
      <c r="K17" s="249" t="n">
        <v>0.82518608057432</v>
      </c>
      <c r="L17" s="249" t="n">
        <v>12.5586532260905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2.8304</v>
      </c>
      <c r="F18" s="252" t="n">
        <v>15.0054</v>
      </c>
      <c r="G18" s="248" t="n">
        <v>14.1969</v>
      </c>
      <c r="H18" s="248" t="n">
        <v>14.9911</v>
      </c>
      <c r="I18" s="249" t="n">
        <v>0.0589281823558918</v>
      </c>
      <c r="J18" s="249" t="n">
        <v>0.0336776855780977</v>
      </c>
      <c r="K18" s="249" t="n">
        <v>0.943476971207556</v>
      </c>
      <c r="L18" s="249" t="n">
        <v>14.5019997270656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0.1257</v>
      </c>
      <c r="F19" s="252" t="n">
        <v>14.9732</v>
      </c>
      <c r="G19" s="248" t="n">
        <v>15.4707</v>
      </c>
      <c r="H19" s="248" t="n">
        <v>14.398</v>
      </c>
      <c r="I19" s="249" t="n">
        <v>0.0602731901002642</v>
      </c>
      <c r="J19" s="249" t="n">
        <v>0.0271671044225483</v>
      </c>
      <c r="K19" s="249" t="n">
        <v>0.992201837132294</v>
      </c>
      <c r="L19" s="249" t="n">
        <v>14.773738510162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3.0476</v>
      </c>
      <c r="F20" s="252" t="n">
        <v>17.0198</v>
      </c>
      <c r="G20" s="248" t="n">
        <v>17.1942</v>
      </c>
      <c r="H20" s="248" t="n">
        <v>15.1573</v>
      </c>
      <c r="I20" s="249" t="n">
        <v>0.07704914382082061</v>
      </c>
      <c r="J20" s="249" t="n">
        <v>0.274399022141205</v>
      </c>
      <c r="K20" s="249" t="n">
        <v>0.841438117816012</v>
      </c>
      <c r="L20" s="249" t="n">
        <v>13.0632993873978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1.5257</v>
      </c>
      <c r="F21" s="252" t="n">
        <v>16.7004</v>
      </c>
      <c r="G21" s="248" t="n">
        <v>14.6576</v>
      </c>
      <c r="H21" s="248" t="n">
        <v>12.8077</v>
      </c>
      <c r="I21" s="249" t="n">
        <v>0.0652169475345311</v>
      </c>
      <c r="J21" s="249" t="n">
        <v>0.105432717647005</v>
      </c>
      <c r="K21" s="249" t="n">
        <v>0.988531652329005</v>
      </c>
      <c r="L21" s="249" t="n">
        <v>14.8049341688429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2.1885</v>
      </c>
      <c r="F22" s="252" t="n">
        <v>11.9624</v>
      </c>
      <c r="G22" s="248" t="n">
        <v>8.6343</v>
      </c>
      <c r="H22" s="248" t="n">
        <v>11.2325</v>
      </c>
      <c r="I22" s="249" t="n">
        <v>0.0414340073602093</v>
      </c>
      <c r="J22" s="249" t="n">
        <v>-0.253132964871065</v>
      </c>
      <c r="K22" s="249" t="n">
        <v>1.02829744189718</v>
      </c>
      <c r="L22" s="249" t="n">
        <v>15.4840509567825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1.2521</v>
      </c>
      <c r="F23" s="254" t="n">
        <v>16.6882</v>
      </c>
      <c r="G23" s="251" t="n">
        <v>14.7088</v>
      </c>
      <c r="H23" s="251" t="n">
        <v>13.8247</v>
      </c>
      <c r="I23" s="250" t="n">
        <v>0.07303343139027051</v>
      </c>
      <c r="J23" s="250" t="n">
        <v>0.220422009822144</v>
      </c>
      <c r="K23" s="250" t="n">
        <v>0.940063279237306</v>
      </c>
      <c r="L23" s="250" t="n">
        <v>14.2174701333248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25" t="inlineStr">
        <is>
          <t>Actuals</t>
        </is>
      </c>
      <c r="F26" s="426" t="n"/>
      <c r="G26" s="426" t="n"/>
      <c r="H26" s="426" t="n"/>
      <c r="I26" s="426" t="n"/>
      <c r="J26" s="426" t="n"/>
      <c r="K26" s="426" t="n"/>
      <c r="L26" s="426" t="n"/>
      <c r="M26" s="425" t="inlineStr">
        <is>
          <t>Normalized</t>
        </is>
      </c>
      <c r="N26" s="426" t="n"/>
      <c r="O26" s="426" t="n"/>
      <c r="P26" s="426" t="n"/>
      <c r="Q26" s="426" t="n"/>
      <c r="R26" s="426" t="n"/>
      <c r="S26" s="426" t="n"/>
      <c r="T26" s="426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42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4.3164</v>
      </c>
      <c r="F28" s="248" t="n">
        <v>19.4378</v>
      </c>
      <c r="G28" s="248" t="n">
        <v>19.4468</v>
      </c>
      <c r="H28" s="248" t="n">
        <v>17.4739</v>
      </c>
      <c r="I28" s="249" t="n">
        <v>0.0783883552036433</v>
      </c>
      <c r="J28" s="249" t="n">
        <v>0.139895981854818</v>
      </c>
      <c r="K28" s="249" t="n">
        <v>0.84945317529039</v>
      </c>
      <c r="L28" s="249" t="n">
        <v>15.2655709295143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6.757</v>
      </c>
      <c r="F29" s="248" t="n">
        <v>19.8579</v>
      </c>
      <c r="G29" s="248" t="n">
        <v>17.1459</v>
      </c>
      <c r="H29" s="248" t="n">
        <v>17.402</v>
      </c>
      <c r="I29" s="249" t="n">
        <v>0.0728284119673635</v>
      </c>
      <c r="J29" s="249" t="n">
        <v>0.0929181686185678</v>
      </c>
      <c r="K29" s="249" t="n">
        <v>0.884352795518349</v>
      </c>
      <c r="L29" s="249" t="n">
        <v>16.3820876861577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7.2178</v>
      </c>
      <c r="F30" s="248" t="n">
        <v>21.346</v>
      </c>
      <c r="G30" s="248" t="n">
        <v>19.163</v>
      </c>
      <c r="H30" s="248" t="n">
        <v>18.2923</v>
      </c>
      <c r="I30" s="249" t="n">
        <v>0.0791000267997895</v>
      </c>
      <c r="J30" s="249" t="n">
        <v>0.165343421795185</v>
      </c>
      <c r="K30" s="249" t="n">
        <v>0.9551533014997819</v>
      </c>
      <c r="L30" s="249" t="n">
        <v>17.112317665664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2.0385</v>
      </c>
      <c r="F31" s="248" t="n">
        <v>12.9064</v>
      </c>
      <c r="G31" s="248" t="n">
        <v>14.3863</v>
      </c>
      <c r="H31" s="248" t="n">
        <v>13.9209</v>
      </c>
      <c r="I31" s="249" t="n">
        <v>0.0452984478335342</v>
      </c>
      <c r="J31" s="249" t="n">
        <v>-0.324281079052539</v>
      </c>
      <c r="K31" s="249" t="n">
        <v>0.793617386528216</v>
      </c>
      <c r="L31" s="249" t="n">
        <v>14.6363607111545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0.8355</v>
      </c>
      <c r="F32" s="248" t="n">
        <v>13.2027</v>
      </c>
      <c r="G32" s="248" t="n">
        <v>12.4852</v>
      </c>
      <c r="H32" s="248" t="n">
        <v>13.7734</v>
      </c>
      <c r="I32" s="249" t="n">
        <v>0.0462503826750138</v>
      </c>
      <c r="J32" s="249" t="n">
        <v>-0.383486278553203</v>
      </c>
      <c r="K32" s="249" t="n">
        <v>0.921318537327682</v>
      </c>
      <c r="L32" s="249" t="n">
        <v>16.4898863294335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11.601</v>
      </c>
      <c r="F33" s="248" t="n">
        <v>23.0062</v>
      </c>
      <c r="G33" s="248" t="n">
        <v>17.2356</v>
      </c>
      <c r="H33" s="248" t="n">
        <v>16.4944</v>
      </c>
      <c r="I33" s="249" t="n">
        <v>0.08006608742782829</v>
      </c>
      <c r="J33" s="249" t="n">
        <v>0.205183526701748</v>
      </c>
      <c r="K33" s="249" t="n">
        <v>0.988910944633259</v>
      </c>
      <c r="L33" s="249" t="n">
        <v>17.927945882481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4.888</v>
      </c>
      <c r="F34" s="251" t="n">
        <v>17.5728</v>
      </c>
      <c r="G34" s="251" t="n">
        <v>14.9531</v>
      </c>
      <c r="H34" s="251" t="n">
        <v>13.6329</v>
      </c>
      <c r="I34" s="250" t="n">
        <v>0.0619649988449862</v>
      </c>
      <c r="J34" s="250" t="n">
        <v>-0.122323873686257</v>
      </c>
      <c r="K34" s="250" t="n">
        <v>0.957409412104655</v>
      </c>
      <c r="L34" s="250" t="n">
        <v>17.2472231809189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25" t="inlineStr">
        <is>
          <t>Actuals</t>
        </is>
      </c>
      <c r="F37" s="426" t="n"/>
      <c r="G37" s="426" t="n"/>
      <c r="H37" s="426" t="n"/>
      <c r="I37" s="426" t="n"/>
      <c r="J37" s="426" t="n"/>
      <c r="K37" s="426" t="n"/>
      <c r="L37" s="426" t="n"/>
      <c r="M37" s="425" t="inlineStr">
        <is>
          <t>Normalized</t>
        </is>
      </c>
      <c r="N37" s="426" t="n"/>
      <c r="O37" s="426" t="n"/>
      <c r="P37" s="426" t="n"/>
      <c r="Q37" s="426" t="n"/>
      <c r="R37" s="426" t="n"/>
      <c r="S37" s="426" t="n"/>
      <c r="T37" s="426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42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3.5178</v>
      </c>
      <c r="F39" s="248" t="n">
        <v>17.3308</v>
      </c>
      <c r="G39" s="248" t="n">
        <v>18.8732</v>
      </c>
      <c r="H39" s="248" t="n">
        <v>20.6046</v>
      </c>
      <c r="I39" s="249" t="n">
        <v>0.060654196392832</v>
      </c>
      <c r="J39" s="249" t="n">
        <v>0.0265169824976557</v>
      </c>
      <c r="K39" s="249" t="n">
        <v>0.855548169358322</v>
      </c>
      <c r="L39" s="249" t="n">
        <v>18.417536984155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-2.5619</v>
      </c>
      <c r="F40" s="248" t="n">
        <v>12.9148</v>
      </c>
      <c r="G40" s="248" t="n">
        <v>14.9714</v>
      </c>
      <c r="H40" s="248" t="n">
        <v>17.1376</v>
      </c>
      <c r="I40" s="249" t="n">
        <v>0.0456463210124587</v>
      </c>
      <c r="J40" s="249" t="n">
        <v>-0.134436775574344</v>
      </c>
      <c r="K40" s="249" t="n">
        <v>0.813765908972771</v>
      </c>
      <c r="L40" s="249" t="n">
        <v>17.2253605853339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1.6649</v>
      </c>
      <c r="F41" s="248" t="n">
        <v>12.906</v>
      </c>
      <c r="G41" s="248" t="n">
        <v>13.643</v>
      </c>
      <c r="H41" s="248" t="n">
        <v>17.8344</v>
      </c>
      <c r="I41" s="249" t="n">
        <v>0.0430580582113835</v>
      </c>
      <c r="J41" s="249" t="n">
        <v>-0.167668977731761</v>
      </c>
      <c r="K41" s="249" t="n">
        <v>0.7919398125036849</v>
      </c>
      <c r="L41" s="249" t="n">
        <v>16.9154783670951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-0.1638</v>
      </c>
      <c r="F42" s="248" t="n">
        <v>13.1849</v>
      </c>
      <c r="G42" s="248" t="n">
        <v>12.9599</v>
      </c>
      <c r="H42" s="248" t="n">
        <v>16.5203</v>
      </c>
      <c r="I42" s="249" t="n">
        <v>0.042129112780519</v>
      </c>
      <c r="J42" s="249" t="n">
        <v>-0.289788429153427</v>
      </c>
      <c r="K42" s="249" t="n">
        <v>0.820668385018308</v>
      </c>
      <c r="L42" s="249" t="n">
        <v>17.9527529294967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-0.7247</v>
      </c>
      <c r="F43" s="248" t="n">
        <v>11.899</v>
      </c>
      <c r="G43" s="248" t="n">
        <v>13.3069</v>
      </c>
      <c r="H43" s="248" t="n">
        <v>15.6825</v>
      </c>
      <c r="I43" s="249" t="n">
        <v>0.0413208154235972</v>
      </c>
      <c r="J43" s="249" t="n">
        <v>-0.283383110480576</v>
      </c>
      <c r="K43" s="249" t="n">
        <v>0.75629578159543</v>
      </c>
      <c r="L43" s="249" t="n">
        <v>16.4730984281365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8.0665</v>
      </c>
      <c r="F44" s="248" t="n">
        <v>16.0811</v>
      </c>
      <c r="G44" s="248" t="n">
        <v>12.4335</v>
      </c>
      <c r="H44" s="248" t="n">
        <v>12.9904</v>
      </c>
      <c r="I44" s="249" t="n">
        <v>0.0536010255884501</v>
      </c>
      <c r="J44" s="249" t="n">
        <v>0.00143097015812943</v>
      </c>
      <c r="K44" s="249" t="n">
        <v>0.921746204227558</v>
      </c>
      <c r="L44" s="249" t="n">
        <v>19.4830817257296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2.6497</v>
      </c>
      <c r="F45" s="251" t="n">
        <v>15.7478</v>
      </c>
      <c r="G45" s="251" t="n">
        <v>14.8731</v>
      </c>
      <c r="H45" s="251" t="n">
        <v>0</v>
      </c>
      <c r="I45" s="250" t="n">
        <v>0.0522878499891689</v>
      </c>
      <c r="J45" s="250" t="n">
        <v>-0.120549634231556</v>
      </c>
      <c r="K45" s="250" t="n">
        <v>0.851217373932766</v>
      </c>
      <c r="L45" s="250" t="n">
        <v>18.4462306149579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25" t="inlineStr">
        <is>
          <t>Actuals</t>
        </is>
      </c>
      <c r="F48" s="426" t="n"/>
      <c r="G48" s="426" t="n"/>
      <c r="H48" s="426" t="n"/>
      <c r="I48" s="426" t="n"/>
      <c r="J48" s="426" t="n"/>
      <c r="K48" s="426" t="n"/>
      <c r="L48" s="426" t="n"/>
      <c r="M48" s="425" t="inlineStr">
        <is>
          <t>Normalized</t>
        </is>
      </c>
      <c r="N48" s="426" t="n"/>
      <c r="O48" s="426" t="n"/>
      <c r="P48" s="426" t="n"/>
      <c r="Q48" s="426" t="n"/>
      <c r="R48" s="426" t="n"/>
      <c r="S48" s="426" t="n"/>
      <c r="T48" s="426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42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11.1516</v>
      </c>
      <c r="F50" s="248" t="n">
        <v>15.7038</v>
      </c>
      <c r="G50" s="248" t="n">
        <v>12.6794</v>
      </c>
      <c r="H50" s="248" t="n">
        <v>14.6208</v>
      </c>
      <c r="I50" s="249" t="n">
        <v>0.08452259516577031</v>
      </c>
      <c r="J50" s="249" t="n">
        <v>0.438665188958345</v>
      </c>
      <c r="K50" s="249" t="n">
        <v>0.700444748535861</v>
      </c>
      <c r="L50" s="249" t="n">
        <v>10.6064270944947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0.6859</v>
      </c>
      <c r="F51" s="248" t="n">
        <v>16.3663</v>
      </c>
      <c r="G51" s="248" t="n">
        <v>18.3564</v>
      </c>
      <c r="H51" s="248" t="n">
        <v>13.9777</v>
      </c>
      <c r="I51" s="249" t="n">
        <v>0.0773019614256141</v>
      </c>
      <c r="J51" s="249" t="n">
        <v>0.367012569151689</v>
      </c>
      <c r="K51" s="249" t="n">
        <v>0.804380351335628</v>
      </c>
      <c r="L51" s="249" t="n">
        <v>11.9131785307645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-2.4694</v>
      </c>
      <c r="F52" s="248" t="n">
        <v>8.1569</v>
      </c>
      <c r="G52" s="248" t="n">
        <v>5.2247</v>
      </c>
      <c r="H52" s="248" t="n">
        <v>11.2002</v>
      </c>
      <c r="I52" s="249" t="n">
        <v>0.0218668425632383</v>
      </c>
      <c r="J52" s="249" t="n">
        <v>-0.331298157694627</v>
      </c>
      <c r="K52" s="249" t="n">
        <v>0.921187025491587</v>
      </c>
      <c r="L52" s="249" t="n">
        <v>13.8581909256348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-0.1873</v>
      </c>
      <c r="F54" s="248" t="n">
        <v>11.6331</v>
      </c>
      <c r="G54" s="248" t="n">
        <v>11.6867</v>
      </c>
      <c r="H54" s="248" t="n">
        <v>12.9982</v>
      </c>
      <c r="I54" s="249" t="n">
        <v>0.0425638850184413</v>
      </c>
      <c r="J54" s="249" t="n">
        <v>-0.0460612837516969</v>
      </c>
      <c r="K54" s="249" t="n">
        <v>0.981322722866468</v>
      </c>
      <c r="L54" s="249" t="n">
        <v>14.1055426061733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8.0405</v>
      </c>
      <c r="F55" s="248" t="n">
        <v>15.2046</v>
      </c>
      <c r="G55" s="248" t="n">
        <v>12.8119</v>
      </c>
      <c r="H55" s="248" t="n">
        <v>0</v>
      </c>
      <c r="I55" s="249" t="n">
        <v>0.06264931571634599</v>
      </c>
      <c r="J55" s="249" t="n">
        <v>0.199204791674777</v>
      </c>
      <c r="K55" s="249" t="n">
        <v>0.936032893244955</v>
      </c>
      <c r="L55" s="249" t="n">
        <v>13.467996294618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-2.3334</v>
      </c>
      <c r="F56" s="251" t="n">
        <v>9.773400000000001</v>
      </c>
      <c r="G56" s="251" t="n">
        <v>0</v>
      </c>
      <c r="H56" s="251" t="n">
        <v>0</v>
      </c>
      <c r="I56" s="250" t="n">
        <v>0.0330905203984988</v>
      </c>
      <c r="J56" s="250" t="n">
        <v>-0.208451894315269</v>
      </c>
      <c r="K56" s="250" t="n">
        <v>0.97124146586446</v>
      </c>
      <c r="L56" s="250" t="n">
        <v>13.911803835332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27" t="inlineStr">
        <is>
          <t>Actuals</t>
        </is>
      </c>
      <c r="F59" s="426" t="n"/>
      <c r="G59" s="426" t="n"/>
      <c r="H59" s="426" t="n"/>
      <c r="I59" s="426" t="n"/>
      <c r="J59" s="426" t="n"/>
      <c r="K59" s="426" t="n"/>
      <c r="L59" s="425" t="inlineStr">
        <is>
          <t>Normalized</t>
        </is>
      </c>
      <c r="M59" s="426" t="n"/>
      <c r="N59" s="426" t="n"/>
      <c r="O59" s="426" t="n"/>
      <c r="P59" s="426" t="n"/>
      <c r="Q59" s="426" t="n"/>
      <c r="R59" s="426" t="n"/>
      <c r="S59" s="426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42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0.0272</v>
      </c>
      <c r="F61" s="248" t="n">
        <v>13.5028</v>
      </c>
      <c r="G61" s="248" t="n">
        <v>14.8507</v>
      </c>
      <c r="H61" s="248" t="n">
        <v>13.9067</v>
      </c>
      <c r="I61" s="249" t="n">
        <v>0.07257833453160829</v>
      </c>
      <c r="J61" s="249" t="n">
        <v>0</v>
      </c>
      <c r="K61" s="249" t="n">
        <v>0</v>
      </c>
      <c r="L61" s="249" t="n">
        <v>9.672499692906429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4.9291</v>
      </c>
      <c r="F62" s="248" t="n">
        <v>11.4488</v>
      </c>
      <c r="G62" s="248" t="n">
        <v>10.7552</v>
      </c>
      <c r="H62" s="248" t="n">
        <v>10.7402</v>
      </c>
      <c r="I62" s="249" t="n">
        <v>0.0719291345526743</v>
      </c>
      <c r="J62" s="249" t="n">
        <v>0</v>
      </c>
      <c r="K62" s="249" t="n">
        <v>0</v>
      </c>
      <c r="L62" s="249" t="n">
        <v>6.8551762227222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2.5171</v>
      </c>
      <c r="F63" s="248" t="n">
        <v>10.3433</v>
      </c>
      <c r="G63" s="248" t="n">
        <v>0</v>
      </c>
      <c r="H63" s="248" t="n">
        <v>0</v>
      </c>
      <c r="I63" s="249" t="n">
        <v>0.0694675004190126</v>
      </c>
      <c r="J63" s="249" t="n">
        <v>0</v>
      </c>
      <c r="K63" s="249" t="n">
        <v>0</v>
      </c>
      <c r="L63" s="249" t="n">
        <v>6.19053486709806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1.6216</v>
      </c>
      <c r="F64" s="248" t="n">
        <v>9.2455</v>
      </c>
      <c r="G64" s="248" t="n">
        <v>8.778</v>
      </c>
      <c r="H64" s="248" t="n">
        <v>0</v>
      </c>
      <c r="I64" s="249" t="n">
        <v>0.0441781331534191</v>
      </c>
      <c r="J64" s="249" t="n">
        <v>0</v>
      </c>
      <c r="K64" s="249" t="n">
        <v>0</v>
      </c>
      <c r="L64" s="249" t="n">
        <v>7.94018116913745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-1.4184</v>
      </c>
      <c r="F65" s="248" t="n">
        <v>0</v>
      </c>
      <c r="G65" s="248" t="n">
        <v>0</v>
      </c>
      <c r="H65" s="248" t="n">
        <v>0</v>
      </c>
      <c r="I65" s="249" t="n">
        <v>0.0200429076882284</v>
      </c>
      <c r="J65" s="249" t="n">
        <v>0</v>
      </c>
      <c r="K65" s="249" t="n">
        <v>0</v>
      </c>
      <c r="L65" s="249" t="n">
        <v>7.736167120892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3.3352</v>
      </c>
      <c r="F66" s="248" t="n">
        <v>10.6792</v>
      </c>
      <c r="G66" s="248" t="n">
        <v>9.2738</v>
      </c>
      <c r="H66" s="248" t="n">
        <v>10.3744</v>
      </c>
      <c r="I66" s="249" t="n">
        <v>0.0570463566933816</v>
      </c>
      <c r="J66" s="249" t="n">
        <v>0</v>
      </c>
      <c r="K66" s="249" t="n">
        <v>0</v>
      </c>
      <c r="L66" s="249" t="n">
        <v>7.84392877756923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4.2952</v>
      </c>
      <c r="F67" s="251" t="n">
        <v>11.1263</v>
      </c>
      <c r="G67" s="251" t="n">
        <v>9.608000000000001</v>
      </c>
      <c r="H67" s="251" t="n">
        <v>10.338</v>
      </c>
      <c r="I67" s="250" t="n">
        <v>0.0626032495056035</v>
      </c>
      <c r="J67" s="250" t="n">
        <v>0</v>
      </c>
      <c r="K67" s="250" t="n">
        <v>0</v>
      </c>
      <c r="L67" s="250" t="n">
        <v>7.86834345992215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27" t="inlineStr">
        <is>
          <t>Actuals</t>
        </is>
      </c>
      <c r="F70" s="426" t="n"/>
      <c r="G70" s="426" t="n"/>
      <c r="H70" s="426" t="n"/>
      <c r="I70" s="426" t="n"/>
      <c r="J70" s="426" t="n"/>
      <c r="K70" s="426" t="n"/>
      <c r="L70" s="428" t="inlineStr">
        <is>
          <t>Normalized</t>
        </is>
      </c>
      <c r="M70" s="426" t="n"/>
      <c r="N70" s="426" t="n"/>
      <c r="O70" s="426" t="n"/>
      <c r="P70" s="426" t="n"/>
      <c r="Q70" s="426" t="n"/>
      <c r="R70" s="426" t="n"/>
      <c r="S70" s="375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42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6.3052</v>
      </c>
      <c r="F72" s="248" t="n">
        <v>15.6302</v>
      </c>
      <c r="G72" s="248" t="n">
        <v>17.0582</v>
      </c>
      <c r="H72" s="248" t="n">
        <v>15.1866</v>
      </c>
      <c r="I72" s="249" t="n">
        <v>0.10436561540034</v>
      </c>
      <c r="J72" s="249" t="n">
        <v>0</v>
      </c>
      <c r="K72" s="249" t="n">
        <v>0</v>
      </c>
      <c r="L72" s="249" t="n">
        <v>89.8196981151183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10.6683</v>
      </c>
      <c r="F73" s="248" t="n">
        <v>15.7145</v>
      </c>
      <c r="G73" s="248" t="n">
        <v>13.185</v>
      </c>
      <c r="H73" s="248" t="n">
        <v>11.3565</v>
      </c>
      <c r="I73" s="249" t="n">
        <v>0.09911699010246169</v>
      </c>
      <c r="J73" s="249" t="n">
        <v>0</v>
      </c>
      <c r="K73" s="249" t="n">
        <v>0</v>
      </c>
      <c r="L73" s="249" t="n">
        <v>94.8715654878045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18.1241</v>
      </c>
      <c r="F74" s="248" t="n">
        <v>0</v>
      </c>
      <c r="G74" s="248" t="n">
        <v>0</v>
      </c>
      <c r="H74" s="248" t="n">
        <v>0</v>
      </c>
      <c r="I74" s="249" t="n">
        <v>0.08000249175133201</v>
      </c>
      <c r="J74" s="249" t="n">
        <v>0</v>
      </c>
      <c r="K74" s="249" t="n">
        <v>0</v>
      </c>
      <c r="L74" s="249" t="n">
        <v>132.253932013571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12.9544</v>
      </c>
      <c r="F75" s="248" t="n">
        <v>18.1663</v>
      </c>
      <c r="G75" s="248" t="n">
        <v>14.8138</v>
      </c>
      <c r="H75" s="248" t="n">
        <v>0</v>
      </c>
      <c r="I75" s="249" t="n">
        <v>0.106222223298332</v>
      </c>
      <c r="J75" s="249" t="n">
        <v>0</v>
      </c>
      <c r="K75" s="249" t="n">
        <v>0</v>
      </c>
      <c r="L75" s="249" t="n">
        <v>108.063803998695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4.4772</v>
      </c>
      <c r="F76" s="248" t="n">
        <v>15.0993</v>
      </c>
      <c r="G76" s="248" t="n">
        <v>13.0827</v>
      </c>
      <c r="H76" s="248" t="n">
        <v>10.3016</v>
      </c>
      <c r="I76" s="249" t="n">
        <v>0.0782716739931423</v>
      </c>
      <c r="J76" s="249" t="n">
        <v>0</v>
      </c>
      <c r="K76" s="249" t="n">
        <v>0</v>
      </c>
      <c r="L76" s="249" t="n">
        <v>109.106986806946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12.1934</v>
      </c>
      <c r="F78" s="251" t="n">
        <v>15.1597</v>
      </c>
      <c r="G78" s="251" t="n">
        <v>0</v>
      </c>
      <c r="H78" s="251" t="n">
        <v>0</v>
      </c>
      <c r="I78" s="250" t="n">
        <v>0.0754832677174604</v>
      </c>
      <c r="J78" s="250" t="n">
        <v>0</v>
      </c>
      <c r="K78" s="250" t="n">
        <v>0</v>
      </c>
      <c r="L78" s="250" t="n">
        <v>117.409966770245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27" t="inlineStr">
        <is>
          <t>Actuals</t>
        </is>
      </c>
      <c r="F81" s="426" t="n"/>
      <c r="G81" s="426" t="n"/>
      <c r="H81" s="426" t="n"/>
      <c r="I81" s="426" t="n"/>
      <c r="J81" s="426" t="n"/>
      <c r="K81" s="426" t="n"/>
      <c r="L81" s="428" t="inlineStr">
        <is>
          <t>Normalized</t>
        </is>
      </c>
      <c r="M81" s="426" t="n"/>
      <c r="N81" s="426" t="n"/>
      <c r="O81" s="426" t="n"/>
      <c r="P81" s="426" t="n"/>
      <c r="Q81" s="426" t="n"/>
      <c r="R81" s="426" t="n"/>
      <c r="S81" s="375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30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7.1748</v>
      </c>
      <c r="F83" s="84" t="n">
        <v>23.6698</v>
      </c>
      <c r="G83" s="84" t="n">
        <v>22.6755</v>
      </c>
      <c r="H83" s="84" t="n">
        <v>0</v>
      </c>
      <c r="I83" s="84" t="n">
        <v>0.0748392900784404</v>
      </c>
      <c r="J83" s="84" t="n">
        <v>-0.07459491399190581</v>
      </c>
      <c r="K83" s="84" t="n">
        <v>0.932547757126037</v>
      </c>
      <c r="L83" s="84" t="n">
        <v>21.0700806005264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2.5786</v>
      </c>
      <c r="F84" s="84" t="n">
        <v>11.6182</v>
      </c>
      <c r="G84" s="84" t="n">
        <v>11.3274</v>
      </c>
      <c r="H84" s="84" t="n">
        <v>12.2235</v>
      </c>
      <c r="I84" s="84" t="n">
        <v>0.0442478746820527</v>
      </c>
      <c r="J84" s="84" t="n">
        <v>0.116870552139121</v>
      </c>
      <c r="K84" s="84" t="n">
        <v>0.949586554272645</v>
      </c>
      <c r="L84" s="84" t="n">
        <v>14.5063122484613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4.8958</v>
      </c>
      <c r="F85" s="84" t="n">
        <v>0</v>
      </c>
      <c r="G85" s="84" t="n">
        <v>0</v>
      </c>
      <c r="H85" s="84" t="n">
        <v>0</v>
      </c>
      <c r="I85" s="84" t="n">
        <v>-0.0238256193980578</v>
      </c>
      <c r="J85" s="84" t="n">
        <v>-0.0570674009734791</v>
      </c>
      <c r="K85" s="84" t="n">
        <v>1.08023396948287</v>
      </c>
      <c r="L85" s="84" t="n">
        <v>15.9872354410479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2.4203</v>
      </c>
      <c r="F86" s="84" t="n">
        <v>11.9934</v>
      </c>
      <c r="G86" s="84" t="n">
        <v>0</v>
      </c>
      <c r="H86" s="84" t="n">
        <v>0</v>
      </c>
      <c r="I86" s="84" t="n">
        <v>0.0460884240082247</v>
      </c>
      <c r="J86" s="84" t="n">
        <v>-0.0015309004663151</v>
      </c>
      <c r="K86" s="84" t="n">
        <v>0.995471266254132</v>
      </c>
      <c r="L86" s="84" t="n">
        <v>14.0842064423307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1.4884</v>
      </c>
      <c r="F87" s="84" t="n">
        <v>0</v>
      </c>
      <c r="G87" s="84" t="n">
        <v>0</v>
      </c>
      <c r="H87" s="84" t="n">
        <v>0</v>
      </c>
      <c r="I87" s="84" t="n">
        <v>0.008600063896528381</v>
      </c>
      <c r="J87" s="84" t="n">
        <v>0</v>
      </c>
      <c r="K87" s="84" t="n">
        <v>0</v>
      </c>
      <c r="L87" s="84" t="n">
        <v>16.0583908583491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14.9783</v>
      </c>
      <c r="F88" s="84" t="n">
        <v>0</v>
      </c>
      <c r="G88" s="84" t="n">
        <v>0</v>
      </c>
      <c r="H88" s="84" t="n">
        <v>0</v>
      </c>
      <c r="I88" s="84" t="n">
        <v>0.0507719532611641</v>
      </c>
      <c r="J88" s="84" t="n">
        <v>0.0813854685317932</v>
      </c>
      <c r="K88" s="84" t="n">
        <v>0.9673906890430219</v>
      </c>
      <c r="L88" s="84" t="n">
        <v>19.9011770096524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16.9981</v>
      </c>
      <c r="F89" s="84" t="n">
        <v>19.9919</v>
      </c>
      <c r="G89" s="84" t="n">
        <v>13.8574</v>
      </c>
      <c r="H89" s="84" t="n">
        <v>13.6196</v>
      </c>
      <c r="I89" s="84" t="n">
        <v>0.0777083613998335</v>
      </c>
      <c r="J89" s="84" t="n">
        <v>0.0616730517582444</v>
      </c>
      <c r="K89" s="84" t="n">
        <v>0.953731894512331</v>
      </c>
      <c r="L89" s="84" t="n">
        <v>15.9657710157642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15.0272</v>
      </c>
      <c r="F90" s="84" t="n">
        <v>22.6817</v>
      </c>
      <c r="G90" s="84" t="n">
        <v>13.2082</v>
      </c>
      <c r="H90" s="84" t="n">
        <v>0</v>
      </c>
      <c r="I90" s="84" t="n">
        <v>0.106747889797654</v>
      </c>
      <c r="J90" s="84" t="n">
        <v>-0.0024235446499985</v>
      </c>
      <c r="K90" s="84" t="n">
        <v>0.916909249993012</v>
      </c>
      <c r="L90" s="84" t="n">
        <v>13.5776650207484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13.1431</v>
      </c>
      <c r="F91" s="84" t="n">
        <v>19.0731</v>
      </c>
      <c r="G91" s="84" t="n">
        <v>14.4976</v>
      </c>
      <c r="H91" s="84" t="n">
        <v>0</v>
      </c>
      <c r="I91" s="84" t="n">
        <v>0.08250310645740939</v>
      </c>
      <c r="J91" s="84" t="n">
        <v>0.518498336409175</v>
      </c>
      <c r="K91" s="84" t="n">
        <v>1.01159692554208</v>
      </c>
      <c r="L91" s="84" t="n">
        <v>14.3617561333467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-1.0033</v>
      </c>
      <c r="F92" s="84" t="n">
        <v>10.8153</v>
      </c>
      <c r="G92" s="84" t="n">
        <v>8.589399999999999</v>
      </c>
      <c r="H92" s="84" t="n">
        <v>0</v>
      </c>
      <c r="I92" s="84" t="n">
        <v>0.0375027859030034</v>
      </c>
      <c r="J92" s="84" t="n">
        <v>-0.0842138804813538</v>
      </c>
      <c r="K92" s="84" t="n">
        <v>1.0471464386251</v>
      </c>
      <c r="L92" s="84" t="n">
        <v>14.9591425373659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-3.8948</v>
      </c>
      <c r="F93" s="84" t="n">
        <v>0</v>
      </c>
      <c r="G93" s="84" t="n">
        <v>0</v>
      </c>
      <c r="H93" s="84" t="n">
        <v>0</v>
      </c>
      <c r="I93" s="84" t="n">
        <v>0.00200444445012471</v>
      </c>
      <c r="J93" s="84" t="n">
        <v>-0.229590105998113</v>
      </c>
      <c r="K93" s="84" t="n">
        <v>0.999587130721622</v>
      </c>
      <c r="L93" s="84" t="n">
        <v>13.1563477182153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-1.4799</v>
      </c>
      <c r="F94" s="84" t="n">
        <v>0</v>
      </c>
      <c r="G94" s="84" t="n">
        <v>0</v>
      </c>
      <c r="H94" s="84" t="n">
        <v>0</v>
      </c>
      <c r="I94" s="84" t="n">
        <v>0.00666461582233246</v>
      </c>
      <c r="J94" s="84" t="n">
        <v>-0.591025107268114</v>
      </c>
      <c r="K94" s="84" t="n">
        <v>1.24394847938812</v>
      </c>
      <c r="L94" s="84" t="n">
        <v>21.8071303331894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7.8267</v>
      </c>
      <c r="F95" s="84" t="n">
        <v>25.2602</v>
      </c>
      <c r="G95" s="84" t="n">
        <v>15.7679</v>
      </c>
      <c r="H95" s="84" t="n">
        <v>0</v>
      </c>
      <c r="I95" s="84" t="n">
        <v>0.120638889027302</v>
      </c>
      <c r="J95" s="84" t="n">
        <v>0.148111454644182</v>
      </c>
      <c r="K95" s="84" t="n">
        <v>0.932954903186759</v>
      </c>
      <c r="L95" s="84" t="n">
        <v>13.4726735155567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-0.8522999999999999</v>
      </c>
      <c r="F96" s="84" t="n">
        <v>0</v>
      </c>
      <c r="G96" s="84" t="n">
        <v>0</v>
      </c>
      <c r="H96" s="84" t="n">
        <v>0</v>
      </c>
      <c r="I96" s="84" t="n">
        <v>-0.0168758777375682</v>
      </c>
      <c r="J96" s="84" t="n">
        <v>0.174544203628713</v>
      </c>
      <c r="K96" s="84" t="n">
        <v>0.836440520968021</v>
      </c>
      <c r="L96" s="84" t="n">
        <v>10.5017775382504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-3.311</v>
      </c>
      <c r="F97" s="84" t="n">
        <v>10.7148</v>
      </c>
      <c r="G97" s="84" t="n">
        <v>13.7609</v>
      </c>
      <c r="H97" s="84" t="n">
        <v>0</v>
      </c>
      <c r="I97" s="84" t="n">
        <v>0.0422061829057049</v>
      </c>
      <c r="J97" s="84" t="n">
        <v>-0.0164374671445988</v>
      </c>
      <c r="K97" s="84" t="n">
        <v>0.89839744272267</v>
      </c>
      <c r="L97" s="84" t="n">
        <v>13.3565726821767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12.2525</v>
      </c>
      <c r="F98" s="84" t="n">
        <v>21.1163</v>
      </c>
      <c r="G98" s="84" t="n">
        <v>0</v>
      </c>
      <c r="H98" s="84" t="n">
        <v>0</v>
      </c>
      <c r="I98" s="84" t="n">
        <v>0.0757751758990617</v>
      </c>
      <c r="J98" s="84" t="n">
        <v>0.123827470234422</v>
      </c>
      <c r="K98" s="84" t="n">
        <v>0.924554583460039</v>
      </c>
      <c r="L98" s="84" t="n">
        <v>17.9329680926734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9.869400000000001</v>
      </c>
      <c r="F99" s="84" t="n">
        <v>16.4607</v>
      </c>
      <c r="G99" s="84" t="n">
        <v>14.3898</v>
      </c>
      <c r="H99" s="84" t="n">
        <v>0</v>
      </c>
      <c r="I99" s="84" t="n">
        <v>0.0557861793409599</v>
      </c>
      <c r="J99" s="84" t="n">
        <v>-0.177389309114932</v>
      </c>
      <c r="K99" s="84" t="n">
        <v>1.00722489541787</v>
      </c>
      <c r="L99" s="84" t="n">
        <v>16.9366321873164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-0.2291</v>
      </c>
      <c r="F100" s="84" t="n">
        <v>14.0173</v>
      </c>
      <c r="G100" s="84" t="n">
        <v>0</v>
      </c>
      <c r="H100" s="84" t="n">
        <v>0</v>
      </c>
      <c r="I100" s="84" t="n">
        <v>0.0529158855402745</v>
      </c>
      <c r="J100" s="84" t="n">
        <v>0.175380520903991</v>
      </c>
      <c r="K100" s="84" t="n">
        <v>0.857837153424606</v>
      </c>
      <c r="L100" s="84" t="n">
        <v>14.1589837092522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4.298</v>
      </c>
      <c r="F101" s="84" t="n">
        <v>23.0577</v>
      </c>
      <c r="G101" s="84" t="n">
        <v>0</v>
      </c>
      <c r="H101" s="84" t="n">
        <v>0</v>
      </c>
      <c r="I101" s="84" t="n">
        <v>0.0772392690245729</v>
      </c>
      <c r="J101" s="84" t="n">
        <v>-0.0353664295948104</v>
      </c>
      <c r="K101" s="84" t="n">
        <v>0.845595005497045</v>
      </c>
      <c r="L101" s="84" t="n">
        <v>18.9296488746701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1.2548</v>
      </c>
      <c r="F102" s="84" t="n">
        <v>0</v>
      </c>
      <c r="G102" s="84" t="n">
        <v>0</v>
      </c>
      <c r="H102" s="84" t="n">
        <v>0</v>
      </c>
      <c r="I102" s="84" t="n">
        <v>-0.0214534764195605</v>
      </c>
      <c r="J102" s="84" t="n">
        <v>0.190542665377769</v>
      </c>
      <c r="K102" s="84" t="n">
        <v>0.695772348008904</v>
      </c>
      <c r="L102" s="84" t="n">
        <v>9.678870409107921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7.0462</v>
      </c>
      <c r="F103" s="84" t="n">
        <v>12.0069</v>
      </c>
      <c r="G103" s="84" t="n">
        <v>12.0703</v>
      </c>
      <c r="H103" s="84" t="n">
        <v>0</v>
      </c>
      <c r="I103" s="84" t="n">
        <v>0.0536588812948958</v>
      </c>
      <c r="J103" s="84" t="n">
        <v>0.0371651460904859</v>
      </c>
      <c r="K103" s="84" t="n">
        <v>0.712972466080501</v>
      </c>
      <c r="L103" s="84" t="n">
        <v>11.9497632826321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-5.1556</v>
      </c>
      <c r="F104" s="84" t="n">
        <v>12.8348</v>
      </c>
      <c r="G104" s="84" t="n">
        <v>10.1952</v>
      </c>
      <c r="H104" s="84" t="n">
        <v>0</v>
      </c>
      <c r="I104" s="84" t="n">
        <v>0.0523382222844873</v>
      </c>
      <c r="J104" s="84" t="n">
        <v>0.133051155319131</v>
      </c>
      <c r="K104" s="84" t="n">
        <v>0.943593219878975</v>
      </c>
      <c r="L104" s="84" t="n">
        <v>13.6509767296493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-2.5732</v>
      </c>
      <c r="F105" s="84" t="n">
        <v>0</v>
      </c>
      <c r="G105" s="84" t="n">
        <v>0</v>
      </c>
      <c r="H105" s="84" t="n">
        <v>0</v>
      </c>
      <c r="I105" s="84" t="n">
        <v>0.0240000751121884</v>
      </c>
      <c r="J105" s="84" t="n">
        <v>-0.120549250050085</v>
      </c>
      <c r="K105" s="84" t="n">
        <v>0.970668292627647</v>
      </c>
      <c r="L105" s="84" t="n">
        <v>12.7736287850786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-1.0818</v>
      </c>
      <c r="F106" s="84" t="n">
        <v>12.7101</v>
      </c>
      <c r="G106" s="84" t="n">
        <v>11.5351</v>
      </c>
      <c r="H106" s="84" t="n">
        <v>0</v>
      </c>
      <c r="I106" s="84" t="n">
        <v>0.0565115795217217</v>
      </c>
      <c r="J106" s="84" t="n">
        <v>0.147407315386039</v>
      </c>
      <c r="K106" s="84" t="n">
        <v>0.875092146841563</v>
      </c>
      <c r="L106" s="84" t="n">
        <v>11.8715244314584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0.0301006628536783</v>
      </c>
      <c r="J107" s="84" t="n">
        <v>0.405561626486168</v>
      </c>
      <c r="K107" s="84" t="n">
        <v>0.821688995821334</v>
      </c>
      <c r="L107" s="84" t="n">
        <v>10.4021000169167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4.1617</v>
      </c>
      <c r="F108" s="84" t="n">
        <v>12.9496</v>
      </c>
      <c r="G108" s="84" t="n">
        <v>12.436</v>
      </c>
      <c r="H108" s="84" t="n">
        <v>0</v>
      </c>
      <c r="I108" s="84" t="n">
        <v>0.0489797808469146</v>
      </c>
      <c r="J108" s="84" t="n">
        <v>0.194571131000331</v>
      </c>
      <c r="K108" s="84" t="n">
        <v>0.975967793960072</v>
      </c>
      <c r="L108" s="84" t="n">
        <v>14.9890340049896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2.6294</v>
      </c>
      <c r="F109" s="84" t="n">
        <v>11.1729</v>
      </c>
      <c r="G109" s="84" t="n">
        <v>0</v>
      </c>
      <c r="H109" s="84" t="n">
        <v>0</v>
      </c>
      <c r="I109" s="84" t="n">
        <v>0.0395009690678181</v>
      </c>
      <c r="J109" s="84" t="n">
        <v>-0.111136264477728</v>
      </c>
      <c r="K109" s="84" t="n">
        <v>0.983861878862022</v>
      </c>
      <c r="L109" s="84" t="n">
        <v>14.3377476099195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19.3756</v>
      </c>
      <c r="F110" s="84" t="n">
        <v>0</v>
      </c>
      <c r="G110" s="84" t="n">
        <v>0</v>
      </c>
      <c r="H110" s="84" t="n">
        <v>0</v>
      </c>
      <c r="I110" s="84" t="n">
        <v>0.139874757261982</v>
      </c>
      <c r="J110" s="84" t="n">
        <v>0.5492693322411279</v>
      </c>
      <c r="K110" s="84" t="n">
        <v>0.922160177012219</v>
      </c>
      <c r="L110" s="84" t="n">
        <v>13.4957692940818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-17.2081</v>
      </c>
      <c r="F111" s="84" t="n">
        <v>0</v>
      </c>
      <c r="G111" s="84" t="n">
        <v>0</v>
      </c>
      <c r="H111" s="84" t="n">
        <v>0</v>
      </c>
      <c r="I111" s="84" t="n">
        <v>0.00365298669285615</v>
      </c>
      <c r="J111" s="84" t="n">
        <v>0.24032669057046</v>
      </c>
      <c r="K111" s="84" t="n">
        <v>1.01161454241373</v>
      </c>
      <c r="L111" s="84" t="n">
        <v>21.0816624961731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12.2703</v>
      </c>
      <c r="F112" s="84" t="n">
        <v>0</v>
      </c>
      <c r="G112" s="84" t="n">
        <v>0</v>
      </c>
      <c r="H112" s="84" t="n">
        <v>0</v>
      </c>
      <c r="I112" s="84" t="n">
        <v>0.0731237870875413</v>
      </c>
      <c r="J112" s="84" t="n">
        <v>0.315390332030879</v>
      </c>
      <c r="K112" s="84" t="n">
        <v>0.945053351960472</v>
      </c>
      <c r="L112" s="84" t="n">
        <v>19.1670237615069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-5.1884</v>
      </c>
      <c r="F113" s="84" t="n">
        <v>12.5295</v>
      </c>
      <c r="G113" s="84" t="n">
        <v>12.1944</v>
      </c>
      <c r="H113" s="84" t="n">
        <v>0</v>
      </c>
      <c r="I113" s="84" t="n">
        <v>0.0405966063433315</v>
      </c>
      <c r="J113" s="84" t="n">
        <v>-0.0466917090203968</v>
      </c>
      <c r="K113" s="84" t="n">
        <v>1.0220363749116</v>
      </c>
      <c r="L113" s="84" t="n">
        <v>17.4621130237939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1.7994</v>
      </c>
      <c r="F115" s="84" t="n">
        <v>6.5976</v>
      </c>
      <c r="G115" s="84" t="n">
        <v>0</v>
      </c>
      <c r="H115" s="84" t="n">
        <v>0</v>
      </c>
      <c r="I115" s="84" t="n">
        <v>0.01338623991593</v>
      </c>
      <c r="J115" s="84" t="n">
        <v>-0.575367434573282</v>
      </c>
      <c r="K115" s="84" t="n">
        <v>0.933050775329397</v>
      </c>
      <c r="L115" s="84" t="n">
        <v>14.6790092856143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0.0455945952216531</v>
      </c>
      <c r="J116" s="84" t="n">
        <v>0.773803251146034</v>
      </c>
      <c r="K116" s="84" t="n">
        <v>1.09106751913643</v>
      </c>
      <c r="L116" s="84" t="n">
        <v>14.2789484189344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23.9702</v>
      </c>
      <c r="F117" s="84" t="n">
        <v>0</v>
      </c>
      <c r="G117" s="84" t="n">
        <v>0</v>
      </c>
      <c r="H117" s="84" t="n">
        <v>0</v>
      </c>
      <c r="I117" s="84" t="n">
        <v>0.0148269493630199</v>
      </c>
      <c r="J117" s="84" t="n">
        <v>0.315341471060721</v>
      </c>
      <c r="K117" s="84" t="n">
        <v>0.882373425687432</v>
      </c>
      <c r="L117" s="84" t="n">
        <v>18.4730116094269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-1.7601</v>
      </c>
      <c r="F118" s="84" t="n">
        <v>0</v>
      </c>
      <c r="G118" s="84" t="n">
        <v>0</v>
      </c>
      <c r="H118" s="84" t="n">
        <v>0</v>
      </c>
      <c r="I118" s="84" t="n">
        <v>-0.0283949947682522</v>
      </c>
      <c r="J118" s="84" t="n">
        <v>-0.404803772147221</v>
      </c>
      <c r="K118" s="84" t="n">
        <v>0.991579698122498</v>
      </c>
      <c r="L118" s="84" t="n">
        <v>13.6114934364111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-0.7065</v>
      </c>
      <c r="F119" s="84" t="n">
        <v>8.665800000000001</v>
      </c>
      <c r="G119" s="84" t="n">
        <v>10.2702</v>
      </c>
      <c r="H119" s="84" t="n">
        <v>0</v>
      </c>
      <c r="I119" s="84" t="n">
        <v>0.0316652415398136</v>
      </c>
      <c r="J119" s="84" t="n">
        <v>0.0576464050361102</v>
      </c>
      <c r="K119" s="84" t="n">
        <v>0.819054527588184</v>
      </c>
      <c r="L119" s="84" t="n">
        <v>11.4398600298892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1.6157</v>
      </c>
      <c r="F120" s="84" t="n">
        <v>0</v>
      </c>
      <c r="G120" s="84" t="n">
        <v>0</v>
      </c>
      <c r="H120" s="84" t="n">
        <v>0</v>
      </c>
      <c r="I120" s="84" t="n">
        <v>0.0419606348682398</v>
      </c>
      <c r="J120" s="84" t="n">
        <v>0.131158837907253</v>
      </c>
      <c r="K120" s="84" t="n">
        <v>1.05045863485893</v>
      </c>
      <c r="L120" s="84" t="n">
        <v>16.0448421149965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-5.5021</v>
      </c>
      <c r="F121" s="84" t="n">
        <v>10.1656</v>
      </c>
      <c r="G121" s="84" t="n">
        <v>13.2604</v>
      </c>
      <c r="H121" s="84" t="n">
        <v>12.6059</v>
      </c>
      <c r="I121" s="84" t="n">
        <v>0.0332905446697051</v>
      </c>
      <c r="J121" s="84" t="n">
        <v>-0.148855827647238</v>
      </c>
      <c r="K121" s="84" t="n">
        <v>0.976642877388453</v>
      </c>
      <c r="L121" s="84" t="n">
        <v>14.4738080506958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18.7451</v>
      </c>
      <c r="F122" s="84" t="n">
        <v>17.2693</v>
      </c>
      <c r="G122" s="84" t="n">
        <v>10.5088</v>
      </c>
      <c r="H122" s="84" t="n">
        <v>15.0486</v>
      </c>
      <c r="I122" s="84" t="n">
        <v>0.0809034792887338</v>
      </c>
      <c r="J122" s="84" t="n">
        <v>0</v>
      </c>
      <c r="K122" s="84" t="n">
        <v>0</v>
      </c>
      <c r="L122" s="84" t="n">
        <v>12.6748155223847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147.32</v>
      </c>
      <c r="F123" s="84" t="n">
        <v>51.6619</v>
      </c>
      <c r="G123" s="84" t="n">
        <v>0</v>
      </c>
      <c r="H123" s="84" t="n">
        <v>0</v>
      </c>
      <c r="I123" s="84" t="n">
        <v>0.111319577980533</v>
      </c>
      <c r="J123" s="84" t="n">
        <v>0.524279859619519</v>
      </c>
      <c r="K123" s="84" t="n">
        <v>1.14684490217596</v>
      </c>
      <c r="L123" s="84" t="n">
        <v>31.7306333159587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8.8147</v>
      </c>
      <c r="F125" s="84" t="n">
        <v>0</v>
      </c>
      <c r="G125" s="84" t="n">
        <v>0</v>
      </c>
      <c r="H125" s="84" t="n">
        <v>0</v>
      </c>
      <c r="I125" s="84" t="n">
        <v>0.0927421952686527</v>
      </c>
      <c r="J125" s="84" t="n">
        <v>0.601907869641726</v>
      </c>
      <c r="K125" s="84" t="n">
        <v>0.936521954338838</v>
      </c>
      <c r="L125" s="84" t="n">
        <v>12.3706131238974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1.4588</v>
      </c>
      <c r="F126" s="84" t="n">
        <v>14.9859</v>
      </c>
      <c r="G126" s="84" t="n">
        <v>14.493</v>
      </c>
      <c r="H126" s="84" t="n">
        <v>13.9199</v>
      </c>
      <c r="I126" s="84" t="n">
        <v>0.0625458561489325</v>
      </c>
      <c r="J126" s="84" t="n">
        <v>0.255315229305526</v>
      </c>
      <c r="K126" s="84" t="n">
        <v>1.01234773296532</v>
      </c>
      <c r="L126" s="84" t="n">
        <v>13.7641639089231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10.6123</v>
      </c>
      <c r="F127" s="84" t="n">
        <v>19.1943</v>
      </c>
      <c r="G127" s="84" t="n">
        <v>15.6078</v>
      </c>
      <c r="H127" s="84" t="n">
        <v>0</v>
      </c>
      <c r="I127" s="84" t="n">
        <v>0.082950670190702</v>
      </c>
      <c r="J127" s="84" t="n">
        <v>0.529649782517604</v>
      </c>
      <c r="K127" s="84" t="n">
        <v>0.908572313550739</v>
      </c>
      <c r="L127" s="84" t="n">
        <v>13.9007736866157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4.9291</v>
      </c>
      <c r="F128" s="84" t="n">
        <v>15.5228</v>
      </c>
      <c r="G128" s="84" t="n">
        <v>0</v>
      </c>
      <c r="H128" s="84" t="n">
        <v>0</v>
      </c>
      <c r="I128" s="84" t="n">
        <v>0.0604970994512554</v>
      </c>
      <c r="J128" s="84" t="n">
        <v>0.200210255589672</v>
      </c>
      <c r="K128" s="84" t="n">
        <v>0.979501160043705</v>
      </c>
      <c r="L128" s="84" t="n">
        <v>14.4585218891659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12.766</v>
      </c>
      <c r="F129" s="84" t="n">
        <v>19.4651</v>
      </c>
      <c r="G129" s="84" t="n">
        <v>0</v>
      </c>
      <c r="H129" s="84" t="n">
        <v>0</v>
      </c>
      <c r="I129" s="84" t="n">
        <v>0.0775989828213649</v>
      </c>
      <c r="J129" s="84" t="n">
        <v>0.0408446875169186</v>
      </c>
      <c r="K129" s="84" t="n">
        <v>0.921092879624911</v>
      </c>
      <c r="L129" s="84" t="n">
        <v>15.1999064018813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20.4734</v>
      </c>
      <c r="F130" s="84" t="n">
        <v>0</v>
      </c>
      <c r="G130" s="84" t="n">
        <v>0</v>
      </c>
      <c r="H130" s="84" t="n">
        <v>0</v>
      </c>
      <c r="I130" s="84" t="n">
        <v>0.0479850079070858</v>
      </c>
      <c r="J130" s="84" t="n">
        <v>0.212897417297853</v>
      </c>
      <c r="K130" s="84" t="n">
        <v>1.04385365796802</v>
      </c>
      <c r="L130" s="84" t="n">
        <v>15.9468824790264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12.6195</v>
      </c>
      <c r="F131" s="84" t="n">
        <v>0</v>
      </c>
      <c r="G131" s="84" t="n">
        <v>0</v>
      </c>
      <c r="H131" s="84" t="n">
        <v>0</v>
      </c>
      <c r="I131" s="84" t="n">
        <v>0.00173051093860543</v>
      </c>
      <c r="J131" s="84" t="n">
        <v>0.3475655829136</v>
      </c>
      <c r="K131" s="84" t="n">
        <v>1.11829821407088</v>
      </c>
      <c r="L131" s="84" t="n">
        <v>18.0135565990159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3.5497</v>
      </c>
      <c r="F132" s="84" t="n">
        <v>0</v>
      </c>
      <c r="G132" s="84" t="n">
        <v>0</v>
      </c>
      <c r="H132" s="84" t="n">
        <v>0</v>
      </c>
      <c r="I132" s="84" t="n">
        <v>0.0461976482642221</v>
      </c>
      <c r="J132" s="84" t="n">
        <v>0.108874931736909</v>
      </c>
      <c r="K132" s="84" t="n">
        <v>0.9843061675158959</v>
      </c>
      <c r="L132" s="84" t="n">
        <v>15.8602171785906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4.9764</v>
      </c>
      <c r="F133" s="84" t="n">
        <v>12.8474</v>
      </c>
      <c r="G133" s="84" t="n">
        <v>0</v>
      </c>
      <c r="H133" s="84" t="n">
        <v>0</v>
      </c>
      <c r="I133" s="84" t="n">
        <v>0.0485633155052888</v>
      </c>
      <c r="J133" s="84" t="n">
        <v>0.167991612681064</v>
      </c>
      <c r="K133" s="84" t="n">
        <v>0.978003403506992</v>
      </c>
      <c r="L133" s="84" t="n">
        <v>14.5934336068538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-2.4131</v>
      </c>
      <c r="F134" s="84" t="n">
        <v>9.3956</v>
      </c>
      <c r="G134" s="84" t="n">
        <v>7.5774</v>
      </c>
      <c r="H134" s="84" t="n">
        <v>0</v>
      </c>
      <c r="I134" s="84" t="n">
        <v>0.0325366247057723</v>
      </c>
      <c r="J134" s="84" t="n">
        <v>-0.15605763556391</v>
      </c>
      <c r="K134" s="84" t="n">
        <v>0.984631824771608</v>
      </c>
      <c r="L134" s="84" t="n">
        <v>13.8504208547696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0.6988</v>
      </c>
      <c r="F135" s="84" t="n">
        <v>0</v>
      </c>
      <c r="G135" s="84" t="n">
        <v>0</v>
      </c>
      <c r="H135" s="84" t="n">
        <v>0</v>
      </c>
      <c r="I135" s="84" t="n">
        <v>0.0484439795335433</v>
      </c>
      <c r="J135" s="84" t="n">
        <v>0.204372421393125</v>
      </c>
      <c r="K135" s="84" t="n">
        <v>1.07262802120051</v>
      </c>
      <c r="L135" s="84" t="n">
        <v>16.8503199353025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-15.1485</v>
      </c>
      <c r="F136" s="84" t="n">
        <v>0</v>
      </c>
      <c r="G136" s="84" t="n">
        <v>0</v>
      </c>
      <c r="H136" s="84" t="n">
        <v>0</v>
      </c>
      <c r="I136" s="84" t="n">
        <v>-0.0147076005106472</v>
      </c>
      <c r="J136" s="84" t="n">
        <v>0.294428269474869</v>
      </c>
      <c r="K136" s="84" t="n">
        <v>0.985222776344486</v>
      </c>
      <c r="L136" s="84" t="n">
        <v>21.3866645203505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18.6008</v>
      </c>
      <c r="F137" s="84" t="n">
        <v>0</v>
      </c>
      <c r="G137" s="84" t="n">
        <v>0</v>
      </c>
      <c r="H137" s="84" t="n">
        <v>0</v>
      </c>
      <c r="I137" s="84" t="n">
        <v>0.08435066502286399</v>
      </c>
      <c r="J137" s="84" t="n">
        <v>0.0232344273520453</v>
      </c>
      <c r="K137" s="84" t="n">
        <v>0.99829794441371</v>
      </c>
      <c r="L137" s="84" t="n">
        <v>14.5540752404101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29" t="inlineStr">
        <is>
          <t>Equity Large Cap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375" t="n"/>
    </row>
    <row r="4" ht="15" customHeight="1" thickBot="1">
      <c r="B4" s="147" t="n"/>
      <c r="C4" s="148" t="n"/>
      <c r="D4" s="190" t="n"/>
      <c r="E4" s="432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33" t="n"/>
      <c r="P4" s="427" t="inlineStr">
        <is>
          <t>Normalized</t>
        </is>
      </c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30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31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37" t="inlineStr">
        <is>
          <t>Equity Large &amp; Mid Cap</t>
        </is>
      </c>
      <c r="C4" s="401" t="n"/>
      <c r="D4" s="401" t="n"/>
      <c r="E4" s="401" t="n"/>
      <c r="F4" s="401" t="n"/>
      <c r="G4" s="401" t="n"/>
      <c r="H4" s="401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S4" s="401" t="n"/>
      <c r="T4" s="401" t="n"/>
      <c r="U4" s="401" t="n"/>
      <c r="V4" s="401" t="n"/>
      <c r="W4" s="401" t="n"/>
      <c r="X4" s="401" t="n"/>
      <c r="Y4" s="401" t="n"/>
      <c r="Z4" s="303" t="n"/>
    </row>
    <row r="5" ht="15" customHeight="1" thickBot="1">
      <c r="B5" s="153" t="n"/>
      <c r="C5" s="154" t="n"/>
      <c r="D5" s="154" t="n"/>
      <c r="E5" s="439" t="inlineStr">
        <is>
          <t>Actuals</t>
        </is>
      </c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1" t="n"/>
      <c r="P5" s="434" t="inlineStr">
        <is>
          <t>Normalized</t>
        </is>
      </c>
      <c r="Q5" s="435" t="n"/>
      <c r="R5" s="435" t="n"/>
      <c r="S5" s="435" t="n"/>
      <c r="T5" s="435" t="n"/>
      <c r="U5" s="435" t="n"/>
      <c r="V5" s="435" t="n"/>
      <c r="W5" s="435" t="n"/>
      <c r="X5" s="435" t="n"/>
      <c r="Y5" s="436" t="n"/>
      <c r="Z5" s="438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41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7"/>
    <col width="8.7109375" customWidth="1" style="42" min="48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29" t="inlineStr">
        <is>
          <t>Ultra Short Duration Fund</t>
        </is>
      </c>
      <c r="C4" s="426" t="n"/>
      <c r="D4" s="426" t="n"/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375" t="n"/>
    </row>
    <row r="5" ht="15" customHeight="1" thickBot="1">
      <c r="B5" s="262" t="n"/>
      <c r="C5" s="189" t="n"/>
      <c r="D5" s="189" t="n"/>
      <c r="E5" s="189" t="n"/>
      <c r="F5" s="444" t="n"/>
      <c r="G5" s="445" t="n"/>
      <c r="H5" s="445" t="n"/>
      <c r="I5" s="445" t="n"/>
      <c r="J5" s="445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  <c r="U5" s="445" t="n"/>
      <c r="V5" s="446" t="n"/>
      <c r="W5" s="444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6" t="n"/>
      <c r="AN5" s="442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43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29" t="inlineStr">
        <is>
          <t>Low Duration Fund</t>
        </is>
      </c>
      <c r="C16" s="426" t="n"/>
      <c r="D16" s="426" t="n"/>
      <c r="E16" s="426" t="n"/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426" t="n"/>
      <c r="P16" s="426" t="n"/>
      <c r="Q16" s="426" t="n"/>
      <c r="R16" s="426" t="n"/>
      <c r="S16" s="426" t="n"/>
      <c r="T16" s="426" t="n"/>
      <c r="U16" s="426" t="n"/>
      <c r="V16" s="426" t="n"/>
      <c r="W16" s="426" t="n"/>
      <c r="X16" s="426" t="n"/>
      <c r="Y16" s="426" t="n"/>
      <c r="Z16" s="426" t="n"/>
      <c r="AA16" s="426" t="n"/>
      <c r="AB16" s="426" t="n"/>
      <c r="AC16" s="426" t="n"/>
      <c r="AD16" s="426" t="n"/>
      <c r="AE16" s="426" t="n"/>
      <c r="AF16" s="426" t="n"/>
      <c r="AG16" s="426" t="n"/>
      <c r="AH16" s="426" t="n"/>
      <c r="AI16" s="426" t="n"/>
      <c r="AJ16" s="426" t="n"/>
      <c r="AK16" s="426" t="n"/>
      <c r="AL16" s="426" t="n"/>
      <c r="AM16" s="426" t="n"/>
      <c r="AN16" s="375" t="n"/>
    </row>
    <row r="17" ht="15" customHeight="1" thickBot="1">
      <c r="B17" s="262" t="n"/>
      <c r="C17" s="189" t="n"/>
      <c r="D17" s="189" t="n"/>
      <c r="E17" s="189" t="n"/>
      <c r="F17" s="444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  <c r="V17" s="446" t="n"/>
      <c r="W17" s="444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6" t="n"/>
      <c r="AN17" s="442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43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29" t="inlineStr">
        <is>
          <t>Short Duration Fund</t>
        </is>
      </c>
      <c r="C28" s="426" t="n"/>
      <c r="D28" s="426" t="n"/>
      <c r="E28" s="426" t="n"/>
      <c r="F28" s="426" t="n"/>
      <c r="G28" s="426" t="n"/>
      <c r="H28" s="426" t="n"/>
      <c r="I28" s="426" t="n"/>
      <c r="J28" s="426" t="n"/>
      <c r="K28" s="426" t="n"/>
      <c r="L28" s="426" t="n"/>
      <c r="M28" s="426" t="n"/>
      <c r="N28" s="426" t="n"/>
      <c r="O28" s="426" t="n"/>
      <c r="P28" s="426" t="n"/>
      <c r="Q28" s="426" t="n"/>
      <c r="R28" s="426" t="n"/>
      <c r="S28" s="426" t="n"/>
      <c r="T28" s="426" t="n"/>
      <c r="U28" s="426" t="n"/>
      <c r="V28" s="426" t="n"/>
      <c r="W28" s="426" t="n"/>
      <c r="X28" s="426" t="n"/>
      <c r="Y28" s="426" t="n"/>
      <c r="Z28" s="426" t="n"/>
      <c r="AA28" s="426" t="n"/>
      <c r="AB28" s="426" t="n"/>
      <c r="AC28" s="426" t="n"/>
      <c r="AD28" s="426" t="n"/>
      <c r="AE28" s="426" t="n"/>
      <c r="AF28" s="426" t="n"/>
      <c r="AG28" s="426" t="n"/>
      <c r="AH28" s="426" t="n"/>
      <c r="AI28" s="426" t="n"/>
      <c r="AJ28" s="426" t="n"/>
      <c r="AK28" s="426" t="n"/>
      <c r="AL28" s="426" t="n"/>
      <c r="AM28" s="426" t="n"/>
      <c r="AN28" s="375" t="n"/>
    </row>
    <row r="29" ht="15" customHeight="1" thickBot="1">
      <c r="B29" s="262" t="n"/>
      <c r="C29" s="189" t="n"/>
      <c r="D29" s="189" t="n"/>
      <c r="E29" s="189" t="n"/>
      <c r="F29" s="444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6" t="n"/>
      <c r="W29" s="444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6" t="n"/>
      <c r="AN29" s="442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43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29" t="inlineStr">
        <is>
          <t>Medium Duration Fund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6" t="n"/>
      <c r="K39" s="426" t="n"/>
      <c r="L39" s="426" t="n"/>
      <c r="M39" s="426" t="n"/>
      <c r="N39" s="426" t="n"/>
      <c r="O39" s="426" t="n"/>
      <c r="P39" s="426" t="n"/>
      <c r="Q39" s="426" t="n"/>
      <c r="R39" s="426" t="n"/>
      <c r="S39" s="426" t="n"/>
      <c r="T39" s="426" t="n"/>
      <c r="U39" s="426" t="n"/>
      <c r="V39" s="426" t="n"/>
      <c r="W39" s="426" t="n"/>
      <c r="X39" s="426" t="n"/>
      <c r="Y39" s="426" t="n"/>
      <c r="Z39" s="426" t="n"/>
      <c r="AA39" s="426" t="n"/>
      <c r="AB39" s="426" t="n"/>
      <c r="AC39" s="426" t="n"/>
      <c r="AD39" s="426" t="n"/>
      <c r="AE39" s="426" t="n"/>
      <c r="AF39" s="426" t="n"/>
      <c r="AG39" s="426" t="n"/>
      <c r="AH39" s="426" t="n"/>
      <c r="AI39" s="426" t="n"/>
      <c r="AJ39" s="426" t="n"/>
      <c r="AK39" s="426" t="n"/>
      <c r="AL39" s="426" t="n"/>
      <c r="AM39" s="426" t="n"/>
      <c r="AN39" s="375" t="n"/>
    </row>
    <row r="40" ht="15" customHeight="1" thickBot="1">
      <c r="B40" s="262" t="n"/>
      <c r="C40" s="189" t="n"/>
      <c r="D40" s="189" t="n"/>
      <c r="E40" s="189" t="n"/>
      <c r="F40" s="444" t="n"/>
      <c r="G40" s="445" t="n"/>
      <c r="H40" s="445" t="n"/>
      <c r="I40" s="445" t="n"/>
      <c r="J40" s="445" t="n"/>
      <c r="K40" s="445" t="n"/>
      <c r="L40" s="445" t="n"/>
      <c r="M40" s="445" t="n"/>
      <c r="N40" s="445" t="n"/>
      <c r="O40" s="445" t="n"/>
      <c r="P40" s="445" t="n"/>
      <c r="Q40" s="445" t="n"/>
      <c r="R40" s="445" t="n"/>
      <c r="S40" s="445" t="n"/>
      <c r="T40" s="445" t="n"/>
      <c r="U40" s="445" t="n"/>
      <c r="V40" s="446" t="n"/>
      <c r="W40" s="444" t="n"/>
      <c r="X40" s="445" t="n"/>
      <c r="Y40" s="445" t="n"/>
      <c r="Z40" s="445" t="n"/>
      <c r="AA40" s="445" t="n"/>
      <c r="AB40" s="445" t="n"/>
      <c r="AC40" s="445" t="n"/>
      <c r="AD40" s="445" t="n"/>
      <c r="AE40" s="445" t="n"/>
      <c r="AF40" s="445" t="n"/>
      <c r="AG40" s="445" t="n"/>
      <c r="AH40" s="445" t="n"/>
      <c r="AI40" s="445" t="n"/>
      <c r="AJ40" s="445" t="n"/>
      <c r="AK40" s="445" t="n"/>
      <c r="AL40" s="445" t="n"/>
      <c r="AM40" s="446" t="n"/>
      <c r="AN40" s="442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43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29">
        <f>'Fund Ranking Criteria'!G24</f>
        <v/>
      </c>
      <c r="C50" s="426" t="n"/>
      <c r="D50" s="426" t="n"/>
      <c r="E50" s="426" t="n"/>
      <c r="F50" s="426" t="n"/>
      <c r="G50" s="426" t="n"/>
      <c r="H50" s="426" t="n"/>
      <c r="I50" s="426" t="n"/>
      <c r="J50" s="426" t="n"/>
      <c r="K50" s="426" t="n"/>
      <c r="L50" s="426" t="n"/>
      <c r="M50" s="426" t="n"/>
      <c r="N50" s="426" t="n"/>
      <c r="O50" s="426" t="n"/>
      <c r="P50" s="426" t="n"/>
      <c r="Q50" s="426" t="n"/>
      <c r="R50" s="426" t="n"/>
      <c r="S50" s="426" t="n"/>
      <c r="T50" s="426" t="n"/>
      <c r="U50" s="426" t="n"/>
      <c r="V50" s="426" t="n"/>
      <c r="W50" s="426" t="n"/>
      <c r="X50" s="426" t="n"/>
      <c r="Y50" s="426" t="n"/>
      <c r="Z50" s="426" t="n"/>
      <c r="AA50" s="426" t="n"/>
      <c r="AB50" s="426" t="n"/>
      <c r="AC50" s="426" t="n"/>
      <c r="AD50" s="426" t="n"/>
      <c r="AE50" s="426" t="n"/>
      <c r="AF50" s="426" t="n"/>
      <c r="AG50" s="426" t="n"/>
      <c r="AH50" s="426" t="n"/>
      <c r="AI50" s="426" t="n"/>
      <c r="AJ50" s="426" t="n"/>
      <c r="AK50" s="426" t="n"/>
      <c r="AL50" s="426" t="n"/>
      <c r="AM50" s="426" t="n"/>
      <c r="AN50" s="375" t="n"/>
    </row>
    <row r="51" ht="15" customHeight="1" thickBot="1">
      <c r="B51" s="155" t="n"/>
      <c r="C51" s="156" t="n"/>
      <c r="D51" s="156" t="n"/>
      <c r="E51" s="156" t="n"/>
      <c r="F51" s="448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  <c r="S51" s="401" t="n"/>
      <c r="T51" s="401" t="n"/>
      <c r="U51" s="401" t="n"/>
      <c r="V51" s="449" t="n"/>
      <c r="W51" s="448" t="n"/>
      <c r="X51" s="401" t="n"/>
      <c r="Y51" s="401" t="n"/>
      <c r="Z51" s="401" t="n"/>
      <c r="AA51" s="401" t="n"/>
      <c r="AB51" s="401" t="n"/>
      <c r="AC51" s="401" t="n"/>
      <c r="AD51" s="401" t="n"/>
      <c r="AE51" s="401" t="n"/>
      <c r="AF51" s="401" t="n"/>
      <c r="AG51" s="401" t="n"/>
      <c r="AH51" s="401" t="n"/>
      <c r="AI51" s="401" t="n"/>
      <c r="AJ51" s="401" t="n"/>
      <c r="AK51" s="401" t="n"/>
      <c r="AL51" s="401" t="n"/>
      <c r="AM51" s="449" t="n"/>
      <c r="AN51" s="447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43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74" t="inlineStr">
        <is>
          <t>Weightage for Equity Fund Ranking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375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50" t="inlineStr">
        <is>
          <t>80 per cent of the corpus in top 100 companies by market cap</t>
        </is>
      </c>
      <c r="D5" s="450" t="n"/>
      <c r="E5" s="450" t="inlineStr">
        <is>
          <t>Across Large, Mid-cap, Small Cap</t>
        </is>
      </c>
      <c r="F5" s="450" t="inlineStr">
        <is>
          <t xml:space="preserve">65% of their total assets in equity
shares of mid-cap companies </t>
        </is>
      </c>
      <c r="G5" s="450" t="inlineStr">
        <is>
          <t xml:space="preserve">65% of their total assets in equity
shares of small-cap companies </t>
        </is>
      </c>
      <c r="H5" s="450" t="inlineStr">
        <is>
          <t>Set allocation strategy; 60% E &amp; 40% D</t>
        </is>
      </c>
      <c r="I5" s="451" t="inlineStr">
        <is>
          <t>Dynamic Allocation</t>
        </is>
      </c>
      <c r="J5" s="451" t="n"/>
      <c r="K5" s="451" t="n"/>
    </row>
    <row r="6" hidden="1">
      <c r="B6" s="79" t="n"/>
      <c r="C6" s="445" t="n"/>
      <c r="D6" s="445" t="n"/>
      <c r="E6" s="445" t="n"/>
      <c r="F6" s="445" t="n"/>
      <c r="G6" s="445" t="n"/>
      <c r="H6" s="445" t="n"/>
      <c r="I6" s="443" t="n"/>
      <c r="J6" s="443" t="n"/>
      <c r="K6" s="443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9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9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9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9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9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9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9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98" t="n"/>
      <c r="I18" s="431" t="n"/>
      <c r="J18" s="431" t="n"/>
      <c r="K18" s="431" t="n"/>
    </row>
    <row r="19" hidden="1">
      <c r="B19" s="39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9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52" t="inlineStr">
        <is>
          <t>Weightage for Debt Fund Ranking</t>
        </is>
      </c>
      <c r="C23" s="426" t="n"/>
      <c r="D23" s="426" t="n"/>
      <c r="E23" s="426" t="n"/>
      <c r="F23" s="426" t="n"/>
      <c r="G23" s="375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9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9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9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9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9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9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9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9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9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9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9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9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9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9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40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53" t="inlineStr">
        <is>
          <t>Weightage for Hybrid Fund Ranking</t>
        </is>
      </c>
      <c r="C50" s="426" t="n"/>
      <c r="D50" s="426" t="n"/>
      <c r="E50" s="426" t="n"/>
      <c r="F50" s="375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9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9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9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9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9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9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9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9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9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9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9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9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9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9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404" t="inlineStr">
        <is>
          <t>Cash and Fixed Deposits</t>
        </is>
      </c>
      <c r="C71" s="416" t="n"/>
      <c r="D71" s="233" t="n"/>
      <c r="E71" s="41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9"/>
    <col width="8.7109375" customWidth="1" style="261" min="20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31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31" t="n"/>
    </row>
    <row r="5">
      <c r="B5" s="88" t="inlineStr">
        <is>
          <t>HDFC Asset Management Co Ltd</t>
        </is>
      </c>
      <c r="C5" s="104" t="n">
        <v>763496.85</v>
      </c>
      <c r="D5" s="90" t="n"/>
      <c r="K5" s="431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31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31" t="n"/>
    </row>
    <row r="8">
      <c r="B8" s="88" t="inlineStr">
        <is>
          <t>Aditya Birla Sun Life AMC Ltd</t>
        </is>
      </c>
      <c r="C8" s="104" t="n">
        <v>379792.96</v>
      </c>
      <c r="D8" s="90" t="n"/>
      <c r="K8" s="431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31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31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31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31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31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31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31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31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31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31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31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31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31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31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31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31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31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31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31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31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31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31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31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31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31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31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31" t="n"/>
    </row>
    <row r="36" hidden="1">
      <c r="B36" s="88" t="inlineStr">
        <is>
          <t>Navi AMC Limited</t>
        </is>
      </c>
      <c r="C36" s="89" t="n">
        <v>7529.93</v>
      </c>
      <c r="D36" s="90" t="n"/>
      <c r="K36" s="431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31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31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31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31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31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54" t="inlineStr">
        <is>
          <t>Weightage Assumptions</t>
        </is>
      </c>
      <c r="C4" s="455" t="n"/>
      <c r="D4" s="455" t="n"/>
      <c r="E4" s="455" t="n"/>
      <c r="F4" s="455" t="n"/>
      <c r="G4" s="455" t="n"/>
      <c r="H4" s="455" t="n"/>
      <c r="I4" s="456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421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421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421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22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2026-07-17T08:29:53Z</dcterms:modified>
  <cp:lastModifiedBy>Mutual Fund</cp:lastModifiedBy>
  <cp:lastPrinted>2026-06-26T10:36:39Z</cp:lastPrinted>
</cp:coreProperties>
</file>