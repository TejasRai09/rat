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20" fillId="19" borderId="41" applyAlignment="1" pivotButton="0" quotePrefix="0" xfId="7">
      <alignment horizontal="center" vertical="center" wrapText="1"/>
    </xf>
    <xf numFmtId="0" fontId="0" fillId="0" borderId="41" pivotButton="0" quotePrefix="0" xfId="0"/>
    <xf numFmtId="0" fontId="19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3" fontId="23" fillId="0" borderId="41" applyAlignment="1" pivotButton="0" quotePrefix="0" xfId="7">
      <alignment horizontal="right" vertical="center" wrapText="1"/>
    </xf>
    <xf numFmtId="0" fontId="19" fillId="0" borderId="41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51" t="inlineStr">
        <is>
          <t>Weightage for AMC Ranking</t>
        </is>
      </c>
      <c r="C3" s="352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54" t="inlineStr">
        <is>
          <t>AUM</t>
        </is>
      </c>
      <c r="C6" s="74" t="n">
        <v>0.15</v>
      </c>
    </row>
    <row r="7">
      <c r="A7" s="54" t="n"/>
      <c r="B7" s="354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54" t="inlineStr">
        <is>
          <t>3-Year Return</t>
        </is>
      </c>
      <c r="C9" s="74" t="n">
        <v>0.15</v>
      </c>
    </row>
    <row r="10">
      <c r="B10" s="354" t="inlineStr">
        <is>
          <t>5-Year Return</t>
        </is>
      </c>
      <c r="C10" s="74" t="n">
        <v>0.1</v>
      </c>
    </row>
    <row r="11">
      <c r="B11" s="354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54" t="inlineStr">
        <is>
          <t>Sharpe</t>
        </is>
      </c>
      <c r="C13" s="74" t="n">
        <v>0.05</v>
      </c>
    </row>
    <row r="14">
      <c r="B14" s="354" t="inlineStr">
        <is>
          <t>Sortino</t>
        </is>
      </c>
      <c r="C14" s="74" t="n">
        <v>0.075</v>
      </c>
    </row>
    <row r="15">
      <c r="B15" s="355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54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A2" sqref="A2:G52"/>
    </sheetView>
  </sheetViews>
  <sheetFormatPr baseColWidth="8" defaultColWidth="8" defaultRowHeight="12.75"/>
  <cols>
    <col width="36.5703125" bestFit="1" customWidth="1" style="329" min="1" max="1"/>
    <col width="10.140625" customWidth="1" style="329" min="2" max="2"/>
    <col width="10.28515625" customWidth="1" style="329" min="3" max="3"/>
    <col width="2.28515625" customWidth="1" style="329" min="4" max="4"/>
    <col width="36.28515625" customWidth="1" style="329" min="5" max="5"/>
    <col width="15" customWidth="1" style="329" min="6" max="6"/>
    <col width="10.28515625" customWidth="1" style="329" min="7" max="7"/>
    <col width="8" customWidth="1" style="329" min="8" max="12"/>
    <col width="8" customWidth="1" style="329" min="13" max="16384"/>
  </cols>
  <sheetData>
    <row r="2" ht="15" customHeight="1">
      <c r="A2" s="413" t="inlineStr">
        <is>
          <t>Financial Product Catalog: A Ready Reckoner , As on 24th July 2026</t>
        </is>
      </c>
      <c r="B2" s="411" t="n"/>
      <c r="C2" s="411" t="n"/>
      <c r="D2" s="411" t="n"/>
      <c r="E2" s="411" t="n"/>
      <c r="F2" s="411" t="n"/>
      <c r="G2" s="412" t="n"/>
    </row>
    <row r="3" ht="15" customHeight="1">
      <c r="A3" s="416" t="n"/>
      <c r="B3" s="411" t="n"/>
      <c r="C3" s="411" t="n"/>
      <c r="D3" s="411" t="n"/>
      <c r="E3" s="411" t="n"/>
      <c r="F3" s="411" t="n"/>
      <c r="G3" s="412" t="n"/>
    </row>
    <row r="4" ht="15" customHeight="1">
      <c r="A4" s="413" t="inlineStr">
        <is>
          <t>Whats new? (July 2026)</t>
        </is>
      </c>
      <c r="B4" s="411" t="n"/>
      <c r="C4" s="412" t="n"/>
      <c r="D4" s="416" t="n"/>
      <c r="E4" s="417" t="inlineStr">
        <is>
          <t>Debt</t>
        </is>
      </c>
      <c r="F4" s="411" t="n"/>
      <c r="G4" s="412" t="n"/>
    </row>
    <row r="5" ht="15" customHeight="1">
      <c r="A5" s="419" t="inlineStr">
        <is>
          <t>Fund Name</t>
        </is>
      </c>
      <c r="B5" s="419" t="inlineStr">
        <is>
          <t>End Date</t>
        </is>
      </c>
      <c r="C5" s="412" t="n"/>
      <c r="D5" s="416" t="n"/>
      <c r="E5" s="411" t="n"/>
      <c r="F5" s="411" t="n"/>
      <c r="G5" s="412" t="n"/>
    </row>
    <row r="6" ht="25.5" customHeight="1">
      <c r="A6" s="422" t="inlineStr">
        <is>
          <t>HDFC Nifty Metal ETF FOF (NFO)</t>
        </is>
      </c>
      <c r="B6" s="422" t="inlineStr">
        <is>
          <t>Aug 03, 2026</t>
        </is>
      </c>
      <c r="C6" s="412" t="n"/>
      <c r="D6" s="416" t="n"/>
      <c r="E6" s="423" t="inlineStr">
        <is>
          <t>Debt Mutual Funds (Ultra Short Duration)</t>
        </is>
      </c>
      <c r="F6" s="419" t="inlineStr">
        <is>
          <t>3-Year Return</t>
        </is>
      </c>
      <c r="G6" s="419" t="inlineStr">
        <is>
          <t>1-Year Return</t>
        </is>
      </c>
    </row>
    <row r="7" ht="15" customHeight="1">
      <c r="A7" s="422" t="inlineStr">
        <is>
          <t>SBI Nifty Midcap 150 Momentum (NFO)</t>
        </is>
      </c>
      <c r="B7" s="422" t="inlineStr">
        <is>
          <t>Aug 05, 2026</t>
        </is>
      </c>
      <c r="C7" s="412" t="n"/>
      <c r="D7" s="375" t="n"/>
      <c r="E7" s="424" t="inlineStr">
        <is>
          <t>NIFTY Ultra Short Duration Debt Index</t>
        </is>
      </c>
      <c r="F7" s="425" t="n">
        <v>0.0757</v>
      </c>
      <c r="G7" s="425" t="n">
        <v>0.06859999999999999</v>
      </c>
    </row>
    <row r="8" ht="25.5" customHeight="1">
      <c r="A8" s="416" t="n"/>
      <c r="B8" s="411" t="n"/>
      <c r="C8" s="411" t="n"/>
      <c r="D8" s="412" t="n"/>
      <c r="E8" s="423" t="inlineStr">
        <is>
          <t>Ultra Short - Fund Name ( Return CAGR )</t>
        </is>
      </c>
      <c r="F8" s="419" t="inlineStr">
        <is>
          <t>3-Year Return</t>
        </is>
      </c>
      <c r="G8" s="419" t="inlineStr">
        <is>
          <t>1-Year Return</t>
        </is>
      </c>
    </row>
    <row r="9" ht="25.5" customHeight="1">
      <c r="A9" s="417" t="inlineStr">
        <is>
          <t>Equity</t>
        </is>
      </c>
      <c r="B9" s="411" t="n"/>
      <c r="C9" s="412" t="n"/>
      <c r="D9" s="416" t="n"/>
      <c r="E9" s="422">
        <f>'Summary '!J4</f>
        <v/>
      </c>
      <c r="F9" s="426">
        <f>'Summary '!K4</f>
        <v/>
      </c>
      <c r="G9" s="426">
        <f>'Summary '!L4</f>
        <v/>
      </c>
    </row>
    <row r="10" ht="25.5" customHeight="1">
      <c r="A10" s="416" t="n"/>
      <c r="B10" s="411" t="n"/>
      <c r="C10" s="411" t="n"/>
      <c r="D10" s="412" t="n"/>
      <c r="E10" s="422">
        <f>'Summary '!J5</f>
        <v/>
      </c>
      <c r="F10" s="426">
        <f>'Summary '!K5</f>
        <v/>
      </c>
      <c r="G10" s="426">
        <f>'Summary '!L5</f>
        <v/>
      </c>
    </row>
    <row r="11" ht="25.5" customHeight="1">
      <c r="A11" s="419" t="inlineStr">
        <is>
          <t>Large Cap - Funds</t>
        </is>
      </c>
      <c r="B11" s="419" t="inlineStr">
        <is>
          <t>3-Year Return</t>
        </is>
      </c>
      <c r="C11" s="419" t="inlineStr">
        <is>
          <t>1-Year Return</t>
        </is>
      </c>
      <c r="D11" s="416" t="n"/>
      <c r="E11" s="422">
        <f>'Summary '!J6</f>
        <v/>
      </c>
      <c r="F11" s="426">
        <f>'Summary '!K6</f>
        <v/>
      </c>
      <c r="G11" s="426">
        <f>'Summary '!L6</f>
        <v/>
      </c>
    </row>
    <row r="12" ht="15" customHeight="1">
      <c r="A12" s="427" t="inlineStr">
        <is>
          <t>NIFTY 50</t>
        </is>
      </c>
      <c r="B12" s="425" t="n">
        <v>0.078</v>
      </c>
      <c r="C12" s="425" t="n">
        <v>-0.0405</v>
      </c>
      <c r="D12" s="374" t="n"/>
      <c r="E12" s="416" t="n"/>
      <c r="F12" s="411" t="n"/>
      <c r="G12" s="412" t="n"/>
    </row>
    <row r="13" ht="25.5" customHeight="1">
      <c r="A13" s="423" t="inlineStr">
        <is>
          <t>Large Cap - Funds (Return CAGR)</t>
        </is>
      </c>
      <c r="B13" s="419" t="inlineStr">
        <is>
          <t>3-Year Return</t>
        </is>
      </c>
      <c r="C13" s="419" t="inlineStr">
        <is>
          <t>1-Year Return</t>
        </is>
      </c>
      <c r="D13" s="374" t="n"/>
      <c r="E13" s="423" t="inlineStr">
        <is>
          <t>Debt Mutual Funds (Low Duration)</t>
        </is>
      </c>
      <c r="F13" s="419" t="inlineStr">
        <is>
          <t>3-Year Return</t>
        </is>
      </c>
      <c r="G13" s="419" t="inlineStr">
        <is>
          <t>1-Year Return</t>
        </is>
      </c>
    </row>
    <row r="14">
      <c r="A14" s="422">
        <f>'Summary '!D4</f>
        <v/>
      </c>
      <c r="B14" s="426">
        <f>'Summary '!E4</f>
        <v/>
      </c>
      <c r="C14" s="426">
        <f>'Summary '!F4</f>
        <v/>
      </c>
      <c r="D14" s="374" t="n"/>
      <c r="E14" s="424" t="inlineStr">
        <is>
          <t>NIFTY Low Duration Debt Index</t>
        </is>
      </c>
      <c r="F14" s="425" t="n">
        <v>0.0731</v>
      </c>
      <c r="G14" s="425" t="n">
        <v>0.0633</v>
      </c>
    </row>
    <row r="15" ht="25.5" customHeight="1">
      <c r="A15" s="422">
        <f>'Summary '!D5</f>
        <v/>
      </c>
      <c r="B15" s="426">
        <f>'Summary '!E5</f>
        <v/>
      </c>
      <c r="C15" s="426">
        <f>'Summary '!F5</f>
        <v/>
      </c>
      <c r="D15" s="374" t="n"/>
      <c r="E15" s="423" t="inlineStr">
        <is>
          <t>Low Duration - Funds ( Return CAGR )</t>
        </is>
      </c>
      <c r="F15" s="419" t="inlineStr">
        <is>
          <t>3-Year Return</t>
        </is>
      </c>
      <c r="G15" s="419" t="inlineStr">
        <is>
          <t>1-Year Return</t>
        </is>
      </c>
    </row>
    <row r="16">
      <c r="A16" s="422">
        <f>'Summary '!D6</f>
        <v/>
      </c>
      <c r="B16" s="426">
        <f>'Summary '!E6</f>
        <v/>
      </c>
      <c r="C16" s="426">
        <f>'Summary '!F6</f>
        <v/>
      </c>
      <c r="D16" s="374" t="n"/>
      <c r="E16" s="422">
        <f>'Summary '!J8</f>
        <v/>
      </c>
      <c r="F16" s="426">
        <f>'Summary '!K8</f>
        <v/>
      </c>
      <c r="G16" s="426">
        <f>'Summary '!L8</f>
        <v/>
      </c>
    </row>
    <row r="17" ht="25.5" customHeight="1">
      <c r="A17" s="427" t="inlineStr">
        <is>
          <t>SIP of 50000*36=1800000, Maturity Value Would be</t>
        </is>
      </c>
      <c r="B17" s="428" t="n">
        <v>2572605</v>
      </c>
      <c r="C17" s="412" t="n"/>
      <c r="D17" s="375" t="n"/>
      <c r="E17" s="422">
        <f>'Summary '!J9</f>
        <v/>
      </c>
      <c r="F17" s="426">
        <f>'Summary '!K9</f>
        <v/>
      </c>
      <c r="G17" s="426">
        <f>'Summary '!L9</f>
        <v/>
      </c>
    </row>
    <row r="18" ht="15" customHeight="1">
      <c r="A18" s="416" t="n"/>
      <c r="B18" s="411" t="n"/>
      <c r="C18" s="411" t="n"/>
      <c r="D18" s="412" t="n"/>
      <c r="E18" s="422">
        <f>'Summary '!J10</f>
        <v/>
      </c>
      <c r="F18" s="426">
        <f>'Summary '!K10</f>
        <v/>
      </c>
      <c r="G18" s="426">
        <f>'Summary '!L10</f>
        <v/>
      </c>
    </row>
    <row r="19" ht="25.5" customHeight="1">
      <c r="A19" s="423" t="inlineStr">
        <is>
          <t>Large &amp; Mid Cap - Funds</t>
        </is>
      </c>
      <c r="B19" s="419" t="inlineStr">
        <is>
          <t>3-Year Return</t>
        </is>
      </c>
      <c r="C19" s="419" t="inlineStr">
        <is>
          <t>1-Year Return</t>
        </is>
      </c>
      <c r="D19" s="429" t="n"/>
      <c r="E19" s="416" t="n"/>
      <c r="F19" s="411" t="n"/>
      <c r="G19" s="412" t="n"/>
    </row>
    <row r="20" ht="25.5" customHeight="1">
      <c r="A20" s="422">
        <f>'Summary '!D8</f>
        <v/>
      </c>
      <c r="B20" s="426">
        <f>'Summary '!E8</f>
        <v/>
      </c>
      <c r="C20" s="426">
        <f>'Summary '!F8</f>
        <v/>
      </c>
      <c r="D20" s="429" t="n"/>
      <c r="E20" s="423" t="inlineStr">
        <is>
          <t>Debt Mutual Funds (Short Duration)</t>
        </is>
      </c>
      <c r="F20" s="419" t="inlineStr">
        <is>
          <t>3-Year Return</t>
        </is>
      </c>
      <c r="G20" s="419" t="inlineStr">
        <is>
          <t>1-Year Return</t>
        </is>
      </c>
    </row>
    <row r="21">
      <c r="A21" s="422">
        <f>'Summary '!D9</f>
        <v/>
      </c>
      <c r="B21" s="426">
        <f>'Summary '!E9</f>
        <v/>
      </c>
      <c r="C21" s="426">
        <f>'Summary '!F9</f>
        <v/>
      </c>
      <c r="D21" s="429" t="n"/>
      <c r="E21" s="427" t="inlineStr">
        <is>
          <t>NIFTY Short Duration Debt Index A-II</t>
        </is>
      </c>
      <c r="F21" s="425" t="n">
        <v>0.0712</v>
      </c>
      <c r="G21" s="425" t="n">
        <v>0.0545</v>
      </c>
    </row>
    <row r="22" ht="25.5" customHeight="1">
      <c r="A22" s="422">
        <f>'Summary '!D10</f>
        <v/>
      </c>
      <c r="B22" s="426">
        <f>'Summary '!E10</f>
        <v/>
      </c>
      <c r="C22" s="426">
        <f>'Summary '!F10</f>
        <v/>
      </c>
      <c r="D22" s="429" t="n"/>
      <c r="E22" s="423" t="inlineStr">
        <is>
          <t>Medium Term - Funds ( Return CAGR )</t>
        </is>
      </c>
      <c r="F22" s="419" t="inlineStr">
        <is>
          <t>3-Year Return</t>
        </is>
      </c>
      <c r="G22" s="419" t="inlineStr">
        <is>
          <t>1-Year Return</t>
        </is>
      </c>
    </row>
    <row r="23" ht="25.5" customHeight="1">
      <c r="A23" s="427" t="inlineStr">
        <is>
          <t>SIP of 50000*36=1800000, Maturity Value Would be</t>
        </is>
      </c>
      <c r="B23" s="428" t="n">
        <v>2646895</v>
      </c>
      <c r="C23" s="412" t="n"/>
      <c r="D23" s="429" t="n"/>
      <c r="E23" s="422">
        <f>'Summary '!J12</f>
        <v/>
      </c>
      <c r="F23" s="426">
        <f>'Summary '!K12</f>
        <v/>
      </c>
      <c r="G23" s="426">
        <f>'Summary '!L12</f>
        <v/>
      </c>
    </row>
    <row r="24" ht="15" customHeight="1">
      <c r="A24" s="416" t="n"/>
      <c r="B24" s="411" t="n"/>
      <c r="C24" s="412" t="n"/>
      <c r="D24" s="429" t="n"/>
      <c r="E24" s="422">
        <f>'Summary '!J13</f>
        <v/>
      </c>
      <c r="F24" s="426">
        <f>'Summary '!K13</f>
        <v/>
      </c>
      <c r="G24" s="426">
        <f>'Summary '!L13</f>
        <v/>
      </c>
    </row>
    <row r="25" ht="25.5" customHeight="1">
      <c r="A25" s="419" t="inlineStr">
        <is>
          <t>Mid Cap - Funds</t>
        </is>
      </c>
      <c r="B25" s="419" t="inlineStr">
        <is>
          <t>3-Year Return</t>
        </is>
      </c>
      <c r="C25" s="419" t="inlineStr">
        <is>
          <t>1-Year Return</t>
        </is>
      </c>
      <c r="D25" s="429" t="n"/>
      <c r="E25" s="422">
        <f>'Summary '!J14</f>
        <v/>
      </c>
      <c r="F25" s="426">
        <f>'Summary '!K14</f>
        <v/>
      </c>
      <c r="G25" s="426">
        <f>'Summary '!L14</f>
        <v/>
      </c>
    </row>
    <row r="26" ht="15" customHeight="1">
      <c r="A26" s="427" t="inlineStr">
        <is>
          <t>NIFTY Midcap 100</t>
        </is>
      </c>
      <c r="B26" s="425" t="n">
        <v>0.195</v>
      </c>
      <c r="C26" s="425" t="n">
        <v>0.0517</v>
      </c>
      <c r="D26" s="429" t="n"/>
      <c r="E26" s="416" t="n"/>
      <c r="F26" s="411" t="n"/>
      <c r="G26" s="412" t="n"/>
    </row>
    <row r="27" ht="25.5" customHeight="1">
      <c r="A27" s="423" t="inlineStr">
        <is>
          <t>Mid Cap - Funds  (Return CAGR)</t>
        </is>
      </c>
      <c r="B27" s="419" t="inlineStr">
        <is>
          <t>3-Year CAGR</t>
        </is>
      </c>
      <c r="C27" s="419" t="inlineStr">
        <is>
          <t>1-Year Return</t>
        </is>
      </c>
      <c r="D27" s="430" t="n"/>
      <c r="E27" s="423" t="inlineStr">
        <is>
          <t>Debt Mutual Funds (Medium Duration)</t>
        </is>
      </c>
      <c r="F27" s="419" t="inlineStr">
        <is>
          <t>3-Year Return</t>
        </is>
      </c>
      <c r="G27" s="419" t="inlineStr">
        <is>
          <t>1-Year Return</t>
        </is>
      </c>
    </row>
    <row r="28">
      <c r="A28" s="422">
        <f>'Summary '!D12</f>
        <v/>
      </c>
      <c r="B28" s="426">
        <f>'Summary '!E12</f>
        <v/>
      </c>
      <c r="C28" s="426">
        <f>'Summary '!F12</f>
        <v/>
      </c>
      <c r="D28" s="430" t="n"/>
      <c r="E28" s="427" t="inlineStr">
        <is>
          <t>NIFTY Medium Duration Debt Index A-III</t>
        </is>
      </c>
      <c r="F28" s="425" t="n">
        <v>0.0689</v>
      </c>
      <c r="G28" s="425" t="n">
        <v>0.0442</v>
      </c>
    </row>
    <row r="29" ht="25.5" customHeight="1">
      <c r="A29" s="422">
        <f>'Summary '!D13</f>
        <v/>
      </c>
      <c r="B29" s="426">
        <f>'Summary '!E13</f>
        <v/>
      </c>
      <c r="C29" s="426">
        <f>'Summary '!F13</f>
        <v/>
      </c>
      <c r="D29" s="430" t="n"/>
      <c r="E29" s="423" t="inlineStr">
        <is>
          <t>Medium Term - Funds ( Return CAGR )</t>
        </is>
      </c>
      <c r="F29" s="419" t="inlineStr">
        <is>
          <t>3-Year Return</t>
        </is>
      </c>
      <c r="G29" s="419" t="inlineStr">
        <is>
          <t>1-Year Return</t>
        </is>
      </c>
    </row>
    <row r="30" ht="25.5" customHeight="1">
      <c r="A30" s="422">
        <f>'Summary '!D14</f>
        <v/>
      </c>
      <c r="B30" s="426">
        <f>'Summary '!E14</f>
        <v/>
      </c>
      <c r="C30" s="426">
        <f>'Summary '!F14</f>
        <v/>
      </c>
      <c r="D30" s="430" t="n"/>
      <c r="E30" s="422">
        <f>'Summary '!J16</f>
        <v/>
      </c>
      <c r="F30" s="426">
        <f>'Summary '!K16</f>
        <v/>
      </c>
      <c r="G30" s="426">
        <f>'Summary '!L16</f>
        <v/>
      </c>
    </row>
    <row r="31" ht="25.5" customHeight="1">
      <c r="A31" s="427" t="inlineStr">
        <is>
          <t>SIP of 50000*36=1800000 , Maturity Value Would be</t>
        </is>
      </c>
      <c r="B31" s="428" t="n">
        <v>2767450</v>
      </c>
      <c r="C31" s="412" t="n"/>
      <c r="D31" s="430" t="n"/>
      <c r="E31" s="422">
        <f>'Summary '!J17</f>
        <v/>
      </c>
      <c r="F31" s="426">
        <f>'Summary '!K17</f>
        <v/>
      </c>
      <c r="G31" s="426">
        <f>'Summary '!L17</f>
        <v/>
      </c>
    </row>
    <row r="32" ht="25.5" customHeight="1">
      <c r="A32" s="416" t="n"/>
      <c r="B32" s="411" t="n"/>
      <c r="C32" s="412" t="n"/>
      <c r="D32" s="430" t="n"/>
      <c r="E32" s="422">
        <f>'Summary '!J18</f>
        <v/>
      </c>
      <c r="F32" s="426">
        <f>'Summary '!K18</f>
        <v/>
      </c>
      <c r="G32" s="426">
        <f>'Summary '!L18</f>
        <v/>
      </c>
    </row>
    <row r="33" ht="25.5" customHeight="1">
      <c r="A33" s="419" t="inlineStr">
        <is>
          <t>Small Cap - Funds</t>
        </is>
      </c>
      <c r="B33" s="419" t="inlineStr">
        <is>
          <t>3-Year Return</t>
        </is>
      </c>
      <c r="C33" s="419" t="inlineStr">
        <is>
          <t>1-Year Return</t>
        </is>
      </c>
      <c r="D33" s="429" t="n"/>
      <c r="E33" s="430" t="n"/>
      <c r="F33" s="430" t="n"/>
      <c r="G33" s="430" t="n"/>
    </row>
    <row r="34" ht="25.5" customHeight="1">
      <c r="A34" s="427" t="inlineStr">
        <is>
          <t>NIFTY Smallcap 100</t>
        </is>
      </c>
      <c r="B34" s="425" t="n">
        <v>0.1854</v>
      </c>
      <c r="C34" s="425" t="n">
        <v>0.0168</v>
      </c>
      <c r="D34" s="429" t="n"/>
      <c r="E34" s="423" t="inlineStr">
        <is>
          <t>Debt Mutual Funds (Medium to Long Duration)</t>
        </is>
      </c>
      <c r="F34" s="419" t="inlineStr">
        <is>
          <t>3-Year Return</t>
        </is>
      </c>
      <c r="G34" s="419" t="inlineStr">
        <is>
          <t>1-Year Return</t>
        </is>
      </c>
    </row>
    <row r="35">
      <c r="A35" s="423" t="inlineStr">
        <is>
          <t>Small Cap - Funds ( Return CAGR )</t>
        </is>
      </c>
      <c r="B35" s="419" t="inlineStr">
        <is>
          <t>3-Yr CAGR</t>
        </is>
      </c>
      <c r="C35" s="419" t="inlineStr">
        <is>
          <t>1-Yr Return</t>
        </is>
      </c>
      <c r="D35" s="429" t="n"/>
      <c r="E35" s="427" t="inlineStr">
        <is>
          <t>NIFTY Medium to Long Duration Debt Index</t>
        </is>
      </c>
      <c r="F35" s="425" t="n">
        <v>0.0612</v>
      </c>
      <c r="G35" s="425" t="n">
        <v>0.0163</v>
      </c>
    </row>
    <row r="36" ht="25.5" customHeight="1">
      <c r="A36" s="422">
        <f>'Summary '!D16</f>
        <v/>
      </c>
      <c r="B36" s="426">
        <f>'Summary '!E16</f>
        <v/>
      </c>
      <c r="C36" s="426">
        <f>'Summary '!F16</f>
        <v/>
      </c>
      <c r="D36" s="429" t="n"/>
      <c r="E36" s="423" t="inlineStr">
        <is>
          <t>Medium to Long Term - Funds ( Return CAGR )</t>
        </is>
      </c>
      <c r="F36" s="419" t="inlineStr">
        <is>
          <t>3-Year Return</t>
        </is>
      </c>
      <c r="G36" s="419" t="inlineStr">
        <is>
          <t>1-Year Return</t>
        </is>
      </c>
    </row>
    <row r="37">
      <c r="A37" s="422">
        <f>'Summary '!D17</f>
        <v/>
      </c>
      <c r="B37" s="426">
        <f>'Summary '!E17</f>
        <v/>
      </c>
      <c r="C37" s="426">
        <f>'Summary '!F17</f>
        <v/>
      </c>
      <c r="D37" s="429" t="n"/>
      <c r="E37" s="422">
        <f>'Summary '!J20</f>
        <v/>
      </c>
      <c r="F37" s="426">
        <f>'Summary '!K20</f>
        <v/>
      </c>
      <c r="G37" s="426">
        <f>'Summary '!L20</f>
        <v/>
      </c>
    </row>
    <row r="38">
      <c r="A38" s="422">
        <f>'Summary '!D18</f>
        <v/>
      </c>
      <c r="B38" s="426">
        <f>'Summary '!E18</f>
        <v/>
      </c>
      <c r="C38" s="426">
        <f>'Summary '!F18</f>
        <v/>
      </c>
      <c r="D38" s="429" t="n"/>
      <c r="E38" s="422">
        <f>'Summary '!J21</f>
        <v/>
      </c>
      <c r="F38" s="426">
        <f>'Summary '!K21</f>
        <v/>
      </c>
      <c r="G38" s="426">
        <f>'Summary '!L21</f>
        <v/>
      </c>
    </row>
    <row r="39" ht="25.5" customHeight="1">
      <c r="A39" s="427" t="inlineStr">
        <is>
          <t>SIP of 50000*36=1800000 , Maturity Value Would be</t>
        </is>
      </c>
      <c r="B39" s="428" t="n">
        <v>2767450</v>
      </c>
      <c r="C39" s="412" t="n"/>
      <c r="D39" s="429" t="n"/>
      <c r="E39" s="422">
        <f>'Summary '!J22</f>
        <v/>
      </c>
      <c r="F39" s="426">
        <f>'Summary '!K22</f>
        <v/>
      </c>
      <c r="G39" s="426">
        <f>'Summary '!L22</f>
        <v/>
      </c>
    </row>
    <row r="40" ht="15" customHeight="1">
      <c r="A40" s="416" t="n"/>
      <c r="B40" s="411" t="n"/>
      <c r="C40" s="412" t="n"/>
      <c r="D40" s="416" t="n"/>
      <c r="E40" s="417" t="inlineStr">
        <is>
          <t>Others</t>
        </is>
      </c>
      <c r="F40" s="411" t="n"/>
      <c r="G40" s="412" t="n"/>
    </row>
    <row r="41" ht="25.5" customHeight="1">
      <c r="A41" s="419" t="inlineStr">
        <is>
          <t>Flexi Cap - Funds</t>
        </is>
      </c>
      <c r="B41" s="419" t="inlineStr">
        <is>
          <t>3-Year Return</t>
        </is>
      </c>
      <c r="C41" s="419" t="inlineStr">
        <is>
          <t>1-Year Return</t>
        </is>
      </c>
      <c r="D41" s="416" t="n"/>
      <c r="E41" s="419" t="inlineStr">
        <is>
          <t>Multi Asset</t>
        </is>
      </c>
      <c r="F41" s="419" t="inlineStr">
        <is>
          <t>3-Year Return</t>
        </is>
      </c>
      <c r="G41" s="419" t="inlineStr">
        <is>
          <t>1-Year Return</t>
        </is>
      </c>
    </row>
    <row r="42" ht="25.5" customHeight="1">
      <c r="A42" s="422">
        <f>'Summary '!D20</f>
        <v/>
      </c>
      <c r="B42" s="426">
        <f>'Summary '!E20</f>
        <v/>
      </c>
      <c r="C42" s="426">
        <f>'Summary '!F20</f>
        <v/>
      </c>
      <c r="D42" s="416" t="n"/>
      <c r="E42" s="424" t="inlineStr">
        <is>
          <t>Nifty 500</t>
        </is>
      </c>
      <c r="F42" s="425" t="n">
        <v>0.1184</v>
      </c>
      <c r="G42" s="425" t="n">
        <v>-0.0069</v>
      </c>
    </row>
    <row r="43">
      <c r="A43" s="422">
        <f>'Summary '!D21</f>
        <v/>
      </c>
      <c r="B43" s="426">
        <f>'Summary '!E21</f>
        <v/>
      </c>
      <c r="C43" s="426">
        <f>'Summary '!F21</f>
        <v/>
      </c>
      <c r="D43" s="416" t="n"/>
      <c r="E43" s="422">
        <f>'Summary '!D28</f>
        <v/>
      </c>
      <c r="F43" s="426">
        <f>'Summary '!E28</f>
        <v/>
      </c>
      <c r="G43" s="426">
        <f>'Summary '!F28</f>
        <v/>
      </c>
    </row>
    <row r="44" ht="25.5" customHeight="1">
      <c r="A44" s="422">
        <f>'Summary '!D22</f>
        <v/>
      </c>
      <c r="B44" s="426">
        <f>'Summary '!E22</f>
        <v/>
      </c>
      <c r="C44" s="426">
        <f>'Summary '!F22</f>
        <v/>
      </c>
      <c r="D44" s="416" t="n"/>
      <c r="E44" s="422">
        <f>'Summary '!D29</f>
        <v/>
      </c>
      <c r="F44" s="426">
        <f>'Summary '!E29</f>
        <v/>
      </c>
      <c r="G44" s="426">
        <f>'Summary '!F29</f>
        <v/>
      </c>
    </row>
    <row r="45" ht="25.5" customHeight="1">
      <c r="A45" s="427" t="inlineStr">
        <is>
          <t>SIP of 50000*36=1800000 , Maturity Value Would be</t>
        </is>
      </c>
      <c r="B45" s="428" t="n">
        <v>2669566</v>
      </c>
      <c r="C45" s="412" t="n"/>
      <c r="D45" s="416" t="n"/>
      <c r="E45" s="422">
        <f>'Summary '!D30</f>
        <v/>
      </c>
      <c r="F45" s="426">
        <f>'Summary '!E30</f>
        <v/>
      </c>
      <c r="G45" s="426">
        <f>'Summary '!F30</f>
        <v/>
      </c>
    </row>
    <row r="46">
      <c r="A46" s="429" t="n"/>
      <c r="B46" s="429" t="n"/>
      <c r="C46" s="429" t="n"/>
      <c r="D46" s="416" t="n"/>
      <c r="E46" s="416" t="n"/>
      <c r="F46" s="416" t="n"/>
      <c r="G46" s="416" t="n"/>
    </row>
    <row r="47" ht="25.5" customHeight="1">
      <c r="A47" s="419" t="inlineStr">
        <is>
          <t>Thematic</t>
        </is>
      </c>
      <c r="B47" s="419" t="inlineStr">
        <is>
          <t>3-Year Return</t>
        </is>
      </c>
      <c r="C47" s="419" t="inlineStr">
        <is>
          <t>1-Year Return</t>
        </is>
      </c>
      <c r="D47" s="416" t="n"/>
      <c r="E47" s="419" t="inlineStr">
        <is>
          <t>BAF</t>
        </is>
      </c>
      <c r="F47" s="419" t="inlineStr">
        <is>
          <t>3-Year Return</t>
        </is>
      </c>
      <c r="G47" s="419" t="inlineStr">
        <is>
          <t>1-Year Return</t>
        </is>
      </c>
    </row>
    <row r="48">
      <c r="A48" s="424" t="inlineStr">
        <is>
          <t>Nifty 500</t>
        </is>
      </c>
      <c r="B48" s="425" t="n">
        <v>0.1184</v>
      </c>
      <c r="C48" s="425" t="n">
        <v>-0.0069</v>
      </c>
      <c r="D48" s="416" t="n"/>
      <c r="E48" s="424" t="inlineStr">
        <is>
          <t>Nifty 50</t>
        </is>
      </c>
      <c r="F48" s="425" t="n">
        <v>0.078</v>
      </c>
      <c r="G48" s="425" t="n">
        <v>-0.0405</v>
      </c>
    </row>
    <row r="49" ht="25.5" customHeight="1">
      <c r="A49" s="422">
        <f>'Summary '!D43</f>
        <v/>
      </c>
      <c r="B49" s="426">
        <f>'Summary '!E43</f>
        <v/>
      </c>
      <c r="C49" s="426">
        <f>'Summary '!F43</f>
        <v/>
      </c>
      <c r="D49" s="416" t="n"/>
      <c r="E49" s="422">
        <f>'Summary '!D24</f>
        <v/>
      </c>
      <c r="F49" s="426">
        <f>'Summary '!E24</f>
        <v/>
      </c>
      <c r="G49" s="426">
        <f>'Summary '!F24</f>
        <v/>
      </c>
    </row>
    <row r="50" ht="25.5" customHeight="1">
      <c r="A50" s="422">
        <f>'Summary '!D44</f>
        <v/>
      </c>
      <c r="B50" s="426">
        <f>'Summary '!E44</f>
        <v/>
      </c>
      <c r="C50" s="426">
        <f>'Summary '!F44</f>
        <v/>
      </c>
      <c r="D50" s="416" t="n"/>
      <c r="E50" s="422">
        <f>'Summary '!D25</f>
        <v/>
      </c>
      <c r="F50" s="426">
        <f>'Summary '!E25</f>
        <v/>
      </c>
      <c r="G50" s="426">
        <f>'Summary '!F25</f>
        <v/>
      </c>
    </row>
    <row r="51" ht="25.5" customHeight="1">
      <c r="A51" s="422">
        <f>'Summary '!D45</f>
        <v/>
      </c>
      <c r="B51" s="426">
        <f>'Summary '!E45</f>
        <v/>
      </c>
      <c r="C51" s="431">
        <f>'Summary '!F45</f>
        <v/>
      </c>
      <c r="D51" s="416" t="n"/>
      <c r="E51" s="422">
        <f>'Summary '!D26</f>
        <v/>
      </c>
      <c r="F51" s="426">
        <f>'Summary '!E26</f>
        <v/>
      </c>
      <c r="G51" s="426">
        <f>'Summary '!F26</f>
        <v/>
      </c>
    </row>
    <row r="52">
      <c r="A52" s="432" t="n"/>
      <c r="B52" s="432" t="n"/>
      <c r="C52" s="432" t="n"/>
      <c r="D52" s="432" t="n"/>
      <c r="E52" s="432" t="n"/>
      <c r="F52" s="432" t="n"/>
      <c r="G52" s="433" t="inlineStr">
        <is>
          <t>Page 1</t>
        </is>
      </c>
    </row>
  </sheetData>
  <mergeCells count="26">
    <mergeCell ref="A8:D8"/>
    <mergeCell ref="E19:G19"/>
    <mergeCell ref="B7:C7"/>
    <mergeCell ref="E40:G40"/>
    <mergeCell ref="B31:C31"/>
    <mergeCell ref="A10:D10"/>
    <mergeCell ref="D5:G5"/>
    <mergeCell ref="B39:C39"/>
    <mergeCell ref="A32:C32"/>
    <mergeCell ref="B23:C23"/>
    <mergeCell ref="E26:G26"/>
    <mergeCell ref="B17:C17"/>
    <mergeCell ref="A4:C4"/>
    <mergeCell ref="A40:C40"/>
    <mergeCell ref="A9:C9"/>
    <mergeCell ref="E12:G12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topLeftCell="A10" zoomScale="130" zoomScaleNormal="130" workbookViewId="0">
      <selection activeCell="G17" sqref="G17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0"/>
    <col width="8.7109375" customWidth="1" style="333" min="11" max="16384"/>
  </cols>
  <sheetData>
    <row r="2" ht="15" customHeight="1">
      <c r="B2" s="349" t="inlineStr">
        <is>
          <t>Financial Product Catalog: A Ready Reckoner , As on 24th July 2026</t>
        </is>
      </c>
      <c r="C2" s="340" t="n"/>
      <c r="D2" s="340" t="n"/>
      <c r="E2" s="341" t="n"/>
    </row>
    <row r="3" ht="15" customHeight="1">
      <c r="B3" s="346" t="n"/>
      <c r="C3" s="340" t="n"/>
      <c r="D3" s="340" t="n"/>
      <c r="E3" s="341" t="n"/>
    </row>
    <row r="4" ht="15" customHeight="1">
      <c r="B4" s="345" t="inlineStr">
        <is>
          <t>Credit ratings assessed by (e.g., CRISIL, ICRA, CARE)</t>
        </is>
      </c>
      <c r="C4" s="340" t="n"/>
      <c r="D4" s="340" t="n"/>
      <c r="E4" s="341" t="n"/>
    </row>
    <row r="5" ht="15" customHeight="1">
      <c r="B5" s="344" t="n"/>
      <c r="C5" s="340" t="n"/>
      <c r="D5" s="340" t="n"/>
      <c r="E5" s="341" t="n"/>
    </row>
    <row r="6" ht="15" customHeight="1">
      <c r="B6" s="343" t="inlineStr">
        <is>
          <t>Corporate FD's</t>
        </is>
      </c>
      <c r="C6" s="340" t="n"/>
      <c r="D6" s="340" t="n"/>
      <c r="E6" s="341" t="n"/>
    </row>
    <row r="7" ht="25.5" customHeight="1">
      <c r="B7" s="347" t="inlineStr">
        <is>
          <t>Institution</t>
        </is>
      </c>
      <c r="C7" s="347" t="inlineStr">
        <is>
          <t>3-Year FD Rate</t>
        </is>
      </c>
      <c r="D7" s="341" t="n"/>
      <c r="E7" s="347" t="inlineStr">
        <is>
          <t>1-Year FD Rate</t>
        </is>
      </c>
    </row>
    <row r="8" ht="15" customHeight="1">
      <c r="B8" s="334" t="inlineStr">
        <is>
          <t>SBI Bank FD</t>
        </is>
      </c>
      <c r="C8" s="350" t="inlineStr">
        <is>
          <t>6.30% - 6.80%</t>
        </is>
      </c>
      <c r="D8" s="341" t="n"/>
      <c r="E8" s="350" t="inlineStr">
        <is>
          <t>6.25% - 6.75%</t>
        </is>
      </c>
    </row>
    <row r="9" ht="13.5" customHeight="1">
      <c r="B9" s="331" t="inlineStr">
        <is>
          <t>Shriram Finance</t>
        </is>
      </c>
      <c r="C9" s="342" t="inlineStr">
        <is>
          <t>7.50% – 8.00%</t>
        </is>
      </c>
      <c r="D9" s="341" t="n"/>
      <c r="E9" s="342" t="inlineStr">
        <is>
          <t>6.85% – 7.35%</t>
        </is>
      </c>
    </row>
    <row r="10" ht="13.5" customHeight="1">
      <c r="B10" s="331" t="inlineStr">
        <is>
          <t>Bajaj Finance</t>
        </is>
      </c>
      <c r="C10" s="342" t="inlineStr">
        <is>
          <t>7.40% – 7.75%</t>
        </is>
      </c>
      <c r="D10" s="341" t="n"/>
      <c r="E10" s="342" t="inlineStr">
        <is>
          <t>6.60% – 6.95%</t>
        </is>
      </c>
    </row>
    <row r="11" ht="13.5" customHeight="1">
      <c r="B11" s="337" t="inlineStr">
        <is>
          <t>PNB Housing Finance</t>
        </is>
      </c>
      <c r="C11" s="342" t="inlineStr">
        <is>
          <t>7.10% – 7.35%</t>
        </is>
      </c>
      <c r="D11" s="341" t="n"/>
      <c r="E11" s="342" t="inlineStr">
        <is>
          <t>6.70% – 6.95%</t>
        </is>
      </c>
    </row>
    <row r="12" ht="13.5" customHeight="1">
      <c r="B12" s="331" t="inlineStr">
        <is>
          <t>ICICI Home Finance</t>
        </is>
      </c>
      <c r="C12" s="348" t="inlineStr">
        <is>
          <t>7.10% -7.45%</t>
        </is>
      </c>
      <c r="D12" s="341" t="n"/>
      <c r="E12" s="342" t="inlineStr">
        <is>
          <t>6.85% – 7.20%</t>
        </is>
      </c>
    </row>
    <row r="13" ht="13.5" customHeight="1">
      <c r="B13" s="337" t="inlineStr">
        <is>
          <t>LIC Housing Finance</t>
        </is>
      </c>
      <c r="C13" s="348" t="inlineStr">
        <is>
          <t>6.85% -7.10%</t>
        </is>
      </c>
      <c r="D13" s="341" t="n"/>
      <c r="E13" s="342" t="inlineStr">
        <is>
          <t>6.70% – 6.95%</t>
        </is>
      </c>
    </row>
    <row r="14" ht="15" customHeight="1">
      <c r="B14" s="343" t="inlineStr">
        <is>
          <t>Capital Gain Bonds/NCD</t>
        </is>
      </c>
      <c r="C14" s="340" t="n"/>
      <c r="D14" s="340" t="n"/>
      <c r="E14" s="341" t="n"/>
    </row>
    <row r="15" ht="15" customHeight="1">
      <c r="B15" s="347" t="inlineStr">
        <is>
          <t>Index Name</t>
        </is>
      </c>
      <c r="C15" s="347" t="inlineStr">
        <is>
          <t>5-Year Return</t>
        </is>
      </c>
      <c r="D15" s="340" t="n"/>
      <c r="E15" s="341" t="n"/>
    </row>
    <row r="16" ht="25.5" customHeight="1">
      <c r="B16" s="332" t="inlineStr">
        <is>
          <t>NIFTY 10 Year Benchmark G-Sec Index</t>
        </is>
      </c>
      <c r="C16" s="339" t="n">
        <v>0.053</v>
      </c>
      <c r="D16" s="340" t="n"/>
      <c r="E16" s="341" t="n"/>
    </row>
    <row r="17" ht="15" customHeight="1">
      <c r="B17" s="347" t="inlineStr">
        <is>
          <t>Issuer</t>
        </is>
      </c>
      <c r="C17" s="347" t="inlineStr">
        <is>
          <t>Interest Rate</t>
        </is>
      </c>
      <c r="D17" s="347" t="inlineStr">
        <is>
          <t>Tenure</t>
        </is>
      </c>
      <c r="E17" s="341" t="n"/>
    </row>
    <row r="18" ht="15" customHeight="1">
      <c r="B18" s="331" t="inlineStr">
        <is>
          <t>IRFC</t>
        </is>
      </c>
      <c r="C18" s="342" t="inlineStr">
        <is>
          <t>5.25% p.a.</t>
        </is>
      </c>
      <c r="D18" s="342" t="inlineStr">
        <is>
          <t>5 years</t>
        </is>
      </c>
      <c r="E18" s="341" t="n"/>
    </row>
    <row r="19" ht="15" customHeight="1">
      <c r="B19" s="331" t="inlineStr">
        <is>
          <t>PFC</t>
        </is>
      </c>
      <c r="C19" s="342" t="inlineStr">
        <is>
          <t>5.25% p.a.</t>
        </is>
      </c>
      <c r="D19" s="342" t="inlineStr">
        <is>
          <t>5 years</t>
        </is>
      </c>
      <c r="E19" s="341" t="n"/>
    </row>
    <row r="20" ht="15" customHeight="1">
      <c r="B20" s="331" t="inlineStr">
        <is>
          <t>REC</t>
        </is>
      </c>
      <c r="C20" s="342" t="inlineStr">
        <is>
          <t>5.25% p.a.</t>
        </is>
      </c>
      <c r="D20" s="342" t="inlineStr">
        <is>
          <t>5 years</t>
        </is>
      </c>
      <c r="E20" s="341" t="n"/>
    </row>
    <row r="21" ht="15" customHeight="1">
      <c r="B21" s="344" t="n"/>
      <c r="C21" s="340" t="n"/>
      <c r="D21" s="340" t="n"/>
      <c r="E21" s="341" t="n"/>
    </row>
    <row r="22" ht="15" customHeight="1">
      <c r="B22" s="343" t="inlineStr">
        <is>
          <t>RBI Floating Rate Savings Bond</t>
        </is>
      </c>
      <c r="C22" s="341" t="n"/>
      <c r="D22" s="343" t="inlineStr">
        <is>
          <t>Interest Rate</t>
        </is>
      </c>
      <c r="E22" s="341" t="n"/>
    </row>
    <row r="23" ht="15" customHeight="1">
      <c r="B23" s="342" t="inlineStr">
        <is>
          <t>HDFC</t>
        </is>
      </c>
      <c r="C23" s="341" t="n"/>
      <c r="D23" s="342" t="inlineStr">
        <is>
          <t>8.05% p.a.</t>
        </is>
      </c>
      <c r="E23" s="341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0"/>
    <col width="8.7109375" customWidth="1" style="115" min="21" max="16384"/>
  </cols>
  <sheetData>
    <row r="1" ht="15" customHeight="1" thickBot="1"/>
    <row r="2">
      <c r="B2" s="356" t="inlineStr">
        <is>
          <t>Equity</t>
        </is>
      </c>
      <c r="C2" s="357" t="n"/>
      <c r="D2" s="357" t="n"/>
      <c r="E2" s="357" t="n"/>
      <c r="F2" s="358" t="n"/>
      <c r="H2" s="356" t="inlineStr">
        <is>
          <t>Debt</t>
        </is>
      </c>
      <c r="I2" s="357" t="n"/>
      <c r="J2" s="357" t="n"/>
      <c r="K2" s="357" t="n"/>
      <c r="L2" s="358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53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53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54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54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55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55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53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53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54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54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55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55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53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53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54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54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55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55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53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53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54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54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55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55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53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59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54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54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55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60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53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54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55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62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54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54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61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54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54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54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54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54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54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54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54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54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59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54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60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0"/>
    <col width="8.7109375" customWidth="1" style="15" min="21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67" t="inlineStr">
        <is>
          <t>Investor Profile</t>
        </is>
      </c>
      <c r="J3" s="364" t="n"/>
      <c r="K3" s="364" t="n"/>
      <c r="L3" s="364" t="n"/>
    </row>
    <row r="4" ht="14.45" customHeight="1" thickBot="1">
      <c r="B4" s="366" t="inlineStr">
        <is>
          <t>Personal &amp; Financial Information</t>
        </is>
      </c>
      <c r="C4" s="357" t="n"/>
      <c r="D4" s="357" t="n"/>
      <c r="E4" s="358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63" t="inlineStr">
        <is>
          <t>Model Portfolio</t>
        </is>
      </c>
      <c r="J18" s="364" t="n"/>
      <c r="K18" s="364" t="n"/>
      <c r="L18" s="365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66" t="inlineStr">
        <is>
          <t>Investment Objective</t>
        </is>
      </c>
      <c r="C25" s="357" t="n"/>
      <c r="D25" s="357" t="n"/>
      <c r="E25" s="358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66" t="inlineStr">
        <is>
          <t>Risk Appetite</t>
        </is>
      </c>
      <c r="C34" s="357" t="n"/>
      <c r="D34" s="357" t="n"/>
      <c r="E34" s="358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66" t="inlineStr">
        <is>
          <t>Market Experience</t>
        </is>
      </c>
      <c r="C37" s="357" t="n"/>
      <c r="D37" s="357" t="n"/>
      <c r="E37" s="358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76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73">
        <f>HLOOKUP('Investor Persona'!$E$4, 'Investor Profile'!$I$19:$L$23,F$2,FALSE)</f>
        <v/>
      </c>
      <c r="G4" s="373">
        <f>HLOOKUP('Investor Persona'!$E$4, 'Investor Profile'!$I$19:$L$23,G$2,FALSE)</f>
        <v/>
      </c>
      <c r="H4" s="373">
        <f>HLOOKUP('Investor Persona'!$E$4, 'Investor Profile'!$I$19:$L$23,H$2,FALSE)</f>
        <v/>
      </c>
      <c r="I4" s="368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76">
        <f>IF(SUM($D$5:$D$7)&lt;5,"Limited Resources",IF(SUM($D$5:$D$7)&lt;=8,"Stable Financials",IF(SUM($D$5:$D$7)&lt;=12,"Affluent",IF(SUM($D$5:$D$7)&gt;=13,"HNI/UHNI",""))))</f>
        <v/>
      </c>
      <c r="F5" s="373">
        <f>HLOOKUP('Investor Persona'!$E$5, 'Investor Profile'!$I$24:$L$28,F$2,FALSE)</f>
        <v/>
      </c>
      <c r="G5" s="373">
        <f>HLOOKUP('Investor Persona'!$E$5, 'Investor Profile'!$I$24:$L$28,G$2,FALSE)</f>
        <v/>
      </c>
      <c r="H5" s="373">
        <f>HLOOKUP('Investor Persona'!$E$5, 'Investor Profile'!$I$24:$L$28,H$2,FALSE)</f>
        <v/>
      </c>
      <c r="I5" s="368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77" t="n"/>
      <c r="F6" s="374" t="n"/>
      <c r="G6" s="374" t="n"/>
      <c r="H6" s="374" t="n"/>
      <c r="I6" s="369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378" t="n"/>
      <c r="F7" s="375" t="n"/>
      <c r="G7" s="375" t="n"/>
      <c r="H7" s="375" t="n"/>
      <c r="I7" s="370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76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73">
        <f>HLOOKUP('Investor Persona'!$E$8, 'Investor Profile'!$I$29:$L$33,F$2,FALSE)</f>
        <v/>
      </c>
      <c r="G8" s="373">
        <f>HLOOKUP('Investor Persona'!$E$8, 'Investor Profile'!$I$29:$L$33,G$2,FALSE)</f>
        <v/>
      </c>
      <c r="H8" s="373">
        <f>HLOOKUP('Investor Persona'!$E$8, 'Investor Profile'!$I$29:$L$33,H$2,FALSE)</f>
        <v/>
      </c>
      <c r="I8" s="368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76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73">
        <f>HLOOKUP('Investor Persona'!$E$9, 'Investor Profile'!$I$34:$L$38,F$2,FALSE)</f>
        <v/>
      </c>
      <c r="G9" s="373">
        <f>HLOOKUP('Investor Persona'!$E$9, 'Investor Profile'!$I$34:$L$38,G$2,FALSE)</f>
        <v/>
      </c>
      <c r="H9" s="373">
        <f>HLOOKUP('Investor Persona'!$E$9, 'Investor Profile'!$I$34:$L$38,H$2,FALSE)</f>
        <v/>
      </c>
      <c r="I9" s="368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73">
        <f>HLOOKUP('Investor Persona'!$E$10,'Investor Profile'!$I$39:$J$43,F$2,FALSE)</f>
        <v/>
      </c>
      <c r="G10" s="373">
        <f>HLOOKUP('Investor Persona'!$E$10,'Investor Profile'!$I$39:$J$43,G$2,FALSE)</f>
        <v/>
      </c>
      <c r="H10" s="373">
        <f>HLOOKUP('Investor Persona'!$E$10,'Investor Profile'!$I$39:$J$43,H$2,FALSE)</f>
        <v/>
      </c>
      <c r="I10" s="368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76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71">
        <f>HLOOKUP('Investor Persona'!$E$11,'Investor Profile'!$I$44:$L$48,F$2,FALSE)</f>
        <v/>
      </c>
      <c r="G11" s="371">
        <f>HLOOKUP('Investor Persona'!$E$11,'Investor Profile'!$I$44:$L$48,G$2,FALSE)</f>
        <v/>
      </c>
      <c r="H11" s="371">
        <f>HLOOKUP('Investor Persona'!$E$11,'Investor Profile'!$I$44:$L$48,H$2,FALSE)</f>
        <v/>
      </c>
      <c r="I11" s="379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378" t="n"/>
      <c r="F12" s="372" t="n"/>
      <c r="G12" s="372" t="n"/>
      <c r="H12" s="372" t="n"/>
      <c r="I12" s="380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4"/>
    <col width="8.7109375" customWidth="1" style="42" min="35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381" t="inlineStr">
        <is>
          <t>Actuals</t>
        </is>
      </c>
      <c r="F4" s="382" t="n"/>
      <c r="G4" s="382" t="n"/>
      <c r="H4" s="382" t="n"/>
      <c r="I4" s="382" t="n"/>
      <c r="J4" s="382" t="n"/>
      <c r="K4" s="382" t="n"/>
      <c r="L4" s="382" t="n"/>
      <c r="M4" s="381" t="inlineStr">
        <is>
          <t>Normalized</t>
        </is>
      </c>
      <c r="N4" s="382" t="n"/>
      <c r="O4" s="382" t="n"/>
      <c r="P4" s="382" t="n"/>
      <c r="Q4" s="382" t="n"/>
      <c r="R4" s="382" t="n"/>
      <c r="S4" s="382" t="n"/>
      <c r="T4" s="382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386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2.4883</v>
      </c>
      <c r="F6" s="248" t="n">
        <v>11.2754</v>
      </c>
      <c r="G6" s="248" t="n">
        <v>10.7148</v>
      </c>
      <c r="H6" s="248" t="n">
        <v>11.4214</v>
      </c>
      <c r="I6" s="248" t="n">
        <v>0.0428292759223737</v>
      </c>
      <c r="J6" s="248" t="n">
        <v>0.0409484160542657</v>
      </c>
      <c r="K6" s="248" t="n">
        <v>0.958731923437233</v>
      </c>
      <c r="L6" s="248" t="n">
        <v>11.673962965291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3.4078</v>
      </c>
      <c r="F7" s="248" t="n">
        <v>10.9829</v>
      </c>
      <c r="G7" s="248" t="n">
        <v>12.4693</v>
      </c>
      <c r="H7" s="248" t="n">
        <v>12.3675</v>
      </c>
      <c r="I7" s="249" t="n">
        <v>0.042967233295284</v>
      </c>
      <c r="J7" s="249" t="n">
        <v>0.0479324916697251</v>
      </c>
      <c r="K7" s="249" t="n">
        <v>0.9617763604769189</v>
      </c>
      <c r="L7" s="249" t="n">
        <v>11.8329500890583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1.5806</v>
      </c>
      <c r="F8" s="248" t="n">
        <v>12.7473</v>
      </c>
      <c r="G8" s="248" t="n">
        <v>12.7853</v>
      </c>
      <c r="H8" s="248" t="n">
        <v>13.2463</v>
      </c>
      <c r="I8" s="249" t="n">
        <v>0.0550504863544451</v>
      </c>
      <c r="J8" s="249" t="n">
        <v>0.187279689047997</v>
      </c>
      <c r="K8" s="249" t="n">
        <v>0.9318855780674949</v>
      </c>
      <c r="L8" s="249" t="n">
        <v>11.5069769292337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3.0564</v>
      </c>
      <c r="F9" s="248" t="n">
        <v>11.477</v>
      </c>
      <c r="G9" s="248" t="n">
        <v>10.3619</v>
      </c>
      <c r="H9" s="248" t="n">
        <v>11.9601</v>
      </c>
      <c r="I9" s="249" t="n">
        <v>0.042925198844665</v>
      </c>
      <c r="J9" s="249" t="n">
        <v>0.0435149974314083</v>
      </c>
      <c r="K9" s="249" t="n">
        <v>0.9714462000151119</v>
      </c>
      <c r="L9" s="249" t="n">
        <v>11.849485773122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2.3761</v>
      </c>
      <c r="F10" s="248" t="n">
        <v>12.7009</v>
      </c>
      <c r="G10" s="248" t="n">
        <v>14.7351</v>
      </c>
      <c r="H10" s="248" t="n">
        <v>13.8648</v>
      </c>
      <c r="I10" s="249" t="n">
        <v>0.0545606781091461</v>
      </c>
      <c r="J10" s="249" t="n">
        <v>0.18244478783133</v>
      </c>
      <c r="K10" s="249" t="n">
        <v>0.955004696033147</v>
      </c>
      <c r="L10" s="249" t="n">
        <v>11.7981049696689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4.2608</v>
      </c>
      <c r="F11" s="248" t="n">
        <v>10.3463</v>
      </c>
      <c r="G11" s="248" t="n">
        <v>10.5873</v>
      </c>
      <c r="H11" s="248" t="n">
        <v>11.5037</v>
      </c>
      <c r="I11" s="249" t="n">
        <v>0.0367144685508705</v>
      </c>
      <c r="J11" s="249" t="n">
        <v>-0.0265158791532579</v>
      </c>
      <c r="K11" s="249" t="n">
        <v>0.895703492971671</v>
      </c>
      <c r="L11" s="249" t="n">
        <v>11.0612911276249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0.6071</v>
      </c>
      <c r="F12" s="251" t="n">
        <v>8.598000000000001</v>
      </c>
      <c r="G12" s="251" t="n">
        <v>8.1998</v>
      </c>
      <c r="H12" s="251" t="n">
        <v>10.9433</v>
      </c>
      <c r="I12" s="250" t="n">
        <v>0.0275198046503058</v>
      </c>
      <c r="J12" s="250" t="n">
        <v>-0.135636243043257</v>
      </c>
      <c r="K12" s="250" t="n">
        <v>0.916904236041938</v>
      </c>
      <c r="L12" s="250" t="n">
        <v>11.163924904189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381" t="inlineStr">
        <is>
          <t>Actuals</t>
        </is>
      </c>
      <c r="F15" s="382" t="n"/>
      <c r="G15" s="382" t="n"/>
      <c r="H15" s="382" t="n"/>
      <c r="I15" s="382" t="n"/>
      <c r="J15" s="382" t="n"/>
      <c r="K15" s="382" t="n"/>
      <c r="L15" s="382" t="n"/>
      <c r="M15" s="381" t="inlineStr">
        <is>
          <t>Normalized</t>
        </is>
      </c>
      <c r="N15" s="382" t="n"/>
      <c r="O15" s="382" t="n"/>
      <c r="P15" s="382" t="n"/>
      <c r="Q15" s="382" t="n"/>
      <c r="R15" s="382" t="n"/>
      <c r="S15" s="382" t="n"/>
      <c r="T15" s="382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8.6335</v>
      </c>
      <c r="F17" s="252" t="n">
        <v>14.3599</v>
      </c>
      <c r="G17" s="248" t="n">
        <v>14.199</v>
      </c>
      <c r="H17" s="248" t="n">
        <v>14.5697</v>
      </c>
      <c r="I17" s="249" t="n">
        <v>0.0669103099492897</v>
      </c>
      <c r="J17" s="249" t="n">
        <v>0.0907650106666025</v>
      </c>
      <c r="K17" s="249" t="n">
        <v>0.818472852314741</v>
      </c>
      <c r="L17" s="249" t="n">
        <v>11.441816958926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7.5731</v>
      </c>
      <c r="F18" s="252" t="n">
        <v>14.9496</v>
      </c>
      <c r="G18" s="248" t="n">
        <v>14.0781</v>
      </c>
      <c r="H18" s="248" t="n">
        <v>14.6937</v>
      </c>
      <c r="I18" s="249" t="n">
        <v>0.062531308792733</v>
      </c>
      <c r="J18" s="249" t="n">
        <v>0.0485163055435132</v>
      </c>
      <c r="K18" s="249" t="n">
        <v>0.92169210017672</v>
      </c>
      <c r="L18" s="249" t="n">
        <v>13.0149693760725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6.5467</v>
      </c>
      <c r="F19" s="252" t="n">
        <v>14.8384</v>
      </c>
      <c r="G19" s="248" t="n">
        <v>15.6287</v>
      </c>
      <c r="H19" s="248" t="n">
        <v>14.5823</v>
      </c>
      <c r="I19" s="249" t="n">
        <v>0.0615007679585164</v>
      </c>
      <c r="J19" s="249" t="n">
        <v>0.0115192612417181</v>
      </c>
      <c r="K19" s="249" t="n">
        <v>1.01053389604358</v>
      </c>
      <c r="L19" s="249" t="n">
        <v>13.8309782447058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9.6386</v>
      </c>
      <c r="F20" s="252" t="n">
        <v>17.119</v>
      </c>
      <c r="G20" s="248" t="n">
        <v>17.2195</v>
      </c>
      <c r="H20" s="248" t="n">
        <v>15.1479</v>
      </c>
      <c r="I20" s="249" t="n">
        <v>0.0838013398953291</v>
      </c>
      <c r="J20" s="249" t="n">
        <v>0.312260727934733</v>
      </c>
      <c r="K20" s="249" t="n">
        <v>0.816720783619621</v>
      </c>
      <c r="L20" s="249" t="n">
        <v>11.8187202123461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6.563</v>
      </c>
      <c r="F21" s="252" t="n">
        <v>16.7343</v>
      </c>
      <c r="G21" s="248" t="n">
        <v>14.6306</v>
      </c>
      <c r="H21" s="248" t="n">
        <v>12.9406</v>
      </c>
      <c r="I21" s="249" t="n">
        <v>0.07068782751415741</v>
      </c>
      <c r="J21" s="249" t="n">
        <v>0.142812520846071</v>
      </c>
      <c r="K21" s="249" t="n">
        <v>0.974600495327304</v>
      </c>
      <c r="L21" s="249" t="n">
        <v>13.468680366473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9.978</v>
      </c>
      <c r="F22" s="252" t="n">
        <v>12.8914</v>
      </c>
      <c r="G22" s="248" t="n">
        <v>9.0663</v>
      </c>
      <c r="H22" s="248" t="n">
        <v>11.0259</v>
      </c>
      <c r="I22" s="249" t="n">
        <v>0.0493805565076857</v>
      </c>
      <c r="J22" s="249" t="n">
        <v>-0.139767465987562</v>
      </c>
      <c r="K22" s="249" t="n">
        <v>0.988181747651942</v>
      </c>
      <c r="L22" s="249" t="n">
        <v>13.7861742507829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7.1629</v>
      </c>
      <c r="F23" s="254" t="n">
        <v>16.5608</v>
      </c>
      <c r="G23" s="251" t="n">
        <v>14.7301</v>
      </c>
      <c r="H23" s="251" t="n">
        <v>13.7046</v>
      </c>
      <c r="I23" s="250" t="n">
        <v>0.07244608431556469</v>
      </c>
      <c r="J23" s="250" t="n">
        <v>0.16149737849852</v>
      </c>
      <c r="K23" s="250" t="n">
        <v>0.936544501020529</v>
      </c>
      <c r="L23" s="250" t="n">
        <v>12.9635278078776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381" t="inlineStr">
        <is>
          <t>Actuals</t>
        </is>
      </c>
      <c r="F26" s="382" t="n"/>
      <c r="G26" s="382" t="n"/>
      <c r="H26" s="382" t="n"/>
      <c r="I26" s="382" t="n"/>
      <c r="J26" s="382" t="n"/>
      <c r="K26" s="382" t="n"/>
      <c r="L26" s="382" t="n"/>
      <c r="M26" s="381" t="inlineStr">
        <is>
          <t>Normalized</t>
        </is>
      </c>
      <c r="N26" s="382" t="n"/>
      <c r="O26" s="382" t="n"/>
      <c r="P26" s="382" t="n"/>
      <c r="Q26" s="382" t="n"/>
      <c r="R26" s="382" t="n"/>
      <c r="S26" s="382" t="n"/>
      <c r="T26" s="382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398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12.1418</v>
      </c>
      <c r="F28" s="248" t="n">
        <v>19.7825</v>
      </c>
      <c r="G28" s="248" t="n">
        <v>19.8193</v>
      </c>
      <c r="H28" s="248" t="n">
        <v>17.2811</v>
      </c>
      <c r="I28" s="249" t="n">
        <v>0.0859543221946568</v>
      </c>
      <c r="J28" s="249" t="n">
        <v>0.196922525192232</v>
      </c>
      <c r="K28" s="249" t="n">
        <v>0.831272292029592</v>
      </c>
      <c r="L28" s="249" t="n">
        <v>13.6579874045281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9.6098</v>
      </c>
      <c r="F29" s="248" t="n">
        <v>19.1408</v>
      </c>
      <c r="G29" s="248" t="n">
        <v>16.747</v>
      </c>
      <c r="H29" s="248" t="n">
        <v>17.0704</v>
      </c>
      <c r="I29" s="249" t="n">
        <v>0.0728446795586129</v>
      </c>
      <c r="J29" s="249" t="n">
        <v>0.0575612295173451</v>
      </c>
      <c r="K29" s="249" t="n">
        <v>0.942937572670247</v>
      </c>
      <c r="L29" s="249" t="n">
        <v>16.0045753743788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12.2635</v>
      </c>
      <c r="F30" s="248" t="n">
        <v>20.9147</v>
      </c>
      <c r="G30" s="248" t="n">
        <v>19.0059</v>
      </c>
      <c r="H30" s="248" t="n">
        <v>17.983</v>
      </c>
      <c r="I30" s="249" t="n">
        <v>0.0826963793525235</v>
      </c>
      <c r="J30" s="249" t="n">
        <v>0.163112111003497</v>
      </c>
      <c r="K30" s="249" t="n">
        <v>0.951768251922926</v>
      </c>
      <c r="L30" s="249" t="n">
        <v>15.4998108049149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7.9505</v>
      </c>
      <c r="F31" s="248" t="n">
        <v>12.4741</v>
      </c>
      <c r="G31" s="248" t="n">
        <v>14.1244</v>
      </c>
      <c r="H31" s="248" t="n">
        <v>13.5889</v>
      </c>
      <c r="I31" s="249" t="n">
        <v>0.045290707011046</v>
      </c>
      <c r="J31" s="249" t="n">
        <v>-0.336860530972182</v>
      </c>
      <c r="K31" s="249" t="n">
        <v>0.817085099898514</v>
      </c>
      <c r="L31" s="249" t="n">
        <v>13.7667314000009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7.2621</v>
      </c>
      <c r="F32" s="248" t="n">
        <v>13.0639</v>
      </c>
      <c r="G32" s="248" t="n">
        <v>12.4303</v>
      </c>
      <c r="H32" s="248" t="n">
        <v>13.614</v>
      </c>
      <c r="I32" s="249" t="n">
        <v>0.0487345028936172</v>
      </c>
      <c r="J32" s="249" t="n">
        <v>-0.34576351993614</v>
      </c>
      <c r="K32" s="249" t="n">
        <v>0.929224322541323</v>
      </c>
      <c r="L32" s="249" t="n">
        <v>15.3157501528629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16.7642</v>
      </c>
      <c r="F33" s="248" t="n">
        <v>22.8777</v>
      </c>
      <c r="G33" s="248" t="n">
        <v>17.4197</v>
      </c>
      <c r="H33" s="248" t="n">
        <v>16.4124</v>
      </c>
      <c r="I33" s="249" t="n">
        <v>0.0828456656991929</v>
      </c>
      <c r="J33" s="249" t="n">
        <v>0.195952990832872</v>
      </c>
      <c r="K33" s="249" t="n">
        <v>1.04482605172801</v>
      </c>
      <c r="L33" s="249" t="n">
        <v>17.1885288873079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10.6868</v>
      </c>
      <c r="F34" s="251" t="n">
        <v>17.1935</v>
      </c>
      <c r="G34" s="251" t="n">
        <v>14.6905</v>
      </c>
      <c r="H34" s="251" t="n">
        <v>13.2677</v>
      </c>
      <c r="I34" s="250" t="n">
        <v>0.06732549051600011</v>
      </c>
      <c r="J34" s="250" t="n">
        <v>-0.0622647007832458</v>
      </c>
      <c r="K34" s="250" t="n">
        <v>0.935767666974742</v>
      </c>
      <c r="L34" s="250" t="n">
        <v>15.4116225179682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381" t="inlineStr">
        <is>
          <t>Actuals</t>
        </is>
      </c>
      <c r="F37" s="382" t="n"/>
      <c r="G37" s="382" t="n"/>
      <c r="H37" s="382" t="n"/>
      <c r="I37" s="382" t="n"/>
      <c r="J37" s="382" t="n"/>
      <c r="K37" s="382" t="n"/>
      <c r="L37" s="382" t="n"/>
      <c r="M37" s="381" t="inlineStr">
        <is>
          <t>Normalized</t>
        </is>
      </c>
      <c r="N37" s="382" t="n"/>
      <c r="O37" s="382" t="n"/>
      <c r="P37" s="382" t="n"/>
      <c r="Q37" s="382" t="n"/>
      <c r="R37" s="382" t="n"/>
      <c r="S37" s="382" t="n"/>
      <c r="T37" s="382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398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10.397</v>
      </c>
      <c r="F39" s="248" t="n">
        <v>16.8651</v>
      </c>
      <c r="G39" s="248" t="n">
        <v>19.0115</v>
      </c>
      <c r="H39" s="248" t="n">
        <v>20.6135</v>
      </c>
      <c r="I39" s="249" t="n">
        <v>0.0614303676176137</v>
      </c>
      <c r="J39" s="249" t="n">
        <v>0.0543332336048936</v>
      </c>
      <c r="K39" s="249" t="n">
        <v>0.8261343140491469</v>
      </c>
      <c r="L39" s="249" t="n">
        <v>17.2020455047955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2.6161</v>
      </c>
      <c r="F40" s="248" t="n">
        <v>12.824</v>
      </c>
      <c r="G40" s="248" t="n">
        <v>15.154</v>
      </c>
      <c r="H40" s="248" t="n">
        <v>17.1015</v>
      </c>
      <c r="I40" s="249" t="n">
        <v>0.045437878265642</v>
      </c>
      <c r="J40" s="249" t="n">
        <v>-0.0994366465133287</v>
      </c>
      <c r="K40" s="249" t="n">
        <v>0.773951332116773</v>
      </c>
      <c r="L40" s="249" t="n">
        <v>15.9959150351695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8.654299999999999</v>
      </c>
      <c r="F41" s="248" t="n">
        <v>12.2876</v>
      </c>
      <c r="G41" s="248" t="n">
        <v>14.0416</v>
      </c>
      <c r="H41" s="248" t="n">
        <v>17.9925</v>
      </c>
      <c r="I41" s="249" t="n">
        <v>0.0472250337417538</v>
      </c>
      <c r="J41" s="249" t="n">
        <v>-0.0599929862644342</v>
      </c>
      <c r="K41" s="249" t="n">
        <v>0.715427030984313</v>
      </c>
      <c r="L41" s="249" t="n">
        <v>14.902785887611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7.3299</v>
      </c>
      <c r="F42" s="248" t="n">
        <v>12.6814</v>
      </c>
      <c r="G42" s="248" t="n">
        <v>12.8355</v>
      </c>
      <c r="H42" s="248" t="n">
        <v>16.251</v>
      </c>
      <c r="I42" s="249" t="n">
        <v>0.0421885146694735</v>
      </c>
      <c r="J42" s="249" t="n">
        <v>-0.254669999814139</v>
      </c>
      <c r="K42" s="249" t="n">
        <v>0.824331750916907</v>
      </c>
      <c r="L42" s="249" t="n">
        <v>17.6715772379789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5.2844</v>
      </c>
      <c r="F43" s="248" t="n">
        <v>12.0571</v>
      </c>
      <c r="G43" s="248" t="n">
        <v>13.9354</v>
      </c>
      <c r="H43" s="248" t="n">
        <v>15.3842</v>
      </c>
      <c r="I43" s="249" t="n">
        <v>0.043293711941891</v>
      </c>
      <c r="J43" s="249" t="n">
        <v>-0.215363169689659</v>
      </c>
      <c r="K43" s="249" t="n">
        <v>0.730899646682679</v>
      </c>
      <c r="L43" s="249" t="n">
        <v>15.5098286352377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18.189</v>
      </c>
      <c r="F44" s="248" t="n">
        <v>16.0815</v>
      </c>
      <c r="G44" s="248" t="n">
        <v>13.1422</v>
      </c>
      <c r="H44" s="248" t="n">
        <v>12.7417</v>
      </c>
      <c r="I44" s="249" t="n">
        <v>0.0588887828636027</v>
      </c>
      <c r="J44" s="249" t="n">
        <v>0.1272844174018</v>
      </c>
      <c r="K44" s="249" t="n">
        <v>0.850478148140803</v>
      </c>
      <c r="L44" s="249" t="n">
        <v>17.5795824248198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7.7951</v>
      </c>
      <c r="F45" s="251" t="n">
        <v>15.1807</v>
      </c>
      <c r="G45" s="251" t="n">
        <v>14.9638</v>
      </c>
      <c r="H45" s="251" t="n">
        <v>0</v>
      </c>
      <c r="I45" s="250" t="n">
        <v>0.0510715158298884</v>
      </c>
      <c r="J45" s="250" t="n">
        <v>-0.110836525317774</v>
      </c>
      <c r="K45" s="250" t="n">
        <v>0.850360579636056</v>
      </c>
      <c r="L45" s="250" t="n">
        <v>18.0326211530494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381" t="inlineStr">
        <is>
          <t>Actuals</t>
        </is>
      </c>
      <c r="F48" s="382" t="n"/>
      <c r="G48" s="382" t="n"/>
      <c r="H48" s="382" t="n"/>
      <c r="I48" s="382" t="n"/>
      <c r="J48" s="382" t="n"/>
      <c r="K48" s="382" t="n"/>
      <c r="L48" s="382" t="n"/>
      <c r="M48" s="381" t="inlineStr">
        <is>
          <t>Normalized</t>
        </is>
      </c>
      <c r="N48" s="382" t="n"/>
      <c r="O48" s="382" t="n"/>
      <c r="P48" s="382" t="n"/>
      <c r="Q48" s="382" t="n"/>
      <c r="R48" s="382" t="n"/>
      <c r="S48" s="382" t="n"/>
      <c r="T48" s="382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398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17.0631</v>
      </c>
      <c r="F50" s="248" t="n">
        <v>16.3733</v>
      </c>
      <c r="G50" s="248" t="n">
        <v>13.1226</v>
      </c>
      <c r="H50" s="248" t="n">
        <v>14.903</v>
      </c>
      <c r="I50" s="249" t="n">
        <v>0.077499717830357</v>
      </c>
      <c r="J50" s="249" t="n">
        <v>0.409102057260096</v>
      </c>
      <c r="K50" s="249" t="n">
        <v>0.8039033395242779</v>
      </c>
      <c r="L50" s="249" t="n">
        <v>11.7058212123767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4.8272</v>
      </c>
      <c r="F51" s="248" t="n">
        <v>16.5748</v>
      </c>
      <c r="G51" s="248" t="n">
        <v>18.3225</v>
      </c>
      <c r="H51" s="248" t="n">
        <v>14.0247</v>
      </c>
      <c r="I51" s="249" t="n">
        <v>0.0812680494929877</v>
      </c>
      <c r="J51" s="249" t="n">
        <v>0.369773137425295</v>
      </c>
      <c r="K51" s="249" t="n">
        <v>0.804033404443642</v>
      </c>
      <c r="L51" s="249" t="n">
        <v>11.0856065124748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4.9283</v>
      </c>
      <c r="F52" s="248" t="n">
        <v>10.5749</v>
      </c>
      <c r="G52" s="248" t="n">
        <v>5.8968</v>
      </c>
      <c r="H52" s="248" t="n">
        <v>11.2621</v>
      </c>
      <c r="I52" s="249" t="n">
        <v>0.0306887873994863</v>
      </c>
      <c r="J52" s="249" t="n">
        <v>-0.201303004213487</v>
      </c>
      <c r="K52" s="249" t="n">
        <v>0.917427780977302</v>
      </c>
      <c r="L52" s="249" t="n">
        <v>13.1884035228286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5.2404</v>
      </c>
      <c r="F54" s="248" t="n">
        <v>11.5497</v>
      </c>
      <c r="G54" s="248" t="n">
        <v>11.5518</v>
      </c>
      <c r="H54" s="248" t="n">
        <v>12.8568</v>
      </c>
      <c r="I54" s="249" t="n">
        <v>0.0459254555226311</v>
      </c>
      <c r="J54" s="249" t="n">
        <v>-0.022308062794925</v>
      </c>
      <c r="K54" s="249" t="n">
        <v>0.970870554738176</v>
      </c>
      <c r="L54" s="249" t="n">
        <v>12.9549900174518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12.7997</v>
      </c>
      <c r="F55" s="248" t="n">
        <v>15.5816</v>
      </c>
      <c r="G55" s="248" t="n">
        <v>12.9495</v>
      </c>
      <c r="H55" s="248" t="n">
        <v>0</v>
      </c>
      <c r="I55" s="249" t="n">
        <v>0.0667643141196651</v>
      </c>
      <c r="J55" s="249" t="n">
        <v>0.218847251902383</v>
      </c>
      <c r="K55" s="249" t="n">
        <v>0.9477007308620899</v>
      </c>
      <c r="L55" s="249" t="n">
        <v>12.654727881557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4.2767</v>
      </c>
      <c r="F56" s="251" t="n">
        <v>10.9275</v>
      </c>
      <c r="G56" s="251" t="n">
        <v>0</v>
      </c>
      <c r="H56" s="251" t="n">
        <v>0</v>
      </c>
      <c r="I56" s="250" t="n">
        <v>0.038162342562309</v>
      </c>
      <c r="J56" s="250" t="n">
        <v>-0.137391009510795</v>
      </c>
      <c r="K56" s="250" t="n">
        <v>0.9388970442361531</v>
      </c>
      <c r="L56" s="250" t="n">
        <v>12.6520111031617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383" t="inlineStr">
        <is>
          <t>Actuals</t>
        </is>
      </c>
      <c r="F59" s="382" t="n"/>
      <c r="G59" s="382" t="n"/>
      <c r="H59" s="382" t="n"/>
      <c r="I59" s="382" t="n"/>
      <c r="J59" s="382" t="n"/>
      <c r="K59" s="382" t="n"/>
      <c r="L59" s="381" t="inlineStr">
        <is>
          <t>Normalized</t>
        </is>
      </c>
      <c r="M59" s="382" t="n"/>
      <c r="N59" s="382" t="n"/>
      <c r="O59" s="382" t="n"/>
      <c r="P59" s="382" t="n"/>
      <c r="Q59" s="382" t="n"/>
      <c r="R59" s="382" t="n"/>
      <c r="S59" s="382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398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3.8976</v>
      </c>
      <c r="F61" s="248" t="n">
        <v>13.2575</v>
      </c>
      <c r="G61" s="248" t="n">
        <v>14.9016</v>
      </c>
      <c r="H61" s="248" t="n">
        <v>13.9768</v>
      </c>
      <c r="I61" s="249" t="n">
        <v>0.0729571473215317</v>
      </c>
      <c r="J61" s="249" t="n">
        <v>0</v>
      </c>
      <c r="K61" s="249" t="n">
        <v>0</v>
      </c>
      <c r="L61" s="249" t="n">
        <v>9.29636333599715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9.0909</v>
      </c>
      <c r="F62" s="248" t="n">
        <v>12.2712</v>
      </c>
      <c r="G62" s="248" t="n">
        <v>11.1911</v>
      </c>
      <c r="H62" s="248" t="n">
        <v>10.866</v>
      </c>
      <c r="I62" s="249" t="n">
        <v>0.08684747684638371</v>
      </c>
      <c r="J62" s="249" t="n">
        <v>0</v>
      </c>
      <c r="K62" s="249" t="n">
        <v>0</v>
      </c>
      <c r="L62" s="249" t="n">
        <v>6.33579114843162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5.6994</v>
      </c>
      <c r="F63" s="248" t="n">
        <v>10.2879</v>
      </c>
      <c r="G63" s="248" t="n">
        <v>0</v>
      </c>
      <c r="H63" s="248" t="n">
        <v>0</v>
      </c>
      <c r="I63" s="249" t="n">
        <v>0.0620169599037556</v>
      </c>
      <c r="J63" s="249" t="n">
        <v>0</v>
      </c>
      <c r="K63" s="249" t="n">
        <v>0</v>
      </c>
      <c r="L63" s="249" t="n">
        <v>6.57178561415454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5.215</v>
      </c>
      <c r="F64" s="248" t="n">
        <v>9.798299999999999</v>
      </c>
      <c r="G64" s="248" t="n">
        <v>8.906499999999999</v>
      </c>
      <c r="H64" s="248" t="n">
        <v>0</v>
      </c>
      <c r="I64" s="249" t="n">
        <v>0.046458012736317</v>
      </c>
      <c r="J64" s="249" t="n">
        <v>0</v>
      </c>
      <c r="K64" s="249" t="n">
        <v>0</v>
      </c>
      <c r="L64" s="249" t="n">
        <v>7.58080023623321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2.1999</v>
      </c>
      <c r="F65" s="248" t="n">
        <v>0</v>
      </c>
      <c r="G65" s="248" t="n">
        <v>0</v>
      </c>
      <c r="H65" s="248" t="n">
        <v>0</v>
      </c>
      <c r="I65" s="249" t="n">
        <v>0.0333793256227391</v>
      </c>
      <c r="J65" s="249" t="n">
        <v>0</v>
      </c>
      <c r="K65" s="249" t="n">
        <v>0</v>
      </c>
      <c r="L65" s="249" t="n">
        <v>7.40328603547153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6.4914</v>
      </c>
      <c r="F66" s="248" t="n">
        <v>10.9539</v>
      </c>
      <c r="G66" s="248" t="n">
        <v>9.341200000000001</v>
      </c>
      <c r="H66" s="248" t="n">
        <v>10.2614</v>
      </c>
      <c r="I66" s="249" t="n">
        <v>0.0634458574249938</v>
      </c>
      <c r="J66" s="249" t="n">
        <v>0</v>
      </c>
      <c r="K66" s="249" t="n">
        <v>0</v>
      </c>
      <c r="L66" s="249" t="n">
        <v>7.13085044403601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8.807600000000001</v>
      </c>
      <c r="F67" s="251" t="n">
        <v>11.6986</v>
      </c>
      <c r="G67" s="251" t="n">
        <v>9.910299999999999</v>
      </c>
      <c r="H67" s="251" t="n">
        <v>10.2978</v>
      </c>
      <c r="I67" s="250" t="n">
        <v>0.0712918133880872</v>
      </c>
      <c r="J67" s="250" t="n">
        <v>0</v>
      </c>
      <c r="K67" s="250" t="n">
        <v>0</v>
      </c>
      <c r="L67" s="250" t="n">
        <v>7.08513582271253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383" t="inlineStr">
        <is>
          <t>Actuals</t>
        </is>
      </c>
      <c r="F70" s="382" t="n"/>
      <c r="G70" s="382" t="n"/>
      <c r="H70" s="382" t="n"/>
      <c r="I70" s="382" t="n"/>
      <c r="J70" s="382" t="n"/>
      <c r="K70" s="382" t="n"/>
      <c r="L70" s="384" t="inlineStr">
        <is>
          <t>Normalized</t>
        </is>
      </c>
      <c r="M70" s="382" t="n"/>
      <c r="N70" s="382" t="n"/>
      <c r="O70" s="382" t="n"/>
      <c r="P70" s="382" t="n"/>
      <c r="Q70" s="382" t="n"/>
      <c r="R70" s="382" t="n"/>
      <c r="S70" s="352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398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9.7014</v>
      </c>
      <c r="F72" s="248" t="n">
        <v>15.2782</v>
      </c>
      <c r="G72" s="248" t="n">
        <v>16.7977</v>
      </c>
      <c r="H72" s="248" t="n">
        <v>15.0694</v>
      </c>
      <c r="I72" s="249" t="n">
        <v>0.114065085830267</v>
      </c>
      <c r="J72" s="249" t="n">
        <v>0</v>
      </c>
      <c r="K72" s="249" t="n">
        <v>0</v>
      </c>
      <c r="L72" s="249" t="n">
        <v>86.8577641838595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13.7447</v>
      </c>
      <c r="F73" s="248" t="n">
        <v>15.3572</v>
      </c>
      <c r="G73" s="248" t="n">
        <v>13.2105</v>
      </c>
      <c r="H73" s="248" t="n">
        <v>11.3133</v>
      </c>
      <c r="I73" s="249" t="n">
        <v>0.10958836254191</v>
      </c>
      <c r="J73" s="249" t="n">
        <v>0</v>
      </c>
      <c r="K73" s="249" t="n">
        <v>0</v>
      </c>
      <c r="L73" s="249" t="n">
        <v>86.9477463511821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22.1205</v>
      </c>
      <c r="F74" s="248" t="n">
        <v>0</v>
      </c>
      <c r="G74" s="248" t="n">
        <v>0</v>
      </c>
      <c r="H74" s="248" t="n">
        <v>0</v>
      </c>
      <c r="I74" s="249" t="n">
        <v>0.0955968949562658</v>
      </c>
      <c r="J74" s="249" t="n">
        <v>0</v>
      </c>
      <c r="K74" s="249" t="n">
        <v>0</v>
      </c>
      <c r="L74" s="249" t="n">
        <v>123.452918305457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16.6097</v>
      </c>
      <c r="F75" s="248" t="n">
        <v>18.6102</v>
      </c>
      <c r="G75" s="248" t="n">
        <v>15.0275</v>
      </c>
      <c r="H75" s="248" t="n">
        <v>0</v>
      </c>
      <c r="I75" s="249" t="n">
        <v>0.118704851106002</v>
      </c>
      <c r="J75" s="249" t="n">
        <v>0</v>
      </c>
      <c r="K75" s="249" t="n">
        <v>0</v>
      </c>
      <c r="L75" s="249" t="n">
        <v>104.658347188636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9.219799999999999</v>
      </c>
      <c r="F76" s="248" t="n">
        <v>16.1987</v>
      </c>
      <c r="G76" s="248" t="n">
        <v>13.4669</v>
      </c>
      <c r="H76" s="248" t="n">
        <v>10.403</v>
      </c>
      <c r="I76" s="249" t="n">
        <v>0.09221987309389559</v>
      </c>
      <c r="J76" s="249" t="n">
        <v>0</v>
      </c>
      <c r="K76" s="249" t="n">
        <v>0</v>
      </c>
      <c r="L76" s="249" t="n">
        <v>104.519058023777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16.4035</v>
      </c>
      <c r="F78" s="251" t="n">
        <v>15.5458</v>
      </c>
      <c r="G78" s="251" t="n">
        <v>0</v>
      </c>
      <c r="H78" s="251" t="n">
        <v>0</v>
      </c>
      <c r="I78" s="250" t="n">
        <v>0.09253838177406851</v>
      </c>
      <c r="J78" s="250" t="n">
        <v>0</v>
      </c>
      <c r="K78" s="250" t="n">
        <v>0</v>
      </c>
      <c r="L78" s="250" t="n">
        <v>104.29669107541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383" t="inlineStr">
        <is>
          <t>Actuals</t>
        </is>
      </c>
      <c r="F81" s="382" t="n"/>
      <c r="G81" s="382" t="n"/>
      <c r="H81" s="382" t="n"/>
      <c r="I81" s="382" t="n"/>
      <c r="J81" s="382" t="n"/>
      <c r="K81" s="382" t="n"/>
      <c r="L81" s="384" t="inlineStr">
        <is>
          <t>Normalized</t>
        </is>
      </c>
      <c r="M81" s="382" t="n"/>
      <c r="N81" s="382" t="n"/>
      <c r="O81" s="382" t="n"/>
      <c r="P81" s="382" t="n"/>
      <c r="Q81" s="382" t="n"/>
      <c r="R81" s="382" t="n"/>
      <c r="S81" s="352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386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14.6364</v>
      </c>
      <c r="F83" s="84" t="n">
        <v>22.9963</v>
      </c>
      <c r="G83" s="84" t="n">
        <v>22.7714</v>
      </c>
      <c r="H83" s="84" t="n">
        <v>0</v>
      </c>
      <c r="I83" s="84" t="n">
        <v>0.0746410232202839</v>
      </c>
      <c r="J83" s="84" t="n">
        <v>-0.161645248206563</v>
      </c>
      <c r="K83" s="84" t="n">
        <v>0.974475662129221</v>
      </c>
      <c r="L83" s="84" t="n">
        <v>19.5730294001154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8.1204</v>
      </c>
      <c r="F84" s="84" t="n">
        <v>11.4374</v>
      </c>
      <c r="G84" s="84" t="n">
        <v>11.4735</v>
      </c>
      <c r="H84" s="84" t="n">
        <v>11.7578</v>
      </c>
      <c r="I84" s="84" t="n">
        <v>0.0372903774911138</v>
      </c>
      <c r="J84" s="84" t="n">
        <v>0.07242368184888399</v>
      </c>
      <c r="K84" s="84" t="n">
        <v>0.980520522726421</v>
      </c>
      <c r="L84" s="84" t="n">
        <v>14.5596729440774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12.851</v>
      </c>
      <c r="F85" s="84" t="n">
        <v>0</v>
      </c>
      <c r="G85" s="84" t="n">
        <v>0</v>
      </c>
      <c r="H85" s="84" t="n">
        <v>0</v>
      </c>
      <c r="I85" s="84" t="n">
        <v>-0.0149548788251266</v>
      </c>
      <c r="J85" s="84" t="n">
        <v>-0.0414434798491662</v>
      </c>
      <c r="K85" s="84" t="n">
        <v>1.02039529715395</v>
      </c>
      <c r="L85" s="84" t="n">
        <v>14.2057930227848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11.0753</v>
      </c>
      <c r="F86" s="84" t="n">
        <v>13.3382</v>
      </c>
      <c r="G86" s="84" t="n">
        <v>0</v>
      </c>
      <c r="H86" s="84" t="n">
        <v>0</v>
      </c>
      <c r="I86" s="84" t="n">
        <v>0.0532678253001265</v>
      </c>
      <c r="J86" s="84" t="n">
        <v>0.08498734993859559</v>
      </c>
      <c r="K86" s="84" t="n">
        <v>0.94272637791713</v>
      </c>
      <c r="L86" s="84" t="n">
        <v>12.5610049551061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7.9885</v>
      </c>
      <c r="F87" s="84" t="n">
        <v>0</v>
      </c>
      <c r="G87" s="84" t="n">
        <v>0</v>
      </c>
      <c r="H87" s="84" t="n">
        <v>0</v>
      </c>
      <c r="I87" s="84" t="n">
        <v>0.0160871819335173</v>
      </c>
      <c r="J87" s="84" t="n">
        <v>0</v>
      </c>
      <c r="K87" s="84" t="n">
        <v>0</v>
      </c>
      <c r="L87" s="84" t="n">
        <v>15.3443085458955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25.9475</v>
      </c>
      <c r="F88" s="84" t="n">
        <v>0</v>
      </c>
      <c r="G88" s="84" t="n">
        <v>0</v>
      </c>
      <c r="H88" s="84" t="n">
        <v>0</v>
      </c>
      <c r="I88" s="84" t="n">
        <v>0.07116437996477069</v>
      </c>
      <c r="J88" s="84" t="n">
        <v>0.127285585196947</v>
      </c>
      <c r="K88" s="84" t="n">
        <v>0.98247224432394</v>
      </c>
      <c r="L88" s="84" t="n">
        <v>17.7130558251536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26.304</v>
      </c>
      <c r="F89" s="84" t="n">
        <v>21.2085</v>
      </c>
      <c r="G89" s="84" t="n">
        <v>14.8553</v>
      </c>
      <c r="H89" s="84" t="n">
        <v>13.5754</v>
      </c>
      <c r="I89" s="84" t="n">
        <v>0.0879413410855942</v>
      </c>
      <c r="J89" s="84" t="n">
        <v>0.154295759546156</v>
      </c>
      <c r="K89" s="84" t="n">
        <v>0.886663823984828</v>
      </c>
      <c r="L89" s="84" t="n">
        <v>14.73136666677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19.5609</v>
      </c>
      <c r="F90" s="84" t="n">
        <v>20.5254</v>
      </c>
      <c r="G90" s="84" t="n">
        <v>13.4137</v>
      </c>
      <c r="H90" s="84" t="n">
        <v>0</v>
      </c>
      <c r="I90" s="84" t="n">
        <v>0.101909200789621</v>
      </c>
      <c r="J90" s="84" t="n">
        <v>0.0469325328013239</v>
      </c>
      <c r="K90" s="84" t="n">
        <v>0.876969201992948</v>
      </c>
      <c r="L90" s="84" t="n">
        <v>13.5019570108048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19.1201</v>
      </c>
      <c r="F91" s="84" t="n">
        <v>19.6445</v>
      </c>
      <c r="G91" s="84" t="n">
        <v>14.617</v>
      </c>
      <c r="H91" s="84" t="n">
        <v>0</v>
      </c>
      <c r="I91" s="84" t="n">
        <v>0.0934862288147795</v>
      </c>
      <c r="J91" s="84" t="n">
        <v>0.573557363741823</v>
      </c>
      <c r="K91" s="84" t="n">
        <v>0.937899325916193</v>
      </c>
      <c r="L91" s="84" t="n">
        <v>12.5137831597132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6.2824</v>
      </c>
      <c r="F92" s="84" t="n">
        <v>12.1795</v>
      </c>
      <c r="G92" s="84" t="n">
        <v>8.9671</v>
      </c>
      <c r="H92" s="84" t="n">
        <v>0</v>
      </c>
      <c r="I92" s="84" t="n">
        <v>0.0439817611709514</v>
      </c>
      <c r="J92" s="84" t="n">
        <v>-0.0626057896700483</v>
      </c>
      <c r="K92" s="84" t="n">
        <v>1.03017898861395</v>
      </c>
      <c r="L92" s="84" t="n">
        <v>13.3053305912347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3.9021</v>
      </c>
      <c r="F93" s="84" t="n">
        <v>0</v>
      </c>
      <c r="G93" s="84" t="n">
        <v>0</v>
      </c>
      <c r="H93" s="84" t="n">
        <v>0</v>
      </c>
      <c r="I93" s="84" t="n">
        <v>-0.00244251875564321</v>
      </c>
      <c r="J93" s="84" t="n">
        <v>-0.197765892002097</v>
      </c>
      <c r="K93" s="84" t="n">
        <v>1.04367162003563</v>
      </c>
      <c r="L93" s="84" t="n">
        <v>14.5639690985877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0.8211000000000001</v>
      </c>
      <c r="F94" s="84" t="n">
        <v>0</v>
      </c>
      <c r="G94" s="84" t="n">
        <v>0</v>
      </c>
      <c r="H94" s="84" t="n">
        <v>0</v>
      </c>
      <c r="I94" s="84" t="n">
        <v>0.00543939487132493</v>
      </c>
      <c r="J94" s="84" t="n">
        <v>-0.676995917914635</v>
      </c>
      <c r="K94" s="84" t="n">
        <v>1.12411745836489</v>
      </c>
      <c r="L94" s="84" t="n">
        <v>19.7412737406426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11.606</v>
      </c>
      <c r="F95" s="84" t="n">
        <v>22.5415</v>
      </c>
      <c r="G95" s="84" t="n">
        <v>15.6467</v>
      </c>
      <c r="H95" s="84" t="n">
        <v>0</v>
      </c>
      <c r="I95" s="84" t="n">
        <v>0.102390759163919</v>
      </c>
      <c r="J95" s="84" t="n">
        <v>0.0167684317628582</v>
      </c>
      <c r="K95" s="84" t="n">
        <v>0.985912157173561</v>
      </c>
      <c r="L95" s="84" t="n">
        <v>14.7563305376763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4.1707</v>
      </c>
      <c r="F96" s="84" t="n">
        <v>0</v>
      </c>
      <c r="G96" s="84" t="n">
        <v>0</v>
      </c>
      <c r="H96" s="84" t="n">
        <v>0</v>
      </c>
      <c r="I96" s="84" t="n">
        <v>-0.00269982317830238</v>
      </c>
      <c r="J96" s="84" t="n">
        <v>0.223775673820352</v>
      </c>
      <c r="K96" s="84" t="n">
        <v>0.902652764972228</v>
      </c>
      <c r="L96" s="84" t="n">
        <v>11.88351667784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3.1188</v>
      </c>
      <c r="F97" s="84" t="n">
        <v>11.6966</v>
      </c>
      <c r="G97" s="84" t="n">
        <v>14.6398</v>
      </c>
      <c r="H97" s="84" t="n">
        <v>0</v>
      </c>
      <c r="I97" s="84" t="n">
        <v>0.0488489980885627</v>
      </c>
      <c r="J97" s="84" t="n">
        <v>0.00380963727117734</v>
      </c>
      <c r="K97" s="84" t="n">
        <v>0.886665650060103</v>
      </c>
      <c r="L97" s="84" t="n">
        <v>12.6648824701811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22.5148</v>
      </c>
      <c r="F98" s="84" t="n">
        <v>24.3724</v>
      </c>
      <c r="G98" s="84" t="n">
        <v>0</v>
      </c>
      <c r="H98" s="84" t="n">
        <v>0</v>
      </c>
      <c r="I98" s="84" t="n">
        <v>0.09265431858679821</v>
      </c>
      <c r="J98" s="84" t="n">
        <v>0.198650067349164</v>
      </c>
      <c r="K98" s="84" t="n">
        <v>0.929706087927804</v>
      </c>
      <c r="L98" s="84" t="n">
        <v>16.1573606121556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14.4261</v>
      </c>
      <c r="F99" s="84" t="n">
        <v>17.2629</v>
      </c>
      <c r="G99" s="84" t="n">
        <v>13.5328</v>
      </c>
      <c r="H99" s="84" t="n">
        <v>0</v>
      </c>
      <c r="I99" s="84" t="n">
        <v>0.0635657504535756</v>
      </c>
      <c r="J99" s="84" t="n">
        <v>-0.0193233228139849</v>
      </c>
      <c r="K99" s="84" t="n">
        <v>0.9555598722923619</v>
      </c>
      <c r="L99" s="84" t="n">
        <v>15.7300756189521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2.3921</v>
      </c>
      <c r="F100" s="84" t="n">
        <v>12.6645</v>
      </c>
      <c r="G100" s="84" t="n">
        <v>0</v>
      </c>
      <c r="H100" s="84" t="n">
        <v>0</v>
      </c>
      <c r="I100" s="84" t="n">
        <v>0.0539673838087399</v>
      </c>
      <c r="J100" s="84" t="n">
        <v>0.135759225796254</v>
      </c>
      <c r="K100" s="84" t="n">
        <v>0.886973380158509</v>
      </c>
      <c r="L100" s="84" t="n">
        <v>12.7100160232119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10</v>
      </c>
      <c r="F101" s="84" t="n">
        <v>22.5597</v>
      </c>
      <c r="G101" s="84" t="n">
        <v>0</v>
      </c>
      <c r="H101" s="84" t="n">
        <v>0</v>
      </c>
      <c r="I101" s="84" t="n">
        <v>0.0806668860803525</v>
      </c>
      <c r="J101" s="84" t="n">
        <v>-0.0364806047180426</v>
      </c>
      <c r="K101" s="84" t="n">
        <v>0.834072021881536</v>
      </c>
      <c r="L101" s="84" t="n">
        <v>16.764375270329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8.7349</v>
      </c>
      <c r="F102" s="84" t="n">
        <v>0</v>
      </c>
      <c r="G102" s="84" t="n">
        <v>0</v>
      </c>
      <c r="H102" s="84" t="n">
        <v>0</v>
      </c>
      <c r="I102" s="84" t="n">
        <v>0.00803262943575914</v>
      </c>
      <c r="J102" s="84" t="n">
        <v>0.243516686949834</v>
      </c>
      <c r="K102" s="84" t="n">
        <v>0.883392085416371</v>
      </c>
      <c r="L102" s="84" t="n">
        <v>12.8766308407551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14.3486</v>
      </c>
      <c r="F103" s="84" t="n">
        <v>12.4538</v>
      </c>
      <c r="G103" s="84" t="n">
        <v>12.3843</v>
      </c>
      <c r="H103" s="84" t="n">
        <v>0</v>
      </c>
      <c r="I103" s="84" t="n">
        <v>0.0571430947820831</v>
      </c>
      <c r="J103" s="84" t="n">
        <v>0.0528749265143021</v>
      </c>
      <c r="K103" s="84" t="n">
        <v>0.723797018974278</v>
      </c>
      <c r="L103" s="84" t="n">
        <v>11.9124097402417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-0.2743</v>
      </c>
      <c r="F104" s="84" t="n">
        <v>12.827</v>
      </c>
      <c r="G104" s="84" t="n">
        <v>10.1447</v>
      </c>
      <c r="H104" s="84" t="n">
        <v>0</v>
      </c>
      <c r="I104" s="84" t="n">
        <v>0.0526922321842742</v>
      </c>
      <c r="J104" s="84" t="n">
        <v>0.0548392383917097</v>
      </c>
      <c r="K104" s="84" t="n">
        <v>1.01299527005436</v>
      </c>
      <c r="L104" s="84" t="n">
        <v>13.1296663156729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2.17</v>
      </c>
      <c r="F105" s="84" t="n">
        <v>0</v>
      </c>
      <c r="G105" s="84" t="n">
        <v>0</v>
      </c>
      <c r="H105" s="84" t="n">
        <v>0</v>
      </c>
      <c r="I105" s="84" t="n">
        <v>0.0220074011637142</v>
      </c>
      <c r="J105" s="84" t="n">
        <v>-0.102772971803807</v>
      </c>
      <c r="K105" s="84" t="n">
        <v>0.96425859213969</v>
      </c>
      <c r="L105" s="84" t="n">
        <v>14.421939887309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6.0457</v>
      </c>
      <c r="F106" s="84" t="n">
        <v>13.427</v>
      </c>
      <c r="G106" s="84" t="n">
        <v>11.6737</v>
      </c>
      <c r="H106" s="84" t="n">
        <v>0</v>
      </c>
      <c r="I106" s="84" t="n">
        <v>0.0661790802110349</v>
      </c>
      <c r="J106" s="84" t="n">
        <v>0.222111549302738</v>
      </c>
      <c r="K106" s="84" t="n">
        <v>0.8073929962255521</v>
      </c>
      <c r="L106" s="84" t="n">
        <v>10.4160551878022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10.8434</v>
      </c>
      <c r="F107" s="84" t="n">
        <v>0</v>
      </c>
      <c r="G107" s="84" t="n">
        <v>0</v>
      </c>
      <c r="H107" s="84" t="n">
        <v>0</v>
      </c>
      <c r="I107" s="84" t="n">
        <v>0.0402032824261324</v>
      </c>
      <c r="J107" s="84" t="n">
        <v>0.394023808707809</v>
      </c>
      <c r="K107" s="84" t="n">
        <v>0.807021099785316</v>
      </c>
      <c r="L107" s="84" t="n">
        <v>11.6111114818658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9.4297</v>
      </c>
      <c r="F108" s="84" t="n">
        <v>13.073</v>
      </c>
      <c r="G108" s="84" t="n">
        <v>12.319</v>
      </c>
      <c r="H108" s="84" t="n">
        <v>0</v>
      </c>
      <c r="I108" s="84" t="n">
        <v>0.0424057433468416</v>
      </c>
      <c r="J108" s="84" t="n">
        <v>0.140832089288722</v>
      </c>
      <c r="K108" s="84" t="n">
        <v>1.00302197441804</v>
      </c>
      <c r="L108" s="84" t="n">
        <v>14.6711646191092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5.5586</v>
      </c>
      <c r="F109" s="84" t="n">
        <v>11.412</v>
      </c>
      <c r="G109" s="84" t="n">
        <v>0</v>
      </c>
      <c r="H109" s="84" t="n">
        <v>0</v>
      </c>
      <c r="I109" s="84" t="n">
        <v>0.0409263003865269</v>
      </c>
      <c r="J109" s="84" t="n">
        <v>-0.0924301546753027</v>
      </c>
      <c r="K109" s="84" t="n">
        <v>0.963578758433814</v>
      </c>
      <c r="L109" s="84" t="n">
        <v>13.2945222018044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25.7791</v>
      </c>
      <c r="F110" s="84" t="n">
        <v>0</v>
      </c>
      <c r="G110" s="84" t="n">
        <v>0</v>
      </c>
      <c r="H110" s="84" t="n">
        <v>0</v>
      </c>
      <c r="I110" s="84" t="n">
        <v>0.133035847684056</v>
      </c>
      <c r="J110" s="84" t="n">
        <v>0.514908995495075</v>
      </c>
      <c r="K110" s="84" t="n">
        <v>0.947761241133004</v>
      </c>
      <c r="L110" s="84" t="n">
        <v>14.2591127444238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-7.0582</v>
      </c>
      <c r="F111" s="84" t="n">
        <v>0</v>
      </c>
      <c r="G111" s="84" t="n">
        <v>0</v>
      </c>
      <c r="H111" s="84" t="n">
        <v>0</v>
      </c>
      <c r="I111" s="84" t="n">
        <v>0.0130771770956034</v>
      </c>
      <c r="J111" s="84" t="n">
        <v>0.193595321615013</v>
      </c>
      <c r="K111" s="84" t="n">
        <v>0.986807395201895</v>
      </c>
      <c r="L111" s="84" t="n">
        <v>19.5539197355195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21.8589</v>
      </c>
      <c r="F112" s="84" t="n">
        <v>0</v>
      </c>
      <c r="G112" s="84" t="n">
        <v>0</v>
      </c>
      <c r="H112" s="84" t="n">
        <v>0</v>
      </c>
      <c r="I112" s="84" t="n">
        <v>0.0915446548651158</v>
      </c>
      <c r="J112" s="84" t="n">
        <v>0.308751967486122</v>
      </c>
      <c r="K112" s="84" t="n">
        <v>0.956183464700896</v>
      </c>
      <c r="L112" s="84" t="n">
        <v>17.4233732768918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-0.9866</v>
      </c>
      <c r="F113" s="84" t="n">
        <v>11.2388</v>
      </c>
      <c r="G113" s="84" t="n">
        <v>11.9385</v>
      </c>
      <c r="H113" s="84" t="n">
        <v>0</v>
      </c>
      <c r="I113" s="84" t="n">
        <v>0.0417640829849995</v>
      </c>
      <c r="J113" s="84" t="n">
        <v>-0.0828145038892002</v>
      </c>
      <c r="K113" s="84" t="n">
        <v>1.04958161103236</v>
      </c>
      <c r="L113" s="84" t="n">
        <v>15.4402628982798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8.77</v>
      </c>
      <c r="F115" s="84" t="n">
        <v>7.4791</v>
      </c>
      <c r="G115" s="84" t="n">
        <v>0</v>
      </c>
      <c r="H115" s="84" t="n">
        <v>0</v>
      </c>
      <c r="I115" s="84" t="n">
        <v>0.0195191454819399</v>
      </c>
      <c r="J115" s="84" t="n">
        <v>-0.5001045903442281</v>
      </c>
      <c r="K115" s="84" t="n">
        <v>0.886432171154015</v>
      </c>
      <c r="L115" s="84" t="n">
        <v>13.7613059185325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19.9202</v>
      </c>
      <c r="F116" s="84" t="n">
        <v>0</v>
      </c>
      <c r="G116" s="84" t="n">
        <v>0</v>
      </c>
      <c r="H116" s="84" t="n">
        <v>0</v>
      </c>
      <c r="I116" s="84" t="n">
        <v>0.07459838957941189</v>
      </c>
      <c r="J116" s="84" t="n">
        <v>1.07840316938033</v>
      </c>
      <c r="K116" s="84" t="n">
        <v>1.0099702900758</v>
      </c>
      <c r="L116" s="84" t="n">
        <v>15.6771088593694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38.0342</v>
      </c>
      <c r="F117" s="84" t="n">
        <v>0</v>
      </c>
      <c r="G117" s="84" t="n">
        <v>0</v>
      </c>
      <c r="H117" s="84" t="n">
        <v>0</v>
      </c>
      <c r="I117" s="84" t="n">
        <v>0.0436081713429882</v>
      </c>
      <c r="J117" s="84" t="n">
        <v>0.362062157458137</v>
      </c>
      <c r="K117" s="84" t="n">
        <v>0.910576038009408</v>
      </c>
      <c r="L117" s="84" t="n">
        <v>18.4077663733233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6.6162</v>
      </c>
      <c r="F118" s="84" t="n">
        <v>0</v>
      </c>
      <c r="G118" s="84" t="n">
        <v>0</v>
      </c>
      <c r="H118" s="84" t="n">
        <v>0</v>
      </c>
      <c r="I118" s="84" t="n">
        <v>-0.0285463095082929</v>
      </c>
      <c r="J118" s="84" t="n">
        <v>-0.413932929327226</v>
      </c>
      <c r="K118" s="84" t="n">
        <v>0.886275941292697</v>
      </c>
      <c r="L118" s="84" t="n">
        <v>13.2364167792897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4.8561</v>
      </c>
      <c r="F119" s="84" t="n">
        <v>9.2677</v>
      </c>
      <c r="G119" s="84" t="n">
        <v>10.6308</v>
      </c>
      <c r="H119" s="84" t="n">
        <v>0</v>
      </c>
      <c r="I119" s="84" t="n">
        <v>0.0305344802298745</v>
      </c>
      <c r="J119" s="84" t="n">
        <v>0.0382155323744237</v>
      </c>
      <c r="K119" s="84" t="n">
        <v>0.911023227999343</v>
      </c>
      <c r="L119" s="84" t="n">
        <v>11.5342292718105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7.1007</v>
      </c>
      <c r="F120" s="84" t="n">
        <v>0</v>
      </c>
      <c r="G120" s="84" t="n">
        <v>0</v>
      </c>
      <c r="H120" s="84" t="n">
        <v>0</v>
      </c>
      <c r="I120" s="84" t="n">
        <v>0.0533786576169885</v>
      </c>
      <c r="J120" s="84" t="n">
        <v>0.152810345444662</v>
      </c>
      <c r="K120" s="84" t="n">
        <v>0.987939373008777</v>
      </c>
      <c r="L120" s="84" t="n">
        <v>14.2506810400334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0.9266</v>
      </c>
      <c r="F121" s="84" t="n">
        <v>11.137</v>
      </c>
      <c r="G121" s="84" t="n">
        <v>13.7486</v>
      </c>
      <c r="H121" s="84" t="n">
        <v>12.6875</v>
      </c>
      <c r="I121" s="84" t="n">
        <v>0.04154908939466</v>
      </c>
      <c r="J121" s="84" t="n">
        <v>-0.106022051070389</v>
      </c>
      <c r="K121" s="84" t="n">
        <v>0.983928301069676</v>
      </c>
      <c r="L121" s="84" t="n">
        <v>13.86990191396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19.1386</v>
      </c>
      <c r="F122" s="84" t="n">
        <v>17.6744</v>
      </c>
      <c r="G122" s="84" t="n">
        <v>10.9017</v>
      </c>
      <c r="H122" s="84" t="n">
        <v>14.8725</v>
      </c>
      <c r="I122" s="84" t="n">
        <v>0.0667899993088478</v>
      </c>
      <c r="J122" s="84" t="n">
        <v>0</v>
      </c>
      <c r="K122" s="84" t="n">
        <v>0</v>
      </c>
      <c r="L122" s="84" t="n">
        <v>16.1443332946467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142.352</v>
      </c>
      <c r="F123" s="84" t="n">
        <v>56.5876</v>
      </c>
      <c r="G123" s="84" t="n">
        <v>0</v>
      </c>
      <c r="H123" s="84" t="n">
        <v>0</v>
      </c>
      <c r="I123" s="84" t="n">
        <v>0.10387532697563</v>
      </c>
      <c r="J123" s="84" t="n">
        <v>0.242046679958659</v>
      </c>
      <c r="K123" s="84" t="n">
        <v>1.33050981197712</v>
      </c>
      <c r="L123" s="84" t="n">
        <v>35.1042880166909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16.109</v>
      </c>
      <c r="F125" s="84" t="n">
        <v>0</v>
      </c>
      <c r="G125" s="84" t="n">
        <v>0</v>
      </c>
      <c r="H125" s="84" t="n">
        <v>0</v>
      </c>
      <c r="I125" s="84" t="n">
        <v>0.0877865409962606</v>
      </c>
      <c r="J125" s="84" t="n">
        <v>0.606177984001545</v>
      </c>
      <c r="K125" s="84" t="n">
        <v>0.937826425337043</v>
      </c>
      <c r="L125" s="84" t="n">
        <v>13.2654496840651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7.3309</v>
      </c>
      <c r="F126" s="84" t="n">
        <v>16.0181</v>
      </c>
      <c r="G126" s="84" t="n">
        <v>14.6401</v>
      </c>
      <c r="H126" s="84" t="n">
        <v>13.9925</v>
      </c>
      <c r="I126" s="84" t="n">
        <v>0.06875611189474749</v>
      </c>
      <c r="J126" s="84" t="n">
        <v>0.291971534939006</v>
      </c>
      <c r="K126" s="84" t="n">
        <v>0.984287407811446</v>
      </c>
      <c r="L126" s="84" t="n">
        <v>12.5304972729236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12.8952</v>
      </c>
      <c r="F127" s="84" t="n">
        <v>19.8227</v>
      </c>
      <c r="G127" s="84" t="n">
        <v>15.3994</v>
      </c>
      <c r="H127" s="84" t="n">
        <v>0</v>
      </c>
      <c r="I127" s="84" t="n">
        <v>0.0796593450705103</v>
      </c>
      <c r="J127" s="84" t="n">
        <v>0.518468988843245</v>
      </c>
      <c r="K127" s="84" t="n">
        <v>0.998596101197178</v>
      </c>
      <c r="L127" s="84" t="n">
        <v>14.6652060603124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9.741400000000001</v>
      </c>
      <c r="F128" s="84" t="n">
        <v>16.1921</v>
      </c>
      <c r="G128" s="84" t="n">
        <v>0</v>
      </c>
      <c r="H128" s="84" t="n">
        <v>0</v>
      </c>
      <c r="I128" s="84" t="n">
        <v>0.0661454633495239</v>
      </c>
      <c r="J128" s="84" t="n">
        <v>0.257800505975301</v>
      </c>
      <c r="K128" s="84" t="n">
        <v>0.934203157682074</v>
      </c>
      <c r="L128" s="84" t="n">
        <v>13.2272289211697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21.5504</v>
      </c>
      <c r="F129" s="84" t="n">
        <v>19.8687</v>
      </c>
      <c r="G129" s="84" t="n">
        <v>0</v>
      </c>
      <c r="H129" s="84" t="n">
        <v>0</v>
      </c>
      <c r="I129" s="84" t="n">
        <v>0.0848505241745716</v>
      </c>
      <c r="J129" s="84" t="n">
        <v>0.0560663814899651</v>
      </c>
      <c r="K129" s="84" t="n">
        <v>0.9058278570838521</v>
      </c>
      <c r="L129" s="84" t="n">
        <v>14.4009983351233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26.3879</v>
      </c>
      <c r="F130" s="84" t="n">
        <v>0</v>
      </c>
      <c r="G130" s="84" t="n">
        <v>0</v>
      </c>
      <c r="H130" s="84" t="n">
        <v>0</v>
      </c>
      <c r="I130" s="84" t="n">
        <v>0.0440620335450081</v>
      </c>
      <c r="J130" s="84" t="n">
        <v>0.384303082464693</v>
      </c>
      <c r="K130" s="84" t="n">
        <v>1.02844366659392</v>
      </c>
      <c r="L130" s="84" t="n">
        <v>17.3579011359883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20.4946</v>
      </c>
      <c r="F131" s="84" t="n">
        <v>0</v>
      </c>
      <c r="G131" s="84" t="n">
        <v>0</v>
      </c>
      <c r="H131" s="84" t="n">
        <v>0</v>
      </c>
      <c r="I131" s="84" t="n">
        <v>0.00712610651130177</v>
      </c>
      <c r="J131" s="84" t="n">
        <v>0.323177176871472</v>
      </c>
      <c r="K131" s="84" t="n">
        <v>1.20237176681382</v>
      </c>
      <c r="L131" s="84" t="n">
        <v>17.5698490370379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6.4561</v>
      </c>
      <c r="F132" s="84" t="n">
        <v>0</v>
      </c>
      <c r="G132" s="84" t="n">
        <v>0</v>
      </c>
      <c r="H132" s="84" t="n">
        <v>0</v>
      </c>
      <c r="I132" s="84" t="n">
        <v>0.0506612359242491</v>
      </c>
      <c r="J132" s="84" t="n">
        <v>0.163228655237061</v>
      </c>
      <c r="K132" s="84" t="n">
        <v>0.998464436143628</v>
      </c>
      <c r="L132" s="84" t="n">
        <v>14.5397333172881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10.0748</v>
      </c>
      <c r="F133" s="84" t="n">
        <v>13.347</v>
      </c>
      <c r="G133" s="84" t="n">
        <v>0</v>
      </c>
      <c r="H133" s="84" t="n">
        <v>0</v>
      </c>
      <c r="I133" s="84" t="n">
        <v>0.0440282737663197</v>
      </c>
      <c r="J133" s="84" t="n">
        <v>0.157353279961378</v>
      </c>
      <c r="K133" s="84" t="n">
        <v>0.971429003175012</v>
      </c>
      <c r="L133" s="84" t="n">
        <v>14.1614147824822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3.4928</v>
      </c>
      <c r="F134" s="84" t="n">
        <v>10.3472</v>
      </c>
      <c r="G134" s="84" t="n">
        <v>7.8472</v>
      </c>
      <c r="H134" s="84" t="n">
        <v>0</v>
      </c>
      <c r="I134" s="84" t="n">
        <v>0.0368735506580353</v>
      </c>
      <c r="J134" s="84" t="n">
        <v>-0.151684147358171</v>
      </c>
      <c r="K134" s="84" t="n">
        <v>0.927936842336167</v>
      </c>
      <c r="L134" s="84" t="n">
        <v>11.7108754077245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7.2562</v>
      </c>
      <c r="F135" s="84" t="n">
        <v>15.7763</v>
      </c>
      <c r="G135" s="84" t="n">
        <v>0</v>
      </c>
      <c r="H135" s="84" t="n">
        <v>0</v>
      </c>
      <c r="I135" s="84" t="n">
        <v>0.0575419924043507</v>
      </c>
      <c r="J135" s="84" t="n">
        <v>0.226290439613097</v>
      </c>
      <c r="K135" s="84" t="n">
        <v>1.09066057746512</v>
      </c>
      <c r="L135" s="84" t="n">
        <v>15.3143629856522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-4.2496</v>
      </c>
      <c r="F136" s="84" t="n">
        <v>0</v>
      </c>
      <c r="G136" s="84" t="n">
        <v>0</v>
      </c>
      <c r="H136" s="84" t="n">
        <v>0</v>
      </c>
      <c r="I136" s="84" t="n">
        <v>-0.00445714430024262</v>
      </c>
      <c r="J136" s="84" t="n">
        <v>0.5837115835975309</v>
      </c>
      <c r="K136" s="84" t="n">
        <v>0.975475952248802</v>
      </c>
      <c r="L136" s="84" t="n">
        <v>19.8004361107779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23.5058</v>
      </c>
      <c r="F137" s="84" t="n">
        <v>0</v>
      </c>
      <c r="G137" s="84" t="n">
        <v>0</v>
      </c>
      <c r="H137" s="84" t="n">
        <v>0</v>
      </c>
      <c r="I137" s="84" t="n">
        <v>0.0770295862627548</v>
      </c>
      <c r="J137" s="84" t="n">
        <v>0.07675483088611119</v>
      </c>
      <c r="K137" s="84" t="n">
        <v>1.01448534556538</v>
      </c>
      <c r="L137" s="84" t="n">
        <v>14.9507126986651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4"/>
    <col width="8.7109375" customWidth="1" style="42" min="35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85" t="inlineStr">
        <is>
          <t>Equity Large Cap</t>
        </is>
      </c>
      <c r="C3" s="382" t="n"/>
      <c r="D3" s="382" t="n"/>
      <c r="E3" s="382" t="n"/>
      <c r="F3" s="382" t="n"/>
      <c r="G3" s="382" t="n"/>
      <c r="H3" s="382" t="n"/>
      <c r="I3" s="382" t="n"/>
      <c r="J3" s="382" t="n"/>
      <c r="K3" s="382" t="n"/>
      <c r="L3" s="382" t="n"/>
      <c r="M3" s="382" t="n"/>
      <c r="N3" s="382" t="n"/>
      <c r="O3" s="382" t="n"/>
      <c r="P3" s="382" t="n"/>
      <c r="Q3" s="382" t="n"/>
      <c r="R3" s="382" t="n"/>
      <c r="S3" s="382" t="n"/>
      <c r="T3" s="382" t="n"/>
      <c r="U3" s="382" t="n"/>
      <c r="V3" s="382" t="n"/>
      <c r="W3" s="382" t="n"/>
      <c r="X3" s="382" t="n"/>
      <c r="Y3" s="382" t="n"/>
      <c r="Z3" s="352" t="n"/>
    </row>
    <row r="4" ht="15" customHeight="1" thickBot="1">
      <c r="B4" s="147" t="n"/>
      <c r="C4" s="148" t="n"/>
      <c r="D4" s="190" t="n"/>
      <c r="E4" s="388" t="inlineStr">
        <is>
          <t>Actuals</t>
        </is>
      </c>
      <c r="F4" s="382" t="n"/>
      <c r="G4" s="382" t="n"/>
      <c r="H4" s="382" t="n"/>
      <c r="I4" s="382" t="n"/>
      <c r="J4" s="382" t="n"/>
      <c r="K4" s="382" t="n"/>
      <c r="L4" s="382" t="n"/>
      <c r="M4" s="382" t="n"/>
      <c r="N4" s="382" t="n"/>
      <c r="O4" s="389" t="n"/>
      <c r="P4" s="383" t="inlineStr">
        <is>
          <t>Normalized</t>
        </is>
      </c>
      <c r="Q4" s="382" t="n"/>
      <c r="R4" s="382" t="n"/>
      <c r="S4" s="382" t="n"/>
      <c r="T4" s="382" t="n"/>
      <c r="U4" s="382" t="n"/>
      <c r="V4" s="382" t="n"/>
      <c r="W4" s="382" t="n"/>
      <c r="X4" s="382" t="n"/>
      <c r="Y4" s="382" t="n"/>
      <c r="Z4" s="386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387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4"/>
    <col width="8.7109375" customWidth="1" style="42" min="35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393" t="inlineStr">
        <is>
          <t>Equity Large &amp; Mid Cap</t>
        </is>
      </c>
      <c r="C4" s="357" t="n"/>
      <c r="D4" s="357" t="n"/>
      <c r="E4" s="357" t="n"/>
      <c r="F4" s="357" t="n"/>
      <c r="G4" s="357" t="n"/>
      <c r="H4" s="357" t="n"/>
      <c r="I4" s="357" t="n"/>
      <c r="J4" s="357" t="n"/>
      <c r="K4" s="357" t="n"/>
      <c r="L4" s="357" t="n"/>
      <c r="M4" s="357" t="n"/>
      <c r="N4" s="357" t="n"/>
      <c r="O4" s="357" t="n"/>
      <c r="P4" s="357" t="n"/>
      <c r="Q4" s="357" t="n"/>
      <c r="R4" s="357" t="n"/>
      <c r="S4" s="357" t="n"/>
      <c r="T4" s="357" t="n"/>
      <c r="U4" s="357" t="n"/>
      <c r="V4" s="357" t="n"/>
      <c r="W4" s="357" t="n"/>
      <c r="X4" s="357" t="n"/>
      <c r="Y4" s="357" t="n"/>
      <c r="Z4" s="303" t="n"/>
    </row>
    <row r="5" ht="15" customHeight="1" thickBot="1">
      <c r="B5" s="153" t="n"/>
      <c r="C5" s="154" t="n"/>
      <c r="D5" s="154" t="n"/>
      <c r="E5" s="395" t="inlineStr">
        <is>
          <t>Actuals</t>
        </is>
      </c>
      <c r="F5" s="396" t="n"/>
      <c r="G5" s="396" t="n"/>
      <c r="H5" s="396" t="n"/>
      <c r="I5" s="396" t="n"/>
      <c r="J5" s="396" t="n"/>
      <c r="K5" s="396" t="n"/>
      <c r="L5" s="396" t="n"/>
      <c r="M5" s="396" t="n"/>
      <c r="N5" s="396" t="n"/>
      <c r="O5" s="397" t="n"/>
      <c r="P5" s="390" t="inlineStr">
        <is>
          <t>Normalized</t>
        </is>
      </c>
      <c r="Q5" s="391" t="n"/>
      <c r="R5" s="391" t="n"/>
      <c r="S5" s="391" t="n"/>
      <c r="T5" s="391" t="n"/>
      <c r="U5" s="391" t="n"/>
      <c r="V5" s="391" t="n"/>
      <c r="W5" s="391" t="n"/>
      <c r="X5" s="391" t="n"/>
      <c r="Y5" s="392" t="n"/>
      <c r="Z5" s="394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70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8"/>
    <col width="8.7109375" customWidth="1" style="42" min="49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385" t="inlineStr">
        <is>
          <t>Ultra Short Duration Fund</t>
        </is>
      </c>
      <c r="C4" s="382" t="n"/>
      <c r="D4" s="382" t="n"/>
      <c r="E4" s="382" t="n"/>
      <c r="F4" s="382" t="n"/>
      <c r="G4" s="382" t="n"/>
      <c r="H4" s="382" t="n"/>
      <c r="I4" s="382" t="n"/>
      <c r="J4" s="382" t="n"/>
      <c r="K4" s="382" t="n"/>
      <c r="L4" s="382" t="n"/>
      <c r="M4" s="382" t="n"/>
      <c r="N4" s="382" t="n"/>
      <c r="O4" s="382" t="n"/>
      <c r="P4" s="382" t="n"/>
      <c r="Q4" s="382" t="n"/>
      <c r="R4" s="382" t="n"/>
      <c r="S4" s="382" t="n"/>
      <c r="T4" s="382" t="n"/>
      <c r="U4" s="382" t="n"/>
      <c r="V4" s="382" t="n"/>
      <c r="W4" s="382" t="n"/>
      <c r="X4" s="382" t="n"/>
      <c r="Y4" s="382" t="n"/>
      <c r="Z4" s="382" t="n"/>
      <c r="AA4" s="382" t="n"/>
      <c r="AB4" s="382" t="n"/>
      <c r="AC4" s="382" t="n"/>
      <c r="AD4" s="382" t="n"/>
      <c r="AE4" s="382" t="n"/>
      <c r="AF4" s="382" t="n"/>
      <c r="AG4" s="382" t="n"/>
      <c r="AH4" s="382" t="n"/>
      <c r="AI4" s="382" t="n"/>
      <c r="AJ4" s="382" t="n"/>
      <c r="AK4" s="382" t="n"/>
      <c r="AL4" s="382" t="n"/>
      <c r="AM4" s="382" t="n"/>
      <c r="AN4" s="352" t="n"/>
    </row>
    <row r="5" ht="15" customHeight="1" thickBot="1">
      <c r="B5" s="262" t="n"/>
      <c r="C5" s="189" t="n"/>
      <c r="D5" s="189" t="n"/>
      <c r="E5" s="189" t="n"/>
      <c r="F5" s="400" t="n"/>
      <c r="G5" s="401" t="n"/>
      <c r="H5" s="401" t="n"/>
      <c r="I5" s="401" t="n"/>
      <c r="J5" s="401" t="n"/>
      <c r="K5" s="401" t="n"/>
      <c r="L5" s="401" t="n"/>
      <c r="M5" s="401" t="n"/>
      <c r="N5" s="401" t="n"/>
      <c r="O5" s="401" t="n"/>
      <c r="P5" s="401" t="n"/>
      <c r="Q5" s="401" t="n"/>
      <c r="R5" s="401" t="n"/>
      <c r="S5" s="401" t="n"/>
      <c r="T5" s="401" t="n"/>
      <c r="U5" s="401" t="n"/>
      <c r="V5" s="402" t="n"/>
      <c r="W5" s="400" t="n"/>
      <c r="X5" s="401" t="n"/>
      <c r="Y5" s="401" t="n"/>
      <c r="Z5" s="401" t="n"/>
      <c r="AA5" s="401" t="n"/>
      <c r="AB5" s="401" t="n"/>
      <c r="AC5" s="401" t="n"/>
      <c r="AD5" s="401" t="n"/>
      <c r="AE5" s="401" t="n"/>
      <c r="AF5" s="401" t="n"/>
      <c r="AG5" s="401" t="n"/>
      <c r="AH5" s="401" t="n"/>
      <c r="AI5" s="401" t="n"/>
      <c r="AJ5" s="401" t="n"/>
      <c r="AK5" s="401" t="n"/>
      <c r="AL5" s="401" t="n"/>
      <c r="AM5" s="402" t="n"/>
      <c r="AN5" s="398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399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7.98</v>
      </c>
      <c r="G7" s="248" t="n">
        <v>0.46</v>
      </c>
      <c r="H7" s="249" t="n">
        <v>0.49</v>
      </c>
      <c r="I7" s="249" t="n">
        <v>6.9</v>
      </c>
      <c r="J7" s="249" t="n">
        <v>5.96</v>
      </c>
      <c r="K7" s="249" t="n">
        <v>6.07</v>
      </c>
      <c r="L7" s="249" t="n">
        <v>6.19</v>
      </c>
      <c r="M7" s="249" t="n">
        <v>7.14</v>
      </c>
      <c r="N7" s="249" t="n">
        <v>7.23</v>
      </c>
      <c r="O7" s="249" t="n">
        <v>6.4</v>
      </c>
      <c r="P7" s="249" t="n">
        <v>6.89</v>
      </c>
      <c r="Q7" s="84" t="n">
        <v>12.05</v>
      </c>
      <c r="R7" s="84" t="n">
        <v>60.06</v>
      </c>
      <c r="S7" s="84" t="n">
        <v>19.84</v>
      </c>
      <c r="T7" s="84" t="n">
        <v>10.92</v>
      </c>
      <c r="U7" s="84" t="n">
        <v>0</v>
      </c>
      <c r="V7" s="84" t="n">
        <v>-2.87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7.61</v>
      </c>
      <c r="G8" s="248" t="n">
        <v>0.43</v>
      </c>
      <c r="H8" s="249" t="n">
        <v>0.47</v>
      </c>
      <c r="I8" s="249" t="n">
        <v>6.63</v>
      </c>
      <c r="J8" s="249" t="n">
        <v>5.67</v>
      </c>
      <c r="K8" s="249" t="n">
        <v>5.77</v>
      </c>
      <c r="L8" s="249" t="n">
        <v>5.85</v>
      </c>
      <c r="M8" s="249" t="n">
        <v>6.72</v>
      </c>
      <c r="N8" s="249" t="n">
        <v>6.86</v>
      </c>
      <c r="O8" s="249" t="n">
        <v>6.06</v>
      </c>
      <c r="P8" s="249" t="n">
        <v>0</v>
      </c>
      <c r="Q8" s="84" t="n">
        <v>8.81</v>
      </c>
      <c r="R8" s="84" t="n">
        <v>78.23</v>
      </c>
      <c r="S8" s="84" t="n">
        <v>2.31</v>
      </c>
      <c r="T8" s="84" t="n">
        <v>5.31</v>
      </c>
      <c r="U8" s="84" t="n">
        <v>0</v>
      </c>
      <c r="V8" s="84" t="n">
        <v>5.33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7.79</v>
      </c>
      <c r="G10" s="248" t="n">
        <v>0.44</v>
      </c>
      <c r="H10" s="249" t="n">
        <v>0.48</v>
      </c>
      <c r="I10" s="249" t="n">
        <v>7.16</v>
      </c>
      <c r="J10" s="249" t="n">
        <v>6.07</v>
      </c>
      <c r="K10" s="249" t="n">
        <v>6.07</v>
      </c>
      <c r="L10" s="249" t="n">
        <v>6.13</v>
      </c>
      <c r="M10" s="249" t="n">
        <v>6.88</v>
      </c>
      <c r="N10" s="249" t="n">
        <v>6.97</v>
      </c>
      <c r="O10" s="249" t="n">
        <v>6.18</v>
      </c>
      <c r="P10" s="249" t="n">
        <v>6.76</v>
      </c>
      <c r="Q10" s="84" t="n">
        <v>9.779999999999999</v>
      </c>
      <c r="R10" s="84" t="n">
        <v>68.43000000000001</v>
      </c>
      <c r="S10" s="84" t="n">
        <v>7.49</v>
      </c>
      <c r="T10" s="84" t="n">
        <v>9.630000000000001</v>
      </c>
      <c r="U10" s="84" t="n">
        <v>-14.06</v>
      </c>
      <c r="V10" s="84" t="n">
        <v>4.67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7.9</v>
      </c>
      <c r="G11" s="248" t="n">
        <v>0.4</v>
      </c>
      <c r="H11" s="249" t="n">
        <v>0.41</v>
      </c>
      <c r="I11" s="249" t="n">
        <v>6.35</v>
      </c>
      <c r="J11" s="249" t="n">
        <v>5.75</v>
      </c>
      <c r="K11" s="249" t="n">
        <v>5.79</v>
      </c>
      <c r="L11" s="249" t="n">
        <v>5.82</v>
      </c>
      <c r="M11" s="249" t="n">
        <v>6.62</v>
      </c>
      <c r="N11" s="249" t="n">
        <v>6.73</v>
      </c>
      <c r="O11" s="249" t="n">
        <v>5.95</v>
      </c>
      <c r="P11" s="249" t="n">
        <v>6.32</v>
      </c>
      <c r="Q11" s="84" t="n">
        <v>13.33</v>
      </c>
      <c r="R11" s="84" t="n">
        <v>67.15000000000001</v>
      </c>
      <c r="S11" s="84" t="n">
        <v>10.13</v>
      </c>
      <c r="T11" s="84" t="n">
        <v>5.79</v>
      </c>
      <c r="U11" s="84" t="n">
        <v>0</v>
      </c>
      <c r="V11" s="84" t="n">
        <v>3.6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7.83</v>
      </c>
      <c r="G12" s="248" t="n">
        <v>0.42</v>
      </c>
      <c r="H12" s="249" t="n">
        <v>0.45</v>
      </c>
      <c r="I12" s="249" t="n">
        <v>7.15</v>
      </c>
      <c r="J12" s="249" t="n">
        <v>6.14</v>
      </c>
      <c r="K12" s="249" t="n">
        <v>6.06</v>
      </c>
      <c r="L12" s="249" t="n">
        <v>6.05</v>
      </c>
      <c r="M12" s="249" t="n">
        <v>6.72</v>
      </c>
      <c r="N12" s="249" t="n">
        <v>6.78</v>
      </c>
      <c r="O12" s="249" t="n">
        <v>6.56</v>
      </c>
      <c r="P12" s="249" t="n">
        <v>5.79</v>
      </c>
      <c r="Q12" s="84" t="n">
        <v>9.039999999999999</v>
      </c>
      <c r="R12" s="84" t="n">
        <v>56.81</v>
      </c>
      <c r="S12" s="84" t="n">
        <v>9.06</v>
      </c>
      <c r="T12" s="84" t="n">
        <v>19.13</v>
      </c>
      <c r="U12" s="84" t="n">
        <v>0.04</v>
      </c>
      <c r="V12" s="84" t="n">
        <v>5.93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7.61</v>
      </c>
      <c r="G13" s="251" t="n">
        <v>0.34</v>
      </c>
      <c r="H13" s="250" t="n">
        <v>0.42</v>
      </c>
      <c r="I13" s="250" t="n">
        <v>6.88</v>
      </c>
      <c r="J13" s="250" t="n">
        <v>5.78</v>
      </c>
      <c r="K13" s="250" t="n">
        <v>5.77</v>
      </c>
      <c r="L13" s="250" t="n">
        <v>5.77</v>
      </c>
      <c r="M13" s="250" t="n">
        <v>6.56</v>
      </c>
      <c r="N13" s="250" t="n">
        <v>6.68</v>
      </c>
      <c r="O13" s="250" t="n">
        <v>6.42</v>
      </c>
      <c r="P13" s="250" t="n">
        <v>6.03</v>
      </c>
      <c r="Q13" s="92" t="n">
        <v>5.62</v>
      </c>
      <c r="R13" s="92" t="n">
        <v>62.96</v>
      </c>
      <c r="S13" s="92" t="n">
        <v>11.48</v>
      </c>
      <c r="T13" s="92" t="n">
        <v>8.59</v>
      </c>
      <c r="U13" s="92" t="n">
        <v>0</v>
      </c>
      <c r="V13" s="92" t="n">
        <v>11.35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385" t="inlineStr">
        <is>
          <t>Low Duration Fund</t>
        </is>
      </c>
      <c r="C16" s="382" t="n"/>
      <c r="D16" s="382" t="n"/>
      <c r="E16" s="382" t="n"/>
      <c r="F16" s="382" t="n"/>
      <c r="G16" s="382" t="n"/>
      <c r="H16" s="382" t="n"/>
      <c r="I16" s="382" t="n"/>
      <c r="J16" s="382" t="n"/>
      <c r="K16" s="382" t="n"/>
      <c r="L16" s="382" t="n"/>
      <c r="M16" s="382" t="n"/>
      <c r="N16" s="382" t="n"/>
      <c r="O16" s="382" t="n"/>
      <c r="P16" s="382" t="n"/>
      <c r="Q16" s="382" t="n"/>
      <c r="R16" s="382" t="n"/>
      <c r="S16" s="382" t="n"/>
      <c r="T16" s="382" t="n"/>
      <c r="U16" s="382" t="n"/>
      <c r="V16" s="382" t="n"/>
      <c r="W16" s="382" t="n"/>
      <c r="X16" s="382" t="n"/>
      <c r="Y16" s="382" t="n"/>
      <c r="Z16" s="382" t="n"/>
      <c r="AA16" s="382" t="n"/>
      <c r="AB16" s="382" t="n"/>
      <c r="AC16" s="382" t="n"/>
      <c r="AD16" s="382" t="n"/>
      <c r="AE16" s="382" t="n"/>
      <c r="AF16" s="382" t="n"/>
      <c r="AG16" s="382" t="n"/>
      <c r="AH16" s="382" t="n"/>
      <c r="AI16" s="382" t="n"/>
      <c r="AJ16" s="382" t="n"/>
      <c r="AK16" s="382" t="n"/>
      <c r="AL16" s="382" t="n"/>
      <c r="AM16" s="382" t="n"/>
      <c r="AN16" s="352" t="n"/>
    </row>
    <row r="17" ht="15" customHeight="1" thickBot="1">
      <c r="B17" s="262" t="n"/>
      <c r="C17" s="189" t="n"/>
      <c r="D17" s="189" t="n"/>
      <c r="E17" s="189" t="n"/>
      <c r="F17" s="400" t="n"/>
      <c r="G17" s="401" t="n"/>
      <c r="H17" s="401" t="n"/>
      <c r="I17" s="401" t="n"/>
      <c r="J17" s="401" t="n"/>
      <c r="K17" s="401" t="n"/>
      <c r="L17" s="401" t="n"/>
      <c r="M17" s="401" t="n"/>
      <c r="N17" s="401" t="n"/>
      <c r="O17" s="401" t="n"/>
      <c r="P17" s="401" t="n"/>
      <c r="Q17" s="401" t="n"/>
      <c r="R17" s="401" t="n"/>
      <c r="S17" s="401" t="n"/>
      <c r="T17" s="401" t="n"/>
      <c r="U17" s="401" t="n"/>
      <c r="V17" s="402" t="n"/>
      <c r="W17" s="400" t="n"/>
      <c r="X17" s="401" t="n"/>
      <c r="Y17" s="401" t="n"/>
      <c r="Z17" s="401" t="n"/>
      <c r="AA17" s="401" t="n"/>
      <c r="AB17" s="401" t="n"/>
      <c r="AC17" s="401" t="n"/>
      <c r="AD17" s="401" t="n"/>
      <c r="AE17" s="401" t="n"/>
      <c r="AF17" s="401" t="n"/>
      <c r="AG17" s="401" t="n"/>
      <c r="AH17" s="401" t="n"/>
      <c r="AI17" s="401" t="n"/>
      <c r="AJ17" s="401" t="n"/>
      <c r="AK17" s="401" t="n"/>
      <c r="AL17" s="401" t="n"/>
      <c r="AM17" s="402" t="n"/>
      <c r="AN17" s="398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399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7.95</v>
      </c>
      <c r="G19" s="248" t="n">
        <v>0.95</v>
      </c>
      <c r="H19" s="249" t="n">
        <v>1.01</v>
      </c>
      <c r="I19" s="248" t="n">
        <v>7.24</v>
      </c>
      <c r="J19" s="248" t="n">
        <v>5.91</v>
      </c>
      <c r="K19" s="248" t="n">
        <v>6.18</v>
      </c>
      <c r="L19" s="248" t="n">
        <v>6.2</v>
      </c>
      <c r="M19" s="248" t="n">
        <v>7.3</v>
      </c>
      <c r="N19" s="248" t="n">
        <v>7.45</v>
      </c>
      <c r="O19" s="248" t="n">
        <v>6.52</v>
      </c>
      <c r="P19" s="248" t="n">
        <v>7.07</v>
      </c>
      <c r="Q19" s="248" t="n">
        <v>8.949999999999999</v>
      </c>
      <c r="R19" s="248" t="n">
        <v>73.29000000000001</v>
      </c>
      <c r="S19" s="248" t="n">
        <v>6.89</v>
      </c>
      <c r="T19" s="248" t="n">
        <v>7.01</v>
      </c>
      <c r="U19" s="248" t="n">
        <v>-5.6</v>
      </c>
      <c r="V19" s="248" t="n">
        <v>3.86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7.82</v>
      </c>
      <c r="G20" s="248" t="n">
        <v>0.88</v>
      </c>
      <c r="H20" s="249" t="n">
        <v>0.95</v>
      </c>
      <c r="I20" s="248" t="n">
        <v>6.6</v>
      </c>
      <c r="J20" s="248" t="n">
        <v>5.42</v>
      </c>
      <c r="K20" s="248" t="n">
        <v>5.6</v>
      </c>
      <c r="L20" s="248" t="n">
        <v>5.59</v>
      </c>
      <c r="M20" s="248" t="n">
        <v>6.79</v>
      </c>
      <c r="N20" s="248" t="n">
        <v>6.9</v>
      </c>
      <c r="O20" s="248" t="n">
        <v>6.03</v>
      </c>
      <c r="P20" s="248" t="n">
        <v>6.57</v>
      </c>
      <c r="Q20" s="248" t="n">
        <v>13.35</v>
      </c>
      <c r="R20" s="248" t="n">
        <v>67.59</v>
      </c>
      <c r="S20" s="248" t="n">
        <v>1.71</v>
      </c>
      <c r="T20" s="248" t="n">
        <v>14.47</v>
      </c>
      <c r="U20" s="248" t="n">
        <v>0</v>
      </c>
      <c r="V20" s="248" t="n">
        <v>2.88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7.7</v>
      </c>
      <c r="G22" s="248" t="n">
        <v>0.85</v>
      </c>
      <c r="H22" s="249" t="n">
        <v>0.91</v>
      </c>
      <c r="I22" s="248" t="n">
        <v>6.31</v>
      </c>
      <c r="J22" s="248" t="n">
        <v>4.97</v>
      </c>
      <c r="K22" s="248" t="n">
        <v>5.3</v>
      </c>
      <c r="L22" s="248" t="n">
        <v>5.35</v>
      </c>
      <c r="M22" s="248" t="n">
        <v>6.49</v>
      </c>
      <c r="N22" s="248" t="n">
        <v>6.58</v>
      </c>
      <c r="O22" s="248" t="n">
        <v>5.83</v>
      </c>
      <c r="P22" s="248" t="n">
        <v>6.47</v>
      </c>
      <c r="Q22" s="248" t="n">
        <v>12.03</v>
      </c>
      <c r="R22" s="248" t="n">
        <v>71.34999999999999</v>
      </c>
      <c r="S22" s="248" t="n">
        <v>4.35</v>
      </c>
      <c r="T22" s="248" t="n">
        <v>9.81</v>
      </c>
      <c r="U22" s="248" t="n">
        <v>0</v>
      </c>
      <c r="V22" s="248" t="n">
        <v>2.46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8.130000000000001</v>
      </c>
      <c r="G23" s="248" t="n">
        <v>0.93</v>
      </c>
      <c r="H23" s="249" t="n">
        <v>0.99</v>
      </c>
      <c r="I23" s="248" t="n">
        <v>6.24</v>
      </c>
      <c r="J23" s="248" t="n">
        <v>5.17</v>
      </c>
      <c r="K23" s="248" t="n">
        <v>5.35</v>
      </c>
      <c r="L23" s="248" t="n">
        <v>5.41</v>
      </c>
      <c r="M23" s="248" t="n">
        <v>6.65</v>
      </c>
      <c r="N23" s="248" t="n">
        <v>6.71</v>
      </c>
      <c r="O23" s="248" t="n">
        <v>5.84</v>
      </c>
      <c r="P23" s="248" t="n">
        <v>6.62</v>
      </c>
      <c r="Q23" s="248" t="n">
        <v>12.85</v>
      </c>
      <c r="R23" s="248" t="n">
        <v>68.36</v>
      </c>
      <c r="S23" s="248" t="n">
        <v>5.6</v>
      </c>
      <c r="T23" s="248" t="n">
        <v>11.98</v>
      </c>
      <c r="U23" s="248" t="n">
        <v>0</v>
      </c>
      <c r="V23" s="248" t="n">
        <v>1.21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7.88</v>
      </c>
      <c r="G24" s="248" t="n">
        <v>0.92</v>
      </c>
      <c r="H24" s="249" t="n">
        <v>0.98</v>
      </c>
      <c r="I24" s="248" t="n">
        <v>6.93</v>
      </c>
      <c r="J24" s="248" t="n">
        <v>5.48</v>
      </c>
      <c r="K24" s="248" t="n">
        <v>5.64</v>
      </c>
      <c r="L24" s="248" t="n">
        <v>5.73</v>
      </c>
      <c r="M24" s="248" t="n">
        <v>6.86</v>
      </c>
      <c r="N24" s="248" t="n">
        <v>6.86</v>
      </c>
      <c r="O24" s="248" t="n">
        <v>6.02</v>
      </c>
      <c r="P24" s="248" t="n">
        <v>6.48</v>
      </c>
      <c r="Q24" s="248" t="n">
        <v>10.98</v>
      </c>
      <c r="R24" s="248" t="n">
        <v>69.16</v>
      </c>
      <c r="S24" s="248" t="n">
        <v>6.37</v>
      </c>
      <c r="T24" s="248" t="n">
        <v>8.640000000000001</v>
      </c>
      <c r="U24" s="248" t="n">
        <v>0.07000000000000001</v>
      </c>
      <c r="V24" s="248" t="n">
        <v>4.79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7.77</v>
      </c>
      <c r="G25" s="251" t="n">
        <v>0.6899999999999999</v>
      </c>
      <c r="H25" s="250" t="n">
        <v>0.8100000000000001</v>
      </c>
      <c r="I25" s="251" t="n">
        <v>7.14</v>
      </c>
      <c r="J25" s="251" t="n">
        <v>5.82</v>
      </c>
      <c r="K25" s="251" t="n">
        <v>6</v>
      </c>
      <c r="L25" s="251" t="n">
        <v>6.03</v>
      </c>
      <c r="M25" s="251" t="n">
        <v>7.18</v>
      </c>
      <c r="N25" s="251" t="n">
        <v>7.17</v>
      </c>
      <c r="O25" s="251" t="n">
        <v>7.34</v>
      </c>
      <c r="P25" s="251" t="n">
        <v>5.99</v>
      </c>
      <c r="Q25" s="251" t="n">
        <v>6.16</v>
      </c>
      <c r="R25" s="251" t="n">
        <v>73.56999999999999</v>
      </c>
      <c r="S25" s="251" t="n">
        <v>2.37</v>
      </c>
      <c r="T25" s="251" t="n">
        <v>6.97</v>
      </c>
      <c r="U25" s="248" t="n">
        <v>0</v>
      </c>
      <c r="V25" s="251" t="n">
        <v>10.93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385" t="inlineStr">
        <is>
          <t>Short Duration Fund</t>
        </is>
      </c>
      <c r="C28" s="382" t="n"/>
      <c r="D28" s="382" t="n"/>
      <c r="E28" s="382" t="n"/>
      <c r="F28" s="382" t="n"/>
      <c r="G28" s="382" t="n"/>
      <c r="H28" s="382" t="n"/>
      <c r="I28" s="382" t="n"/>
      <c r="J28" s="382" t="n"/>
      <c r="K28" s="382" t="n"/>
      <c r="L28" s="382" t="n"/>
      <c r="M28" s="382" t="n"/>
      <c r="N28" s="382" t="n"/>
      <c r="O28" s="382" t="n"/>
      <c r="P28" s="382" t="n"/>
      <c r="Q28" s="382" t="n"/>
      <c r="R28" s="382" t="n"/>
      <c r="S28" s="382" t="n"/>
      <c r="T28" s="382" t="n"/>
      <c r="U28" s="382" t="n"/>
      <c r="V28" s="382" t="n"/>
      <c r="W28" s="382" t="n"/>
      <c r="X28" s="382" t="n"/>
      <c r="Y28" s="382" t="n"/>
      <c r="Z28" s="382" t="n"/>
      <c r="AA28" s="382" t="n"/>
      <c r="AB28" s="382" t="n"/>
      <c r="AC28" s="382" t="n"/>
      <c r="AD28" s="382" t="n"/>
      <c r="AE28" s="382" t="n"/>
      <c r="AF28" s="382" t="n"/>
      <c r="AG28" s="382" t="n"/>
      <c r="AH28" s="382" t="n"/>
      <c r="AI28" s="382" t="n"/>
      <c r="AJ28" s="382" t="n"/>
      <c r="AK28" s="382" t="n"/>
      <c r="AL28" s="382" t="n"/>
      <c r="AM28" s="382" t="n"/>
      <c r="AN28" s="352" t="n"/>
    </row>
    <row r="29" ht="15" customHeight="1" thickBot="1">
      <c r="B29" s="262" t="n"/>
      <c r="C29" s="189" t="n"/>
      <c r="D29" s="189" t="n"/>
      <c r="E29" s="189" t="n"/>
      <c r="F29" s="400" t="n"/>
      <c r="G29" s="401" t="n"/>
      <c r="H29" s="401" t="n"/>
      <c r="I29" s="401" t="n"/>
      <c r="J29" s="401" t="n"/>
      <c r="K29" s="401" t="n"/>
      <c r="L29" s="401" t="n"/>
      <c r="M29" s="401" t="n"/>
      <c r="N29" s="401" t="n"/>
      <c r="O29" s="401" t="n"/>
      <c r="P29" s="401" t="n"/>
      <c r="Q29" s="401" t="n"/>
      <c r="R29" s="401" t="n"/>
      <c r="S29" s="401" t="n"/>
      <c r="T29" s="401" t="n"/>
      <c r="U29" s="401" t="n"/>
      <c r="V29" s="402" t="n"/>
      <c r="W29" s="400" t="n"/>
      <c r="X29" s="401" t="n"/>
      <c r="Y29" s="401" t="n"/>
      <c r="Z29" s="401" t="n"/>
      <c r="AA29" s="401" t="n"/>
      <c r="AB29" s="401" t="n"/>
      <c r="AC29" s="401" t="n"/>
      <c r="AD29" s="401" t="n"/>
      <c r="AE29" s="401" t="n"/>
      <c r="AF29" s="401" t="n"/>
      <c r="AG29" s="401" t="n"/>
      <c r="AH29" s="401" t="n"/>
      <c r="AI29" s="401" t="n"/>
      <c r="AJ29" s="401" t="n"/>
      <c r="AK29" s="401" t="n"/>
      <c r="AL29" s="401" t="n"/>
      <c r="AM29" s="402" t="n"/>
      <c r="AN29" s="398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399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8.140000000000001</v>
      </c>
      <c r="G31" s="248" t="n">
        <v>2.72</v>
      </c>
      <c r="H31" s="249" t="n">
        <v>2.86</v>
      </c>
      <c r="I31" s="248" t="n">
        <v>8.56</v>
      </c>
      <c r="J31" s="248" t="n">
        <v>5.59</v>
      </c>
      <c r="K31" s="248" t="n">
        <v>5.91</v>
      </c>
      <c r="L31" s="248" t="n">
        <v>5.75</v>
      </c>
      <c r="M31" s="248" t="n">
        <v>7.37</v>
      </c>
      <c r="N31" s="248" t="n">
        <v>7.38</v>
      </c>
      <c r="O31" s="248" t="n">
        <v>6.52</v>
      </c>
      <c r="P31" s="248" t="n">
        <v>7.28</v>
      </c>
      <c r="Q31" s="248" t="n">
        <v>17.87</v>
      </c>
      <c r="R31" s="248" t="n">
        <v>59.64</v>
      </c>
      <c r="S31" s="248" t="n">
        <v>9.220000000000001</v>
      </c>
      <c r="T31" s="248" t="n">
        <v>10.48</v>
      </c>
      <c r="U31" s="248" t="n">
        <v>3.53</v>
      </c>
      <c r="V31" s="248" t="n">
        <v>2.79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7.94</v>
      </c>
      <c r="G32" s="248" t="n">
        <v>2.07</v>
      </c>
      <c r="H32" s="249" t="n">
        <v>2.19</v>
      </c>
      <c r="I32" s="248" t="n">
        <v>6.99</v>
      </c>
      <c r="J32" s="248" t="n">
        <v>4.57</v>
      </c>
      <c r="K32" s="248" t="n">
        <v>4.86</v>
      </c>
      <c r="L32" s="248" t="n">
        <v>4.56</v>
      </c>
      <c r="M32" s="248" t="n">
        <v>6.76</v>
      </c>
      <c r="N32" s="248" t="n">
        <v>6.77</v>
      </c>
      <c r="O32" s="248" t="n">
        <v>5.73</v>
      </c>
      <c r="P32" s="248" t="n">
        <v>6.65</v>
      </c>
      <c r="Q32" s="248" t="n">
        <v>15.67</v>
      </c>
      <c r="R32" s="248" t="n">
        <v>81.3</v>
      </c>
      <c r="S32" s="248" t="n">
        <v>0</v>
      </c>
      <c r="T32" s="248" t="n">
        <v>0</v>
      </c>
      <c r="U32" s="248" t="n">
        <v>0</v>
      </c>
      <c r="V32" s="248" t="n">
        <v>3.02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8.01</v>
      </c>
      <c r="G33" s="248" t="n">
        <v>2.41</v>
      </c>
      <c r="H33" s="249" t="n">
        <v>2.56</v>
      </c>
      <c r="I33" s="248" t="n">
        <v>8.050000000000001</v>
      </c>
      <c r="J33" s="248" t="n">
        <v>5.33</v>
      </c>
      <c r="K33" s="248" t="n">
        <v>5.65</v>
      </c>
      <c r="L33" s="248" t="n">
        <v>5.41</v>
      </c>
      <c r="M33" s="248" t="n">
        <v>7.35</v>
      </c>
      <c r="N33" s="248" t="n">
        <v>7.36</v>
      </c>
      <c r="O33" s="248" t="n">
        <v>6.31</v>
      </c>
      <c r="P33" s="248" t="n">
        <v>7.22</v>
      </c>
      <c r="Q33" s="248" t="n">
        <v>10.77</v>
      </c>
      <c r="R33" s="248" t="n">
        <v>69.44</v>
      </c>
      <c r="S33" s="248" t="n">
        <v>6.93</v>
      </c>
      <c r="T33" s="248" t="n">
        <v>9.539999999999999</v>
      </c>
      <c r="U33" s="248" t="n">
        <v>0</v>
      </c>
      <c r="V33" s="248" t="n">
        <v>3.33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7.94</v>
      </c>
      <c r="G34" s="248" t="n">
        <v>2.01</v>
      </c>
      <c r="H34" s="249" t="n">
        <v>2.12</v>
      </c>
      <c r="I34" s="248" t="n">
        <v>7.27</v>
      </c>
      <c r="J34" s="248" t="n">
        <v>4.7</v>
      </c>
      <c r="K34" s="248" t="n">
        <v>4.99</v>
      </c>
      <c r="L34" s="248" t="n">
        <v>4.98</v>
      </c>
      <c r="M34" s="248" t="n">
        <v>7.07</v>
      </c>
      <c r="N34" s="248" t="n">
        <v>6.98</v>
      </c>
      <c r="O34" s="248" t="n">
        <v>5.96</v>
      </c>
      <c r="P34" s="248" t="n">
        <v>6.72</v>
      </c>
      <c r="Q34" s="248" t="n">
        <v>14.62</v>
      </c>
      <c r="R34" s="248" t="n">
        <v>61.45</v>
      </c>
      <c r="S34" s="248" t="n">
        <v>8.31</v>
      </c>
      <c r="T34" s="248" t="n">
        <v>7.39</v>
      </c>
      <c r="U34" s="248" t="n">
        <v>-3.61</v>
      </c>
      <c r="V34" s="248" t="n">
        <v>8.23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</v>
      </c>
      <c r="G35" s="248" t="n">
        <v>2.11</v>
      </c>
      <c r="H35" s="249" t="n">
        <v>2.26</v>
      </c>
      <c r="I35" s="248" t="n">
        <v>7.62</v>
      </c>
      <c r="J35" s="248" t="n">
        <v>4.8</v>
      </c>
      <c r="K35" s="248" t="n">
        <v>5.4</v>
      </c>
      <c r="L35" s="248" t="n">
        <v>5.2</v>
      </c>
      <c r="M35" s="248" t="n">
        <v>7.12</v>
      </c>
      <c r="N35" s="248" t="n">
        <v>7.08</v>
      </c>
      <c r="O35" s="248" t="n">
        <v>6.23</v>
      </c>
      <c r="P35" s="248" t="n">
        <v>7.08</v>
      </c>
      <c r="Q35" s="248" t="n">
        <v>11.88</v>
      </c>
      <c r="R35" s="248" t="n">
        <v>65.64</v>
      </c>
      <c r="S35" s="248" t="n">
        <v>5.03</v>
      </c>
      <c r="T35" s="248" t="n">
        <v>10.29</v>
      </c>
      <c r="U35" s="248" t="n">
        <v>0</v>
      </c>
      <c r="V35" s="248" t="n">
        <v>7.16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8.029999999999999</v>
      </c>
      <c r="G36" s="248" t="n">
        <v>2.3</v>
      </c>
      <c r="H36" s="249" t="n">
        <v>2.43</v>
      </c>
      <c r="I36" s="248" t="n">
        <v>7.85</v>
      </c>
      <c r="J36" s="248" t="n">
        <v>5.28</v>
      </c>
      <c r="K36" s="248" t="n">
        <v>5.46</v>
      </c>
      <c r="L36" s="248" t="n">
        <v>5.24</v>
      </c>
      <c r="M36" s="248" t="n">
        <v>7.35</v>
      </c>
      <c r="N36" s="248" t="n">
        <v>7.21</v>
      </c>
      <c r="O36" s="248" t="n">
        <v>6.12</v>
      </c>
      <c r="P36" s="248" t="n">
        <v>6.82</v>
      </c>
      <c r="Q36" s="248" t="n">
        <v>21.39</v>
      </c>
      <c r="R36" s="248" t="n">
        <v>60.82</v>
      </c>
      <c r="S36" s="248" t="n">
        <v>7.32</v>
      </c>
      <c r="T36" s="248" t="n">
        <v>6.57</v>
      </c>
      <c r="U36" s="248" t="n">
        <v>0</v>
      </c>
      <c r="V36" s="248" t="n">
        <v>3.9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7.92</v>
      </c>
      <c r="G37" s="251" t="n">
        <v>1.77</v>
      </c>
      <c r="H37" s="250" t="n">
        <v>2.14</v>
      </c>
      <c r="I37" s="251" t="n">
        <v>7.79</v>
      </c>
      <c r="J37" s="251" t="n">
        <v>4.92</v>
      </c>
      <c r="K37" s="251" t="n">
        <v>5.03</v>
      </c>
      <c r="L37" s="251" t="n">
        <v>4.92</v>
      </c>
      <c r="M37" s="251" t="n">
        <v>6.9</v>
      </c>
      <c r="N37" s="251" t="n">
        <v>6.95</v>
      </c>
      <c r="O37" s="251" t="n">
        <v>7.02</v>
      </c>
      <c r="P37" s="251" t="n">
        <v>6.08</v>
      </c>
      <c r="Q37" s="251" t="n">
        <v>13.56</v>
      </c>
      <c r="R37" s="251" t="n">
        <v>66.84999999999999</v>
      </c>
      <c r="S37" s="251" t="n">
        <v>9.210000000000001</v>
      </c>
      <c r="T37" s="251" t="n">
        <v>5.17</v>
      </c>
      <c r="U37" s="251" t="n">
        <v>0</v>
      </c>
      <c r="V37" s="251" t="n">
        <v>5.22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385" t="inlineStr">
        <is>
          <t>Medium Duration Fund</t>
        </is>
      </c>
      <c r="C39" s="382" t="n"/>
      <c r="D39" s="382" t="n"/>
      <c r="E39" s="382" t="n"/>
      <c r="F39" s="382" t="n"/>
      <c r="G39" s="382" t="n"/>
      <c r="H39" s="382" t="n"/>
      <c r="I39" s="382" t="n"/>
      <c r="J39" s="382" t="n"/>
      <c r="K39" s="382" t="n"/>
      <c r="L39" s="382" t="n"/>
      <c r="M39" s="382" t="n"/>
      <c r="N39" s="382" t="n"/>
      <c r="O39" s="382" t="n"/>
      <c r="P39" s="382" t="n"/>
      <c r="Q39" s="382" t="n"/>
      <c r="R39" s="382" t="n"/>
      <c r="S39" s="382" t="n"/>
      <c r="T39" s="382" t="n"/>
      <c r="U39" s="382" t="n"/>
      <c r="V39" s="382" t="n"/>
      <c r="W39" s="382" t="n"/>
      <c r="X39" s="382" t="n"/>
      <c r="Y39" s="382" t="n"/>
      <c r="Z39" s="382" t="n"/>
      <c r="AA39" s="382" t="n"/>
      <c r="AB39" s="382" t="n"/>
      <c r="AC39" s="382" t="n"/>
      <c r="AD39" s="382" t="n"/>
      <c r="AE39" s="382" t="n"/>
      <c r="AF39" s="382" t="n"/>
      <c r="AG39" s="382" t="n"/>
      <c r="AH39" s="382" t="n"/>
      <c r="AI39" s="382" t="n"/>
      <c r="AJ39" s="382" t="n"/>
      <c r="AK39" s="382" t="n"/>
      <c r="AL39" s="382" t="n"/>
      <c r="AM39" s="382" t="n"/>
      <c r="AN39" s="352" t="n"/>
    </row>
    <row r="40" ht="15" customHeight="1" thickBot="1">
      <c r="B40" s="262" t="n"/>
      <c r="C40" s="189" t="n"/>
      <c r="D40" s="189" t="n"/>
      <c r="E40" s="189" t="n"/>
      <c r="F40" s="400" t="n"/>
      <c r="G40" s="401" t="n"/>
      <c r="H40" s="401" t="n"/>
      <c r="I40" s="401" t="n"/>
      <c r="J40" s="401" t="n"/>
      <c r="K40" s="401" t="n"/>
      <c r="L40" s="401" t="n"/>
      <c r="M40" s="401" t="n"/>
      <c r="N40" s="401" t="n"/>
      <c r="O40" s="401" t="n"/>
      <c r="P40" s="401" t="n"/>
      <c r="Q40" s="401" t="n"/>
      <c r="R40" s="401" t="n"/>
      <c r="S40" s="401" t="n"/>
      <c r="T40" s="401" t="n"/>
      <c r="U40" s="401" t="n"/>
      <c r="V40" s="402" t="n"/>
      <c r="W40" s="400" t="n"/>
      <c r="X40" s="401" t="n"/>
      <c r="Y40" s="401" t="n"/>
      <c r="Z40" s="401" t="n"/>
      <c r="AA40" s="401" t="n"/>
      <c r="AB40" s="401" t="n"/>
      <c r="AC40" s="401" t="n"/>
      <c r="AD40" s="401" t="n"/>
      <c r="AE40" s="401" t="n"/>
      <c r="AF40" s="401" t="n"/>
      <c r="AG40" s="401" t="n"/>
      <c r="AH40" s="401" t="n"/>
      <c r="AI40" s="401" t="n"/>
      <c r="AJ40" s="401" t="n"/>
      <c r="AK40" s="401" t="n"/>
      <c r="AL40" s="401" t="n"/>
      <c r="AM40" s="402" t="n"/>
      <c r="AN40" s="398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399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8.57</v>
      </c>
      <c r="G43" s="248" t="n">
        <v>3.24</v>
      </c>
      <c r="H43" s="249" t="n">
        <v>3.39</v>
      </c>
      <c r="I43" s="248" t="n">
        <v>10.03</v>
      </c>
      <c r="J43" s="248" t="n">
        <v>6.34</v>
      </c>
      <c r="K43" s="248" t="n">
        <v>6.92</v>
      </c>
      <c r="L43" s="248" t="n">
        <v>6.8</v>
      </c>
      <c r="M43" s="248" t="n">
        <v>8.119999999999999</v>
      </c>
      <c r="N43" s="248" t="n">
        <v>7.75</v>
      </c>
      <c r="O43" s="248" t="n">
        <v>6.73</v>
      </c>
      <c r="P43" s="248" t="n">
        <v>7.39</v>
      </c>
      <c r="Q43" s="248" t="n">
        <v>18.44</v>
      </c>
      <c r="R43" s="248" t="n">
        <v>14.48</v>
      </c>
      <c r="S43" s="248" t="n">
        <v>22.58</v>
      </c>
      <c r="T43" s="248" t="n">
        <v>31.76</v>
      </c>
      <c r="U43" s="248" t="n">
        <v>1.38</v>
      </c>
      <c r="V43" s="248" t="n">
        <v>12.75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8.59</v>
      </c>
      <c r="G44" s="248" t="n">
        <v>2.95</v>
      </c>
      <c r="H44" s="249" t="n">
        <v>3.1</v>
      </c>
      <c r="I44" s="248" t="n">
        <v>8.98</v>
      </c>
      <c r="J44" s="248" t="n">
        <v>6.04</v>
      </c>
      <c r="K44" s="248" t="n">
        <v>6.1</v>
      </c>
      <c r="L44" s="248" t="n">
        <v>5.7</v>
      </c>
      <c r="M44" s="248" t="n">
        <v>7.34</v>
      </c>
      <c r="N44" s="248" t="n">
        <v>7.18</v>
      </c>
      <c r="O44" s="248" t="n">
        <v>6.16</v>
      </c>
      <c r="P44" s="248" t="n">
        <v>7.02</v>
      </c>
      <c r="Q44" s="248" t="n">
        <v>16.14</v>
      </c>
      <c r="R44" s="248" t="n">
        <v>23.76</v>
      </c>
      <c r="S44" s="248" t="n">
        <v>16.61</v>
      </c>
      <c r="T44" s="248" t="n">
        <v>29.38</v>
      </c>
      <c r="U44" s="248" t="n">
        <v>6.87</v>
      </c>
      <c r="V44" s="248" t="n">
        <v>7.24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8.49</v>
      </c>
      <c r="G45" s="248" t="n">
        <v>2.85</v>
      </c>
      <c r="H45" s="249" t="n">
        <v>3.01</v>
      </c>
      <c r="I45" s="248" t="n">
        <v>10.49</v>
      </c>
      <c r="J45" s="248" t="n">
        <v>10.11</v>
      </c>
      <c r="K45" s="248" t="n">
        <v>9.109999999999999</v>
      </c>
      <c r="L45" s="248" t="n">
        <v>8.33</v>
      </c>
      <c r="M45" s="248" t="n">
        <v>11.07</v>
      </c>
      <c r="N45" s="248" t="n">
        <v>9.779999999999999</v>
      </c>
      <c r="O45" s="248" t="n">
        <v>11.96</v>
      </c>
      <c r="P45" s="248" t="n">
        <v>8.539999999999999</v>
      </c>
      <c r="Q45" s="248" t="n">
        <v>21.84</v>
      </c>
      <c r="R45" s="248" t="n">
        <v>19.3</v>
      </c>
      <c r="S45" s="248" t="n">
        <v>11.74</v>
      </c>
      <c r="T45" s="248" t="n">
        <v>24.26</v>
      </c>
      <c r="U45" s="248" t="n">
        <v>14.16</v>
      </c>
      <c r="V45" s="248" t="n">
        <v>8.699999999999999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8.720000000000001</v>
      </c>
      <c r="G46" s="248" t="n">
        <v>2.7</v>
      </c>
      <c r="H46" s="249" t="n">
        <v>2.84</v>
      </c>
      <c r="I46" s="248" t="n">
        <v>8.539999999999999</v>
      </c>
      <c r="J46" s="248" t="n">
        <v>5.31</v>
      </c>
      <c r="K46" s="248" t="n">
        <v>6.17</v>
      </c>
      <c r="L46" s="248" t="n">
        <v>6.18</v>
      </c>
      <c r="M46" s="248" t="n">
        <v>7.92</v>
      </c>
      <c r="N46" s="248" t="n">
        <v>7.89</v>
      </c>
      <c r="O46" s="248" t="n">
        <v>6.48</v>
      </c>
      <c r="P46" s="248" t="n">
        <v>6.82</v>
      </c>
      <c r="Q46" s="248" t="n">
        <v>11.08</v>
      </c>
      <c r="R46" s="248" t="n">
        <v>20.79</v>
      </c>
      <c r="S46" s="248" t="n">
        <v>14.43</v>
      </c>
      <c r="T46" s="248" t="n">
        <v>32.9</v>
      </c>
      <c r="U46" s="248" t="n">
        <v>7.54</v>
      </c>
      <c r="V46" s="248" t="n">
        <v>13.27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8.08</v>
      </c>
      <c r="G47" s="248" t="n">
        <v>3.09</v>
      </c>
      <c r="H47" s="249" t="n">
        <v>3.23</v>
      </c>
      <c r="I47" s="248" t="n">
        <v>8.69</v>
      </c>
      <c r="J47" s="248" t="n">
        <v>6.08</v>
      </c>
      <c r="K47" s="248" t="n">
        <v>6.04</v>
      </c>
      <c r="L47" s="248" t="n">
        <v>7.96</v>
      </c>
      <c r="M47" s="248" t="n">
        <v>8.51</v>
      </c>
      <c r="N47" s="248" t="n">
        <v>7.86</v>
      </c>
      <c r="O47" s="248" t="n">
        <v>9.09</v>
      </c>
      <c r="P47" s="248" t="n">
        <v>3.28</v>
      </c>
      <c r="Q47" s="248" t="n">
        <v>23.42</v>
      </c>
      <c r="R47" s="248" t="n">
        <v>22.09</v>
      </c>
      <c r="S47" s="248" t="n">
        <v>5.48</v>
      </c>
      <c r="T47" s="248" t="n">
        <v>34.16</v>
      </c>
      <c r="U47" s="248" t="n">
        <v>0</v>
      </c>
      <c r="V47" s="248" t="n">
        <v>14.85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7.55</v>
      </c>
      <c r="G48" s="251" t="n">
        <v>3.18</v>
      </c>
      <c r="H48" s="250" t="n">
        <v>3.31</v>
      </c>
      <c r="I48" s="251" t="n">
        <v>7.23</v>
      </c>
      <c r="J48" s="251" t="n">
        <v>4.65</v>
      </c>
      <c r="K48" s="251" t="n">
        <v>4.64</v>
      </c>
      <c r="L48" s="251" t="n">
        <v>4.23</v>
      </c>
      <c r="M48" s="251" t="n">
        <v>6.41</v>
      </c>
      <c r="N48" s="251" t="n">
        <v>6.39</v>
      </c>
      <c r="O48" s="251" t="n">
        <v>6.12</v>
      </c>
      <c r="P48" s="251" t="n">
        <v>5.6</v>
      </c>
      <c r="Q48" s="251" t="n">
        <v>44.92</v>
      </c>
      <c r="R48" s="251" t="n">
        <v>16.28</v>
      </c>
      <c r="S48" s="251" t="n">
        <v>2.5</v>
      </c>
      <c r="T48" s="251" t="n">
        <v>19.37</v>
      </c>
      <c r="U48" s="251" t="n">
        <v>0</v>
      </c>
      <c r="V48" s="251" t="n">
        <v>16.93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385">
        <f>'Fund Ranking Criteria'!G24</f>
        <v/>
      </c>
      <c r="C50" s="382" t="n"/>
      <c r="D50" s="382" t="n"/>
      <c r="E50" s="382" t="n"/>
      <c r="F50" s="382" t="n"/>
      <c r="G50" s="382" t="n"/>
      <c r="H50" s="382" t="n"/>
      <c r="I50" s="382" t="n"/>
      <c r="J50" s="382" t="n"/>
      <c r="K50" s="382" t="n"/>
      <c r="L50" s="382" t="n"/>
      <c r="M50" s="382" t="n"/>
      <c r="N50" s="382" t="n"/>
      <c r="O50" s="382" t="n"/>
      <c r="P50" s="382" t="n"/>
      <c r="Q50" s="382" t="n"/>
      <c r="R50" s="382" t="n"/>
      <c r="S50" s="382" t="n"/>
      <c r="T50" s="382" t="n"/>
      <c r="U50" s="382" t="n"/>
      <c r="V50" s="382" t="n"/>
      <c r="W50" s="382" t="n"/>
      <c r="X50" s="382" t="n"/>
      <c r="Y50" s="382" t="n"/>
      <c r="Z50" s="382" t="n"/>
      <c r="AA50" s="382" t="n"/>
      <c r="AB50" s="382" t="n"/>
      <c r="AC50" s="382" t="n"/>
      <c r="AD50" s="382" t="n"/>
      <c r="AE50" s="382" t="n"/>
      <c r="AF50" s="382" t="n"/>
      <c r="AG50" s="382" t="n"/>
      <c r="AH50" s="382" t="n"/>
      <c r="AI50" s="382" t="n"/>
      <c r="AJ50" s="382" t="n"/>
      <c r="AK50" s="382" t="n"/>
      <c r="AL50" s="382" t="n"/>
      <c r="AM50" s="382" t="n"/>
      <c r="AN50" s="352" t="n"/>
    </row>
    <row r="51" ht="15" customHeight="1" thickBot="1">
      <c r="B51" s="155" t="n"/>
      <c r="C51" s="156" t="n"/>
      <c r="D51" s="156" t="n"/>
      <c r="E51" s="156" t="n"/>
      <c r="F51" s="404" t="n"/>
      <c r="G51" s="357" t="n"/>
      <c r="H51" s="357" t="n"/>
      <c r="I51" s="357" t="n"/>
      <c r="J51" s="357" t="n"/>
      <c r="K51" s="357" t="n"/>
      <c r="L51" s="357" t="n"/>
      <c r="M51" s="357" t="n"/>
      <c r="N51" s="357" t="n"/>
      <c r="O51" s="357" t="n"/>
      <c r="P51" s="357" t="n"/>
      <c r="Q51" s="357" t="n"/>
      <c r="R51" s="357" t="n"/>
      <c r="S51" s="357" t="n"/>
      <c r="T51" s="357" t="n"/>
      <c r="U51" s="357" t="n"/>
      <c r="V51" s="405" t="n"/>
      <c r="W51" s="404" t="n"/>
      <c r="X51" s="357" t="n"/>
      <c r="Y51" s="357" t="n"/>
      <c r="Z51" s="357" t="n"/>
      <c r="AA51" s="357" t="n"/>
      <c r="AB51" s="357" t="n"/>
      <c r="AC51" s="357" t="n"/>
      <c r="AD51" s="357" t="n"/>
      <c r="AE51" s="357" t="n"/>
      <c r="AF51" s="357" t="n"/>
      <c r="AG51" s="357" t="n"/>
      <c r="AH51" s="357" t="n"/>
      <c r="AI51" s="357" t="n"/>
      <c r="AJ51" s="357" t="n"/>
      <c r="AK51" s="357" t="n"/>
      <c r="AL51" s="357" t="n"/>
      <c r="AM51" s="405" t="n"/>
      <c r="AN51" s="403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399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7.85</v>
      </c>
      <c r="G53" s="248" t="n">
        <v>6.47</v>
      </c>
      <c r="H53" s="249" t="n">
        <v>6.74</v>
      </c>
      <c r="I53" s="248" t="n">
        <v>10.98</v>
      </c>
      <c r="J53" s="248" t="n">
        <v>4.96</v>
      </c>
      <c r="K53" s="248" t="n">
        <v>5.23</v>
      </c>
      <c r="L53" s="248" t="n">
        <v>4</v>
      </c>
      <c r="M53" s="248" t="n">
        <v>6.8</v>
      </c>
      <c r="N53" s="248" t="n">
        <v>7.04</v>
      </c>
      <c r="O53" s="248" t="n">
        <v>6.04</v>
      </c>
      <c r="P53" s="248" t="n">
        <v>7.05</v>
      </c>
      <c r="Q53" s="248" t="n">
        <v>56.18</v>
      </c>
      <c r="R53" s="248" t="n">
        <v>41.27</v>
      </c>
      <c r="S53" s="248" t="n">
        <v>0</v>
      </c>
      <c r="T53" s="248" t="n">
        <v>0</v>
      </c>
      <c r="U53" s="248" t="n">
        <v>0</v>
      </c>
      <c r="V53" s="248" t="n">
        <v>2.55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7.74</v>
      </c>
      <c r="G54" s="248" t="n">
        <v>6.47</v>
      </c>
      <c r="H54" s="249" t="n">
        <v>6.74</v>
      </c>
      <c r="I54" s="248" t="n">
        <v>10.5</v>
      </c>
      <c r="J54" s="248" t="n">
        <v>3.99</v>
      </c>
      <c r="K54" s="248" t="n">
        <v>3.91</v>
      </c>
      <c r="L54" s="248" t="n">
        <v>2.93</v>
      </c>
      <c r="M54" s="248" t="n">
        <v>5.58</v>
      </c>
      <c r="N54" s="248" t="n">
        <v>6</v>
      </c>
      <c r="O54" s="248" t="n">
        <v>5.41</v>
      </c>
      <c r="P54" s="248" t="n">
        <v>6.74</v>
      </c>
      <c r="Q54" s="248" t="n">
        <v>65.14</v>
      </c>
      <c r="R54" s="248" t="n">
        <v>28.63</v>
      </c>
      <c r="S54" s="248" t="n">
        <v>0</v>
      </c>
      <c r="T54" s="248" t="n">
        <v>0</v>
      </c>
      <c r="U54" s="248" t="n">
        <v>0</v>
      </c>
      <c r="V54" s="248" t="n">
        <v>6.23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7.59</v>
      </c>
      <c r="G55" s="248" t="n">
        <v>4.64</v>
      </c>
      <c r="H55" s="249" t="n">
        <v>4.83</v>
      </c>
      <c r="I55" s="248" t="n">
        <v>11.52</v>
      </c>
      <c r="J55" s="248" t="n">
        <v>4.92</v>
      </c>
      <c r="K55" s="248" t="n">
        <v>4.54</v>
      </c>
      <c r="L55" s="248" t="n">
        <v>3.27</v>
      </c>
      <c r="M55" s="248" t="n">
        <v>5.74</v>
      </c>
      <c r="N55" s="248" t="n">
        <v>6.28</v>
      </c>
      <c r="O55" s="248" t="n">
        <v>5.35</v>
      </c>
      <c r="P55" s="248" t="n">
        <v>6.35</v>
      </c>
      <c r="Q55" s="248" t="n">
        <v>53.58</v>
      </c>
      <c r="R55" s="248" t="n">
        <v>30.07</v>
      </c>
      <c r="S55" s="248" t="n">
        <v>0</v>
      </c>
      <c r="T55" s="248" t="n">
        <v>0</v>
      </c>
      <c r="U55" s="248" t="n">
        <v>0</v>
      </c>
      <c r="V55" s="248" t="n">
        <v>16.34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7.34</v>
      </c>
      <c r="G57" s="248" t="n">
        <v>6.44</v>
      </c>
      <c r="H57" s="249" t="n">
        <v>6.7</v>
      </c>
      <c r="I57" s="248" t="n">
        <v>10.19</v>
      </c>
      <c r="J57" s="248" t="n">
        <v>4.73</v>
      </c>
      <c r="K57" s="248" t="n">
        <v>4.24</v>
      </c>
      <c r="L57" s="248" t="n">
        <v>3.14</v>
      </c>
      <c r="M57" s="248" t="n">
        <v>5.91</v>
      </c>
      <c r="N57" s="248" t="n">
        <v>6.35</v>
      </c>
      <c r="O57" s="248" t="n">
        <v>5.04</v>
      </c>
      <c r="P57" s="248" t="n">
        <v>5.72</v>
      </c>
      <c r="Q57" s="248" t="n">
        <v>68.77</v>
      </c>
      <c r="R57" s="248" t="n">
        <v>25.02</v>
      </c>
      <c r="S57" s="248" t="n">
        <v>0</v>
      </c>
      <c r="T57" s="248" t="n">
        <v>0</v>
      </c>
      <c r="U57" s="248" t="n">
        <v>0</v>
      </c>
      <c r="V57" s="248" t="n">
        <v>6.21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7.41</v>
      </c>
      <c r="G58" s="248" t="n">
        <v>6.43</v>
      </c>
      <c r="H58" s="249" t="n">
        <v>6.69</v>
      </c>
      <c r="I58" s="248" t="n">
        <v>9.869999999999999</v>
      </c>
      <c r="J58" s="248" t="n">
        <v>4.92</v>
      </c>
      <c r="K58" s="248" t="n">
        <v>4.49</v>
      </c>
      <c r="L58" s="248" t="n">
        <v>3.22</v>
      </c>
      <c r="M58" s="248" t="n">
        <v>5.5</v>
      </c>
      <c r="N58" s="248" t="n">
        <v>5.99</v>
      </c>
      <c r="O58" s="248" t="n">
        <v>5.37</v>
      </c>
      <c r="P58" s="248" t="n">
        <v>6.57</v>
      </c>
      <c r="Q58" s="248" t="n">
        <v>84.70999999999999</v>
      </c>
      <c r="R58" s="248" t="n">
        <v>8.380000000000001</v>
      </c>
      <c r="S58" s="248" t="n">
        <v>0</v>
      </c>
      <c r="T58" s="248" t="n">
        <v>0</v>
      </c>
      <c r="U58" s="248" t="n">
        <v>0.24</v>
      </c>
      <c r="V58" s="248" t="n">
        <v>6.66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8.09</v>
      </c>
      <c r="G59" s="251" t="n">
        <v>4.53</v>
      </c>
      <c r="H59" s="250" t="n">
        <v>4.71</v>
      </c>
      <c r="I59" s="251" t="n">
        <v>8.16</v>
      </c>
      <c r="J59" s="251" t="n">
        <v>3.79</v>
      </c>
      <c r="K59" s="251" t="n">
        <v>3.68</v>
      </c>
      <c r="L59" s="251" t="n">
        <v>2.89</v>
      </c>
      <c r="M59" s="251" t="n">
        <v>5.8</v>
      </c>
      <c r="N59" s="251" t="n">
        <v>6</v>
      </c>
      <c r="O59" s="251" t="n">
        <v>8.220000000000001</v>
      </c>
      <c r="P59" s="251" t="n">
        <v>5.36</v>
      </c>
      <c r="Q59" s="251" t="n">
        <v>43.16</v>
      </c>
      <c r="R59" s="251" t="n">
        <v>30.75</v>
      </c>
      <c r="S59" s="251" t="n">
        <v>17.15</v>
      </c>
      <c r="T59" s="251" t="n">
        <v>4.98</v>
      </c>
      <c r="U59" s="251" t="n">
        <v>0</v>
      </c>
      <c r="V59" s="251" t="n">
        <v>3.97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51" t="inlineStr">
        <is>
          <t>Weightage for Equity Fund Ranking</t>
        </is>
      </c>
      <c r="C3" s="382" t="n"/>
      <c r="D3" s="382" t="n"/>
      <c r="E3" s="382" t="n"/>
      <c r="F3" s="382" t="n"/>
      <c r="G3" s="382" t="n"/>
      <c r="H3" s="382" t="n"/>
      <c r="I3" s="382" t="n"/>
      <c r="J3" s="382" t="n"/>
      <c r="K3" s="352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06" t="inlineStr">
        <is>
          <t>80 per cent of the corpus in top 100 companies by market cap</t>
        </is>
      </c>
      <c r="D5" s="406" t="n"/>
      <c r="E5" s="406" t="inlineStr">
        <is>
          <t>Across Large, Mid-cap, Small Cap</t>
        </is>
      </c>
      <c r="F5" s="406" t="inlineStr">
        <is>
          <t xml:space="preserve">65% of their total assets in equity
shares of mid-cap companies </t>
        </is>
      </c>
      <c r="G5" s="406" t="inlineStr">
        <is>
          <t xml:space="preserve">65% of their total assets in equity
shares of small-cap companies </t>
        </is>
      </c>
      <c r="H5" s="406" t="inlineStr">
        <is>
          <t>Set allocation strategy; 60% E &amp; 40% D</t>
        </is>
      </c>
      <c r="I5" s="407" t="inlineStr">
        <is>
          <t>Dynamic Allocation</t>
        </is>
      </c>
      <c r="J5" s="407" t="n"/>
      <c r="K5" s="407" t="n"/>
    </row>
    <row r="6" hidden="1">
      <c r="B6" s="79" t="n"/>
      <c r="C6" s="401" t="n"/>
      <c r="D6" s="401" t="n"/>
      <c r="E6" s="401" t="n"/>
      <c r="F6" s="401" t="n"/>
      <c r="G6" s="401" t="n"/>
      <c r="H6" s="401" t="n"/>
      <c r="I6" s="399" t="n"/>
      <c r="J6" s="399" t="n"/>
      <c r="K6" s="399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54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54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54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54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54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54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54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54" t="n"/>
      <c r="I18" s="387" t="n"/>
      <c r="J18" s="387" t="n"/>
      <c r="K18" s="387" t="n"/>
    </row>
    <row r="19" hidden="1">
      <c r="B19" s="354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55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08" t="inlineStr">
        <is>
          <t>Weightage for Debt Fund Ranking</t>
        </is>
      </c>
      <c r="C23" s="382" t="n"/>
      <c r="D23" s="382" t="n"/>
      <c r="E23" s="382" t="n"/>
      <c r="F23" s="382" t="n"/>
      <c r="G23" s="352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54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54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54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54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54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54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54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54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55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54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54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54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54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54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60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09" t="inlineStr">
        <is>
          <t>Weightage for Hybrid Fund Ranking</t>
        </is>
      </c>
      <c r="C50" s="382" t="n"/>
      <c r="D50" s="382" t="n"/>
      <c r="E50" s="382" t="n"/>
      <c r="F50" s="352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54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54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54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54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55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54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54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54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55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54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54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54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54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54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60" t="inlineStr">
        <is>
          <t>Cash and Fixed Deposits</t>
        </is>
      </c>
      <c r="C71" s="372" t="n"/>
      <c r="D71" s="233" t="n"/>
      <c r="E71" s="372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0"/>
    <col width="8.7109375" customWidth="1" style="261" min="21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387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387" t="n"/>
    </row>
    <row r="5">
      <c r="B5" s="88" t="inlineStr">
        <is>
          <t>HDFC Asset Management Co Ltd</t>
        </is>
      </c>
      <c r="C5" s="104" t="n">
        <v>763496.85</v>
      </c>
      <c r="D5" s="90" t="n"/>
      <c r="K5" s="387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387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387" t="n"/>
    </row>
    <row r="8">
      <c r="B8" s="88" t="inlineStr">
        <is>
          <t>Aditya Birla Sun Life AMC Ltd</t>
        </is>
      </c>
      <c r="C8" s="104" t="n">
        <v>379792.96</v>
      </c>
      <c r="D8" s="90" t="n"/>
      <c r="K8" s="387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387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387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387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387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387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387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387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387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387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387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387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387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387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387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387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387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387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387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387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387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387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387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387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387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387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387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387" t="n"/>
    </row>
    <row r="36" hidden="1">
      <c r="B36" s="88" t="inlineStr">
        <is>
          <t>Navi AMC Limited</t>
        </is>
      </c>
      <c r="C36" s="89" t="n">
        <v>7529.93</v>
      </c>
      <c r="D36" s="90" t="n"/>
      <c r="K36" s="387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387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387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387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387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387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10" t="inlineStr">
        <is>
          <t>Weightage Assumptions</t>
        </is>
      </c>
      <c r="C4" s="411" t="n"/>
      <c r="D4" s="411" t="n"/>
      <c r="E4" s="411" t="n"/>
      <c r="F4" s="411" t="n"/>
      <c r="G4" s="411" t="n"/>
      <c r="H4" s="411" t="n"/>
      <c r="I4" s="412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77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77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77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378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2026-08-07T09:02:39Z</dcterms:modified>
  <cp:lastModifiedBy>Mutual Fund</cp:lastModifiedBy>
  <cp:lastPrinted>2026-07-27T05:45:03Z</cp:lastPrinted>
</cp:coreProperties>
</file>