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zuarifinserv-my.sharepoint.com/personal/mf_zuarifinserv_onmicrosoft_com/Documents/Desktop/"/>
    </mc:Choice>
  </mc:AlternateContent>
  <xr:revisionPtr revIDLastSave="0" documentId="14_{B8457512-56FF-4A96-8213-ED4CE9199382}" xr6:coauthVersionLast="47" xr6:coauthVersionMax="47" xr10:uidLastSave="{00000000-0000-0000-0000-000000000000}"/>
  <bookViews>
    <workbookView xWindow="-120" yWindow="-120" windowWidth="20730" windowHeight="11040" tabRatio="890" firstSheet="2" activeTab="3" xr2:uid="{00000000-000D-0000-FFFF-FFFF00000000}"/>
  </bookViews>
  <sheets>
    <sheet name="AMC Matrix" sheetId="1" state="hidden" r:id="rId1"/>
    <sheet name="Consol_Thematic (2)" sheetId="2" state="hidden" r:id="rId2"/>
    <sheet name="Table 1" sheetId="3" r:id="rId3"/>
    <sheet name="Table 2 FD PMS AIF" sheetId="4" r:id="rId4"/>
    <sheet name="Summary " sheetId="5" r:id="rId5"/>
    <sheet name="Investor Profile" sheetId="6" state="hidden" r:id="rId6"/>
    <sheet name="Investor Persona" sheetId="7" state="hidden" r:id="rId7"/>
    <sheet name="Fund Ranking_Equity" sheetId="8" r:id="rId8"/>
    <sheet name="Fund Ranking_Equity (2)" sheetId="9" state="hidden" r:id="rId9"/>
    <sheet name="Fund Ranking_Equity (3)" sheetId="10" state="hidden" r:id="rId10"/>
    <sheet name="Sheet4" sheetId="11" r:id="rId11"/>
    <sheet name="Fund Ranking_Debt" sheetId="12" r:id="rId12"/>
    <sheet name="Fund Ranking Criteria" sheetId="13" r:id="rId13"/>
    <sheet name="Consol_Thematic" sheetId="14" r:id="rId14"/>
    <sheet name="Sheet4 (2)" sheetId="15" r:id="rId15"/>
    <sheet name="Sheet1" sheetId="16" state="hidden" r:id="rId16"/>
    <sheet name="AMC Data" sheetId="17" r:id="rId17"/>
    <sheet name="Assumptions" sheetId="18" state="hidden" r:id="rId18"/>
    <sheet name="Backup" sheetId="19" r:id="rId19"/>
  </sheets>
  <externalReferences>
    <externalReference r:id="rId20"/>
    <externalReference r:id="rId21"/>
  </externalReferences>
  <definedNames>
    <definedName name="_xlnm._FilterDatabase" localSheetId="13" hidden="1">Consol_Thematic!$A$2:$W$96</definedName>
    <definedName name="_xlnm._FilterDatabase" localSheetId="1" hidden="1">'Consol_Thematic (2)'!$A$1:$L$818</definedName>
    <definedName name="_xlnm._FilterDatabase" localSheetId="10" hidden="1">Sheet4!$A$1:$M$688</definedName>
    <definedName name="_xlnm._FilterDatabase" localSheetId="14" hidden="1">'Sheet4 (2)'!$A$1:$L$853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53" i="15" l="1"/>
  <c r="B852" i="15"/>
  <c r="B851" i="15"/>
  <c r="B850" i="15"/>
  <c r="B849" i="15"/>
  <c r="B848" i="15"/>
  <c r="B847" i="15"/>
  <c r="B846" i="15"/>
  <c r="B845" i="15"/>
  <c r="B844" i="15"/>
  <c r="B843" i="15"/>
  <c r="B842" i="15"/>
  <c r="B841" i="15"/>
  <c r="B840" i="15"/>
  <c r="B839" i="15"/>
  <c r="B838" i="15"/>
  <c r="B837" i="15"/>
  <c r="B836" i="15"/>
  <c r="B835" i="15"/>
  <c r="B834" i="15"/>
  <c r="B833" i="15"/>
  <c r="B832" i="15"/>
  <c r="B831" i="15"/>
  <c r="B830" i="15"/>
  <c r="B829" i="15"/>
  <c r="B828" i="15"/>
  <c r="B827" i="15"/>
  <c r="B826" i="15"/>
  <c r="B825" i="15"/>
  <c r="B824" i="15"/>
  <c r="B823" i="15"/>
  <c r="B822" i="15"/>
  <c r="B821" i="15"/>
  <c r="B820" i="15"/>
  <c r="B819" i="15"/>
  <c r="B818" i="15"/>
  <c r="B817" i="15"/>
  <c r="B816" i="15"/>
  <c r="B815" i="15"/>
  <c r="B814" i="15"/>
  <c r="B813" i="15"/>
  <c r="B812" i="15"/>
  <c r="B811" i="15"/>
  <c r="B810" i="15"/>
  <c r="B809" i="15"/>
  <c r="B808" i="15"/>
  <c r="B807" i="15"/>
  <c r="B806" i="15"/>
  <c r="B805" i="15"/>
  <c r="B804" i="15"/>
  <c r="B803" i="15"/>
  <c r="B802" i="15"/>
  <c r="B801" i="15"/>
  <c r="B800" i="15"/>
  <c r="B799" i="15"/>
  <c r="B798" i="15"/>
  <c r="B797" i="15"/>
  <c r="B796" i="15"/>
  <c r="B795" i="15"/>
  <c r="B794" i="15"/>
  <c r="B793" i="15"/>
  <c r="B792" i="15"/>
  <c r="B791" i="15"/>
  <c r="B790" i="15"/>
  <c r="B789" i="15"/>
  <c r="B788" i="15"/>
  <c r="B787" i="15"/>
  <c r="B786" i="15"/>
  <c r="B785" i="15"/>
  <c r="B784" i="15"/>
  <c r="B783" i="15"/>
  <c r="B782" i="15"/>
  <c r="B781" i="15"/>
  <c r="B780" i="15"/>
  <c r="B779" i="15"/>
  <c r="B778" i="15"/>
  <c r="B777" i="15"/>
  <c r="B776" i="15"/>
  <c r="B775" i="15"/>
  <c r="B774" i="15"/>
  <c r="B773" i="15"/>
  <c r="B772" i="15"/>
  <c r="B771" i="15"/>
  <c r="B770" i="15"/>
  <c r="B769" i="15"/>
  <c r="B768" i="15"/>
  <c r="B767" i="15"/>
  <c r="B766" i="15"/>
  <c r="B765" i="15"/>
  <c r="B764" i="15"/>
  <c r="B763" i="15"/>
  <c r="B762" i="15"/>
  <c r="B761" i="15"/>
  <c r="B760" i="15"/>
  <c r="B759" i="15"/>
  <c r="B758" i="15"/>
  <c r="B757" i="15"/>
  <c r="B756" i="15"/>
  <c r="B755" i="15"/>
  <c r="B754" i="15"/>
  <c r="B753" i="15"/>
  <c r="B752" i="15"/>
  <c r="B751" i="15"/>
  <c r="B750" i="15"/>
  <c r="B749" i="15"/>
  <c r="B748" i="15"/>
  <c r="B747" i="15"/>
  <c r="B746" i="15"/>
  <c r="B745" i="15"/>
  <c r="B744" i="15"/>
  <c r="B743" i="15"/>
  <c r="B742" i="15"/>
  <c r="B741" i="15"/>
  <c r="B740" i="15"/>
  <c r="B739" i="15"/>
  <c r="B738" i="15"/>
  <c r="B737" i="15"/>
  <c r="B736" i="15"/>
  <c r="B735" i="15"/>
  <c r="B734" i="15"/>
  <c r="B733" i="15"/>
  <c r="B732" i="15"/>
  <c r="B731" i="15"/>
  <c r="B730" i="15"/>
  <c r="B729" i="15"/>
  <c r="B728" i="15"/>
  <c r="B727" i="15"/>
  <c r="B726" i="15"/>
  <c r="B725" i="15"/>
  <c r="B724" i="15"/>
  <c r="B723" i="15"/>
  <c r="B722" i="15"/>
  <c r="B721" i="15"/>
  <c r="B720" i="15"/>
  <c r="B719" i="15"/>
  <c r="B718" i="15"/>
  <c r="B717" i="15"/>
  <c r="B716" i="15"/>
  <c r="B715" i="15"/>
  <c r="B714" i="15"/>
  <c r="B713" i="15"/>
  <c r="B712" i="15"/>
  <c r="B711" i="15"/>
  <c r="B710" i="15"/>
  <c r="B709" i="15"/>
  <c r="B708" i="15"/>
  <c r="B707" i="15"/>
  <c r="B706" i="15"/>
  <c r="B705" i="15"/>
  <c r="B704" i="15"/>
  <c r="B703" i="15"/>
  <c r="B702" i="15"/>
  <c r="B701" i="15"/>
  <c r="B700" i="15"/>
  <c r="B699" i="15"/>
  <c r="B698" i="15"/>
  <c r="B697" i="15"/>
  <c r="B696" i="15"/>
  <c r="B695" i="15"/>
  <c r="B694" i="15"/>
  <c r="B693" i="15"/>
  <c r="B692" i="15"/>
  <c r="B691" i="15"/>
  <c r="B690" i="15"/>
  <c r="B689" i="15"/>
  <c r="B688" i="15"/>
  <c r="B687" i="15"/>
  <c r="B686" i="15"/>
  <c r="B685" i="15"/>
  <c r="B684" i="15"/>
  <c r="B683" i="15"/>
  <c r="B682" i="15"/>
  <c r="B681" i="15"/>
  <c r="B680" i="15"/>
  <c r="B679" i="15"/>
  <c r="B678" i="15"/>
  <c r="B677" i="15"/>
  <c r="B676" i="15"/>
  <c r="B675" i="15"/>
  <c r="B674" i="15"/>
  <c r="B673" i="15"/>
  <c r="B672" i="15"/>
  <c r="B671" i="15"/>
  <c r="B670" i="15"/>
  <c r="B669" i="15"/>
  <c r="B668" i="15"/>
  <c r="B667" i="15"/>
  <c r="B666" i="15"/>
  <c r="B665" i="15"/>
  <c r="B664" i="15"/>
  <c r="B663" i="15"/>
  <c r="B662" i="15"/>
  <c r="B661" i="15"/>
  <c r="B660" i="15"/>
  <c r="B659" i="15"/>
  <c r="B658" i="15"/>
  <c r="B657" i="15"/>
  <c r="B656" i="15"/>
  <c r="B655" i="15"/>
  <c r="B654" i="15"/>
  <c r="B653" i="15"/>
  <c r="B652" i="15"/>
  <c r="B651" i="15"/>
  <c r="B650" i="15"/>
  <c r="B649" i="15"/>
  <c r="B648" i="15"/>
  <c r="B647" i="15"/>
  <c r="B646" i="15"/>
  <c r="B645" i="15"/>
  <c r="B644" i="15"/>
  <c r="B643" i="15"/>
  <c r="B642" i="15"/>
  <c r="B641" i="15"/>
  <c r="B640" i="15"/>
  <c r="B639" i="15"/>
  <c r="B638" i="15"/>
  <c r="B637" i="15"/>
  <c r="B636" i="15"/>
  <c r="B635" i="15"/>
  <c r="B634" i="15"/>
  <c r="B633" i="15"/>
  <c r="B632" i="15"/>
  <c r="B631" i="15"/>
  <c r="B630" i="15"/>
  <c r="B629" i="15"/>
  <c r="B628" i="15"/>
  <c r="B627" i="15"/>
  <c r="B626" i="15"/>
  <c r="B625" i="15"/>
  <c r="B624" i="15"/>
  <c r="B623" i="15"/>
  <c r="B622" i="15"/>
  <c r="B621" i="15"/>
  <c r="B620" i="15"/>
  <c r="B619" i="15"/>
  <c r="B618" i="15"/>
  <c r="B617" i="15"/>
  <c r="B616" i="15"/>
  <c r="B615" i="15"/>
  <c r="B614" i="15"/>
  <c r="B613" i="15"/>
  <c r="B612" i="15"/>
  <c r="B611" i="15"/>
  <c r="B610" i="15"/>
  <c r="B609" i="15"/>
  <c r="B608" i="15"/>
  <c r="B607" i="15"/>
  <c r="B606" i="15"/>
  <c r="B605" i="15"/>
  <c r="B604" i="15"/>
  <c r="B603" i="15"/>
  <c r="B602" i="15"/>
  <c r="B601" i="15"/>
  <c r="B600" i="15"/>
  <c r="B599" i="15"/>
  <c r="B598" i="15"/>
  <c r="B597" i="15"/>
  <c r="B596" i="15"/>
  <c r="B595" i="15"/>
  <c r="B594" i="15"/>
  <c r="B593" i="15"/>
  <c r="B592" i="15"/>
  <c r="B591" i="15"/>
  <c r="B590" i="15"/>
  <c r="B589" i="15"/>
  <c r="B588" i="15"/>
  <c r="B587" i="15"/>
  <c r="B586" i="15"/>
  <c r="B585" i="15"/>
  <c r="B584" i="15"/>
  <c r="B583" i="15"/>
  <c r="B582" i="15"/>
  <c r="B581" i="15"/>
  <c r="B580" i="15"/>
  <c r="B579" i="15"/>
  <c r="B578" i="15"/>
  <c r="B577" i="15"/>
  <c r="B576" i="15"/>
  <c r="B575" i="15"/>
  <c r="B574" i="15"/>
  <c r="B573" i="15"/>
  <c r="B572" i="15"/>
  <c r="B571" i="15"/>
  <c r="B570" i="15"/>
  <c r="B569" i="15"/>
  <c r="B568" i="15"/>
  <c r="B567" i="15"/>
  <c r="B566" i="15"/>
  <c r="B565" i="15"/>
  <c r="B564" i="15"/>
  <c r="B563" i="15"/>
  <c r="B562" i="15"/>
  <c r="B561" i="15"/>
  <c r="B560" i="15"/>
  <c r="B559" i="15"/>
  <c r="B558" i="15"/>
  <c r="B557" i="15"/>
  <c r="B556" i="15"/>
  <c r="B555" i="15"/>
  <c r="B554" i="15"/>
  <c r="B553" i="15"/>
  <c r="B552" i="15"/>
  <c r="B551" i="15"/>
  <c r="B550" i="15"/>
  <c r="B549" i="15"/>
  <c r="B548" i="15"/>
  <c r="B547" i="15"/>
  <c r="B546" i="15"/>
  <c r="B545" i="15"/>
  <c r="B544" i="15"/>
  <c r="B543" i="15"/>
  <c r="B542" i="15"/>
  <c r="B541" i="15"/>
  <c r="B540" i="15"/>
  <c r="B539" i="15"/>
  <c r="B538" i="15"/>
  <c r="B537" i="15"/>
  <c r="B536" i="15"/>
  <c r="B535" i="15"/>
  <c r="B534" i="15"/>
  <c r="B533" i="15"/>
  <c r="B532" i="15"/>
  <c r="B531" i="15"/>
  <c r="B530" i="15"/>
  <c r="B529" i="15"/>
  <c r="B528" i="15"/>
  <c r="B527" i="15"/>
  <c r="B526" i="15"/>
  <c r="B525" i="15"/>
  <c r="B524" i="15"/>
  <c r="B523" i="15"/>
  <c r="B522" i="15"/>
  <c r="B521" i="15"/>
  <c r="B520" i="15"/>
  <c r="B519" i="15"/>
  <c r="B518" i="15"/>
  <c r="B517" i="15"/>
  <c r="B516" i="15"/>
  <c r="B515" i="15"/>
  <c r="B514" i="15"/>
  <c r="B513" i="15"/>
  <c r="B512" i="15"/>
  <c r="B511" i="15"/>
  <c r="B510" i="15"/>
  <c r="B509" i="15"/>
  <c r="B508" i="15"/>
  <c r="B507" i="15"/>
  <c r="B506" i="15"/>
  <c r="B505" i="15"/>
  <c r="B504" i="15"/>
  <c r="B503" i="15"/>
  <c r="B502" i="15"/>
  <c r="B501" i="15"/>
  <c r="B500" i="15"/>
  <c r="B499" i="15"/>
  <c r="B498" i="15"/>
  <c r="B497" i="15"/>
  <c r="B496" i="15"/>
  <c r="B495" i="15"/>
  <c r="B494" i="15"/>
  <c r="B493" i="15"/>
  <c r="B492" i="15"/>
  <c r="B491" i="15"/>
  <c r="B490" i="15"/>
  <c r="B489" i="15"/>
  <c r="B488" i="15"/>
  <c r="B487" i="15"/>
  <c r="B486" i="15"/>
  <c r="B485" i="15"/>
  <c r="B484" i="15"/>
  <c r="B483" i="15"/>
  <c r="B482" i="15"/>
  <c r="B481" i="15"/>
  <c r="B480" i="15"/>
  <c r="B479" i="15"/>
  <c r="B478" i="15"/>
  <c r="B477" i="15"/>
  <c r="B476" i="15"/>
  <c r="B475" i="15"/>
  <c r="B474" i="15"/>
  <c r="B473" i="15"/>
  <c r="B472" i="15"/>
  <c r="B471" i="15"/>
  <c r="B470" i="15"/>
  <c r="B469" i="15"/>
  <c r="B468" i="15"/>
  <c r="B467" i="15"/>
  <c r="B466" i="15"/>
  <c r="B465" i="15"/>
  <c r="B464" i="15"/>
  <c r="B463" i="15"/>
  <c r="B462" i="15"/>
  <c r="B461" i="15"/>
  <c r="B460" i="15"/>
  <c r="B459" i="15"/>
  <c r="B458" i="15"/>
  <c r="B457" i="15"/>
  <c r="B456" i="15"/>
  <c r="B455" i="15"/>
  <c r="B454" i="15"/>
  <c r="B453" i="15"/>
  <c r="B452" i="15"/>
  <c r="B451" i="15"/>
  <c r="B450" i="15"/>
  <c r="B449" i="15"/>
  <c r="B448" i="15"/>
  <c r="B447" i="15"/>
  <c r="B446" i="15"/>
  <c r="B445" i="15"/>
  <c r="B444" i="15"/>
  <c r="B443" i="15"/>
  <c r="B442" i="15"/>
  <c r="B441" i="15"/>
  <c r="B440" i="15"/>
  <c r="B439" i="15"/>
  <c r="B438" i="15"/>
  <c r="B437" i="15"/>
  <c r="B436" i="15"/>
  <c r="B435" i="15"/>
  <c r="B434" i="15"/>
  <c r="B433" i="15"/>
  <c r="B432" i="15"/>
  <c r="B431" i="15"/>
  <c r="B430" i="15"/>
  <c r="B429" i="15"/>
  <c r="B428" i="15"/>
  <c r="B427" i="15"/>
  <c r="B426" i="15"/>
  <c r="B425" i="15"/>
  <c r="B424" i="15"/>
  <c r="B423" i="15"/>
  <c r="B422" i="15"/>
  <c r="B421" i="15"/>
  <c r="B420" i="15"/>
  <c r="B419" i="15"/>
  <c r="B418" i="15"/>
  <c r="B417" i="15"/>
  <c r="B416" i="15"/>
  <c r="B415" i="15"/>
  <c r="B414" i="15"/>
  <c r="B413" i="15"/>
  <c r="B412" i="15"/>
  <c r="B411" i="15"/>
  <c r="B410" i="15"/>
  <c r="B409" i="15"/>
  <c r="B408" i="15"/>
  <c r="B407" i="15"/>
  <c r="B406" i="15"/>
  <c r="B405" i="15"/>
  <c r="B404" i="15"/>
  <c r="B403" i="15"/>
  <c r="B402" i="15"/>
  <c r="B401" i="15"/>
  <c r="B400" i="15"/>
  <c r="B399" i="15"/>
  <c r="B398" i="15"/>
  <c r="B397" i="15"/>
  <c r="B396" i="15"/>
  <c r="B395" i="15"/>
  <c r="B394" i="15"/>
  <c r="B393" i="15"/>
  <c r="B392" i="15"/>
  <c r="B391" i="15"/>
  <c r="B390" i="15"/>
  <c r="B389" i="15"/>
  <c r="B388" i="15"/>
  <c r="B387" i="15"/>
  <c r="B386" i="15"/>
  <c r="B385" i="15"/>
  <c r="B384" i="15"/>
  <c r="B383" i="15"/>
  <c r="B382" i="15"/>
  <c r="B381" i="15"/>
  <c r="B380" i="15"/>
  <c r="B379" i="15"/>
  <c r="B378" i="15"/>
  <c r="B377" i="15"/>
  <c r="B376" i="15"/>
  <c r="B375" i="15"/>
  <c r="B374" i="15"/>
  <c r="B373" i="15"/>
  <c r="B372" i="15"/>
  <c r="B371" i="15"/>
  <c r="B370" i="15"/>
  <c r="B369" i="15"/>
  <c r="B368" i="15"/>
  <c r="B367" i="15"/>
  <c r="B366" i="15"/>
  <c r="B365" i="15"/>
  <c r="B364" i="15"/>
  <c r="B363" i="15"/>
  <c r="B362" i="15"/>
  <c r="B361" i="15"/>
  <c r="B360" i="15"/>
  <c r="B359" i="15"/>
  <c r="B358" i="15"/>
  <c r="B357" i="15"/>
  <c r="B356" i="15"/>
  <c r="B355" i="15"/>
  <c r="B354" i="15"/>
  <c r="B353" i="15"/>
  <c r="B352" i="15"/>
  <c r="B351" i="15"/>
  <c r="B350" i="15"/>
  <c r="B349" i="15"/>
  <c r="B348" i="15"/>
  <c r="B347" i="15"/>
  <c r="B346" i="15"/>
  <c r="B345" i="15"/>
  <c r="B344" i="15"/>
  <c r="B343" i="15"/>
  <c r="B342" i="15"/>
  <c r="B341" i="15"/>
  <c r="B340" i="15"/>
  <c r="B339" i="15"/>
  <c r="B338" i="15"/>
  <c r="B337" i="15"/>
  <c r="B336" i="15"/>
  <c r="B335" i="15"/>
  <c r="B334" i="15"/>
  <c r="B333" i="15"/>
  <c r="B332" i="15"/>
  <c r="B331" i="15"/>
  <c r="B330" i="15"/>
  <c r="B329" i="15"/>
  <c r="B328" i="15"/>
  <c r="B327" i="15"/>
  <c r="B326" i="15"/>
  <c r="B325" i="15"/>
  <c r="B324" i="15"/>
  <c r="B323" i="15"/>
  <c r="B322" i="15"/>
  <c r="B321" i="15"/>
  <c r="B320" i="15"/>
  <c r="B319" i="15"/>
  <c r="B318" i="15"/>
  <c r="B317" i="15"/>
  <c r="B316" i="15"/>
  <c r="B315" i="15"/>
  <c r="B314" i="15"/>
  <c r="B313" i="15"/>
  <c r="B312" i="15"/>
  <c r="B311" i="15"/>
  <c r="B310" i="15"/>
  <c r="B309" i="15"/>
  <c r="B308" i="15"/>
  <c r="B307" i="15"/>
  <c r="B306" i="15"/>
  <c r="B305" i="15"/>
  <c r="B304" i="15"/>
  <c r="B303" i="15"/>
  <c r="B302" i="15"/>
  <c r="B301" i="15"/>
  <c r="B300" i="15"/>
  <c r="B299" i="15"/>
  <c r="B298" i="15"/>
  <c r="B297" i="15"/>
  <c r="B296" i="15"/>
  <c r="B295" i="15"/>
  <c r="B294" i="15"/>
  <c r="B293" i="15"/>
  <c r="B292" i="15"/>
  <c r="B291" i="15"/>
  <c r="B290" i="15"/>
  <c r="B289" i="15"/>
  <c r="B288" i="15"/>
  <c r="B287" i="15"/>
  <c r="B286" i="15"/>
  <c r="B285" i="15"/>
  <c r="B284" i="15"/>
  <c r="B283" i="15"/>
  <c r="B282" i="15"/>
  <c r="B281" i="15"/>
  <c r="B280" i="15"/>
  <c r="B279" i="15"/>
  <c r="B278" i="15"/>
  <c r="B277" i="15"/>
  <c r="B276" i="15"/>
  <c r="B275" i="15"/>
  <c r="B274" i="15"/>
  <c r="B273" i="15"/>
  <c r="B272" i="15"/>
  <c r="B271" i="15"/>
  <c r="B270" i="15"/>
  <c r="B269" i="15"/>
  <c r="B268" i="15"/>
  <c r="B267" i="15"/>
  <c r="B266" i="15"/>
  <c r="B265" i="15"/>
  <c r="B264" i="15"/>
  <c r="B263" i="15"/>
  <c r="B262" i="15"/>
  <c r="B261" i="15"/>
  <c r="B260" i="15"/>
  <c r="B259" i="15"/>
  <c r="B258" i="15"/>
  <c r="B257" i="15"/>
  <c r="B256" i="15"/>
  <c r="B255" i="15"/>
  <c r="B254" i="15"/>
  <c r="B253" i="15"/>
  <c r="B252" i="15"/>
  <c r="B251" i="15"/>
  <c r="B250" i="15"/>
  <c r="B249" i="15"/>
  <c r="B248" i="15"/>
  <c r="B247" i="15"/>
  <c r="B246" i="15"/>
  <c r="B245" i="15"/>
  <c r="B244" i="15"/>
  <c r="B243" i="15"/>
  <c r="B242" i="15"/>
  <c r="B241" i="15"/>
  <c r="B240" i="15"/>
  <c r="B239" i="15"/>
  <c r="B238" i="15"/>
  <c r="B237" i="15"/>
  <c r="B236" i="15"/>
  <c r="B235" i="15"/>
  <c r="B234" i="15"/>
  <c r="B233" i="15"/>
  <c r="B232" i="15"/>
  <c r="B231" i="15"/>
  <c r="B230" i="15"/>
  <c r="B229" i="15"/>
  <c r="B228" i="15"/>
  <c r="B227" i="15"/>
  <c r="B226" i="15"/>
  <c r="B225" i="15"/>
  <c r="B224" i="15"/>
  <c r="B223" i="15"/>
  <c r="B222" i="15"/>
  <c r="B221" i="15"/>
  <c r="B220" i="15"/>
  <c r="B219" i="15"/>
  <c r="B218" i="15"/>
  <c r="B217" i="15"/>
  <c r="B216" i="15"/>
  <c r="B215" i="15"/>
  <c r="B214" i="15"/>
  <c r="B213" i="15"/>
  <c r="B212" i="15"/>
  <c r="B211" i="15"/>
  <c r="B210" i="15"/>
  <c r="B209" i="15"/>
  <c r="B208" i="15"/>
  <c r="B207" i="15"/>
  <c r="B206" i="15"/>
  <c r="B205" i="15"/>
  <c r="B204" i="15"/>
  <c r="B203" i="15"/>
  <c r="B202" i="15"/>
  <c r="B201" i="15"/>
  <c r="B200" i="15"/>
  <c r="B199" i="15"/>
  <c r="B198" i="15"/>
  <c r="B197" i="15"/>
  <c r="B196" i="15"/>
  <c r="B195" i="15"/>
  <c r="B194" i="15"/>
  <c r="B193" i="15"/>
  <c r="B192" i="15"/>
  <c r="B191" i="15"/>
  <c r="B190" i="15"/>
  <c r="B189" i="15"/>
  <c r="B188" i="15"/>
  <c r="B187" i="15"/>
  <c r="B186" i="15"/>
  <c r="B185" i="15"/>
  <c r="B184" i="15"/>
  <c r="B183" i="15"/>
  <c r="B182" i="15"/>
  <c r="B181" i="15"/>
  <c r="B180" i="15"/>
  <c r="B179" i="15"/>
  <c r="B178" i="15"/>
  <c r="B177" i="15"/>
  <c r="B176" i="15"/>
  <c r="B175" i="15"/>
  <c r="B174" i="15"/>
  <c r="B173" i="15"/>
  <c r="B172" i="15"/>
  <c r="B171" i="15"/>
  <c r="B170" i="15"/>
  <c r="B169" i="15"/>
  <c r="B168" i="15"/>
  <c r="B167" i="15"/>
  <c r="B166" i="15"/>
  <c r="B165" i="15"/>
  <c r="B164" i="15"/>
  <c r="B163" i="15"/>
  <c r="B162" i="15"/>
  <c r="B161" i="15"/>
  <c r="B160" i="15"/>
  <c r="B159" i="15"/>
  <c r="B158" i="15"/>
  <c r="B157" i="15"/>
  <c r="B156" i="15"/>
  <c r="B155" i="15"/>
  <c r="B154" i="15"/>
  <c r="B153" i="15"/>
  <c r="B152" i="15"/>
  <c r="B151" i="15"/>
  <c r="B150" i="15"/>
  <c r="B149" i="15"/>
  <c r="B148" i="15"/>
  <c r="B147" i="15"/>
  <c r="B146" i="15"/>
  <c r="B145" i="15"/>
  <c r="B144" i="15"/>
  <c r="B143" i="15"/>
  <c r="B142" i="15"/>
  <c r="B141" i="15"/>
  <c r="B140" i="15"/>
  <c r="B139" i="15"/>
  <c r="B138" i="15"/>
  <c r="B137" i="15"/>
  <c r="B136" i="15"/>
  <c r="B135" i="15"/>
  <c r="B134" i="15"/>
  <c r="B133" i="15"/>
  <c r="B132" i="15"/>
  <c r="B131" i="15"/>
  <c r="B130" i="15"/>
  <c r="B129" i="15"/>
  <c r="B128" i="15"/>
  <c r="B127" i="15"/>
  <c r="B126" i="15"/>
  <c r="B125" i="15"/>
  <c r="B124" i="15"/>
  <c r="B123" i="15"/>
  <c r="B122" i="15"/>
  <c r="B121" i="15"/>
  <c r="B120" i="15"/>
  <c r="B119" i="15"/>
  <c r="B118" i="15"/>
  <c r="B117" i="15"/>
  <c r="B116" i="15"/>
  <c r="B115" i="15"/>
  <c r="B114" i="15"/>
  <c r="B113" i="15"/>
  <c r="B112" i="15"/>
  <c r="B111" i="15"/>
  <c r="B110" i="15"/>
  <c r="B109" i="15"/>
  <c r="B108" i="15"/>
  <c r="B107" i="15"/>
  <c r="B106" i="15"/>
  <c r="B105" i="15"/>
  <c r="B104" i="15"/>
  <c r="B103" i="15"/>
  <c r="B102" i="15"/>
  <c r="B101" i="15"/>
  <c r="B100" i="15"/>
  <c r="B99" i="15"/>
  <c r="B98" i="15"/>
  <c r="B97" i="15"/>
  <c r="B96" i="15"/>
  <c r="B95" i="15"/>
  <c r="B94" i="15"/>
  <c r="B93" i="15"/>
  <c r="B92" i="15"/>
  <c r="B91" i="15"/>
  <c r="B90" i="15"/>
  <c r="B89" i="15"/>
  <c r="B88" i="15"/>
  <c r="B87" i="15"/>
  <c r="B86" i="15"/>
  <c r="B85" i="15"/>
  <c r="B84" i="15"/>
  <c r="B83" i="15"/>
  <c r="B82" i="15"/>
  <c r="B81" i="15"/>
  <c r="B80" i="15"/>
  <c r="B79" i="15"/>
  <c r="B78" i="15"/>
  <c r="B77" i="15"/>
  <c r="B76" i="15"/>
  <c r="B75" i="15"/>
  <c r="B74" i="15"/>
  <c r="B73" i="15"/>
  <c r="B72" i="15"/>
  <c r="B71" i="15"/>
  <c r="B70" i="15"/>
  <c r="B69" i="15"/>
  <c r="B68" i="15"/>
  <c r="B67" i="15"/>
  <c r="B66" i="15"/>
  <c r="B65" i="15"/>
  <c r="B64" i="15"/>
  <c r="B63" i="15"/>
  <c r="B62" i="15"/>
  <c r="B61" i="15"/>
  <c r="B60" i="15"/>
  <c r="B59" i="15"/>
  <c r="B58" i="15"/>
  <c r="B57" i="15"/>
  <c r="B56" i="15"/>
  <c r="B55" i="15"/>
  <c r="B54" i="15"/>
  <c r="B53" i="15"/>
  <c r="B52" i="15"/>
  <c r="B51" i="15"/>
  <c r="B50" i="15"/>
  <c r="B49" i="15"/>
  <c r="B48" i="15"/>
  <c r="B47" i="15"/>
  <c r="B46" i="15"/>
  <c r="B45" i="15"/>
  <c r="B44" i="15"/>
  <c r="B43" i="15"/>
  <c r="B42" i="15"/>
  <c r="B41" i="15"/>
  <c r="B40" i="15"/>
  <c r="B39" i="15"/>
  <c r="B38" i="15"/>
  <c r="B37" i="15"/>
  <c r="B36" i="15"/>
  <c r="B35" i="15"/>
  <c r="B34" i="15"/>
  <c r="B33" i="15"/>
  <c r="B32" i="15"/>
  <c r="B31" i="15"/>
  <c r="B30" i="15"/>
  <c r="B29" i="15"/>
  <c r="B28" i="15"/>
  <c r="B27" i="15"/>
  <c r="B26" i="15"/>
  <c r="B25" i="15"/>
  <c r="B24" i="15"/>
  <c r="B23" i="15"/>
  <c r="B22" i="15"/>
  <c r="B21" i="15"/>
  <c r="B20" i="15"/>
  <c r="B19" i="15"/>
  <c r="B18" i="15"/>
  <c r="B17" i="15"/>
  <c r="B16" i="15"/>
  <c r="B15" i="15"/>
  <c r="B14" i="15"/>
  <c r="B13" i="15"/>
  <c r="B12" i="15"/>
  <c r="B11" i="15"/>
  <c r="B10" i="15"/>
  <c r="B9" i="15"/>
  <c r="B8" i="15"/>
  <c r="B7" i="15"/>
  <c r="B6" i="15"/>
  <c r="B5" i="15"/>
  <c r="B4" i="15"/>
  <c r="B3" i="15"/>
  <c r="B2" i="15"/>
  <c r="W157" i="14"/>
  <c r="C157" i="14"/>
  <c r="B157" i="14"/>
  <c r="W156" i="14"/>
  <c r="C156" i="14"/>
  <c r="B156" i="14"/>
  <c r="W155" i="14"/>
  <c r="C155" i="14"/>
  <c r="B155" i="14"/>
  <c r="W154" i="14"/>
  <c r="C154" i="14"/>
  <c r="B154" i="14"/>
  <c r="W153" i="14"/>
  <c r="C153" i="14"/>
  <c r="B153" i="14"/>
  <c r="W152" i="14"/>
  <c r="C152" i="14"/>
  <c r="B152" i="14"/>
  <c r="W151" i="14"/>
  <c r="C151" i="14"/>
  <c r="B151" i="14"/>
  <c r="W150" i="14"/>
  <c r="C150" i="14"/>
  <c r="B150" i="14"/>
  <c r="W149" i="14"/>
  <c r="C149" i="14"/>
  <c r="B149" i="14"/>
  <c r="W148" i="14"/>
  <c r="C148" i="14"/>
  <c r="B148" i="14"/>
  <c r="W147" i="14"/>
  <c r="C147" i="14"/>
  <c r="B147" i="14"/>
  <c r="W146" i="14"/>
  <c r="C146" i="14"/>
  <c r="B146" i="14"/>
  <c r="W145" i="14"/>
  <c r="C145" i="14"/>
  <c r="B145" i="14"/>
  <c r="W144" i="14"/>
  <c r="C144" i="14"/>
  <c r="B144" i="14"/>
  <c r="W143" i="14"/>
  <c r="C143" i="14"/>
  <c r="B143" i="14"/>
  <c r="W142" i="14"/>
  <c r="C142" i="14"/>
  <c r="B142" i="14"/>
  <c r="W141" i="14"/>
  <c r="C141" i="14"/>
  <c r="B141" i="14"/>
  <c r="W140" i="14"/>
  <c r="D140" i="14"/>
  <c r="C140" i="14"/>
  <c r="B140" i="14"/>
  <c r="W139" i="14"/>
  <c r="C139" i="14"/>
  <c r="B139" i="14"/>
  <c r="W138" i="14"/>
  <c r="C138" i="14"/>
  <c r="B138" i="14"/>
  <c r="W137" i="14"/>
  <c r="C137" i="14"/>
  <c r="B137" i="14"/>
  <c r="W136" i="14"/>
  <c r="C136" i="14"/>
  <c r="B136" i="14"/>
  <c r="W135" i="14"/>
  <c r="C135" i="14"/>
  <c r="B135" i="14"/>
  <c r="W134" i="14"/>
  <c r="C134" i="14"/>
  <c r="B134" i="14"/>
  <c r="W133" i="14"/>
  <c r="C133" i="14"/>
  <c r="B133" i="14"/>
  <c r="W132" i="14"/>
  <c r="C132" i="14"/>
  <c r="B132" i="14"/>
  <c r="W131" i="14"/>
  <c r="C131" i="14"/>
  <c r="B131" i="14"/>
  <c r="W130" i="14"/>
  <c r="C130" i="14"/>
  <c r="B130" i="14"/>
  <c r="W129" i="14"/>
  <c r="C129" i="14"/>
  <c r="B129" i="14"/>
  <c r="W128" i="14"/>
  <c r="C128" i="14"/>
  <c r="B128" i="14"/>
  <c r="W127" i="14"/>
  <c r="C127" i="14"/>
  <c r="B127" i="14"/>
  <c r="W126" i="14"/>
  <c r="C126" i="14"/>
  <c r="B126" i="14"/>
  <c r="W125" i="14"/>
  <c r="C125" i="14"/>
  <c r="B125" i="14"/>
  <c r="W124" i="14"/>
  <c r="C124" i="14"/>
  <c r="B124" i="14"/>
  <c r="W123" i="14"/>
  <c r="C123" i="14"/>
  <c r="B123" i="14"/>
  <c r="W122" i="14"/>
  <c r="C122" i="14"/>
  <c r="B122" i="14"/>
  <c r="W121" i="14"/>
  <c r="C121" i="14"/>
  <c r="B121" i="14"/>
  <c r="W120" i="14"/>
  <c r="C120" i="14"/>
  <c r="B120" i="14"/>
  <c r="W119" i="14"/>
  <c r="C119" i="14"/>
  <c r="B119" i="14"/>
  <c r="W118" i="14"/>
  <c r="C118" i="14"/>
  <c r="B118" i="14"/>
  <c r="W117" i="14"/>
  <c r="C117" i="14"/>
  <c r="B117" i="14"/>
  <c r="W116" i="14"/>
  <c r="C116" i="14"/>
  <c r="B116" i="14"/>
  <c r="W115" i="14"/>
  <c r="C115" i="14"/>
  <c r="B115" i="14"/>
  <c r="W114" i="14"/>
  <c r="C114" i="14"/>
  <c r="B114" i="14"/>
  <c r="W113" i="14"/>
  <c r="C113" i="14"/>
  <c r="B113" i="14"/>
  <c r="W112" i="14"/>
  <c r="C112" i="14"/>
  <c r="B112" i="14"/>
  <c r="W111" i="14"/>
  <c r="C111" i="14"/>
  <c r="B111" i="14"/>
  <c r="W110" i="14"/>
  <c r="C110" i="14"/>
  <c r="B110" i="14"/>
  <c r="W109" i="14"/>
  <c r="C109" i="14"/>
  <c r="B109" i="14"/>
  <c r="W108" i="14"/>
  <c r="C108" i="14"/>
  <c r="B108" i="14"/>
  <c r="W107" i="14"/>
  <c r="C107" i="14"/>
  <c r="B107" i="14"/>
  <c r="W106" i="14"/>
  <c r="C106" i="14"/>
  <c r="B106" i="14"/>
  <c r="W105" i="14"/>
  <c r="C105" i="14"/>
  <c r="B105" i="14"/>
  <c r="W104" i="14"/>
  <c r="C104" i="14"/>
  <c r="B104" i="14"/>
  <c r="W103" i="14"/>
  <c r="C103" i="14"/>
  <c r="B103" i="14"/>
  <c r="W102" i="14"/>
  <c r="D102" i="14"/>
  <c r="C102" i="14"/>
  <c r="B102" i="14"/>
  <c r="W101" i="14"/>
  <c r="C101" i="14"/>
  <c r="B101" i="14"/>
  <c r="W100" i="14"/>
  <c r="C100" i="14"/>
  <c r="B100" i="14"/>
  <c r="W99" i="14"/>
  <c r="D99" i="14"/>
  <c r="C99" i="14"/>
  <c r="B99" i="14"/>
  <c r="W98" i="14"/>
  <c r="C98" i="14"/>
  <c r="B98" i="14"/>
  <c r="W97" i="14"/>
  <c r="C97" i="14"/>
  <c r="B97" i="14"/>
  <c r="W96" i="14"/>
  <c r="C96" i="14"/>
  <c r="B96" i="14"/>
  <c r="W95" i="14"/>
  <c r="C95" i="14"/>
  <c r="B95" i="14"/>
  <c r="W94" i="14"/>
  <c r="C94" i="14"/>
  <c r="B94" i="14"/>
  <c r="W93" i="14"/>
  <c r="C93" i="14"/>
  <c r="B93" i="14"/>
  <c r="W92" i="14"/>
  <c r="C92" i="14"/>
  <c r="B92" i="14"/>
  <c r="W91" i="14"/>
  <c r="C91" i="14"/>
  <c r="B91" i="14"/>
  <c r="W90" i="14"/>
  <c r="C90" i="14"/>
  <c r="B90" i="14"/>
  <c r="W89" i="14"/>
  <c r="D89" i="14"/>
  <c r="C89" i="14"/>
  <c r="B89" i="14"/>
  <c r="W88" i="14"/>
  <c r="C88" i="14"/>
  <c r="B88" i="14"/>
  <c r="K88" i="14" s="1"/>
  <c r="W87" i="14"/>
  <c r="C87" i="14"/>
  <c r="B87" i="14"/>
  <c r="W86" i="14"/>
  <c r="C86" i="14"/>
  <c r="B86" i="14"/>
  <c r="W85" i="14"/>
  <c r="C85" i="14"/>
  <c r="B85" i="14"/>
  <c r="W84" i="14"/>
  <c r="C84" i="14"/>
  <c r="B84" i="14"/>
  <c r="W83" i="14"/>
  <c r="C83" i="14"/>
  <c r="B83" i="14"/>
  <c r="W82" i="14"/>
  <c r="C82" i="14"/>
  <c r="B82" i="14"/>
  <c r="W81" i="14"/>
  <c r="C81" i="14"/>
  <c r="B81" i="14"/>
  <c r="W80" i="14"/>
  <c r="C80" i="14"/>
  <c r="B80" i="14"/>
  <c r="W79" i="14"/>
  <c r="C79" i="14"/>
  <c r="B79" i="14"/>
  <c r="W78" i="14"/>
  <c r="C78" i="14"/>
  <c r="B78" i="14"/>
  <c r="W77" i="14"/>
  <c r="C77" i="14"/>
  <c r="B77" i="14"/>
  <c r="W76" i="14"/>
  <c r="C76" i="14"/>
  <c r="B76" i="14"/>
  <c r="W75" i="14"/>
  <c r="C75" i="14"/>
  <c r="B75" i="14"/>
  <c r="W74" i="14"/>
  <c r="C74" i="14"/>
  <c r="B74" i="14"/>
  <c r="W73" i="14"/>
  <c r="C73" i="14"/>
  <c r="B73" i="14"/>
  <c r="W72" i="14"/>
  <c r="C72" i="14"/>
  <c r="B72" i="14"/>
  <c r="W71" i="14"/>
  <c r="C71" i="14"/>
  <c r="B71" i="14"/>
  <c r="W70" i="14"/>
  <c r="C70" i="14"/>
  <c r="B70" i="14"/>
  <c r="W69" i="14"/>
  <c r="C69" i="14"/>
  <c r="B69" i="14"/>
  <c r="W68" i="14"/>
  <c r="D68" i="14"/>
  <c r="C68" i="14"/>
  <c r="B68" i="14"/>
  <c r="W67" i="14"/>
  <c r="C67" i="14"/>
  <c r="B67" i="14"/>
  <c r="W66" i="14"/>
  <c r="C66" i="14"/>
  <c r="B66" i="14"/>
  <c r="W65" i="14"/>
  <c r="C65" i="14"/>
  <c r="B65" i="14"/>
  <c r="W64" i="14"/>
  <c r="C64" i="14"/>
  <c r="B64" i="14"/>
  <c r="W63" i="14"/>
  <c r="C63" i="14"/>
  <c r="B63" i="14"/>
  <c r="W62" i="14"/>
  <c r="D62" i="14"/>
  <c r="C62" i="14"/>
  <c r="B62" i="14"/>
  <c r="W61" i="14"/>
  <c r="C61" i="14"/>
  <c r="B61" i="14"/>
  <c r="W60" i="14"/>
  <c r="C60" i="14"/>
  <c r="M60" i="14" s="1"/>
  <c r="B60" i="14"/>
  <c r="W59" i="14"/>
  <c r="C59" i="14"/>
  <c r="B59" i="14"/>
  <c r="W58" i="14"/>
  <c r="C58" i="14"/>
  <c r="B58" i="14"/>
  <c r="W57" i="14"/>
  <c r="D57" i="14"/>
  <c r="C57" i="14"/>
  <c r="B57" i="14"/>
  <c r="W56" i="14"/>
  <c r="D56" i="14"/>
  <c r="C56" i="14"/>
  <c r="B56" i="14"/>
  <c r="W55" i="14"/>
  <c r="C55" i="14"/>
  <c r="B55" i="14"/>
  <c r="W54" i="14"/>
  <c r="C54" i="14"/>
  <c r="B54" i="14"/>
  <c r="W53" i="14"/>
  <c r="C53" i="14"/>
  <c r="B53" i="14"/>
  <c r="W52" i="14"/>
  <c r="D52" i="14"/>
  <c r="C52" i="14"/>
  <c r="B52" i="14"/>
  <c r="W51" i="14"/>
  <c r="D51" i="14"/>
  <c r="C51" i="14"/>
  <c r="B51" i="14"/>
  <c r="W50" i="14"/>
  <c r="C50" i="14"/>
  <c r="B50" i="14"/>
  <c r="W49" i="14"/>
  <c r="C49" i="14"/>
  <c r="B49" i="14"/>
  <c r="W48" i="14"/>
  <c r="C48" i="14"/>
  <c r="B48" i="14"/>
  <c r="W47" i="14"/>
  <c r="C47" i="14"/>
  <c r="B47" i="14"/>
  <c r="W46" i="14"/>
  <c r="C46" i="14"/>
  <c r="B46" i="14"/>
  <c r="W45" i="14"/>
  <c r="C45" i="14"/>
  <c r="B45" i="14"/>
  <c r="W44" i="14"/>
  <c r="C44" i="14"/>
  <c r="B44" i="14"/>
  <c r="W43" i="14"/>
  <c r="D43" i="14"/>
  <c r="C43" i="14"/>
  <c r="B43" i="14"/>
  <c r="W42" i="14"/>
  <c r="C42" i="14"/>
  <c r="M42" i="14" s="1"/>
  <c r="B42" i="14"/>
  <c r="W41" i="14"/>
  <c r="C41" i="14"/>
  <c r="B41" i="14"/>
  <c r="W40" i="14"/>
  <c r="C40" i="14"/>
  <c r="B40" i="14"/>
  <c r="W39" i="14"/>
  <c r="C39" i="14"/>
  <c r="M39" i="14" s="1"/>
  <c r="B39" i="14"/>
  <c r="W38" i="14"/>
  <c r="D38" i="14"/>
  <c r="C38" i="14"/>
  <c r="B38" i="14"/>
  <c r="K38" i="14" s="1"/>
  <c r="W37" i="14"/>
  <c r="C37" i="14"/>
  <c r="B37" i="14"/>
  <c r="W36" i="14"/>
  <c r="C36" i="14"/>
  <c r="M36" i="14" s="1"/>
  <c r="B36" i="14"/>
  <c r="K36" i="14" s="1"/>
  <c r="W35" i="14"/>
  <c r="C35" i="14"/>
  <c r="B35" i="14"/>
  <c r="W34" i="14"/>
  <c r="C34" i="14"/>
  <c r="B34" i="14"/>
  <c r="W33" i="14"/>
  <c r="C33" i="14"/>
  <c r="B33" i="14"/>
  <c r="W32" i="14"/>
  <c r="C32" i="14"/>
  <c r="B32" i="14"/>
  <c r="W31" i="14"/>
  <c r="C31" i="14"/>
  <c r="B31" i="14"/>
  <c r="W30" i="14"/>
  <c r="C30" i="14"/>
  <c r="B30" i="14"/>
  <c r="W29" i="14"/>
  <c r="C29" i="14"/>
  <c r="B29" i="14"/>
  <c r="W28" i="14"/>
  <c r="C28" i="14"/>
  <c r="B28" i="14"/>
  <c r="W27" i="14"/>
  <c r="C27" i="14"/>
  <c r="B27" i="14"/>
  <c r="W26" i="14"/>
  <c r="C26" i="14"/>
  <c r="B26" i="14"/>
  <c r="W25" i="14"/>
  <c r="C25" i="14"/>
  <c r="B25" i="14"/>
  <c r="W24" i="14"/>
  <c r="C24" i="14"/>
  <c r="B24" i="14"/>
  <c r="W23" i="14"/>
  <c r="C23" i="14"/>
  <c r="B23" i="14"/>
  <c r="K23" i="14" s="1"/>
  <c r="W22" i="14"/>
  <c r="D22" i="14"/>
  <c r="C22" i="14"/>
  <c r="B22" i="14"/>
  <c r="W21" i="14"/>
  <c r="C21" i="14"/>
  <c r="B21" i="14"/>
  <c r="K21" i="14" s="1"/>
  <c r="W20" i="14"/>
  <c r="C20" i="14"/>
  <c r="B20" i="14"/>
  <c r="W19" i="14"/>
  <c r="C19" i="14"/>
  <c r="B19" i="14"/>
  <c r="W18" i="14"/>
  <c r="C18" i="14"/>
  <c r="B18" i="14"/>
  <c r="W17" i="14"/>
  <c r="M17" i="14"/>
  <c r="C17" i="14"/>
  <c r="B17" i="14"/>
  <c r="W16" i="14"/>
  <c r="C16" i="14"/>
  <c r="B16" i="14"/>
  <c r="W15" i="14"/>
  <c r="C15" i="14"/>
  <c r="B15" i="14"/>
  <c r="W14" i="14"/>
  <c r="D14" i="14"/>
  <c r="C14" i="14"/>
  <c r="B14" i="14"/>
  <c r="W13" i="14"/>
  <c r="C13" i="14"/>
  <c r="B13" i="14"/>
  <c r="W12" i="14"/>
  <c r="D12" i="14"/>
  <c r="C12" i="14"/>
  <c r="M12" i="14" s="1"/>
  <c r="B12" i="14"/>
  <c r="W11" i="14"/>
  <c r="D11" i="14"/>
  <c r="C11" i="14"/>
  <c r="B11" i="14"/>
  <c r="W10" i="14"/>
  <c r="C10" i="14"/>
  <c r="B10" i="14"/>
  <c r="W9" i="14"/>
  <c r="C9" i="14"/>
  <c r="B9" i="14"/>
  <c r="W8" i="14"/>
  <c r="D8" i="14"/>
  <c r="C8" i="14"/>
  <c r="B8" i="14"/>
  <c r="W7" i="14"/>
  <c r="C7" i="14"/>
  <c r="B7" i="14"/>
  <c r="W6" i="14"/>
  <c r="D6" i="14"/>
  <c r="C6" i="14"/>
  <c r="M6" i="14" s="1"/>
  <c r="B6" i="14"/>
  <c r="K6" i="14" s="1"/>
  <c r="W5" i="14"/>
  <c r="D5" i="14"/>
  <c r="C5" i="14"/>
  <c r="B5" i="14"/>
  <c r="W4" i="14"/>
  <c r="K4" i="14"/>
  <c r="D4" i="14"/>
  <c r="C4" i="14"/>
  <c r="M94" i="14" s="1"/>
  <c r="B4" i="14"/>
  <c r="W3" i="14"/>
  <c r="C3" i="14"/>
  <c r="B3" i="14"/>
  <c r="D1" i="14"/>
  <c r="E48" i="13"/>
  <c r="F48" i="13" s="1"/>
  <c r="G48" i="13" s="1"/>
  <c r="D48" i="13"/>
  <c r="G47" i="13"/>
  <c r="E47" i="13"/>
  <c r="F47" i="13" s="1"/>
  <c r="D47" i="13"/>
  <c r="D46" i="13"/>
  <c r="E46" i="13" s="1"/>
  <c r="F46" i="13" s="1"/>
  <c r="G46" i="13" s="1"/>
  <c r="E45" i="13"/>
  <c r="F45" i="13" s="1"/>
  <c r="G45" i="13" s="1"/>
  <c r="D45" i="13"/>
  <c r="D44" i="13"/>
  <c r="D43" i="13"/>
  <c r="E43" i="13" s="1"/>
  <c r="B48" i="13"/>
  <c r="B47" i="13"/>
  <c r="B45" i="13"/>
  <c r="B43" i="13" a="1"/>
  <c r="B43" i="13" s="1"/>
  <c r="C42" i="13"/>
  <c r="D41" i="13"/>
  <c r="E41" i="13" s="1"/>
  <c r="F41" i="13" s="1"/>
  <c r="G41" i="13" s="1"/>
  <c r="G38" i="13" s="1"/>
  <c r="F40" i="13"/>
  <c r="E40" i="13"/>
  <c r="D40" i="13"/>
  <c r="D38" i="13" s="1"/>
  <c r="C38" i="13"/>
  <c r="G29" i="13"/>
  <c r="F29" i="13"/>
  <c r="E29" i="13"/>
  <c r="D29" i="13"/>
  <c r="C29" i="13"/>
  <c r="C49" i="13" s="1"/>
  <c r="K21" i="13"/>
  <c r="J21" i="13"/>
  <c r="I21" i="13"/>
  <c r="H21" i="13"/>
  <c r="D21" i="13"/>
  <c r="C21" i="13"/>
  <c r="I17" i="13"/>
  <c r="H17" i="13"/>
  <c r="G17" i="13"/>
  <c r="F17" i="13"/>
  <c r="E17" i="13"/>
  <c r="D17" i="13"/>
  <c r="C17" i="13"/>
  <c r="K13" i="13"/>
  <c r="I13" i="13"/>
  <c r="H13" i="13"/>
  <c r="G13" i="13"/>
  <c r="F13" i="13"/>
  <c r="F21" i="13" s="1"/>
  <c r="E13" i="13"/>
  <c r="E21" i="13" s="1"/>
  <c r="D13" i="13"/>
  <c r="C13" i="13"/>
  <c r="K8" i="13"/>
  <c r="I8" i="13"/>
  <c r="H8" i="13"/>
  <c r="G8" i="13"/>
  <c r="F8" i="13"/>
  <c r="E8" i="13"/>
  <c r="D8" i="13"/>
  <c r="C8" i="13"/>
  <c r="AM59" i="12"/>
  <c r="AL59" i="12"/>
  <c r="AK59" i="12"/>
  <c r="AJ59" i="12"/>
  <c r="AI59" i="12"/>
  <c r="AH59" i="12"/>
  <c r="AG59" i="12"/>
  <c r="AF59" i="12"/>
  <c r="AE59" i="12"/>
  <c r="AD59" i="12"/>
  <c r="AC59" i="12"/>
  <c r="AB59" i="12"/>
  <c r="AA59" i="12"/>
  <c r="Z59" i="12"/>
  <c r="Y59" i="12"/>
  <c r="X59" i="12"/>
  <c r="W59" i="12"/>
  <c r="E59" i="12"/>
  <c r="AM58" i="12"/>
  <c r="AL58" i="12"/>
  <c r="AK58" i="12"/>
  <c r="AJ58" i="12"/>
  <c r="AI58" i="12"/>
  <c r="AH58" i="12"/>
  <c r="AG58" i="12"/>
  <c r="AF58" i="12"/>
  <c r="AE58" i="12"/>
  <c r="AD58" i="12"/>
  <c r="AC58" i="12"/>
  <c r="AB58" i="12"/>
  <c r="AA58" i="12"/>
  <c r="Z58" i="12"/>
  <c r="Y58" i="12"/>
  <c r="X58" i="12"/>
  <c r="W58" i="12"/>
  <c r="E58" i="12"/>
  <c r="AM57" i="12"/>
  <c r="AL57" i="12"/>
  <c r="AK57" i="12"/>
  <c r="AJ57" i="12"/>
  <c r="AI57" i="12"/>
  <c r="AH57" i="12"/>
  <c r="AG57" i="12"/>
  <c r="AF57" i="12"/>
  <c r="AE57" i="12"/>
  <c r="AD57" i="12"/>
  <c r="AC57" i="12"/>
  <c r="AB57" i="12"/>
  <c r="AA57" i="12"/>
  <c r="Z57" i="12"/>
  <c r="Y57" i="12"/>
  <c r="X57" i="12"/>
  <c r="W57" i="12"/>
  <c r="E57" i="12"/>
  <c r="AM56" i="12"/>
  <c r="AL56" i="12"/>
  <c r="AK56" i="12"/>
  <c r="AJ56" i="12"/>
  <c r="AI56" i="12"/>
  <c r="AH56" i="12"/>
  <c r="AG56" i="12"/>
  <c r="AF56" i="12"/>
  <c r="AE56" i="12"/>
  <c r="AD56" i="12"/>
  <c r="AC56" i="12"/>
  <c r="AB56" i="12"/>
  <c r="AA56" i="12"/>
  <c r="Z56" i="12"/>
  <c r="Y56" i="12"/>
  <c r="X56" i="12"/>
  <c r="W56" i="12"/>
  <c r="E56" i="12"/>
  <c r="AM55" i="12"/>
  <c r="AL55" i="12"/>
  <c r="AK55" i="12"/>
  <c r="AJ55" i="12"/>
  <c r="AI55" i="12"/>
  <c r="AH55" i="12"/>
  <c r="AG55" i="12"/>
  <c r="AF55" i="12"/>
  <c r="AE55" i="12"/>
  <c r="AD55" i="12"/>
  <c r="AC55" i="12"/>
  <c r="AB55" i="12"/>
  <c r="AA55" i="12"/>
  <c r="Z55" i="12"/>
  <c r="Y55" i="12"/>
  <c r="X55" i="12"/>
  <c r="W55" i="12"/>
  <c r="E55" i="12"/>
  <c r="AM54" i="12"/>
  <c r="AL54" i="12"/>
  <c r="AK54" i="12"/>
  <c r="AJ54" i="12"/>
  <c r="AI54" i="12"/>
  <c r="AH54" i="12"/>
  <c r="AG54" i="12"/>
  <c r="AF54" i="12"/>
  <c r="AE54" i="12"/>
  <c r="AD54" i="12"/>
  <c r="AC54" i="12"/>
  <c r="AB54" i="12"/>
  <c r="AA54" i="12"/>
  <c r="Z54" i="12"/>
  <c r="Y54" i="12"/>
  <c r="X54" i="12"/>
  <c r="W54" i="12"/>
  <c r="E54" i="12"/>
  <c r="AM53" i="12"/>
  <c r="AL53" i="12"/>
  <c r="AK53" i="12"/>
  <c r="AJ53" i="12"/>
  <c r="AI53" i="12"/>
  <c r="AH53" i="12"/>
  <c r="AG53" i="12"/>
  <c r="AF53" i="12"/>
  <c r="AE53" i="12"/>
  <c r="AD53" i="12"/>
  <c r="AC53" i="12"/>
  <c r="AB53" i="12"/>
  <c r="AA53" i="12"/>
  <c r="Z53" i="12"/>
  <c r="Y53" i="12"/>
  <c r="X53" i="12"/>
  <c r="W53" i="12"/>
  <c r="E53" i="12"/>
  <c r="AM52" i="12"/>
  <c r="AL52" i="12"/>
  <c r="AK52" i="12"/>
  <c r="AJ52" i="12"/>
  <c r="AI52" i="12"/>
  <c r="AH52" i="12"/>
  <c r="AG52" i="12"/>
  <c r="AF52" i="12"/>
  <c r="AE52" i="12"/>
  <c r="AD52" i="12"/>
  <c r="AC52" i="12"/>
  <c r="AB52" i="12"/>
  <c r="AA52" i="12"/>
  <c r="Z52" i="12"/>
  <c r="Y52" i="12"/>
  <c r="X52" i="12"/>
  <c r="W52" i="12"/>
  <c r="B50" i="12"/>
  <c r="AM48" i="12"/>
  <c r="AL48" i="12"/>
  <c r="AK48" i="12"/>
  <c r="AJ48" i="12"/>
  <c r="AI48" i="12"/>
  <c r="AH48" i="12"/>
  <c r="AG48" i="12"/>
  <c r="AF48" i="12"/>
  <c r="AE48" i="12"/>
  <c r="AD48" i="12"/>
  <c r="AC48" i="12"/>
  <c r="AB48" i="12"/>
  <c r="AA48" i="12"/>
  <c r="Z48" i="12"/>
  <c r="Y48" i="12"/>
  <c r="X48" i="12"/>
  <c r="W48" i="12"/>
  <c r="E48" i="12"/>
  <c r="AM47" i="12"/>
  <c r="AL47" i="12"/>
  <c r="AK47" i="12"/>
  <c r="AJ47" i="12"/>
  <c r="AI47" i="12"/>
  <c r="AH47" i="12"/>
  <c r="AG47" i="12"/>
  <c r="AF47" i="12"/>
  <c r="AE47" i="12"/>
  <c r="AD47" i="12"/>
  <c r="AC47" i="12"/>
  <c r="AB47" i="12"/>
  <c r="AA47" i="12"/>
  <c r="Z47" i="12"/>
  <c r="Y47" i="12"/>
  <c r="X47" i="12"/>
  <c r="W47" i="12"/>
  <c r="E47" i="12"/>
  <c r="AM46" i="12"/>
  <c r="AL46" i="12"/>
  <c r="AK46" i="12"/>
  <c r="AJ46" i="12"/>
  <c r="AI46" i="12"/>
  <c r="AH46" i="12"/>
  <c r="AG46" i="12"/>
  <c r="AF46" i="12"/>
  <c r="AE46" i="12"/>
  <c r="AD46" i="12"/>
  <c r="AC46" i="12"/>
  <c r="AB46" i="12"/>
  <c r="AA46" i="12"/>
  <c r="Z46" i="12"/>
  <c r="Y46" i="12"/>
  <c r="X46" i="12"/>
  <c r="W46" i="12"/>
  <c r="E46" i="12"/>
  <c r="AM45" i="12"/>
  <c r="AL45" i="12"/>
  <c r="AK45" i="12"/>
  <c r="AJ45" i="12"/>
  <c r="AI45" i="12"/>
  <c r="AH45" i="12"/>
  <c r="AG45" i="12"/>
  <c r="AF45" i="12"/>
  <c r="AE45" i="12"/>
  <c r="AD45" i="12"/>
  <c r="AC45" i="12"/>
  <c r="AB45" i="12"/>
  <c r="AA45" i="12"/>
  <c r="Z45" i="12"/>
  <c r="Y45" i="12"/>
  <c r="X45" i="12"/>
  <c r="W45" i="12"/>
  <c r="E45" i="12"/>
  <c r="AM44" i="12"/>
  <c r="AL44" i="12"/>
  <c r="AK44" i="12"/>
  <c r="AJ44" i="12"/>
  <c r="AI44" i="12"/>
  <c r="AH44" i="12"/>
  <c r="AG44" i="12"/>
  <c r="AF44" i="12"/>
  <c r="AE44" i="12"/>
  <c r="AD44" i="12"/>
  <c r="AC44" i="12"/>
  <c r="AB44" i="12"/>
  <c r="AA44" i="12"/>
  <c r="Z44" i="12"/>
  <c r="Y44" i="12"/>
  <c r="X44" i="12"/>
  <c r="W44" i="12"/>
  <c r="E44" i="12"/>
  <c r="AM43" i="12"/>
  <c r="AL43" i="12"/>
  <c r="AK43" i="12"/>
  <c r="AJ43" i="12"/>
  <c r="AI43" i="12"/>
  <c r="AH43" i="12"/>
  <c r="AG43" i="12"/>
  <c r="AF43" i="12"/>
  <c r="AE43" i="12"/>
  <c r="AD43" i="12"/>
  <c r="AC43" i="12"/>
  <c r="AB43" i="12"/>
  <c r="AA43" i="12"/>
  <c r="Z43" i="12"/>
  <c r="Y43" i="12"/>
  <c r="X43" i="12"/>
  <c r="W43" i="12"/>
  <c r="E43" i="12"/>
  <c r="AM42" i="12"/>
  <c r="AL42" i="12"/>
  <c r="AK42" i="12"/>
  <c r="AJ42" i="12"/>
  <c r="AI42" i="12"/>
  <c r="AH42" i="12"/>
  <c r="AG42" i="12"/>
  <c r="AF42" i="12"/>
  <c r="AE42" i="12"/>
  <c r="AD42" i="12"/>
  <c r="AC42" i="12"/>
  <c r="AB42" i="12"/>
  <c r="AA42" i="12"/>
  <c r="Z42" i="12"/>
  <c r="Y42" i="12"/>
  <c r="X42" i="12"/>
  <c r="W42" i="12"/>
  <c r="E42" i="12"/>
  <c r="AM41" i="12"/>
  <c r="AL41" i="12"/>
  <c r="AK41" i="12"/>
  <c r="AJ41" i="12"/>
  <c r="AI41" i="12"/>
  <c r="AH41" i="12"/>
  <c r="AG41" i="12"/>
  <c r="AF41" i="12"/>
  <c r="AE41" i="12"/>
  <c r="AD41" i="12"/>
  <c r="AC41" i="12"/>
  <c r="AB41" i="12"/>
  <c r="AA41" i="12"/>
  <c r="Z41" i="12"/>
  <c r="Y41" i="12"/>
  <c r="X41" i="12"/>
  <c r="W41" i="12"/>
  <c r="AM37" i="12"/>
  <c r="AL37" i="12"/>
  <c r="AK37" i="12"/>
  <c r="AJ37" i="12"/>
  <c r="AI37" i="12"/>
  <c r="AH37" i="12"/>
  <c r="AG37" i="12"/>
  <c r="AF37" i="12"/>
  <c r="AE37" i="12"/>
  <c r="AD37" i="12"/>
  <c r="AC37" i="12"/>
  <c r="AB37" i="12"/>
  <c r="AA37" i="12"/>
  <c r="Z37" i="12"/>
  <c r="Y37" i="12"/>
  <c r="AN37" i="12" s="1" a="1"/>
  <c r="AN37" i="12" s="1"/>
  <c r="X37" i="12"/>
  <c r="W37" i="12"/>
  <c r="E37" i="12"/>
  <c r="AM36" i="12"/>
  <c r="AL36" i="12"/>
  <c r="AK36" i="12"/>
  <c r="AJ36" i="12"/>
  <c r="AI36" i="12"/>
  <c r="AH36" i="12"/>
  <c r="AG36" i="12"/>
  <c r="AF36" i="12"/>
  <c r="AE36" i="12"/>
  <c r="AD36" i="12"/>
  <c r="AC36" i="12"/>
  <c r="AB36" i="12"/>
  <c r="AN36" i="12" s="1" a="1"/>
  <c r="AN36" i="12" s="1"/>
  <c r="AA36" i="12"/>
  <c r="Z36" i="12"/>
  <c r="Y36" i="12"/>
  <c r="X36" i="12"/>
  <c r="W36" i="12"/>
  <c r="E36" i="12"/>
  <c r="AM35" i="12"/>
  <c r="AL35" i="12"/>
  <c r="AK35" i="12"/>
  <c r="AJ35" i="12"/>
  <c r="AI35" i="12"/>
  <c r="AH35" i="12"/>
  <c r="AG35" i="12"/>
  <c r="AF35" i="12"/>
  <c r="AE35" i="12"/>
  <c r="AD35" i="12"/>
  <c r="AC35" i="12"/>
  <c r="AB35" i="12"/>
  <c r="AA35" i="12"/>
  <c r="Z35" i="12"/>
  <c r="Y35" i="12"/>
  <c r="X35" i="12"/>
  <c r="W35" i="12"/>
  <c r="E35" i="12"/>
  <c r="AM34" i="12"/>
  <c r="AL34" i="12"/>
  <c r="AK34" i="12"/>
  <c r="AJ34" i="12"/>
  <c r="AI34" i="12"/>
  <c r="AH34" i="12"/>
  <c r="AG34" i="12"/>
  <c r="AF34" i="12"/>
  <c r="AE34" i="12"/>
  <c r="AD34" i="12"/>
  <c r="AC34" i="12"/>
  <c r="AB34" i="12"/>
  <c r="AA34" i="12"/>
  <c r="Z34" i="12"/>
  <c r="Y34" i="12"/>
  <c r="X34" i="12"/>
  <c r="W34" i="12"/>
  <c r="AN34" i="12" s="1" a="1"/>
  <c r="AN34" i="12" s="1"/>
  <c r="E34" i="12"/>
  <c r="AM33" i="12"/>
  <c r="AL33" i="12"/>
  <c r="AK33" i="12"/>
  <c r="AJ33" i="12"/>
  <c r="AI33" i="12"/>
  <c r="AH33" i="12"/>
  <c r="AG33" i="12"/>
  <c r="AF33" i="12"/>
  <c r="AE33" i="12"/>
  <c r="AD33" i="12"/>
  <c r="AC33" i="12"/>
  <c r="AB33" i="12"/>
  <c r="AA33" i="12"/>
  <c r="Z33" i="12"/>
  <c r="Y33" i="12"/>
  <c r="X33" i="12"/>
  <c r="W33" i="12"/>
  <c r="E33" i="12"/>
  <c r="AM32" i="12"/>
  <c r="AL32" i="12"/>
  <c r="AK32" i="12"/>
  <c r="AJ32" i="12"/>
  <c r="AI32" i="12"/>
  <c r="AH32" i="12"/>
  <c r="AG32" i="12"/>
  <c r="AF32" i="12"/>
  <c r="AE32" i="12"/>
  <c r="AD32" i="12"/>
  <c r="AC32" i="12"/>
  <c r="AN32" i="12" s="1" a="1"/>
  <c r="AN32" i="12" s="1"/>
  <c r="AB32" i="12"/>
  <c r="AA32" i="12"/>
  <c r="Z32" i="12"/>
  <c r="Y32" i="12"/>
  <c r="X32" i="12"/>
  <c r="W32" i="12"/>
  <c r="E32" i="12"/>
  <c r="AM31" i="12"/>
  <c r="AL31" i="12"/>
  <c r="AK31" i="12"/>
  <c r="AJ31" i="12"/>
  <c r="AI31" i="12"/>
  <c r="AH31" i="12"/>
  <c r="AG31" i="12"/>
  <c r="AF31" i="12"/>
  <c r="AE31" i="12"/>
  <c r="AD31" i="12"/>
  <c r="AC31" i="12"/>
  <c r="AB31" i="12"/>
  <c r="AA31" i="12"/>
  <c r="Z31" i="12"/>
  <c r="Y31" i="12"/>
  <c r="X31" i="12"/>
  <c r="W31" i="12"/>
  <c r="E31" i="12"/>
  <c r="AM30" i="12"/>
  <c r="AL30" i="12"/>
  <c r="AK30" i="12"/>
  <c r="AJ30" i="12"/>
  <c r="AI30" i="12"/>
  <c r="AH30" i="12"/>
  <c r="AG30" i="12"/>
  <c r="AF30" i="12"/>
  <c r="AE30" i="12"/>
  <c r="AD30" i="12"/>
  <c r="AC30" i="12"/>
  <c r="AB30" i="12"/>
  <c r="AA30" i="12"/>
  <c r="Z30" i="12"/>
  <c r="Y30" i="12"/>
  <c r="X30" i="12"/>
  <c r="W30" i="12"/>
  <c r="AM25" i="12"/>
  <c r="AL25" i="12"/>
  <c r="AK25" i="12"/>
  <c r="AJ25" i="12"/>
  <c r="AI25" i="12"/>
  <c r="AH25" i="12"/>
  <c r="AG25" i="12"/>
  <c r="AF25" i="12"/>
  <c r="AE25" i="12"/>
  <c r="AD25" i="12"/>
  <c r="AC25" i="12"/>
  <c r="AB25" i="12"/>
  <c r="AA25" i="12"/>
  <c r="Z25" i="12"/>
  <c r="Y25" i="12"/>
  <c r="X25" i="12"/>
  <c r="W25" i="12"/>
  <c r="E25" i="12"/>
  <c r="AM24" i="12"/>
  <c r="AL24" i="12"/>
  <c r="AK24" i="12"/>
  <c r="AJ24" i="12"/>
  <c r="AI24" i="12"/>
  <c r="AH24" i="12"/>
  <c r="AG24" i="12"/>
  <c r="AF24" i="12"/>
  <c r="AE24" i="12"/>
  <c r="AD24" i="12"/>
  <c r="AC24" i="12"/>
  <c r="AB24" i="12"/>
  <c r="AA24" i="12"/>
  <c r="Z24" i="12"/>
  <c r="Y24" i="12"/>
  <c r="X24" i="12"/>
  <c r="W24" i="12"/>
  <c r="E24" i="12"/>
  <c r="AN23" i="12" a="1"/>
  <c r="AN23" i="12" s="1"/>
  <c r="AM23" i="12"/>
  <c r="AL23" i="12"/>
  <c r="AK23" i="12"/>
  <c r="AJ23" i="12"/>
  <c r="AI23" i="12"/>
  <c r="AH23" i="12"/>
  <c r="AG23" i="12"/>
  <c r="AF23" i="12"/>
  <c r="AE23" i="12"/>
  <c r="AD23" i="12"/>
  <c r="AC23" i="12"/>
  <c r="AB23" i="12"/>
  <c r="AA23" i="12"/>
  <c r="Z23" i="12"/>
  <c r="Y23" i="12"/>
  <c r="X23" i="12"/>
  <c r="W23" i="12"/>
  <c r="E23" i="12"/>
  <c r="AM22" i="12"/>
  <c r="AL22" i="12"/>
  <c r="AK22" i="12"/>
  <c r="AJ22" i="12"/>
  <c r="AI22" i="12"/>
  <c r="AH22" i="12"/>
  <c r="AG22" i="12"/>
  <c r="AF22" i="12"/>
  <c r="AE22" i="12"/>
  <c r="AD22" i="12"/>
  <c r="AC22" i="12"/>
  <c r="AB22" i="12"/>
  <c r="AA22" i="12"/>
  <c r="Z22" i="12"/>
  <c r="Y22" i="12"/>
  <c r="X22" i="12"/>
  <c r="AN22" i="12" s="1" a="1"/>
  <c r="AN22" i="12" s="1"/>
  <c r="W22" i="12"/>
  <c r="E22" i="12"/>
  <c r="AM21" i="12"/>
  <c r="AL21" i="12"/>
  <c r="AK21" i="12"/>
  <c r="AJ21" i="12"/>
  <c r="AI21" i="12"/>
  <c r="AH21" i="12"/>
  <c r="AG21" i="12"/>
  <c r="AF21" i="12"/>
  <c r="AE21" i="12"/>
  <c r="AD21" i="12"/>
  <c r="AC21" i="12"/>
  <c r="AB21" i="12"/>
  <c r="AA21" i="12"/>
  <c r="Z21" i="12"/>
  <c r="Y21" i="12"/>
  <c r="X21" i="12"/>
  <c r="W21" i="12"/>
  <c r="E21" i="12"/>
  <c r="AM20" i="12"/>
  <c r="AL20" i="12"/>
  <c r="AK20" i="12"/>
  <c r="AJ20" i="12"/>
  <c r="AI20" i="12"/>
  <c r="AH20" i="12"/>
  <c r="AG20" i="12"/>
  <c r="AF20" i="12"/>
  <c r="AE20" i="12"/>
  <c r="AD20" i="12"/>
  <c r="AC20" i="12"/>
  <c r="AB20" i="12"/>
  <c r="AA20" i="12"/>
  <c r="Z20" i="12"/>
  <c r="Y20" i="12"/>
  <c r="X20" i="12"/>
  <c r="W20" i="12"/>
  <c r="AN20" i="12" s="1" a="1"/>
  <c r="AN20" i="12" s="1"/>
  <c r="E20" i="12"/>
  <c r="AM19" i="12"/>
  <c r="AL19" i="12"/>
  <c r="AK19" i="12"/>
  <c r="AJ19" i="12"/>
  <c r="AI19" i="12"/>
  <c r="AH19" i="12"/>
  <c r="AG19" i="12"/>
  <c r="AF19" i="12"/>
  <c r="AE19" i="12"/>
  <c r="AD19" i="12"/>
  <c r="AC19" i="12"/>
  <c r="AB19" i="12"/>
  <c r="AA19" i="12"/>
  <c r="Z19" i="12"/>
  <c r="Y19" i="12"/>
  <c r="X19" i="12"/>
  <c r="W19" i="12"/>
  <c r="AN19" i="12" s="1" a="1"/>
  <c r="AN19" i="12" s="1"/>
  <c r="E19" i="12"/>
  <c r="AM18" i="12"/>
  <c r="AL18" i="12"/>
  <c r="AK18" i="12"/>
  <c r="AJ18" i="12"/>
  <c r="AI18" i="12"/>
  <c r="AH18" i="12"/>
  <c r="AG18" i="12"/>
  <c r="AF18" i="12"/>
  <c r="AE18" i="12"/>
  <c r="AD18" i="12"/>
  <c r="AC18" i="12"/>
  <c r="AB18" i="12"/>
  <c r="AA18" i="12"/>
  <c r="Z18" i="12"/>
  <c r="Y18" i="12"/>
  <c r="X18" i="12"/>
  <c r="W18" i="12"/>
  <c r="AM13" i="12"/>
  <c r="AL13" i="12"/>
  <c r="AK13" i="12"/>
  <c r="AJ13" i="12"/>
  <c r="AI13" i="12"/>
  <c r="AH13" i="12"/>
  <c r="AG13" i="12"/>
  <c r="AF13" i="12"/>
  <c r="AE13" i="12"/>
  <c r="AD13" i="12"/>
  <c r="AC13" i="12"/>
  <c r="AB13" i="12"/>
  <c r="AA13" i="12"/>
  <c r="Z13" i="12"/>
  <c r="Y13" i="12"/>
  <c r="X13" i="12"/>
  <c r="W13" i="12"/>
  <c r="AN13" i="12" s="1" a="1"/>
  <c r="AN13" i="12" s="1"/>
  <c r="E13" i="12"/>
  <c r="AM12" i="12"/>
  <c r="AL12" i="12"/>
  <c r="AK12" i="12"/>
  <c r="AJ12" i="12"/>
  <c r="AI12" i="12"/>
  <c r="AH12" i="12"/>
  <c r="AG12" i="12"/>
  <c r="AF12" i="12"/>
  <c r="AE12" i="12"/>
  <c r="AD12" i="12"/>
  <c r="AC12" i="12"/>
  <c r="AB12" i="12"/>
  <c r="AA12" i="12"/>
  <c r="Z12" i="12"/>
  <c r="Y12" i="12"/>
  <c r="X12" i="12"/>
  <c r="W12" i="12"/>
  <c r="E12" i="12"/>
  <c r="AM11" i="12"/>
  <c r="AL11" i="12"/>
  <c r="AK11" i="12"/>
  <c r="AJ11" i="12"/>
  <c r="AI11" i="12"/>
  <c r="AH11" i="12"/>
  <c r="AG11" i="12"/>
  <c r="AF11" i="12"/>
  <c r="AE11" i="12"/>
  <c r="AD11" i="12"/>
  <c r="AC11" i="12"/>
  <c r="AB11" i="12"/>
  <c r="AA11" i="12"/>
  <c r="Z11" i="12"/>
  <c r="Y11" i="12"/>
  <c r="X11" i="12"/>
  <c r="W11" i="12"/>
  <c r="E11" i="12"/>
  <c r="AM10" i="12"/>
  <c r="AL10" i="12"/>
  <c r="AK10" i="12"/>
  <c r="AJ10" i="12"/>
  <c r="AI10" i="12"/>
  <c r="AH10" i="12"/>
  <c r="AG10" i="12"/>
  <c r="AF10" i="12"/>
  <c r="AE10" i="12"/>
  <c r="AD10" i="12"/>
  <c r="AC10" i="12"/>
  <c r="AB10" i="12"/>
  <c r="AA10" i="12"/>
  <c r="Z10" i="12"/>
  <c r="Y10" i="12"/>
  <c r="X10" i="12"/>
  <c r="W10" i="12"/>
  <c r="E10" i="12"/>
  <c r="AQ9" i="12"/>
  <c r="AM9" i="12"/>
  <c r="AL9" i="12"/>
  <c r="AK9" i="12"/>
  <c r="AJ9" i="12"/>
  <c r="AI9" i="12"/>
  <c r="AH9" i="12"/>
  <c r="AG9" i="12"/>
  <c r="AF9" i="12"/>
  <c r="AE9" i="12"/>
  <c r="AD9" i="12"/>
  <c r="AC9" i="12"/>
  <c r="AB9" i="12"/>
  <c r="AA9" i="12"/>
  <c r="Z9" i="12"/>
  <c r="Y9" i="12"/>
  <c r="X9" i="12"/>
  <c r="W9" i="12"/>
  <c r="AN9" i="12" s="1" a="1"/>
  <c r="AN9" i="12" s="1"/>
  <c r="E9" i="12"/>
  <c r="AM8" i="12"/>
  <c r="AL8" i="12"/>
  <c r="AK8" i="12"/>
  <c r="AJ8" i="12"/>
  <c r="AI8" i="12"/>
  <c r="AH8" i="12"/>
  <c r="AG8" i="12"/>
  <c r="AF8" i="12"/>
  <c r="AE8" i="12"/>
  <c r="AN8" i="12" s="1" a="1"/>
  <c r="AN8" i="12" s="1"/>
  <c r="AD8" i="12"/>
  <c r="AC8" i="12"/>
  <c r="AB8" i="12"/>
  <c r="AA8" i="12"/>
  <c r="Z8" i="12"/>
  <c r="Y8" i="12"/>
  <c r="X8" i="12"/>
  <c r="W8" i="12"/>
  <c r="E8" i="12"/>
  <c r="AM7" i="12"/>
  <c r="AL7" i="12"/>
  <c r="AK7" i="12"/>
  <c r="AJ7" i="12"/>
  <c r="AI7" i="12"/>
  <c r="AH7" i="12"/>
  <c r="AG7" i="12"/>
  <c r="AF7" i="12"/>
  <c r="AE7" i="12"/>
  <c r="AD7" i="12"/>
  <c r="AC7" i="12"/>
  <c r="AB7" i="12"/>
  <c r="AA7" i="12"/>
  <c r="Z7" i="12"/>
  <c r="Y7" i="12"/>
  <c r="X7" i="12"/>
  <c r="AN7" i="12" s="1" a="1"/>
  <c r="AN7" i="12" s="1"/>
  <c r="W7" i="12"/>
  <c r="E7" i="12"/>
  <c r="AM6" i="12"/>
  <c r="AL6" i="12"/>
  <c r="AK6" i="12"/>
  <c r="AJ6" i="12"/>
  <c r="AI6" i="12"/>
  <c r="AH6" i="12"/>
  <c r="AG6" i="12"/>
  <c r="AF6" i="12"/>
  <c r="AE6" i="12"/>
  <c r="AD6" i="12"/>
  <c r="AC6" i="12"/>
  <c r="AB6" i="12"/>
  <c r="AA6" i="12"/>
  <c r="Z6" i="12"/>
  <c r="Y6" i="12"/>
  <c r="X6" i="12"/>
  <c r="W6" i="12"/>
  <c r="F13" i="10"/>
  <c r="E13" i="10"/>
  <c r="D13" i="10"/>
  <c r="E12" i="10"/>
  <c r="D12" i="10"/>
  <c r="E11" i="10"/>
  <c r="D11" i="10"/>
  <c r="F10" i="10"/>
  <c r="E10" i="10"/>
  <c r="D10" i="10"/>
  <c r="F9" i="10"/>
  <c r="E9" i="10"/>
  <c r="D9" i="10"/>
  <c r="F8" i="10"/>
  <c r="E8" i="10"/>
  <c r="D8" i="10"/>
  <c r="F7" i="10"/>
  <c r="E7" i="10"/>
  <c r="D7" i="10"/>
  <c r="R6" i="10"/>
  <c r="Q6" i="10"/>
  <c r="P6" i="10"/>
  <c r="F2" i="10"/>
  <c r="F11" i="10" s="1"/>
  <c r="G12" i="9"/>
  <c r="F12" i="9"/>
  <c r="E12" i="9"/>
  <c r="D12" i="9"/>
  <c r="G11" i="9"/>
  <c r="F11" i="9"/>
  <c r="E11" i="9"/>
  <c r="D11" i="9"/>
  <c r="E10" i="9"/>
  <c r="D10" i="9"/>
  <c r="E9" i="9"/>
  <c r="D9" i="9"/>
  <c r="G8" i="9"/>
  <c r="F8" i="9"/>
  <c r="E8" i="9"/>
  <c r="D8" i="9"/>
  <c r="G7" i="9"/>
  <c r="F7" i="9"/>
  <c r="E7" i="9"/>
  <c r="D7" i="9"/>
  <c r="G6" i="9"/>
  <c r="F6" i="9"/>
  <c r="E6" i="9"/>
  <c r="D6" i="9"/>
  <c r="R5" i="9"/>
  <c r="Q5" i="9"/>
  <c r="P5" i="9"/>
  <c r="H2" i="9"/>
  <c r="G2" i="9"/>
  <c r="G10" i="9" s="1"/>
  <c r="F2" i="9"/>
  <c r="F10" i="9" s="1"/>
  <c r="S137" i="8"/>
  <c r="R137" i="8"/>
  <c r="Q137" i="8"/>
  <c r="P137" i="8"/>
  <c r="O137" i="8"/>
  <c r="N137" i="8"/>
  <c r="M137" i="8"/>
  <c r="D137" i="8"/>
  <c r="S136" i="8"/>
  <c r="R136" i="8"/>
  <c r="Q136" i="8"/>
  <c r="P136" i="8"/>
  <c r="O136" i="8"/>
  <c r="N136" i="8"/>
  <c r="M136" i="8"/>
  <c r="D136" i="8"/>
  <c r="S135" i="8"/>
  <c r="R135" i="8"/>
  <c r="Q135" i="8"/>
  <c r="P135" i="8"/>
  <c r="O135" i="8"/>
  <c r="N135" i="8"/>
  <c r="M135" i="8"/>
  <c r="D135" i="8"/>
  <c r="T134" i="8" a="1"/>
  <c r="T134" i="8" s="1"/>
  <c r="S134" i="8"/>
  <c r="R134" i="8"/>
  <c r="Q134" i="8"/>
  <c r="P134" i="8"/>
  <c r="O134" i="8"/>
  <c r="N134" i="8"/>
  <c r="M134" i="8"/>
  <c r="D134" i="8"/>
  <c r="S133" i="8"/>
  <c r="R133" i="8"/>
  <c r="Q133" i="8"/>
  <c r="P133" i="8"/>
  <c r="O133" i="8"/>
  <c r="N133" i="8"/>
  <c r="M133" i="8"/>
  <c r="T133" i="8" s="1" a="1"/>
  <c r="T133" i="8" s="1"/>
  <c r="D133" i="8"/>
  <c r="S132" i="8"/>
  <c r="R132" i="8"/>
  <c r="Q132" i="8"/>
  <c r="P132" i="8"/>
  <c r="O132" i="8"/>
  <c r="N132" i="8"/>
  <c r="M132" i="8"/>
  <c r="D132" i="8"/>
  <c r="S131" i="8"/>
  <c r="R131" i="8"/>
  <c r="T131" i="8" s="1" a="1"/>
  <c r="T131" i="8" s="1"/>
  <c r="Q131" i="8"/>
  <c r="P131" i="8"/>
  <c r="O131" i="8"/>
  <c r="N131" i="8"/>
  <c r="M131" i="8"/>
  <c r="D131" i="8"/>
  <c r="S130" i="8"/>
  <c r="R130" i="8"/>
  <c r="Q130" i="8"/>
  <c r="T130" i="8" s="1" a="1"/>
  <c r="T130" i="8" s="1"/>
  <c r="P130" i="8"/>
  <c r="O130" i="8"/>
  <c r="N130" i="8"/>
  <c r="M130" i="8"/>
  <c r="D130" i="8"/>
  <c r="S129" i="8"/>
  <c r="R129" i="8"/>
  <c r="Q129" i="8"/>
  <c r="P129" i="8"/>
  <c r="T129" i="8" s="1" a="1"/>
  <c r="T129" i="8" s="1"/>
  <c r="O129" i="8"/>
  <c r="N129" i="8"/>
  <c r="M129" i="8"/>
  <c r="D129" i="8"/>
  <c r="S128" i="8"/>
  <c r="R128" i="8"/>
  <c r="Q128" i="8"/>
  <c r="P128" i="8"/>
  <c r="O128" i="8"/>
  <c r="T128" i="8" s="1" a="1"/>
  <c r="T128" i="8" s="1"/>
  <c r="N128" i="8"/>
  <c r="M128" i="8"/>
  <c r="D128" i="8"/>
  <c r="S127" i="8"/>
  <c r="R127" i="8"/>
  <c r="Q127" i="8"/>
  <c r="P127" i="8"/>
  <c r="O127" i="8"/>
  <c r="N127" i="8"/>
  <c r="M127" i="8"/>
  <c r="D127" i="8"/>
  <c r="S126" i="8"/>
  <c r="R126" i="8"/>
  <c r="Q126" i="8"/>
  <c r="P126" i="8"/>
  <c r="O126" i="8"/>
  <c r="N126" i="8"/>
  <c r="M126" i="8"/>
  <c r="D126" i="8"/>
  <c r="S125" i="8"/>
  <c r="R125" i="8"/>
  <c r="Q125" i="8"/>
  <c r="P125" i="8"/>
  <c r="O125" i="8"/>
  <c r="N125" i="8"/>
  <c r="M125" i="8"/>
  <c r="D125" i="8"/>
  <c r="S124" i="8"/>
  <c r="R124" i="8"/>
  <c r="Q124" i="8"/>
  <c r="P124" i="8"/>
  <c r="O124" i="8"/>
  <c r="N124" i="8"/>
  <c r="M124" i="8"/>
  <c r="D124" i="8"/>
  <c r="S123" i="8"/>
  <c r="R123" i="8"/>
  <c r="Q123" i="8"/>
  <c r="P123" i="8"/>
  <c r="O123" i="8"/>
  <c r="N123" i="8"/>
  <c r="M123" i="8"/>
  <c r="D123" i="8"/>
  <c r="T122" i="8" a="1"/>
  <c r="T122" i="8" s="1"/>
  <c r="S122" i="8"/>
  <c r="R122" i="8"/>
  <c r="Q122" i="8"/>
  <c r="P122" i="8"/>
  <c r="O122" i="8"/>
  <c r="N122" i="8"/>
  <c r="M122" i="8"/>
  <c r="D122" i="8"/>
  <c r="S121" i="8"/>
  <c r="R121" i="8"/>
  <c r="Q121" i="8"/>
  <c r="P121" i="8"/>
  <c r="O121" i="8"/>
  <c r="N121" i="8"/>
  <c r="M121" i="8"/>
  <c r="T121" i="8" s="1" a="1"/>
  <c r="T121" i="8" s="1"/>
  <c r="D121" i="8"/>
  <c r="S120" i="8"/>
  <c r="R120" i="8"/>
  <c r="Q120" i="8"/>
  <c r="P120" i="8"/>
  <c r="O120" i="8"/>
  <c r="N120" i="8"/>
  <c r="M120" i="8"/>
  <c r="D120" i="8"/>
  <c r="S119" i="8"/>
  <c r="R119" i="8"/>
  <c r="T119" i="8" s="1" a="1"/>
  <c r="T119" i="8" s="1"/>
  <c r="Q119" i="8"/>
  <c r="P119" i="8"/>
  <c r="O119" i="8"/>
  <c r="N119" i="8"/>
  <c r="M119" i="8"/>
  <c r="D119" i="8"/>
  <c r="S118" i="8"/>
  <c r="R118" i="8"/>
  <c r="Q118" i="8"/>
  <c r="T118" i="8" s="1" a="1"/>
  <c r="T118" i="8" s="1"/>
  <c r="P118" i="8"/>
  <c r="O118" i="8"/>
  <c r="N118" i="8"/>
  <c r="M118" i="8"/>
  <c r="D118" i="8"/>
  <c r="S117" i="8"/>
  <c r="R117" i="8"/>
  <c r="Q117" i="8"/>
  <c r="P117" i="8"/>
  <c r="T117" i="8" s="1" a="1"/>
  <c r="T117" i="8" s="1"/>
  <c r="O117" i="8"/>
  <c r="N117" i="8"/>
  <c r="M117" i="8"/>
  <c r="D117" i="8"/>
  <c r="S116" i="8"/>
  <c r="R116" i="8"/>
  <c r="Q116" i="8"/>
  <c r="P116" i="8"/>
  <c r="O116" i="8"/>
  <c r="T116" i="8" s="1" a="1"/>
  <c r="T116" i="8" s="1"/>
  <c r="N116" i="8"/>
  <c r="M116" i="8"/>
  <c r="D116" i="8"/>
  <c r="S115" i="8"/>
  <c r="R115" i="8"/>
  <c r="Q115" i="8"/>
  <c r="P115" i="8"/>
  <c r="O115" i="8"/>
  <c r="N115" i="8"/>
  <c r="M115" i="8"/>
  <c r="D115" i="8"/>
  <c r="S114" i="8"/>
  <c r="R114" i="8"/>
  <c r="Q114" i="8"/>
  <c r="P114" i="8"/>
  <c r="O114" i="8"/>
  <c r="N114" i="8"/>
  <c r="M114" i="8"/>
  <c r="D114" i="8"/>
  <c r="S113" i="8"/>
  <c r="R113" i="8"/>
  <c r="Q113" i="8"/>
  <c r="P113" i="8"/>
  <c r="O113" i="8"/>
  <c r="N113" i="8"/>
  <c r="M113" i="8"/>
  <c r="D113" i="8"/>
  <c r="S112" i="8"/>
  <c r="R112" i="8"/>
  <c r="Q112" i="8"/>
  <c r="P112" i="8"/>
  <c r="O112" i="8"/>
  <c r="N112" i="8"/>
  <c r="M112" i="8"/>
  <c r="D112" i="8"/>
  <c r="S111" i="8"/>
  <c r="R111" i="8"/>
  <c r="Q111" i="8"/>
  <c r="P111" i="8"/>
  <c r="O111" i="8"/>
  <c r="N111" i="8"/>
  <c r="M111" i="8"/>
  <c r="D111" i="8"/>
  <c r="T110" i="8" a="1"/>
  <c r="T110" i="8" s="1"/>
  <c r="S110" i="8"/>
  <c r="R110" i="8"/>
  <c r="Q110" i="8"/>
  <c r="P110" i="8"/>
  <c r="O110" i="8"/>
  <c r="N110" i="8"/>
  <c r="M110" i="8"/>
  <c r="D110" i="8"/>
  <c r="S109" i="8"/>
  <c r="R109" i="8"/>
  <c r="Q109" i="8"/>
  <c r="P109" i="8"/>
  <c r="O109" i="8"/>
  <c r="N109" i="8"/>
  <c r="M109" i="8"/>
  <c r="T109" i="8" s="1" a="1"/>
  <c r="T109" i="8" s="1"/>
  <c r="D109" i="8"/>
  <c r="S108" i="8"/>
  <c r="R108" i="8"/>
  <c r="Q108" i="8"/>
  <c r="P108" i="8"/>
  <c r="O108" i="8"/>
  <c r="N108" i="8"/>
  <c r="M108" i="8"/>
  <c r="D108" i="8"/>
  <c r="S107" i="8"/>
  <c r="R107" i="8"/>
  <c r="T107" i="8" s="1" a="1"/>
  <c r="T107" i="8" s="1"/>
  <c r="Q107" i="8"/>
  <c r="P107" i="8"/>
  <c r="O107" i="8"/>
  <c r="N107" i="8"/>
  <c r="M107" i="8"/>
  <c r="D107" i="8"/>
  <c r="S106" i="8"/>
  <c r="R106" i="8"/>
  <c r="Q106" i="8"/>
  <c r="T106" i="8" s="1" a="1"/>
  <c r="T106" i="8" s="1"/>
  <c r="P106" i="8"/>
  <c r="O106" i="8"/>
  <c r="N106" i="8"/>
  <c r="M106" i="8"/>
  <c r="D106" i="8"/>
  <c r="S105" i="8"/>
  <c r="R105" i="8"/>
  <c r="Q105" i="8"/>
  <c r="P105" i="8"/>
  <c r="T105" i="8" s="1" a="1"/>
  <c r="T105" i="8" s="1"/>
  <c r="O105" i="8"/>
  <c r="N105" i="8"/>
  <c r="M105" i="8"/>
  <c r="D105" i="8"/>
  <c r="S104" i="8"/>
  <c r="R104" i="8"/>
  <c r="Q104" i="8"/>
  <c r="P104" i="8"/>
  <c r="O104" i="8"/>
  <c r="T104" i="8" s="1" a="1"/>
  <c r="T104" i="8" s="1"/>
  <c r="N104" i="8"/>
  <c r="M104" i="8"/>
  <c r="D104" i="8"/>
  <c r="S103" i="8"/>
  <c r="R103" i="8"/>
  <c r="Q103" i="8"/>
  <c r="P103" i="8"/>
  <c r="O103" i="8"/>
  <c r="N103" i="8"/>
  <c r="M103" i="8"/>
  <c r="D103" i="8"/>
  <c r="S102" i="8"/>
  <c r="R102" i="8"/>
  <c r="Q102" i="8"/>
  <c r="P102" i="8"/>
  <c r="O102" i="8"/>
  <c r="N102" i="8"/>
  <c r="M102" i="8"/>
  <c r="D102" i="8"/>
  <c r="S101" i="8"/>
  <c r="R101" i="8"/>
  <c r="Q101" i="8"/>
  <c r="P101" i="8"/>
  <c r="O101" i="8"/>
  <c r="N101" i="8"/>
  <c r="M101" i="8"/>
  <c r="D101" i="8"/>
  <c r="S100" i="8"/>
  <c r="R100" i="8"/>
  <c r="Q100" i="8"/>
  <c r="P100" i="8"/>
  <c r="O100" i="8"/>
  <c r="N100" i="8"/>
  <c r="M100" i="8"/>
  <c r="D100" i="8"/>
  <c r="S99" i="8"/>
  <c r="R99" i="8"/>
  <c r="Q99" i="8"/>
  <c r="P99" i="8"/>
  <c r="O99" i="8"/>
  <c r="N99" i="8"/>
  <c r="M99" i="8"/>
  <c r="D99" i="8"/>
  <c r="T98" i="8" a="1"/>
  <c r="T98" i="8" s="1"/>
  <c r="S98" i="8"/>
  <c r="R98" i="8"/>
  <c r="Q98" i="8"/>
  <c r="P98" i="8"/>
  <c r="O98" i="8"/>
  <c r="N98" i="8"/>
  <c r="M98" i="8"/>
  <c r="D98" i="8"/>
  <c r="S97" i="8"/>
  <c r="R97" i="8"/>
  <c r="Q97" i="8"/>
  <c r="P97" i="8"/>
  <c r="O97" i="8"/>
  <c r="N97" i="8"/>
  <c r="M97" i="8"/>
  <c r="T97" i="8" s="1" a="1"/>
  <c r="T97" i="8" s="1"/>
  <c r="D97" i="8"/>
  <c r="S96" i="8"/>
  <c r="R96" i="8"/>
  <c r="Q96" i="8"/>
  <c r="P96" i="8"/>
  <c r="O96" i="8"/>
  <c r="N96" i="8"/>
  <c r="M96" i="8"/>
  <c r="D96" i="8"/>
  <c r="S95" i="8"/>
  <c r="R95" i="8"/>
  <c r="T95" i="8" s="1" a="1"/>
  <c r="T95" i="8" s="1"/>
  <c r="Q95" i="8"/>
  <c r="P95" i="8"/>
  <c r="O95" i="8"/>
  <c r="N95" i="8"/>
  <c r="M95" i="8"/>
  <c r="D95" i="8"/>
  <c r="S94" i="8"/>
  <c r="R94" i="8"/>
  <c r="Q94" i="8"/>
  <c r="T94" i="8" s="1" a="1"/>
  <c r="T94" i="8" s="1"/>
  <c r="P94" i="8"/>
  <c r="O94" i="8"/>
  <c r="N94" i="8"/>
  <c r="M94" i="8"/>
  <c r="D94" i="8"/>
  <c r="S93" i="8"/>
  <c r="R93" i="8"/>
  <c r="Q93" i="8"/>
  <c r="P93" i="8"/>
  <c r="T93" i="8" s="1" a="1"/>
  <c r="T93" i="8" s="1"/>
  <c r="O93" i="8"/>
  <c r="N93" i="8"/>
  <c r="M93" i="8"/>
  <c r="D93" i="8"/>
  <c r="S92" i="8"/>
  <c r="R92" i="8"/>
  <c r="Q92" i="8"/>
  <c r="P92" i="8"/>
  <c r="O92" i="8"/>
  <c r="T92" i="8" s="1" a="1"/>
  <c r="T92" i="8" s="1"/>
  <c r="N92" i="8"/>
  <c r="M92" i="8"/>
  <c r="D92" i="8"/>
  <c r="S91" i="8"/>
  <c r="R91" i="8"/>
  <c r="Q91" i="8"/>
  <c r="P91" i="8"/>
  <c r="O91" i="8"/>
  <c r="N91" i="8"/>
  <c r="T91" i="8" s="1" a="1"/>
  <c r="T91" i="8" s="1"/>
  <c r="M91" i="8"/>
  <c r="D91" i="8"/>
  <c r="S90" i="8"/>
  <c r="R90" i="8"/>
  <c r="Q90" i="8"/>
  <c r="P90" i="8"/>
  <c r="O90" i="8"/>
  <c r="N90" i="8"/>
  <c r="M90" i="8"/>
  <c r="D90" i="8"/>
  <c r="S89" i="8"/>
  <c r="R89" i="8"/>
  <c r="Q89" i="8"/>
  <c r="P89" i="8"/>
  <c r="O89" i="8"/>
  <c r="N89" i="8"/>
  <c r="M89" i="8"/>
  <c r="D89" i="8"/>
  <c r="S88" i="8"/>
  <c r="R88" i="8"/>
  <c r="Q88" i="8"/>
  <c r="P88" i="8"/>
  <c r="O88" i="8"/>
  <c r="N88" i="8"/>
  <c r="M88" i="8"/>
  <c r="D88" i="8"/>
  <c r="S87" i="8"/>
  <c r="R87" i="8"/>
  <c r="Q87" i="8"/>
  <c r="P87" i="8"/>
  <c r="O87" i="8"/>
  <c r="N87" i="8"/>
  <c r="M87" i="8"/>
  <c r="D87" i="8"/>
  <c r="T86" i="8" a="1"/>
  <c r="T86" i="8" s="1"/>
  <c r="S86" i="8"/>
  <c r="R86" i="8"/>
  <c r="Q86" i="8"/>
  <c r="P86" i="8"/>
  <c r="O86" i="8"/>
  <c r="N86" i="8"/>
  <c r="M86" i="8"/>
  <c r="D86" i="8"/>
  <c r="S85" i="8"/>
  <c r="R85" i="8"/>
  <c r="Q85" i="8"/>
  <c r="P85" i="8"/>
  <c r="O85" i="8"/>
  <c r="N85" i="8"/>
  <c r="M85" i="8"/>
  <c r="T85" i="8" s="1" a="1"/>
  <c r="T85" i="8" s="1"/>
  <c r="D85" i="8"/>
  <c r="S84" i="8"/>
  <c r="R84" i="8"/>
  <c r="Q84" i="8"/>
  <c r="P84" i="8"/>
  <c r="O84" i="8"/>
  <c r="N84" i="8"/>
  <c r="M84" i="8"/>
  <c r="D84" i="8"/>
  <c r="S83" i="8"/>
  <c r="R83" i="8"/>
  <c r="T83" i="8" s="1" a="1"/>
  <c r="T83" i="8" s="1"/>
  <c r="Q83" i="8"/>
  <c r="P83" i="8"/>
  <c r="O83" i="8"/>
  <c r="N83" i="8"/>
  <c r="M83" i="8"/>
  <c r="D83" i="8"/>
  <c r="O82" i="8"/>
  <c r="N82" i="8"/>
  <c r="M82" i="8"/>
  <c r="S78" i="8"/>
  <c r="R78" i="8"/>
  <c r="Q78" i="8"/>
  <c r="P78" i="8"/>
  <c r="O78" i="8"/>
  <c r="N78" i="8"/>
  <c r="M78" i="8"/>
  <c r="T78" i="8" s="1"/>
  <c r="D78" i="8"/>
  <c r="T77" i="8"/>
  <c r="S77" i="8"/>
  <c r="R77" i="8"/>
  <c r="Q77" i="8"/>
  <c r="P77" i="8"/>
  <c r="O77" i="8"/>
  <c r="N77" i="8"/>
  <c r="M77" i="8"/>
  <c r="D77" i="8"/>
  <c r="S76" i="8"/>
  <c r="R76" i="8"/>
  <c r="T76" i="8" s="1"/>
  <c r="Q76" i="8"/>
  <c r="P76" i="8"/>
  <c r="O76" i="8"/>
  <c r="N76" i="8"/>
  <c r="M76" i="8"/>
  <c r="D76" i="8"/>
  <c r="S75" i="8"/>
  <c r="R75" i="8"/>
  <c r="Q75" i="8"/>
  <c r="P75" i="8"/>
  <c r="O75" i="8"/>
  <c r="N75" i="8"/>
  <c r="M75" i="8"/>
  <c r="D75" i="8"/>
  <c r="S74" i="8"/>
  <c r="R74" i="8"/>
  <c r="Q74" i="8"/>
  <c r="P74" i="8"/>
  <c r="O74" i="8"/>
  <c r="N74" i="8"/>
  <c r="M74" i="8"/>
  <c r="T74" i="8" s="1"/>
  <c r="D74" i="8"/>
  <c r="S73" i="8"/>
  <c r="R73" i="8"/>
  <c r="Q73" i="8"/>
  <c r="P73" i="8"/>
  <c r="O73" i="8"/>
  <c r="N73" i="8"/>
  <c r="M73" i="8"/>
  <c r="D73" i="8"/>
  <c r="S72" i="8"/>
  <c r="R72" i="8"/>
  <c r="Q72" i="8"/>
  <c r="P72" i="8"/>
  <c r="O72" i="8"/>
  <c r="N72" i="8"/>
  <c r="M72" i="8"/>
  <c r="D72" i="8"/>
  <c r="O71" i="8"/>
  <c r="N71" i="8"/>
  <c r="M71" i="8"/>
  <c r="T67" i="8"/>
  <c r="S67" i="8"/>
  <c r="P67" i="8"/>
  <c r="O67" i="8"/>
  <c r="N67" i="8"/>
  <c r="M67" i="8"/>
  <c r="D67" i="8"/>
  <c r="S66" i="8"/>
  <c r="P66" i="8"/>
  <c r="O66" i="8"/>
  <c r="N66" i="8"/>
  <c r="T66" i="8" s="1"/>
  <c r="M66" i="8"/>
  <c r="D66" i="8"/>
  <c r="S65" i="8"/>
  <c r="P65" i="8"/>
  <c r="O65" i="8"/>
  <c r="N65" i="8"/>
  <c r="M65" i="8"/>
  <c r="S64" i="8"/>
  <c r="T64" i="8" s="1"/>
  <c r="P64" i="8"/>
  <c r="O64" i="8"/>
  <c r="N64" i="8"/>
  <c r="M64" i="8"/>
  <c r="D64" i="8"/>
  <c r="T63" i="8"/>
  <c r="S63" i="8"/>
  <c r="P63" i="8"/>
  <c r="O63" i="8"/>
  <c r="N63" i="8"/>
  <c r="M63" i="8"/>
  <c r="D63" i="8"/>
  <c r="S62" i="8"/>
  <c r="P62" i="8"/>
  <c r="O62" i="8"/>
  <c r="N62" i="8"/>
  <c r="M62" i="8"/>
  <c r="D62" i="8"/>
  <c r="S61" i="8"/>
  <c r="T61" i="8" s="1"/>
  <c r="P61" i="8"/>
  <c r="N61" i="8"/>
  <c r="M61" i="8"/>
  <c r="D61" i="8"/>
  <c r="O60" i="8"/>
  <c r="N60" i="8"/>
  <c r="M60" i="8"/>
  <c r="K57" i="8"/>
  <c r="L57" i="8" s="1"/>
  <c r="M57" i="8" s="1"/>
  <c r="N57" i="8" s="1"/>
  <c r="J57" i="8"/>
  <c r="S56" i="8"/>
  <c r="R56" i="8"/>
  <c r="Q56" i="8"/>
  <c r="P56" i="8"/>
  <c r="O56" i="8"/>
  <c r="N56" i="8"/>
  <c r="M56" i="8"/>
  <c r="D56" i="8"/>
  <c r="S55" i="8"/>
  <c r="R55" i="8"/>
  <c r="Q55" i="8"/>
  <c r="P55" i="8"/>
  <c r="O55" i="8"/>
  <c r="N55" i="8"/>
  <c r="M55" i="8"/>
  <c r="T55" i="8" s="1"/>
  <c r="D55" i="8"/>
  <c r="S54" i="8"/>
  <c r="R54" i="8"/>
  <c r="T54" i="8" s="1"/>
  <c r="Q54" i="8"/>
  <c r="P54" i="8"/>
  <c r="O54" i="8"/>
  <c r="N54" i="8"/>
  <c r="M54" i="8"/>
  <c r="D54" i="8"/>
  <c r="S53" i="8"/>
  <c r="R53" i="8"/>
  <c r="Q53" i="8"/>
  <c r="P53" i="8"/>
  <c r="O53" i="8"/>
  <c r="N53" i="8"/>
  <c r="M53" i="8"/>
  <c r="D53" i="8"/>
  <c r="S52" i="8"/>
  <c r="R52" i="8"/>
  <c r="Q52" i="8"/>
  <c r="P52" i="8"/>
  <c r="O52" i="8"/>
  <c r="N52" i="8"/>
  <c r="T52" i="8" s="1"/>
  <c r="M52" i="8"/>
  <c r="D52" i="8"/>
  <c r="S51" i="8"/>
  <c r="R51" i="8"/>
  <c r="Q51" i="8"/>
  <c r="P51" i="8"/>
  <c r="O51" i="8"/>
  <c r="N51" i="8"/>
  <c r="M51" i="8"/>
  <c r="D51" i="8"/>
  <c r="S50" i="8"/>
  <c r="R50" i="8"/>
  <c r="Q50" i="8"/>
  <c r="P50" i="8"/>
  <c r="O50" i="8"/>
  <c r="N50" i="8"/>
  <c r="M50" i="8"/>
  <c r="T50" i="8" s="1"/>
  <c r="D50" i="8"/>
  <c r="O49" i="8"/>
  <c r="N49" i="8"/>
  <c r="M49" i="8"/>
  <c r="S45" i="8"/>
  <c r="R45" i="8"/>
  <c r="Q45" i="8"/>
  <c r="P45" i="8"/>
  <c r="O45" i="8"/>
  <c r="N45" i="8"/>
  <c r="M45" i="8"/>
  <c r="D45" i="8"/>
  <c r="S44" i="8"/>
  <c r="R44" i="8"/>
  <c r="Q44" i="8"/>
  <c r="P44" i="8"/>
  <c r="O44" i="8"/>
  <c r="N44" i="8"/>
  <c r="M44" i="8"/>
  <c r="T44" i="8" s="1"/>
  <c r="D44" i="8"/>
  <c r="S43" i="8"/>
  <c r="R43" i="8"/>
  <c r="Q43" i="8"/>
  <c r="P43" i="8"/>
  <c r="O43" i="8"/>
  <c r="N43" i="8"/>
  <c r="M43" i="8"/>
  <c r="D43" i="8"/>
  <c r="S42" i="8"/>
  <c r="R42" i="8"/>
  <c r="Q42" i="8"/>
  <c r="T42" i="8" s="1"/>
  <c r="P42" i="8"/>
  <c r="O42" i="8"/>
  <c r="N42" i="8"/>
  <c r="M42" i="8"/>
  <c r="D42" i="8"/>
  <c r="S41" i="8"/>
  <c r="R41" i="8"/>
  <c r="Q41" i="8"/>
  <c r="P41" i="8"/>
  <c r="O41" i="8"/>
  <c r="T41" i="8" s="1"/>
  <c r="N41" i="8"/>
  <c r="M41" i="8"/>
  <c r="D41" i="8"/>
  <c r="S40" i="8"/>
  <c r="R40" i="8"/>
  <c r="Q40" i="8"/>
  <c r="P40" i="8"/>
  <c r="O40" i="8"/>
  <c r="N40" i="8"/>
  <c r="M40" i="8"/>
  <c r="D40" i="8"/>
  <c r="S39" i="8"/>
  <c r="R39" i="8"/>
  <c r="Q39" i="8"/>
  <c r="P39" i="8"/>
  <c r="O39" i="8"/>
  <c r="N39" i="8"/>
  <c r="M39" i="8"/>
  <c r="D39" i="8"/>
  <c r="O38" i="8"/>
  <c r="N38" i="8"/>
  <c r="M38" i="8"/>
  <c r="S34" i="8"/>
  <c r="R34" i="8"/>
  <c r="Q34" i="8"/>
  <c r="P34" i="8"/>
  <c r="O34" i="8"/>
  <c r="N34" i="8"/>
  <c r="M34" i="8"/>
  <c r="T34" i="8" s="1"/>
  <c r="D34" i="8"/>
  <c r="S33" i="8"/>
  <c r="R33" i="8"/>
  <c r="Q33" i="8"/>
  <c r="P33" i="8"/>
  <c r="O33" i="8"/>
  <c r="N33" i="8"/>
  <c r="M33" i="8"/>
  <c r="D33" i="8"/>
  <c r="S32" i="8"/>
  <c r="R32" i="8"/>
  <c r="Q32" i="8"/>
  <c r="P32" i="8"/>
  <c r="O32" i="8"/>
  <c r="N32" i="8"/>
  <c r="M32" i="8"/>
  <c r="T32" i="8" s="1"/>
  <c r="D32" i="8"/>
  <c r="S31" i="8"/>
  <c r="R31" i="8"/>
  <c r="T31" i="8" s="1"/>
  <c r="Q31" i="8"/>
  <c r="P31" i="8"/>
  <c r="O31" i="8"/>
  <c r="N31" i="8"/>
  <c r="M31" i="8"/>
  <c r="D31" i="8"/>
  <c r="S30" i="8"/>
  <c r="R30" i="8"/>
  <c r="Q30" i="8"/>
  <c r="P30" i="8"/>
  <c r="T30" i="8" s="1"/>
  <c r="O30" i="8"/>
  <c r="N30" i="8"/>
  <c r="M30" i="8"/>
  <c r="D30" i="8"/>
  <c r="S29" i="8"/>
  <c r="R29" i="8"/>
  <c r="Q29" i="8"/>
  <c r="P29" i="8"/>
  <c r="O29" i="8"/>
  <c r="N29" i="8"/>
  <c r="T29" i="8" s="1"/>
  <c r="M29" i="8"/>
  <c r="D29" i="8"/>
  <c r="S28" i="8"/>
  <c r="R28" i="8"/>
  <c r="Q28" i="8"/>
  <c r="P28" i="8"/>
  <c r="O28" i="8"/>
  <c r="N28" i="8"/>
  <c r="M28" i="8"/>
  <c r="D28" i="8"/>
  <c r="O27" i="8"/>
  <c r="N27" i="8"/>
  <c r="M27" i="8"/>
  <c r="S23" i="8"/>
  <c r="R23" i="8"/>
  <c r="Q23" i="8"/>
  <c r="P23" i="8"/>
  <c r="O23" i="8"/>
  <c r="N23" i="8"/>
  <c r="M23" i="8"/>
  <c r="D23" i="8"/>
  <c r="S22" i="8"/>
  <c r="R22" i="8"/>
  <c r="Q22" i="8"/>
  <c r="P22" i="8"/>
  <c r="O22" i="8"/>
  <c r="N22" i="8"/>
  <c r="M22" i="8"/>
  <c r="T22" i="8" s="1"/>
  <c r="D22" i="8"/>
  <c r="S21" i="8"/>
  <c r="R21" i="8"/>
  <c r="Q21" i="8"/>
  <c r="P21" i="8"/>
  <c r="O21" i="8"/>
  <c r="N21" i="8"/>
  <c r="M21" i="8"/>
  <c r="D21" i="8"/>
  <c r="S20" i="8"/>
  <c r="R20" i="8"/>
  <c r="Q20" i="8"/>
  <c r="P20" i="8"/>
  <c r="O20" i="8"/>
  <c r="N20" i="8"/>
  <c r="M20" i="8"/>
  <c r="T20" i="8" s="1"/>
  <c r="D20" i="8"/>
  <c r="S19" i="8"/>
  <c r="R19" i="8"/>
  <c r="Q19" i="8"/>
  <c r="T19" i="8" s="1"/>
  <c r="P19" i="8"/>
  <c r="O19" i="8"/>
  <c r="N19" i="8"/>
  <c r="M19" i="8"/>
  <c r="D19" i="8"/>
  <c r="S18" i="8"/>
  <c r="R18" i="8"/>
  <c r="Q18" i="8"/>
  <c r="P18" i="8"/>
  <c r="O18" i="8"/>
  <c r="T18" i="8" s="1"/>
  <c r="N18" i="8"/>
  <c r="M18" i="8"/>
  <c r="D18" i="8"/>
  <c r="S17" i="8"/>
  <c r="R17" i="8"/>
  <c r="Q17" i="8"/>
  <c r="P17" i="8"/>
  <c r="O17" i="8"/>
  <c r="N17" i="8"/>
  <c r="M17" i="8"/>
  <c r="D17" i="8"/>
  <c r="O16" i="8"/>
  <c r="N16" i="8"/>
  <c r="M16" i="8"/>
  <c r="T12" i="8"/>
  <c r="S12" i="8"/>
  <c r="R12" i="8"/>
  <c r="Q12" i="8"/>
  <c r="P12" i="8"/>
  <c r="O12" i="8"/>
  <c r="N12" i="8"/>
  <c r="M12" i="8"/>
  <c r="D12" i="8"/>
  <c r="S11" i="8"/>
  <c r="R11" i="8"/>
  <c r="Q11" i="8"/>
  <c r="P11" i="8"/>
  <c r="O11" i="8"/>
  <c r="N11" i="8"/>
  <c r="M11" i="8"/>
  <c r="D11" i="8"/>
  <c r="S10" i="8"/>
  <c r="R10" i="8"/>
  <c r="Q10" i="8"/>
  <c r="P10" i="8"/>
  <c r="O10" i="8"/>
  <c r="N10" i="8"/>
  <c r="M10" i="8"/>
  <c r="D10" i="8"/>
  <c r="S9" i="8"/>
  <c r="R9" i="8"/>
  <c r="Q9" i="8"/>
  <c r="P9" i="8"/>
  <c r="O9" i="8"/>
  <c r="N9" i="8"/>
  <c r="M9" i="8"/>
  <c r="D9" i="8"/>
  <c r="S8" i="8"/>
  <c r="R8" i="8"/>
  <c r="Q8" i="8"/>
  <c r="P8" i="8"/>
  <c r="O8" i="8"/>
  <c r="N8" i="8"/>
  <c r="M8" i="8"/>
  <c r="D8" i="8"/>
  <c r="S7" i="8"/>
  <c r="R7" i="8"/>
  <c r="Q7" i="8"/>
  <c r="P7" i="8"/>
  <c r="O7" i="8"/>
  <c r="N7" i="8"/>
  <c r="M7" i="8"/>
  <c r="D7" i="8"/>
  <c r="S6" i="8"/>
  <c r="AC10" i="8" s="1"/>
  <c r="R6" i="8"/>
  <c r="Q6" i="8"/>
  <c r="P6" i="8"/>
  <c r="O6" i="8"/>
  <c r="N6" i="8"/>
  <c r="M6" i="8"/>
  <c r="D6" i="8"/>
  <c r="O5" i="8"/>
  <c r="N5" i="8"/>
  <c r="M5" i="8"/>
  <c r="F2" i="8"/>
  <c r="G2" i="8" s="1"/>
  <c r="H2" i="8" s="1"/>
  <c r="I2" i="8" s="1"/>
  <c r="J2" i="8" s="1"/>
  <c r="K2" i="8" s="1"/>
  <c r="L2" i="8" s="1"/>
  <c r="M2" i="8" s="1"/>
  <c r="N2" i="8" s="1"/>
  <c r="O2" i="8" s="1"/>
  <c r="C16" i="7"/>
  <c r="C15" i="7"/>
  <c r="D12" i="7"/>
  <c r="H11" i="7"/>
  <c r="D11" i="7"/>
  <c r="E11" i="7" s="1" a="1"/>
  <c r="E11" i="7" s="1"/>
  <c r="G11" i="7" s="1"/>
  <c r="D10" i="7"/>
  <c r="E10" i="7" s="1"/>
  <c r="G9" i="7"/>
  <c r="E9" i="7" a="1"/>
  <c r="E9" i="7"/>
  <c r="D9" i="7"/>
  <c r="E8" i="7" a="1"/>
  <c r="E8" i="7" s="1"/>
  <c r="D8" i="7"/>
  <c r="D7" i="7"/>
  <c r="E5" i="7" s="1"/>
  <c r="H5" i="7" s="1"/>
  <c r="D6" i="7"/>
  <c r="D5" i="7"/>
  <c r="G4" i="7"/>
  <c r="E4" i="7" a="1"/>
  <c r="E4" i="7" s="1"/>
  <c r="D4" i="7"/>
  <c r="J48" i="6"/>
  <c r="I47" i="6"/>
  <c r="J46" i="6"/>
  <c r="K45" i="6"/>
  <c r="J45" i="6"/>
  <c r="J43" i="6"/>
  <c r="I48" i="6" s="1"/>
  <c r="I43" i="6"/>
  <c r="L33" i="6" s="1"/>
  <c r="L38" i="6" s="1"/>
  <c r="L48" i="6" s="1"/>
  <c r="J42" i="6"/>
  <c r="I42" i="6"/>
  <c r="L37" i="6"/>
  <c r="K37" i="6"/>
  <c r="K47" i="6" s="1"/>
  <c r="J47" i="6" s="1"/>
  <c r="J37" i="6"/>
  <c r="L47" i="6" s="1"/>
  <c r="I37" i="6"/>
  <c r="L35" i="6"/>
  <c r="K35" i="6"/>
  <c r="J35" i="6"/>
  <c r="I35" i="6"/>
  <c r="L32" i="6"/>
  <c r="K32" i="6"/>
  <c r="I32" i="6"/>
  <c r="J31" i="6"/>
  <c r="I31" i="6"/>
  <c r="L27" i="6"/>
  <c r="J27" i="6"/>
  <c r="J32" i="6" s="1"/>
  <c r="I27" i="6"/>
  <c r="L25" i="6"/>
  <c r="K25" i="6"/>
  <c r="L23" i="6"/>
  <c r="J28" i="6" s="1"/>
  <c r="J33" i="6" s="1"/>
  <c r="J38" i="6" s="1"/>
  <c r="K23" i="6"/>
  <c r="K28" i="6" s="1"/>
  <c r="L28" i="6" s="1"/>
  <c r="J23" i="6"/>
  <c r="I23" i="6"/>
  <c r="I28" i="6" s="1"/>
  <c r="I33" i="6" s="1"/>
  <c r="L22" i="6"/>
  <c r="K22" i="6"/>
  <c r="J22" i="6"/>
  <c r="K27" i="6" s="1"/>
  <c r="I22" i="6"/>
  <c r="L20" i="6"/>
  <c r="K20" i="6"/>
  <c r="B9" i="6"/>
  <c r="C35" i="5"/>
  <c r="D35" i="5" s="1"/>
  <c r="D34" i="5"/>
  <c r="D33" i="5"/>
  <c r="B24" i="5"/>
  <c r="H16" i="5"/>
  <c r="B16" i="5"/>
  <c r="H12" i="5"/>
  <c r="B12" i="5"/>
  <c r="H8" i="5"/>
  <c r="B8" i="5"/>
  <c r="H4" i="5"/>
  <c r="C16" i="1"/>
  <c r="C12" i="1"/>
  <c r="C8" i="1"/>
  <c r="C5" i="1"/>
  <c r="C18" i="1" s="1"/>
  <c r="C52" i="8" l="1"/>
  <c r="C7" i="12"/>
  <c r="I8" i="7"/>
  <c r="H8" i="7"/>
  <c r="G8" i="7"/>
  <c r="F8" i="7"/>
  <c r="C76" i="8"/>
  <c r="Q8" i="9"/>
  <c r="C74" i="8"/>
  <c r="K33" i="6"/>
  <c r="K38" i="6" s="1"/>
  <c r="I38" i="6"/>
  <c r="I9" i="7" s="1"/>
  <c r="I10" i="7"/>
  <c r="H10" i="7"/>
  <c r="G10" i="7"/>
  <c r="F10" i="7"/>
  <c r="T39" i="8"/>
  <c r="C41" i="8" s="1"/>
  <c r="C78" i="8"/>
  <c r="T87" i="8" a="1"/>
  <c r="T87" i="8" s="1"/>
  <c r="C94" i="8" s="1"/>
  <c r="T99" i="8" a="1"/>
  <c r="T99" i="8" s="1"/>
  <c r="T111" i="8" a="1"/>
  <c r="T111" i="8" s="1"/>
  <c r="T123" i="8" a="1"/>
  <c r="T123" i="8" s="1"/>
  <c r="T135" i="8" a="1"/>
  <c r="T135" i="8" s="1"/>
  <c r="T7" i="8"/>
  <c r="T10" i="8"/>
  <c r="T90" i="8" a="1"/>
  <c r="T90" i="8" s="1"/>
  <c r="T102" i="8" a="1"/>
  <c r="T102" i="8" s="1"/>
  <c r="T114" i="8" a="1"/>
  <c r="T114" i="8" s="1"/>
  <c r="T126" i="8" a="1"/>
  <c r="T126" i="8" s="1"/>
  <c r="C36" i="5"/>
  <c r="F11" i="7"/>
  <c r="T62" i="8"/>
  <c r="C62" i="8" s="1"/>
  <c r="H9" i="9"/>
  <c r="H8" i="9"/>
  <c r="H6" i="9"/>
  <c r="H12" i="9"/>
  <c r="H11" i="9"/>
  <c r="R11" i="9" s="1"/>
  <c r="I2" i="9"/>
  <c r="I11" i="7"/>
  <c r="T21" i="8"/>
  <c r="C30" i="8"/>
  <c r="T33" i="8"/>
  <c r="C33" i="8" s="1"/>
  <c r="T45" i="8"/>
  <c r="C66" i="8"/>
  <c r="T73" i="8"/>
  <c r="C73" i="8" s="1"/>
  <c r="P12" i="9"/>
  <c r="T6" i="8"/>
  <c r="C12" i="8" s="1"/>
  <c r="T9" i="8"/>
  <c r="T17" i="8"/>
  <c r="T89" i="8" a="1"/>
  <c r="T89" i="8" s="1"/>
  <c r="T101" i="8" a="1"/>
  <c r="T101" i="8" s="1"/>
  <c r="T113" i="8" a="1"/>
  <c r="T113" i="8" s="1"/>
  <c r="T125" i="8" a="1"/>
  <c r="T125" i="8" s="1"/>
  <c r="T137" i="8" a="1"/>
  <c r="T137" i="8" s="1"/>
  <c r="Q12" i="9"/>
  <c r="AN12" i="12" a="1"/>
  <c r="AN12" i="12" s="1"/>
  <c r="AN53" i="12" a="1"/>
  <c r="AN53" i="12" s="1"/>
  <c r="P7" i="10"/>
  <c r="P13" i="10"/>
  <c r="AN25" i="12" a="1"/>
  <c r="AN25" i="12" s="1"/>
  <c r="C25" i="12" s="1"/>
  <c r="T53" i="8"/>
  <c r="T56" i="8"/>
  <c r="G5" i="7"/>
  <c r="F5" i="7"/>
  <c r="I5" i="7"/>
  <c r="H9" i="7"/>
  <c r="F9" i="7"/>
  <c r="C20" i="8"/>
  <c r="T28" i="8"/>
  <c r="C32" i="8" s="1"/>
  <c r="T40" i="8"/>
  <c r="T72" i="8"/>
  <c r="AN11" i="12" a="1"/>
  <c r="AN11" i="12" s="1"/>
  <c r="I4" i="7"/>
  <c r="F4" i="7"/>
  <c r="T8" i="8"/>
  <c r="C8" i="8" s="1"/>
  <c r="T11" i="8"/>
  <c r="T23" i="8"/>
  <c r="C23" i="8" s="1"/>
  <c r="T65" i="8"/>
  <c r="T75" i="8"/>
  <c r="T84" i="8" a="1"/>
  <c r="T84" i="8" s="1"/>
  <c r="C91" i="8" s="1"/>
  <c r="T88" i="8" a="1"/>
  <c r="T88" i="8" s="1"/>
  <c r="T96" i="8" a="1"/>
  <c r="T96" i="8" s="1"/>
  <c r="T100" i="8" a="1"/>
  <c r="T100" i="8" s="1"/>
  <c r="T108" i="8" a="1"/>
  <c r="T108" i="8" s="1"/>
  <c r="T112" i="8" a="1"/>
  <c r="T112" i="8" s="1"/>
  <c r="T120" i="8" a="1"/>
  <c r="T120" i="8" s="1"/>
  <c r="T124" i="8" a="1"/>
  <c r="T124" i="8" s="1"/>
  <c r="T132" i="8" a="1"/>
  <c r="T132" i="8" s="1"/>
  <c r="T136" i="8" a="1"/>
  <c r="T136" i="8" s="1"/>
  <c r="AN33" i="12" a="1"/>
  <c r="AN33" i="12" s="1"/>
  <c r="AB10" i="8"/>
  <c r="AB9" i="8"/>
  <c r="AB8" i="8"/>
  <c r="AB7" i="8"/>
  <c r="AB6" i="8"/>
  <c r="T103" i="8" a="1"/>
  <c r="T103" i="8" s="1"/>
  <c r="C103" i="8" s="1"/>
  <c r="T115" i="8" a="1"/>
  <c r="T115" i="8" s="1"/>
  <c r="T127" i="8" a="1"/>
  <c r="T127" i="8" s="1"/>
  <c r="Q7" i="9"/>
  <c r="P11" i="10"/>
  <c r="AN21" i="12" a="1"/>
  <c r="AN21" i="12" s="1"/>
  <c r="H4" i="7"/>
  <c r="T43" i="8"/>
  <c r="C43" i="8" s="1"/>
  <c r="T51" i="8"/>
  <c r="C51" i="8" s="1"/>
  <c r="H7" i="9"/>
  <c r="H10" i="9"/>
  <c r="AN57" i="12" a="1"/>
  <c r="AN57" i="12" s="1"/>
  <c r="AN10" i="12" a="1"/>
  <c r="AN10" i="12" s="1"/>
  <c r="C10" i="12" s="1"/>
  <c r="AN35" i="12" a="1"/>
  <c r="AN35" i="12" s="1"/>
  <c r="M13" i="14"/>
  <c r="M11" i="14"/>
  <c r="M4" i="14"/>
  <c r="M49" i="14"/>
  <c r="M48" i="14"/>
  <c r="K15" i="14"/>
  <c r="K19" i="14"/>
  <c r="K29" i="14"/>
  <c r="K32" i="14"/>
  <c r="M74" i="14"/>
  <c r="K72" i="14"/>
  <c r="M69" i="14"/>
  <c r="M93" i="14"/>
  <c r="F12" i="10"/>
  <c r="P12" i="10" s="1"/>
  <c r="AN55" i="12" a="1"/>
  <c r="AN55" i="12" s="1"/>
  <c r="K8" i="14"/>
  <c r="K121" i="14"/>
  <c r="K20" i="14"/>
  <c r="K11" i="14"/>
  <c r="K76" i="14"/>
  <c r="K46" i="14"/>
  <c r="K17" i="14"/>
  <c r="K30" i="14"/>
  <c r="K28" i="14"/>
  <c r="K25" i="14"/>
  <c r="K10" i="14"/>
  <c r="K3" i="14"/>
  <c r="K54" i="14"/>
  <c r="K35" i="14"/>
  <c r="K31" i="14"/>
  <c r="K16" i="14"/>
  <c r="K42" i="14"/>
  <c r="F9" i="9"/>
  <c r="P11" i="9" s="1"/>
  <c r="AN24" i="12" a="1"/>
  <c r="AN24" i="12" s="1"/>
  <c r="M5" i="14"/>
  <c r="M10" i="14"/>
  <c r="M18" i="14"/>
  <c r="K22" i="14"/>
  <c r="M50" i="14"/>
  <c r="K56" i="14"/>
  <c r="G9" i="9"/>
  <c r="Q9" i="9" s="1"/>
  <c r="F38" i="13"/>
  <c r="M22" i="14"/>
  <c r="M76" i="14"/>
  <c r="AC6" i="8"/>
  <c r="AC7" i="8"/>
  <c r="AC8" i="8"/>
  <c r="AC9" i="8"/>
  <c r="G2" i="10"/>
  <c r="M3" i="14"/>
  <c r="K14" i="14"/>
  <c r="M40" i="14"/>
  <c r="M45" i="14"/>
  <c r="K51" i="14"/>
  <c r="K84" i="14"/>
  <c r="K5" i="14"/>
  <c r="K9" i="14"/>
  <c r="K48" i="14"/>
  <c r="K77" i="14"/>
  <c r="K43" i="14"/>
  <c r="K57" i="14"/>
  <c r="K69" i="14"/>
  <c r="M73" i="14"/>
  <c r="D154" i="14"/>
  <c r="D148" i="14"/>
  <c r="D142" i="14"/>
  <c r="D136" i="14"/>
  <c r="D155" i="14"/>
  <c r="D149" i="14"/>
  <c r="D143" i="14"/>
  <c r="D157" i="14"/>
  <c r="D151" i="14"/>
  <c r="D145" i="14"/>
  <c r="D152" i="14"/>
  <c r="D153" i="14"/>
  <c r="D147" i="14"/>
  <c r="D141" i="14"/>
  <c r="D133" i="14"/>
  <c r="D124" i="14"/>
  <c r="D112" i="14"/>
  <c r="D146" i="14"/>
  <c r="D129" i="14"/>
  <c r="D117" i="14"/>
  <c r="D103" i="14"/>
  <c r="D98" i="14"/>
  <c r="D92" i="14"/>
  <c r="D127" i="14"/>
  <c r="D122" i="14"/>
  <c r="D115" i="14"/>
  <c r="D110" i="14"/>
  <c r="D107" i="14"/>
  <c r="D139" i="14"/>
  <c r="D138" i="14"/>
  <c r="D126" i="14"/>
  <c r="N126" i="14" s="1"/>
  <c r="D114" i="14"/>
  <c r="D119" i="14"/>
  <c r="D82" i="14"/>
  <c r="D76" i="14"/>
  <c r="D128" i="14"/>
  <c r="D104" i="14"/>
  <c r="D90" i="14"/>
  <c r="D87" i="14"/>
  <c r="D111" i="14"/>
  <c r="D101" i="14"/>
  <c r="D94" i="14"/>
  <c r="D83" i="14"/>
  <c r="N83" i="14" s="1"/>
  <c r="D77" i="14"/>
  <c r="D125" i="14"/>
  <c r="D118" i="14"/>
  <c r="D156" i="14"/>
  <c r="D150" i="14"/>
  <c r="D91" i="14"/>
  <c r="D86" i="14"/>
  <c r="D79" i="14"/>
  <c r="D71" i="14"/>
  <c r="D65" i="14"/>
  <c r="D59" i="14"/>
  <c r="D53" i="14"/>
  <c r="D47" i="14"/>
  <c r="D41" i="14"/>
  <c r="D35" i="14"/>
  <c r="D29" i="14"/>
  <c r="D116" i="14"/>
  <c r="D85" i="14"/>
  <c r="D72" i="14"/>
  <c r="D66" i="14"/>
  <c r="D60" i="14"/>
  <c r="D54" i="14"/>
  <c r="D48" i="14"/>
  <c r="D42" i="14"/>
  <c r="D36" i="14"/>
  <c r="D30" i="14"/>
  <c r="D130" i="14"/>
  <c r="D123" i="14"/>
  <c r="D113" i="14"/>
  <c r="D144" i="14"/>
  <c r="D132" i="14"/>
  <c r="D135" i="14"/>
  <c r="D121" i="14"/>
  <c r="D109" i="14"/>
  <c r="D96" i="14"/>
  <c r="D93" i="14"/>
  <c r="N93" i="14" s="1"/>
  <c r="D137" i="14"/>
  <c r="D70" i="14"/>
  <c r="D58" i="14"/>
  <c r="D37" i="14"/>
  <c r="D28" i="14"/>
  <c r="D134" i="14"/>
  <c r="D61" i="14"/>
  <c r="D44" i="14"/>
  <c r="D21" i="14"/>
  <c r="D15" i="14"/>
  <c r="D9" i="14"/>
  <c r="D3" i="14"/>
  <c r="N68" i="14" s="1"/>
  <c r="D95" i="14"/>
  <c r="D75" i="14"/>
  <c r="D64" i="14"/>
  <c r="D25" i="14"/>
  <c r="D78" i="14"/>
  <c r="D74" i="14"/>
  <c r="D69" i="14"/>
  <c r="D120" i="14"/>
  <c r="D108" i="14"/>
  <c r="D105" i="14"/>
  <c r="D88" i="14"/>
  <c r="D80" i="14"/>
  <c r="D50" i="14"/>
  <c r="D27" i="14"/>
  <c r="D97" i="14"/>
  <c r="D84" i="14"/>
  <c r="D45" i="14"/>
  <c r="D19" i="14"/>
  <c r="D13" i="14"/>
  <c r="D7" i="14"/>
  <c r="E1" i="14"/>
  <c r="M8" i="14"/>
  <c r="M9" i="14"/>
  <c r="K12" i="14"/>
  <c r="M16" i="14"/>
  <c r="D18" i="14"/>
  <c r="M23" i="14"/>
  <c r="M54" i="14"/>
  <c r="M62" i="14"/>
  <c r="K66" i="14"/>
  <c r="D73" i="14"/>
  <c r="K78" i="14"/>
  <c r="G21" i="13"/>
  <c r="B44" i="13"/>
  <c r="M25" i="14"/>
  <c r="M26" i="14"/>
  <c r="M30" i="14"/>
  <c r="M52" i="14"/>
  <c r="M78" i="14"/>
  <c r="M80" i="14"/>
  <c r="K93" i="14"/>
  <c r="M95" i="14"/>
  <c r="K100" i="14"/>
  <c r="M112" i="14"/>
  <c r="E38" i="13"/>
  <c r="B46" i="13"/>
  <c r="M19" i="14"/>
  <c r="M38" i="14"/>
  <c r="D39" i="14"/>
  <c r="D40" i="14"/>
  <c r="M44" i="14"/>
  <c r="M53" i="14"/>
  <c r="M57" i="14"/>
  <c r="K68" i="14"/>
  <c r="D100" i="14"/>
  <c r="M118" i="14"/>
  <c r="N6" i="14"/>
  <c r="K13" i="14"/>
  <c r="M43" i="14"/>
  <c r="K50" i="14"/>
  <c r="M68" i="14"/>
  <c r="M84" i="14"/>
  <c r="K96" i="14"/>
  <c r="K113" i="14"/>
  <c r="M88" i="14"/>
  <c r="K103" i="14"/>
  <c r="K108" i="14"/>
  <c r="M113" i="14"/>
  <c r="M131" i="14"/>
  <c r="F43" i="13"/>
  <c r="AN45" i="12" s="1" a="1"/>
  <c r="AN45" i="12" s="1"/>
  <c r="K153" i="14"/>
  <c r="K147" i="14"/>
  <c r="K141" i="14"/>
  <c r="K151" i="14"/>
  <c r="K157" i="14"/>
  <c r="K155" i="14"/>
  <c r="K109" i="14"/>
  <c r="K149" i="14"/>
  <c r="K131" i="14"/>
  <c r="K133" i="14"/>
  <c r="K97" i="14"/>
  <c r="K81" i="14"/>
  <c r="K119" i="14"/>
  <c r="K99" i="14"/>
  <c r="K137" i="14"/>
  <c r="K107" i="14"/>
  <c r="K106" i="14"/>
  <c r="K83" i="14"/>
  <c r="K75" i="14"/>
  <c r="K70" i="14"/>
  <c r="K91" i="14"/>
  <c r="K79" i="14"/>
  <c r="K87" i="14"/>
  <c r="K85" i="14"/>
  <c r="K53" i="14"/>
  <c r="K129" i="14"/>
  <c r="K82" i="14"/>
  <c r="K59" i="14"/>
  <c r="K47" i="14"/>
  <c r="K71" i="14"/>
  <c r="K62" i="14"/>
  <c r="K58" i="14"/>
  <c r="K49" i="14"/>
  <c r="K26" i="14"/>
  <c r="K41" i="14"/>
  <c r="K7" i="14"/>
  <c r="K27" i="14"/>
  <c r="M32" i="14"/>
  <c r="D33" i="14"/>
  <c r="D34" i="14"/>
  <c r="K52" i="14"/>
  <c r="K60" i="14"/>
  <c r="M61" i="14"/>
  <c r="K74" i="14"/>
  <c r="K98" i="14"/>
  <c r="D131" i="14"/>
  <c r="M138" i="14"/>
  <c r="M152" i="14"/>
  <c r="D42" i="13"/>
  <c r="D49" i="13" s="1"/>
  <c r="M103" i="14"/>
  <c r="M7" i="14"/>
  <c r="D16" i="14"/>
  <c r="D23" i="14"/>
  <c r="M27" i="14"/>
  <c r="M31" i="14"/>
  <c r="D32" i="14"/>
  <c r="N32" i="14" s="1"/>
  <c r="D49" i="14"/>
  <c r="D55" i="14"/>
  <c r="K67" i="14"/>
  <c r="M81" i="14"/>
  <c r="E44" i="13"/>
  <c r="F44" i="13" s="1"/>
  <c r="G44" i="13" s="1"/>
  <c r="G42" i="13" s="1"/>
  <c r="G49" i="13" s="1"/>
  <c r="M20" i="14"/>
  <c r="M21" i="14"/>
  <c r="K24" i="14"/>
  <c r="D31" i="14"/>
  <c r="K37" i="14"/>
  <c r="K40" i="14"/>
  <c r="M41" i="14"/>
  <c r="K45" i="14"/>
  <c r="K65" i="14"/>
  <c r="M67" i="14"/>
  <c r="D81" i="14"/>
  <c r="K94" i="14"/>
  <c r="D10" i="14"/>
  <c r="D17" i="14"/>
  <c r="D20" i="14"/>
  <c r="M24" i="14"/>
  <c r="D26" i="14"/>
  <c r="M46" i="14"/>
  <c r="D67" i="14"/>
  <c r="N67" i="14" s="1"/>
  <c r="D106" i="14"/>
  <c r="K126" i="14"/>
  <c r="M55" i="14"/>
  <c r="M37" i="14"/>
  <c r="M104" i="14"/>
  <c r="M14" i="14"/>
  <c r="M15" i="14"/>
  <c r="K18" i="14"/>
  <c r="D24" i="14"/>
  <c r="M33" i="14"/>
  <c r="K34" i="14"/>
  <c r="K44" i="14"/>
  <c r="D46" i="14"/>
  <c r="D63" i="14"/>
  <c r="K64" i="14"/>
  <c r="M89" i="14"/>
  <c r="K92" i="14"/>
  <c r="M99" i="14"/>
  <c r="K118" i="14"/>
  <c r="K123" i="14"/>
  <c r="M135" i="14"/>
  <c r="M29" i="14"/>
  <c r="M51" i="14"/>
  <c r="M56" i="14"/>
  <c r="K63" i="14"/>
  <c r="M100" i="14"/>
  <c r="M123" i="14"/>
  <c r="M125" i="14"/>
  <c r="M130" i="14"/>
  <c r="M34" i="14"/>
  <c r="K39" i="14"/>
  <c r="K73" i="14"/>
  <c r="M96" i="14"/>
  <c r="M102" i="14"/>
  <c r="K115" i="14"/>
  <c r="K136" i="14"/>
  <c r="K61" i="14"/>
  <c r="M64" i="14"/>
  <c r="M75" i="14"/>
  <c r="M77" i="14"/>
  <c r="K117" i="14"/>
  <c r="K134" i="14"/>
  <c r="M154" i="14"/>
  <c r="M148" i="14"/>
  <c r="M142" i="14"/>
  <c r="M126" i="14"/>
  <c r="M114" i="14"/>
  <c r="M106" i="14"/>
  <c r="M97" i="14"/>
  <c r="M91" i="14"/>
  <c r="M156" i="14"/>
  <c r="M134" i="14"/>
  <c r="M133" i="14"/>
  <c r="M132" i="14"/>
  <c r="M140" i="14"/>
  <c r="M82" i="14"/>
  <c r="M83" i="14"/>
  <c r="M124" i="14"/>
  <c r="M98" i="14"/>
  <c r="M87" i="14"/>
  <c r="M144" i="14"/>
  <c r="M120" i="14"/>
  <c r="M101" i="14"/>
  <c r="M92" i="14"/>
  <c r="M71" i="14"/>
  <c r="M65" i="14"/>
  <c r="M146" i="14"/>
  <c r="M127" i="14"/>
  <c r="M35" i="14"/>
  <c r="K101" i="14"/>
  <c r="M110" i="14"/>
  <c r="K132" i="14"/>
  <c r="M28" i="14"/>
  <c r="K33" i="14"/>
  <c r="K55" i="14"/>
  <c r="M58" i="14"/>
  <c r="M63" i="14"/>
  <c r="M66" i="14"/>
  <c r="M70" i="14"/>
  <c r="M79" i="14"/>
  <c r="M85" i="14"/>
  <c r="M107" i="14"/>
  <c r="M122" i="14"/>
  <c r="M150" i="14"/>
  <c r="M47" i="14"/>
  <c r="M59" i="14"/>
  <c r="M72" i="14"/>
  <c r="K89" i="14"/>
  <c r="K114" i="14"/>
  <c r="M121" i="14"/>
  <c r="M109" i="14"/>
  <c r="K130" i="14"/>
  <c r="K102" i="14"/>
  <c r="M105" i="14"/>
  <c r="M108" i="14"/>
  <c r="M115" i="14"/>
  <c r="K125" i="14"/>
  <c r="K111" i="14"/>
  <c r="K116" i="14"/>
  <c r="M136" i="14"/>
  <c r="K154" i="14"/>
  <c r="K86" i="14"/>
  <c r="M116" i="14"/>
  <c r="K139" i="14"/>
  <c r="M147" i="14"/>
  <c r="M86" i="14"/>
  <c r="K122" i="14"/>
  <c r="K143" i="14"/>
  <c r="K145" i="14"/>
  <c r="K80" i="14"/>
  <c r="K110" i="14"/>
  <c r="M143" i="14"/>
  <c r="M145" i="14"/>
  <c r="K135" i="14"/>
  <c r="K90" i="14"/>
  <c r="K104" i="14"/>
  <c r="M111" i="14"/>
  <c r="K128" i="14"/>
  <c r="M90" i="14"/>
  <c r="K127" i="14"/>
  <c r="M128" i="14"/>
  <c r="M139" i="14"/>
  <c r="M155" i="14"/>
  <c r="M119" i="14"/>
  <c r="K142" i="14"/>
  <c r="M153" i="14"/>
  <c r="M157" i="14"/>
  <c r="K95" i="14"/>
  <c r="K105" i="14"/>
  <c r="K120" i="14"/>
  <c r="K138" i="14"/>
  <c r="K146" i="14"/>
  <c r="K148" i="14"/>
  <c r="K144" i="14"/>
  <c r="M149" i="14"/>
  <c r="K152" i="14"/>
  <c r="K112" i="14"/>
  <c r="M117" i="14"/>
  <c r="K124" i="14"/>
  <c r="M129" i="14"/>
  <c r="M151" i="14"/>
  <c r="K140" i="14"/>
  <c r="K156" i="14"/>
  <c r="M137" i="14"/>
  <c r="M141" i="14"/>
  <c r="K150" i="14"/>
  <c r="C114" i="8" l="1"/>
  <c r="C111" i="8"/>
  <c r="C117" i="8"/>
  <c r="K6" i="5"/>
  <c r="F11" i="3" s="1"/>
  <c r="C107" i="8"/>
  <c r="N140" i="14"/>
  <c r="N8" i="14"/>
  <c r="N88" i="14"/>
  <c r="N9" i="14"/>
  <c r="N96" i="14"/>
  <c r="N48" i="14"/>
  <c r="N59" i="14"/>
  <c r="N94" i="14"/>
  <c r="N138" i="14"/>
  <c r="N146" i="14"/>
  <c r="N149" i="14"/>
  <c r="N14" i="14"/>
  <c r="C98" i="8"/>
  <c r="C132" i="8"/>
  <c r="C11" i="8"/>
  <c r="C8" i="12"/>
  <c r="K4" i="5" s="1"/>
  <c r="F9" i="3" s="1"/>
  <c r="C137" i="8"/>
  <c r="R12" i="9"/>
  <c r="C102" i="8"/>
  <c r="C99" i="8"/>
  <c r="C93" i="8"/>
  <c r="C67" i="8"/>
  <c r="N42" i="14"/>
  <c r="N100" i="14"/>
  <c r="N65" i="14"/>
  <c r="N108" i="14"/>
  <c r="N21" i="14"/>
  <c r="N121" i="14"/>
  <c r="N60" i="14"/>
  <c r="N71" i="14"/>
  <c r="N111" i="14"/>
  <c r="N107" i="14"/>
  <c r="N124" i="14"/>
  <c r="N136" i="14"/>
  <c r="N51" i="14"/>
  <c r="C21" i="12"/>
  <c r="C120" i="8"/>
  <c r="C113" i="8"/>
  <c r="C45" i="8"/>
  <c r="R8" i="9"/>
  <c r="C63" i="8"/>
  <c r="C85" i="8"/>
  <c r="C105" i="8"/>
  <c r="C106" i="8"/>
  <c r="C42" i="8"/>
  <c r="N53" i="14"/>
  <c r="N102" i="14"/>
  <c r="N54" i="14"/>
  <c r="R6" i="9"/>
  <c r="N7" i="14"/>
  <c r="N120" i="14"/>
  <c r="N44" i="14"/>
  <c r="N135" i="14"/>
  <c r="N66" i="14"/>
  <c r="N79" i="14"/>
  <c r="N87" i="14"/>
  <c r="N110" i="14"/>
  <c r="N133" i="14"/>
  <c r="N142" i="14"/>
  <c r="C24" i="12"/>
  <c r="N52" i="14"/>
  <c r="C20" i="12"/>
  <c r="C112" i="8"/>
  <c r="P8" i="9"/>
  <c r="C101" i="8"/>
  <c r="R9" i="9"/>
  <c r="C10" i="8"/>
  <c r="C61" i="8"/>
  <c r="C131" i="8"/>
  <c r="C128" i="8"/>
  <c r="N105" i="14"/>
  <c r="N139" i="14"/>
  <c r="C86" i="8"/>
  <c r="C118" i="8"/>
  <c r="N17" i="14"/>
  <c r="N115" i="14"/>
  <c r="C89" i="8"/>
  <c r="N10" i="14"/>
  <c r="N19" i="14"/>
  <c r="N74" i="14"/>
  <c r="N134" i="14"/>
  <c r="N144" i="14"/>
  <c r="N85" i="14"/>
  <c r="N91" i="14"/>
  <c r="N104" i="14"/>
  <c r="N122" i="14"/>
  <c r="N147" i="14"/>
  <c r="N154" i="14"/>
  <c r="N5" i="14"/>
  <c r="AN48" i="12" a="1"/>
  <c r="AN48" i="12" s="1"/>
  <c r="C48" i="12" s="1"/>
  <c r="AN46" i="12" a="1"/>
  <c r="AN46" i="12" s="1"/>
  <c r="C100" i="8"/>
  <c r="C11" i="12"/>
  <c r="AN44" i="12" a="1"/>
  <c r="AN44" i="12" s="1"/>
  <c r="AN47" i="12" a="1"/>
  <c r="AN47" i="12" s="1"/>
  <c r="C17" i="8"/>
  <c r="C21" i="8"/>
  <c r="C34" i="8"/>
  <c r="C92" i="8"/>
  <c r="C29" i="8"/>
  <c r="C95" i="8"/>
  <c r="C136" i="8"/>
  <c r="N112" i="14"/>
  <c r="N34" i="14"/>
  <c r="N33" i="14"/>
  <c r="N73" i="14"/>
  <c r="N72" i="14"/>
  <c r="C39" i="8"/>
  <c r="N56" i="14"/>
  <c r="N40" i="14"/>
  <c r="N45" i="14"/>
  <c r="N78" i="14"/>
  <c r="N28" i="14"/>
  <c r="N113" i="14"/>
  <c r="N116" i="14"/>
  <c r="N150" i="14"/>
  <c r="N128" i="14"/>
  <c r="N127" i="14"/>
  <c r="N153" i="14"/>
  <c r="N99" i="14"/>
  <c r="AN58" i="12" a="1"/>
  <c r="AN58" i="12" s="1"/>
  <c r="C134" i="8"/>
  <c r="C96" i="8"/>
  <c r="P9" i="10"/>
  <c r="AN42" i="12" a="1"/>
  <c r="AN42" i="12" s="1"/>
  <c r="C9" i="8"/>
  <c r="C37" i="5"/>
  <c r="D36" i="5"/>
  <c r="C22" i="12"/>
  <c r="C54" i="8"/>
  <c r="C19" i="8"/>
  <c r="C31" i="8"/>
  <c r="N26" i="14"/>
  <c r="N101" i="14"/>
  <c r="C124" i="8"/>
  <c r="C87" i="8"/>
  <c r="N23" i="14"/>
  <c r="N69" i="14"/>
  <c r="N90" i="14"/>
  <c r="P9" i="9"/>
  <c r="P6" i="9"/>
  <c r="C109" i="8"/>
  <c r="N81" i="14"/>
  <c r="E42" i="13"/>
  <c r="E49" i="13" s="1"/>
  <c r="N39" i="14"/>
  <c r="N84" i="14"/>
  <c r="N25" i="14"/>
  <c r="N37" i="14"/>
  <c r="N123" i="14"/>
  <c r="N29" i="14"/>
  <c r="N156" i="14"/>
  <c r="N76" i="14"/>
  <c r="N92" i="14"/>
  <c r="N152" i="14"/>
  <c r="N89" i="14"/>
  <c r="N12" i="14"/>
  <c r="C127" i="8"/>
  <c r="AN59" i="12" a="1"/>
  <c r="AN59" i="12" s="1"/>
  <c r="C88" i="8"/>
  <c r="Q11" i="9"/>
  <c r="C56" i="8"/>
  <c r="C6" i="8"/>
  <c r="N22" i="14"/>
  <c r="Q6" i="9"/>
  <c r="C18" i="8"/>
  <c r="C22" i="8"/>
  <c r="C55" i="8"/>
  <c r="N80" i="14"/>
  <c r="N129" i="14"/>
  <c r="N109" i="14"/>
  <c r="C125" i="8"/>
  <c r="C90" i="8"/>
  <c r="N24" i="14"/>
  <c r="N13" i="14"/>
  <c r="N86" i="14"/>
  <c r="C108" i="8"/>
  <c r="C129" i="8"/>
  <c r="F42" i="13"/>
  <c r="F49" i="13" s="1"/>
  <c r="N97" i="14"/>
  <c r="N64" i="14"/>
  <c r="N58" i="14"/>
  <c r="N130" i="14"/>
  <c r="N35" i="14"/>
  <c r="N118" i="14"/>
  <c r="N82" i="14"/>
  <c r="N98" i="14"/>
  <c r="N145" i="14"/>
  <c r="N57" i="14"/>
  <c r="R10" i="9"/>
  <c r="C122" i="8"/>
  <c r="C33" i="12"/>
  <c r="C84" i="8"/>
  <c r="C72" i="8"/>
  <c r="C53" i="8"/>
  <c r="AN31" i="12" a="1"/>
  <c r="AN31" i="12" s="1"/>
  <c r="C35" i="12" s="1"/>
  <c r="P10" i="10"/>
  <c r="AN56" i="12" a="1"/>
  <c r="AN56" i="12" s="1"/>
  <c r="P8" i="10"/>
  <c r="P10" i="9"/>
  <c r="C130" i="8"/>
  <c r="C133" i="8"/>
  <c r="C116" i="8"/>
  <c r="N143" i="14"/>
  <c r="N15" i="14"/>
  <c r="N155" i="14"/>
  <c r="N31" i="14"/>
  <c r="E155" i="14"/>
  <c r="E149" i="14"/>
  <c r="E143" i="14"/>
  <c r="E137" i="14"/>
  <c r="E131" i="14"/>
  <c r="E125" i="14"/>
  <c r="E119" i="14"/>
  <c r="E113" i="14"/>
  <c r="E107" i="14"/>
  <c r="E156" i="14"/>
  <c r="E150" i="14"/>
  <c r="E144" i="14"/>
  <c r="E138" i="14"/>
  <c r="E157" i="14"/>
  <c r="E151" i="14"/>
  <c r="E145" i="14"/>
  <c r="E139" i="14"/>
  <c r="E133" i="14"/>
  <c r="E127" i="14"/>
  <c r="E121" i="14"/>
  <c r="E115" i="14"/>
  <c r="E153" i="14"/>
  <c r="E147" i="14"/>
  <c r="E141" i="14"/>
  <c r="E135" i="14"/>
  <c r="E146" i="14"/>
  <c r="E129" i="14"/>
  <c r="E117" i="14"/>
  <c r="E103" i="14"/>
  <c r="E98" i="14"/>
  <c r="E92" i="14"/>
  <c r="E86" i="14"/>
  <c r="E142" i="14"/>
  <c r="E122" i="14"/>
  <c r="E110" i="14"/>
  <c r="E154" i="14"/>
  <c r="E136" i="14"/>
  <c r="E120" i="14"/>
  <c r="E99" i="14"/>
  <c r="E93" i="14"/>
  <c r="E109" i="14"/>
  <c r="E128" i="14"/>
  <c r="P128" i="14" s="1"/>
  <c r="E104" i="14"/>
  <c r="E90" i="14"/>
  <c r="E87" i="14"/>
  <c r="E111" i="14"/>
  <c r="E101" i="14"/>
  <c r="E94" i="14"/>
  <c r="E83" i="14"/>
  <c r="E77" i="14"/>
  <c r="E126" i="14"/>
  <c r="E118" i="14"/>
  <c r="E106" i="14"/>
  <c r="E84" i="14"/>
  <c r="E152" i="14"/>
  <c r="E116" i="14"/>
  <c r="E82" i="14"/>
  <c r="E85" i="14"/>
  <c r="E72" i="14"/>
  <c r="E66" i="14"/>
  <c r="E60" i="14"/>
  <c r="E54" i="14"/>
  <c r="E48" i="14"/>
  <c r="E42" i="14"/>
  <c r="E36" i="14"/>
  <c r="E30" i="14"/>
  <c r="E24" i="14"/>
  <c r="E130" i="14"/>
  <c r="E123" i="14"/>
  <c r="E112" i="14"/>
  <c r="E76" i="14"/>
  <c r="E134" i="14"/>
  <c r="E78" i="14"/>
  <c r="E73" i="14"/>
  <c r="E67" i="14"/>
  <c r="E148" i="14"/>
  <c r="E95" i="14"/>
  <c r="E80" i="14"/>
  <c r="E75" i="14"/>
  <c r="E70" i="14"/>
  <c r="E64" i="14"/>
  <c r="E58" i="14"/>
  <c r="E52" i="14"/>
  <c r="E132" i="14"/>
  <c r="E61" i="14"/>
  <c r="E44" i="14"/>
  <c r="E21" i="14"/>
  <c r="E15" i="14"/>
  <c r="E9" i="14"/>
  <c r="E3" i="14"/>
  <c r="P3" i="14" s="1"/>
  <c r="E91" i="14"/>
  <c r="E25" i="14"/>
  <c r="E124" i="14"/>
  <c r="E74" i="14"/>
  <c r="E69" i="14"/>
  <c r="E51" i="14"/>
  <c r="E46" i="14"/>
  <c r="E32" i="14"/>
  <c r="E22" i="14"/>
  <c r="E16" i="14"/>
  <c r="E10" i="14"/>
  <c r="E4" i="14"/>
  <c r="E68" i="14"/>
  <c r="E140" i="14"/>
  <c r="E81" i="14"/>
  <c r="E63" i="14"/>
  <c r="E31" i="14"/>
  <c r="E89" i="14"/>
  <c r="E65" i="14"/>
  <c r="E62" i="14"/>
  <c r="E49" i="14"/>
  <c r="E40" i="14"/>
  <c r="E26" i="14"/>
  <c r="E114" i="14"/>
  <c r="P114" i="14" s="1"/>
  <c r="E59" i="14"/>
  <c r="E45" i="14"/>
  <c r="E20" i="14"/>
  <c r="E17" i="14"/>
  <c r="E47" i="14"/>
  <c r="E79" i="14"/>
  <c r="E55" i="14"/>
  <c r="E29" i="14"/>
  <c r="E28" i="14"/>
  <c r="E27" i="14"/>
  <c r="E23" i="14"/>
  <c r="E7" i="14"/>
  <c r="P7" i="14" s="1"/>
  <c r="E108" i="14"/>
  <c r="E71" i="14"/>
  <c r="E35" i="14"/>
  <c r="E34" i="14"/>
  <c r="E33" i="14"/>
  <c r="E96" i="14"/>
  <c r="E88" i="14"/>
  <c r="E50" i="14"/>
  <c r="E37" i="14"/>
  <c r="E13" i="14"/>
  <c r="E105" i="14"/>
  <c r="E100" i="14"/>
  <c r="E41" i="14"/>
  <c r="E39" i="14"/>
  <c r="E19" i="14"/>
  <c r="E102" i="14"/>
  <c r="E12" i="14"/>
  <c r="E18" i="14"/>
  <c r="F1" i="14"/>
  <c r="E53" i="14"/>
  <c r="E14" i="14"/>
  <c r="E11" i="14"/>
  <c r="E97" i="14"/>
  <c r="E56" i="14"/>
  <c r="P56" i="14" s="1"/>
  <c r="E5" i="14"/>
  <c r="E8" i="14"/>
  <c r="E6" i="14"/>
  <c r="E57" i="14"/>
  <c r="E38" i="14"/>
  <c r="E43" i="14"/>
  <c r="N20" i="14"/>
  <c r="N61" i="14"/>
  <c r="N148" i="14"/>
  <c r="C53" i="12"/>
  <c r="C64" i="8"/>
  <c r="N63" i="14"/>
  <c r="N55" i="14"/>
  <c r="N131" i="14"/>
  <c r="N38" i="14"/>
  <c r="N18" i="14"/>
  <c r="N27" i="14"/>
  <c r="N75" i="14"/>
  <c r="N70" i="14"/>
  <c r="N30" i="14"/>
  <c r="N41" i="14"/>
  <c r="N125" i="14"/>
  <c r="N119" i="14"/>
  <c r="N103" i="14"/>
  <c r="N151" i="14"/>
  <c r="R7" i="9"/>
  <c r="C115" i="8"/>
  <c r="C23" i="12"/>
  <c r="C75" i="8"/>
  <c r="C40" i="8"/>
  <c r="C44" i="8"/>
  <c r="C13" i="12"/>
  <c r="C19" i="12"/>
  <c r="AN43" i="12" a="1"/>
  <c r="AN43" i="12" s="1"/>
  <c r="Q10" i="9"/>
  <c r="C135" i="8"/>
  <c r="C119" i="8"/>
  <c r="C97" i="8"/>
  <c r="N3" i="14"/>
  <c r="N4" i="14"/>
  <c r="N62" i="14"/>
  <c r="N11" i="14"/>
  <c r="N43" i="14"/>
  <c r="C104" i="8"/>
  <c r="N16" i="14"/>
  <c r="N132" i="14"/>
  <c r="N141" i="14"/>
  <c r="C7" i="8"/>
  <c r="N46" i="14"/>
  <c r="N106" i="14"/>
  <c r="N49" i="14"/>
  <c r="N50" i="14"/>
  <c r="N95" i="14"/>
  <c r="N137" i="14"/>
  <c r="N36" i="14"/>
  <c r="N47" i="14"/>
  <c r="N77" i="14"/>
  <c r="N114" i="14"/>
  <c r="N117" i="14"/>
  <c r="N157" i="14"/>
  <c r="H2" i="10"/>
  <c r="G12" i="10"/>
  <c r="G13" i="10"/>
  <c r="G10" i="10"/>
  <c r="G9" i="10"/>
  <c r="Q9" i="10" s="1"/>
  <c r="G8" i="10"/>
  <c r="G7" i="10"/>
  <c r="G11" i="10"/>
  <c r="AN54" i="12" a="1"/>
  <c r="AN54" i="12" s="1"/>
  <c r="C54" i="12" s="1"/>
  <c r="C110" i="8"/>
  <c r="P7" i="9"/>
  <c r="C65" i="8"/>
  <c r="C28" i="8"/>
  <c r="C50" i="8"/>
  <c r="C12" i="12"/>
  <c r="C9" i="12"/>
  <c r="I9" i="9"/>
  <c r="I8" i="9"/>
  <c r="I7" i="9"/>
  <c r="I12" i="9"/>
  <c r="I11" i="9"/>
  <c r="S11" i="9" s="1"/>
  <c r="J2" i="9"/>
  <c r="I10" i="9"/>
  <c r="I6" i="9"/>
  <c r="C126" i="8"/>
  <c r="C123" i="8"/>
  <c r="C77" i="8"/>
  <c r="C121" i="8"/>
  <c r="C83" i="8"/>
  <c r="P133" i="14" l="1"/>
  <c r="P97" i="14"/>
  <c r="P105" i="14"/>
  <c r="P23" i="14"/>
  <c r="P26" i="14"/>
  <c r="P10" i="14"/>
  <c r="P9" i="14"/>
  <c r="P95" i="14"/>
  <c r="P36" i="14"/>
  <c r="P106" i="14"/>
  <c r="P109" i="14"/>
  <c r="P103" i="14"/>
  <c r="P139" i="14"/>
  <c r="P131" i="14"/>
  <c r="C46" i="12"/>
  <c r="L4" i="5"/>
  <c r="G9" i="3" s="1"/>
  <c r="H13" i="10"/>
  <c r="H12" i="10"/>
  <c r="H10" i="10"/>
  <c r="R10" i="10" s="1"/>
  <c r="H9" i="10"/>
  <c r="H8" i="10"/>
  <c r="H7" i="10"/>
  <c r="H11" i="10"/>
  <c r="I2" i="10"/>
  <c r="P100" i="14"/>
  <c r="P98" i="14"/>
  <c r="P15" i="14"/>
  <c r="C57" i="12"/>
  <c r="P14" i="14"/>
  <c r="P37" i="14"/>
  <c r="P28" i="14"/>
  <c r="P49" i="14"/>
  <c r="P22" i="14"/>
  <c r="P21" i="14"/>
  <c r="P67" i="14"/>
  <c r="P48" i="14"/>
  <c r="P126" i="14"/>
  <c r="P99" i="14"/>
  <c r="P129" i="14"/>
  <c r="P151" i="14"/>
  <c r="P143" i="14"/>
  <c r="P27" i="14"/>
  <c r="P145" i="14"/>
  <c r="L6" i="5"/>
  <c r="G11" i="3" s="1"/>
  <c r="P29" i="14"/>
  <c r="P62" i="14"/>
  <c r="P32" i="14"/>
  <c r="P44" i="14"/>
  <c r="P73" i="14"/>
  <c r="P54" i="14"/>
  <c r="P77" i="14"/>
  <c r="P120" i="14"/>
  <c r="P146" i="14"/>
  <c r="P157" i="14"/>
  <c r="P149" i="14"/>
  <c r="D6" i="5"/>
  <c r="D5" i="5"/>
  <c r="D4" i="5"/>
  <c r="D37" i="5"/>
  <c r="C38" i="5"/>
  <c r="C55" i="12"/>
  <c r="J8" i="9"/>
  <c r="J7" i="9"/>
  <c r="J12" i="9"/>
  <c r="J11" i="9"/>
  <c r="J10" i="9"/>
  <c r="J9" i="9"/>
  <c r="T9" i="9" s="1"/>
  <c r="K2" i="9"/>
  <c r="J6" i="9"/>
  <c r="P84" i="14"/>
  <c r="P40" i="14"/>
  <c r="P50" i="14"/>
  <c r="Q11" i="10"/>
  <c r="F155" i="14"/>
  <c r="F149" i="14"/>
  <c r="F143" i="14"/>
  <c r="F137" i="14"/>
  <c r="F131" i="14"/>
  <c r="F156" i="14"/>
  <c r="F150" i="14"/>
  <c r="F144" i="14"/>
  <c r="F152" i="14"/>
  <c r="F146" i="14"/>
  <c r="F153" i="14"/>
  <c r="F154" i="14"/>
  <c r="F148" i="14"/>
  <c r="F142" i="14"/>
  <c r="F122" i="14"/>
  <c r="F110" i="14"/>
  <c r="F151" i="14"/>
  <c r="F136" i="14"/>
  <c r="F127" i="14"/>
  <c r="F120" i="14"/>
  <c r="F115" i="14"/>
  <c r="F107" i="14"/>
  <c r="F99" i="14"/>
  <c r="F93" i="14"/>
  <c r="F139" i="14"/>
  <c r="F145" i="14"/>
  <c r="F140" i="14"/>
  <c r="F119" i="14"/>
  <c r="F157" i="14"/>
  <c r="F111" i="14"/>
  <c r="F101" i="14"/>
  <c r="F94" i="14"/>
  <c r="F83" i="14"/>
  <c r="F77" i="14"/>
  <c r="F126" i="14"/>
  <c r="F118" i="14"/>
  <c r="F125" i="14"/>
  <c r="F106" i="14"/>
  <c r="F84" i="14"/>
  <c r="F78" i="14"/>
  <c r="F98" i="14"/>
  <c r="F96" i="14"/>
  <c r="F88" i="14"/>
  <c r="F133" i="14"/>
  <c r="F141" i="14"/>
  <c r="F128" i="14"/>
  <c r="F85" i="14"/>
  <c r="F72" i="14"/>
  <c r="F66" i="14"/>
  <c r="F60" i="14"/>
  <c r="F54" i="14"/>
  <c r="F48" i="14"/>
  <c r="F42" i="14"/>
  <c r="F36" i="14"/>
  <c r="F30" i="14"/>
  <c r="F24" i="14"/>
  <c r="F147" i="14"/>
  <c r="F130" i="14"/>
  <c r="F129" i="14"/>
  <c r="F123" i="14"/>
  <c r="F112" i="14"/>
  <c r="F90" i="14"/>
  <c r="F76" i="14"/>
  <c r="F134" i="14"/>
  <c r="F117" i="14"/>
  <c r="F113" i="14"/>
  <c r="F73" i="14"/>
  <c r="F67" i="14"/>
  <c r="F61" i="14"/>
  <c r="F55" i="14"/>
  <c r="F49" i="14"/>
  <c r="F43" i="14"/>
  <c r="F37" i="14"/>
  <c r="F31" i="14"/>
  <c r="F25" i="14"/>
  <c r="F124" i="14"/>
  <c r="F89" i="14"/>
  <c r="F135" i="14"/>
  <c r="F138" i="14"/>
  <c r="F132" i="14"/>
  <c r="F121" i="14"/>
  <c r="F91" i="14"/>
  <c r="F104" i="14"/>
  <c r="F95" i="14"/>
  <c r="F75" i="14"/>
  <c r="F74" i="14"/>
  <c r="F69" i="14"/>
  <c r="F64" i="14"/>
  <c r="F51" i="14"/>
  <c r="F46" i="14"/>
  <c r="F32" i="14"/>
  <c r="F22" i="14"/>
  <c r="F16" i="14"/>
  <c r="F10" i="14"/>
  <c r="F4" i="14"/>
  <c r="F86" i="14"/>
  <c r="F68" i="14"/>
  <c r="F41" i="14"/>
  <c r="F39" i="14"/>
  <c r="F102" i="14"/>
  <c r="F92" i="14"/>
  <c r="F79" i="14"/>
  <c r="F57" i="14"/>
  <c r="F100" i="14"/>
  <c r="F82" i="14"/>
  <c r="F59" i="14"/>
  <c r="F56" i="14"/>
  <c r="F38" i="14"/>
  <c r="F116" i="14"/>
  <c r="F114" i="14"/>
  <c r="F52" i="14"/>
  <c r="F35" i="14"/>
  <c r="F33" i="14"/>
  <c r="F20" i="14"/>
  <c r="F14" i="14"/>
  <c r="F8" i="14"/>
  <c r="F109" i="14"/>
  <c r="F70" i="14"/>
  <c r="F47" i="14"/>
  <c r="F26" i="14"/>
  <c r="F81" i="14"/>
  <c r="F29" i="14"/>
  <c r="F28" i="14"/>
  <c r="F27" i="14"/>
  <c r="F23" i="14"/>
  <c r="F7" i="14"/>
  <c r="F108" i="14"/>
  <c r="F71" i="14"/>
  <c r="F34" i="14"/>
  <c r="F3" i="14"/>
  <c r="F103" i="14"/>
  <c r="F50" i="14"/>
  <c r="F13" i="14"/>
  <c r="F9" i="14"/>
  <c r="F6" i="14"/>
  <c r="F105" i="14"/>
  <c r="F40" i="14"/>
  <c r="F15" i="14"/>
  <c r="F12" i="14"/>
  <c r="F5" i="14"/>
  <c r="F53" i="14"/>
  <c r="F11" i="14"/>
  <c r="F97" i="14"/>
  <c r="F87" i="14"/>
  <c r="F58" i="14"/>
  <c r="F44" i="14"/>
  <c r="F63" i="14"/>
  <c r="F45" i="14"/>
  <c r="F80" i="14"/>
  <c r="F18" i="14"/>
  <c r="Q18" i="14" s="1"/>
  <c r="G1" i="14"/>
  <c r="F21" i="14"/>
  <c r="F19" i="14"/>
  <c r="F17" i="14"/>
  <c r="F65" i="14"/>
  <c r="F62" i="14"/>
  <c r="P88" i="14"/>
  <c r="P55" i="14"/>
  <c r="P65" i="14"/>
  <c r="P46" i="14"/>
  <c r="P61" i="14"/>
  <c r="P78" i="14"/>
  <c r="P60" i="14"/>
  <c r="P83" i="14"/>
  <c r="P136" i="14"/>
  <c r="P135" i="14"/>
  <c r="P138" i="14"/>
  <c r="P155" i="14"/>
  <c r="P4" i="14"/>
  <c r="P125" i="14"/>
  <c r="P13" i="14"/>
  <c r="P117" i="14"/>
  <c r="S9" i="9"/>
  <c r="Q7" i="10"/>
  <c r="P43" i="14"/>
  <c r="P96" i="14"/>
  <c r="P79" i="14"/>
  <c r="P89" i="14"/>
  <c r="P51" i="14"/>
  <c r="P132" i="14"/>
  <c r="P134" i="14"/>
  <c r="P66" i="14"/>
  <c r="P94" i="14"/>
  <c r="P154" i="14"/>
  <c r="P141" i="14"/>
  <c r="P144" i="14"/>
  <c r="C42" i="12"/>
  <c r="J6" i="5"/>
  <c r="E11" i="3" s="1"/>
  <c r="P16" i="14"/>
  <c r="P137" i="14"/>
  <c r="S8" i="9"/>
  <c r="P53" i="14"/>
  <c r="D44" i="5"/>
  <c r="D43" i="5"/>
  <c r="D45" i="5"/>
  <c r="P18" i="14"/>
  <c r="Q8" i="10"/>
  <c r="P38" i="14"/>
  <c r="P12" i="14"/>
  <c r="P33" i="14"/>
  <c r="P47" i="14"/>
  <c r="P31" i="14"/>
  <c r="P69" i="14"/>
  <c r="P52" i="14"/>
  <c r="P76" i="14"/>
  <c r="P72" i="14"/>
  <c r="P101" i="14"/>
  <c r="P110" i="14"/>
  <c r="P147" i="14"/>
  <c r="P150" i="14"/>
  <c r="C56" i="12"/>
  <c r="L21" i="5" s="1"/>
  <c r="G38" i="3" s="1"/>
  <c r="D25" i="5"/>
  <c r="D24" i="5"/>
  <c r="D26" i="5"/>
  <c r="L5" i="5"/>
  <c r="G10" i="3" s="1"/>
  <c r="P11" i="14"/>
  <c r="P93" i="14"/>
  <c r="D20" i="5"/>
  <c r="D22" i="5"/>
  <c r="D21" i="5"/>
  <c r="P57" i="14"/>
  <c r="P102" i="14"/>
  <c r="P34" i="14"/>
  <c r="P17" i="14"/>
  <c r="P63" i="14"/>
  <c r="P74" i="14"/>
  <c r="P58" i="14"/>
  <c r="P112" i="14"/>
  <c r="P85" i="14"/>
  <c r="P111" i="14"/>
  <c r="P122" i="14"/>
  <c r="P153" i="14"/>
  <c r="P156" i="14"/>
  <c r="C59" i="12"/>
  <c r="D9" i="5"/>
  <c r="D10" i="5"/>
  <c r="D8" i="5"/>
  <c r="J4" i="5"/>
  <c r="E9" i="3" s="1"/>
  <c r="P80" i="14"/>
  <c r="P148" i="14"/>
  <c r="Q10" i="10"/>
  <c r="P6" i="14"/>
  <c r="P35" i="14"/>
  <c r="P124" i="14"/>
  <c r="P64" i="14"/>
  <c r="P123" i="14"/>
  <c r="P82" i="14"/>
  <c r="P87" i="14"/>
  <c r="P142" i="14"/>
  <c r="P115" i="14"/>
  <c r="P107" i="14"/>
  <c r="C31" i="12"/>
  <c r="C36" i="12"/>
  <c r="C37" i="12"/>
  <c r="C34" i="12"/>
  <c r="C32" i="12"/>
  <c r="C47" i="12"/>
  <c r="J5" i="5"/>
  <c r="E10" i="3" s="1"/>
  <c r="L22" i="5"/>
  <c r="G39" i="3" s="1"/>
  <c r="J22" i="5"/>
  <c r="E39" i="3" s="1"/>
  <c r="K22" i="5"/>
  <c r="F39" i="3" s="1"/>
  <c r="L20" i="5"/>
  <c r="G37" i="3" s="1"/>
  <c r="J20" i="5"/>
  <c r="E37" i="3" s="1"/>
  <c r="P30" i="14"/>
  <c r="P118" i="14"/>
  <c r="D14" i="5"/>
  <c r="D13" i="5"/>
  <c r="D12" i="5"/>
  <c r="P19" i="14"/>
  <c r="P81" i="14"/>
  <c r="Q13" i="10"/>
  <c r="C43" i="12"/>
  <c r="P8" i="14"/>
  <c r="P39" i="14"/>
  <c r="P71" i="14"/>
  <c r="P45" i="14"/>
  <c r="P140" i="14"/>
  <c r="P25" i="14"/>
  <c r="P70" i="14"/>
  <c r="P130" i="14"/>
  <c r="P116" i="14"/>
  <c r="P90" i="14"/>
  <c r="P86" i="14"/>
  <c r="P121" i="14"/>
  <c r="P113" i="14"/>
  <c r="C58" i="12"/>
  <c r="J21" i="5" s="1"/>
  <c r="E38" i="3" s="1"/>
  <c r="C44" i="12"/>
  <c r="K5" i="5"/>
  <c r="F10" i="3" s="1"/>
  <c r="C45" i="12"/>
  <c r="D17" i="5"/>
  <c r="D16" i="5"/>
  <c r="D18" i="5"/>
  <c r="S12" i="9"/>
  <c r="P42" i="14"/>
  <c r="S7" i="9"/>
  <c r="P20" i="14"/>
  <c r="S6" i="9"/>
  <c r="S10" i="9"/>
  <c r="Q12" i="10"/>
  <c r="J9" i="5"/>
  <c r="E17" i="3" s="1"/>
  <c r="L10" i="5"/>
  <c r="G18" i="3" s="1"/>
  <c r="L8" i="5"/>
  <c r="G16" i="3" s="1"/>
  <c r="K9" i="5"/>
  <c r="F17" i="3" s="1"/>
  <c r="J8" i="5"/>
  <c r="E16" i="3" s="1"/>
  <c r="K8" i="5"/>
  <c r="F16" i="3" s="1"/>
  <c r="K10" i="5"/>
  <c r="F18" i="3" s="1"/>
  <c r="J10" i="5"/>
  <c r="E18" i="3" s="1"/>
  <c r="L9" i="5"/>
  <c r="G17" i="3" s="1"/>
  <c r="P5" i="14"/>
  <c r="P41" i="14"/>
  <c r="P108" i="14"/>
  <c r="P59" i="14"/>
  <c r="P68" i="14"/>
  <c r="P91" i="14"/>
  <c r="P75" i="14"/>
  <c r="P24" i="14"/>
  <c r="P152" i="14"/>
  <c r="P104" i="14"/>
  <c r="P92" i="14"/>
  <c r="P127" i="14"/>
  <c r="P119" i="14"/>
  <c r="D30" i="5"/>
  <c r="D29" i="5"/>
  <c r="D28" i="5"/>
  <c r="E14" i="5" l="1"/>
  <c r="B30" i="3" s="1"/>
  <c r="F14" i="5"/>
  <c r="C30" i="3" s="1"/>
  <c r="A30" i="3"/>
  <c r="Q17" i="14"/>
  <c r="Q11" i="14"/>
  <c r="Q3" i="14"/>
  <c r="Q70" i="14"/>
  <c r="Q59" i="14"/>
  <c r="Q10" i="14"/>
  <c r="Q91" i="14"/>
  <c r="Q55" i="14"/>
  <c r="Q130" i="14"/>
  <c r="Q128" i="14"/>
  <c r="Q77" i="14"/>
  <c r="Q107" i="14"/>
  <c r="Q146" i="14"/>
  <c r="R11" i="10"/>
  <c r="E29" i="5"/>
  <c r="F44" i="3" s="1"/>
  <c r="F29" i="5"/>
  <c r="G44" i="3" s="1"/>
  <c r="E44" i="3"/>
  <c r="L18" i="5"/>
  <c r="G32" i="3" s="1"/>
  <c r="L16" i="5"/>
  <c r="G30" i="3" s="1"/>
  <c r="K18" i="5"/>
  <c r="F32" i="3" s="1"/>
  <c r="K16" i="5"/>
  <c r="F30" i="3" s="1"/>
  <c r="J16" i="5"/>
  <c r="E30" i="3" s="1"/>
  <c r="J18" i="5"/>
  <c r="E32" i="3" s="1"/>
  <c r="K17" i="5"/>
  <c r="F31" i="3" s="1"/>
  <c r="L17" i="5"/>
  <c r="G31" i="3" s="1"/>
  <c r="J17" i="5"/>
  <c r="E31" i="3" s="1"/>
  <c r="Q19" i="14"/>
  <c r="Q53" i="14"/>
  <c r="Q34" i="14"/>
  <c r="Q109" i="14"/>
  <c r="Q82" i="14"/>
  <c r="Q16" i="14"/>
  <c r="Q121" i="14"/>
  <c r="Q61" i="14"/>
  <c r="Q147" i="14"/>
  <c r="Q141" i="14"/>
  <c r="Q83" i="14"/>
  <c r="Q115" i="14"/>
  <c r="Q152" i="14"/>
  <c r="F4" i="5"/>
  <c r="C14" i="3" s="1"/>
  <c r="A14" i="3"/>
  <c r="E4" i="5"/>
  <c r="B14" i="3" s="1"/>
  <c r="R7" i="10"/>
  <c r="E30" i="5"/>
  <c r="F45" i="3" s="1"/>
  <c r="E45" i="3"/>
  <c r="F30" i="5"/>
  <c r="G45" i="3" s="1"/>
  <c r="Q21" i="14"/>
  <c r="Q5" i="14"/>
  <c r="Q71" i="14"/>
  <c r="Q8" i="14"/>
  <c r="Q100" i="14"/>
  <c r="Q22" i="14"/>
  <c r="Q132" i="14"/>
  <c r="Q67" i="14"/>
  <c r="Q24" i="14"/>
  <c r="Q133" i="14"/>
  <c r="Q94" i="14"/>
  <c r="Q120" i="14"/>
  <c r="Q144" i="14"/>
  <c r="T6" i="9"/>
  <c r="E5" i="5"/>
  <c r="B15" i="3" s="1"/>
  <c r="F5" i="5"/>
  <c r="C15" i="3" s="1"/>
  <c r="A15" i="3"/>
  <c r="R8" i="10"/>
  <c r="F21" i="5"/>
  <c r="C43" i="3" s="1"/>
  <c r="E21" i="5"/>
  <c r="B43" i="3" s="1"/>
  <c r="A43" i="3"/>
  <c r="G156" i="14"/>
  <c r="G150" i="14"/>
  <c r="G144" i="14"/>
  <c r="G138" i="14"/>
  <c r="G132" i="14"/>
  <c r="G126" i="14"/>
  <c r="G120" i="14"/>
  <c r="G114" i="14"/>
  <c r="G108" i="14"/>
  <c r="G102" i="14"/>
  <c r="G157" i="14"/>
  <c r="G151" i="14"/>
  <c r="G145" i="14"/>
  <c r="G139" i="14"/>
  <c r="G152" i="14"/>
  <c r="G146" i="14"/>
  <c r="G140" i="14"/>
  <c r="G134" i="14"/>
  <c r="G128" i="14"/>
  <c r="G122" i="14"/>
  <c r="G116" i="14"/>
  <c r="G110" i="14"/>
  <c r="G154" i="14"/>
  <c r="G148" i="14"/>
  <c r="G142" i="14"/>
  <c r="G136" i="14"/>
  <c r="G127" i="14"/>
  <c r="G115" i="14"/>
  <c r="G107" i="14"/>
  <c r="G99" i="14"/>
  <c r="G93" i="14"/>
  <c r="G87" i="14"/>
  <c r="G147" i="14"/>
  <c r="G125" i="14"/>
  <c r="G113" i="14"/>
  <c r="G104" i="14"/>
  <c r="G100" i="14"/>
  <c r="G94" i="14"/>
  <c r="G131" i="14"/>
  <c r="G124" i="14"/>
  <c r="G112" i="14"/>
  <c r="G153" i="14"/>
  <c r="G118" i="14"/>
  <c r="G155" i="14"/>
  <c r="G106" i="14"/>
  <c r="G84" i="14"/>
  <c r="G78" i="14"/>
  <c r="G98" i="14"/>
  <c r="G96" i="14"/>
  <c r="G88" i="14"/>
  <c r="G149" i="14"/>
  <c r="G117" i="14"/>
  <c r="G109" i="14"/>
  <c r="G103" i="14"/>
  <c r="G91" i="14"/>
  <c r="G85" i="14"/>
  <c r="G79" i="14"/>
  <c r="G143" i="14"/>
  <c r="G141" i="14"/>
  <c r="G130" i="14"/>
  <c r="G129" i="14"/>
  <c r="G123" i="14"/>
  <c r="G90" i="14"/>
  <c r="G76" i="14"/>
  <c r="G111" i="14"/>
  <c r="G73" i="14"/>
  <c r="G67" i="14"/>
  <c r="G61" i="14"/>
  <c r="G55" i="14"/>
  <c r="G49" i="14"/>
  <c r="G43" i="14"/>
  <c r="G37" i="14"/>
  <c r="G31" i="14"/>
  <c r="G25" i="14"/>
  <c r="G89" i="14"/>
  <c r="G81" i="14"/>
  <c r="G74" i="14"/>
  <c r="G68" i="14"/>
  <c r="G92" i="14"/>
  <c r="G71" i="14"/>
  <c r="G65" i="14"/>
  <c r="G59" i="14"/>
  <c r="G53" i="14"/>
  <c r="G137" i="14"/>
  <c r="G101" i="14"/>
  <c r="G95" i="14"/>
  <c r="G75" i="14"/>
  <c r="G69" i="14"/>
  <c r="G64" i="14"/>
  <c r="G51" i="14"/>
  <c r="G46" i="14"/>
  <c r="G32" i="14"/>
  <c r="G22" i="14"/>
  <c r="G16" i="14"/>
  <c r="G10" i="14"/>
  <c r="G4" i="14"/>
  <c r="G119" i="14"/>
  <c r="G86" i="14"/>
  <c r="G54" i="14"/>
  <c r="G41" i="14"/>
  <c r="G39" i="14"/>
  <c r="G77" i="14"/>
  <c r="G57" i="14"/>
  <c r="G48" i="14"/>
  <c r="G34" i="14"/>
  <c r="G23" i="14"/>
  <c r="G17" i="14"/>
  <c r="G11" i="14"/>
  <c r="G5" i="14"/>
  <c r="G105" i="14"/>
  <c r="G60" i="14"/>
  <c r="G97" i="14"/>
  <c r="G66" i="14"/>
  <c r="G47" i="14"/>
  <c r="G45" i="14"/>
  <c r="G135" i="14"/>
  <c r="G42" i="14"/>
  <c r="G28" i="14"/>
  <c r="G121" i="14"/>
  <c r="G83" i="14"/>
  <c r="G29" i="14"/>
  <c r="G27" i="14"/>
  <c r="G7" i="14"/>
  <c r="G30" i="14"/>
  <c r="G3" i="14"/>
  <c r="S3" i="14" s="1"/>
  <c r="G50" i="14"/>
  <c r="G35" i="14"/>
  <c r="G33" i="14"/>
  <c r="G13" i="14"/>
  <c r="G36" i="14"/>
  <c r="G9" i="14"/>
  <c r="G6" i="14"/>
  <c r="G56" i="14"/>
  <c r="G38" i="14"/>
  <c r="G19" i="14"/>
  <c r="G82" i="14"/>
  <c r="G72" i="14"/>
  <c r="G80" i="14"/>
  <c r="G62" i="14"/>
  <c r="G52" i="14"/>
  <c r="G21" i="14"/>
  <c r="G18" i="14"/>
  <c r="G8" i="14"/>
  <c r="H1" i="14"/>
  <c r="G133" i="14"/>
  <c r="G58" i="14"/>
  <c r="G44" i="14"/>
  <c r="G14" i="14"/>
  <c r="G63" i="14"/>
  <c r="S63" i="14" s="1"/>
  <c r="G70" i="14"/>
  <c r="G40" i="14"/>
  <c r="G26" i="14"/>
  <c r="G24" i="14"/>
  <c r="G20" i="14"/>
  <c r="G12" i="14"/>
  <c r="G15" i="14"/>
  <c r="Q12" i="14"/>
  <c r="Q108" i="14"/>
  <c r="Q14" i="14"/>
  <c r="Q57" i="14"/>
  <c r="Q32" i="14"/>
  <c r="Q138" i="14"/>
  <c r="Q73" i="14"/>
  <c r="Q30" i="14"/>
  <c r="Q88" i="14"/>
  <c r="Q101" i="14"/>
  <c r="Q127" i="14"/>
  <c r="Q150" i="14"/>
  <c r="K8" i="9"/>
  <c r="K7" i="9"/>
  <c r="K6" i="9"/>
  <c r="L2" i="9"/>
  <c r="K10" i="9"/>
  <c r="U10" i="9" s="1"/>
  <c r="K9" i="9"/>
  <c r="K11" i="9"/>
  <c r="K12" i="9"/>
  <c r="F6" i="5"/>
  <c r="C16" i="3" s="1"/>
  <c r="E6" i="5"/>
  <c r="B16" i="3" s="1"/>
  <c r="A16" i="3"/>
  <c r="R9" i="10"/>
  <c r="Q135" i="14"/>
  <c r="A51" i="3"/>
  <c r="F45" i="5"/>
  <c r="C51" i="3" s="1"/>
  <c r="E45" i="5"/>
  <c r="B51" i="3" s="1"/>
  <c r="Q80" i="14"/>
  <c r="Q40" i="14"/>
  <c r="Q23" i="14"/>
  <c r="Q33" i="14"/>
  <c r="Q92" i="14"/>
  <c r="Q51" i="14"/>
  <c r="Q89" i="14"/>
  <c r="Q117" i="14"/>
  <c r="Q42" i="14"/>
  <c r="Q98" i="14"/>
  <c r="Q157" i="14"/>
  <c r="Q151" i="14"/>
  <c r="Q131" i="14"/>
  <c r="T10" i="9"/>
  <c r="R12" i="10"/>
  <c r="K13" i="5"/>
  <c r="F24" i="3" s="1"/>
  <c r="J13" i="5"/>
  <c r="E24" i="3" s="1"/>
  <c r="L12" i="5"/>
  <c r="G23" i="3" s="1"/>
  <c r="J14" i="5"/>
  <c r="E25" i="3" s="1"/>
  <c r="K12" i="5"/>
  <c r="F23" i="3" s="1"/>
  <c r="J12" i="5"/>
  <c r="E23" i="3" s="1"/>
  <c r="L14" i="5"/>
  <c r="G25" i="3" s="1"/>
  <c r="K14" i="5"/>
  <c r="F25" i="3" s="1"/>
  <c r="L13" i="5"/>
  <c r="G24" i="3" s="1"/>
  <c r="E43" i="5"/>
  <c r="B49" i="3" s="1"/>
  <c r="A49" i="3"/>
  <c r="F43" i="5"/>
  <c r="C49" i="3" s="1"/>
  <c r="Q45" i="14"/>
  <c r="Q105" i="14"/>
  <c r="Q27" i="14"/>
  <c r="Q35" i="14"/>
  <c r="Q102" i="14"/>
  <c r="Q64" i="14"/>
  <c r="Q124" i="14"/>
  <c r="Q134" i="14"/>
  <c r="Q48" i="14"/>
  <c r="Q78" i="14"/>
  <c r="Q119" i="14"/>
  <c r="Q110" i="14"/>
  <c r="Q137" i="14"/>
  <c r="T11" i="9"/>
  <c r="R13" i="10"/>
  <c r="A44" i="3"/>
  <c r="F22" i="5"/>
  <c r="C44" i="3" s="1"/>
  <c r="E22" i="5"/>
  <c r="B44" i="3" s="1"/>
  <c r="Q113" i="14"/>
  <c r="A42" i="3"/>
  <c r="F20" i="5"/>
  <c r="C42" i="3" s="1"/>
  <c r="E20" i="5"/>
  <c r="B42" i="3" s="1"/>
  <c r="E44" i="5"/>
  <c r="B50" i="3" s="1"/>
  <c r="F44" i="5"/>
  <c r="C50" i="3" s="1"/>
  <c r="A50" i="3"/>
  <c r="Q63" i="14"/>
  <c r="Q6" i="14"/>
  <c r="Q28" i="14"/>
  <c r="Q52" i="14"/>
  <c r="Q39" i="14"/>
  <c r="Q69" i="14"/>
  <c r="Q25" i="14"/>
  <c r="Q76" i="14"/>
  <c r="Q54" i="14"/>
  <c r="Q84" i="14"/>
  <c r="Q140" i="14"/>
  <c r="Q122" i="14"/>
  <c r="Q143" i="14"/>
  <c r="T12" i="9"/>
  <c r="Q7" i="14"/>
  <c r="Q36" i="14"/>
  <c r="Q156" i="14"/>
  <c r="Q44" i="14"/>
  <c r="Q9" i="14"/>
  <c r="Q29" i="14"/>
  <c r="Q114" i="14"/>
  <c r="Q41" i="14"/>
  <c r="Q74" i="14"/>
  <c r="Q31" i="14"/>
  <c r="Q90" i="14"/>
  <c r="Q60" i="14"/>
  <c r="Q106" i="14"/>
  <c r="Q145" i="14"/>
  <c r="Q142" i="14"/>
  <c r="Q149" i="14"/>
  <c r="T7" i="9"/>
  <c r="Q20" i="14"/>
  <c r="Q111" i="14"/>
  <c r="F18" i="5"/>
  <c r="C38" i="3" s="1"/>
  <c r="E18" i="5"/>
  <c r="B38" i="3" s="1"/>
  <c r="A38" i="3"/>
  <c r="K20" i="5"/>
  <c r="F37" i="3" s="1"/>
  <c r="A20" i="3"/>
  <c r="F8" i="5"/>
  <c r="C20" i="3" s="1"/>
  <c r="E8" i="5"/>
  <c r="B20" i="3" s="1"/>
  <c r="E51" i="3"/>
  <c r="F26" i="5"/>
  <c r="G51" i="3" s="1"/>
  <c r="E26" i="5"/>
  <c r="F51" i="3" s="1"/>
  <c r="Q58" i="14"/>
  <c r="Q13" i="14"/>
  <c r="Q81" i="14"/>
  <c r="Q116" i="14"/>
  <c r="Q68" i="14"/>
  <c r="Q75" i="14"/>
  <c r="Q37" i="14"/>
  <c r="Q112" i="14"/>
  <c r="Q66" i="14"/>
  <c r="Q125" i="14"/>
  <c r="Q139" i="14"/>
  <c r="Q148" i="14"/>
  <c r="Q155" i="14"/>
  <c r="T8" i="9"/>
  <c r="Q79" i="14"/>
  <c r="Q96" i="14"/>
  <c r="F12" i="5"/>
  <c r="C28" i="3" s="1"/>
  <c r="E12" i="5"/>
  <c r="B28" i="3" s="1"/>
  <c r="A28" i="3"/>
  <c r="K21" i="5"/>
  <c r="F38" i="3" s="1"/>
  <c r="A22" i="3"/>
  <c r="F10" i="5"/>
  <c r="C22" i="3" s="1"/>
  <c r="E10" i="5"/>
  <c r="B22" i="3" s="1"/>
  <c r="E24" i="5"/>
  <c r="F49" i="3" s="1"/>
  <c r="E49" i="3"/>
  <c r="F24" i="5"/>
  <c r="G49" i="3" s="1"/>
  <c r="Q62" i="14"/>
  <c r="Q87" i="14"/>
  <c r="Q50" i="14"/>
  <c r="Q26" i="14"/>
  <c r="Q38" i="14"/>
  <c r="Q86" i="14"/>
  <c r="Q95" i="14"/>
  <c r="Q43" i="14"/>
  <c r="Q123" i="14"/>
  <c r="Q72" i="14"/>
  <c r="Q118" i="14"/>
  <c r="Q93" i="14"/>
  <c r="Q154" i="14"/>
  <c r="E43" i="3"/>
  <c r="F28" i="5"/>
  <c r="G43" i="3" s="1"/>
  <c r="E28" i="5"/>
  <c r="F43" i="3" s="1"/>
  <c r="Q15" i="14"/>
  <c r="Q46" i="14"/>
  <c r="Q136" i="14"/>
  <c r="F16" i="5"/>
  <c r="C36" i="3" s="1"/>
  <c r="E16" i="5"/>
  <c r="B36" i="3" s="1"/>
  <c r="A36" i="3"/>
  <c r="A37" i="3"/>
  <c r="F17" i="5"/>
  <c r="C37" i="3" s="1"/>
  <c r="E17" i="5"/>
  <c r="B37" i="3" s="1"/>
  <c r="E13" i="5"/>
  <c r="B29" i="3" s="1"/>
  <c r="F13" i="5"/>
  <c r="C29" i="3" s="1"/>
  <c r="A29" i="3"/>
  <c r="F9" i="5"/>
  <c r="C21" i="3" s="1"/>
  <c r="E9" i="5"/>
  <c r="B21" i="3" s="1"/>
  <c r="A21" i="3"/>
  <c r="E25" i="5"/>
  <c r="F50" i="3" s="1"/>
  <c r="E50" i="3"/>
  <c r="F25" i="5"/>
  <c r="G50" i="3" s="1"/>
  <c r="Q65" i="14"/>
  <c r="Q97" i="14"/>
  <c r="Q103" i="14"/>
  <c r="Q47" i="14"/>
  <c r="Q56" i="14"/>
  <c r="Q4" i="14"/>
  <c r="Q104" i="14"/>
  <c r="Q49" i="14"/>
  <c r="Q129" i="14"/>
  <c r="Q85" i="14"/>
  <c r="Q126" i="14"/>
  <c r="Q99" i="14"/>
  <c r="Q153" i="14"/>
  <c r="C39" i="5"/>
  <c r="D38" i="5"/>
  <c r="I12" i="10"/>
  <c r="I10" i="10"/>
  <c r="I9" i="10"/>
  <c r="I8" i="10"/>
  <c r="I7" i="10"/>
  <c r="I11" i="10"/>
  <c r="J2" i="10"/>
  <c r="I13" i="10"/>
  <c r="S13" i="10" s="1"/>
  <c r="S36" i="14" l="1"/>
  <c r="S16" i="14"/>
  <c r="S143" i="14"/>
  <c r="S125" i="14"/>
  <c r="U11" i="9"/>
  <c r="S40" i="14"/>
  <c r="S62" i="14"/>
  <c r="S35" i="14"/>
  <c r="S45" i="14"/>
  <c r="S57" i="14"/>
  <c r="S46" i="14"/>
  <c r="S92" i="14"/>
  <c r="S67" i="14"/>
  <c r="S91" i="14"/>
  <c r="S118" i="14"/>
  <c r="S93" i="14"/>
  <c r="S128" i="14"/>
  <c r="S120" i="14"/>
  <c r="S10" i="10"/>
  <c r="S12" i="14"/>
  <c r="S121" i="14"/>
  <c r="S53" i="14"/>
  <c r="S141" i="14"/>
  <c r="S113" i="14"/>
  <c r="U9" i="9"/>
  <c r="S70" i="14"/>
  <c r="S80" i="14"/>
  <c r="S50" i="14"/>
  <c r="S47" i="14"/>
  <c r="S77" i="14"/>
  <c r="S51" i="14"/>
  <c r="S68" i="14"/>
  <c r="S73" i="14"/>
  <c r="S103" i="14"/>
  <c r="S153" i="14"/>
  <c r="S99" i="14"/>
  <c r="S134" i="14"/>
  <c r="S126" i="14"/>
  <c r="S72" i="14"/>
  <c r="S39" i="14"/>
  <c r="S109" i="14"/>
  <c r="S132" i="14"/>
  <c r="J13" i="10"/>
  <c r="J12" i="10"/>
  <c r="T12" i="10" s="1"/>
  <c r="J11" i="10"/>
  <c r="J10" i="10"/>
  <c r="K2" i="10"/>
  <c r="J9" i="10"/>
  <c r="J7" i="10"/>
  <c r="J8" i="10"/>
  <c r="L7" i="9"/>
  <c r="L6" i="9"/>
  <c r="L10" i="9"/>
  <c r="L9" i="9"/>
  <c r="L11" i="9"/>
  <c r="V11" i="9" s="1"/>
  <c r="L8" i="9"/>
  <c r="L12" i="9"/>
  <c r="M2" i="9"/>
  <c r="S14" i="14"/>
  <c r="S82" i="14"/>
  <c r="S30" i="14"/>
  <c r="S97" i="14"/>
  <c r="S41" i="14"/>
  <c r="S69" i="14"/>
  <c r="S81" i="14"/>
  <c r="S76" i="14"/>
  <c r="S117" i="14"/>
  <c r="S124" i="14"/>
  <c r="S115" i="14"/>
  <c r="S146" i="14"/>
  <c r="S138" i="14"/>
  <c r="S66" i="14"/>
  <c r="S111" i="14"/>
  <c r="S107" i="14"/>
  <c r="S11" i="10"/>
  <c r="S44" i="14"/>
  <c r="S60" i="14"/>
  <c r="S89" i="14"/>
  <c r="S131" i="14"/>
  <c r="S144" i="14"/>
  <c r="S7" i="10"/>
  <c r="U7" i="9"/>
  <c r="S58" i="14"/>
  <c r="S38" i="14"/>
  <c r="S27" i="14"/>
  <c r="S105" i="14"/>
  <c r="S86" i="14"/>
  <c r="S95" i="14"/>
  <c r="S25" i="14"/>
  <c r="S123" i="14"/>
  <c r="S88" i="14"/>
  <c r="S94" i="14"/>
  <c r="S136" i="14"/>
  <c r="S139" i="14"/>
  <c r="S150" i="14"/>
  <c r="S74" i="14"/>
  <c r="S7" i="14"/>
  <c r="S75" i="14"/>
  <c r="S149" i="14"/>
  <c r="S152" i="14"/>
  <c r="S8" i="10"/>
  <c r="U8" i="9"/>
  <c r="S133" i="14"/>
  <c r="S56" i="14"/>
  <c r="S29" i="14"/>
  <c r="S5" i="14"/>
  <c r="S119" i="14"/>
  <c r="S101" i="14"/>
  <c r="S31" i="14"/>
  <c r="S129" i="14"/>
  <c r="S96" i="14"/>
  <c r="S100" i="14"/>
  <c r="S142" i="14"/>
  <c r="S145" i="14"/>
  <c r="S156" i="14"/>
  <c r="S64" i="14"/>
  <c r="S112" i="14"/>
  <c r="S140" i="14"/>
  <c r="U6" i="9"/>
  <c r="S19" i="14"/>
  <c r="S54" i="14"/>
  <c r="S90" i="14"/>
  <c r="S127" i="14"/>
  <c r="S9" i="10"/>
  <c r="S15" i="14"/>
  <c r="H156" i="14"/>
  <c r="H150" i="14"/>
  <c r="H144" i="14"/>
  <c r="H138" i="14"/>
  <c r="H132" i="14"/>
  <c r="H157" i="14"/>
  <c r="H151" i="14"/>
  <c r="H145" i="14"/>
  <c r="H139" i="14"/>
  <c r="H153" i="14"/>
  <c r="H147" i="14"/>
  <c r="H141" i="14"/>
  <c r="H154" i="14"/>
  <c r="H155" i="14"/>
  <c r="H149" i="14"/>
  <c r="H143" i="14"/>
  <c r="H142" i="14"/>
  <c r="H136" i="14"/>
  <c r="H120" i="14"/>
  <c r="H125" i="14"/>
  <c r="H113" i="14"/>
  <c r="H104" i="14"/>
  <c r="H100" i="14"/>
  <c r="H94" i="14"/>
  <c r="H135" i="14"/>
  <c r="H130" i="14"/>
  <c r="H118" i="14"/>
  <c r="H140" i="14"/>
  <c r="H137" i="14"/>
  <c r="H133" i="14"/>
  <c r="H129" i="14"/>
  <c r="H117" i="14"/>
  <c r="H127" i="14"/>
  <c r="H126" i="14"/>
  <c r="H106" i="14"/>
  <c r="H84" i="14"/>
  <c r="H78" i="14"/>
  <c r="H98" i="14"/>
  <c r="H96" i="14"/>
  <c r="H88" i="14"/>
  <c r="H110" i="14"/>
  <c r="H109" i="14"/>
  <c r="H103" i="14"/>
  <c r="H91" i="14"/>
  <c r="H85" i="14"/>
  <c r="H79" i="14"/>
  <c r="H134" i="14"/>
  <c r="H124" i="14"/>
  <c r="H148" i="14"/>
  <c r="H152" i="14"/>
  <c r="H112" i="14"/>
  <c r="H111" i="14"/>
  <c r="H73" i="14"/>
  <c r="H67" i="14"/>
  <c r="H61" i="14"/>
  <c r="H55" i="14"/>
  <c r="H49" i="14"/>
  <c r="H43" i="14"/>
  <c r="H37" i="14"/>
  <c r="H31" i="14"/>
  <c r="H25" i="14"/>
  <c r="H89" i="14"/>
  <c r="H81" i="14"/>
  <c r="H74" i="14"/>
  <c r="H68" i="14"/>
  <c r="H62" i="14"/>
  <c r="H56" i="14"/>
  <c r="H50" i="14"/>
  <c r="H44" i="14"/>
  <c r="H38" i="14"/>
  <c r="H32" i="14"/>
  <c r="H26" i="14"/>
  <c r="H131" i="14"/>
  <c r="H86" i="14"/>
  <c r="H82" i="14"/>
  <c r="H128" i="14"/>
  <c r="H101" i="14"/>
  <c r="H95" i="14"/>
  <c r="H119" i="14"/>
  <c r="H107" i="14"/>
  <c r="H76" i="14"/>
  <c r="H54" i="14"/>
  <c r="H41" i="14"/>
  <c r="H39" i="14"/>
  <c r="H77" i="14"/>
  <c r="H57" i="14"/>
  <c r="H48" i="14"/>
  <c r="H34" i="14"/>
  <c r="H23" i="14"/>
  <c r="H17" i="14"/>
  <c r="H11" i="14"/>
  <c r="H5" i="14"/>
  <c r="H105" i="14"/>
  <c r="H102" i="14"/>
  <c r="H92" i="14"/>
  <c r="L92" i="14" s="1"/>
  <c r="H60" i="14"/>
  <c r="H29" i="14"/>
  <c r="H27" i="14"/>
  <c r="H122" i="14"/>
  <c r="H108" i="14"/>
  <c r="H99" i="14"/>
  <c r="H87" i="14"/>
  <c r="H80" i="14"/>
  <c r="H63" i="14"/>
  <c r="H53" i="14"/>
  <c r="H93" i="14"/>
  <c r="H83" i="14"/>
  <c r="H71" i="14"/>
  <c r="H40" i="14"/>
  <c r="H123" i="14"/>
  <c r="H121" i="14"/>
  <c r="H70" i="14"/>
  <c r="H58" i="14"/>
  <c r="H21" i="14"/>
  <c r="H15" i="14"/>
  <c r="H9" i="14"/>
  <c r="H3" i="14"/>
  <c r="H30" i="14"/>
  <c r="H28" i="14"/>
  <c r="H10" i="14"/>
  <c r="H114" i="14"/>
  <c r="H35" i="14"/>
  <c r="H33" i="14"/>
  <c r="H13" i="14"/>
  <c r="H64" i="14"/>
  <c r="H36" i="14"/>
  <c r="H16" i="14"/>
  <c r="H6" i="14"/>
  <c r="H90" i="14"/>
  <c r="H19" i="14"/>
  <c r="H65" i="14"/>
  <c r="L65" i="14" s="1"/>
  <c r="H22" i="14"/>
  <c r="H12" i="14"/>
  <c r="H116" i="14"/>
  <c r="H52" i="14"/>
  <c r="H18" i="14"/>
  <c r="H8" i="14"/>
  <c r="L8" i="14" s="1"/>
  <c r="I1" i="14"/>
  <c r="H75" i="14"/>
  <c r="H42" i="14"/>
  <c r="H115" i="14"/>
  <c r="H97" i="14"/>
  <c r="H69" i="14"/>
  <c r="L69" i="14" s="1"/>
  <c r="H45" i="14"/>
  <c r="H24" i="14"/>
  <c r="H20" i="14"/>
  <c r="H4" i="14"/>
  <c r="H146" i="14"/>
  <c r="H59" i="14"/>
  <c r="L59" i="14" s="1"/>
  <c r="H47" i="14"/>
  <c r="H46" i="14"/>
  <c r="H7" i="14"/>
  <c r="H14" i="14"/>
  <c r="H72" i="14"/>
  <c r="H66" i="14"/>
  <c r="L66" i="14" s="1"/>
  <c r="H51" i="14"/>
  <c r="S6" i="14"/>
  <c r="S83" i="14"/>
  <c r="S11" i="14"/>
  <c r="S4" i="14"/>
  <c r="S137" i="14"/>
  <c r="S37" i="14"/>
  <c r="S130" i="14"/>
  <c r="S98" i="14"/>
  <c r="S104" i="14"/>
  <c r="S148" i="14"/>
  <c r="S151" i="14"/>
  <c r="S8" i="14"/>
  <c r="S17" i="14"/>
  <c r="S43" i="14"/>
  <c r="S154" i="14"/>
  <c r="S18" i="14"/>
  <c r="S23" i="14"/>
  <c r="S49" i="14"/>
  <c r="S110" i="14"/>
  <c r="S24" i="14"/>
  <c r="S21" i="14"/>
  <c r="S13" i="14"/>
  <c r="S42" i="14"/>
  <c r="S34" i="14"/>
  <c r="S22" i="14"/>
  <c r="S65" i="14"/>
  <c r="S55" i="14"/>
  <c r="S79" i="14"/>
  <c r="S106" i="14"/>
  <c r="S147" i="14"/>
  <c r="S116" i="14"/>
  <c r="S108" i="14"/>
  <c r="S9" i="14"/>
  <c r="S10" i="14"/>
  <c r="S78" i="14"/>
  <c r="S157" i="14"/>
  <c r="S12" i="10"/>
  <c r="S20" i="14"/>
  <c r="S28" i="14"/>
  <c r="S59" i="14"/>
  <c r="S84" i="14"/>
  <c r="S102" i="14"/>
  <c r="D39" i="5"/>
  <c r="C40" i="5"/>
  <c r="U12" i="9"/>
  <c r="S26" i="14"/>
  <c r="S52" i="14"/>
  <c r="S33" i="14"/>
  <c r="S135" i="14"/>
  <c r="S48" i="14"/>
  <c r="S32" i="14"/>
  <c r="S71" i="14"/>
  <c r="S61" i="14"/>
  <c r="S85" i="14"/>
  <c r="S155" i="14"/>
  <c r="S87" i="14"/>
  <c r="S122" i="14"/>
  <c r="S114" i="14"/>
  <c r="L83" i="14" l="1"/>
  <c r="L134" i="14"/>
  <c r="L19" i="14"/>
  <c r="L43" i="14"/>
  <c r="L153" i="14"/>
  <c r="L16" i="14"/>
  <c r="L11" i="14"/>
  <c r="L119" i="14"/>
  <c r="L61" i="14"/>
  <c r="L103" i="14"/>
  <c r="L129" i="14"/>
  <c r="L120" i="14"/>
  <c r="L151" i="14"/>
  <c r="V7" i="9"/>
  <c r="L32" i="14"/>
  <c r="L37" i="14"/>
  <c r="L147" i="14"/>
  <c r="L30" i="14"/>
  <c r="L38" i="14"/>
  <c r="L126" i="14"/>
  <c r="L46" i="14"/>
  <c r="L75" i="14"/>
  <c r="L15" i="14"/>
  <c r="L80" i="14"/>
  <c r="L56" i="14"/>
  <c r="L47" i="14"/>
  <c r="I157" i="14"/>
  <c r="I151" i="14"/>
  <c r="I145" i="14"/>
  <c r="I139" i="14"/>
  <c r="I133" i="14"/>
  <c r="I127" i="14"/>
  <c r="I121" i="14"/>
  <c r="I115" i="14"/>
  <c r="I109" i="14"/>
  <c r="I103" i="14"/>
  <c r="I152" i="14"/>
  <c r="I146" i="14"/>
  <c r="I140" i="14"/>
  <c r="I134" i="14"/>
  <c r="I153" i="14"/>
  <c r="I147" i="14"/>
  <c r="I141" i="14"/>
  <c r="I135" i="14"/>
  <c r="I129" i="14"/>
  <c r="I123" i="14"/>
  <c r="I117" i="14"/>
  <c r="I111" i="14"/>
  <c r="I155" i="14"/>
  <c r="I149" i="14"/>
  <c r="I143" i="14"/>
  <c r="I137" i="14"/>
  <c r="I125" i="14"/>
  <c r="I113" i="14"/>
  <c r="I104" i="14"/>
  <c r="I100" i="14"/>
  <c r="I94" i="14"/>
  <c r="I88" i="14"/>
  <c r="I154" i="14"/>
  <c r="I130" i="14"/>
  <c r="I118" i="14"/>
  <c r="I132" i="14"/>
  <c r="I108" i="14"/>
  <c r="I101" i="14"/>
  <c r="I95" i="14"/>
  <c r="I150" i="14"/>
  <c r="I98" i="14"/>
  <c r="I96" i="14"/>
  <c r="I110" i="14"/>
  <c r="I91" i="14"/>
  <c r="I85" i="14"/>
  <c r="I79" i="14"/>
  <c r="I124" i="14"/>
  <c r="I116" i="14"/>
  <c r="I80" i="14"/>
  <c r="I89" i="14"/>
  <c r="I81" i="14"/>
  <c r="I74" i="14"/>
  <c r="I68" i="14"/>
  <c r="I62" i="14"/>
  <c r="I56" i="14"/>
  <c r="I50" i="14"/>
  <c r="I44" i="14"/>
  <c r="I38" i="14"/>
  <c r="I32" i="14"/>
  <c r="I26" i="14"/>
  <c r="I136" i="14"/>
  <c r="I131" i="14"/>
  <c r="I78" i="14"/>
  <c r="I114" i="14"/>
  <c r="I105" i="14"/>
  <c r="I102" i="14"/>
  <c r="I97" i="14"/>
  <c r="I84" i="14"/>
  <c r="I69" i="14"/>
  <c r="I148" i="14"/>
  <c r="I138" i="14"/>
  <c r="I126" i="14"/>
  <c r="I72" i="14"/>
  <c r="I66" i="14"/>
  <c r="I60" i="14"/>
  <c r="I54" i="14"/>
  <c r="I119" i="14"/>
  <c r="I107" i="14"/>
  <c r="I144" i="14"/>
  <c r="I86" i="14"/>
  <c r="I77" i="14"/>
  <c r="I57" i="14"/>
  <c r="I48" i="14"/>
  <c r="I34" i="14"/>
  <c r="I25" i="14"/>
  <c r="I23" i="14"/>
  <c r="I17" i="14"/>
  <c r="I11" i="14"/>
  <c r="I5" i="14"/>
  <c r="I92" i="14"/>
  <c r="I29" i="14"/>
  <c r="I27" i="14"/>
  <c r="I122" i="14"/>
  <c r="I99" i="14"/>
  <c r="I87" i="14"/>
  <c r="I63" i="14"/>
  <c r="I53" i="14"/>
  <c r="I36" i="14"/>
  <c r="I18" i="14"/>
  <c r="I12" i="14"/>
  <c r="I6" i="14"/>
  <c r="I156" i="14"/>
  <c r="I73" i="14"/>
  <c r="I65" i="14"/>
  <c r="I52" i="14"/>
  <c r="I35" i="14"/>
  <c r="I33" i="14"/>
  <c r="I142" i="14"/>
  <c r="I55" i="14"/>
  <c r="I30" i="14"/>
  <c r="I128" i="14"/>
  <c r="I112" i="14"/>
  <c r="I106" i="14"/>
  <c r="I67" i="14"/>
  <c r="I13" i="14"/>
  <c r="I3" i="14"/>
  <c r="I71" i="14"/>
  <c r="I64" i="14"/>
  <c r="I31" i="14"/>
  <c r="I16" i="14"/>
  <c r="I90" i="14"/>
  <c r="I49" i="14"/>
  <c r="I19" i="14"/>
  <c r="I9" i="14"/>
  <c r="I37" i="14"/>
  <c r="I22" i="14"/>
  <c r="I51" i="14"/>
  <c r="I40" i="14"/>
  <c r="I15" i="14"/>
  <c r="I82" i="14"/>
  <c r="I75" i="14"/>
  <c r="I61" i="14"/>
  <c r="I42" i="14"/>
  <c r="I21" i="14"/>
  <c r="I93" i="14"/>
  <c r="I43" i="14"/>
  <c r="I14" i="14"/>
  <c r="I45" i="14"/>
  <c r="I24" i="14"/>
  <c r="I20" i="14"/>
  <c r="I4" i="14"/>
  <c r="R4" i="14" s="1"/>
  <c r="I76" i="14"/>
  <c r="I70" i="14"/>
  <c r="I59" i="14"/>
  <c r="I47" i="14"/>
  <c r="I46" i="14"/>
  <c r="I7" i="14"/>
  <c r="I120" i="14"/>
  <c r="I83" i="14"/>
  <c r="I58" i="14"/>
  <c r="I28" i="14"/>
  <c r="I39" i="14"/>
  <c r="I10" i="14"/>
  <c r="R10" i="14" s="1"/>
  <c r="I8" i="14"/>
  <c r="J1" i="14"/>
  <c r="I41" i="14"/>
  <c r="L36" i="14"/>
  <c r="L21" i="14"/>
  <c r="L87" i="14"/>
  <c r="L17" i="14"/>
  <c r="L95" i="14"/>
  <c r="L62" i="14"/>
  <c r="L67" i="14"/>
  <c r="L109" i="14"/>
  <c r="L133" i="14"/>
  <c r="L136" i="14"/>
  <c r="L157" i="14"/>
  <c r="L23" i="14"/>
  <c r="L137" i="14"/>
  <c r="L13" i="14"/>
  <c r="L111" i="14"/>
  <c r="T7" i="10"/>
  <c r="L99" i="14"/>
  <c r="L110" i="14"/>
  <c r="L142" i="14"/>
  <c r="L70" i="14"/>
  <c r="L74" i="14"/>
  <c r="L138" i="14"/>
  <c r="L4" i="14"/>
  <c r="L52" i="14"/>
  <c r="L33" i="14"/>
  <c r="L121" i="14"/>
  <c r="L122" i="14"/>
  <c r="L48" i="14"/>
  <c r="L82" i="14"/>
  <c r="L81" i="14"/>
  <c r="L112" i="14"/>
  <c r="L96" i="14"/>
  <c r="L118" i="14"/>
  <c r="L149" i="14"/>
  <c r="L144" i="14"/>
  <c r="T9" i="10"/>
  <c r="L58" i="14"/>
  <c r="L73" i="14"/>
  <c r="L132" i="14"/>
  <c r="L34" i="14"/>
  <c r="L143" i="14"/>
  <c r="L20" i="14"/>
  <c r="L116" i="14"/>
  <c r="L35" i="14"/>
  <c r="L123" i="14"/>
  <c r="L27" i="14"/>
  <c r="L57" i="14"/>
  <c r="L86" i="14"/>
  <c r="L89" i="14"/>
  <c r="L152" i="14"/>
  <c r="L98" i="14"/>
  <c r="L130" i="14"/>
  <c r="L155" i="14"/>
  <c r="L150" i="14"/>
  <c r="M7" i="9"/>
  <c r="M6" i="9"/>
  <c r="M12" i="9"/>
  <c r="M11" i="9"/>
  <c r="M9" i="9"/>
  <c r="M8" i="9"/>
  <c r="W8" i="9" s="1"/>
  <c r="N2" i="9"/>
  <c r="M10" i="9"/>
  <c r="K12" i="10"/>
  <c r="K13" i="10"/>
  <c r="K11" i="10"/>
  <c r="L2" i="10"/>
  <c r="K9" i="10"/>
  <c r="K7" i="10"/>
  <c r="U7" i="10" s="1"/>
  <c r="K10" i="10"/>
  <c r="K8" i="10"/>
  <c r="L101" i="14"/>
  <c r="L146" i="14"/>
  <c r="L108" i="14"/>
  <c r="L88" i="14"/>
  <c r="L24" i="14"/>
  <c r="L12" i="14"/>
  <c r="L114" i="14"/>
  <c r="L40" i="14"/>
  <c r="L29" i="14"/>
  <c r="L77" i="14"/>
  <c r="L131" i="14"/>
  <c r="L25" i="14"/>
  <c r="L148" i="14"/>
  <c r="L78" i="14"/>
  <c r="L135" i="14"/>
  <c r="L154" i="14"/>
  <c r="L156" i="14"/>
  <c r="V12" i="9"/>
  <c r="T10" i="10"/>
  <c r="L64" i="14"/>
  <c r="L68" i="14"/>
  <c r="T8" i="10"/>
  <c r="L18" i="14"/>
  <c r="L128" i="14"/>
  <c r="L140" i="14"/>
  <c r="L51" i="14"/>
  <c r="L45" i="14"/>
  <c r="L22" i="14"/>
  <c r="L10" i="14"/>
  <c r="L71" i="14"/>
  <c r="L60" i="14"/>
  <c r="L39" i="14"/>
  <c r="L26" i="14"/>
  <c r="L31" i="14"/>
  <c r="L124" i="14"/>
  <c r="L84" i="14"/>
  <c r="L94" i="14"/>
  <c r="L141" i="14"/>
  <c r="V8" i="9"/>
  <c r="T11" i="10"/>
  <c r="L93" i="14"/>
  <c r="L41" i="14"/>
  <c r="L100" i="14"/>
  <c r="L72" i="14"/>
  <c r="L102" i="14"/>
  <c r="L79" i="14"/>
  <c r="T13" i="10"/>
  <c r="L14" i="14"/>
  <c r="L115" i="14"/>
  <c r="L90" i="14"/>
  <c r="L3" i="14"/>
  <c r="L53" i="14"/>
  <c r="L105" i="14"/>
  <c r="L76" i="14"/>
  <c r="L44" i="14"/>
  <c r="L49" i="14"/>
  <c r="L85" i="14"/>
  <c r="L127" i="14"/>
  <c r="L113" i="14"/>
  <c r="L139" i="14"/>
  <c r="V10" i="9"/>
  <c r="L28" i="14"/>
  <c r="L106" i="14"/>
  <c r="L97" i="14"/>
  <c r="L54" i="14"/>
  <c r="L104" i="14"/>
  <c r="V9" i="9"/>
  <c r="C41" i="5"/>
  <c r="D40" i="5"/>
  <c r="L7" i="14"/>
  <c r="L42" i="14"/>
  <c r="L6" i="14"/>
  <c r="L9" i="14"/>
  <c r="L63" i="14"/>
  <c r="L5" i="14"/>
  <c r="L107" i="14"/>
  <c r="L50" i="14"/>
  <c r="L55" i="14"/>
  <c r="L91" i="14"/>
  <c r="L117" i="14"/>
  <c r="L125" i="14"/>
  <c r="L145" i="14"/>
  <c r="V6" i="9"/>
  <c r="W6" i="9" l="1"/>
  <c r="J157" i="14"/>
  <c r="J151" i="14"/>
  <c r="J145" i="14"/>
  <c r="J139" i="14"/>
  <c r="J133" i="14"/>
  <c r="J152" i="14"/>
  <c r="J146" i="14"/>
  <c r="J140" i="14"/>
  <c r="J154" i="14"/>
  <c r="J148" i="14"/>
  <c r="J142" i="14"/>
  <c r="J155" i="14"/>
  <c r="J156" i="14"/>
  <c r="J150" i="14"/>
  <c r="J144" i="14"/>
  <c r="J138" i="14"/>
  <c r="J130" i="14"/>
  <c r="J118" i="14"/>
  <c r="J147" i="14"/>
  <c r="J135" i="14"/>
  <c r="J132" i="14"/>
  <c r="J108" i="14"/>
  <c r="J101" i="14"/>
  <c r="J95" i="14"/>
  <c r="J143" i="14"/>
  <c r="J123" i="14"/>
  <c r="J111" i="14"/>
  <c r="J105" i="14"/>
  <c r="J153" i="14"/>
  <c r="J141" i="14"/>
  <c r="J122" i="14"/>
  <c r="J110" i="14"/>
  <c r="J91" i="14"/>
  <c r="J88" i="14"/>
  <c r="J85" i="14"/>
  <c r="J79" i="14"/>
  <c r="J125" i="14"/>
  <c r="J124" i="14"/>
  <c r="J109" i="14"/>
  <c r="J103" i="14"/>
  <c r="J149" i="14"/>
  <c r="J134" i="14"/>
  <c r="J117" i="14"/>
  <c r="J116" i="14"/>
  <c r="J80" i="14"/>
  <c r="J131" i="14"/>
  <c r="J100" i="14"/>
  <c r="J93" i="14"/>
  <c r="J89" i="14"/>
  <c r="J81" i="14"/>
  <c r="J74" i="14"/>
  <c r="J68" i="14"/>
  <c r="J62" i="14"/>
  <c r="J56" i="14"/>
  <c r="J50" i="14"/>
  <c r="J44" i="14"/>
  <c r="J38" i="14"/>
  <c r="J32" i="14"/>
  <c r="J26" i="14"/>
  <c r="J136" i="14"/>
  <c r="J113" i="14"/>
  <c r="J78" i="14"/>
  <c r="J114" i="14"/>
  <c r="J102" i="14"/>
  <c r="J97" i="14"/>
  <c r="J84" i="14"/>
  <c r="J69" i="14"/>
  <c r="J63" i="14"/>
  <c r="J57" i="14"/>
  <c r="J51" i="14"/>
  <c r="J45" i="14"/>
  <c r="J39" i="14"/>
  <c r="J33" i="14"/>
  <c r="J27" i="14"/>
  <c r="J119" i="14"/>
  <c r="J99" i="14"/>
  <c r="J126" i="14"/>
  <c r="J128" i="14"/>
  <c r="J94" i="14"/>
  <c r="J90" i="14"/>
  <c r="J76" i="14"/>
  <c r="J98" i="14"/>
  <c r="J104" i="14"/>
  <c r="J92" i="14"/>
  <c r="J29" i="14"/>
  <c r="J87" i="14"/>
  <c r="J60" i="14"/>
  <c r="J53" i="14"/>
  <c r="J36" i="14"/>
  <c r="J18" i="14"/>
  <c r="J12" i="14"/>
  <c r="J6" i="14"/>
  <c r="J73" i="14"/>
  <c r="J43" i="14"/>
  <c r="J129" i="14"/>
  <c r="J115" i="14"/>
  <c r="J82" i="14"/>
  <c r="J72" i="14"/>
  <c r="J67" i="14"/>
  <c r="J59" i="14"/>
  <c r="J106" i="14"/>
  <c r="J42" i="14"/>
  <c r="J28" i="14"/>
  <c r="J112" i="14"/>
  <c r="J75" i="14"/>
  <c r="J64" i="14"/>
  <c r="J46" i="14"/>
  <c r="J37" i="14"/>
  <c r="J22" i="14"/>
  <c r="J16" i="14"/>
  <c r="J10" i="14"/>
  <c r="J4" i="14"/>
  <c r="J137" i="14"/>
  <c r="J107" i="14"/>
  <c r="J71" i="14"/>
  <c r="J54" i="14"/>
  <c r="J35" i="14"/>
  <c r="J31" i="14"/>
  <c r="J23" i="14"/>
  <c r="J55" i="14"/>
  <c r="J49" i="14"/>
  <c r="J48" i="14"/>
  <c r="J34" i="14"/>
  <c r="J19" i="14"/>
  <c r="J9" i="14"/>
  <c r="J96" i="14"/>
  <c r="J77" i="14"/>
  <c r="J65" i="14"/>
  <c r="J40" i="14"/>
  <c r="J15" i="14"/>
  <c r="J86" i="14"/>
  <c r="J41" i="14"/>
  <c r="J8" i="14"/>
  <c r="J121" i="14"/>
  <c r="J14" i="14"/>
  <c r="J5" i="14"/>
  <c r="J66" i="14"/>
  <c r="J58" i="14"/>
  <c r="J127" i="14"/>
  <c r="J70" i="14"/>
  <c r="J47" i="14"/>
  <c r="J7" i="14"/>
  <c r="J120" i="14"/>
  <c r="J83" i="14"/>
  <c r="J17" i="14"/>
  <c r="O17" i="14" s="1"/>
  <c r="J30" i="14"/>
  <c r="J24" i="14"/>
  <c r="J20" i="14"/>
  <c r="J61" i="14"/>
  <c r="J3" i="14"/>
  <c r="J52" i="14"/>
  <c r="J21" i="14"/>
  <c r="J25" i="14"/>
  <c r="J13" i="14"/>
  <c r="J11" i="14"/>
  <c r="R70" i="14"/>
  <c r="R75" i="14"/>
  <c r="R31" i="14"/>
  <c r="R33" i="14"/>
  <c r="R87" i="14"/>
  <c r="R48" i="14"/>
  <c r="R138" i="14"/>
  <c r="R32" i="14"/>
  <c r="R124" i="14"/>
  <c r="R118" i="14"/>
  <c r="R155" i="14"/>
  <c r="R152" i="14"/>
  <c r="U9" i="10"/>
  <c r="W7" i="9"/>
  <c r="R8" i="14"/>
  <c r="R76" i="14"/>
  <c r="R82" i="14"/>
  <c r="R64" i="14"/>
  <c r="R35" i="14"/>
  <c r="R99" i="14"/>
  <c r="R57" i="14"/>
  <c r="R148" i="14"/>
  <c r="R38" i="14"/>
  <c r="R79" i="14"/>
  <c r="R130" i="14"/>
  <c r="R111" i="14"/>
  <c r="R103" i="14"/>
  <c r="R122" i="14"/>
  <c r="R40" i="14"/>
  <c r="R86" i="14"/>
  <c r="R123" i="14"/>
  <c r="U13" i="10"/>
  <c r="R28" i="14"/>
  <c r="R24" i="14"/>
  <c r="R51" i="14"/>
  <c r="R13" i="14"/>
  <c r="R73" i="14"/>
  <c r="R29" i="14"/>
  <c r="R144" i="14"/>
  <c r="R97" i="14"/>
  <c r="R56" i="14"/>
  <c r="R110" i="14"/>
  <c r="R94" i="14"/>
  <c r="R129" i="14"/>
  <c r="R121" i="14"/>
  <c r="R71" i="14"/>
  <c r="R44" i="14"/>
  <c r="R39" i="14"/>
  <c r="R65" i="14"/>
  <c r="R50" i="14"/>
  <c r="R115" i="14"/>
  <c r="U12" i="10"/>
  <c r="R58" i="14"/>
  <c r="R45" i="14"/>
  <c r="R22" i="14"/>
  <c r="R67" i="14"/>
  <c r="R156" i="14"/>
  <c r="R92" i="14"/>
  <c r="R107" i="14"/>
  <c r="R102" i="14"/>
  <c r="R62" i="14"/>
  <c r="R96" i="14"/>
  <c r="R100" i="14"/>
  <c r="R135" i="14"/>
  <c r="R127" i="14"/>
  <c r="R77" i="14"/>
  <c r="R3" i="14"/>
  <c r="R84" i="14"/>
  <c r="R88" i="14"/>
  <c r="W10" i="9"/>
  <c r="R83" i="14"/>
  <c r="R14" i="14"/>
  <c r="R37" i="14"/>
  <c r="R106" i="14"/>
  <c r="R6" i="14"/>
  <c r="R5" i="14"/>
  <c r="R119" i="14"/>
  <c r="R105" i="14"/>
  <c r="R68" i="14"/>
  <c r="R98" i="14"/>
  <c r="R104" i="14"/>
  <c r="R141" i="14"/>
  <c r="R133" i="14"/>
  <c r="R69" i="14"/>
  <c r="U11" i="10"/>
  <c r="R20" i="14"/>
  <c r="R27" i="14"/>
  <c r="R91" i="14"/>
  <c r="N6" i="9"/>
  <c r="N12" i="9"/>
  <c r="N11" i="9"/>
  <c r="O2" i="9"/>
  <c r="N9" i="9"/>
  <c r="X9" i="9" s="1"/>
  <c r="N8" i="9"/>
  <c r="N10" i="9"/>
  <c r="N7" i="9"/>
  <c r="R120" i="14"/>
  <c r="R43" i="14"/>
  <c r="R9" i="14"/>
  <c r="R112" i="14"/>
  <c r="R12" i="14"/>
  <c r="R11" i="14"/>
  <c r="R54" i="14"/>
  <c r="R114" i="14"/>
  <c r="R74" i="14"/>
  <c r="R150" i="14"/>
  <c r="R113" i="14"/>
  <c r="R147" i="14"/>
  <c r="R139" i="14"/>
  <c r="L13" i="10"/>
  <c r="L12" i="10"/>
  <c r="L11" i="10"/>
  <c r="L9" i="10"/>
  <c r="L8" i="10"/>
  <c r="L7" i="10"/>
  <c r="M2" i="10"/>
  <c r="L10" i="10"/>
  <c r="V10" i="10" s="1"/>
  <c r="R117" i="14"/>
  <c r="R7" i="14"/>
  <c r="R93" i="14"/>
  <c r="R19" i="14"/>
  <c r="R128" i="14"/>
  <c r="R18" i="14"/>
  <c r="R17" i="14"/>
  <c r="R60" i="14"/>
  <c r="R78" i="14"/>
  <c r="R81" i="14"/>
  <c r="R95" i="14"/>
  <c r="R125" i="14"/>
  <c r="R153" i="14"/>
  <c r="R145" i="14"/>
  <c r="R15" i="14"/>
  <c r="R109" i="14"/>
  <c r="W9" i="9"/>
  <c r="R46" i="14"/>
  <c r="R21" i="14"/>
  <c r="R49" i="14"/>
  <c r="R23" i="14"/>
  <c r="R66" i="14"/>
  <c r="R131" i="14"/>
  <c r="R89" i="14"/>
  <c r="R101" i="14"/>
  <c r="R137" i="14"/>
  <c r="R134" i="14"/>
  <c r="R151" i="14"/>
  <c r="R52" i="14"/>
  <c r="R85" i="14"/>
  <c r="R30" i="14"/>
  <c r="U8" i="10"/>
  <c r="W11" i="9"/>
  <c r="R47" i="14"/>
  <c r="R42" i="14"/>
  <c r="R90" i="14"/>
  <c r="R55" i="14"/>
  <c r="R53" i="14"/>
  <c r="R25" i="14"/>
  <c r="R72" i="14"/>
  <c r="R136" i="14"/>
  <c r="R80" i="14"/>
  <c r="R108" i="14"/>
  <c r="R143" i="14"/>
  <c r="R140" i="14"/>
  <c r="R157" i="14"/>
  <c r="R154" i="14"/>
  <c r="R36" i="14"/>
  <c r="C42" i="5"/>
  <c r="D42" i="5" s="1"/>
  <c r="D41" i="5"/>
  <c r="U10" i="10"/>
  <c r="W12" i="9"/>
  <c r="R41" i="14"/>
  <c r="R59" i="14"/>
  <c r="R61" i="14"/>
  <c r="R16" i="14"/>
  <c r="R142" i="14"/>
  <c r="R63" i="14"/>
  <c r="R34" i="14"/>
  <c r="R126" i="14"/>
  <c r="R26" i="14"/>
  <c r="R116" i="14"/>
  <c r="R132" i="14"/>
  <c r="R149" i="14"/>
  <c r="R146" i="14"/>
  <c r="T145" i="14" l="1"/>
  <c r="U145" i="14" s="1"/>
  <c r="V145" i="14" s="1"/>
  <c r="T7" i="14"/>
  <c r="U7" i="14" s="1"/>
  <c r="V7" i="14" s="1"/>
  <c r="T113" i="14"/>
  <c r="U113" i="14" s="1"/>
  <c r="V113" i="14" s="1"/>
  <c r="X10" i="9"/>
  <c r="T144" i="14"/>
  <c r="U144" i="14" s="1"/>
  <c r="V144" i="14" s="1"/>
  <c r="O24" i="14"/>
  <c r="O14" i="14"/>
  <c r="O34" i="14"/>
  <c r="T34" i="14" s="1"/>
  <c r="U34" i="14" s="1"/>
  <c r="V34" i="14" s="1"/>
  <c r="O10" i="14"/>
  <c r="T10" i="14" s="1"/>
  <c r="U10" i="14" s="1"/>
  <c r="V10" i="14" s="1"/>
  <c r="O67" i="14"/>
  <c r="O60" i="14"/>
  <c r="O119" i="14"/>
  <c r="O114" i="14"/>
  <c r="O74" i="14"/>
  <c r="O109" i="14"/>
  <c r="T109" i="14" s="1"/>
  <c r="U109" i="14" s="1"/>
  <c r="V109" i="14" s="1"/>
  <c r="O111" i="14"/>
  <c r="O144" i="14"/>
  <c r="O145" i="14"/>
  <c r="T26" i="14"/>
  <c r="U26" i="14" s="1"/>
  <c r="V26" i="14" s="1"/>
  <c r="T55" i="14"/>
  <c r="U55" i="14" s="1"/>
  <c r="V55" i="14" s="1"/>
  <c r="T101" i="14"/>
  <c r="U101" i="14" s="1"/>
  <c r="V101" i="14" s="1"/>
  <c r="X8" i="9"/>
  <c r="T69" i="14"/>
  <c r="U69" i="14" s="1"/>
  <c r="V69" i="14" s="1"/>
  <c r="T14" i="14"/>
  <c r="U14" i="14" s="1"/>
  <c r="V14" i="14" s="1"/>
  <c r="T8" i="14"/>
  <c r="U8" i="14" s="1"/>
  <c r="V8" i="14" s="1"/>
  <c r="T31" i="14"/>
  <c r="U31" i="14" s="1"/>
  <c r="V31" i="14" s="1"/>
  <c r="O30" i="14"/>
  <c r="T30" i="14" s="1"/>
  <c r="U30" i="14" s="1"/>
  <c r="V30" i="14" s="1"/>
  <c r="O121" i="14"/>
  <c r="T121" i="14" s="1"/>
  <c r="U121" i="14" s="1"/>
  <c r="V121" i="14" s="1"/>
  <c r="O48" i="14"/>
  <c r="O16" i="14"/>
  <c r="O72" i="14"/>
  <c r="O87" i="14"/>
  <c r="T87" i="14" s="1"/>
  <c r="U87" i="14" s="1"/>
  <c r="V87" i="14" s="1"/>
  <c r="O27" i="14"/>
  <c r="O78" i="14"/>
  <c r="O81" i="14"/>
  <c r="T81" i="14" s="1"/>
  <c r="U81" i="14" s="1"/>
  <c r="V81" i="14" s="1"/>
  <c r="O124" i="14"/>
  <c r="O123" i="14"/>
  <c r="O150" i="14"/>
  <c r="T150" i="14" s="1"/>
  <c r="U150" i="14" s="1"/>
  <c r="V150" i="14" s="1"/>
  <c r="O151" i="14"/>
  <c r="T75" i="14"/>
  <c r="U75" i="14" s="1"/>
  <c r="V75" i="14" s="1"/>
  <c r="O113" i="14"/>
  <c r="T39" i="14"/>
  <c r="U39" i="14" s="1"/>
  <c r="V39" i="14" s="1"/>
  <c r="O115" i="14"/>
  <c r="T115" i="14" s="1"/>
  <c r="U115" i="14" s="1"/>
  <c r="V115" i="14" s="1"/>
  <c r="O136" i="14"/>
  <c r="O79" i="14"/>
  <c r="V7" i="10"/>
  <c r="T54" i="14"/>
  <c r="U54" i="14" s="1"/>
  <c r="V54" i="14" s="1"/>
  <c r="X11" i="9"/>
  <c r="T107" i="14"/>
  <c r="U107" i="14" s="1"/>
  <c r="V107" i="14" s="1"/>
  <c r="T79" i="14"/>
  <c r="U79" i="14" s="1"/>
  <c r="V79" i="14" s="1"/>
  <c r="O11" i="14"/>
  <c r="O120" i="14"/>
  <c r="O86" i="14"/>
  <c r="O23" i="14"/>
  <c r="T23" i="14" s="1"/>
  <c r="U23" i="14" s="1"/>
  <c r="V23" i="14" s="1"/>
  <c r="O46" i="14"/>
  <c r="O129" i="14"/>
  <c r="T129" i="14" s="1"/>
  <c r="U129" i="14" s="1"/>
  <c r="V129" i="14" s="1"/>
  <c r="O104" i="14"/>
  <c r="T104" i="14" s="1"/>
  <c r="U104" i="14" s="1"/>
  <c r="V104" i="14" s="1"/>
  <c r="O45" i="14"/>
  <c r="T45" i="14" s="1"/>
  <c r="U45" i="14" s="1"/>
  <c r="V45" i="14" s="1"/>
  <c r="O26" i="14"/>
  <c r="O100" i="14"/>
  <c r="T100" i="14" s="1"/>
  <c r="U100" i="14" s="1"/>
  <c r="V100" i="14" s="1"/>
  <c r="O85" i="14"/>
  <c r="O101" i="14"/>
  <c r="O142" i="14"/>
  <c r="T111" i="14"/>
  <c r="U111" i="14" s="1"/>
  <c r="V111" i="14" s="1"/>
  <c r="O29" i="14"/>
  <c r="T29" i="14" s="1"/>
  <c r="U29" i="14" s="1"/>
  <c r="V29" i="14" s="1"/>
  <c r="T154" i="14"/>
  <c r="U154" i="14" s="1"/>
  <c r="V154" i="14" s="1"/>
  <c r="O41" i="14"/>
  <c r="T41" i="14" s="1"/>
  <c r="U41" i="14" s="1"/>
  <c r="V41" i="14" s="1"/>
  <c r="O92" i="14"/>
  <c r="O95" i="14"/>
  <c r="T95" i="14" s="1"/>
  <c r="U95" i="14" s="1"/>
  <c r="V95" i="14" s="1"/>
  <c r="T78" i="14"/>
  <c r="U78" i="14" s="1"/>
  <c r="V78" i="14" s="1"/>
  <c r="V8" i="10"/>
  <c r="T11" i="14"/>
  <c r="U11" i="14" s="1"/>
  <c r="V11" i="14" s="1"/>
  <c r="X12" i="9"/>
  <c r="T98" i="14"/>
  <c r="U98" i="14" s="1"/>
  <c r="V98" i="14" s="1"/>
  <c r="T92" i="14"/>
  <c r="U92" i="14" s="1"/>
  <c r="V92" i="14" s="1"/>
  <c r="T24" i="14"/>
  <c r="U24" i="14" s="1"/>
  <c r="V24" i="14" s="1"/>
  <c r="T38" i="14"/>
  <c r="U38" i="14" s="1"/>
  <c r="V38" i="14" s="1"/>
  <c r="T155" i="14"/>
  <c r="U155" i="14" s="1"/>
  <c r="V155" i="14" s="1"/>
  <c r="O13" i="14"/>
  <c r="O7" i="14"/>
  <c r="O15" i="14"/>
  <c r="O31" i="14"/>
  <c r="O64" i="14"/>
  <c r="T64" i="14" s="1"/>
  <c r="U64" i="14" s="1"/>
  <c r="V64" i="14" s="1"/>
  <c r="O43" i="14"/>
  <c r="T43" i="14" s="1"/>
  <c r="U43" i="14" s="1"/>
  <c r="V43" i="14" s="1"/>
  <c r="O98" i="14"/>
  <c r="O51" i="14"/>
  <c r="T51" i="14" s="1"/>
  <c r="U51" i="14" s="1"/>
  <c r="V51" i="14" s="1"/>
  <c r="O32" i="14"/>
  <c r="O131" i="14"/>
  <c r="O88" i="14"/>
  <c r="T88" i="14" s="1"/>
  <c r="U88" i="14" s="1"/>
  <c r="V88" i="14" s="1"/>
  <c r="O108" i="14"/>
  <c r="O148" i="14"/>
  <c r="O8" i="14"/>
  <c r="O156" i="14"/>
  <c r="T156" i="14" s="1"/>
  <c r="U156" i="14" s="1"/>
  <c r="V156" i="14" s="1"/>
  <c r="M9" i="10"/>
  <c r="W9" i="10" s="1"/>
  <c r="M8" i="10"/>
  <c r="M7" i="10"/>
  <c r="M13" i="10"/>
  <c r="M10" i="10"/>
  <c r="M11" i="10"/>
  <c r="M12" i="10"/>
  <c r="N2" i="10"/>
  <c r="T13" i="14"/>
  <c r="U13" i="14" s="1"/>
  <c r="V13" i="14" s="1"/>
  <c r="O37" i="14"/>
  <c r="T37" i="14" s="1"/>
  <c r="U37" i="14" s="1"/>
  <c r="V37" i="14" s="1"/>
  <c r="O93" i="14"/>
  <c r="T66" i="14"/>
  <c r="U66" i="14" s="1"/>
  <c r="V66" i="14" s="1"/>
  <c r="T16" i="14"/>
  <c r="U16" i="14" s="1"/>
  <c r="V16" i="14" s="1"/>
  <c r="T49" i="14"/>
  <c r="U49" i="14" s="1"/>
  <c r="V49" i="14" s="1"/>
  <c r="T60" i="14"/>
  <c r="U60" i="14" s="1"/>
  <c r="V60" i="14" s="1"/>
  <c r="V9" i="10"/>
  <c r="X6" i="9"/>
  <c r="T148" i="14"/>
  <c r="U148" i="14" s="1"/>
  <c r="V148" i="14" s="1"/>
  <c r="T118" i="14"/>
  <c r="U118" i="14" s="1"/>
  <c r="V118" i="14" s="1"/>
  <c r="O25" i="14"/>
  <c r="O47" i="14"/>
  <c r="T47" i="14" s="1"/>
  <c r="U47" i="14" s="1"/>
  <c r="V47" i="14" s="1"/>
  <c r="O40" i="14"/>
  <c r="O35" i="14"/>
  <c r="O75" i="14"/>
  <c r="O73" i="14"/>
  <c r="T73" i="14" s="1"/>
  <c r="U73" i="14" s="1"/>
  <c r="V73" i="14" s="1"/>
  <c r="O76" i="14"/>
  <c r="T76" i="14" s="1"/>
  <c r="U76" i="14" s="1"/>
  <c r="V76" i="14" s="1"/>
  <c r="O57" i="14"/>
  <c r="O38" i="14"/>
  <c r="O80" i="14"/>
  <c r="T80" i="14" s="1"/>
  <c r="U80" i="14" s="1"/>
  <c r="V80" i="14" s="1"/>
  <c r="O91" i="14"/>
  <c r="T91" i="14" s="1"/>
  <c r="U91" i="14" s="1"/>
  <c r="V91" i="14" s="1"/>
  <c r="O132" i="14"/>
  <c r="T132" i="14" s="1"/>
  <c r="U132" i="14" s="1"/>
  <c r="V132" i="14" s="1"/>
  <c r="O154" i="14"/>
  <c r="T90" i="14"/>
  <c r="U90" i="14" s="1"/>
  <c r="V90" i="14" s="1"/>
  <c r="O33" i="14"/>
  <c r="T33" i="14" s="1"/>
  <c r="U33" i="14" s="1"/>
  <c r="V33" i="14" s="1"/>
  <c r="T102" i="14"/>
  <c r="U102" i="14" s="1"/>
  <c r="V102" i="14" s="1"/>
  <c r="O55" i="14"/>
  <c r="O39" i="14"/>
  <c r="O155" i="14"/>
  <c r="T142" i="14"/>
  <c r="U142" i="14" s="1"/>
  <c r="V142" i="14" s="1"/>
  <c r="T143" i="14"/>
  <c r="U143" i="14" s="1"/>
  <c r="V143" i="14" s="1"/>
  <c r="T61" i="14"/>
  <c r="U61" i="14" s="1"/>
  <c r="V61" i="14" s="1"/>
  <c r="T108" i="14"/>
  <c r="U108" i="14" s="1"/>
  <c r="V108" i="14" s="1"/>
  <c r="T17" i="14"/>
  <c r="U17" i="14" s="1"/>
  <c r="V17" i="14" s="1"/>
  <c r="V11" i="10"/>
  <c r="T67" i="14"/>
  <c r="U67" i="14" s="1"/>
  <c r="V67" i="14" s="1"/>
  <c r="T57" i="14"/>
  <c r="U57" i="14" s="1"/>
  <c r="V57" i="14" s="1"/>
  <c r="T124" i="14"/>
  <c r="U124" i="14" s="1"/>
  <c r="V124" i="14" s="1"/>
  <c r="O21" i="14"/>
  <c r="T21" i="14" s="1"/>
  <c r="U21" i="14" s="1"/>
  <c r="V21" i="14" s="1"/>
  <c r="O70" i="14"/>
  <c r="O65" i="14"/>
  <c r="O54" i="14"/>
  <c r="O112" i="14"/>
  <c r="T112" i="14" s="1"/>
  <c r="U112" i="14" s="1"/>
  <c r="V112" i="14" s="1"/>
  <c r="O6" i="14"/>
  <c r="O90" i="14"/>
  <c r="O63" i="14"/>
  <c r="T63" i="14" s="1"/>
  <c r="U63" i="14" s="1"/>
  <c r="V63" i="14" s="1"/>
  <c r="O44" i="14"/>
  <c r="T44" i="14" s="1"/>
  <c r="U44" i="14" s="1"/>
  <c r="V44" i="14" s="1"/>
  <c r="O116" i="14"/>
  <c r="T116" i="14" s="1"/>
  <c r="U116" i="14" s="1"/>
  <c r="V116" i="14" s="1"/>
  <c r="O110" i="14"/>
  <c r="T110" i="14" s="1"/>
  <c r="U110" i="14" s="1"/>
  <c r="V110" i="14" s="1"/>
  <c r="O135" i="14"/>
  <c r="O140" i="14"/>
  <c r="T140" i="14" s="1"/>
  <c r="U140" i="14" s="1"/>
  <c r="V140" i="14" s="1"/>
  <c r="O82" i="14"/>
  <c r="O157" i="14"/>
  <c r="T157" i="14" s="1"/>
  <c r="U157" i="14" s="1"/>
  <c r="V157" i="14" s="1"/>
  <c r="T131" i="14"/>
  <c r="U131" i="14" s="1"/>
  <c r="V131" i="14" s="1"/>
  <c r="T99" i="14"/>
  <c r="U99" i="14" s="1"/>
  <c r="V99" i="14" s="1"/>
  <c r="T32" i="14"/>
  <c r="U32" i="14" s="1"/>
  <c r="V32" i="14" s="1"/>
  <c r="O52" i="14"/>
  <c r="T52" i="14" s="1"/>
  <c r="U52" i="14" s="1"/>
  <c r="V52" i="14" s="1"/>
  <c r="O127" i="14"/>
  <c r="O77" i="14"/>
  <c r="O71" i="14"/>
  <c r="T71" i="14" s="1"/>
  <c r="U71" i="14" s="1"/>
  <c r="V71" i="14" s="1"/>
  <c r="O28" i="14"/>
  <c r="T28" i="14" s="1"/>
  <c r="U28" i="14" s="1"/>
  <c r="V28" i="14" s="1"/>
  <c r="O12" i="14"/>
  <c r="T12" i="14" s="1"/>
  <c r="U12" i="14" s="1"/>
  <c r="V12" i="14" s="1"/>
  <c r="O94" i="14"/>
  <c r="O69" i="14"/>
  <c r="O50" i="14"/>
  <c r="T50" i="14" s="1"/>
  <c r="U50" i="14" s="1"/>
  <c r="V50" i="14" s="1"/>
  <c r="O117" i="14"/>
  <c r="T117" i="14" s="1"/>
  <c r="U117" i="14" s="1"/>
  <c r="V117" i="14" s="1"/>
  <c r="O122" i="14"/>
  <c r="T122" i="14" s="1"/>
  <c r="U122" i="14" s="1"/>
  <c r="V122" i="14" s="1"/>
  <c r="O147" i="14"/>
  <c r="O146" i="14"/>
  <c r="T146" i="14" s="1"/>
  <c r="U146" i="14" s="1"/>
  <c r="V146" i="14" s="1"/>
  <c r="T74" i="14"/>
  <c r="U74" i="14" s="1"/>
  <c r="V74" i="14" s="1"/>
  <c r="T65" i="14"/>
  <c r="U65" i="14" s="1"/>
  <c r="V65" i="14" s="1"/>
  <c r="O49" i="14"/>
  <c r="O89" i="14"/>
  <c r="T89" i="14" s="1"/>
  <c r="U89" i="14" s="1"/>
  <c r="V89" i="14" s="1"/>
  <c r="O6" i="9"/>
  <c r="O12" i="9"/>
  <c r="O11" i="9"/>
  <c r="O10" i="9"/>
  <c r="O8" i="9"/>
  <c r="O7" i="9"/>
  <c r="Y7" i="9" s="1"/>
  <c r="O9" i="9"/>
  <c r="T70" i="14"/>
  <c r="U70" i="14" s="1"/>
  <c r="V70" i="14" s="1"/>
  <c r="T85" i="14"/>
  <c r="U85" i="14" s="1"/>
  <c r="V85" i="14" s="1"/>
  <c r="V12" i="10"/>
  <c r="T77" i="14"/>
  <c r="U77" i="14" s="1"/>
  <c r="V77" i="14" s="1"/>
  <c r="T136" i="14"/>
  <c r="U136" i="14" s="1"/>
  <c r="V136" i="14" s="1"/>
  <c r="V13" i="10"/>
  <c r="T5" i="14"/>
  <c r="U5" i="14" s="1"/>
  <c r="V5" i="14" s="1"/>
  <c r="T86" i="14"/>
  <c r="U86" i="14" s="1"/>
  <c r="V86" i="14" s="1"/>
  <c r="O3" i="14"/>
  <c r="T3" i="14" s="1"/>
  <c r="U3" i="14" s="1"/>
  <c r="V3" i="14" s="1"/>
  <c r="O58" i="14"/>
  <c r="O96" i="14"/>
  <c r="T96" i="14" s="1"/>
  <c r="U96" i="14" s="1"/>
  <c r="V96" i="14" s="1"/>
  <c r="O107" i="14"/>
  <c r="O42" i="14"/>
  <c r="T42" i="14" s="1"/>
  <c r="U42" i="14" s="1"/>
  <c r="V42" i="14" s="1"/>
  <c r="O18" i="14"/>
  <c r="O128" i="14"/>
  <c r="O84" i="14"/>
  <c r="T84" i="14" s="1"/>
  <c r="U84" i="14" s="1"/>
  <c r="V84" i="14" s="1"/>
  <c r="O56" i="14"/>
  <c r="O134" i="14"/>
  <c r="T134" i="14" s="1"/>
  <c r="U134" i="14" s="1"/>
  <c r="V134" i="14" s="1"/>
  <c r="O141" i="14"/>
  <c r="T141" i="14" s="1"/>
  <c r="U141" i="14" s="1"/>
  <c r="V141" i="14" s="1"/>
  <c r="O118" i="14"/>
  <c r="O152" i="14"/>
  <c r="T152" i="14" s="1"/>
  <c r="U152" i="14" s="1"/>
  <c r="V152" i="14" s="1"/>
  <c r="O125" i="14"/>
  <c r="T125" i="14" s="1"/>
  <c r="U125" i="14" s="1"/>
  <c r="V125" i="14" s="1"/>
  <c r="T114" i="14"/>
  <c r="U114" i="14" s="1"/>
  <c r="V114" i="14" s="1"/>
  <c r="T46" i="14"/>
  <c r="U46" i="14" s="1"/>
  <c r="V46" i="14" s="1"/>
  <c r="T94" i="14"/>
  <c r="U94" i="14" s="1"/>
  <c r="V94" i="14" s="1"/>
  <c r="T138" i="14"/>
  <c r="U138" i="14" s="1"/>
  <c r="V138" i="14" s="1"/>
  <c r="T72" i="14"/>
  <c r="U72" i="14" s="1"/>
  <c r="V72" i="14" s="1"/>
  <c r="T151" i="14"/>
  <c r="U151" i="14" s="1"/>
  <c r="V151" i="14" s="1"/>
  <c r="T139" i="14"/>
  <c r="U139" i="14" s="1"/>
  <c r="V139" i="14" s="1"/>
  <c r="T120" i="14"/>
  <c r="U120" i="14" s="1"/>
  <c r="V120" i="14" s="1"/>
  <c r="T6" i="14"/>
  <c r="U6" i="14" s="1"/>
  <c r="V6" i="14" s="1"/>
  <c r="T127" i="14"/>
  <c r="U127" i="14" s="1"/>
  <c r="V127" i="14" s="1"/>
  <c r="T58" i="14"/>
  <c r="U58" i="14" s="1"/>
  <c r="V58" i="14" s="1"/>
  <c r="T56" i="14"/>
  <c r="U56" i="14" s="1"/>
  <c r="V56" i="14" s="1"/>
  <c r="T40" i="14"/>
  <c r="U40" i="14" s="1"/>
  <c r="V40" i="14" s="1"/>
  <c r="T48" i="14"/>
  <c r="U48" i="14" s="1"/>
  <c r="V48" i="14" s="1"/>
  <c r="O61" i="14"/>
  <c r="O66" i="14"/>
  <c r="O9" i="14"/>
  <c r="T9" i="14" s="1"/>
  <c r="U9" i="14" s="1"/>
  <c r="V9" i="14" s="1"/>
  <c r="O137" i="14"/>
  <c r="T137" i="14" s="1"/>
  <c r="U137" i="14" s="1"/>
  <c r="V137" i="14" s="1"/>
  <c r="O106" i="14"/>
  <c r="O36" i="14"/>
  <c r="T36" i="14" s="1"/>
  <c r="U36" i="14" s="1"/>
  <c r="V36" i="14" s="1"/>
  <c r="O126" i="14"/>
  <c r="T126" i="14" s="1"/>
  <c r="U126" i="14" s="1"/>
  <c r="V126" i="14" s="1"/>
  <c r="O97" i="14"/>
  <c r="O62" i="14"/>
  <c r="T62" i="14" s="1"/>
  <c r="U62" i="14" s="1"/>
  <c r="V62" i="14" s="1"/>
  <c r="O149" i="14"/>
  <c r="T149" i="14" s="1"/>
  <c r="U149" i="14" s="1"/>
  <c r="V149" i="14" s="1"/>
  <c r="O153" i="14"/>
  <c r="T153" i="14" s="1"/>
  <c r="U153" i="14" s="1"/>
  <c r="V153" i="14" s="1"/>
  <c r="O130" i="14"/>
  <c r="T130" i="14" s="1"/>
  <c r="U130" i="14" s="1"/>
  <c r="V130" i="14" s="1"/>
  <c r="O133" i="14"/>
  <c r="T133" i="14"/>
  <c r="U133" i="14" s="1"/>
  <c r="V133" i="14" s="1"/>
  <c r="O22" i="14"/>
  <c r="T22" i="14" s="1"/>
  <c r="U22" i="14" s="1"/>
  <c r="V22" i="14" s="1"/>
  <c r="O143" i="14"/>
  <c r="O83" i="14"/>
  <c r="T83" i="14" s="1"/>
  <c r="U83" i="14" s="1"/>
  <c r="V83" i="14" s="1"/>
  <c r="T18" i="14"/>
  <c r="U18" i="14" s="1"/>
  <c r="V18" i="14" s="1"/>
  <c r="T119" i="14"/>
  <c r="U119" i="14" s="1"/>
  <c r="V119" i="14" s="1"/>
  <c r="T123" i="14"/>
  <c r="U123" i="14" s="1"/>
  <c r="V123" i="14" s="1"/>
  <c r="T128" i="14"/>
  <c r="U128" i="14" s="1"/>
  <c r="V128" i="14" s="1"/>
  <c r="T27" i="14"/>
  <c r="U27" i="14" s="1"/>
  <c r="V27" i="14" s="1"/>
  <c r="T35" i="14"/>
  <c r="U35" i="14" s="1"/>
  <c r="V35" i="14" s="1"/>
  <c r="T25" i="14"/>
  <c r="U25" i="14" s="1"/>
  <c r="V25" i="14" s="1"/>
  <c r="T15" i="14"/>
  <c r="U15" i="14" s="1"/>
  <c r="V15" i="14" s="1"/>
  <c r="T93" i="14"/>
  <c r="U93" i="14" s="1"/>
  <c r="V93" i="14" s="1"/>
  <c r="T147" i="14"/>
  <c r="U147" i="14" s="1"/>
  <c r="V147" i="14" s="1"/>
  <c r="X7" i="9"/>
  <c r="Z7" i="9" s="1"/>
  <c r="C7" i="9" s="1"/>
  <c r="T106" i="14"/>
  <c r="U106" i="14" s="1"/>
  <c r="V106" i="14" s="1"/>
  <c r="T135" i="14"/>
  <c r="U135" i="14" s="1"/>
  <c r="V135" i="14" s="1"/>
  <c r="T97" i="14"/>
  <c r="U97" i="14" s="1"/>
  <c r="V97" i="14" s="1"/>
  <c r="T82" i="14"/>
  <c r="U82" i="14" s="1"/>
  <c r="V82" i="14" s="1"/>
  <c r="O20" i="14"/>
  <c r="T20" i="14" s="1"/>
  <c r="U20" i="14" s="1"/>
  <c r="V20" i="14" s="1"/>
  <c r="O5" i="14"/>
  <c r="O19" i="14"/>
  <c r="T19" i="14" s="1"/>
  <c r="U19" i="14" s="1"/>
  <c r="V19" i="14" s="1"/>
  <c r="O4" i="14"/>
  <c r="T4" i="14" s="1"/>
  <c r="U4" i="14" s="1"/>
  <c r="V4" i="14" s="1"/>
  <c r="O59" i="14"/>
  <c r="T59" i="14" s="1"/>
  <c r="U59" i="14" s="1"/>
  <c r="V59" i="14" s="1"/>
  <c r="O53" i="14"/>
  <c r="T53" i="14" s="1"/>
  <c r="U53" i="14" s="1"/>
  <c r="V53" i="14" s="1"/>
  <c r="O99" i="14"/>
  <c r="O102" i="14"/>
  <c r="O68" i="14"/>
  <c r="T68" i="14" s="1"/>
  <c r="U68" i="14" s="1"/>
  <c r="V68" i="14" s="1"/>
  <c r="O103" i="14"/>
  <c r="T103" i="14" s="1"/>
  <c r="U103" i="14" s="1"/>
  <c r="V103" i="14" s="1"/>
  <c r="O105" i="14"/>
  <c r="T105" i="14" s="1"/>
  <c r="U105" i="14" s="1"/>
  <c r="V105" i="14" s="1"/>
  <c r="O138" i="14"/>
  <c r="O139" i="14"/>
  <c r="Z10" i="9" l="1"/>
  <c r="C10" i="9" s="1"/>
  <c r="Z6" i="9"/>
  <c r="C6" i="9" s="1"/>
  <c r="W7" i="10"/>
  <c r="Y8" i="9"/>
  <c r="W8" i="10"/>
  <c r="Y11" i="9"/>
  <c r="Z11" i="9" s="1"/>
  <c r="C11" i="9" s="1"/>
  <c r="Y12" i="9"/>
  <c r="Z12" i="9" s="1"/>
  <c r="C12" i="9" s="1"/>
  <c r="Y6" i="9"/>
  <c r="Y10" i="9"/>
  <c r="N9" i="10"/>
  <c r="N8" i="10"/>
  <c r="N7" i="10"/>
  <c r="N13" i="10"/>
  <c r="N10" i="10"/>
  <c r="N12" i="10"/>
  <c r="N11" i="10"/>
  <c r="X11" i="10" s="1"/>
  <c r="O2" i="10"/>
  <c r="W12" i="10"/>
  <c r="W11" i="10"/>
  <c r="AH6" i="9"/>
  <c r="AH10" i="9"/>
  <c r="AH8" i="9"/>
  <c r="AH7" i="9"/>
  <c r="AH9" i="9"/>
  <c r="W10" i="10"/>
  <c r="Z8" i="9"/>
  <c r="C8" i="9" s="1"/>
  <c r="Y9" i="9"/>
  <c r="Z9" i="9" s="1"/>
  <c r="C9" i="9" s="1"/>
  <c r="W13" i="10"/>
  <c r="O9" i="10" l="1"/>
  <c r="O8" i="10"/>
  <c r="O7" i="10"/>
  <c r="O13" i="10"/>
  <c r="O10" i="10"/>
  <c r="O12" i="10"/>
  <c r="O11" i="10"/>
  <c r="Y11" i="10" s="1"/>
  <c r="Z11" i="10" s="1"/>
  <c r="C11" i="10" s="1"/>
  <c r="X10" i="10"/>
  <c r="X8" i="10"/>
  <c r="X7" i="10"/>
  <c r="X12" i="10"/>
  <c r="X13" i="10"/>
  <c r="X9" i="10"/>
  <c r="AI10" i="9"/>
  <c r="AI8" i="9"/>
  <c r="AI7" i="9"/>
  <c r="AI9" i="9"/>
  <c r="AI6" i="9"/>
  <c r="Y12" i="10" l="1"/>
  <c r="Z12" i="10" s="1"/>
  <c r="C12" i="10" s="1"/>
  <c r="Y8" i="10"/>
  <c r="Z8" i="10" s="1"/>
  <c r="C8" i="10" s="1"/>
  <c r="Y7" i="10"/>
  <c r="Y10" i="10"/>
  <c r="Z10" i="10" s="1"/>
  <c r="C10" i="10" s="1"/>
  <c r="Y13" i="10"/>
  <c r="Z13" i="10" s="1"/>
  <c r="C13" i="10" s="1"/>
  <c r="Y9" i="10"/>
  <c r="Z9" i="10" s="1"/>
  <c r="C9" i="10" s="1"/>
  <c r="Z7" i="10"/>
  <c r="C7" i="10" s="1"/>
</calcChain>
</file>

<file path=xl/sharedStrings.xml><?xml version="1.0" encoding="utf-8"?>
<sst xmlns="http://schemas.openxmlformats.org/spreadsheetml/2006/main" count="8253" uniqueCount="1505">
  <si>
    <t>Credit ratings assessed by (e.g., CRISIL, ICRA, CARE)</t>
  </si>
  <si>
    <t>Corporate FD's</t>
  </si>
  <si>
    <t>Institution</t>
  </si>
  <si>
    <t>3-Year FD Rate</t>
  </si>
  <si>
    <t>1-Year FD Rate</t>
  </si>
  <si>
    <t>SBI Bank FD</t>
  </si>
  <si>
    <t>Shriram Finance</t>
  </si>
  <si>
    <t>Bajaj Finance</t>
  </si>
  <si>
    <t>PNB Housing Finance</t>
  </si>
  <si>
    <t>ICICI Home Finance</t>
  </si>
  <si>
    <t>LIC Housing Finance</t>
  </si>
  <si>
    <t>Capital Gain Bonds/NCD</t>
  </si>
  <si>
    <t>Index Name</t>
  </si>
  <si>
    <t>5-Year Return</t>
  </si>
  <si>
    <t>NIFTY 10 Year Benchmark G-Sec Index</t>
  </si>
  <si>
    <t>Issuer</t>
  </si>
  <si>
    <t>Interest Rate</t>
  </si>
  <si>
    <t>Tenure</t>
  </si>
  <si>
    <t>IRFC</t>
  </si>
  <si>
    <t>5.25% p.a.</t>
  </si>
  <si>
    <t>5 years</t>
  </si>
  <si>
    <t>PFC</t>
  </si>
  <si>
    <t>REC</t>
  </si>
  <si>
    <t>RBI Floating Rate Savings Bond</t>
  </si>
  <si>
    <t>HDFC</t>
  </si>
  <si>
    <t>3-Year Return</t>
  </si>
  <si>
    <t>1-Year Return</t>
  </si>
  <si>
    <t>NIFTY 50</t>
  </si>
  <si>
    <t>Midcap</t>
  </si>
  <si>
    <t>Weightage for AMC Ranking</t>
  </si>
  <si>
    <t>Category</t>
  </si>
  <si>
    <t>Weightage</t>
  </si>
  <si>
    <t>Market Position &amp; Scale</t>
  </si>
  <si>
    <t>AUM</t>
  </si>
  <si>
    <t>No. of Schemes</t>
  </si>
  <si>
    <t>Performance Metrics</t>
  </si>
  <si>
    <t>10 Year Return</t>
  </si>
  <si>
    <t>Risk-Adjusted Returns</t>
  </si>
  <si>
    <t>Sharpe</t>
  </si>
  <si>
    <t>Sortino</t>
  </si>
  <si>
    <t>Alpha</t>
  </si>
  <si>
    <t>Fund Management &amp; Expense Efficiency</t>
  </si>
  <si>
    <t>Expense Ratio</t>
  </si>
  <si>
    <t>Total Weightage</t>
  </si>
  <si>
    <t>Funds</t>
  </si>
  <si>
    <t>1 Yr Ret (%)</t>
  </si>
  <si>
    <t>Expense Ratio (%)</t>
  </si>
  <si>
    <t>3 Yr Ret (%)</t>
  </si>
  <si>
    <t>5 Yr Ret (%)</t>
  </si>
  <si>
    <t>Standard Deviation</t>
  </si>
  <si>
    <t>Sharpe Ratio</t>
  </si>
  <si>
    <t>Sortino Ratio</t>
  </si>
  <si>
    <t>Beta</t>
  </si>
  <si>
    <t>360 ONE FlexiCap Fund - Regular Plan</t>
  </si>
  <si>
    <t>--</t>
  </si>
  <si>
    <t>EQ-FLX</t>
  </si>
  <si>
    <t>360 ONE Focused Equity Fund - Regular Plan</t>
  </si>
  <si>
    <t>360 ONE Quant Fund - Regular Plan</t>
  </si>
  <si>
    <t>EQ-THEMATIC</t>
  </si>
  <si>
    <t>Aditya Birla Sun Life Asset Allocator FoF - Regular Plan</t>
  </si>
  <si>
    <t>HY-MAA</t>
  </si>
  <si>
    <t>Aditya Birla Sun Life Balanced Advantage Fund - Regular Plan</t>
  </si>
  <si>
    <t>HY-DAA</t>
  </si>
  <si>
    <t>Aditya Birla Sun Life Bal Bhavishya Yojna - Regular Plan</t>
  </si>
  <si>
    <t>Aditya Birla Sun Life BSE Sensex ETF</t>
  </si>
  <si>
    <t>EQ-LC</t>
  </si>
  <si>
    <t>Aditya Birla Sun Life Business Cycle Fund - Regular Plan</t>
  </si>
  <si>
    <t>Aditya Birla Sun Life Conglomerate - Regular Plan</t>
  </si>
  <si>
    <t>Aditya Birla Sun Life Dividend Yield Fund - Regular Plan</t>
  </si>
  <si>
    <t>EQ-DIV Y</t>
  </si>
  <si>
    <t>Aditya Birla Sun Life Equity Advantage Fund - Regular Plan</t>
  </si>
  <si>
    <t>EQ-L&amp;MC</t>
  </si>
  <si>
    <t>Aditya Birla Sun Life ESG Integration Strategy Fund - Regular Plan</t>
  </si>
  <si>
    <t>EQ-T-ESG</t>
  </si>
  <si>
    <t>Aditya Birla Sun Life Financial Planning FoF - Aggressive Plan - Regular Plan</t>
  </si>
  <si>
    <t>Aditya Birla Sun Life Financial Planning FoF - Conservative Plan - Regular Plan</t>
  </si>
  <si>
    <t>Aditya Birla Sun Life Financial Planning FoF - Moderate Plan - Regular Plan</t>
  </si>
  <si>
    <t>Aditya Birla Sun Life Flexi Cap Fund - Regular Plan</t>
  </si>
  <si>
    <t>Aditya Birla Sun Life Focused Fund - Regular Plan</t>
  </si>
  <si>
    <t>Aditya Birla Sun Life Frontline Equity Fund - Regular Plan</t>
  </si>
  <si>
    <t>Aditya Birla Sun Life India GenNext Fund - Regular Plan</t>
  </si>
  <si>
    <t>EQ-Consumption</t>
  </si>
  <si>
    <t>Aditya Birla Sun Life Manufacturing Equity Fund - Regular Plan</t>
  </si>
  <si>
    <t>Aditya Birla Sun Life Mid Cap Fund - Regular Plan</t>
  </si>
  <si>
    <t>EQ-MC</t>
  </si>
  <si>
    <t>Aditya Birla Sun Life MNC Fund - Regular Plan</t>
  </si>
  <si>
    <t>EQ-MNC</t>
  </si>
  <si>
    <t>Aditya Birla Sun Life Multi Asset Allocation Fund - Regular Plan</t>
  </si>
  <si>
    <t>Aditya Birla Sun Life Multi-Cap Fund - Regular Plan</t>
  </si>
  <si>
    <t>EQ-MLC</t>
  </si>
  <si>
    <t>Aditya Birla Sun Life Multi - Index FoF - Regular Plan</t>
  </si>
  <si>
    <t>Aditya Birla Sun Life Nifty 200 Momentum 30 ETF</t>
  </si>
  <si>
    <t>Aditya Birla Sun Life Nifty 200 Quality 30 ETF</t>
  </si>
  <si>
    <t>Aditya Birla Sun Life Nifty 50 Equal Weight Index Fund - Regular Plan</t>
  </si>
  <si>
    <t>Aditya Birla Sun Life Nifty 50 ETF</t>
  </si>
  <si>
    <t>Aditya Birla Sun Life Nifty 50 Index Fund - Regular Plan</t>
  </si>
  <si>
    <t>Aditya Birla Sun Life Nifty India Defence Index Fund - Regular Plan</t>
  </si>
  <si>
    <t>Aditya Birla Sun Life Nifty Midcap 150 Index Fund - Regular Plan</t>
  </si>
  <si>
    <t>Aditya Birla Sun Life Nifty Next 50 ETF</t>
  </si>
  <si>
    <t>Aditya Birla Sun Life Nifty Next 50 Index Fund - Regular Plan</t>
  </si>
  <si>
    <t>Aditya Birla Sun Life Nifty PSE ETF</t>
  </si>
  <si>
    <t>EQ-PSU</t>
  </si>
  <si>
    <t>Aditya Birla Sun Life Nifty Smallcap 50 Index Fund - Regular Plan</t>
  </si>
  <si>
    <t>EQ-SC</t>
  </si>
  <si>
    <t>Aditya Birla Sun Life PSU Equity Fund - Regular Plan</t>
  </si>
  <si>
    <t>Aditya Birla Sun Life Quant Fund - Regular Plan</t>
  </si>
  <si>
    <t>Aditya Birla Sun Life Retirement Fund - The 30s Plan - Regular Plan</t>
  </si>
  <si>
    <t>Aditya Birla Sun Life Small Cap Fund - Regular Plan</t>
  </si>
  <si>
    <t>Aditya Birla Sun Life Special Opportunities Fund - Regular Plan</t>
  </si>
  <si>
    <t>Aditya Birla Sun Life Transportation and Logistics Fund - Regular Plan</t>
  </si>
  <si>
    <t>Angel One Nifty 50 ETF</t>
  </si>
  <si>
    <t>Angel One Nifty 50 Index Fund - Regular Plan</t>
  </si>
  <si>
    <t>Angel One Nifty Total Market ETF</t>
  </si>
  <si>
    <t>Angel One Nifty Total Market Index Fund - Regular Plan</t>
  </si>
  <si>
    <t>Axis Balanced Advantage Fund - Regular Plan</t>
  </si>
  <si>
    <t>Axis BSE Sensex ETF</t>
  </si>
  <si>
    <t>Axis BSE Sensex Index Fund - Regular Plan</t>
  </si>
  <si>
    <t>Axis Business Cycles Fund - Regular Plan</t>
  </si>
  <si>
    <t>Axis Consumption Fund - Regular Plan</t>
  </si>
  <si>
    <t>Axis Equity ETFs FoF - Regular Plan</t>
  </si>
  <si>
    <t>Axis ESG Integration Strategy Fund - Regular Plan</t>
  </si>
  <si>
    <t>Axis Flexi Cap Fund - Regular Plan</t>
  </si>
  <si>
    <t>Axis Focused Fund</t>
  </si>
  <si>
    <t>Axis India Manufacturing Fund - Regular Plan</t>
  </si>
  <si>
    <t>Axis Innovation Fund - Regular Plan</t>
  </si>
  <si>
    <t>Axis Large Cap Fund - Regular Plan</t>
  </si>
  <si>
    <t>Axis Large &amp; Mid Cap Fund - Regular Plan</t>
  </si>
  <si>
    <t>Axis Midcap Fund - Regular Plan</t>
  </si>
  <si>
    <t>Axis Momentum Fund - Regular Plan</t>
  </si>
  <si>
    <t>Axis Multi Asset Allocation Fund - Regular Plan</t>
  </si>
  <si>
    <t>Axis Multicap Fund - Regular Plan</t>
  </si>
  <si>
    <t>Axis Nifty 100 Index Fund - Regular Plan</t>
  </si>
  <si>
    <t>Axis Nifty 500 Index Fund - Regular Plan</t>
  </si>
  <si>
    <t>Axis Nifty500 Momentum 50 Index Fund - Regular Plan</t>
  </si>
  <si>
    <t>Axis Nifty 50 ETF</t>
  </si>
  <si>
    <t>Axis Nifty 50 Index Fund - Regular Plan</t>
  </si>
  <si>
    <t>Axis NIFTY India Consumption ETF</t>
  </si>
  <si>
    <t>Axis Nifty Midcap 50 Index Fund - Regular Plan</t>
  </si>
  <si>
    <t>Axis Nifty Next 50 Index Fund - Regular Plan</t>
  </si>
  <si>
    <t>Axis Nifty Smallcap 50 Index Fund - Regular Plan</t>
  </si>
  <si>
    <t>Axis Quant Fund - Regular Plan</t>
  </si>
  <si>
    <t>Axis Retirement Fund - Dynamic Plan - Regular Plan</t>
  </si>
  <si>
    <t>Axis Small Cap Fund - Regular Plan</t>
  </si>
  <si>
    <t>Bajaj Finserv Balanced Advantage Fund - Regular Plan</t>
  </si>
  <si>
    <t>Bajaj Finserv Consumption Fund - Regular Plan</t>
  </si>
  <si>
    <t>Bajaj Finserv Flexi Cap Fund - Regular Plan</t>
  </si>
  <si>
    <t>Bajaj Finserv Large and Mid Cap Fund - Regular Plan</t>
  </si>
  <si>
    <t>Bajaj Finserv Large Cap Fund - Regular Plan</t>
  </si>
  <si>
    <t>Bajaj Finserv Multi Asset Allocation Fund - Regular Plan</t>
  </si>
  <si>
    <t>Bajaj Finserv Multi Cap Fund - Regular Plan</t>
  </si>
  <si>
    <t>Bajaj Finserv Nifty 50 ETF</t>
  </si>
  <si>
    <t>Bajaj Finserv Nifty 50 Index Fund - Regular Plan</t>
  </si>
  <si>
    <t>Bajaj Finserv Nifty Next 50 Index Fund - Regular Plan</t>
  </si>
  <si>
    <t>Bandhan Balanced Advantage Fund - Regular Plan</t>
  </si>
  <si>
    <t>Bandhan BSE Sensex ETF</t>
  </si>
  <si>
    <t>Bandhan Business Cycle Fund - Regular Plan</t>
  </si>
  <si>
    <t>Bandhan Flexi Cap Fund - Regular Plan</t>
  </si>
  <si>
    <t>Bandhan Focused Fund - Regular Plan</t>
  </si>
  <si>
    <t>Bandhan Innovation Fund - Regular Plan</t>
  </si>
  <si>
    <t>Bandhan Large Cap Fund - Regular Plan</t>
  </si>
  <si>
    <t>Bandhan Large &amp; Mid Cap Fund - Regular Plan</t>
  </si>
  <si>
    <t>Bandhan Midcap Fund - Regular Plan</t>
  </si>
  <si>
    <t>Bandhan Multi Asset Allocation Fund - Regular Plan</t>
  </si>
  <si>
    <t>Bandhan Multi Cap Fund - Regular Plan</t>
  </si>
  <si>
    <t>Bandhan Nifty 100 Index Fund - Regular Plan</t>
  </si>
  <si>
    <t>Bandhan Nifty100 Low Volatility 30 Index Fund - Regular Plan</t>
  </si>
  <si>
    <t>Bandhan Nifty200 Momentum 30 Index Fund - Regular Plan</t>
  </si>
  <si>
    <t>Bandhan Nifty 200 Quality 30 Index Fund - Regular Plan</t>
  </si>
  <si>
    <t>Bandhan Nifty 500 Momentum 50 Index Fund - Regular Plan</t>
  </si>
  <si>
    <t>Bandhan Nifty 50 ETF</t>
  </si>
  <si>
    <t>Bandhan Nifty 50 Index Fund - Regular Plan</t>
  </si>
  <si>
    <t>Bandhan Nifty Alpha 50 Index Fund - Regular Plan</t>
  </si>
  <si>
    <t>Bandhan Nifty Alpha Low Volatility 30 Index Fund - Regular Plan</t>
  </si>
  <si>
    <t>Bandhan Nifty Midcap 150 Index Fund - Regular Plan</t>
  </si>
  <si>
    <t>Bandhan Nifty Next 50 Index Fund - Regular Plan</t>
  </si>
  <si>
    <t>Bandhan Nifty Smallcap 250 Index Fund - Regular Plan</t>
  </si>
  <si>
    <t>Bandhan Nifty Total Market Index Fund - Regular Plan</t>
  </si>
  <si>
    <t>Bandhan Small Cap Fund - Regular Plan</t>
  </si>
  <si>
    <t>Bandhan Transportation and Logistics Fund - Regular Plan</t>
  </si>
  <si>
    <t>Bank of India Balanced Advantage Fund - Regular Plan</t>
  </si>
  <si>
    <t>Bank of India Bluechip Fund - Regular Plan</t>
  </si>
  <si>
    <t>Bank of India Business Cycle Fund - Regular Plan</t>
  </si>
  <si>
    <t>Bank of India Consumption Fund - Regular Plan</t>
  </si>
  <si>
    <t>Bank of India Flexi Cap Fund - Regular Plan</t>
  </si>
  <si>
    <t>Bank of India Large &amp; Mid Cap Equity Fund - Eco Plan</t>
  </si>
  <si>
    <t>Bank of India Large &amp; Mid Cap Equity Fund - Regular Plan</t>
  </si>
  <si>
    <t>Bank of India Multi Asset Allocation Fund - Regular Plan</t>
  </si>
  <si>
    <t>Bank of India Multi Cap Fund - Regular Plan</t>
  </si>
  <si>
    <t>Bank of India Small Cap Fund - Regular Plan</t>
  </si>
  <si>
    <t>Baroda BNP Paribas Balanced Advantage Fund - Regular Plan</t>
  </si>
  <si>
    <t>Baroda BNP Paribas Business Cycle Fund - Regular Plan</t>
  </si>
  <si>
    <t>Baroda BNP Paribas Children's Fund - Regular Plan</t>
  </si>
  <si>
    <t>Baroda BNP Paribas Dividend Yield Fund - Regular Plan</t>
  </si>
  <si>
    <t>Baroda BNP Paribas Energy Opportunities Fund - Regular Plan</t>
  </si>
  <si>
    <t>EQ-Energy</t>
  </si>
  <si>
    <t>Baroda BNP Paribas Flexi Cap Fund - Regular Plan</t>
  </si>
  <si>
    <t>Baroda BNP Paribas Focused Fund - Regular Plan</t>
  </si>
  <si>
    <t>Baroda BNP Paribas India Consumption Fund - Regular Plan</t>
  </si>
  <si>
    <t>Baroda BNP Paribas Innovation Fund - Regular Plan</t>
  </si>
  <si>
    <t>Baroda BNP Paribas Large Cap Fund - Regular Plan</t>
  </si>
  <si>
    <t>Baroda BNP Paribas Large &amp; Mid Cap Fund - Regular Plan</t>
  </si>
  <si>
    <t>Baroda BNP Paribas Manufacturing Fund - Regular Plan</t>
  </si>
  <si>
    <t>Baroda BNP Paribas Midcap Fund - Regular Plan</t>
  </si>
  <si>
    <t>Baroda BNP Paribas Multi Asset Active FoF - Regular Plan</t>
  </si>
  <si>
    <t>Baroda BNP Paribas Multi Asset Fund - Regular Plan</t>
  </si>
  <si>
    <t>Baroda BNP Paribas Multi Cap Fund - Regular Plan</t>
  </si>
  <si>
    <t>Baroda BNP Paribas Nifty200 Momentum 30 Index Fund - Regular Plan</t>
  </si>
  <si>
    <t>Baroda BNP Paribas NIFTY 50 Index Fund - Regular Plan</t>
  </si>
  <si>
    <t>Baroda BNP Paribas Nifty Midcap 150 Index Fund - Regular Plan</t>
  </si>
  <si>
    <t>Baroda BNP Paribas Small Cap Fund - Regular Plan</t>
  </si>
  <si>
    <t>BHARAT 22 ETF</t>
  </si>
  <si>
    <t>Canara Robeco Balanced Advantage Fund - Regular Plan</t>
  </si>
  <si>
    <t>Canara Robeco Bluechip Equity Fund - Regular Plan</t>
  </si>
  <si>
    <t>Canara Robeco Consumer Trends Fund - Regular Plan</t>
  </si>
  <si>
    <t>Canara Robeco Emerging Equities Fund - Regular Plan</t>
  </si>
  <si>
    <t>Canara Robeco Flexi Cap Fund - Regular Plan</t>
  </si>
  <si>
    <t>Canara Robeco Focused Equity Fund - Regular Plan</t>
  </si>
  <si>
    <t>Canara Robeco Manufacturing Fund - Regular Plan</t>
  </si>
  <si>
    <t>Canara Robeco Mid Cap Fund - Regular Plan</t>
  </si>
  <si>
    <t>Canara Robeco Multi Asset Allocation Fund - Regular Plan</t>
  </si>
  <si>
    <t>Canara Robeco Multi Cap Fund - Regular Plan</t>
  </si>
  <si>
    <t>Canara Robeco Small Cap Fund - Regular Plan</t>
  </si>
  <si>
    <t>CPSE ETF</t>
  </si>
  <si>
    <t>DSP BSE Sensex ETF</t>
  </si>
  <si>
    <t>DSP BSE Sensex Next 30 ETF</t>
  </si>
  <si>
    <t>DSP BSE Sensex Next 30 Index Fund - Regular Plan</t>
  </si>
  <si>
    <t>DSP Business Cycle Fund - Regular Plan</t>
  </si>
  <si>
    <t>DSP Dynamic Asset Allocation Fund - Regular Plan</t>
  </si>
  <si>
    <t>DSP Flexi Cap Fund - Regular Plan</t>
  </si>
  <si>
    <t>DSP Focused Fund - Regular Plan</t>
  </si>
  <si>
    <t>DSP Large Cap Fund - Regular Plan</t>
  </si>
  <si>
    <t>DSP Large &amp; Mid Cap Fund - Regular Plan</t>
  </si>
  <si>
    <t>DSP Midcap Fund - Regular Plan</t>
  </si>
  <si>
    <t>DSP Multi Asset Allocation Fund - Regular Plan</t>
  </si>
  <si>
    <t>DSP Multicap Fund - Regular Plan</t>
  </si>
  <si>
    <t>DSP Natural Resources and New Energy Fund - Regular Plan</t>
  </si>
  <si>
    <t>DSP NIFTY 50 Equal Weight ETF</t>
  </si>
  <si>
    <t>DSP Nifty 50 Equal Weight Index Fund - Regular Plan</t>
  </si>
  <si>
    <t>DSP Nifty 50 ETF</t>
  </si>
  <si>
    <t>DSP Nifty 50 Index Fund - Regular Plan</t>
  </si>
  <si>
    <t>DSP Nifty Midcap 150 Quality 50 ETF</t>
  </si>
  <si>
    <t>DSP Nifty Midcap 150 Quality 50 Index Fund - Regular Plan</t>
  </si>
  <si>
    <t>DSP Nifty Next 50 Index Fund - Regular Plan</t>
  </si>
  <si>
    <t>DSP Nifty Smallcap250 Quality 50 Index Fund - Regular Plan</t>
  </si>
  <si>
    <t>DSP Nifty Top 10 Equal Weight ETF</t>
  </si>
  <si>
    <t>DSP Nifty Top 10 Equal Weight Index Fund - Regular Plan</t>
  </si>
  <si>
    <t>DSP Quant Fund - Regular Plan</t>
  </si>
  <si>
    <t>DSP Small Cap Fund - Regular Plan</t>
  </si>
  <si>
    <t>Edelweiss Balanced Advantage Fund - Regular Plan</t>
  </si>
  <si>
    <t>Edelweiss BSE Capital Markets &amp; Insurance ETF</t>
  </si>
  <si>
    <t>Edelweiss BSE Internet Economy Index Fund - Regular Plan</t>
  </si>
  <si>
    <t>Edelweiss Business Cycle Fund - Regular Plan</t>
  </si>
  <si>
    <t>Edelweiss Consumption Fund - Regular Plan</t>
  </si>
  <si>
    <t>Edelweiss Flexi Cap Fund - Regular Plan</t>
  </si>
  <si>
    <t>Edelweiss Focused Fund - Regular Plan</t>
  </si>
  <si>
    <t>Edelweiss Large Cap Fund - Plan B</t>
  </si>
  <si>
    <t>Edelweiss Large Cap Fund - Plan C</t>
  </si>
  <si>
    <t>Edelweiss Large Cap Fund - Regular Plan</t>
  </si>
  <si>
    <t>Edelweiss Large &amp; Mid Cap Fund - Regular Plan</t>
  </si>
  <si>
    <t>Edelweiss Mid Cap Fund - Regular Plan</t>
  </si>
  <si>
    <t>Edelweiss Multi Asset Allocation Fund - Regular Plan</t>
  </si>
  <si>
    <t>Edelweiss Multi Cap Fund - Regular Plan</t>
  </si>
  <si>
    <t>Edelweiss Nifty 100 Quality 30 Index Fund - Regular Plan</t>
  </si>
  <si>
    <t>Edelweiss Nifty500 Multicap Momentum Quality 50 ETF</t>
  </si>
  <si>
    <t>Edelweiss Nifty500 Multicap Momentum Quality 50 Index Fund - Regular Plan</t>
  </si>
  <si>
    <t>Edelweiss Nifty 50 Index Fund - Regular Plan</t>
  </si>
  <si>
    <t>Edelweiss Nifty Alpha Low Volatility 30 Index Fund - Regular Plan</t>
  </si>
  <si>
    <t>Edelweiss NIFTY Large Mid Cap 250 Index Fund - Regular Plan</t>
  </si>
  <si>
    <t>Edelweiss Nifty Midcap150 Momentum 50 Index Fund - Regular Plan</t>
  </si>
  <si>
    <t>Edelweiss Nifty Next 50 Index Fund - Regular Plan</t>
  </si>
  <si>
    <t>Edelweiss Nifty Smallcap 250 Index Fund - Regular Plan</t>
  </si>
  <si>
    <t>Edelweiss Recently Listed IPO Fund - Regular Plan</t>
  </si>
  <si>
    <t>Edelweiss Small Cap Fund - Regular Plan</t>
  </si>
  <si>
    <t>Franklin India Balanced Advantage Fund - Regular Plan</t>
  </si>
  <si>
    <t>Franklin India Bluechip Fund - Regular Plan</t>
  </si>
  <si>
    <t>Franklin India Dynamic Asset Allocation Fund of Fund - Regular Plan</t>
  </si>
  <si>
    <t>Franklin India Equity Advantage Fund - Regular Plan</t>
  </si>
  <si>
    <t>Franklin India Flexi Cap Fund - Regular Plan</t>
  </si>
  <si>
    <t>Franklin India Focused Equity Fund - Regular Plan</t>
  </si>
  <si>
    <t>Franklin India Multi Asset Solution Fund of Funds - Regular Plan</t>
  </si>
  <si>
    <t>Franklin India Multi Cap Fund - Regular Plan</t>
  </si>
  <si>
    <t>Franklin India NSE Nifty 50 Index - Regular Plan</t>
  </si>
  <si>
    <t>Franklin India Opportunities Fund - Regular Plan</t>
  </si>
  <si>
    <t>Franklin India Prima Fund - Regular Plan</t>
  </si>
  <si>
    <t>Franklin India Smaller Companies Fund - Regular Plan</t>
  </si>
  <si>
    <t>Groww Large Cap Fund - Regular Plan</t>
  </si>
  <si>
    <t>Groww Multicap Fund - Regular Plan</t>
  </si>
  <si>
    <t>Groww Nifty 200 ETF</t>
  </si>
  <si>
    <t>Groww Nifty 200 ETF FoF - Regular Plan</t>
  </si>
  <si>
    <t>Groww Nifty 500 Low Volatility 50 ETF</t>
  </si>
  <si>
    <t>Groww Nifty 500 Momentum 50 ETF</t>
  </si>
  <si>
    <t>Groww Nifty 500 Momentum 50 ETF FoF - Regular Plan</t>
  </si>
  <si>
    <t>Groww Nifty EV &amp; New Age Automotive ETF</t>
  </si>
  <si>
    <t>Groww Nifty EV &amp; New Age Automotive ETF FoF - Regular Plan</t>
  </si>
  <si>
    <t>Groww Nifty India Defence ETF</t>
  </si>
  <si>
    <t>Groww Nifty India Defence ETF FoF - Regular Plan</t>
  </si>
  <si>
    <t>Groww Nifty India Internet ETF</t>
  </si>
  <si>
    <t>Groww Nifty India Internet ETF FoF - Regular Plan</t>
  </si>
  <si>
    <t>Groww Nifty India Railways PSU ETF</t>
  </si>
  <si>
    <t>Groww Nifty India Railways PSU Index Fund - Regular Plan</t>
  </si>
  <si>
    <t>Groww Nifty Non-Cyclical Consumer Index Fund - Regular Plan</t>
  </si>
  <si>
    <t>Groww Nifty Smallcap 250 Index Fund - Regular Plan</t>
  </si>
  <si>
    <t>Groww Nifty Total Market Index Fund - Regular Plan</t>
  </si>
  <si>
    <t>HDFC Balanced Advantage Fund - Regular Plan</t>
  </si>
  <si>
    <t>HDFC BSE 500 ETF</t>
  </si>
  <si>
    <t>HDFC BSE 500 Index Fund - Regular Plan</t>
  </si>
  <si>
    <t>HDFC BSE Sensex ETF</t>
  </si>
  <si>
    <t>HDFC BSE Sensex Index Fund - Regular Plan</t>
  </si>
  <si>
    <t>HDFC Business Cycle Fund - Regular Plan</t>
  </si>
  <si>
    <t>HDFC Defence Fund - Regular Plan</t>
  </si>
  <si>
    <t>HDFC Dividend Yield Fund - Regular Plan</t>
  </si>
  <si>
    <t>HDFC Flexi Cap Fund - Regular Plan</t>
  </si>
  <si>
    <t>HDFC Focused 30 Fund - Regular Plan</t>
  </si>
  <si>
    <t>HDFC Housing Opportunities Fund - Regular Plan</t>
  </si>
  <si>
    <t>HDFC Large and Mid Cap Fund - Regular Plan</t>
  </si>
  <si>
    <t>HDFC Large Cap Fund - Regular Plan</t>
  </si>
  <si>
    <t>HDFC Manufacturing Fund - Regular Plan</t>
  </si>
  <si>
    <t>HDFC Mid-Cap Opportunities Fund - Regular Plan</t>
  </si>
  <si>
    <t>HDFC MNC Fund - Regular Plan</t>
  </si>
  <si>
    <t>HDFC Multi-Asset Active FoF - Regular Plan</t>
  </si>
  <si>
    <t>HDFC Multi Asset Fund - Regular Plan</t>
  </si>
  <si>
    <t>HDFC Multi Cap Fund - Regular Plan</t>
  </si>
  <si>
    <t>HDFC NIFTY 100 Equal Weight Index Fund - Regular Plan</t>
  </si>
  <si>
    <t>HDFC NIFTY 100 ETF</t>
  </si>
  <si>
    <t>HDFC NIFTY 100 Index Fund - Regular Plan</t>
  </si>
  <si>
    <t>HDFC NIFTY100 Low Volatility 30 ETF</t>
  </si>
  <si>
    <t>HDFC NIFTY100 Low Volatility 30 Index Fund - Regular Plan</t>
  </si>
  <si>
    <t>HDFC NIFTY100 Quality 30 ETF</t>
  </si>
  <si>
    <t>HDFC Nifty100 Quality 30 Index Fund - Regular Plan</t>
  </si>
  <si>
    <t>HDFC NIFTY200 Momentum 30 ETF</t>
  </si>
  <si>
    <t>HDFC NIFTY200 Momentum 30 Index Fund - Regular Plan</t>
  </si>
  <si>
    <t>HDFC Nifty500 Multicap 50:25:25 Index Fund - Regular Plan</t>
  </si>
  <si>
    <t>HDFC NIFTY50 Equal Weight Index Fund - Regular Plan</t>
  </si>
  <si>
    <t>HDFC NIFTY 50 ETF</t>
  </si>
  <si>
    <t>HDFC NIFTY 50 Index Fund - Regular Plan</t>
  </si>
  <si>
    <t>HDFC NIFTY Growth Sectors 15 ETF</t>
  </si>
  <si>
    <t>HDFC Nifty LargeMidcap 250 Index Fund - Regular Plan</t>
  </si>
  <si>
    <t>HDFC NIFTY Midcap 150 ETF</t>
  </si>
  <si>
    <t>HDFC NIFTY Midcap 150 Index Fund - Regular Plan</t>
  </si>
  <si>
    <t>HDFC NIFTY Next 50 ETF</t>
  </si>
  <si>
    <t>HDFC NIFTY Next 50 Index Fund - Regular Plan</t>
  </si>
  <si>
    <t>HDFC NIFTY Realty Index Fund - Regular Plan</t>
  </si>
  <si>
    <t>HDFC Nifty Smallcap 250 ETF</t>
  </si>
  <si>
    <t>HDFC Nifty Smallcap 250 Index Fund - Regular Plan</t>
  </si>
  <si>
    <t>HDFC Nifty Top 20 Equal Weight Index Fund - Regular Plan</t>
  </si>
  <si>
    <t>HDFC Non-Cyclical Consumer Fund - Regular Plan</t>
  </si>
  <si>
    <t>HDFC Retirement Savings Fund Equity Plan - Regular Plan</t>
  </si>
  <si>
    <t>HDFC Small Cap Fund - Regular Plan</t>
  </si>
  <si>
    <t>HDFC Transportation and Logistics Fund - Regular Plan</t>
  </si>
  <si>
    <t>Helios Balanced Advantage Fund - Regular Plan</t>
  </si>
  <si>
    <t>Helios Flexi Cap Fund - Regular Plan</t>
  </si>
  <si>
    <t>Helios Large &amp; Mid Cap Fund - Regular Plan</t>
  </si>
  <si>
    <t>Helios Mid Cap Fund - Regular Plan</t>
  </si>
  <si>
    <t>HSBC Balanced Advantage Fund</t>
  </si>
  <si>
    <t>HSBC Business Cycles Fund - Regular Plan</t>
  </si>
  <si>
    <t>HSBC Consumption Fund - Regular Plan</t>
  </si>
  <si>
    <t>HSBC Flexi Cap Fund</t>
  </si>
  <si>
    <t>HSBC Focused Fund - Regular Plan</t>
  </si>
  <si>
    <t>HSBC India Export Opportunities Fund - Regular Plan</t>
  </si>
  <si>
    <t>HSBC Large and Mid Cap Fund - Regular Plan</t>
  </si>
  <si>
    <t>HSBC Large Cap Fund</t>
  </si>
  <si>
    <t>HSBC Midcap Fund</t>
  </si>
  <si>
    <t>HSBC Multi Asset Active FoF - Regular Plan</t>
  </si>
  <si>
    <t>HSBC Multi Asset Allocation Fund - Regular Plan</t>
  </si>
  <si>
    <t>HSBC Multi Cap Fund - Regular Plan</t>
  </si>
  <si>
    <t>HSBC Nifty 50 Index Fund - Regular Plan</t>
  </si>
  <si>
    <t>HSBC Nifty Next 50 Index Fund - Regular Plan</t>
  </si>
  <si>
    <t>HSBC Small Cap Fund</t>
  </si>
  <si>
    <t>ICICI Prudential Asset Allocator (FOF) Fund</t>
  </si>
  <si>
    <t>ICICI Prudential Balanced Advantage Fund</t>
  </si>
  <si>
    <t>ICICI Prudential BHARAT 22 FOF</t>
  </si>
  <si>
    <t>ICICI Prudential Bharat Consumption Fund</t>
  </si>
  <si>
    <t>ICICI Prudential Bluechip Fund</t>
  </si>
  <si>
    <t>ICICI Prudential BSE 500 ETF</t>
  </si>
  <si>
    <t>ICICI Prudential BSE 500 ETF FOF</t>
  </si>
  <si>
    <t>ICICI Prudential BSE Midcap Select ETF</t>
  </si>
  <si>
    <t>ICICI Prudential BSE Sensex ETF</t>
  </si>
  <si>
    <t>ICICI Prudential BSE Sensex Index Fund</t>
  </si>
  <si>
    <t>ICICI Prudential Business Cycle Fund</t>
  </si>
  <si>
    <t>ICICI Prudential Commodities Fund</t>
  </si>
  <si>
    <t>ICICI Prudential Dividend Yield Equity Fund</t>
  </si>
  <si>
    <t>ICICI Prudential Energy Opportunities Fund - Regular Plan</t>
  </si>
  <si>
    <t>ICICI Prudential Equity Minimum Variance Fund - Regular Plan</t>
  </si>
  <si>
    <t>ICICI Prudential ESG Exclusionary Strategy Fund</t>
  </si>
  <si>
    <t>ICICI Prudential Exports and Services Fund</t>
  </si>
  <si>
    <t>ICICI Prudential Flexicap Fund</t>
  </si>
  <si>
    <t>ICICI Prudential FMCG Fund</t>
  </si>
  <si>
    <t>ICICI Prudential Focused Equity Fund</t>
  </si>
  <si>
    <t>ICICI Prudential Housing Opportunities Fund</t>
  </si>
  <si>
    <t>ICICI Prudential India Equity FOF</t>
  </si>
  <si>
    <t>ICICI Prudential India Opportunities Fund</t>
  </si>
  <si>
    <t>ICICI Prudential Innovation Fund</t>
  </si>
  <si>
    <t>ICICI Prudential Large &amp; Mid Cap Fund</t>
  </si>
  <si>
    <t>ICICI Prudential Manufacturing Fund</t>
  </si>
  <si>
    <t>ICICI Prudential Midcap Fund</t>
  </si>
  <si>
    <t>ICICI Prudential MNC Fund</t>
  </si>
  <si>
    <t>ICICI Prudential Multi Asset Fund</t>
  </si>
  <si>
    <t>ICICI Prudential Multicap Fund</t>
  </si>
  <si>
    <t>ICICI Prudential Nifty 100 ETF</t>
  </si>
  <si>
    <t>ICICI Prudential Nifty 100 Low Volatility 30 ETF</t>
  </si>
  <si>
    <t>ICICI Prudential Nifty 100 Low Volatility 30 ETF FOF</t>
  </si>
  <si>
    <t>ICICI Prudential Nifty 200 Momentum 30 ETF</t>
  </si>
  <si>
    <t>ICICI Prudential Nifty 200 Momentum 30 Index Fund</t>
  </si>
  <si>
    <t>ICICI Prudential Nifty 200 Quality 30 ETF</t>
  </si>
  <si>
    <t>ICICI Prudential Nifty200 Quality 30 Index Fund</t>
  </si>
  <si>
    <t>ICICI Prudential Nifty 500 Index Fund - Regular Plan</t>
  </si>
  <si>
    <t>ICICI Prudential Nifty50 Equal Weight Index Fund</t>
  </si>
  <si>
    <t>ICICI Prudential Nifty 50 ETF</t>
  </si>
  <si>
    <t>ICICI Prudential Nifty 50 Index Fund</t>
  </si>
  <si>
    <t>ICICI Prudential Nifty Alpha Low Volatility 30 ETF</t>
  </si>
  <si>
    <t>ICICI Prudential Nifty Alpha Low Volatility 30 ETF FOF</t>
  </si>
  <si>
    <t>ICICI Prudential Nifty Auto ETF</t>
  </si>
  <si>
    <t>ICICI Prudential Nifty Auto Index Fund</t>
  </si>
  <si>
    <t>ICICI Prudential Nifty Commodities ETF</t>
  </si>
  <si>
    <t>ICICI Prudential Nifty EV &amp; New Age Automotive ETF</t>
  </si>
  <si>
    <t>ICICI Prudential Nifty EV &amp; New Age Automotive ETF FoF - Regular Plan</t>
  </si>
  <si>
    <t>ICICI Prudential Nifty FMCG ETF</t>
  </si>
  <si>
    <t>ICICI Prudential Nifty India Consumption ETF</t>
  </si>
  <si>
    <t>ICICI Prudential Nifty LargeMidcap 250 Index Fund</t>
  </si>
  <si>
    <t>ICICI Prudential Nifty Metal ETF</t>
  </si>
  <si>
    <t>ICICI Prudential Nifty Midcap 150 ETF</t>
  </si>
  <si>
    <t>ICICI Prudential Nifty Midcap 150 Index Fund</t>
  </si>
  <si>
    <t>ICICI Prudential Nifty Next 50 ETF</t>
  </si>
  <si>
    <t>ICICI Prudential Nifty Next 50 Index Fund</t>
  </si>
  <si>
    <t>ICICI Prudential Nifty Oil &amp; Gas ETF</t>
  </si>
  <si>
    <t>ICICI Prudential Nifty Smallcap 250 Index Fund</t>
  </si>
  <si>
    <t>ICICI Prudential Nifty Top 15 Equal Weight ETF</t>
  </si>
  <si>
    <t>ICICI Prudential Nifty Top 15 Equal Weight Index Fund</t>
  </si>
  <si>
    <t>ICICI Prudential Passive Multi-Asset FoF</t>
  </si>
  <si>
    <t>ICICI Prudential Passive Strategy Fund (FOF)</t>
  </si>
  <si>
    <t>ICICI Prudential PSU Equity Fund</t>
  </si>
  <si>
    <t>ICICI Prudential Quality Fund</t>
  </si>
  <si>
    <t>ICICI Prudential Quant Fund</t>
  </si>
  <si>
    <t>ICICI Prudential Retirement Fund - Pure Equity Plan</t>
  </si>
  <si>
    <t>ICICI Prudential Rural Opportunities Fund - Regular Plan</t>
  </si>
  <si>
    <t>ICICI Prudential Smallcap Fund</t>
  </si>
  <si>
    <t>ICICI Prudential Thematic Advantage Fund (FOF)</t>
  </si>
  <si>
    <t>ICICI Prudential Transportation and Logistics Fund</t>
  </si>
  <si>
    <t>Invesco India Balanced Advantage Fund</t>
  </si>
  <si>
    <t>Invesco India Business Cycle Fund - Regular Plan</t>
  </si>
  <si>
    <t>Invesco India ESG Integration Strategy Fund - Regular Plan</t>
  </si>
  <si>
    <t>Invesco India Flexi Cap Fund - Regular Plan</t>
  </si>
  <si>
    <t>Invesco India Focused Fund - Regular Plan</t>
  </si>
  <si>
    <t>Invesco India Largecap Fund</t>
  </si>
  <si>
    <t>Invesco India Large &amp; Mid Cap Fund</t>
  </si>
  <si>
    <t>Invesco India Manufacturing Fund - Regular Plan</t>
  </si>
  <si>
    <t>Invesco India Mid Cap Fund</t>
  </si>
  <si>
    <t>Invesco India Multi Asset Allocation Fund - Regular Plan</t>
  </si>
  <si>
    <t>Invesco India Multicap Fund</t>
  </si>
  <si>
    <t>Invesco India Nifty 50 ETF</t>
  </si>
  <si>
    <t>Invesco India PSU Equity Fund</t>
  </si>
  <si>
    <t>Invesco India Smallcap Fund - Regular Plan</t>
  </si>
  <si>
    <t>ITI Balanced Advantage Fund - Regular Plan</t>
  </si>
  <si>
    <t>ITI Bharat Consumption Fund - Regular Plan</t>
  </si>
  <si>
    <t>ITI Flexi Cap Fund - Regular Plan</t>
  </si>
  <si>
    <t>ITI Focused Equity Fund - Regular Plan</t>
  </si>
  <si>
    <t>ITI Large Cap Fund - Regular Plan</t>
  </si>
  <si>
    <t>ITI Large &amp; Mid Cap Fund - Regular Plan</t>
  </si>
  <si>
    <t>ITI Mid Cap Fund - Regular Plan</t>
  </si>
  <si>
    <t>ITI Multi Cap Fund - Regular Plan</t>
  </si>
  <si>
    <t>ITI Small Cap Fund - Regular Plan</t>
  </si>
  <si>
    <t>JM Flexicap Fund</t>
  </si>
  <si>
    <t>JM Focused Fund</t>
  </si>
  <si>
    <t>JM Large Cap Fund</t>
  </si>
  <si>
    <t>JM Midcap Fund - Regular Plan</t>
  </si>
  <si>
    <t>JM Small Cap Fund - Regular Plan</t>
  </si>
  <si>
    <t>Kotak Balanced Advantage Fund - Regular Plan</t>
  </si>
  <si>
    <t>Kotak Bluechip Fund - Regular Plan</t>
  </si>
  <si>
    <t>Kotak BSE Housing Index Fund - Regular Plan</t>
  </si>
  <si>
    <t>Kotak BSE PSU Index Fund - Regular Plan</t>
  </si>
  <si>
    <t>Kotak BSE Sensex ETF</t>
  </si>
  <si>
    <t>Kotak BSE Sensex Index Fund - Regular Plan</t>
  </si>
  <si>
    <t>Kotak Business Cycle Fund - Regular Plan</t>
  </si>
  <si>
    <t>Kotak Consumption Fund - Regular Plan</t>
  </si>
  <si>
    <t>Kotak Emerging Equity Fund - Regular Plan</t>
  </si>
  <si>
    <t>Kotak Energy Opportunities Fund - Regular Plan</t>
  </si>
  <si>
    <t>Kotak Equity Opportunities Fund - Regular Plan</t>
  </si>
  <si>
    <t>Kotak ESG Exclusionary Strategy Fund - Regular Plan</t>
  </si>
  <si>
    <t>Kotak Flexicap Fund - Regular Plan</t>
  </si>
  <si>
    <t>Kotak Focused Equity Fund - Regular Plan</t>
  </si>
  <si>
    <t>Kotak Manufacture in India Fund - Regular Plan</t>
  </si>
  <si>
    <t>Kotak MNC Fund - Regular Plan</t>
  </si>
  <si>
    <t>Kotak MSCI India ETF</t>
  </si>
  <si>
    <t>Kotak Multi Asset Allocation Fund - Regular Plan</t>
  </si>
  <si>
    <t>Kotak Multi Asset Allocator FoF - Dynamic Regular Plan</t>
  </si>
  <si>
    <t>Kotak Multicap Fund - Regular Plan</t>
  </si>
  <si>
    <t>Kotak Nifty 100 Equal Weight ETF</t>
  </si>
  <si>
    <t>Kotak Nifty 100 Equal Weight Index Fund - Regular Plan</t>
  </si>
  <si>
    <t>Kotak Nifty 100 Low Volatility 30 ETF</t>
  </si>
  <si>
    <t>Kotak Nifty 100 Low Volatility 30 Index Fund - Regular Plan</t>
  </si>
  <si>
    <t>Kotak Nifty 200 Momentum 30 Index Fund - Regular Plan</t>
  </si>
  <si>
    <t>Kotak Nifty 50 Equal Weight Index Fund - Regular Plan</t>
  </si>
  <si>
    <t>Kotak Nifty 50 ETF</t>
  </si>
  <si>
    <t>Kotak Nifty 50 Index Fund - Regular Plan</t>
  </si>
  <si>
    <t>Kotak Nifty Alpha 50 ETF</t>
  </si>
  <si>
    <t>Kotak Nifty Commodities Index Fund - Regular Plan</t>
  </si>
  <si>
    <t>Kotak NIFTY India Consumption ETF</t>
  </si>
  <si>
    <t>Kotak Nifty India Tourism Index Fund - Regular Plan</t>
  </si>
  <si>
    <t>Kotak Nifty Midcap 150 ETF</t>
  </si>
  <si>
    <t>Kotak Nifty Midcap 150 Index Fund - Regular Plan</t>
  </si>
  <si>
    <t>Kotak Nifty Midcap 150 Momentum 50 Index Fund - Regular Plan</t>
  </si>
  <si>
    <t>Kotak Nifty Midcap 50 ETF</t>
  </si>
  <si>
    <t>Kotak Nifty Midcap 50 Index Fund - Regular Plan</t>
  </si>
  <si>
    <t>Kotak Nifty MNC ETF</t>
  </si>
  <si>
    <t>Kotak Nifty Next 50 Index Fund - Regular Plan</t>
  </si>
  <si>
    <t>Kotak Nifty Smallcap 250 Index Fund - Regular Plan</t>
  </si>
  <si>
    <t>Kotak Nifty Smallcap 50 Index Fund - Regular Plan</t>
  </si>
  <si>
    <t>Kotak Nifty Top 10 Equal Weight Index Fund - Regular Plan</t>
  </si>
  <si>
    <t>Kotak Pioneer Fund - Regular Plan</t>
  </si>
  <si>
    <t>Kotak Quant Fund - Regular Plan</t>
  </si>
  <si>
    <t>Kotak Small Cap Fund - Regular Plan</t>
  </si>
  <si>
    <t>Kotak Special Opportunities Fund - Regular Plan</t>
  </si>
  <si>
    <t>Kotak Transportation &amp; Logistics Fund - Regular Plan</t>
  </si>
  <si>
    <t>LIC MF Balanced Advantage Fund - Regular Plan</t>
  </si>
  <si>
    <t>LIC MF BSE Sensex ETF</t>
  </si>
  <si>
    <t>LIC MF BSE Sensex Index Plan</t>
  </si>
  <si>
    <t>LIC MF Children's Fund</t>
  </si>
  <si>
    <t>LIC MF Dividend Yield Fund - Regular Plan</t>
  </si>
  <si>
    <t>LIC MF Flexi Cap Fund</t>
  </si>
  <si>
    <t>LIC MF Focused Fund - Regular Plan</t>
  </si>
  <si>
    <t>LIC MF Large Cap Fund</t>
  </si>
  <si>
    <t>LIC MF Large &amp; Mid Cap Fund - Regular Plan</t>
  </si>
  <si>
    <t>LIC MF Manufacturing Fund - Regular Plan</t>
  </si>
  <si>
    <t>LIC MF Midcap Fund - Regular Plan</t>
  </si>
  <si>
    <t>LIC MF Multi Asset Allocation Fund - Regular Plan</t>
  </si>
  <si>
    <t>LIC MF Multi Cap Fund - Regular Plan</t>
  </si>
  <si>
    <t>LIC MF Nifty 100 ETF</t>
  </si>
  <si>
    <t>LIC MF Nifty 50 ETF</t>
  </si>
  <si>
    <t>LIC MF Nifty 50 Index Plan</t>
  </si>
  <si>
    <t>LIC MF Nifty Midcap 100 ETF</t>
  </si>
  <si>
    <t>LIC MF Nifty Next 50 Index Fund</t>
  </si>
  <si>
    <t>LIC MF Small Cap Fund - Regular Plan</t>
  </si>
  <si>
    <t>Mahindra Manulife Balanced Advantage Fund - Regular Plan</t>
  </si>
  <si>
    <t>Mahindra Manulife Business Cycle Fund - Regular Plan</t>
  </si>
  <si>
    <t>Mahindra Manulife Consumption Fund - Regular Plan</t>
  </si>
  <si>
    <t>Mahindra Manulife Flexi Cap Fund - Regular Plan</t>
  </si>
  <si>
    <t>Mahindra Manulife Focused Fund - Regular Plan</t>
  </si>
  <si>
    <t>Mahindra Manulife Large Cap Fund - Regular Plan</t>
  </si>
  <si>
    <t>Mahindra Manulife Large &amp; Mid Cap Fund - Regular Plan</t>
  </si>
  <si>
    <t>Mahindra Manulife Manufacturing Fund - Regular Plan</t>
  </si>
  <si>
    <t>Mahindra Manulife Mid Cap Fund - Regular Plan</t>
  </si>
  <si>
    <t>Mahindra Manulife Multi Asset Allocation Fund - Regular Plan</t>
  </si>
  <si>
    <t>Mahindra Manulife Multi Cap Fund - Regular Plan</t>
  </si>
  <si>
    <t>Mahindra Manulife Small Cap Fund - Regular Plan</t>
  </si>
  <si>
    <t>Mirae Asset Balanced Advantage Fund - Regular Plan</t>
  </si>
  <si>
    <t>Mirae Asset BSE 200 Equal Weight ETF</t>
  </si>
  <si>
    <t>Mirae Asset BSE 200 Equal Weight ETF FoF - Regular Plan</t>
  </si>
  <si>
    <t>Mirae Asset BSE Select IPO ETF</t>
  </si>
  <si>
    <t>Mirae Asset BSE Select IPO ETF FoF - Regular Plan</t>
  </si>
  <si>
    <t>Mirae Asset BSE Sensex ETF</t>
  </si>
  <si>
    <t>Mirae Asset Diversified Equity Allocator Passive FoF - Regular Plan</t>
  </si>
  <si>
    <t>Mirae Asset Flexi Cap Fund - Regular Plan</t>
  </si>
  <si>
    <t>Mirae Asset Focused Fund - Regular Plan</t>
  </si>
  <si>
    <t>Mirae Asset Great Consumer Fund - Regular Plan</t>
  </si>
  <si>
    <t>Mirae Asset Large Cap Fund - Regular Plan</t>
  </si>
  <si>
    <t>Mirae Asset Large &amp; Midcap Fund - Regular Plan</t>
  </si>
  <si>
    <t>Mirae Asset Midcap Fund - Regular Plan</t>
  </si>
  <si>
    <t>Mirae Asset Multi Asset Allocation Fund - Regular Plan</t>
  </si>
  <si>
    <t>Mirae Asset Multicap Fund - Regular Plan</t>
  </si>
  <si>
    <t>Mirae Asset Nifty 100 ESG Sector Leaders ETF</t>
  </si>
  <si>
    <t>Mirae Asset Nifty 100 ESG Sector Leaders FoF - Regular Plan</t>
  </si>
  <si>
    <t>Mirae Asset Nifty 100 Low Volatility 30 ETF</t>
  </si>
  <si>
    <t>Mirae Asset Nifty 200 Alpha 30 ETF</t>
  </si>
  <si>
    <t>Mirae Asset Nifty 200 Alpha 30 ETF FoF - Regular Plan</t>
  </si>
  <si>
    <t>Mirae Asset Nifty500 Multicap 50:25:25 ETF</t>
  </si>
  <si>
    <t>Mirae Asset Nifty50 Equal Weight ETF</t>
  </si>
  <si>
    <t>Mirae Asset Nifty 50 ETF</t>
  </si>
  <si>
    <t>Mirae Asset Nifty 50 Index Fund - Regular Plan</t>
  </si>
  <si>
    <t>Mirae Asset Nifty EV and New Age Automotive ETF</t>
  </si>
  <si>
    <t>Mirae Asset Nifty India Internet ETF</t>
  </si>
  <si>
    <t>Mirae Asset Nifty India Manufacturing ETF</t>
  </si>
  <si>
    <t>Mirae Asset Nifty India Manufacturing ETF FoF - Regular Plan</t>
  </si>
  <si>
    <t>Mirae Asset Nifty India New Age Consumption ETF</t>
  </si>
  <si>
    <t>Mirae Asset Nifty India New Age Consumption ETF FoF - Regular Plan</t>
  </si>
  <si>
    <t>Mirae Asset Nifty LargeMidcap 250 Index Fund - Regular Plan</t>
  </si>
  <si>
    <t>Mirae Asset Nifty Metal ETF</t>
  </si>
  <si>
    <t>Mirae Asset Nifty Midcap 150 ETF</t>
  </si>
  <si>
    <t>Mirae Asset Nifty MidSmallcap400 Momentum Quality 100 ETF</t>
  </si>
  <si>
    <t>Mirae Asset Nifty MidSmallcap400 Momentum Quality 100 ETF FoF - Regular Plan</t>
  </si>
  <si>
    <t>Mirae Asset Nifty Next 50 ETF</t>
  </si>
  <si>
    <t>Mirae Asset Nifty Smallcap 250 Momentum Quality 100 ETF</t>
  </si>
  <si>
    <t>Mirae Asset Nifty Smallcap 250 Momentum Quality 100 ETF FoF - Regular Plan</t>
  </si>
  <si>
    <t>Mirae Asset Nifty Total Market Index Fund - Regular Plan</t>
  </si>
  <si>
    <t>Mirae Asset Small Cap Fund - Regular Plan</t>
  </si>
  <si>
    <t>Motilal Oswal Active Momentum Fund - Regular Plan</t>
  </si>
  <si>
    <t>Motilal Oswal Asset Allocation Passive FoF - Aggressive - Regular Plan</t>
  </si>
  <si>
    <t>Motilal Oswal Asset Allocation Passive FoF - Conservative - Regular Plan</t>
  </si>
  <si>
    <t>Motilal Oswal Balanced Advantage Fund - Regular Plan</t>
  </si>
  <si>
    <t>Motilal Oswal BSE 1000 Index Fund - Regular Plan</t>
  </si>
  <si>
    <t>Motilal Oswal BSE Low Volatility ETF</t>
  </si>
  <si>
    <t>Motilal Oswal BSE Low Volatility Index Fund - Regular Plan</t>
  </si>
  <si>
    <t>Motilal Oswal BSE Quality ETF</t>
  </si>
  <si>
    <t>Motilal Oswal BSE Quality Index Fund - Regular Plan</t>
  </si>
  <si>
    <t>Motilal Oswal Business Cycle Fund - Regular Plan</t>
  </si>
  <si>
    <t>Motilal Oswal Flexi Cap Fund - Regular Plan</t>
  </si>
  <si>
    <t>Motilal Oswal Focused Fund - Regular Plan</t>
  </si>
  <si>
    <t>Motilal Oswal Innovation Opportunities Fund - Regular Plan</t>
  </si>
  <si>
    <t>Motilal Oswal Large and Midcap Fund - Regular Plan</t>
  </si>
  <si>
    <t>Motilal Oswal Large Cap Fund - Regular Plan</t>
  </si>
  <si>
    <t>Motilal Oswal Manufacturing Fund - Regular Plan</t>
  </si>
  <si>
    <t>Motilal Oswal Midcap Fund - Regular Plan</t>
  </si>
  <si>
    <t>Motilal Oswal Multi Asset Fund - Regular Plan</t>
  </si>
  <si>
    <t>Motilal Oswal Multi Cap Fund - Regular Plan</t>
  </si>
  <si>
    <t>Motilal Oswal Nifty 200 Momentum 30 ETF</t>
  </si>
  <si>
    <t>Motilal Oswal Nifty 200 Momentum 30 Index Fund - Regular Plan</t>
  </si>
  <si>
    <t>Motilal Oswal Nifty 500 ETF</t>
  </si>
  <si>
    <t>Motilal Oswal Nifty 500 Index Fund - Regular Plan</t>
  </si>
  <si>
    <t>Motilal Oswal Nifty 500 Momentum 50 ETF</t>
  </si>
  <si>
    <t>Motilal Oswal Nifty 500 Momentum 50 Index Fund - Regular Plan</t>
  </si>
  <si>
    <t>Motilal Oswal Nifty 50 Equal Weight ETF</t>
  </si>
  <si>
    <t>Motilal Oswal Nifty 50 ETF</t>
  </si>
  <si>
    <t>Motilal Oswal Nifty 50 Index Fund - Regular Plan</t>
  </si>
  <si>
    <t>Motilal Oswal Nifty Capital Market ETF</t>
  </si>
  <si>
    <t>Motilal Oswal Nifty Capital Market Index Fund - Regular Plan</t>
  </si>
  <si>
    <t>Motilal Oswal Nifty India Defence ETF</t>
  </si>
  <si>
    <t>Motilal Oswal Nifty India Defence Index Fund - Regular Plan</t>
  </si>
  <si>
    <t>Motilal Oswal Nifty India Manufacturing ETF</t>
  </si>
  <si>
    <t>Motilal Oswal Nifty India Tourism ETF</t>
  </si>
  <si>
    <t>Motilal Oswal Nifty Microcap 250 Index Fund - Regular Plan</t>
  </si>
  <si>
    <t>Motilal Oswal Nifty Midcap 100 ETF</t>
  </si>
  <si>
    <t>Motilal Oswal Nifty Midcap 150 Index Fund - Regular Plan</t>
  </si>
  <si>
    <t>Motilal Oswal Nifty MidSmall India Consumption Index Fund - Regular Plan</t>
  </si>
  <si>
    <t>Motilal Oswal Nifty MidSmall IT and Telecom Index Fund - Regular Plan</t>
  </si>
  <si>
    <t>Motilal Oswal Nifty Next 50 ETF</t>
  </si>
  <si>
    <t>Motilal Oswal Nifty Next 50 Index Fund - Regular Plan</t>
  </si>
  <si>
    <t>Motilal Oswal Nifty PSE ETF</t>
  </si>
  <si>
    <t>Motilal Oswal Nifty Realty ETF</t>
  </si>
  <si>
    <t>Motilal Oswal Nifty Smallcap 250 ETF</t>
  </si>
  <si>
    <t>Motilal Oswal Nifty Smallcap 250 Index Fund - Regular Plan</t>
  </si>
  <si>
    <t>Motilal Oswal Quant Fund - Regular Plan</t>
  </si>
  <si>
    <t>Motilal Oswal Services Fund - Regular Plan</t>
  </si>
  <si>
    <t>Motilal Oswal Small Cap Fund - Regular Plan</t>
  </si>
  <si>
    <t>Navi BSE Sensex Index Fund - Regular Plan</t>
  </si>
  <si>
    <t>Navi Flexi Cap Fund - Regular Plan</t>
  </si>
  <si>
    <t>Navi Large &amp; Midcap Fund</t>
  </si>
  <si>
    <t>Navi Nifty 500 Multicap 50:25:25 Index Fund - Regular Plan</t>
  </si>
  <si>
    <t>Navi Nifty 50 Index Fund - Regular Plan</t>
  </si>
  <si>
    <t>Navi Nifty India Manufacturing Index Fund - Regular Plan</t>
  </si>
  <si>
    <t>Navi Nifty Midcap 150 Index Fund - Regular Plan</t>
  </si>
  <si>
    <t>Navi Nifty Next 50 Index Fund - Regular Plan</t>
  </si>
  <si>
    <t>Navi Nifty Smallcap250 Momentum Quality 100 Index Fund - Regular Plan</t>
  </si>
  <si>
    <t>Nippon India Active Momentum Fund - Regular Plan</t>
  </si>
  <si>
    <t>Nippon India Balanced Advantage Fund</t>
  </si>
  <si>
    <t>Nippon India BSE Sensex Next 30 ETF</t>
  </si>
  <si>
    <t>Nippon India BSE Sensex Next 30 Index Fund - Regular Plan</t>
  </si>
  <si>
    <t>Nippon India Consumption Fund</t>
  </si>
  <si>
    <t>Nippon India Diversified Equity Flexicap Passive FoF - Regular Plan</t>
  </si>
  <si>
    <t>Nippon India ETF BSE Sensex</t>
  </si>
  <si>
    <t>Nippon India ETF BSE Sensex Next 50</t>
  </si>
  <si>
    <t>Nippon India ETF Nifty 100</t>
  </si>
  <si>
    <t>Nippon India ETF Nifty 50 BeES</t>
  </si>
  <si>
    <t>Nippon India ETF Nifty 50 Shariah BeES</t>
  </si>
  <si>
    <t>Nippon India ETF Nifty Dividend Opportunities 50</t>
  </si>
  <si>
    <t>Nippon India ETF Nifty India Consumption</t>
  </si>
  <si>
    <t>Nippon India ETF Nifty Midcap 150</t>
  </si>
  <si>
    <t>Nippon India ETF Nifty Next 50 Junior BeES</t>
  </si>
  <si>
    <t>Nippon India Flexi Cap Fund - Regular Plan</t>
  </si>
  <si>
    <t>Nippon India Focused Equity Fund</t>
  </si>
  <si>
    <t>Nippon India Growth Fund</t>
  </si>
  <si>
    <t>Nippon India Growth Fund - Institutional Plan</t>
  </si>
  <si>
    <t>Nippon India Index Fund - BSE Sensex Plan</t>
  </si>
  <si>
    <t>Nippon India Index Fund - Nifty 50 Plan</t>
  </si>
  <si>
    <t>Nippon India Innovation Fund - Regular Plan</t>
  </si>
  <si>
    <t>Nippon India Large Cap Fund</t>
  </si>
  <si>
    <t>Nippon India Multi Asset Active FoF - Regular Plan</t>
  </si>
  <si>
    <t>Nippon India Multi Asset Allocation Fund - Regular Plan</t>
  </si>
  <si>
    <t>Nippon India Multi Cap Fund</t>
  </si>
  <si>
    <t>Nippon India Nifty 500 Equal Weight Index Fund - Regular Plan</t>
  </si>
  <si>
    <t>Nippon India Nifty 500 Low Volatility 50 Index Fund - Regular Plan</t>
  </si>
  <si>
    <t>Nippon India Nifty 500 Momentum 50 Index Fund - Regular Plan</t>
  </si>
  <si>
    <t>Nippon India Nifty 500 Quality 50 Index Fund - Regular Plan</t>
  </si>
  <si>
    <t>Nippon India Nifty Alpha Low Volatility 30 Index Fund - Regular Plan</t>
  </si>
  <si>
    <t>Nippon India Nifty Auto ETF</t>
  </si>
  <si>
    <t>Nippon India Nifty Auto Index Fund - Regular Plan</t>
  </si>
  <si>
    <t>Nippon India Nifty Midcap 150 Index Fund - Regular Plan</t>
  </si>
  <si>
    <t>Nippon India Nifty Next 50 Junior BeES FoF - Regular Plan</t>
  </si>
  <si>
    <t>Nippon India Nifty Realty Index Fund - Regular Plan</t>
  </si>
  <si>
    <t>Nippon India Nifty Smallcap 250 Index Fund - Regular Plan</t>
  </si>
  <si>
    <t>Nippon India Quant Fund - Retail Plan</t>
  </si>
  <si>
    <t>Nippon India Retirement Fund - Wealth Creation Scheme</t>
  </si>
  <si>
    <t>Nippon India Small Cap Fund</t>
  </si>
  <si>
    <t>Nippon India Vision Fund</t>
  </si>
  <si>
    <t>NJ Balanced Advantage Fund - Regular Plan</t>
  </si>
  <si>
    <t>NJ Flexi Cap Fund - Regular Plan</t>
  </si>
  <si>
    <t>Old Bridge Focused Equity Fund - Regular Plan</t>
  </si>
  <si>
    <t>Parag Parikh Dynamic Asset Allocation Fund - Regular Plan</t>
  </si>
  <si>
    <t>Parag Parikh Flexi Cap Fund - Regular Plan</t>
  </si>
  <si>
    <t>PGIM India Balanced Advantage Fund - Regular Plan</t>
  </si>
  <si>
    <t>PGIM India Flexi Cap Fund - Regular Plan</t>
  </si>
  <si>
    <t>PGIM India Large and Mid Cap Fund - Regular Plan</t>
  </si>
  <si>
    <t>PGIM India Large Cap Fund</t>
  </si>
  <si>
    <t>PGIM India Midcap Opportunities Fund - Regular Plan</t>
  </si>
  <si>
    <t>PGIM India Multi Cap Fund - Regular Plan</t>
  </si>
  <si>
    <t>PGIM India Retirement Fund - Regular Plan</t>
  </si>
  <si>
    <t>PGIM India Small Cap Fund - Regular Plan</t>
  </si>
  <si>
    <t>Quant Active Fund</t>
  </si>
  <si>
    <t>Quant Business Cycle Fund - Regular Plan</t>
  </si>
  <si>
    <t>Quant Commodities Fund - Regular Plan</t>
  </si>
  <si>
    <t>Quant Consumption Fund - Regular Plan</t>
  </si>
  <si>
    <t>Quant Dynamic Asset Allocation Fund - Regular Plan</t>
  </si>
  <si>
    <t>Quant ESG Equity Fund - Regular Plan</t>
  </si>
  <si>
    <t>Quant Flexi Cap Fund</t>
  </si>
  <si>
    <t>Quant Focused Fund</t>
  </si>
  <si>
    <t>Quant Large and Mid Cap Fund</t>
  </si>
  <si>
    <t>Quant Large Cap Fund - Regular Plan</t>
  </si>
  <si>
    <t>Quant Manufacturing Fund - Regular Plan</t>
  </si>
  <si>
    <t>Quant Mid Cap Fund</t>
  </si>
  <si>
    <t>Quant Momentum Fund - Regular Plan</t>
  </si>
  <si>
    <t>Quant Multi Asset Fund</t>
  </si>
  <si>
    <t>Quant PSU Fund - Regular Plan</t>
  </si>
  <si>
    <t>Quant Quantamental Fund - Regular Plan</t>
  </si>
  <si>
    <t>Quant Small Cap Fund</t>
  </si>
  <si>
    <t>Quantum Equity FoF - Regular Plan</t>
  </si>
  <si>
    <t>Quantum ESG Best In Class Strategy Fund - Regular Plan</t>
  </si>
  <si>
    <t>Quantum Ethical Fund - Regular Plan</t>
  </si>
  <si>
    <t>Quantum Multi Asset Allocation Fund - Regular Plan</t>
  </si>
  <si>
    <t>Quantum Multi Asset Fund of Funds - Regular Plan</t>
  </si>
  <si>
    <t>Quantum Nifty 50 ETF</t>
  </si>
  <si>
    <t>Quantum Nifty 50 ETF FoF - Regular Plan</t>
  </si>
  <si>
    <t>Quantum Small Cap Fund - Regular Plan</t>
  </si>
  <si>
    <t>Samco Active Momentum Fund - Regular Plan</t>
  </si>
  <si>
    <t>Samco Dynamic Asset Allocation Fund - Regular Plan</t>
  </si>
  <si>
    <t>Samco Flexi Cap Fund - Regular Plan</t>
  </si>
  <si>
    <t>Samco Large Cap Fund - Regular Plan</t>
  </si>
  <si>
    <t>Samco Large &amp; Mid Cap Fund - Regular Plan</t>
  </si>
  <si>
    <t>Samco Multi Asset Allocation Fund - Regular Plan</t>
  </si>
  <si>
    <t>Samco Multi Cap Fund - Regular Plan</t>
  </si>
  <si>
    <t>Samco Special Opportunities Fund - Regular Plan</t>
  </si>
  <si>
    <t>SBI Automotive Opportunities Fund - Regular Plan</t>
  </si>
  <si>
    <t>SBI Balanced Advantage Fund - Regular Plan</t>
  </si>
  <si>
    <t>SBI Bluechip Fund</t>
  </si>
  <si>
    <t>SBI BSE 100 ETF</t>
  </si>
  <si>
    <t>SBI BSE Sensex ETF</t>
  </si>
  <si>
    <t>SBI BSE Sensex Index Fund - Regular Plan</t>
  </si>
  <si>
    <t>SBI BSE Sensex Next 50 ETF</t>
  </si>
  <si>
    <t>SBI Consumption Opportunities Fund</t>
  </si>
  <si>
    <t>SBI Dividend Yield Fund - Regular Plan</t>
  </si>
  <si>
    <t>SBI Energy Opportunities Fund - Regular Plan</t>
  </si>
  <si>
    <t>SBI Equity Minimum Variance Fund - Regular Plan</t>
  </si>
  <si>
    <t>SBI ESG Exclusionary Strategy Fund</t>
  </si>
  <si>
    <t>SBI Flexicap Fund</t>
  </si>
  <si>
    <t>SBI Focused Equity Fund</t>
  </si>
  <si>
    <t>SBI Innovative Opportunities Fund - Regular Plan</t>
  </si>
  <si>
    <t>SBI Large &amp; Midcap Fund</t>
  </si>
  <si>
    <t>SBI Magnum COMMA Fund</t>
  </si>
  <si>
    <t>SBI Magnum Global Fund</t>
  </si>
  <si>
    <t>SBI Magnum Midcap Fund</t>
  </si>
  <si>
    <t>SBI Multi Asset Allocation Fund</t>
  </si>
  <si>
    <t>SBI Multicap Fund - Regular Plan</t>
  </si>
  <si>
    <t>SBI Nifty 200 Quality 30 ETF</t>
  </si>
  <si>
    <t>SBI Nifty200 Quality 30 Index Fund - Regular Plan</t>
  </si>
  <si>
    <t>SBI Nifty 500 Index Fund - Regular Plan</t>
  </si>
  <si>
    <t>SBI Nifty 50 Equal Weight ETF</t>
  </si>
  <si>
    <t>SBI Nifty50 Equal Weight Index Fund - Regular Plan</t>
  </si>
  <si>
    <t>SBI Nifty 50 ETF</t>
  </si>
  <si>
    <t>SBI Nifty Consumption ETF</t>
  </si>
  <si>
    <t>SBI Nifty Index Fund</t>
  </si>
  <si>
    <t>SBI Nifty India Consumption Index Fund - Regular Plan</t>
  </si>
  <si>
    <t>SBI Nifty Midcap 150 Index Fund - Regular Plan</t>
  </si>
  <si>
    <t>SBI Nifty Next 50 ETF</t>
  </si>
  <si>
    <t>SBI Nifty Next 50 Index Fund - Regular Plan</t>
  </si>
  <si>
    <t>SBI Nifty Smallcap 250 Index Fund - Regular Plan</t>
  </si>
  <si>
    <t>SBI PSU Fund</t>
  </si>
  <si>
    <t>SBI Quant Fund - Regular Plan</t>
  </si>
  <si>
    <t>SBI Retirement Benefit Fund - Aggressive Plan - Regular Plan</t>
  </si>
  <si>
    <t>SBI Small Cap Fund</t>
  </si>
  <si>
    <t>Shriram Balanced Advantage Fund - Regular Plan</t>
  </si>
  <si>
    <t>Shriram Flexi Cap Fund - Regular Plan</t>
  </si>
  <si>
    <t>Shriram Multi Asset Allocation Fund - Regular Plan</t>
  </si>
  <si>
    <t>Shriram Multi Sector Rotation Fund - Regular Plan</t>
  </si>
  <si>
    <t>Sundaram Balanced Advantage Fund</t>
  </si>
  <si>
    <t>Sundaram Business Cycle Fund - Regular Plan</t>
  </si>
  <si>
    <t>Sundaram Consumption Fund - Regular Plan</t>
  </si>
  <si>
    <t>Sundaram Dividend Yield Fund</t>
  </si>
  <si>
    <t>Sundaram Flexi Cap Fund - Regular Plan</t>
  </si>
  <si>
    <t>Sundaram Focused Fund</t>
  </si>
  <si>
    <t>Sundaram Large and Mid Cap Fund</t>
  </si>
  <si>
    <t>Sundaram Large Cap Fund - Regular Plan</t>
  </si>
  <si>
    <t>Sundaram Mid Cap Fund - Regular Plan</t>
  </si>
  <si>
    <t>Sundaram Multi Asset Allocation Fund - Regular Plan</t>
  </si>
  <si>
    <t>Sundaram Multi Cap Fund</t>
  </si>
  <si>
    <t>Sundaram Nifty 100 Equal Weight Fund</t>
  </si>
  <si>
    <t>Sundaram Services Fund - Regular Plan</t>
  </si>
  <si>
    <t>Sundaram Small Cap Fund - Regular Plan</t>
  </si>
  <si>
    <t>Tata Balanced Advantage Fund - Regular Plan</t>
  </si>
  <si>
    <t>Tata BSE Quality Index Fund - Regular Plan</t>
  </si>
  <si>
    <t>Tata BSE Select Business Groups Index Fund - Regular Plan</t>
  </si>
  <si>
    <t>Tata BSE Sensex Index Fund - Regular Plan</t>
  </si>
  <si>
    <t>Tata Business Cycle Fund - Regular Plan</t>
  </si>
  <si>
    <t>Tata Dividend Yield Fund - Regular Plan</t>
  </si>
  <si>
    <t>Tata Ethical Fund - Regular Plan</t>
  </si>
  <si>
    <t>Tata Flexi Cap Fund - Regular Plan</t>
  </si>
  <si>
    <t>Tata Focused Equity Fund - Regular Plan</t>
  </si>
  <si>
    <t>Tata Housing Opportunities Fund - Regular Plan</t>
  </si>
  <si>
    <t>Tata India Consumer Fund - Regular Plan</t>
  </si>
  <si>
    <t>Tata India Innovation Fund - Regular Plan</t>
  </si>
  <si>
    <t>Tata Large Cap Fund - Regular Plan</t>
  </si>
  <si>
    <t>Tata Large &amp; Mid Cap Fund - Regular Plan</t>
  </si>
  <si>
    <t>Tata Midcap Growth Fund - Regular Plan</t>
  </si>
  <si>
    <t>Tata Multi Asset Opportunities Fund - Regular Plan</t>
  </si>
  <si>
    <t>Tata Multicap Fund - Regular Plan</t>
  </si>
  <si>
    <t>Tata Nifty200 Alpha 30 Index Fund - Regular Plan</t>
  </si>
  <si>
    <t>Tata Nifty500 Multicap India Manufacturing 50:30:20 Index Fund - Regular Plan</t>
  </si>
  <si>
    <t>Tata Nifty 50 Exchange Traded Fund</t>
  </si>
  <si>
    <t>Tata Nifty 50 Index Fund - Regular Plan</t>
  </si>
  <si>
    <t>Tata Nifty Auto Index Fund - Regular Plan</t>
  </si>
  <si>
    <t>Tata Nifty Capital Markets Index Fund - Regular Plan</t>
  </si>
  <si>
    <t>Tata Nifty India Tourism Index Fund - Regular Plan</t>
  </si>
  <si>
    <t>Tata Nifty Midcap 150 Index Fund - Regular Plan</t>
  </si>
  <si>
    <t>Tata Nifty Midcap 150 Momentum 50 Index Fund - Regular Plan</t>
  </si>
  <si>
    <t>Tata Nifty Realty Index Fund - Regular Plan</t>
  </si>
  <si>
    <t>Tata Resources &amp; Energy Fund - Regular Plan</t>
  </si>
  <si>
    <t>Tata Retirement Savings Fund - Progressive Plan - Regular Plan</t>
  </si>
  <si>
    <t>Tata Small Cap Fund - Regular Plan</t>
  </si>
  <si>
    <t>Tata Young Citizens Fund - Regular Plan</t>
  </si>
  <si>
    <t>Taurus Ethical Fund - Regular Plan</t>
  </si>
  <si>
    <t>Taurus Flexi Cap Fund - Regular Plan</t>
  </si>
  <si>
    <t>Taurus Large Cap Fund - Regular Plan</t>
  </si>
  <si>
    <t>Taurus Mid Cap Fund - Regular Plan</t>
  </si>
  <si>
    <t>Taurus Nifty 50 Index Fund - Regular Plan</t>
  </si>
  <si>
    <t>Templeton India Equity Income Fund</t>
  </si>
  <si>
    <t>TRUSTMF Flexi Cap Fund - Regular Plan</t>
  </si>
  <si>
    <t>TRUSTMF Small Cap Fund - Regular Plan</t>
  </si>
  <si>
    <t>Unifi Dynamic Asset Allocation Fund - Regular Plan</t>
  </si>
  <si>
    <t>Unifi Flexi Cap Fund - Regular Plan</t>
  </si>
  <si>
    <t>Union Active Momentum Fund - Regular Plan</t>
  </si>
  <si>
    <t>Union Balanced Advantage Fund - Regular Plan</t>
  </si>
  <si>
    <t>Union Business Cycle Fund - Regular Plan</t>
  </si>
  <si>
    <t>Union Children's Fund - Regular Plan</t>
  </si>
  <si>
    <t>Union Flexi Cap Fund</t>
  </si>
  <si>
    <t>Union Focused Fund - Regular Plan</t>
  </si>
  <si>
    <t>Union Innovation &amp; Opportunities Fund - Regular Plan</t>
  </si>
  <si>
    <t>Union Largecap Fund - Regular Plan</t>
  </si>
  <si>
    <t>Union Large &amp; Midcap Fund - Regular Plan</t>
  </si>
  <si>
    <t>Union Midcap Fund - Regular Plan</t>
  </si>
  <si>
    <t>Union Multi Asset Allocation Fund - Regular Plan</t>
  </si>
  <si>
    <t>Union Multicap Fund - Regular Plan</t>
  </si>
  <si>
    <t>Union Retirement Fund - Regular Plan</t>
  </si>
  <si>
    <t>Union Small Cap Fund - Regular Plan</t>
  </si>
  <si>
    <t>UTI Balanced Advantage Fund - Regular Plan</t>
  </si>
  <si>
    <t>UTI BSE Housing Index Fund - Regular Plan</t>
  </si>
  <si>
    <t>UTI BSE Low Volatility Index Fund - Regular Plan</t>
  </si>
  <si>
    <t>UTI BSE Sensex ETF</t>
  </si>
  <si>
    <t>UTI BSE Sensex Index Fund - Regular Plan</t>
  </si>
  <si>
    <t>UTI BSE Sensex Next 50 ETF</t>
  </si>
  <si>
    <t>UTI Children's Equity Fund - Regular Plan</t>
  </si>
  <si>
    <t>UTI Dividend Yield Fund - Regular Plan</t>
  </si>
  <si>
    <t>UTI Flexi Cap Fund - Regular Plan</t>
  </si>
  <si>
    <t>UTI Focused Fund - Regular Plan</t>
  </si>
  <si>
    <t>UTI India Consumer Fund - Regular Plan</t>
  </si>
  <si>
    <t>UTI Innovation Fund - Regular Plan</t>
  </si>
  <si>
    <t>UTI Large Cap Fund - Regular Plan</t>
  </si>
  <si>
    <t>UTI Large &amp; Mid Cap Fund - Regular Plan</t>
  </si>
  <si>
    <t>UTI Mid Cap Fund - Regular Plan</t>
  </si>
  <si>
    <t>UTI MNC Fund - Regular Plan</t>
  </si>
  <si>
    <t>UTI Multi Asset Allocation Fund - Regular Plan</t>
  </si>
  <si>
    <t>UTI Multi Cap Fund - Regular Plan</t>
  </si>
  <si>
    <t>UTI Nifty200 Momentum 30 Index Fund - Regular Plan</t>
  </si>
  <si>
    <t>UTI Nifty200 Quality 30 Index Fund - Regular Plan</t>
  </si>
  <si>
    <t>UTI NIFTY50 Equal Weight Index Fund - Regular Plan</t>
  </si>
  <si>
    <t>UTI Nifty 50 ETF</t>
  </si>
  <si>
    <t>UTI Nifty 50 Index Fund - Regular Plan</t>
  </si>
  <si>
    <t>UTI Nifty Alpha Low-Volatility 30 Index Fund - Regular Plan</t>
  </si>
  <si>
    <t>UTI Nifty India Manufacturing Index Fund - Regular Plan</t>
  </si>
  <si>
    <t>UTI Nifty Midcap 150 ETF</t>
  </si>
  <si>
    <t>UTI Nifty Midcap 150 Index Fund - Regular Plan</t>
  </si>
  <si>
    <t>UTI Nifty Midcap 150 Quality 50 Index Fund - Regular Plan</t>
  </si>
  <si>
    <t>UTI Nifty Midsmallcap 400 Momentum Quality 100 Index Fund - Regular Plan</t>
  </si>
  <si>
    <t>UTI Nifty Next 50 Exchange Traded Fund</t>
  </si>
  <si>
    <t>UTI Nifty Next 50 Index Fund - Regular Plan</t>
  </si>
  <si>
    <t>UTI Quant Fund - Regular Plan</t>
  </si>
  <si>
    <t>UTI Small Cap Fund - Regular Plan</t>
  </si>
  <si>
    <t>UTI Transportation and Logistics Fund - Regular Plan</t>
  </si>
  <si>
    <t>UTI Unit Linked Insurance Plan</t>
  </si>
  <si>
    <t>WhiteOak Capital Balanced Advantage Fund - Regular Plan</t>
  </si>
  <si>
    <t>WhiteOak Capital ESG Best-In-Class Strategy Fund - Regular Plan</t>
  </si>
  <si>
    <t>WhiteOak Capital Flexi Cap Fund - Regular Plan</t>
  </si>
  <si>
    <t>WhiteOak Capital Large Cap Fund - Regular Plan</t>
  </si>
  <si>
    <t>WhiteOak Capital Large &amp; Mid Cap Fund - Regular Plan</t>
  </si>
  <si>
    <t>WhiteOak Capital Mid Cap Fund - Regular Plan</t>
  </si>
  <si>
    <t>WhiteOak Capital Multi Asset Allocation Fund - Regular Plan</t>
  </si>
  <si>
    <t>WhiteOak Capital Multi Cap Fund - Regular Plan</t>
  </si>
  <si>
    <t>WhiteOak Capital Quality Equity Fund - Regular Plan</t>
  </si>
  <si>
    <t>WhiteOak Capital Special Opportunities Fund - Regular Plan</t>
  </si>
  <si>
    <t>Zerodha Nifty 100 ETF</t>
  </si>
  <si>
    <t>Zerodha Nifty Midcap 150 ETF</t>
  </si>
  <si>
    <t>Whats new? (July 2026)</t>
  </si>
  <si>
    <t>Debt</t>
  </si>
  <si>
    <t>Fund Name</t>
  </si>
  <si>
    <t>End Date</t>
  </si>
  <si>
    <t>Debt Mutual Funds (Ultra Short Duration)</t>
  </si>
  <si>
    <t>NIFTY Ultra Short Duration Debt Index</t>
  </si>
  <si>
    <t>Ultra Short - Fund Name ( Return CAGR )</t>
  </si>
  <si>
    <t>Equity</t>
  </si>
  <si>
    <t>Large Cap - Funds</t>
  </si>
  <si>
    <t>Large Cap - Funds (Return CAGR)</t>
  </si>
  <si>
    <t>Debt Mutual Funds (Low Duration)</t>
  </si>
  <si>
    <t>NIFTY Low Duration Debt Index</t>
  </si>
  <si>
    <t>Low Duration - Funds ( Return CAGR )</t>
  </si>
  <si>
    <t>SIP of 50000*36=1800000, Maturity Value Would be</t>
  </si>
  <si>
    <t>Large &amp; Mid Cap - Funds</t>
  </si>
  <si>
    <t>Debt Mutual Funds (Short Duration)</t>
  </si>
  <si>
    <t>NIFTY Short Duration Debt Index A-II</t>
  </si>
  <si>
    <t>Medium Term - Funds ( Return CAGR )</t>
  </si>
  <si>
    <t>Mid Cap - Funds</t>
  </si>
  <si>
    <t>NIFTY Midcap 100</t>
  </si>
  <si>
    <t>Mid Cap - Funds  (Return CAGR)</t>
  </si>
  <si>
    <t>3-Year CAGR</t>
  </si>
  <si>
    <t>Debt Mutual Funds (Medium Duration)</t>
  </si>
  <si>
    <t>NIFTY Medium Duration Debt Index A-III</t>
  </si>
  <si>
    <t>SIP of 50000*36=1800000 , Maturity Value Would be</t>
  </si>
  <si>
    <t>Small Cap - Funds</t>
  </si>
  <si>
    <t>NIFTY Smallcap 100</t>
  </si>
  <si>
    <t>Debt Mutual Funds (Medium to Long Duration)</t>
  </si>
  <si>
    <t>Small Cap - Funds ( Return CAGR )</t>
  </si>
  <si>
    <t>3-Yr CAGR</t>
  </si>
  <si>
    <t>1-Yr Return</t>
  </si>
  <si>
    <t>NIFTY Medium to Long Duration Debt Index</t>
  </si>
  <si>
    <t>Medium to Long Term - Funds ( Return CAGR )</t>
  </si>
  <si>
    <t>Others</t>
  </si>
  <si>
    <t>Flexi Cap - Funds</t>
  </si>
  <si>
    <t>Multi Asset</t>
  </si>
  <si>
    <t>Nifty 500</t>
  </si>
  <si>
    <t>Thematic</t>
  </si>
  <si>
    <t>BAF</t>
  </si>
  <si>
    <t>Nifty 50</t>
  </si>
  <si>
    <t>Page 1</t>
  </si>
  <si>
    <t>Rank</t>
  </si>
  <si>
    <t>Fund</t>
  </si>
  <si>
    <t>3 year Return</t>
  </si>
  <si>
    <t>1 year Return</t>
  </si>
  <si>
    <t>Large Cap</t>
  </si>
  <si>
    <t>Flexicap</t>
  </si>
  <si>
    <t>Medium to Long Duration Fund</t>
  </si>
  <si>
    <t>Multi-Asset</t>
  </si>
  <si>
    <t>Ranking</t>
  </si>
  <si>
    <t xml:space="preserve"> Funds (Equity)</t>
  </si>
  <si>
    <t>Consolidated</t>
  </si>
  <si>
    <t>S.No.</t>
  </si>
  <si>
    <t>Question</t>
  </si>
  <si>
    <t>Options</t>
  </si>
  <si>
    <t>Score Assigned</t>
  </si>
  <si>
    <t>Questions</t>
  </si>
  <si>
    <t>Investor Profile</t>
  </si>
  <si>
    <t>Personal &amp; Financial Information</t>
  </si>
  <si>
    <t>Age</t>
  </si>
  <si>
    <t>Early Career</t>
  </si>
  <si>
    <t>Mid-Career</t>
  </si>
  <si>
    <t>Pre-Retirement</t>
  </si>
  <si>
    <t>Retirement</t>
  </si>
  <si>
    <t>18-30</t>
  </si>
  <si>
    <t>(Question 1)</t>
  </si>
  <si>
    <t>31-45</t>
  </si>
  <si>
    <t>Financial Standing</t>
  </si>
  <si>
    <t>Limited Resources</t>
  </si>
  <si>
    <t>Stable Financials</t>
  </si>
  <si>
    <t>Affluent</t>
  </si>
  <si>
    <t>HNI/UHNI</t>
  </si>
  <si>
    <t>46-60</t>
  </si>
  <si>
    <t>(Question 2+3+4)</t>
  </si>
  <si>
    <t>&lt;5</t>
  </si>
  <si>
    <t>(6 - 8)</t>
  </si>
  <si>
    <t>(9-12)</t>
  </si>
  <si>
    <t>13&gt;</t>
  </si>
  <si>
    <t>60+</t>
  </si>
  <si>
    <t xml:space="preserve">Investment Objectives </t>
  </si>
  <si>
    <t>Wealth Creation</t>
  </si>
  <si>
    <t>Regular Income</t>
  </si>
  <si>
    <t>Safety &amp; Stability</t>
  </si>
  <si>
    <t>Aggressive Growth</t>
  </si>
  <si>
    <t>Annual Income</t>
  </si>
  <si>
    <t>Below ₹5 lakh</t>
  </si>
  <si>
    <t>(Question 6)</t>
  </si>
  <si>
    <t>₹5-10 lakh</t>
  </si>
  <si>
    <t>Time Horizon</t>
  </si>
  <si>
    <t>Short Term</t>
  </si>
  <si>
    <t>Short to Medium Term</t>
  </si>
  <si>
    <t>Medium Term</t>
  </si>
  <si>
    <t>Long Term</t>
  </si>
  <si>
    <t>₹10-25 lakh</t>
  </si>
  <si>
    <t>(Question 7)</t>
  </si>
  <si>
    <t>₹25-50 lakh</t>
  </si>
  <si>
    <t>Risk Appetite</t>
  </si>
  <si>
    <t>Conservative</t>
  </si>
  <si>
    <t>Aggressive</t>
  </si>
  <si>
    <t>₹50-100 lakh</t>
  </si>
  <si>
    <t>(Question 8)</t>
  </si>
  <si>
    <t>Above ₹1 Cr</t>
  </si>
  <si>
    <t xml:space="preserve">Investment Knowledge </t>
  </si>
  <si>
    <t>Beginner</t>
  </si>
  <si>
    <t>Basic Knowledge</t>
  </si>
  <si>
    <t>Moderate Knowledge</t>
  </si>
  <si>
    <t>Advanced Knowledge</t>
  </si>
  <si>
    <t>Annual Family Income</t>
  </si>
  <si>
    <t>(Question 9 + 10 )</t>
  </si>
  <si>
    <t>Model Portfolio</t>
  </si>
  <si>
    <t>Monthly Savings</t>
  </si>
  <si>
    <t>Less than 10%</t>
  </si>
  <si>
    <t>Type of MF</t>
  </si>
  <si>
    <t>SIP</t>
  </si>
  <si>
    <t>Lumpsum/SIP</t>
  </si>
  <si>
    <t>10%-15%</t>
  </si>
  <si>
    <t>Equity:Debt</t>
  </si>
  <si>
    <t>80:20</t>
  </si>
  <si>
    <t>70:30</t>
  </si>
  <si>
    <t>50:50</t>
  </si>
  <si>
    <t>40:60</t>
  </si>
  <si>
    <t xml:space="preserve"> 15-20%</t>
  </si>
  <si>
    <t>Suggested Funds: Equity</t>
  </si>
  <si>
    <t xml:space="preserve"> 20-30%</t>
  </si>
  <si>
    <t>Suggested Funds: Debt</t>
  </si>
  <si>
    <t xml:space="preserve"> More than 30%</t>
  </si>
  <si>
    <t>Investment Objective</t>
  </si>
  <si>
    <t>Investment Goal</t>
  </si>
  <si>
    <t>Income-Oriented</t>
  </si>
  <si>
    <t xml:space="preserve">Capital Protection </t>
  </si>
  <si>
    <t>Investment Horizon</t>
  </si>
  <si>
    <t>Less than 1 year</t>
  </si>
  <si>
    <t>Lumpsum</t>
  </si>
  <si>
    <t>1-3 years</t>
  </si>
  <si>
    <t>20:80</t>
  </si>
  <si>
    <t>3-5 years</t>
  </si>
  <si>
    <t>5+ years</t>
  </si>
  <si>
    <t>Will you be okay with?</t>
  </si>
  <si>
    <t>Gain/Loss of 15%</t>
  </si>
  <si>
    <t>Fixed gain of 5%</t>
  </si>
  <si>
    <t>Market Experience</t>
  </si>
  <si>
    <t xml:space="preserve">No exposure </t>
  </si>
  <si>
    <t>Limited exposure</t>
  </si>
  <si>
    <t>Actively invest or trade</t>
  </si>
  <si>
    <t>Knowledge of Investments</t>
  </si>
  <si>
    <t>Very Little to no knowledge</t>
  </si>
  <si>
    <t>Moderate level of knowledge</t>
  </si>
  <si>
    <t>Extensive investment knowledge</t>
  </si>
  <si>
    <t>Ultra Short Duration Fund ,Low Duration Fund ,Short Duration Fund</t>
  </si>
  <si>
    <t>Quesitons</t>
  </si>
  <si>
    <t>Option</t>
  </si>
  <si>
    <t>Points</t>
  </si>
  <si>
    <t>Persona</t>
  </si>
  <si>
    <t>Investable Surplus</t>
  </si>
  <si>
    <t>Annual Savings</t>
  </si>
  <si>
    <t>Additonal Funds avbl</t>
  </si>
  <si>
    <t>(Match with  morningstar)</t>
  </si>
  <si>
    <t>Equity Large Cap</t>
  </si>
  <si>
    <t>Actuals</t>
  </si>
  <si>
    <t>Normalized</t>
  </si>
  <si>
    <t>10 Yr Ret (%)</t>
  </si>
  <si>
    <t>SD</t>
  </si>
  <si>
    <t>Score</t>
  </si>
  <si>
    <t>Aditya Birla Sun Life Large Cap Fund - Reg - Growth</t>
  </si>
  <si>
    <t>HDFC Large Cap Fund - Growth</t>
  </si>
  <si>
    <t>ICICI Prudential Large Cap Fund - Growth</t>
  </si>
  <si>
    <t>Kotak Large Cap Fund - Reg - Growth</t>
  </si>
  <si>
    <t>Nippon India Large Cap Fund - Reg - Growth</t>
  </si>
  <si>
    <t>SBI Large Cap Fund - Growth</t>
  </si>
  <si>
    <t>UTI Large Cap Fund - Growth</t>
  </si>
  <si>
    <t>Equity Large &amp; Mid Cap</t>
  </si>
  <si>
    <t>SBI Large &amp; Midcap Fund - Growth</t>
  </si>
  <si>
    <t>Kotak Large &amp; Midcap Fund - Reg - Growth</t>
  </si>
  <si>
    <t>HDFC Large and Mid Cap Fund - Growth</t>
  </si>
  <si>
    <t>ICICI Prudential Large &amp; Mid Cap Fund - Growth</t>
  </si>
  <si>
    <t>Nippon India Vision Large &amp; Mid Cap Fund - Reg - Growth</t>
  </si>
  <si>
    <t>Aditya Birla Sun Life Large &amp; Mid Cap Fund - Growth</t>
  </si>
  <si>
    <t>UTI Large &amp; Mid Cap Fund - Growth</t>
  </si>
  <si>
    <t>Equity Mid Cap</t>
  </si>
  <si>
    <t>HDFC Mid Cap Fund - Growth</t>
  </si>
  <si>
    <t>Kotak Midcap Fund - Reg - Growth</t>
  </si>
  <si>
    <t>Nippon India Growth Mid Cap Fund - Reg - Growth</t>
  </si>
  <si>
    <t>SBI Midcap Fund - Growth</t>
  </si>
  <si>
    <t>UTI Mid Cap Fund - Growth</t>
  </si>
  <si>
    <t>ICICI Prudential MidCap Fund - Growth</t>
  </si>
  <si>
    <t>Aditya Birla Sun Life Mid Cap Fund - Plan A - Growth</t>
  </si>
  <si>
    <t>Equity Small Cap</t>
  </si>
  <si>
    <t>Nippon India Small Cap Fund - Reg - Growth</t>
  </si>
  <si>
    <t>HDFC Small Cap Fund - Growth</t>
  </si>
  <si>
    <t>SBI Small Cap Fund - Growth</t>
  </si>
  <si>
    <t>Kotak Small Cap Fund - Reg - Growth</t>
  </si>
  <si>
    <t>ICICI Prudential Smallcap Fund - Growth</t>
  </si>
  <si>
    <t>Aditya Birla Sun Life Small Cap Fund - Growth</t>
  </si>
  <si>
    <t>UTI Small Cap Fund - Reg - Growth</t>
  </si>
  <si>
    <t>Equity Focused Fund</t>
  </si>
  <si>
    <t>SBI Focused Fund - Growth</t>
  </si>
  <si>
    <t>HDFC Focused Fund - Growth</t>
  </si>
  <si>
    <t>Axis Focused Fund - Growth</t>
  </si>
  <si>
    <t>ICICI Prudential Focused Equity Fund  - Ret - Growth</t>
  </si>
  <si>
    <t>Nippon India Focused Fund - Reg - Growth</t>
  </si>
  <si>
    <t>Kotak Focused Fund - Reg - Growth</t>
  </si>
  <si>
    <t>UTI Focused Fund - Reg - Growth</t>
  </si>
  <si>
    <t>HDFC Balanced Advantage Fund - Growth</t>
  </si>
  <si>
    <t>ICICI Prudential Balanced Advantage Fund - Reg - Growth</t>
  </si>
  <si>
    <t>SBI Balanced Advantage Fund - Reg - Growth</t>
  </si>
  <si>
    <t>Kotak Balanced Advantage Fund - Reg - Growth</t>
  </si>
  <si>
    <t>UTI Balanced Advantage Fund - Reg - Growth</t>
  </si>
  <si>
    <t>Nippon India Balanced Advantage Fund - Reg - Growth</t>
  </si>
  <si>
    <t>Aditya Birla Sun Life Balanced Advantage Fund - Growth</t>
  </si>
  <si>
    <t>Multi Asset Fund</t>
  </si>
  <si>
    <t>ICICI Prudential Multi-Asset Fund - Growth</t>
  </si>
  <si>
    <t>SBI Multi Asset Allocation Fund - Growth</t>
  </si>
  <si>
    <t>Kotak Multi Asset Allocation Fund -Reg - Growth</t>
  </si>
  <si>
    <t>Nippon India Multi Asset Allocation Fund - Reg - Growth</t>
  </si>
  <si>
    <t>UTI Multi Asset Allocation Fund - Growth</t>
  </si>
  <si>
    <t>HDFC Multi - Asset Fund - Growth</t>
  </si>
  <si>
    <t>Aditya Birla Sun Life Multi Asset Allocation Fund - Reg - Growth</t>
  </si>
  <si>
    <t>Aditya Birla Sun Life PSU Equity Fund - Reg - Growth</t>
  </si>
  <si>
    <t>Aditya Birla Sun Life Banking and Financial Services Fund - Reg - Growth</t>
  </si>
  <si>
    <t>Aditya Birla Sun Life Quant Fund - Reg - Growth</t>
  </si>
  <si>
    <t>Aditya Birla Sun Life Business Cycle Fund - Reg - Growth</t>
  </si>
  <si>
    <t>Aditya Birla Sun Life Conglomerate Fund - Reg - Growth</t>
  </si>
  <si>
    <t>Aditya Birla Sun Life Transportation and Logistics Fund - Reg - Growth</t>
  </si>
  <si>
    <t>Aditya Birla Sun Life Manufacturing Equity Fund - Reg - Growth</t>
  </si>
  <si>
    <t>Aditya Birla Sun Life Pharma &amp; Healthcare Fund - Reg - Growth</t>
  </si>
  <si>
    <t>Aditya Birla Sun Life Special Opportunities Fund - Reg - Growth</t>
  </si>
  <si>
    <t>Aditya Birla Sun Life ESG Integration Strategy Fund - Reg - Growth</t>
  </si>
  <si>
    <t>UTI Quant Fund - Reg - Growth</t>
  </si>
  <si>
    <t>UTI Innovation Fund - Reg - Growth</t>
  </si>
  <si>
    <t>ICICI Prudential Pharma Healthcare and Diagnostics Fund - Reg - Growth</t>
  </si>
  <si>
    <t>ICICI Prudential Equity Minimum Variance Fund - Reg - Growth</t>
  </si>
  <si>
    <t>ICICI Prudential Bharat Consumption Fund - Reg - Growth</t>
  </si>
  <si>
    <t>ICICI Prudential Transportation and Logistics Fund - Reg - Growth</t>
  </si>
  <si>
    <t>ICICI Prudential Commodities Fund - Reg - Growth</t>
  </si>
  <si>
    <t>ICICI Prudential Housing Opportunities Fund - Reg - Growth</t>
  </si>
  <si>
    <t>ICICI Prudential PSU Equity Fund - Reg - Growth</t>
  </si>
  <si>
    <t>ICICI Prudential Quality Fund - Reg - Growth</t>
  </si>
  <si>
    <t>ICICI Prudential MNC Fund - Reg - Growth</t>
  </si>
  <si>
    <t>ICICI Prudential ESG Exclusionary Strategy Fund - Reg - Growth</t>
  </si>
  <si>
    <t>ICICI Prudential Rural Opportunities Fund - Reg - Growth</t>
  </si>
  <si>
    <t>ICICI Prudential Quant Fund - Reg - Growth</t>
  </si>
  <si>
    <t>ICICI Prudential Active Momentum Fund - Reg - Growth</t>
  </si>
  <si>
    <t>HDFC Banking &amp; Financial Services Fund - Reg - Growth</t>
  </si>
  <si>
    <t>HDFC Business Cycle Fund - Reg - Growth</t>
  </si>
  <si>
    <t>HDFC Pharma and Healthcare Fund - Reg - Growth</t>
  </si>
  <si>
    <t>HDFC Technology Fund - Reg - Growth</t>
  </si>
  <si>
    <t>HDFC Transportation and Logistics Fund - Reg - Growth</t>
  </si>
  <si>
    <t>HDFC Housing Opportunities Fund - Reg - Growth</t>
  </si>
  <si>
    <t>HDFC Non-Cyclical Consumer Fund - Reg - Growth</t>
  </si>
  <si>
    <t>HDFC MNC Fund - Reg - Growth</t>
  </si>
  <si>
    <t>HDFC Innovation Fund - Reg - Growth</t>
  </si>
  <si>
    <t>SBI Automotive Opportunities Fund - Reg - Growth</t>
  </si>
  <si>
    <t>SBI Quant Fund - Reg - Growth</t>
  </si>
  <si>
    <t>SBI Equity Minimum Variance Fund - Reg - Growth</t>
  </si>
  <si>
    <t>Nippon India Innovation Fund - Reg - Growth</t>
  </si>
  <si>
    <t>Nippon India Consumption Fund - Reg - Growth</t>
  </si>
  <si>
    <t>Nippon India US Equity Opportunities Fund - Reg - Growth</t>
  </si>
  <si>
    <t>Nippon India Taiwan Equity Fund - Reg - Growth</t>
  </si>
  <si>
    <t>Nippon India Japan Equity Fund - Reg  - Growth</t>
  </si>
  <si>
    <t>Nippon India Active Momentum Fund - Reg - Growth</t>
  </si>
  <si>
    <t>Nippon India Quant Fund - Reg - Growth</t>
  </si>
  <si>
    <t>Kotak Pioneer Fund - Reg - Growth</t>
  </si>
  <si>
    <t>Kotak Business Cycle Fund - Reg - Growth</t>
  </si>
  <si>
    <t>Kotak Manufacture in India Fund - Reg - Growth</t>
  </si>
  <si>
    <t>Kotak MNC Fund - Reg - Growth</t>
  </si>
  <si>
    <t>Kotak Special Opportunities Fund - Reg - Growth</t>
  </si>
  <si>
    <t>Kotak Consumption Fund - Reg - Growth</t>
  </si>
  <si>
    <t>Kotak Banking &amp; Financial Services Fund - Reg - Growth</t>
  </si>
  <si>
    <t>Kotak ESG Exclusionary Strategy Fund - Reg - Growth</t>
  </si>
  <si>
    <t>Kotak Quant Fund - Reg - Growth</t>
  </si>
  <si>
    <t>Kotak Technology Fund - Reg - Growth</t>
  </si>
  <si>
    <t>Kotak Healthcare Fund - Reg - Growth</t>
  </si>
  <si>
    <t>Turnover Ratio</t>
  </si>
  <si>
    <t>Aditya Birla Sun Life Large Cap Fund - Regular Plan</t>
  </si>
  <si>
    <t>ICICI Prudential Large Cap Fund</t>
  </si>
  <si>
    <t>Aditya Birla Sun Life Large &amp; Mid Cap Fund - Regular Plan</t>
  </si>
  <si>
    <t>Turnover</t>
  </si>
  <si>
    <t>360 ONE Balanced Hybrid Fund - Regular Plan</t>
  </si>
  <si>
    <t>HY-BH</t>
  </si>
  <si>
    <t>360 ONE Focused Fund - Regular Plan</t>
  </si>
  <si>
    <t>HY-AR</t>
  </si>
  <si>
    <t>Aditya Birla Sun Life Equity Hybrid '95 Fund - Regular Plan</t>
  </si>
  <si>
    <t>HY-AH</t>
  </si>
  <si>
    <t>HY-CH</t>
  </si>
  <si>
    <t>Aditya Birla Sun Life Regular Savings Fund - Regular Plan</t>
  </si>
  <si>
    <t>Aditya Birla Sun Life Retirement Fund - The 40s Plan - Regular Plan</t>
  </si>
  <si>
    <t>Aditya Birla Sun Life Retirement Fund - The 50s Plan - Regular Plan</t>
  </si>
  <si>
    <t>Axis Aggressive Hybrid Fund - Regular Plan</t>
  </si>
  <si>
    <t>Axis Children's - Regular Plan</t>
  </si>
  <si>
    <t>Axis Conservative Hybrid Fund - Regular Plan</t>
  </si>
  <si>
    <t>Axis Retirement Fund - Aggressive Plan - Regular Plan</t>
  </si>
  <si>
    <t>Axis Retirement Fund - Conservative Plan - Regular Plan</t>
  </si>
  <si>
    <t>Bajaj Finserv Small Cap Fund - Regular Plan</t>
  </si>
  <si>
    <t>Bandhan Aggressive Hybrid Fund - Regular Plan</t>
  </si>
  <si>
    <t>Bandhan Asset Allocation Fund - Aggressive Plan - Regular Plan</t>
  </si>
  <si>
    <t>Bandhan Asset Allocation Fund - Conservative Plan - Regular Plan</t>
  </si>
  <si>
    <t>Bandhan Asset Allocation Fund - Moderate Plan - Regular Plan</t>
  </si>
  <si>
    <t>Bandhan Conservative Hybrid Fund - Regular Plan</t>
  </si>
  <si>
    <t>Bandhan Retirement Fund - Regular Plan</t>
  </si>
  <si>
    <t>Bank of India Conservative Hybrid Fund - Regular Plan</t>
  </si>
  <si>
    <t>Bank of India Mid &amp; Small Cap Equity &amp; Debt Fund - Regular Plan</t>
  </si>
  <si>
    <t>Baroda BNP Paribas Aggressive Hybrid Fund - Regular Plan</t>
  </si>
  <si>
    <t>Baroda BNP Paribas Conservative Hybrid Fund - Regular Plan</t>
  </si>
  <si>
    <t>Baroda BNP Paribas Retirement Fund - Regular Plan</t>
  </si>
  <si>
    <t>Canara Robeco Conservative Hybrid Fund - Regular Plan</t>
  </si>
  <si>
    <t>Canara Robeco Equity Hybrid Fund - Regular Plan</t>
  </si>
  <si>
    <t>Canara Robeco Focused Fund - Regular Plan</t>
  </si>
  <si>
    <t>Canara Robeco Large and Mid Cap Fund - Regular Plan</t>
  </si>
  <si>
    <t>Canara Robeco Large Cap Fund - Regular Plan</t>
  </si>
  <si>
    <t>DSP Aggressive Hybrid Fund - Regular Plan</t>
  </si>
  <si>
    <t>DSP Regular Savings Fund - Regular Plan</t>
  </si>
  <si>
    <t>Edelweiss Aggressive Hybrid Fund - Regular Plan</t>
  </si>
  <si>
    <t>Franklin India Debt Hybrid Fund - Regular Plan</t>
  </si>
  <si>
    <t>Franklin India Equity Hybrid Fund - Regular Plan</t>
  </si>
  <si>
    <t>Franklin India Pension Fund - Regular Plan</t>
  </si>
  <si>
    <t>Groww Aggressive Hybrid Fund - Regular Plan</t>
  </si>
  <si>
    <t>HDFC Children's Fund - Regular Plan</t>
  </si>
  <si>
    <t>HDFC Focused Fund - Regular Plan</t>
  </si>
  <si>
    <t>HDFC Hybrid Debt Fund - Regular Plan</t>
  </si>
  <si>
    <t>HDFC Hybrid Equity Fund - Regular Plan</t>
  </si>
  <si>
    <t>HDFC Innovation Fund - Regular Plan</t>
  </si>
  <si>
    <t>HDFC Mid Cap Fund - Regular Plan</t>
  </si>
  <si>
    <t>HDFC Retirement Savings Fund - Hybrid Debt Plan - Regular Plan</t>
  </si>
  <si>
    <t>HDFC Retirement Savings Fund - Hybrid Equity Plan - Regular Plan</t>
  </si>
  <si>
    <t>HSBC Aggressive Hybrid Active FoF - Regular Plan</t>
  </si>
  <si>
    <t>HSBC Aggressive Hybrid Fund</t>
  </si>
  <si>
    <t>HSBC Conservative Hybrid Fund</t>
  </si>
  <si>
    <t>ICICI Prudential Child Care Fund - Gift Plan</t>
  </si>
  <si>
    <t>ICICI Prudential Equity &amp; Debt Fund</t>
  </si>
  <si>
    <t>ICICI Prudential Regular Savings Fund</t>
  </si>
  <si>
    <t>ICICI Prudential Retirement Fund - Hybrid Aggressive Plan</t>
  </si>
  <si>
    <t>ICICI Prudential Retirement Fund - Hybrid Conservative Plan</t>
  </si>
  <si>
    <t>Invesco India Aggressive Hybrid Fund - Regular Plan</t>
  </si>
  <si>
    <t>JM Aggressive Hybrid Fund</t>
  </si>
  <si>
    <t>JM Large &amp; Mid Cap Fund - Regular Plan</t>
  </si>
  <si>
    <t>Kotak Debt Hybrid Fund - Regular Plan</t>
  </si>
  <si>
    <t>Kotak Equity Hybrid Fund - Regular Plan</t>
  </si>
  <si>
    <t>LIC MF Aggressive Hybrid Fund</t>
  </si>
  <si>
    <t>LIC MF Conservative Hybrid Fund</t>
  </si>
  <si>
    <t>LIC MF Unit Linked Insurance</t>
  </si>
  <si>
    <t>Mahindra Manulife Aggressive Hybrid Fund - Regular Plan</t>
  </si>
  <si>
    <t>Mirae Asset Aggressive Hybrid Fund - Regular Plan</t>
  </si>
  <si>
    <t>Navi Aggressive Hybrid Fund - Regular Plan</t>
  </si>
  <si>
    <t>Nippon India Equity Hybrid Fund</t>
  </si>
  <si>
    <t>Nippon India Hybrid Bond Fund</t>
  </si>
  <si>
    <t>Nippon India MNC Fund - Regular Plan</t>
  </si>
  <si>
    <t>Nippon India Retirement Fund - Income Generation Scheme</t>
  </si>
  <si>
    <t>Old Bridge Focused Fund - Regular Plan</t>
  </si>
  <si>
    <t>Parag Parikh Conservative Hybrid Fund - Regular Plan</t>
  </si>
  <si>
    <t>PGIM India Aggressive Hybrid Equity Fund</t>
  </si>
  <si>
    <t>PGIM India Large Cap Fund - Regular Plan</t>
  </si>
  <si>
    <t>PGIM India Midcap Fund - Regular Plan</t>
  </si>
  <si>
    <t>Quant Absolute Fund</t>
  </si>
  <si>
    <t>SBI Conservative Hybrid Fund</t>
  </si>
  <si>
    <t>SBI Equity Hybrid Fund</t>
  </si>
  <si>
    <t>SBI Magnum Children's Benefit Fund - Investment Plan - Regular Plan</t>
  </si>
  <si>
    <t>SBI Magnum Children's Benefit Fund - Savings Plan</t>
  </si>
  <si>
    <t>SBI Retirement Benefit Fund - Aggressive Hybrid Plan - Regular Plan</t>
  </si>
  <si>
    <t>SBI Retirement Benefit Fund - Conservative Hybrid Plan - Regular Plan</t>
  </si>
  <si>
    <t>SBI Retirement Benefit Fund - Conservative Plan - Regular Plan</t>
  </si>
  <si>
    <t>Shriram Aggressive Hybrid Fund</t>
  </si>
  <si>
    <t>Sundaram Aggressive Hybrid Fund</t>
  </si>
  <si>
    <t>Sundaram Conservative Hybrid Fund</t>
  </si>
  <si>
    <t>Sundaram Multi-Factor Fund - Regular Plan</t>
  </si>
  <si>
    <t>Tata Hybrid Equity Fund - Regular Plan</t>
  </si>
  <si>
    <t>Tata Retirement Savings Fund - Conservative Plan - Regular Plan</t>
  </si>
  <si>
    <t>Tata Retirement Savings Fund - Moderate Plan - Regular Plan</t>
  </si>
  <si>
    <t>TRUSTMF Multi Cap Fund - Regular Plan</t>
  </si>
  <si>
    <t>Union Aggressive Hybrid Fund - Regular Plan</t>
  </si>
  <si>
    <t>UTI Aggressive Hybrid Fund - Regular Plan</t>
  </si>
  <si>
    <t>UTI Children's Hybrid Fund - Regular Plan</t>
  </si>
  <si>
    <t>UTI Conservative Hybrid Fund - Regular Plan</t>
  </si>
  <si>
    <t>UTI Retirement Fund - Regular Plan</t>
  </si>
  <si>
    <t>WhiteOak Capital Balanced Hybrid Fund - Regular Plan</t>
  </si>
  <si>
    <t>Sundaram Arbitrage Fund - Regular Plan</t>
  </si>
  <si>
    <t>Tata Arbitrage Fund - Regular Plan</t>
  </si>
  <si>
    <t>Union Arbitrage Fund - Regular Plan</t>
  </si>
  <si>
    <t>1,315.00</t>
  </si>
  <si>
    <t>UTI Arbitrage Fund - Regular Plan</t>
  </si>
  <si>
    <t>1,164.00</t>
  </si>
  <si>
    <t>WhiteOak Capital Arbitrage Fund - Regular Plan</t>
  </si>
  <si>
    <t>Ultra Short Duration Fund</t>
  </si>
  <si>
    <t>YTM</t>
  </si>
  <si>
    <t>Modified Duration</t>
  </si>
  <si>
    <t>Macaulay Duration</t>
  </si>
  <si>
    <t>3 Months</t>
  </si>
  <si>
    <t>6 Months</t>
  </si>
  <si>
    <t>9 Months</t>
  </si>
  <si>
    <t>1 Year</t>
  </si>
  <si>
    <t>2 Years</t>
  </si>
  <si>
    <t>3 Years</t>
  </si>
  <si>
    <t>5 Years</t>
  </si>
  <si>
    <t>10 Years</t>
  </si>
  <si>
    <t>Sovereign</t>
  </si>
  <si>
    <t>AAA/A1+</t>
  </si>
  <si>
    <t>AA+</t>
  </si>
  <si>
    <t>AA/AA-</t>
  </si>
  <si>
    <t>Below AA-</t>
  </si>
  <si>
    <t>Cash and Fixed Deposits</t>
  </si>
  <si>
    <t>Aditya Birla Sun Life Savings Fund - Reg - Growth</t>
  </si>
  <si>
    <t>HDFC Ultra Short Term Fund - Reg - Growth</t>
  </si>
  <si>
    <t>SBI Magnum Ultra Short Duration Fund - Growth</t>
  </si>
  <si>
    <t>ICICI Prudential Ultra Short Term Fund - Growth</t>
  </si>
  <si>
    <t>Kotak Savings Fund - Reg - Growth</t>
  </si>
  <si>
    <t>Nippon India Ultra Short Duration Fund - Reg - Growth</t>
  </si>
  <si>
    <t>UTI Ultra Short Duration Fund - Growth</t>
  </si>
  <si>
    <t>Low Duration Fund</t>
  </si>
  <si>
    <t>ICICI Prudential Savings Fund - Reg - Growth</t>
  </si>
  <si>
    <t>HDFC Low Duration Fund - Growth</t>
  </si>
  <si>
    <t>SBI Magnum Low Duration Fund - Growth</t>
  </si>
  <si>
    <t>Aditya Birla Sun Life Low Duration Fund - Reg - Growth</t>
  </si>
  <si>
    <t>Kotak Low Duration Fund - Std - Growth</t>
  </si>
  <si>
    <t>Nippon India Low Duration Fund - Reg - Growth</t>
  </si>
  <si>
    <t>UTI Low Duration Fund - Reg - Growth</t>
  </si>
  <si>
    <t>Short Duration Fund</t>
  </si>
  <si>
    <t>ICICI Prudential Short Term Fund - Growth</t>
  </si>
  <si>
    <t>Kotak Bond Short Term Fund - Reg - Growth</t>
  </si>
  <si>
    <t>HDFC Short Term Debt Fund - Growth</t>
  </si>
  <si>
    <t>SBI Short Term Debt Fund - Growth</t>
  </si>
  <si>
    <t>Aditya Birla Sun Life Short Term Fund - Reg - Growth</t>
  </si>
  <si>
    <t>Nippon India Short Duration Fund - Reg - Growth</t>
  </si>
  <si>
    <t>UTI Short Duration Fund - Reg - Growth</t>
  </si>
  <si>
    <t>Medium Duration Fund</t>
  </si>
  <si>
    <t>SBI Magnum Medium Duration Fund - Growth</t>
  </si>
  <si>
    <t>ICICI Prudential Medium Term Bond Fund - Growth</t>
  </si>
  <si>
    <t>HDFC Medium Term Debt Fund - Growth</t>
  </si>
  <si>
    <t>Aditya Birla Sun Life Medium Term Plan - Reg - Growth</t>
  </si>
  <si>
    <t>Kotak Medium Term Fund - Reg - Growth</t>
  </si>
  <si>
    <t>Nippon India Medium Duration Fund - Reg - Growth</t>
  </si>
  <si>
    <t>UTI Medium Duration Fund - Reg - Growth</t>
  </si>
  <si>
    <t>ICICI Prudential Bond Fund - Growth</t>
  </si>
  <si>
    <t>Aditya Birla Sun Life Income Fund - Reg - Growth</t>
  </si>
  <si>
    <t>Kotak Bond Fund - Reg - Growth</t>
  </si>
  <si>
    <t>SBI Magnum Income Fund - Growth</t>
  </si>
  <si>
    <t>HDFC Income Fund - Growth</t>
  </si>
  <si>
    <t>Nippon India Medium to Long Duration Fund - Reg - G P - Growth</t>
  </si>
  <si>
    <t>UTI Medium to Long Duration Fund - Growth</t>
  </si>
  <si>
    <t>Weightage for Equity Fund Ranking</t>
  </si>
  <si>
    <t>Large Cap Fund</t>
  </si>
  <si>
    <t>Large &amp; Mid Cap Funds</t>
  </si>
  <si>
    <t>Flexicap fund</t>
  </si>
  <si>
    <t>Small Cap</t>
  </si>
  <si>
    <t>Balanced Fund</t>
  </si>
  <si>
    <t>Multi Cap</t>
  </si>
  <si>
    <t>80 per cent of the corpus in top 100 companies by market cap</t>
  </si>
  <si>
    <t>Across Large, Mid-cap, Small Cap</t>
  </si>
  <si>
    <t xml:space="preserve">65% of their total assets in equity
shares of mid-cap companies </t>
  </si>
  <si>
    <t xml:space="preserve">65% of their total assets in equity
shares of small-cap companies </t>
  </si>
  <si>
    <t>Set allocation strategy; 60% E &amp; 40% D</t>
  </si>
  <si>
    <t>Dynamic Allocation</t>
  </si>
  <si>
    <t>Higher weightage</t>
  </si>
  <si>
    <t>Lower weightage</t>
  </si>
  <si>
    <t>5-Year CAGR</t>
  </si>
  <si>
    <t>10-Year CAGR</t>
  </si>
  <si>
    <t>Risk</t>
  </si>
  <si>
    <t>Return</t>
  </si>
  <si>
    <t>Upside Capture Ratio</t>
  </si>
  <si>
    <t>Downside capture ratio</t>
  </si>
  <si>
    <t>Weightage for Debt Fund Ranking</t>
  </si>
  <si>
    <t>3-6 Months</t>
  </si>
  <si>
    <t>6 -12 Months</t>
  </si>
  <si>
    <t>1 - 3 Years</t>
  </si>
  <si>
    <t>3 - 4 Years</t>
  </si>
  <si>
    <t>4 -7 Years</t>
  </si>
  <si>
    <t xml:space="preserve">9 Months </t>
  </si>
  <si>
    <t xml:space="preserve">1 Year </t>
  </si>
  <si>
    <t xml:space="preserve">2 Years </t>
  </si>
  <si>
    <t xml:space="preserve">3 Years </t>
  </si>
  <si>
    <t xml:space="preserve">5 Years </t>
  </si>
  <si>
    <t>Measures</t>
  </si>
  <si>
    <t>Portfolio Distribution</t>
  </si>
  <si>
    <t>Weightage for Hybrid Fund Ranking</t>
  </si>
  <si>
    <t>Balanced Advantage Fund</t>
  </si>
  <si>
    <t>Multiasset</t>
  </si>
  <si>
    <t>Aggressive Hybrid</t>
  </si>
  <si>
    <t>Conservative Hybrid</t>
  </si>
  <si>
    <t>Ratings</t>
  </si>
  <si>
    <t>Aditya Birla Sun Life Arbitrage Fund - Regular Plan</t>
  </si>
  <si>
    <t>Axis Arbitrage Fund - Regular Plan</t>
  </si>
  <si>
    <t>Bajaj Finserv Arbitrage Fund - Regular Plan</t>
  </si>
  <si>
    <t>Bandhan Arbitrage Fund - Regular Plan</t>
  </si>
  <si>
    <t>Bank of India Arbitrage Fund - Regular Plan</t>
  </si>
  <si>
    <t>Baroda BNP Paribas Arbitrage Fund - Regular Plan</t>
  </si>
  <si>
    <t>DSP Arbitrage Fund - Regular Plan</t>
  </si>
  <si>
    <t>Edelweiss Arbitrage Fund - Regular Plan</t>
  </si>
  <si>
    <t>Franklin India Arbitrage Fund - Regular Plan</t>
  </si>
  <si>
    <t>HDFC Arbitrage Fund - Wholesale - Regular Plan</t>
  </si>
  <si>
    <t>HSBC Arbitrage Fund - Regular Plan</t>
  </si>
  <si>
    <t>ICICI Prudential Equity Arbitrage Fund</t>
  </si>
  <si>
    <t>Invesco India Arbitrage Fund</t>
  </si>
  <si>
    <t>ITI Arbitrage Fund - Regular Plan</t>
  </si>
  <si>
    <t>JM Arbitrage Fund</t>
  </si>
  <si>
    <t>Kotak Equity Arbitrage Fund - Regular Plan</t>
  </si>
  <si>
    <t>Kotak Nifty200 Quality 30 ETF</t>
  </si>
  <si>
    <t>Kotak Nifty 200 Quality 30 Index Fund - Regular Plan</t>
  </si>
  <si>
    <t>LIC MF Arbitrage Fund - Regular Plan</t>
  </si>
  <si>
    <t>Mahindra Manulife Arbitrage Fund - Regular Plan</t>
  </si>
  <si>
    <t>Mirae Asset Arbitrage Fund - Regular Plan</t>
  </si>
  <si>
    <t>Motilal Oswal Arbitrage Fund - Regular Plan</t>
  </si>
  <si>
    <t>Nippon India Arbitrage Fund</t>
  </si>
  <si>
    <t>NJ Arbitrage Fund - Regular Plan</t>
  </si>
  <si>
    <t>Parag Parikh Arbitrage Fund - Regular Plan</t>
  </si>
  <si>
    <t>PGIM India Arbitrage Fund - Regular Plan</t>
  </si>
  <si>
    <t>Quant Arbitrage Fund - Regular Plan</t>
  </si>
  <si>
    <t>Samco Arbitrage Fund - Regular Plan</t>
  </si>
  <si>
    <t>SBI Arbitrage Opportunities Fund</t>
  </si>
  <si>
    <t>SBI Nifty200 Momentum 30 Index Fund - Regular Plan</t>
  </si>
  <si>
    <t>AMC</t>
  </si>
  <si>
    <t>AUM (In Cr)</t>
  </si>
  <si>
    <t>SBI Funds Management Ltd</t>
  </si>
  <si>
    <t>ICICI Prudential Asset Management Company Limited</t>
  </si>
  <si>
    <t>HDFC Asset Management Co Ltd</t>
  </si>
  <si>
    <t>Nippon Life India Asset Management Ltd</t>
  </si>
  <si>
    <t>Kotak Mahindra Asset Management Co Ltd</t>
  </si>
  <si>
    <t>Aditya Birla Sun Life AMC Ltd</t>
  </si>
  <si>
    <t>Axis Asset Management Company Limited</t>
  </si>
  <si>
    <t>UTI Asset Management Co Ltd</t>
  </si>
  <si>
    <t>Tata Asset Management Limited</t>
  </si>
  <si>
    <t>Mirae Asset Investment Managers (India) Private Limited</t>
  </si>
  <si>
    <t>Edelweiss Asset Management Limited</t>
  </si>
  <si>
    <t>DSP Asset Managers Private Limited</t>
  </si>
  <si>
    <t>Bandhan Asset Management Company Limited</t>
  </si>
  <si>
    <t>HSBC Asset Management (India) Private Ltd</t>
  </si>
  <si>
    <t>Invesco Asset Management (India) Private Ltd</t>
  </si>
  <si>
    <t>Canara Robeco Asset Management Co. Ltd.</t>
  </si>
  <si>
    <t>PPFAS Asset Management Pvt. Ltd</t>
  </si>
  <si>
    <t>Franklin Templeton Asst Mgmt(IND)Pvt Ltd</t>
  </si>
  <si>
    <t>Motilal Oswal Asset Management Company Limited - Portfolio Managers</t>
  </si>
  <si>
    <t>Quant Money Managers Limited</t>
  </si>
  <si>
    <t>Sundaram Asset Management Company Ltd</t>
  </si>
  <si>
    <t>Baroda BNP Paribas Asset Management India Pvt. Ltd.</t>
  </si>
  <si>
    <t>Union Asset Management Co. Pvt. Ltd.</t>
  </si>
  <si>
    <t>LIC Mutual Fund Asset Management Limited</t>
  </si>
  <si>
    <t>JM Financial Asset Management Limited</t>
  </si>
  <si>
    <t>Mahindra Manulife Investment Management Pvt. Ltd.</t>
  </si>
  <si>
    <t>PGIM India Asset Management Private Limited</t>
  </si>
  <si>
    <t>Bajaj Finserv Asset Management Limited</t>
  </si>
  <si>
    <t>WhiteOak Capital Asset Management Limited</t>
  </si>
  <si>
    <t>360 ONE Asset Management Limited</t>
  </si>
  <si>
    <t>Bank of India Investment Managers Private Limited</t>
  </si>
  <si>
    <t>ITI Asset Management Limited</t>
  </si>
  <si>
    <t>Navi AMC Limited</t>
  </si>
  <si>
    <t>NJ Asset Management Private Limited</t>
  </si>
  <si>
    <t>Zerodha Asset Management Private Limited</t>
  </si>
  <si>
    <t>Quantum Asset Management Co Pvt. Ltd.</t>
  </si>
  <si>
    <t>Samco Asset Management Pvt Ltd</t>
  </si>
  <si>
    <t>Trust Asset Management Private Limited</t>
  </si>
  <si>
    <t>IDBI Asset Management Limited</t>
  </si>
  <si>
    <t>Assumptions</t>
  </si>
  <si>
    <t>Weightage Assumptions</t>
  </si>
  <si>
    <t>Asset Allocator Fund</t>
  </si>
  <si>
    <t>Historical Performance Metrics</t>
  </si>
  <si>
    <t>Fund Management &amp; Expense</t>
  </si>
  <si>
    <t>Formula</t>
  </si>
  <si>
    <t>Performance</t>
  </si>
  <si>
    <t>Best for MF Estimation</t>
  </si>
  <si>
    <t>Definition</t>
  </si>
  <si>
    <t>3-Year</t>
  </si>
  <si>
    <t>5-Year (&amp; above) CAGR</t>
  </si>
  <si>
    <t>Point to Point Return</t>
  </si>
  <si>
    <t>Performannce against TRI</t>
  </si>
  <si>
    <t>A beta less than 1 indicates lower volatility than the market.</t>
  </si>
  <si>
    <t>Measures the fund's sensitivity to market movements.</t>
  </si>
  <si>
    <t>Lower the better</t>
  </si>
  <si>
    <t>Represents the riskiness of the stock or the mutual fund</t>
  </si>
  <si>
    <t>(Fund Return – Risk-Free Return)/SD of the fund</t>
  </si>
  <si>
    <t>Higher the better</t>
  </si>
  <si>
    <t>Measures the return per unit of risk by considering both the positive and negative returns</t>
  </si>
  <si>
    <t>(Fund Return – Risk-Free Return)/Downside Risk</t>
  </si>
  <si>
    <t>Modifies the Sharpe ratio and includes just the downside risk</t>
  </si>
  <si>
    <t>Rp​−[Rf​+β(Rm​−Rf​)]</t>
  </si>
  <si>
    <t>Excess return of the mutual fund over the benchmark return, on a risk-adjusted basis.</t>
  </si>
  <si>
    <t>estimate of how much of the Index’s upside the fund has captured</t>
  </si>
  <si>
    <t>estimate of how much of the Index’s downside returns the fund has captured.</t>
  </si>
  <si>
    <t>Reflects the fund's operating costs.</t>
  </si>
  <si>
    <t>Indicates how frequently assets within the fund are traded.</t>
  </si>
  <si>
    <t>What It Measures</t>
  </si>
  <si>
    <t>Impact</t>
  </si>
  <si>
    <t>Expected annual return if held to maturity</t>
  </si>
  <si>
    <t>Higher YTM = Higher future returns</t>
  </si>
  <si>
    <t>Average Maturity</t>
  </si>
  <si>
    <t>Weighted average time to maturity</t>
  </si>
  <si>
    <t>Longer maturity = More interest rate risk</t>
  </si>
  <si>
    <t>Price sensitivity to interest rates</t>
  </si>
  <si>
    <t>Higher = More risk</t>
  </si>
  <si>
    <t>Current Yield</t>
  </si>
  <si>
    <t>Income return from interest</t>
  </si>
  <si>
    <t>Higher = More regular income</t>
  </si>
  <si>
    <t>Credit Rating</t>
  </si>
  <si>
    <t>Bond safety</t>
  </si>
  <si>
    <t>AAA = Safe, BB or lower = Risky</t>
  </si>
  <si>
    <t>Interest Rate Risk</t>
  </si>
  <si>
    <t>NAV change due to interest rate shifts</t>
  </si>
  <si>
    <t>Higher duration = Higher risk</t>
  </si>
  <si>
    <t>Liquidity Risk</t>
  </si>
  <si>
    <t>Ease of selling bonds</t>
  </si>
  <si>
    <t>Higher risk in illiquid bonds</t>
  </si>
  <si>
    <t>Risk-adjusted return</t>
  </si>
  <si>
    <t>Higher = Better fund performance</t>
  </si>
  <si>
    <t>Fund management cost</t>
  </si>
  <si>
    <t>Lower = More investor returns</t>
  </si>
  <si>
    <t>Financial Product Catalog: A Ready Reckoner , As on 26th June 2026</t>
  </si>
  <si>
    <t>7.25% – 7.75%</t>
  </si>
  <si>
    <t>6.75% – 7.25%</t>
  </si>
  <si>
    <t>7.40% – 7.75%</t>
  </si>
  <si>
    <t>6.60% – 6.95%</t>
  </si>
  <si>
    <t>6.90% – 7.15%</t>
  </si>
  <si>
    <t>6.60% – 6.85%</t>
  </si>
  <si>
    <t>6.90% -7.25%</t>
  </si>
  <si>
    <t>6.75% – 7.10%</t>
  </si>
  <si>
    <t>6.85% -7.10%</t>
  </si>
  <si>
    <t>6.70% – 6.95%</t>
  </si>
  <si>
    <t>8.05% p.a.</t>
  </si>
  <si>
    <t>6.30% - 6.80%</t>
  </si>
  <si>
    <t>6.25% - 6.75%</t>
  </si>
  <si>
    <t>July 17, 2026</t>
  </si>
  <si>
    <t>July 03, 2026</t>
  </si>
  <si>
    <t>HDFC Nifty Auto Index Fund - Powered by India's Auto Momentum (NFO)</t>
  </si>
  <si>
    <t>TRUSTMF Large &amp; Mid Cap Fund (NFO)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</si>
</sst>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0.0%"/>
    <numFmt numFmtId="165" formatCode="_ * #,##0_ ;_ * \-#,##0_ ;_ * &quot;-&quot;??_ ;_ @_ "/>
    <numFmt numFmtId="166" formatCode="0.0"/>
  </numFmts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9"/>
      <color rgb="FF000000"/>
      <name val="Segoe UI"/>
      <family val="2"/>
    </font>
    <font>
      <sz val="9"/>
      <color rgb="FF000000"/>
      <name val="Segoe UI"/>
      <family val="2"/>
    </font>
    <font>
      <sz val="9"/>
      <color theme="1"/>
      <name val="Segoe UI"/>
      <family val="2"/>
    </font>
    <font>
      <b/>
      <sz val="9"/>
      <color theme="1"/>
      <name val="Segoe UI"/>
      <family val="2"/>
    </font>
    <font>
      <sz val="1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color theme="0"/>
      <name val="Calibri"/>
      <family val="2"/>
    </font>
    <font>
      <b/>
      <i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indexed="8"/>
      <name val="Calibri"/>
      <family val="2"/>
    </font>
    <font>
      <b/>
      <sz val="11"/>
      <color theme="0"/>
      <name val="Calibri"/>
      <family val="2"/>
    </font>
    <font>
      <sz val="11"/>
      <color indexed="8"/>
      <name val="Calibri"/>
      <family val="2"/>
    </font>
    <font>
      <sz val="10"/>
      <color rgb="FF000000"/>
      <name val="Times New Roman"/>
      <family val="1"/>
    </font>
    <font>
      <sz val="10"/>
      <color rgb="FF000000"/>
      <name val="Calibri"/>
      <family val="2"/>
    </font>
    <font>
      <b/>
      <sz val="10"/>
      <color rgb="FFFFFFFF"/>
      <name val="Calibri"/>
      <family val="2"/>
    </font>
    <font>
      <sz val="10"/>
      <color theme="1"/>
      <name val="Calibri"/>
      <family val="2"/>
    </font>
    <font>
      <b/>
      <sz val="10"/>
      <color theme="0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9F7F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79998168889431442"/>
        <bgColor indexed="8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0"/>
        <bgColor indexed="8"/>
      </patternFill>
    </fill>
    <fill>
      <patternFill patternType="solid">
        <fgColor theme="3" tint="0.89999084444715716"/>
        <bgColor indexed="8"/>
      </patternFill>
    </fill>
    <fill>
      <patternFill patternType="solid">
        <fgColor theme="3" tint="0.249977111117893"/>
        <bgColor indexed="8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1F5B97"/>
      </patternFill>
    </fill>
    <fill>
      <patternFill patternType="solid">
        <fgColor rgb="FFCFCFCF"/>
      </patternFill>
    </fill>
    <fill>
      <patternFill patternType="solid">
        <fgColor rgb="FFDAE8F7"/>
      </patternFill>
    </fill>
    <fill>
      <patternFill patternType="solid">
        <fgColor rgb="FFF0F0F0"/>
      </patternFill>
    </fill>
  </fills>
  <borders count="10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89857E"/>
      </left>
      <right style="medium">
        <color rgb="FF89857E"/>
      </right>
      <top style="medium">
        <color rgb="FF89857E"/>
      </top>
      <bottom style="medium">
        <color rgb="FF89857E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89857E"/>
      </right>
      <top style="medium">
        <color indexed="64"/>
      </top>
      <bottom/>
      <diagonal/>
    </border>
    <border>
      <left style="medium">
        <color rgb="FF89857E"/>
      </left>
      <right style="medium">
        <color rgb="FF89857E"/>
      </right>
      <top style="medium">
        <color indexed="64"/>
      </top>
      <bottom/>
      <diagonal/>
    </border>
    <border>
      <left style="medium">
        <color rgb="FF89857E"/>
      </left>
      <right/>
      <top style="medium">
        <color indexed="64"/>
      </top>
      <bottom style="medium">
        <color rgb="FF89857E"/>
      </bottom>
      <diagonal/>
    </border>
    <border>
      <left/>
      <right/>
      <top style="medium">
        <color indexed="64"/>
      </top>
      <bottom style="medium">
        <color rgb="FF89857E"/>
      </bottom>
      <diagonal/>
    </border>
    <border>
      <left style="medium">
        <color indexed="64"/>
      </left>
      <right style="medium">
        <color rgb="FF89857E"/>
      </right>
      <top style="medium">
        <color rgb="FF89857E"/>
      </top>
      <bottom/>
      <diagonal/>
    </border>
    <border>
      <left style="medium">
        <color indexed="64"/>
      </left>
      <right style="medium">
        <color rgb="FF89857E"/>
      </right>
      <top/>
      <bottom style="medium">
        <color rgb="FF89857E"/>
      </bottom>
      <diagonal/>
    </border>
    <border>
      <left style="medium">
        <color indexed="64"/>
      </left>
      <right style="medium">
        <color rgb="FF89857E"/>
      </right>
      <top/>
      <bottom style="medium">
        <color indexed="64"/>
      </bottom>
      <diagonal/>
    </border>
    <border>
      <left style="medium">
        <color rgb="FF89857E"/>
      </left>
      <right style="medium">
        <color rgb="FF89857E"/>
      </right>
      <top style="medium">
        <color rgb="FF89857E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89857E"/>
      </right>
      <top/>
      <bottom/>
      <diagonal/>
    </border>
    <border>
      <left style="medium">
        <color rgb="FF89857E"/>
      </left>
      <right style="medium">
        <color rgb="FF89857E"/>
      </right>
      <top style="medium">
        <color rgb="FF89857E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89857E"/>
      </bottom>
      <diagonal/>
    </border>
    <border>
      <left style="medium">
        <color rgb="FF89857E"/>
      </left>
      <right style="medium">
        <color indexed="64"/>
      </right>
      <top style="medium">
        <color rgb="FF89857E"/>
      </top>
      <bottom style="medium">
        <color rgb="FF89857E"/>
      </bottom>
      <diagonal/>
    </border>
    <border>
      <left style="medium">
        <color indexed="64"/>
      </left>
      <right style="medium">
        <color rgb="FF89857E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89857E"/>
      </left>
      <right style="medium">
        <color indexed="64"/>
      </right>
      <top style="medium">
        <color indexed="64"/>
      </top>
      <bottom style="medium">
        <color rgb="FF89857E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</borders>
  <cellStyleXfs count="8">
    <xf numFmtId="0" fontId="0" fillId="0" borderId="0"/>
    <xf numFmtId="9" fontId="1" fillId="0" borderId="0"/>
    <xf numFmtId="0" fontId="3" fillId="0" borderId="0"/>
    <xf numFmtId="43" fontId="1" fillId="0" borderId="0"/>
    <xf numFmtId="0" fontId="17" fillId="0" borderId="0"/>
    <xf numFmtId="0" fontId="17" fillId="0" borderId="0"/>
    <xf numFmtId="0" fontId="17" fillId="0" borderId="0"/>
    <xf numFmtId="0" fontId="18" fillId="0" borderId="0"/>
  </cellStyleXfs>
  <cellXfs count="461">
    <xf numFmtId="0" fontId="0" fillId="0" borderId="0" xfId="0"/>
    <xf numFmtId="0" fontId="0" fillId="0" borderId="0" xfId="0" applyAlignment="1">
      <alignment vertical="center" wrapText="1"/>
    </xf>
    <xf numFmtId="0" fontId="0" fillId="0" borderId="5" xfId="0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4" fillId="6" borderId="23" xfId="0" applyFont="1" applyFill="1" applyBorder="1" applyAlignment="1">
      <alignment horizontal="center" vertical="center" wrapText="1"/>
    </xf>
    <xf numFmtId="0" fontId="5" fillId="5" borderId="23" xfId="0" applyFont="1" applyFill="1" applyBorder="1" applyAlignment="1">
      <alignment horizontal="center" vertical="center" wrapText="1"/>
    </xf>
    <xf numFmtId="0" fontId="6" fillId="0" borderId="0" xfId="0" applyFont="1"/>
    <xf numFmtId="0" fontId="7" fillId="3" borderId="20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 wrapText="1"/>
    </xf>
    <xf numFmtId="0" fontId="7" fillId="3" borderId="22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6" fillId="0" borderId="12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16" xfId="0" applyFont="1" applyBorder="1" applyAlignment="1">
      <alignment vertical="center" wrapText="1"/>
    </xf>
    <xf numFmtId="0" fontId="6" fillId="0" borderId="17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4" fillId="3" borderId="23" xfId="0" applyFont="1" applyFill="1" applyBorder="1" applyAlignment="1">
      <alignment horizontal="left" vertical="top" wrapText="1"/>
    </xf>
    <xf numFmtId="0" fontId="4" fillId="3" borderId="23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7" fillId="0" borderId="10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2" fillId="0" borderId="0" xfId="0" applyFont="1"/>
    <xf numFmtId="0" fontId="2" fillId="0" borderId="12" xfId="0" applyFont="1" applyBorder="1"/>
    <xf numFmtId="0" fontId="0" fillId="2" borderId="24" xfId="0" applyFill="1" applyBorder="1"/>
    <xf numFmtId="0" fontId="2" fillId="0" borderId="10" xfId="0" applyFont="1" applyBorder="1"/>
    <xf numFmtId="0" fontId="2" fillId="2" borderId="19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13" xfId="0" applyFont="1" applyBorder="1" applyAlignment="1">
      <alignment vertical="center" wrapText="1"/>
    </xf>
    <xf numFmtId="0" fontId="0" fillId="0" borderId="24" xfId="0" applyBorder="1" applyAlignment="1">
      <alignment vertical="center" wrapText="1"/>
    </xf>
    <xf numFmtId="0" fontId="2" fillId="0" borderId="24" xfId="0" applyFont="1" applyBorder="1" applyAlignment="1">
      <alignment vertical="center" wrapText="1"/>
    </xf>
    <xf numFmtId="0" fontId="2" fillId="0" borderId="19" xfId="0" applyFont="1" applyBorder="1" applyAlignment="1">
      <alignment vertical="center" wrapText="1"/>
    </xf>
    <xf numFmtId="0" fontId="2" fillId="0" borderId="25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12" xfId="2" applyBorder="1" applyAlignment="1">
      <alignment vertical="center" wrapText="1"/>
    </xf>
    <xf numFmtId="9" fontId="0" fillId="0" borderId="0" xfId="0" applyNumberFormat="1"/>
    <xf numFmtId="0" fontId="0" fillId="0" borderId="0" xfId="0" applyAlignment="1">
      <alignment horizontal="center" wrapText="1"/>
    </xf>
    <xf numFmtId="0" fontId="2" fillId="7" borderId="20" xfId="0" applyFont="1" applyFill="1" applyBorder="1"/>
    <xf numFmtId="9" fontId="0" fillId="0" borderId="0" xfId="0" applyNumberFormat="1" applyAlignment="1">
      <alignment horizontal="center"/>
    </xf>
    <xf numFmtId="9" fontId="0" fillId="0" borderId="0" xfId="1" applyFont="1"/>
    <xf numFmtId="9" fontId="0" fillId="0" borderId="3" xfId="1" applyFont="1" applyBorder="1"/>
    <xf numFmtId="9" fontId="0" fillId="0" borderId="3" xfId="0" applyNumberFormat="1" applyBorder="1"/>
    <xf numFmtId="9" fontId="0" fillId="0" borderId="5" xfId="0" applyNumberFormat="1" applyBorder="1" applyAlignment="1">
      <alignment horizontal="center"/>
    </xf>
    <xf numFmtId="9" fontId="0" fillId="0" borderId="5" xfId="0" applyNumberFormat="1" applyBorder="1"/>
    <xf numFmtId="9" fontId="0" fillId="0" borderId="6" xfId="0" applyNumberFormat="1" applyBorder="1"/>
    <xf numFmtId="0" fontId="0" fillId="0" borderId="26" xfId="0" applyBorder="1"/>
    <xf numFmtId="0" fontId="2" fillId="0" borderId="27" xfId="0" applyFont="1" applyBorder="1"/>
    <xf numFmtId="0" fontId="2" fillId="0" borderId="28" xfId="0" applyFont="1" applyBorder="1"/>
    <xf numFmtId="9" fontId="0" fillId="8" borderId="1" xfId="1" applyFont="1" applyFill="1" applyBorder="1" applyAlignment="1">
      <alignment horizontal="center"/>
    </xf>
    <xf numFmtId="9" fontId="0" fillId="8" borderId="11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9" fontId="0" fillId="0" borderId="13" xfId="1" applyFont="1" applyBorder="1" applyAlignment="1">
      <alignment horizontal="center"/>
    </xf>
    <xf numFmtId="9" fontId="0" fillId="0" borderId="5" xfId="1" applyFont="1" applyBorder="1" applyAlignment="1">
      <alignment horizontal="center"/>
    </xf>
    <xf numFmtId="9" fontId="0" fillId="0" borderId="17" xfId="1" applyFont="1" applyBorder="1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0" borderId="13" xfId="1" applyNumberFormat="1" applyFont="1" applyBorder="1" applyAlignment="1">
      <alignment horizontal="center"/>
    </xf>
    <xf numFmtId="164" fontId="0" fillId="0" borderId="5" xfId="1" applyNumberFormat="1" applyFont="1" applyBorder="1" applyAlignment="1">
      <alignment horizontal="center"/>
    </xf>
    <xf numFmtId="164" fontId="0" fillId="0" borderId="15" xfId="1" applyNumberFormat="1" applyFont="1" applyBorder="1" applyAlignment="1">
      <alignment horizontal="center"/>
    </xf>
    <xf numFmtId="9" fontId="2" fillId="7" borderId="21" xfId="1" applyFont="1" applyFill="1" applyBorder="1" applyAlignment="1">
      <alignment horizontal="center"/>
    </xf>
    <xf numFmtId="9" fontId="2" fillId="7" borderId="22" xfId="1" applyFont="1" applyFill="1" applyBorder="1" applyAlignment="1">
      <alignment horizontal="center"/>
    </xf>
    <xf numFmtId="0" fontId="0" fillId="2" borderId="12" xfId="0" applyFill="1" applyBorder="1"/>
    <xf numFmtId="0" fontId="2" fillId="2" borderId="13" xfId="0" applyFont="1" applyFill="1" applyBorder="1" applyAlignment="1">
      <alignment horizontal="center" vertical="center" wrapText="1"/>
    </xf>
    <xf numFmtId="164" fontId="0" fillId="8" borderId="11" xfId="1" applyNumberFormat="1" applyFont="1" applyFill="1" applyBorder="1" applyAlignment="1">
      <alignment horizontal="center"/>
    </xf>
    <xf numFmtId="164" fontId="0" fillId="8" borderId="13" xfId="1" applyNumberFormat="1" applyFont="1" applyFill="1" applyBorder="1" applyAlignment="1">
      <alignment horizontal="center"/>
    </xf>
    <xf numFmtId="164" fontId="2" fillId="7" borderId="22" xfId="1" applyNumberFormat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/>
    </xf>
    <xf numFmtId="0" fontId="8" fillId="0" borderId="12" xfId="0" applyFont="1" applyBorder="1"/>
    <xf numFmtId="165" fontId="0" fillId="0" borderId="0" xfId="3" applyNumberFormat="1" applyFont="1" applyAlignment="1">
      <alignment vertical="center"/>
    </xf>
    <xf numFmtId="165" fontId="0" fillId="0" borderId="0" xfId="3" applyNumberFormat="1" applyFont="1" applyAlignment="1">
      <alignment horizontal="center" vertical="center"/>
    </xf>
    <xf numFmtId="0" fontId="8" fillId="0" borderId="16" xfId="0" applyFont="1" applyBorder="1"/>
    <xf numFmtId="0" fontId="0" fillId="0" borderId="17" xfId="0" applyBorder="1" applyAlignment="1">
      <alignment horizontal="center" vertical="center"/>
    </xf>
    <xf numFmtId="165" fontId="0" fillId="0" borderId="17" xfId="3" applyNumberFormat="1" applyFont="1" applyBorder="1" applyAlignment="1">
      <alignment vertical="center"/>
    </xf>
    <xf numFmtId="165" fontId="0" fillId="0" borderId="17" xfId="3" applyNumberFormat="1" applyFont="1" applyBorder="1" applyAlignment="1">
      <alignment horizontal="center" vertical="center"/>
    </xf>
    <xf numFmtId="0" fontId="0" fillId="0" borderId="18" xfId="0" applyBorder="1"/>
    <xf numFmtId="0" fontId="0" fillId="0" borderId="24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  <xf numFmtId="165" fontId="0" fillId="0" borderId="13" xfId="3" applyNumberFormat="1" applyFont="1" applyBorder="1" applyAlignment="1">
      <alignment vertical="center"/>
    </xf>
    <xf numFmtId="165" fontId="0" fillId="0" borderId="18" xfId="3" applyNumberFormat="1" applyFont="1" applyBorder="1" applyAlignment="1">
      <alignment vertical="center"/>
    </xf>
    <xf numFmtId="0" fontId="4" fillId="3" borderId="29" xfId="0" applyFont="1" applyFill="1" applyBorder="1" applyAlignment="1">
      <alignment horizontal="center" vertical="center" wrapText="1"/>
    </xf>
    <xf numFmtId="0" fontId="4" fillId="3" borderId="30" xfId="0" applyFont="1" applyFill="1" applyBorder="1" applyAlignment="1">
      <alignment horizontal="center" vertical="center" wrapText="1"/>
    </xf>
    <xf numFmtId="0" fontId="4" fillId="3" borderId="33" xfId="0" applyFont="1" applyFill="1" applyBorder="1" applyAlignment="1">
      <alignment horizontal="center" vertical="center" wrapText="1"/>
    </xf>
    <xf numFmtId="0" fontId="5" fillId="3" borderId="34" xfId="0" applyFont="1" applyFill="1" applyBorder="1" applyAlignment="1">
      <alignment horizontal="center" vertical="center" wrapText="1"/>
    </xf>
    <xf numFmtId="0" fontId="5" fillId="3" borderId="35" xfId="0" applyFont="1" applyFill="1" applyBorder="1" applyAlignment="1">
      <alignment horizontal="center" vertical="center" wrapText="1"/>
    </xf>
    <xf numFmtId="0" fontId="4" fillId="3" borderId="36" xfId="0" applyFont="1" applyFill="1" applyBorder="1" applyAlignment="1">
      <alignment horizontal="left" vertical="top" wrapText="1"/>
    </xf>
    <xf numFmtId="0" fontId="4" fillId="5" borderId="36" xfId="0" applyFont="1" applyFill="1" applyBorder="1" applyAlignment="1">
      <alignment horizontal="center" vertical="center" wrapText="1"/>
    </xf>
    <xf numFmtId="0" fontId="11" fillId="3" borderId="38" xfId="0" applyFont="1" applyFill="1" applyBorder="1" applyAlignment="1">
      <alignment horizontal="center" vertical="center" wrapText="1"/>
    </xf>
    <xf numFmtId="0" fontId="11" fillId="2" borderId="38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0" fillId="9" borderId="37" xfId="0" applyFont="1" applyFill="1" applyBorder="1" applyAlignment="1">
      <alignment horizontal="center" vertical="center" wrapText="1"/>
    </xf>
    <xf numFmtId="0" fontId="0" fillId="0" borderId="40" xfId="0" applyBorder="1" applyAlignment="1">
      <alignment vertical="center" wrapText="1"/>
    </xf>
    <xf numFmtId="0" fontId="0" fillId="0" borderId="43" xfId="0" applyBorder="1" applyAlignment="1">
      <alignment vertical="center" wrapText="1"/>
    </xf>
    <xf numFmtId="0" fontId="0" fillId="0" borderId="45" xfId="0" applyBorder="1" applyAlignment="1">
      <alignment vertical="center" wrapText="1"/>
    </xf>
    <xf numFmtId="0" fontId="0" fillId="0" borderId="46" xfId="0" applyBorder="1" applyAlignment="1">
      <alignment vertical="center" wrapText="1"/>
    </xf>
    <xf numFmtId="0" fontId="12" fillId="10" borderId="38" xfId="0" applyFont="1" applyFill="1" applyBorder="1" applyAlignment="1">
      <alignment horizontal="center" vertical="center" wrapText="1"/>
    </xf>
    <xf numFmtId="0" fontId="12" fillId="10" borderId="39" xfId="0" applyFont="1" applyFill="1" applyBorder="1" applyAlignment="1">
      <alignment horizontal="center" vertical="center" wrapText="1"/>
    </xf>
    <xf numFmtId="0" fontId="12" fillId="11" borderId="38" xfId="0" applyFont="1" applyFill="1" applyBorder="1" applyAlignment="1">
      <alignment horizontal="center" vertical="center" wrapText="1"/>
    </xf>
    <xf numFmtId="0" fontId="12" fillId="11" borderId="47" xfId="0" applyFont="1" applyFill="1" applyBorder="1" applyAlignment="1">
      <alignment horizontal="center" vertical="center" wrapText="1"/>
    </xf>
    <xf numFmtId="0" fontId="0" fillId="2" borderId="41" xfId="0" applyFill="1" applyBorder="1" applyAlignment="1">
      <alignment horizontal="center" vertical="center"/>
    </xf>
    <xf numFmtId="0" fontId="0" fillId="2" borderId="44" xfId="0" applyFill="1" applyBorder="1" applyAlignment="1">
      <alignment horizontal="center" vertical="center"/>
    </xf>
    <xf numFmtId="0" fontId="11" fillId="2" borderId="53" xfId="0" applyFont="1" applyFill="1" applyBorder="1" applyAlignment="1">
      <alignment horizontal="center" vertical="center" wrapText="1"/>
    </xf>
    <xf numFmtId="0" fontId="11" fillId="3" borderId="53" xfId="0" applyFont="1" applyFill="1" applyBorder="1" applyAlignment="1">
      <alignment horizontal="center" vertical="center" wrapText="1"/>
    </xf>
    <xf numFmtId="0" fontId="10" fillId="9" borderId="54" xfId="0" applyFont="1" applyFill="1" applyBorder="1" applyAlignment="1">
      <alignment horizontal="center" vertical="center" wrapText="1"/>
    </xf>
    <xf numFmtId="16" fontId="4" fillId="6" borderId="23" xfId="0" applyNumberFormat="1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0" fillId="0" borderId="41" xfId="0" applyBorder="1" applyAlignment="1">
      <alignment horizontal="center" vertical="center"/>
    </xf>
    <xf numFmtId="0" fontId="7" fillId="0" borderId="48" xfId="0" applyFont="1" applyBorder="1" applyAlignment="1">
      <alignment vertical="center" wrapText="1"/>
    </xf>
    <xf numFmtId="0" fontId="7" fillId="0" borderId="50" xfId="0" applyFont="1" applyBorder="1" applyAlignment="1">
      <alignment vertical="center" wrapText="1"/>
    </xf>
    <xf numFmtId="0" fontId="2" fillId="2" borderId="38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/>
    </xf>
    <xf numFmtId="0" fontId="4" fillId="5" borderId="23" xfId="0" applyFont="1" applyFill="1" applyBorder="1" applyAlignment="1">
      <alignment horizontal="center" vertical="center" wrapText="1"/>
    </xf>
    <xf numFmtId="0" fontId="11" fillId="3" borderId="59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wrapText="1"/>
    </xf>
    <xf numFmtId="0" fontId="0" fillId="0" borderId="44" xfId="0" applyBorder="1" applyAlignment="1">
      <alignment horizontal="center" vertical="center"/>
    </xf>
    <xf numFmtId="2" fontId="0" fillId="2" borderId="41" xfId="0" applyNumberFormat="1" applyFill="1" applyBorder="1" applyAlignment="1">
      <alignment vertical="center"/>
    </xf>
    <xf numFmtId="2" fontId="0" fillId="0" borderId="13" xfId="0" applyNumberFormat="1" applyBorder="1" applyAlignment="1">
      <alignment vertical="center"/>
    </xf>
    <xf numFmtId="2" fontId="0" fillId="2" borderId="44" xfId="0" applyNumberFormat="1" applyFill="1" applyBorder="1" applyAlignment="1">
      <alignment vertical="center"/>
    </xf>
    <xf numFmtId="2" fontId="0" fillId="0" borderId="18" xfId="0" applyNumberFormat="1" applyBorder="1" applyAlignment="1">
      <alignment vertical="center"/>
    </xf>
    <xf numFmtId="2" fontId="0" fillId="0" borderId="0" xfId="0" applyNumberFormat="1" applyAlignment="1">
      <alignment vertical="center"/>
    </xf>
    <xf numFmtId="0" fontId="2" fillId="0" borderId="1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2" fontId="0" fillId="2" borderId="48" xfId="0" applyNumberFormat="1" applyFill="1" applyBorder="1" applyAlignment="1">
      <alignment vertical="center"/>
    </xf>
    <xf numFmtId="2" fontId="0" fillId="2" borderId="49" xfId="0" applyNumberFormat="1" applyFill="1" applyBorder="1" applyAlignment="1">
      <alignment vertical="center"/>
    </xf>
    <xf numFmtId="2" fontId="0" fillId="2" borderId="50" xfId="0" applyNumberFormat="1" applyFill="1" applyBorder="1" applyAlignment="1">
      <alignment vertical="center"/>
    </xf>
    <xf numFmtId="2" fontId="0" fillId="2" borderId="51" xfId="0" applyNumberFormat="1" applyFill="1" applyBorder="1" applyAlignment="1">
      <alignment vertical="center"/>
    </xf>
    <xf numFmtId="0" fontId="2" fillId="14" borderId="48" xfId="0" applyFont="1" applyFill="1" applyBorder="1" applyAlignment="1">
      <alignment horizontal="center" vertical="center"/>
    </xf>
    <xf numFmtId="0" fontId="2" fillId="14" borderId="41" xfId="0" applyFont="1" applyFill="1" applyBorder="1" applyAlignment="1">
      <alignment horizontal="center" vertical="center"/>
    </xf>
    <xf numFmtId="0" fontId="2" fillId="0" borderId="24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2" fillId="2" borderId="25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164" fontId="0" fillId="8" borderId="1" xfId="1" applyNumberFormat="1" applyFont="1" applyFill="1" applyBorder="1" applyAlignment="1">
      <alignment horizontal="center"/>
    </xf>
    <xf numFmtId="0" fontId="0" fillId="0" borderId="41" xfId="0" applyBorder="1" applyAlignment="1">
      <alignment vertical="center" wrapText="1"/>
    </xf>
    <xf numFmtId="9" fontId="6" fillId="0" borderId="0" xfId="0" applyNumberFormat="1" applyFont="1"/>
    <xf numFmtId="0" fontId="5" fillId="3" borderId="63" xfId="0" applyFont="1" applyFill="1" applyBorder="1" applyAlignment="1">
      <alignment horizontal="center" vertical="center" wrapText="1"/>
    </xf>
    <xf numFmtId="0" fontId="4" fillId="3" borderId="64" xfId="0" applyFont="1" applyFill="1" applyBorder="1" applyAlignment="1">
      <alignment horizontal="left" vertical="top" wrapText="1"/>
    </xf>
    <xf numFmtId="0" fontId="4" fillId="3" borderId="66" xfId="0" applyFont="1" applyFill="1" applyBorder="1" applyAlignment="1">
      <alignment horizontal="center" vertical="center" wrapText="1"/>
    </xf>
    <xf numFmtId="0" fontId="5" fillId="5" borderId="66" xfId="0" applyFont="1" applyFill="1" applyBorder="1" applyAlignment="1">
      <alignment horizontal="center" vertical="center" wrapText="1"/>
    </xf>
    <xf numFmtId="0" fontId="5" fillId="0" borderId="66" xfId="0" applyFont="1" applyBorder="1" applyAlignment="1">
      <alignment horizontal="center" vertical="center" wrapText="1"/>
    </xf>
    <xf numFmtId="0" fontId="4" fillId="5" borderId="66" xfId="0" applyFont="1" applyFill="1" applyBorder="1" applyAlignment="1">
      <alignment horizontal="center" vertical="center" wrapText="1"/>
    </xf>
    <xf numFmtId="0" fontId="5" fillId="6" borderId="23" xfId="0" applyFont="1" applyFill="1" applyBorder="1" applyAlignment="1">
      <alignment horizontal="center" vertical="center" wrapText="1"/>
    </xf>
    <xf numFmtId="0" fontId="5" fillId="0" borderId="64" xfId="0" applyFont="1" applyBorder="1" applyAlignment="1">
      <alignment horizontal="center" vertical="center" wrapText="1"/>
    </xf>
    <xf numFmtId="0" fontId="5" fillId="3" borderId="67" xfId="0" applyFont="1" applyFill="1" applyBorder="1" applyAlignment="1">
      <alignment horizontal="center" vertical="center" wrapText="1"/>
    </xf>
    <xf numFmtId="0" fontId="5" fillId="6" borderId="23" xfId="0" quotePrefix="1" applyFont="1" applyFill="1" applyBorder="1" applyAlignment="1">
      <alignment horizontal="center" vertical="center" wrapText="1"/>
    </xf>
    <xf numFmtId="46" fontId="5" fillId="5" borderId="23" xfId="0" applyNumberFormat="1" applyFont="1" applyFill="1" applyBorder="1" applyAlignment="1">
      <alignment horizontal="center" vertical="center" wrapText="1"/>
    </xf>
    <xf numFmtId="46" fontId="5" fillId="5" borderId="23" xfId="0" quotePrefix="1" applyNumberFormat="1" applyFont="1" applyFill="1" applyBorder="1" applyAlignment="1">
      <alignment horizontal="center" vertical="center" wrapText="1"/>
    </xf>
    <xf numFmtId="0" fontId="5" fillId="5" borderId="23" xfId="0" quotePrefix="1" applyFont="1" applyFill="1" applyBorder="1" applyAlignment="1">
      <alignment horizontal="center" vertical="center" wrapText="1"/>
    </xf>
    <xf numFmtId="0" fontId="5" fillId="5" borderId="66" xfId="0" quotePrefix="1" applyFont="1" applyFill="1" applyBorder="1" applyAlignment="1">
      <alignment horizontal="center" vertical="center" wrapText="1"/>
    </xf>
    <xf numFmtId="0" fontId="5" fillId="0" borderId="64" xfId="0" quotePrefix="1" applyFont="1" applyBorder="1" applyAlignment="1">
      <alignment horizontal="center" vertical="center" wrapText="1"/>
    </xf>
    <xf numFmtId="46" fontId="5" fillId="0" borderId="64" xfId="0" quotePrefix="1" applyNumberFormat="1" applyFont="1" applyBorder="1" applyAlignment="1">
      <alignment horizontal="center" vertical="center" wrapText="1"/>
    </xf>
    <xf numFmtId="16" fontId="5" fillId="6" borderId="23" xfId="0" applyNumberFormat="1" applyFont="1" applyFill="1" applyBorder="1" applyAlignment="1">
      <alignment horizontal="center" vertical="center" wrapText="1"/>
    </xf>
    <xf numFmtId="0" fontId="5" fillId="6" borderId="66" xfId="0" applyFont="1" applyFill="1" applyBorder="1" applyAlignment="1">
      <alignment horizontal="center" vertical="center" wrapText="1"/>
    </xf>
    <xf numFmtId="0" fontId="5" fillId="6" borderId="36" xfId="0" applyFont="1" applyFill="1" applyBorder="1" applyAlignment="1">
      <alignment horizontal="center" vertical="center" wrapText="1"/>
    </xf>
    <xf numFmtId="0" fontId="5" fillId="5" borderId="36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2" borderId="42" xfId="0" applyFont="1" applyFill="1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2" fillId="2" borderId="47" xfId="0" applyFont="1" applyFill="1" applyBorder="1" applyAlignment="1">
      <alignment vertical="center"/>
    </xf>
    <xf numFmtId="0" fontId="2" fillId="3" borderId="38" xfId="0" applyFont="1" applyFill="1" applyBorder="1" applyAlignment="1">
      <alignment horizontal="center" vertical="center"/>
    </xf>
    <xf numFmtId="0" fontId="2" fillId="3" borderId="39" xfId="0" applyFont="1" applyFill="1" applyBorder="1" applyAlignment="1">
      <alignment horizontal="center" vertical="center"/>
    </xf>
    <xf numFmtId="0" fontId="0" fillId="0" borderId="44" xfId="0" applyBorder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0" borderId="69" xfId="0" applyBorder="1" applyAlignment="1">
      <alignment horizontal="center" wrapText="1"/>
    </xf>
    <xf numFmtId="0" fontId="0" fillId="0" borderId="53" xfId="0" applyBorder="1" applyAlignment="1">
      <alignment horizontal="center" wrapText="1"/>
    </xf>
    <xf numFmtId="0" fontId="0" fillId="0" borderId="70" xfId="0" applyBorder="1" applyAlignment="1">
      <alignment horizontal="center" wrapText="1"/>
    </xf>
    <xf numFmtId="0" fontId="0" fillId="0" borderId="72" xfId="0" applyBorder="1" applyAlignment="1">
      <alignment horizontal="center" wrapText="1"/>
    </xf>
    <xf numFmtId="0" fontId="2" fillId="0" borderId="12" xfId="0" applyFont="1" applyBorder="1" applyAlignment="1">
      <alignment wrapText="1"/>
    </xf>
    <xf numFmtId="0" fontId="12" fillId="11" borderId="53" xfId="0" applyFont="1" applyFill="1" applyBorder="1" applyAlignment="1">
      <alignment horizontal="center" vertical="center" wrapText="1"/>
    </xf>
    <xf numFmtId="0" fontId="0" fillId="0" borderId="70" xfId="0" applyBorder="1" applyAlignment="1">
      <alignment wrapText="1"/>
    </xf>
    <xf numFmtId="0" fontId="0" fillId="0" borderId="71" xfId="0" applyBorder="1" applyAlignment="1">
      <alignment wrapText="1"/>
    </xf>
    <xf numFmtId="9" fontId="0" fillId="8" borderId="69" xfId="1" applyFont="1" applyFill="1" applyBorder="1" applyAlignment="1">
      <alignment horizontal="center" wrapText="1"/>
    </xf>
    <xf numFmtId="9" fontId="0" fillId="8" borderId="1" xfId="1" applyFont="1" applyFill="1" applyBorder="1" applyAlignment="1">
      <alignment horizontal="center" wrapText="1"/>
    </xf>
    <xf numFmtId="9" fontId="0" fillId="8" borderId="56" xfId="1" applyFont="1" applyFill="1" applyBorder="1" applyAlignment="1">
      <alignment horizont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0" fillId="0" borderId="69" xfId="0" applyBorder="1" applyAlignment="1">
      <alignment horizontal="center" vertical="center" wrapText="1"/>
    </xf>
    <xf numFmtId="0" fontId="0" fillId="0" borderId="70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0" fontId="0" fillId="0" borderId="71" xfId="0" applyBorder="1" applyAlignment="1">
      <alignment horizontal="center" wrapText="1"/>
    </xf>
    <xf numFmtId="9" fontId="2" fillId="0" borderId="0" xfId="1" applyFont="1" applyAlignment="1">
      <alignment horizontal="center" wrapText="1"/>
    </xf>
    <xf numFmtId="9" fontId="2" fillId="0" borderId="13" xfId="1" applyFont="1" applyBorder="1" applyAlignment="1">
      <alignment horizontal="center" wrapText="1"/>
    </xf>
    <xf numFmtId="9" fontId="2" fillId="0" borderId="70" xfId="1" applyFont="1" applyBorder="1" applyAlignment="1">
      <alignment horizontal="center" wrapText="1"/>
    </xf>
    <xf numFmtId="164" fontId="1" fillId="0" borderId="70" xfId="1" applyNumberFormat="1" applyBorder="1" applyAlignment="1">
      <alignment horizontal="center" wrapText="1"/>
    </xf>
    <xf numFmtId="164" fontId="1" fillId="0" borderId="0" xfId="1" applyNumberFormat="1" applyAlignment="1">
      <alignment horizontal="center" wrapText="1"/>
    </xf>
    <xf numFmtId="164" fontId="1" fillId="0" borderId="71" xfId="1" applyNumberFormat="1" applyBorder="1" applyAlignment="1">
      <alignment horizontal="center" wrapText="1"/>
    </xf>
    <xf numFmtId="164" fontId="0" fillId="0" borderId="70" xfId="0" applyNumberFormat="1" applyBorder="1" applyAlignment="1">
      <alignment horizontal="center" wrapText="1"/>
    </xf>
    <xf numFmtId="164" fontId="0" fillId="0" borderId="70" xfId="0" applyNumberFormat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64" fontId="1" fillId="0" borderId="53" xfId="1" applyNumberFormat="1" applyBorder="1" applyAlignment="1">
      <alignment horizontal="center" wrapText="1"/>
    </xf>
    <xf numFmtId="9" fontId="1" fillId="8" borderId="69" xfId="1" applyFill="1" applyBorder="1" applyAlignment="1">
      <alignment horizontal="center" wrapText="1"/>
    </xf>
    <xf numFmtId="9" fontId="1" fillId="8" borderId="1" xfId="1" applyFill="1" applyBorder="1" applyAlignment="1">
      <alignment horizontal="center" wrapText="1"/>
    </xf>
    <xf numFmtId="9" fontId="1" fillId="8" borderId="56" xfId="1" applyFill="1" applyBorder="1" applyAlignment="1">
      <alignment horizontal="center" wrapText="1"/>
    </xf>
    <xf numFmtId="9" fontId="1" fillId="0" borderId="53" xfId="1" applyBorder="1" applyAlignment="1">
      <alignment horizontal="center" wrapText="1"/>
    </xf>
    <xf numFmtId="9" fontId="1" fillId="0" borderId="5" xfId="1" applyBorder="1" applyAlignment="1">
      <alignment horizontal="center" wrapText="1"/>
    </xf>
    <xf numFmtId="9" fontId="1" fillId="0" borderId="57" xfId="1" applyBorder="1" applyAlignment="1">
      <alignment horizontal="center" wrapText="1"/>
    </xf>
    <xf numFmtId="9" fontId="1" fillId="8" borderId="70" xfId="1" applyFill="1" applyBorder="1" applyAlignment="1">
      <alignment horizontal="center" wrapText="1"/>
    </xf>
    <xf numFmtId="9" fontId="1" fillId="8" borderId="0" xfId="1" applyFill="1" applyAlignment="1">
      <alignment horizontal="center" wrapText="1"/>
    </xf>
    <xf numFmtId="9" fontId="1" fillId="8" borderId="71" xfId="1" applyFill="1" applyBorder="1" applyAlignment="1">
      <alignment horizontal="center" wrapText="1"/>
    </xf>
    <xf numFmtId="9" fontId="1" fillId="0" borderId="70" xfId="1" applyBorder="1" applyAlignment="1">
      <alignment horizontal="center" wrapText="1"/>
    </xf>
    <xf numFmtId="9" fontId="1" fillId="0" borderId="0" xfId="1" applyAlignment="1">
      <alignment horizontal="center" wrapText="1"/>
    </xf>
    <xf numFmtId="9" fontId="1" fillId="0" borderId="71" xfId="1" applyBorder="1" applyAlignment="1">
      <alignment horizontal="center" wrapText="1"/>
    </xf>
    <xf numFmtId="0" fontId="0" fillId="0" borderId="17" xfId="0" applyBorder="1"/>
    <xf numFmtId="0" fontId="2" fillId="2" borderId="9" xfId="0" applyFont="1" applyFill="1" applyBorder="1" applyAlignment="1">
      <alignment horizontal="center" vertical="center" wrapText="1"/>
    </xf>
    <xf numFmtId="9" fontId="0" fillId="8" borderId="11" xfId="1" applyFont="1" applyFill="1" applyBorder="1" applyAlignment="1">
      <alignment horizontal="center" wrapText="1"/>
    </xf>
    <xf numFmtId="164" fontId="1" fillId="0" borderId="13" xfId="1" applyNumberFormat="1" applyBorder="1" applyAlignment="1">
      <alignment horizontal="center" wrapText="1"/>
    </xf>
    <xf numFmtId="164" fontId="0" fillId="0" borderId="13" xfId="0" applyNumberFormat="1" applyBorder="1" applyAlignment="1">
      <alignment horizontal="center" vertical="center" wrapText="1"/>
    </xf>
    <xf numFmtId="9" fontId="1" fillId="8" borderId="11" xfId="1" applyFill="1" applyBorder="1" applyAlignment="1">
      <alignment horizontal="center" wrapText="1"/>
    </xf>
    <xf numFmtId="9" fontId="1" fillId="0" borderId="15" xfId="1" applyBorder="1" applyAlignment="1">
      <alignment horizontal="center" wrapText="1"/>
    </xf>
    <xf numFmtId="9" fontId="1" fillId="8" borderId="13" xfId="1" applyFill="1" applyBorder="1" applyAlignment="1">
      <alignment horizontal="center" wrapText="1"/>
    </xf>
    <xf numFmtId="9" fontId="1" fillId="0" borderId="13" xfId="1" applyBorder="1" applyAlignment="1">
      <alignment horizontal="center" wrapText="1"/>
    </xf>
    <xf numFmtId="0" fontId="0" fillId="0" borderId="17" xfId="0" applyBorder="1" applyAlignment="1">
      <alignment wrapText="1"/>
    </xf>
    <xf numFmtId="0" fontId="2" fillId="7" borderId="74" xfId="0" applyFont="1" applyFill="1" applyBorder="1" applyAlignment="1">
      <alignment horizontal="center" vertical="center" wrapText="1"/>
    </xf>
    <xf numFmtId="0" fontId="2" fillId="7" borderId="69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5" xfId="0" applyBorder="1" applyAlignment="1">
      <alignment wrapText="1"/>
    </xf>
    <xf numFmtId="2" fontId="0" fillId="0" borderId="0" xfId="1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2" fontId="0" fillId="0" borderId="17" xfId="1" applyNumberFormat="1" applyFont="1" applyBorder="1" applyAlignment="1">
      <alignment horizontal="center" vertical="center"/>
    </xf>
    <xf numFmtId="2" fontId="0" fillId="0" borderId="2" xfId="1" applyNumberFormat="1" applyFon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55" xfId="1" applyNumberFormat="1" applyFont="1" applyBorder="1" applyAlignment="1">
      <alignment horizontal="center" vertical="center"/>
    </xf>
    <xf numFmtId="2" fontId="0" fillId="0" borderId="52" xfId="0" applyNumberFormat="1" applyBorder="1" applyAlignment="1">
      <alignment horizontal="center" vertical="center"/>
    </xf>
    <xf numFmtId="0" fontId="10" fillId="15" borderId="75" xfId="4" applyFont="1" applyFill="1" applyBorder="1" applyAlignment="1">
      <alignment horizontal="center" vertical="center" wrapText="1"/>
    </xf>
    <xf numFmtId="0" fontId="10" fillId="15" borderId="75" xfId="4" applyFont="1" applyFill="1" applyBorder="1" applyAlignment="1">
      <alignment horizontal="center" vertical="center"/>
    </xf>
    <xf numFmtId="0" fontId="15" fillId="0" borderId="0" xfId="4" applyFont="1" applyAlignment="1">
      <alignment horizontal="center" vertical="center" wrapText="1"/>
    </xf>
    <xf numFmtId="0" fontId="15" fillId="0" borderId="75" xfId="4" applyFont="1" applyBorder="1"/>
    <xf numFmtId="4" fontId="15" fillId="0" borderId="75" xfId="4" applyNumberFormat="1" applyFont="1" applyBorder="1"/>
    <xf numFmtId="0" fontId="15" fillId="0" borderId="0" xfId="4" applyFont="1"/>
    <xf numFmtId="0" fontId="2" fillId="0" borderId="12" xfId="0" applyFont="1" applyBorder="1" applyAlignment="1">
      <alignment vertical="center"/>
    </xf>
    <xf numFmtId="0" fontId="10" fillId="16" borderId="75" xfId="4" applyFont="1" applyFill="1" applyBorder="1" applyAlignment="1">
      <alignment horizontal="center" vertical="center" wrapText="1"/>
    </xf>
    <xf numFmtId="2" fontId="15" fillId="12" borderId="41" xfId="4" applyNumberFormat="1" applyFont="1" applyFill="1" applyBorder="1"/>
    <xf numFmtId="0" fontId="16" fillId="17" borderId="76" xfId="4" applyFont="1" applyFill="1" applyBorder="1" applyAlignment="1">
      <alignment horizontal="center" vertical="center" wrapText="1"/>
    </xf>
    <xf numFmtId="0" fontId="15" fillId="3" borderId="0" xfId="4" applyFont="1" applyFill="1" applyAlignment="1">
      <alignment horizontal="center" vertical="center" wrapText="1"/>
    </xf>
    <xf numFmtId="0" fontId="0" fillId="0" borderId="27" xfId="0" applyBorder="1" applyAlignment="1">
      <alignment wrapText="1"/>
    </xf>
    <xf numFmtId="0" fontId="2" fillId="3" borderId="12" xfId="0" applyFont="1" applyFill="1" applyBorder="1" applyAlignment="1">
      <alignment horizontal="center" vertical="center" wrapText="1"/>
    </xf>
    <xf numFmtId="0" fontId="0" fillId="0" borderId="74" xfId="0" applyBorder="1" applyAlignment="1">
      <alignment wrapText="1"/>
    </xf>
    <xf numFmtId="0" fontId="0" fillId="0" borderId="77" xfId="0" applyBorder="1" applyAlignment="1">
      <alignment horizontal="center" wrapText="1"/>
    </xf>
    <xf numFmtId="0" fontId="2" fillId="3" borderId="13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 wrapText="1"/>
    </xf>
    <xf numFmtId="0" fontId="2" fillId="7" borderId="11" xfId="0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wrapText="1"/>
    </xf>
    <xf numFmtId="0" fontId="2" fillId="3" borderId="70" xfId="0" applyFont="1" applyFill="1" applyBorder="1" applyAlignment="1">
      <alignment horizontal="center" vertical="center" wrapText="1"/>
    </xf>
    <xf numFmtId="0" fontId="0" fillId="0" borderId="41" xfId="0" applyBorder="1" applyAlignment="1">
      <alignment horizontal="center" wrapText="1"/>
    </xf>
    <xf numFmtId="0" fontId="0" fillId="7" borderId="12" xfId="0" applyFill="1" applyBorder="1" applyAlignment="1">
      <alignment vertical="center"/>
    </xf>
    <xf numFmtId="9" fontId="0" fillId="0" borderId="72" xfId="1" applyFont="1" applyBorder="1" applyAlignment="1">
      <alignment horizontal="center"/>
    </xf>
    <xf numFmtId="9" fontId="0" fillId="0" borderId="73" xfId="1" applyFont="1" applyBorder="1" applyAlignment="1">
      <alignment horizontal="center"/>
    </xf>
    <xf numFmtId="0" fontId="10" fillId="3" borderId="53" xfId="0" applyFont="1" applyFill="1" applyBorder="1" applyAlignment="1">
      <alignment horizontal="center" vertical="center" wrapText="1"/>
    </xf>
    <xf numFmtId="0" fontId="10" fillId="2" borderId="53" xfId="0" applyFont="1" applyFill="1" applyBorder="1" applyAlignment="1">
      <alignment horizontal="center" vertical="center" wrapText="1"/>
    </xf>
    <xf numFmtId="0" fontId="10" fillId="2" borderId="38" xfId="0" applyFont="1" applyFill="1" applyBorder="1" applyAlignment="1">
      <alignment horizontal="center" vertical="center" wrapText="1"/>
    </xf>
    <xf numFmtId="0" fontId="12" fillId="18" borderId="53" xfId="0" applyFont="1" applyFill="1" applyBorder="1" applyAlignment="1">
      <alignment horizontal="center" vertical="center" wrapText="1"/>
    </xf>
    <xf numFmtId="0" fontId="10" fillId="3" borderId="38" xfId="6" applyFont="1" applyFill="1" applyBorder="1" applyAlignment="1">
      <alignment horizontal="center" vertical="center" wrapText="1"/>
    </xf>
    <xf numFmtId="0" fontId="10" fillId="3" borderId="53" xfId="6" applyFont="1" applyFill="1" applyBorder="1" applyAlignment="1">
      <alignment horizontal="center" vertical="center" wrapText="1"/>
    </xf>
    <xf numFmtId="0" fontId="17" fillId="0" borderId="0" xfId="6"/>
    <xf numFmtId="0" fontId="17" fillId="0" borderId="75" xfId="6" applyBorder="1"/>
    <xf numFmtId="2" fontId="15" fillId="0" borderId="0" xfId="4" applyNumberFormat="1" applyFont="1"/>
    <xf numFmtId="2" fontId="15" fillId="12" borderId="0" xfId="4" applyNumberFormat="1" applyFont="1" applyFill="1"/>
    <xf numFmtId="10" fontId="0" fillId="0" borderId="69" xfId="0" applyNumberFormat="1" applyBorder="1" applyAlignment="1">
      <alignment horizontal="center" wrapText="1"/>
    </xf>
    <xf numFmtId="10" fontId="0" fillId="0" borderId="70" xfId="0" applyNumberFormat="1" applyBorder="1" applyAlignment="1">
      <alignment horizontal="center" wrapText="1"/>
    </xf>
    <xf numFmtId="10" fontId="0" fillId="0" borderId="72" xfId="0" applyNumberFormat="1" applyBorder="1" applyAlignment="1">
      <alignment horizontal="center" wrapText="1"/>
    </xf>
    <xf numFmtId="10" fontId="0" fillId="0" borderId="11" xfId="0" applyNumberFormat="1" applyBorder="1" applyAlignment="1">
      <alignment horizontal="center" wrapText="1"/>
    </xf>
    <xf numFmtId="10" fontId="0" fillId="0" borderId="13" xfId="0" applyNumberFormat="1" applyBorder="1" applyAlignment="1">
      <alignment horizontal="center" wrapText="1"/>
    </xf>
    <xf numFmtId="10" fontId="0" fillId="0" borderId="18" xfId="0" applyNumberFormat="1" applyBorder="1" applyAlignment="1">
      <alignment horizontal="center" wrapText="1"/>
    </xf>
    <xf numFmtId="0" fontId="15" fillId="4" borderId="75" xfId="4" applyFont="1" applyFill="1" applyBorder="1"/>
    <xf numFmtId="0" fontId="0" fillId="0" borderId="72" xfId="0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166" fontId="0" fillId="0" borderId="56" xfId="0" applyNumberForma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2" fontId="2" fillId="7" borderId="9" xfId="0" applyNumberFormat="1" applyFont="1" applyFill="1" applyBorder="1" applyAlignment="1">
      <alignment vertical="center"/>
    </xf>
    <xf numFmtId="0" fontId="17" fillId="0" borderId="40" xfId="6" applyBorder="1"/>
    <xf numFmtId="0" fontId="11" fillId="4" borderId="38" xfId="0" applyFont="1" applyFill="1" applyBorder="1" applyAlignment="1">
      <alignment horizontal="center" vertical="center" wrapText="1"/>
    </xf>
    <xf numFmtId="0" fontId="11" fillId="4" borderId="42" xfId="0" applyFont="1" applyFill="1" applyBorder="1" applyAlignment="1">
      <alignment horizontal="center" vertical="center" wrapText="1"/>
    </xf>
    <xf numFmtId="2" fontId="14" fillId="13" borderId="57" xfId="0" applyNumberFormat="1" applyFont="1" applyFill="1" applyBorder="1" applyAlignment="1">
      <alignment horizontal="center" vertical="center" wrapText="1"/>
    </xf>
    <xf numFmtId="0" fontId="13" fillId="12" borderId="21" xfId="0" applyFont="1" applyFill="1" applyBorder="1" applyAlignment="1">
      <alignment vertical="center"/>
    </xf>
    <xf numFmtId="0" fontId="2" fillId="7" borderId="20" xfId="0" applyFont="1" applyFill="1" applyBorder="1" applyAlignment="1">
      <alignment vertical="center"/>
    </xf>
    <xf numFmtId="0" fontId="2" fillId="7" borderId="21" xfId="0" applyFont="1" applyFill="1" applyBorder="1" applyAlignment="1">
      <alignment vertical="center"/>
    </xf>
    <xf numFmtId="0" fontId="2" fillId="7" borderId="22" xfId="0" applyFont="1" applyFill="1" applyBorder="1" applyAlignment="1">
      <alignment vertical="center"/>
    </xf>
    <xf numFmtId="0" fontId="0" fillId="2" borderId="69" xfId="0" applyFill="1" applyBorder="1" applyAlignment="1">
      <alignment horizontal="center" vertical="center"/>
    </xf>
    <xf numFmtId="2" fontId="0" fillId="2" borderId="69" xfId="0" applyNumberFormat="1" applyFill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3" borderId="0" xfId="0" applyFont="1" applyFill="1" applyAlignment="1">
      <alignment horizontal="center" vertical="center" wrapText="1"/>
    </xf>
    <xf numFmtId="0" fontId="0" fillId="0" borderId="12" xfId="0" applyBorder="1"/>
    <xf numFmtId="0" fontId="0" fillId="0" borderId="16" xfId="0" applyBorder="1"/>
    <xf numFmtId="0" fontId="0" fillId="0" borderId="14" xfId="0" applyBorder="1"/>
    <xf numFmtId="0" fontId="0" fillId="0" borderId="49" xfId="0" applyBorder="1" applyAlignment="1">
      <alignment horizontal="center" vertical="center" wrapText="1"/>
    </xf>
    <xf numFmtId="0" fontId="0" fillId="0" borderId="72" xfId="0" applyBorder="1"/>
    <xf numFmtId="0" fontId="0" fillId="0" borderId="41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/>
    </xf>
    <xf numFmtId="0" fontId="0" fillId="0" borderId="2" xfId="0" applyBorder="1"/>
    <xf numFmtId="0" fontId="0" fillId="0" borderId="4" xfId="0" applyBorder="1"/>
    <xf numFmtId="2" fontId="14" fillId="13" borderId="25" xfId="0" applyNumberFormat="1" applyFont="1" applyFill="1" applyBorder="1" applyAlignment="1">
      <alignment horizontal="center" vertical="center" wrapText="1"/>
    </xf>
    <xf numFmtId="0" fontId="0" fillId="0" borderId="13" xfId="0" applyBorder="1"/>
    <xf numFmtId="2" fontId="14" fillId="13" borderId="15" xfId="0" applyNumberFormat="1" applyFont="1" applyFill="1" applyBorder="1" applyAlignment="1">
      <alignment horizontal="center" vertical="center" wrapText="1"/>
    </xf>
    <xf numFmtId="0" fontId="19" fillId="0" borderId="0" xfId="7" applyFont="1" applyAlignment="1">
      <alignment horizontal="left" vertical="center"/>
    </xf>
    <xf numFmtId="0" fontId="19" fillId="0" borderId="90" xfId="7" applyFont="1" applyBorder="1" applyAlignment="1">
      <alignment horizontal="left" vertical="center" wrapText="1"/>
    </xf>
    <xf numFmtId="0" fontId="19" fillId="0" borderId="90" xfId="7" applyFont="1" applyBorder="1" applyAlignment="1">
      <alignment vertical="center" wrapText="1"/>
    </xf>
    <xf numFmtId="0" fontId="19" fillId="0" borderId="3" xfId="7" applyFont="1" applyBorder="1" applyAlignment="1">
      <alignment horizontal="left" vertical="center"/>
    </xf>
    <xf numFmtId="0" fontId="19" fillId="0" borderId="0" xfId="7" applyFont="1" applyAlignment="1">
      <alignment horizontal="left" vertical="center" wrapText="1"/>
    </xf>
    <xf numFmtId="0" fontId="19" fillId="0" borderId="2" xfId="7" applyFont="1" applyBorder="1" applyAlignment="1">
      <alignment vertical="center" wrapText="1"/>
    </xf>
    <xf numFmtId="0" fontId="19" fillId="0" borderId="0" xfId="7" applyFont="1" applyAlignment="1">
      <alignment vertical="center" wrapText="1"/>
    </xf>
    <xf numFmtId="0" fontId="19" fillId="0" borderId="3" xfId="7" applyFont="1" applyBorder="1" applyAlignment="1">
      <alignment horizontal="left" vertical="center" wrapText="1"/>
    </xf>
    <xf numFmtId="0" fontId="19" fillId="0" borderId="95" xfId="7" applyFont="1" applyBorder="1" applyAlignment="1">
      <alignment horizontal="left" vertical="center" wrapText="1"/>
    </xf>
    <xf numFmtId="0" fontId="23" fillId="20" borderId="92" xfId="7" applyFont="1" applyFill="1" applyBorder="1" applyAlignment="1">
      <alignment horizontal="center" vertical="center" wrapText="1"/>
    </xf>
    <xf numFmtId="0" fontId="23" fillId="20" borderId="93" xfId="7" applyFont="1" applyFill="1" applyBorder="1" applyAlignment="1">
      <alignment horizontal="center" vertical="center" wrapText="1"/>
    </xf>
    <xf numFmtId="0" fontId="24" fillId="0" borderId="92" xfId="7" applyFont="1" applyBorder="1" applyAlignment="1">
      <alignment horizontal="left" vertical="center" wrapText="1"/>
    </xf>
    <xf numFmtId="0" fontId="24" fillId="0" borderId="93" xfId="7" applyFont="1" applyBorder="1" applyAlignment="1">
      <alignment horizontal="left" vertical="center" wrapText="1"/>
    </xf>
    <xf numFmtId="0" fontId="23" fillId="20" borderId="93" xfId="7" applyFont="1" applyFill="1" applyBorder="1" applyAlignment="1">
      <alignment horizontal="left" vertical="center" wrapText="1"/>
    </xf>
    <xf numFmtId="0" fontId="23" fillId="20" borderId="94" xfId="7" applyFont="1" applyFill="1" applyBorder="1" applyAlignment="1">
      <alignment horizontal="center" vertical="center" wrapText="1"/>
    </xf>
    <xf numFmtId="10" fontId="26" fillId="0" borderId="93" xfId="7" applyNumberFormat="1" applyFont="1" applyBorder="1" applyAlignment="1">
      <alignment horizontal="center" vertical="center" shrinkToFit="1"/>
    </xf>
    <xf numFmtId="10" fontId="26" fillId="0" borderId="94" xfId="7" applyNumberFormat="1" applyFont="1" applyBorder="1" applyAlignment="1">
      <alignment horizontal="center" vertical="center" shrinkToFit="1"/>
    </xf>
    <xf numFmtId="10" fontId="19" fillId="0" borderId="93" xfId="7" applyNumberFormat="1" applyFont="1" applyBorder="1" applyAlignment="1">
      <alignment horizontal="center" vertical="center" shrinkToFit="1"/>
    </xf>
    <xf numFmtId="10" fontId="19" fillId="0" borderId="94" xfId="7" applyNumberFormat="1" applyFont="1" applyBorder="1" applyAlignment="1">
      <alignment horizontal="center" vertical="center" shrinkToFit="1"/>
    </xf>
    <xf numFmtId="0" fontId="23" fillId="0" borderId="92" xfId="7" applyFont="1" applyBorder="1" applyAlignment="1">
      <alignment horizontal="left" vertical="center" wrapText="1"/>
    </xf>
    <xf numFmtId="0" fontId="23" fillId="20" borderId="92" xfId="7" applyFont="1" applyFill="1" applyBorder="1" applyAlignment="1">
      <alignment horizontal="left" vertical="center" wrapText="1"/>
    </xf>
    <xf numFmtId="0" fontId="23" fillId="0" borderId="93" xfId="7" applyFont="1" applyBorder="1" applyAlignment="1">
      <alignment horizontal="left" vertical="center" wrapText="1"/>
    </xf>
    <xf numFmtId="164" fontId="19" fillId="0" borderId="94" xfId="7" applyNumberFormat="1" applyFont="1" applyBorder="1" applyAlignment="1">
      <alignment horizontal="center" vertical="center" shrinkToFit="1"/>
    </xf>
    <xf numFmtId="0" fontId="23" fillId="0" borderId="4" xfId="7" applyFont="1" applyBorder="1" applyAlignment="1">
      <alignment vertical="center" wrapText="1"/>
    </xf>
    <xf numFmtId="0" fontId="23" fillId="0" borderId="5" xfId="7" applyFont="1" applyBorder="1" applyAlignment="1">
      <alignment vertical="center" wrapText="1"/>
    </xf>
    <xf numFmtId="0" fontId="23" fillId="0" borderId="6" xfId="7" applyFont="1" applyBorder="1" applyAlignment="1">
      <alignment horizontal="right" vertical="center" wrapText="1" indent="1"/>
    </xf>
    <xf numFmtId="0" fontId="19" fillId="0" borderId="0" xfId="7" applyFont="1" applyAlignment="1">
      <alignment horizontal="left" vertical="top"/>
    </xf>
    <xf numFmtId="0" fontId="25" fillId="22" borderId="93" xfId="7" applyFont="1" applyFill="1" applyBorder="1" applyAlignment="1">
      <alignment horizontal="left" vertical="center" wrapText="1"/>
    </xf>
    <xf numFmtId="0" fontId="23" fillId="22" borderId="93" xfId="7" applyFont="1" applyFill="1" applyBorder="1" applyAlignment="1">
      <alignment horizontal="center" vertical="center" wrapText="1"/>
    </xf>
    <xf numFmtId="0" fontId="24" fillId="0" borderId="93" xfId="7" applyFont="1" applyBorder="1" applyAlignment="1">
      <alignment horizontal="center" vertical="center" wrapText="1"/>
    </xf>
    <xf numFmtId="0" fontId="21" fillId="0" borderId="93" xfId="7" applyFont="1" applyBorder="1" applyAlignment="1">
      <alignment horizontal="left" vertical="center" wrapText="1"/>
    </xf>
    <xf numFmtId="0" fontId="23" fillId="0" borderId="0" xfId="7" applyFont="1" applyAlignment="1">
      <alignment vertical="center" wrapText="1"/>
    </xf>
    <xf numFmtId="10" fontId="26" fillId="0" borderId="93" xfId="7" applyNumberFormat="1" applyFont="1" applyBorder="1" applyAlignment="1">
      <alignment horizontal="center" vertical="center" shrinkToFit="1"/>
    </xf>
    <xf numFmtId="0" fontId="0" fillId="0" borderId="88" xfId="0" applyBorder="1"/>
    <xf numFmtId="0" fontId="0" fillId="0" borderId="89" xfId="0" applyBorder="1"/>
    <xf numFmtId="0" fontId="24" fillId="0" borderId="93" xfId="7" applyFont="1" applyBorder="1" applyAlignment="1">
      <alignment horizontal="center" vertical="center" wrapText="1"/>
    </xf>
    <xf numFmtId="0" fontId="24" fillId="0" borderId="93" xfId="7" applyFont="1" applyBorder="1" applyAlignment="1">
      <alignment horizontal="left" vertical="center" wrapText="1"/>
    </xf>
    <xf numFmtId="10" fontId="19" fillId="0" borderId="93" xfId="7" applyNumberFormat="1" applyFont="1" applyBorder="1" applyAlignment="1">
      <alignment horizontal="center" vertical="center" shrinkToFit="1"/>
    </xf>
    <xf numFmtId="0" fontId="19" fillId="0" borderId="93" xfId="7" applyFont="1" applyBorder="1" applyAlignment="1">
      <alignment horizontal="left" vertical="center" wrapText="1"/>
    </xf>
    <xf numFmtId="0" fontId="23" fillId="20" borderId="93" xfId="7" applyFont="1" applyFill="1" applyBorder="1" applyAlignment="1">
      <alignment horizontal="center" vertical="center" wrapText="1"/>
    </xf>
    <xf numFmtId="0" fontId="23" fillId="21" borderId="93" xfId="7" applyFont="1" applyFill="1" applyBorder="1" applyAlignment="1">
      <alignment horizontal="center" vertical="center" wrapText="1"/>
    </xf>
    <xf numFmtId="0" fontId="22" fillId="19" borderId="93" xfId="7" applyFont="1" applyFill="1" applyBorder="1" applyAlignment="1">
      <alignment horizontal="center" vertical="center" wrapText="1"/>
    </xf>
    <xf numFmtId="0" fontId="19" fillId="0" borderId="93" xfId="7" applyFont="1" applyBorder="1" applyAlignment="1">
      <alignment horizontal="center" vertical="center" wrapText="1"/>
    </xf>
    <xf numFmtId="0" fontId="20" fillId="19" borderId="93" xfId="7" applyFont="1" applyFill="1" applyBorder="1" applyAlignment="1">
      <alignment horizontal="center" vertical="center" wrapText="1"/>
    </xf>
    <xf numFmtId="0" fontId="23" fillId="22" borderId="93" xfId="7" applyFont="1" applyFill="1" applyBorder="1" applyAlignment="1">
      <alignment horizontal="center" vertical="center" wrapText="1"/>
    </xf>
    <xf numFmtId="0" fontId="2" fillId="3" borderId="79" xfId="0" applyFont="1" applyFill="1" applyBorder="1" applyAlignment="1">
      <alignment horizontal="center"/>
    </xf>
    <xf numFmtId="0" fontId="0" fillId="0" borderId="22" xfId="0" applyBorder="1"/>
    <xf numFmtId="3" fontId="23" fillId="0" borderId="93" xfId="7" applyNumberFormat="1" applyFont="1" applyBorder="1" applyAlignment="1">
      <alignment horizontal="right" vertical="center" wrapText="1"/>
    </xf>
    <xf numFmtId="0" fontId="19" fillId="0" borderId="94" xfId="7" applyFont="1" applyBorder="1" applyAlignment="1">
      <alignment horizontal="left" vertical="center" wrapText="1"/>
    </xf>
    <xf numFmtId="0" fontId="0" fillId="0" borderId="91" xfId="0" applyBorder="1"/>
    <xf numFmtId="0" fontId="19" fillId="0" borderId="90" xfId="7" applyFont="1" applyBorder="1" applyAlignment="1">
      <alignment horizontal="left" vertical="center" wrapText="1"/>
    </xf>
    <xf numFmtId="0" fontId="0" fillId="0" borderId="90" xfId="0" applyBorder="1"/>
    <xf numFmtId="0" fontId="19" fillId="0" borderId="87" xfId="7" applyFont="1" applyBorder="1" applyAlignment="1">
      <alignment horizontal="left" vertical="center" wrapText="1"/>
    </xf>
    <xf numFmtId="0" fontId="22" fillId="19" borderId="92" xfId="7" applyFont="1" applyFill="1" applyBorder="1" applyAlignment="1">
      <alignment horizontal="center" vertical="center" wrapText="1"/>
    </xf>
    <xf numFmtId="0" fontId="19" fillId="0" borderId="98" xfId="7" applyFont="1" applyBorder="1" applyAlignment="1">
      <alignment horizontal="left" vertical="center" wrapText="1"/>
    </xf>
    <xf numFmtId="0" fontId="0" fillId="0" borderId="85" xfId="0" applyBorder="1"/>
    <xf numFmtId="0" fontId="0" fillId="0" borderId="86" xfId="0" applyBorder="1"/>
    <xf numFmtId="0" fontId="19" fillId="0" borderId="92" xfId="7" applyFont="1" applyBorder="1" applyAlignment="1">
      <alignment horizontal="left" vertical="center" wrapText="1"/>
    </xf>
    <xf numFmtId="0" fontId="19" fillId="0" borderId="99" xfId="7" applyFont="1" applyBorder="1" applyAlignment="1">
      <alignment horizontal="left" vertical="center" wrapText="1"/>
    </xf>
    <xf numFmtId="0" fontId="19" fillId="0" borderId="0" xfId="7" applyFont="1" applyAlignment="1">
      <alignment horizontal="left" vertical="center"/>
    </xf>
    <xf numFmtId="0" fontId="0" fillId="0" borderId="3" xfId="0" applyBorder="1"/>
    <xf numFmtId="0" fontId="19" fillId="0" borderId="96" xfId="7" applyFont="1" applyBorder="1" applyAlignment="1">
      <alignment horizontal="left" vertical="center" wrapText="1"/>
    </xf>
    <xf numFmtId="0" fontId="0" fillId="0" borderId="95" xfId="0" applyBorder="1"/>
    <xf numFmtId="0" fontId="20" fillId="19" borderId="92" xfId="7" applyFont="1" applyFill="1" applyBorder="1" applyAlignment="1">
      <alignment horizontal="center" vertical="center" wrapText="1"/>
    </xf>
    <xf numFmtId="0" fontId="20" fillId="19" borderId="97" xfId="7" applyFont="1" applyFill="1" applyBorder="1" applyAlignment="1">
      <alignment horizontal="center" vertical="center" wrapText="1"/>
    </xf>
    <xf numFmtId="0" fontId="0" fillId="0" borderId="83" xfId="0" applyBorder="1"/>
    <xf numFmtId="0" fontId="0" fillId="0" borderId="84" xfId="0" applyBorder="1"/>
    <xf numFmtId="0" fontId="22" fillId="19" borderId="94" xfId="7" applyFont="1" applyFill="1" applyBorder="1" applyAlignment="1">
      <alignment horizontal="center" vertical="center" wrapText="1"/>
    </xf>
    <xf numFmtId="0" fontId="2" fillId="12" borderId="74" xfId="0" applyFont="1" applyFill="1" applyBorder="1" applyAlignment="1">
      <alignment horizontal="center" vertical="center" wrapText="1"/>
    </xf>
    <xf numFmtId="0" fontId="0" fillId="0" borderId="12" xfId="0" applyBorder="1"/>
    <xf numFmtId="0" fontId="0" fillId="0" borderId="14" xfId="0" applyBorder="1"/>
    <xf numFmtId="0" fontId="2" fillId="3" borderId="81" xfId="0" applyFont="1" applyFill="1" applyBorder="1" applyAlignment="1">
      <alignment horizontal="center" wrapText="1"/>
    </xf>
    <xf numFmtId="0" fontId="0" fillId="0" borderId="8" xfId="0" applyBorder="1"/>
    <xf numFmtId="0" fontId="0" fillId="0" borderId="9" xfId="0" applyBorder="1"/>
    <xf numFmtId="0" fontId="2" fillId="12" borderId="80" xfId="0" applyFont="1" applyFill="1" applyBorder="1" applyAlignment="1">
      <alignment horizontal="center" vertical="center" wrapText="1"/>
    </xf>
    <xf numFmtId="0" fontId="0" fillId="0" borderId="16" xfId="0" applyBorder="1"/>
    <xf numFmtId="0" fontId="0" fillId="12" borderId="12" xfId="0" applyFill="1" applyBorder="1" applyAlignment="1">
      <alignment horizontal="center" vertical="center" wrapText="1"/>
    </xf>
    <xf numFmtId="0" fontId="2" fillId="12" borderId="10" xfId="0" applyFont="1" applyFill="1" applyBorder="1" applyAlignment="1">
      <alignment horizontal="center" vertical="center" wrapText="1"/>
    </xf>
    <xf numFmtId="0" fontId="4" fillId="2" borderId="82" xfId="0" applyFont="1" applyFill="1" applyBorder="1" applyAlignment="1">
      <alignment horizontal="center" vertical="center" wrapText="1"/>
    </xf>
    <xf numFmtId="0" fontId="0" fillId="0" borderId="32" xfId="0" applyBorder="1"/>
    <xf numFmtId="0" fontId="0" fillId="0" borderId="65" xfId="0" applyBorder="1"/>
    <xf numFmtId="0" fontId="7" fillId="2" borderId="81" xfId="0" applyFont="1" applyFill="1" applyBorder="1" applyAlignment="1">
      <alignment horizontal="center" vertical="center" wrapText="1"/>
    </xf>
    <xf numFmtId="0" fontId="4" fillId="2" borderId="31" xfId="0" applyFont="1" applyFill="1" applyBorder="1" applyAlignment="1">
      <alignment horizontal="center" vertical="center" wrapText="1"/>
    </xf>
    <xf numFmtId="0" fontId="0" fillId="0" borderId="49" xfId="0" applyBorder="1" applyAlignment="1">
      <alignment horizontal="center" vertical="center" wrapText="1"/>
    </xf>
    <xf numFmtId="0" fontId="0" fillId="0" borderId="71" xfId="0" applyBorder="1"/>
    <xf numFmtId="0" fontId="0" fillId="0" borderId="57" xfId="0" applyBorder="1"/>
    <xf numFmtId="0" fontId="0" fillId="0" borderId="44" xfId="0" applyBorder="1" applyAlignment="1">
      <alignment horizontal="center" vertical="center" wrapText="1"/>
    </xf>
    <xf numFmtId="0" fontId="0" fillId="0" borderId="72" xfId="0" applyBorder="1"/>
    <xf numFmtId="0" fontId="0" fillId="0" borderId="41" xfId="0" applyBorder="1" applyAlignment="1">
      <alignment horizontal="center" vertical="center" wrapText="1"/>
    </xf>
    <xf numFmtId="0" fontId="0" fillId="0" borderId="70" xfId="0" applyBorder="1"/>
    <xf numFmtId="0" fontId="0" fillId="0" borderId="53" xfId="0" applyBorder="1"/>
    <xf numFmtId="0" fontId="0" fillId="0" borderId="26" xfId="0" applyBorder="1" applyAlignment="1">
      <alignment horizontal="center" vertical="center"/>
    </xf>
    <xf numFmtId="0" fontId="0" fillId="0" borderId="2" xfId="0" applyBorder="1"/>
    <xf numFmtId="0" fontId="0" fillId="0" borderId="4" xfId="0" applyBorder="1"/>
    <xf numFmtId="0" fontId="0" fillId="0" borderId="51" xfId="0" applyBorder="1" applyAlignment="1">
      <alignment horizontal="center" vertical="center" wrapText="1"/>
    </xf>
    <xf numFmtId="0" fontId="0" fillId="0" borderId="73" xfId="0" applyBorder="1"/>
    <xf numFmtId="0" fontId="13" fillId="12" borderId="21" xfId="0" applyFont="1" applyFill="1" applyBorder="1" applyAlignment="1">
      <alignment horizontal="center" vertical="center"/>
    </xf>
    <xf numFmtId="0" fontId="0" fillId="0" borderId="21" xfId="0" applyBorder="1"/>
    <xf numFmtId="0" fontId="13" fillId="12" borderId="58" xfId="0" applyFont="1" applyFill="1" applyBorder="1" applyAlignment="1">
      <alignment horizontal="center" vertical="center"/>
    </xf>
    <xf numFmtId="0" fontId="13" fillId="12" borderId="22" xfId="0" applyFont="1" applyFill="1" applyBorder="1" applyAlignment="1">
      <alignment horizontal="center" vertical="center"/>
    </xf>
    <xf numFmtId="0" fontId="2" fillId="7" borderId="79" xfId="0" applyFont="1" applyFill="1" applyBorder="1" applyAlignment="1">
      <alignment horizontal="center" vertical="center"/>
    </xf>
    <xf numFmtId="2" fontId="14" fillId="13" borderId="25" xfId="0" applyNumberFormat="1" applyFont="1" applyFill="1" applyBorder="1" applyAlignment="1">
      <alignment horizontal="center" vertical="center" wrapText="1"/>
    </xf>
    <xf numFmtId="0" fontId="0" fillId="0" borderId="13" xfId="0" applyBorder="1"/>
    <xf numFmtId="0" fontId="13" fillId="12" borderId="62" xfId="0" applyFont="1" applyFill="1" applyBorder="1" applyAlignment="1">
      <alignment horizontal="center" vertical="center"/>
    </xf>
    <xf numFmtId="0" fontId="0" fillId="0" borderId="62" xfId="0" applyBorder="1"/>
    <xf numFmtId="0" fontId="13" fillId="12" borderId="44" xfId="0" applyFont="1" applyFill="1" applyBorder="1" applyAlignment="1">
      <alignment horizontal="center" vertical="center"/>
    </xf>
    <xf numFmtId="0" fontId="0" fillId="0" borderId="60" xfId="0" applyBorder="1"/>
    <xf numFmtId="0" fontId="0" fillId="0" borderId="61" xfId="0" applyBorder="1"/>
    <xf numFmtId="0" fontId="2" fillId="7" borderId="7" xfId="0" applyFont="1" applyFill="1" applyBorder="1" applyAlignment="1">
      <alignment horizontal="center" vertical="center"/>
    </xf>
    <xf numFmtId="2" fontId="14" fillId="13" borderId="49" xfId="0" applyNumberFormat="1" applyFont="1" applyFill="1" applyBorder="1" applyAlignment="1">
      <alignment horizontal="center" vertical="center" wrapText="1"/>
    </xf>
    <xf numFmtId="0" fontId="13" fillId="12" borderId="69" xfId="0" applyFont="1" applyFill="1" applyBorder="1" applyAlignment="1">
      <alignment horizontal="center" vertical="center"/>
    </xf>
    <xf numFmtId="0" fontId="0" fillId="0" borderId="1" xfId="0" applyBorder="1"/>
    <xf numFmtId="0" fontId="0" fillId="0" borderId="78" xfId="0" applyBorder="1"/>
    <xf numFmtId="2" fontId="14" fillId="13" borderId="15" xfId="0" applyNumberFormat="1" applyFont="1" applyFill="1" applyBorder="1" applyAlignment="1">
      <alignment horizontal="center" vertical="center" wrapText="1"/>
    </xf>
    <xf numFmtId="0" fontId="0" fillId="0" borderId="15" xfId="0" applyBorder="1"/>
    <xf numFmtId="0" fontId="13" fillId="12" borderId="53" xfId="0" applyFont="1" applyFill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2" fontId="14" fillId="13" borderId="9" xfId="0" applyNumberFormat="1" applyFont="1" applyFill="1" applyBorder="1" applyAlignment="1">
      <alignment horizontal="center" vertical="center" wrapText="1"/>
    </xf>
    <xf numFmtId="0" fontId="13" fillId="12" borderId="38" xfId="0" applyFont="1" applyFill="1" applyBorder="1" applyAlignment="1">
      <alignment horizontal="center" vertical="center"/>
    </xf>
    <xf numFmtId="0" fontId="0" fillId="0" borderId="59" xfId="0" applyBorder="1"/>
    <xf numFmtId="0" fontId="9" fillId="2" borderId="5" xfId="0" applyFont="1" applyFill="1" applyBorder="1" applyAlignment="1">
      <alignment horizontal="center" vertical="center" wrapText="1"/>
    </xf>
    <xf numFmtId="0" fontId="9" fillId="2" borderId="15" xfId="0" applyFont="1" applyFill="1" applyBorder="1" applyAlignment="1">
      <alignment horizontal="center" vertical="center"/>
    </xf>
    <xf numFmtId="0" fontId="2" fillId="3" borderId="79" xfId="0" applyFont="1" applyFill="1" applyBorder="1" applyAlignment="1">
      <alignment horizontal="center" vertical="center" wrapText="1"/>
    </xf>
    <xf numFmtId="0" fontId="2" fillId="3" borderId="79" xfId="0" applyFont="1" applyFill="1" applyBorder="1" applyAlignment="1">
      <alignment horizontal="center" wrapText="1"/>
    </xf>
    <xf numFmtId="0" fontId="2" fillId="3" borderId="41" xfId="0" applyFont="1" applyFill="1" applyBorder="1" applyAlignment="1">
      <alignment horizontal="center"/>
    </xf>
    <xf numFmtId="0" fontId="0" fillId="0" borderId="27" xfId="0" applyBorder="1"/>
    <xf numFmtId="0" fontId="0" fillId="0" borderId="28" xfId="0" applyBorder="1"/>
    <xf numFmtId="0" fontId="23" fillId="0" borderId="92" xfId="7" applyFont="1" applyFill="1" applyBorder="1" applyAlignment="1">
      <alignment horizontal="left" vertical="center" wrapText="1"/>
    </xf>
    <xf numFmtId="0" fontId="25" fillId="0" borderId="92" xfId="7" applyFont="1" applyFill="1" applyBorder="1" applyAlignment="1">
      <alignment horizontal="left" vertical="center" wrapText="1"/>
    </xf>
    <xf numFmtId="0" fontId="25" fillId="0" borderId="93" xfId="7" applyFont="1" applyFill="1" applyBorder="1" applyAlignment="1">
      <alignment horizontal="left" vertical="center" wrapText="1"/>
    </xf>
    <xf numFmtId="0" fontId="23" fillId="0" borderId="93" xfId="7" applyFont="1" applyFill="1" applyBorder="1" applyAlignment="1">
      <alignment horizontal="left" vertical="center" wrapText="1"/>
    </xf>
  </cellXfs>
  <cellStyles count="8">
    <cellStyle name="Comma" xfId="3" builtinId="3"/>
    <cellStyle name="Hyperlink" xfId="2" builtinId="8"/>
    <cellStyle name="Normal" xfId="0" builtinId="0"/>
    <cellStyle name="Normal 2" xfId="4" xr:uid="{00000000-0005-0000-0000-000004000000}"/>
    <cellStyle name="Normal 3" xfId="5" xr:uid="{00000000-0005-0000-0000-000005000000}"/>
    <cellStyle name="Normal 4" xfId="6" xr:uid="{00000000-0005-0000-0000-000006000000}"/>
    <cellStyle name="Normal 5" xfId="7" xr:uid="{00000000-0005-0000-0000-000007000000}"/>
    <cellStyle name="Percent" xfId="1" builtinId="5"/>
  </cellStyles>
  <dxfs count="8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2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me"/>
      <sheetName val="Graph Data"/>
      <sheetName val="Market Performance"/>
      <sheetName val="Summary"/>
      <sheetName val="Kotak Schemes Equity"/>
      <sheetName val="Multicap"/>
      <sheetName val="Flexicap"/>
      <sheetName val="Largecap"/>
      <sheetName val="Large &amp; Mid"/>
      <sheetName val="Midcap"/>
      <sheetName val="Smallcap"/>
      <sheetName val="Dividend Yield Fund"/>
      <sheetName val="Focused Fund"/>
      <sheetName val="Contra Value Fund"/>
      <sheetName val="Sectoral-Infrastructure"/>
      <sheetName val="Sectoral-Thematic"/>
      <sheetName val="ELSS"/>
      <sheetName val="Equity Index Fund"/>
      <sheetName val="ETFs"/>
      <sheetName val="Gold ETFs"/>
      <sheetName val="FoF - Overseas"/>
      <sheetName val="FoF - Domestic"/>
      <sheetName val="Kotak Schemes Debt"/>
      <sheetName val="Overnight"/>
      <sheetName val="Liquid"/>
      <sheetName val="Ultra Short Duration"/>
      <sheetName val="Low Duration"/>
      <sheetName val="Money Market"/>
      <sheetName val="Short Duration"/>
      <sheetName val="Medium Duration"/>
      <sheetName val="Medium to Long Duration"/>
      <sheetName val="Long Duration"/>
      <sheetName val="Dynamic Bond"/>
      <sheetName val="Corporate Bond"/>
      <sheetName val="Credit Risk"/>
      <sheetName val="BPSU"/>
      <sheetName val="Gilt"/>
      <sheetName val="Gilt Fund with 10 years"/>
      <sheetName val="Floater"/>
      <sheetName val="Debt – ETFs, Index Funds, FOF"/>
      <sheetName val="Kotak Aggressive Hybrid"/>
      <sheetName val="Kotak Conservative Hybrid"/>
      <sheetName val="Aggressive Hybrid"/>
      <sheetName val="BAF"/>
      <sheetName val="EQ Savings"/>
      <sheetName val="Arbitrage"/>
      <sheetName val="Multi Asset"/>
      <sheetName val="Conservative Hybrid"/>
      <sheetName val="Balanced Hybrid"/>
      <sheetName val="NFOs"/>
      <sheetName val="Disclaimer"/>
      <sheetName val="Page002"/>
      <sheetName val="Page001"/>
      <sheetName val="Table001 (Page 1-2)"/>
      <sheetName val="Page005"/>
      <sheetName val="Page004"/>
      <sheetName val="Page002 (2)"/>
      <sheetName val="Page001 (2)"/>
      <sheetName val="Table004 (Page 4)"/>
      <sheetName val="Table003 (Page 3)"/>
      <sheetName val="Table002 (Page 2)"/>
      <sheetName val="Table001 (Page 1)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6">
          <cell r="BA6" t="str">
            <v>Sovereign</v>
          </cell>
          <cell r="BB6" t="str">
            <v>AAA/A1+</v>
          </cell>
          <cell r="BC6" t="str">
            <v>AA+</v>
          </cell>
          <cell r="BD6" t="str">
            <v>AA/AA-</v>
          </cell>
          <cell r="BE6" t="str">
            <v>Below AA-</v>
          </cell>
          <cell r="BF6" t="str">
            <v>Cash and Fixed Deposits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>
        <row r="1">
          <cell r="A1" t="str">
            <v>Column1</v>
          </cell>
        </row>
      </sheetData>
      <sheetData sheetId="54" refreshError="1"/>
      <sheetData sheetId="55" refreshError="1"/>
      <sheetData sheetId="56"/>
      <sheetData sheetId="57">
        <row r="1">
          <cell r="A1" t="str">
            <v>Column1</v>
          </cell>
        </row>
      </sheetData>
      <sheetData sheetId="58" refreshError="1"/>
      <sheetData sheetId="59">
        <row r="2">
          <cell r="C2" t="str">
            <v>Index Statistics</v>
          </cell>
        </row>
      </sheetData>
      <sheetData sheetId="60" refreshError="1"/>
      <sheetData sheetId="61">
        <row r="2">
          <cell r="C2" t="str">
            <v>Index</v>
          </cell>
        </row>
      </sheetData>
      <sheetData sheetId="6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nd-selector"/>
      <sheetName val="fund-selector (2)"/>
      <sheetName val="fund-selector (3)"/>
      <sheetName val="fund-selector (4)"/>
    </sheetNames>
    <sheetDataSet>
      <sheetData sheetId="0">
        <row r="2">
          <cell r="A2" t="str">
            <v>360 ONE Balanced Hybrid Fund - Regular Plan</v>
          </cell>
          <cell r="B2" t="str">
            <v>--</v>
          </cell>
          <cell r="C2">
            <v>4.8</v>
          </cell>
          <cell r="D2" t="str">
            <v>6/6</v>
          </cell>
          <cell r="E2" t="str">
            <v>High</v>
          </cell>
          <cell r="F2" t="str">
            <v>HY-BH</v>
          </cell>
        </row>
        <row r="3">
          <cell r="A3" t="str">
            <v>360 ONE FlexiCap Fund - Regular Plan</v>
          </cell>
          <cell r="B3" t="str">
            <v>--</v>
          </cell>
          <cell r="C3">
            <v>0.34</v>
          </cell>
          <cell r="D3" t="str">
            <v>72/91</v>
          </cell>
          <cell r="E3" t="str">
            <v>Very High</v>
          </cell>
          <cell r="F3" t="str">
            <v>EQ-FLX</v>
          </cell>
        </row>
        <row r="4">
          <cell r="A4" t="str">
            <v>360 ONE Focused Equity Fund - Regular Plan</v>
          </cell>
          <cell r="B4">
            <v>4</v>
          </cell>
          <cell r="C4">
            <v>-0.77</v>
          </cell>
          <cell r="D4" t="str">
            <v>74/91</v>
          </cell>
          <cell r="E4" t="str">
            <v>Very High</v>
          </cell>
          <cell r="F4" t="str">
            <v>EQ-FLX</v>
          </cell>
        </row>
        <row r="5">
          <cell r="A5" t="str">
            <v>360 ONE Quant Fund - Regular Plan</v>
          </cell>
          <cell r="B5" t="str">
            <v>--</v>
          </cell>
          <cell r="C5">
            <v>2.85</v>
          </cell>
          <cell r="D5" t="str">
            <v>20/78</v>
          </cell>
          <cell r="E5" t="str">
            <v>Very High</v>
          </cell>
          <cell r="F5" t="str">
            <v>EQ-THEMATIC</v>
          </cell>
        </row>
        <row r="6">
          <cell r="A6" t="str">
            <v>Aditya Birla Sun Life Arbitrage Fund - Regular Plan</v>
          </cell>
          <cell r="B6">
            <v>3</v>
          </cell>
          <cell r="C6">
            <v>6.99</v>
          </cell>
          <cell r="D6" t="str">
            <v>5/27</v>
          </cell>
          <cell r="E6" t="str">
            <v>Low</v>
          </cell>
          <cell r="F6" t="str">
            <v>HY-AR</v>
          </cell>
        </row>
        <row r="7">
          <cell r="A7" t="str">
            <v>Aditya Birla Sun Life Asset Allocator FoF - Regular Plan</v>
          </cell>
          <cell r="B7">
            <v>3</v>
          </cell>
          <cell r="C7">
            <v>8.1199999999999992</v>
          </cell>
          <cell r="D7" t="str">
            <v>20/37</v>
          </cell>
          <cell r="E7" t="str">
            <v>Very High</v>
          </cell>
          <cell r="F7" t="str">
            <v>HY-MAA</v>
          </cell>
        </row>
        <row r="8">
          <cell r="A8" t="str">
            <v>Aditya Birla Sun Life Balanced Advantage Fund - Regular Plan</v>
          </cell>
          <cell r="B8">
            <v>4</v>
          </cell>
          <cell r="C8">
            <v>7.95</v>
          </cell>
          <cell r="D8" t="str">
            <v>8/36</v>
          </cell>
          <cell r="E8" t="str">
            <v>Very High</v>
          </cell>
          <cell r="F8" t="str">
            <v>HY-DAA</v>
          </cell>
        </row>
        <row r="9">
          <cell r="A9" t="str">
            <v>Aditya Birla Sun Life Bal Bhavishya Yojna - Regular Plan</v>
          </cell>
          <cell r="B9">
            <v>2</v>
          </cell>
          <cell r="C9">
            <v>1.83</v>
          </cell>
          <cell r="D9" t="str">
            <v>60/91</v>
          </cell>
          <cell r="E9" t="str">
            <v>Very High</v>
          </cell>
          <cell r="F9" t="str">
            <v>EQ-FLX</v>
          </cell>
        </row>
        <row r="10">
          <cell r="A10" t="str">
            <v>Aditya Birla Sun Life BSE Sensex ETF</v>
          </cell>
          <cell r="B10" t="str">
            <v>--</v>
          </cell>
          <cell r="C10">
            <v>6.25</v>
          </cell>
          <cell r="D10" t="str">
            <v>30/144</v>
          </cell>
          <cell r="E10" t="str">
            <v>Very High</v>
          </cell>
          <cell r="F10" t="str">
            <v>EQ-LC</v>
          </cell>
        </row>
        <row r="11">
          <cell r="A11" t="str">
            <v>Aditya Birla Sun Life Business Cycle Fund - Regular Plan</v>
          </cell>
          <cell r="B11" t="str">
            <v>--</v>
          </cell>
          <cell r="C11">
            <v>3.91</v>
          </cell>
          <cell r="D11" t="str">
            <v>18/78</v>
          </cell>
          <cell r="E11" t="str">
            <v>Very High</v>
          </cell>
          <cell r="F11" t="str">
            <v>EQ-THEMATIC</v>
          </cell>
        </row>
        <row r="12">
          <cell r="A12" t="str">
            <v>Aditya Birla Sun Life Conglomerate - Regular Plan</v>
          </cell>
          <cell r="B12" t="str">
            <v>--</v>
          </cell>
          <cell r="C12" t="str">
            <v>--</v>
          </cell>
          <cell r="D12" t="str">
            <v>--</v>
          </cell>
          <cell r="E12" t="str">
            <v>Very High</v>
          </cell>
          <cell r="F12" t="str">
            <v>EQ-THEMATIC</v>
          </cell>
        </row>
        <row r="13">
          <cell r="A13" t="str">
            <v>Aditya Birla Sun Life Equity Advantage Fund - Regular Plan</v>
          </cell>
          <cell r="B13">
            <v>1</v>
          </cell>
          <cell r="C13">
            <v>1.1299999999999999</v>
          </cell>
          <cell r="D13" t="str">
            <v>28/54</v>
          </cell>
          <cell r="E13" t="str">
            <v>Very High</v>
          </cell>
          <cell r="F13" t="str">
            <v>EQ-L&amp;MC</v>
          </cell>
        </row>
        <row r="14">
          <cell r="A14" t="str">
            <v>Aditya Birla Sun Life Equity Hybrid '95 Fund - Regular Plan</v>
          </cell>
          <cell r="B14">
            <v>2</v>
          </cell>
          <cell r="C14">
            <v>4.88</v>
          </cell>
          <cell r="D14" t="str">
            <v>28/44</v>
          </cell>
          <cell r="E14" t="str">
            <v>Very High</v>
          </cell>
          <cell r="F14" t="str">
            <v>HY-AH</v>
          </cell>
        </row>
        <row r="15">
          <cell r="A15" t="str">
            <v>Aditya Birla Sun Life Financial Planning FoF - Aggressive Plan - Regular Plan</v>
          </cell>
          <cell r="B15">
            <v>2</v>
          </cell>
          <cell r="C15">
            <v>6.07</v>
          </cell>
          <cell r="D15" t="str">
            <v>28/37</v>
          </cell>
          <cell r="E15" t="str">
            <v>Very High</v>
          </cell>
          <cell r="F15" t="str">
            <v>HY-MAA</v>
          </cell>
        </row>
        <row r="16">
          <cell r="A16" t="str">
            <v>Aditya Birla Sun Life Financial Planning FoF - Conservative Plan - Regular Plan</v>
          </cell>
          <cell r="B16">
            <v>3</v>
          </cell>
          <cell r="C16">
            <v>7.92</v>
          </cell>
          <cell r="D16" t="str">
            <v>21/37</v>
          </cell>
          <cell r="E16" t="str">
            <v>High</v>
          </cell>
          <cell r="F16" t="str">
            <v>HY-MAA</v>
          </cell>
        </row>
        <row r="17">
          <cell r="A17" t="str">
            <v>Aditya Birla Sun Life Financial Planning FoF - Moderate Plan - Regular Plan</v>
          </cell>
          <cell r="B17">
            <v>3</v>
          </cell>
          <cell r="C17">
            <v>7.29</v>
          </cell>
          <cell r="D17" t="str">
            <v>23/37</v>
          </cell>
          <cell r="E17" t="str">
            <v>High</v>
          </cell>
          <cell r="F17" t="str">
            <v>HY-MAA</v>
          </cell>
        </row>
        <row r="18">
          <cell r="A18" t="str">
            <v>Aditya Birla Sun Life Flexi Cap Fund - Regular Plan</v>
          </cell>
          <cell r="B18">
            <v>3</v>
          </cell>
          <cell r="C18">
            <v>7.34</v>
          </cell>
          <cell r="D18" t="str">
            <v>17/91</v>
          </cell>
          <cell r="E18" t="str">
            <v>Very High</v>
          </cell>
          <cell r="F18" t="str">
            <v>EQ-FLX</v>
          </cell>
        </row>
        <row r="19">
          <cell r="A19" t="str">
            <v>Aditya Birla Sun Life Focused Fund - Regular Plan</v>
          </cell>
          <cell r="B19">
            <v>3</v>
          </cell>
          <cell r="C19">
            <v>7.43</v>
          </cell>
          <cell r="D19" t="str">
            <v>16/91</v>
          </cell>
          <cell r="E19" t="str">
            <v>Very High</v>
          </cell>
          <cell r="F19" t="str">
            <v>EQ-FLX</v>
          </cell>
        </row>
        <row r="20">
          <cell r="A20" t="str">
            <v>Aditya Birla Sun Life Frontline Equity Fund - Regular Plan</v>
          </cell>
          <cell r="B20">
            <v>4</v>
          </cell>
          <cell r="C20">
            <v>5.71</v>
          </cell>
          <cell r="D20" t="str">
            <v>60/144</v>
          </cell>
          <cell r="E20" t="str">
            <v>Very High</v>
          </cell>
          <cell r="F20" t="str">
            <v>EQ-LC</v>
          </cell>
        </row>
        <row r="21">
          <cell r="A21" t="str">
            <v>Aditya Birla Sun Life Manufacturing Equity Fund - Regular Plan</v>
          </cell>
          <cell r="B21" t="str">
            <v>--</v>
          </cell>
          <cell r="C21">
            <v>-1.62</v>
          </cell>
          <cell r="D21" t="str">
            <v>36/78</v>
          </cell>
          <cell r="E21" t="str">
            <v>Very High</v>
          </cell>
          <cell r="F21" t="str">
            <v>EQ-THEMATIC</v>
          </cell>
        </row>
        <row r="22">
          <cell r="A22" t="str">
            <v>Aditya Birla Sun Life Mid Cap Fund - Regular Plan</v>
          </cell>
          <cell r="B22">
            <v>2</v>
          </cell>
          <cell r="C22">
            <v>2.95</v>
          </cell>
          <cell r="D22" t="str">
            <v>15/53</v>
          </cell>
          <cell r="E22" t="str">
            <v>Very High</v>
          </cell>
          <cell r="F22" t="str">
            <v>EQ-MC</v>
          </cell>
        </row>
        <row r="23">
          <cell r="A23" t="str">
            <v>Aditya Birla Sun Life Multi Asset Allocation Fund - Regular Plan</v>
          </cell>
          <cell r="B23" t="str">
            <v>--</v>
          </cell>
          <cell r="C23">
            <v>9.16</v>
          </cell>
          <cell r="D23" t="str">
            <v>13/37</v>
          </cell>
          <cell r="E23" t="str">
            <v>Very High</v>
          </cell>
          <cell r="F23" t="str">
            <v>HY-MAA</v>
          </cell>
        </row>
        <row r="24">
          <cell r="A24" t="str">
            <v>Aditya Birla Sun Life Multi-Cap Fund - Regular Plan</v>
          </cell>
          <cell r="B24">
            <v>2</v>
          </cell>
          <cell r="C24">
            <v>2.14</v>
          </cell>
          <cell r="D24" t="str">
            <v>16/25</v>
          </cell>
          <cell r="E24" t="str">
            <v>Very High</v>
          </cell>
          <cell r="F24" t="str">
            <v>EQ-MLC</v>
          </cell>
        </row>
        <row r="25">
          <cell r="A25" t="str">
            <v>Aditya Birla Sun Life Multi - Index FoF - Regular Plan</v>
          </cell>
          <cell r="B25" t="str">
            <v>--</v>
          </cell>
          <cell r="C25">
            <v>4.49</v>
          </cell>
          <cell r="D25" t="str">
            <v>32/37</v>
          </cell>
          <cell r="E25" t="str">
            <v>Very High</v>
          </cell>
          <cell r="F25" t="str">
            <v>HY-MAA</v>
          </cell>
        </row>
        <row r="26">
          <cell r="A26" t="str">
            <v>Aditya Birla Sun Life Nifty 200 Momentum 30 ETF</v>
          </cell>
          <cell r="B26" t="str">
            <v>--</v>
          </cell>
          <cell r="C26">
            <v>-12.89</v>
          </cell>
          <cell r="D26" t="str">
            <v>48/54</v>
          </cell>
          <cell r="E26" t="str">
            <v>Very High</v>
          </cell>
          <cell r="F26" t="str">
            <v>EQ-L&amp;MC</v>
          </cell>
        </row>
        <row r="27">
          <cell r="A27" t="str">
            <v>Aditya Birla Sun Life Nifty 200 Quality 30 ETF</v>
          </cell>
          <cell r="B27" t="str">
            <v>--</v>
          </cell>
          <cell r="C27">
            <v>1.23</v>
          </cell>
          <cell r="D27" t="str">
            <v>27/54</v>
          </cell>
          <cell r="E27" t="str">
            <v>Very High</v>
          </cell>
          <cell r="F27" t="str">
            <v>EQ-L&amp;MC</v>
          </cell>
        </row>
        <row r="28">
          <cell r="A28" t="str">
            <v>Aditya Birla Sun Life Nifty 50 Equal Weight Index Fund - Regular Plan</v>
          </cell>
          <cell r="B28">
            <v>4</v>
          </cell>
          <cell r="C28">
            <v>3.92</v>
          </cell>
          <cell r="D28" t="str">
            <v>89/144</v>
          </cell>
          <cell r="E28" t="str">
            <v>Very High</v>
          </cell>
          <cell r="F28" t="str">
            <v>EQ-LC</v>
          </cell>
        </row>
        <row r="29">
          <cell r="A29" t="str">
            <v>Aditya Birla Sun Life Nifty 50 ETF</v>
          </cell>
          <cell r="B29" t="str">
            <v>--</v>
          </cell>
          <cell r="C29">
            <v>6.49</v>
          </cell>
          <cell r="D29" t="str">
            <v>8/144</v>
          </cell>
          <cell r="E29" t="str">
            <v>Very High</v>
          </cell>
          <cell r="F29" t="str">
            <v>EQ-LC</v>
          </cell>
        </row>
        <row r="30">
          <cell r="A30" t="str">
            <v>Aditya Birla Sun Life Nifty 50 Index Fund - Regular Plan</v>
          </cell>
          <cell r="B30">
            <v>3</v>
          </cell>
          <cell r="C30">
            <v>6.02</v>
          </cell>
          <cell r="D30" t="str">
            <v>42/144</v>
          </cell>
          <cell r="E30" t="str">
            <v>Very High</v>
          </cell>
          <cell r="F30" t="str">
            <v>EQ-LC</v>
          </cell>
        </row>
        <row r="31">
          <cell r="A31" t="str">
            <v>Aditya Birla Sun Life Nifty India Defence Index Fund - Regular Plan</v>
          </cell>
          <cell r="B31" t="str">
            <v>--</v>
          </cell>
          <cell r="C31" t="str">
            <v>--</v>
          </cell>
          <cell r="D31" t="str">
            <v>--</v>
          </cell>
          <cell r="E31" t="str">
            <v>Very High</v>
          </cell>
          <cell r="F31" t="str">
            <v>EQ-THEMATIC</v>
          </cell>
        </row>
        <row r="32">
          <cell r="A32" t="str">
            <v>Aditya Birla Sun Life Nifty Midcap 150 Index Fund - Regular Plan</v>
          </cell>
          <cell r="B32">
            <v>3</v>
          </cell>
          <cell r="C32">
            <v>1.58</v>
          </cell>
          <cell r="D32" t="str">
            <v>31/53</v>
          </cell>
          <cell r="E32" t="str">
            <v>Very High</v>
          </cell>
          <cell r="F32" t="str">
            <v>EQ-MC</v>
          </cell>
        </row>
        <row r="33">
          <cell r="A33" t="str">
            <v>Aditya Birla Sun Life Nifty Next 50 ETF</v>
          </cell>
          <cell r="B33" t="str">
            <v>--</v>
          </cell>
          <cell r="C33">
            <v>-7.34</v>
          </cell>
          <cell r="D33" t="str">
            <v>126/144</v>
          </cell>
          <cell r="E33" t="str">
            <v>Very High</v>
          </cell>
          <cell r="F33" t="str">
            <v>EQ-LC</v>
          </cell>
        </row>
        <row r="34">
          <cell r="A34" t="str">
            <v>Aditya Birla Sun Life Nifty Next 50 Index Fund - Regular Plan</v>
          </cell>
          <cell r="B34">
            <v>1</v>
          </cell>
          <cell r="C34">
            <v>-8.44</v>
          </cell>
          <cell r="D34" t="str">
            <v>144/144</v>
          </cell>
          <cell r="E34" t="str">
            <v>Very High</v>
          </cell>
          <cell r="F34" t="str">
            <v>EQ-LC</v>
          </cell>
        </row>
        <row r="35">
          <cell r="A35" t="str">
            <v>Aditya Birla Sun Life Nifty Smallcap 50 Index Fund - Regular Plan</v>
          </cell>
          <cell r="B35">
            <v>2</v>
          </cell>
          <cell r="C35">
            <v>1.81</v>
          </cell>
          <cell r="D35" t="str">
            <v>13/44</v>
          </cell>
          <cell r="E35" t="str">
            <v>Very High</v>
          </cell>
          <cell r="F35" t="str">
            <v>EQ-SC</v>
          </cell>
        </row>
        <row r="36">
          <cell r="A36" t="str">
            <v>Aditya Birla Sun Life Quant Fund - Regular Plan</v>
          </cell>
          <cell r="B36" t="str">
            <v>--</v>
          </cell>
          <cell r="C36" t="str">
            <v>--</v>
          </cell>
          <cell r="D36" t="str">
            <v>--</v>
          </cell>
          <cell r="E36" t="str">
            <v>Very High</v>
          </cell>
          <cell r="F36" t="str">
            <v>EQ-THEMATIC</v>
          </cell>
        </row>
        <row r="37">
          <cell r="A37" t="str">
            <v>Aditya Birla Sun Life Regular Savings Fund - Regular Plan</v>
          </cell>
          <cell r="B37">
            <v>4</v>
          </cell>
          <cell r="C37">
            <v>8.7899999999999991</v>
          </cell>
          <cell r="D37" t="str">
            <v>5/28</v>
          </cell>
          <cell r="E37" t="str">
            <v>Moderately High</v>
          </cell>
          <cell r="F37" t="str">
            <v>HY-CH</v>
          </cell>
        </row>
        <row r="38">
          <cell r="A38" t="str">
            <v>Aditya Birla Sun Life Retirement Fund - The 30s Plan - Regular Plan</v>
          </cell>
          <cell r="B38">
            <v>2</v>
          </cell>
          <cell r="C38">
            <v>5.12</v>
          </cell>
          <cell r="D38" t="str">
            <v>29/91</v>
          </cell>
          <cell r="E38" t="str">
            <v>Very High</v>
          </cell>
          <cell r="F38" t="str">
            <v>EQ-FLX</v>
          </cell>
        </row>
        <row r="39">
          <cell r="A39" t="str">
            <v>Aditya Birla Sun Life Retirement Fund - The 40s Plan - Regular Plan</v>
          </cell>
          <cell r="B39">
            <v>2</v>
          </cell>
          <cell r="C39">
            <v>7.45</v>
          </cell>
          <cell r="D39" t="str">
            <v>8/44</v>
          </cell>
          <cell r="E39" t="str">
            <v>Very High</v>
          </cell>
          <cell r="F39" t="str">
            <v>HY-AH</v>
          </cell>
        </row>
        <row r="40">
          <cell r="A40" t="str">
            <v>Aditya Birla Sun Life Retirement Fund - The 50s Plan - Regular Plan</v>
          </cell>
          <cell r="B40">
            <v>2</v>
          </cell>
          <cell r="C40">
            <v>6.57</v>
          </cell>
          <cell r="D40" t="str">
            <v>17/28</v>
          </cell>
          <cell r="E40" t="str">
            <v>Moderately High</v>
          </cell>
          <cell r="F40" t="str">
            <v>HY-CH</v>
          </cell>
        </row>
        <row r="41">
          <cell r="A41" t="str">
            <v>Aditya Birla Sun Life Small Cap Fund - Regular Plan</v>
          </cell>
          <cell r="B41">
            <v>1</v>
          </cell>
          <cell r="C41">
            <v>-0.93</v>
          </cell>
          <cell r="D41" t="str">
            <v>22/44</v>
          </cell>
          <cell r="E41" t="str">
            <v>Very High</v>
          </cell>
          <cell r="F41" t="str">
            <v>EQ-SC</v>
          </cell>
        </row>
        <row r="42">
          <cell r="A42" t="str">
            <v>Aditya Birla Sun Life Special Opportunities Fund - Regular Plan</v>
          </cell>
          <cell r="B42" t="str">
            <v>--</v>
          </cell>
          <cell r="C42">
            <v>5.43</v>
          </cell>
          <cell r="D42" t="str">
            <v>12/78</v>
          </cell>
          <cell r="E42" t="str">
            <v>Very High</v>
          </cell>
          <cell r="F42" t="str">
            <v>EQ-THEMATIC</v>
          </cell>
        </row>
        <row r="43">
          <cell r="A43" t="str">
            <v>Aditya Birla Sun Life Transportation and Logistics Fund - Regular Plan</v>
          </cell>
          <cell r="B43" t="str">
            <v>--</v>
          </cell>
          <cell r="C43">
            <v>-7.4</v>
          </cell>
          <cell r="D43" t="str">
            <v>65/78</v>
          </cell>
          <cell r="E43" t="str">
            <v>Very High</v>
          </cell>
          <cell r="F43" t="str">
            <v>EQ-THEMATIC</v>
          </cell>
        </row>
        <row r="44">
          <cell r="A44" t="str">
            <v>Angel One Nifty 50 ETF</v>
          </cell>
          <cell r="B44" t="str">
            <v>--</v>
          </cell>
          <cell r="C44" t="str">
            <v>--</v>
          </cell>
          <cell r="D44" t="str">
            <v>--</v>
          </cell>
          <cell r="E44" t="str">
            <v>Very High</v>
          </cell>
          <cell r="F44" t="str">
            <v>EQ-LC</v>
          </cell>
        </row>
        <row r="45">
          <cell r="A45" t="str">
            <v>Angel One Nifty 50 Index Fund - Regular Plan</v>
          </cell>
          <cell r="B45" t="str">
            <v>--</v>
          </cell>
          <cell r="C45" t="str">
            <v>--</v>
          </cell>
          <cell r="D45" t="str">
            <v>--</v>
          </cell>
          <cell r="E45" t="str">
            <v>Very High</v>
          </cell>
          <cell r="F45" t="str">
            <v>EQ-LC</v>
          </cell>
        </row>
        <row r="46">
          <cell r="A46" t="str">
            <v>Angel One Nifty Total Market ETF</v>
          </cell>
          <cell r="B46" t="str">
            <v>--</v>
          </cell>
          <cell r="C46" t="str">
            <v>--</v>
          </cell>
          <cell r="D46" t="str">
            <v>--</v>
          </cell>
          <cell r="E46" t="str">
            <v>Very High</v>
          </cell>
          <cell r="F46" t="str">
            <v>EQ-FLX</v>
          </cell>
        </row>
        <row r="47">
          <cell r="A47" t="str">
            <v>Angel One Nifty Total Market Index Fund - Regular Plan</v>
          </cell>
          <cell r="B47" t="str">
            <v>--</v>
          </cell>
          <cell r="C47" t="str">
            <v>--</v>
          </cell>
          <cell r="D47" t="str">
            <v>--</v>
          </cell>
          <cell r="E47" t="str">
            <v>Very High</v>
          </cell>
          <cell r="F47" t="str">
            <v>EQ-FLX</v>
          </cell>
        </row>
        <row r="48">
          <cell r="A48" t="str">
            <v>Axis Aggressive Hybrid Fund - Regular Plan</v>
          </cell>
          <cell r="B48">
            <v>1</v>
          </cell>
          <cell r="C48">
            <v>6.5</v>
          </cell>
          <cell r="D48" t="str">
            <v>12/44</v>
          </cell>
          <cell r="E48" t="str">
            <v>Very High</v>
          </cell>
          <cell r="F48" t="str">
            <v>HY-AH</v>
          </cell>
        </row>
        <row r="49">
          <cell r="A49" t="str">
            <v>Axis Arbitrage Fund - Regular Plan</v>
          </cell>
          <cell r="B49">
            <v>3</v>
          </cell>
          <cell r="C49">
            <v>6.89</v>
          </cell>
          <cell r="D49" t="str">
            <v>11/27</v>
          </cell>
          <cell r="E49" t="str">
            <v>Low</v>
          </cell>
          <cell r="F49" t="str">
            <v>HY-AR</v>
          </cell>
        </row>
        <row r="50">
          <cell r="A50" t="str">
            <v>Axis Balanced Advantage Fund - Regular Plan</v>
          </cell>
          <cell r="B50">
            <v>3</v>
          </cell>
          <cell r="C50">
            <v>7.96</v>
          </cell>
          <cell r="D50" t="str">
            <v>7/36</v>
          </cell>
          <cell r="E50" t="str">
            <v>Very High</v>
          </cell>
          <cell r="F50" t="str">
            <v>HY-DAA</v>
          </cell>
        </row>
        <row r="51">
          <cell r="A51" t="str">
            <v>Axis BSE Sensex ETF</v>
          </cell>
          <cell r="B51" t="str">
            <v>--</v>
          </cell>
          <cell r="C51">
            <v>6.27</v>
          </cell>
          <cell r="D51" t="str">
            <v>27/144</v>
          </cell>
          <cell r="E51" t="str">
            <v>Very High</v>
          </cell>
          <cell r="F51" t="str">
            <v>EQ-LC</v>
          </cell>
        </row>
        <row r="52">
          <cell r="A52" t="str">
            <v>Axis BSE Sensex Index Fund - Regular Plan</v>
          </cell>
          <cell r="B52" t="str">
            <v>--</v>
          </cell>
          <cell r="C52">
            <v>5.54</v>
          </cell>
          <cell r="D52" t="str">
            <v>64/144</v>
          </cell>
          <cell r="E52" t="str">
            <v>Very High</v>
          </cell>
          <cell r="F52" t="str">
            <v>EQ-LC</v>
          </cell>
        </row>
        <row r="53">
          <cell r="A53" t="str">
            <v>Axis Business Cycles Fund - Regular Plan</v>
          </cell>
          <cell r="B53" t="str">
            <v>--</v>
          </cell>
          <cell r="C53">
            <v>2.5499999999999998</v>
          </cell>
          <cell r="D53" t="str">
            <v>24/78</v>
          </cell>
          <cell r="E53" t="str">
            <v>Very High</v>
          </cell>
          <cell r="F53" t="str">
            <v>EQ-THEMATIC</v>
          </cell>
        </row>
        <row r="54">
          <cell r="A54" t="str">
            <v>Axis Children's - Regular Plan</v>
          </cell>
          <cell r="B54">
            <v>1</v>
          </cell>
          <cell r="C54">
            <v>6.76</v>
          </cell>
          <cell r="D54" t="str">
            <v>10/44</v>
          </cell>
          <cell r="E54" t="str">
            <v>Very High</v>
          </cell>
          <cell r="F54" t="str">
            <v>HY-AH</v>
          </cell>
        </row>
        <row r="55">
          <cell r="A55" t="str">
            <v>Axis Conservative Hybrid Fund - Regular Plan</v>
          </cell>
          <cell r="B55">
            <v>2</v>
          </cell>
          <cell r="C55">
            <v>7.14</v>
          </cell>
          <cell r="D55" t="str">
            <v>10/28</v>
          </cell>
          <cell r="E55" t="str">
            <v>Moderately High</v>
          </cell>
          <cell r="F55" t="str">
            <v>HY-CH</v>
          </cell>
        </row>
        <row r="56">
          <cell r="A56" t="str">
            <v>Axis Equity ETFs FoF - Regular Plan</v>
          </cell>
          <cell r="B56">
            <v>2</v>
          </cell>
          <cell r="C56">
            <v>-5.1100000000000003</v>
          </cell>
          <cell r="D56" t="str">
            <v>83/91</v>
          </cell>
          <cell r="E56" t="str">
            <v>Very High</v>
          </cell>
          <cell r="F56" t="str">
            <v>EQ-FLX</v>
          </cell>
        </row>
        <row r="57">
          <cell r="A57" t="str">
            <v>Axis Flexi Cap Fund - Regular Plan</v>
          </cell>
          <cell r="B57">
            <v>2</v>
          </cell>
          <cell r="C57">
            <v>4.3099999999999996</v>
          </cell>
          <cell r="D57" t="str">
            <v>38/91</v>
          </cell>
          <cell r="E57" t="str">
            <v>Very High</v>
          </cell>
          <cell r="F57" t="str">
            <v>EQ-FLX</v>
          </cell>
        </row>
        <row r="58">
          <cell r="A58" t="str">
            <v>Axis Focused Fund</v>
          </cell>
          <cell r="B58">
            <v>1</v>
          </cell>
          <cell r="C58">
            <v>4.41</v>
          </cell>
          <cell r="D58" t="str">
            <v>36/91</v>
          </cell>
          <cell r="E58" t="str">
            <v>Very High</v>
          </cell>
          <cell r="F58" t="str">
            <v>EQ-FLX</v>
          </cell>
        </row>
        <row r="59">
          <cell r="A59" t="str">
            <v>Axis India Manufacturing Fund - Regular Plan</v>
          </cell>
          <cell r="B59" t="str">
            <v>--</v>
          </cell>
          <cell r="C59">
            <v>-3.34</v>
          </cell>
          <cell r="D59" t="str">
            <v>49/78</v>
          </cell>
          <cell r="E59" t="str">
            <v>Very High</v>
          </cell>
          <cell r="F59" t="str">
            <v>EQ-THEMATIC</v>
          </cell>
        </row>
        <row r="60">
          <cell r="A60" t="str">
            <v>Axis Innovation Fund - Regular Plan</v>
          </cell>
          <cell r="B60" t="str">
            <v>--</v>
          </cell>
          <cell r="C60">
            <v>3.26</v>
          </cell>
          <cell r="D60" t="str">
            <v>19/78</v>
          </cell>
          <cell r="E60" t="str">
            <v>Very High</v>
          </cell>
          <cell r="F60" t="str">
            <v>EQ-THEMATIC</v>
          </cell>
        </row>
        <row r="61">
          <cell r="A61" t="str">
            <v>Axis Large Cap Fund - Regular Plan</v>
          </cell>
          <cell r="B61">
            <v>1</v>
          </cell>
          <cell r="C61">
            <v>3.08</v>
          </cell>
          <cell r="D61" t="str">
            <v>98/144</v>
          </cell>
          <cell r="E61" t="str">
            <v>Very High</v>
          </cell>
          <cell r="F61" t="str">
            <v>EQ-LC</v>
          </cell>
        </row>
        <row r="62">
          <cell r="A62" t="str">
            <v>Axis Large &amp; Mid Cap Fund - Regular Plan</v>
          </cell>
          <cell r="B62">
            <v>3</v>
          </cell>
          <cell r="C62">
            <v>3.22</v>
          </cell>
          <cell r="D62" t="str">
            <v>15/54</v>
          </cell>
          <cell r="E62" t="str">
            <v>Very High</v>
          </cell>
          <cell r="F62" t="str">
            <v>EQ-L&amp;MC</v>
          </cell>
        </row>
        <row r="63">
          <cell r="A63" t="str">
            <v>Axis Midcap Fund - Regular Plan</v>
          </cell>
          <cell r="B63">
            <v>2</v>
          </cell>
          <cell r="C63">
            <v>2.2999999999999998</v>
          </cell>
          <cell r="D63" t="str">
            <v>24/53</v>
          </cell>
          <cell r="E63" t="str">
            <v>Very High</v>
          </cell>
          <cell r="F63" t="str">
            <v>EQ-MC</v>
          </cell>
        </row>
        <row r="64">
          <cell r="A64" t="str">
            <v>Axis Momentum Fund - Regular Plan</v>
          </cell>
          <cell r="B64" t="str">
            <v>--</v>
          </cell>
          <cell r="C64" t="str">
            <v>--</v>
          </cell>
          <cell r="D64" t="str">
            <v>--</v>
          </cell>
          <cell r="E64" t="str">
            <v>Very High</v>
          </cell>
          <cell r="F64" t="str">
            <v>EQ-THEMATIC</v>
          </cell>
        </row>
        <row r="65">
          <cell r="A65" t="str">
            <v>Axis Multi Asset Allocation Fund - Regular Plan</v>
          </cell>
          <cell r="B65">
            <v>1</v>
          </cell>
          <cell r="C65">
            <v>7.74</v>
          </cell>
          <cell r="D65" t="str">
            <v>22/37</v>
          </cell>
          <cell r="E65" t="str">
            <v>Very High</v>
          </cell>
          <cell r="F65" t="str">
            <v>HY-MAA</v>
          </cell>
        </row>
        <row r="66">
          <cell r="A66" t="str">
            <v>Axis Multicap Fund - Regular Plan</v>
          </cell>
          <cell r="B66">
            <v>4</v>
          </cell>
          <cell r="C66">
            <v>5.68</v>
          </cell>
          <cell r="D66" t="str">
            <v>5/25</v>
          </cell>
          <cell r="E66" t="str">
            <v>Very High</v>
          </cell>
          <cell r="F66" t="str">
            <v>EQ-MLC</v>
          </cell>
        </row>
        <row r="67">
          <cell r="A67" t="str">
            <v>Axis Nifty 100 Index Fund - Regular Plan</v>
          </cell>
          <cell r="B67">
            <v>2</v>
          </cell>
          <cell r="C67">
            <v>3.02</v>
          </cell>
          <cell r="D67" t="str">
            <v>99/144</v>
          </cell>
          <cell r="E67" t="str">
            <v>Very High</v>
          </cell>
          <cell r="F67" t="str">
            <v>EQ-LC</v>
          </cell>
        </row>
        <row r="68">
          <cell r="A68" t="str">
            <v>Axis Nifty 500 Index Fund - Regular Plan</v>
          </cell>
          <cell r="B68" t="str">
            <v>--</v>
          </cell>
          <cell r="C68" t="str">
            <v>--</v>
          </cell>
          <cell r="D68" t="str">
            <v>--</v>
          </cell>
          <cell r="E68" t="str">
            <v>Very High</v>
          </cell>
          <cell r="F68" t="str">
            <v>EQ-FLX</v>
          </cell>
        </row>
        <row r="69">
          <cell r="A69" t="str">
            <v>Axis Nifty500 Momentum 50 Index Fund - Regular Plan</v>
          </cell>
          <cell r="B69" t="str">
            <v>--</v>
          </cell>
          <cell r="C69" t="str">
            <v>--</v>
          </cell>
          <cell r="D69" t="str">
            <v>--</v>
          </cell>
          <cell r="E69" t="str">
            <v>Very High</v>
          </cell>
          <cell r="F69" t="str">
            <v>EQ-FLX</v>
          </cell>
        </row>
        <row r="70">
          <cell r="A70" t="str">
            <v>Axis Nifty 50 ETF</v>
          </cell>
          <cell r="B70" t="str">
            <v>--</v>
          </cell>
          <cell r="C70">
            <v>6.49</v>
          </cell>
          <cell r="D70" t="str">
            <v>12/144</v>
          </cell>
          <cell r="E70" t="str">
            <v>Very High</v>
          </cell>
          <cell r="F70" t="str">
            <v>EQ-LC</v>
          </cell>
        </row>
        <row r="71">
          <cell r="A71" t="str">
            <v>Axis Nifty 50 Index Fund - Regular Plan</v>
          </cell>
          <cell r="B71">
            <v>3</v>
          </cell>
          <cell r="C71">
            <v>6.11</v>
          </cell>
          <cell r="D71" t="str">
            <v>40/144</v>
          </cell>
          <cell r="E71" t="str">
            <v>Very High</v>
          </cell>
          <cell r="F71" t="str">
            <v>EQ-LC</v>
          </cell>
        </row>
        <row r="72">
          <cell r="A72" t="str">
            <v>Axis Nifty Midcap 50 Index Fund - Regular Plan</v>
          </cell>
          <cell r="B72">
            <v>3</v>
          </cell>
          <cell r="C72">
            <v>3.67</v>
          </cell>
          <cell r="D72" t="str">
            <v>14/53</v>
          </cell>
          <cell r="E72" t="str">
            <v>Very High</v>
          </cell>
          <cell r="F72" t="str">
            <v>EQ-MC</v>
          </cell>
        </row>
        <row r="73">
          <cell r="A73" t="str">
            <v>Axis Nifty Next 50 Index Fund - Regular Plan</v>
          </cell>
          <cell r="B73">
            <v>2</v>
          </cell>
          <cell r="C73">
            <v>-8.19</v>
          </cell>
          <cell r="D73" t="str">
            <v>139/144</v>
          </cell>
          <cell r="E73" t="str">
            <v>Very High</v>
          </cell>
          <cell r="F73" t="str">
            <v>EQ-LC</v>
          </cell>
        </row>
        <row r="74">
          <cell r="A74" t="str">
            <v>Axis Nifty Smallcap 50 Index Fund - Regular Plan</v>
          </cell>
          <cell r="B74">
            <v>3</v>
          </cell>
          <cell r="C74">
            <v>1.26</v>
          </cell>
          <cell r="D74" t="str">
            <v>15/44</v>
          </cell>
          <cell r="E74" t="str">
            <v>Very High</v>
          </cell>
          <cell r="F74" t="str">
            <v>EQ-SC</v>
          </cell>
        </row>
        <row r="75">
          <cell r="A75" t="str">
            <v>Axis Quant Fund - Regular Plan</v>
          </cell>
          <cell r="B75" t="str">
            <v>--</v>
          </cell>
          <cell r="C75">
            <v>-4.5</v>
          </cell>
          <cell r="D75" t="str">
            <v>53/78</v>
          </cell>
          <cell r="E75" t="str">
            <v>Very High</v>
          </cell>
          <cell r="F75" t="str">
            <v>EQ-THEMATIC</v>
          </cell>
        </row>
        <row r="76">
          <cell r="A76" t="str">
            <v>Axis Retirement Fund - Aggressive Plan - Regular Plan</v>
          </cell>
          <cell r="B76">
            <v>1</v>
          </cell>
          <cell r="C76">
            <v>5.77</v>
          </cell>
          <cell r="D76" t="str">
            <v>19/44</v>
          </cell>
          <cell r="E76" t="str">
            <v>Very High</v>
          </cell>
          <cell r="F76" t="str">
            <v>HY-AH</v>
          </cell>
        </row>
        <row r="77">
          <cell r="A77" t="str">
            <v>Axis Retirement Fund - Conservative Plan - Regular Plan</v>
          </cell>
          <cell r="B77">
            <v>1</v>
          </cell>
          <cell r="C77">
            <v>5.43</v>
          </cell>
          <cell r="D77" t="str">
            <v>26/28</v>
          </cell>
          <cell r="E77" t="str">
            <v>High</v>
          </cell>
          <cell r="F77" t="str">
            <v>HY-CH</v>
          </cell>
        </row>
        <row r="78">
          <cell r="A78" t="str">
            <v>Axis Retirement Fund - Dynamic Plan - Regular Plan</v>
          </cell>
          <cell r="B78">
            <v>2</v>
          </cell>
          <cell r="C78">
            <v>5.23</v>
          </cell>
          <cell r="D78" t="str">
            <v>23/36</v>
          </cell>
          <cell r="E78" t="str">
            <v>Very High</v>
          </cell>
          <cell r="F78" t="str">
            <v>HY-DAA</v>
          </cell>
        </row>
        <row r="79">
          <cell r="A79" t="str">
            <v>Axis Small Cap Fund - Regular Plan</v>
          </cell>
          <cell r="B79">
            <v>3</v>
          </cell>
          <cell r="C79">
            <v>5.09</v>
          </cell>
          <cell r="D79" t="str">
            <v>7/44</v>
          </cell>
          <cell r="E79" t="str">
            <v>Very High</v>
          </cell>
          <cell r="F79" t="str">
            <v>EQ-SC</v>
          </cell>
        </row>
        <row r="80">
          <cell r="A80" t="str">
            <v>Bajaj Finserv Arbitrage Fund - Regular Plan</v>
          </cell>
          <cell r="B80" t="str">
            <v>--</v>
          </cell>
          <cell r="C80">
            <v>6.4</v>
          </cell>
          <cell r="D80" t="str">
            <v>24/27</v>
          </cell>
          <cell r="E80" t="str">
            <v>Low</v>
          </cell>
          <cell r="F80" t="str">
            <v>HY-AR</v>
          </cell>
        </row>
        <row r="81">
          <cell r="A81" t="str">
            <v>Bajaj Finserv Balanced Advantage Fund - Regular Plan</v>
          </cell>
          <cell r="B81" t="str">
            <v>--</v>
          </cell>
          <cell r="C81">
            <v>2.36</v>
          </cell>
          <cell r="D81" t="str">
            <v>29/36</v>
          </cell>
          <cell r="E81" t="str">
            <v>Very High</v>
          </cell>
          <cell r="F81" t="str">
            <v>HY-DAA</v>
          </cell>
        </row>
        <row r="82">
          <cell r="A82" t="str">
            <v>Bajaj Finserv Flexi Cap Fund - Regular Plan</v>
          </cell>
          <cell r="B82" t="str">
            <v>--</v>
          </cell>
          <cell r="C82">
            <v>5.51</v>
          </cell>
          <cell r="D82" t="str">
            <v>24/91</v>
          </cell>
          <cell r="E82" t="str">
            <v>Very High</v>
          </cell>
          <cell r="F82" t="str">
            <v>EQ-FLX</v>
          </cell>
        </row>
        <row r="83">
          <cell r="A83" t="str">
            <v>Bajaj Finserv Large and Mid Cap Fund - Regular Plan</v>
          </cell>
          <cell r="B83" t="str">
            <v>--</v>
          </cell>
          <cell r="C83">
            <v>3.69</v>
          </cell>
          <cell r="D83" t="str">
            <v>14/54</v>
          </cell>
          <cell r="E83" t="str">
            <v>Very High</v>
          </cell>
          <cell r="F83" t="str">
            <v>EQ-L&amp;MC</v>
          </cell>
        </row>
        <row r="84">
          <cell r="A84" t="str">
            <v>Bajaj Finserv Large Cap Fund - Regular Plan</v>
          </cell>
          <cell r="B84" t="str">
            <v>--</v>
          </cell>
          <cell r="C84" t="str">
            <v>--</v>
          </cell>
          <cell r="D84" t="str">
            <v>--</v>
          </cell>
          <cell r="E84" t="str">
            <v>Very High</v>
          </cell>
          <cell r="F84" t="str">
            <v>EQ-LC</v>
          </cell>
        </row>
        <row r="85">
          <cell r="A85" t="str">
            <v>Bajaj Finserv Multi Asset Allocation Fund - Regular Plan</v>
          </cell>
          <cell r="B85" t="str">
            <v>--</v>
          </cell>
          <cell r="C85">
            <v>5.84</v>
          </cell>
          <cell r="D85" t="str">
            <v>30/37</v>
          </cell>
          <cell r="E85" t="str">
            <v>Very High</v>
          </cell>
          <cell r="F85" t="str">
            <v>HY-MAA</v>
          </cell>
        </row>
        <row r="86">
          <cell r="A86" t="str">
            <v>Bajaj Finserv Multi Cap Fund - Regular Plan</v>
          </cell>
          <cell r="B86" t="str">
            <v>--</v>
          </cell>
          <cell r="C86" t="str">
            <v>--</v>
          </cell>
          <cell r="D86" t="str">
            <v>--</v>
          </cell>
          <cell r="E86" t="str">
            <v>Very High</v>
          </cell>
          <cell r="F86" t="str">
            <v>EQ-MLC</v>
          </cell>
        </row>
        <row r="87">
          <cell r="A87" t="str">
            <v>Bajaj Finserv Nifty 50 ETF</v>
          </cell>
          <cell r="B87" t="str">
            <v>--</v>
          </cell>
          <cell r="C87">
            <v>6.47</v>
          </cell>
          <cell r="D87" t="str">
            <v>16/144</v>
          </cell>
          <cell r="E87" t="str">
            <v>Very High</v>
          </cell>
          <cell r="F87" t="str">
            <v>EQ-LC</v>
          </cell>
        </row>
        <row r="88">
          <cell r="A88" t="str">
            <v>Bajaj Finserv Nifty 50 Index Fund - Regular Plan</v>
          </cell>
          <cell r="B88" t="str">
            <v>--</v>
          </cell>
          <cell r="C88" t="str">
            <v>--</v>
          </cell>
          <cell r="D88" t="str">
            <v>--</v>
          </cell>
          <cell r="E88" t="str">
            <v>Very High</v>
          </cell>
          <cell r="F88" t="str">
            <v>EQ-LC</v>
          </cell>
        </row>
        <row r="89">
          <cell r="A89" t="str">
            <v>Bajaj Finserv Nifty Next 50 Index Fund - Regular Plan</v>
          </cell>
          <cell r="B89" t="str">
            <v>--</v>
          </cell>
          <cell r="C89" t="str">
            <v>--</v>
          </cell>
          <cell r="D89" t="str">
            <v>--</v>
          </cell>
          <cell r="E89" t="str">
            <v>Very High</v>
          </cell>
          <cell r="F89" t="str">
            <v>EQ-LC</v>
          </cell>
        </row>
        <row r="90">
          <cell r="A90" t="str">
            <v>Bajaj Finserv Small Cap Fund - Regular Plan</v>
          </cell>
          <cell r="B90" t="str">
            <v>--</v>
          </cell>
          <cell r="C90" t="str">
            <v>--</v>
          </cell>
          <cell r="D90" t="str">
            <v>--</v>
          </cell>
          <cell r="E90" t="str">
            <v>Very High</v>
          </cell>
          <cell r="F90" t="str">
            <v>EQ-SC</v>
          </cell>
        </row>
        <row r="91">
          <cell r="A91" t="str">
            <v>Bandhan Aggressive Hybrid Fund - Regular Plan</v>
          </cell>
          <cell r="B91">
            <v>3</v>
          </cell>
          <cell r="C91">
            <v>10.72</v>
          </cell>
          <cell r="D91" t="str">
            <v>2/44</v>
          </cell>
          <cell r="E91" t="str">
            <v>Very High</v>
          </cell>
          <cell r="F91" t="str">
            <v>HY-AH</v>
          </cell>
        </row>
        <row r="92">
          <cell r="A92" t="str">
            <v>Bandhan Arbitrage Fund - Regular Plan</v>
          </cell>
          <cell r="B92">
            <v>3</v>
          </cell>
          <cell r="C92">
            <v>6.93</v>
          </cell>
          <cell r="D92" t="str">
            <v>10/27</v>
          </cell>
          <cell r="E92" t="str">
            <v>Low</v>
          </cell>
          <cell r="F92" t="str">
            <v>HY-AR</v>
          </cell>
        </row>
        <row r="93">
          <cell r="A93" t="str">
            <v>Bandhan Asset Allocation Fund - Aggressive Plan - Regular Plan</v>
          </cell>
          <cell r="B93">
            <v>3</v>
          </cell>
          <cell r="C93">
            <v>5.58</v>
          </cell>
          <cell r="D93" t="str">
            <v>22/44</v>
          </cell>
          <cell r="E93" t="str">
            <v>High</v>
          </cell>
          <cell r="F93" t="str">
            <v>HY-AH</v>
          </cell>
        </row>
        <row r="94">
          <cell r="A94" t="str">
            <v>Bandhan Asset Allocation Fund - Conservative Plan - Regular Plan</v>
          </cell>
          <cell r="B94">
            <v>3</v>
          </cell>
          <cell r="C94">
            <v>7.04</v>
          </cell>
          <cell r="D94" t="str">
            <v>12/28</v>
          </cell>
          <cell r="E94" t="str">
            <v>Moderately High</v>
          </cell>
          <cell r="F94" t="str">
            <v>HY-CH</v>
          </cell>
        </row>
        <row r="95">
          <cell r="A95" t="str">
            <v>Bandhan Asset Allocation Fund - Moderate Plan - Regular Plan</v>
          </cell>
          <cell r="B95" t="str">
            <v>--</v>
          </cell>
          <cell r="C95">
            <v>6.54</v>
          </cell>
          <cell r="D95" t="str">
            <v>4/6</v>
          </cell>
          <cell r="E95" t="str">
            <v>High</v>
          </cell>
          <cell r="F95" t="str">
            <v>HY-BH</v>
          </cell>
        </row>
        <row r="96">
          <cell r="A96" t="str">
            <v>Bandhan Balanced Advantage Fund - Regular Plan</v>
          </cell>
          <cell r="B96">
            <v>2</v>
          </cell>
          <cell r="C96">
            <v>5.74</v>
          </cell>
          <cell r="D96" t="str">
            <v>19/36</v>
          </cell>
          <cell r="E96" t="str">
            <v>Moderately High</v>
          </cell>
          <cell r="F96" t="str">
            <v>HY-DAA</v>
          </cell>
        </row>
        <row r="97">
          <cell r="A97" t="str">
            <v>Bandhan BSE Sensex ETF</v>
          </cell>
          <cell r="B97" t="str">
            <v>--</v>
          </cell>
          <cell r="C97">
            <v>5.93</v>
          </cell>
          <cell r="D97" t="str">
            <v>50/144</v>
          </cell>
          <cell r="E97" t="str">
            <v>Very High</v>
          </cell>
          <cell r="F97" t="str">
            <v>EQ-LC</v>
          </cell>
        </row>
        <row r="98">
          <cell r="A98" t="str">
            <v>Bandhan Business Cycle Fund - Regular Plan</v>
          </cell>
          <cell r="B98" t="str">
            <v>--</v>
          </cell>
          <cell r="C98" t="str">
            <v>--</v>
          </cell>
          <cell r="D98" t="str">
            <v>--</v>
          </cell>
          <cell r="E98" t="str">
            <v>Very High</v>
          </cell>
          <cell r="F98" t="str">
            <v>EQ-THEMATIC</v>
          </cell>
        </row>
        <row r="99">
          <cell r="A99" t="str">
            <v>Bandhan Conservative Hybrid Fund - Regular Plan</v>
          </cell>
          <cell r="B99">
            <v>2</v>
          </cell>
          <cell r="C99">
            <v>5.82</v>
          </cell>
          <cell r="D99" t="str">
            <v>24/28</v>
          </cell>
          <cell r="E99" t="str">
            <v>Moderately High</v>
          </cell>
          <cell r="F99" t="str">
            <v>HY-CH</v>
          </cell>
        </row>
        <row r="100">
          <cell r="A100" t="str">
            <v>Bandhan Flexi Cap Fund - Regular Plan</v>
          </cell>
          <cell r="B100">
            <v>3</v>
          </cell>
          <cell r="C100">
            <v>5.18</v>
          </cell>
          <cell r="D100" t="str">
            <v>28/91</v>
          </cell>
          <cell r="E100" t="str">
            <v>Very High</v>
          </cell>
          <cell r="F100" t="str">
            <v>EQ-FLX</v>
          </cell>
        </row>
        <row r="101">
          <cell r="A101" t="str">
            <v>Bandhan Focused Fund - Regular Plan</v>
          </cell>
          <cell r="B101">
            <v>3</v>
          </cell>
          <cell r="C101">
            <v>8.43</v>
          </cell>
          <cell r="D101" t="str">
            <v>8/91</v>
          </cell>
          <cell r="E101" t="str">
            <v>Very High</v>
          </cell>
          <cell r="F101" t="str">
            <v>EQ-FLX</v>
          </cell>
        </row>
        <row r="102">
          <cell r="A102" t="str">
            <v>Bandhan Innovation Fund - Regular Plan</v>
          </cell>
          <cell r="B102" t="str">
            <v>--</v>
          </cell>
          <cell r="C102">
            <v>14.38</v>
          </cell>
          <cell r="D102" t="str">
            <v>3/78</v>
          </cell>
          <cell r="E102" t="str">
            <v>Very High</v>
          </cell>
          <cell r="F102" t="str">
            <v>EQ-THEMATIC</v>
          </cell>
        </row>
        <row r="103">
          <cell r="A103" t="str">
            <v>Bandhan Large Cap Fund - Regular Plan</v>
          </cell>
          <cell r="B103">
            <v>4</v>
          </cell>
          <cell r="C103">
            <v>4.57</v>
          </cell>
          <cell r="D103" t="str">
            <v>78/144</v>
          </cell>
          <cell r="E103" t="str">
            <v>Very High</v>
          </cell>
          <cell r="F103" t="str">
            <v>EQ-LC</v>
          </cell>
        </row>
        <row r="104">
          <cell r="A104" t="str">
            <v>Bandhan Large &amp; Mid Cap Fund - Regular Plan</v>
          </cell>
          <cell r="B104">
            <v>5</v>
          </cell>
          <cell r="C104">
            <v>5.59</v>
          </cell>
          <cell r="D104" t="str">
            <v>8/54</v>
          </cell>
          <cell r="E104" t="str">
            <v>Very High</v>
          </cell>
          <cell r="F104" t="str">
            <v>EQ-L&amp;MC</v>
          </cell>
        </row>
        <row r="105">
          <cell r="A105" t="str">
            <v>Bandhan Midcap Fund - Regular Plan</v>
          </cell>
          <cell r="B105" t="str">
            <v>--</v>
          </cell>
          <cell r="C105">
            <v>1.4</v>
          </cell>
          <cell r="D105" t="str">
            <v>33/53</v>
          </cell>
          <cell r="E105" t="str">
            <v>Very High</v>
          </cell>
          <cell r="F105" t="str">
            <v>EQ-MC</v>
          </cell>
        </row>
        <row r="106">
          <cell r="A106" t="str">
            <v>Bandhan Multi Asset Allocation Fund - Regular Plan</v>
          </cell>
          <cell r="B106" t="str">
            <v>--</v>
          </cell>
          <cell r="C106">
            <v>8.65</v>
          </cell>
          <cell r="D106" t="str">
            <v>17/37</v>
          </cell>
          <cell r="E106" t="str">
            <v>Very High</v>
          </cell>
          <cell r="F106" t="str">
            <v>HY-MAA</v>
          </cell>
        </row>
        <row r="107">
          <cell r="A107" t="str">
            <v>Bandhan Multi Cap Fund - Regular Plan</v>
          </cell>
          <cell r="B107">
            <v>3</v>
          </cell>
          <cell r="C107">
            <v>2.79</v>
          </cell>
          <cell r="D107" t="str">
            <v>12/25</v>
          </cell>
          <cell r="E107" t="str">
            <v>Very High</v>
          </cell>
          <cell r="F107" t="str">
            <v>EQ-MLC</v>
          </cell>
        </row>
        <row r="108">
          <cell r="A108" t="str">
            <v>Bandhan Nifty 100 Index Fund - Regular Plan</v>
          </cell>
          <cell r="B108">
            <v>2</v>
          </cell>
          <cell r="C108">
            <v>3.26</v>
          </cell>
          <cell r="D108" t="str">
            <v>96/144</v>
          </cell>
          <cell r="E108" t="str">
            <v>Very High</v>
          </cell>
          <cell r="F108" t="str">
            <v>EQ-LC</v>
          </cell>
        </row>
        <row r="109">
          <cell r="A109" t="str">
            <v>Bandhan Nifty100 Low Volatility 30 Index Fund - Regular Plan</v>
          </cell>
          <cell r="B109" t="str">
            <v>--</v>
          </cell>
          <cell r="C109">
            <v>4.58</v>
          </cell>
          <cell r="D109" t="str">
            <v>77/144</v>
          </cell>
          <cell r="E109" t="str">
            <v>Very High</v>
          </cell>
          <cell r="F109" t="str">
            <v>EQ-LC</v>
          </cell>
        </row>
        <row r="110">
          <cell r="A110" t="str">
            <v>Bandhan Nifty200 Momentum 30 Index Fund - Regular Plan</v>
          </cell>
          <cell r="B110" t="str">
            <v>--</v>
          </cell>
          <cell r="C110">
            <v>-13.72</v>
          </cell>
          <cell r="D110" t="str">
            <v>54/54</v>
          </cell>
          <cell r="E110" t="str">
            <v>Very High</v>
          </cell>
          <cell r="F110" t="str">
            <v>EQ-L&amp;MC</v>
          </cell>
        </row>
        <row r="111">
          <cell r="A111" t="str">
            <v>Bandhan Nifty 200 Quality 30 Index Fund - Regular Plan</v>
          </cell>
          <cell r="B111" t="str">
            <v>--</v>
          </cell>
          <cell r="C111" t="str">
            <v>--</v>
          </cell>
          <cell r="D111" t="str">
            <v>--</v>
          </cell>
          <cell r="E111" t="str">
            <v>Very High</v>
          </cell>
          <cell r="F111" t="str">
            <v>EQ-L&amp;MC</v>
          </cell>
        </row>
        <row r="112">
          <cell r="A112" t="str">
            <v>Bandhan Nifty 500 Momentum 50 Index Fund - Regular Plan</v>
          </cell>
          <cell r="B112" t="str">
            <v>--</v>
          </cell>
          <cell r="C112" t="str">
            <v>--</v>
          </cell>
          <cell r="D112" t="str">
            <v>--</v>
          </cell>
          <cell r="E112" t="str">
            <v>Very High</v>
          </cell>
          <cell r="F112" t="str">
            <v>EQ-FLX</v>
          </cell>
        </row>
        <row r="113">
          <cell r="A113" t="str">
            <v>Bandhan Nifty 50 ETF</v>
          </cell>
          <cell r="B113" t="str">
            <v>--</v>
          </cell>
          <cell r="C113">
            <v>6.45</v>
          </cell>
          <cell r="D113" t="str">
            <v>18/144</v>
          </cell>
          <cell r="E113" t="str">
            <v>Very High</v>
          </cell>
          <cell r="F113" t="str">
            <v>EQ-LC</v>
          </cell>
        </row>
        <row r="114">
          <cell r="A114" t="str">
            <v>Bandhan Nifty 50 Index Fund - Regular Plan</v>
          </cell>
          <cell r="B114">
            <v>3</v>
          </cell>
          <cell r="C114">
            <v>5.75</v>
          </cell>
          <cell r="D114" t="str">
            <v>58/144</v>
          </cell>
          <cell r="E114" t="str">
            <v>Very High</v>
          </cell>
          <cell r="F114" t="str">
            <v>EQ-LC</v>
          </cell>
        </row>
        <row r="115">
          <cell r="A115" t="str">
            <v>Bandhan Nifty Alpha 50 Index Fund - Regular Plan</v>
          </cell>
          <cell r="B115" t="str">
            <v>--</v>
          </cell>
          <cell r="C115">
            <v>-9.31</v>
          </cell>
          <cell r="D115" t="str">
            <v>88/91</v>
          </cell>
          <cell r="E115" t="str">
            <v>Very High</v>
          </cell>
          <cell r="F115" t="str">
            <v>EQ-FLX</v>
          </cell>
        </row>
        <row r="116">
          <cell r="A116" t="str">
            <v>Bandhan Nifty Alpha Low Volatility 30 Index Fund - Regular Plan</v>
          </cell>
          <cell r="B116" t="str">
            <v>--</v>
          </cell>
          <cell r="C116" t="str">
            <v>--</v>
          </cell>
          <cell r="D116" t="str">
            <v>--</v>
          </cell>
          <cell r="E116" t="str">
            <v>Very High</v>
          </cell>
          <cell r="F116" t="str">
            <v>EQ-L&amp;MC</v>
          </cell>
        </row>
        <row r="117">
          <cell r="A117" t="str">
            <v>Bandhan Nifty Midcap 150 Index Fund - Regular Plan</v>
          </cell>
          <cell r="B117" t="str">
            <v>--</v>
          </cell>
          <cell r="C117" t="str">
            <v>--</v>
          </cell>
          <cell r="D117" t="str">
            <v>--</v>
          </cell>
          <cell r="E117" t="str">
            <v>Very High</v>
          </cell>
          <cell r="F117" t="str">
            <v>EQ-MC</v>
          </cell>
        </row>
        <row r="118">
          <cell r="A118" t="str">
            <v>Bandhan Nifty Next 50 Index Fund - Regular Plan</v>
          </cell>
          <cell r="B118" t="str">
            <v>--</v>
          </cell>
          <cell r="C118" t="str">
            <v>--</v>
          </cell>
          <cell r="D118" t="str">
            <v>--</v>
          </cell>
          <cell r="E118" t="str">
            <v>Very High</v>
          </cell>
          <cell r="F118" t="str">
            <v>EQ-LC</v>
          </cell>
        </row>
        <row r="119">
          <cell r="A119" t="str">
            <v>Bandhan Nifty Smallcap 250 Index Fund - Regular Plan</v>
          </cell>
          <cell r="B119" t="str">
            <v>--</v>
          </cell>
          <cell r="C119">
            <v>-1.61</v>
          </cell>
          <cell r="D119" t="str">
            <v>34/44</v>
          </cell>
          <cell r="E119" t="str">
            <v>Very High</v>
          </cell>
          <cell r="F119" t="str">
            <v>EQ-SC</v>
          </cell>
        </row>
        <row r="120">
          <cell r="A120" t="str">
            <v>Bandhan Nifty Total Market Index Fund - Regular Plan</v>
          </cell>
          <cell r="B120" t="str">
            <v>--</v>
          </cell>
          <cell r="C120" t="str">
            <v>--</v>
          </cell>
          <cell r="D120" t="str">
            <v>--</v>
          </cell>
          <cell r="E120" t="str">
            <v>Very High</v>
          </cell>
          <cell r="F120" t="str">
            <v>EQ-FLX</v>
          </cell>
        </row>
        <row r="121">
          <cell r="A121" t="str">
            <v>Bandhan Retirement Fund - Regular Plan</v>
          </cell>
          <cell r="B121" t="str">
            <v>--</v>
          </cell>
          <cell r="C121">
            <v>3.71</v>
          </cell>
          <cell r="D121" t="str">
            <v>34/44</v>
          </cell>
          <cell r="E121" t="str">
            <v>Very High</v>
          </cell>
          <cell r="F121" t="str">
            <v>HY-AH</v>
          </cell>
        </row>
        <row r="122">
          <cell r="A122" t="str">
            <v>Bandhan Small Cap Fund - Regular Plan</v>
          </cell>
          <cell r="B122">
            <v>4</v>
          </cell>
          <cell r="C122">
            <v>12.78</v>
          </cell>
          <cell r="D122" t="str">
            <v>2/44</v>
          </cell>
          <cell r="E122" t="str">
            <v>Very High</v>
          </cell>
          <cell r="F122" t="str">
            <v>EQ-SC</v>
          </cell>
        </row>
        <row r="123">
          <cell r="A123" t="str">
            <v>Bandhan Transportation and Logistics Fund - Regular Plan</v>
          </cell>
          <cell r="B123" t="str">
            <v>--</v>
          </cell>
          <cell r="C123">
            <v>-6.88</v>
          </cell>
          <cell r="D123" t="str">
            <v>62/78</v>
          </cell>
          <cell r="E123" t="str">
            <v>Very High</v>
          </cell>
          <cell r="F123" t="str">
            <v>EQ-THEMATIC</v>
          </cell>
        </row>
        <row r="124">
          <cell r="A124" t="str">
            <v>Bank of India Arbitrage Fund - Regular Plan</v>
          </cell>
          <cell r="B124">
            <v>1</v>
          </cell>
          <cell r="C124">
            <v>6.53</v>
          </cell>
          <cell r="D124" t="str">
            <v>23/27</v>
          </cell>
          <cell r="E124" t="str">
            <v>Low</v>
          </cell>
          <cell r="F124" t="str">
            <v>HY-AR</v>
          </cell>
        </row>
        <row r="125">
          <cell r="A125" t="str">
            <v>Bank of India Balanced Advantage Fund - Regular Plan</v>
          </cell>
          <cell r="B125">
            <v>2</v>
          </cell>
          <cell r="C125">
            <v>-0.13</v>
          </cell>
          <cell r="D125" t="str">
            <v>32/36</v>
          </cell>
          <cell r="E125" t="str">
            <v>Very High</v>
          </cell>
          <cell r="F125" t="str">
            <v>HY-DAA</v>
          </cell>
        </row>
        <row r="126">
          <cell r="A126" t="str">
            <v>Bank of India Bluechip Fund - Regular Plan</v>
          </cell>
          <cell r="B126">
            <v>4</v>
          </cell>
          <cell r="C126">
            <v>-4.07</v>
          </cell>
          <cell r="D126" t="str">
            <v>120/144</v>
          </cell>
          <cell r="E126" t="str">
            <v>Very High</v>
          </cell>
          <cell r="F126" t="str">
            <v>EQ-LC</v>
          </cell>
        </row>
        <row r="127">
          <cell r="A127" t="str">
            <v>Bank of India Business Cycle Fund - Regular Plan</v>
          </cell>
          <cell r="B127" t="str">
            <v>--</v>
          </cell>
          <cell r="C127" t="str">
            <v>--</v>
          </cell>
          <cell r="D127" t="str">
            <v>--</v>
          </cell>
          <cell r="E127" t="str">
            <v>Very High</v>
          </cell>
          <cell r="F127" t="str">
            <v>EQ-THEMATIC</v>
          </cell>
        </row>
        <row r="128">
          <cell r="A128" t="str">
            <v>Bank of India Conservative Hybrid Fund - Regular Plan</v>
          </cell>
          <cell r="B128">
            <v>3</v>
          </cell>
          <cell r="C128">
            <v>3.54</v>
          </cell>
          <cell r="D128" t="str">
            <v>28/28</v>
          </cell>
          <cell r="E128" t="str">
            <v>Moderately High</v>
          </cell>
          <cell r="F128" t="str">
            <v>HY-CH</v>
          </cell>
        </row>
        <row r="129">
          <cell r="A129" t="str">
            <v>Bank of India Flexi Cap Fund - Regular Plan</v>
          </cell>
          <cell r="B129">
            <v>4</v>
          </cell>
          <cell r="C129">
            <v>-4.55</v>
          </cell>
          <cell r="D129" t="str">
            <v>80/91</v>
          </cell>
          <cell r="E129" t="str">
            <v>Very High</v>
          </cell>
          <cell r="F129" t="str">
            <v>EQ-FLX</v>
          </cell>
        </row>
        <row r="130">
          <cell r="A130" t="str">
            <v>Bank of India Large &amp; Mid Cap Equity Fund - Regular Plan</v>
          </cell>
          <cell r="B130">
            <v>2</v>
          </cell>
          <cell r="C130">
            <v>-0.94</v>
          </cell>
          <cell r="D130" t="str">
            <v>36/54</v>
          </cell>
          <cell r="E130" t="str">
            <v>Very High</v>
          </cell>
          <cell r="F130" t="str">
            <v>EQ-L&amp;MC</v>
          </cell>
        </row>
        <row r="131">
          <cell r="A131" t="str">
            <v>Bank of India Mid &amp; Small Cap Equity &amp; Debt Fund - Regular Plan</v>
          </cell>
          <cell r="B131">
            <v>4</v>
          </cell>
          <cell r="C131">
            <v>1.21</v>
          </cell>
          <cell r="D131" t="str">
            <v>39/44</v>
          </cell>
          <cell r="E131" t="str">
            <v>Very High</v>
          </cell>
          <cell r="F131" t="str">
            <v>HY-AH</v>
          </cell>
        </row>
        <row r="132">
          <cell r="A132" t="str">
            <v>Bank of India Multi Asset Allocation Fund - Regular Plan</v>
          </cell>
          <cell r="B132" t="str">
            <v>--</v>
          </cell>
          <cell r="C132">
            <v>4.47</v>
          </cell>
          <cell r="D132" t="str">
            <v>33/37</v>
          </cell>
          <cell r="E132" t="str">
            <v>High</v>
          </cell>
          <cell r="F132" t="str">
            <v>HY-MAA</v>
          </cell>
        </row>
        <row r="133">
          <cell r="A133" t="str">
            <v>Bank of India Multi Cap Fund - Regular Plan</v>
          </cell>
          <cell r="B133" t="str">
            <v>--</v>
          </cell>
          <cell r="C133">
            <v>1.76</v>
          </cell>
          <cell r="D133" t="str">
            <v>17/25</v>
          </cell>
          <cell r="E133" t="str">
            <v>Very High</v>
          </cell>
          <cell r="F133" t="str">
            <v>EQ-MLC</v>
          </cell>
        </row>
        <row r="134">
          <cell r="A134" t="str">
            <v>Bank of India Small Cap Fund - Regular Plan</v>
          </cell>
          <cell r="B134">
            <v>3</v>
          </cell>
          <cell r="C134">
            <v>-0.55000000000000004</v>
          </cell>
          <cell r="D134" t="str">
            <v>19/44</v>
          </cell>
          <cell r="E134" t="str">
            <v>Very High</v>
          </cell>
          <cell r="F134" t="str">
            <v>EQ-SC</v>
          </cell>
        </row>
        <row r="135">
          <cell r="A135" t="str">
            <v>Baroda BNP Paribas Aggressive Hybrid Fund - Regular Plan</v>
          </cell>
          <cell r="B135">
            <v>3</v>
          </cell>
          <cell r="C135">
            <v>3.99</v>
          </cell>
          <cell r="D135" t="str">
            <v>32/44</v>
          </cell>
          <cell r="E135" t="str">
            <v>Very High</v>
          </cell>
          <cell r="F135" t="str">
            <v>HY-AH</v>
          </cell>
        </row>
        <row r="136">
          <cell r="A136" t="str">
            <v>Baroda BNP Paribas Arbitrage Fund - Regular Plan</v>
          </cell>
          <cell r="B136">
            <v>3</v>
          </cell>
          <cell r="C136">
            <v>6.65</v>
          </cell>
          <cell r="D136" t="str">
            <v>22/27</v>
          </cell>
          <cell r="E136" t="str">
            <v>Low</v>
          </cell>
          <cell r="F136" t="str">
            <v>HY-AR</v>
          </cell>
        </row>
        <row r="137">
          <cell r="A137" t="str">
            <v>Baroda BNP Paribas Balanced Advantage Fund - Regular Plan</v>
          </cell>
          <cell r="B137">
            <v>4</v>
          </cell>
          <cell r="C137">
            <v>6.78</v>
          </cell>
          <cell r="D137" t="str">
            <v>12/36</v>
          </cell>
          <cell r="E137" t="str">
            <v>Very High</v>
          </cell>
          <cell r="F137" t="str">
            <v>HY-DAA</v>
          </cell>
        </row>
        <row r="138">
          <cell r="A138" t="str">
            <v>Baroda BNP Paribas Business Cycle Fund - Regular Plan</v>
          </cell>
          <cell r="B138" t="str">
            <v>--</v>
          </cell>
          <cell r="C138">
            <v>-1.56</v>
          </cell>
          <cell r="D138" t="str">
            <v>35/78</v>
          </cell>
          <cell r="E138" t="str">
            <v>Very High</v>
          </cell>
          <cell r="F138" t="str">
            <v>EQ-THEMATIC</v>
          </cell>
        </row>
        <row r="139">
          <cell r="A139" t="str">
            <v>Baroda BNP Paribas Children's Fund - Regular Plan</v>
          </cell>
          <cell r="B139" t="str">
            <v>--</v>
          </cell>
          <cell r="C139" t="str">
            <v>--</v>
          </cell>
          <cell r="D139" t="str">
            <v>--</v>
          </cell>
          <cell r="E139" t="str">
            <v>Very High</v>
          </cell>
          <cell r="F139" t="str">
            <v>EQ-FLX</v>
          </cell>
        </row>
        <row r="140">
          <cell r="A140" t="str">
            <v>Baroda BNP Paribas Conservative Hybrid Fund - Regular Plan</v>
          </cell>
          <cell r="B140">
            <v>3</v>
          </cell>
          <cell r="C140">
            <v>6.33</v>
          </cell>
          <cell r="D140" t="str">
            <v>19/28</v>
          </cell>
          <cell r="E140" t="str">
            <v>Moderately High</v>
          </cell>
          <cell r="F140" t="str">
            <v>HY-CH</v>
          </cell>
        </row>
        <row r="141">
          <cell r="A141" t="str">
            <v>Baroda BNP Paribas Flexi Cap Fund - Regular Plan</v>
          </cell>
          <cell r="B141" t="str">
            <v>--</v>
          </cell>
          <cell r="C141">
            <v>1.39</v>
          </cell>
          <cell r="D141" t="str">
            <v>64/91</v>
          </cell>
          <cell r="E141" t="str">
            <v>Very High</v>
          </cell>
          <cell r="F141" t="str">
            <v>EQ-FLX</v>
          </cell>
        </row>
        <row r="142">
          <cell r="A142" t="str">
            <v>Baroda BNP Paribas Focused Fund - Regular Plan</v>
          </cell>
          <cell r="B142">
            <v>2</v>
          </cell>
          <cell r="C142">
            <v>-4.72</v>
          </cell>
          <cell r="D142" t="str">
            <v>82/91</v>
          </cell>
          <cell r="E142" t="str">
            <v>Very High</v>
          </cell>
          <cell r="F142" t="str">
            <v>EQ-FLX</v>
          </cell>
        </row>
        <row r="143">
          <cell r="A143" t="str">
            <v>Baroda BNP Paribas Innovation Fund - Regular Plan</v>
          </cell>
          <cell r="B143" t="str">
            <v>--</v>
          </cell>
          <cell r="C143">
            <v>1.85</v>
          </cell>
          <cell r="D143" t="str">
            <v>25/78</v>
          </cell>
          <cell r="E143" t="str">
            <v>Very High</v>
          </cell>
          <cell r="F143" t="str">
            <v>EQ-THEMATIC</v>
          </cell>
        </row>
        <row r="144">
          <cell r="A144" t="str">
            <v>Baroda BNP Paribas Large Cap Fund - Regular Plan</v>
          </cell>
          <cell r="B144">
            <v>4</v>
          </cell>
          <cell r="C144">
            <v>1.52</v>
          </cell>
          <cell r="D144" t="str">
            <v>105/144</v>
          </cell>
          <cell r="E144" t="str">
            <v>Very High</v>
          </cell>
          <cell r="F144" t="str">
            <v>EQ-LC</v>
          </cell>
        </row>
        <row r="145">
          <cell r="A145" t="str">
            <v>Baroda BNP Paribas Large &amp; Mid Cap Fund - Regular Plan</v>
          </cell>
          <cell r="B145">
            <v>3</v>
          </cell>
          <cell r="C145">
            <v>1.98</v>
          </cell>
          <cell r="D145" t="str">
            <v>21/54</v>
          </cell>
          <cell r="E145" t="str">
            <v>Very High</v>
          </cell>
          <cell r="F145" t="str">
            <v>EQ-L&amp;MC</v>
          </cell>
        </row>
        <row r="146">
          <cell r="A146" t="str">
            <v>Baroda BNP Paribas Manufacturing Fund - Regular Plan</v>
          </cell>
          <cell r="B146" t="str">
            <v>--</v>
          </cell>
          <cell r="C146" t="str">
            <v>--</v>
          </cell>
          <cell r="D146" t="str">
            <v>--</v>
          </cell>
          <cell r="E146" t="str">
            <v>Very High</v>
          </cell>
          <cell r="F146" t="str">
            <v>EQ-THEMATIC</v>
          </cell>
        </row>
        <row r="147">
          <cell r="A147" t="str">
            <v>Baroda BNP Paribas Midcap Fund - Regular Plan</v>
          </cell>
          <cell r="B147">
            <v>3</v>
          </cell>
          <cell r="C147">
            <v>0.34</v>
          </cell>
          <cell r="D147" t="str">
            <v>38/53</v>
          </cell>
          <cell r="E147" t="str">
            <v>Very High</v>
          </cell>
          <cell r="F147" t="str">
            <v>EQ-MC</v>
          </cell>
        </row>
        <row r="148">
          <cell r="A148" t="str">
            <v>Baroda BNP Paribas Multi Asset Active FoF - Regular Plan</v>
          </cell>
          <cell r="B148" t="str">
            <v>--</v>
          </cell>
          <cell r="C148" t="str">
            <v>--</v>
          </cell>
          <cell r="D148" t="str">
            <v>--</v>
          </cell>
          <cell r="E148" t="str">
            <v>Moderately High</v>
          </cell>
          <cell r="F148" t="str">
            <v>HY-MAA</v>
          </cell>
        </row>
        <row r="149">
          <cell r="A149" t="str">
            <v>Baroda BNP Paribas Multi Asset Fund - Regular Plan</v>
          </cell>
          <cell r="B149" t="str">
            <v>--</v>
          </cell>
          <cell r="C149">
            <v>6.87</v>
          </cell>
          <cell r="D149" t="str">
            <v>26/37</v>
          </cell>
          <cell r="E149" t="str">
            <v>Very High</v>
          </cell>
          <cell r="F149" t="str">
            <v>HY-MAA</v>
          </cell>
        </row>
        <row r="150">
          <cell r="A150" t="str">
            <v>Baroda BNP Paribas Multi Cap Fund - Regular Plan</v>
          </cell>
          <cell r="B150">
            <v>3</v>
          </cell>
          <cell r="C150">
            <v>0.72</v>
          </cell>
          <cell r="D150" t="str">
            <v>21/25</v>
          </cell>
          <cell r="E150" t="str">
            <v>Very High</v>
          </cell>
          <cell r="F150" t="str">
            <v>EQ-MLC</v>
          </cell>
        </row>
        <row r="151">
          <cell r="A151" t="str">
            <v>Baroda BNP Paribas Nifty200 Momentum 30 Index Fund - Regular Plan</v>
          </cell>
          <cell r="B151" t="str">
            <v>--</v>
          </cell>
          <cell r="C151" t="str">
            <v>--</v>
          </cell>
          <cell r="D151" t="str">
            <v>--</v>
          </cell>
          <cell r="E151" t="str">
            <v>Very High</v>
          </cell>
          <cell r="F151" t="str">
            <v>EQ-L&amp;MC</v>
          </cell>
        </row>
        <row r="152">
          <cell r="A152" t="str">
            <v>Baroda BNP Paribas NIFTY 50 Index Fund - Regular Plan</v>
          </cell>
          <cell r="B152" t="str">
            <v>--</v>
          </cell>
          <cell r="C152">
            <v>5.75</v>
          </cell>
          <cell r="D152" t="str">
            <v>59/144</v>
          </cell>
          <cell r="E152" t="str">
            <v>Very High</v>
          </cell>
          <cell r="F152" t="str">
            <v>EQ-LC</v>
          </cell>
        </row>
        <row r="153">
          <cell r="A153" t="str">
            <v>Baroda BNP Paribas Nifty Midcap 150 Index Fund - Regular Plan</v>
          </cell>
          <cell r="B153" t="str">
            <v>--</v>
          </cell>
          <cell r="C153" t="str">
            <v>--</v>
          </cell>
          <cell r="D153" t="str">
            <v>--</v>
          </cell>
          <cell r="E153" t="str">
            <v>Very High</v>
          </cell>
          <cell r="F153" t="str">
            <v>EQ-MC</v>
          </cell>
        </row>
        <row r="154">
          <cell r="A154" t="str">
            <v>Baroda BNP Paribas Retirement Fund - Regular Plan</v>
          </cell>
          <cell r="B154" t="str">
            <v>--</v>
          </cell>
          <cell r="C154">
            <v>5.64</v>
          </cell>
          <cell r="D154" t="str">
            <v>20/44</v>
          </cell>
          <cell r="E154" t="str">
            <v>Very High</v>
          </cell>
          <cell r="F154" t="str">
            <v>HY-AH</v>
          </cell>
        </row>
        <row r="155">
          <cell r="A155" t="str">
            <v>Baroda BNP Paribas Small Cap Fund - Regular Plan</v>
          </cell>
          <cell r="B155" t="str">
            <v>--</v>
          </cell>
          <cell r="C155">
            <v>-2.4700000000000002</v>
          </cell>
          <cell r="D155" t="str">
            <v>37/44</v>
          </cell>
          <cell r="E155" t="str">
            <v>Very High</v>
          </cell>
          <cell r="F155" t="str">
            <v>EQ-SC</v>
          </cell>
        </row>
        <row r="156">
          <cell r="A156" t="str">
            <v>BHARAT 22 ETF</v>
          </cell>
          <cell r="B156" t="str">
            <v>--</v>
          </cell>
          <cell r="C156">
            <v>-1.93</v>
          </cell>
          <cell r="D156" t="str">
            <v>118/144</v>
          </cell>
          <cell r="E156" t="str">
            <v>Very High</v>
          </cell>
          <cell r="F156" t="str">
            <v>EQ-LC</v>
          </cell>
        </row>
        <row r="157">
          <cell r="A157" t="str">
            <v>Canara Robeco Balanced Advantage Fund - Regular Plan</v>
          </cell>
          <cell r="B157" t="str">
            <v>--</v>
          </cell>
          <cell r="C157" t="str">
            <v>--</v>
          </cell>
          <cell r="D157" t="str">
            <v>--</v>
          </cell>
          <cell r="E157" t="str">
            <v>Very High</v>
          </cell>
          <cell r="F157" t="str">
            <v>HY-DAA</v>
          </cell>
        </row>
        <row r="158">
          <cell r="A158" t="str">
            <v>Canara Robeco Conservative Hybrid Fund - Regular Plan</v>
          </cell>
          <cell r="B158">
            <v>3</v>
          </cell>
          <cell r="C158">
            <v>7.72</v>
          </cell>
          <cell r="D158" t="str">
            <v>9/28</v>
          </cell>
          <cell r="E158" t="str">
            <v>Moderately High</v>
          </cell>
          <cell r="F158" t="str">
            <v>HY-CH</v>
          </cell>
        </row>
        <row r="159">
          <cell r="A159" t="str">
            <v>Canara Robeco Equity Hybrid Fund - Regular Plan</v>
          </cell>
          <cell r="B159">
            <v>3</v>
          </cell>
          <cell r="C159">
            <v>6.57</v>
          </cell>
          <cell r="D159" t="str">
            <v>11/44</v>
          </cell>
          <cell r="E159" t="str">
            <v>Very High</v>
          </cell>
          <cell r="F159" t="str">
            <v>HY-AH</v>
          </cell>
        </row>
        <row r="160">
          <cell r="A160" t="str">
            <v>Canara Robeco Flexi Cap Fund - Regular Plan</v>
          </cell>
          <cell r="B160">
            <v>3</v>
          </cell>
          <cell r="C160">
            <v>5.19</v>
          </cell>
          <cell r="D160" t="str">
            <v>27/91</v>
          </cell>
          <cell r="E160" t="str">
            <v>Very High</v>
          </cell>
          <cell r="F160" t="str">
            <v>EQ-FLX</v>
          </cell>
        </row>
        <row r="161">
          <cell r="A161" t="str">
            <v>Canara Robeco Focused Fund - Regular Plan</v>
          </cell>
          <cell r="B161">
            <v>4</v>
          </cell>
          <cell r="C161">
            <v>9.57</v>
          </cell>
          <cell r="D161" t="str">
            <v>4/91</v>
          </cell>
          <cell r="E161" t="str">
            <v>Very High</v>
          </cell>
          <cell r="F161" t="str">
            <v>EQ-FLX</v>
          </cell>
        </row>
        <row r="162">
          <cell r="A162" t="str">
            <v>Canara Robeco Large and Mid Cap Fund - Regular Plan</v>
          </cell>
          <cell r="B162">
            <v>3</v>
          </cell>
          <cell r="C162">
            <v>4.25</v>
          </cell>
          <cell r="D162" t="str">
            <v>12/54</v>
          </cell>
          <cell r="E162" t="str">
            <v>Very High</v>
          </cell>
          <cell r="F162" t="str">
            <v>EQ-L&amp;MC</v>
          </cell>
        </row>
        <row r="163">
          <cell r="A163" t="str">
            <v>Canara Robeco Large Cap Fund - Regular Plan</v>
          </cell>
          <cell r="B163">
            <v>4</v>
          </cell>
          <cell r="C163">
            <v>6.94</v>
          </cell>
          <cell r="D163" t="str">
            <v>4/144</v>
          </cell>
          <cell r="E163" t="str">
            <v>Very High</v>
          </cell>
          <cell r="F163" t="str">
            <v>EQ-LC</v>
          </cell>
        </row>
        <row r="164">
          <cell r="A164" t="str">
            <v>Canara Robeco Manufacturing Fund - Regular Plan</v>
          </cell>
          <cell r="B164" t="str">
            <v>--</v>
          </cell>
          <cell r="C164">
            <v>-1.95</v>
          </cell>
          <cell r="D164" t="str">
            <v>39/78</v>
          </cell>
          <cell r="E164" t="str">
            <v>Very High</v>
          </cell>
          <cell r="F164" t="str">
            <v>EQ-THEMATIC</v>
          </cell>
        </row>
        <row r="165">
          <cell r="A165" t="str">
            <v>Canara Robeco Mid Cap Fund - Regular Plan</v>
          </cell>
          <cell r="B165" t="str">
            <v>--</v>
          </cell>
          <cell r="C165">
            <v>4.4400000000000004</v>
          </cell>
          <cell r="D165" t="str">
            <v>10/53</v>
          </cell>
          <cell r="E165" t="str">
            <v>Very High</v>
          </cell>
          <cell r="F165" t="str">
            <v>EQ-MC</v>
          </cell>
        </row>
        <row r="166">
          <cell r="A166" t="str">
            <v>Canara Robeco Multi Asset Allocation Fund - Regular Plan</v>
          </cell>
          <cell r="B166" t="str">
            <v>--</v>
          </cell>
          <cell r="C166" t="str">
            <v>--</v>
          </cell>
          <cell r="D166" t="str">
            <v>--</v>
          </cell>
          <cell r="E166" t="str">
            <v>Low to Moderate</v>
          </cell>
          <cell r="F166" t="str">
            <v>HY-MAA</v>
          </cell>
        </row>
        <row r="167">
          <cell r="A167" t="str">
            <v>Canara Robeco Multi Cap Fund - Regular Plan</v>
          </cell>
          <cell r="B167" t="str">
            <v>--</v>
          </cell>
          <cell r="C167">
            <v>4.6500000000000004</v>
          </cell>
          <cell r="D167" t="str">
            <v>8/25</v>
          </cell>
          <cell r="E167" t="str">
            <v>Very High</v>
          </cell>
          <cell r="F167" t="str">
            <v>EQ-MLC</v>
          </cell>
        </row>
        <row r="168">
          <cell r="A168" t="str">
            <v>Canara Robeco Small Cap Fund - Regular Plan</v>
          </cell>
          <cell r="B168">
            <v>3</v>
          </cell>
          <cell r="C168">
            <v>-1.17</v>
          </cell>
          <cell r="D168" t="str">
            <v>24/44</v>
          </cell>
          <cell r="E168" t="str">
            <v>Very High</v>
          </cell>
          <cell r="F168" t="str">
            <v>EQ-SC</v>
          </cell>
        </row>
        <row r="169">
          <cell r="A169" t="str">
            <v>DSP Aggressive Hybrid Fund - Regular Plan</v>
          </cell>
          <cell r="B169">
            <v>4</v>
          </cell>
          <cell r="C169">
            <v>10.119999999999999</v>
          </cell>
          <cell r="D169" t="str">
            <v>3/44</v>
          </cell>
          <cell r="E169" t="str">
            <v>Very High</v>
          </cell>
          <cell r="F169" t="str">
            <v>HY-AH</v>
          </cell>
        </row>
        <row r="170">
          <cell r="A170" t="str">
            <v>DSP Arbitrage Fund - Regular Plan</v>
          </cell>
          <cell r="B170">
            <v>3</v>
          </cell>
          <cell r="C170">
            <v>6.85</v>
          </cell>
          <cell r="D170" t="str">
            <v>12/27</v>
          </cell>
          <cell r="E170" t="str">
            <v>Low</v>
          </cell>
          <cell r="F170" t="str">
            <v>HY-AR</v>
          </cell>
        </row>
        <row r="171">
          <cell r="A171" t="str">
            <v>DSP BSE Sensex ETF</v>
          </cell>
          <cell r="B171" t="str">
            <v>--</v>
          </cell>
          <cell r="C171">
            <v>6.12</v>
          </cell>
          <cell r="D171" t="str">
            <v>36/144</v>
          </cell>
          <cell r="E171" t="str">
            <v>Very High</v>
          </cell>
          <cell r="F171" t="str">
            <v>EQ-LC</v>
          </cell>
        </row>
        <row r="172">
          <cell r="A172" t="str">
            <v>DSP BSE Sensex Next 30 ETF</v>
          </cell>
          <cell r="B172" t="str">
            <v>--</v>
          </cell>
          <cell r="C172" t="str">
            <v>--</v>
          </cell>
          <cell r="D172" t="str">
            <v>--</v>
          </cell>
          <cell r="E172" t="str">
            <v>Very High</v>
          </cell>
          <cell r="F172" t="str">
            <v>EQ-LC</v>
          </cell>
        </row>
        <row r="173">
          <cell r="A173" t="str">
            <v>DSP BSE Sensex Next 30 Index Fund - Regular Plan</v>
          </cell>
          <cell r="B173" t="str">
            <v>--</v>
          </cell>
          <cell r="C173" t="str">
            <v>--</v>
          </cell>
          <cell r="D173" t="str">
            <v>--</v>
          </cell>
          <cell r="E173" t="str">
            <v>Very High</v>
          </cell>
          <cell r="F173" t="str">
            <v>EQ-LC</v>
          </cell>
        </row>
        <row r="174">
          <cell r="A174" t="str">
            <v>DSP Business Cycle Fund - Regular Plan</v>
          </cell>
          <cell r="B174" t="str">
            <v>--</v>
          </cell>
          <cell r="C174" t="str">
            <v>--</v>
          </cell>
          <cell r="D174" t="str">
            <v>--</v>
          </cell>
          <cell r="E174" t="str">
            <v>Very High</v>
          </cell>
          <cell r="F174" t="str">
            <v>EQ-THEMATIC</v>
          </cell>
        </row>
        <row r="175">
          <cell r="A175" t="str">
            <v>DSP Dynamic Asset Allocation Fund - Regular Plan</v>
          </cell>
          <cell r="B175">
            <v>3</v>
          </cell>
          <cell r="C175">
            <v>7.4</v>
          </cell>
          <cell r="D175" t="str">
            <v>9/36</v>
          </cell>
          <cell r="E175" t="str">
            <v>Moderately High</v>
          </cell>
          <cell r="F175" t="str">
            <v>HY-DAA</v>
          </cell>
        </row>
        <row r="176">
          <cell r="A176" t="str">
            <v>DSP Flexi Cap Fund - Regular Plan</v>
          </cell>
          <cell r="B176">
            <v>3</v>
          </cell>
          <cell r="C176">
            <v>4.3899999999999997</v>
          </cell>
          <cell r="D176" t="str">
            <v>37/91</v>
          </cell>
          <cell r="E176" t="str">
            <v>Very High</v>
          </cell>
          <cell r="F176" t="str">
            <v>EQ-FLX</v>
          </cell>
        </row>
        <row r="177">
          <cell r="A177" t="str">
            <v>DSP Focused Fund - Regular Plan</v>
          </cell>
          <cell r="B177">
            <v>4</v>
          </cell>
          <cell r="C177">
            <v>5.33</v>
          </cell>
          <cell r="D177" t="str">
            <v>25/91</v>
          </cell>
          <cell r="E177" t="str">
            <v>Very High</v>
          </cell>
          <cell r="F177" t="str">
            <v>EQ-FLX</v>
          </cell>
        </row>
        <row r="178">
          <cell r="A178" t="str">
            <v>DSP Large Cap Fund - Regular Plan</v>
          </cell>
          <cell r="B178">
            <v>4</v>
          </cell>
          <cell r="C178">
            <v>9.32</v>
          </cell>
          <cell r="D178" t="str">
            <v>2/144</v>
          </cell>
          <cell r="E178" t="str">
            <v>Very High</v>
          </cell>
          <cell r="F178" t="str">
            <v>EQ-LC</v>
          </cell>
        </row>
        <row r="179">
          <cell r="A179" t="str">
            <v>DSP Large &amp; Mid Cap Fund - Regular Plan</v>
          </cell>
          <cell r="B179">
            <v>3</v>
          </cell>
          <cell r="C179">
            <v>4.09</v>
          </cell>
          <cell r="D179" t="str">
            <v>13/54</v>
          </cell>
          <cell r="E179" t="str">
            <v>Very High</v>
          </cell>
          <cell r="F179" t="str">
            <v>EQ-L&amp;MC</v>
          </cell>
        </row>
        <row r="180">
          <cell r="A180" t="str">
            <v>DSP Midcap Fund - Regular Plan</v>
          </cell>
          <cell r="B180">
            <v>1</v>
          </cell>
          <cell r="C180">
            <v>0.73</v>
          </cell>
          <cell r="D180" t="str">
            <v>35/53</v>
          </cell>
          <cell r="E180" t="str">
            <v>Very High</v>
          </cell>
          <cell r="F180" t="str">
            <v>EQ-MC</v>
          </cell>
        </row>
        <row r="181">
          <cell r="A181" t="str">
            <v>DSP Multi Asset Allocation Fund - Regular Plan</v>
          </cell>
          <cell r="B181" t="str">
            <v>--</v>
          </cell>
          <cell r="C181">
            <v>13.14</v>
          </cell>
          <cell r="D181" t="str">
            <v>--</v>
          </cell>
          <cell r="E181" t="str">
            <v>Very High</v>
          </cell>
          <cell r="F181" t="str">
            <v>HY-MAA</v>
          </cell>
        </row>
        <row r="182">
          <cell r="A182" t="str">
            <v>DSP Multicap Fund - Regular Plan</v>
          </cell>
          <cell r="B182" t="str">
            <v>--</v>
          </cell>
          <cell r="C182">
            <v>1.02</v>
          </cell>
          <cell r="D182" t="str">
            <v>18/25</v>
          </cell>
          <cell r="E182" t="str">
            <v>Very High</v>
          </cell>
          <cell r="F182" t="str">
            <v>EQ-MLC</v>
          </cell>
        </row>
        <row r="183">
          <cell r="A183" t="str">
            <v>DSP NIFTY 50 Equal Weight ETF</v>
          </cell>
          <cell r="B183" t="str">
            <v>--</v>
          </cell>
          <cell r="C183">
            <v>4.76</v>
          </cell>
          <cell r="D183" t="str">
            <v>75/144</v>
          </cell>
          <cell r="E183" t="str">
            <v>Very High</v>
          </cell>
          <cell r="F183" t="str">
            <v>EQ-LC</v>
          </cell>
        </row>
        <row r="184">
          <cell r="A184" t="str">
            <v>DSP Nifty 50 Equal Weight Index Fund - Regular Plan</v>
          </cell>
          <cell r="B184">
            <v>5</v>
          </cell>
          <cell r="C184">
            <v>4.0199999999999996</v>
          </cell>
          <cell r="D184" t="str">
            <v>87/144</v>
          </cell>
          <cell r="E184" t="str">
            <v>Very High</v>
          </cell>
          <cell r="F184" t="str">
            <v>EQ-LC</v>
          </cell>
        </row>
        <row r="185">
          <cell r="A185" t="str">
            <v>DSP Nifty 50 ETF</v>
          </cell>
          <cell r="B185" t="str">
            <v>--</v>
          </cell>
          <cell r="C185">
            <v>6.47</v>
          </cell>
          <cell r="D185" t="str">
            <v>14/144</v>
          </cell>
          <cell r="E185" t="str">
            <v>Very High</v>
          </cell>
          <cell r="F185" t="str">
            <v>EQ-LC</v>
          </cell>
        </row>
        <row r="186">
          <cell r="A186" t="str">
            <v>DSP Nifty 50 Index Fund - Regular Plan</v>
          </cell>
          <cell r="B186">
            <v>3</v>
          </cell>
          <cell r="C186">
            <v>6.11</v>
          </cell>
          <cell r="D186" t="str">
            <v>38/144</v>
          </cell>
          <cell r="E186" t="str">
            <v>Very High</v>
          </cell>
          <cell r="F186" t="str">
            <v>EQ-LC</v>
          </cell>
        </row>
        <row r="187">
          <cell r="A187" t="str">
            <v>DSP Nifty Midcap 150 Quality 50 ETF</v>
          </cell>
          <cell r="B187" t="str">
            <v>--</v>
          </cell>
          <cell r="C187">
            <v>0.16</v>
          </cell>
          <cell r="D187" t="str">
            <v>40/53</v>
          </cell>
          <cell r="E187" t="str">
            <v>Very High</v>
          </cell>
          <cell r="F187" t="str">
            <v>EQ-MC</v>
          </cell>
        </row>
        <row r="188">
          <cell r="A188" t="str">
            <v>DSP Nifty Midcap 150 Quality 50 Index Fund - Regular Plan</v>
          </cell>
          <cell r="B188" t="str">
            <v>--</v>
          </cell>
          <cell r="C188">
            <v>-0.44</v>
          </cell>
          <cell r="D188" t="str">
            <v>43/53</v>
          </cell>
          <cell r="E188" t="str">
            <v>Very High</v>
          </cell>
          <cell r="F188" t="str">
            <v>EQ-MC</v>
          </cell>
        </row>
        <row r="189">
          <cell r="A189" t="str">
            <v>DSP Nifty Next 50 Index Fund - Regular Plan</v>
          </cell>
          <cell r="B189">
            <v>3</v>
          </cell>
          <cell r="C189">
            <v>-8</v>
          </cell>
          <cell r="D189" t="str">
            <v>135/144</v>
          </cell>
          <cell r="E189" t="str">
            <v>Very High</v>
          </cell>
          <cell r="F189" t="str">
            <v>EQ-LC</v>
          </cell>
        </row>
        <row r="190">
          <cell r="A190" t="str">
            <v>DSP Nifty Smallcap250 Quality 50 Index Fund - Regular Plan</v>
          </cell>
          <cell r="B190" t="str">
            <v>--</v>
          </cell>
          <cell r="C190">
            <v>-1.0900000000000001</v>
          </cell>
          <cell r="D190" t="str">
            <v>23/44</v>
          </cell>
          <cell r="E190" t="str">
            <v>Very High</v>
          </cell>
          <cell r="F190" t="str">
            <v>EQ-SC</v>
          </cell>
        </row>
        <row r="191">
          <cell r="A191" t="str">
            <v>DSP Nifty Top 10 Equal Weight ETF</v>
          </cell>
          <cell r="B191" t="str">
            <v>--</v>
          </cell>
          <cell r="C191" t="str">
            <v>--</v>
          </cell>
          <cell r="D191" t="str">
            <v>--</v>
          </cell>
          <cell r="E191" t="str">
            <v>Very High</v>
          </cell>
          <cell r="F191" t="str">
            <v>EQ-LC</v>
          </cell>
        </row>
        <row r="192">
          <cell r="A192" t="str">
            <v>DSP Nifty Top 10 Equal Weight Index Fund - Regular Plan</v>
          </cell>
          <cell r="B192" t="str">
            <v>--</v>
          </cell>
          <cell r="C192" t="str">
            <v>--</v>
          </cell>
          <cell r="D192" t="str">
            <v>--</v>
          </cell>
          <cell r="E192" t="str">
            <v>Very High</v>
          </cell>
          <cell r="F192" t="str">
            <v>EQ-LC</v>
          </cell>
        </row>
        <row r="193">
          <cell r="A193" t="str">
            <v>DSP Quant Fund - Regular Plan</v>
          </cell>
          <cell r="B193" t="str">
            <v>--</v>
          </cell>
          <cell r="C193">
            <v>2.76</v>
          </cell>
          <cell r="D193" t="str">
            <v>22/78</v>
          </cell>
          <cell r="E193" t="str">
            <v>Very High</v>
          </cell>
          <cell r="F193" t="str">
            <v>EQ-THEMATIC</v>
          </cell>
        </row>
        <row r="194">
          <cell r="A194" t="str">
            <v>DSP Regular Savings Fund - Regular Plan</v>
          </cell>
          <cell r="B194">
            <v>3</v>
          </cell>
          <cell r="C194">
            <v>9.66</v>
          </cell>
          <cell r="D194" t="str">
            <v>2/28</v>
          </cell>
          <cell r="E194" t="str">
            <v>Moderate</v>
          </cell>
          <cell r="F194" t="str">
            <v>HY-CH</v>
          </cell>
        </row>
        <row r="195">
          <cell r="A195" t="str">
            <v>DSP Small Cap Fund - Regular Plan</v>
          </cell>
          <cell r="B195">
            <v>2</v>
          </cell>
          <cell r="C195">
            <v>6.94</v>
          </cell>
          <cell r="D195" t="str">
            <v>4/44</v>
          </cell>
          <cell r="E195" t="str">
            <v>Very High</v>
          </cell>
          <cell r="F195" t="str">
            <v>EQ-SC</v>
          </cell>
        </row>
        <row r="196">
          <cell r="A196" t="str">
            <v>Edelweiss Aggressive Hybrid Fund - Regular Plan</v>
          </cell>
          <cell r="B196">
            <v>4</v>
          </cell>
          <cell r="C196">
            <v>7.55</v>
          </cell>
          <cell r="D196" t="str">
            <v>6/44</v>
          </cell>
          <cell r="E196" t="str">
            <v>Very High</v>
          </cell>
          <cell r="F196" t="str">
            <v>HY-AH</v>
          </cell>
        </row>
        <row r="197">
          <cell r="A197" t="str">
            <v>Edelweiss Arbitrage Fund - Regular Plan</v>
          </cell>
          <cell r="B197">
            <v>4</v>
          </cell>
          <cell r="C197">
            <v>6.96</v>
          </cell>
          <cell r="D197" t="str">
            <v>7/27</v>
          </cell>
          <cell r="E197" t="str">
            <v>Low</v>
          </cell>
          <cell r="F197" t="str">
            <v>HY-AR</v>
          </cell>
        </row>
        <row r="198">
          <cell r="A198" t="str">
            <v>Edelweiss Balanced Advantage Fund - Regular Plan</v>
          </cell>
          <cell r="B198">
            <v>3</v>
          </cell>
          <cell r="C198">
            <v>3.33</v>
          </cell>
          <cell r="D198" t="str">
            <v>28/36</v>
          </cell>
          <cell r="E198" t="str">
            <v>Very High</v>
          </cell>
          <cell r="F198" t="str">
            <v>HY-DAA</v>
          </cell>
        </row>
        <row r="199">
          <cell r="A199" t="str">
            <v>Edelweiss BSE Capital Markets &amp; Insurance ETF</v>
          </cell>
          <cell r="B199" t="str">
            <v>--</v>
          </cell>
          <cell r="C199" t="str">
            <v>--</v>
          </cell>
          <cell r="D199" t="str">
            <v>--</v>
          </cell>
          <cell r="E199" t="str">
            <v>Very High</v>
          </cell>
          <cell r="F199" t="str">
            <v>EQ-THEMATIC</v>
          </cell>
        </row>
        <row r="200">
          <cell r="A200" t="str">
            <v>Edelweiss BSE Internet Economy Index Fund - Regular Plan</v>
          </cell>
          <cell r="B200" t="str">
            <v>--</v>
          </cell>
          <cell r="C200" t="str">
            <v>--</v>
          </cell>
          <cell r="D200" t="str">
            <v>--</v>
          </cell>
          <cell r="E200" t="str">
            <v>Very High</v>
          </cell>
          <cell r="F200" t="str">
            <v>EQ-THEMATIC</v>
          </cell>
        </row>
        <row r="201">
          <cell r="A201" t="str">
            <v>Edelweiss Business Cycle Fund - Regular Plan</v>
          </cell>
          <cell r="B201" t="str">
            <v>--</v>
          </cell>
          <cell r="C201" t="str">
            <v>--</v>
          </cell>
          <cell r="D201" t="str">
            <v>--</v>
          </cell>
          <cell r="E201" t="str">
            <v>Very High</v>
          </cell>
          <cell r="F201" t="str">
            <v>EQ-THEMATIC</v>
          </cell>
        </row>
        <row r="202">
          <cell r="A202" t="str">
            <v>Edelweiss Flexi Cap Fund - Regular Plan</v>
          </cell>
          <cell r="B202">
            <v>4</v>
          </cell>
          <cell r="C202">
            <v>2.6</v>
          </cell>
          <cell r="D202" t="str">
            <v>52/91</v>
          </cell>
          <cell r="E202" t="str">
            <v>Very High</v>
          </cell>
          <cell r="F202" t="str">
            <v>EQ-FLX</v>
          </cell>
        </row>
        <row r="203">
          <cell r="A203" t="str">
            <v>Edelweiss Focused Fund - Regular Plan</v>
          </cell>
          <cell r="B203" t="str">
            <v>--</v>
          </cell>
          <cell r="C203">
            <v>2.95</v>
          </cell>
          <cell r="D203" t="str">
            <v>49/91</v>
          </cell>
          <cell r="E203" t="str">
            <v>Very High</v>
          </cell>
          <cell r="F203" t="str">
            <v>EQ-FLX</v>
          </cell>
        </row>
        <row r="204">
          <cell r="A204" t="str">
            <v>Edelweiss Large Cap Fund - Regular Plan</v>
          </cell>
          <cell r="B204">
            <v>4</v>
          </cell>
          <cell r="C204">
            <v>2.94</v>
          </cell>
          <cell r="D204" t="str">
            <v>100/144</v>
          </cell>
          <cell r="E204" t="str">
            <v>Very High</v>
          </cell>
          <cell r="F204" t="str">
            <v>EQ-LC</v>
          </cell>
        </row>
        <row r="205">
          <cell r="A205" t="str">
            <v>Edelweiss Large &amp; Mid Cap Fund - Regular Plan</v>
          </cell>
          <cell r="B205">
            <v>3</v>
          </cell>
          <cell r="C205">
            <v>4.34</v>
          </cell>
          <cell r="D205" t="str">
            <v>11/54</v>
          </cell>
          <cell r="E205" t="str">
            <v>Very High</v>
          </cell>
          <cell r="F205" t="str">
            <v>EQ-L&amp;MC</v>
          </cell>
        </row>
        <row r="206">
          <cell r="A206" t="str">
            <v>Edelweiss Mid Cap Fund - Regular Plan</v>
          </cell>
          <cell r="B206">
            <v>4</v>
          </cell>
          <cell r="C206">
            <v>8.73</v>
          </cell>
          <cell r="D206" t="str">
            <v>3/53</v>
          </cell>
          <cell r="E206" t="str">
            <v>Very High</v>
          </cell>
          <cell r="F206" t="str">
            <v>EQ-MC</v>
          </cell>
        </row>
        <row r="207">
          <cell r="A207" t="str">
            <v>Edelweiss Multi Asset Allocation Fund - Regular Plan</v>
          </cell>
          <cell r="B207" t="str">
            <v>--</v>
          </cell>
          <cell r="C207">
            <v>8.61</v>
          </cell>
          <cell r="D207" t="str">
            <v>18/37</v>
          </cell>
          <cell r="E207" t="str">
            <v>Low to Moderate</v>
          </cell>
          <cell r="F207" t="str">
            <v>HY-MAA</v>
          </cell>
        </row>
        <row r="208">
          <cell r="A208" t="str">
            <v>Edelweiss Multi Cap Fund - Regular Plan</v>
          </cell>
          <cell r="B208" t="str">
            <v>--</v>
          </cell>
          <cell r="C208">
            <v>3.62</v>
          </cell>
          <cell r="D208" t="str">
            <v>10/25</v>
          </cell>
          <cell r="E208" t="str">
            <v>Very High</v>
          </cell>
          <cell r="F208" t="str">
            <v>EQ-MLC</v>
          </cell>
        </row>
        <row r="209">
          <cell r="A209" t="str">
            <v>Edelweiss Nifty 100 Quality 30 Index Fund - Regular Plan</v>
          </cell>
          <cell r="B209">
            <v>1</v>
          </cell>
          <cell r="C209">
            <v>-0.27</v>
          </cell>
          <cell r="D209" t="str">
            <v>113/144</v>
          </cell>
          <cell r="E209" t="str">
            <v>Very High</v>
          </cell>
          <cell r="F209" t="str">
            <v>EQ-LC</v>
          </cell>
        </row>
        <row r="210">
          <cell r="A210" t="str">
            <v>Edelweiss Nifty500 Multicap Momentum Quality 50 ETF</v>
          </cell>
          <cell r="B210" t="str">
            <v>--</v>
          </cell>
          <cell r="C210" t="str">
            <v>--</v>
          </cell>
          <cell r="D210" t="str">
            <v>--</v>
          </cell>
          <cell r="E210" t="str">
            <v>Very High</v>
          </cell>
          <cell r="F210" t="str">
            <v>EQ-MLC</v>
          </cell>
        </row>
        <row r="211">
          <cell r="A211" t="str">
            <v>Edelweiss Nifty500 Multicap Momentum Quality 50 Index Fund - Regular Plan</v>
          </cell>
          <cell r="B211" t="str">
            <v>--</v>
          </cell>
          <cell r="C211" t="str">
            <v>--</v>
          </cell>
          <cell r="D211" t="str">
            <v>--</v>
          </cell>
          <cell r="E211" t="str">
            <v>Very High</v>
          </cell>
          <cell r="F211" t="str">
            <v>EQ-MLC</v>
          </cell>
        </row>
        <row r="212">
          <cell r="A212" t="str">
            <v>Edelweiss Nifty 50 Index Fund - Regular Plan</v>
          </cell>
          <cell r="B212">
            <v>1</v>
          </cell>
          <cell r="C212">
            <v>5.85</v>
          </cell>
          <cell r="D212" t="str">
            <v>54/144</v>
          </cell>
          <cell r="E212" t="str">
            <v>Very High</v>
          </cell>
          <cell r="F212" t="str">
            <v>EQ-LC</v>
          </cell>
        </row>
        <row r="213">
          <cell r="A213" t="str">
            <v>Edelweiss Nifty Alpha Low Volatility 30 Index Fund - Regular Plan</v>
          </cell>
          <cell r="B213" t="str">
            <v>--</v>
          </cell>
          <cell r="C213">
            <v>-4.3</v>
          </cell>
          <cell r="D213" t="str">
            <v>40/54</v>
          </cell>
          <cell r="E213" t="str">
            <v>Very High</v>
          </cell>
          <cell r="F213" t="str">
            <v>EQ-L&amp;MC</v>
          </cell>
        </row>
        <row r="214">
          <cell r="A214" t="str">
            <v>Edelweiss NIFTY Large Mid Cap 250 Index Fund - Regular Plan</v>
          </cell>
          <cell r="B214">
            <v>3</v>
          </cell>
          <cell r="C214">
            <v>2.4900000000000002</v>
          </cell>
          <cell r="D214" t="str">
            <v>17/54</v>
          </cell>
          <cell r="E214" t="str">
            <v>Very High</v>
          </cell>
          <cell r="F214" t="str">
            <v>EQ-L&amp;MC</v>
          </cell>
        </row>
        <row r="215">
          <cell r="A215" t="str">
            <v>Edelweiss Nifty Midcap150 Momentum 50 Index Fund - Regular Plan</v>
          </cell>
          <cell r="B215" t="str">
            <v>--</v>
          </cell>
          <cell r="C215">
            <v>-3.25</v>
          </cell>
          <cell r="D215" t="str">
            <v>47/53</v>
          </cell>
          <cell r="E215" t="str">
            <v>Very High</v>
          </cell>
          <cell r="F215" t="str">
            <v>EQ-MC</v>
          </cell>
        </row>
        <row r="216">
          <cell r="A216" t="str">
            <v>Edelweiss Nifty Next 50 Index Fund - Regular Plan</v>
          </cell>
          <cell r="B216" t="str">
            <v>--</v>
          </cell>
          <cell r="C216">
            <v>-8.2200000000000006</v>
          </cell>
          <cell r="D216" t="str">
            <v>142/144</v>
          </cell>
          <cell r="E216" t="str">
            <v>Very High</v>
          </cell>
          <cell r="F216" t="str">
            <v>EQ-LC</v>
          </cell>
        </row>
        <row r="217">
          <cell r="A217" t="str">
            <v>Edelweiss Nifty Smallcap 250 Index Fund - Regular Plan</v>
          </cell>
          <cell r="B217" t="str">
            <v>--</v>
          </cell>
          <cell r="C217">
            <v>-1.38</v>
          </cell>
          <cell r="D217" t="str">
            <v>28/44</v>
          </cell>
          <cell r="E217" t="str">
            <v>Very High</v>
          </cell>
          <cell r="F217" t="str">
            <v>EQ-SC</v>
          </cell>
        </row>
        <row r="218">
          <cell r="A218" t="str">
            <v>Edelweiss Recently Listed IPO Fund - Regular Plan</v>
          </cell>
          <cell r="B218" t="str">
            <v>--</v>
          </cell>
          <cell r="C218">
            <v>-2.56</v>
          </cell>
          <cell r="D218" t="str">
            <v>43/78</v>
          </cell>
          <cell r="E218" t="str">
            <v>Very High</v>
          </cell>
          <cell r="F218" t="str">
            <v>EQ-THEMATIC</v>
          </cell>
        </row>
        <row r="219">
          <cell r="A219" t="str">
            <v>Edelweiss Small Cap Fund - Regular Plan</v>
          </cell>
          <cell r="B219">
            <v>3</v>
          </cell>
          <cell r="C219">
            <v>1.24</v>
          </cell>
          <cell r="D219" t="str">
            <v>16/44</v>
          </cell>
          <cell r="E219" t="str">
            <v>Very High</v>
          </cell>
          <cell r="F219" t="str">
            <v>EQ-SC</v>
          </cell>
        </row>
        <row r="220">
          <cell r="A220" t="str">
            <v>Franklin India Arbitrage Fund - Regular Plan</v>
          </cell>
          <cell r="B220" t="str">
            <v>--</v>
          </cell>
          <cell r="C220" t="str">
            <v>--</v>
          </cell>
          <cell r="D220" t="str">
            <v>--</v>
          </cell>
          <cell r="E220" t="str">
            <v>Low</v>
          </cell>
          <cell r="F220" t="str">
            <v>HY-AR</v>
          </cell>
        </row>
        <row r="221">
          <cell r="A221" t="str">
            <v>Franklin India Balanced Advantage Fund - Regular Plan</v>
          </cell>
          <cell r="B221" t="str">
            <v>--</v>
          </cell>
          <cell r="C221">
            <v>6.21</v>
          </cell>
          <cell r="D221" t="str">
            <v>15/36</v>
          </cell>
          <cell r="E221" t="str">
            <v>High</v>
          </cell>
          <cell r="F221" t="str">
            <v>HY-DAA</v>
          </cell>
        </row>
        <row r="222">
          <cell r="A222" t="str">
            <v>Franklin India Bluechip Fund - Regular Plan</v>
          </cell>
          <cell r="B222">
            <v>4</v>
          </cell>
          <cell r="C222">
            <v>5.97</v>
          </cell>
          <cell r="D222" t="str">
            <v>49/144</v>
          </cell>
          <cell r="E222" t="str">
            <v>Very High</v>
          </cell>
          <cell r="F222" t="str">
            <v>EQ-LC</v>
          </cell>
        </row>
        <row r="223">
          <cell r="A223" t="str">
            <v>Franklin India Debt Hybrid Fund - Regular Plan</v>
          </cell>
          <cell r="B223">
            <v>3</v>
          </cell>
          <cell r="C223">
            <v>8.14</v>
          </cell>
          <cell r="D223" t="str">
            <v>8/28</v>
          </cell>
          <cell r="E223" t="str">
            <v>Moderately High</v>
          </cell>
          <cell r="F223" t="str">
            <v>HY-CH</v>
          </cell>
        </row>
        <row r="224">
          <cell r="A224" t="str">
            <v>Franklin India Dynamic Asset Allocation Fund of Fund - Regular Plan</v>
          </cell>
          <cell r="B224">
            <v>4</v>
          </cell>
          <cell r="C224">
            <v>7.09</v>
          </cell>
          <cell r="D224" t="str">
            <v>11/36</v>
          </cell>
          <cell r="E224" t="str">
            <v>High</v>
          </cell>
          <cell r="F224" t="str">
            <v>HY-DAA</v>
          </cell>
        </row>
        <row r="225">
          <cell r="A225" t="str">
            <v>Franklin India Equity Advantage Fund - Regular Plan</v>
          </cell>
          <cell r="B225">
            <v>3</v>
          </cell>
          <cell r="C225">
            <v>7.27</v>
          </cell>
          <cell r="D225" t="str">
            <v>5/54</v>
          </cell>
          <cell r="E225" t="str">
            <v>Very High</v>
          </cell>
          <cell r="F225" t="str">
            <v>EQ-L&amp;MC</v>
          </cell>
        </row>
        <row r="226">
          <cell r="A226" t="str">
            <v>Franklin India Equity Hybrid Fund - Regular Plan</v>
          </cell>
          <cell r="B226">
            <v>4</v>
          </cell>
          <cell r="C226">
            <v>6.3</v>
          </cell>
          <cell r="D226" t="str">
            <v>13/44</v>
          </cell>
          <cell r="E226" t="str">
            <v>Very High</v>
          </cell>
          <cell r="F226" t="str">
            <v>HY-AH</v>
          </cell>
        </row>
        <row r="227">
          <cell r="A227" t="str">
            <v>Franklin India Flexi Cap Fund - Regular Plan</v>
          </cell>
          <cell r="B227">
            <v>4</v>
          </cell>
          <cell r="C227">
            <v>6.13</v>
          </cell>
          <cell r="D227" t="str">
            <v>22/91</v>
          </cell>
          <cell r="E227" t="str">
            <v>Very High</v>
          </cell>
          <cell r="F227" t="str">
            <v>EQ-FLX</v>
          </cell>
        </row>
        <row r="228">
          <cell r="A228" t="str">
            <v>Franklin India Focused Equity Fund - Regular Plan</v>
          </cell>
          <cell r="B228">
            <v>4</v>
          </cell>
          <cell r="C228">
            <v>1.93</v>
          </cell>
          <cell r="D228" t="str">
            <v>58/91</v>
          </cell>
          <cell r="E228" t="str">
            <v>Very High</v>
          </cell>
          <cell r="F228" t="str">
            <v>EQ-FLX</v>
          </cell>
        </row>
        <row r="229">
          <cell r="A229" t="str">
            <v>Franklin India Multi Asset Solution Fund of Funds - Regular Plan</v>
          </cell>
          <cell r="B229">
            <v>4</v>
          </cell>
          <cell r="C229">
            <v>14.01</v>
          </cell>
          <cell r="D229" t="str">
            <v>2/37</v>
          </cell>
          <cell r="E229" t="str">
            <v>High</v>
          </cell>
          <cell r="F229" t="str">
            <v>HY-MAA</v>
          </cell>
        </row>
        <row r="230">
          <cell r="A230" t="str">
            <v>Franklin India Multi Cap Fund - Regular Plan</v>
          </cell>
          <cell r="B230" t="str">
            <v>--</v>
          </cell>
          <cell r="C230" t="str">
            <v>--</v>
          </cell>
          <cell r="D230" t="str">
            <v>--</v>
          </cell>
          <cell r="E230" t="str">
            <v>Very High</v>
          </cell>
          <cell r="F230" t="str">
            <v>EQ-MLC</v>
          </cell>
        </row>
        <row r="231">
          <cell r="A231" t="str">
            <v>Franklin India NSE Nifty 50 Index - Regular Plan</v>
          </cell>
          <cell r="B231">
            <v>3</v>
          </cell>
          <cell r="C231">
            <v>5.99</v>
          </cell>
          <cell r="D231" t="str">
            <v>47/144</v>
          </cell>
          <cell r="E231" t="str">
            <v>Very High</v>
          </cell>
          <cell r="F231" t="str">
            <v>EQ-LC</v>
          </cell>
        </row>
        <row r="232">
          <cell r="A232" t="str">
            <v>Franklin India Opportunities Fund - Regular Plan</v>
          </cell>
          <cell r="B232" t="str">
            <v>--</v>
          </cell>
          <cell r="C232">
            <v>2.72</v>
          </cell>
          <cell r="D232" t="str">
            <v>23/78</v>
          </cell>
          <cell r="E232" t="str">
            <v>Very High</v>
          </cell>
          <cell r="F232" t="str">
            <v>EQ-THEMATIC</v>
          </cell>
        </row>
        <row r="233">
          <cell r="A233" t="str">
            <v>Franklin India Pension Fund - Regular Plan</v>
          </cell>
          <cell r="B233" t="str">
            <v>--</v>
          </cell>
          <cell r="C233">
            <v>6.96</v>
          </cell>
          <cell r="D233" t="str">
            <v>3/6</v>
          </cell>
          <cell r="E233" t="str">
            <v>Moderately High</v>
          </cell>
          <cell r="F233" t="str">
            <v>HY-BH</v>
          </cell>
        </row>
        <row r="234">
          <cell r="A234" t="str">
            <v>Franklin India Prima Fund - Regular Plan</v>
          </cell>
          <cell r="B234">
            <v>3</v>
          </cell>
          <cell r="C234">
            <v>3.79</v>
          </cell>
          <cell r="D234" t="str">
            <v>13/53</v>
          </cell>
          <cell r="E234" t="str">
            <v>Very High</v>
          </cell>
          <cell r="F234" t="str">
            <v>EQ-MC</v>
          </cell>
        </row>
        <row r="235">
          <cell r="A235" t="str">
            <v>Franklin India Smaller Companies Fund - Regular Plan</v>
          </cell>
          <cell r="B235">
            <v>4</v>
          </cell>
          <cell r="C235">
            <v>-4.18</v>
          </cell>
          <cell r="D235" t="str">
            <v>40/44</v>
          </cell>
          <cell r="E235" t="str">
            <v>Very High</v>
          </cell>
          <cell r="F235" t="str">
            <v>EQ-SC</v>
          </cell>
        </row>
        <row r="236">
          <cell r="A236" t="str">
            <v>Groww Aggressive Hybrid Fund - Regular Plan</v>
          </cell>
          <cell r="B236">
            <v>2</v>
          </cell>
          <cell r="C236">
            <v>0.09</v>
          </cell>
          <cell r="D236" t="str">
            <v>41/44</v>
          </cell>
          <cell r="E236" t="str">
            <v>Very High</v>
          </cell>
          <cell r="F236" t="str">
            <v>HY-AH</v>
          </cell>
        </row>
        <row r="237">
          <cell r="A237" t="str">
            <v>Groww Large Cap Fund - Regular Plan</v>
          </cell>
          <cell r="B237">
            <v>2</v>
          </cell>
          <cell r="C237">
            <v>-0.26</v>
          </cell>
          <cell r="D237" t="str">
            <v>112/144</v>
          </cell>
          <cell r="E237" t="str">
            <v>Very High</v>
          </cell>
          <cell r="F237" t="str">
            <v>EQ-LC</v>
          </cell>
        </row>
        <row r="238">
          <cell r="A238" t="str">
            <v>Groww Multicap Fund - Regular Plan</v>
          </cell>
          <cell r="B238" t="str">
            <v>--</v>
          </cell>
          <cell r="C238" t="str">
            <v>--</v>
          </cell>
          <cell r="D238" t="str">
            <v>--</v>
          </cell>
          <cell r="E238" t="str">
            <v>Very High</v>
          </cell>
          <cell r="F238" t="str">
            <v>EQ-MLC</v>
          </cell>
        </row>
        <row r="239">
          <cell r="A239" t="str">
            <v>Groww Nifty 200 ETF</v>
          </cell>
          <cell r="B239" t="str">
            <v>--</v>
          </cell>
          <cell r="C239" t="str">
            <v>--</v>
          </cell>
          <cell r="D239" t="str">
            <v>--</v>
          </cell>
          <cell r="E239" t="str">
            <v>Very High</v>
          </cell>
          <cell r="F239" t="str">
            <v>EQ-L&amp;MC</v>
          </cell>
        </row>
        <row r="240">
          <cell r="A240" t="str">
            <v>Groww Nifty 200 ETF FoF - Regular Plan</v>
          </cell>
          <cell r="B240" t="str">
            <v>--</v>
          </cell>
          <cell r="C240" t="str">
            <v>--</v>
          </cell>
          <cell r="D240" t="str">
            <v>--</v>
          </cell>
          <cell r="E240" t="str">
            <v>Very High</v>
          </cell>
          <cell r="F240" t="str">
            <v>EQ-L&amp;MC</v>
          </cell>
        </row>
        <row r="241">
          <cell r="A241" t="str">
            <v>Groww Nifty 500 Low Volatility 50 ETF</v>
          </cell>
          <cell r="B241" t="str">
            <v>--</v>
          </cell>
          <cell r="C241" t="str">
            <v>--</v>
          </cell>
          <cell r="D241" t="str">
            <v>--</v>
          </cell>
          <cell r="E241" t="str">
            <v>Very High</v>
          </cell>
          <cell r="F241" t="str">
            <v>EQ-FLX</v>
          </cell>
        </row>
        <row r="242">
          <cell r="A242" t="str">
            <v>Groww Nifty 500 Momentum 50 ETF</v>
          </cell>
          <cell r="B242" t="str">
            <v>--</v>
          </cell>
          <cell r="C242" t="str">
            <v>--</v>
          </cell>
          <cell r="D242" t="str">
            <v>--</v>
          </cell>
          <cell r="E242" t="str">
            <v>Very High</v>
          </cell>
          <cell r="F242" t="str">
            <v>EQ-FLX</v>
          </cell>
        </row>
        <row r="243">
          <cell r="A243" t="str">
            <v>Groww Nifty 500 Momentum 50 ETF FoF - Regular Plan</v>
          </cell>
          <cell r="B243" t="str">
            <v>--</v>
          </cell>
          <cell r="C243" t="str">
            <v>--</v>
          </cell>
          <cell r="D243" t="str">
            <v>--</v>
          </cell>
          <cell r="E243" t="str">
            <v>Very High</v>
          </cell>
          <cell r="F243" t="str">
            <v>EQ-FLX</v>
          </cell>
        </row>
        <row r="244">
          <cell r="A244" t="str">
            <v>Groww Nifty EV &amp; New Age Automotive ETF</v>
          </cell>
          <cell r="B244" t="str">
            <v>--</v>
          </cell>
          <cell r="C244" t="str">
            <v>--</v>
          </cell>
          <cell r="D244" t="str">
            <v>--</v>
          </cell>
          <cell r="E244" t="str">
            <v>Very High</v>
          </cell>
          <cell r="F244" t="str">
            <v>EQ-THEMATIC</v>
          </cell>
        </row>
        <row r="245">
          <cell r="A245" t="str">
            <v>Groww Nifty EV &amp; New Age Automotive ETF FoF - Regular Plan</v>
          </cell>
          <cell r="B245" t="str">
            <v>--</v>
          </cell>
          <cell r="C245" t="str">
            <v>--</v>
          </cell>
          <cell r="D245" t="str">
            <v>--</v>
          </cell>
          <cell r="E245" t="str">
            <v>Very High</v>
          </cell>
          <cell r="F245" t="str">
            <v>EQ-THEMATIC</v>
          </cell>
        </row>
        <row r="246">
          <cell r="A246" t="str">
            <v>Groww Nifty India Defence ETF</v>
          </cell>
          <cell r="B246" t="str">
            <v>--</v>
          </cell>
          <cell r="C246" t="str">
            <v>--</v>
          </cell>
          <cell r="D246" t="str">
            <v>--</v>
          </cell>
          <cell r="E246" t="str">
            <v>Very High</v>
          </cell>
          <cell r="F246" t="str">
            <v>EQ-THEMATIC</v>
          </cell>
        </row>
        <row r="247">
          <cell r="A247" t="str">
            <v>Groww Nifty India Defence ETF FoF - Regular Plan</v>
          </cell>
          <cell r="B247" t="str">
            <v>--</v>
          </cell>
          <cell r="C247" t="str">
            <v>--</v>
          </cell>
          <cell r="D247" t="str">
            <v>--</v>
          </cell>
          <cell r="E247" t="str">
            <v>Very High</v>
          </cell>
          <cell r="F247" t="str">
            <v>EQ-THEMATIC</v>
          </cell>
        </row>
        <row r="248">
          <cell r="A248" t="str">
            <v>Groww Nifty India Internet ETF</v>
          </cell>
          <cell r="B248" t="str">
            <v>--</v>
          </cell>
          <cell r="C248" t="str">
            <v>--</v>
          </cell>
          <cell r="D248" t="str">
            <v>--</v>
          </cell>
          <cell r="E248" t="str">
            <v>Very High</v>
          </cell>
          <cell r="F248" t="str">
            <v>EQ-THEMATIC</v>
          </cell>
        </row>
        <row r="249">
          <cell r="A249" t="str">
            <v>Groww Nifty India Internet ETF FoF - Regular Plan</v>
          </cell>
          <cell r="B249" t="str">
            <v>--</v>
          </cell>
          <cell r="C249" t="str">
            <v>--</v>
          </cell>
          <cell r="D249" t="str">
            <v>--</v>
          </cell>
          <cell r="E249" t="str">
            <v>Very High</v>
          </cell>
          <cell r="F249" t="str">
            <v>EQ-THEMATIC</v>
          </cell>
        </row>
        <row r="250">
          <cell r="A250" t="str">
            <v>Groww Nifty Smallcap 250 Index Fund - Regular Plan</v>
          </cell>
          <cell r="B250" t="str">
            <v>--</v>
          </cell>
          <cell r="C250">
            <v>-1.42</v>
          </cell>
          <cell r="D250" t="str">
            <v>30/44</v>
          </cell>
          <cell r="E250" t="str">
            <v>Very High</v>
          </cell>
          <cell r="F250" t="str">
            <v>EQ-SC</v>
          </cell>
        </row>
        <row r="251">
          <cell r="A251" t="str">
            <v>Groww Nifty Total Market Index Fund - Regular Plan</v>
          </cell>
          <cell r="B251" t="str">
            <v>--</v>
          </cell>
          <cell r="C251">
            <v>2.1800000000000002</v>
          </cell>
          <cell r="D251" t="str">
            <v>57/91</v>
          </cell>
          <cell r="E251" t="str">
            <v>Very High</v>
          </cell>
          <cell r="F251" t="str">
            <v>EQ-FLX</v>
          </cell>
        </row>
        <row r="252">
          <cell r="A252" t="str">
            <v>HDFC Arbitrage Fund - Wholesale - Regular Plan</v>
          </cell>
          <cell r="B252">
            <v>3</v>
          </cell>
          <cell r="C252">
            <v>6.95</v>
          </cell>
          <cell r="D252" t="str">
            <v>8/27</v>
          </cell>
          <cell r="E252" t="str">
            <v>Low</v>
          </cell>
          <cell r="F252" t="str">
            <v>HY-AR</v>
          </cell>
        </row>
        <row r="253">
          <cell r="A253" t="str">
            <v>HDFC Balanced Advantage Fund - Regular Plan</v>
          </cell>
          <cell r="B253">
            <v>5</v>
          </cell>
          <cell r="C253">
            <v>5.04</v>
          </cell>
          <cell r="D253" t="str">
            <v>24/36</v>
          </cell>
          <cell r="E253" t="str">
            <v>Very High</v>
          </cell>
          <cell r="F253" t="str">
            <v>HY-DAA</v>
          </cell>
        </row>
        <row r="254">
          <cell r="A254" t="str">
            <v>HDFC BSE 500 ETF</v>
          </cell>
          <cell r="B254" t="str">
            <v>--</v>
          </cell>
          <cell r="C254">
            <v>2.4500000000000002</v>
          </cell>
          <cell r="D254" t="str">
            <v>55/91</v>
          </cell>
          <cell r="E254" t="str">
            <v>Very High</v>
          </cell>
          <cell r="F254" t="str">
            <v>EQ-FLX</v>
          </cell>
        </row>
        <row r="255">
          <cell r="A255" t="str">
            <v>HDFC BSE 500 Index Fund - Regular Plan</v>
          </cell>
          <cell r="B255" t="str">
            <v>--</v>
          </cell>
          <cell r="C255">
            <v>1.77</v>
          </cell>
          <cell r="D255" t="str">
            <v>62/91</v>
          </cell>
          <cell r="E255" t="str">
            <v>Very High</v>
          </cell>
          <cell r="F255" t="str">
            <v>EQ-FLX</v>
          </cell>
        </row>
        <row r="256">
          <cell r="A256" t="str">
            <v>HDFC BSE Sensex ETF</v>
          </cell>
          <cell r="B256" t="str">
            <v>--</v>
          </cell>
          <cell r="C256">
            <v>6.28</v>
          </cell>
          <cell r="D256" t="str">
            <v>24/144</v>
          </cell>
          <cell r="E256" t="str">
            <v>Very High</v>
          </cell>
          <cell r="F256" t="str">
            <v>EQ-LC</v>
          </cell>
        </row>
        <row r="257">
          <cell r="A257" t="str">
            <v>HDFC BSE Sensex Index Fund - Regular Plan</v>
          </cell>
          <cell r="B257">
            <v>3</v>
          </cell>
          <cell r="C257">
            <v>5.92</v>
          </cell>
          <cell r="D257" t="str">
            <v>52/144</v>
          </cell>
          <cell r="E257" t="str">
            <v>Very High</v>
          </cell>
          <cell r="F257" t="str">
            <v>EQ-LC</v>
          </cell>
        </row>
        <row r="258">
          <cell r="A258" t="str">
            <v>HDFC Business Cycle Fund - Regular Plan</v>
          </cell>
          <cell r="B258" t="str">
            <v>--</v>
          </cell>
          <cell r="C258">
            <v>0.93</v>
          </cell>
          <cell r="D258" t="str">
            <v>28/78</v>
          </cell>
          <cell r="E258" t="str">
            <v>Very High</v>
          </cell>
          <cell r="F258" t="str">
            <v>EQ-THEMATIC</v>
          </cell>
        </row>
        <row r="259">
          <cell r="A259" t="str">
            <v>HDFC Children's Fund - Regular Plan</v>
          </cell>
          <cell r="B259">
            <v>5</v>
          </cell>
          <cell r="C259">
            <v>3.92</v>
          </cell>
          <cell r="D259" t="str">
            <v>33/44</v>
          </cell>
          <cell r="E259" t="str">
            <v>Very High</v>
          </cell>
          <cell r="F259" t="str">
            <v>HY-AH</v>
          </cell>
        </row>
        <row r="260">
          <cell r="A260" t="str">
            <v>HDFC Defence Fund - Regular Plan</v>
          </cell>
          <cell r="B260" t="str">
            <v>--</v>
          </cell>
          <cell r="C260">
            <v>5.93</v>
          </cell>
          <cell r="D260" t="str">
            <v>11/78</v>
          </cell>
          <cell r="E260" t="str">
            <v>Very High</v>
          </cell>
          <cell r="F260" t="str">
            <v>EQ-THEMATIC</v>
          </cell>
        </row>
        <row r="261">
          <cell r="A261" t="str">
            <v>HDFC Flexi Cap Fund - Regular Plan</v>
          </cell>
          <cell r="B261">
            <v>5</v>
          </cell>
          <cell r="C261">
            <v>9.67</v>
          </cell>
          <cell r="D261" t="str">
            <v>3/91</v>
          </cell>
          <cell r="E261" t="str">
            <v>Very High</v>
          </cell>
          <cell r="F261" t="str">
            <v>EQ-FLX</v>
          </cell>
        </row>
        <row r="262">
          <cell r="A262" t="str">
            <v>HDFC Focused 30 Fund - Regular Plan</v>
          </cell>
          <cell r="B262">
            <v>5</v>
          </cell>
          <cell r="C262">
            <v>9.4499999999999993</v>
          </cell>
          <cell r="D262" t="str">
            <v>5/91</v>
          </cell>
          <cell r="E262" t="str">
            <v>Very High</v>
          </cell>
          <cell r="F262" t="str">
            <v>EQ-FLX</v>
          </cell>
        </row>
        <row r="263">
          <cell r="A263" t="str">
            <v>HDFC Housing Opportunities Fund - Regular Plan</v>
          </cell>
          <cell r="B263" t="str">
            <v>--</v>
          </cell>
          <cell r="C263">
            <v>-6.7</v>
          </cell>
          <cell r="D263" t="str">
            <v>60/78</v>
          </cell>
          <cell r="E263" t="str">
            <v>Very High</v>
          </cell>
          <cell r="F263" t="str">
            <v>EQ-THEMATIC</v>
          </cell>
        </row>
        <row r="264">
          <cell r="A264" t="str">
            <v>HDFC Hybrid Debt Fund - Regular Plan</v>
          </cell>
          <cell r="B264">
            <v>4</v>
          </cell>
          <cell r="C264">
            <v>6.76</v>
          </cell>
          <cell r="D264" t="str">
            <v>16/28</v>
          </cell>
          <cell r="E264" t="str">
            <v>Moderately High</v>
          </cell>
          <cell r="F264" t="str">
            <v>HY-CH</v>
          </cell>
        </row>
        <row r="265">
          <cell r="A265" t="str">
            <v>HDFC Hybrid Equity Fund - Regular Plan</v>
          </cell>
          <cell r="B265">
            <v>3</v>
          </cell>
          <cell r="C265">
            <v>5.94</v>
          </cell>
          <cell r="D265" t="str">
            <v>17/44</v>
          </cell>
          <cell r="E265" t="str">
            <v>Very High</v>
          </cell>
          <cell r="F265" t="str">
            <v>HY-AH</v>
          </cell>
        </row>
        <row r="266">
          <cell r="A266" t="str">
            <v>HDFC Large and Mid Cap Fund - Regular Plan</v>
          </cell>
          <cell r="B266">
            <v>4</v>
          </cell>
          <cell r="C266">
            <v>2.44</v>
          </cell>
          <cell r="D266" t="str">
            <v>18/54</v>
          </cell>
          <cell r="E266" t="str">
            <v>Very High</v>
          </cell>
          <cell r="F266" t="str">
            <v>EQ-L&amp;MC</v>
          </cell>
        </row>
        <row r="267">
          <cell r="A267" t="str">
            <v>HDFC Large Cap Fund - Regular Plan</v>
          </cell>
          <cell r="B267">
            <v>5</v>
          </cell>
          <cell r="C267">
            <v>2.94</v>
          </cell>
          <cell r="D267" t="str">
            <v>101/144</v>
          </cell>
          <cell r="E267" t="str">
            <v>Very High</v>
          </cell>
          <cell r="F267" t="str">
            <v>EQ-LC</v>
          </cell>
        </row>
        <row r="268">
          <cell r="A268" t="str">
            <v>HDFC Manufacturing Fund - Regular Plan</v>
          </cell>
          <cell r="B268" t="str">
            <v>--</v>
          </cell>
          <cell r="C268">
            <v>-3.17</v>
          </cell>
          <cell r="D268" t="str">
            <v>48/78</v>
          </cell>
          <cell r="E268" t="str">
            <v>Very High</v>
          </cell>
          <cell r="F268" t="str">
            <v>EQ-THEMATIC</v>
          </cell>
        </row>
        <row r="269">
          <cell r="A269" t="str">
            <v>HDFC Mid-Cap Opportunities Fund - Regular Plan</v>
          </cell>
          <cell r="B269">
            <v>5</v>
          </cell>
          <cell r="C269">
            <v>5.5</v>
          </cell>
          <cell r="D269" t="str">
            <v>6/53</v>
          </cell>
          <cell r="E269" t="str">
            <v>Very High</v>
          </cell>
          <cell r="F269" t="str">
            <v>EQ-MC</v>
          </cell>
        </row>
        <row r="270">
          <cell r="A270" t="str">
            <v>HDFC Multi-Asset Active FoF - Regular Plan</v>
          </cell>
          <cell r="B270">
            <v>4</v>
          </cell>
          <cell r="C270">
            <v>10.32</v>
          </cell>
          <cell r="D270" t="str">
            <v>10/37</v>
          </cell>
          <cell r="E270" t="str">
            <v>High</v>
          </cell>
          <cell r="F270" t="str">
            <v>HY-MAA</v>
          </cell>
        </row>
        <row r="271">
          <cell r="A271" t="str">
            <v>HDFC Multi Asset Fund - Regular Plan</v>
          </cell>
          <cell r="B271">
            <v>3</v>
          </cell>
          <cell r="C271">
            <v>8.89</v>
          </cell>
          <cell r="D271" t="str">
            <v>15/37</v>
          </cell>
          <cell r="E271" t="str">
            <v>High</v>
          </cell>
          <cell r="F271" t="str">
            <v>HY-MAA</v>
          </cell>
        </row>
        <row r="272">
          <cell r="A272" t="str">
            <v>HDFC Multi Cap Fund - Regular Plan</v>
          </cell>
          <cell r="B272">
            <v>4</v>
          </cell>
          <cell r="C272">
            <v>0.93</v>
          </cell>
          <cell r="D272" t="str">
            <v>20/25</v>
          </cell>
          <cell r="E272" t="str">
            <v>Very High</v>
          </cell>
          <cell r="F272" t="str">
            <v>EQ-MLC</v>
          </cell>
        </row>
        <row r="273">
          <cell r="A273" t="str">
            <v>HDFC NIFTY 100 Equal Weight Index Fund - Regular Plan</v>
          </cell>
          <cell r="B273">
            <v>4</v>
          </cell>
          <cell r="C273">
            <v>-1.32</v>
          </cell>
          <cell r="D273" t="str">
            <v>116/144</v>
          </cell>
          <cell r="E273" t="str">
            <v>Very High</v>
          </cell>
          <cell r="F273" t="str">
            <v>EQ-LC</v>
          </cell>
        </row>
        <row r="274">
          <cell r="A274" t="str">
            <v>HDFC NIFTY 100 ETF</v>
          </cell>
          <cell r="B274" t="str">
            <v>--</v>
          </cell>
          <cell r="C274">
            <v>3.62</v>
          </cell>
          <cell r="D274" t="str">
            <v>92/144</v>
          </cell>
          <cell r="E274" t="str">
            <v>Very High</v>
          </cell>
          <cell r="F274" t="str">
            <v>EQ-LC</v>
          </cell>
        </row>
        <row r="275">
          <cell r="A275" t="str">
            <v>HDFC NIFTY 100 Index Fund - Regular Plan</v>
          </cell>
          <cell r="B275">
            <v>2</v>
          </cell>
          <cell r="C275">
            <v>3.1</v>
          </cell>
          <cell r="D275" t="str">
            <v>97/144</v>
          </cell>
          <cell r="E275" t="str">
            <v>Very High</v>
          </cell>
          <cell r="F275" t="str">
            <v>EQ-LC</v>
          </cell>
        </row>
        <row r="276">
          <cell r="A276" t="str">
            <v>HDFC NIFTY100 Low Volatility 30 ETF</v>
          </cell>
          <cell r="B276" t="str">
            <v>--</v>
          </cell>
          <cell r="C276">
            <v>5.48</v>
          </cell>
          <cell r="D276" t="str">
            <v>65/144</v>
          </cell>
          <cell r="E276" t="str">
            <v>Very High</v>
          </cell>
          <cell r="F276" t="str">
            <v>EQ-LC</v>
          </cell>
        </row>
        <row r="277">
          <cell r="A277" t="str">
            <v>HDFC NIFTY100 Low Volatility 30 Index Fund - Regular Plan</v>
          </cell>
          <cell r="B277" t="str">
            <v>--</v>
          </cell>
          <cell r="C277" t="str">
            <v>--</v>
          </cell>
          <cell r="D277" t="str">
            <v>--</v>
          </cell>
          <cell r="E277" t="str">
            <v>Very High</v>
          </cell>
          <cell r="F277" t="str">
            <v>EQ-LC</v>
          </cell>
        </row>
        <row r="278">
          <cell r="A278" t="str">
            <v>HDFC NIFTY100 Quality 30 ETF</v>
          </cell>
          <cell r="B278" t="str">
            <v>--</v>
          </cell>
          <cell r="C278">
            <v>0.34</v>
          </cell>
          <cell r="D278" t="str">
            <v>110/144</v>
          </cell>
          <cell r="E278" t="str">
            <v>Very High</v>
          </cell>
          <cell r="F278" t="str">
            <v>EQ-LC</v>
          </cell>
        </row>
        <row r="279">
          <cell r="A279" t="str">
            <v>HDFC Nifty100 Quality 30 Index Fund - Regular Plan</v>
          </cell>
          <cell r="B279" t="str">
            <v>--</v>
          </cell>
          <cell r="C279" t="str">
            <v>--</v>
          </cell>
          <cell r="D279" t="str">
            <v>--</v>
          </cell>
          <cell r="E279" t="str">
            <v>Very High</v>
          </cell>
          <cell r="F279" t="str">
            <v>EQ-LC</v>
          </cell>
        </row>
        <row r="280">
          <cell r="A280" t="str">
            <v>HDFC NIFTY200 Momentum 30 ETF</v>
          </cell>
          <cell r="B280" t="str">
            <v>--</v>
          </cell>
          <cell r="C280">
            <v>-12.93</v>
          </cell>
          <cell r="D280" t="str">
            <v>49/54</v>
          </cell>
          <cell r="E280" t="str">
            <v>Very High</v>
          </cell>
          <cell r="F280" t="str">
            <v>EQ-L&amp;MC</v>
          </cell>
        </row>
        <row r="281">
          <cell r="A281" t="str">
            <v>HDFC NIFTY200 Momentum 30 Index Fund - Regular Plan</v>
          </cell>
          <cell r="B281" t="str">
            <v>--</v>
          </cell>
          <cell r="C281">
            <v>-13.49</v>
          </cell>
          <cell r="D281" t="str">
            <v>52/54</v>
          </cell>
          <cell r="E281" t="str">
            <v>Very High</v>
          </cell>
          <cell r="F281" t="str">
            <v>EQ-L&amp;MC</v>
          </cell>
        </row>
        <row r="282">
          <cell r="A282" t="str">
            <v>HDFC Nifty500 Multicap 50:25:25 Index Fund - Regular Plan</v>
          </cell>
          <cell r="B282" t="str">
            <v>--</v>
          </cell>
          <cell r="C282" t="str">
            <v>--</v>
          </cell>
          <cell r="D282" t="str">
            <v>--</v>
          </cell>
          <cell r="E282" t="str">
            <v>Very High</v>
          </cell>
          <cell r="F282" t="str">
            <v>EQ-MLC</v>
          </cell>
        </row>
        <row r="283">
          <cell r="A283" t="str">
            <v>HDFC NIFTY50 Equal Weight Index Fund - Regular Plan</v>
          </cell>
          <cell r="B283">
            <v>4</v>
          </cell>
          <cell r="C283">
            <v>4.09</v>
          </cell>
          <cell r="D283" t="str">
            <v>85/144</v>
          </cell>
          <cell r="E283" t="str">
            <v>Very High</v>
          </cell>
          <cell r="F283" t="str">
            <v>EQ-LC</v>
          </cell>
        </row>
        <row r="284">
          <cell r="A284" t="str">
            <v>HDFC NIFTY 50 ETF</v>
          </cell>
          <cell r="B284" t="str">
            <v>--</v>
          </cell>
          <cell r="C284">
            <v>6.49</v>
          </cell>
          <cell r="D284" t="str">
            <v>10/144</v>
          </cell>
          <cell r="E284" t="str">
            <v>Very High</v>
          </cell>
          <cell r="F284" t="str">
            <v>EQ-LC</v>
          </cell>
        </row>
        <row r="285">
          <cell r="A285" t="str">
            <v>HDFC NIFTY 50 Index Fund - Regular Plan</v>
          </cell>
          <cell r="B285">
            <v>3</v>
          </cell>
          <cell r="C285">
            <v>6.11</v>
          </cell>
          <cell r="D285" t="str">
            <v>39/144</v>
          </cell>
          <cell r="E285" t="str">
            <v>Very High</v>
          </cell>
          <cell r="F285" t="str">
            <v>EQ-LC</v>
          </cell>
        </row>
        <row r="286">
          <cell r="A286" t="str">
            <v>HDFC NIFTY Growth Sectors 15 ETF</v>
          </cell>
          <cell r="B286" t="str">
            <v>--</v>
          </cell>
          <cell r="C286">
            <v>4.24</v>
          </cell>
          <cell r="D286" t="str">
            <v>17/78</v>
          </cell>
          <cell r="E286" t="str">
            <v>Very High</v>
          </cell>
          <cell r="F286" t="str">
            <v>EQ-THEMATIC</v>
          </cell>
        </row>
        <row r="287">
          <cell r="A287" t="str">
            <v>HDFC Nifty LargeMidcap 250 Index Fund - Regular Plan</v>
          </cell>
          <cell r="B287" t="str">
            <v>--</v>
          </cell>
          <cell r="C287" t="str">
            <v>--</v>
          </cell>
          <cell r="D287" t="str">
            <v>--</v>
          </cell>
          <cell r="E287" t="str">
            <v>Very High</v>
          </cell>
          <cell r="F287" t="str">
            <v>EQ-L&amp;MC</v>
          </cell>
        </row>
        <row r="288">
          <cell r="A288" t="str">
            <v>HDFC NIFTY Midcap 150 ETF</v>
          </cell>
          <cell r="B288" t="str">
            <v>--</v>
          </cell>
          <cell r="C288">
            <v>2.44</v>
          </cell>
          <cell r="D288" t="str">
            <v>22/53</v>
          </cell>
          <cell r="E288" t="str">
            <v>Very High</v>
          </cell>
          <cell r="F288" t="str">
            <v>EQ-MC</v>
          </cell>
        </row>
        <row r="289">
          <cell r="A289" t="str">
            <v>HDFC NIFTY Midcap 150 Index Fund - Regular Plan</v>
          </cell>
          <cell r="B289" t="str">
            <v>--</v>
          </cell>
          <cell r="C289">
            <v>1.64</v>
          </cell>
          <cell r="D289" t="str">
            <v>30/53</v>
          </cell>
          <cell r="E289" t="str">
            <v>Very High</v>
          </cell>
          <cell r="F289" t="str">
            <v>EQ-MC</v>
          </cell>
        </row>
        <row r="290">
          <cell r="A290" t="str">
            <v>HDFC NIFTY Next 50 ETF</v>
          </cell>
          <cell r="B290" t="str">
            <v>--</v>
          </cell>
          <cell r="C290">
            <v>-7.47</v>
          </cell>
          <cell r="D290" t="str">
            <v>130/144</v>
          </cell>
          <cell r="E290" t="str">
            <v>Very High</v>
          </cell>
          <cell r="F290" t="str">
            <v>EQ-LC</v>
          </cell>
        </row>
        <row r="291">
          <cell r="A291" t="str">
            <v>HDFC NIFTY Next 50 Index Fund - Regular Plan</v>
          </cell>
          <cell r="B291">
            <v>2</v>
          </cell>
          <cell r="C291">
            <v>-8.1999999999999993</v>
          </cell>
          <cell r="D291" t="str">
            <v>140/144</v>
          </cell>
          <cell r="E291" t="str">
            <v>Very High</v>
          </cell>
          <cell r="F291" t="str">
            <v>EQ-LC</v>
          </cell>
        </row>
        <row r="292">
          <cell r="A292" t="str">
            <v>HDFC NIFTY Realty Index Fund - Regular Plan</v>
          </cell>
          <cell r="B292" t="str">
            <v>--</v>
          </cell>
          <cell r="C292">
            <v>-11.74</v>
          </cell>
          <cell r="D292" t="str">
            <v>75/78</v>
          </cell>
          <cell r="E292" t="str">
            <v>Very High</v>
          </cell>
          <cell r="F292" t="str">
            <v>EQ-THEMATIC</v>
          </cell>
        </row>
        <row r="293">
          <cell r="A293" t="str">
            <v>HDFC Nifty Smallcap 250 ETF</v>
          </cell>
          <cell r="B293" t="str">
            <v>--</v>
          </cell>
          <cell r="C293">
            <v>-0.64</v>
          </cell>
          <cell r="D293" t="str">
            <v>20/44</v>
          </cell>
          <cell r="E293" t="str">
            <v>Very High</v>
          </cell>
          <cell r="F293" t="str">
            <v>EQ-SC</v>
          </cell>
        </row>
        <row r="294">
          <cell r="A294" t="str">
            <v>HDFC Nifty Smallcap 250 Index Fund - Regular Plan</v>
          </cell>
          <cell r="B294" t="str">
            <v>--</v>
          </cell>
          <cell r="C294">
            <v>-1.34</v>
          </cell>
          <cell r="D294" t="str">
            <v>26/44</v>
          </cell>
          <cell r="E294" t="str">
            <v>Very High</v>
          </cell>
          <cell r="F294" t="str">
            <v>EQ-SC</v>
          </cell>
        </row>
        <row r="295">
          <cell r="A295" t="str">
            <v>HDFC Nifty Top 20 Equal Weight Index Fund - Regular Plan</v>
          </cell>
          <cell r="B295" t="str">
            <v>--</v>
          </cell>
          <cell r="C295" t="str">
            <v>--</v>
          </cell>
          <cell r="D295" t="str">
            <v>--</v>
          </cell>
          <cell r="E295" t="str">
            <v>Very High</v>
          </cell>
          <cell r="F295" t="str">
            <v>EQ-LC</v>
          </cell>
        </row>
        <row r="296">
          <cell r="A296" t="str">
            <v>HDFC Retirement Savings Fund Equity Plan - Regular Plan</v>
          </cell>
          <cell r="B296">
            <v>5</v>
          </cell>
          <cell r="C296">
            <v>3.36</v>
          </cell>
          <cell r="D296" t="str">
            <v>44/91</v>
          </cell>
          <cell r="E296" t="str">
            <v>Very High</v>
          </cell>
          <cell r="F296" t="str">
            <v>EQ-FLX</v>
          </cell>
        </row>
        <row r="297">
          <cell r="A297" t="str">
            <v>HDFC Retirement Savings Fund - Hybrid Debt Plan - Regular Plan</v>
          </cell>
          <cell r="B297">
            <v>3</v>
          </cell>
          <cell r="C297">
            <v>6.22</v>
          </cell>
          <cell r="D297" t="str">
            <v>21/28</v>
          </cell>
          <cell r="E297" t="str">
            <v>Moderately High</v>
          </cell>
          <cell r="F297" t="str">
            <v>HY-CH</v>
          </cell>
        </row>
        <row r="298">
          <cell r="A298" t="str">
            <v>HDFC Retirement Savings Fund - Hybrid Equity Plan - Regular Plan</v>
          </cell>
          <cell r="B298">
            <v>4</v>
          </cell>
          <cell r="C298">
            <v>4.24</v>
          </cell>
          <cell r="D298" t="str">
            <v>30/44</v>
          </cell>
          <cell r="E298" t="str">
            <v>Very High</v>
          </cell>
          <cell r="F298" t="str">
            <v>HY-AH</v>
          </cell>
        </row>
        <row r="299">
          <cell r="A299" t="str">
            <v>HDFC Small Cap Fund - Regular Plan</v>
          </cell>
          <cell r="B299">
            <v>4</v>
          </cell>
          <cell r="C299">
            <v>2.39</v>
          </cell>
          <cell r="D299" t="str">
            <v>11/44</v>
          </cell>
          <cell r="E299" t="str">
            <v>Very High</v>
          </cell>
          <cell r="F299" t="str">
            <v>EQ-SC</v>
          </cell>
        </row>
        <row r="300">
          <cell r="A300" t="str">
            <v>HDFC Transportation and Logistics Fund - Regular Plan</v>
          </cell>
          <cell r="B300" t="str">
            <v>--</v>
          </cell>
          <cell r="C300">
            <v>-4.53</v>
          </cell>
          <cell r="D300" t="str">
            <v>54/78</v>
          </cell>
          <cell r="E300" t="str">
            <v>Very High</v>
          </cell>
          <cell r="F300" t="str">
            <v>EQ-THEMATIC</v>
          </cell>
        </row>
        <row r="301">
          <cell r="A301" t="str">
            <v>Helios Balanced Advantage Fund - Regular Plan</v>
          </cell>
          <cell r="B301" t="str">
            <v>--</v>
          </cell>
          <cell r="C301">
            <v>1.01</v>
          </cell>
          <cell r="D301" t="str">
            <v>30/36</v>
          </cell>
          <cell r="E301" t="str">
            <v>High</v>
          </cell>
          <cell r="F301" t="str">
            <v>HY-DAA</v>
          </cell>
        </row>
        <row r="302">
          <cell r="A302" t="str">
            <v>Helios Flexi Cap Fund - Regular Plan</v>
          </cell>
          <cell r="B302" t="str">
            <v>--</v>
          </cell>
          <cell r="C302">
            <v>2.83</v>
          </cell>
          <cell r="D302" t="str">
            <v>50/91</v>
          </cell>
          <cell r="E302" t="str">
            <v>Very High</v>
          </cell>
          <cell r="F302" t="str">
            <v>EQ-FLX</v>
          </cell>
        </row>
        <row r="303">
          <cell r="A303" t="str">
            <v>Helios Large &amp; Mid Cap Fund - Regular Plan</v>
          </cell>
          <cell r="B303" t="str">
            <v>--</v>
          </cell>
          <cell r="C303" t="str">
            <v>--</v>
          </cell>
          <cell r="D303" t="str">
            <v>--</v>
          </cell>
          <cell r="E303" t="str">
            <v>Very High</v>
          </cell>
          <cell r="F303" t="str">
            <v>EQ-L&amp;MC</v>
          </cell>
        </row>
        <row r="304">
          <cell r="A304" t="str">
            <v>Helios Mid Cap Fund - Regular Plan</v>
          </cell>
          <cell r="B304" t="str">
            <v>--</v>
          </cell>
          <cell r="C304" t="str">
            <v>--</v>
          </cell>
          <cell r="D304" t="str">
            <v>--</v>
          </cell>
          <cell r="E304" t="str">
            <v>Very High</v>
          </cell>
          <cell r="F304" t="str">
            <v>EQ-MC</v>
          </cell>
        </row>
        <row r="305">
          <cell r="A305" t="str">
            <v>HSBC Aggressive Hybrid Active FoF - Regular Plan</v>
          </cell>
          <cell r="B305">
            <v>3</v>
          </cell>
          <cell r="C305">
            <v>3.62</v>
          </cell>
          <cell r="D305" t="str">
            <v>36/44</v>
          </cell>
          <cell r="E305" t="str">
            <v>Very High</v>
          </cell>
          <cell r="F305" t="str">
            <v>HY-AH</v>
          </cell>
        </row>
        <row r="306">
          <cell r="A306" t="str">
            <v>HSBC Aggressive Hybrid Fund</v>
          </cell>
          <cell r="B306">
            <v>2</v>
          </cell>
          <cell r="C306">
            <v>2.15</v>
          </cell>
          <cell r="D306" t="str">
            <v>38/44</v>
          </cell>
          <cell r="E306" t="str">
            <v>Very High</v>
          </cell>
          <cell r="F306" t="str">
            <v>HY-AH</v>
          </cell>
        </row>
        <row r="307">
          <cell r="A307" t="str">
            <v>HSBC Arbitrage Fund - Regular Plan</v>
          </cell>
          <cell r="B307">
            <v>3</v>
          </cell>
          <cell r="C307">
            <v>6.69</v>
          </cell>
          <cell r="D307" t="str">
            <v>20/27</v>
          </cell>
          <cell r="E307" t="str">
            <v>Low</v>
          </cell>
          <cell r="F307" t="str">
            <v>HY-AR</v>
          </cell>
        </row>
        <row r="308">
          <cell r="A308" t="str">
            <v>HSBC Balanced Advantage Fund</v>
          </cell>
          <cell r="B308">
            <v>3</v>
          </cell>
          <cell r="C308">
            <v>6.26</v>
          </cell>
          <cell r="D308" t="str">
            <v>14/36</v>
          </cell>
          <cell r="E308" t="str">
            <v>Moderately High</v>
          </cell>
          <cell r="F308" t="str">
            <v>HY-DAA</v>
          </cell>
        </row>
        <row r="309">
          <cell r="A309" t="str">
            <v>HSBC Business Cycles Fund - Regular Plan</v>
          </cell>
          <cell r="B309" t="str">
            <v>--</v>
          </cell>
          <cell r="C309">
            <v>4.59</v>
          </cell>
          <cell r="D309" t="str">
            <v>15/78</v>
          </cell>
          <cell r="E309" t="str">
            <v>Very High</v>
          </cell>
          <cell r="F309" t="str">
            <v>EQ-THEMATIC</v>
          </cell>
        </row>
        <row r="310">
          <cell r="A310" t="str">
            <v>HSBC Conservative Hybrid Fund</v>
          </cell>
          <cell r="B310">
            <v>3</v>
          </cell>
          <cell r="C310">
            <v>6.99</v>
          </cell>
          <cell r="D310" t="str">
            <v>13/28</v>
          </cell>
          <cell r="E310" t="str">
            <v>Moderately High</v>
          </cell>
          <cell r="F310" t="str">
            <v>HY-CH</v>
          </cell>
        </row>
        <row r="311">
          <cell r="A311" t="str">
            <v>HSBC Flexi Cap Fund</v>
          </cell>
          <cell r="B311">
            <v>4</v>
          </cell>
          <cell r="C311">
            <v>4.0599999999999996</v>
          </cell>
          <cell r="D311" t="str">
            <v>39/91</v>
          </cell>
          <cell r="E311" t="str">
            <v>Very High</v>
          </cell>
          <cell r="F311" t="str">
            <v>EQ-FLX</v>
          </cell>
        </row>
        <row r="312">
          <cell r="A312" t="str">
            <v>HSBC Focused Fund - Regular Plan</v>
          </cell>
          <cell r="B312">
            <v>2</v>
          </cell>
          <cell r="C312">
            <v>4.49</v>
          </cell>
          <cell r="D312" t="str">
            <v>35/91</v>
          </cell>
          <cell r="E312" t="str">
            <v>Very High</v>
          </cell>
          <cell r="F312" t="str">
            <v>EQ-FLX</v>
          </cell>
        </row>
        <row r="313">
          <cell r="A313" t="str">
            <v>HSBC India Export Opportunities Fund - Regular Plan</v>
          </cell>
          <cell r="B313" t="str">
            <v>--</v>
          </cell>
          <cell r="C313" t="str">
            <v>--</v>
          </cell>
          <cell r="D313" t="str">
            <v>--</v>
          </cell>
          <cell r="E313" t="str">
            <v>Very High</v>
          </cell>
          <cell r="F313" t="str">
            <v>EQ-THEMATIC</v>
          </cell>
        </row>
        <row r="314">
          <cell r="A314" t="str">
            <v>HSBC Large and Mid Cap Fund - Regular Plan</v>
          </cell>
          <cell r="B314">
            <v>3</v>
          </cell>
          <cell r="C314">
            <v>-0.41</v>
          </cell>
          <cell r="D314" t="str">
            <v>34/54</v>
          </cell>
          <cell r="E314" t="str">
            <v>Very High</v>
          </cell>
          <cell r="F314" t="str">
            <v>EQ-L&amp;MC</v>
          </cell>
        </row>
        <row r="315">
          <cell r="A315" t="str">
            <v>HSBC Large Cap Fund</v>
          </cell>
          <cell r="B315">
            <v>3</v>
          </cell>
          <cell r="C315">
            <v>2.2000000000000002</v>
          </cell>
          <cell r="D315" t="str">
            <v>103/144</v>
          </cell>
          <cell r="E315" t="str">
            <v>Very High</v>
          </cell>
          <cell r="F315" t="str">
            <v>EQ-LC</v>
          </cell>
        </row>
        <row r="316">
          <cell r="A316" t="str">
            <v>HSBC Midcap Fund</v>
          </cell>
          <cell r="B316">
            <v>3</v>
          </cell>
          <cell r="C316">
            <v>2.65</v>
          </cell>
          <cell r="D316" t="str">
            <v>17/53</v>
          </cell>
          <cell r="E316" t="str">
            <v>Very High</v>
          </cell>
          <cell r="F316" t="str">
            <v>EQ-MC</v>
          </cell>
        </row>
        <row r="317">
          <cell r="A317" t="str">
            <v>HSBC Multi Asset Active FoF - Regular Plan</v>
          </cell>
          <cell r="B317">
            <v>2</v>
          </cell>
          <cell r="C317">
            <v>6.75</v>
          </cell>
          <cell r="D317" t="str">
            <v>27/37</v>
          </cell>
          <cell r="E317" t="str">
            <v>High</v>
          </cell>
          <cell r="F317" t="str">
            <v>HY-MAA</v>
          </cell>
        </row>
        <row r="318">
          <cell r="A318" t="str">
            <v>HSBC Multi Asset Allocation Fund - Regular Plan</v>
          </cell>
          <cell r="B318" t="str">
            <v>--</v>
          </cell>
          <cell r="C318">
            <v>2.42</v>
          </cell>
          <cell r="D318" t="str">
            <v>35/37</v>
          </cell>
          <cell r="E318" t="str">
            <v>Very High</v>
          </cell>
          <cell r="F318" t="str">
            <v>HY-MAA</v>
          </cell>
        </row>
        <row r="319">
          <cell r="A319" t="str">
            <v>HSBC Multi Cap Fund - Regular Plan</v>
          </cell>
          <cell r="B319" t="str">
            <v>--</v>
          </cell>
          <cell r="C319">
            <v>0.99</v>
          </cell>
          <cell r="D319" t="str">
            <v>19/25</v>
          </cell>
          <cell r="E319" t="str">
            <v>Very High</v>
          </cell>
          <cell r="F319" t="str">
            <v>EQ-MLC</v>
          </cell>
        </row>
        <row r="320">
          <cell r="A320" t="str">
            <v>HSBC Nifty 50 Index Fund - Regular Plan</v>
          </cell>
          <cell r="B320">
            <v>3</v>
          </cell>
          <cell r="C320">
            <v>5.99</v>
          </cell>
          <cell r="D320" t="str">
            <v>46/144</v>
          </cell>
          <cell r="E320" t="str">
            <v>Very High</v>
          </cell>
          <cell r="F320" t="str">
            <v>EQ-LC</v>
          </cell>
        </row>
        <row r="321">
          <cell r="A321" t="str">
            <v>HSBC Nifty Next 50 Index Fund - Regular Plan</v>
          </cell>
          <cell r="B321">
            <v>1</v>
          </cell>
          <cell r="C321">
            <v>-8.26</v>
          </cell>
          <cell r="D321" t="str">
            <v>143/144</v>
          </cell>
          <cell r="E321" t="str">
            <v>Very High</v>
          </cell>
          <cell r="F321" t="str">
            <v>EQ-LC</v>
          </cell>
        </row>
        <row r="322">
          <cell r="A322" t="str">
            <v>HSBC Small Cap Fund</v>
          </cell>
          <cell r="B322">
            <v>3</v>
          </cell>
          <cell r="C322">
            <v>-3.65</v>
          </cell>
          <cell r="D322" t="str">
            <v>38/44</v>
          </cell>
          <cell r="E322" t="str">
            <v>Very High</v>
          </cell>
          <cell r="F322" t="str">
            <v>EQ-SC</v>
          </cell>
        </row>
        <row r="323">
          <cell r="A323" t="str">
            <v>ICICI Prudential Asset Allocator (FOF) Fund</v>
          </cell>
          <cell r="B323">
            <v>4</v>
          </cell>
          <cell r="C323">
            <v>10.09</v>
          </cell>
          <cell r="D323" t="str">
            <v>11/37</v>
          </cell>
          <cell r="E323" t="str">
            <v>High</v>
          </cell>
          <cell r="F323" t="str">
            <v>HY-MAA</v>
          </cell>
        </row>
        <row r="324">
          <cell r="A324" t="str">
            <v>ICICI Prudential Balanced Advantage Fund</v>
          </cell>
          <cell r="B324">
            <v>4</v>
          </cell>
          <cell r="C324">
            <v>9.09</v>
          </cell>
          <cell r="D324" t="str">
            <v>2/36</v>
          </cell>
          <cell r="E324" t="str">
            <v>High</v>
          </cell>
          <cell r="F324" t="str">
            <v>HY-DAA</v>
          </cell>
        </row>
        <row r="325">
          <cell r="A325" t="str">
            <v>ICICI Prudential BHARAT 22 FOF</v>
          </cell>
          <cell r="B325">
            <v>5</v>
          </cell>
          <cell r="C325">
            <v>-2.33</v>
          </cell>
          <cell r="D325" t="str">
            <v>119/144</v>
          </cell>
          <cell r="E325" t="str">
            <v>Very High</v>
          </cell>
          <cell r="F325" t="str">
            <v>EQ-LC</v>
          </cell>
        </row>
        <row r="326">
          <cell r="A326" t="str">
            <v>ICICI Prudential BSE 500 ETF</v>
          </cell>
          <cell r="B326" t="str">
            <v>--</v>
          </cell>
          <cell r="C326">
            <v>2.5</v>
          </cell>
          <cell r="D326" t="str">
            <v>54/91</v>
          </cell>
          <cell r="E326" t="str">
            <v>Very High</v>
          </cell>
          <cell r="F326" t="str">
            <v>EQ-FLX</v>
          </cell>
        </row>
        <row r="327">
          <cell r="A327" t="str">
            <v>ICICI Prudential BSE 500 ETF FOF</v>
          </cell>
          <cell r="B327">
            <v>3</v>
          </cell>
          <cell r="C327">
            <v>1.77</v>
          </cell>
          <cell r="D327" t="str">
            <v>61/91</v>
          </cell>
          <cell r="E327" t="str">
            <v>Very High</v>
          </cell>
          <cell r="F327" t="str">
            <v>EQ-FLX</v>
          </cell>
        </row>
        <row r="328">
          <cell r="A328" t="str">
            <v>ICICI Prudential BSE Midcap Select ETF</v>
          </cell>
          <cell r="B328" t="str">
            <v>--</v>
          </cell>
          <cell r="C328">
            <v>0.22</v>
          </cell>
          <cell r="D328" t="str">
            <v>39/53</v>
          </cell>
          <cell r="E328" t="str">
            <v>Very High</v>
          </cell>
          <cell r="F328" t="str">
            <v>EQ-MC</v>
          </cell>
        </row>
        <row r="329">
          <cell r="A329" t="str">
            <v>ICICI Prudential BSE Sensex ETF</v>
          </cell>
          <cell r="B329" t="str">
            <v>--</v>
          </cell>
          <cell r="C329">
            <v>6.31</v>
          </cell>
          <cell r="D329" t="str">
            <v>22/144</v>
          </cell>
          <cell r="E329" t="str">
            <v>Very High</v>
          </cell>
          <cell r="F329" t="str">
            <v>EQ-LC</v>
          </cell>
        </row>
        <row r="330">
          <cell r="A330" t="str">
            <v>ICICI Prudential BSE Sensex Index Fund</v>
          </cell>
          <cell r="B330">
            <v>3</v>
          </cell>
          <cell r="C330">
            <v>6</v>
          </cell>
          <cell r="D330" t="str">
            <v>44/144</v>
          </cell>
          <cell r="E330" t="str">
            <v>Very High</v>
          </cell>
          <cell r="F330" t="str">
            <v>EQ-LC</v>
          </cell>
        </row>
        <row r="331">
          <cell r="A331" t="str">
            <v>ICICI Prudential Business Cycle Fund</v>
          </cell>
          <cell r="B331" t="str">
            <v>--</v>
          </cell>
          <cell r="C331">
            <v>8.01</v>
          </cell>
          <cell r="D331" t="str">
            <v>7/78</v>
          </cell>
          <cell r="E331" t="str">
            <v>Very High</v>
          </cell>
          <cell r="F331" t="str">
            <v>EQ-THEMATIC</v>
          </cell>
        </row>
        <row r="332">
          <cell r="A332" t="str">
            <v>ICICI Prudential Child Care Fund - Gift Plan</v>
          </cell>
          <cell r="B332">
            <v>4</v>
          </cell>
          <cell r="C332">
            <v>5.07</v>
          </cell>
          <cell r="D332" t="str">
            <v>27/44</v>
          </cell>
          <cell r="E332" t="str">
            <v>Very High</v>
          </cell>
          <cell r="F332" t="str">
            <v>HY-AH</v>
          </cell>
        </row>
        <row r="333">
          <cell r="A333" t="str">
            <v>ICICI Prudential Commodities Fund</v>
          </cell>
          <cell r="B333" t="str">
            <v>--</v>
          </cell>
          <cell r="C333">
            <v>-5.0199999999999996</v>
          </cell>
          <cell r="D333" t="str">
            <v>56/78</v>
          </cell>
          <cell r="E333" t="str">
            <v>Very High</v>
          </cell>
          <cell r="F333" t="str">
            <v>EQ-THEMATIC</v>
          </cell>
        </row>
        <row r="334">
          <cell r="A334" t="str">
            <v>ICICI Prudential Equity Arbitrage Fund</v>
          </cell>
          <cell r="B334">
            <v>4</v>
          </cell>
          <cell r="C334">
            <v>7.08</v>
          </cell>
          <cell r="D334" t="str">
            <v>2/27</v>
          </cell>
          <cell r="E334" t="str">
            <v>Low</v>
          </cell>
          <cell r="F334" t="str">
            <v>HY-AR</v>
          </cell>
        </row>
        <row r="335">
          <cell r="A335" t="str">
            <v>ICICI Prudential Equity &amp; Debt Fund</v>
          </cell>
          <cell r="B335">
            <v>5</v>
          </cell>
          <cell r="C335">
            <v>9.25</v>
          </cell>
          <cell r="D335" t="str">
            <v>4/44</v>
          </cell>
          <cell r="E335" t="str">
            <v>Very High</v>
          </cell>
          <cell r="F335" t="str">
            <v>HY-AH</v>
          </cell>
        </row>
        <row r="336">
          <cell r="A336" t="str">
            <v>ICICI Prudential Equity Minimum Variance Fund - Regular Plan</v>
          </cell>
          <cell r="B336" t="str">
            <v>--</v>
          </cell>
          <cell r="C336" t="str">
            <v>--</v>
          </cell>
          <cell r="D336" t="str">
            <v>--</v>
          </cell>
          <cell r="E336" t="str">
            <v>Very High</v>
          </cell>
          <cell r="F336" t="str">
            <v>EQ-THEMATIC</v>
          </cell>
        </row>
        <row r="337">
          <cell r="A337" t="str">
            <v>ICICI Prudential Exports and Services Fund</v>
          </cell>
          <cell r="B337" t="str">
            <v>--</v>
          </cell>
          <cell r="C337">
            <v>10.23</v>
          </cell>
          <cell r="D337" t="str">
            <v>6/78</v>
          </cell>
          <cell r="E337" t="str">
            <v>Very High</v>
          </cell>
          <cell r="F337" t="str">
            <v>EQ-THEMATIC</v>
          </cell>
        </row>
        <row r="338">
          <cell r="A338" t="str">
            <v>ICICI Prudential Flexicap Fund</v>
          </cell>
          <cell r="B338">
            <v>4</v>
          </cell>
          <cell r="C338">
            <v>3.59</v>
          </cell>
          <cell r="D338" t="str">
            <v>43/91</v>
          </cell>
          <cell r="E338" t="str">
            <v>Very High</v>
          </cell>
          <cell r="F338" t="str">
            <v>EQ-FLX</v>
          </cell>
        </row>
        <row r="339">
          <cell r="A339" t="str">
            <v>ICICI Prudential FMCG Fund</v>
          </cell>
          <cell r="B339" t="str">
            <v>--</v>
          </cell>
          <cell r="C339">
            <v>-2.48</v>
          </cell>
          <cell r="D339" t="str">
            <v>42/78</v>
          </cell>
          <cell r="E339" t="str">
            <v>Very High</v>
          </cell>
          <cell r="F339" t="str">
            <v>EQ-THEMATIC</v>
          </cell>
        </row>
        <row r="340">
          <cell r="A340" t="str">
            <v>ICICI Prudential Focused Equity Fund</v>
          </cell>
          <cell r="B340">
            <v>4</v>
          </cell>
          <cell r="C340">
            <v>10.18</v>
          </cell>
          <cell r="D340" t="str">
            <v>2/91</v>
          </cell>
          <cell r="E340" t="str">
            <v>Very High</v>
          </cell>
          <cell r="F340" t="str">
            <v>EQ-FLX</v>
          </cell>
        </row>
        <row r="341">
          <cell r="A341" t="str">
            <v>ICICI Prudential Housing Opportunities Fund</v>
          </cell>
          <cell r="B341" t="str">
            <v>--</v>
          </cell>
          <cell r="C341">
            <v>2.8</v>
          </cell>
          <cell r="D341" t="str">
            <v>21/78</v>
          </cell>
          <cell r="E341" t="str">
            <v>Very High</v>
          </cell>
          <cell r="F341" t="str">
            <v>EQ-THEMATIC</v>
          </cell>
        </row>
        <row r="342">
          <cell r="A342" t="str">
            <v>ICICI Prudential India Equity FOF</v>
          </cell>
          <cell r="B342">
            <v>5</v>
          </cell>
          <cell r="C342">
            <v>7.17</v>
          </cell>
          <cell r="D342" t="str">
            <v>18/91</v>
          </cell>
          <cell r="E342" t="str">
            <v>Very High</v>
          </cell>
          <cell r="F342" t="str">
            <v>EQ-FLX</v>
          </cell>
        </row>
        <row r="343">
          <cell r="A343" t="str">
            <v>ICICI Prudential India Opportunities Fund</v>
          </cell>
          <cell r="B343" t="str">
            <v>--</v>
          </cell>
          <cell r="C343">
            <v>10.41</v>
          </cell>
          <cell r="D343" t="str">
            <v>5/78</v>
          </cell>
          <cell r="E343" t="str">
            <v>Very High</v>
          </cell>
          <cell r="F343" t="str">
            <v>EQ-THEMATIC</v>
          </cell>
        </row>
        <row r="344">
          <cell r="A344" t="str">
            <v>ICICI Prudential Innovation Fund</v>
          </cell>
          <cell r="B344" t="str">
            <v>--</v>
          </cell>
          <cell r="C344">
            <v>6.26</v>
          </cell>
          <cell r="D344" t="str">
            <v>10/78</v>
          </cell>
          <cell r="E344" t="str">
            <v>Very High</v>
          </cell>
          <cell r="F344" t="str">
            <v>EQ-THEMATIC</v>
          </cell>
        </row>
        <row r="345">
          <cell r="A345" t="str">
            <v>ICICI Prudential Large Cap Fund</v>
          </cell>
          <cell r="B345">
            <v>5</v>
          </cell>
          <cell r="C345">
            <v>7.19</v>
          </cell>
          <cell r="D345" t="str">
            <v>3/144</v>
          </cell>
          <cell r="E345" t="str">
            <v>Very High</v>
          </cell>
          <cell r="F345" t="str">
            <v>EQ-LC</v>
          </cell>
        </row>
        <row r="346">
          <cell r="A346" t="str">
            <v>ICICI Prudential Large &amp; Mid Cap Fund</v>
          </cell>
          <cell r="B346">
            <v>5</v>
          </cell>
          <cell r="C346">
            <v>7.7</v>
          </cell>
          <cell r="D346" t="str">
            <v>3/54</v>
          </cell>
          <cell r="E346" t="str">
            <v>Very High</v>
          </cell>
          <cell r="F346" t="str">
            <v>EQ-L&amp;MC</v>
          </cell>
        </row>
        <row r="347">
          <cell r="A347" t="str">
            <v>ICICI Prudential Manufacturing Fund</v>
          </cell>
          <cell r="B347" t="str">
            <v>--</v>
          </cell>
          <cell r="C347">
            <v>-3.84</v>
          </cell>
          <cell r="D347" t="str">
            <v>51/78</v>
          </cell>
          <cell r="E347" t="str">
            <v>Very High</v>
          </cell>
          <cell r="F347" t="str">
            <v>EQ-THEMATIC</v>
          </cell>
        </row>
        <row r="348">
          <cell r="A348" t="str">
            <v>ICICI Prudential Midcap Fund</v>
          </cell>
          <cell r="B348">
            <v>3</v>
          </cell>
          <cell r="C348">
            <v>2.2599999999999998</v>
          </cell>
          <cell r="D348" t="str">
            <v>25/53</v>
          </cell>
          <cell r="E348" t="str">
            <v>Very High</v>
          </cell>
          <cell r="F348" t="str">
            <v>EQ-MC</v>
          </cell>
        </row>
        <row r="349">
          <cell r="A349" t="str">
            <v>ICICI Prudential Multi Asset Fund</v>
          </cell>
          <cell r="B349">
            <v>5</v>
          </cell>
          <cell r="C349">
            <v>11.49</v>
          </cell>
          <cell r="D349" t="str">
            <v>3/37</v>
          </cell>
          <cell r="E349" t="str">
            <v>Very High</v>
          </cell>
          <cell r="F349" t="str">
            <v>HY-MAA</v>
          </cell>
        </row>
        <row r="350">
          <cell r="A350" t="str">
            <v>ICICI Prudential Multicap Fund</v>
          </cell>
          <cell r="B350">
            <v>4</v>
          </cell>
          <cell r="C350">
            <v>5.46</v>
          </cell>
          <cell r="D350" t="str">
            <v>6/25</v>
          </cell>
          <cell r="E350" t="str">
            <v>Very High</v>
          </cell>
          <cell r="F350" t="str">
            <v>EQ-MLC</v>
          </cell>
        </row>
        <row r="351">
          <cell r="A351" t="str">
            <v>ICICI Prudential Nifty 100 ETF</v>
          </cell>
          <cell r="B351" t="str">
            <v>--</v>
          </cell>
          <cell r="C351">
            <v>3.45</v>
          </cell>
          <cell r="D351" t="str">
            <v>93/144</v>
          </cell>
          <cell r="E351" t="str">
            <v>Very High</v>
          </cell>
          <cell r="F351" t="str">
            <v>EQ-LC</v>
          </cell>
        </row>
        <row r="352">
          <cell r="A352" t="str">
            <v>ICICI Prudential Nifty 100 Low Volatility 30 ETF</v>
          </cell>
          <cell r="B352" t="str">
            <v>--</v>
          </cell>
          <cell r="C352">
            <v>5.37</v>
          </cell>
          <cell r="D352" t="str">
            <v>68/144</v>
          </cell>
          <cell r="E352" t="str">
            <v>Very High</v>
          </cell>
          <cell r="F352" t="str">
            <v>EQ-LC</v>
          </cell>
        </row>
        <row r="353">
          <cell r="A353" t="str">
            <v>ICICI Prudential Nifty 100 Low Volatility 30 ETF FOF</v>
          </cell>
          <cell r="B353">
            <v>5</v>
          </cell>
          <cell r="C353">
            <v>4.3600000000000003</v>
          </cell>
          <cell r="D353" t="str">
            <v>81/144</v>
          </cell>
          <cell r="E353" t="str">
            <v>Very High</v>
          </cell>
          <cell r="F353" t="str">
            <v>EQ-LC</v>
          </cell>
        </row>
        <row r="354">
          <cell r="A354" t="str">
            <v>ICICI Prudential Nifty 200 Momentum 30 ETF</v>
          </cell>
          <cell r="B354" t="str">
            <v>--</v>
          </cell>
          <cell r="C354">
            <v>-13.02</v>
          </cell>
          <cell r="D354" t="str">
            <v>50/54</v>
          </cell>
          <cell r="E354" t="str">
            <v>Very High</v>
          </cell>
          <cell r="F354" t="str">
            <v>EQ-L&amp;MC</v>
          </cell>
        </row>
        <row r="355">
          <cell r="A355" t="str">
            <v>ICICI Prudential Nifty 200 Momentum 30 Index Fund</v>
          </cell>
          <cell r="B355" t="str">
            <v>--</v>
          </cell>
          <cell r="C355">
            <v>-13.63</v>
          </cell>
          <cell r="D355" t="str">
            <v>53/54</v>
          </cell>
          <cell r="E355" t="str">
            <v>Very High</v>
          </cell>
          <cell r="F355" t="str">
            <v>EQ-L&amp;MC</v>
          </cell>
        </row>
        <row r="356">
          <cell r="A356" t="str">
            <v>ICICI Prudential Nifty 200 Quality 30 ETF</v>
          </cell>
          <cell r="B356" t="str">
            <v>--</v>
          </cell>
          <cell r="C356">
            <v>1.25</v>
          </cell>
          <cell r="D356" t="str">
            <v>26/54</v>
          </cell>
          <cell r="E356" t="str">
            <v>Very High</v>
          </cell>
          <cell r="F356" t="str">
            <v>EQ-L&amp;MC</v>
          </cell>
        </row>
        <row r="357">
          <cell r="A357" t="str">
            <v>ICICI Prudential Nifty200 Quality 30 Index Fund</v>
          </cell>
          <cell r="B357" t="str">
            <v>--</v>
          </cell>
          <cell r="C357" t="str">
            <v>--</v>
          </cell>
          <cell r="D357" t="str">
            <v>--</v>
          </cell>
          <cell r="E357" t="str">
            <v>Very High</v>
          </cell>
          <cell r="F357" t="str">
            <v>EQ-L&amp;MC</v>
          </cell>
        </row>
        <row r="358">
          <cell r="A358" t="str">
            <v>ICICI Prudential Nifty 500 Index Fund - Regular Plan</v>
          </cell>
          <cell r="B358" t="str">
            <v>--</v>
          </cell>
          <cell r="C358" t="str">
            <v>--</v>
          </cell>
          <cell r="D358" t="str">
            <v>--</v>
          </cell>
          <cell r="E358" t="str">
            <v>Very High</v>
          </cell>
          <cell r="F358" t="str">
            <v>EQ-FLX</v>
          </cell>
        </row>
        <row r="359">
          <cell r="A359" t="str">
            <v>ICICI Prudential Nifty50 Equal Weight Index Fund</v>
          </cell>
          <cell r="B359" t="str">
            <v>--</v>
          </cell>
          <cell r="C359">
            <v>4.0199999999999996</v>
          </cell>
          <cell r="D359" t="str">
            <v>86/144</v>
          </cell>
          <cell r="E359" t="str">
            <v>Very High</v>
          </cell>
          <cell r="F359" t="str">
            <v>EQ-LC</v>
          </cell>
        </row>
        <row r="360">
          <cell r="A360" t="str">
            <v>ICICI Prudential Nifty 50 ETF</v>
          </cell>
          <cell r="B360" t="str">
            <v>--</v>
          </cell>
          <cell r="C360">
            <v>6.51</v>
          </cell>
          <cell r="D360" t="str">
            <v>5/144</v>
          </cell>
          <cell r="E360" t="str">
            <v>Very High</v>
          </cell>
          <cell r="F360" t="str">
            <v>EQ-LC</v>
          </cell>
        </row>
        <row r="361">
          <cell r="A361" t="str">
            <v>ICICI Prudential Nifty 50 Index Fund</v>
          </cell>
          <cell r="B361">
            <v>3</v>
          </cell>
          <cell r="C361">
            <v>6.07</v>
          </cell>
          <cell r="D361" t="str">
            <v>41/144</v>
          </cell>
          <cell r="E361" t="str">
            <v>Very High</v>
          </cell>
          <cell r="F361" t="str">
            <v>EQ-LC</v>
          </cell>
        </row>
        <row r="362">
          <cell r="A362" t="str">
            <v>ICICI Prudential Nifty Alpha Low Volatility 30 ETF</v>
          </cell>
          <cell r="B362" t="str">
            <v>--</v>
          </cell>
          <cell r="C362">
            <v>-3.71</v>
          </cell>
          <cell r="D362" t="str">
            <v>37/54</v>
          </cell>
          <cell r="E362" t="str">
            <v>Very High</v>
          </cell>
          <cell r="F362" t="str">
            <v>EQ-L&amp;MC</v>
          </cell>
        </row>
        <row r="363">
          <cell r="A363" t="str">
            <v>ICICI Prudential Nifty Alpha Low Volatility 30 ETF FOF</v>
          </cell>
          <cell r="B363">
            <v>2</v>
          </cell>
          <cell r="C363">
            <v>-4.12</v>
          </cell>
          <cell r="D363" t="str">
            <v>38/54</v>
          </cell>
          <cell r="E363" t="str">
            <v>Very High</v>
          </cell>
          <cell r="F363" t="str">
            <v>EQ-L&amp;MC</v>
          </cell>
        </row>
        <row r="364">
          <cell r="A364" t="str">
            <v>ICICI Prudential Nifty Auto ETF</v>
          </cell>
          <cell r="B364" t="str">
            <v>--</v>
          </cell>
          <cell r="C364">
            <v>-7.14</v>
          </cell>
          <cell r="D364" t="str">
            <v>63/78</v>
          </cell>
          <cell r="E364" t="str">
            <v>Very High</v>
          </cell>
          <cell r="F364" t="str">
            <v>EQ-THEMATIC</v>
          </cell>
        </row>
        <row r="365">
          <cell r="A365" t="str">
            <v>ICICI Prudential Nifty Auto Index Fund</v>
          </cell>
          <cell r="B365" t="str">
            <v>--</v>
          </cell>
          <cell r="C365">
            <v>-7.79</v>
          </cell>
          <cell r="D365" t="str">
            <v>67/78</v>
          </cell>
          <cell r="E365" t="str">
            <v>Very High</v>
          </cell>
          <cell r="F365" t="str">
            <v>EQ-THEMATIC</v>
          </cell>
        </row>
        <row r="366">
          <cell r="A366" t="str">
            <v>ICICI Prudential Nifty Commodities ETF</v>
          </cell>
          <cell r="B366" t="str">
            <v>--</v>
          </cell>
          <cell r="C366">
            <v>-5.3</v>
          </cell>
          <cell r="D366" t="str">
            <v>57/78</v>
          </cell>
          <cell r="E366" t="str">
            <v>Very High</v>
          </cell>
          <cell r="F366" t="str">
            <v>EQ-THEMATIC</v>
          </cell>
        </row>
        <row r="367">
          <cell r="A367" t="str">
            <v>ICICI Prudential Nifty EV &amp; New Age Automotive ETF</v>
          </cell>
          <cell r="B367" t="str">
            <v>--</v>
          </cell>
          <cell r="C367" t="str">
            <v>--</v>
          </cell>
          <cell r="D367" t="str">
            <v>--</v>
          </cell>
          <cell r="E367" t="str">
            <v>Very High</v>
          </cell>
          <cell r="F367" t="str">
            <v>EQ-THEMATIC</v>
          </cell>
        </row>
        <row r="368">
          <cell r="A368" t="str">
            <v>ICICI Prudential Nifty EV &amp; New Age Automotive ETF FoF - Regular Plan</v>
          </cell>
          <cell r="B368" t="str">
            <v>--</v>
          </cell>
          <cell r="C368" t="str">
            <v>--</v>
          </cell>
          <cell r="D368" t="str">
            <v>--</v>
          </cell>
          <cell r="E368" t="str">
            <v>Very High</v>
          </cell>
          <cell r="F368" t="str">
            <v>EQ-THEMATIC</v>
          </cell>
        </row>
        <row r="369">
          <cell r="A369" t="str">
            <v>ICICI Prudential Nifty FMCG ETF</v>
          </cell>
          <cell r="B369" t="str">
            <v>--</v>
          </cell>
          <cell r="C369">
            <v>-2.68</v>
          </cell>
          <cell r="D369" t="str">
            <v>44/78</v>
          </cell>
          <cell r="E369" t="str">
            <v>Very High</v>
          </cell>
          <cell r="F369" t="str">
            <v>EQ-THEMATIC</v>
          </cell>
        </row>
        <row r="370">
          <cell r="A370" t="str">
            <v>ICICI Prudential Nifty LargeMidcap 250 Index Fund</v>
          </cell>
          <cell r="B370" t="str">
            <v>--</v>
          </cell>
          <cell r="C370">
            <v>2.44</v>
          </cell>
          <cell r="D370" t="str">
            <v>19/54</v>
          </cell>
          <cell r="E370" t="str">
            <v>Very High</v>
          </cell>
          <cell r="F370" t="str">
            <v>EQ-L&amp;MC</v>
          </cell>
        </row>
        <row r="371">
          <cell r="A371" t="str">
            <v>ICICI Prudential Nifty Metal ETF</v>
          </cell>
          <cell r="B371" t="str">
            <v>--</v>
          </cell>
          <cell r="C371" t="str">
            <v>--</v>
          </cell>
          <cell r="D371" t="str">
            <v>--</v>
          </cell>
          <cell r="E371" t="str">
            <v>Very High</v>
          </cell>
          <cell r="F371" t="str">
            <v>EQ-THEMATIC</v>
          </cell>
        </row>
        <row r="372">
          <cell r="A372" t="str">
            <v>ICICI Prudential Nifty Midcap 150 ETF</v>
          </cell>
          <cell r="B372" t="str">
            <v>--</v>
          </cell>
          <cell r="C372">
            <v>2.4900000000000002</v>
          </cell>
          <cell r="D372" t="str">
            <v>20/53</v>
          </cell>
          <cell r="E372" t="str">
            <v>Very High</v>
          </cell>
          <cell r="F372" t="str">
            <v>EQ-MC</v>
          </cell>
        </row>
        <row r="373">
          <cell r="A373" t="str">
            <v>ICICI Prudential Nifty Midcap 150 Index Fund</v>
          </cell>
          <cell r="B373">
            <v>3</v>
          </cell>
          <cell r="C373">
            <v>1.54</v>
          </cell>
          <cell r="D373" t="str">
            <v>32/53</v>
          </cell>
          <cell r="E373" t="str">
            <v>Very High</v>
          </cell>
          <cell r="F373" t="str">
            <v>EQ-MC</v>
          </cell>
        </row>
        <row r="374">
          <cell r="A374" t="str">
            <v>ICICI Prudential Nifty Next 50 ETF</v>
          </cell>
          <cell r="B374" t="str">
            <v>--</v>
          </cell>
          <cell r="C374">
            <v>-7.34</v>
          </cell>
          <cell r="D374" t="str">
            <v>125/144</v>
          </cell>
          <cell r="E374" t="str">
            <v>Very High</v>
          </cell>
          <cell r="F374" t="str">
            <v>EQ-LC</v>
          </cell>
        </row>
        <row r="375">
          <cell r="A375" t="str">
            <v>ICICI Prudential Nifty Next 50 Index Fund</v>
          </cell>
          <cell r="B375">
            <v>3</v>
          </cell>
          <cell r="C375">
            <v>-8.1999999999999993</v>
          </cell>
          <cell r="D375" t="str">
            <v>141/144</v>
          </cell>
          <cell r="E375" t="str">
            <v>Very High</v>
          </cell>
          <cell r="F375" t="str">
            <v>EQ-LC</v>
          </cell>
        </row>
        <row r="376">
          <cell r="A376" t="str">
            <v>ICICI Prudential Nifty Oil &amp; Gas ETF</v>
          </cell>
          <cell r="B376" t="str">
            <v>--</v>
          </cell>
          <cell r="C376" t="str">
            <v>--</v>
          </cell>
          <cell r="D376" t="str">
            <v>--</v>
          </cell>
          <cell r="E376" t="str">
            <v>Very High</v>
          </cell>
          <cell r="F376" t="str">
            <v>EQ-THEMATIC</v>
          </cell>
        </row>
        <row r="377">
          <cell r="A377" t="str">
            <v>ICICI Prudential Nifty Smallcap 250 Index Fund</v>
          </cell>
          <cell r="B377">
            <v>2</v>
          </cell>
          <cell r="C377">
            <v>-1.45</v>
          </cell>
          <cell r="D377" t="str">
            <v>31/44</v>
          </cell>
          <cell r="E377" t="str">
            <v>Very High</v>
          </cell>
          <cell r="F377" t="str">
            <v>EQ-SC</v>
          </cell>
        </row>
        <row r="378">
          <cell r="A378" t="str">
            <v>ICICI Prudential Nifty Top 15 Equal Weight ETF</v>
          </cell>
          <cell r="B378" t="str">
            <v>--</v>
          </cell>
          <cell r="C378" t="str">
            <v>--</v>
          </cell>
          <cell r="D378" t="str">
            <v>--</v>
          </cell>
          <cell r="E378" t="str">
            <v>Very High</v>
          </cell>
          <cell r="F378" t="str">
            <v>EQ-LC</v>
          </cell>
        </row>
        <row r="379">
          <cell r="A379" t="str">
            <v>ICICI Prudential Nifty Top 15 Equal Weight Index Fund</v>
          </cell>
          <cell r="B379" t="str">
            <v>--</v>
          </cell>
          <cell r="C379" t="str">
            <v>--</v>
          </cell>
          <cell r="D379" t="str">
            <v>--</v>
          </cell>
          <cell r="E379" t="str">
            <v>Very High</v>
          </cell>
          <cell r="F379" t="str">
            <v>EQ-LC</v>
          </cell>
        </row>
        <row r="380">
          <cell r="A380" t="str">
            <v>ICICI Prudential Passive Multi-Asset FoF</v>
          </cell>
          <cell r="B380">
            <v>3</v>
          </cell>
          <cell r="C380">
            <v>12.97</v>
          </cell>
          <cell r="D380" t="str">
            <v>--</v>
          </cell>
          <cell r="E380" t="str">
            <v>High</v>
          </cell>
          <cell r="F380" t="str">
            <v>HY-MAA</v>
          </cell>
        </row>
        <row r="381">
          <cell r="A381" t="str">
            <v>ICICI Prudential Passive Strategy Fund (FOF)</v>
          </cell>
          <cell r="B381">
            <v>4</v>
          </cell>
          <cell r="C381">
            <v>8.0500000000000007</v>
          </cell>
          <cell r="D381" t="str">
            <v>10/91</v>
          </cell>
          <cell r="E381" t="str">
            <v>Very High</v>
          </cell>
          <cell r="F381" t="str">
            <v>EQ-FLX</v>
          </cell>
        </row>
        <row r="382">
          <cell r="A382" t="str">
            <v>ICICI Prudential Quality Fund</v>
          </cell>
          <cell r="B382" t="str">
            <v>--</v>
          </cell>
          <cell r="C382" t="str">
            <v>--</v>
          </cell>
          <cell r="D382" t="str">
            <v>--</v>
          </cell>
          <cell r="E382" t="str">
            <v>Very High</v>
          </cell>
          <cell r="F382" t="str">
            <v>EQ-THEMATIC</v>
          </cell>
        </row>
        <row r="383">
          <cell r="A383" t="str">
            <v>ICICI Prudential Quant Fund</v>
          </cell>
          <cell r="B383" t="str">
            <v>--</v>
          </cell>
          <cell r="C383">
            <v>6.91</v>
          </cell>
          <cell r="D383" t="str">
            <v>8/78</v>
          </cell>
          <cell r="E383" t="str">
            <v>Very High</v>
          </cell>
          <cell r="F383" t="str">
            <v>EQ-THEMATIC</v>
          </cell>
        </row>
        <row r="384">
          <cell r="A384" t="str">
            <v>ICICI Prudential Regular Savings Fund</v>
          </cell>
          <cell r="B384">
            <v>4</v>
          </cell>
          <cell r="C384">
            <v>8.84</v>
          </cell>
          <cell r="D384" t="str">
            <v>4/28</v>
          </cell>
          <cell r="E384" t="str">
            <v>High</v>
          </cell>
          <cell r="F384" t="str">
            <v>HY-CH</v>
          </cell>
        </row>
        <row r="385">
          <cell r="A385" t="str">
            <v>ICICI Prudential Retirement Fund - Hybrid Aggressive Plan</v>
          </cell>
          <cell r="B385">
            <v>4</v>
          </cell>
          <cell r="C385">
            <v>4.1500000000000004</v>
          </cell>
          <cell r="D385" t="str">
            <v>31/44</v>
          </cell>
          <cell r="E385" t="str">
            <v>Very High</v>
          </cell>
          <cell r="F385" t="str">
            <v>HY-AH</v>
          </cell>
        </row>
        <row r="386">
          <cell r="A386" t="str">
            <v>ICICI Prudential Retirement Fund - Hybrid Conservative Plan</v>
          </cell>
          <cell r="B386">
            <v>3</v>
          </cell>
          <cell r="C386">
            <v>6.77</v>
          </cell>
          <cell r="D386" t="str">
            <v>15/28</v>
          </cell>
          <cell r="E386" t="str">
            <v>Moderately High</v>
          </cell>
          <cell r="F386" t="str">
            <v>HY-CH</v>
          </cell>
        </row>
        <row r="387">
          <cell r="A387" t="str">
            <v>ICICI Prudential Retirement Fund - Pure Equity Plan</v>
          </cell>
          <cell r="B387">
            <v>4</v>
          </cell>
          <cell r="C387">
            <v>6.84</v>
          </cell>
          <cell r="D387" t="str">
            <v>19/91</v>
          </cell>
          <cell r="E387" t="str">
            <v>Very High</v>
          </cell>
          <cell r="F387" t="str">
            <v>EQ-FLX</v>
          </cell>
        </row>
        <row r="388">
          <cell r="A388" t="str">
            <v>ICICI Prudential Rural Opportunities Fund - Regular Plan</v>
          </cell>
          <cell r="B388" t="str">
            <v>--</v>
          </cell>
          <cell r="C388" t="str">
            <v>--</v>
          </cell>
          <cell r="D388" t="str">
            <v>--</v>
          </cell>
          <cell r="E388" t="str">
            <v>Very High</v>
          </cell>
          <cell r="F388" t="str">
            <v>EQ-THEMATIC</v>
          </cell>
        </row>
        <row r="389">
          <cell r="A389" t="str">
            <v>ICICI Prudential Smallcap Fund</v>
          </cell>
          <cell r="B389">
            <v>3</v>
          </cell>
          <cell r="C389">
            <v>-1.38</v>
          </cell>
          <cell r="D389" t="str">
            <v>27/44</v>
          </cell>
          <cell r="E389" t="str">
            <v>Very High</v>
          </cell>
          <cell r="F389" t="str">
            <v>EQ-SC</v>
          </cell>
        </row>
        <row r="390">
          <cell r="A390" t="str">
            <v>ICICI Prudential Thematic Advantage Fund (FOF)</v>
          </cell>
          <cell r="B390" t="str">
            <v>--</v>
          </cell>
          <cell r="C390">
            <v>14.93</v>
          </cell>
          <cell r="D390" t="str">
            <v>1/78</v>
          </cell>
          <cell r="E390" t="str">
            <v>Very High</v>
          </cell>
          <cell r="F390" t="str">
            <v>EQ-THEMATIC</v>
          </cell>
        </row>
        <row r="391">
          <cell r="A391" t="str">
            <v>ICICI Prudential Transportation and Logistics Fund</v>
          </cell>
          <cell r="B391" t="str">
            <v>--</v>
          </cell>
          <cell r="C391">
            <v>-1.91</v>
          </cell>
          <cell r="D391" t="str">
            <v>38/78</v>
          </cell>
          <cell r="E391" t="str">
            <v>Very High</v>
          </cell>
          <cell r="F391" t="str">
            <v>EQ-THEMATIC</v>
          </cell>
        </row>
        <row r="392">
          <cell r="A392" t="str">
            <v>Invesco India Aggressive Hybrid Fund - Regular Plan</v>
          </cell>
          <cell r="B392">
            <v>3</v>
          </cell>
          <cell r="C392">
            <v>5.99</v>
          </cell>
          <cell r="D392" t="str">
            <v>15/44</v>
          </cell>
          <cell r="E392" t="str">
            <v>Very High</v>
          </cell>
          <cell r="F392" t="str">
            <v>HY-AH</v>
          </cell>
        </row>
        <row r="393">
          <cell r="A393" t="str">
            <v>Invesco India Arbitrage Fund</v>
          </cell>
          <cell r="B393">
            <v>5</v>
          </cell>
          <cell r="C393">
            <v>6.98</v>
          </cell>
          <cell r="D393" t="str">
            <v>6/27</v>
          </cell>
          <cell r="E393" t="str">
            <v>Low</v>
          </cell>
          <cell r="F393" t="str">
            <v>HY-AR</v>
          </cell>
        </row>
        <row r="394">
          <cell r="A394" t="str">
            <v>Invesco India Balanced Advantage Fund</v>
          </cell>
          <cell r="B394">
            <v>3</v>
          </cell>
          <cell r="C394">
            <v>5.51</v>
          </cell>
          <cell r="D394" t="str">
            <v>22/36</v>
          </cell>
          <cell r="E394" t="str">
            <v>Very High</v>
          </cell>
          <cell r="F394" t="str">
            <v>HY-DAA</v>
          </cell>
        </row>
        <row r="395">
          <cell r="A395" t="str">
            <v>Invesco India Business Cycle Fund - Regular Plan</v>
          </cell>
          <cell r="B395" t="str">
            <v>--</v>
          </cell>
          <cell r="C395" t="str">
            <v>--</v>
          </cell>
          <cell r="D395" t="str">
            <v>--</v>
          </cell>
          <cell r="E395" t="str">
            <v>Very High</v>
          </cell>
          <cell r="F395" t="str">
            <v>EQ-THEMATIC</v>
          </cell>
        </row>
        <row r="396">
          <cell r="A396" t="str">
            <v>Invesco India Flexi Cap Fund - Regular Plan</v>
          </cell>
          <cell r="B396">
            <v>4</v>
          </cell>
          <cell r="C396">
            <v>7.54</v>
          </cell>
          <cell r="D396" t="str">
            <v>14/91</v>
          </cell>
          <cell r="E396" t="str">
            <v>Very High</v>
          </cell>
          <cell r="F396" t="str">
            <v>EQ-FLX</v>
          </cell>
        </row>
        <row r="397">
          <cell r="A397" t="str">
            <v>Invesco India Focused Fund - Regular Plan</v>
          </cell>
          <cell r="B397">
            <v>4</v>
          </cell>
          <cell r="C397">
            <v>7.53</v>
          </cell>
          <cell r="D397" t="str">
            <v>15/91</v>
          </cell>
          <cell r="E397" t="str">
            <v>Very High</v>
          </cell>
          <cell r="F397" t="str">
            <v>EQ-FLX</v>
          </cell>
        </row>
        <row r="398">
          <cell r="A398" t="str">
            <v>Invesco India Largecap Fund</v>
          </cell>
          <cell r="B398">
            <v>4</v>
          </cell>
          <cell r="C398">
            <v>5.18</v>
          </cell>
          <cell r="D398" t="str">
            <v>71/144</v>
          </cell>
          <cell r="E398" t="str">
            <v>Very High</v>
          </cell>
          <cell r="F398" t="str">
            <v>EQ-LC</v>
          </cell>
        </row>
        <row r="399">
          <cell r="A399" t="str">
            <v>Invesco India Large &amp; Mid Cap Fund</v>
          </cell>
          <cell r="B399">
            <v>3</v>
          </cell>
          <cell r="C399">
            <v>11.08</v>
          </cell>
          <cell r="D399" t="str">
            <v>2/54</v>
          </cell>
          <cell r="E399" t="str">
            <v>Very High</v>
          </cell>
          <cell r="F399" t="str">
            <v>EQ-L&amp;MC</v>
          </cell>
        </row>
        <row r="400">
          <cell r="A400" t="str">
            <v>Invesco India Manufacturing Fund - Regular Plan</v>
          </cell>
          <cell r="B400" t="str">
            <v>--</v>
          </cell>
          <cell r="C400" t="str">
            <v>--</v>
          </cell>
          <cell r="D400" t="str">
            <v>--</v>
          </cell>
          <cell r="E400" t="str">
            <v>Very High</v>
          </cell>
          <cell r="F400" t="str">
            <v>EQ-THEMATIC</v>
          </cell>
        </row>
        <row r="401">
          <cell r="A401" t="str">
            <v>Invesco India Mid Cap Fund</v>
          </cell>
          <cell r="B401">
            <v>4</v>
          </cell>
          <cell r="C401">
            <v>13.5</v>
          </cell>
          <cell r="D401" t="str">
            <v>1/53</v>
          </cell>
          <cell r="E401" t="str">
            <v>Very High</v>
          </cell>
          <cell r="F401" t="str">
            <v>EQ-MC</v>
          </cell>
        </row>
        <row r="402">
          <cell r="A402" t="str">
            <v>Invesco India Multi Asset Allocation Fund - Regular Plan</v>
          </cell>
          <cell r="B402" t="str">
            <v>--</v>
          </cell>
          <cell r="C402" t="str">
            <v>--</v>
          </cell>
          <cell r="D402" t="str">
            <v>--</v>
          </cell>
          <cell r="E402" t="str">
            <v>Very High</v>
          </cell>
          <cell r="F402" t="str">
            <v>HY-MAA</v>
          </cell>
        </row>
        <row r="403">
          <cell r="A403" t="str">
            <v>Invesco India Multicap Fund</v>
          </cell>
          <cell r="B403">
            <v>3</v>
          </cell>
          <cell r="C403">
            <v>4.84</v>
          </cell>
          <cell r="D403" t="str">
            <v>7/25</v>
          </cell>
          <cell r="E403" t="str">
            <v>Very High</v>
          </cell>
          <cell r="F403" t="str">
            <v>EQ-MLC</v>
          </cell>
        </row>
        <row r="404">
          <cell r="A404" t="str">
            <v>Invesco India Nifty 50 ETF</v>
          </cell>
          <cell r="B404" t="str">
            <v>--</v>
          </cell>
          <cell r="C404">
            <v>6.42</v>
          </cell>
          <cell r="D404" t="str">
            <v>21/144</v>
          </cell>
          <cell r="E404" t="str">
            <v>Very High</v>
          </cell>
          <cell r="F404" t="str">
            <v>EQ-LC</v>
          </cell>
        </row>
        <row r="405">
          <cell r="A405" t="str">
            <v>Invesco India Smallcap Fund - Regular Plan</v>
          </cell>
          <cell r="B405">
            <v>4</v>
          </cell>
          <cell r="C405">
            <v>7.71</v>
          </cell>
          <cell r="D405" t="str">
            <v>3/44</v>
          </cell>
          <cell r="E405" t="str">
            <v>Very High</v>
          </cell>
          <cell r="F405" t="str">
            <v>EQ-SC</v>
          </cell>
        </row>
        <row r="406">
          <cell r="A406" t="str">
            <v>ITI Arbitrage Fund - Regular Plan</v>
          </cell>
          <cell r="B406">
            <v>1</v>
          </cell>
          <cell r="C406">
            <v>6.84</v>
          </cell>
          <cell r="D406" t="str">
            <v>13/27</v>
          </cell>
          <cell r="E406" t="str">
            <v>Low</v>
          </cell>
          <cell r="F406" t="str">
            <v>HY-AR</v>
          </cell>
        </row>
        <row r="407">
          <cell r="A407" t="str">
            <v>ITI Balanced Advantage Fund - Regular Plan</v>
          </cell>
          <cell r="B407">
            <v>2</v>
          </cell>
          <cell r="C407">
            <v>5.72</v>
          </cell>
          <cell r="D407" t="str">
            <v>21/36</v>
          </cell>
          <cell r="E407" t="str">
            <v>Very High</v>
          </cell>
          <cell r="F407" t="str">
            <v>HY-DAA</v>
          </cell>
        </row>
        <row r="408">
          <cell r="A408" t="str">
            <v>ITI Flexi Cap Fund - Regular Plan</v>
          </cell>
          <cell r="B408" t="str">
            <v>--</v>
          </cell>
          <cell r="C408">
            <v>0.96</v>
          </cell>
          <cell r="D408" t="str">
            <v>68/91</v>
          </cell>
          <cell r="E408" t="str">
            <v>Very High</v>
          </cell>
          <cell r="F408" t="str">
            <v>EQ-FLX</v>
          </cell>
        </row>
        <row r="409">
          <cell r="A409" t="str">
            <v>ITI Focused Equity Fund - Regular Plan</v>
          </cell>
          <cell r="B409" t="str">
            <v>--</v>
          </cell>
          <cell r="C409">
            <v>4.7699999999999996</v>
          </cell>
          <cell r="D409" t="str">
            <v>31/91</v>
          </cell>
          <cell r="E409" t="str">
            <v>Very High</v>
          </cell>
          <cell r="F409" t="str">
            <v>EQ-FLX</v>
          </cell>
        </row>
        <row r="410">
          <cell r="A410" t="str">
            <v>ITI Large Cap Fund - Regular Plan</v>
          </cell>
          <cell r="B410">
            <v>3</v>
          </cell>
          <cell r="C410">
            <v>-1.1399999999999999</v>
          </cell>
          <cell r="D410" t="str">
            <v>115/144</v>
          </cell>
          <cell r="E410" t="str">
            <v>Very High</v>
          </cell>
          <cell r="F410" t="str">
            <v>EQ-LC</v>
          </cell>
        </row>
        <row r="411">
          <cell r="A411" t="str">
            <v>ITI Large &amp; Mid Cap Fund - Regular Plan</v>
          </cell>
          <cell r="B411" t="str">
            <v>--</v>
          </cell>
          <cell r="C411" t="str">
            <v>--</v>
          </cell>
          <cell r="D411" t="str">
            <v>--</v>
          </cell>
          <cell r="E411" t="str">
            <v>Very High</v>
          </cell>
          <cell r="F411" t="str">
            <v>EQ-L&amp;MC</v>
          </cell>
        </row>
        <row r="412">
          <cell r="A412" t="str">
            <v>ITI Mid Cap Fund - Regular Plan</v>
          </cell>
          <cell r="B412">
            <v>4</v>
          </cell>
          <cell r="C412">
            <v>-3.44</v>
          </cell>
          <cell r="D412" t="str">
            <v>48/53</v>
          </cell>
          <cell r="E412" t="str">
            <v>Very High</v>
          </cell>
          <cell r="F412" t="str">
            <v>EQ-MC</v>
          </cell>
        </row>
        <row r="413">
          <cell r="A413" t="str">
            <v>ITI Multi Cap Fund - Regular Plan</v>
          </cell>
          <cell r="B413">
            <v>3</v>
          </cell>
          <cell r="C413">
            <v>-1.94</v>
          </cell>
          <cell r="D413" t="str">
            <v>23/25</v>
          </cell>
          <cell r="E413" t="str">
            <v>Very High</v>
          </cell>
          <cell r="F413" t="str">
            <v>EQ-MLC</v>
          </cell>
        </row>
        <row r="414">
          <cell r="A414" t="str">
            <v>ITI Small Cap Fund - Regular Plan</v>
          </cell>
          <cell r="B414">
            <v>4</v>
          </cell>
          <cell r="C414">
            <v>1.93</v>
          </cell>
          <cell r="D414" t="str">
            <v>12/44</v>
          </cell>
          <cell r="E414" t="str">
            <v>Very High</v>
          </cell>
          <cell r="F414" t="str">
            <v>EQ-SC</v>
          </cell>
        </row>
        <row r="415">
          <cell r="A415" t="str">
            <v>JM Aggressive Hybrid Fund</v>
          </cell>
          <cell r="B415">
            <v>5</v>
          </cell>
          <cell r="C415">
            <v>-2.4</v>
          </cell>
          <cell r="D415" t="str">
            <v>42/44</v>
          </cell>
          <cell r="E415" t="str">
            <v>Very High</v>
          </cell>
          <cell r="F415" t="str">
            <v>HY-AH</v>
          </cell>
        </row>
        <row r="416">
          <cell r="A416" t="str">
            <v>JM Arbitrage Fund</v>
          </cell>
          <cell r="B416">
            <v>2</v>
          </cell>
          <cell r="C416">
            <v>6.37</v>
          </cell>
          <cell r="D416" t="str">
            <v>25/27</v>
          </cell>
          <cell r="E416" t="str">
            <v>Low</v>
          </cell>
          <cell r="F416" t="str">
            <v>HY-AR</v>
          </cell>
        </row>
        <row r="417">
          <cell r="A417" t="str">
            <v>JM Flexicap Fund</v>
          </cell>
          <cell r="B417">
            <v>4</v>
          </cell>
          <cell r="C417">
            <v>-5.26</v>
          </cell>
          <cell r="D417" t="str">
            <v>84/91</v>
          </cell>
          <cell r="E417" t="str">
            <v>Very High</v>
          </cell>
          <cell r="F417" t="str">
            <v>EQ-FLX</v>
          </cell>
        </row>
        <row r="418">
          <cell r="A418" t="str">
            <v>JM Focused Fund</v>
          </cell>
          <cell r="B418">
            <v>3</v>
          </cell>
          <cell r="C418">
            <v>-2.16</v>
          </cell>
          <cell r="D418" t="str">
            <v>77/91</v>
          </cell>
          <cell r="E418" t="str">
            <v>Very High</v>
          </cell>
          <cell r="F418" t="str">
            <v>EQ-FLX</v>
          </cell>
        </row>
        <row r="419">
          <cell r="A419" t="str">
            <v>JM Large Cap Fund</v>
          </cell>
          <cell r="B419">
            <v>4</v>
          </cell>
          <cell r="C419">
            <v>-4.3499999999999996</v>
          </cell>
          <cell r="D419" t="str">
            <v>122/144</v>
          </cell>
          <cell r="E419" t="str">
            <v>Very High</v>
          </cell>
          <cell r="F419" t="str">
            <v>EQ-LC</v>
          </cell>
        </row>
        <row r="420">
          <cell r="A420" t="str">
            <v>JM Midcap Fund - Regular Plan</v>
          </cell>
          <cell r="B420" t="str">
            <v>--</v>
          </cell>
          <cell r="C420">
            <v>-2.59</v>
          </cell>
          <cell r="D420" t="str">
            <v>45/53</v>
          </cell>
          <cell r="E420" t="str">
            <v>Very High</v>
          </cell>
          <cell r="F420" t="str">
            <v>EQ-MC</v>
          </cell>
        </row>
        <row r="421">
          <cell r="A421" t="str">
            <v>JM Small Cap Fund - Regular Plan</v>
          </cell>
          <cell r="B421" t="str">
            <v>--</v>
          </cell>
          <cell r="C421" t="str">
            <v>--</v>
          </cell>
          <cell r="D421" t="str">
            <v>--</v>
          </cell>
          <cell r="E421" t="str">
            <v>Very High</v>
          </cell>
          <cell r="F421" t="str">
            <v>EQ-SC</v>
          </cell>
        </row>
        <row r="422">
          <cell r="A422" t="str">
            <v>Kotak Balanced Advantage Fund - Regular Plan</v>
          </cell>
          <cell r="B422">
            <v>4</v>
          </cell>
          <cell r="C422">
            <v>7.24</v>
          </cell>
          <cell r="D422" t="str">
            <v>10/36</v>
          </cell>
          <cell r="E422" t="str">
            <v>Very High</v>
          </cell>
          <cell r="F422" t="str">
            <v>HY-DAA</v>
          </cell>
        </row>
        <row r="423">
          <cell r="A423" t="str">
            <v>Kotak Bluechip Fund - Regular Plan</v>
          </cell>
          <cell r="B423">
            <v>4</v>
          </cell>
          <cell r="C423">
            <v>4.75</v>
          </cell>
          <cell r="D423" t="str">
            <v>76/144</v>
          </cell>
          <cell r="E423" t="str">
            <v>Very High</v>
          </cell>
          <cell r="F423" t="str">
            <v>EQ-LC</v>
          </cell>
        </row>
        <row r="424">
          <cell r="A424" t="str">
            <v>Kotak BSE Housing Index Fund - Regular Plan</v>
          </cell>
          <cell r="B424" t="str">
            <v>--</v>
          </cell>
          <cell r="C424">
            <v>-8.1999999999999993</v>
          </cell>
          <cell r="D424" t="str">
            <v>71/78</v>
          </cell>
          <cell r="E424" t="str">
            <v>Very High</v>
          </cell>
          <cell r="F424" t="str">
            <v>EQ-THEMATIC</v>
          </cell>
        </row>
        <row r="425">
          <cell r="A425" t="str">
            <v>Kotak BSE Sensex ETF</v>
          </cell>
          <cell r="B425" t="str">
            <v>--</v>
          </cell>
          <cell r="C425">
            <v>6.12</v>
          </cell>
          <cell r="D425" t="str">
            <v>37/144</v>
          </cell>
          <cell r="E425" t="str">
            <v>Very High</v>
          </cell>
          <cell r="F425" t="str">
            <v>EQ-LC</v>
          </cell>
        </row>
        <row r="426">
          <cell r="A426" t="str">
            <v>Kotak BSE Sensex Index Fund - Regular Plan</v>
          </cell>
          <cell r="B426" t="str">
            <v>--</v>
          </cell>
          <cell r="C426" t="str">
            <v>--</v>
          </cell>
          <cell r="D426" t="str">
            <v>--</v>
          </cell>
          <cell r="E426" t="str">
            <v>Very High</v>
          </cell>
          <cell r="F426" t="str">
            <v>EQ-LC</v>
          </cell>
        </row>
        <row r="427">
          <cell r="A427" t="str">
            <v>Kotak Business Cycle Fund - Regular Plan</v>
          </cell>
          <cell r="B427" t="str">
            <v>--</v>
          </cell>
          <cell r="C427">
            <v>6.56</v>
          </cell>
          <cell r="D427" t="str">
            <v>9/78</v>
          </cell>
          <cell r="E427" t="str">
            <v>Very High</v>
          </cell>
          <cell r="F427" t="str">
            <v>EQ-THEMATIC</v>
          </cell>
        </row>
        <row r="428">
          <cell r="A428" t="str">
            <v>Kotak Debt Hybrid Fund - Regular Plan</v>
          </cell>
          <cell r="B428">
            <v>4</v>
          </cell>
          <cell r="C428">
            <v>6.19</v>
          </cell>
          <cell r="D428" t="str">
            <v>22/28</v>
          </cell>
          <cell r="E428" t="str">
            <v>Moderately High</v>
          </cell>
          <cell r="F428" t="str">
            <v>HY-CH</v>
          </cell>
        </row>
        <row r="429">
          <cell r="A429" t="str">
            <v>Kotak Emerging Equity Fund - Regular Plan</v>
          </cell>
          <cell r="B429">
            <v>4</v>
          </cell>
          <cell r="C429">
            <v>4.3099999999999996</v>
          </cell>
          <cell r="D429" t="str">
            <v>11/53</v>
          </cell>
          <cell r="E429" t="str">
            <v>Very High</v>
          </cell>
          <cell r="F429" t="str">
            <v>EQ-MC</v>
          </cell>
        </row>
        <row r="430">
          <cell r="A430" t="str">
            <v>Kotak Equity Arbitrage Fund - Regular Plan</v>
          </cell>
          <cell r="B430">
            <v>5</v>
          </cell>
          <cell r="C430">
            <v>7.08</v>
          </cell>
          <cell r="D430" t="str">
            <v>3/27</v>
          </cell>
          <cell r="E430" t="str">
            <v>Low</v>
          </cell>
          <cell r="F430" t="str">
            <v>HY-AR</v>
          </cell>
        </row>
        <row r="431">
          <cell r="A431" t="str">
            <v>Kotak Equity Hybrid Fund - Regular Plan</v>
          </cell>
          <cell r="B431">
            <v>4</v>
          </cell>
          <cell r="C431">
            <v>5.16</v>
          </cell>
          <cell r="D431" t="str">
            <v>26/44</v>
          </cell>
          <cell r="E431" t="str">
            <v>Very High</v>
          </cell>
          <cell r="F431" t="str">
            <v>HY-AH</v>
          </cell>
        </row>
        <row r="432">
          <cell r="A432" t="str">
            <v>Kotak Equity Opportunities Fund - Regular Plan</v>
          </cell>
          <cell r="B432">
            <v>3</v>
          </cell>
          <cell r="C432">
            <v>0.38</v>
          </cell>
          <cell r="D432" t="str">
            <v>31/54</v>
          </cell>
          <cell r="E432" t="str">
            <v>Very High</v>
          </cell>
          <cell r="F432" t="str">
            <v>EQ-L&amp;MC</v>
          </cell>
        </row>
        <row r="433">
          <cell r="A433" t="str">
            <v>Kotak Flexicap Fund - Regular Plan</v>
          </cell>
          <cell r="B433">
            <v>3</v>
          </cell>
          <cell r="C433">
            <v>4.6900000000000004</v>
          </cell>
          <cell r="D433" t="str">
            <v>32/91</v>
          </cell>
          <cell r="E433" t="str">
            <v>Very High</v>
          </cell>
          <cell r="F433" t="str">
            <v>EQ-FLX</v>
          </cell>
        </row>
        <row r="434">
          <cell r="A434" t="str">
            <v>Kotak Focused Equity Fund - Regular Plan</v>
          </cell>
          <cell r="B434">
            <v>3</v>
          </cell>
          <cell r="C434">
            <v>2.68</v>
          </cell>
          <cell r="D434" t="str">
            <v>51/91</v>
          </cell>
          <cell r="E434" t="str">
            <v>Very High</v>
          </cell>
          <cell r="F434" t="str">
            <v>EQ-FLX</v>
          </cell>
        </row>
        <row r="435">
          <cell r="A435" t="str">
            <v>Kotak Manufacture in India Fund - Regular Plan</v>
          </cell>
          <cell r="B435" t="str">
            <v>--</v>
          </cell>
          <cell r="C435">
            <v>-2.86</v>
          </cell>
          <cell r="D435" t="str">
            <v>45/78</v>
          </cell>
          <cell r="E435" t="str">
            <v>Very High</v>
          </cell>
          <cell r="F435" t="str">
            <v>EQ-THEMATIC</v>
          </cell>
        </row>
        <row r="436">
          <cell r="A436" t="str">
            <v>Kotak MSCI India ETF</v>
          </cell>
          <cell r="B436" t="str">
            <v>--</v>
          </cell>
          <cell r="C436" t="str">
            <v>--</v>
          </cell>
          <cell r="D436" t="str">
            <v>--</v>
          </cell>
          <cell r="E436" t="str">
            <v>Very High</v>
          </cell>
          <cell r="F436" t="str">
            <v>EQ-L&amp;MC</v>
          </cell>
        </row>
        <row r="437">
          <cell r="A437" t="str">
            <v>Kotak Multi Asset Allocation Fund - Regular Plan</v>
          </cell>
          <cell r="B437" t="str">
            <v>--</v>
          </cell>
          <cell r="C437">
            <v>3.57</v>
          </cell>
          <cell r="D437" t="str">
            <v>34/37</v>
          </cell>
          <cell r="E437" t="str">
            <v>Very High</v>
          </cell>
          <cell r="F437" t="str">
            <v>HY-MAA</v>
          </cell>
        </row>
        <row r="438">
          <cell r="A438" t="str">
            <v>Kotak Multi Asset Allocator FoF - Dynamic Regular Plan</v>
          </cell>
          <cell r="B438">
            <v>4</v>
          </cell>
          <cell r="C438">
            <v>7.07</v>
          </cell>
          <cell r="D438" t="str">
            <v>24/37</v>
          </cell>
          <cell r="E438" t="str">
            <v>Very High</v>
          </cell>
          <cell r="F438" t="str">
            <v>HY-MAA</v>
          </cell>
        </row>
        <row r="439">
          <cell r="A439" t="str">
            <v>Kotak Multicap Fund - Regular Plan</v>
          </cell>
          <cell r="B439">
            <v>4</v>
          </cell>
          <cell r="C439">
            <v>0.67</v>
          </cell>
          <cell r="D439" t="str">
            <v>22/25</v>
          </cell>
          <cell r="E439" t="str">
            <v>Very High</v>
          </cell>
          <cell r="F439" t="str">
            <v>EQ-MLC</v>
          </cell>
        </row>
        <row r="440">
          <cell r="A440" t="str">
            <v>Kotak Nifty 100 Equal Weight ETF</v>
          </cell>
          <cell r="B440" t="str">
            <v>--</v>
          </cell>
          <cell r="C440" t="str">
            <v>--</v>
          </cell>
          <cell r="D440" t="str">
            <v>--</v>
          </cell>
          <cell r="E440" t="str">
            <v>Very High</v>
          </cell>
          <cell r="F440" t="str">
            <v>EQ-LC</v>
          </cell>
        </row>
        <row r="441">
          <cell r="A441" t="str">
            <v>Kotak Nifty 100 Equal Weight Index Fund - Regular Plan</v>
          </cell>
          <cell r="B441" t="str">
            <v>--</v>
          </cell>
          <cell r="C441" t="str">
            <v>--</v>
          </cell>
          <cell r="D441" t="str">
            <v>--</v>
          </cell>
          <cell r="E441" t="str">
            <v>Very High</v>
          </cell>
          <cell r="F441" t="str">
            <v>EQ-LC</v>
          </cell>
        </row>
        <row r="442">
          <cell r="A442" t="str">
            <v>Kotak Nifty 100 Low Volatility 30 ETF</v>
          </cell>
          <cell r="B442" t="str">
            <v>--</v>
          </cell>
          <cell r="C442">
            <v>5.66</v>
          </cell>
          <cell r="D442" t="str">
            <v>61/144</v>
          </cell>
          <cell r="E442" t="str">
            <v>Very High</v>
          </cell>
          <cell r="F442" t="str">
            <v>EQ-LC</v>
          </cell>
        </row>
        <row r="443">
          <cell r="A443" t="str">
            <v>Kotak Nifty 100 Low Volatility 30 Index Fund - Regular Plan</v>
          </cell>
          <cell r="B443" t="str">
            <v>--</v>
          </cell>
          <cell r="C443">
            <v>4.4400000000000004</v>
          </cell>
          <cell r="D443" t="str">
            <v>79/144</v>
          </cell>
          <cell r="E443" t="str">
            <v>Very High</v>
          </cell>
          <cell r="F443" t="str">
            <v>EQ-LC</v>
          </cell>
        </row>
        <row r="444">
          <cell r="A444" t="str">
            <v>Kotak Nifty 200 Momentum 30 Index Fund - Regular Plan</v>
          </cell>
          <cell r="B444" t="str">
            <v>--</v>
          </cell>
          <cell r="C444">
            <v>-12.42</v>
          </cell>
          <cell r="D444" t="str">
            <v>45/54</v>
          </cell>
          <cell r="E444" t="str">
            <v>Very High</v>
          </cell>
          <cell r="F444" t="str">
            <v>EQ-L&amp;MC</v>
          </cell>
        </row>
        <row r="445">
          <cell r="A445" t="str">
            <v>Kotak Nifty200 Quality 30 ETF</v>
          </cell>
          <cell r="B445" t="str">
            <v>--</v>
          </cell>
          <cell r="C445" t="str">
            <v>--</v>
          </cell>
          <cell r="D445" t="str">
            <v>--</v>
          </cell>
          <cell r="E445" t="str">
            <v>Very High</v>
          </cell>
          <cell r="F445" t="str">
            <v>EQ-L&amp;MC</v>
          </cell>
        </row>
        <row r="446">
          <cell r="A446" t="str">
            <v>Kotak Nifty 200 Quality 30 Index Fund - Regular Plan</v>
          </cell>
          <cell r="B446" t="str">
            <v>--</v>
          </cell>
          <cell r="C446" t="str">
            <v>--</v>
          </cell>
          <cell r="D446" t="str">
            <v>--</v>
          </cell>
          <cell r="E446" t="str">
            <v>Very High</v>
          </cell>
          <cell r="F446" t="str">
            <v>EQ-L&amp;MC</v>
          </cell>
        </row>
        <row r="447">
          <cell r="A447" t="str">
            <v>Kotak Nifty 50 Equal Weight Index Fund - Regular Plan</v>
          </cell>
          <cell r="B447" t="str">
            <v>--</v>
          </cell>
          <cell r="C447" t="str">
            <v>--</v>
          </cell>
          <cell r="D447" t="str">
            <v>--</v>
          </cell>
          <cell r="E447" t="str">
            <v>Very High</v>
          </cell>
          <cell r="F447" t="str">
            <v>EQ-LC</v>
          </cell>
        </row>
        <row r="448">
          <cell r="A448" t="str">
            <v>Kotak Nifty 50 ETF</v>
          </cell>
          <cell r="B448" t="str">
            <v>--</v>
          </cell>
          <cell r="C448">
            <v>6.49</v>
          </cell>
          <cell r="D448" t="str">
            <v>11/144</v>
          </cell>
          <cell r="E448" t="str">
            <v>Very High</v>
          </cell>
          <cell r="F448" t="str">
            <v>EQ-LC</v>
          </cell>
        </row>
        <row r="449">
          <cell r="A449" t="str">
            <v>Kotak Nifty 50 Index Fund - Regular Plan</v>
          </cell>
          <cell r="B449">
            <v>3</v>
          </cell>
          <cell r="C449">
            <v>5.85</v>
          </cell>
          <cell r="D449" t="str">
            <v>53/144</v>
          </cell>
          <cell r="E449" t="str">
            <v>Very High</v>
          </cell>
          <cell r="F449" t="str">
            <v>EQ-LC</v>
          </cell>
        </row>
        <row r="450">
          <cell r="A450" t="str">
            <v>Kotak Nifty Alpha 50 ETF</v>
          </cell>
          <cell r="B450" t="str">
            <v>--</v>
          </cell>
          <cell r="C450">
            <v>-7.96</v>
          </cell>
          <cell r="D450" t="str">
            <v>87/91</v>
          </cell>
          <cell r="E450" t="str">
            <v>Very High</v>
          </cell>
          <cell r="F450" t="str">
            <v>EQ-FLX</v>
          </cell>
        </row>
        <row r="451">
          <cell r="A451" t="str">
            <v>Kotak Nifty Commodities Index Fund - Regular Plan</v>
          </cell>
          <cell r="B451" t="str">
            <v>--</v>
          </cell>
          <cell r="C451" t="str">
            <v>--</v>
          </cell>
          <cell r="D451" t="str">
            <v>--</v>
          </cell>
          <cell r="E451" t="str">
            <v>Very High</v>
          </cell>
          <cell r="F451" t="str">
            <v>EQ-THEMATIC</v>
          </cell>
        </row>
        <row r="452">
          <cell r="A452" t="str">
            <v>Kotak Nifty India Tourism Index Fund - Regular Plan</v>
          </cell>
          <cell r="B452" t="str">
            <v>--</v>
          </cell>
          <cell r="C452" t="str">
            <v>--</v>
          </cell>
          <cell r="D452" t="str">
            <v>--</v>
          </cell>
          <cell r="E452" t="str">
            <v>Very High</v>
          </cell>
          <cell r="F452" t="str">
            <v>EQ-THEMATIC</v>
          </cell>
        </row>
        <row r="453">
          <cell r="A453" t="str">
            <v>Kotak Nifty Midcap 150 ETF</v>
          </cell>
          <cell r="B453" t="str">
            <v>--</v>
          </cell>
          <cell r="C453" t="str">
            <v>--</v>
          </cell>
          <cell r="D453" t="str">
            <v>--</v>
          </cell>
          <cell r="E453" t="str">
            <v>Very High</v>
          </cell>
          <cell r="F453" t="str">
            <v>EQ-MC</v>
          </cell>
        </row>
        <row r="454">
          <cell r="A454" t="str">
            <v>Kotak Nifty Midcap 150 Index Fund - Regular Plan</v>
          </cell>
          <cell r="B454" t="str">
            <v>--</v>
          </cell>
          <cell r="C454" t="str">
            <v>--</v>
          </cell>
          <cell r="D454" t="str">
            <v>--</v>
          </cell>
          <cell r="E454" t="str">
            <v>Very High</v>
          </cell>
          <cell r="F454" t="str">
            <v>EQ-MC</v>
          </cell>
        </row>
        <row r="455">
          <cell r="A455" t="str">
            <v>Kotak Nifty Midcap 150 Momentum 50 Index Fund - Regular Plan</v>
          </cell>
          <cell r="B455" t="str">
            <v>--</v>
          </cell>
          <cell r="C455" t="str">
            <v>--</v>
          </cell>
          <cell r="D455" t="str">
            <v>--</v>
          </cell>
          <cell r="E455" t="str">
            <v>Very High</v>
          </cell>
          <cell r="F455" t="str">
            <v>EQ-MC</v>
          </cell>
        </row>
        <row r="456">
          <cell r="A456" t="str">
            <v>Kotak Nifty Midcap 50 ETF</v>
          </cell>
          <cell r="B456" t="str">
            <v>--</v>
          </cell>
          <cell r="C456">
            <v>4.5599999999999996</v>
          </cell>
          <cell r="D456" t="str">
            <v>8/53</v>
          </cell>
          <cell r="E456" t="str">
            <v>Very High</v>
          </cell>
          <cell r="F456" t="str">
            <v>EQ-MC</v>
          </cell>
        </row>
        <row r="457">
          <cell r="A457" t="str">
            <v>Kotak Nifty Midcap 50 Index Fund - Regular Plan</v>
          </cell>
          <cell r="B457" t="str">
            <v>--</v>
          </cell>
          <cell r="C457" t="str">
            <v>--</v>
          </cell>
          <cell r="D457" t="str">
            <v>--</v>
          </cell>
          <cell r="E457" t="str">
            <v>Very High</v>
          </cell>
          <cell r="F457" t="str">
            <v>EQ-MC</v>
          </cell>
        </row>
        <row r="458">
          <cell r="A458" t="str">
            <v>Kotak Nifty Next 50 Index Fund - Regular Plan</v>
          </cell>
          <cell r="B458">
            <v>3</v>
          </cell>
          <cell r="C458">
            <v>-7.89</v>
          </cell>
          <cell r="D458" t="str">
            <v>132/144</v>
          </cell>
          <cell r="E458" t="str">
            <v>Very High</v>
          </cell>
          <cell r="F458" t="str">
            <v>EQ-LC</v>
          </cell>
        </row>
        <row r="459">
          <cell r="A459" t="str">
            <v>Kotak Nifty Smallcap 250 Index Fund - Regular Plan</v>
          </cell>
          <cell r="B459" t="str">
            <v>--</v>
          </cell>
          <cell r="C459" t="str">
            <v>--</v>
          </cell>
          <cell r="D459" t="str">
            <v>--</v>
          </cell>
          <cell r="E459" t="str">
            <v>Very High</v>
          </cell>
          <cell r="F459" t="str">
            <v>EQ-SC</v>
          </cell>
        </row>
        <row r="460">
          <cell r="A460" t="str">
            <v>Kotak Nifty Smallcap 50 Index Fund - Regular Plan</v>
          </cell>
          <cell r="B460" t="str">
            <v>--</v>
          </cell>
          <cell r="C460">
            <v>1.78</v>
          </cell>
          <cell r="D460" t="str">
            <v>14/44</v>
          </cell>
          <cell r="E460" t="str">
            <v>Very High</v>
          </cell>
          <cell r="F460" t="str">
            <v>EQ-SC</v>
          </cell>
        </row>
        <row r="461">
          <cell r="A461" t="str">
            <v>Kotak Nifty Top 10 Equal Weight Index Fund - Regular Plan</v>
          </cell>
          <cell r="B461" t="str">
            <v>--</v>
          </cell>
          <cell r="C461" t="str">
            <v>--</v>
          </cell>
          <cell r="D461" t="str">
            <v>--</v>
          </cell>
          <cell r="E461" t="str">
            <v>Very High</v>
          </cell>
          <cell r="F461" t="str">
            <v>EQ-LC</v>
          </cell>
        </row>
        <row r="462">
          <cell r="A462" t="str">
            <v>Kotak Pioneer Fund - Regular Plan</v>
          </cell>
          <cell r="B462" t="str">
            <v>--</v>
          </cell>
          <cell r="C462">
            <v>5.01</v>
          </cell>
          <cell r="D462" t="str">
            <v>14/78</v>
          </cell>
          <cell r="E462" t="str">
            <v>Very High</v>
          </cell>
          <cell r="F462" t="str">
            <v>EQ-THEMATIC</v>
          </cell>
        </row>
        <row r="463">
          <cell r="A463" t="str">
            <v>Kotak Quant Fund - Regular Plan</v>
          </cell>
          <cell r="B463" t="str">
            <v>--</v>
          </cell>
          <cell r="C463">
            <v>-6.81</v>
          </cell>
          <cell r="D463" t="str">
            <v>61/78</v>
          </cell>
          <cell r="E463" t="str">
            <v>Very High</v>
          </cell>
          <cell r="F463" t="str">
            <v>EQ-THEMATIC</v>
          </cell>
        </row>
        <row r="464">
          <cell r="A464" t="str">
            <v>Kotak Small Cap Fund - Regular Plan</v>
          </cell>
          <cell r="B464">
            <v>2</v>
          </cell>
          <cell r="C464">
            <v>-1.57</v>
          </cell>
          <cell r="D464" t="str">
            <v>33/44</v>
          </cell>
          <cell r="E464" t="str">
            <v>Very High</v>
          </cell>
          <cell r="F464" t="str">
            <v>EQ-SC</v>
          </cell>
        </row>
        <row r="465">
          <cell r="A465" t="str">
            <v>Kotak Special Opportunities Fund - Regular Plan</v>
          </cell>
          <cell r="B465" t="str">
            <v>--</v>
          </cell>
          <cell r="C465" t="str">
            <v>--</v>
          </cell>
          <cell r="D465" t="str">
            <v>--</v>
          </cell>
          <cell r="E465" t="str">
            <v>Very High</v>
          </cell>
          <cell r="F465" t="str">
            <v>EQ-THEMATIC</v>
          </cell>
        </row>
        <row r="466">
          <cell r="A466" t="str">
            <v>Kotak Transportation &amp; Logistics Fund - Regular Plan</v>
          </cell>
          <cell r="B466" t="str">
            <v>--</v>
          </cell>
          <cell r="C466" t="str">
            <v>--</v>
          </cell>
          <cell r="D466" t="str">
            <v>--</v>
          </cell>
          <cell r="E466" t="str">
            <v>Very High</v>
          </cell>
          <cell r="F466" t="str">
            <v>EQ-THEMATIC</v>
          </cell>
        </row>
        <row r="467">
          <cell r="A467" t="str">
            <v>LIC MF Aggressive Hybrid Fund</v>
          </cell>
          <cell r="B467">
            <v>2</v>
          </cell>
          <cell r="C467">
            <v>4.6399999999999997</v>
          </cell>
          <cell r="D467" t="str">
            <v>29/44</v>
          </cell>
          <cell r="E467" t="str">
            <v>Very High</v>
          </cell>
          <cell r="F467" t="str">
            <v>HY-AH</v>
          </cell>
        </row>
        <row r="468">
          <cell r="A468" t="str">
            <v>LIC MF Arbitrage Fund - Regular Plan</v>
          </cell>
          <cell r="B468">
            <v>2</v>
          </cell>
          <cell r="C468">
            <v>6.66</v>
          </cell>
          <cell r="D468" t="str">
            <v>21/27</v>
          </cell>
          <cell r="E468" t="str">
            <v>Low</v>
          </cell>
          <cell r="F468" t="str">
            <v>HY-AR</v>
          </cell>
        </row>
        <row r="469">
          <cell r="A469" t="str">
            <v>LIC MF Balanced Advantage Fund - Regular Plan</v>
          </cell>
          <cell r="B469">
            <v>3</v>
          </cell>
          <cell r="C469">
            <v>8.8000000000000007</v>
          </cell>
          <cell r="D469" t="str">
            <v>4/36</v>
          </cell>
          <cell r="E469" t="str">
            <v>Very High</v>
          </cell>
          <cell r="F469" t="str">
            <v>HY-DAA</v>
          </cell>
        </row>
        <row r="470">
          <cell r="A470" t="str">
            <v>LIC MF BSE Sensex ETF</v>
          </cell>
          <cell r="B470" t="str">
            <v>--</v>
          </cell>
          <cell r="C470">
            <v>6.21</v>
          </cell>
          <cell r="D470" t="str">
            <v>33/144</v>
          </cell>
          <cell r="E470" t="str">
            <v>Very High</v>
          </cell>
          <cell r="F470" t="str">
            <v>EQ-LC</v>
          </cell>
        </row>
        <row r="471">
          <cell r="A471" t="str">
            <v>LIC MF BSE Sensex Index Plan</v>
          </cell>
          <cell r="B471">
            <v>2</v>
          </cell>
          <cell r="C471">
            <v>5.17</v>
          </cell>
          <cell r="D471" t="str">
            <v>72/144</v>
          </cell>
          <cell r="E471" t="str">
            <v>Very High</v>
          </cell>
          <cell r="F471" t="str">
            <v>EQ-LC</v>
          </cell>
        </row>
        <row r="472">
          <cell r="A472" t="str">
            <v>LIC MF Children's Fund</v>
          </cell>
          <cell r="B472">
            <v>2</v>
          </cell>
          <cell r="C472">
            <v>-2.2000000000000002</v>
          </cell>
          <cell r="D472" t="str">
            <v>79/91</v>
          </cell>
          <cell r="E472" t="str">
            <v>Very High</v>
          </cell>
          <cell r="F472" t="str">
            <v>EQ-FLX</v>
          </cell>
        </row>
        <row r="473">
          <cell r="A473" t="str">
            <v>LIC MF Conservative Hybrid Fund</v>
          </cell>
          <cell r="B473">
            <v>1</v>
          </cell>
          <cell r="C473">
            <v>7.08</v>
          </cell>
          <cell r="D473" t="str">
            <v>11/28</v>
          </cell>
          <cell r="E473" t="str">
            <v>Moderately High</v>
          </cell>
          <cell r="F473" t="str">
            <v>HY-CH</v>
          </cell>
        </row>
        <row r="474">
          <cell r="A474" t="str">
            <v>LIC MF Flexi Cap Fund</v>
          </cell>
          <cell r="B474">
            <v>2</v>
          </cell>
          <cell r="C474">
            <v>-4.63</v>
          </cell>
          <cell r="D474" t="str">
            <v>81/91</v>
          </cell>
          <cell r="E474" t="str">
            <v>Very High</v>
          </cell>
          <cell r="F474" t="str">
            <v>EQ-FLX</v>
          </cell>
        </row>
        <row r="475">
          <cell r="A475" t="str">
            <v>LIC MF Focused Fund - Regular Plan</v>
          </cell>
          <cell r="B475" t="str">
            <v>--</v>
          </cell>
          <cell r="C475">
            <v>4.5599999999999996</v>
          </cell>
          <cell r="D475" t="str">
            <v>--</v>
          </cell>
          <cell r="E475" t="str">
            <v>Very High</v>
          </cell>
          <cell r="F475" t="str">
            <v>EQ-FLX</v>
          </cell>
        </row>
        <row r="476">
          <cell r="A476" t="str">
            <v>LIC MF Large Cap Fund</v>
          </cell>
          <cell r="B476">
            <v>2</v>
          </cell>
          <cell r="C476">
            <v>4.24</v>
          </cell>
          <cell r="D476" t="str">
            <v>82/144</v>
          </cell>
          <cell r="E476" t="str">
            <v>Very High</v>
          </cell>
          <cell r="F476" t="str">
            <v>EQ-LC</v>
          </cell>
        </row>
        <row r="477">
          <cell r="A477" t="str">
            <v>LIC MF Large &amp; Mid Cap Fund - Regular Plan</v>
          </cell>
          <cell r="B477">
            <v>2</v>
          </cell>
          <cell r="C477">
            <v>2.67</v>
          </cell>
          <cell r="D477" t="str">
            <v>16/54</v>
          </cell>
          <cell r="E477" t="str">
            <v>Very High</v>
          </cell>
          <cell r="F477" t="str">
            <v>EQ-L&amp;MC</v>
          </cell>
        </row>
        <row r="478">
          <cell r="A478" t="str">
            <v>LIC MF Manufacturing Fund - Regular Plan</v>
          </cell>
          <cell r="B478" t="str">
            <v>--</v>
          </cell>
          <cell r="C478" t="str">
            <v>--</v>
          </cell>
          <cell r="D478" t="str">
            <v>--</v>
          </cell>
          <cell r="E478" t="str">
            <v>Very High</v>
          </cell>
          <cell r="F478" t="str">
            <v>EQ-THEMATIC</v>
          </cell>
        </row>
        <row r="479">
          <cell r="A479" t="str">
            <v>LIC MF Midcap Fund - Regular Plan</v>
          </cell>
          <cell r="B479">
            <v>2</v>
          </cell>
          <cell r="C479">
            <v>0.69</v>
          </cell>
          <cell r="D479" t="str">
            <v>36/53</v>
          </cell>
          <cell r="E479" t="str">
            <v>Very High</v>
          </cell>
          <cell r="F479" t="str">
            <v>EQ-MC</v>
          </cell>
        </row>
        <row r="480">
          <cell r="A480" t="str">
            <v>LIC MF Multi Asset Allocation Fund - Regular Plan</v>
          </cell>
          <cell r="B480" t="str">
            <v>--</v>
          </cell>
          <cell r="C480" t="str">
            <v>--</v>
          </cell>
          <cell r="D480" t="str">
            <v>--</v>
          </cell>
          <cell r="E480" t="str">
            <v>Very High</v>
          </cell>
          <cell r="F480" t="str">
            <v>HY-MAA</v>
          </cell>
        </row>
        <row r="481">
          <cell r="A481" t="str">
            <v>LIC MF Multi Cap Fund - Regular Plan</v>
          </cell>
          <cell r="B481" t="str">
            <v>--</v>
          </cell>
          <cell r="C481">
            <v>4.09</v>
          </cell>
          <cell r="D481" t="str">
            <v>9/25</v>
          </cell>
          <cell r="E481" t="str">
            <v>Very High</v>
          </cell>
          <cell r="F481" t="str">
            <v>EQ-MLC</v>
          </cell>
        </row>
        <row r="482">
          <cell r="A482" t="str">
            <v>LIC MF Nifty 100 ETF</v>
          </cell>
          <cell r="B482" t="str">
            <v>--</v>
          </cell>
          <cell r="C482">
            <v>3.68</v>
          </cell>
          <cell r="D482" t="str">
            <v>91/144</v>
          </cell>
          <cell r="E482" t="str">
            <v>Very High</v>
          </cell>
          <cell r="F482" t="str">
            <v>EQ-LC</v>
          </cell>
        </row>
        <row r="483">
          <cell r="A483" t="str">
            <v>LIC MF Nifty 50 ETF</v>
          </cell>
          <cell r="B483" t="str">
            <v>--</v>
          </cell>
          <cell r="C483">
            <v>6.46</v>
          </cell>
          <cell r="D483" t="str">
            <v>17/144</v>
          </cell>
          <cell r="E483" t="str">
            <v>Very High</v>
          </cell>
          <cell r="F483" t="str">
            <v>EQ-LC</v>
          </cell>
        </row>
        <row r="484">
          <cell r="A484" t="str">
            <v>LIC MF Nifty 50 Index Plan</v>
          </cell>
          <cell r="B484">
            <v>2</v>
          </cell>
          <cell r="C484">
            <v>5.42</v>
          </cell>
          <cell r="D484" t="str">
            <v>66/144</v>
          </cell>
          <cell r="E484" t="str">
            <v>Very High</v>
          </cell>
          <cell r="F484" t="str">
            <v>EQ-LC</v>
          </cell>
        </row>
        <row r="485">
          <cell r="A485" t="str">
            <v>LIC MF Nifty Midcap 100 ETF</v>
          </cell>
          <cell r="B485" t="str">
            <v>--</v>
          </cell>
          <cell r="C485">
            <v>4.25</v>
          </cell>
          <cell r="D485" t="str">
            <v>12/53</v>
          </cell>
          <cell r="E485" t="str">
            <v>Very High</v>
          </cell>
          <cell r="F485" t="str">
            <v>EQ-MC</v>
          </cell>
        </row>
        <row r="486">
          <cell r="A486" t="str">
            <v>LIC MF Nifty Next 50 Index Fund</v>
          </cell>
          <cell r="B486">
            <v>2</v>
          </cell>
          <cell r="C486">
            <v>-8.06</v>
          </cell>
          <cell r="D486" t="str">
            <v>137/144</v>
          </cell>
          <cell r="E486" t="str">
            <v>Very High</v>
          </cell>
          <cell r="F486" t="str">
            <v>EQ-LC</v>
          </cell>
        </row>
        <row r="487">
          <cell r="A487" t="str">
            <v>LIC MF Small Cap Fund - Regular Plan</v>
          </cell>
          <cell r="B487">
            <v>2</v>
          </cell>
          <cell r="C487">
            <v>-4.7300000000000004</v>
          </cell>
          <cell r="D487" t="str">
            <v>41/44</v>
          </cell>
          <cell r="E487" t="str">
            <v>Very High</v>
          </cell>
          <cell r="F487" t="str">
            <v>EQ-SC</v>
          </cell>
        </row>
        <row r="488">
          <cell r="A488" t="str">
            <v>LIC MF Unit Linked Insurance</v>
          </cell>
          <cell r="B488">
            <v>2</v>
          </cell>
          <cell r="C488">
            <v>5.9</v>
          </cell>
          <cell r="D488" t="str">
            <v>18/44</v>
          </cell>
          <cell r="E488" t="str">
            <v>Very High</v>
          </cell>
          <cell r="F488" t="str">
            <v>HY-AH</v>
          </cell>
        </row>
        <row r="489">
          <cell r="A489" t="str">
            <v>Mahindra Manulife Aggressive Hybrid Fund - Regular Plan</v>
          </cell>
          <cell r="B489">
            <v>4</v>
          </cell>
          <cell r="C489">
            <v>7.46</v>
          </cell>
          <cell r="D489" t="str">
            <v>7/44</v>
          </cell>
          <cell r="E489" t="str">
            <v>Very High</v>
          </cell>
          <cell r="F489" t="str">
            <v>HY-AH</v>
          </cell>
        </row>
        <row r="490">
          <cell r="A490" t="str">
            <v>Mahindra Manulife Arbitrage Fund - Regular Plan</v>
          </cell>
          <cell r="B490">
            <v>1</v>
          </cell>
          <cell r="C490">
            <v>5.52</v>
          </cell>
          <cell r="D490" t="str">
            <v>27/27</v>
          </cell>
          <cell r="E490" t="str">
            <v>Low</v>
          </cell>
          <cell r="F490" t="str">
            <v>HY-AR</v>
          </cell>
        </row>
        <row r="491">
          <cell r="A491" t="str">
            <v>Mahindra Manulife Balanced Advantage Fund - Regular Plan</v>
          </cell>
          <cell r="B491">
            <v>3</v>
          </cell>
          <cell r="C491">
            <v>4.3899999999999997</v>
          </cell>
          <cell r="D491" t="str">
            <v>25/36</v>
          </cell>
          <cell r="E491" t="str">
            <v>Very High</v>
          </cell>
          <cell r="F491" t="str">
            <v>HY-DAA</v>
          </cell>
        </row>
        <row r="492">
          <cell r="A492" t="str">
            <v>Mahindra Manulife Business Cycle Fund - Regular Plan</v>
          </cell>
          <cell r="B492" t="str">
            <v>--</v>
          </cell>
          <cell r="C492">
            <v>0.34</v>
          </cell>
          <cell r="D492" t="str">
            <v>31/78</v>
          </cell>
          <cell r="E492" t="str">
            <v>Very High</v>
          </cell>
          <cell r="F492" t="str">
            <v>EQ-THEMATIC</v>
          </cell>
        </row>
        <row r="493">
          <cell r="A493" t="str">
            <v>Mahindra Manulife Flexi Cap Fund - Regular Plan</v>
          </cell>
          <cell r="B493">
            <v>3</v>
          </cell>
          <cell r="C493">
            <v>3.35</v>
          </cell>
          <cell r="D493" t="str">
            <v>45/91</v>
          </cell>
          <cell r="E493" t="str">
            <v>Very High</v>
          </cell>
          <cell r="F493" t="str">
            <v>EQ-FLX</v>
          </cell>
        </row>
        <row r="494">
          <cell r="A494" t="str">
            <v>Mahindra Manulife Focused Fund - Regular Plan</v>
          </cell>
          <cell r="B494">
            <v>4</v>
          </cell>
          <cell r="C494">
            <v>2.5499999999999998</v>
          </cell>
          <cell r="D494" t="str">
            <v>53/91</v>
          </cell>
          <cell r="E494" t="str">
            <v>Very High</v>
          </cell>
          <cell r="F494" t="str">
            <v>EQ-FLX</v>
          </cell>
        </row>
        <row r="495">
          <cell r="A495" t="str">
            <v>Mahindra Manulife Large Cap Fund - Regular Plan</v>
          </cell>
          <cell r="B495">
            <v>4</v>
          </cell>
          <cell r="C495">
            <v>4.2300000000000004</v>
          </cell>
          <cell r="D495" t="str">
            <v>83/144</v>
          </cell>
          <cell r="E495" t="str">
            <v>Very High</v>
          </cell>
          <cell r="F495" t="str">
            <v>EQ-LC</v>
          </cell>
        </row>
        <row r="496">
          <cell r="A496" t="str">
            <v>Mahindra Manulife Large &amp; Mid Cap Fund - Regular Plan</v>
          </cell>
          <cell r="B496">
            <v>3</v>
          </cell>
          <cell r="C496">
            <v>-0.5</v>
          </cell>
          <cell r="D496" t="str">
            <v>35/54</v>
          </cell>
          <cell r="E496" t="str">
            <v>Very High</v>
          </cell>
          <cell r="F496" t="str">
            <v>EQ-L&amp;MC</v>
          </cell>
        </row>
        <row r="497">
          <cell r="A497" t="str">
            <v>Mahindra Manulife Manufacturing Fund - Regular Plan</v>
          </cell>
          <cell r="B497" t="str">
            <v>--</v>
          </cell>
          <cell r="C497" t="str">
            <v>--</v>
          </cell>
          <cell r="D497" t="str">
            <v>--</v>
          </cell>
          <cell r="E497" t="str">
            <v>Very High</v>
          </cell>
          <cell r="F497" t="str">
            <v>EQ-THEMATIC</v>
          </cell>
        </row>
        <row r="498">
          <cell r="A498" t="str">
            <v>Mahindra Manulife Mid Cap Fund - Regular Plan</v>
          </cell>
          <cell r="B498">
            <v>3</v>
          </cell>
          <cell r="C498">
            <v>0.13</v>
          </cell>
          <cell r="D498" t="str">
            <v>41/53</v>
          </cell>
          <cell r="E498" t="str">
            <v>Very High</v>
          </cell>
          <cell r="F498" t="str">
            <v>EQ-MC</v>
          </cell>
        </row>
        <row r="499">
          <cell r="A499" t="str">
            <v>Mahindra Manulife Multi Asset Allocation Fund - Regular Plan</v>
          </cell>
          <cell r="B499" t="str">
            <v>--</v>
          </cell>
          <cell r="C499">
            <v>9</v>
          </cell>
          <cell r="D499" t="str">
            <v>14/37</v>
          </cell>
          <cell r="E499" t="str">
            <v>Very High</v>
          </cell>
          <cell r="F499" t="str">
            <v>HY-MAA</v>
          </cell>
        </row>
        <row r="500">
          <cell r="A500" t="str">
            <v>Mahindra Manulife Multi Cap Fund - Regular Plan</v>
          </cell>
          <cell r="B500">
            <v>2</v>
          </cell>
          <cell r="C500">
            <v>2.68</v>
          </cell>
          <cell r="D500" t="str">
            <v>13/25</v>
          </cell>
          <cell r="E500" t="str">
            <v>Very High</v>
          </cell>
          <cell r="F500" t="str">
            <v>EQ-MLC</v>
          </cell>
        </row>
        <row r="501">
          <cell r="A501" t="str">
            <v>Mahindra Manulife Small Cap Fund - Regular Plan</v>
          </cell>
          <cell r="B501" t="str">
            <v>--</v>
          </cell>
          <cell r="C501">
            <v>-1.49</v>
          </cell>
          <cell r="D501" t="str">
            <v>32/44</v>
          </cell>
          <cell r="E501" t="str">
            <v>Very High</v>
          </cell>
          <cell r="F501" t="str">
            <v>EQ-SC</v>
          </cell>
        </row>
        <row r="502">
          <cell r="A502" t="str">
            <v>Mirae Asset Aggressive Hybrid Fund - Regular Plan</v>
          </cell>
          <cell r="B502">
            <v>3</v>
          </cell>
          <cell r="C502">
            <v>5.97</v>
          </cell>
          <cell r="D502" t="str">
            <v>16/44</v>
          </cell>
          <cell r="E502" t="str">
            <v>Very High</v>
          </cell>
          <cell r="F502" t="str">
            <v>HY-AH</v>
          </cell>
        </row>
        <row r="503">
          <cell r="A503" t="str">
            <v>Mirae Asset Arbitrage Fund - Regular Plan</v>
          </cell>
          <cell r="B503">
            <v>3</v>
          </cell>
          <cell r="C503">
            <v>6.71</v>
          </cell>
          <cell r="D503" t="str">
            <v>17/27</v>
          </cell>
          <cell r="E503" t="str">
            <v>Low</v>
          </cell>
          <cell r="F503" t="str">
            <v>HY-AR</v>
          </cell>
        </row>
        <row r="504">
          <cell r="A504" t="str">
            <v>Mirae Asset Balanced Advantage Fund - Regular Plan</v>
          </cell>
          <cell r="B504" t="str">
            <v>--</v>
          </cell>
          <cell r="C504">
            <v>6.65</v>
          </cell>
          <cell r="D504" t="str">
            <v>13/36</v>
          </cell>
          <cell r="E504" t="str">
            <v>Very High</v>
          </cell>
          <cell r="F504" t="str">
            <v>HY-DAA</v>
          </cell>
        </row>
        <row r="505">
          <cell r="A505" t="str">
            <v>Mirae Asset BSE 200 Equal Weight ETF</v>
          </cell>
          <cell r="B505" t="str">
            <v>--</v>
          </cell>
          <cell r="C505" t="str">
            <v>--</v>
          </cell>
          <cell r="D505" t="str">
            <v>--</v>
          </cell>
          <cell r="E505" t="str">
            <v>Low</v>
          </cell>
          <cell r="F505" t="str">
            <v>EQ-L&amp;MC</v>
          </cell>
        </row>
        <row r="506">
          <cell r="A506" t="str">
            <v>Mirae Asset BSE 200 Equal Weight ETF FoF - Regular Plan</v>
          </cell>
          <cell r="B506" t="str">
            <v>--</v>
          </cell>
          <cell r="C506" t="str">
            <v>--</v>
          </cell>
          <cell r="D506" t="str">
            <v>--</v>
          </cell>
          <cell r="E506" t="str">
            <v>Low</v>
          </cell>
          <cell r="F506" t="str">
            <v>EQ-L&amp;MC</v>
          </cell>
        </row>
        <row r="507">
          <cell r="A507" t="str">
            <v>Mirae Asset BSE Select IPO ETF</v>
          </cell>
          <cell r="B507" t="str">
            <v>--</v>
          </cell>
          <cell r="C507" t="str">
            <v>--</v>
          </cell>
          <cell r="D507" t="str">
            <v>--</v>
          </cell>
          <cell r="E507" t="str">
            <v>Low</v>
          </cell>
          <cell r="F507" t="str">
            <v>EQ-THEMATIC</v>
          </cell>
        </row>
        <row r="508">
          <cell r="A508" t="str">
            <v>Mirae Asset BSE Select IPO ETF FoF - Regular Plan</v>
          </cell>
          <cell r="B508" t="str">
            <v>--</v>
          </cell>
          <cell r="C508" t="str">
            <v>--</v>
          </cell>
          <cell r="D508" t="str">
            <v>--</v>
          </cell>
          <cell r="E508" t="str">
            <v>Low</v>
          </cell>
          <cell r="F508" t="str">
            <v>EQ-THEMATIC</v>
          </cell>
        </row>
        <row r="509">
          <cell r="A509" t="str">
            <v>Mirae Asset BSE Sensex ETF</v>
          </cell>
          <cell r="B509" t="str">
            <v>--</v>
          </cell>
          <cell r="C509">
            <v>6.28</v>
          </cell>
          <cell r="D509" t="str">
            <v>26/144</v>
          </cell>
          <cell r="E509" t="str">
            <v>Very High</v>
          </cell>
          <cell r="F509" t="str">
            <v>EQ-LC</v>
          </cell>
        </row>
        <row r="510">
          <cell r="A510" t="str">
            <v>Mirae Asset Diversified Equity Allocator Passive FoF - Regular Plan</v>
          </cell>
          <cell r="B510">
            <v>4</v>
          </cell>
          <cell r="C510">
            <v>2.88</v>
          </cell>
          <cell r="D510" t="str">
            <v>102/144</v>
          </cell>
          <cell r="E510" t="str">
            <v>Very High</v>
          </cell>
          <cell r="F510" t="str">
            <v>EQ-LC</v>
          </cell>
        </row>
        <row r="511">
          <cell r="A511" t="str">
            <v>Mirae Asset Flexi Cap Fund - Regular Plan</v>
          </cell>
          <cell r="B511" t="str">
            <v>--</v>
          </cell>
          <cell r="C511">
            <v>5.03</v>
          </cell>
          <cell r="D511" t="str">
            <v>30/91</v>
          </cell>
          <cell r="E511" t="str">
            <v>Very High</v>
          </cell>
          <cell r="F511" t="str">
            <v>EQ-FLX</v>
          </cell>
        </row>
        <row r="512">
          <cell r="A512" t="str">
            <v>Mirae Asset Focused Fund - Regular Plan</v>
          </cell>
          <cell r="B512">
            <v>2</v>
          </cell>
          <cell r="C512">
            <v>8.89</v>
          </cell>
          <cell r="D512" t="str">
            <v>7/91</v>
          </cell>
          <cell r="E512" t="str">
            <v>Very High</v>
          </cell>
          <cell r="F512" t="str">
            <v>EQ-FLX</v>
          </cell>
        </row>
        <row r="513">
          <cell r="A513" t="str">
            <v>Mirae Asset Large Cap Fund - Regular Plan</v>
          </cell>
          <cell r="B513">
            <v>3</v>
          </cell>
          <cell r="C513">
            <v>6.13</v>
          </cell>
          <cell r="D513" t="str">
            <v>35/144</v>
          </cell>
          <cell r="E513" t="str">
            <v>Very High</v>
          </cell>
          <cell r="F513" t="str">
            <v>EQ-LC</v>
          </cell>
        </row>
        <row r="514">
          <cell r="A514" t="str">
            <v>Mirae Asset Large &amp; Midcap Fund - Regular Plan</v>
          </cell>
          <cell r="B514">
            <v>2</v>
          </cell>
          <cell r="C514">
            <v>2.37</v>
          </cell>
          <cell r="D514" t="str">
            <v>20/54</v>
          </cell>
          <cell r="E514" t="str">
            <v>Very High</v>
          </cell>
          <cell r="F514" t="str">
            <v>EQ-L&amp;MC</v>
          </cell>
        </row>
        <row r="515">
          <cell r="A515" t="str">
            <v>Mirae Asset Midcap Fund - Regular Plan</v>
          </cell>
          <cell r="B515">
            <v>2</v>
          </cell>
          <cell r="C515">
            <v>1.68</v>
          </cell>
          <cell r="D515" t="str">
            <v>27/53</v>
          </cell>
          <cell r="E515" t="str">
            <v>Very High</v>
          </cell>
          <cell r="F515" t="str">
            <v>EQ-MC</v>
          </cell>
        </row>
        <row r="516">
          <cell r="A516" t="str">
            <v>Mirae Asset Multi Asset Allocation Fund - Regular Plan</v>
          </cell>
          <cell r="B516" t="str">
            <v>--</v>
          </cell>
          <cell r="C516">
            <v>10.58</v>
          </cell>
          <cell r="D516" t="str">
            <v>7/37</v>
          </cell>
          <cell r="E516" t="str">
            <v>Very High</v>
          </cell>
          <cell r="F516" t="str">
            <v>HY-MAA</v>
          </cell>
        </row>
        <row r="517">
          <cell r="A517" t="str">
            <v>Mirae Asset Multicap Fund - Regular Plan</v>
          </cell>
          <cell r="B517" t="str">
            <v>--</v>
          </cell>
          <cell r="C517">
            <v>5.94</v>
          </cell>
          <cell r="D517" t="str">
            <v>4/25</v>
          </cell>
          <cell r="E517" t="str">
            <v>Very High</v>
          </cell>
          <cell r="F517" t="str">
            <v>EQ-MLC</v>
          </cell>
        </row>
        <row r="518">
          <cell r="A518" t="str">
            <v>Mirae Asset Nifty 100 Low Volatility 30 ETF</v>
          </cell>
          <cell r="B518" t="str">
            <v>--</v>
          </cell>
          <cell r="C518">
            <v>5.59</v>
          </cell>
          <cell r="D518" t="str">
            <v>63/144</v>
          </cell>
          <cell r="E518" t="str">
            <v>Very High</v>
          </cell>
          <cell r="F518" t="str">
            <v>EQ-LC</v>
          </cell>
        </row>
        <row r="519">
          <cell r="A519" t="str">
            <v>Mirae Asset Nifty 200 Alpha 30 ETF</v>
          </cell>
          <cell r="B519" t="str">
            <v>--</v>
          </cell>
          <cell r="C519">
            <v>-9.7899999999999991</v>
          </cell>
          <cell r="D519" t="str">
            <v>44/54</v>
          </cell>
          <cell r="E519" t="str">
            <v>Very High</v>
          </cell>
          <cell r="F519" t="str">
            <v>EQ-L&amp;MC</v>
          </cell>
        </row>
        <row r="520">
          <cell r="A520" t="str">
            <v>Mirae Asset Nifty 200 Alpha 30 ETF FoF - Regular Plan</v>
          </cell>
          <cell r="B520" t="str">
            <v>--</v>
          </cell>
          <cell r="C520" t="str">
            <v>--</v>
          </cell>
          <cell r="D520" t="str">
            <v>--</v>
          </cell>
          <cell r="E520" t="str">
            <v>Very High</v>
          </cell>
          <cell r="F520" t="str">
            <v>EQ-L&amp;MC</v>
          </cell>
        </row>
        <row r="521">
          <cell r="A521" t="str">
            <v>Mirae Asset Nifty500 Multicap 50:25:25 ETF</v>
          </cell>
          <cell r="B521" t="str">
            <v>--</v>
          </cell>
          <cell r="C521" t="str">
            <v>--</v>
          </cell>
          <cell r="D521" t="str">
            <v>--</v>
          </cell>
          <cell r="E521" t="str">
            <v>Very High</v>
          </cell>
          <cell r="F521" t="str">
            <v>EQ-MLC</v>
          </cell>
        </row>
        <row r="522">
          <cell r="A522" t="str">
            <v>Mirae Asset Nifty50 Equal Weight ETF</v>
          </cell>
          <cell r="B522" t="str">
            <v>--</v>
          </cell>
          <cell r="C522" t="str">
            <v>--</v>
          </cell>
          <cell r="D522" t="str">
            <v>--</v>
          </cell>
          <cell r="E522" t="str">
            <v>Very High</v>
          </cell>
          <cell r="F522" t="str">
            <v>EQ-LC</v>
          </cell>
        </row>
        <row r="523">
          <cell r="A523" t="str">
            <v>Mirae Asset Nifty 50 ETF</v>
          </cell>
          <cell r="B523" t="str">
            <v>--</v>
          </cell>
          <cell r="C523">
            <v>6.49</v>
          </cell>
          <cell r="D523" t="str">
            <v>9/144</v>
          </cell>
          <cell r="E523" t="str">
            <v>Very High</v>
          </cell>
          <cell r="F523" t="str">
            <v>EQ-LC</v>
          </cell>
        </row>
        <row r="524">
          <cell r="A524" t="str">
            <v>Mirae Asset Nifty 50 Index Fund - Regular Plan</v>
          </cell>
          <cell r="B524" t="str">
            <v>--</v>
          </cell>
          <cell r="C524" t="str">
            <v>--</v>
          </cell>
          <cell r="D524" t="str">
            <v>--</v>
          </cell>
          <cell r="E524" t="str">
            <v>Very High</v>
          </cell>
          <cell r="F524" t="str">
            <v>EQ-LC</v>
          </cell>
        </row>
        <row r="525">
          <cell r="A525" t="str">
            <v>Mirae Asset Nifty EV and New Age Automotive ETF</v>
          </cell>
          <cell r="B525" t="str">
            <v>--</v>
          </cell>
          <cell r="C525" t="str">
            <v>--</v>
          </cell>
          <cell r="D525" t="str">
            <v>--</v>
          </cell>
          <cell r="E525" t="str">
            <v>Very High</v>
          </cell>
          <cell r="F525" t="str">
            <v>EQ-THEMATIC</v>
          </cell>
        </row>
        <row r="526">
          <cell r="A526" t="str">
            <v>Mirae Asset Nifty India Internet ETF</v>
          </cell>
          <cell r="B526" t="str">
            <v>--</v>
          </cell>
          <cell r="C526" t="str">
            <v>--</v>
          </cell>
          <cell r="D526" t="str">
            <v>--</v>
          </cell>
          <cell r="E526" t="str">
            <v>Very High</v>
          </cell>
          <cell r="F526" t="str">
            <v>EQ-THEMATIC</v>
          </cell>
        </row>
        <row r="527">
          <cell r="A527" t="str">
            <v>Mirae Asset Nifty India Manufacturing ETF</v>
          </cell>
          <cell r="B527" t="str">
            <v>--</v>
          </cell>
          <cell r="C527">
            <v>-3.09</v>
          </cell>
          <cell r="D527" t="str">
            <v>47/78</v>
          </cell>
          <cell r="E527" t="str">
            <v>Very High</v>
          </cell>
          <cell r="F527" t="str">
            <v>EQ-THEMATIC</v>
          </cell>
        </row>
        <row r="528">
          <cell r="A528" t="str">
            <v>Mirae Asset Nifty India Manufacturing ETF FoF - Regular Plan</v>
          </cell>
          <cell r="B528" t="str">
            <v>--</v>
          </cell>
          <cell r="C528">
            <v>-3.74</v>
          </cell>
          <cell r="D528" t="str">
            <v>50/78</v>
          </cell>
          <cell r="E528" t="str">
            <v>Very High</v>
          </cell>
          <cell r="F528" t="str">
            <v>EQ-THEMATIC</v>
          </cell>
        </row>
        <row r="529">
          <cell r="A529" t="str">
            <v>Mirae Asset Nifty LargeMidcap 250 Index Fund - Regular Plan</v>
          </cell>
          <cell r="B529" t="str">
            <v>--</v>
          </cell>
          <cell r="C529" t="str">
            <v>--</v>
          </cell>
          <cell r="D529" t="str">
            <v>--</v>
          </cell>
          <cell r="E529" t="str">
            <v>Very High</v>
          </cell>
          <cell r="F529" t="str">
            <v>EQ-L&amp;MC</v>
          </cell>
        </row>
        <row r="530">
          <cell r="A530" t="str">
            <v>Mirae Asset Nifty Metal ETF</v>
          </cell>
          <cell r="B530" t="str">
            <v>--</v>
          </cell>
          <cell r="C530" t="str">
            <v>--</v>
          </cell>
          <cell r="D530" t="str">
            <v>--</v>
          </cell>
          <cell r="E530" t="str">
            <v>Very High</v>
          </cell>
          <cell r="F530" t="str">
            <v>EQ-THEMATIC</v>
          </cell>
        </row>
        <row r="531">
          <cell r="A531" t="str">
            <v>Mirae Asset Nifty Midcap 150 ETF</v>
          </cell>
          <cell r="B531" t="str">
            <v>--</v>
          </cell>
          <cell r="C531">
            <v>2.5499999999999998</v>
          </cell>
          <cell r="D531" t="str">
            <v>18/53</v>
          </cell>
          <cell r="E531" t="str">
            <v>Very High</v>
          </cell>
          <cell r="F531" t="str">
            <v>EQ-MC</v>
          </cell>
        </row>
        <row r="532">
          <cell r="A532" t="str">
            <v>Mirae Asset Nifty MidSmallcap400 Momentum Quality 100 ETF</v>
          </cell>
          <cell r="B532" t="str">
            <v>--</v>
          </cell>
          <cell r="C532">
            <v>-4.8499999999999996</v>
          </cell>
          <cell r="D532" t="str">
            <v>51/53</v>
          </cell>
          <cell r="E532" t="str">
            <v>Very High</v>
          </cell>
          <cell r="F532" t="str">
            <v>EQ-MC</v>
          </cell>
        </row>
        <row r="533">
          <cell r="A533" t="str">
            <v>Mirae Asset Nifty MidSmallcap400 Momentum Quality 100 ETF FoF - Regular Plan</v>
          </cell>
          <cell r="B533" t="str">
            <v>--</v>
          </cell>
          <cell r="C533">
            <v>-6.2</v>
          </cell>
          <cell r="D533" t="str">
            <v>52/53</v>
          </cell>
          <cell r="E533" t="str">
            <v>Very High</v>
          </cell>
          <cell r="F533" t="str">
            <v>EQ-MC</v>
          </cell>
        </row>
        <row r="534">
          <cell r="A534" t="str">
            <v>Mirae Asset Nifty Next 50 ETF</v>
          </cell>
          <cell r="B534" t="str">
            <v>--</v>
          </cell>
          <cell r="C534">
            <v>-7.35</v>
          </cell>
          <cell r="D534" t="str">
            <v>127/144</v>
          </cell>
          <cell r="E534" t="str">
            <v>Very High</v>
          </cell>
          <cell r="F534" t="str">
            <v>EQ-LC</v>
          </cell>
        </row>
        <row r="535">
          <cell r="A535" t="str">
            <v>Mirae Asset Nifty Smallcap 250 Momentum Quality 100 ETF</v>
          </cell>
          <cell r="B535" t="str">
            <v>--</v>
          </cell>
          <cell r="C535">
            <v>-8.6999999999999993</v>
          </cell>
          <cell r="D535" t="str">
            <v>43/44</v>
          </cell>
          <cell r="E535" t="str">
            <v>Very High</v>
          </cell>
          <cell r="F535" t="str">
            <v>EQ-SC</v>
          </cell>
        </row>
        <row r="536">
          <cell r="A536" t="str">
            <v>Mirae Asset Nifty Smallcap 250 Momentum Quality 100 ETF FoF - Regular Plan</v>
          </cell>
          <cell r="B536" t="str">
            <v>--</v>
          </cell>
          <cell r="C536">
            <v>-9.7799999999999994</v>
          </cell>
          <cell r="D536" t="str">
            <v>44/44</v>
          </cell>
          <cell r="E536" t="str">
            <v>Very High</v>
          </cell>
          <cell r="F536" t="str">
            <v>EQ-SC</v>
          </cell>
        </row>
        <row r="537">
          <cell r="A537" t="str">
            <v>Mirae Asset Nifty Total Market Index Fund - Regular Plan</v>
          </cell>
          <cell r="B537" t="str">
            <v>--</v>
          </cell>
          <cell r="C537" t="str">
            <v>--</v>
          </cell>
          <cell r="D537" t="str">
            <v>--</v>
          </cell>
          <cell r="E537" t="str">
            <v>Very High</v>
          </cell>
          <cell r="F537" t="str">
            <v>EQ-FLX</v>
          </cell>
        </row>
        <row r="538">
          <cell r="A538" t="str">
            <v>Mirae Asset Small Cap Fund - Regular Plan</v>
          </cell>
          <cell r="B538" t="str">
            <v>--</v>
          </cell>
          <cell r="C538" t="str">
            <v>--</v>
          </cell>
          <cell r="D538" t="str">
            <v>--</v>
          </cell>
          <cell r="E538" t="str">
            <v>Very High</v>
          </cell>
          <cell r="F538" t="str">
            <v>EQ-SC</v>
          </cell>
        </row>
        <row r="539">
          <cell r="A539" t="str">
            <v>Motilal Oswal Active Momentum Fund - Regular Plan</v>
          </cell>
          <cell r="B539" t="str">
            <v>--</v>
          </cell>
          <cell r="C539" t="str">
            <v>--</v>
          </cell>
          <cell r="D539" t="str">
            <v>--</v>
          </cell>
          <cell r="E539" t="str">
            <v>Very High</v>
          </cell>
          <cell r="F539" t="str">
            <v>EQ-THEMATIC</v>
          </cell>
        </row>
        <row r="540">
          <cell r="A540" t="str">
            <v>Motilal Oswal Arbitrage Fund - Regular Plan</v>
          </cell>
          <cell r="B540" t="str">
            <v>--</v>
          </cell>
          <cell r="C540" t="str">
            <v>--</v>
          </cell>
          <cell r="D540" t="str">
            <v>--</v>
          </cell>
          <cell r="E540" t="str">
            <v>Low</v>
          </cell>
          <cell r="F540" t="str">
            <v>HY-AR</v>
          </cell>
        </row>
        <row r="541">
          <cell r="A541" t="str">
            <v>Motilal Oswal Asset Allocation Passive FoF - Aggressive - Regular Plan</v>
          </cell>
          <cell r="B541">
            <v>2</v>
          </cell>
          <cell r="C541">
            <v>9.66</v>
          </cell>
          <cell r="D541" t="str">
            <v>12/37</v>
          </cell>
          <cell r="E541" t="str">
            <v>Very High</v>
          </cell>
          <cell r="F541" t="str">
            <v>HY-MAA</v>
          </cell>
        </row>
        <row r="542">
          <cell r="A542" t="str">
            <v>Motilal Oswal Asset Allocation Passive FoF - Conservative - Regular Plan</v>
          </cell>
          <cell r="B542">
            <v>3</v>
          </cell>
          <cell r="C542">
            <v>10.78</v>
          </cell>
          <cell r="D542" t="str">
            <v>6/37</v>
          </cell>
          <cell r="E542" t="str">
            <v>High</v>
          </cell>
          <cell r="F542" t="str">
            <v>HY-MAA</v>
          </cell>
        </row>
        <row r="543">
          <cell r="A543" t="str">
            <v>Motilal Oswal Balanced Advantage Fund - Regular Plan</v>
          </cell>
          <cell r="B543">
            <v>1</v>
          </cell>
          <cell r="C543">
            <v>-9.5</v>
          </cell>
          <cell r="D543" t="str">
            <v>36/36</v>
          </cell>
          <cell r="E543" t="str">
            <v>Very High</v>
          </cell>
          <cell r="F543" t="str">
            <v>HY-DAA</v>
          </cell>
        </row>
        <row r="544">
          <cell r="A544" t="str">
            <v>Motilal Oswal BSE 1000 Index Fund - Regular Plan</v>
          </cell>
          <cell r="B544" t="str">
            <v>--</v>
          </cell>
          <cell r="C544" t="str">
            <v>--</v>
          </cell>
          <cell r="D544" t="str">
            <v>--</v>
          </cell>
          <cell r="E544" t="str">
            <v>Very High</v>
          </cell>
          <cell r="F544" t="str">
            <v>EQ-FLX</v>
          </cell>
        </row>
        <row r="545">
          <cell r="A545" t="str">
            <v>Motilal Oswal BSE Low Volatility ETF</v>
          </cell>
          <cell r="B545" t="str">
            <v>--</v>
          </cell>
          <cell r="C545">
            <v>1.03</v>
          </cell>
          <cell r="D545" t="str">
            <v>29/54</v>
          </cell>
          <cell r="E545" t="str">
            <v>Very High</v>
          </cell>
          <cell r="F545" t="str">
            <v>EQ-L&amp;MC</v>
          </cell>
        </row>
        <row r="546">
          <cell r="A546" t="str">
            <v>Motilal Oswal BSE Low Volatility Index Fund - Regular Plan</v>
          </cell>
          <cell r="B546">
            <v>3</v>
          </cell>
          <cell r="C546">
            <v>0.12</v>
          </cell>
          <cell r="D546" t="str">
            <v>33/54</v>
          </cell>
          <cell r="E546" t="str">
            <v>Very High</v>
          </cell>
          <cell r="F546" t="str">
            <v>EQ-L&amp;MC</v>
          </cell>
        </row>
        <row r="547">
          <cell r="A547" t="str">
            <v>Motilal Oswal BSE Quality ETF</v>
          </cell>
          <cell r="B547" t="str">
            <v>--</v>
          </cell>
          <cell r="C547">
            <v>-4.32</v>
          </cell>
          <cell r="D547" t="str">
            <v>41/54</v>
          </cell>
          <cell r="E547" t="str">
            <v>Very High</v>
          </cell>
          <cell r="F547" t="str">
            <v>EQ-L&amp;MC</v>
          </cell>
        </row>
        <row r="548">
          <cell r="A548" t="str">
            <v>Motilal Oswal BSE Quality Index Fund - Regular Plan</v>
          </cell>
          <cell r="B548" t="str">
            <v>--</v>
          </cell>
          <cell r="C548">
            <v>-4.8899999999999997</v>
          </cell>
          <cell r="D548" t="str">
            <v>42/54</v>
          </cell>
          <cell r="E548" t="str">
            <v>Very High</v>
          </cell>
          <cell r="F548" t="str">
            <v>EQ-L&amp;MC</v>
          </cell>
        </row>
        <row r="549">
          <cell r="A549" t="str">
            <v>Motilal Oswal Business Cycle Fund - Regular Plan</v>
          </cell>
          <cell r="B549" t="str">
            <v>--</v>
          </cell>
          <cell r="C549" t="str">
            <v>--</v>
          </cell>
          <cell r="D549" t="str">
            <v>--</v>
          </cell>
          <cell r="E549" t="str">
            <v>Very High</v>
          </cell>
          <cell r="F549" t="str">
            <v>EQ-THEMATIC</v>
          </cell>
        </row>
        <row r="550">
          <cell r="A550" t="str">
            <v>Motilal Oswal Flexi Cap Fund - Regular Plan</v>
          </cell>
          <cell r="B550">
            <v>4</v>
          </cell>
          <cell r="C550">
            <v>9.27</v>
          </cell>
          <cell r="D550" t="str">
            <v>6/91</v>
          </cell>
          <cell r="E550" t="str">
            <v>Very High</v>
          </cell>
          <cell r="F550" t="str">
            <v>EQ-FLX</v>
          </cell>
        </row>
        <row r="551">
          <cell r="A551" t="str">
            <v>Motilal Oswal Focused Fund - Regular Plan</v>
          </cell>
          <cell r="B551">
            <v>1</v>
          </cell>
          <cell r="C551">
            <v>-6.97</v>
          </cell>
          <cell r="D551" t="str">
            <v>86/91</v>
          </cell>
          <cell r="E551" t="str">
            <v>Very High</v>
          </cell>
          <cell r="F551" t="str">
            <v>EQ-FLX</v>
          </cell>
        </row>
        <row r="552">
          <cell r="A552" t="str">
            <v>Motilal Oswal Innovation Opportunities Fund - Regular Plan</v>
          </cell>
          <cell r="B552" t="str">
            <v>--</v>
          </cell>
          <cell r="C552" t="str">
            <v>--</v>
          </cell>
          <cell r="D552" t="str">
            <v>--</v>
          </cell>
          <cell r="E552" t="str">
            <v>Very High</v>
          </cell>
          <cell r="F552" t="str">
            <v>EQ-THEMATIC</v>
          </cell>
        </row>
        <row r="553">
          <cell r="A553" t="str">
            <v>Motilal Oswal Large and Midcap Fund - Regular Plan</v>
          </cell>
          <cell r="B553">
            <v>5</v>
          </cell>
          <cell r="C553">
            <v>11.4</v>
          </cell>
          <cell r="D553" t="str">
            <v>1/54</v>
          </cell>
          <cell r="E553" t="str">
            <v>Very High</v>
          </cell>
          <cell r="F553" t="str">
            <v>EQ-L&amp;MC</v>
          </cell>
        </row>
        <row r="554">
          <cell r="A554" t="str">
            <v>Motilal Oswal Large Cap Fund - Regular Plan</v>
          </cell>
          <cell r="B554" t="str">
            <v>--</v>
          </cell>
          <cell r="C554">
            <v>16.5</v>
          </cell>
          <cell r="D554" t="str">
            <v>1/144</v>
          </cell>
          <cell r="E554" t="str">
            <v>Very High</v>
          </cell>
          <cell r="F554" t="str">
            <v>EQ-LC</v>
          </cell>
        </row>
        <row r="555">
          <cell r="A555" t="str">
            <v>Motilal Oswal Manufacturing Fund - Regular Plan</v>
          </cell>
          <cell r="B555" t="str">
            <v>--</v>
          </cell>
          <cell r="C555" t="str">
            <v>--</v>
          </cell>
          <cell r="D555" t="str">
            <v>--</v>
          </cell>
          <cell r="E555" t="str">
            <v>Very High</v>
          </cell>
          <cell r="F555" t="str">
            <v>EQ-THEMATIC</v>
          </cell>
        </row>
        <row r="556">
          <cell r="A556" t="str">
            <v>Motilal Oswal Midcap Fund - Regular Plan</v>
          </cell>
          <cell r="B556">
            <v>5</v>
          </cell>
          <cell r="C556">
            <v>7.47</v>
          </cell>
          <cell r="D556" t="str">
            <v>4/53</v>
          </cell>
          <cell r="E556" t="str">
            <v>Very High</v>
          </cell>
          <cell r="F556" t="str">
            <v>EQ-MC</v>
          </cell>
        </row>
        <row r="557">
          <cell r="A557" t="str">
            <v>Motilal Oswal Multi Asset Fund - Regular Plan</v>
          </cell>
          <cell r="B557">
            <v>1</v>
          </cell>
          <cell r="C557">
            <v>-9.14</v>
          </cell>
          <cell r="D557" t="str">
            <v>37/37</v>
          </cell>
          <cell r="E557" t="str">
            <v>High</v>
          </cell>
          <cell r="F557" t="str">
            <v>HY-MAA</v>
          </cell>
        </row>
        <row r="558">
          <cell r="A558" t="str">
            <v>Motilal Oswal Multi Cap Fund - Regular Plan</v>
          </cell>
          <cell r="B558" t="str">
            <v>--</v>
          </cell>
          <cell r="C558" t="str">
            <v>--</v>
          </cell>
          <cell r="D558" t="str">
            <v>--</v>
          </cell>
          <cell r="E558" t="str">
            <v>Very High</v>
          </cell>
          <cell r="F558" t="str">
            <v>EQ-MLC</v>
          </cell>
        </row>
        <row r="559">
          <cell r="A559" t="str">
            <v>Motilal Oswal Nifty 200 Momentum 30 ETF</v>
          </cell>
          <cell r="B559" t="str">
            <v>--</v>
          </cell>
          <cell r="C559">
            <v>-12.81</v>
          </cell>
          <cell r="D559" t="str">
            <v>46/54</v>
          </cell>
          <cell r="E559" t="str">
            <v>Very High</v>
          </cell>
          <cell r="F559" t="str">
            <v>EQ-L&amp;MC</v>
          </cell>
        </row>
        <row r="560">
          <cell r="A560" t="str">
            <v>Motilal Oswal Nifty 200 Momentum 30 Index Fund - Regular Plan</v>
          </cell>
          <cell r="B560">
            <v>1</v>
          </cell>
          <cell r="C560">
            <v>-13.39</v>
          </cell>
          <cell r="D560" t="str">
            <v>51/54</v>
          </cell>
          <cell r="E560" t="str">
            <v>Very High</v>
          </cell>
          <cell r="F560" t="str">
            <v>EQ-L&amp;MC</v>
          </cell>
        </row>
        <row r="561">
          <cell r="A561" t="str">
            <v>Motilal Oswal Nifty 500 ETF</v>
          </cell>
          <cell r="B561" t="str">
            <v>--</v>
          </cell>
          <cell r="C561">
            <v>3.13</v>
          </cell>
          <cell r="D561" t="str">
            <v>48/91</v>
          </cell>
          <cell r="E561" t="str">
            <v>Very High</v>
          </cell>
          <cell r="F561" t="str">
            <v>EQ-FLX</v>
          </cell>
        </row>
        <row r="562">
          <cell r="A562" t="str">
            <v>Motilal Oswal Nifty 500 Index Fund - Regular Plan</v>
          </cell>
          <cell r="B562">
            <v>3</v>
          </cell>
          <cell r="C562">
            <v>2.4300000000000002</v>
          </cell>
          <cell r="D562" t="str">
            <v>56/91</v>
          </cell>
          <cell r="E562" t="str">
            <v>Very High</v>
          </cell>
          <cell r="F562" t="str">
            <v>EQ-FLX</v>
          </cell>
        </row>
        <row r="563">
          <cell r="A563" t="str">
            <v>Motilal Oswal Nifty 500 Momentum 50 ETF</v>
          </cell>
          <cell r="B563" t="str">
            <v>--</v>
          </cell>
          <cell r="C563" t="str">
            <v>--</v>
          </cell>
          <cell r="D563" t="str">
            <v>--</v>
          </cell>
          <cell r="E563" t="str">
            <v>Very High</v>
          </cell>
          <cell r="F563" t="str">
            <v>EQ-FLX</v>
          </cell>
        </row>
        <row r="564">
          <cell r="A564" t="str">
            <v>Motilal Oswal Nifty 500 Momentum 50 Index Fund - Regular Plan</v>
          </cell>
          <cell r="B564" t="str">
            <v>--</v>
          </cell>
          <cell r="C564" t="str">
            <v>--</v>
          </cell>
          <cell r="D564" t="str">
            <v>--</v>
          </cell>
          <cell r="E564" t="str">
            <v>Very High</v>
          </cell>
          <cell r="F564" t="str">
            <v>EQ-FLX</v>
          </cell>
        </row>
        <row r="565">
          <cell r="A565" t="str">
            <v>Motilal Oswal Nifty 50 Equal Weight ETF</v>
          </cell>
          <cell r="B565" t="str">
            <v>--</v>
          </cell>
          <cell r="C565" t="str">
            <v>--</v>
          </cell>
          <cell r="D565" t="str">
            <v>--</v>
          </cell>
          <cell r="E565" t="str">
            <v>Very High</v>
          </cell>
          <cell r="F565" t="str">
            <v>EQ-LC</v>
          </cell>
        </row>
        <row r="566">
          <cell r="A566" t="str">
            <v>Motilal Oswal Nifty 50 ETF</v>
          </cell>
          <cell r="B566" t="str">
            <v>--</v>
          </cell>
          <cell r="C566">
            <v>6.47</v>
          </cell>
          <cell r="D566" t="str">
            <v>15/144</v>
          </cell>
          <cell r="E566" t="str">
            <v>Very High</v>
          </cell>
          <cell r="F566" t="str">
            <v>EQ-LC</v>
          </cell>
        </row>
        <row r="567">
          <cell r="A567" t="str">
            <v>Motilal Oswal Nifty 50 Index Fund - Regular Plan</v>
          </cell>
          <cell r="B567">
            <v>3</v>
          </cell>
          <cell r="C567">
            <v>5.93</v>
          </cell>
          <cell r="D567" t="str">
            <v>51/144</v>
          </cell>
          <cell r="E567" t="str">
            <v>Very High</v>
          </cell>
          <cell r="F567" t="str">
            <v>EQ-LC</v>
          </cell>
        </row>
        <row r="568">
          <cell r="A568" t="str">
            <v>Motilal Oswal Nifty Capital Market ETF</v>
          </cell>
          <cell r="B568" t="str">
            <v>--</v>
          </cell>
          <cell r="C568" t="str">
            <v>--</v>
          </cell>
          <cell r="D568" t="str">
            <v>--</v>
          </cell>
          <cell r="E568" t="str">
            <v>Very High</v>
          </cell>
          <cell r="F568" t="str">
            <v>EQ-THEMATIC</v>
          </cell>
        </row>
        <row r="569">
          <cell r="A569" t="str">
            <v>Motilal Oswal Nifty Capital Market Index Fund - Regular Plan</v>
          </cell>
          <cell r="B569" t="str">
            <v>--</v>
          </cell>
          <cell r="C569" t="str">
            <v>--</v>
          </cell>
          <cell r="D569" t="str">
            <v>--</v>
          </cell>
          <cell r="E569" t="str">
            <v>Very High</v>
          </cell>
          <cell r="F569" t="str">
            <v>EQ-THEMATIC</v>
          </cell>
        </row>
        <row r="570">
          <cell r="A570" t="str">
            <v>Motilal Oswal Nifty India Defence ETF</v>
          </cell>
          <cell r="B570" t="str">
            <v>--</v>
          </cell>
          <cell r="C570" t="str">
            <v>--</v>
          </cell>
          <cell r="D570" t="str">
            <v>--</v>
          </cell>
          <cell r="E570" t="str">
            <v>Very High</v>
          </cell>
          <cell r="F570" t="str">
            <v>EQ-THEMATIC</v>
          </cell>
        </row>
        <row r="571">
          <cell r="A571" t="str">
            <v>Motilal Oswal Nifty India Defence Index Fund - Regular Plan</v>
          </cell>
          <cell r="B571" t="str">
            <v>--</v>
          </cell>
          <cell r="C571" t="str">
            <v>--</v>
          </cell>
          <cell r="D571" t="str">
            <v>--</v>
          </cell>
          <cell r="E571" t="str">
            <v>Very High</v>
          </cell>
          <cell r="F571" t="str">
            <v>EQ-THEMATIC</v>
          </cell>
        </row>
        <row r="572">
          <cell r="A572" t="str">
            <v>Motilal Oswal Nifty India Manufacturing ETF</v>
          </cell>
          <cell r="B572" t="str">
            <v>--</v>
          </cell>
          <cell r="C572" t="str">
            <v>--</v>
          </cell>
          <cell r="D572" t="str">
            <v>--</v>
          </cell>
          <cell r="E572" t="str">
            <v>Very High</v>
          </cell>
          <cell r="F572" t="str">
            <v>EQ-THEMATIC</v>
          </cell>
        </row>
        <row r="573">
          <cell r="A573" t="str">
            <v>Motilal Oswal Nifty India Tourism ETF</v>
          </cell>
          <cell r="B573" t="str">
            <v>--</v>
          </cell>
          <cell r="C573" t="str">
            <v>--</v>
          </cell>
          <cell r="D573" t="str">
            <v>--</v>
          </cell>
          <cell r="E573" t="str">
            <v>Very High</v>
          </cell>
          <cell r="F573" t="str">
            <v>EQ-THEMATIC</v>
          </cell>
        </row>
        <row r="574">
          <cell r="A574" t="str">
            <v>Motilal Oswal Nifty Microcap 250 Index Fund - Regular Plan</v>
          </cell>
          <cell r="B574" t="str">
            <v>--</v>
          </cell>
          <cell r="C574">
            <v>0.75</v>
          </cell>
          <cell r="D574" t="str">
            <v>17/44</v>
          </cell>
          <cell r="E574" t="str">
            <v>Very High</v>
          </cell>
          <cell r="F574" t="str">
            <v>EQ-SC</v>
          </cell>
        </row>
        <row r="575">
          <cell r="A575" t="str">
            <v>Motilal Oswal Nifty Midcap 100 ETF</v>
          </cell>
          <cell r="B575" t="str">
            <v>--</v>
          </cell>
          <cell r="C575">
            <v>4.5199999999999996</v>
          </cell>
          <cell r="D575" t="str">
            <v>9/53</v>
          </cell>
          <cell r="E575" t="str">
            <v>Very High</v>
          </cell>
          <cell r="F575" t="str">
            <v>EQ-MC</v>
          </cell>
        </row>
        <row r="576">
          <cell r="A576" t="str">
            <v>Motilal Oswal Nifty Midcap 150 Index Fund - Regular Plan</v>
          </cell>
          <cell r="B576">
            <v>3</v>
          </cell>
          <cell r="C576">
            <v>1.75</v>
          </cell>
          <cell r="D576" t="str">
            <v>26/53</v>
          </cell>
          <cell r="E576" t="str">
            <v>Very High</v>
          </cell>
          <cell r="F576" t="str">
            <v>EQ-MC</v>
          </cell>
        </row>
        <row r="577">
          <cell r="A577" t="str">
            <v>Motilal Oswal Nifty MidSmall IT and Telecom Index Fund - Regular Plan</v>
          </cell>
          <cell r="B577" t="str">
            <v>--</v>
          </cell>
          <cell r="C577" t="str">
            <v>--</v>
          </cell>
          <cell r="D577" t="str">
            <v>--</v>
          </cell>
          <cell r="E577" t="str">
            <v>Very High</v>
          </cell>
          <cell r="F577" t="str">
            <v>EQ-THEMATIC</v>
          </cell>
        </row>
        <row r="578">
          <cell r="A578" t="str">
            <v>Motilal Oswal Nifty Next 50 ETF</v>
          </cell>
          <cell r="B578" t="str">
            <v>--</v>
          </cell>
          <cell r="C578" t="str">
            <v>--</v>
          </cell>
          <cell r="D578" t="str">
            <v>--</v>
          </cell>
          <cell r="E578" t="str">
            <v>Very High</v>
          </cell>
          <cell r="F578" t="str">
            <v>EQ-LC</v>
          </cell>
        </row>
        <row r="579">
          <cell r="A579" t="str">
            <v>Motilal Oswal Nifty Next 50 Index Fund - Regular Plan</v>
          </cell>
          <cell r="B579">
            <v>2</v>
          </cell>
          <cell r="C579">
            <v>-8.16</v>
          </cell>
          <cell r="D579" t="str">
            <v>138/144</v>
          </cell>
          <cell r="E579" t="str">
            <v>Very High</v>
          </cell>
          <cell r="F579" t="str">
            <v>EQ-LC</v>
          </cell>
        </row>
        <row r="580">
          <cell r="A580" t="str">
            <v>Motilal Oswal Nifty Realty ETF</v>
          </cell>
          <cell r="B580" t="str">
            <v>--</v>
          </cell>
          <cell r="C580">
            <v>-11.24</v>
          </cell>
          <cell r="D580" t="str">
            <v>74/78</v>
          </cell>
          <cell r="E580" t="str">
            <v>Very High</v>
          </cell>
          <cell r="F580" t="str">
            <v>EQ-THEMATIC</v>
          </cell>
        </row>
        <row r="581">
          <cell r="A581" t="str">
            <v>Motilal Oswal Nifty Smallcap 250 ETF</v>
          </cell>
          <cell r="B581" t="str">
            <v>--</v>
          </cell>
          <cell r="C581">
            <v>-0.85</v>
          </cell>
          <cell r="D581" t="str">
            <v>21/44</v>
          </cell>
          <cell r="E581" t="str">
            <v>Very High</v>
          </cell>
          <cell r="F581" t="str">
            <v>EQ-SC</v>
          </cell>
        </row>
        <row r="582">
          <cell r="A582" t="str">
            <v>Motilal Oswal Nifty Smallcap 250 Index Fund - Regular Plan</v>
          </cell>
          <cell r="B582">
            <v>1</v>
          </cell>
          <cell r="C582">
            <v>-1.26</v>
          </cell>
          <cell r="D582" t="str">
            <v>25/44</v>
          </cell>
          <cell r="E582" t="str">
            <v>Very High</v>
          </cell>
          <cell r="F582" t="str">
            <v>EQ-SC</v>
          </cell>
        </row>
        <row r="583">
          <cell r="A583" t="str">
            <v>Motilal Oswal Quant Fund - Regular Plan</v>
          </cell>
          <cell r="B583" t="str">
            <v>--</v>
          </cell>
          <cell r="C583" t="str">
            <v>--</v>
          </cell>
          <cell r="D583" t="str">
            <v>--</v>
          </cell>
          <cell r="E583" t="str">
            <v>Very High</v>
          </cell>
          <cell r="F583" t="str">
            <v>EQ-THEMATIC</v>
          </cell>
        </row>
        <row r="584">
          <cell r="A584" t="str">
            <v>Motilal Oswal Services Fund - Regular Plan</v>
          </cell>
          <cell r="B584" t="str">
            <v>--</v>
          </cell>
          <cell r="C584" t="str">
            <v>--</v>
          </cell>
          <cell r="D584" t="str">
            <v>--</v>
          </cell>
          <cell r="E584" t="str">
            <v>Very High</v>
          </cell>
          <cell r="F584" t="str">
            <v>EQ-THEMATIC</v>
          </cell>
        </row>
        <row r="585">
          <cell r="A585" t="str">
            <v>Motilal Oswal Small Cap Fund - Regular Plan</v>
          </cell>
          <cell r="B585" t="str">
            <v>--</v>
          </cell>
          <cell r="C585">
            <v>14.07</v>
          </cell>
          <cell r="D585" t="str">
            <v>1/44</v>
          </cell>
          <cell r="E585" t="str">
            <v>Very High</v>
          </cell>
          <cell r="F585" t="str">
            <v>EQ-SC</v>
          </cell>
        </row>
        <row r="586">
          <cell r="A586" t="str">
            <v>Navi Aggressive Hybrid Fund - Regular Plan</v>
          </cell>
          <cell r="B586">
            <v>2</v>
          </cell>
          <cell r="C586">
            <v>3.63</v>
          </cell>
          <cell r="D586" t="str">
            <v>35/44</v>
          </cell>
          <cell r="E586" t="str">
            <v>Very High</v>
          </cell>
          <cell r="F586" t="str">
            <v>HY-AH</v>
          </cell>
        </row>
        <row r="587">
          <cell r="A587" t="str">
            <v>Navi BSE Sensex Index Fund - Regular Plan</v>
          </cell>
          <cell r="B587" t="str">
            <v>--</v>
          </cell>
          <cell r="C587">
            <v>5.41</v>
          </cell>
          <cell r="D587" t="str">
            <v>67/144</v>
          </cell>
          <cell r="E587" t="str">
            <v>Very High</v>
          </cell>
          <cell r="F587" t="str">
            <v>EQ-LC</v>
          </cell>
        </row>
        <row r="588">
          <cell r="A588" t="str">
            <v>Navi Flexi Cap Fund - Regular Plan</v>
          </cell>
          <cell r="B588">
            <v>2</v>
          </cell>
          <cell r="C588">
            <v>-1.73</v>
          </cell>
          <cell r="D588" t="str">
            <v>76/91</v>
          </cell>
          <cell r="E588" t="str">
            <v>Very High</v>
          </cell>
          <cell r="F588" t="str">
            <v>EQ-FLX</v>
          </cell>
        </row>
        <row r="589">
          <cell r="A589" t="str">
            <v>Navi Large &amp; Midcap Fund</v>
          </cell>
          <cell r="B589">
            <v>1</v>
          </cell>
          <cell r="C589">
            <v>1.44</v>
          </cell>
          <cell r="D589" t="str">
            <v>23/54</v>
          </cell>
          <cell r="E589" t="str">
            <v>Very High</v>
          </cell>
          <cell r="F589" t="str">
            <v>EQ-L&amp;MC</v>
          </cell>
        </row>
        <row r="590">
          <cell r="A590" t="str">
            <v>Navi Nifty 500 Multicap 50:25:25 Index Fund - Regular Plan</v>
          </cell>
          <cell r="B590" t="str">
            <v>--</v>
          </cell>
          <cell r="C590" t="str">
            <v>--</v>
          </cell>
          <cell r="D590" t="str">
            <v>--</v>
          </cell>
          <cell r="E590" t="str">
            <v>Very High</v>
          </cell>
          <cell r="F590" t="str">
            <v>EQ-MLC</v>
          </cell>
        </row>
        <row r="591">
          <cell r="A591" t="str">
            <v>Navi Nifty 50 Index Fund - Regular Plan</v>
          </cell>
          <cell r="B591">
            <v>3</v>
          </cell>
          <cell r="C591">
            <v>6.14</v>
          </cell>
          <cell r="D591" t="str">
            <v>34/144</v>
          </cell>
          <cell r="E591" t="str">
            <v>Very High</v>
          </cell>
          <cell r="F591" t="str">
            <v>EQ-LC</v>
          </cell>
        </row>
        <row r="592">
          <cell r="A592" t="str">
            <v>Navi Nifty India Manufacturing Index Fund - Regular Plan</v>
          </cell>
          <cell r="B592" t="str">
            <v>--</v>
          </cell>
          <cell r="C592">
            <v>-3.99</v>
          </cell>
          <cell r="D592" t="str">
            <v>52/78</v>
          </cell>
          <cell r="E592" t="str">
            <v>Very High</v>
          </cell>
          <cell r="F592" t="str">
            <v>EQ-THEMATIC</v>
          </cell>
        </row>
        <row r="593">
          <cell r="A593" t="str">
            <v>Navi Nifty Midcap 150 Index Fund - Regular Plan</v>
          </cell>
          <cell r="B593">
            <v>3</v>
          </cell>
          <cell r="C593">
            <v>1.38</v>
          </cell>
          <cell r="D593" t="str">
            <v>34/53</v>
          </cell>
          <cell r="E593" t="str">
            <v>Very High</v>
          </cell>
          <cell r="F593" t="str">
            <v>EQ-MC</v>
          </cell>
        </row>
        <row r="594">
          <cell r="A594" t="str">
            <v>Navi Nifty Next 50 Index Fund - Regular Plan</v>
          </cell>
          <cell r="B594">
            <v>2</v>
          </cell>
          <cell r="C594">
            <v>-7.95</v>
          </cell>
          <cell r="D594" t="str">
            <v>133/144</v>
          </cell>
          <cell r="E594" t="str">
            <v>Very High</v>
          </cell>
          <cell r="F594" t="str">
            <v>EQ-LC</v>
          </cell>
        </row>
        <row r="595">
          <cell r="A595" t="str">
            <v>Navi Nifty Smallcap250 Momentum Quality 100 Index Fund - Regular Plan</v>
          </cell>
          <cell r="B595" t="str">
            <v>--</v>
          </cell>
          <cell r="C595" t="str">
            <v>--</v>
          </cell>
          <cell r="D595" t="str">
            <v>--</v>
          </cell>
          <cell r="E595" t="str">
            <v>Very High</v>
          </cell>
          <cell r="F595" t="str">
            <v>EQ-SC</v>
          </cell>
        </row>
        <row r="596">
          <cell r="A596" t="str">
            <v>Nippon India Active Momentum Fund - Regular Plan</v>
          </cell>
          <cell r="B596" t="str">
            <v>--</v>
          </cell>
          <cell r="C596" t="str">
            <v>--</v>
          </cell>
          <cell r="D596" t="str">
            <v>--</v>
          </cell>
          <cell r="E596" t="str">
            <v>Very High</v>
          </cell>
          <cell r="F596" t="str">
            <v>EQ-THEMATIC</v>
          </cell>
        </row>
        <row r="597">
          <cell r="A597" t="str">
            <v>Nippon India Arbitrage Fund</v>
          </cell>
          <cell r="B597">
            <v>3</v>
          </cell>
          <cell r="C597">
            <v>6.76</v>
          </cell>
          <cell r="D597" t="str">
            <v>15/27</v>
          </cell>
          <cell r="E597" t="str">
            <v>Low</v>
          </cell>
          <cell r="F597" t="str">
            <v>HY-AR</v>
          </cell>
        </row>
        <row r="598">
          <cell r="A598" t="str">
            <v>Nippon India Balanced Advantage Fund</v>
          </cell>
          <cell r="B598">
            <v>4</v>
          </cell>
          <cell r="C598">
            <v>5.95</v>
          </cell>
          <cell r="D598" t="str">
            <v>17/36</v>
          </cell>
          <cell r="E598" t="str">
            <v>Very High</v>
          </cell>
          <cell r="F598" t="str">
            <v>HY-DAA</v>
          </cell>
        </row>
        <row r="599">
          <cell r="A599" t="str">
            <v>Nippon India BSE Sensex Next 30 ETF</v>
          </cell>
          <cell r="B599" t="str">
            <v>--</v>
          </cell>
          <cell r="C599" t="str">
            <v>--</v>
          </cell>
          <cell r="D599" t="str">
            <v>--</v>
          </cell>
          <cell r="E599" t="str">
            <v>Very High</v>
          </cell>
          <cell r="F599" t="str">
            <v>EQ-LC</v>
          </cell>
        </row>
        <row r="600">
          <cell r="A600" t="str">
            <v>Nippon India BSE Sensex Next 30 Index Fund - Regular Plan</v>
          </cell>
          <cell r="B600" t="str">
            <v>--</v>
          </cell>
          <cell r="C600" t="str">
            <v>--</v>
          </cell>
          <cell r="D600" t="str">
            <v>--</v>
          </cell>
          <cell r="E600" t="str">
            <v>Very High</v>
          </cell>
          <cell r="F600" t="str">
            <v>EQ-LC</v>
          </cell>
        </row>
        <row r="601">
          <cell r="A601" t="str">
            <v>Nippon India Diversified Equity Flexicap Passive FoF - Regular Plan</v>
          </cell>
          <cell r="B601">
            <v>3</v>
          </cell>
          <cell r="C601">
            <v>1.84</v>
          </cell>
          <cell r="D601" t="str">
            <v>59/91</v>
          </cell>
          <cell r="E601" t="str">
            <v>Very High</v>
          </cell>
          <cell r="F601" t="str">
            <v>EQ-FLX</v>
          </cell>
        </row>
        <row r="602">
          <cell r="A602" t="str">
            <v>Nippon India Equity Hybrid Fund</v>
          </cell>
          <cell r="B602">
            <v>4</v>
          </cell>
          <cell r="C602">
            <v>5.35</v>
          </cell>
          <cell r="D602" t="str">
            <v>25/44</v>
          </cell>
          <cell r="E602" t="str">
            <v>Very High</v>
          </cell>
          <cell r="F602" t="str">
            <v>HY-AH</v>
          </cell>
        </row>
        <row r="603">
          <cell r="A603" t="str">
            <v>Nippon India ETF BSE Sensex</v>
          </cell>
          <cell r="B603" t="str">
            <v>--</v>
          </cell>
          <cell r="C603">
            <v>6.29</v>
          </cell>
          <cell r="D603" t="str">
            <v>23/144</v>
          </cell>
          <cell r="E603" t="str">
            <v>Very High</v>
          </cell>
          <cell r="F603" t="str">
            <v>EQ-LC</v>
          </cell>
        </row>
        <row r="604">
          <cell r="A604" t="str">
            <v>Nippon India ETF BSE Sensex Next 50</v>
          </cell>
          <cell r="B604" t="str">
            <v>--</v>
          </cell>
          <cell r="C604">
            <v>1.06</v>
          </cell>
          <cell r="D604" t="str">
            <v>109/144</v>
          </cell>
          <cell r="E604" t="str">
            <v>Very High</v>
          </cell>
          <cell r="F604" t="str">
            <v>EQ-LC</v>
          </cell>
        </row>
        <row r="605">
          <cell r="A605" t="str">
            <v>Nippon India ETF Nifty 100</v>
          </cell>
          <cell r="B605" t="str">
            <v>--</v>
          </cell>
          <cell r="C605">
            <v>3.42</v>
          </cell>
          <cell r="D605" t="str">
            <v>94/144</v>
          </cell>
          <cell r="E605" t="str">
            <v>Very High</v>
          </cell>
          <cell r="F605" t="str">
            <v>EQ-LC</v>
          </cell>
        </row>
        <row r="606">
          <cell r="A606" t="str">
            <v>Nippon India ETF Nifty 50 BeES</v>
          </cell>
          <cell r="B606" t="str">
            <v>--</v>
          </cell>
          <cell r="C606">
            <v>6.5</v>
          </cell>
          <cell r="D606" t="str">
            <v>6/144</v>
          </cell>
          <cell r="E606" t="str">
            <v>Very High</v>
          </cell>
          <cell r="F606" t="str">
            <v>EQ-LC</v>
          </cell>
        </row>
        <row r="607">
          <cell r="A607" t="str">
            <v>Nippon India ETF Nifty 50 Shariah BeES</v>
          </cell>
          <cell r="B607" t="str">
            <v>--</v>
          </cell>
          <cell r="C607">
            <v>-0.46</v>
          </cell>
          <cell r="D607" t="str">
            <v>114/144</v>
          </cell>
          <cell r="E607" t="str">
            <v>Very High</v>
          </cell>
          <cell r="F607" t="str">
            <v>EQ-LC</v>
          </cell>
        </row>
        <row r="608">
          <cell r="A608" t="str">
            <v>Nippon India ETF Nifty Dividend Opportunities 50</v>
          </cell>
          <cell r="B608" t="str">
            <v>--</v>
          </cell>
          <cell r="C608">
            <v>-1.72</v>
          </cell>
          <cell r="D608" t="str">
            <v>37/78</v>
          </cell>
          <cell r="E608" t="str">
            <v>Very High</v>
          </cell>
          <cell r="F608" t="str">
            <v>EQ-THEMATIC</v>
          </cell>
        </row>
        <row r="609">
          <cell r="A609" t="str">
            <v>Nippon India ETF Nifty Midcap 150</v>
          </cell>
          <cell r="B609" t="str">
            <v>--</v>
          </cell>
          <cell r="C609">
            <v>2.37</v>
          </cell>
          <cell r="D609" t="str">
            <v>23/53</v>
          </cell>
          <cell r="E609" t="str">
            <v>Very High</v>
          </cell>
          <cell r="F609" t="str">
            <v>EQ-MC</v>
          </cell>
        </row>
        <row r="610">
          <cell r="A610" t="str">
            <v>Nippon India ETF Nifty Next 50 Junior BeES</v>
          </cell>
          <cell r="B610" t="str">
            <v>--</v>
          </cell>
          <cell r="C610">
            <v>-7.42</v>
          </cell>
          <cell r="D610" t="str">
            <v>129/144</v>
          </cell>
          <cell r="E610" t="str">
            <v>Very High</v>
          </cell>
          <cell r="F610" t="str">
            <v>EQ-LC</v>
          </cell>
        </row>
        <row r="611">
          <cell r="A611" t="str">
            <v>Nippon India Flexi Cap Fund - Regular Plan</v>
          </cell>
          <cell r="B611">
            <v>3</v>
          </cell>
          <cell r="C611">
            <v>-0.71</v>
          </cell>
          <cell r="D611" t="str">
            <v>73/91</v>
          </cell>
          <cell r="E611" t="str">
            <v>Very High</v>
          </cell>
          <cell r="F611" t="str">
            <v>EQ-FLX</v>
          </cell>
        </row>
        <row r="612">
          <cell r="A612" t="str">
            <v>Nippon India Focused Equity Fund</v>
          </cell>
          <cell r="B612">
            <v>3</v>
          </cell>
          <cell r="C612">
            <v>3.73</v>
          </cell>
          <cell r="D612" t="str">
            <v>41/91</v>
          </cell>
          <cell r="E612" t="str">
            <v>Very High</v>
          </cell>
          <cell r="F612" t="str">
            <v>EQ-FLX</v>
          </cell>
        </row>
        <row r="613">
          <cell r="A613" t="str">
            <v>Nippon India Growth Fund</v>
          </cell>
          <cell r="B613">
            <v>5</v>
          </cell>
          <cell r="C613">
            <v>4.96</v>
          </cell>
          <cell r="D613" t="str">
            <v>7/53</v>
          </cell>
          <cell r="E613" t="str">
            <v>Very High</v>
          </cell>
          <cell r="F613" t="str">
            <v>EQ-MC</v>
          </cell>
        </row>
        <row r="614">
          <cell r="A614" t="str">
            <v>Nippon India Hybrid Bond Fund</v>
          </cell>
          <cell r="B614">
            <v>3</v>
          </cell>
          <cell r="C614">
            <v>8.5</v>
          </cell>
          <cell r="D614" t="str">
            <v>6/28</v>
          </cell>
          <cell r="E614" t="str">
            <v>High</v>
          </cell>
          <cell r="F614" t="str">
            <v>HY-CH</v>
          </cell>
        </row>
        <row r="615">
          <cell r="A615" t="str">
            <v>Nippon India Index Fund - BSE Sensex Plan</v>
          </cell>
          <cell r="B615">
            <v>3</v>
          </cell>
          <cell r="C615">
            <v>5.8</v>
          </cell>
          <cell r="D615" t="str">
            <v>56/144</v>
          </cell>
          <cell r="E615" t="str">
            <v>Very High</v>
          </cell>
          <cell r="F615" t="str">
            <v>EQ-LC</v>
          </cell>
        </row>
        <row r="616">
          <cell r="A616" t="str">
            <v>Nippon India Index Fund - Nifty 50 Plan</v>
          </cell>
          <cell r="B616">
            <v>3</v>
          </cell>
          <cell r="C616">
            <v>6</v>
          </cell>
          <cell r="D616" t="str">
            <v>45/144</v>
          </cell>
          <cell r="E616" t="str">
            <v>Very High</v>
          </cell>
          <cell r="F616" t="str">
            <v>EQ-LC</v>
          </cell>
        </row>
        <row r="617">
          <cell r="A617" t="str">
            <v>Nippon India Innovation Fund - Regular Plan</v>
          </cell>
          <cell r="B617" t="str">
            <v>--</v>
          </cell>
          <cell r="C617">
            <v>-0.94</v>
          </cell>
          <cell r="D617" t="str">
            <v>33/78</v>
          </cell>
          <cell r="E617" t="str">
            <v>Very High</v>
          </cell>
          <cell r="F617" t="str">
            <v>EQ-THEMATIC</v>
          </cell>
        </row>
        <row r="618">
          <cell r="A618" t="str">
            <v>Nippon India Large Cap Fund</v>
          </cell>
          <cell r="B618">
            <v>5</v>
          </cell>
          <cell r="C618">
            <v>5.19</v>
          </cell>
          <cell r="D618" t="str">
            <v>70/144</v>
          </cell>
          <cell r="E618" t="str">
            <v>Very High</v>
          </cell>
          <cell r="F618" t="str">
            <v>EQ-LC</v>
          </cell>
        </row>
        <row r="619">
          <cell r="A619" t="str">
            <v>Nippon India Multi Asset Active FoF - Regular Plan</v>
          </cell>
          <cell r="B619">
            <v>5</v>
          </cell>
          <cell r="C619">
            <v>11.04</v>
          </cell>
          <cell r="D619" t="str">
            <v>4/37</v>
          </cell>
          <cell r="E619" t="str">
            <v>Very High</v>
          </cell>
          <cell r="F619" t="str">
            <v>HY-MAA</v>
          </cell>
        </row>
        <row r="620">
          <cell r="A620" t="str">
            <v>Nippon India Multi Asset Allocation Fund - Regular Plan</v>
          </cell>
          <cell r="B620">
            <v>3</v>
          </cell>
          <cell r="C620">
            <v>10.32</v>
          </cell>
          <cell r="D620" t="str">
            <v>9/37</v>
          </cell>
          <cell r="E620" t="str">
            <v>Very High</v>
          </cell>
          <cell r="F620" t="str">
            <v>HY-MAA</v>
          </cell>
        </row>
        <row r="621">
          <cell r="A621" t="str">
            <v>Nippon India Multi Cap Fund</v>
          </cell>
          <cell r="B621">
            <v>5</v>
          </cell>
          <cell r="C621">
            <v>2.4</v>
          </cell>
          <cell r="D621" t="str">
            <v>14/25</v>
          </cell>
          <cell r="E621" t="str">
            <v>Very High</v>
          </cell>
          <cell r="F621" t="str">
            <v>EQ-MLC</v>
          </cell>
        </row>
        <row r="622">
          <cell r="A622" t="str">
            <v>Nippon India Nifty 500 Equal Weight Index Fund - Regular Plan</v>
          </cell>
          <cell r="B622" t="str">
            <v>--</v>
          </cell>
          <cell r="C622" t="str">
            <v>--</v>
          </cell>
          <cell r="D622" t="str">
            <v>--</v>
          </cell>
          <cell r="E622" t="str">
            <v>Very High</v>
          </cell>
          <cell r="F622" t="str">
            <v>EQ-MLC</v>
          </cell>
        </row>
        <row r="623">
          <cell r="A623" t="str">
            <v>Nippon India Nifty 500 Low Volatility 50 Index Fund - Regular Plan</v>
          </cell>
          <cell r="B623" t="str">
            <v>--</v>
          </cell>
          <cell r="C623" t="str">
            <v>--</v>
          </cell>
          <cell r="D623" t="str">
            <v>--</v>
          </cell>
          <cell r="E623" t="str">
            <v>Very High</v>
          </cell>
          <cell r="F623" t="str">
            <v>EQ-FLX</v>
          </cell>
        </row>
        <row r="624">
          <cell r="A624" t="str">
            <v>Nippon India Nifty 500 Momentum 50 Index Fund - Regular Plan</v>
          </cell>
          <cell r="B624" t="str">
            <v>--</v>
          </cell>
          <cell r="C624" t="str">
            <v>--</v>
          </cell>
          <cell r="D624" t="str">
            <v>--</v>
          </cell>
          <cell r="E624" t="str">
            <v>Very High</v>
          </cell>
          <cell r="F624" t="str">
            <v>EQ-FLX</v>
          </cell>
        </row>
        <row r="625">
          <cell r="A625" t="str">
            <v>Nippon India Nifty 500 Quality 50 Index Fund - Regular Plan</v>
          </cell>
          <cell r="B625" t="str">
            <v>--</v>
          </cell>
          <cell r="C625" t="str">
            <v>--</v>
          </cell>
          <cell r="D625" t="str">
            <v>--</v>
          </cell>
          <cell r="E625" t="str">
            <v>Very High</v>
          </cell>
          <cell r="F625" t="str">
            <v>EQ-FLX</v>
          </cell>
        </row>
        <row r="626">
          <cell r="A626" t="str">
            <v>Nippon India Nifty Alpha Low Volatility 30 Index Fund - Regular Plan</v>
          </cell>
          <cell r="B626" t="str">
            <v>--</v>
          </cell>
          <cell r="C626">
            <v>-4.2699999999999996</v>
          </cell>
          <cell r="D626" t="str">
            <v>39/54</v>
          </cell>
          <cell r="E626" t="str">
            <v>Very High</v>
          </cell>
          <cell r="F626" t="str">
            <v>EQ-L&amp;MC</v>
          </cell>
        </row>
        <row r="627">
          <cell r="A627" t="str">
            <v>Nippon India Nifty Auto ETF</v>
          </cell>
          <cell r="B627" t="str">
            <v>--</v>
          </cell>
          <cell r="C627">
            <v>-7.22</v>
          </cell>
          <cell r="D627" t="str">
            <v>64/78</v>
          </cell>
          <cell r="E627" t="str">
            <v>Very High</v>
          </cell>
          <cell r="F627" t="str">
            <v>EQ-THEMATIC</v>
          </cell>
        </row>
        <row r="628">
          <cell r="A628" t="str">
            <v>Nippon India Nifty Auto Index Fund - Regular Plan</v>
          </cell>
          <cell r="B628" t="str">
            <v>--</v>
          </cell>
          <cell r="C628" t="str">
            <v>--</v>
          </cell>
          <cell r="D628" t="str">
            <v>--</v>
          </cell>
          <cell r="E628" t="str">
            <v>Very High</v>
          </cell>
          <cell r="F628" t="str">
            <v>EQ-THEMATIC</v>
          </cell>
        </row>
        <row r="629">
          <cell r="A629" t="str">
            <v>Nippon India Nifty Midcap 150 Index Fund - Regular Plan</v>
          </cell>
          <cell r="B629">
            <v>3</v>
          </cell>
          <cell r="C629">
            <v>1.68</v>
          </cell>
          <cell r="D629" t="str">
            <v>28/53</v>
          </cell>
          <cell r="E629" t="str">
            <v>Very High</v>
          </cell>
          <cell r="F629" t="str">
            <v>EQ-MC</v>
          </cell>
        </row>
        <row r="630">
          <cell r="A630" t="str">
            <v>Nippon India Nifty Next 50 Junior BeES FoF - Regular Plan</v>
          </cell>
          <cell r="B630">
            <v>3</v>
          </cell>
          <cell r="C630">
            <v>-7.69</v>
          </cell>
          <cell r="D630" t="str">
            <v>131/144</v>
          </cell>
          <cell r="E630" t="str">
            <v>Very High</v>
          </cell>
          <cell r="F630" t="str">
            <v>EQ-LC</v>
          </cell>
        </row>
        <row r="631">
          <cell r="A631" t="str">
            <v>Nippon India Nifty Realty Index Fund - Regular Plan</v>
          </cell>
          <cell r="B631" t="str">
            <v>--</v>
          </cell>
          <cell r="C631" t="str">
            <v>--</v>
          </cell>
          <cell r="D631" t="str">
            <v>--</v>
          </cell>
          <cell r="E631" t="str">
            <v>Very High</v>
          </cell>
          <cell r="F631" t="str">
            <v>EQ-THEMATIC</v>
          </cell>
        </row>
        <row r="632">
          <cell r="A632" t="str">
            <v>Nippon India Nifty Smallcap 250 Index Fund - Regular Plan</v>
          </cell>
          <cell r="B632">
            <v>2</v>
          </cell>
          <cell r="C632">
            <v>-1.88</v>
          </cell>
          <cell r="D632" t="str">
            <v>36/44</v>
          </cell>
          <cell r="E632" t="str">
            <v>Very High</v>
          </cell>
          <cell r="F632" t="str">
            <v>EQ-SC</v>
          </cell>
        </row>
        <row r="633">
          <cell r="A633" t="str">
            <v>Nippon India Quant Fund - Retail Plan</v>
          </cell>
          <cell r="B633" t="str">
            <v>--</v>
          </cell>
          <cell r="C633">
            <v>4.5599999999999996</v>
          </cell>
          <cell r="D633" t="str">
            <v>16/78</v>
          </cell>
          <cell r="E633" t="str">
            <v>Very High</v>
          </cell>
          <cell r="F633" t="str">
            <v>EQ-THEMATIC</v>
          </cell>
        </row>
        <row r="634">
          <cell r="A634" t="str">
            <v>Nippon India Retirement Fund - Income Generation Scheme</v>
          </cell>
          <cell r="B634">
            <v>2</v>
          </cell>
          <cell r="C634">
            <v>6.29</v>
          </cell>
          <cell r="D634" t="str">
            <v>20/28</v>
          </cell>
          <cell r="E634" t="str">
            <v>Moderately High</v>
          </cell>
          <cell r="F634" t="str">
            <v>HY-CH</v>
          </cell>
        </row>
        <row r="635">
          <cell r="A635" t="str">
            <v>Nippon India Retirement Fund - Wealth Creation Scheme</v>
          </cell>
          <cell r="B635">
            <v>3</v>
          </cell>
          <cell r="C635">
            <v>1.01</v>
          </cell>
          <cell r="D635" t="str">
            <v>67/91</v>
          </cell>
          <cell r="E635" t="str">
            <v>Very High</v>
          </cell>
          <cell r="F635" t="str">
            <v>EQ-FLX</v>
          </cell>
        </row>
        <row r="636">
          <cell r="A636" t="str">
            <v>Nippon India Small Cap Fund</v>
          </cell>
          <cell r="B636">
            <v>5</v>
          </cell>
          <cell r="C636">
            <v>-1.87</v>
          </cell>
          <cell r="D636" t="str">
            <v>35/44</v>
          </cell>
          <cell r="E636" t="str">
            <v>Very High</v>
          </cell>
          <cell r="F636" t="str">
            <v>EQ-SC</v>
          </cell>
        </row>
        <row r="637">
          <cell r="A637" t="str">
            <v>Nippon India Vision Fund</v>
          </cell>
          <cell r="B637">
            <v>4</v>
          </cell>
          <cell r="C637">
            <v>4.76</v>
          </cell>
          <cell r="D637" t="str">
            <v>10/54</v>
          </cell>
          <cell r="E637" t="str">
            <v>Very High</v>
          </cell>
          <cell r="F637" t="str">
            <v>EQ-L&amp;MC</v>
          </cell>
        </row>
        <row r="638">
          <cell r="A638" t="str">
            <v>NJ Arbitrage Fund - Regular Plan</v>
          </cell>
          <cell r="B638" t="str">
            <v>--</v>
          </cell>
          <cell r="C638">
            <v>6.04</v>
          </cell>
          <cell r="D638" t="str">
            <v>26/27</v>
          </cell>
          <cell r="E638" t="str">
            <v>Low</v>
          </cell>
          <cell r="F638" t="str">
            <v>HY-AR</v>
          </cell>
        </row>
        <row r="639">
          <cell r="A639" t="str">
            <v>NJ Balanced Advantage Fund - Regular Plan</v>
          </cell>
          <cell r="B639">
            <v>2</v>
          </cell>
          <cell r="C639">
            <v>0.15</v>
          </cell>
          <cell r="D639" t="str">
            <v>31/36</v>
          </cell>
          <cell r="E639" t="str">
            <v>Very High</v>
          </cell>
          <cell r="F639" t="str">
            <v>HY-DAA</v>
          </cell>
        </row>
        <row r="640">
          <cell r="A640" t="str">
            <v>NJ Flexi Cap Fund - Regular Plan</v>
          </cell>
          <cell r="B640" t="str">
            <v>--</v>
          </cell>
          <cell r="C640">
            <v>-5.87</v>
          </cell>
          <cell r="D640" t="str">
            <v>85/91</v>
          </cell>
          <cell r="E640" t="str">
            <v>Very High</v>
          </cell>
          <cell r="F640" t="str">
            <v>EQ-FLX</v>
          </cell>
        </row>
        <row r="641">
          <cell r="A641" t="str">
            <v>Old Bridge Focused Equity Fund - Regular Plan</v>
          </cell>
          <cell r="B641" t="str">
            <v>--</v>
          </cell>
          <cell r="C641">
            <v>6.69</v>
          </cell>
          <cell r="D641" t="str">
            <v>20/91</v>
          </cell>
          <cell r="E641" t="str">
            <v>Very High</v>
          </cell>
          <cell r="F641" t="str">
            <v>EQ-FLX</v>
          </cell>
        </row>
        <row r="642">
          <cell r="A642" t="str">
            <v>Parag Parikh Arbitrage Fund - Regular Plan</v>
          </cell>
          <cell r="B642" t="str">
            <v>--</v>
          </cell>
          <cell r="C642">
            <v>6.78</v>
          </cell>
          <cell r="D642" t="str">
            <v>14/27</v>
          </cell>
          <cell r="E642" t="str">
            <v>Low</v>
          </cell>
          <cell r="F642" t="str">
            <v>HY-AR</v>
          </cell>
        </row>
        <row r="643">
          <cell r="A643" t="str">
            <v>Parag Parikh Conservative Hybrid Fund - Regular Plan</v>
          </cell>
          <cell r="B643">
            <v>5</v>
          </cell>
          <cell r="C643">
            <v>9.43</v>
          </cell>
          <cell r="D643" t="str">
            <v>3/28</v>
          </cell>
          <cell r="E643" t="str">
            <v>Moderately High</v>
          </cell>
          <cell r="F643" t="str">
            <v>HY-CH</v>
          </cell>
        </row>
        <row r="644">
          <cell r="A644" t="str">
            <v>Parag Parikh Dynamic Asset Allocation Fund - Regular Plan</v>
          </cell>
          <cell r="B644" t="str">
            <v>--</v>
          </cell>
          <cell r="C644">
            <v>8.1</v>
          </cell>
          <cell r="D644" t="str">
            <v>6/36</v>
          </cell>
          <cell r="E644" t="str">
            <v>Moderate</v>
          </cell>
          <cell r="F644" t="str">
            <v>HY-DAA</v>
          </cell>
        </row>
        <row r="645">
          <cell r="A645" t="str">
            <v>Parag Parikh Flexi Cap Fund - Regular Plan</v>
          </cell>
          <cell r="B645">
            <v>5</v>
          </cell>
          <cell r="C645">
            <v>11.39</v>
          </cell>
          <cell r="D645" t="str">
            <v>1/91</v>
          </cell>
          <cell r="E645" t="str">
            <v>Very High</v>
          </cell>
          <cell r="F645" t="str">
            <v>EQ-FLX</v>
          </cell>
        </row>
        <row r="646">
          <cell r="A646" t="str">
            <v>PGIM India Aggressive Hybrid Equity Fund</v>
          </cell>
          <cell r="B646">
            <v>2</v>
          </cell>
          <cell r="C646">
            <v>5.37</v>
          </cell>
          <cell r="D646" t="str">
            <v>24/44</v>
          </cell>
          <cell r="E646" t="str">
            <v>Very High</v>
          </cell>
          <cell r="F646" t="str">
            <v>HY-AH</v>
          </cell>
        </row>
        <row r="647">
          <cell r="A647" t="str">
            <v>PGIM India Arbitrage Fund - Regular Plan</v>
          </cell>
          <cell r="B647">
            <v>2</v>
          </cell>
          <cell r="C647">
            <v>6.7</v>
          </cell>
          <cell r="D647" t="str">
            <v>18/27</v>
          </cell>
          <cell r="E647" t="str">
            <v>Low</v>
          </cell>
          <cell r="F647" t="str">
            <v>HY-AR</v>
          </cell>
        </row>
        <row r="648">
          <cell r="A648" t="str">
            <v>PGIM India Balanced Advantage Fund - Regular Plan</v>
          </cell>
          <cell r="B648">
            <v>1</v>
          </cell>
          <cell r="C648">
            <v>5.86</v>
          </cell>
          <cell r="D648" t="str">
            <v>18/36</v>
          </cell>
          <cell r="E648" t="str">
            <v>Very High</v>
          </cell>
          <cell r="F648" t="str">
            <v>HY-DAA</v>
          </cell>
        </row>
        <row r="649">
          <cell r="A649" t="str">
            <v>PGIM India Flexi Cap Fund - Regular Plan</v>
          </cell>
          <cell r="B649">
            <v>2</v>
          </cell>
          <cell r="C649">
            <v>5.26</v>
          </cell>
          <cell r="D649" t="str">
            <v>26/91</v>
          </cell>
          <cell r="E649" t="str">
            <v>Very High</v>
          </cell>
          <cell r="F649" t="str">
            <v>EQ-FLX</v>
          </cell>
        </row>
        <row r="650">
          <cell r="A650" t="str">
            <v>PGIM India Large and Mid Cap Fund - Regular Plan</v>
          </cell>
          <cell r="B650" t="str">
            <v>--</v>
          </cell>
          <cell r="C650">
            <v>7.28</v>
          </cell>
          <cell r="D650" t="str">
            <v>4/54</v>
          </cell>
          <cell r="E650" t="str">
            <v>Very High</v>
          </cell>
          <cell r="F650" t="str">
            <v>EQ-L&amp;MC</v>
          </cell>
        </row>
        <row r="651">
          <cell r="A651" t="str">
            <v>PGIM India Large Cap Fund</v>
          </cell>
          <cell r="B651">
            <v>1</v>
          </cell>
          <cell r="C651">
            <v>4.22</v>
          </cell>
          <cell r="D651" t="str">
            <v>84/144</v>
          </cell>
          <cell r="E651" t="str">
            <v>Very High</v>
          </cell>
          <cell r="F651" t="str">
            <v>EQ-LC</v>
          </cell>
        </row>
        <row r="652">
          <cell r="A652" t="str">
            <v>PGIM India Midcap Fund - Regular Plan</v>
          </cell>
          <cell r="B652">
            <v>2</v>
          </cell>
          <cell r="C652">
            <v>2.83</v>
          </cell>
          <cell r="D652" t="str">
            <v>16/53</v>
          </cell>
          <cell r="E652" t="str">
            <v>Very High</v>
          </cell>
          <cell r="F652" t="str">
            <v>EQ-MC</v>
          </cell>
        </row>
        <row r="653">
          <cell r="A653" t="str">
            <v>PGIM India Multi Cap Fund - Regular Plan</v>
          </cell>
          <cell r="B653" t="str">
            <v>--</v>
          </cell>
          <cell r="C653" t="str">
            <v>--</v>
          </cell>
          <cell r="D653" t="str">
            <v>--</v>
          </cell>
          <cell r="E653" t="str">
            <v>Very High</v>
          </cell>
          <cell r="F653" t="str">
            <v>EQ-MLC</v>
          </cell>
        </row>
        <row r="654">
          <cell r="A654" t="str">
            <v>PGIM India Retirement Fund - Regular Plan</v>
          </cell>
          <cell r="B654" t="str">
            <v>--</v>
          </cell>
          <cell r="C654">
            <v>7.85</v>
          </cell>
          <cell r="D654" t="str">
            <v>3/25</v>
          </cell>
          <cell r="E654" t="str">
            <v>Very High</v>
          </cell>
          <cell r="F654" t="str">
            <v>EQ-MLC</v>
          </cell>
        </row>
        <row r="655">
          <cell r="A655" t="str">
            <v>PGIM India Small Cap Fund - Regular Plan</v>
          </cell>
          <cell r="B655">
            <v>1</v>
          </cell>
          <cell r="C655">
            <v>2.92</v>
          </cell>
          <cell r="D655" t="str">
            <v>8/44</v>
          </cell>
          <cell r="E655" t="str">
            <v>Very High</v>
          </cell>
          <cell r="F655" t="str">
            <v>EQ-SC</v>
          </cell>
        </row>
        <row r="656">
          <cell r="A656" t="str">
            <v>Quant Absolute Fund</v>
          </cell>
          <cell r="B656">
            <v>3</v>
          </cell>
          <cell r="C656">
            <v>-3.28</v>
          </cell>
          <cell r="D656" t="str">
            <v>43/44</v>
          </cell>
          <cell r="E656" t="str">
            <v>Very High</v>
          </cell>
          <cell r="F656" t="str">
            <v>HY-AH</v>
          </cell>
        </row>
        <row r="657">
          <cell r="A657" t="str">
            <v>Quant Active Fund</v>
          </cell>
          <cell r="B657">
            <v>1</v>
          </cell>
          <cell r="C657">
            <v>-12.58</v>
          </cell>
          <cell r="D657" t="str">
            <v>25/25</v>
          </cell>
          <cell r="E657" t="str">
            <v>Very High</v>
          </cell>
          <cell r="F657" t="str">
            <v>EQ-MLC</v>
          </cell>
        </row>
        <row r="658">
          <cell r="A658" t="str">
            <v>Quant Arbitrage Fund - Regular Plan</v>
          </cell>
          <cell r="B658" t="str">
            <v>--</v>
          </cell>
          <cell r="C658" t="str">
            <v>--</v>
          </cell>
          <cell r="D658" t="str">
            <v>--</v>
          </cell>
          <cell r="E658" t="str">
            <v>Low</v>
          </cell>
          <cell r="F658" t="str">
            <v>HY-AR</v>
          </cell>
        </row>
        <row r="659">
          <cell r="A659" t="str">
            <v>Quant Business Cycle Fund - Regular Plan</v>
          </cell>
          <cell r="B659" t="str">
            <v>--</v>
          </cell>
          <cell r="C659">
            <v>-8.08</v>
          </cell>
          <cell r="D659" t="str">
            <v>69/78</v>
          </cell>
          <cell r="E659" t="str">
            <v>Very High</v>
          </cell>
          <cell r="F659" t="str">
            <v>EQ-THEMATIC</v>
          </cell>
        </row>
        <row r="660">
          <cell r="A660" t="str">
            <v>Quant Commodities Fund - Regular Plan</v>
          </cell>
          <cell r="B660" t="str">
            <v>--</v>
          </cell>
          <cell r="C660">
            <v>-2.12</v>
          </cell>
          <cell r="D660" t="str">
            <v>40/78</v>
          </cell>
          <cell r="E660" t="str">
            <v>Very High</v>
          </cell>
          <cell r="F660" t="str">
            <v>EQ-THEMATIC</v>
          </cell>
        </row>
        <row r="661">
          <cell r="A661" t="str">
            <v>Quant Dynamic Asset Allocation Fund - Regular Plan</v>
          </cell>
          <cell r="B661" t="str">
            <v>--</v>
          </cell>
          <cell r="C661">
            <v>-2.66</v>
          </cell>
          <cell r="D661" t="str">
            <v>33/36</v>
          </cell>
          <cell r="E661" t="str">
            <v>Very High</v>
          </cell>
          <cell r="F661" t="str">
            <v>HY-DAA</v>
          </cell>
        </row>
        <row r="662">
          <cell r="A662" t="str">
            <v>Quant Flexi Cap Fund</v>
          </cell>
          <cell r="B662">
            <v>3</v>
          </cell>
          <cell r="C662">
            <v>-9.82</v>
          </cell>
          <cell r="D662" t="str">
            <v>89/91</v>
          </cell>
          <cell r="E662" t="str">
            <v>Very High</v>
          </cell>
          <cell r="F662" t="str">
            <v>EQ-FLX</v>
          </cell>
        </row>
        <row r="663">
          <cell r="A663" t="str">
            <v>Quant Focused Fund</v>
          </cell>
          <cell r="B663">
            <v>4</v>
          </cell>
          <cell r="C663">
            <v>-6.2</v>
          </cell>
          <cell r="D663" t="str">
            <v>123/144</v>
          </cell>
          <cell r="E663" t="str">
            <v>Very High</v>
          </cell>
          <cell r="F663" t="str">
            <v>EQ-LC</v>
          </cell>
        </row>
        <row r="664">
          <cell r="A664" t="str">
            <v>Quant Large and Mid Cap Fund</v>
          </cell>
          <cell r="B664">
            <v>3</v>
          </cell>
          <cell r="C664">
            <v>-9.59</v>
          </cell>
          <cell r="D664" t="str">
            <v>43/54</v>
          </cell>
          <cell r="E664" t="str">
            <v>Very High</v>
          </cell>
          <cell r="F664" t="str">
            <v>EQ-L&amp;MC</v>
          </cell>
        </row>
        <row r="665">
          <cell r="A665" t="str">
            <v>Quant Large Cap Fund - Regular Plan</v>
          </cell>
          <cell r="B665" t="str">
            <v>--</v>
          </cell>
          <cell r="C665">
            <v>-4.3</v>
          </cell>
          <cell r="D665" t="str">
            <v>121/144</v>
          </cell>
          <cell r="E665" t="str">
            <v>Very High</v>
          </cell>
          <cell r="F665" t="str">
            <v>EQ-LC</v>
          </cell>
        </row>
        <row r="666">
          <cell r="A666" t="str">
            <v>Quant Manufacturing Fund - Regular Plan</v>
          </cell>
          <cell r="B666" t="str">
            <v>--</v>
          </cell>
          <cell r="C666">
            <v>-11.8</v>
          </cell>
          <cell r="D666" t="str">
            <v>76/78</v>
          </cell>
          <cell r="E666" t="str">
            <v>Very High</v>
          </cell>
          <cell r="F666" t="str">
            <v>EQ-THEMATIC</v>
          </cell>
        </row>
        <row r="667">
          <cell r="A667" t="str">
            <v>Quant Mid Cap Fund</v>
          </cell>
          <cell r="B667">
            <v>3</v>
          </cell>
          <cell r="C667">
            <v>-13</v>
          </cell>
          <cell r="D667" t="str">
            <v>53/53</v>
          </cell>
          <cell r="E667" t="str">
            <v>Very High</v>
          </cell>
          <cell r="F667" t="str">
            <v>EQ-MC</v>
          </cell>
        </row>
        <row r="668">
          <cell r="A668" t="str">
            <v>Quant Momentum Fund - Regular Plan</v>
          </cell>
          <cell r="B668" t="str">
            <v>--</v>
          </cell>
          <cell r="C668">
            <v>-7.77</v>
          </cell>
          <cell r="D668" t="str">
            <v>66/78</v>
          </cell>
          <cell r="E668" t="str">
            <v>Very High</v>
          </cell>
          <cell r="F668" t="str">
            <v>EQ-THEMATIC</v>
          </cell>
        </row>
        <row r="669">
          <cell r="A669" t="str">
            <v>Quant Multi Asset Fund</v>
          </cell>
          <cell r="B669">
            <v>4</v>
          </cell>
          <cell r="C669">
            <v>4.9400000000000004</v>
          </cell>
          <cell r="D669" t="str">
            <v>31/37</v>
          </cell>
          <cell r="E669" t="str">
            <v>High</v>
          </cell>
          <cell r="F669" t="str">
            <v>HY-MAA</v>
          </cell>
        </row>
        <row r="670">
          <cell r="A670" t="str">
            <v>Quant Quantamental Fund - Regular Plan</v>
          </cell>
          <cell r="B670" t="str">
            <v>--</v>
          </cell>
          <cell r="C670">
            <v>-9.48</v>
          </cell>
          <cell r="D670" t="str">
            <v>72/78</v>
          </cell>
          <cell r="E670" t="str">
            <v>Very High</v>
          </cell>
          <cell r="F670" t="str">
            <v>EQ-THEMATIC</v>
          </cell>
        </row>
        <row r="671">
          <cell r="A671" t="str">
            <v>Quant Small Cap Fund</v>
          </cell>
          <cell r="B671">
            <v>5</v>
          </cell>
          <cell r="C671">
            <v>-6.78</v>
          </cell>
          <cell r="D671" t="str">
            <v>42/44</v>
          </cell>
          <cell r="E671" t="str">
            <v>Very High</v>
          </cell>
          <cell r="F671" t="str">
            <v>EQ-SC</v>
          </cell>
        </row>
        <row r="672">
          <cell r="A672" t="str">
            <v>Quantum Equity FoF - Regular Plan</v>
          </cell>
          <cell r="B672">
            <v>3</v>
          </cell>
          <cell r="C672">
            <v>4.63</v>
          </cell>
          <cell r="D672" t="str">
            <v>33/91</v>
          </cell>
          <cell r="E672" t="str">
            <v>Very High</v>
          </cell>
          <cell r="F672" t="str">
            <v>EQ-FLX</v>
          </cell>
        </row>
        <row r="673">
          <cell r="A673" t="str">
            <v>Quantum Ethical Fund - Regular Plan</v>
          </cell>
          <cell r="B673" t="str">
            <v>--</v>
          </cell>
          <cell r="C673" t="str">
            <v>--</v>
          </cell>
          <cell r="D673" t="str">
            <v>--</v>
          </cell>
          <cell r="E673" t="str">
            <v>Very High</v>
          </cell>
          <cell r="F673" t="str">
            <v>EQ-THEMATIC</v>
          </cell>
        </row>
        <row r="674">
          <cell r="A674" t="str">
            <v>Quantum Multi Asset Allocation Fund - Regular Plan</v>
          </cell>
          <cell r="B674" t="str">
            <v>--</v>
          </cell>
          <cell r="C674">
            <v>8.5399999999999991</v>
          </cell>
          <cell r="D674" t="str">
            <v>19/37</v>
          </cell>
          <cell r="E674" t="str">
            <v>High</v>
          </cell>
          <cell r="F674" t="str">
            <v>HY-MAA</v>
          </cell>
        </row>
        <row r="675">
          <cell r="A675" t="str">
            <v>Quantum Multi Asset Fund of Funds - Regular Plan</v>
          </cell>
          <cell r="B675">
            <v>3</v>
          </cell>
          <cell r="C675">
            <v>11.04</v>
          </cell>
          <cell r="D675" t="str">
            <v>5/37</v>
          </cell>
          <cell r="E675" t="str">
            <v>High</v>
          </cell>
          <cell r="F675" t="str">
            <v>HY-MAA</v>
          </cell>
        </row>
        <row r="676">
          <cell r="A676" t="str">
            <v>Quantum Nifty 50 ETF</v>
          </cell>
          <cell r="B676" t="str">
            <v>--</v>
          </cell>
          <cell r="C676">
            <v>6.43</v>
          </cell>
          <cell r="D676" t="str">
            <v>20/144</v>
          </cell>
          <cell r="E676" t="str">
            <v>Very High</v>
          </cell>
          <cell r="F676" t="str">
            <v>EQ-LC</v>
          </cell>
        </row>
        <row r="677">
          <cell r="A677" t="str">
            <v>Quantum Nifty 50 ETF FoF - Regular Plan</v>
          </cell>
          <cell r="B677" t="str">
            <v>--</v>
          </cell>
          <cell r="C677">
            <v>6.25</v>
          </cell>
          <cell r="D677" t="str">
            <v>29/144</v>
          </cell>
          <cell r="E677" t="str">
            <v>Very High</v>
          </cell>
          <cell r="F677" t="str">
            <v>EQ-LC</v>
          </cell>
        </row>
        <row r="678">
          <cell r="A678" t="str">
            <v>Quantum Small Cap Fund - Regular Plan</v>
          </cell>
          <cell r="B678" t="str">
            <v>--</v>
          </cell>
          <cell r="C678">
            <v>5.75</v>
          </cell>
          <cell r="D678" t="str">
            <v>6/44</v>
          </cell>
          <cell r="E678" t="str">
            <v>Very High</v>
          </cell>
          <cell r="F678" t="str">
            <v>EQ-SC</v>
          </cell>
        </row>
        <row r="679">
          <cell r="A679" t="str">
            <v>Samco Active Momentum Fund - Regular Plan</v>
          </cell>
          <cell r="B679" t="str">
            <v>--</v>
          </cell>
          <cell r="C679">
            <v>0.44</v>
          </cell>
          <cell r="D679" t="str">
            <v>30/78</v>
          </cell>
          <cell r="E679" t="str">
            <v>Very High</v>
          </cell>
          <cell r="F679" t="str">
            <v>EQ-THEMATIC</v>
          </cell>
        </row>
        <row r="680">
          <cell r="A680" t="str">
            <v>Samco Arbitrage Fund - Regular Plan</v>
          </cell>
          <cell r="B680" t="str">
            <v>--</v>
          </cell>
          <cell r="C680" t="str">
            <v>--</v>
          </cell>
          <cell r="D680" t="str">
            <v>--</v>
          </cell>
          <cell r="E680" t="str">
            <v>Low</v>
          </cell>
          <cell r="F680" t="str">
            <v>HY-AR</v>
          </cell>
        </row>
        <row r="681">
          <cell r="A681" t="str">
            <v>Samco Dynamic Asset Allocation Fund - Regular Plan</v>
          </cell>
          <cell r="B681" t="str">
            <v>--</v>
          </cell>
          <cell r="C681">
            <v>-3.55</v>
          </cell>
          <cell r="D681" t="str">
            <v>34/36</v>
          </cell>
          <cell r="E681" t="str">
            <v>Very High</v>
          </cell>
          <cell r="F681" t="str">
            <v>HY-DAA</v>
          </cell>
        </row>
        <row r="682">
          <cell r="A682" t="str">
            <v>Samco Flexi Cap Fund - Regular Plan</v>
          </cell>
          <cell r="B682">
            <v>1</v>
          </cell>
          <cell r="C682">
            <v>-14.81</v>
          </cell>
          <cell r="D682" t="str">
            <v>91/91</v>
          </cell>
          <cell r="E682" t="str">
            <v>Very High</v>
          </cell>
          <cell r="F682" t="str">
            <v>EQ-FLX</v>
          </cell>
        </row>
        <row r="683">
          <cell r="A683" t="str">
            <v>Samco Large Cap Fund - Regular Plan</v>
          </cell>
          <cell r="B683" t="str">
            <v>--</v>
          </cell>
          <cell r="C683" t="str">
            <v>--</v>
          </cell>
          <cell r="D683" t="str">
            <v>--</v>
          </cell>
          <cell r="E683" t="str">
            <v>Very High</v>
          </cell>
          <cell r="F683" t="str">
            <v>EQ-LC</v>
          </cell>
        </row>
        <row r="684">
          <cell r="A684" t="str">
            <v>Samco Large &amp; Mid Cap Fund - Regular Plan</v>
          </cell>
          <cell r="B684" t="str">
            <v>--</v>
          </cell>
          <cell r="C684" t="str">
            <v>--</v>
          </cell>
          <cell r="D684" t="str">
            <v>--</v>
          </cell>
          <cell r="E684" t="str">
            <v>Very High</v>
          </cell>
          <cell r="F684" t="str">
            <v>EQ-L&amp;MC</v>
          </cell>
        </row>
        <row r="685">
          <cell r="A685" t="str">
            <v>Samco Multi Asset Allocation Fund - Regular Plan</v>
          </cell>
          <cell r="B685" t="str">
            <v>--</v>
          </cell>
          <cell r="C685" t="str">
            <v>--</v>
          </cell>
          <cell r="D685" t="str">
            <v>--</v>
          </cell>
          <cell r="E685" t="str">
            <v>Very High</v>
          </cell>
          <cell r="F685" t="str">
            <v>HY-MAA</v>
          </cell>
        </row>
        <row r="686">
          <cell r="A686" t="str">
            <v>Samco Multi Cap Fund - Regular Plan</v>
          </cell>
          <cell r="B686" t="str">
            <v>--</v>
          </cell>
          <cell r="C686" t="str">
            <v>--</v>
          </cell>
          <cell r="D686" t="str">
            <v>--</v>
          </cell>
          <cell r="E686" t="str">
            <v>Very High</v>
          </cell>
          <cell r="F686" t="str">
            <v>EQ-MLC</v>
          </cell>
        </row>
        <row r="687">
          <cell r="A687" t="str">
            <v>Samco Special Opportunities Fund - Regular Plan</v>
          </cell>
          <cell r="B687" t="str">
            <v>--</v>
          </cell>
          <cell r="C687">
            <v>-19.23</v>
          </cell>
          <cell r="D687" t="str">
            <v>78/78</v>
          </cell>
          <cell r="E687" t="str">
            <v>Very High</v>
          </cell>
          <cell r="F687" t="str">
            <v>EQ-THEMATIC</v>
          </cell>
        </row>
        <row r="688">
          <cell r="A688" t="str">
            <v>SBI Arbitrage Opportunities Fund</v>
          </cell>
          <cell r="B688">
            <v>4</v>
          </cell>
          <cell r="C688">
            <v>7.04</v>
          </cell>
          <cell r="D688" t="str">
            <v>4/27</v>
          </cell>
          <cell r="E688" t="str">
            <v>Low</v>
          </cell>
          <cell r="F688" t="str">
            <v>HY-AR</v>
          </cell>
        </row>
        <row r="689">
          <cell r="A689" t="str">
            <v>SBI Automotive Opportunities Fund - Regular Plan</v>
          </cell>
          <cell r="B689" t="str">
            <v>--</v>
          </cell>
          <cell r="C689">
            <v>-9.61</v>
          </cell>
          <cell r="D689" t="str">
            <v>73/78</v>
          </cell>
          <cell r="E689" t="str">
            <v>Very High</v>
          </cell>
          <cell r="F689" t="str">
            <v>EQ-THEMATIC</v>
          </cell>
        </row>
        <row r="690">
          <cell r="A690" t="str">
            <v>SBI Balanced Advantage Fund - Regular Plan</v>
          </cell>
          <cell r="B690">
            <v>5</v>
          </cell>
          <cell r="C690">
            <v>6.02</v>
          </cell>
          <cell r="D690" t="str">
            <v>16/36</v>
          </cell>
          <cell r="E690" t="str">
            <v>Very High</v>
          </cell>
          <cell r="F690" t="str">
            <v>HY-DAA</v>
          </cell>
        </row>
        <row r="691">
          <cell r="A691" t="str">
            <v>SBI Bluechip Fund</v>
          </cell>
          <cell r="B691">
            <v>4</v>
          </cell>
          <cell r="C691">
            <v>5.0999999999999996</v>
          </cell>
          <cell r="D691" t="str">
            <v>73/144</v>
          </cell>
          <cell r="E691" t="str">
            <v>Very High</v>
          </cell>
          <cell r="F691" t="str">
            <v>EQ-LC</v>
          </cell>
        </row>
        <row r="692">
          <cell r="A692" t="str">
            <v>SBI BSE 100 ETF</v>
          </cell>
          <cell r="B692" t="str">
            <v>--</v>
          </cell>
          <cell r="C692">
            <v>4.83</v>
          </cell>
          <cell r="D692" t="str">
            <v>74/144</v>
          </cell>
          <cell r="E692" t="str">
            <v>Very High</v>
          </cell>
          <cell r="F692" t="str">
            <v>EQ-LC</v>
          </cell>
        </row>
        <row r="693">
          <cell r="A693" t="str">
            <v>SBI BSE Sensex ETF</v>
          </cell>
          <cell r="B693" t="str">
            <v>--</v>
          </cell>
          <cell r="C693">
            <v>6.27</v>
          </cell>
          <cell r="D693" t="str">
            <v>28/144</v>
          </cell>
          <cell r="E693" t="str">
            <v>Very High</v>
          </cell>
          <cell r="F693" t="str">
            <v>EQ-LC</v>
          </cell>
        </row>
        <row r="694">
          <cell r="A694" t="str">
            <v>SBI BSE Sensex Index Fund - Regular Plan</v>
          </cell>
          <cell r="B694" t="str">
            <v>--</v>
          </cell>
          <cell r="C694">
            <v>5.77</v>
          </cell>
          <cell r="D694" t="str">
            <v>57/144</v>
          </cell>
          <cell r="E694" t="str">
            <v>Very High</v>
          </cell>
          <cell r="F694" t="str">
            <v>EQ-LC</v>
          </cell>
        </row>
        <row r="695">
          <cell r="A695" t="str">
            <v>SBI BSE Sensex Next 50 ETF</v>
          </cell>
          <cell r="B695" t="str">
            <v>--</v>
          </cell>
          <cell r="C695">
            <v>1.1299999999999999</v>
          </cell>
          <cell r="D695" t="str">
            <v>108/144</v>
          </cell>
          <cell r="E695" t="str">
            <v>Very High</v>
          </cell>
          <cell r="F695" t="str">
            <v>EQ-LC</v>
          </cell>
        </row>
        <row r="696">
          <cell r="A696" t="str">
            <v>SBI Conservative Hybrid Fund</v>
          </cell>
          <cell r="B696">
            <v>5</v>
          </cell>
          <cell r="C696">
            <v>6.49</v>
          </cell>
          <cell r="D696" t="str">
            <v>18/28</v>
          </cell>
          <cell r="E696" t="str">
            <v>High</v>
          </cell>
          <cell r="F696" t="str">
            <v>HY-CH</v>
          </cell>
        </row>
        <row r="697">
          <cell r="A697" t="str">
            <v>SBI Equity Hybrid Fund</v>
          </cell>
          <cell r="B697">
            <v>3</v>
          </cell>
          <cell r="C697">
            <v>10.88</v>
          </cell>
          <cell r="D697" t="str">
            <v>1/44</v>
          </cell>
          <cell r="E697" t="str">
            <v>Very High</v>
          </cell>
          <cell r="F697" t="str">
            <v>HY-AH</v>
          </cell>
        </row>
        <row r="698">
          <cell r="A698" t="str">
            <v>SBI Equity Minimum Variance Fund - Regular Plan</v>
          </cell>
          <cell r="B698" t="str">
            <v>--</v>
          </cell>
          <cell r="C698">
            <v>0.99</v>
          </cell>
          <cell r="D698" t="str">
            <v>27/78</v>
          </cell>
          <cell r="E698" t="str">
            <v>Very High</v>
          </cell>
          <cell r="F698" t="str">
            <v>EQ-THEMATIC</v>
          </cell>
        </row>
        <row r="699">
          <cell r="A699" t="str">
            <v>SBI Flexicap Fund</v>
          </cell>
          <cell r="B699">
            <v>3</v>
          </cell>
          <cell r="C699">
            <v>1.3</v>
          </cell>
          <cell r="D699" t="str">
            <v>66/91</v>
          </cell>
          <cell r="E699" t="str">
            <v>Very High</v>
          </cell>
          <cell r="F699" t="str">
            <v>EQ-FLX</v>
          </cell>
        </row>
        <row r="700">
          <cell r="A700" t="str">
            <v>SBI Focused Equity Fund</v>
          </cell>
          <cell r="B700">
            <v>3</v>
          </cell>
          <cell r="C700">
            <v>8.01</v>
          </cell>
          <cell r="D700" t="str">
            <v>11/91</v>
          </cell>
          <cell r="E700" t="str">
            <v>Very High</v>
          </cell>
          <cell r="F700" t="str">
            <v>EQ-FLX</v>
          </cell>
        </row>
        <row r="701">
          <cell r="A701" t="str">
            <v>SBI Innovative Opportunities Fund - Regular Plan</v>
          </cell>
          <cell r="B701" t="str">
            <v>--</v>
          </cell>
          <cell r="C701" t="str">
            <v>--</v>
          </cell>
          <cell r="D701" t="str">
            <v>--</v>
          </cell>
          <cell r="E701" t="str">
            <v>Very High</v>
          </cell>
          <cell r="F701" t="str">
            <v>EQ-THEMATIC</v>
          </cell>
        </row>
        <row r="702">
          <cell r="A702" t="str">
            <v>SBI Large &amp; Midcap Fund</v>
          </cell>
          <cell r="B702">
            <v>4</v>
          </cell>
          <cell r="C702">
            <v>4.8600000000000003</v>
          </cell>
          <cell r="D702" t="str">
            <v>9/54</v>
          </cell>
          <cell r="E702" t="str">
            <v>Very High</v>
          </cell>
          <cell r="F702" t="str">
            <v>EQ-L&amp;MC</v>
          </cell>
        </row>
        <row r="703">
          <cell r="A703" t="str">
            <v>SBI Magnum Children's Benefit Fund - Investment Plan - Regular Plan</v>
          </cell>
          <cell r="B703">
            <v>5</v>
          </cell>
          <cell r="C703">
            <v>8.02</v>
          </cell>
          <cell r="D703" t="str">
            <v>5/44</v>
          </cell>
          <cell r="E703" t="str">
            <v>Very High</v>
          </cell>
          <cell r="F703" t="str">
            <v>HY-AH</v>
          </cell>
        </row>
        <row r="704">
          <cell r="A704" t="str">
            <v>SBI Magnum Children's Benefit Fund - Savings Plan</v>
          </cell>
          <cell r="B704">
            <v>5</v>
          </cell>
          <cell r="C704">
            <v>9.7200000000000006</v>
          </cell>
          <cell r="D704" t="str">
            <v>1/28</v>
          </cell>
          <cell r="E704" t="str">
            <v>Moderately High</v>
          </cell>
          <cell r="F704" t="str">
            <v>HY-CH</v>
          </cell>
        </row>
        <row r="705">
          <cell r="A705" t="str">
            <v>SBI Magnum COMMA Fund</v>
          </cell>
          <cell r="B705" t="str">
            <v>--</v>
          </cell>
          <cell r="C705">
            <v>0.88</v>
          </cell>
          <cell r="D705" t="str">
            <v>29/78</v>
          </cell>
          <cell r="E705" t="str">
            <v>Very High</v>
          </cell>
          <cell r="F705" t="str">
            <v>EQ-THEMATIC</v>
          </cell>
        </row>
        <row r="706">
          <cell r="A706" t="str">
            <v>SBI Magnum Midcap Fund</v>
          </cell>
          <cell r="B706">
            <v>4</v>
          </cell>
          <cell r="C706">
            <v>-0.73</v>
          </cell>
          <cell r="D706" t="str">
            <v>44/53</v>
          </cell>
          <cell r="E706" t="str">
            <v>Very High</v>
          </cell>
          <cell r="F706" t="str">
            <v>EQ-MC</v>
          </cell>
        </row>
        <row r="707">
          <cell r="A707" t="str">
            <v>SBI Multi Asset Allocation Fund</v>
          </cell>
          <cell r="B707">
            <v>4</v>
          </cell>
          <cell r="C707">
            <v>8.6999999999999993</v>
          </cell>
          <cell r="D707" t="str">
            <v>16/37</v>
          </cell>
          <cell r="E707" t="str">
            <v>Very High</v>
          </cell>
          <cell r="F707" t="str">
            <v>HY-MAA</v>
          </cell>
        </row>
        <row r="708">
          <cell r="A708" t="str">
            <v>SBI Multicap Fund - Regular Plan</v>
          </cell>
          <cell r="B708">
            <v>3</v>
          </cell>
          <cell r="C708">
            <v>8.6199999999999992</v>
          </cell>
          <cell r="D708" t="str">
            <v>2/25</v>
          </cell>
          <cell r="E708" t="str">
            <v>Very High</v>
          </cell>
          <cell r="F708" t="str">
            <v>EQ-MLC</v>
          </cell>
        </row>
        <row r="709">
          <cell r="A709" t="str">
            <v>SBI Nifty200 Momentum 30 Index Fund - Regular Plan</v>
          </cell>
          <cell r="B709" t="str">
            <v>--</v>
          </cell>
          <cell r="C709" t="str">
            <v>--</v>
          </cell>
          <cell r="D709" t="str">
            <v>--</v>
          </cell>
          <cell r="E709" t="str">
            <v>Very High</v>
          </cell>
          <cell r="F709" t="str">
            <v>EQ-L&amp;MC</v>
          </cell>
        </row>
        <row r="710">
          <cell r="A710" t="str">
            <v>SBI Nifty 200 Quality 30 ETF</v>
          </cell>
          <cell r="B710" t="str">
            <v>--</v>
          </cell>
          <cell r="C710">
            <v>1.02</v>
          </cell>
          <cell r="D710" t="str">
            <v>30/54</v>
          </cell>
          <cell r="E710" t="str">
            <v>Very High</v>
          </cell>
          <cell r="F710" t="str">
            <v>EQ-L&amp;MC</v>
          </cell>
        </row>
        <row r="711">
          <cell r="A711" t="str">
            <v>SBI Nifty200 Quality 30 Index Fund - Regular Plan</v>
          </cell>
          <cell r="B711" t="str">
            <v>--</v>
          </cell>
          <cell r="C711" t="str">
            <v>--</v>
          </cell>
          <cell r="D711" t="str">
            <v>--</v>
          </cell>
          <cell r="E711" t="str">
            <v>Very High</v>
          </cell>
          <cell r="F711" t="str">
            <v>EQ-L&amp;MC</v>
          </cell>
        </row>
        <row r="712">
          <cell r="A712" t="str">
            <v>SBI Nifty 500 Index Fund - Regular Plan</v>
          </cell>
          <cell r="B712" t="str">
            <v>--</v>
          </cell>
          <cell r="C712" t="str">
            <v>--</v>
          </cell>
          <cell r="D712" t="str">
            <v>--</v>
          </cell>
          <cell r="E712" t="str">
            <v>Very High</v>
          </cell>
          <cell r="F712" t="str">
            <v>EQ-FLX</v>
          </cell>
        </row>
        <row r="713">
          <cell r="A713" t="str">
            <v>SBI Nifty 50 Equal Weight ETF</v>
          </cell>
          <cell r="B713" t="str">
            <v>--</v>
          </cell>
          <cell r="C713" t="str">
            <v>--</v>
          </cell>
          <cell r="D713" t="str">
            <v>--</v>
          </cell>
          <cell r="E713" t="str">
            <v>Very High</v>
          </cell>
          <cell r="F713" t="str">
            <v>EQ-LC</v>
          </cell>
        </row>
        <row r="714">
          <cell r="A714" t="str">
            <v>SBI Nifty50 Equal Weight Index Fund - Regular Plan</v>
          </cell>
          <cell r="B714" t="str">
            <v>--</v>
          </cell>
          <cell r="C714">
            <v>3.93</v>
          </cell>
          <cell r="D714" t="str">
            <v>88/144</v>
          </cell>
          <cell r="E714" t="str">
            <v>Very High</v>
          </cell>
          <cell r="F714" t="str">
            <v>EQ-LC</v>
          </cell>
        </row>
        <row r="715">
          <cell r="A715" t="str">
            <v>SBI Nifty 50 ETF</v>
          </cell>
          <cell r="B715" t="str">
            <v>--</v>
          </cell>
          <cell r="C715">
            <v>6.48</v>
          </cell>
          <cell r="D715" t="str">
            <v>13/144</v>
          </cell>
          <cell r="E715" t="str">
            <v>Very High</v>
          </cell>
          <cell r="F715" t="str">
            <v>EQ-LC</v>
          </cell>
        </row>
        <row r="716">
          <cell r="A716" t="str">
            <v>SBI Nifty Index Fund</v>
          </cell>
          <cell r="B716">
            <v>3</v>
          </cell>
          <cell r="C716">
            <v>6.01</v>
          </cell>
          <cell r="D716" t="str">
            <v>43/144</v>
          </cell>
          <cell r="E716" t="str">
            <v>Very High</v>
          </cell>
          <cell r="F716" t="str">
            <v>EQ-LC</v>
          </cell>
        </row>
        <row r="717">
          <cell r="A717" t="str">
            <v>SBI Nifty Midcap 150 Index Fund - Regular Plan</v>
          </cell>
          <cell r="B717" t="str">
            <v>--</v>
          </cell>
          <cell r="C717">
            <v>1.65</v>
          </cell>
          <cell r="D717" t="str">
            <v>29/53</v>
          </cell>
          <cell r="E717" t="str">
            <v>Very High</v>
          </cell>
          <cell r="F717" t="str">
            <v>EQ-MC</v>
          </cell>
        </row>
        <row r="718">
          <cell r="A718" t="str">
            <v>SBI Nifty Next 50 ETF</v>
          </cell>
          <cell r="B718" t="str">
            <v>--</v>
          </cell>
          <cell r="C718">
            <v>-7.39</v>
          </cell>
          <cell r="D718" t="str">
            <v>128/144</v>
          </cell>
          <cell r="E718" t="str">
            <v>Very High</v>
          </cell>
          <cell r="F718" t="str">
            <v>EQ-LC</v>
          </cell>
        </row>
        <row r="719">
          <cell r="A719" t="str">
            <v>SBI Nifty Next 50 Index Fund - Regular Plan</v>
          </cell>
          <cell r="B719">
            <v>2</v>
          </cell>
          <cell r="C719">
            <v>-8.0299999999999994</v>
          </cell>
          <cell r="D719" t="str">
            <v>136/144</v>
          </cell>
          <cell r="E719" t="str">
            <v>Very High</v>
          </cell>
          <cell r="F719" t="str">
            <v>EQ-LC</v>
          </cell>
        </row>
        <row r="720">
          <cell r="A720" t="str">
            <v>SBI Nifty Smallcap 250 Index Fund - Regular Plan</v>
          </cell>
          <cell r="B720" t="str">
            <v>--</v>
          </cell>
          <cell r="C720">
            <v>-1.38</v>
          </cell>
          <cell r="D720" t="str">
            <v>29/44</v>
          </cell>
          <cell r="E720" t="str">
            <v>Very High</v>
          </cell>
          <cell r="F720" t="str">
            <v>EQ-SC</v>
          </cell>
        </row>
        <row r="721">
          <cell r="A721" t="str">
            <v>SBI Quant Fund - Regular Plan</v>
          </cell>
          <cell r="B721" t="str">
            <v>--</v>
          </cell>
          <cell r="C721" t="str">
            <v>--</v>
          </cell>
          <cell r="D721" t="str">
            <v>--</v>
          </cell>
          <cell r="E721" t="str">
            <v>Very High</v>
          </cell>
          <cell r="F721" t="str">
            <v>EQ-THEMATIC</v>
          </cell>
        </row>
        <row r="722">
          <cell r="A722" t="str">
            <v>SBI Retirement Benefit Fund - Aggressive Hybrid Plan - Regular Plan</v>
          </cell>
          <cell r="B722">
            <v>3</v>
          </cell>
          <cell r="C722">
            <v>0.51</v>
          </cell>
          <cell r="D722" t="str">
            <v>40/44</v>
          </cell>
          <cell r="E722" t="str">
            <v>Very High</v>
          </cell>
          <cell r="F722" t="str">
            <v>HY-AH</v>
          </cell>
        </row>
        <row r="723">
          <cell r="A723" t="str">
            <v>SBI Retirement Benefit Fund - Aggressive Plan - Regular Plan</v>
          </cell>
          <cell r="B723">
            <v>3</v>
          </cell>
          <cell r="C723">
            <v>-1.52</v>
          </cell>
          <cell r="D723" t="str">
            <v>75/91</v>
          </cell>
          <cell r="E723" t="str">
            <v>Very High</v>
          </cell>
          <cell r="F723" t="str">
            <v>EQ-FLX</v>
          </cell>
        </row>
        <row r="724">
          <cell r="A724" t="str">
            <v>SBI Retirement Benefit Fund - Conservative Hybrid Plan - Regular Plan</v>
          </cell>
          <cell r="B724">
            <v>3</v>
          </cell>
          <cell r="C724">
            <v>4.47</v>
          </cell>
          <cell r="D724" t="str">
            <v>27/28</v>
          </cell>
          <cell r="E724" t="str">
            <v>High</v>
          </cell>
          <cell r="F724" t="str">
            <v>HY-CH</v>
          </cell>
        </row>
        <row r="725">
          <cell r="A725" t="str">
            <v>SBI Retirement Benefit Fund - Conservative Plan - Regular Plan</v>
          </cell>
          <cell r="B725">
            <v>4</v>
          </cell>
          <cell r="C725">
            <v>6.94</v>
          </cell>
          <cell r="D725" t="str">
            <v>14/28</v>
          </cell>
          <cell r="E725" t="str">
            <v>Moderately High</v>
          </cell>
          <cell r="F725" t="str">
            <v>HY-CH</v>
          </cell>
        </row>
        <row r="726">
          <cell r="A726" t="str">
            <v>SBI Small Cap Fund</v>
          </cell>
          <cell r="B726">
            <v>3</v>
          </cell>
          <cell r="C726">
            <v>-3.74</v>
          </cell>
          <cell r="D726" t="str">
            <v>39/44</v>
          </cell>
          <cell r="E726" t="str">
            <v>Very High</v>
          </cell>
          <cell r="F726" t="str">
            <v>EQ-SC</v>
          </cell>
        </row>
        <row r="727">
          <cell r="A727" t="str">
            <v>Shriram Aggressive Hybrid Fund</v>
          </cell>
          <cell r="B727">
            <v>1</v>
          </cell>
          <cell r="C727">
            <v>-3.31</v>
          </cell>
          <cell r="D727" t="str">
            <v>44/44</v>
          </cell>
          <cell r="E727" t="str">
            <v>Very High</v>
          </cell>
          <cell r="F727" t="str">
            <v>HY-AH</v>
          </cell>
        </row>
        <row r="728">
          <cell r="A728" t="str">
            <v>Shriram Balanced Advantage Fund - Regular Plan</v>
          </cell>
          <cell r="B728">
            <v>2</v>
          </cell>
          <cell r="C728">
            <v>-4.75</v>
          </cell>
          <cell r="D728" t="str">
            <v>35/36</v>
          </cell>
          <cell r="E728" t="str">
            <v>Very High</v>
          </cell>
          <cell r="F728" t="str">
            <v>HY-DAA</v>
          </cell>
        </row>
        <row r="729">
          <cell r="A729" t="str">
            <v>Shriram Flexi Cap Fund - Regular Plan</v>
          </cell>
          <cell r="B729">
            <v>1</v>
          </cell>
          <cell r="C729">
            <v>-11.72</v>
          </cell>
          <cell r="D729" t="str">
            <v>90/91</v>
          </cell>
          <cell r="E729" t="str">
            <v>Very High</v>
          </cell>
          <cell r="F729" t="str">
            <v>EQ-FLX</v>
          </cell>
        </row>
        <row r="730">
          <cell r="A730" t="str">
            <v>Shriram Multi Asset Allocation Fund - Regular Plan</v>
          </cell>
          <cell r="B730" t="str">
            <v>--</v>
          </cell>
          <cell r="C730">
            <v>-5.01</v>
          </cell>
          <cell r="D730" t="str">
            <v>36/37</v>
          </cell>
          <cell r="E730" t="str">
            <v>Very High</v>
          </cell>
          <cell r="F730" t="str">
            <v>HY-MAA</v>
          </cell>
        </row>
        <row r="731">
          <cell r="A731" t="str">
            <v>Shriram Multi Sector Rotation Fund - Regular Plan</v>
          </cell>
          <cell r="B731" t="str">
            <v>--</v>
          </cell>
          <cell r="C731" t="str">
            <v>--</v>
          </cell>
          <cell r="D731" t="str">
            <v>--</v>
          </cell>
          <cell r="E731" t="str">
            <v>Very High</v>
          </cell>
          <cell r="F731" t="str">
            <v>EQ-THEMATIC</v>
          </cell>
        </row>
        <row r="732">
          <cell r="A732" t="str">
            <v>Sundaram Aggressive Hybrid Fund</v>
          </cell>
          <cell r="B732">
            <v>3</v>
          </cell>
          <cell r="C732">
            <v>5.44</v>
          </cell>
          <cell r="D732" t="str">
            <v>23/44</v>
          </cell>
          <cell r="E732" t="str">
            <v>High</v>
          </cell>
          <cell r="F732" t="str">
            <v>HY-AH</v>
          </cell>
        </row>
        <row r="733">
          <cell r="A733" t="str">
            <v>Sundaram Arbitrage Fund - Regular Plan</v>
          </cell>
          <cell r="B733">
            <v>2</v>
          </cell>
          <cell r="C733">
            <v>6.75</v>
          </cell>
          <cell r="D733" t="str">
            <v>16/27</v>
          </cell>
          <cell r="E733" t="str">
            <v>Low</v>
          </cell>
          <cell r="F733" t="str">
            <v>HY-AR</v>
          </cell>
        </row>
        <row r="734">
          <cell r="A734" t="str">
            <v>Sundaram Balanced Advantage Fund</v>
          </cell>
          <cell r="B734">
            <v>4</v>
          </cell>
          <cell r="C734">
            <v>5.73</v>
          </cell>
          <cell r="D734" t="str">
            <v>20/36</v>
          </cell>
          <cell r="E734" t="str">
            <v>High</v>
          </cell>
          <cell r="F734" t="str">
            <v>HY-DAA</v>
          </cell>
        </row>
        <row r="735">
          <cell r="A735" t="str">
            <v>Sundaram Business Cycle Fund - Regular Plan</v>
          </cell>
          <cell r="B735" t="str">
            <v>--</v>
          </cell>
          <cell r="C735" t="str">
            <v>--</v>
          </cell>
          <cell r="D735" t="str">
            <v>--</v>
          </cell>
          <cell r="E735" t="str">
            <v>Very High</v>
          </cell>
          <cell r="F735" t="str">
            <v>EQ-THEMATIC</v>
          </cell>
        </row>
        <row r="736">
          <cell r="A736" t="str">
            <v>Sundaram Conservative Hybrid Fund</v>
          </cell>
          <cell r="B736">
            <v>3</v>
          </cell>
          <cell r="C736">
            <v>5.95</v>
          </cell>
          <cell r="D736" t="str">
            <v>23/28</v>
          </cell>
          <cell r="E736" t="str">
            <v>Moderately High</v>
          </cell>
          <cell r="F736" t="str">
            <v>HY-CH</v>
          </cell>
        </row>
        <row r="737">
          <cell r="A737" t="str">
            <v>Sundaram Flexi Cap Fund - Regular Plan</v>
          </cell>
          <cell r="B737" t="str">
            <v>--</v>
          </cell>
          <cell r="C737">
            <v>6.46</v>
          </cell>
          <cell r="D737" t="str">
            <v>21/91</v>
          </cell>
          <cell r="E737" t="str">
            <v>Very High</v>
          </cell>
          <cell r="F737" t="str">
            <v>EQ-FLX</v>
          </cell>
        </row>
        <row r="738">
          <cell r="A738" t="str">
            <v>Sundaram Focused Fund</v>
          </cell>
          <cell r="B738">
            <v>3</v>
          </cell>
          <cell r="C738">
            <v>0.95</v>
          </cell>
          <cell r="D738" t="str">
            <v>69/91</v>
          </cell>
          <cell r="E738" t="str">
            <v>Very High</v>
          </cell>
          <cell r="F738" t="str">
            <v>EQ-FLX</v>
          </cell>
        </row>
        <row r="739">
          <cell r="A739" t="str">
            <v>Sundaram Large and Mid Cap Fund</v>
          </cell>
          <cell r="B739">
            <v>2</v>
          </cell>
          <cell r="C739">
            <v>1.32</v>
          </cell>
          <cell r="D739" t="str">
            <v>24/54</v>
          </cell>
          <cell r="E739" t="str">
            <v>Very High</v>
          </cell>
          <cell r="F739" t="str">
            <v>EQ-L&amp;MC</v>
          </cell>
        </row>
        <row r="740">
          <cell r="A740" t="str">
            <v>Sundaram Large Cap Fund - Regular Plan</v>
          </cell>
          <cell r="B740">
            <v>2</v>
          </cell>
          <cell r="C740">
            <v>3.27</v>
          </cell>
          <cell r="D740" t="str">
            <v>95/144</v>
          </cell>
          <cell r="E740" t="str">
            <v>Very High</v>
          </cell>
          <cell r="F740" t="str">
            <v>EQ-LC</v>
          </cell>
        </row>
        <row r="741">
          <cell r="A741" t="str">
            <v>Sundaram Mid Cap Fund - Regular Plan</v>
          </cell>
          <cell r="B741">
            <v>4</v>
          </cell>
          <cell r="C741">
            <v>5.78</v>
          </cell>
          <cell r="D741" t="str">
            <v>5/53</v>
          </cell>
          <cell r="E741" t="str">
            <v>Very High</v>
          </cell>
          <cell r="F741" t="str">
            <v>EQ-MC</v>
          </cell>
        </row>
        <row r="742">
          <cell r="A742" t="str">
            <v>Sundaram Multi Asset Allocation Fund - Regular Plan</v>
          </cell>
          <cell r="B742" t="str">
            <v>--</v>
          </cell>
          <cell r="C742">
            <v>10.5</v>
          </cell>
          <cell r="D742" t="str">
            <v>8/37</v>
          </cell>
          <cell r="E742" t="str">
            <v>High</v>
          </cell>
          <cell r="F742" t="str">
            <v>HY-MAA</v>
          </cell>
        </row>
        <row r="743">
          <cell r="A743" t="str">
            <v>Sundaram Multi Cap Fund</v>
          </cell>
          <cell r="B743">
            <v>2</v>
          </cell>
          <cell r="C743">
            <v>3.5</v>
          </cell>
          <cell r="D743" t="str">
            <v>11/25</v>
          </cell>
          <cell r="E743" t="str">
            <v>Very High</v>
          </cell>
          <cell r="F743" t="str">
            <v>EQ-MLC</v>
          </cell>
        </row>
        <row r="744">
          <cell r="A744" t="str">
            <v>Sundaram Nifty 100 Equal Weight Fund</v>
          </cell>
          <cell r="B744">
            <v>4</v>
          </cell>
          <cell r="C744">
            <v>-1.36</v>
          </cell>
          <cell r="D744" t="str">
            <v>117/144</v>
          </cell>
          <cell r="E744" t="str">
            <v>Very High</v>
          </cell>
          <cell r="F744" t="str">
            <v>EQ-LC</v>
          </cell>
        </row>
        <row r="745">
          <cell r="A745" t="str">
            <v>Sundaram Services Fund - Regular Plan</v>
          </cell>
          <cell r="B745" t="str">
            <v>--</v>
          </cell>
          <cell r="C745">
            <v>14.09</v>
          </cell>
          <cell r="D745" t="str">
            <v>4/78</v>
          </cell>
          <cell r="E745" t="str">
            <v>Very High</v>
          </cell>
          <cell r="F745" t="str">
            <v>EQ-THEMATIC</v>
          </cell>
        </row>
        <row r="746">
          <cell r="A746" t="str">
            <v>Sundaram Small Cap Fund - Regular Plan</v>
          </cell>
          <cell r="B746">
            <v>3</v>
          </cell>
          <cell r="C746">
            <v>2.77</v>
          </cell>
          <cell r="D746" t="str">
            <v>9/44</v>
          </cell>
          <cell r="E746" t="str">
            <v>Very High</v>
          </cell>
          <cell r="F746" t="str">
            <v>EQ-SC</v>
          </cell>
        </row>
        <row r="747">
          <cell r="A747" t="str">
            <v>Tata Arbitrage Fund - Regular Plan</v>
          </cell>
          <cell r="B747">
            <v>4</v>
          </cell>
          <cell r="C747">
            <v>6.94</v>
          </cell>
          <cell r="D747" t="str">
            <v>9/27</v>
          </cell>
          <cell r="E747" t="str">
            <v>Low</v>
          </cell>
          <cell r="F747" t="str">
            <v>HY-AR</v>
          </cell>
        </row>
        <row r="748">
          <cell r="A748" t="str">
            <v>Tata Balanced Advantage Fund - Regular Plan</v>
          </cell>
          <cell r="B748">
            <v>4</v>
          </cell>
          <cell r="C748">
            <v>3.49</v>
          </cell>
          <cell r="D748" t="str">
            <v>27/36</v>
          </cell>
          <cell r="E748" t="str">
            <v>High</v>
          </cell>
          <cell r="F748" t="str">
            <v>HY-DAA</v>
          </cell>
        </row>
        <row r="749">
          <cell r="A749" t="str">
            <v>Tata BSE Quality Index Fund - Regular Plan</v>
          </cell>
          <cell r="B749" t="str">
            <v>--</v>
          </cell>
          <cell r="C749" t="str">
            <v>--</v>
          </cell>
          <cell r="D749" t="str">
            <v>--</v>
          </cell>
          <cell r="E749" t="str">
            <v>Very High</v>
          </cell>
          <cell r="F749" t="str">
            <v>EQ-L&amp;MC</v>
          </cell>
        </row>
        <row r="750">
          <cell r="A750" t="str">
            <v>Tata BSE Select Business Groups Index Fund - Regular Plan</v>
          </cell>
          <cell r="B750" t="str">
            <v>--</v>
          </cell>
          <cell r="C750" t="str">
            <v>--</v>
          </cell>
          <cell r="D750" t="str">
            <v>--</v>
          </cell>
          <cell r="E750" t="str">
            <v>Very High</v>
          </cell>
          <cell r="F750" t="str">
            <v>EQ-THEMATIC</v>
          </cell>
        </row>
        <row r="751">
          <cell r="A751" t="str">
            <v>Tata BSE Sensex Index Fund - Regular Plan</v>
          </cell>
          <cell r="B751">
            <v>2</v>
          </cell>
          <cell r="C751">
            <v>5.64</v>
          </cell>
          <cell r="D751" t="str">
            <v>62/144</v>
          </cell>
          <cell r="E751" t="str">
            <v>Very High</v>
          </cell>
          <cell r="F751" t="str">
            <v>EQ-LC</v>
          </cell>
        </row>
        <row r="752">
          <cell r="A752" t="str">
            <v>Tata Business Cycle Fund - Regular Plan</v>
          </cell>
          <cell r="B752" t="str">
            <v>--</v>
          </cell>
          <cell r="C752">
            <v>-2.95</v>
          </cell>
          <cell r="D752" t="str">
            <v>46/78</v>
          </cell>
          <cell r="E752" t="str">
            <v>Very High</v>
          </cell>
          <cell r="F752" t="str">
            <v>EQ-THEMATIC</v>
          </cell>
        </row>
        <row r="753">
          <cell r="A753" t="str">
            <v>Tata Ethical Fund - Regular Plan</v>
          </cell>
          <cell r="B753" t="str">
            <v>--</v>
          </cell>
          <cell r="C753">
            <v>-4.9400000000000004</v>
          </cell>
          <cell r="D753" t="str">
            <v>55/78</v>
          </cell>
          <cell r="E753" t="str">
            <v>Very High</v>
          </cell>
          <cell r="F753" t="str">
            <v>EQ-THEMATIC</v>
          </cell>
        </row>
        <row r="754">
          <cell r="A754" t="str">
            <v>Tata Flexi Cap Fund - Regular Plan</v>
          </cell>
          <cell r="B754">
            <v>3</v>
          </cell>
          <cell r="C754">
            <v>7.74</v>
          </cell>
          <cell r="D754" t="str">
            <v>12/91</v>
          </cell>
          <cell r="E754" t="str">
            <v>Very High</v>
          </cell>
          <cell r="F754" t="str">
            <v>EQ-FLX</v>
          </cell>
        </row>
        <row r="755">
          <cell r="A755" t="str">
            <v>Tata Focused Equity Fund - Regular Plan</v>
          </cell>
          <cell r="B755">
            <v>3</v>
          </cell>
          <cell r="C755">
            <v>0.74</v>
          </cell>
          <cell r="D755" t="str">
            <v>70/91</v>
          </cell>
          <cell r="E755" t="str">
            <v>Very High</v>
          </cell>
          <cell r="F755" t="str">
            <v>EQ-FLX</v>
          </cell>
        </row>
        <row r="756">
          <cell r="A756" t="str">
            <v>Tata Housing Opportunities Fund - Regular Plan</v>
          </cell>
          <cell r="B756" t="str">
            <v>--</v>
          </cell>
          <cell r="C756">
            <v>-5.82</v>
          </cell>
          <cell r="D756" t="str">
            <v>58/78</v>
          </cell>
          <cell r="E756" t="str">
            <v>Very High</v>
          </cell>
          <cell r="F756" t="str">
            <v>EQ-THEMATIC</v>
          </cell>
        </row>
        <row r="757">
          <cell r="A757" t="str">
            <v>Tata Hybrid Equity Fund - Regular Plan</v>
          </cell>
          <cell r="B757">
            <v>3</v>
          </cell>
          <cell r="C757">
            <v>2.8</v>
          </cell>
          <cell r="D757" t="str">
            <v>37/44</v>
          </cell>
          <cell r="E757" t="str">
            <v>Very High</v>
          </cell>
          <cell r="F757" t="str">
            <v>HY-AH</v>
          </cell>
        </row>
        <row r="758">
          <cell r="A758" t="str">
            <v>Tata India Innovation Fund - Regular Plan</v>
          </cell>
          <cell r="B758" t="str">
            <v>--</v>
          </cell>
          <cell r="C758" t="str">
            <v>--</v>
          </cell>
          <cell r="D758" t="str">
            <v>--</v>
          </cell>
          <cell r="E758" t="str">
            <v>Very High</v>
          </cell>
          <cell r="F758" t="str">
            <v>EQ-THEMATIC</v>
          </cell>
        </row>
        <row r="759">
          <cell r="A759" t="str">
            <v>Tata Large Cap Fund - Regular Plan</v>
          </cell>
          <cell r="B759">
            <v>4</v>
          </cell>
          <cell r="C759">
            <v>1.58</v>
          </cell>
          <cell r="D759" t="str">
            <v>104/144</v>
          </cell>
          <cell r="E759" t="str">
            <v>Very High</v>
          </cell>
          <cell r="F759" t="str">
            <v>EQ-LC</v>
          </cell>
        </row>
        <row r="760">
          <cell r="A760" t="str">
            <v>Tata Large &amp; Mid Cap Fund - Regular Plan</v>
          </cell>
          <cell r="B760">
            <v>3</v>
          </cell>
          <cell r="C760">
            <v>1.46</v>
          </cell>
          <cell r="D760" t="str">
            <v>22/54</v>
          </cell>
          <cell r="E760" t="str">
            <v>Very High</v>
          </cell>
          <cell r="F760" t="str">
            <v>EQ-L&amp;MC</v>
          </cell>
        </row>
        <row r="761">
          <cell r="A761" t="str">
            <v>Tata Midcap Growth Fund - Regular Plan</v>
          </cell>
          <cell r="B761">
            <v>3</v>
          </cell>
          <cell r="C761">
            <v>-2.96</v>
          </cell>
          <cell r="D761" t="str">
            <v>46/53</v>
          </cell>
          <cell r="E761" t="str">
            <v>Very High</v>
          </cell>
          <cell r="F761" t="str">
            <v>EQ-MC</v>
          </cell>
        </row>
        <row r="762">
          <cell r="A762" t="str">
            <v>Tata Multi Asset Opportunities Fund - Regular Plan</v>
          </cell>
          <cell r="B762">
            <v>2</v>
          </cell>
          <cell r="C762">
            <v>5.89</v>
          </cell>
          <cell r="D762" t="str">
            <v>29/37</v>
          </cell>
          <cell r="E762" t="str">
            <v>Very High</v>
          </cell>
          <cell r="F762" t="str">
            <v>HY-MAA</v>
          </cell>
        </row>
        <row r="763">
          <cell r="A763" t="str">
            <v>Tata Multicap Fund - Regular Plan</v>
          </cell>
          <cell r="B763" t="str">
            <v>--</v>
          </cell>
          <cell r="C763">
            <v>-2.99</v>
          </cell>
          <cell r="D763" t="str">
            <v>24/25</v>
          </cell>
          <cell r="E763" t="str">
            <v>Very High</v>
          </cell>
          <cell r="F763" t="str">
            <v>EQ-MLC</v>
          </cell>
        </row>
        <row r="764">
          <cell r="A764" t="str">
            <v>Tata Nifty200 Alpha 30 Index Fund - Regular Plan</v>
          </cell>
          <cell r="B764" t="str">
            <v>--</v>
          </cell>
          <cell r="C764" t="str">
            <v>--</v>
          </cell>
          <cell r="D764" t="str">
            <v>--</v>
          </cell>
          <cell r="E764" t="str">
            <v>Very High</v>
          </cell>
          <cell r="F764" t="str">
            <v>EQ-L&amp;MC</v>
          </cell>
        </row>
        <row r="765">
          <cell r="A765" t="str">
            <v>Tata Nifty500 Multicap India Manufacturing 50:30:20 Index Fund - Regular Plan</v>
          </cell>
          <cell r="B765" t="str">
            <v>--</v>
          </cell>
          <cell r="C765">
            <v>-1.28</v>
          </cell>
          <cell r="D765" t="str">
            <v>34/78</v>
          </cell>
          <cell r="E765" t="str">
            <v>Very High</v>
          </cell>
          <cell r="F765" t="str">
            <v>EQ-THEMATIC</v>
          </cell>
        </row>
        <row r="766">
          <cell r="A766" t="str">
            <v>Tata Nifty 50 Exchange Traded Fund</v>
          </cell>
          <cell r="B766" t="str">
            <v>--</v>
          </cell>
          <cell r="C766">
            <v>6.44</v>
          </cell>
          <cell r="D766" t="str">
            <v>19/144</v>
          </cell>
          <cell r="E766" t="str">
            <v>Very High</v>
          </cell>
          <cell r="F766" t="str">
            <v>EQ-LC</v>
          </cell>
        </row>
        <row r="767">
          <cell r="A767" t="str">
            <v>Tata Nifty 50 Index Fund - Regular Plan</v>
          </cell>
          <cell r="B767">
            <v>3</v>
          </cell>
          <cell r="C767">
            <v>5.85</v>
          </cell>
          <cell r="D767" t="str">
            <v>55/144</v>
          </cell>
          <cell r="E767" t="str">
            <v>Very High</v>
          </cell>
          <cell r="F767" t="str">
            <v>EQ-LC</v>
          </cell>
        </row>
        <row r="768">
          <cell r="A768" t="str">
            <v>Tata Nifty Auto Index Fund - Regular Plan</v>
          </cell>
          <cell r="B768" t="str">
            <v>--</v>
          </cell>
          <cell r="C768">
            <v>-7.99</v>
          </cell>
          <cell r="D768" t="str">
            <v>68/78</v>
          </cell>
          <cell r="E768" t="str">
            <v>Very High</v>
          </cell>
          <cell r="F768" t="str">
            <v>EQ-THEMATIC</v>
          </cell>
        </row>
        <row r="769">
          <cell r="A769" t="str">
            <v>Tata Nifty Capital Markets Index Fund - Regular Plan</v>
          </cell>
          <cell r="B769" t="str">
            <v>--</v>
          </cell>
          <cell r="C769" t="str">
            <v>--</v>
          </cell>
          <cell r="D769" t="str">
            <v>--</v>
          </cell>
          <cell r="E769" t="str">
            <v>Very High</v>
          </cell>
          <cell r="F769" t="str">
            <v>EQ-THEMATIC</v>
          </cell>
        </row>
        <row r="770">
          <cell r="A770" t="str">
            <v>Tata Nifty India Tourism Index Fund - Regular Plan</v>
          </cell>
          <cell r="B770" t="str">
            <v>--</v>
          </cell>
          <cell r="C770" t="str">
            <v>--</v>
          </cell>
          <cell r="D770" t="str">
            <v>--</v>
          </cell>
          <cell r="E770" t="str">
            <v>Very High</v>
          </cell>
          <cell r="F770" t="str">
            <v>EQ-THEMATIC</v>
          </cell>
        </row>
        <row r="771">
          <cell r="A771" t="str">
            <v>Tata Nifty Midcap 150 Index Fund - Regular Plan</v>
          </cell>
          <cell r="B771" t="str">
            <v>--</v>
          </cell>
          <cell r="C771" t="str">
            <v>--</v>
          </cell>
          <cell r="D771" t="str">
            <v>--</v>
          </cell>
          <cell r="E771" t="str">
            <v>Very High</v>
          </cell>
          <cell r="F771" t="str">
            <v>EQ-MC</v>
          </cell>
        </row>
        <row r="772">
          <cell r="A772" t="str">
            <v>Tata Nifty Midcap 150 Momentum 50 Index Fund - Regular Plan</v>
          </cell>
          <cell r="B772" t="str">
            <v>--</v>
          </cell>
          <cell r="C772">
            <v>-3.9</v>
          </cell>
          <cell r="D772" t="str">
            <v>49/53</v>
          </cell>
          <cell r="E772" t="str">
            <v>Very High</v>
          </cell>
          <cell r="F772" t="str">
            <v>EQ-MC</v>
          </cell>
        </row>
        <row r="773">
          <cell r="A773" t="str">
            <v>Tata Nifty Realty Index Fund - Regular Plan</v>
          </cell>
          <cell r="B773" t="str">
            <v>--</v>
          </cell>
          <cell r="C773">
            <v>-12.08</v>
          </cell>
          <cell r="D773" t="str">
            <v>77/78</v>
          </cell>
          <cell r="E773" t="str">
            <v>Very High</v>
          </cell>
          <cell r="F773" t="str">
            <v>EQ-THEMATIC</v>
          </cell>
        </row>
        <row r="774">
          <cell r="A774" t="str">
            <v>Tata Retirement Savings Fund - Conservative Plan - Regular Plan</v>
          </cell>
          <cell r="B774">
            <v>2</v>
          </cell>
          <cell r="C774">
            <v>5.49</v>
          </cell>
          <cell r="D774" t="str">
            <v>25/28</v>
          </cell>
          <cell r="E774" t="str">
            <v>High</v>
          </cell>
          <cell r="F774" t="str">
            <v>HY-CH</v>
          </cell>
        </row>
        <row r="775">
          <cell r="A775" t="str">
            <v>Tata Retirement Savings Fund - Moderate Plan - Regular Plan</v>
          </cell>
          <cell r="B775">
            <v>3</v>
          </cell>
          <cell r="C775">
            <v>6.02</v>
          </cell>
          <cell r="D775" t="str">
            <v>14/44</v>
          </cell>
          <cell r="E775" t="str">
            <v>Very High</v>
          </cell>
          <cell r="F775" t="str">
            <v>HY-AH</v>
          </cell>
        </row>
        <row r="776">
          <cell r="A776" t="str">
            <v>Tata Retirement Savings Fund - Progressive Plan - Regular Plan</v>
          </cell>
          <cell r="B776">
            <v>3</v>
          </cell>
          <cell r="C776">
            <v>4.6100000000000003</v>
          </cell>
          <cell r="D776" t="str">
            <v>34/91</v>
          </cell>
          <cell r="E776" t="str">
            <v>Very High</v>
          </cell>
          <cell r="F776" t="str">
            <v>EQ-FLX</v>
          </cell>
        </row>
        <row r="777">
          <cell r="A777" t="str">
            <v>Tata Small Cap Fund - Regular Plan</v>
          </cell>
          <cell r="B777">
            <v>4</v>
          </cell>
          <cell r="C777">
            <v>2.5099999999999998</v>
          </cell>
          <cell r="D777" t="str">
            <v>10/44</v>
          </cell>
          <cell r="E777" t="str">
            <v>Very High</v>
          </cell>
          <cell r="F777" t="str">
            <v>EQ-SC</v>
          </cell>
        </row>
        <row r="778">
          <cell r="A778" t="str">
            <v>Tata Young Citizens Fund - Regular Plan</v>
          </cell>
          <cell r="B778">
            <v>3</v>
          </cell>
          <cell r="C778">
            <v>3.13</v>
          </cell>
          <cell r="D778" t="str">
            <v>47/91</v>
          </cell>
          <cell r="E778" t="str">
            <v>Very High</v>
          </cell>
          <cell r="F778" t="str">
            <v>EQ-FLX</v>
          </cell>
        </row>
        <row r="779">
          <cell r="A779" t="str">
            <v>Taurus Ethical Fund - Regular Plan</v>
          </cell>
          <cell r="B779" t="str">
            <v>--</v>
          </cell>
          <cell r="C779">
            <v>-0.92</v>
          </cell>
          <cell r="D779" t="str">
            <v>32/78</v>
          </cell>
          <cell r="E779" t="str">
            <v>Very High</v>
          </cell>
          <cell r="F779" t="str">
            <v>EQ-THEMATIC</v>
          </cell>
        </row>
        <row r="780">
          <cell r="A780" t="str">
            <v>Taurus Flexi Cap Fund - Regular Plan</v>
          </cell>
          <cell r="B780">
            <v>2</v>
          </cell>
          <cell r="C780">
            <v>-2.2000000000000002</v>
          </cell>
          <cell r="D780" t="str">
            <v>78/91</v>
          </cell>
          <cell r="E780" t="str">
            <v>Very High</v>
          </cell>
          <cell r="F780" t="str">
            <v>EQ-FLX</v>
          </cell>
        </row>
        <row r="781">
          <cell r="A781" t="str">
            <v>Taurus Large Cap Fund - Regular Plan</v>
          </cell>
          <cell r="B781">
            <v>2</v>
          </cell>
          <cell r="C781">
            <v>1.1499999999999999</v>
          </cell>
          <cell r="D781" t="str">
            <v>107/144</v>
          </cell>
          <cell r="E781" t="str">
            <v>Very High</v>
          </cell>
          <cell r="F781" t="str">
            <v>EQ-LC</v>
          </cell>
        </row>
        <row r="782">
          <cell r="A782" t="str">
            <v>Taurus Mid Cap Fund - Regular Plan</v>
          </cell>
          <cell r="B782">
            <v>1</v>
          </cell>
          <cell r="C782">
            <v>-4.28</v>
          </cell>
          <cell r="D782" t="str">
            <v>50/53</v>
          </cell>
          <cell r="E782" t="str">
            <v>Very High</v>
          </cell>
          <cell r="F782" t="str">
            <v>EQ-MC</v>
          </cell>
        </row>
        <row r="783">
          <cell r="A783" t="str">
            <v>Taurus Nifty 50 Index Fund - Regular Plan</v>
          </cell>
          <cell r="B783">
            <v>3</v>
          </cell>
          <cell r="C783">
            <v>5.31</v>
          </cell>
          <cell r="D783" t="str">
            <v>69/144</v>
          </cell>
          <cell r="E783" t="str">
            <v>Very High</v>
          </cell>
          <cell r="F783" t="str">
            <v>EQ-LC</v>
          </cell>
        </row>
        <row r="784">
          <cell r="A784" t="str">
            <v>TRUSTMF Flexi Cap Fund - Regular Plan</v>
          </cell>
          <cell r="B784" t="str">
            <v>--</v>
          </cell>
          <cell r="C784">
            <v>3.98</v>
          </cell>
          <cell r="D784" t="str">
            <v>40/91</v>
          </cell>
          <cell r="E784" t="str">
            <v>Very High</v>
          </cell>
          <cell r="F784" t="str">
            <v>EQ-FLX</v>
          </cell>
        </row>
        <row r="785">
          <cell r="A785" t="str">
            <v>TRUSTMF Small Cap Fund - Regular Plan</v>
          </cell>
          <cell r="B785" t="str">
            <v>--</v>
          </cell>
          <cell r="C785" t="str">
            <v>--</v>
          </cell>
          <cell r="D785" t="str">
            <v>--</v>
          </cell>
          <cell r="E785" t="str">
            <v>Very High</v>
          </cell>
          <cell r="F785" t="str">
            <v>EQ-SC</v>
          </cell>
        </row>
        <row r="786">
          <cell r="A786" t="str">
            <v>Unifi Dynamic Asset Allocation Fund - Regular Plan</v>
          </cell>
          <cell r="B786" t="str">
            <v>--</v>
          </cell>
          <cell r="C786" t="str">
            <v>--</v>
          </cell>
          <cell r="D786" t="str">
            <v>--</v>
          </cell>
          <cell r="E786" t="str">
            <v>Moderate</v>
          </cell>
          <cell r="F786" t="str">
            <v>HY-DAA</v>
          </cell>
        </row>
        <row r="787">
          <cell r="A787" t="str">
            <v>Unifi Flexi Cap Fund - Regular Plan</v>
          </cell>
          <cell r="B787" t="str">
            <v>--</v>
          </cell>
          <cell r="C787" t="str">
            <v>--</v>
          </cell>
          <cell r="D787" t="str">
            <v>--</v>
          </cell>
          <cell r="E787" t="str">
            <v>Very High</v>
          </cell>
          <cell r="F787" t="str">
            <v>EQ-FLX</v>
          </cell>
        </row>
        <row r="788">
          <cell r="A788" t="str">
            <v>Union Active Momentum Fund - Regular Plan</v>
          </cell>
          <cell r="B788" t="str">
            <v>--</v>
          </cell>
          <cell r="C788" t="str">
            <v>--</v>
          </cell>
          <cell r="D788" t="str">
            <v>--</v>
          </cell>
          <cell r="E788" t="str">
            <v>Very High</v>
          </cell>
          <cell r="F788" t="str">
            <v>EQ-THEMATIC</v>
          </cell>
        </row>
        <row r="789">
          <cell r="A789" t="str">
            <v>Union Aggressive Hybrid Fund - Regular Plan</v>
          </cell>
          <cell r="B789">
            <v>2</v>
          </cell>
          <cell r="C789">
            <v>5.6</v>
          </cell>
          <cell r="D789" t="str">
            <v>21/44</v>
          </cell>
          <cell r="E789" t="str">
            <v>High</v>
          </cell>
          <cell r="F789" t="str">
            <v>HY-AH</v>
          </cell>
        </row>
        <row r="790">
          <cell r="A790" t="str">
            <v>Union Arbitrage Fund - Regular Plan</v>
          </cell>
          <cell r="B790">
            <v>2</v>
          </cell>
          <cell r="C790">
            <v>6.69</v>
          </cell>
          <cell r="D790" t="str">
            <v>19/27</v>
          </cell>
          <cell r="E790" t="str">
            <v>Low</v>
          </cell>
          <cell r="F790" t="str">
            <v>HY-AR</v>
          </cell>
        </row>
        <row r="791">
          <cell r="A791" t="str">
            <v>Union Balanced Advantage Fund - Regular Plan</v>
          </cell>
          <cell r="B791">
            <v>3</v>
          </cell>
          <cell r="C791">
            <v>3.87</v>
          </cell>
          <cell r="D791" t="str">
            <v>26/36</v>
          </cell>
          <cell r="E791" t="str">
            <v>Very High</v>
          </cell>
          <cell r="F791" t="str">
            <v>HY-DAA</v>
          </cell>
        </row>
        <row r="792">
          <cell r="A792" t="str">
            <v>Union Business Cycle Fund - Regular Plan</v>
          </cell>
          <cell r="B792" t="str">
            <v>--</v>
          </cell>
          <cell r="C792">
            <v>-2.33</v>
          </cell>
          <cell r="D792" t="str">
            <v>41/78</v>
          </cell>
          <cell r="E792" t="str">
            <v>Very High</v>
          </cell>
          <cell r="F792" t="str">
            <v>EQ-THEMATIC</v>
          </cell>
        </row>
        <row r="793">
          <cell r="A793" t="str">
            <v>Union Children's Fund - Regular Plan</v>
          </cell>
          <cell r="B793" t="str">
            <v>--</v>
          </cell>
          <cell r="C793">
            <v>6.05</v>
          </cell>
          <cell r="D793" t="str">
            <v>23/91</v>
          </cell>
          <cell r="E793" t="str">
            <v>Very High</v>
          </cell>
          <cell r="F793" t="str">
            <v>EQ-FLX</v>
          </cell>
        </row>
        <row r="794">
          <cell r="A794" t="str">
            <v>Union Flexi Cap Fund</v>
          </cell>
          <cell r="B794">
            <v>3</v>
          </cell>
          <cell r="C794">
            <v>3.24</v>
          </cell>
          <cell r="D794" t="str">
            <v>46/91</v>
          </cell>
          <cell r="E794" t="str">
            <v>Very High</v>
          </cell>
          <cell r="F794" t="str">
            <v>EQ-FLX</v>
          </cell>
        </row>
        <row r="795">
          <cell r="A795" t="str">
            <v>Union Focused Fund - Regular Plan</v>
          </cell>
          <cell r="B795">
            <v>2</v>
          </cell>
          <cell r="C795">
            <v>0.49</v>
          </cell>
          <cell r="D795" t="str">
            <v>71/91</v>
          </cell>
          <cell r="E795" t="str">
            <v>Very High</v>
          </cell>
          <cell r="F795" t="str">
            <v>EQ-FLX</v>
          </cell>
        </row>
        <row r="796">
          <cell r="A796" t="str">
            <v>Union Innovation &amp; Opportunities Fund - Regular Plan</v>
          </cell>
          <cell r="B796" t="str">
            <v>--</v>
          </cell>
          <cell r="C796">
            <v>5.27</v>
          </cell>
          <cell r="D796" t="str">
            <v>13/78</v>
          </cell>
          <cell r="E796" t="str">
            <v>Very High</v>
          </cell>
          <cell r="F796" t="str">
            <v>EQ-THEMATIC</v>
          </cell>
        </row>
        <row r="797">
          <cell r="A797" t="str">
            <v>Union Largecap Fund - Regular Plan</v>
          </cell>
          <cell r="B797">
            <v>2</v>
          </cell>
          <cell r="C797">
            <v>0.09</v>
          </cell>
          <cell r="D797" t="str">
            <v>111/144</v>
          </cell>
          <cell r="E797" t="str">
            <v>Very High</v>
          </cell>
          <cell r="F797" t="str">
            <v>EQ-LC</v>
          </cell>
        </row>
        <row r="798">
          <cell r="A798" t="str">
            <v>Union Large &amp; Midcap Fund - Regular Plan</v>
          </cell>
          <cell r="B798">
            <v>2</v>
          </cell>
          <cell r="C798">
            <v>1.3</v>
          </cell>
          <cell r="D798" t="str">
            <v>25/54</v>
          </cell>
          <cell r="E798" t="str">
            <v>Very High</v>
          </cell>
          <cell r="F798" t="str">
            <v>EQ-L&amp;MC</v>
          </cell>
        </row>
        <row r="799">
          <cell r="A799" t="str">
            <v>Union Midcap Fund - Regular Plan</v>
          </cell>
          <cell r="B799">
            <v>3</v>
          </cell>
          <cell r="C799">
            <v>2.5099999999999998</v>
          </cell>
          <cell r="D799" t="str">
            <v>19/53</v>
          </cell>
          <cell r="E799" t="str">
            <v>Very High</v>
          </cell>
          <cell r="F799" t="str">
            <v>EQ-MC</v>
          </cell>
        </row>
        <row r="800">
          <cell r="A800" t="str">
            <v>Union Multi Asset Allocation Fund - Regular Plan</v>
          </cell>
          <cell r="B800" t="str">
            <v>--</v>
          </cell>
          <cell r="C800" t="str">
            <v>--</v>
          </cell>
          <cell r="D800" t="str">
            <v>--</v>
          </cell>
          <cell r="E800" t="str">
            <v>Very High</v>
          </cell>
          <cell r="F800" t="str">
            <v>HY-MAA</v>
          </cell>
        </row>
        <row r="801">
          <cell r="A801" t="str">
            <v>Union Multicap Fund - Regular Plan</v>
          </cell>
          <cell r="B801" t="str">
            <v>--</v>
          </cell>
          <cell r="C801">
            <v>2.2000000000000002</v>
          </cell>
          <cell r="D801" t="str">
            <v>15/25</v>
          </cell>
          <cell r="E801" t="str">
            <v>Very High</v>
          </cell>
          <cell r="F801" t="str">
            <v>EQ-MLC</v>
          </cell>
        </row>
        <row r="802">
          <cell r="A802" t="str">
            <v>Union Retirement Fund - Regular Plan</v>
          </cell>
          <cell r="B802" t="str">
            <v>--</v>
          </cell>
          <cell r="C802">
            <v>3.73</v>
          </cell>
          <cell r="D802" t="str">
            <v>42/91</v>
          </cell>
          <cell r="E802" t="str">
            <v>Very High</v>
          </cell>
          <cell r="F802" t="str">
            <v>EQ-FLX</v>
          </cell>
        </row>
        <row r="803">
          <cell r="A803" t="str">
            <v>Union Small Cap Fund - Regular Plan</v>
          </cell>
          <cell r="B803">
            <v>2</v>
          </cell>
          <cell r="C803">
            <v>0.54</v>
          </cell>
          <cell r="D803" t="str">
            <v>18/44</v>
          </cell>
          <cell r="E803" t="str">
            <v>Very High</v>
          </cell>
          <cell r="F803" t="str">
            <v>EQ-SC</v>
          </cell>
        </row>
        <row r="804">
          <cell r="A804" t="str">
            <v>UTI Aggressive Hybrid Fund - Regular Plan</v>
          </cell>
          <cell r="B804">
            <v>5</v>
          </cell>
          <cell r="C804">
            <v>6.92</v>
          </cell>
          <cell r="D804" t="str">
            <v>9/44</v>
          </cell>
          <cell r="E804" t="str">
            <v>Very High</v>
          </cell>
          <cell r="F804" t="str">
            <v>HY-AH</v>
          </cell>
        </row>
        <row r="805">
          <cell r="A805" t="str">
            <v>UTI Arbitrage Fund - Regular Plan</v>
          </cell>
          <cell r="B805">
            <v>4</v>
          </cell>
          <cell r="C805">
            <v>7.12</v>
          </cell>
          <cell r="D805" t="str">
            <v>1/27</v>
          </cell>
          <cell r="E805" t="str">
            <v>Low</v>
          </cell>
          <cell r="F805" t="str">
            <v>HY-AR</v>
          </cell>
        </row>
        <row r="806">
          <cell r="A806" t="str">
            <v>UTI Balanced Advantage Fund - Regular Plan</v>
          </cell>
          <cell r="B806" t="str">
            <v>--</v>
          </cell>
          <cell r="C806">
            <v>8.23</v>
          </cell>
          <cell r="D806" t="str">
            <v>5/36</v>
          </cell>
          <cell r="E806" t="str">
            <v>Very High</v>
          </cell>
          <cell r="F806" t="str">
            <v>HY-DAA</v>
          </cell>
        </row>
        <row r="807">
          <cell r="A807" t="str">
            <v>UTI BSE Housing Index Fund - Regular Plan</v>
          </cell>
          <cell r="B807" t="str">
            <v>--</v>
          </cell>
          <cell r="C807">
            <v>-8.18</v>
          </cell>
          <cell r="D807" t="str">
            <v>70/78</v>
          </cell>
          <cell r="E807" t="str">
            <v>Very High</v>
          </cell>
          <cell r="F807" t="str">
            <v>EQ-THEMATIC</v>
          </cell>
        </row>
        <row r="808">
          <cell r="A808" t="str">
            <v>UTI BSE Low Volatility Index Fund - Regular Plan</v>
          </cell>
          <cell r="B808">
            <v>3</v>
          </cell>
          <cell r="C808">
            <v>0.36</v>
          </cell>
          <cell r="D808" t="str">
            <v>32/54</v>
          </cell>
          <cell r="E808" t="str">
            <v>Very High</v>
          </cell>
          <cell r="F808" t="str">
            <v>EQ-L&amp;MC</v>
          </cell>
        </row>
        <row r="809">
          <cell r="A809" t="str">
            <v>UTI BSE Sensex ETF</v>
          </cell>
          <cell r="B809" t="str">
            <v>--</v>
          </cell>
          <cell r="C809">
            <v>6.28</v>
          </cell>
          <cell r="D809" t="str">
            <v>25/144</v>
          </cell>
          <cell r="E809" t="str">
            <v>Very High</v>
          </cell>
          <cell r="F809" t="str">
            <v>EQ-LC</v>
          </cell>
        </row>
        <row r="810">
          <cell r="A810" t="str">
            <v>UTI BSE Sensex Index Fund - Regular Plan</v>
          </cell>
          <cell r="B810">
            <v>4</v>
          </cell>
          <cell r="C810">
            <v>5.98</v>
          </cell>
          <cell r="D810" t="str">
            <v>48/144</v>
          </cell>
          <cell r="E810" t="str">
            <v>Very High</v>
          </cell>
          <cell r="F810" t="str">
            <v>EQ-LC</v>
          </cell>
        </row>
        <row r="811">
          <cell r="A811" t="str">
            <v>UTI BSE Sensex Next 50 ETF</v>
          </cell>
          <cell r="B811" t="str">
            <v>--</v>
          </cell>
          <cell r="C811">
            <v>1.17</v>
          </cell>
          <cell r="D811" t="str">
            <v>106/144</v>
          </cell>
          <cell r="E811" t="str">
            <v>Very High</v>
          </cell>
          <cell r="F811" t="str">
            <v>EQ-LC</v>
          </cell>
        </row>
        <row r="812">
          <cell r="A812" t="str">
            <v>UTI Children's Equity Fund - Regular Plan</v>
          </cell>
          <cell r="B812">
            <v>2</v>
          </cell>
          <cell r="C812">
            <v>1.38</v>
          </cell>
          <cell r="D812" t="str">
            <v>65/91</v>
          </cell>
          <cell r="E812" t="str">
            <v>Very High</v>
          </cell>
          <cell r="F812" t="str">
            <v>EQ-FLX</v>
          </cell>
        </row>
        <row r="813">
          <cell r="A813" t="str">
            <v>UTI Children's Hybrid Fund - Regular Plan</v>
          </cell>
          <cell r="B813" t="str">
            <v>--</v>
          </cell>
          <cell r="C813">
            <v>6.21</v>
          </cell>
          <cell r="D813" t="str">
            <v>5/6</v>
          </cell>
          <cell r="E813" t="str">
            <v>High</v>
          </cell>
          <cell r="F813" t="str">
            <v>HY-BH</v>
          </cell>
        </row>
        <row r="814">
          <cell r="A814" t="str">
            <v>UTI Conservative Hybrid Fund - Regular Plan</v>
          </cell>
          <cell r="B814">
            <v>4</v>
          </cell>
          <cell r="C814">
            <v>8.26</v>
          </cell>
          <cell r="D814" t="str">
            <v>7/28</v>
          </cell>
          <cell r="E814" t="str">
            <v>Moderately High</v>
          </cell>
          <cell r="F814" t="str">
            <v>HY-CH</v>
          </cell>
        </row>
        <row r="815">
          <cell r="A815" t="str">
            <v>UTI Flexi Cap Fund - Regular Plan</v>
          </cell>
          <cell r="B815">
            <v>1</v>
          </cell>
          <cell r="C815">
            <v>7.63</v>
          </cell>
          <cell r="D815" t="str">
            <v>13/91</v>
          </cell>
          <cell r="E815" t="str">
            <v>Very High</v>
          </cell>
          <cell r="F815" t="str">
            <v>EQ-FLX</v>
          </cell>
        </row>
        <row r="816">
          <cell r="A816" t="str">
            <v>UTI Focused Fund - Regular Plan</v>
          </cell>
          <cell r="B816">
            <v>3</v>
          </cell>
          <cell r="C816">
            <v>1.4</v>
          </cell>
          <cell r="D816" t="str">
            <v>63/91</v>
          </cell>
          <cell r="E816" t="str">
            <v>Very High</v>
          </cell>
          <cell r="F816" t="str">
            <v>EQ-FLX</v>
          </cell>
        </row>
        <row r="817">
          <cell r="A817" t="str">
            <v>UTI Innovation Fund - Regular Plan</v>
          </cell>
          <cell r="B817" t="str">
            <v>--</v>
          </cell>
          <cell r="C817">
            <v>1.1100000000000001</v>
          </cell>
          <cell r="D817" t="str">
            <v>26/78</v>
          </cell>
          <cell r="E817" t="str">
            <v>Very High</v>
          </cell>
          <cell r="F817" t="str">
            <v>EQ-THEMATIC</v>
          </cell>
        </row>
        <row r="818">
          <cell r="A818" t="str">
            <v>UTI Large Cap Fund - Regular Plan</v>
          </cell>
          <cell r="B818">
            <v>2</v>
          </cell>
          <cell r="C818">
            <v>4.4000000000000004</v>
          </cell>
          <cell r="D818" t="str">
            <v>80/144</v>
          </cell>
          <cell r="E818" t="str">
            <v>Very High</v>
          </cell>
          <cell r="F818" t="str">
            <v>EQ-LC</v>
          </cell>
        </row>
        <row r="819">
          <cell r="A819" t="str">
            <v>UTI Large &amp; Mid Cap Fund - Regular Plan</v>
          </cell>
          <cell r="B819">
            <v>5</v>
          </cell>
          <cell r="C819">
            <v>6.5</v>
          </cell>
          <cell r="D819" t="str">
            <v>7/54</v>
          </cell>
          <cell r="E819" t="str">
            <v>Very High</v>
          </cell>
          <cell r="F819" t="str">
            <v>EQ-L&amp;MC</v>
          </cell>
        </row>
        <row r="820">
          <cell r="A820" t="str">
            <v>UTI Mid Cap Fund - Regular Plan</v>
          </cell>
          <cell r="B820">
            <v>2</v>
          </cell>
          <cell r="C820">
            <v>0.45</v>
          </cell>
          <cell r="D820" t="str">
            <v>37/53</v>
          </cell>
          <cell r="E820" t="str">
            <v>Very High</v>
          </cell>
          <cell r="F820" t="str">
            <v>EQ-MC</v>
          </cell>
        </row>
        <row r="821">
          <cell r="A821" t="str">
            <v>UTI Multi Asset Allocation Fund - Regular Plan</v>
          </cell>
          <cell r="B821">
            <v>4</v>
          </cell>
          <cell r="C821">
            <v>6.98</v>
          </cell>
          <cell r="D821" t="str">
            <v>25/37</v>
          </cell>
          <cell r="E821" t="str">
            <v>Very High</v>
          </cell>
          <cell r="F821" t="str">
            <v>HY-MAA</v>
          </cell>
        </row>
        <row r="822">
          <cell r="A822" t="str">
            <v>UTI Multi Cap Fund - Regular Plan</v>
          </cell>
          <cell r="B822" t="str">
            <v>--</v>
          </cell>
          <cell r="C822" t="str">
            <v>--</v>
          </cell>
          <cell r="D822" t="str">
            <v>--</v>
          </cell>
          <cell r="E822" t="str">
            <v>Very High</v>
          </cell>
          <cell r="F822" t="str">
            <v>EQ-MLC</v>
          </cell>
        </row>
        <row r="823">
          <cell r="A823" t="str">
            <v>UTI Nifty200 Momentum 30 Index Fund - Regular Plan</v>
          </cell>
          <cell r="B823">
            <v>1</v>
          </cell>
          <cell r="C823">
            <v>-12.85</v>
          </cell>
          <cell r="D823" t="str">
            <v>47/54</v>
          </cell>
          <cell r="E823" t="str">
            <v>Very High</v>
          </cell>
          <cell r="F823" t="str">
            <v>EQ-L&amp;MC</v>
          </cell>
        </row>
        <row r="824">
          <cell r="A824" t="str">
            <v>UTI Nifty200 Quality 30 Index Fund - Regular Plan</v>
          </cell>
          <cell r="B824" t="str">
            <v>--</v>
          </cell>
          <cell r="C824" t="str">
            <v>--</v>
          </cell>
          <cell r="D824" t="str">
            <v>--</v>
          </cell>
          <cell r="E824" t="str">
            <v>Very High</v>
          </cell>
          <cell r="F824" t="str">
            <v>EQ-L&amp;MC</v>
          </cell>
        </row>
        <row r="825">
          <cell r="A825" t="str">
            <v>UTI NIFTY50 Equal Weight Index Fund - Regular Plan</v>
          </cell>
          <cell r="B825" t="str">
            <v>--</v>
          </cell>
          <cell r="C825">
            <v>3.88</v>
          </cell>
          <cell r="D825" t="str">
            <v>90/144</v>
          </cell>
          <cell r="E825" t="str">
            <v>Very High</v>
          </cell>
          <cell r="F825" t="str">
            <v>EQ-LC</v>
          </cell>
        </row>
        <row r="826">
          <cell r="A826" t="str">
            <v>UTI Nifty 50 ETF</v>
          </cell>
          <cell r="B826" t="str">
            <v>--</v>
          </cell>
          <cell r="C826">
            <v>6.49</v>
          </cell>
          <cell r="D826" t="str">
            <v>7/144</v>
          </cell>
          <cell r="E826" t="str">
            <v>Very High</v>
          </cell>
          <cell r="F826" t="str">
            <v>EQ-LC</v>
          </cell>
        </row>
        <row r="827">
          <cell r="A827" t="str">
            <v>UTI Nifty 50 Index Fund - Regular Plan</v>
          </cell>
          <cell r="B827">
            <v>3</v>
          </cell>
          <cell r="C827">
            <v>6.23</v>
          </cell>
          <cell r="D827" t="str">
            <v>31/144</v>
          </cell>
          <cell r="E827" t="str">
            <v>Very High</v>
          </cell>
          <cell r="F827" t="str">
            <v>EQ-LC</v>
          </cell>
        </row>
        <row r="828">
          <cell r="A828" t="str">
            <v>UTI Nifty Alpha Low-Volatility 30 Index Fund - Regular Plan</v>
          </cell>
          <cell r="B828" t="str">
            <v>--</v>
          </cell>
          <cell r="C828" t="str">
            <v>--</v>
          </cell>
          <cell r="D828" t="str">
            <v>--</v>
          </cell>
          <cell r="E828" t="str">
            <v>Very High</v>
          </cell>
          <cell r="F828" t="str">
            <v>EQ-L&amp;MC</v>
          </cell>
        </row>
        <row r="829">
          <cell r="A829" t="str">
            <v>UTI Nifty India Manufacturing Index Fund - Regular Plan</v>
          </cell>
          <cell r="B829" t="str">
            <v>--</v>
          </cell>
          <cell r="C829" t="str">
            <v>--</v>
          </cell>
          <cell r="D829" t="str">
            <v>--</v>
          </cell>
          <cell r="E829" t="str">
            <v>Very High</v>
          </cell>
          <cell r="F829" t="str">
            <v>EQ-THEMATIC</v>
          </cell>
        </row>
        <row r="830">
          <cell r="A830" t="str">
            <v>UTI Nifty Midcap 150 ETF</v>
          </cell>
          <cell r="B830" t="str">
            <v>--</v>
          </cell>
          <cell r="C830">
            <v>2.46</v>
          </cell>
          <cell r="D830" t="str">
            <v>21/53</v>
          </cell>
          <cell r="E830" t="str">
            <v>Very High</v>
          </cell>
          <cell r="F830" t="str">
            <v>EQ-MC</v>
          </cell>
        </row>
        <row r="831">
          <cell r="A831" t="str">
            <v>UTI Nifty Midcap 150 Index Fund - Regular Plan</v>
          </cell>
          <cell r="B831" t="str">
            <v>--</v>
          </cell>
          <cell r="C831" t="str">
            <v>--</v>
          </cell>
          <cell r="D831" t="str">
            <v>--</v>
          </cell>
          <cell r="E831" t="str">
            <v>Very High</v>
          </cell>
          <cell r="F831" t="str">
            <v>EQ-MC</v>
          </cell>
        </row>
        <row r="832">
          <cell r="A832" t="str">
            <v>UTI Nifty Midcap 150 Quality 50 Index Fund - Regular Plan</v>
          </cell>
          <cell r="B832">
            <v>1</v>
          </cell>
          <cell r="C832">
            <v>-0.28000000000000003</v>
          </cell>
          <cell r="D832" t="str">
            <v>42/53</v>
          </cell>
          <cell r="E832" t="str">
            <v>Very High</v>
          </cell>
          <cell r="F832" t="str">
            <v>EQ-MC</v>
          </cell>
        </row>
        <row r="833">
          <cell r="A833" t="str">
            <v>UTI Nifty Midsmallcap 400 Momentum Quality 100 Index Fund - Regular Plan</v>
          </cell>
          <cell r="B833" t="str">
            <v>--</v>
          </cell>
          <cell r="C833" t="str">
            <v>--</v>
          </cell>
          <cell r="D833" t="str">
            <v>--</v>
          </cell>
          <cell r="E833" t="str">
            <v>Very High</v>
          </cell>
          <cell r="F833" t="str">
            <v>EQ-MC</v>
          </cell>
        </row>
        <row r="834">
          <cell r="A834" t="str">
            <v>UTI Nifty Next 50 Exchange Traded Fund</v>
          </cell>
          <cell r="B834" t="str">
            <v>--</v>
          </cell>
          <cell r="C834">
            <v>-7.28</v>
          </cell>
          <cell r="D834" t="str">
            <v>124/144</v>
          </cell>
          <cell r="E834" t="str">
            <v>Very High</v>
          </cell>
          <cell r="F834" t="str">
            <v>EQ-LC</v>
          </cell>
        </row>
        <row r="835">
          <cell r="A835" t="str">
            <v>UTI Nifty Next 50 Index Fund - Regular Plan</v>
          </cell>
          <cell r="B835">
            <v>3</v>
          </cell>
          <cell r="C835">
            <v>-7.97</v>
          </cell>
          <cell r="D835" t="str">
            <v>134/144</v>
          </cell>
          <cell r="E835" t="str">
            <v>Very High</v>
          </cell>
          <cell r="F835" t="str">
            <v>EQ-LC</v>
          </cell>
        </row>
        <row r="836">
          <cell r="A836" t="str">
            <v>UTI Quant Fund - Regular Plan</v>
          </cell>
          <cell r="B836" t="str">
            <v>--</v>
          </cell>
          <cell r="C836" t="str">
            <v>--</v>
          </cell>
          <cell r="D836" t="str">
            <v>--</v>
          </cell>
          <cell r="E836" t="str">
            <v>Very High</v>
          </cell>
          <cell r="F836" t="str">
            <v>EQ-THEMATIC</v>
          </cell>
        </row>
        <row r="837">
          <cell r="A837" t="str">
            <v>UTI Retirement Fund - Regular Plan</v>
          </cell>
          <cell r="B837" t="str">
            <v>--</v>
          </cell>
          <cell r="C837">
            <v>7.9</v>
          </cell>
          <cell r="D837" t="str">
            <v>1/6</v>
          </cell>
          <cell r="E837" t="str">
            <v>High</v>
          </cell>
          <cell r="F837" t="str">
            <v>HY-BH</v>
          </cell>
        </row>
        <row r="838">
          <cell r="A838" t="str">
            <v>UTI Small Cap Fund - Regular Plan</v>
          </cell>
          <cell r="B838">
            <v>3</v>
          </cell>
          <cell r="C838">
            <v>6.7</v>
          </cell>
          <cell r="D838" t="str">
            <v>5/44</v>
          </cell>
          <cell r="E838" t="str">
            <v>Very High</v>
          </cell>
          <cell r="F838" t="str">
            <v>EQ-SC</v>
          </cell>
        </row>
        <row r="839">
          <cell r="A839" t="str">
            <v>UTI Transportation and Logistics Fund - Regular Plan</v>
          </cell>
          <cell r="B839" t="str">
            <v>--</v>
          </cell>
          <cell r="C839">
            <v>-6.15</v>
          </cell>
          <cell r="D839" t="str">
            <v>59/78</v>
          </cell>
          <cell r="E839" t="str">
            <v>Very High</v>
          </cell>
          <cell r="F839" t="str">
            <v>EQ-THEMATIC</v>
          </cell>
        </row>
        <row r="840">
          <cell r="A840" t="str">
            <v>UTI Unit Linked Insurance Plan</v>
          </cell>
          <cell r="B840">
            <v>2</v>
          </cell>
          <cell r="C840">
            <v>9.52</v>
          </cell>
          <cell r="D840" t="str">
            <v>1/36</v>
          </cell>
          <cell r="E840" t="str">
            <v>High</v>
          </cell>
          <cell r="F840" t="str">
            <v>HY-DAA</v>
          </cell>
        </row>
        <row r="841">
          <cell r="A841" t="str">
            <v>WhiteOak Capital Arbitrage Fund - Regular Plan</v>
          </cell>
          <cell r="B841" t="str">
            <v>--</v>
          </cell>
          <cell r="C841" t="str">
            <v>--</v>
          </cell>
          <cell r="D841" t="str">
            <v>--</v>
          </cell>
          <cell r="E841" t="str">
            <v>Low</v>
          </cell>
          <cell r="F841" t="str">
            <v>HY-AR</v>
          </cell>
        </row>
        <row r="842">
          <cell r="A842" t="str">
            <v>WhiteOak Capital Balanced Advantage Fund - Regular Plan</v>
          </cell>
          <cell r="B842" t="str">
            <v>--</v>
          </cell>
          <cell r="C842">
            <v>8.93</v>
          </cell>
          <cell r="D842" t="str">
            <v>3/36</v>
          </cell>
          <cell r="E842" t="str">
            <v>Very High</v>
          </cell>
          <cell r="F842" t="str">
            <v>HY-DAA</v>
          </cell>
        </row>
        <row r="843">
          <cell r="A843" t="str">
            <v>WhiteOak Capital Balanced Hybrid Fund - Regular Plan</v>
          </cell>
          <cell r="B843" t="str">
            <v>--</v>
          </cell>
          <cell r="C843">
            <v>7.3</v>
          </cell>
          <cell r="D843" t="str">
            <v>2/6</v>
          </cell>
          <cell r="E843" t="str">
            <v>Very High</v>
          </cell>
          <cell r="F843" t="str">
            <v>HY-BH</v>
          </cell>
        </row>
        <row r="844">
          <cell r="A844" t="str">
            <v>WhiteOak Capital Flexi Cap Fund - Regular Plan</v>
          </cell>
          <cell r="B844" t="str">
            <v>--</v>
          </cell>
          <cell r="C844">
            <v>8.31</v>
          </cell>
          <cell r="D844" t="str">
            <v>9/91</v>
          </cell>
          <cell r="E844" t="str">
            <v>Very High</v>
          </cell>
          <cell r="F844" t="str">
            <v>EQ-FLX</v>
          </cell>
        </row>
        <row r="845">
          <cell r="A845" t="str">
            <v>WhiteOak Capital Large Cap Fund - Regular Plan</v>
          </cell>
          <cell r="B845" t="str">
            <v>--</v>
          </cell>
          <cell r="C845">
            <v>6.22</v>
          </cell>
          <cell r="D845" t="str">
            <v>32/144</v>
          </cell>
          <cell r="E845" t="str">
            <v>Very High</v>
          </cell>
          <cell r="F845" t="str">
            <v>EQ-LC</v>
          </cell>
        </row>
        <row r="846">
          <cell r="A846" t="str">
            <v>WhiteOak Capital Large &amp; Mid Cap Fund - Regular Plan</v>
          </cell>
          <cell r="B846" t="str">
            <v>--</v>
          </cell>
          <cell r="C846">
            <v>6.81</v>
          </cell>
          <cell r="D846" t="str">
            <v>6/54</v>
          </cell>
          <cell r="E846" t="str">
            <v>Very High</v>
          </cell>
          <cell r="F846" t="str">
            <v>EQ-L&amp;MC</v>
          </cell>
        </row>
        <row r="847">
          <cell r="A847" t="str">
            <v>WhiteOak Capital Mid Cap Fund - Regular Plan</v>
          </cell>
          <cell r="B847" t="str">
            <v>--</v>
          </cell>
          <cell r="C847">
            <v>10.25</v>
          </cell>
          <cell r="D847" t="str">
            <v>2/53</v>
          </cell>
          <cell r="E847" t="str">
            <v>Very High</v>
          </cell>
          <cell r="F847" t="str">
            <v>EQ-MC</v>
          </cell>
        </row>
        <row r="848">
          <cell r="A848" t="str">
            <v>WhiteOak Capital Multi Asset Allocation Fund - Regular Plan</v>
          </cell>
          <cell r="B848" t="str">
            <v>--</v>
          </cell>
          <cell r="C848">
            <v>15.18</v>
          </cell>
          <cell r="D848" t="str">
            <v>1/37</v>
          </cell>
          <cell r="E848" t="str">
            <v>High</v>
          </cell>
          <cell r="F848" t="str">
            <v>HY-MAA</v>
          </cell>
        </row>
        <row r="849">
          <cell r="A849" t="str">
            <v>WhiteOak Capital Multi Cap Fund - Regular Plan</v>
          </cell>
          <cell r="B849" t="str">
            <v>--</v>
          </cell>
          <cell r="C849">
            <v>9.8000000000000007</v>
          </cell>
          <cell r="D849" t="str">
            <v>1/25</v>
          </cell>
          <cell r="E849" t="str">
            <v>Very High</v>
          </cell>
          <cell r="F849" t="str">
            <v>EQ-MLC</v>
          </cell>
        </row>
        <row r="850">
          <cell r="A850" t="str">
            <v>WhiteOak Capital Quality Equity Fund - Regular Plan</v>
          </cell>
          <cell r="B850" t="str">
            <v>--</v>
          </cell>
          <cell r="C850" t="str">
            <v>--</v>
          </cell>
          <cell r="D850" t="str">
            <v>--</v>
          </cell>
          <cell r="E850" t="str">
            <v>Very High</v>
          </cell>
          <cell r="F850" t="str">
            <v>EQ-THEMATIC</v>
          </cell>
        </row>
        <row r="851">
          <cell r="A851" t="str">
            <v>WhiteOak Capital Special Opportunities Fund - Regular Plan</v>
          </cell>
          <cell r="B851" t="str">
            <v>--</v>
          </cell>
          <cell r="C851">
            <v>14.93</v>
          </cell>
          <cell r="D851" t="str">
            <v>2/78</v>
          </cell>
          <cell r="E851" t="str">
            <v>Very High</v>
          </cell>
          <cell r="F851" t="str">
            <v>EQ-THEMATIC</v>
          </cell>
        </row>
        <row r="852">
          <cell r="A852" t="str">
            <v>Zerodha Nifty 100 ETF</v>
          </cell>
          <cell r="B852" t="str">
            <v>--</v>
          </cell>
          <cell r="C852">
            <v>3.87</v>
          </cell>
          <cell r="D852" t="str">
            <v>59/93</v>
          </cell>
          <cell r="E852" t="str">
            <v>Very High</v>
          </cell>
          <cell r="F852" t="str">
            <v>EQ-LC</v>
          </cell>
        </row>
        <row r="853">
          <cell r="A853" t="str">
            <v>Zerodha Nifty Midcap 150 ETF</v>
          </cell>
          <cell r="B853" t="str">
            <v>--</v>
          </cell>
          <cell r="C853">
            <v>3.01</v>
          </cell>
          <cell r="D853" t="str">
            <v>18/43</v>
          </cell>
          <cell r="E853" t="str">
            <v>Very High</v>
          </cell>
          <cell r="F853" t="str">
            <v>EQ-MC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mfiindia.com/research-information/other-data/listofbenchmarkindices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C18"/>
  <sheetViews>
    <sheetView topLeftCell="A2" zoomScale="103" workbookViewId="0">
      <selection activeCell="F11" sqref="F11"/>
    </sheetView>
  </sheetViews>
  <sheetFormatPr defaultRowHeight="15" x14ac:dyDescent="0.25"/>
  <cols>
    <col min="2" max="2" width="34.42578125" customWidth="1"/>
    <col min="3" max="3" width="21" customWidth="1"/>
  </cols>
  <sheetData>
    <row r="2" spans="1:3" ht="15" customHeight="1" thickBot="1" x14ac:dyDescent="0.3"/>
    <row r="3" spans="1:3" ht="15" customHeight="1" thickBot="1" x14ac:dyDescent="0.3">
      <c r="B3" s="374" t="s">
        <v>29</v>
      </c>
      <c r="C3" s="375"/>
    </row>
    <row r="4" spans="1:3" x14ac:dyDescent="0.25">
      <c r="B4" s="79" t="s">
        <v>30</v>
      </c>
      <c r="C4" s="80" t="s">
        <v>31</v>
      </c>
    </row>
    <row r="5" spans="1:3" x14ac:dyDescent="0.25">
      <c r="A5" s="54"/>
      <c r="B5" s="40" t="s">
        <v>32</v>
      </c>
      <c r="C5" s="81">
        <f>SUM(C6:C7)</f>
        <v>0.25</v>
      </c>
    </row>
    <row r="6" spans="1:3" x14ac:dyDescent="0.25">
      <c r="A6" s="54"/>
      <c r="B6" s="317" t="s">
        <v>33</v>
      </c>
      <c r="C6" s="74">
        <v>0.15</v>
      </c>
    </row>
    <row r="7" spans="1:3" x14ac:dyDescent="0.25">
      <c r="A7" s="54"/>
      <c r="B7" s="317" t="s">
        <v>34</v>
      </c>
      <c r="C7" s="74">
        <v>0.1</v>
      </c>
    </row>
    <row r="8" spans="1:3" x14ac:dyDescent="0.25">
      <c r="A8" s="54"/>
      <c r="B8" s="40" t="s">
        <v>35</v>
      </c>
      <c r="C8" s="81">
        <f>SUM(C9:C11)</f>
        <v>0.32500000000000001</v>
      </c>
    </row>
    <row r="9" spans="1:3" x14ac:dyDescent="0.25">
      <c r="B9" s="317" t="s">
        <v>25</v>
      </c>
      <c r="C9" s="74">
        <v>0.15</v>
      </c>
    </row>
    <row r="10" spans="1:3" x14ac:dyDescent="0.25">
      <c r="B10" s="317" t="s">
        <v>13</v>
      </c>
      <c r="C10" s="74">
        <v>0.1</v>
      </c>
    </row>
    <row r="11" spans="1:3" x14ac:dyDescent="0.25">
      <c r="B11" s="317" t="s">
        <v>36</v>
      </c>
      <c r="C11" s="74">
        <v>7.4999999999999997E-2</v>
      </c>
    </row>
    <row r="12" spans="1:3" x14ac:dyDescent="0.25">
      <c r="B12" s="40" t="s">
        <v>37</v>
      </c>
      <c r="C12" s="81">
        <f>SUM(C13:C15)</f>
        <v>0.22500000000000001</v>
      </c>
    </row>
    <row r="13" spans="1:3" x14ac:dyDescent="0.25">
      <c r="B13" s="317" t="s">
        <v>38</v>
      </c>
      <c r="C13" s="74">
        <v>0.05</v>
      </c>
    </row>
    <row r="14" spans="1:3" x14ac:dyDescent="0.25">
      <c r="B14" s="317" t="s">
        <v>39</v>
      </c>
      <c r="C14" s="74">
        <v>7.4999999999999997E-2</v>
      </c>
    </row>
    <row r="15" spans="1:3" x14ac:dyDescent="0.25">
      <c r="B15" s="319" t="s">
        <v>40</v>
      </c>
      <c r="C15" s="76">
        <v>0.1</v>
      </c>
    </row>
    <row r="16" spans="1:3" x14ac:dyDescent="0.25">
      <c r="B16" s="38" t="s">
        <v>41</v>
      </c>
      <c r="C16" s="82">
        <f>C17</f>
        <v>0.2</v>
      </c>
    </row>
    <row r="17" spans="2:3" ht="15" customHeight="1" thickBot="1" x14ac:dyDescent="0.3">
      <c r="B17" s="317" t="s">
        <v>42</v>
      </c>
      <c r="C17" s="74">
        <v>0.2</v>
      </c>
    </row>
    <row r="18" spans="2:3" ht="15" customHeight="1" thickBot="1" x14ac:dyDescent="0.3">
      <c r="B18" s="56" t="s">
        <v>43</v>
      </c>
      <c r="C18" s="83">
        <f>SUM(C5,C8,C12,C16)</f>
        <v>1</v>
      </c>
    </row>
  </sheetData>
  <mergeCells count="1">
    <mergeCell ref="B3:C3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L818"/>
  <sheetViews>
    <sheetView showGridLines="0" showRuler="0" zoomScaleNormal="100" workbookViewId="0">
      <pane xSplit="1" ySplit="1" topLeftCell="C2" activePane="bottomRight" state="frozenSplit"/>
      <selection pane="topRight"/>
      <selection pane="bottomLeft"/>
      <selection pane="bottomRight" activeCell="L1" sqref="L1"/>
    </sheetView>
  </sheetViews>
  <sheetFormatPr defaultRowHeight="15" x14ac:dyDescent="0.25"/>
  <cols>
    <col min="1" max="1" width="63.42578125" style="261" customWidth="1"/>
    <col min="2" max="2" width="10.42578125" style="261" customWidth="1"/>
    <col min="3" max="3" width="16.140625" style="261" customWidth="1"/>
    <col min="4" max="11" width="8.7109375" style="261" customWidth="1"/>
    <col min="12" max="12" width="15.140625" style="261" bestFit="1" customWidth="1"/>
    <col min="13" max="256" width="8.7109375" style="261" customWidth="1"/>
    <col min="257" max="257" width="63.42578125" style="261" customWidth="1"/>
    <col min="258" max="258" width="10.42578125" style="261" customWidth="1"/>
    <col min="259" max="259" width="16.140625" style="261" customWidth="1"/>
    <col min="260" max="267" width="8.7109375" style="261" customWidth="1"/>
    <col min="268" max="268" width="15.140625" style="261" bestFit="1" customWidth="1"/>
    <col min="269" max="512" width="8.7109375" style="261" customWidth="1"/>
    <col min="513" max="513" width="63.42578125" style="261" customWidth="1"/>
    <col min="514" max="514" width="10.42578125" style="261" customWidth="1"/>
    <col min="515" max="515" width="16.140625" style="261" customWidth="1"/>
    <col min="516" max="523" width="8.7109375" style="261" customWidth="1"/>
    <col min="524" max="524" width="15.140625" style="261" bestFit="1" customWidth="1"/>
    <col min="525" max="768" width="8.7109375" style="261" customWidth="1"/>
    <col min="769" max="769" width="63.42578125" style="261" customWidth="1"/>
    <col min="770" max="770" width="10.42578125" style="261" customWidth="1"/>
    <col min="771" max="771" width="16.140625" style="261" customWidth="1"/>
    <col min="772" max="779" width="8.7109375" style="261" customWidth="1"/>
    <col min="780" max="780" width="15.140625" style="261" bestFit="1" customWidth="1"/>
    <col min="781" max="1024" width="8.7109375" style="261" customWidth="1"/>
    <col min="1025" max="1025" width="63.42578125" style="261" customWidth="1"/>
    <col min="1026" max="1026" width="10.42578125" style="261" customWidth="1"/>
    <col min="1027" max="1027" width="16.140625" style="261" customWidth="1"/>
    <col min="1028" max="1035" width="8.7109375" style="261" customWidth="1"/>
    <col min="1036" max="1036" width="15.140625" style="261" bestFit="1" customWidth="1"/>
    <col min="1037" max="1280" width="8.7109375" style="261" customWidth="1"/>
    <col min="1281" max="1281" width="63.42578125" style="261" customWidth="1"/>
    <col min="1282" max="1282" width="10.42578125" style="261" customWidth="1"/>
    <col min="1283" max="1283" width="16.140625" style="261" customWidth="1"/>
    <col min="1284" max="1291" width="8.7109375" style="261" customWidth="1"/>
    <col min="1292" max="1292" width="15.140625" style="261" bestFit="1" customWidth="1"/>
    <col min="1293" max="1536" width="8.7109375" style="261" customWidth="1"/>
    <col min="1537" max="1537" width="63.42578125" style="261" customWidth="1"/>
    <col min="1538" max="1538" width="10.42578125" style="261" customWidth="1"/>
    <col min="1539" max="1539" width="16.140625" style="261" customWidth="1"/>
    <col min="1540" max="1547" width="8.7109375" style="261" customWidth="1"/>
    <col min="1548" max="1548" width="15.140625" style="261" bestFit="1" customWidth="1"/>
    <col min="1549" max="1792" width="8.7109375" style="261" customWidth="1"/>
    <col min="1793" max="1793" width="63.42578125" style="261" customWidth="1"/>
    <col min="1794" max="1794" width="10.42578125" style="261" customWidth="1"/>
    <col min="1795" max="1795" width="16.140625" style="261" customWidth="1"/>
    <col min="1796" max="1803" width="8.7109375" style="261" customWidth="1"/>
    <col min="1804" max="1804" width="15.140625" style="261" bestFit="1" customWidth="1"/>
    <col min="1805" max="2048" width="8.7109375" style="261" customWidth="1"/>
    <col min="2049" max="2049" width="63.42578125" style="261" customWidth="1"/>
    <col min="2050" max="2050" width="10.42578125" style="261" customWidth="1"/>
    <col min="2051" max="2051" width="16.140625" style="261" customWidth="1"/>
    <col min="2052" max="2059" width="8.7109375" style="261" customWidth="1"/>
    <col min="2060" max="2060" width="15.140625" style="261" bestFit="1" customWidth="1"/>
    <col min="2061" max="2304" width="8.7109375" style="261" customWidth="1"/>
    <col min="2305" max="2305" width="63.42578125" style="261" customWidth="1"/>
    <col min="2306" max="2306" width="10.42578125" style="261" customWidth="1"/>
    <col min="2307" max="2307" width="16.140625" style="261" customWidth="1"/>
    <col min="2308" max="2315" width="8.7109375" style="261" customWidth="1"/>
    <col min="2316" max="2316" width="15.140625" style="261" bestFit="1" customWidth="1"/>
    <col min="2317" max="2560" width="8.7109375" style="261" customWidth="1"/>
    <col min="2561" max="2561" width="63.42578125" style="261" customWidth="1"/>
    <col min="2562" max="2562" width="10.42578125" style="261" customWidth="1"/>
    <col min="2563" max="2563" width="16.140625" style="261" customWidth="1"/>
    <col min="2564" max="2571" width="8.7109375" style="261" customWidth="1"/>
    <col min="2572" max="2572" width="15.140625" style="261" bestFit="1" customWidth="1"/>
    <col min="2573" max="2816" width="8.7109375" style="261" customWidth="1"/>
    <col min="2817" max="2817" width="63.42578125" style="261" customWidth="1"/>
    <col min="2818" max="2818" width="10.42578125" style="261" customWidth="1"/>
    <col min="2819" max="2819" width="16.140625" style="261" customWidth="1"/>
    <col min="2820" max="2827" width="8.7109375" style="261" customWidth="1"/>
    <col min="2828" max="2828" width="15.140625" style="261" bestFit="1" customWidth="1"/>
    <col min="2829" max="3072" width="8.7109375" style="261" customWidth="1"/>
    <col min="3073" max="3073" width="63.42578125" style="261" customWidth="1"/>
    <col min="3074" max="3074" width="10.42578125" style="261" customWidth="1"/>
    <col min="3075" max="3075" width="16.140625" style="261" customWidth="1"/>
    <col min="3076" max="3083" width="8.7109375" style="261" customWidth="1"/>
    <col min="3084" max="3084" width="15.140625" style="261" bestFit="1" customWidth="1"/>
    <col min="3085" max="3328" width="8.7109375" style="261" customWidth="1"/>
    <col min="3329" max="3329" width="63.42578125" style="261" customWidth="1"/>
    <col min="3330" max="3330" width="10.42578125" style="261" customWidth="1"/>
    <col min="3331" max="3331" width="16.140625" style="261" customWidth="1"/>
    <col min="3332" max="3339" width="8.7109375" style="261" customWidth="1"/>
    <col min="3340" max="3340" width="15.140625" style="261" bestFit="1" customWidth="1"/>
    <col min="3341" max="3584" width="8.7109375" style="261" customWidth="1"/>
    <col min="3585" max="3585" width="63.42578125" style="261" customWidth="1"/>
    <col min="3586" max="3586" width="10.42578125" style="261" customWidth="1"/>
    <col min="3587" max="3587" width="16.140625" style="261" customWidth="1"/>
    <col min="3588" max="3595" width="8.7109375" style="261" customWidth="1"/>
    <col min="3596" max="3596" width="15.140625" style="261" bestFit="1" customWidth="1"/>
    <col min="3597" max="3840" width="8.7109375" style="261" customWidth="1"/>
    <col min="3841" max="3841" width="63.42578125" style="261" customWidth="1"/>
    <col min="3842" max="3842" width="10.42578125" style="261" customWidth="1"/>
    <col min="3843" max="3843" width="16.140625" style="261" customWidth="1"/>
    <col min="3844" max="3851" width="8.7109375" style="261" customWidth="1"/>
    <col min="3852" max="3852" width="15.140625" style="261" bestFit="1" customWidth="1"/>
    <col min="3853" max="4096" width="8.7109375" style="261" customWidth="1"/>
    <col min="4097" max="4097" width="63.42578125" style="261" customWidth="1"/>
    <col min="4098" max="4098" width="10.42578125" style="261" customWidth="1"/>
    <col min="4099" max="4099" width="16.140625" style="261" customWidth="1"/>
    <col min="4100" max="4107" width="8.7109375" style="261" customWidth="1"/>
    <col min="4108" max="4108" width="15.140625" style="261" bestFit="1" customWidth="1"/>
    <col min="4109" max="4352" width="8.7109375" style="261" customWidth="1"/>
    <col min="4353" max="4353" width="63.42578125" style="261" customWidth="1"/>
    <col min="4354" max="4354" width="10.42578125" style="261" customWidth="1"/>
    <col min="4355" max="4355" width="16.140625" style="261" customWidth="1"/>
    <col min="4356" max="4363" width="8.7109375" style="261" customWidth="1"/>
    <col min="4364" max="4364" width="15.140625" style="261" bestFit="1" customWidth="1"/>
    <col min="4365" max="4608" width="8.7109375" style="261" customWidth="1"/>
    <col min="4609" max="4609" width="63.42578125" style="261" customWidth="1"/>
    <col min="4610" max="4610" width="10.42578125" style="261" customWidth="1"/>
    <col min="4611" max="4611" width="16.140625" style="261" customWidth="1"/>
    <col min="4612" max="4619" width="8.7109375" style="261" customWidth="1"/>
    <col min="4620" max="4620" width="15.140625" style="261" bestFit="1" customWidth="1"/>
    <col min="4621" max="4864" width="8.7109375" style="261" customWidth="1"/>
    <col min="4865" max="4865" width="63.42578125" style="261" customWidth="1"/>
    <col min="4866" max="4866" width="10.42578125" style="261" customWidth="1"/>
    <col min="4867" max="4867" width="16.140625" style="261" customWidth="1"/>
    <col min="4868" max="4875" width="8.7109375" style="261" customWidth="1"/>
    <col min="4876" max="4876" width="15.140625" style="261" bestFit="1" customWidth="1"/>
    <col min="4877" max="5120" width="8.7109375" style="261" customWidth="1"/>
    <col min="5121" max="5121" width="63.42578125" style="261" customWidth="1"/>
    <col min="5122" max="5122" width="10.42578125" style="261" customWidth="1"/>
    <col min="5123" max="5123" width="16.140625" style="261" customWidth="1"/>
    <col min="5124" max="5131" width="8.7109375" style="261" customWidth="1"/>
    <col min="5132" max="5132" width="15.140625" style="261" bestFit="1" customWidth="1"/>
    <col min="5133" max="5376" width="8.7109375" style="261" customWidth="1"/>
    <col min="5377" max="5377" width="63.42578125" style="261" customWidth="1"/>
    <col min="5378" max="5378" width="10.42578125" style="261" customWidth="1"/>
    <col min="5379" max="5379" width="16.140625" style="261" customWidth="1"/>
    <col min="5380" max="5387" width="8.7109375" style="261" customWidth="1"/>
    <col min="5388" max="5388" width="15.140625" style="261" bestFit="1" customWidth="1"/>
    <col min="5389" max="5632" width="8.7109375" style="261" customWidth="1"/>
    <col min="5633" max="5633" width="63.42578125" style="261" customWidth="1"/>
    <col min="5634" max="5634" width="10.42578125" style="261" customWidth="1"/>
    <col min="5635" max="5635" width="16.140625" style="261" customWidth="1"/>
    <col min="5636" max="5643" width="8.7109375" style="261" customWidth="1"/>
    <col min="5644" max="5644" width="15.140625" style="261" bestFit="1" customWidth="1"/>
    <col min="5645" max="5888" width="8.7109375" style="261" customWidth="1"/>
    <col min="5889" max="5889" width="63.42578125" style="261" customWidth="1"/>
    <col min="5890" max="5890" width="10.42578125" style="261" customWidth="1"/>
    <col min="5891" max="5891" width="16.140625" style="261" customWidth="1"/>
    <col min="5892" max="5899" width="8.7109375" style="261" customWidth="1"/>
    <col min="5900" max="5900" width="15.140625" style="261" bestFit="1" customWidth="1"/>
    <col min="5901" max="6144" width="8.7109375" style="261" customWidth="1"/>
    <col min="6145" max="6145" width="63.42578125" style="261" customWidth="1"/>
    <col min="6146" max="6146" width="10.42578125" style="261" customWidth="1"/>
    <col min="6147" max="6147" width="16.140625" style="261" customWidth="1"/>
    <col min="6148" max="6155" width="8.7109375" style="261" customWidth="1"/>
    <col min="6156" max="6156" width="15.140625" style="261" bestFit="1" customWidth="1"/>
    <col min="6157" max="6400" width="8.7109375" style="261" customWidth="1"/>
    <col min="6401" max="6401" width="63.42578125" style="261" customWidth="1"/>
    <col min="6402" max="6402" width="10.42578125" style="261" customWidth="1"/>
    <col min="6403" max="6403" width="16.140625" style="261" customWidth="1"/>
    <col min="6404" max="6411" width="8.7109375" style="261" customWidth="1"/>
    <col min="6412" max="6412" width="15.140625" style="261" bestFit="1" customWidth="1"/>
    <col min="6413" max="6656" width="8.7109375" style="261" customWidth="1"/>
    <col min="6657" max="6657" width="63.42578125" style="261" customWidth="1"/>
    <col min="6658" max="6658" width="10.42578125" style="261" customWidth="1"/>
    <col min="6659" max="6659" width="16.140625" style="261" customWidth="1"/>
    <col min="6660" max="6667" width="8.7109375" style="261" customWidth="1"/>
    <col min="6668" max="6668" width="15.140625" style="261" bestFit="1" customWidth="1"/>
    <col min="6669" max="6912" width="8.7109375" style="261" customWidth="1"/>
    <col min="6913" max="6913" width="63.42578125" style="261" customWidth="1"/>
    <col min="6914" max="6914" width="10.42578125" style="261" customWidth="1"/>
    <col min="6915" max="6915" width="16.140625" style="261" customWidth="1"/>
    <col min="6916" max="6923" width="8.7109375" style="261" customWidth="1"/>
    <col min="6924" max="6924" width="15.140625" style="261" bestFit="1" customWidth="1"/>
    <col min="6925" max="7168" width="8.7109375" style="261" customWidth="1"/>
    <col min="7169" max="7169" width="63.42578125" style="261" customWidth="1"/>
    <col min="7170" max="7170" width="10.42578125" style="261" customWidth="1"/>
    <col min="7171" max="7171" width="16.140625" style="261" customWidth="1"/>
    <col min="7172" max="7179" width="8.7109375" style="261" customWidth="1"/>
    <col min="7180" max="7180" width="15.140625" style="261" bestFit="1" customWidth="1"/>
    <col min="7181" max="7424" width="8.7109375" style="261" customWidth="1"/>
    <col min="7425" max="7425" width="63.42578125" style="261" customWidth="1"/>
    <col min="7426" max="7426" width="10.42578125" style="261" customWidth="1"/>
    <col min="7427" max="7427" width="16.140625" style="261" customWidth="1"/>
    <col min="7428" max="7435" width="8.7109375" style="261" customWidth="1"/>
    <col min="7436" max="7436" width="15.140625" style="261" bestFit="1" customWidth="1"/>
    <col min="7437" max="7680" width="8.7109375" style="261" customWidth="1"/>
    <col min="7681" max="7681" width="63.42578125" style="261" customWidth="1"/>
    <col min="7682" max="7682" width="10.42578125" style="261" customWidth="1"/>
    <col min="7683" max="7683" width="16.140625" style="261" customWidth="1"/>
    <col min="7684" max="7691" width="8.7109375" style="261" customWidth="1"/>
    <col min="7692" max="7692" width="15.140625" style="261" bestFit="1" customWidth="1"/>
    <col min="7693" max="7936" width="8.7109375" style="261" customWidth="1"/>
    <col min="7937" max="7937" width="63.42578125" style="261" customWidth="1"/>
    <col min="7938" max="7938" width="10.42578125" style="261" customWidth="1"/>
    <col min="7939" max="7939" width="16.140625" style="261" customWidth="1"/>
    <col min="7940" max="7947" width="8.7109375" style="261" customWidth="1"/>
    <col min="7948" max="7948" width="15.140625" style="261" bestFit="1" customWidth="1"/>
    <col min="7949" max="8192" width="8.7109375" style="261" customWidth="1"/>
    <col min="8193" max="8193" width="63.42578125" style="261" customWidth="1"/>
    <col min="8194" max="8194" width="10.42578125" style="261" customWidth="1"/>
    <col min="8195" max="8195" width="16.140625" style="261" customWidth="1"/>
    <col min="8196" max="8203" width="8.7109375" style="261" customWidth="1"/>
    <col min="8204" max="8204" width="15.140625" style="261" bestFit="1" customWidth="1"/>
    <col min="8205" max="8448" width="8.7109375" style="261" customWidth="1"/>
    <col min="8449" max="8449" width="63.42578125" style="261" customWidth="1"/>
    <col min="8450" max="8450" width="10.42578125" style="261" customWidth="1"/>
    <col min="8451" max="8451" width="16.140625" style="261" customWidth="1"/>
    <col min="8452" max="8459" width="8.7109375" style="261" customWidth="1"/>
    <col min="8460" max="8460" width="15.140625" style="261" bestFit="1" customWidth="1"/>
    <col min="8461" max="8704" width="8.7109375" style="261" customWidth="1"/>
    <col min="8705" max="8705" width="63.42578125" style="261" customWidth="1"/>
    <col min="8706" max="8706" width="10.42578125" style="261" customWidth="1"/>
    <col min="8707" max="8707" width="16.140625" style="261" customWidth="1"/>
    <col min="8708" max="8715" width="8.7109375" style="261" customWidth="1"/>
    <col min="8716" max="8716" width="15.140625" style="261" bestFit="1" customWidth="1"/>
    <col min="8717" max="8960" width="8.7109375" style="261" customWidth="1"/>
    <col min="8961" max="8961" width="63.42578125" style="261" customWidth="1"/>
    <col min="8962" max="8962" width="10.42578125" style="261" customWidth="1"/>
    <col min="8963" max="8963" width="16.140625" style="261" customWidth="1"/>
    <col min="8964" max="8971" width="8.7109375" style="261" customWidth="1"/>
    <col min="8972" max="8972" width="15.140625" style="261" bestFit="1" customWidth="1"/>
    <col min="8973" max="9216" width="8.7109375" style="261" customWidth="1"/>
    <col min="9217" max="9217" width="63.42578125" style="261" customWidth="1"/>
    <col min="9218" max="9218" width="10.42578125" style="261" customWidth="1"/>
    <col min="9219" max="9219" width="16.140625" style="261" customWidth="1"/>
    <col min="9220" max="9227" width="8.7109375" style="261" customWidth="1"/>
    <col min="9228" max="9228" width="15.140625" style="261" bestFit="1" customWidth="1"/>
    <col min="9229" max="9472" width="8.7109375" style="261" customWidth="1"/>
    <col min="9473" max="9473" width="63.42578125" style="261" customWidth="1"/>
    <col min="9474" max="9474" width="10.42578125" style="261" customWidth="1"/>
    <col min="9475" max="9475" width="16.140625" style="261" customWidth="1"/>
    <col min="9476" max="9483" width="8.7109375" style="261" customWidth="1"/>
    <col min="9484" max="9484" width="15.140625" style="261" bestFit="1" customWidth="1"/>
    <col min="9485" max="9728" width="8.7109375" style="261" customWidth="1"/>
    <col min="9729" max="9729" width="63.42578125" style="261" customWidth="1"/>
    <col min="9730" max="9730" width="10.42578125" style="261" customWidth="1"/>
    <col min="9731" max="9731" width="16.140625" style="261" customWidth="1"/>
    <col min="9732" max="9739" width="8.7109375" style="261" customWidth="1"/>
    <col min="9740" max="9740" width="15.140625" style="261" bestFit="1" customWidth="1"/>
    <col min="9741" max="9984" width="8.7109375" style="261" customWidth="1"/>
    <col min="9985" max="9985" width="63.42578125" style="261" customWidth="1"/>
    <col min="9986" max="9986" width="10.42578125" style="261" customWidth="1"/>
    <col min="9987" max="9987" width="16.140625" style="261" customWidth="1"/>
    <col min="9988" max="9995" width="8.7109375" style="261" customWidth="1"/>
    <col min="9996" max="9996" width="15.140625" style="261" bestFit="1" customWidth="1"/>
    <col min="9997" max="10240" width="8.7109375" style="261" customWidth="1"/>
    <col min="10241" max="10241" width="63.42578125" style="261" customWidth="1"/>
    <col min="10242" max="10242" width="10.42578125" style="261" customWidth="1"/>
    <col min="10243" max="10243" width="16.140625" style="261" customWidth="1"/>
    <col min="10244" max="10251" width="8.7109375" style="261" customWidth="1"/>
    <col min="10252" max="10252" width="15.140625" style="261" bestFit="1" customWidth="1"/>
    <col min="10253" max="10496" width="8.7109375" style="261" customWidth="1"/>
    <col min="10497" max="10497" width="63.42578125" style="261" customWidth="1"/>
    <col min="10498" max="10498" width="10.42578125" style="261" customWidth="1"/>
    <col min="10499" max="10499" width="16.140625" style="261" customWidth="1"/>
    <col min="10500" max="10507" width="8.7109375" style="261" customWidth="1"/>
    <col min="10508" max="10508" width="15.140625" style="261" bestFit="1" customWidth="1"/>
    <col min="10509" max="10752" width="8.7109375" style="261" customWidth="1"/>
    <col min="10753" max="10753" width="63.42578125" style="261" customWidth="1"/>
    <col min="10754" max="10754" width="10.42578125" style="261" customWidth="1"/>
    <col min="10755" max="10755" width="16.140625" style="261" customWidth="1"/>
    <col min="10756" max="10763" width="8.7109375" style="261" customWidth="1"/>
    <col min="10764" max="10764" width="15.140625" style="261" bestFit="1" customWidth="1"/>
    <col min="10765" max="11008" width="8.7109375" style="261" customWidth="1"/>
    <col min="11009" max="11009" width="63.42578125" style="261" customWidth="1"/>
    <col min="11010" max="11010" width="10.42578125" style="261" customWidth="1"/>
    <col min="11011" max="11011" width="16.140625" style="261" customWidth="1"/>
    <col min="11012" max="11019" width="8.7109375" style="261" customWidth="1"/>
    <col min="11020" max="11020" width="15.140625" style="261" bestFit="1" customWidth="1"/>
    <col min="11021" max="11264" width="8.7109375" style="261" customWidth="1"/>
    <col min="11265" max="11265" width="63.42578125" style="261" customWidth="1"/>
    <col min="11266" max="11266" width="10.42578125" style="261" customWidth="1"/>
    <col min="11267" max="11267" width="16.140625" style="261" customWidth="1"/>
    <col min="11268" max="11275" width="8.7109375" style="261" customWidth="1"/>
    <col min="11276" max="11276" width="15.140625" style="261" bestFit="1" customWidth="1"/>
    <col min="11277" max="11520" width="8.7109375" style="261" customWidth="1"/>
    <col min="11521" max="11521" width="63.42578125" style="261" customWidth="1"/>
    <col min="11522" max="11522" width="10.42578125" style="261" customWidth="1"/>
    <col min="11523" max="11523" width="16.140625" style="261" customWidth="1"/>
    <col min="11524" max="11531" width="8.7109375" style="261" customWidth="1"/>
    <col min="11532" max="11532" width="15.140625" style="261" bestFit="1" customWidth="1"/>
    <col min="11533" max="11776" width="8.7109375" style="261" customWidth="1"/>
    <col min="11777" max="11777" width="63.42578125" style="261" customWidth="1"/>
    <col min="11778" max="11778" width="10.42578125" style="261" customWidth="1"/>
    <col min="11779" max="11779" width="16.140625" style="261" customWidth="1"/>
    <col min="11780" max="11787" width="8.7109375" style="261" customWidth="1"/>
    <col min="11788" max="11788" width="15.140625" style="261" bestFit="1" customWidth="1"/>
    <col min="11789" max="12032" width="8.7109375" style="261" customWidth="1"/>
    <col min="12033" max="12033" width="63.42578125" style="261" customWidth="1"/>
    <col min="12034" max="12034" width="10.42578125" style="261" customWidth="1"/>
    <col min="12035" max="12035" width="16.140625" style="261" customWidth="1"/>
    <col min="12036" max="12043" width="8.7109375" style="261" customWidth="1"/>
    <col min="12044" max="12044" width="15.140625" style="261" bestFit="1" customWidth="1"/>
    <col min="12045" max="12288" width="8.7109375" style="261" customWidth="1"/>
    <col min="12289" max="12289" width="63.42578125" style="261" customWidth="1"/>
    <col min="12290" max="12290" width="10.42578125" style="261" customWidth="1"/>
    <col min="12291" max="12291" width="16.140625" style="261" customWidth="1"/>
    <col min="12292" max="12299" width="8.7109375" style="261" customWidth="1"/>
    <col min="12300" max="12300" width="15.140625" style="261" bestFit="1" customWidth="1"/>
    <col min="12301" max="12544" width="8.7109375" style="261" customWidth="1"/>
    <col min="12545" max="12545" width="63.42578125" style="261" customWidth="1"/>
    <col min="12546" max="12546" width="10.42578125" style="261" customWidth="1"/>
    <col min="12547" max="12547" width="16.140625" style="261" customWidth="1"/>
    <col min="12548" max="12555" width="8.7109375" style="261" customWidth="1"/>
    <col min="12556" max="12556" width="15.140625" style="261" bestFit="1" customWidth="1"/>
    <col min="12557" max="12800" width="8.7109375" style="261" customWidth="1"/>
    <col min="12801" max="12801" width="63.42578125" style="261" customWidth="1"/>
    <col min="12802" max="12802" width="10.42578125" style="261" customWidth="1"/>
    <col min="12803" max="12803" width="16.140625" style="261" customWidth="1"/>
    <col min="12804" max="12811" width="8.7109375" style="261" customWidth="1"/>
    <col min="12812" max="12812" width="15.140625" style="261" bestFit="1" customWidth="1"/>
    <col min="12813" max="13056" width="8.7109375" style="261" customWidth="1"/>
    <col min="13057" max="13057" width="63.42578125" style="261" customWidth="1"/>
    <col min="13058" max="13058" width="10.42578125" style="261" customWidth="1"/>
    <col min="13059" max="13059" width="16.140625" style="261" customWidth="1"/>
    <col min="13060" max="13067" width="8.7109375" style="261" customWidth="1"/>
    <col min="13068" max="13068" width="15.140625" style="261" bestFit="1" customWidth="1"/>
    <col min="13069" max="13312" width="8.7109375" style="261" customWidth="1"/>
    <col min="13313" max="13313" width="63.42578125" style="261" customWidth="1"/>
    <col min="13314" max="13314" width="10.42578125" style="261" customWidth="1"/>
    <col min="13315" max="13315" width="16.140625" style="261" customWidth="1"/>
    <col min="13316" max="13323" width="8.7109375" style="261" customWidth="1"/>
    <col min="13324" max="13324" width="15.140625" style="261" bestFit="1" customWidth="1"/>
    <col min="13325" max="13568" width="8.7109375" style="261" customWidth="1"/>
    <col min="13569" max="13569" width="63.42578125" style="261" customWidth="1"/>
    <col min="13570" max="13570" width="10.42578125" style="261" customWidth="1"/>
    <col min="13571" max="13571" width="16.140625" style="261" customWidth="1"/>
    <col min="13572" max="13579" width="8.7109375" style="261" customWidth="1"/>
    <col min="13580" max="13580" width="15.140625" style="261" bestFit="1" customWidth="1"/>
    <col min="13581" max="13824" width="8.7109375" style="261" customWidth="1"/>
    <col min="13825" max="13825" width="63.42578125" style="261" customWidth="1"/>
    <col min="13826" max="13826" width="10.42578125" style="261" customWidth="1"/>
    <col min="13827" max="13827" width="16.140625" style="261" customWidth="1"/>
    <col min="13828" max="13835" width="8.7109375" style="261" customWidth="1"/>
    <col min="13836" max="13836" width="15.140625" style="261" bestFit="1" customWidth="1"/>
    <col min="13837" max="14080" width="8.7109375" style="261" customWidth="1"/>
    <col min="14081" max="14081" width="63.42578125" style="261" customWidth="1"/>
    <col min="14082" max="14082" width="10.42578125" style="261" customWidth="1"/>
    <col min="14083" max="14083" width="16.140625" style="261" customWidth="1"/>
    <col min="14084" max="14091" width="8.7109375" style="261" customWidth="1"/>
    <col min="14092" max="14092" width="15.140625" style="261" bestFit="1" customWidth="1"/>
    <col min="14093" max="14336" width="8.7109375" style="261" customWidth="1"/>
    <col min="14337" max="14337" width="63.42578125" style="261" customWidth="1"/>
    <col min="14338" max="14338" width="10.42578125" style="261" customWidth="1"/>
    <col min="14339" max="14339" width="16.140625" style="261" customWidth="1"/>
    <col min="14340" max="14347" width="8.7109375" style="261" customWidth="1"/>
    <col min="14348" max="14348" width="15.140625" style="261" bestFit="1" customWidth="1"/>
    <col min="14349" max="14592" width="8.7109375" style="261" customWidth="1"/>
    <col min="14593" max="14593" width="63.42578125" style="261" customWidth="1"/>
    <col min="14594" max="14594" width="10.42578125" style="261" customWidth="1"/>
    <col min="14595" max="14595" width="16.140625" style="261" customWidth="1"/>
    <col min="14596" max="14603" width="8.7109375" style="261" customWidth="1"/>
    <col min="14604" max="14604" width="15.140625" style="261" bestFit="1" customWidth="1"/>
    <col min="14605" max="14848" width="8.7109375" style="261" customWidth="1"/>
    <col min="14849" max="14849" width="63.42578125" style="261" customWidth="1"/>
    <col min="14850" max="14850" width="10.42578125" style="261" customWidth="1"/>
    <col min="14851" max="14851" width="16.140625" style="261" customWidth="1"/>
    <col min="14852" max="14859" width="8.7109375" style="261" customWidth="1"/>
    <col min="14860" max="14860" width="15.140625" style="261" bestFit="1" customWidth="1"/>
    <col min="14861" max="15104" width="8.7109375" style="261" customWidth="1"/>
    <col min="15105" max="15105" width="63.42578125" style="261" customWidth="1"/>
    <col min="15106" max="15106" width="10.42578125" style="261" customWidth="1"/>
    <col min="15107" max="15107" width="16.140625" style="261" customWidth="1"/>
    <col min="15108" max="15115" width="8.7109375" style="261" customWidth="1"/>
    <col min="15116" max="15116" width="15.140625" style="261" bestFit="1" customWidth="1"/>
    <col min="15117" max="15360" width="8.7109375" style="261" customWidth="1"/>
    <col min="15361" max="15361" width="63.42578125" style="261" customWidth="1"/>
    <col min="15362" max="15362" width="10.42578125" style="261" customWidth="1"/>
    <col min="15363" max="15363" width="16.140625" style="261" customWidth="1"/>
    <col min="15364" max="15371" width="8.7109375" style="261" customWidth="1"/>
    <col min="15372" max="15372" width="15.140625" style="261" bestFit="1" customWidth="1"/>
    <col min="15373" max="15616" width="8.7109375" style="261" customWidth="1"/>
    <col min="15617" max="15617" width="63.42578125" style="261" customWidth="1"/>
    <col min="15618" max="15618" width="10.42578125" style="261" customWidth="1"/>
    <col min="15619" max="15619" width="16.140625" style="261" customWidth="1"/>
    <col min="15620" max="15627" width="8.7109375" style="261" customWidth="1"/>
    <col min="15628" max="15628" width="15.140625" style="261" bestFit="1" customWidth="1"/>
    <col min="15629" max="15872" width="8.7109375" style="261" customWidth="1"/>
    <col min="15873" max="15873" width="63.42578125" style="261" customWidth="1"/>
    <col min="15874" max="15874" width="10.42578125" style="261" customWidth="1"/>
    <col min="15875" max="15875" width="16.140625" style="261" customWidth="1"/>
    <col min="15876" max="15883" width="8.7109375" style="261" customWidth="1"/>
    <col min="15884" max="15884" width="15.140625" style="261" bestFit="1" customWidth="1"/>
    <col min="15885" max="16128" width="8.7109375" style="261" customWidth="1"/>
    <col min="16129" max="16129" width="63.42578125" style="261" customWidth="1"/>
    <col min="16130" max="16130" width="10.42578125" style="261" customWidth="1"/>
    <col min="16131" max="16131" width="16.140625" style="261" customWidth="1"/>
    <col min="16132" max="16139" width="8.7109375" style="261" customWidth="1"/>
    <col min="16140" max="16140" width="15.140625" style="261" bestFit="1" customWidth="1"/>
    <col min="16141" max="16384" width="8.7109375" style="261" customWidth="1"/>
  </cols>
  <sheetData>
    <row r="1" spans="1:12" s="258" customFormat="1" ht="27" customHeight="1" x14ac:dyDescent="0.25">
      <c r="A1" s="256" t="s">
        <v>44</v>
      </c>
      <c r="B1" s="256" t="s">
        <v>45</v>
      </c>
      <c r="C1" s="256" t="s">
        <v>46</v>
      </c>
      <c r="D1" s="256" t="s">
        <v>47</v>
      </c>
      <c r="E1" s="256" t="s">
        <v>48</v>
      </c>
      <c r="F1" s="256" t="s">
        <v>46</v>
      </c>
      <c r="G1" s="256" t="s">
        <v>49</v>
      </c>
      <c r="H1" s="256" t="s">
        <v>50</v>
      </c>
      <c r="I1" s="256" t="s">
        <v>51</v>
      </c>
      <c r="J1" s="256" t="s">
        <v>52</v>
      </c>
      <c r="K1" s="256" t="s">
        <v>40</v>
      </c>
      <c r="L1" s="257" t="s">
        <v>30</v>
      </c>
    </row>
    <row r="2" spans="1:12" x14ac:dyDescent="0.25">
      <c r="A2" s="259" t="s">
        <v>53</v>
      </c>
      <c r="B2" s="260">
        <v>4.2300000000000004</v>
      </c>
      <c r="C2" s="260">
        <v>2.0299999999999998</v>
      </c>
      <c r="D2" s="259" t="s">
        <v>54</v>
      </c>
      <c r="E2" s="259" t="s">
        <v>54</v>
      </c>
      <c r="F2" s="260">
        <v>2.0299999999999998</v>
      </c>
      <c r="G2" s="259" t="s">
        <v>54</v>
      </c>
      <c r="H2" s="259" t="s">
        <v>54</v>
      </c>
      <c r="I2" s="259" t="s">
        <v>54</v>
      </c>
      <c r="J2" s="259" t="s">
        <v>54</v>
      </c>
      <c r="K2" s="259" t="s">
        <v>54</v>
      </c>
      <c r="L2" s="259" t="s">
        <v>55</v>
      </c>
    </row>
    <row r="3" spans="1:12" x14ac:dyDescent="0.25">
      <c r="A3" s="259" t="s">
        <v>56</v>
      </c>
      <c r="B3" s="260">
        <v>1.94</v>
      </c>
      <c r="C3" s="260">
        <v>1.8</v>
      </c>
      <c r="D3" s="260">
        <v>20.36</v>
      </c>
      <c r="E3" s="260">
        <v>24.2</v>
      </c>
      <c r="F3" s="260">
        <v>1.8</v>
      </c>
      <c r="G3" s="260">
        <v>13.28</v>
      </c>
      <c r="H3" s="260">
        <v>0.94</v>
      </c>
      <c r="I3" s="260">
        <v>1.58</v>
      </c>
      <c r="J3" s="260">
        <v>0.88</v>
      </c>
      <c r="K3" s="260">
        <v>2.4</v>
      </c>
      <c r="L3" s="259" t="s">
        <v>55</v>
      </c>
    </row>
    <row r="4" spans="1:12" hidden="1" x14ac:dyDescent="0.25">
      <c r="A4" s="259" t="s">
        <v>57</v>
      </c>
      <c r="B4" s="260">
        <v>6.46</v>
      </c>
      <c r="C4" s="260">
        <v>1.95</v>
      </c>
      <c r="D4" s="260">
        <v>28.72</v>
      </c>
      <c r="E4" s="259" t="s">
        <v>54</v>
      </c>
      <c r="F4" s="260">
        <v>1.95</v>
      </c>
      <c r="G4" s="260">
        <v>18.03</v>
      </c>
      <c r="H4" s="260">
        <v>1.07</v>
      </c>
      <c r="I4" s="260">
        <v>1.6</v>
      </c>
      <c r="J4" s="260">
        <v>1.19</v>
      </c>
      <c r="K4" s="260">
        <v>5.59</v>
      </c>
      <c r="L4" s="259" t="s">
        <v>58</v>
      </c>
    </row>
    <row r="5" spans="1:12" x14ac:dyDescent="0.25">
      <c r="A5" s="259" t="s">
        <v>59</v>
      </c>
      <c r="B5" s="260">
        <v>9.61</v>
      </c>
      <c r="C5" s="260">
        <v>1.27</v>
      </c>
      <c r="D5" s="260">
        <v>17.350000000000001</v>
      </c>
      <c r="E5" s="260">
        <v>18.190000000000001</v>
      </c>
      <c r="F5" s="260">
        <v>1.27</v>
      </c>
      <c r="G5" s="260">
        <v>8.4499999999999993</v>
      </c>
      <c r="H5" s="260">
        <v>1.1200000000000001</v>
      </c>
      <c r="I5" s="260">
        <v>1.9</v>
      </c>
      <c r="J5" s="260">
        <v>0.84</v>
      </c>
      <c r="K5" s="260">
        <v>1.96</v>
      </c>
      <c r="L5" s="259" t="s">
        <v>60</v>
      </c>
    </row>
    <row r="6" spans="1:12" x14ac:dyDescent="0.25">
      <c r="A6" s="259" t="s">
        <v>61</v>
      </c>
      <c r="B6" s="260">
        <v>9.56</v>
      </c>
      <c r="C6" s="260">
        <v>1.79</v>
      </c>
      <c r="D6" s="260">
        <v>14.63</v>
      </c>
      <c r="E6" s="260">
        <v>15.62</v>
      </c>
      <c r="F6" s="260">
        <v>1.79</v>
      </c>
      <c r="G6" s="260">
        <v>7.75</v>
      </c>
      <c r="H6" s="260">
        <v>0.91</v>
      </c>
      <c r="I6" s="260">
        <v>1.39</v>
      </c>
      <c r="J6" s="260">
        <v>0.74</v>
      </c>
      <c r="K6" s="260">
        <v>1.17</v>
      </c>
      <c r="L6" s="259" t="s">
        <v>62</v>
      </c>
    </row>
    <row r="7" spans="1:12" x14ac:dyDescent="0.25">
      <c r="A7" s="259" t="s">
        <v>63</v>
      </c>
      <c r="B7" s="260">
        <v>4.0199999999999996</v>
      </c>
      <c r="C7" s="260">
        <v>2.16</v>
      </c>
      <c r="D7" s="260">
        <v>16.53</v>
      </c>
      <c r="E7" s="260">
        <v>15.7</v>
      </c>
      <c r="F7" s="260">
        <v>2.16</v>
      </c>
      <c r="G7" s="260">
        <v>13.97</v>
      </c>
      <c r="H7" s="260">
        <v>0.65</v>
      </c>
      <c r="I7" s="260">
        <v>0.98</v>
      </c>
      <c r="J7" s="260">
        <v>0.94</v>
      </c>
      <c r="K7" s="260">
        <v>-1.75</v>
      </c>
      <c r="L7" s="259" t="s">
        <v>55</v>
      </c>
    </row>
    <row r="8" spans="1:12" x14ac:dyDescent="0.25">
      <c r="A8" s="259" t="s">
        <v>64</v>
      </c>
      <c r="B8" s="260">
        <v>7.71</v>
      </c>
      <c r="C8" s="260">
        <v>0.04</v>
      </c>
      <c r="D8" s="260">
        <v>15.85</v>
      </c>
      <c r="E8" s="260">
        <v>20.64</v>
      </c>
      <c r="F8" s="260">
        <v>0.04</v>
      </c>
      <c r="G8" s="260">
        <v>12.69</v>
      </c>
      <c r="H8" s="260">
        <v>0.66</v>
      </c>
      <c r="I8" s="260">
        <v>1.1000000000000001</v>
      </c>
      <c r="J8" s="260">
        <v>0.91</v>
      </c>
      <c r="K8" s="260">
        <v>-0.96</v>
      </c>
      <c r="L8" s="259" t="s">
        <v>65</v>
      </c>
    </row>
    <row r="9" spans="1:12" hidden="1" x14ac:dyDescent="0.25">
      <c r="A9" s="259" t="s">
        <v>66</v>
      </c>
      <c r="B9" s="260">
        <v>6.65</v>
      </c>
      <c r="C9" s="260">
        <v>2.14</v>
      </c>
      <c r="D9" s="260">
        <v>17.850000000000001</v>
      </c>
      <c r="E9" s="259" t="s">
        <v>54</v>
      </c>
      <c r="F9" s="260">
        <v>2.14</v>
      </c>
      <c r="G9" s="260">
        <v>14.21</v>
      </c>
      <c r="H9" s="260">
        <v>0.68</v>
      </c>
      <c r="I9" s="260">
        <v>1.0900000000000001</v>
      </c>
      <c r="J9" s="260">
        <v>0.96</v>
      </c>
      <c r="K9" s="260">
        <v>-1.45</v>
      </c>
      <c r="L9" s="259" t="s">
        <v>58</v>
      </c>
    </row>
    <row r="10" spans="1:12" hidden="1" x14ac:dyDescent="0.25">
      <c r="A10" s="259" t="s">
        <v>67</v>
      </c>
      <c r="B10" s="259" t="s">
        <v>54</v>
      </c>
      <c r="C10" s="260">
        <v>2.0699999999999998</v>
      </c>
      <c r="D10" s="259" t="s">
        <v>54</v>
      </c>
      <c r="E10" s="259" t="s">
        <v>54</v>
      </c>
      <c r="F10" s="260">
        <v>2.0699999999999998</v>
      </c>
      <c r="G10" s="259" t="s">
        <v>54</v>
      </c>
      <c r="H10" s="259" t="s">
        <v>54</v>
      </c>
      <c r="I10" s="259" t="s">
        <v>54</v>
      </c>
      <c r="J10" s="259" t="s">
        <v>54</v>
      </c>
      <c r="K10" s="259" t="s">
        <v>54</v>
      </c>
      <c r="L10" s="259" t="s">
        <v>58</v>
      </c>
    </row>
    <row r="11" spans="1:12" hidden="1" x14ac:dyDescent="0.25">
      <c r="A11" s="259" t="s">
        <v>68</v>
      </c>
      <c r="B11" s="260">
        <v>1.84</v>
      </c>
      <c r="C11" s="260">
        <v>2.2200000000000002</v>
      </c>
      <c r="D11" s="260">
        <v>23.93</v>
      </c>
      <c r="E11" s="260">
        <v>26.23</v>
      </c>
      <c r="F11" s="260">
        <v>2.2200000000000002</v>
      </c>
      <c r="G11" s="260">
        <v>15.2</v>
      </c>
      <c r="H11" s="260">
        <v>1</v>
      </c>
      <c r="I11" s="260">
        <v>1.56</v>
      </c>
      <c r="J11" s="260">
        <v>0.97</v>
      </c>
      <c r="K11" s="260">
        <v>4.0599999999999996</v>
      </c>
      <c r="L11" s="259" t="s">
        <v>69</v>
      </c>
    </row>
    <row r="12" spans="1:12" x14ac:dyDescent="0.25">
      <c r="A12" s="259" t="s">
        <v>70</v>
      </c>
      <c r="B12" s="260">
        <v>4.58</v>
      </c>
      <c r="C12" s="260">
        <v>1.9</v>
      </c>
      <c r="D12" s="260">
        <v>17.54</v>
      </c>
      <c r="E12" s="260">
        <v>20.91</v>
      </c>
      <c r="F12" s="260">
        <v>1.9</v>
      </c>
      <c r="G12" s="260">
        <v>15.21</v>
      </c>
      <c r="H12" s="260">
        <v>0.62</v>
      </c>
      <c r="I12" s="260">
        <v>0.86</v>
      </c>
      <c r="J12" s="260">
        <v>1.01</v>
      </c>
      <c r="K12" s="260">
        <v>-1.71</v>
      </c>
      <c r="L12" s="259" t="s">
        <v>71</v>
      </c>
    </row>
    <row r="13" spans="1:12" hidden="1" x14ac:dyDescent="0.25">
      <c r="A13" s="259" t="s">
        <v>72</v>
      </c>
      <c r="B13" s="260">
        <v>9.6999999999999993</v>
      </c>
      <c r="C13" s="260">
        <v>2.44</v>
      </c>
      <c r="D13" s="260">
        <v>17.21</v>
      </c>
      <c r="E13" s="259" t="s">
        <v>54</v>
      </c>
      <c r="F13" s="260">
        <v>2.44</v>
      </c>
      <c r="G13" s="260">
        <v>14.57</v>
      </c>
      <c r="H13" s="260">
        <v>0.62</v>
      </c>
      <c r="I13" s="260">
        <v>0.98</v>
      </c>
      <c r="J13" s="260">
        <v>0.98</v>
      </c>
      <c r="K13" s="260">
        <v>-1</v>
      </c>
      <c r="L13" s="259" t="s">
        <v>73</v>
      </c>
    </row>
    <row r="14" spans="1:12" x14ac:dyDescent="0.25">
      <c r="A14" s="259" t="s">
        <v>74</v>
      </c>
      <c r="B14" s="260">
        <v>7.96</v>
      </c>
      <c r="C14" s="260">
        <v>1.1299999999999999</v>
      </c>
      <c r="D14" s="260">
        <v>18.57</v>
      </c>
      <c r="E14" s="260">
        <v>19.559999999999999</v>
      </c>
      <c r="F14" s="260">
        <v>1.1299999999999999</v>
      </c>
      <c r="G14" s="260">
        <v>10.49</v>
      </c>
      <c r="H14" s="260">
        <v>1</v>
      </c>
      <c r="I14" s="260">
        <v>1.44</v>
      </c>
      <c r="J14" s="260">
        <v>1.07</v>
      </c>
      <c r="K14" s="260">
        <v>1.02</v>
      </c>
      <c r="L14" s="259" t="s">
        <v>60</v>
      </c>
    </row>
    <row r="15" spans="1:12" x14ac:dyDescent="0.25">
      <c r="A15" s="259" t="s">
        <v>75</v>
      </c>
      <c r="B15" s="260">
        <v>8.83</v>
      </c>
      <c r="C15" s="260">
        <v>0.94</v>
      </c>
      <c r="D15" s="260">
        <v>12.79</v>
      </c>
      <c r="E15" s="260">
        <v>12.42</v>
      </c>
      <c r="F15" s="260">
        <v>0.94</v>
      </c>
      <c r="G15" s="260">
        <v>4.72</v>
      </c>
      <c r="H15" s="260">
        <v>1.21</v>
      </c>
      <c r="I15" s="260">
        <v>1.84</v>
      </c>
      <c r="J15" s="260">
        <v>0.47</v>
      </c>
      <c r="K15" s="260">
        <v>1.49</v>
      </c>
      <c r="L15" s="259" t="s">
        <v>60</v>
      </c>
    </row>
    <row r="16" spans="1:12" x14ac:dyDescent="0.25">
      <c r="A16" s="259" t="s">
        <v>76</v>
      </c>
      <c r="B16" s="260">
        <v>8.83</v>
      </c>
      <c r="C16" s="260">
        <v>1.0900000000000001</v>
      </c>
      <c r="D16" s="260">
        <v>15.69</v>
      </c>
      <c r="E16" s="260">
        <v>16.02</v>
      </c>
      <c r="F16" s="260">
        <v>1.0900000000000001</v>
      </c>
      <c r="G16" s="260">
        <v>7.64</v>
      </c>
      <c r="H16" s="260">
        <v>1.06</v>
      </c>
      <c r="I16" s="260">
        <v>1.54</v>
      </c>
      <c r="J16" s="260">
        <v>0.77</v>
      </c>
      <c r="K16" s="260">
        <v>1.24</v>
      </c>
      <c r="L16" s="259" t="s">
        <v>60</v>
      </c>
    </row>
    <row r="17" spans="1:12" x14ac:dyDescent="0.25">
      <c r="A17" s="259" t="s">
        <v>77</v>
      </c>
      <c r="B17" s="260">
        <v>9.73</v>
      </c>
      <c r="C17" s="260">
        <v>1.67</v>
      </c>
      <c r="D17" s="260">
        <v>20.22</v>
      </c>
      <c r="E17" s="260">
        <v>23.12</v>
      </c>
      <c r="F17" s="260">
        <v>1.67</v>
      </c>
      <c r="G17" s="260">
        <v>13.82</v>
      </c>
      <c r="H17" s="260">
        <v>0.87</v>
      </c>
      <c r="I17" s="260">
        <v>1.43</v>
      </c>
      <c r="J17" s="260">
        <v>0.94</v>
      </c>
      <c r="K17" s="260">
        <v>1.1499999999999999</v>
      </c>
      <c r="L17" s="259" t="s">
        <v>55</v>
      </c>
    </row>
    <row r="18" spans="1:12" x14ac:dyDescent="0.25">
      <c r="A18" s="259" t="s">
        <v>78</v>
      </c>
      <c r="B18" s="260">
        <v>9.2799999999999994</v>
      </c>
      <c r="C18" s="260">
        <v>1.81</v>
      </c>
      <c r="D18" s="260">
        <v>18.920000000000002</v>
      </c>
      <c r="E18" s="260">
        <v>21.84</v>
      </c>
      <c r="F18" s="260">
        <v>1.81</v>
      </c>
      <c r="G18" s="260">
        <v>13.24</v>
      </c>
      <c r="H18" s="260">
        <v>0.8</v>
      </c>
      <c r="I18" s="260">
        <v>1.57</v>
      </c>
      <c r="J18" s="260">
        <v>0.9</v>
      </c>
      <c r="K18" s="260">
        <v>0.3</v>
      </c>
      <c r="L18" s="259" t="s">
        <v>55</v>
      </c>
    </row>
    <row r="19" spans="1:12" x14ac:dyDescent="0.25">
      <c r="A19" s="259" t="s">
        <v>79</v>
      </c>
      <c r="B19" s="260">
        <v>7.48</v>
      </c>
      <c r="C19" s="260">
        <v>1.64</v>
      </c>
      <c r="D19" s="260">
        <v>18.54</v>
      </c>
      <c r="E19" s="260">
        <v>22.33</v>
      </c>
      <c r="F19" s="260">
        <v>1.64</v>
      </c>
      <c r="G19" s="260">
        <v>13.13</v>
      </c>
      <c r="H19" s="260">
        <v>0.81</v>
      </c>
      <c r="I19" s="260">
        <v>1.3</v>
      </c>
      <c r="J19" s="260">
        <v>0.95</v>
      </c>
      <c r="K19" s="260">
        <v>0.83</v>
      </c>
      <c r="L19" s="259" t="s">
        <v>65</v>
      </c>
    </row>
    <row r="20" spans="1:12" hidden="1" x14ac:dyDescent="0.25">
      <c r="A20" s="259" t="s">
        <v>80</v>
      </c>
      <c r="B20" s="260">
        <v>4.63</v>
      </c>
      <c r="C20" s="260">
        <v>1.85</v>
      </c>
      <c r="D20" s="260">
        <v>18.95</v>
      </c>
      <c r="E20" s="260">
        <v>22.13</v>
      </c>
      <c r="F20" s="260">
        <v>1.85</v>
      </c>
      <c r="G20" s="260">
        <v>14.6</v>
      </c>
      <c r="H20" s="260">
        <v>0.75</v>
      </c>
      <c r="I20" s="260">
        <v>1.1599999999999999</v>
      </c>
      <c r="J20" s="260">
        <v>0.79</v>
      </c>
      <c r="K20" s="260">
        <v>-0.37</v>
      </c>
      <c r="L20" s="259" t="s">
        <v>81</v>
      </c>
    </row>
    <row r="21" spans="1:12" hidden="1" x14ac:dyDescent="0.25">
      <c r="A21" s="259" t="s">
        <v>82</v>
      </c>
      <c r="B21" s="260">
        <v>2.0099999999999998</v>
      </c>
      <c r="C21" s="260">
        <v>2.29</v>
      </c>
      <c r="D21" s="260">
        <v>20.58</v>
      </c>
      <c r="E21" s="260">
        <v>21.32</v>
      </c>
      <c r="F21" s="260">
        <v>2.29</v>
      </c>
      <c r="G21" s="260">
        <v>16.43</v>
      </c>
      <c r="H21" s="260">
        <v>0.8</v>
      </c>
      <c r="I21" s="260">
        <v>1.25</v>
      </c>
      <c r="J21" s="260">
        <v>1.07</v>
      </c>
      <c r="K21" s="260">
        <v>0.88</v>
      </c>
      <c r="L21" s="259" t="s">
        <v>58</v>
      </c>
    </row>
    <row r="22" spans="1:12" x14ac:dyDescent="0.25">
      <c r="A22" s="259" t="s">
        <v>83</v>
      </c>
      <c r="B22" s="260">
        <v>6.66</v>
      </c>
      <c r="C22" s="260">
        <v>1.89</v>
      </c>
      <c r="D22" s="260">
        <v>22.4</v>
      </c>
      <c r="E22" s="260">
        <v>28.63</v>
      </c>
      <c r="F22" s="260">
        <v>1.89</v>
      </c>
      <c r="G22" s="260">
        <v>16.239999999999998</v>
      </c>
      <c r="H22" s="260">
        <v>0.85</v>
      </c>
      <c r="I22" s="260">
        <v>1.39</v>
      </c>
      <c r="J22" s="260">
        <v>0.92</v>
      </c>
      <c r="K22" s="260">
        <v>-2.87</v>
      </c>
      <c r="L22" s="259" t="s">
        <v>84</v>
      </c>
    </row>
    <row r="23" spans="1:12" hidden="1" x14ac:dyDescent="0.25">
      <c r="A23" s="259" t="s">
        <v>85</v>
      </c>
      <c r="B23" s="260">
        <v>-0.79</v>
      </c>
      <c r="C23" s="260">
        <v>2.0099999999999998</v>
      </c>
      <c r="D23" s="260">
        <v>14.75</v>
      </c>
      <c r="E23" s="260">
        <v>13.98</v>
      </c>
      <c r="F23" s="260">
        <v>2.0099999999999998</v>
      </c>
      <c r="G23" s="260">
        <v>14.9</v>
      </c>
      <c r="H23" s="260">
        <v>0.52</v>
      </c>
      <c r="I23" s="260">
        <v>0.89</v>
      </c>
      <c r="J23" s="260">
        <v>0.9</v>
      </c>
      <c r="K23" s="260">
        <v>-2.66</v>
      </c>
      <c r="L23" s="259" t="s">
        <v>86</v>
      </c>
    </row>
    <row r="24" spans="1:12" x14ac:dyDescent="0.25">
      <c r="A24" s="259" t="s">
        <v>87</v>
      </c>
      <c r="B24" s="260">
        <v>10.57</v>
      </c>
      <c r="C24" s="260">
        <v>1.83</v>
      </c>
      <c r="D24" s="259" t="s">
        <v>54</v>
      </c>
      <c r="E24" s="259" t="s">
        <v>54</v>
      </c>
      <c r="F24" s="260">
        <v>1.83</v>
      </c>
      <c r="G24" s="259" t="s">
        <v>54</v>
      </c>
      <c r="H24" s="259" t="s">
        <v>54</v>
      </c>
      <c r="I24" s="259" t="s">
        <v>54</v>
      </c>
      <c r="J24" s="259" t="s">
        <v>54</v>
      </c>
      <c r="K24" s="259" t="s">
        <v>54</v>
      </c>
      <c r="L24" s="259" t="s">
        <v>60</v>
      </c>
    </row>
    <row r="25" spans="1:12" x14ac:dyDescent="0.25">
      <c r="A25" s="259" t="s">
        <v>88</v>
      </c>
      <c r="B25" s="260">
        <v>4.72</v>
      </c>
      <c r="C25" s="260">
        <v>1.84</v>
      </c>
      <c r="D25" s="260">
        <v>19.48</v>
      </c>
      <c r="E25" s="259" t="s">
        <v>54</v>
      </c>
      <c r="F25" s="260">
        <v>1.84</v>
      </c>
      <c r="G25" s="260">
        <v>14.3</v>
      </c>
      <c r="H25" s="260">
        <v>0.8</v>
      </c>
      <c r="I25" s="260">
        <v>1.06</v>
      </c>
      <c r="J25" s="260">
        <v>0.88</v>
      </c>
      <c r="K25" s="260">
        <v>-1.43</v>
      </c>
      <c r="L25" s="259" t="s">
        <v>89</v>
      </c>
    </row>
    <row r="26" spans="1:12" x14ac:dyDescent="0.25">
      <c r="A26" s="259" t="s">
        <v>90</v>
      </c>
      <c r="B26" s="260">
        <v>6.41</v>
      </c>
      <c r="C26" s="260">
        <v>0.61</v>
      </c>
      <c r="D26" s="259" t="s">
        <v>54</v>
      </c>
      <c r="E26" s="259" t="s">
        <v>54</v>
      </c>
      <c r="F26" s="260">
        <v>0.61</v>
      </c>
      <c r="G26" s="259" t="s">
        <v>54</v>
      </c>
      <c r="H26" s="259" t="s">
        <v>54</v>
      </c>
      <c r="I26" s="259" t="s">
        <v>54</v>
      </c>
      <c r="J26" s="259" t="s">
        <v>54</v>
      </c>
      <c r="K26" s="259" t="s">
        <v>54</v>
      </c>
      <c r="L26" s="259" t="s">
        <v>60</v>
      </c>
    </row>
    <row r="27" spans="1:12" x14ac:dyDescent="0.25">
      <c r="A27" s="259" t="s">
        <v>91</v>
      </c>
      <c r="B27" s="260">
        <v>-11.83</v>
      </c>
      <c r="C27" s="260">
        <v>0.28999999999999998</v>
      </c>
      <c r="D27" s="259" t="s">
        <v>54</v>
      </c>
      <c r="E27" s="259" t="s">
        <v>54</v>
      </c>
      <c r="F27" s="260">
        <v>0.28999999999999998</v>
      </c>
      <c r="G27" s="259" t="s">
        <v>54</v>
      </c>
      <c r="H27" s="259" t="s">
        <v>54</v>
      </c>
      <c r="I27" s="259" t="s">
        <v>54</v>
      </c>
      <c r="J27" s="259" t="s">
        <v>54</v>
      </c>
      <c r="K27" s="259" t="s">
        <v>54</v>
      </c>
      <c r="L27" s="259" t="s">
        <v>71</v>
      </c>
    </row>
    <row r="28" spans="1:12" x14ac:dyDescent="0.25">
      <c r="A28" s="259" t="s">
        <v>92</v>
      </c>
      <c r="B28" s="260">
        <v>2.39</v>
      </c>
      <c r="C28" s="260">
        <v>0.28999999999999998</v>
      </c>
      <c r="D28" s="259" t="s">
        <v>54</v>
      </c>
      <c r="E28" s="259" t="s">
        <v>54</v>
      </c>
      <c r="F28" s="260">
        <v>0.28999999999999998</v>
      </c>
      <c r="G28" s="259" t="s">
        <v>54</v>
      </c>
      <c r="H28" s="259" t="s">
        <v>54</v>
      </c>
      <c r="I28" s="259" t="s">
        <v>54</v>
      </c>
      <c r="J28" s="259" t="s">
        <v>54</v>
      </c>
      <c r="K28" s="259" t="s">
        <v>54</v>
      </c>
      <c r="L28" s="259" t="s">
        <v>71</v>
      </c>
    </row>
    <row r="29" spans="1:12" x14ac:dyDescent="0.25">
      <c r="A29" s="259" t="s">
        <v>93</v>
      </c>
      <c r="B29" s="260">
        <v>4.87</v>
      </c>
      <c r="C29" s="260">
        <v>1.02</v>
      </c>
      <c r="D29" s="260">
        <v>19.350000000000001</v>
      </c>
      <c r="E29" s="259" t="s">
        <v>54</v>
      </c>
      <c r="F29" s="260">
        <v>1.02</v>
      </c>
      <c r="G29" s="260">
        <v>14.76</v>
      </c>
      <c r="H29" s="260">
        <v>0.77</v>
      </c>
      <c r="I29" s="260">
        <v>1.17</v>
      </c>
      <c r="J29" s="260">
        <v>1.04</v>
      </c>
      <c r="K29" s="260">
        <v>0.56999999999999995</v>
      </c>
      <c r="L29" s="259" t="s">
        <v>65</v>
      </c>
    </row>
    <row r="30" spans="1:12" x14ac:dyDescent="0.25">
      <c r="A30" s="259" t="s">
        <v>94</v>
      </c>
      <c r="B30" s="260">
        <v>7.81</v>
      </c>
      <c r="C30" s="260">
        <v>0.04</v>
      </c>
      <c r="D30" s="260">
        <v>16.600000000000001</v>
      </c>
      <c r="E30" s="260">
        <v>21.4</v>
      </c>
      <c r="F30" s="260">
        <v>0.04</v>
      </c>
      <c r="G30" s="260">
        <v>13.14</v>
      </c>
      <c r="H30" s="260">
        <v>0.69</v>
      </c>
      <c r="I30" s="260">
        <v>1.18</v>
      </c>
      <c r="J30" s="260">
        <v>0.95</v>
      </c>
      <c r="K30" s="260">
        <v>-0.72</v>
      </c>
      <c r="L30" s="259" t="s">
        <v>65</v>
      </c>
    </row>
    <row r="31" spans="1:12" x14ac:dyDescent="0.25">
      <c r="A31" s="259" t="s">
        <v>95</v>
      </c>
      <c r="B31" s="260">
        <v>7.33</v>
      </c>
      <c r="C31" s="260">
        <v>0.47</v>
      </c>
      <c r="D31" s="260">
        <v>15.98</v>
      </c>
      <c r="E31" s="260">
        <v>20.62</v>
      </c>
      <c r="F31" s="260">
        <v>0.47</v>
      </c>
      <c r="G31" s="260">
        <v>13.12</v>
      </c>
      <c r="H31" s="260">
        <v>0.65</v>
      </c>
      <c r="I31" s="260">
        <v>1.1100000000000001</v>
      </c>
      <c r="J31" s="260">
        <v>0.95</v>
      </c>
      <c r="K31" s="260">
        <v>-1.25</v>
      </c>
      <c r="L31" s="259" t="s">
        <v>65</v>
      </c>
    </row>
    <row r="32" spans="1:12" hidden="1" x14ac:dyDescent="0.25">
      <c r="A32" s="259" t="s">
        <v>96</v>
      </c>
      <c r="B32" s="259" t="s">
        <v>54</v>
      </c>
      <c r="C32" s="260">
        <v>1.06</v>
      </c>
      <c r="D32" s="259" t="s">
        <v>54</v>
      </c>
      <c r="E32" s="259" t="s">
        <v>54</v>
      </c>
      <c r="F32" s="260">
        <v>1.06</v>
      </c>
      <c r="G32" s="259" t="s">
        <v>54</v>
      </c>
      <c r="H32" s="259" t="s">
        <v>54</v>
      </c>
      <c r="I32" s="259" t="s">
        <v>54</v>
      </c>
      <c r="J32" s="259" t="s">
        <v>54</v>
      </c>
      <c r="K32" s="259" t="s">
        <v>54</v>
      </c>
      <c r="L32" s="259" t="s">
        <v>58</v>
      </c>
    </row>
    <row r="33" spans="1:12" x14ac:dyDescent="0.25">
      <c r="A33" s="259" t="s">
        <v>97</v>
      </c>
      <c r="B33" s="260">
        <v>5.32</v>
      </c>
      <c r="C33" s="260">
        <v>1.01</v>
      </c>
      <c r="D33" s="260">
        <v>27.02</v>
      </c>
      <c r="E33" s="259" t="s">
        <v>54</v>
      </c>
      <c r="F33" s="260">
        <v>1.01</v>
      </c>
      <c r="G33" s="260">
        <v>17.010000000000002</v>
      </c>
      <c r="H33" s="260">
        <v>1.06</v>
      </c>
      <c r="I33" s="260">
        <v>1.53</v>
      </c>
      <c r="J33" s="260">
        <v>1</v>
      </c>
      <c r="K33" s="260">
        <v>-0.09</v>
      </c>
      <c r="L33" s="259" t="s">
        <v>84</v>
      </c>
    </row>
    <row r="34" spans="1:12" x14ac:dyDescent="0.25">
      <c r="A34" s="259" t="s">
        <v>98</v>
      </c>
      <c r="B34" s="260">
        <v>-3.18</v>
      </c>
      <c r="C34" s="260">
        <v>0.09</v>
      </c>
      <c r="D34" s="260">
        <v>22.13</v>
      </c>
      <c r="E34" s="260">
        <v>22.68</v>
      </c>
      <c r="F34" s="260">
        <v>0.09</v>
      </c>
      <c r="G34" s="260">
        <v>19.54</v>
      </c>
      <c r="H34" s="260">
        <v>0.73</v>
      </c>
      <c r="I34" s="260">
        <v>1.0900000000000001</v>
      </c>
      <c r="J34" s="260">
        <v>1.3</v>
      </c>
      <c r="K34" s="260">
        <v>0.85</v>
      </c>
      <c r="L34" s="259" t="s">
        <v>65</v>
      </c>
    </row>
    <row r="35" spans="1:12" x14ac:dyDescent="0.25">
      <c r="A35" s="259" t="s">
        <v>99</v>
      </c>
      <c r="B35" s="260">
        <v>-4.32</v>
      </c>
      <c r="C35" s="260">
        <v>0.88</v>
      </c>
      <c r="D35" s="260">
        <v>20.8</v>
      </c>
      <c r="E35" s="259" t="s">
        <v>54</v>
      </c>
      <c r="F35" s="260">
        <v>0.88</v>
      </c>
      <c r="G35" s="260">
        <v>19.52</v>
      </c>
      <c r="H35" s="260">
        <v>0.67</v>
      </c>
      <c r="I35" s="260">
        <v>1</v>
      </c>
      <c r="J35" s="260">
        <v>1.3</v>
      </c>
      <c r="K35" s="260">
        <v>-0.25</v>
      </c>
      <c r="L35" s="259" t="s">
        <v>65</v>
      </c>
    </row>
    <row r="36" spans="1:12" hidden="1" x14ac:dyDescent="0.25">
      <c r="A36" s="259" t="s">
        <v>100</v>
      </c>
      <c r="B36" s="260">
        <v>-4.83</v>
      </c>
      <c r="C36" s="260">
        <v>0.2</v>
      </c>
      <c r="D36" s="259" t="s">
        <v>54</v>
      </c>
      <c r="E36" s="259" t="s">
        <v>54</v>
      </c>
      <c r="F36" s="260">
        <v>0.2</v>
      </c>
      <c r="G36" s="259" t="s">
        <v>54</v>
      </c>
      <c r="H36" s="259" t="s">
        <v>54</v>
      </c>
      <c r="I36" s="259" t="s">
        <v>54</v>
      </c>
      <c r="J36" s="259" t="s">
        <v>54</v>
      </c>
      <c r="K36" s="259" t="s">
        <v>54</v>
      </c>
      <c r="L36" s="259" t="s">
        <v>101</v>
      </c>
    </row>
    <row r="37" spans="1:12" x14ac:dyDescent="0.25">
      <c r="A37" s="259" t="s">
        <v>102</v>
      </c>
      <c r="B37" s="260">
        <v>6.38</v>
      </c>
      <c r="C37" s="260">
        <v>1.01</v>
      </c>
      <c r="D37" s="260">
        <v>28.75</v>
      </c>
      <c r="E37" s="259" t="s">
        <v>54</v>
      </c>
      <c r="F37" s="260">
        <v>1.01</v>
      </c>
      <c r="G37" s="260">
        <v>20.71</v>
      </c>
      <c r="H37" s="260">
        <v>0.92</v>
      </c>
      <c r="I37" s="260">
        <v>1.48</v>
      </c>
      <c r="J37" s="260">
        <v>1.03</v>
      </c>
      <c r="K37" s="260">
        <v>0.22</v>
      </c>
      <c r="L37" s="259" t="s">
        <v>103</v>
      </c>
    </row>
    <row r="38" spans="1:12" hidden="1" x14ac:dyDescent="0.25">
      <c r="A38" s="259" t="s">
        <v>104</v>
      </c>
      <c r="B38" s="260">
        <v>-5.53</v>
      </c>
      <c r="C38" s="260">
        <v>1.79</v>
      </c>
      <c r="D38" s="260">
        <v>32.4</v>
      </c>
      <c r="E38" s="260">
        <v>32.39</v>
      </c>
      <c r="F38" s="260">
        <v>1.79</v>
      </c>
      <c r="G38" s="260">
        <v>22.36</v>
      </c>
      <c r="H38" s="260">
        <v>1.07</v>
      </c>
      <c r="I38" s="260">
        <v>1.95</v>
      </c>
      <c r="J38" s="260">
        <v>0.97</v>
      </c>
      <c r="K38" s="260">
        <v>-2.99</v>
      </c>
      <c r="L38" s="259" t="s">
        <v>101</v>
      </c>
    </row>
    <row r="39" spans="1:12" hidden="1" x14ac:dyDescent="0.25">
      <c r="A39" s="259" t="s">
        <v>105</v>
      </c>
      <c r="B39" s="259" t="s">
        <v>54</v>
      </c>
      <c r="C39" s="260">
        <v>1.97</v>
      </c>
      <c r="D39" s="259" t="s">
        <v>54</v>
      </c>
      <c r="E39" s="259" t="s">
        <v>54</v>
      </c>
      <c r="F39" s="260">
        <v>1.97</v>
      </c>
      <c r="G39" s="259" t="s">
        <v>54</v>
      </c>
      <c r="H39" s="259" t="s">
        <v>54</v>
      </c>
      <c r="I39" s="259" t="s">
        <v>54</v>
      </c>
      <c r="J39" s="259" t="s">
        <v>54</v>
      </c>
      <c r="K39" s="259" t="s">
        <v>54</v>
      </c>
      <c r="L39" s="259" t="s">
        <v>58</v>
      </c>
    </row>
    <row r="40" spans="1:12" x14ac:dyDescent="0.25">
      <c r="A40" s="259" t="s">
        <v>106</v>
      </c>
      <c r="B40" s="260">
        <v>8.2799999999999994</v>
      </c>
      <c r="C40" s="260">
        <v>2.41</v>
      </c>
      <c r="D40" s="260">
        <v>17.78</v>
      </c>
      <c r="E40" s="260">
        <v>16.73</v>
      </c>
      <c r="F40" s="260">
        <v>2.41</v>
      </c>
      <c r="G40" s="260">
        <v>14.35</v>
      </c>
      <c r="H40" s="260">
        <v>0.69</v>
      </c>
      <c r="I40" s="260">
        <v>1.1000000000000001</v>
      </c>
      <c r="J40" s="260">
        <v>0.94</v>
      </c>
      <c r="K40" s="260">
        <v>-0.98</v>
      </c>
      <c r="L40" s="259" t="s">
        <v>55</v>
      </c>
    </row>
    <row r="41" spans="1:12" x14ac:dyDescent="0.25">
      <c r="A41" s="259" t="s">
        <v>107</v>
      </c>
      <c r="B41" s="260">
        <v>2.38</v>
      </c>
      <c r="C41" s="260">
        <v>1.92</v>
      </c>
      <c r="D41" s="260">
        <v>21.9</v>
      </c>
      <c r="E41" s="260">
        <v>29.2</v>
      </c>
      <c r="F41" s="260">
        <v>1.92</v>
      </c>
      <c r="G41" s="260">
        <v>17.91</v>
      </c>
      <c r="H41" s="260">
        <v>0.78</v>
      </c>
      <c r="I41" s="260">
        <v>1.18</v>
      </c>
      <c r="J41" s="260">
        <v>0.89</v>
      </c>
      <c r="K41" s="260">
        <v>-2.19</v>
      </c>
      <c r="L41" s="259" t="s">
        <v>103</v>
      </c>
    </row>
    <row r="42" spans="1:12" hidden="1" x14ac:dyDescent="0.25">
      <c r="A42" s="259" t="s">
        <v>108</v>
      </c>
      <c r="B42" s="260">
        <v>8.14</v>
      </c>
      <c r="C42" s="260">
        <v>2.39</v>
      </c>
      <c r="D42" s="260">
        <v>20.350000000000001</v>
      </c>
      <c r="E42" s="259" t="s">
        <v>54</v>
      </c>
      <c r="F42" s="260">
        <v>2.39</v>
      </c>
      <c r="G42" s="260">
        <v>14.79</v>
      </c>
      <c r="H42" s="260">
        <v>0.79</v>
      </c>
      <c r="I42" s="260">
        <v>1.39</v>
      </c>
      <c r="J42" s="260">
        <v>0.99</v>
      </c>
      <c r="K42" s="260">
        <v>0.3</v>
      </c>
      <c r="L42" s="259" t="s">
        <v>58</v>
      </c>
    </row>
    <row r="43" spans="1:12" hidden="1" x14ac:dyDescent="0.25">
      <c r="A43" s="259" t="s">
        <v>109</v>
      </c>
      <c r="B43" s="260">
        <v>-4.45</v>
      </c>
      <c r="C43" s="260">
        <v>2.11</v>
      </c>
      <c r="D43" s="259" t="s">
        <v>54</v>
      </c>
      <c r="E43" s="259" t="s">
        <v>54</v>
      </c>
      <c r="F43" s="260">
        <v>2.11</v>
      </c>
      <c r="G43" s="259" t="s">
        <v>54</v>
      </c>
      <c r="H43" s="259" t="s">
        <v>54</v>
      </c>
      <c r="I43" s="259" t="s">
        <v>54</v>
      </c>
      <c r="J43" s="259" t="s">
        <v>54</v>
      </c>
      <c r="K43" s="259" t="s">
        <v>54</v>
      </c>
      <c r="L43" s="259" t="s">
        <v>58</v>
      </c>
    </row>
    <row r="44" spans="1:12" x14ac:dyDescent="0.25">
      <c r="A44" s="259" t="s">
        <v>110</v>
      </c>
      <c r="B44" s="259" t="s">
        <v>54</v>
      </c>
      <c r="C44" s="260">
        <v>0.09</v>
      </c>
      <c r="D44" s="259" t="s">
        <v>54</v>
      </c>
      <c r="E44" s="259" t="s">
        <v>54</v>
      </c>
      <c r="F44" s="260">
        <v>0.09</v>
      </c>
      <c r="G44" s="259" t="s">
        <v>54</v>
      </c>
      <c r="H44" s="259" t="s">
        <v>54</v>
      </c>
      <c r="I44" s="259" t="s">
        <v>54</v>
      </c>
      <c r="J44" s="259" t="s">
        <v>54</v>
      </c>
      <c r="K44" s="259" t="s">
        <v>54</v>
      </c>
      <c r="L44" s="259" t="s">
        <v>65</v>
      </c>
    </row>
    <row r="45" spans="1:12" x14ac:dyDescent="0.25">
      <c r="A45" s="259" t="s">
        <v>111</v>
      </c>
      <c r="B45" s="259" t="s">
        <v>54</v>
      </c>
      <c r="C45" s="260">
        <v>0.7</v>
      </c>
      <c r="D45" s="259" t="s">
        <v>54</v>
      </c>
      <c r="E45" s="259" t="s">
        <v>54</v>
      </c>
      <c r="F45" s="260">
        <v>0.7</v>
      </c>
      <c r="G45" s="259" t="s">
        <v>54</v>
      </c>
      <c r="H45" s="259" t="s">
        <v>54</v>
      </c>
      <c r="I45" s="259" t="s">
        <v>54</v>
      </c>
      <c r="J45" s="259" t="s">
        <v>54</v>
      </c>
      <c r="K45" s="259" t="s">
        <v>54</v>
      </c>
      <c r="L45" s="259" t="s">
        <v>65</v>
      </c>
    </row>
    <row r="46" spans="1:12" x14ac:dyDescent="0.25">
      <c r="A46" s="259" t="s">
        <v>112</v>
      </c>
      <c r="B46" s="259" t="s">
        <v>54</v>
      </c>
      <c r="C46" s="260">
        <v>0.28000000000000003</v>
      </c>
      <c r="D46" s="259" t="s">
        <v>54</v>
      </c>
      <c r="E46" s="259" t="s">
        <v>54</v>
      </c>
      <c r="F46" s="260">
        <v>0.28000000000000003</v>
      </c>
      <c r="G46" s="259" t="s">
        <v>54</v>
      </c>
      <c r="H46" s="259" t="s">
        <v>54</v>
      </c>
      <c r="I46" s="259" t="s">
        <v>54</v>
      </c>
      <c r="J46" s="259" t="s">
        <v>54</v>
      </c>
      <c r="K46" s="259" t="s">
        <v>54</v>
      </c>
      <c r="L46" s="259" t="s">
        <v>55</v>
      </c>
    </row>
    <row r="47" spans="1:12" x14ac:dyDescent="0.25">
      <c r="A47" s="259" t="s">
        <v>113</v>
      </c>
      <c r="B47" s="259" t="s">
        <v>54</v>
      </c>
      <c r="C47" s="260">
        <v>1.03</v>
      </c>
      <c r="D47" s="259" t="s">
        <v>54</v>
      </c>
      <c r="E47" s="259" t="s">
        <v>54</v>
      </c>
      <c r="F47" s="260">
        <v>1.03</v>
      </c>
      <c r="G47" s="259" t="s">
        <v>54</v>
      </c>
      <c r="H47" s="259" t="s">
        <v>54</v>
      </c>
      <c r="I47" s="259" t="s">
        <v>54</v>
      </c>
      <c r="J47" s="259" t="s">
        <v>54</v>
      </c>
      <c r="K47" s="259" t="s">
        <v>54</v>
      </c>
      <c r="L47" s="259" t="s">
        <v>55</v>
      </c>
    </row>
    <row r="48" spans="1:12" x14ac:dyDescent="0.25">
      <c r="A48" s="259" t="s">
        <v>114</v>
      </c>
      <c r="B48" s="260">
        <v>9.34</v>
      </c>
      <c r="C48" s="260">
        <v>1.94</v>
      </c>
      <c r="D48" s="260">
        <v>15.53</v>
      </c>
      <c r="E48" s="260">
        <v>14.3</v>
      </c>
      <c r="F48" s="260">
        <v>1.94</v>
      </c>
      <c r="G48" s="260">
        <v>8.06</v>
      </c>
      <c r="H48" s="260">
        <v>1.01</v>
      </c>
      <c r="I48" s="260">
        <v>1.7</v>
      </c>
      <c r="J48" s="260">
        <v>0.75</v>
      </c>
      <c r="K48" s="260">
        <v>2.2200000000000002</v>
      </c>
      <c r="L48" s="259" t="s">
        <v>62</v>
      </c>
    </row>
    <row r="49" spans="1:12" x14ac:dyDescent="0.25">
      <c r="A49" s="259" t="s">
        <v>115</v>
      </c>
      <c r="B49" s="260">
        <v>7.73</v>
      </c>
      <c r="C49" s="260">
        <v>0.04</v>
      </c>
      <c r="D49" s="259" t="s">
        <v>54</v>
      </c>
      <c r="E49" s="259" t="s">
        <v>54</v>
      </c>
      <c r="F49" s="260">
        <v>0.04</v>
      </c>
      <c r="G49" s="259" t="s">
        <v>54</v>
      </c>
      <c r="H49" s="259" t="s">
        <v>54</v>
      </c>
      <c r="I49" s="259" t="s">
        <v>54</v>
      </c>
      <c r="J49" s="259" t="s">
        <v>54</v>
      </c>
      <c r="K49" s="259" t="s">
        <v>54</v>
      </c>
      <c r="L49" s="259" t="s">
        <v>65</v>
      </c>
    </row>
    <row r="50" spans="1:12" x14ac:dyDescent="0.25">
      <c r="A50" s="259" t="s">
        <v>116</v>
      </c>
      <c r="B50" s="260">
        <v>7</v>
      </c>
      <c r="C50" s="260">
        <v>0.7</v>
      </c>
      <c r="D50" s="259" t="s">
        <v>54</v>
      </c>
      <c r="E50" s="259" t="s">
        <v>54</v>
      </c>
      <c r="F50" s="260">
        <v>0.7</v>
      </c>
      <c r="G50" s="259" t="s">
        <v>54</v>
      </c>
      <c r="H50" s="259" t="s">
        <v>54</v>
      </c>
      <c r="I50" s="259" t="s">
        <v>54</v>
      </c>
      <c r="J50" s="259" t="s">
        <v>54</v>
      </c>
      <c r="K50" s="259" t="s">
        <v>54</v>
      </c>
      <c r="L50" s="259" t="s">
        <v>65</v>
      </c>
    </row>
    <row r="51" spans="1:12" hidden="1" x14ac:dyDescent="0.25">
      <c r="A51" s="259" t="s">
        <v>117</v>
      </c>
      <c r="B51" s="260">
        <v>5.03</v>
      </c>
      <c r="C51" s="260">
        <v>1.99</v>
      </c>
      <c r="D51" s="259" t="s">
        <v>54</v>
      </c>
      <c r="E51" s="259" t="s">
        <v>54</v>
      </c>
      <c r="F51" s="260">
        <v>1.99</v>
      </c>
      <c r="G51" s="259" t="s">
        <v>54</v>
      </c>
      <c r="H51" s="259" t="s">
        <v>54</v>
      </c>
      <c r="I51" s="259" t="s">
        <v>54</v>
      </c>
      <c r="J51" s="259" t="s">
        <v>54</v>
      </c>
      <c r="K51" s="259" t="s">
        <v>54</v>
      </c>
      <c r="L51" s="259" t="s">
        <v>58</v>
      </c>
    </row>
    <row r="52" spans="1:12" hidden="1" x14ac:dyDescent="0.25">
      <c r="A52" s="259" t="s">
        <v>118</v>
      </c>
      <c r="B52" s="259" t="s">
        <v>54</v>
      </c>
      <c r="C52" s="260">
        <v>1.86</v>
      </c>
      <c r="D52" s="259" t="s">
        <v>54</v>
      </c>
      <c r="E52" s="259" t="s">
        <v>54</v>
      </c>
      <c r="F52" s="260">
        <v>1.86</v>
      </c>
      <c r="G52" s="259" t="s">
        <v>54</v>
      </c>
      <c r="H52" s="259" t="s">
        <v>54</v>
      </c>
      <c r="I52" s="259" t="s">
        <v>54</v>
      </c>
      <c r="J52" s="259" t="s">
        <v>54</v>
      </c>
      <c r="K52" s="259" t="s">
        <v>54</v>
      </c>
      <c r="L52" s="259" t="s">
        <v>81</v>
      </c>
    </row>
    <row r="53" spans="1:12" x14ac:dyDescent="0.25">
      <c r="A53" s="259" t="s">
        <v>119</v>
      </c>
      <c r="B53" s="260">
        <v>-2.44</v>
      </c>
      <c r="C53" s="260">
        <v>0.7</v>
      </c>
      <c r="D53" s="260">
        <v>16.12</v>
      </c>
      <c r="E53" s="259" t="s">
        <v>54</v>
      </c>
      <c r="F53" s="260">
        <v>0.7</v>
      </c>
      <c r="G53" s="260">
        <v>14.4</v>
      </c>
      <c r="H53" s="260">
        <v>0.6</v>
      </c>
      <c r="I53" s="260">
        <v>0.89</v>
      </c>
      <c r="J53" s="260">
        <v>0.98</v>
      </c>
      <c r="K53" s="260">
        <v>-2.69</v>
      </c>
      <c r="L53" s="259" t="s">
        <v>55</v>
      </c>
    </row>
    <row r="54" spans="1:12" hidden="1" x14ac:dyDescent="0.25">
      <c r="A54" s="259" t="s">
        <v>120</v>
      </c>
      <c r="B54" s="260">
        <v>4.24</v>
      </c>
      <c r="C54" s="260">
        <v>2.2200000000000002</v>
      </c>
      <c r="D54" s="260">
        <v>15.27</v>
      </c>
      <c r="E54" s="260">
        <v>16.68</v>
      </c>
      <c r="F54" s="260">
        <v>2.2200000000000002</v>
      </c>
      <c r="G54" s="260">
        <v>14.28</v>
      </c>
      <c r="H54" s="260">
        <v>0.52</v>
      </c>
      <c r="I54" s="260">
        <v>0.79</v>
      </c>
      <c r="J54" s="260">
        <v>0.94</v>
      </c>
      <c r="K54" s="260">
        <v>-2.2400000000000002</v>
      </c>
      <c r="L54" s="259" t="s">
        <v>73</v>
      </c>
    </row>
    <row r="55" spans="1:12" x14ac:dyDescent="0.25">
      <c r="A55" s="259" t="s">
        <v>121</v>
      </c>
      <c r="B55" s="260">
        <v>7.13</v>
      </c>
      <c r="C55" s="260">
        <v>1.71</v>
      </c>
      <c r="D55" s="260">
        <v>17.07</v>
      </c>
      <c r="E55" s="260">
        <v>18.82</v>
      </c>
      <c r="F55" s="260">
        <v>1.71</v>
      </c>
      <c r="G55" s="260">
        <v>14.62</v>
      </c>
      <c r="H55" s="260">
        <v>0.64</v>
      </c>
      <c r="I55" s="260">
        <v>0.9</v>
      </c>
      <c r="J55" s="260">
        <v>0.96</v>
      </c>
      <c r="K55" s="260">
        <v>-1.74</v>
      </c>
      <c r="L55" s="259" t="s">
        <v>55</v>
      </c>
    </row>
    <row r="56" spans="1:12" x14ac:dyDescent="0.25">
      <c r="A56" s="259" t="s">
        <v>122</v>
      </c>
      <c r="B56" s="260">
        <v>6.48</v>
      </c>
      <c r="C56" s="260">
        <v>1.74</v>
      </c>
      <c r="D56" s="260">
        <v>13.14</v>
      </c>
      <c r="E56" s="260">
        <v>15.91</v>
      </c>
      <c r="F56" s="260">
        <v>1.74</v>
      </c>
      <c r="G56" s="260">
        <v>15.7</v>
      </c>
      <c r="H56" s="260">
        <v>0.36</v>
      </c>
      <c r="I56" s="260">
        <v>0.61</v>
      </c>
      <c r="J56" s="260">
        <v>0.99</v>
      </c>
      <c r="K56" s="260">
        <v>-5.72</v>
      </c>
      <c r="L56" s="259" t="s">
        <v>55</v>
      </c>
    </row>
    <row r="57" spans="1:12" hidden="1" x14ac:dyDescent="0.25">
      <c r="A57" s="259" t="s">
        <v>123</v>
      </c>
      <c r="B57" s="260">
        <v>-7.0000000000000007E-2</v>
      </c>
      <c r="C57" s="260">
        <v>1.81</v>
      </c>
      <c r="D57" s="259" t="s">
        <v>54</v>
      </c>
      <c r="E57" s="259" t="s">
        <v>54</v>
      </c>
      <c r="F57" s="260">
        <v>1.81</v>
      </c>
      <c r="G57" s="259" t="s">
        <v>54</v>
      </c>
      <c r="H57" s="259" t="s">
        <v>54</v>
      </c>
      <c r="I57" s="259" t="s">
        <v>54</v>
      </c>
      <c r="J57" s="259" t="s">
        <v>54</v>
      </c>
      <c r="K57" s="259" t="s">
        <v>54</v>
      </c>
      <c r="L57" s="259" t="s">
        <v>58</v>
      </c>
    </row>
    <row r="58" spans="1:12" hidden="1" x14ac:dyDescent="0.25">
      <c r="A58" s="259" t="s">
        <v>124</v>
      </c>
      <c r="B58" s="260">
        <v>7.03</v>
      </c>
      <c r="C58" s="260">
        <v>2.25</v>
      </c>
      <c r="D58" s="260">
        <v>17.48</v>
      </c>
      <c r="E58" s="259" t="s">
        <v>54</v>
      </c>
      <c r="F58" s="260">
        <v>2.25</v>
      </c>
      <c r="G58" s="260">
        <v>14.04</v>
      </c>
      <c r="H58" s="260">
        <v>0.68</v>
      </c>
      <c r="I58" s="260">
        <v>0.93</v>
      </c>
      <c r="J58" s="260">
        <v>0.86</v>
      </c>
      <c r="K58" s="260">
        <v>-0.41</v>
      </c>
      <c r="L58" s="259" t="s">
        <v>58</v>
      </c>
    </row>
    <row r="59" spans="1:12" x14ac:dyDescent="0.25">
      <c r="A59" s="259" t="s">
        <v>125</v>
      </c>
      <c r="B59" s="260">
        <v>4.99</v>
      </c>
      <c r="C59" s="260">
        <v>1.57</v>
      </c>
      <c r="D59" s="260">
        <v>14.29</v>
      </c>
      <c r="E59" s="260">
        <v>16.47</v>
      </c>
      <c r="F59" s="260">
        <v>1.57</v>
      </c>
      <c r="G59" s="260">
        <v>13.3</v>
      </c>
      <c r="H59" s="260">
        <v>0.51</v>
      </c>
      <c r="I59" s="260">
        <v>0.85</v>
      </c>
      <c r="J59" s="260">
        <v>0.93</v>
      </c>
      <c r="K59" s="260">
        <v>-2.78</v>
      </c>
      <c r="L59" s="259" t="s">
        <v>65</v>
      </c>
    </row>
    <row r="60" spans="1:12" x14ac:dyDescent="0.25">
      <c r="A60" s="259" t="s">
        <v>126</v>
      </c>
      <c r="B60" s="260">
        <v>5.78</v>
      </c>
      <c r="C60" s="260">
        <v>1.68</v>
      </c>
      <c r="D60" s="260">
        <v>20.83</v>
      </c>
      <c r="E60" s="260">
        <v>24.15</v>
      </c>
      <c r="F60" s="260">
        <v>1.68</v>
      </c>
      <c r="G60" s="260">
        <v>14.14</v>
      </c>
      <c r="H60" s="260">
        <v>0.88</v>
      </c>
      <c r="I60" s="260">
        <v>1.32</v>
      </c>
      <c r="J60" s="260">
        <v>0.88</v>
      </c>
      <c r="K60" s="260">
        <v>2.71</v>
      </c>
      <c r="L60" s="259" t="s">
        <v>71</v>
      </c>
    </row>
    <row r="61" spans="1:12" x14ac:dyDescent="0.25">
      <c r="A61" s="259" t="s">
        <v>127</v>
      </c>
      <c r="B61" s="260">
        <v>6.2</v>
      </c>
      <c r="C61" s="260">
        <v>1.57</v>
      </c>
      <c r="D61" s="260">
        <v>22.4</v>
      </c>
      <c r="E61" s="260">
        <v>24.84</v>
      </c>
      <c r="F61" s="260">
        <v>1.57</v>
      </c>
      <c r="G61" s="260">
        <v>15.55</v>
      </c>
      <c r="H61" s="260">
        <v>0.88</v>
      </c>
      <c r="I61" s="260">
        <v>1.23</v>
      </c>
      <c r="J61" s="260">
        <v>0.85</v>
      </c>
      <c r="K61" s="260">
        <v>-1.78</v>
      </c>
      <c r="L61" s="259" t="s">
        <v>84</v>
      </c>
    </row>
    <row r="62" spans="1:12" hidden="1" x14ac:dyDescent="0.25">
      <c r="A62" s="259" t="s">
        <v>128</v>
      </c>
      <c r="B62" s="259" t="s">
        <v>54</v>
      </c>
      <c r="C62" s="260">
        <v>2.11</v>
      </c>
      <c r="D62" s="259" t="s">
        <v>54</v>
      </c>
      <c r="E62" s="259" t="s">
        <v>54</v>
      </c>
      <c r="F62" s="260">
        <v>2.11</v>
      </c>
      <c r="G62" s="259" t="s">
        <v>54</v>
      </c>
      <c r="H62" s="259" t="s">
        <v>54</v>
      </c>
      <c r="I62" s="259" t="s">
        <v>54</v>
      </c>
      <c r="J62" s="259" t="s">
        <v>54</v>
      </c>
      <c r="K62" s="259" t="s">
        <v>54</v>
      </c>
      <c r="L62" s="259" t="s">
        <v>58</v>
      </c>
    </row>
    <row r="63" spans="1:12" x14ac:dyDescent="0.25">
      <c r="A63" s="259" t="s">
        <v>129</v>
      </c>
      <c r="B63" s="260">
        <v>9.0299999999999994</v>
      </c>
      <c r="C63" s="260">
        <v>2.08</v>
      </c>
      <c r="D63" s="260">
        <v>12.84</v>
      </c>
      <c r="E63" s="260">
        <v>15.25</v>
      </c>
      <c r="F63" s="260">
        <v>2.08</v>
      </c>
      <c r="G63" s="260">
        <v>10</v>
      </c>
      <c r="H63" s="260">
        <v>0.52</v>
      </c>
      <c r="I63" s="260">
        <v>0.99</v>
      </c>
      <c r="J63" s="260">
        <v>0.98</v>
      </c>
      <c r="K63" s="260">
        <v>-3.51</v>
      </c>
      <c r="L63" s="259" t="s">
        <v>60</v>
      </c>
    </row>
    <row r="64" spans="1:12" x14ac:dyDescent="0.25">
      <c r="A64" s="259" t="s">
        <v>130</v>
      </c>
      <c r="B64" s="260">
        <v>9.49</v>
      </c>
      <c r="C64" s="260">
        <v>1.79</v>
      </c>
      <c r="D64" s="260">
        <v>25.63</v>
      </c>
      <c r="E64" s="259" t="s">
        <v>54</v>
      </c>
      <c r="F64" s="260">
        <v>1.79</v>
      </c>
      <c r="G64" s="260">
        <v>14.9</v>
      </c>
      <c r="H64" s="260">
        <v>1.1200000000000001</v>
      </c>
      <c r="I64" s="260">
        <v>1.49</v>
      </c>
      <c r="J64" s="260">
        <v>0.91</v>
      </c>
      <c r="K64" s="260">
        <v>3.3</v>
      </c>
      <c r="L64" s="259" t="s">
        <v>89</v>
      </c>
    </row>
    <row r="65" spans="1:12" x14ac:dyDescent="0.25">
      <c r="A65" s="259" t="s">
        <v>131</v>
      </c>
      <c r="B65" s="260">
        <v>4.8899999999999997</v>
      </c>
      <c r="C65" s="260">
        <v>0.92</v>
      </c>
      <c r="D65" s="260">
        <v>16.04</v>
      </c>
      <c r="E65" s="260">
        <v>20.190000000000001</v>
      </c>
      <c r="F65" s="260">
        <v>0.92</v>
      </c>
      <c r="G65" s="260">
        <v>13.94</v>
      </c>
      <c r="H65" s="260">
        <v>0.61</v>
      </c>
      <c r="I65" s="260">
        <v>1</v>
      </c>
      <c r="J65" s="260">
        <v>1.01</v>
      </c>
      <c r="K65" s="260">
        <v>-1.81</v>
      </c>
      <c r="L65" s="259" t="s">
        <v>65</v>
      </c>
    </row>
    <row r="66" spans="1:12" x14ac:dyDescent="0.25">
      <c r="A66" s="259" t="s">
        <v>132</v>
      </c>
      <c r="B66" s="259" t="s">
        <v>54</v>
      </c>
      <c r="C66" s="260">
        <v>1</v>
      </c>
      <c r="D66" s="259" t="s">
        <v>54</v>
      </c>
      <c r="E66" s="259" t="s">
        <v>54</v>
      </c>
      <c r="F66" s="260">
        <v>1</v>
      </c>
      <c r="G66" s="259" t="s">
        <v>54</v>
      </c>
      <c r="H66" s="259" t="s">
        <v>54</v>
      </c>
      <c r="I66" s="259" t="s">
        <v>54</v>
      </c>
      <c r="J66" s="259" t="s">
        <v>54</v>
      </c>
      <c r="K66" s="259" t="s">
        <v>54</v>
      </c>
      <c r="L66" s="259" t="s">
        <v>55</v>
      </c>
    </row>
    <row r="67" spans="1:12" x14ac:dyDescent="0.25">
      <c r="A67" s="259" t="s">
        <v>133</v>
      </c>
      <c r="B67" s="259" t="s">
        <v>54</v>
      </c>
      <c r="C67" s="260">
        <v>1.06</v>
      </c>
      <c r="D67" s="259" t="s">
        <v>54</v>
      </c>
      <c r="E67" s="259" t="s">
        <v>54</v>
      </c>
      <c r="F67" s="260">
        <v>1.06</v>
      </c>
      <c r="G67" s="259" t="s">
        <v>54</v>
      </c>
      <c r="H67" s="259" t="s">
        <v>54</v>
      </c>
      <c r="I67" s="259" t="s">
        <v>54</v>
      </c>
      <c r="J67" s="259" t="s">
        <v>54</v>
      </c>
      <c r="K67" s="259" t="s">
        <v>54</v>
      </c>
      <c r="L67" s="259" t="s">
        <v>55</v>
      </c>
    </row>
    <row r="68" spans="1:12" x14ac:dyDescent="0.25">
      <c r="A68" s="259" t="s">
        <v>134</v>
      </c>
      <c r="B68" s="260">
        <v>7.81</v>
      </c>
      <c r="C68" s="260">
        <v>0.04</v>
      </c>
      <c r="D68" s="260">
        <v>16.59</v>
      </c>
      <c r="E68" s="260">
        <v>21.37</v>
      </c>
      <c r="F68" s="260">
        <v>0.04</v>
      </c>
      <c r="G68" s="260">
        <v>13.12</v>
      </c>
      <c r="H68" s="260">
        <v>0.69</v>
      </c>
      <c r="I68" s="260">
        <v>1.18</v>
      </c>
      <c r="J68" s="260">
        <v>0.95</v>
      </c>
      <c r="K68" s="260">
        <v>-0.72</v>
      </c>
      <c r="L68" s="259" t="s">
        <v>65</v>
      </c>
    </row>
    <row r="69" spans="1:12" x14ac:dyDescent="0.25">
      <c r="A69" s="259" t="s">
        <v>135</v>
      </c>
      <c r="B69" s="260">
        <v>7.42</v>
      </c>
      <c r="C69" s="260">
        <v>0.42</v>
      </c>
      <c r="D69" s="260">
        <v>16.059999999999999</v>
      </c>
      <c r="E69" s="259" t="s">
        <v>54</v>
      </c>
      <c r="F69" s="260">
        <v>0.42</v>
      </c>
      <c r="G69" s="260">
        <v>13.08</v>
      </c>
      <c r="H69" s="260">
        <v>0.65</v>
      </c>
      <c r="I69" s="260">
        <v>1.1200000000000001</v>
      </c>
      <c r="J69" s="260">
        <v>0.94</v>
      </c>
      <c r="K69" s="260">
        <v>-1.1499999999999999</v>
      </c>
      <c r="L69" s="259" t="s">
        <v>65</v>
      </c>
    </row>
    <row r="70" spans="1:12" hidden="1" x14ac:dyDescent="0.25">
      <c r="A70" s="259" t="s">
        <v>136</v>
      </c>
      <c r="B70" s="260">
        <v>3.75</v>
      </c>
      <c r="C70" s="260">
        <v>0.38</v>
      </c>
      <c r="D70" s="260">
        <v>20.38</v>
      </c>
      <c r="E70" s="259" t="s">
        <v>54</v>
      </c>
      <c r="F70" s="260">
        <v>0.38</v>
      </c>
      <c r="G70" s="260">
        <v>15.94</v>
      </c>
      <c r="H70" s="260">
        <v>0.77</v>
      </c>
      <c r="I70" s="260">
        <v>1.1200000000000001</v>
      </c>
      <c r="J70" s="260">
        <v>0.85</v>
      </c>
      <c r="K70" s="260">
        <v>0.05</v>
      </c>
      <c r="L70" s="259" t="s">
        <v>81</v>
      </c>
    </row>
    <row r="71" spans="1:12" x14ac:dyDescent="0.25">
      <c r="A71" s="259" t="s">
        <v>137</v>
      </c>
      <c r="B71" s="260">
        <v>7.29</v>
      </c>
      <c r="C71" s="260">
        <v>1.03</v>
      </c>
      <c r="D71" s="260">
        <v>28.42</v>
      </c>
      <c r="E71" s="259" t="s">
        <v>54</v>
      </c>
      <c r="F71" s="260">
        <v>1.03</v>
      </c>
      <c r="G71" s="260">
        <v>17.57</v>
      </c>
      <c r="H71" s="260">
        <v>1.07</v>
      </c>
      <c r="I71" s="260">
        <v>1.52</v>
      </c>
      <c r="J71" s="260">
        <v>1.01</v>
      </c>
      <c r="K71" s="260">
        <v>0.41</v>
      </c>
      <c r="L71" s="259" t="s">
        <v>84</v>
      </c>
    </row>
    <row r="72" spans="1:12" x14ac:dyDescent="0.25">
      <c r="A72" s="259" t="s">
        <v>138</v>
      </c>
      <c r="B72" s="260">
        <v>-4.1100000000000003</v>
      </c>
      <c r="C72" s="260">
        <v>1.01</v>
      </c>
      <c r="D72" s="260">
        <v>21.1</v>
      </c>
      <c r="E72" s="259" t="s">
        <v>54</v>
      </c>
      <c r="F72" s="260">
        <v>1.01</v>
      </c>
      <c r="G72" s="260">
        <v>19.43</v>
      </c>
      <c r="H72" s="260">
        <v>0.69</v>
      </c>
      <c r="I72" s="260">
        <v>1.03</v>
      </c>
      <c r="J72" s="260">
        <v>1.29</v>
      </c>
      <c r="K72" s="260">
        <v>0.08</v>
      </c>
      <c r="L72" s="259" t="s">
        <v>65</v>
      </c>
    </row>
    <row r="73" spans="1:12" x14ac:dyDescent="0.25">
      <c r="A73" s="259" t="s">
        <v>139</v>
      </c>
      <c r="B73" s="260">
        <v>5.82</v>
      </c>
      <c r="C73" s="260">
        <v>1.02</v>
      </c>
      <c r="D73" s="260">
        <v>28.38</v>
      </c>
      <c r="E73" s="259" t="s">
        <v>54</v>
      </c>
      <c r="F73" s="260">
        <v>1.02</v>
      </c>
      <c r="G73" s="260">
        <v>20.53</v>
      </c>
      <c r="H73" s="260">
        <v>0.91</v>
      </c>
      <c r="I73" s="260">
        <v>1.48</v>
      </c>
      <c r="J73" s="260">
        <v>1.02</v>
      </c>
      <c r="K73" s="260">
        <v>0.09</v>
      </c>
      <c r="L73" s="259" t="s">
        <v>103</v>
      </c>
    </row>
    <row r="74" spans="1:12" hidden="1" x14ac:dyDescent="0.25">
      <c r="A74" s="259" t="s">
        <v>140</v>
      </c>
      <c r="B74" s="260">
        <v>-3.4</v>
      </c>
      <c r="C74" s="260">
        <v>2.2200000000000002</v>
      </c>
      <c r="D74" s="260">
        <v>16.25</v>
      </c>
      <c r="E74" s="259" t="s">
        <v>54</v>
      </c>
      <c r="F74" s="260">
        <v>2.2200000000000002</v>
      </c>
      <c r="G74" s="260">
        <v>14.8</v>
      </c>
      <c r="H74" s="260">
        <v>0.61</v>
      </c>
      <c r="I74" s="260">
        <v>0.86</v>
      </c>
      <c r="J74" s="260">
        <v>0.97</v>
      </c>
      <c r="K74" s="260">
        <v>-2.21</v>
      </c>
      <c r="L74" s="259" t="s">
        <v>58</v>
      </c>
    </row>
    <row r="75" spans="1:12" x14ac:dyDescent="0.25">
      <c r="A75" s="259" t="s">
        <v>141</v>
      </c>
      <c r="B75" s="260">
        <v>8.17</v>
      </c>
      <c r="C75" s="260">
        <v>2.4300000000000002</v>
      </c>
      <c r="D75" s="260">
        <v>17.04</v>
      </c>
      <c r="E75" s="260">
        <v>15.72</v>
      </c>
      <c r="F75" s="260">
        <v>2.4300000000000002</v>
      </c>
      <c r="G75" s="260">
        <v>12.64</v>
      </c>
      <c r="H75" s="260">
        <v>0.75</v>
      </c>
      <c r="I75" s="260">
        <v>1.08</v>
      </c>
      <c r="J75" s="260">
        <v>1.1499999999999999</v>
      </c>
      <c r="K75" s="260">
        <v>0.41</v>
      </c>
      <c r="L75" s="259" t="s">
        <v>62</v>
      </c>
    </row>
    <row r="76" spans="1:12" x14ac:dyDescent="0.25">
      <c r="A76" s="259" t="s">
        <v>142</v>
      </c>
      <c r="B76" s="260">
        <v>8.75</v>
      </c>
      <c r="C76" s="260">
        <v>1.6</v>
      </c>
      <c r="D76" s="260">
        <v>22.99</v>
      </c>
      <c r="E76" s="260">
        <v>31.14</v>
      </c>
      <c r="F76" s="260">
        <v>1.6</v>
      </c>
      <c r="G76" s="260">
        <v>14.41</v>
      </c>
      <c r="H76" s="260">
        <v>1.01</v>
      </c>
      <c r="I76" s="260">
        <v>1.36</v>
      </c>
      <c r="J76" s="260">
        <v>0.71</v>
      </c>
      <c r="K76" s="260">
        <v>1.64</v>
      </c>
      <c r="L76" s="259" t="s">
        <v>103</v>
      </c>
    </row>
    <row r="77" spans="1:12" x14ac:dyDescent="0.25">
      <c r="A77" s="259" t="s">
        <v>143</v>
      </c>
      <c r="B77" s="260">
        <v>3.66</v>
      </c>
      <c r="C77" s="260">
        <v>2.0499999999999998</v>
      </c>
      <c r="D77" s="259" t="s">
        <v>54</v>
      </c>
      <c r="E77" s="259" t="s">
        <v>54</v>
      </c>
      <c r="F77" s="260">
        <v>2.0499999999999998</v>
      </c>
      <c r="G77" s="259" t="s">
        <v>54</v>
      </c>
      <c r="H77" s="259" t="s">
        <v>54</v>
      </c>
      <c r="I77" s="259" t="s">
        <v>54</v>
      </c>
      <c r="J77" s="259" t="s">
        <v>54</v>
      </c>
      <c r="K77" s="259" t="s">
        <v>54</v>
      </c>
      <c r="L77" s="259" t="s">
        <v>62</v>
      </c>
    </row>
    <row r="78" spans="1:12" hidden="1" x14ac:dyDescent="0.25">
      <c r="A78" s="259" t="s">
        <v>144</v>
      </c>
      <c r="B78" s="259" t="s">
        <v>54</v>
      </c>
      <c r="C78" s="260">
        <v>2.33</v>
      </c>
      <c r="D78" s="259" t="s">
        <v>54</v>
      </c>
      <c r="E78" s="259" t="s">
        <v>54</v>
      </c>
      <c r="F78" s="260">
        <v>2.33</v>
      </c>
      <c r="G78" s="259" t="s">
        <v>54</v>
      </c>
      <c r="H78" s="259" t="s">
        <v>54</v>
      </c>
      <c r="I78" s="259" t="s">
        <v>54</v>
      </c>
      <c r="J78" s="259" t="s">
        <v>54</v>
      </c>
      <c r="K78" s="259" t="s">
        <v>54</v>
      </c>
      <c r="L78" s="259" t="s">
        <v>81</v>
      </c>
    </row>
    <row r="79" spans="1:12" x14ac:dyDescent="0.25">
      <c r="A79" s="259" t="s">
        <v>145</v>
      </c>
      <c r="B79" s="260">
        <v>9.02</v>
      </c>
      <c r="C79" s="260">
        <v>1.83</v>
      </c>
      <c r="D79" s="259" t="s">
        <v>54</v>
      </c>
      <c r="E79" s="259" t="s">
        <v>54</v>
      </c>
      <c r="F79" s="260">
        <v>1.83</v>
      </c>
      <c r="G79" s="259" t="s">
        <v>54</v>
      </c>
      <c r="H79" s="259" t="s">
        <v>54</v>
      </c>
      <c r="I79" s="259" t="s">
        <v>54</v>
      </c>
      <c r="J79" s="259" t="s">
        <v>54</v>
      </c>
      <c r="K79" s="259" t="s">
        <v>54</v>
      </c>
      <c r="L79" s="259" t="s">
        <v>55</v>
      </c>
    </row>
    <row r="80" spans="1:12" x14ac:dyDescent="0.25">
      <c r="A80" s="259" t="s">
        <v>146</v>
      </c>
      <c r="B80" s="260">
        <v>7.02</v>
      </c>
      <c r="C80" s="260">
        <v>2.02</v>
      </c>
      <c r="D80" s="259" t="s">
        <v>54</v>
      </c>
      <c r="E80" s="259" t="s">
        <v>54</v>
      </c>
      <c r="F80" s="260">
        <v>2.02</v>
      </c>
      <c r="G80" s="259" t="s">
        <v>54</v>
      </c>
      <c r="H80" s="259" t="s">
        <v>54</v>
      </c>
      <c r="I80" s="259" t="s">
        <v>54</v>
      </c>
      <c r="J80" s="259" t="s">
        <v>54</v>
      </c>
      <c r="K80" s="259" t="s">
        <v>54</v>
      </c>
      <c r="L80" s="259" t="s">
        <v>71</v>
      </c>
    </row>
    <row r="81" spans="1:12" x14ac:dyDescent="0.25">
      <c r="A81" s="259" t="s">
        <v>147</v>
      </c>
      <c r="B81" s="259" t="s">
        <v>54</v>
      </c>
      <c r="C81" s="260">
        <v>2.0699999999999998</v>
      </c>
      <c r="D81" s="259" t="s">
        <v>54</v>
      </c>
      <c r="E81" s="259" t="s">
        <v>54</v>
      </c>
      <c r="F81" s="260">
        <v>2.0699999999999998</v>
      </c>
      <c r="G81" s="259" t="s">
        <v>54</v>
      </c>
      <c r="H81" s="259" t="s">
        <v>54</v>
      </c>
      <c r="I81" s="259" t="s">
        <v>54</v>
      </c>
      <c r="J81" s="259" t="s">
        <v>54</v>
      </c>
      <c r="K81" s="259" t="s">
        <v>54</v>
      </c>
      <c r="L81" s="259" t="s">
        <v>65</v>
      </c>
    </row>
    <row r="82" spans="1:12" x14ac:dyDescent="0.25">
      <c r="A82" s="259" t="s">
        <v>148</v>
      </c>
      <c r="B82" s="260">
        <v>7.06</v>
      </c>
      <c r="C82" s="260">
        <v>2.0299999999999998</v>
      </c>
      <c r="D82" s="259" t="s">
        <v>54</v>
      </c>
      <c r="E82" s="259" t="s">
        <v>54</v>
      </c>
      <c r="F82" s="260">
        <v>2.0299999999999998</v>
      </c>
      <c r="G82" s="259" t="s">
        <v>54</v>
      </c>
      <c r="H82" s="259" t="s">
        <v>54</v>
      </c>
      <c r="I82" s="259" t="s">
        <v>54</v>
      </c>
      <c r="J82" s="259" t="s">
        <v>54</v>
      </c>
      <c r="K82" s="259" t="s">
        <v>54</v>
      </c>
      <c r="L82" s="259" t="s">
        <v>60</v>
      </c>
    </row>
    <row r="83" spans="1:12" x14ac:dyDescent="0.25">
      <c r="A83" s="259" t="s">
        <v>149</v>
      </c>
      <c r="B83" s="259" t="s">
        <v>54</v>
      </c>
      <c r="C83" s="260">
        <v>2.2999999999999998</v>
      </c>
      <c r="D83" s="259" t="s">
        <v>54</v>
      </c>
      <c r="E83" s="259" t="s">
        <v>54</v>
      </c>
      <c r="F83" s="260">
        <v>2.2999999999999998</v>
      </c>
      <c r="G83" s="259" t="s">
        <v>54</v>
      </c>
      <c r="H83" s="259" t="s">
        <v>54</v>
      </c>
      <c r="I83" s="259" t="s">
        <v>54</v>
      </c>
      <c r="J83" s="259" t="s">
        <v>54</v>
      </c>
      <c r="K83" s="259" t="s">
        <v>54</v>
      </c>
      <c r="L83" s="259" t="s">
        <v>89</v>
      </c>
    </row>
    <row r="84" spans="1:12" x14ac:dyDescent="0.25">
      <c r="A84" s="259" t="s">
        <v>150</v>
      </c>
      <c r="B84" s="260">
        <v>7.79</v>
      </c>
      <c r="C84" s="260">
        <v>7.0000000000000007E-2</v>
      </c>
      <c r="D84" s="259" t="s">
        <v>54</v>
      </c>
      <c r="E84" s="259" t="s">
        <v>54</v>
      </c>
      <c r="F84" s="260">
        <v>7.0000000000000007E-2</v>
      </c>
      <c r="G84" s="259" t="s">
        <v>54</v>
      </c>
      <c r="H84" s="259" t="s">
        <v>54</v>
      </c>
      <c r="I84" s="259" t="s">
        <v>54</v>
      </c>
      <c r="J84" s="259" t="s">
        <v>54</v>
      </c>
      <c r="K84" s="259" t="s">
        <v>54</v>
      </c>
      <c r="L84" s="259" t="s">
        <v>65</v>
      </c>
    </row>
    <row r="85" spans="1:12" x14ac:dyDescent="0.25">
      <c r="A85" s="259" t="s">
        <v>151</v>
      </c>
      <c r="B85" s="259" t="s">
        <v>54</v>
      </c>
      <c r="C85" s="260">
        <v>0.9</v>
      </c>
      <c r="D85" s="259" t="s">
        <v>54</v>
      </c>
      <c r="E85" s="259" t="s">
        <v>54</v>
      </c>
      <c r="F85" s="260">
        <v>0.9</v>
      </c>
      <c r="G85" s="259" t="s">
        <v>54</v>
      </c>
      <c r="H85" s="259" t="s">
        <v>54</v>
      </c>
      <c r="I85" s="259" t="s">
        <v>54</v>
      </c>
      <c r="J85" s="259" t="s">
        <v>54</v>
      </c>
      <c r="K85" s="259" t="s">
        <v>54</v>
      </c>
      <c r="L85" s="259" t="s">
        <v>65</v>
      </c>
    </row>
    <row r="86" spans="1:12" x14ac:dyDescent="0.25">
      <c r="A86" s="259" t="s">
        <v>152</v>
      </c>
      <c r="B86" s="259" t="s">
        <v>54</v>
      </c>
      <c r="C86" s="260">
        <v>0.95</v>
      </c>
      <c r="D86" s="259" t="s">
        <v>54</v>
      </c>
      <c r="E86" s="259" t="s">
        <v>54</v>
      </c>
      <c r="F86" s="260">
        <v>0.95</v>
      </c>
      <c r="G86" s="259" t="s">
        <v>54</v>
      </c>
      <c r="H86" s="259" t="s">
        <v>54</v>
      </c>
      <c r="I86" s="259" t="s">
        <v>54</v>
      </c>
      <c r="J86" s="259" t="s">
        <v>54</v>
      </c>
      <c r="K86" s="259" t="s">
        <v>54</v>
      </c>
      <c r="L86" s="259" t="s">
        <v>65</v>
      </c>
    </row>
    <row r="87" spans="1:12" x14ac:dyDescent="0.25">
      <c r="A87" s="259" t="s">
        <v>153</v>
      </c>
      <c r="B87" s="260">
        <v>7.09</v>
      </c>
      <c r="C87" s="260">
        <v>2.02</v>
      </c>
      <c r="D87" s="260">
        <v>12.7</v>
      </c>
      <c r="E87" s="260">
        <v>12.28</v>
      </c>
      <c r="F87" s="260">
        <v>2.02</v>
      </c>
      <c r="G87" s="260">
        <v>7.5</v>
      </c>
      <c r="H87" s="260">
        <v>0.69</v>
      </c>
      <c r="I87" s="260">
        <v>0.99</v>
      </c>
      <c r="J87" s="260">
        <v>0.69</v>
      </c>
      <c r="K87" s="260">
        <v>-0.25</v>
      </c>
      <c r="L87" s="259" t="s">
        <v>62</v>
      </c>
    </row>
    <row r="88" spans="1:12" x14ac:dyDescent="0.25">
      <c r="A88" s="259" t="s">
        <v>154</v>
      </c>
      <c r="B88" s="260">
        <v>7.39</v>
      </c>
      <c r="C88" s="260">
        <v>0.38</v>
      </c>
      <c r="D88" s="260">
        <v>15.48</v>
      </c>
      <c r="E88" s="260">
        <v>20.13</v>
      </c>
      <c r="F88" s="260">
        <v>0.38</v>
      </c>
      <c r="G88" s="260">
        <v>12.69</v>
      </c>
      <c r="H88" s="260">
        <v>0.64</v>
      </c>
      <c r="I88" s="260">
        <v>1.06</v>
      </c>
      <c r="J88" s="260">
        <v>0.91</v>
      </c>
      <c r="K88" s="260">
        <v>-1.29</v>
      </c>
      <c r="L88" s="259" t="s">
        <v>65</v>
      </c>
    </row>
    <row r="89" spans="1:12" hidden="1" x14ac:dyDescent="0.25">
      <c r="A89" s="259" t="s">
        <v>155</v>
      </c>
      <c r="B89" s="259" t="s">
        <v>54</v>
      </c>
      <c r="C89" s="260">
        <v>2.0499999999999998</v>
      </c>
      <c r="D89" s="259" t="s">
        <v>54</v>
      </c>
      <c r="E89" s="259" t="s">
        <v>54</v>
      </c>
      <c r="F89" s="260">
        <v>2.0499999999999998</v>
      </c>
      <c r="G89" s="259" t="s">
        <v>54</v>
      </c>
      <c r="H89" s="259" t="s">
        <v>54</v>
      </c>
      <c r="I89" s="259" t="s">
        <v>54</v>
      </c>
      <c r="J89" s="259" t="s">
        <v>54</v>
      </c>
      <c r="K89" s="259" t="s">
        <v>54</v>
      </c>
      <c r="L89" s="259" t="s">
        <v>58</v>
      </c>
    </row>
    <row r="90" spans="1:12" x14ac:dyDescent="0.25">
      <c r="A90" s="259" t="s">
        <v>156</v>
      </c>
      <c r="B90" s="260">
        <v>7.21</v>
      </c>
      <c r="C90" s="260">
        <v>1.86</v>
      </c>
      <c r="D90" s="260">
        <v>19.28</v>
      </c>
      <c r="E90" s="260">
        <v>21.3</v>
      </c>
      <c r="F90" s="260">
        <v>1.86</v>
      </c>
      <c r="G90" s="260">
        <v>13.24</v>
      </c>
      <c r="H90" s="260">
        <v>0.82</v>
      </c>
      <c r="I90" s="260">
        <v>1.33</v>
      </c>
      <c r="J90" s="260">
        <v>0.88</v>
      </c>
      <c r="K90" s="260">
        <v>0.73</v>
      </c>
      <c r="L90" s="259" t="s">
        <v>55</v>
      </c>
    </row>
    <row r="91" spans="1:12" x14ac:dyDescent="0.25">
      <c r="A91" s="259" t="s">
        <v>157</v>
      </c>
      <c r="B91" s="260">
        <v>13.29</v>
      </c>
      <c r="C91" s="260">
        <v>2.09</v>
      </c>
      <c r="D91" s="260">
        <v>21.38</v>
      </c>
      <c r="E91" s="260">
        <v>21.44</v>
      </c>
      <c r="F91" s="260">
        <v>2.09</v>
      </c>
      <c r="G91" s="260">
        <v>14.89</v>
      </c>
      <c r="H91" s="260">
        <v>0.87</v>
      </c>
      <c r="I91" s="260">
        <v>1.27</v>
      </c>
      <c r="J91" s="260">
        <v>0.9</v>
      </c>
      <c r="K91" s="260">
        <v>2.48</v>
      </c>
      <c r="L91" s="259" t="s">
        <v>55</v>
      </c>
    </row>
    <row r="92" spans="1:12" hidden="1" x14ac:dyDescent="0.25">
      <c r="A92" s="259" t="s">
        <v>158</v>
      </c>
      <c r="B92" s="260">
        <v>17.96</v>
      </c>
      <c r="C92" s="260">
        <v>2.08</v>
      </c>
      <c r="D92" s="259" t="s">
        <v>54</v>
      </c>
      <c r="E92" s="259" t="s">
        <v>54</v>
      </c>
      <c r="F92" s="260">
        <v>2.08</v>
      </c>
      <c r="G92" s="259" t="s">
        <v>54</v>
      </c>
      <c r="H92" s="259" t="s">
        <v>54</v>
      </c>
      <c r="I92" s="259" t="s">
        <v>54</v>
      </c>
      <c r="J92" s="259" t="s">
        <v>54</v>
      </c>
      <c r="K92" s="259" t="s">
        <v>54</v>
      </c>
      <c r="L92" s="259" t="s">
        <v>58</v>
      </c>
    </row>
    <row r="93" spans="1:12" x14ac:dyDescent="0.25">
      <c r="A93" s="259" t="s">
        <v>159</v>
      </c>
      <c r="B93" s="260">
        <v>6.92</v>
      </c>
      <c r="C93" s="260">
        <v>2.04</v>
      </c>
      <c r="D93" s="260">
        <v>19.149999999999999</v>
      </c>
      <c r="E93" s="260">
        <v>20.77</v>
      </c>
      <c r="F93" s="260">
        <v>2.04</v>
      </c>
      <c r="G93" s="260">
        <v>14.13</v>
      </c>
      <c r="H93" s="260">
        <v>0.79</v>
      </c>
      <c r="I93" s="260">
        <v>1.32</v>
      </c>
      <c r="J93" s="260">
        <v>1</v>
      </c>
      <c r="K93" s="260">
        <v>0.94</v>
      </c>
      <c r="L93" s="259" t="s">
        <v>65</v>
      </c>
    </row>
    <row r="94" spans="1:12" x14ac:dyDescent="0.25">
      <c r="A94" s="259" t="s">
        <v>160</v>
      </c>
      <c r="B94" s="260">
        <v>9.01</v>
      </c>
      <c r="C94" s="260">
        <v>1.74</v>
      </c>
      <c r="D94" s="260">
        <v>27.88</v>
      </c>
      <c r="E94" s="260">
        <v>28.9</v>
      </c>
      <c r="F94" s="260">
        <v>1.74</v>
      </c>
      <c r="G94" s="260">
        <v>14.42</v>
      </c>
      <c r="H94" s="260">
        <v>1.26</v>
      </c>
      <c r="I94" s="260">
        <v>1.82</v>
      </c>
      <c r="J94" s="260">
        <v>0.95</v>
      </c>
      <c r="K94" s="260">
        <v>7.63</v>
      </c>
      <c r="L94" s="259" t="s">
        <v>71</v>
      </c>
    </row>
    <row r="95" spans="1:12" x14ac:dyDescent="0.25">
      <c r="A95" s="259" t="s">
        <v>161</v>
      </c>
      <c r="B95" s="260">
        <v>5.35</v>
      </c>
      <c r="C95" s="260">
        <v>2.0699999999999998</v>
      </c>
      <c r="D95" s="259" t="s">
        <v>54</v>
      </c>
      <c r="E95" s="259" t="s">
        <v>54</v>
      </c>
      <c r="F95" s="260">
        <v>2.0699999999999998</v>
      </c>
      <c r="G95" s="259" t="s">
        <v>54</v>
      </c>
      <c r="H95" s="259" t="s">
        <v>54</v>
      </c>
      <c r="I95" s="259" t="s">
        <v>54</v>
      </c>
      <c r="J95" s="259" t="s">
        <v>54</v>
      </c>
      <c r="K95" s="259" t="s">
        <v>54</v>
      </c>
      <c r="L95" s="259" t="s">
        <v>84</v>
      </c>
    </row>
    <row r="96" spans="1:12" x14ac:dyDescent="0.25">
      <c r="A96" s="259" t="s">
        <v>162</v>
      </c>
      <c r="B96" s="260">
        <v>9.76</v>
      </c>
      <c r="C96" s="260">
        <v>1.98</v>
      </c>
      <c r="D96" s="259" t="s">
        <v>54</v>
      </c>
      <c r="E96" s="259" t="s">
        <v>54</v>
      </c>
      <c r="F96" s="260">
        <v>1.98</v>
      </c>
      <c r="G96" s="259" t="s">
        <v>54</v>
      </c>
      <c r="H96" s="259" t="s">
        <v>54</v>
      </c>
      <c r="I96" s="259" t="s">
        <v>54</v>
      </c>
      <c r="J96" s="259" t="s">
        <v>54</v>
      </c>
      <c r="K96" s="259" t="s">
        <v>54</v>
      </c>
      <c r="L96" s="259" t="s">
        <v>60</v>
      </c>
    </row>
    <row r="97" spans="1:12" x14ac:dyDescent="0.25">
      <c r="A97" s="259" t="s">
        <v>163</v>
      </c>
      <c r="B97" s="260">
        <v>5.03</v>
      </c>
      <c r="C97" s="260">
        <v>1.95</v>
      </c>
      <c r="D97" s="260">
        <v>22.08</v>
      </c>
      <c r="E97" s="259" t="s">
        <v>54</v>
      </c>
      <c r="F97" s="260">
        <v>1.95</v>
      </c>
      <c r="G97" s="260">
        <v>13.66</v>
      </c>
      <c r="H97" s="260">
        <v>0.99</v>
      </c>
      <c r="I97" s="260">
        <v>1.49</v>
      </c>
      <c r="J97" s="260">
        <v>0.86</v>
      </c>
      <c r="K97" s="260">
        <v>1.05</v>
      </c>
      <c r="L97" s="259" t="s">
        <v>89</v>
      </c>
    </row>
    <row r="98" spans="1:12" x14ac:dyDescent="0.25">
      <c r="A98" s="259" t="s">
        <v>164</v>
      </c>
      <c r="B98" s="260">
        <v>5.12</v>
      </c>
      <c r="C98" s="260">
        <v>0.61</v>
      </c>
      <c r="D98" s="260">
        <v>16.350000000000001</v>
      </c>
      <c r="E98" s="259" t="s">
        <v>54</v>
      </c>
      <c r="F98" s="260">
        <v>0.61</v>
      </c>
      <c r="G98" s="260">
        <v>13.96</v>
      </c>
      <c r="H98" s="260">
        <v>0.63</v>
      </c>
      <c r="I98" s="260">
        <v>1.03</v>
      </c>
      <c r="J98" s="260">
        <v>1.01</v>
      </c>
      <c r="K98" s="260">
        <v>-1.55</v>
      </c>
      <c r="L98" s="259" t="s">
        <v>65</v>
      </c>
    </row>
    <row r="99" spans="1:12" x14ac:dyDescent="0.25">
      <c r="A99" s="259" t="s">
        <v>165</v>
      </c>
      <c r="B99" s="260">
        <v>4.78</v>
      </c>
      <c r="C99" s="260">
        <v>1.04</v>
      </c>
      <c r="D99" s="259" t="s">
        <v>54</v>
      </c>
      <c r="E99" s="259" t="s">
        <v>54</v>
      </c>
      <c r="F99" s="260">
        <v>1.04</v>
      </c>
      <c r="G99" s="259" t="s">
        <v>54</v>
      </c>
      <c r="H99" s="259" t="s">
        <v>54</v>
      </c>
      <c r="I99" s="259" t="s">
        <v>54</v>
      </c>
      <c r="J99" s="259" t="s">
        <v>54</v>
      </c>
      <c r="K99" s="259" t="s">
        <v>54</v>
      </c>
      <c r="L99" s="259" t="s">
        <v>65</v>
      </c>
    </row>
    <row r="100" spans="1:12" x14ac:dyDescent="0.25">
      <c r="A100" s="259" t="s">
        <v>166</v>
      </c>
      <c r="B100" s="260">
        <v>-12.71</v>
      </c>
      <c r="C100" s="260">
        <v>1.07</v>
      </c>
      <c r="D100" s="259" t="s">
        <v>54</v>
      </c>
      <c r="E100" s="259" t="s">
        <v>54</v>
      </c>
      <c r="F100" s="260">
        <v>1.07</v>
      </c>
      <c r="G100" s="259" t="s">
        <v>54</v>
      </c>
      <c r="H100" s="259" t="s">
        <v>54</v>
      </c>
      <c r="I100" s="259" t="s">
        <v>54</v>
      </c>
      <c r="J100" s="259" t="s">
        <v>54</v>
      </c>
      <c r="K100" s="259" t="s">
        <v>54</v>
      </c>
      <c r="L100" s="259" t="s">
        <v>71</v>
      </c>
    </row>
    <row r="101" spans="1:12" x14ac:dyDescent="0.25">
      <c r="A101" s="259" t="s">
        <v>167</v>
      </c>
      <c r="B101" s="259" t="s">
        <v>54</v>
      </c>
      <c r="C101" s="260">
        <v>0.98</v>
      </c>
      <c r="D101" s="259" t="s">
        <v>54</v>
      </c>
      <c r="E101" s="259" t="s">
        <v>54</v>
      </c>
      <c r="F101" s="260">
        <v>0.98</v>
      </c>
      <c r="G101" s="259" t="s">
        <v>54</v>
      </c>
      <c r="H101" s="259" t="s">
        <v>54</v>
      </c>
      <c r="I101" s="259" t="s">
        <v>54</v>
      </c>
      <c r="J101" s="259" t="s">
        <v>54</v>
      </c>
      <c r="K101" s="259" t="s">
        <v>54</v>
      </c>
      <c r="L101" s="259" t="s">
        <v>71</v>
      </c>
    </row>
    <row r="102" spans="1:12" x14ac:dyDescent="0.25">
      <c r="A102" s="259" t="s">
        <v>168</v>
      </c>
      <c r="B102" s="259" t="s">
        <v>54</v>
      </c>
      <c r="C102" s="260">
        <v>1.01</v>
      </c>
      <c r="D102" s="259" t="s">
        <v>54</v>
      </c>
      <c r="E102" s="259" t="s">
        <v>54</v>
      </c>
      <c r="F102" s="260">
        <v>1.01</v>
      </c>
      <c r="G102" s="259" t="s">
        <v>54</v>
      </c>
      <c r="H102" s="259" t="s">
        <v>54</v>
      </c>
      <c r="I102" s="259" t="s">
        <v>54</v>
      </c>
      <c r="J102" s="259" t="s">
        <v>54</v>
      </c>
      <c r="K102" s="259" t="s">
        <v>54</v>
      </c>
      <c r="L102" s="259" t="s">
        <v>55</v>
      </c>
    </row>
    <row r="103" spans="1:12" x14ac:dyDescent="0.25">
      <c r="A103" s="259" t="s">
        <v>169</v>
      </c>
      <c r="B103" s="260">
        <v>7.77</v>
      </c>
      <c r="C103" s="260">
        <v>0.09</v>
      </c>
      <c r="D103" s="260">
        <v>16.559999999999999</v>
      </c>
      <c r="E103" s="260">
        <v>21.15</v>
      </c>
      <c r="F103" s="260">
        <v>0.09</v>
      </c>
      <c r="G103" s="260">
        <v>13.12</v>
      </c>
      <c r="H103" s="260">
        <v>0.69</v>
      </c>
      <c r="I103" s="260">
        <v>1.17</v>
      </c>
      <c r="J103" s="260">
        <v>0.95</v>
      </c>
      <c r="K103" s="260">
        <v>-0.74</v>
      </c>
      <c r="L103" s="259" t="s">
        <v>65</v>
      </c>
    </row>
    <row r="104" spans="1:12" x14ac:dyDescent="0.25">
      <c r="A104" s="259" t="s">
        <v>170</v>
      </c>
      <c r="B104" s="260">
        <v>7.07</v>
      </c>
      <c r="C104" s="260">
        <v>0.6</v>
      </c>
      <c r="D104" s="260">
        <v>15.88</v>
      </c>
      <c r="E104" s="260">
        <v>20.68</v>
      </c>
      <c r="F104" s="260">
        <v>0.6</v>
      </c>
      <c r="G104" s="260">
        <v>13.13</v>
      </c>
      <c r="H104" s="260">
        <v>0.64</v>
      </c>
      <c r="I104" s="260">
        <v>1.1000000000000001</v>
      </c>
      <c r="J104" s="260">
        <v>0.95</v>
      </c>
      <c r="K104" s="260">
        <v>-1.34</v>
      </c>
      <c r="L104" s="259" t="s">
        <v>65</v>
      </c>
    </row>
    <row r="105" spans="1:12" x14ac:dyDescent="0.25">
      <c r="A105" s="259" t="s">
        <v>171</v>
      </c>
      <c r="B105" s="260">
        <v>-7.18</v>
      </c>
      <c r="C105" s="260">
        <v>1.02</v>
      </c>
      <c r="D105" s="259" t="s">
        <v>54</v>
      </c>
      <c r="E105" s="259" t="s">
        <v>54</v>
      </c>
      <c r="F105" s="260">
        <v>1.02</v>
      </c>
      <c r="G105" s="259" t="s">
        <v>54</v>
      </c>
      <c r="H105" s="259" t="s">
        <v>54</v>
      </c>
      <c r="I105" s="259" t="s">
        <v>54</v>
      </c>
      <c r="J105" s="259" t="s">
        <v>54</v>
      </c>
      <c r="K105" s="259" t="s">
        <v>54</v>
      </c>
      <c r="L105" s="259" t="s">
        <v>55</v>
      </c>
    </row>
    <row r="106" spans="1:12" x14ac:dyDescent="0.25">
      <c r="A106" s="259" t="s">
        <v>172</v>
      </c>
      <c r="B106" s="259" t="s">
        <v>54</v>
      </c>
      <c r="C106" s="260">
        <v>1</v>
      </c>
      <c r="D106" s="259" t="s">
        <v>54</v>
      </c>
      <c r="E106" s="259" t="s">
        <v>54</v>
      </c>
      <c r="F106" s="260">
        <v>1</v>
      </c>
      <c r="G106" s="259" t="s">
        <v>54</v>
      </c>
      <c r="H106" s="259" t="s">
        <v>54</v>
      </c>
      <c r="I106" s="259" t="s">
        <v>54</v>
      </c>
      <c r="J106" s="259" t="s">
        <v>54</v>
      </c>
      <c r="K106" s="259" t="s">
        <v>54</v>
      </c>
      <c r="L106" s="259" t="s">
        <v>71</v>
      </c>
    </row>
    <row r="107" spans="1:12" x14ac:dyDescent="0.25">
      <c r="A107" s="259" t="s">
        <v>173</v>
      </c>
      <c r="B107" s="259" t="s">
        <v>54</v>
      </c>
      <c r="C107" s="260">
        <v>0.85</v>
      </c>
      <c r="D107" s="259" t="s">
        <v>54</v>
      </c>
      <c r="E107" s="259" t="s">
        <v>54</v>
      </c>
      <c r="F107" s="260">
        <v>0.85</v>
      </c>
      <c r="G107" s="259" t="s">
        <v>54</v>
      </c>
      <c r="H107" s="259" t="s">
        <v>54</v>
      </c>
      <c r="I107" s="259" t="s">
        <v>54</v>
      </c>
      <c r="J107" s="259" t="s">
        <v>54</v>
      </c>
      <c r="K107" s="259" t="s">
        <v>54</v>
      </c>
      <c r="L107" s="259" t="s">
        <v>84</v>
      </c>
    </row>
    <row r="108" spans="1:12" x14ac:dyDescent="0.25">
      <c r="A108" s="259" t="s">
        <v>174</v>
      </c>
      <c r="B108" s="259" t="s">
        <v>54</v>
      </c>
      <c r="C108" s="260">
        <v>1</v>
      </c>
      <c r="D108" s="259" t="s">
        <v>54</v>
      </c>
      <c r="E108" s="259" t="s">
        <v>54</v>
      </c>
      <c r="F108" s="260">
        <v>1</v>
      </c>
      <c r="G108" s="259" t="s">
        <v>54</v>
      </c>
      <c r="H108" s="259" t="s">
        <v>54</v>
      </c>
      <c r="I108" s="259" t="s">
        <v>54</v>
      </c>
      <c r="J108" s="259" t="s">
        <v>54</v>
      </c>
      <c r="K108" s="259" t="s">
        <v>54</v>
      </c>
      <c r="L108" s="259" t="s">
        <v>65</v>
      </c>
    </row>
    <row r="109" spans="1:12" x14ac:dyDescent="0.25">
      <c r="A109" s="259" t="s">
        <v>175</v>
      </c>
      <c r="B109" s="260">
        <v>3.39</v>
      </c>
      <c r="C109" s="260">
        <v>0.89</v>
      </c>
      <c r="D109" s="259" t="s">
        <v>54</v>
      </c>
      <c r="E109" s="259" t="s">
        <v>54</v>
      </c>
      <c r="F109" s="260">
        <v>0.89</v>
      </c>
      <c r="G109" s="259" t="s">
        <v>54</v>
      </c>
      <c r="H109" s="259" t="s">
        <v>54</v>
      </c>
      <c r="I109" s="259" t="s">
        <v>54</v>
      </c>
      <c r="J109" s="259" t="s">
        <v>54</v>
      </c>
      <c r="K109" s="259" t="s">
        <v>54</v>
      </c>
      <c r="L109" s="259" t="s">
        <v>103</v>
      </c>
    </row>
    <row r="110" spans="1:12" x14ac:dyDescent="0.25">
      <c r="A110" s="259" t="s">
        <v>176</v>
      </c>
      <c r="B110" s="259" t="s">
        <v>54</v>
      </c>
      <c r="C110" s="260">
        <v>1.05</v>
      </c>
      <c r="D110" s="259" t="s">
        <v>54</v>
      </c>
      <c r="E110" s="259" t="s">
        <v>54</v>
      </c>
      <c r="F110" s="260">
        <v>1.05</v>
      </c>
      <c r="G110" s="259" t="s">
        <v>54</v>
      </c>
      <c r="H110" s="259" t="s">
        <v>54</v>
      </c>
      <c r="I110" s="259" t="s">
        <v>54</v>
      </c>
      <c r="J110" s="259" t="s">
        <v>54</v>
      </c>
      <c r="K110" s="259" t="s">
        <v>54</v>
      </c>
      <c r="L110" s="259" t="s">
        <v>55</v>
      </c>
    </row>
    <row r="111" spans="1:12" x14ac:dyDescent="0.25">
      <c r="A111" s="259" t="s">
        <v>177</v>
      </c>
      <c r="B111" s="260">
        <v>17.559999999999999</v>
      </c>
      <c r="C111" s="260">
        <v>1.68</v>
      </c>
      <c r="D111" s="260">
        <v>33.68</v>
      </c>
      <c r="E111" s="260">
        <v>36.69</v>
      </c>
      <c r="F111" s="260">
        <v>1.68</v>
      </c>
      <c r="G111" s="260">
        <v>18.170000000000002</v>
      </c>
      <c r="H111" s="260">
        <v>1.29</v>
      </c>
      <c r="I111" s="260">
        <v>2.02</v>
      </c>
      <c r="J111" s="260">
        <v>0.9</v>
      </c>
      <c r="K111" s="260">
        <v>7.06</v>
      </c>
      <c r="L111" s="259" t="s">
        <v>103</v>
      </c>
    </row>
    <row r="112" spans="1:12" hidden="1" x14ac:dyDescent="0.25">
      <c r="A112" s="259" t="s">
        <v>178</v>
      </c>
      <c r="B112" s="260">
        <v>-5.19</v>
      </c>
      <c r="C112" s="260">
        <v>2.4</v>
      </c>
      <c r="D112" s="259" t="s">
        <v>54</v>
      </c>
      <c r="E112" s="259" t="s">
        <v>54</v>
      </c>
      <c r="F112" s="260">
        <v>2.4</v>
      </c>
      <c r="G112" s="259" t="s">
        <v>54</v>
      </c>
      <c r="H112" s="259" t="s">
        <v>54</v>
      </c>
      <c r="I112" s="259" t="s">
        <v>54</v>
      </c>
      <c r="J112" s="259" t="s">
        <v>54</v>
      </c>
      <c r="K112" s="259" t="s">
        <v>54</v>
      </c>
      <c r="L112" s="259" t="s">
        <v>58</v>
      </c>
    </row>
    <row r="113" spans="1:12" x14ac:dyDescent="0.25">
      <c r="A113" s="259" t="s">
        <v>179</v>
      </c>
      <c r="B113" s="260">
        <v>1.06</v>
      </c>
      <c r="C113" s="260">
        <v>2.5099999999999998</v>
      </c>
      <c r="D113" s="260">
        <v>12.45</v>
      </c>
      <c r="E113" s="260">
        <v>12.27</v>
      </c>
      <c r="F113" s="260">
        <v>2.5099999999999998</v>
      </c>
      <c r="G113" s="260">
        <v>10.19</v>
      </c>
      <c r="H113" s="260">
        <v>0.52</v>
      </c>
      <c r="I113" s="260">
        <v>1.02</v>
      </c>
      <c r="J113" s="260">
        <v>0.95</v>
      </c>
      <c r="K113" s="260">
        <v>-2.16</v>
      </c>
      <c r="L113" s="259" t="s">
        <v>62</v>
      </c>
    </row>
    <row r="114" spans="1:12" x14ac:dyDescent="0.25">
      <c r="A114" s="259" t="s">
        <v>180</v>
      </c>
      <c r="B114" s="260">
        <v>-1.44</v>
      </c>
      <c r="C114" s="260">
        <v>2.44</v>
      </c>
      <c r="D114" s="260">
        <v>18.38</v>
      </c>
      <c r="E114" s="259" t="s">
        <v>54</v>
      </c>
      <c r="F114" s="260">
        <v>2.44</v>
      </c>
      <c r="G114" s="260">
        <v>15.33</v>
      </c>
      <c r="H114" s="260">
        <v>0.69</v>
      </c>
      <c r="I114" s="260">
        <v>1.1299999999999999</v>
      </c>
      <c r="J114" s="260">
        <v>1.06</v>
      </c>
      <c r="K114" s="260">
        <v>-0.3</v>
      </c>
      <c r="L114" s="259" t="s">
        <v>65</v>
      </c>
    </row>
    <row r="115" spans="1:12" hidden="1" x14ac:dyDescent="0.25">
      <c r="A115" s="259" t="s">
        <v>181</v>
      </c>
      <c r="B115" s="259" t="s">
        <v>54</v>
      </c>
      <c r="C115" s="260">
        <v>2.4500000000000002</v>
      </c>
      <c r="D115" s="259" t="s">
        <v>54</v>
      </c>
      <c r="E115" s="259" t="s">
        <v>54</v>
      </c>
      <c r="F115" s="260">
        <v>2.4500000000000002</v>
      </c>
      <c r="G115" s="259" t="s">
        <v>54</v>
      </c>
      <c r="H115" s="259" t="s">
        <v>54</v>
      </c>
      <c r="I115" s="259" t="s">
        <v>54</v>
      </c>
      <c r="J115" s="259" t="s">
        <v>54</v>
      </c>
      <c r="K115" s="259" t="s">
        <v>54</v>
      </c>
      <c r="L115" s="259" t="s">
        <v>58</v>
      </c>
    </row>
    <row r="116" spans="1:12" hidden="1" x14ac:dyDescent="0.25">
      <c r="A116" s="259" t="s">
        <v>182</v>
      </c>
      <c r="B116" s="259" t="s">
        <v>54</v>
      </c>
      <c r="C116" s="260">
        <v>2.46</v>
      </c>
      <c r="D116" s="259" t="s">
        <v>54</v>
      </c>
      <c r="E116" s="259" t="s">
        <v>54</v>
      </c>
      <c r="F116" s="260">
        <v>2.46</v>
      </c>
      <c r="G116" s="259" t="s">
        <v>54</v>
      </c>
      <c r="H116" s="259" t="s">
        <v>54</v>
      </c>
      <c r="I116" s="259" t="s">
        <v>54</v>
      </c>
      <c r="J116" s="259" t="s">
        <v>54</v>
      </c>
      <c r="K116" s="259" t="s">
        <v>54</v>
      </c>
      <c r="L116" s="259" t="s">
        <v>81</v>
      </c>
    </row>
    <row r="117" spans="1:12" x14ac:dyDescent="0.25">
      <c r="A117" s="259" t="s">
        <v>183</v>
      </c>
      <c r="B117" s="260">
        <v>-0.28999999999999998</v>
      </c>
      <c r="C117" s="260">
        <v>1.99</v>
      </c>
      <c r="D117" s="260">
        <v>24.51</v>
      </c>
      <c r="E117" s="259" t="s">
        <v>54</v>
      </c>
      <c r="F117" s="260">
        <v>1.99</v>
      </c>
      <c r="G117" s="260">
        <v>18.12</v>
      </c>
      <c r="H117" s="260">
        <v>0.91</v>
      </c>
      <c r="I117" s="260">
        <v>1.35</v>
      </c>
      <c r="J117" s="260">
        <v>1.1299999999999999</v>
      </c>
      <c r="K117" s="260">
        <v>3.39</v>
      </c>
      <c r="L117" s="259" t="s">
        <v>55</v>
      </c>
    </row>
    <row r="118" spans="1:12" x14ac:dyDescent="0.25">
      <c r="A118" s="259" t="s">
        <v>184</v>
      </c>
      <c r="B118" s="260">
        <v>2.56</v>
      </c>
      <c r="C118" s="260">
        <v>1.58</v>
      </c>
      <c r="D118" s="260">
        <v>21.89</v>
      </c>
      <c r="E118" s="260">
        <v>24.35</v>
      </c>
      <c r="F118" s="260">
        <v>1.58</v>
      </c>
      <c r="G118" s="260">
        <v>15.45</v>
      </c>
      <c r="H118" s="260">
        <v>0.87</v>
      </c>
      <c r="I118" s="260">
        <v>1.32</v>
      </c>
      <c r="J118" s="260">
        <v>1.03</v>
      </c>
      <c r="K118" s="260">
        <v>2.12</v>
      </c>
      <c r="L118" s="259" t="s">
        <v>71</v>
      </c>
    </row>
    <row r="119" spans="1:12" x14ac:dyDescent="0.25">
      <c r="A119" s="259" t="s">
        <v>185</v>
      </c>
      <c r="B119" s="260">
        <v>1.82</v>
      </c>
      <c r="C119" s="260">
        <v>2.48</v>
      </c>
      <c r="D119" s="260">
        <v>21.13</v>
      </c>
      <c r="E119" s="260">
        <v>23.65</v>
      </c>
      <c r="F119" s="260">
        <v>2.48</v>
      </c>
      <c r="G119" s="260">
        <v>15.43</v>
      </c>
      <c r="H119" s="260">
        <v>0.83</v>
      </c>
      <c r="I119" s="260">
        <v>1.26</v>
      </c>
      <c r="J119" s="260">
        <v>1.03</v>
      </c>
      <c r="K119" s="260">
        <v>1.51</v>
      </c>
      <c r="L119" s="259" t="s">
        <v>71</v>
      </c>
    </row>
    <row r="120" spans="1:12" x14ac:dyDescent="0.25">
      <c r="A120" s="259" t="s">
        <v>186</v>
      </c>
      <c r="B120" s="260">
        <v>6.39</v>
      </c>
      <c r="C120" s="260">
        <v>2.04</v>
      </c>
      <c r="D120" s="259" t="s">
        <v>54</v>
      </c>
      <c r="E120" s="259" t="s">
        <v>54</v>
      </c>
      <c r="F120" s="260">
        <v>2.04</v>
      </c>
      <c r="G120" s="259" t="s">
        <v>54</v>
      </c>
      <c r="H120" s="259" t="s">
        <v>54</v>
      </c>
      <c r="I120" s="259" t="s">
        <v>54</v>
      </c>
      <c r="J120" s="259" t="s">
        <v>54</v>
      </c>
      <c r="K120" s="259" t="s">
        <v>54</v>
      </c>
      <c r="L120" s="259" t="s">
        <v>60</v>
      </c>
    </row>
    <row r="121" spans="1:12" x14ac:dyDescent="0.25">
      <c r="A121" s="259" t="s">
        <v>187</v>
      </c>
      <c r="B121" s="260">
        <v>5</v>
      </c>
      <c r="C121" s="260">
        <v>2.31</v>
      </c>
      <c r="D121" s="259" t="s">
        <v>54</v>
      </c>
      <c r="E121" s="259" t="s">
        <v>54</v>
      </c>
      <c r="F121" s="260">
        <v>2.31</v>
      </c>
      <c r="G121" s="259" t="s">
        <v>54</v>
      </c>
      <c r="H121" s="259" t="s">
        <v>54</v>
      </c>
      <c r="I121" s="259" t="s">
        <v>54</v>
      </c>
      <c r="J121" s="259" t="s">
        <v>54</v>
      </c>
      <c r="K121" s="259" t="s">
        <v>54</v>
      </c>
      <c r="L121" s="259" t="s">
        <v>89</v>
      </c>
    </row>
    <row r="122" spans="1:12" x14ac:dyDescent="0.25">
      <c r="A122" s="259" t="s">
        <v>188</v>
      </c>
      <c r="B122" s="260">
        <v>4.54</v>
      </c>
      <c r="C122" s="260">
        <v>2.0299999999999998</v>
      </c>
      <c r="D122" s="260">
        <v>25.32</v>
      </c>
      <c r="E122" s="260">
        <v>35.229999999999997</v>
      </c>
      <c r="F122" s="260">
        <v>2.0299999999999998</v>
      </c>
      <c r="G122" s="260">
        <v>18.22</v>
      </c>
      <c r="H122" s="260">
        <v>0.95</v>
      </c>
      <c r="I122" s="260">
        <v>1.27</v>
      </c>
      <c r="J122" s="260">
        <v>0.89</v>
      </c>
      <c r="K122" s="260">
        <v>1.1599999999999999</v>
      </c>
      <c r="L122" s="259" t="s">
        <v>103</v>
      </c>
    </row>
    <row r="123" spans="1:12" x14ac:dyDescent="0.25">
      <c r="A123" s="259" t="s">
        <v>189</v>
      </c>
      <c r="B123" s="260">
        <v>8.48</v>
      </c>
      <c r="C123" s="260">
        <v>1.89</v>
      </c>
      <c r="D123" s="260">
        <v>16.91</v>
      </c>
      <c r="E123" s="260">
        <v>17.3</v>
      </c>
      <c r="F123" s="260">
        <v>1.89</v>
      </c>
      <c r="G123" s="260">
        <v>10.14</v>
      </c>
      <c r="H123" s="260">
        <v>0.9</v>
      </c>
      <c r="I123" s="260">
        <v>1.3</v>
      </c>
      <c r="J123" s="260">
        <v>0.94</v>
      </c>
      <c r="K123" s="260">
        <v>1.68</v>
      </c>
      <c r="L123" s="259" t="s">
        <v>62</v>
      </c>
    </row>
    <row r="124" spans="1:12" hidden="1" x14ac:dyDescent="0.25">
      <c r="A124" s="259" t="s">
        <v>190</v>
      </c>
      <c r="B124" s="260">
        <v>1.53</v>
      </c>
      <c r="C124" s="260">
        <v>2.38</v>
      </c>
      <c r="D124" s="260">
        <v>20.38</v>
      </c>
      <c r="E124" s="259" t="s">
        <v>54</v>
      </c>
      <c r="F124" s="260">
        <v>2.38</v>
      </c>
      <c r="G124" s="260">
        <v>15.21</v>
      </c>
      <c r="H124" s="260">
        <v>0.82</v>
      </c>
      <c r="I124" s="260">
        <v>1.2</v>
      </c>
      <c r="J124" s="260">
        <v>1.02</v>
      </c>
      <c r="K124" s="260">
        <v>0.69</v>
      </c>
      <c r="L124" s="259" t="s">
        <v>58</v>
      </c>
    </row>
    <row r="125" spans="1:12" x14ac:dyDescent="0.25">
      <c r="A125" s="259" t="s">
        <v>191</v>
      </c>
      <c r="B125" s="259" t="s">
        <v>54</v>
      </c>
      <c r="C125" s="260">
        <v>2.34</v>
      </c>
      <c r="D125" s="259" t="s">
        <v>54</v>
      </c>
      <c r="E125" s="259" t="s">
        <v>54</v>
      </c>
      <c r="F125" s="260">
        <v>2.34</v>
      </c>
      <c r="G125" s="259" t="s">
        <v>54</v>
      </c>
      <c r="H125" s="259" t="s">
        <v>54</v>
      </c>
      <c r="I125" s="259" t="s">
        <v>54</v>
      </c>
      <c r="J125" s="259" t="s">
        <v>54</v>
      </c>
      <c r="K125" s="259" t="s">
        <v>54</v>
      </c>
      <c r="L125" s="259" t="s">
        <v>55</v>
      </c>
    </row>
    <row r="126" spans="1:12" hidden="1" x14ac:dyDescent="0.25">
      <c r="A126" s="259" t="s">
        <v>192</v>
      </c>
      <c r="B126" s="259" t="s">
        <v>54</v>
      </c>
      <c r="C126" s="260">
        <v>2.17</v>
      </c>
      <c r="D126" s="259" t="s">
        <v>54</v>
      </c>
      <c r="E126" s="259" t="s">
        <v>54</v>
      </c>
      <c r="F126" s="260">
        <v>2.17</v>
      </c>
      <c r="G126" s="259" t="s">
        <v>54</v>
      </c>
      <c r="H126" s="259" t="s">
        <v>54</v>
      </c>
      <c r="I126" s="259" t="s">
        <v>54</v>
      </c>
      <c r="J126" s="259" t="s">
        <v>54</v>
      </c>
      <c r="K126" s="259" t="s">
        <v>54</v>
      </c>
      <c r="L126" s="259" t="s">
        <v>69</v>
      </c>
    </row>
    <row r="127" spans="1:12" hidden="1" x14ac:dyDescent="0.25">
      <c r="A127" s="259" t="s">
        <v>193</v>
      </c>
      <c r="B127" s="259" t="s">
        <v>54</v>
      </c>
      <c r="C127" s="260">
        <v>2.2999999999999998</v>
      </c>
      <c r="D127" s="259" t="s">
        <v>54</v>
      </c>
      <c r="E127" s="259" t="s">
        <v>54</v>
      </c>
      <c r="F127" s="260">
        <v>2.2999999999999998</v>
      </c>
      <c r="G127" s="259" t="s">
        <v>54</v>
      </c>
      <c r="H127" s="259" t="s">
        <v>54</v>
      </c>
      <c r="I127" s="259" t="s">
        <v>54</v>
      </c>
      <c r="J127" s="259" t="s">
        <v>54</v>
      </c>
      <c r="K127" s="259" t="s">
        <v>54</v>
      </c>
      <c r="L127" s="259" t="s">
        <v>194</v>
      </c>
    </row>
    <row r="128" spans="1:12" x14ac:dyDescent="0.25">
      <c r="A128" s="259" t="s">
        <v>195</v>
      </c>
      <c r="B128" s="260">
        <v>4.0199999999999996</v>
      </c>
      <c r="C128" s="260">
        <v>2.17</v>
      </c>
      <c r="D128" s="259" t="s">
        <v>54</v>
      </c>
      <c r="E128" s="259" t="s">
        <v>54</v>
      </c>
      <c r="F128" s="260">
        <v>2.17</v>
      </c>
      <c r="G128" s="259" t="s">
        <v>54</v>
      </c>
      <c r="H128" s="259" t="s">
        <v>54</v>
      </c>
      <c r="I128" s="259" t="s">
        <v>54</v>
      </c>
      <c r="J128" s="259" t="s">
        <v>54</v>
      </c>
      <c r="K128" s="259" t="s">
        <v>54</v>
      </c>
      <c r="L128" s="259" t="s">
        <v>55</v>
      </c>
    </row>
    <row r="129" spans="1:12" x14ac:dyDescent="0.25">
      <c r="A129" s="259" t="s">
        <v>196</v>
      </c>
      <c r="B129" s="260">
        <v>-1.6</v>
      </c>
      <c r="C129" s="260">
        <v>2.29</v>
      </c>
      <c r="D129" s="260">
        <v>17.11</v>
      </c>
      <c r="E129" s="260">
        <v>19.82</v>
      </c>
      <c r="F129" s="260">
        <v>2.29</v>
      </c>
      <c r="G129" s="260">
        <v>15.32</v>
      </c>
      <c r="H129" s="260">
        <v>0.66</v>
      </c>
      <c r="I129" s="260">
        <v>0.86</v>
      </c>
      <c r="J129" s="260">
        <v>0.99</v>
      </c>
      <c r="K129" s="260">
        <v>-1.35</v>
      </c>
      <c r="L129" s="259" t="s">
        <v>55</v>
      </c>
    </row>
    <row r="130" spans="1:12" hidden="1" x14ac:dyDescent="0.25">
      <c r="A130" s="259" t="s">
        <v>197</v>
      </c>
      <c r="B130" s="260">
        <v>2.38</v>
      </c>
      <c r="C130" s="260">
        <v>2.09</v>
      </c>
      <c r="D130" s="260">
        <v>19.02</v>
      </c>
      <c r="E130" s="260">
        <v>20.86</v>
      </c>
      <c r="F130" s="260">
        <v>2.09</v>
      </c>
      <c r="G130" s="260">
        <v>14.79</v>
      </c>
      <c r="H130" s="260">
        <v>0.76</v>
      </c>
      <c r="I130" s="260">
        <v>1.08</v>
      </c>
      <c r="J130" s="260">
        <v>0.8</v>
      </c>
      <c r="K130" s="260">
        <v>-0.31</v>
      </c>
      <c r="L130" s="259" t="s">
        <v>81</v>
      </c>
    </row>
    <row r="131" spans="1:12" hidden="1" x14ac:dyDescent="0.25">
      <c r="A131" s="259" t="s">
        <v>198</v>
      </c>
      <c r="B131" s="260">
        <v>4.43</v>
      </c>
      <c r="C131" s="260">
        <v>2.2599999999999998</v>
      </c>
      <c r="D131" s="259" t="s">
        <v>54</v>
      </c>
      <c r="E131" s="259" t="s">
        <v>54</v>
      </c>
      <c r="F131" s="260">
        <v>2.2599999999999998</v>
      </c>
      <c r="G131" s="259" t="s">
        <v>54</v>
      </c>
      <c r="H131" s="259" t="s">
        <v>54</v>
      </c>
      <c r="I131" s="259" t="s">
        <v>54</v>
      </c>
      <c r="J131" s="259" t="s">
        <v>54</v>
      </c>
      <c r="K131" s="259" t="s">
        <v>54</v>
      </c>
      <c r="L131" s="259" t="s">
        <v>58</v>
      </c>
    </row>
    <row r="132" spans="1:12" x14ac:dyDescent="0.25">
      <c r="A132" s="259" t="s">
        <v>199</v>
      </c>
      <c r="B132" s="260">
        <v>3.45</v>
      </c>
      <c r="C132" s="260">
        <v>1.98</v>
      </c>
      <c r="D132" s="260">
        <v>19</v>
      </c>
      <c r="E132" s="260">
        <v>20.89</v>
      </c>
      <c r="F132" s="260">
        <v>1.98</v>
      </c>
      <c r="G132" s="260">
        <v>13.37</v>
      </c>
      <c r="H132" s="260">
        <v>0.85</v>
      </c>
      <c r="I132" s="260">
        <v>1.31</v>
      </c>
      <c r="J132" s="260">
        <v>0.95</v>
      </c>
      <c r="K132" s="260">
        <v>1.58</v>
      </c>
      <c r="L132" s="259" t="s">
        <v>65</v>
      </c>
    </row>
    <row r="133" spans="1:12" x14ac:dyDescent="0.25">
      <c r="A133" s="259" t="s">
        <v>200</v>
      </c>
      <c r="B133" s="260">
        <v>5.28</v>
      </c>
      <c r="C133" s="260">
        <v>2.11</v>
      </c>
      <c r="D133" s="260">
        <v>22.24</v>
      </c>
      <c r="E133" s="259" t="s">
        <v>54</v>
      </c>
      <c r="F133" s="260">
        <v>2.11</v>
      </c>
      <c r="G133" s="260">
        <v>14.99</v>
      </c>
      <c r="H133" s="260">
        <v>0.93</v>
      </c>
      <c r="I133" s="260">
        <v>1.22</v>
      </c>
      <c r="J133" s="260">
        <v>0.98</v>
      </c>
      <c r="K133" s="260">
        <v>3.16</v>
      </c>
      <c r="L133" s="259" t="s">
        <v>71</v>
      </c>
    </row>
    <row r="134" spans="1:12" hidden="1" x14ac:dyDescent="0.25">
      <c r="A134" s="259" t="s">
        <v>201</v>
      </c>
      <c r="B134" s="259" t="s">
        <v>54</v>
      </c>
      <c r="C134" s="260">
        <v>2.12</v>
      </c>
      <c r="D134" s="259" t="s">
        <v>54</v>
      </c>
      <c r="E134" s="259" t="s">
        <v>54</v>
      </c>
      <c r="F134" s="260">
        <v>2.12</v>
      </c>
      <c r="G134" s="259" t="s">
        <v>54</v>
      </c>
      <c r="H134" s="259" t="s">
        <v>54</v>
      </c>
      <c r="I134" s="259" t="s">
        <v>54</v>
      </c>
      <c r="J134" s="259" t="s">
        <v>54</v>
      </c>
      <c r="K134" s="259" t="s">
        <v>54</v>
      </c>
      <c r="L134" s="259" t="s">
        <v>58</v>
      </c>
    </row>
    <row r="135" spans="1:12" x14ac:dyDescent="0.25">
      <c r="A135" s="259" t="s">
        <v>202</v>
      </c>
      <c r="B135" s="260">
        <v>3.65</v>
      </c>
      <c r="C135" s="260">
        <v>2.0099999999999998</v>
      </c>
      <c r="D135" s="260">
        <v>23.19</v>
      </c>
      <c r="E135" s="260">
        <v>27.86</v>
      </c>
      <c r="F135" s="260">
        <v>2.0099999999999998</v>
      </c>
      <c r="G135" s="260">
        <v>14.39</v>
      </c>
      <c r="H135" s="260">
        <v>1.03</v>
      </c>
      <c r="I135" s="260">
        <v>1.45</v>
      </c>
      <c r="J135" s="260">
        <v>0.83</v>
      </c>
      <c r="K135" s="260">
        <v>-0.12</v>
      </c>
      <c r="L135" s="259" t="s">
        <v>84</v>
      </c>
    </row>
    <row r="136" spans="1:12" x14ac:dyDescent="0.25">
      <c r="A136" s="259" t="s">
        <v>203</v>
      </c>
      <c r="B136" s="259" t="s">
        <v>54</v>
      </c>
      <c r="C136" s="259" t="s">
        <v>54</v>
      </c>
      <c r="D136" s="259" t="s">
        <v>54</v>
      </c>
      <c r="E136" s="259" t="s">
        <v>54</v>
      </c>
      <c r="F136" s="259" t="s">
        <v>54</v>
      </c>
      <c r="G136" s="259" t="s">
        <v>54</v>
      </c>
      <c r="H136" s="259" t="s">
        <v>54</v>
      </c>
      <c r="I136" s="259" t="s">
        <v>54</v>
      </c>
      <c r="J136" s="259" t="s">
        <v>54</v>
      </c>
      <c r="K136" s="259" t="s">
        <v>54</v>
      </c>
      <c r="L136" s="259" t="s">
        <v>60</v>
      </c>
    </row>
    <row r="137" spans="1:12" x14ac:dyDescent="0.25">
      <c r="A137" s="259" t="s">
        <v>204</v>
      </c>
      <c r="B137" s="260">
        <v>7.89</v>
      </c>
      <c r="C137" s="260">
        <v>2.11</v>
      </c>
      <c r="D137" s="259" t="s">
        <v>54</v>
      </c>
      <c r="E137" s="259" t="s">
        <v>54</v>
      </c>
      <c r="F137" s="260">
        <v>2.11</v>
      </c>
      <c r="G137" s="259" t="s">
        <v>54</v>
      </c>
      <c r="H137" s="259" t="s">
        <v>54</v>
      </c>
      <c r="I137" s="259" t="s">
        <v>54</v>
      </c>
      <c r="J137" s="259" t="s">
        <v>54</v>
      </c>
      <c r="K137" s="259" t="s">
        <v>54</v>
      </c>
      <c r="L137" s="259" t="s">
        <v>60</v>
      </c>
    </row>
    <row r="138" spans="1:12" x14ac:dyDescent="0.25">
      <c r="A138" s="259" t="s">
        <v>205</v>
      </c>
      <c r="B138" s="260">
        <v>4.0199999999999996</v>
      </c>
      <c r="C138" s="260">
        <v>1.99</v>
      </c>
      <c r="D138" s="260">
        <v>22.28</v>
      </c>
      <c r="E138" s="260">
        <v>25.95</v>
      </c>
      <c r="F138" s="260">
        <v>1.99</v>
      </c>
      <c r="G138" s="260">
        <v>14.5</v>
      </c>
      <c r="H138" s="260">
        <v>0.97</v>
      </c>
      <c r="I138" s="260">
        <v>1.2</v>
      </c>
      <c r="J138" s="260">
        <v>0.88</v>
      </c>
      <c r="K138" s="260">
        <v>1.18</v>
      </c>
      <c r="L138" s="259" t="s">
        <v>89</v>
      </c>
    </row>
    <row r="139" spans="1:12" x14ac:dyDescent="0.25">
      <c r="A139" s="259" t="s">
        <v>206</v>
      </c>
      <c r="B139" s="259" t="s">
        <v>54</v>
      </c>
      <c r="C139" s="260">
        <v>1.1000000000000001</v>
      </c>
      <c r="D139" s="259" t="s">
        <v>54</v>
      </c>
      <c r="E139" s="259" t="s">
        <v>54</v>
      </c>
      <c r="F139" s="260">
        <v>1.1000000000000001</v>
      </c>
      <c r="G139" s="259" t="s">
        <v>54</v>
      </c>
      <c r="H139" s="259" t="s">
        <v>54</v>
      </c>
      <c r="I139" s="259" t="s">
        <v>54</v>
      </c>
      <c r="J139" s="259" t="s">
        <v>54</v>
      </c>
      <c r="K139" s="259" t="s">
        <v>54</v>
      </c>
      <c r="L139" s="259" t="s">
        <v>71</v>
      </c>
    </row>
    <row r="140" spans="1:12" x14ac:dyDescent="0.25">
      <c r="A140" s="259" t="s">
        <v>207</v>
      </c>
      <c r="B140" s="260">
        <v>7.06</v>
      </c>
      <c r="C140" s="260">
        <v>0.56000000000000005</v>
      </c>
      <c r="D140" s="259" t="s">
        <v>54</v>
      </c>
      <c r="E140" s="259" t="s">
        <v>54</v>
      </c>
      <c r="F140" s="260">
        <v>0.56000000000000005</v>
      </c>
      <c r="G140" s="259" t="s">
        <v>54</v>
      </c>
      <c r="H140" s="259" t="s">
        <v>54</v>
      </c>
      <c r="I140" s="259" t="s">
        <v>54</v>
      </c>
      <c r="J140" s="259" t="s">
        <v>54</v>
      </c>
      <c r="K140" s="259" t="s">
        <v>54</v>
      </c>
      <c r="L140" s="259" t="s">
        <v>65</v>
      </c>
    </row>
    <row r="141" spans="1:12" x14ac:dyDescent="0.25">
      <c r="A141" s="259" t="s">
        <v>208</v>
      </c>
      <c r="B141" s="259" t="s">
        <v>54</v>
      </c>
      <c r="C141" s="260">
        <v>1.08</v>
      </c>
      <c r="D141" s="259" t="s">
        <v>54</v>
      </c>
      <c r="E141" s="259" t="s">
        <v>54</v>
      </c>
      <c r="F141" s="260">
        <v>1.08</v>
      </c>
      <c r="G141" s="259" t="s">
        <v>54</v>
      </c>
      <c r="H141" s="259" t="s">
        <v>54</v>
      </c>
      <c r="I141" s="259" t="s">
        <v>54</v>
      </c>
      <c r="J141" s="259" t="s">
        <v>54</v>
      </c>
      <c r="K141" s="259" t="s">
        <v>54</v>
      </c>
      <c r="L141" s="259" t="s">
        <v>84</v>
      </c>
    </row>
    <row r="142" spans="1:12" x14ac:dyDescent="0.25">
      <c r="A142" s="259" t="s">
        <v>209</v>
      </c>
      <c r="B142" s="260">
        <v>1.38</v>
      </c>
      <c r="C142" s="260">
        <v>2.16</v>
      </c>
      <c r="D142" s="259" t="s">
        <v>54</v>
      </c>
      <c r="E142" s="259" t="s">
        <v>54</v>
      </c>
      <c r="F142" s="260">
        <v>2.16</v>
      </c>
      <c r="G142" s="259" t="s">
        <v>54</v>
      </c>
      <c r="H142" s="259" t="s">
        <v>54</v>
      </c>
      <c r="I142" s="259" t="s">
        <v>54</v>
      </c>
      <c r="J142" s="259" t="s">
        <v>54</v>
      </c>
      <c r="K142" s="259" t="s">
        <v>54</v>
      </c>
      <c r="L142" s="259" t="s">
        <v>103</v>
      </c>
    </row>
    <row r="143" spans="1:12" x14ac:dyDescent="0.25">
      <c r="A143" s="259" t="s">
        <v>210</v>
      </c>
      <c r="B143" s="260">
        <v>-0.88</v>
      </c>
      <c r="C143" s="260">
        <v>7.0000000000000007E-2</v>
      </c>
      <c r="D143" s="260">
        <v>31.54</v>
      </c>
      <c r="E143" s="260">
        <v>34.39</v>
      </c>
      <c r="F143" s="260">
        <v>7.0000000000000007E-2</v>
      </c>
      <c r="G143" s="260">
        <v>17.89</v>
      </c>
      <c r="H143" s="260">
        <v>1.27</v>
      </c>
      <c r="I143" s="260">
        <v>2.06</v>
      </c>
      <c r="J143" s="260">
        <v>1.1200000000000001</v>
      </c>
      <c r="K143" s="260">
        <v>11.19</v>
      </c>
      <c r="L143" s="259" t="s">
        <v>65</v>
      </c>
    </row>
    <row r="144" spans="1:12" x14ac:dyDescent="0.25">
      <c r="A144" s="259" t="s">
        <v>211</v>
      </c>
      <c r="B144" s="259" t="s">
        <v>54</v>
      </c>
      <c r="C144" s="260">
        <v>2.09</v>
      </c>
      <c r="D144" s="259" t="s">
        <v>54</v>
      </c>
      <c r="E144" s="259" t="s">
        <v>54</v>
      </c>
      <c r="F144" s="260">
        <v>2.09</v>
      </c>
      <c r="G144" s="259" t="s">
        <v>54</v>
      </c>
      <c r="H144" s="259" t="s">
        <v>54</v>
      </c>
      <c r="I144" s="259" t="s">
        <v>54</v>
      </c>
      <c r="J144" s="259" t="s">
        <v>54</v>
      </c>
      <c r="K144" s="259" t="s">
        <v>54</v>
      </c>
      <c r="L144" s="259" t="s">
        <v>62</v>
      </c>
    </row>
    <row r="145" spans="1:12" x14ac:dyDescent="0.25">
      <c r="A145" s="259" t="s">
        <v>212</v>
      </c>
      <c r="B145" s="260">
        <v>8.74</v>
      </c>
      <c r="C145" s="260">
        <v>1.65</v>
      </c>
      <c r="D145" s="260">
        <v>18.27</v>
      </c>
      <c r="E145" s="260">
        <v>20.66</v>
      </c>
      <c r="F145" s="260">
        <v>1.65</v>
      </c>
      <c r="G145" s="260">
        <v>12.49</v>
      </c>
      <c r="H145" s="260">
        <v>0.83</v>
      </c>
      <c r="I145" s="260">
        <v>1.33</v>
      </c>
      <c r="J145" s="260">
        <v>0.9</v>
      </c>
      <c r="K145" s="260">
        <v>1.05</v>
      </c>
      <c r="L145" s="259" t="s">
        <v>65</v>
      </c>
    </row>
    <row r="146" spans="1:12" hidden="1" x14ac:dyDescent="0.25">
      <c r="A146" s="259" t="s">
        <v>213</v>
      </c>
      <c r="B146" s="260">
        <v>5.54</v>
      </c>
      <c r="C146" s="260">
        <v>2.0699999999999998</v>
      </c>
      <c r="D146" s="260">
        <v>21.26</v>
      </c>
      <c r="E146" s="260">
        <v>23.91</v>
      </c>
      <c r="F146" s="260">
        <v>2.0699999999999998</v>
      </c>
      <c r="G146" s="260">
        <v>14.75</v>
      </c>
      <c r="H146" s="260">
        <v>0.88</v>
      </c>
      <c r="I146" s="260">
        <v>1.52</v>
      </c>
      <c r="J146" s="260">
        <v>0.8</v>
      </c>
      <c r="K146" s="260">
        <v>1.49</v>
      </c>
      <c r="L146" s="259" t="s">
        <v>81</v>
      </c>
    </row>
    <row r="147" spans="1:12" x14ac:dyDescent="0.25">
      <c r="A147" s="259" t="s">
        <v>214</v>
      </c>
      <c r="B147" s="260">
        <v>7.76</v>
      </c>
      <c r="C147" s="260">
        <v>1.6</v>
      </c>
      <c r="D147" s="260">
        <v>20.170000000000002</v>
      </c>
      <c r="E147" s="260">
        <v>24.4</v>
      </c>
      <c r="F147" s="260">
        <v>1.6</v>
      </c>
      <c r="G147" s="260">
        <v>14.62</v>
      </c>
      <c r="H147" s="260">
        <v>0.82</v>
      </c>
      <c r="I147" s="260">
        <v>1.17</v>
      </c>
      <c r="J147" s="260">
        <v>0.97</v>
      </c>
      <c r="K147" s="260">
        <v>1.31</v>
      </c>
      <c r="L147" s="259" t="s">
        <v>71</v>
      </c>
    </row>
    <row r="148" spans="1:12" x14ac:dyDescent="0.25">
      <c r="A148" s="259" t="s">
        <v>215</v>
      </c>
      <c r="B148" s="260">
        <v>7.25</v>
      </c>
      <c r="C148" s="260">
        <v>1.68</v>
      </c>
      <c r="D148" s="260">
        <v>18.18</v>
      </c>
      <c r="E148" s="260">
        <v>21.47</v>
      </c>
      <c r="F148" s="260">
        <v>1.68</v>
      </c>
      <c r="G148" s="260">
        <v>13.46</v>
      </c>
      <c r="H148" s="260">
        <v>0.75</v>
      </c>
      <c r="I148" s="260">
        <v>1.1499999999999999</v>
      </c>
      <c r="J148" s="260">
        <v>0.91</v>
      </c>
      <c r="K148" s="260">
        <v>-0.37</v>
      </c>
      <c r="L148" s="259" t="s">
        <v>55</v>
      </c>
    </row>
    <row r="149" spans="1:12" x14ac:dyDescent="0.25">
      <c r="A149" s="259" t="s">
        <v>216</v>
      </c>
      <c r="B149" s="260">
        <v>11.99</v>
      </c>
      <c r="C149" s="260">
        <v>1.93</v>
      </c>
      <c r="D149" s="260">
        <v>21.25</v>
      </c>
      <c r="E149" s="259" t="s">
        <v>54</v>
      </c>
      <c r="F149" s="260">
        <v>1.93</v>
      </c>
      <c r="G149" s="260">
        <v>13.44</v>
      </c>
      <c r="H149" s="260">
        <v>0.94</v>
      </c>
      <c r="I149" s="260">
        <v>1.45</v>
      </c>
      <c r="J149" s="260">
        <v>0.89</v>
      </c>
      <c r="K149" s="260">
        <v>2.37</v>
      </c>
      <c r="L149" s="259" t="s">
        <v>55</v>
      </c>
    </row>
    <row r="150" spans="1:12" hidden="1" x14ac:dyDescent="0.25">
      <c r="A150" s="259" t="s">
        <v>217</v>
      </c>
      <c r="B150" s="260">
        <v>2.0099999999999998</v>
      </c>
      <c r="C150" s="260">
        <v>2.08</v>
      </c>
      <c r="D150" s="259" t="s">
        <v>54</v>
      </c>
      <c r="E150" s="259" t="s">
        <v>54</v>
      </c>
      <c r="F150" s="260">
        <v>2.08</v>
      </c>
      <c r="G150" s="259" t="s">
        <v>54</v>
      </c>
      <c r="H150" s="259" t="s">
        <v>54</v>
      </c>
      <c r="I150" s="259" t="s">
        <v>54</v>
      </c>
      <c r="J150" s="259" t="s">
        <v>54</v>
      </c>
      <c r="K150" s="259" t="s">
        <v>54</v>
      </c>
      <c r="L150" s="259" t="s">
        <v>58</v>
      </c>
    </row>
    <row r="151" spans="1:12" x14ac:dyDescent="0.25">
      <c r="A151" s="259" t="s">
        <v>218</v>
      </c>
      <c r="B151" s="260">
        <v>8.59</v>
      </c>
      <c r="C151" s="260">
        <v>1.93</v>
      </c>
      <c r="D151" s="259" t="s">
        <v>54</v>
      </c>
      <c r="E151" s="259" t="s">
        <v>54</v>
      </c>
      <c r="F151" s="260">
        <v>1.93</v>
      </c>
      <c r="G151" s="259" t="s">
        <v>54</v>
      </c>
      <c r="H151" s="259" t="s">
        <v>54</v>
      </c>
      <c r="I151" s="259" t="s">
        <v>54</v>
      </c>
      <c r="J151" s="259" t="s">
        <v>54</v>
      </c>
      <c r="K151" s="259" t="s">
        <v>54</v>
      </c>
      <c r="L151" s="259" t="s">
        <v>84</v>
      </c>
    </row>
    <row r="152" spans="1:12" x14ac:dyDescent="0.25">
      <c r="A152" s="259" t="s">
        <v>219</v>
      </c>
      <c r="B152" s="259" t="s">
        <v>54</v>
      </c>
      <c r="C152" s="259" t="s">
        <v>54</v>
      </c>
      <c r="D152" s="259" t="s">
        <v>54</v>
      </c>
      <c r="E152" s="259" t="s">
        <v>54</v>
      </c>
      <c r="F152" s="259" t="s">
        <v>54</v>
      </c>
      <c r="G152" s="259" t="s">
        <v>54</v>
      </c>
      <c r="H152" s="259" t="s">
        <v>54</v>
      </c>
      <c r="I152" s="259" t="s">
        <v>54</v>
      </c>
      <c r="J152" s="259" t="s">
        <v>54</v>
      </c>
      <c r="K152" s="259" t="s">
        <v>54</v>
      </c>
      <c r="L152" s="259" t="s">
        <v>60</v>
      </c>
    </row>
    <row r="153" spans="1:12" x14ac:dyDescent="0.25">
      <c r="A153" s="259" t="s">
        <v>220</v>
      </c>
      <c r="B153" s="260">
        <v>7.71</v>
      </c>
      <c r="C153" s="260">
        <v>1.84</v>
      </c>
      <c r="D153" s="259" t="s">
        <v>54</v>
      </c>
      <c r="E153" s="259" t="s">
        <v>54</v>
      </c>
      <c r="F153" s="260">
        <v>1.84</v>
      </c>
      <c r="G153" s="259" t="s">
        <v>54</v>
      </c>
      <c r="H153" s="259" t="s">
        <v>54</v>
      </c>
      <c r="I153" s="259" t="s">
        <v>54</v>
      </c>
      <c r="J153" s="259" t="s">
        <v>54</v>
      </c>
      <c r="K153" s="259" t="s">
        <v>54</v>
      </c>
      <c r="L153" s="259" t="s">
        <v>89</v>
      </c>
    </row>
    <row r="154" spans="1:12" x14ac:dyDescent="0.25">
      <c r="A154" s="259" t="s">
        <v>221</v>
      </c>
      <c r="B154" s="260">
        <v>2.9</v>
      </c>
      <c r="C154" s="260">
        <v>1.68</v>
      </c>
      <c r="D154" s="260">
        <v>19.89</v>
      </c>
      <c r="E154" s="260">
        <v>34.29</v>
      </c>
      <c r="F154" s="260">
        <v>1.68</v>
      </c>
      <c r="G154" s="260">
        <v>16.23</v>
      </c>
      <c r="H154" s="260">
        <v>0.74</v>
      </c>
      <c r="I154" s="260">
        <v>0.98</v>
      </c>
      <c r="J154" s="260">
        <v>0.8</v>
      </c>
      <c r="K154" s="260">
        <v>-2.66</v>
      </c>
      <c r="L154" s="259" t="s">
        <v>103</v>
      </c>
    </row>
    <row r="155" spans="1:12" hidden="1" x14ac:dyDescent="0.25">
      <c r="A155" s="259" t="s">
        <v>222</v>
      </c>
      <c r="B155" s="260">
        <v>-0.63</v>
      </c>
      <c r="C155" s="260">
        <v>7.0000000000000007E-2</v>
      </c>
      <c r="D155" s="260">
        <v>37.31</v>
      </c>
      <c r="E155" s="260">
        <v>39.450000000000003</v>
      </c>
      <c r="F155" s="260">
        <v>7.0000000000000007E-2</v>
      </c>
      <c r="G155" s="260">
        <v>21.95</v>
      </c>
      <c r="H155" s="260">
        <v>1.3</v>
      </c>
      <c r="I155" s="260">
        <v>2.04</v>
      </c>
      <c r="J155" s="260">
        <v>0.9</v>
      </c>
      <c r="K155" s="260">
        <v>3.32</v>
      </c>
      <c r="L155" s="259" t="s">
        <v>101</v>
      </c>
    </row>
    <row r="156" spans="1:12" x14ac:dyDescent="0.25">
      <c r="A156" s="259" t="s">
        <v>223</v>
      </c>
      <c r="B156" s="260">
        <v>7.58</v>
      </c>
      <c r="C156" s="260">
        <v>7.0000000000000007E-2</v>
      </c>
      <c r="D156" s="259" t="s">
        <v>54</v>
      </c>
      <c r="E156" s="259" t="s">
        <v>54</v>
      </c>
      <c r="F156" s="260">
        <v>7.0000000000000007E-2</v>
      </c>
      <c r="G156" s="259" t="s">
        <v>54</v>
      </c>
      <c r="H156" s="259" t="s">
        <v>54</v>
      </c>
      <c r="I156" s="259" t="s">
        <v>54</v>
      </c>
      <c r="J156" s="259" t="s">
        <v>54</v>
      </c>
      <c r="K156" s="259" t="s">
        <v>54</v>
      </c>
      <c r="L156" s="259" t="s">
        <v>65</v>
      </c>
    </row>
    <row r="157" spans="1:12" x14ac:dyDescent="0.25">
      <c r="A157" s="259" t="s">
        <v>224</v>
      </c>
      <c r="B157" s="259" t="s">
        <v>54</v>
      </c>
      <c r="C157" s="260">
        <v>0.15</v>
      </c>
      <c r="D157" s="259" t="s">
        <v>54</v>
      </c>
      <c r="E157" s="259" t="s">
        <v>54</v>
      </c>
      <c r="F157" s="260">
        <v>0.15</v>
      </c>
      <c r="G157" s="259" t="s">
        <v>54</v>
      </c>
      <c r="H157" s="259" t="s">
        <v>54</v>
      </c>
      <c r="I157" s="259" t="s">
        <v>54</v>
      </c>
      <c r="J157" s="259" t="s">
        <v>54</v>
      </c>
      <c r="K157" s="259" t="s">
        <v>54</v>
      </c>
      <c r="L157" s="259" t="s">
        <v>65</v>
      </c>
    </row>
    <row r="158" spans="1:12" x14ac:dyDescent="0.25">
      <c r="A158" s="259" t="s">
        <v>225</v>
      </c>
      <c r="B158" s="259" t="s">
        <v>54</v>
      </c>
      <c r="C158" s="260">
        <v>0.83</v>
      </c>
      <c r="D158" s="259" t="s">
        <v>54</v>
      </c>
      <c r="E158" s="259" t="s">
        <v>54</v>
      </c>
      <c r="F158" s="260">
        <v>0.83</v>
      </c>
      <c r="G158" s="259" t="s">
        <v>54</v>
      </c>
      <c r="H158" s="259" t="s">
        <v>54</v>
      </c>
      <c r="I158" s="259" t="s">
        <v>54</v>
      </c>
      <c r="J158" s="259" t="s">
        <v>54</v>
      </c>
      <c r="K158" s="259" t="s">
        <v>54</v>
      </c>
      <c r="L158" s="259" t="s">
        <v>65</v>
      </c>
    </row>
    <row r="159" spans="1:12" hidden="1" x14ac:dyDescent="0.25">
      <c r="A159" s="259" t="s">
        <v>226</v>
      </c>
      <c r="B159" s="259" t="s">
        <v>54</v>
      </c>
      <c r="C159" s="260">
        <v>2.1800000000000002</v>
      </c>
      <c r="D159" s="259" t="s">
        <v>54</v>
      </c>
      <c r="E159" s="259" t="s">
        <v>54</v>
      </c>
      <c r="F159" s="260">
        <v>2.1800000000000002</v>
      </c>
      <c r="G159" s="259" t="s">
        <v>54</v>
      </c>
      <c r="H159" s="259" t="s">
        <v>54</v>
      </c>
      <c r="I159" s="259" t="s">
        <v>54</v>
      </c>
      <c r="J159" s="259" t="s">
        <v>54</v>
      </c>
      <c r="K159" s="259" t="s">
        <v>54</v>
      </c>
      <c r="L159" s="259" t="s">
        <v>58</v>
      </c>
    </row>
    <row r="160" spans="1:12" x14ac:dyDescent="0.25">
      <c r="A160" s="259" t="s">
        <v>227</v>
      </c>
      <c r="B160" s="260">
        <v>9.08</v>
      </c>
      <c r="C160" s="260">
        <v>1.9</v>
      </c>
      <c r="D160" s="260">
        <v>13.22</v>
      </c>
      <c r="E160" s="260">
        <v>11.85</v>
      </c>
      <c r="F160" s="260">
        <v>1.9</v>
      </c>
      <c r="G160" s="260">
        <v>6.77</v>
      </c>
      <c r="H160" s="260">
        <v>0.86</v>
      </c>
      <c r="I160" s="260">
        <v>1.73</v>
      </c>
      <c r="J160" s="260">
        <v>0.6</v>
      </c>
      <c r="K160" s="260">
        <v>1.1499999999999999</v>
      </c>
      <c r="L160" s="259" t="s">
        <v>62</v>
      </c>
    </row>
    <row r="161" spans="1:12" x14ac:dyDescent="0.25">
      <c r="A161" s="259" t="s">
        <v>228</v>
      </c>
      <c r="B161" s="260">
        <v>8.4499999999999993</v>
      </c>
      <c r="C161" s="260">
        <v>1.74</v>
      </c>
      <c r="D161" s="260">
        <v>21.47</v>
      </c>
      <c r="E161" s="260">
        <v>22.69</v>
      </c>
      <c r="F161" s="260">
        <v>1.74</v>
      </c>
      <c r="G161" s="260">
        <v>14.97</v>
      </c>
      <c r="H161" s="260">
        <v>0.86</v>
      </c>
      <c r="I161" s="260">
        <v>1.58</v>
      </c>
      <c r="J161" s="260">
        <v>0.98</v>
      </c>
      <c r="K161" s="260">
        <v>1.67</v>
      </c>
      <c r="L161" s="259" t="s">
        <v>55</v>
      </c>
    </row>
    <row r="162" spans="1:12" x14ac:dyDescent="0.25">
      <c r="A162" s="259" t="s">
        <v>229</v>
      </c>
      <c r="B162" s="260">
        <v>9.36</v>
      </c>
      <c r="C162" s="260">
        <v>2.0299999999999998</v>
      </c>
      <c r="D162" s="260">
        <v>21.79</v>
      </c>
      <c r="E162" s="260">
        <v>21.52</v>
      </c>
      <c r="F162" s="260">
        <v>2.0299999999999998</v>
      </c>
      <c r="G162" s="260">
        <v>15.24</v>
      </c>
      <c r="H162" s="260">
        <v>0.88</v>
      </c>
      <c r="I162" s="260">
        <v>1.56</v>
      </c>
      <c r="J162" s="260">
        <v>0.97</v>
      </c>
      <c r="K162" s="260">
        <v>2.21</v>
      </c>
      <c r="L162" s="259" t="s">
        <v>55</v>
      </c>
    </row>
    <row r="163" spans="1:12" x14ac:dyDescent="0.25">
      <c r="A163" s="259" t="s">
        <v>230</v>
      </c>
      <c r="B163" s="260">
        <v>11.94</v>
      </c>
      <c r="C163" s="260">
        <v>1.87</v>
      </c>
      <c r="D163" s="260">
        <v>21.91</v>
      </c>
      <c r="E163" s="260">
        <v>21.48</v>
      </c>
      <c r="F163" s="260">
        <v>1.87</v>
      </c>
      <c r="G163" s="260">
        <v>12.85</v>
      </c>
      <c r="H163" s="260">
        <v>1.03</v>
      </c>
      <c r="I163" s="260">
        <v>1.96</v>
      </c>
      <c r="J163" s="260">
        <v>0.9</v>
      </c>
      <c r="K163" s="260">
        <v>3.96</v>
      </c>
      <c r="L163" s="259" t="s">
        <v>65</v>
      </c>
    </row>
    <row r="164" spans="1:12" x14ac:dyDescent="0.25">
      <c r="A164" s="259" t="s">
        <v>231</v>
      </c>
      <c r="B164" s="260">
        <v>7.37</v>
      </c>
      <c r="C164" s="260">
        <v>1.7</v>
      </c>
      <c r="D164" s="260">
        <v>24.17</v>
      </c>
      <c r="E164" s="260">
        <v>25.6</v>
      </c>
      <c r="F164" s="260">
        <v>1.7</v>
      </c>
      <c r="G164" s="260">
        <v>14.57</v>
      </c>
      <c r="H164" s="260">
        <v>1.06</v>
      </c>
      <c r="I164" s="260">
        <v>1.79</v>
      </c>
      <c r="J164" s="260">
        <v>0.97</v>
      </c>
      <c r="K164" s="260">
        <v>4.76</v>
      </c>
      <c r="L164" s="259" t="s">
        <v>71</v>
      </c>
    </row>
    <row r="165" spans="1:12" x14ac:dyDescent="0.25">
      <c r="A165" s="259" t="s">
        <v>232</v>
      </c>
      <c r="B165" s="260">
        <v>3.99</v>
      </c>
      <c r="C165" s="260">
        <v>1.68</v>
      </c>
      <c r="D165" s="260">
        <v>21.93</v>
      </c>
      <c r="E165" s="260">
        <v>22.6</v>
      </c>
      <c r="F165" s="260">
        <v>1.68</v>
      </c>
      <c r="G165" s="260">
        <v>17.329999999999998</v>
      </c>
      <c r="H165" s="260">
        <v>0.79</v>
      </c>
      <c r="I165" s="260">
        <v>1.21</v>
      </c>
      <c r="J165" s="260">
        <v>0.98</v>
      </c>
      <c r="K165" s="260">
        <v>-4.17</v>
      </c>
      <c r="L165" s="259" t="s">
        <v>84</v>
      </c>
    </row>
    <row r="166" spans="1:12" x14ac:dyDescent="0.25">
      <c r="A166" s="259" t="s">
        <v>233</v>
      </c>
      <c r="B166" s="260">
        <v>13.89</v>
      </c>
      <c r="C166" s="260">
        <v>1.58</v>
      </c>
      <c r="D166" s="259" t="s">
        <v>54</v>
      </c>
      <c r="E166" s="259" t="s">
        <v>54</v>
      </c>
      <c r="F166" s="260">
        <v>1.58</v>
      </c>
      <c r="G166" s="259" t="s">
        <v>54</v>
      </c>
      <c r="H166" s="259" t="s">
        <v>54</v>
      </c>
      <c r="I166" s="259" t="s">
        <v>54</v>
      </c>
      <c r="J166" s="259" t="s">
        <v>54</v>
      </c>
      <c r="K166" s="259" t="s">
        <v>54</v>
      </c>
      <c r="L166" s="259" t="s">
        <v>60</v>
      </c>
    </row>
    <row r="167" spans="1:12" x14ac:dyDescent="0.25">
      <c r="A167" s="259" t="s">
        <v>234</v>
      </c>
      <c r="B167" s="260">
        <v>4.6100000000000003</v>
      </c>
      <c r="C167" s="260">
        <v>1.99</v>
      </c>
      <c r="D167" s="259" t="s">
        <v>54</v>
      </c>
      <c r="E167" s="259" t="s">
        <v>54</v>
      </c>
      <c r="F167" s="260">
        <v>1.99</v>
      </c>
      <c r="G167" s="259" t="s">
        <v>54</v>
      </c>
      <c r="H167" s="259" t="s">
        <v>54</v>
      </c>
      <c r="I167" s="259" t="s">
        <v>54</v>
      </c>
      <c r="J167" s="259" t="s">
        <v>54</v>
      </c>
      <c r="K167" s="259" t="s">
        <v>54</v>
      </c>
      <c r="L167" s="259" t="s">
        <v>89</v>
      </c>
    </row>
    <row r="168" spans="1:12" hidden="1" x14ac:dyDescent="0.25">
      <c r="A168" s="259" t="s">
        <v>235</v>
      </c>
      <c r="B168" s="260">
        <v>-3.74</v>
      </c>
      <c r="C168" s="260">
        <v>2.11</v>
      </c>
      <c r="D168" s="260">
        <v>20.010000000000002</v>
      </c>
      <c r="E168" s="260">
        <v>28.02</v>
      </c>
      <c r="F168" s="260">
        <v>2.11</v>
      </c>
      <c r="G168" s="260">
        <v>18.16</v>
      </c>
      <c r="H168" s="260">
        <v>0.69</v>
      </c>
      <c r="I168" s="260">
        <v>0.99</v>
      </c>
      <c r="J168" s="260">
        <v>0.64</v>
      </c>
      <c r="K168" s="260">
        <v>5.54</v>
      </c>
      <c r="L168" s="259" t="s">
        <v>194</v>
      </c>
    </row>
    <row r="169" spans="1:12" x14ac:dyDescent="0.25">
      <c r="A169" s="259" t="s">
        <v>236</v>
      </c>
      <c r="B169" s="260">
        <v>5.72</v>
      </c>
      <c r="C169" s="260">
        <v>0.2</v>
      </c>
      <c r="D169" s="260">
        <v>20.47</v>
      </c>
      <c r="E169" s="259" t="s">
        <v>54</v>
      </c>
      <c r="F169" s="260">
        <v>0.2</v>
      </c>
      <c r="G169" s="260">
        <v>14.78</v>
      </c>
      <c r="H169" s="260">
        <v>0.83</v>
      </c>
      <c r="I169" s="260">
        <v>1.26</v>
      </c>
      <c r="J169" s="260">
        <v>1.05</v>
      </c>
      <c r="K169" s="260">
        <v>1.5</v>
      </c>
      <c r="L169" s="259" t="s">
        <v>65</v>
      </c>
    </row>
    <row r="170" spans="1:12" x14ac:dyDescent="0.25">
      <c r="A170" s="259" t="s">
        <v>237</v>
      </c>
      <c r="B170" s="260">
        <v>4.97</v>
      </c>
      <c r="C170" s="260">
        <v>0.92</v>
      </c>
      <c r="D170" s="260">
        <v>19.66</v>
      </c>
      <c r="E170" s="260">
        <v>24.84</v>
      </c>
      <c r="F170" s="260">
        <v>0.92</v>
      </c>
      <c r="G170" s="260">
        <v>14.77</v>
      </c>
      <c r="H170" s="260">
        <v>0.78</v>
      </c>
      <c r="I170" s="260">
        <v>1.19</v>
      </c>
      <c r="J170" s="260">
        <v>1.05</v>
      </c>
      <c r="K170" s="260">
        <v>0.82</v>
      </c>
      <c r="L170" s="259" t="s">
        <v>65</v>
      </c>
    </row>
    <row r="171" spans="1:12" x14ac:dyDescent="0.25">
      <c r="A171" s="259" t="s">
        <v>238</v>
      </c>
      <c r="B171" s="260">
        <v>7.8</v>
      </c>
      <c r="C171" s="260">
        <v>0.06</v>
      </c>
      <c r="D171" s="260">
        <v>16.559999999999999</v>
      </c>
      <c r="E171" s="259" t="s">
        <v>54</v>
      </c>
      <c r="F171" s="260">
        <v>0.06</v>
      </c>
      <c r="G171" s="260">
        <v>13.11</v>
      </c>
      <c r="H171" s="260">
        <v>0.69</v>
      </c>
      <c r="I171" s="260">
        <v>1.17</v>
      </c>
      <c r="J171" s="260">
        <v>0.95</v>
      </c>
      <c r="K171" s="260">
        <v>-0.74</v>
      </c>
      <c r="L171" s="259" t="s">
        <v>65</v>
      </c>
    </row>
    <row r="172" spans="1:12" x14ac:dyDescent="0.25">
      <c r="A172" s="259" t="s">
        <v>239</v>
      </c>
      <c r="B172" s="260">
        <v>7.43</v>
      </c>
      <c r="C172" s="260">
        <v>0.36</v>
      </c>
      <c r="D172" s="260">
        <v>16.14</v>
      </c>
      <c r="E172" s="260">
        <v>20.86</v>
      </c>
      <c r="F172" s="260">
        <v>0.36</v>
      </c>
      <c r="G172" s="260">
        <v>13.13</v>
      </c>
      <c r="H172" s="260">
        <v>0.66</v>
      </c>
      <c r="I172" s="260">
        <v>1.1299999999999999</v>
      </c>
      <c r="J172" s="260">
        <v>0.95</v>
      </c>
      <c r="K172" s="260">
        <v>-1.1100000000000001</v>
      </c>
      <c r="L172" s="259" t="s">
        <v>65</v>
      </c>
    </row>
    <row r="173" spans="1:12" x14ac:dyDescent="0.25">
      <c r="A173" s="259" t="s">
        <v>240</v>
      </c>
      <c r="B173" s="260">
        <v>3.43</v>
      </c>
      <c r="C173" s="260">
        <v>0.3</v>
      </c>
      <c r="D173" s="260">
        <v>17.559999999999999</v>
      </c>
      <c r="E173" s="259" t="s">
        <v>54</v>
      </c>
      <c r="F173" s="260">
        <v>0.3</v>
      </c>
      <c r="G173" s="260">
        <v>15.59</v>
      </c>
      <c r="H173" s="260">
        <v>0.65</v>
      </c>
      <c r="I173" s="260">
        <v>1</v>
      </c>
      <c r="J173" s="260">
        <v>0.87</v>
      </c>
      <c r="K173" s="260">
        <v>-5.73</v>
      </c>
      <c r="L173" s="259" t="s">
        <v>84</v>
      </c>
    </row>
    <row r="174" spans="1:12" x14ac:dyDescent="0.25">
      <c r="A174" s="259" t="s">
        <v>241</v>
      </c>
      <c r="B174" s="260">
        <v>2.82</v>
      </c>
      <c r="C174" s="260">
        <v>0.86</v>
      </c>
      <c r="D174" s="259" t="s">
        <v>54</v>
      </c>
      <c r="E174" s="259" t="s">
        <v>54</v>
      </c>
      <c r="F174" s="260">
        <v>0.86</v>
      </c>
      <c r="G174" s="259" t="s">
        <v>54</v>
      </c>
      <c r="H174" s="259" t="s">
        <v>54</v>
      </c>
      <c r="I174" s="259" t="s">
        <v>54</v>
      </c>
      <c r="J174" s="259" t="s">
        <v>54</v>
      </c>
      <c r="K174" s="259" t="s">
        <v>54</v>
      </c>
      <c r="L174" s="259" t="s">
        <v>84</v>
      </c>
    </row>
    <row r="175" spans="1:12" x14ac:dyDescent="0.25">
      <c r="A175" s="259" t="s">
        <v>242</v>
      </c>
      <c r="B175" s="260">
        <v>-3.86</v>
      </c>
      <c r="C175" s="260">
        <v>0.61</v>
      </c>
      <c r="D175" s="260">
        <v>21.45</v>
      </c>
      <c r="E175" s="260">
        <v>22</v>
      </c>
      <c r="F175" s="260">
        <v>0.61</v>
      </c>
      <c r="G175" s="260">
        <v>19.54</v>
      </c>
      <c r="H175" s="260">
        <v>0.7</v>
      </c>
      <c r="I175" s="260">
        <v>1.04</v>
      </c>
      <c r="J175" s="260">
        <v>1.3</v>
      </c>
      <c r="K175" s="260">
        <v>0.28000000000000003</v>
      </c>
      <c r="L175" s="259" t="s">
        <v>65</v>
      </c>
    </row>
    <row r="176" spans="1:12" x14ac:dyDescent="0.25">
      <c r="A176" s="259" t="s">
        <v>243</v>
      </c>
      <c r="B176" s="260">
        <v>3.67</v>
      </c>
      <c r="C176" s="260">
        <v>0.98</v>
      </c>
      <c r="D176" s="259" t="s">
        <v>54</v>
      </c>
      <c r="E176" s="259" t="s">
        <v>54</v>
      </c>
      <c r="F176" s="260">
        <v>0.98</v>
      </c>
      <c r="G176" s="259" t="s">
        <v>54</v>
      </c>
      <c r="H176" s="259" t="s">
        <v>54</v>
      </c>
      <c r="I176" s="259" t="s">
        <v>54</v>
      </c>
      <c r="J176" s="259" t="s">
        <v>54</v>
      </c>
      <c r="K176" s="259" t="s">
        <v>54</v>
      </c>
      <c r="L176" s="259" t="s">
        <v>103</v>
      </c>
    </row>
    <row r="177" spans="1:12" x14ac:dyDescent="0.25">
      <c r="A177" s="259" t="s">
        <v>244</v>
      </c>
      <c r="B177" s="259" t="s">
        <v>54</v>
      </c>
      <c r="C177" s="260">
        <v>0.15</v>
      </c>
      <c r="D177" s="259" t="s">
        <v>54</v>
      </c>
      <c r="E177" s="259" t="s">
        <v>54</v>
      </c>
      <c r="F177" s="260">
        <v>0.15</v>
      </c>
      <c r="G177" s="259" t="s">
        <v>54</v>
      </c>
      <c r="H177" s="259" t="s">
        <v>54</v>
      </c>
      <c r="I177" s="259" t="s">
        <v>54</v>
      </c>
      <c r="J177" s="259" t="s">
        <v>54</v>
      </c>
      <c r="K177" s="259" t="s">
        <v>54</v>
      </c>
      <c r="L177" s="259" t="s">
        <v>65</v>
      </c>
    </row>
    <row r="178" spans="1:12" x14ac:dyDescent="0.25">
      <c r="A178" s="259" t="s">
        <v>245</v>
      </c>
      <c r="B178" s="259" t="s">
        <v>54</v>
      </c>
      <c r="C178" s="260">
        <v>0.94</v>
      </c>
      <c r="D178" s="259" t="s">
        <v>54</v>
      </c>
      <c r="E178" s="259" t="s">
        <v>54</v>
      </c>
      <c r="F178" s="260">
        <v>0.94</v>
      </c>
      <c r="G178" s="259" t="s">
        <v>54</v>
      </c>
      <c r="H178" s="259" t="s">
        <v>54</v>
      </c>
      <c r="I178" s="259" t="s">
        <v>54</v>
      </c>
      <c r="J178" s="259" t="s">
        <v>54</v>
      </c>
      <c r="K178" s="259" t="s">
        <v>54</v>
      </c>
      <c r="L178" s="259" t="s">
        <v>65</v>
      </c>
    </row>
    <row r="179" spans="1:12" hidden="1" x14ac:dyDescent="0.25">
      <c r="A179" s="259" t="s">
        <v>246</v>
      </c>
      <c r="B179" s="260">
        <v>4</v>
      </c>
      <c r="C179" s="260">
        <v>1.28</v>
      </c>
      <c r="D179" s="260">
        <v>13.47</v>
      </c>
      <c r="E179" s="260">
        <v>17.13</v>
      </c>
      <c r="F179" s="260">
        <v>1.28</v>
      </c>
      <c r="G179" s="260">
        <v>14.11</v>
      </c>
      <c r="H179" s="260">
        <v>0.39</v>
      </c>
      <c r="I179" s="260">
        <v>0.67</v>
      </c>
      <c r="J179" s="260">
        <v>0.92</v>
      </c>
      <c r="K179" s="260">
        <v>-5.12</v>
      </c>
      <c r="L179" s="259" t="s">
        <v>58</v>
      </c>
    </row>
    <row r="180" spans="1:12" x14ac:dyDescent="0.25">
      <c r="A180" s="259" t="s">
        <v>247</v>
      </c>
      <c r="B180" s="260">
        <v>11.19</v>
      </c>
      <c r="C180" s="260">
        <v>1.71</v>
      </c>
      <c r="D180" s="260">
        <v>24.21</v>
      </c>
      <c r="E180" s="260">
        <v>33.56</v>
      </c>
      <c r="F180" s="260">
        <v>1.71</v>
      </c>
      <c r="G180" s="260">
        <v>19.32</v>
      </c>
      <c r="H180" s="260">
        <v>0.83</v>
      </c>
      <c r="I180" s="260">
        <v>1.29</v>
      </c>
      <c r="J180" s="260">
        <v>0.94</v>
      </c>
      <c r="K180" s="260">
        <v>-1.1499999999999999</v>
      </c>
      <c r="L180" s="259" t="s">
        <v>103</v>
      </c>
    </row>
    <row r="181" spans="1:12" x14ac:dyDescent="0.25">
      <c r="A181" s="259" t="s">
        <v>248</v>
      </c>
      <c r="B181" s="260">
        <v>4.9800000000000004</v>
      </c>
      <c r="C181" s="260">
        <v>1.68</v>
      </c>
      <c r="D181" s="260">
        <v>13.89</v>
      </c>
      <c r="E181" s="260">
        <v>15.54</v>
      </c>
      <c r="F181" s="260">
        <v>1.68</v>
      </c>
      <c r="G181" s="260">
        <v>8.56</v>
      </c>
      <c r="H181" s="260">
        <v>0.76</v>
      </c>
      <c r="I181" s="260">
        <v>1.1399999999999999</v>
      </c>
      <c r="J181" s="260">
        <v>0.81</v>
      </c>
      <c r="K181" s="260">
        <v>0.09</v>
      </c>
      <c r="L181" s="259" t="s">
        <v>62</v>
      </c>
    </row>
    <row r="182" spans="1:12" hidden="1" x14ac:dyDescent="0.25">
      <c r="A182" s="259" t="s">
        <v>249</v>
      </c>
      <c r="B182" s="259" t="s">
        <v>54</v>
      </c>
      <c r="C182" s="260">
        <v>0.25</v>
      </c>
      <c r="D182" s="259" t="s">
        <v>54</v>
      </c>
      <c r="E182" s="259" t="s">
        <v>54</v>
      </c>
      <c r="F182" s="260">
        <v>0.25</v>
      </c>
      <c r="G182" s="259" t="s">
        <v>54</v>
      </c>
      <c r="H182" s="259" t="s">
        <v>54</v>
      </c>
      <c r="I182" s="259" t="s">
        <v>54</v>
      </c>
      <c r="J182" s="259" t="s">
        <v>54</v>
      </c>
      <c r="K182" s="259" t="s">
        <v>54</v>
      </c>
      <c r="L182" s="259" t="s">
        <v>58</v>
      </c>
    </row>
    <row r="183" spans="1:12" hidden="1" x14ac:dyDescent="0.25">
      <c r="A183" s="259" t="s">
        <v>250</v>
      </c>
      <c r="B183" s="259" t="s">
        <v>54</v>
      </c>
      <c r="C183" s="260">
        <v>1.0900000000000001</v>
      </c>
      <c r="D183" s="259" t="s">
        <v>54</v>
      </c>
      <c r="E183" s="259" t="s">
        <v>54</v>
      </c>
      <c r="F183" s="260">
        <v>1.0900000000000001</v>
      </c>
      <c r="G183" s="259" t="s">
        <v>54</v>
      </c>
      <c r="H183" s="259" t="s">
        <v>54</v>
      </c>
      <c r="I183" s="259" t="s">
        <v>54</v>
      </c>
      <c r="J183" s="259" t="s">
        <v>54</v>
      </c>
      <c r="K183" s="259" t="s">
        <v>54</v>
      </c>
      <c r="L183" s="259" t="s">
        <v>58</v>
      </c>
    </row>
    <row r="184" spans="1:12" hidden="1" x14ac:dyDescent="0.25">
      <c r="A184" s="259" t="s">
        <v>251</v>
      </c>
      <c r="B184" s="259" t="s">
        <v>54</v>
      </c>
      <c r="C184" s="260">
        <v>2.02</v>
      </c>
      <c r="D184" s="259" t="s">
        <v>54</v>
      </c>
      <c r="E184" s="259" t="s">
        <v>54</v>
      </c>
      <c r="F184" s="260">
        <v>2.02</v>
      </c>
      <c r="G184" s="259" t="s">
        <v>54</v>
      </c>
      <c r="H184" s="259" t="s">
        <v>54</v>
      </c>
      <c r="I184" s="259" t="s">
        <v>54</v>
      </c>
      <c r="J184" s="259" t="s">
        <v>54</v>
      </c>
      <c r="K184" s="259" t="s">
        <v>54</v>
      </c>
      <c r="L184" s="259" t="s">
        <v>58</v>
      </c>
    </row>
    <row r="185" spans="1:12" hidden="1" x14ac:dyDescent="0.25">
      <c r="A185" s="259" t="s">
        <v>252</v>
      </c>
      <c r="B185" s="259" t="s">
        <v>54</v>
      </c>
      <c r="C185" s="260">
        <v>2.38</v>
      </c>
      <c r="D185" s="259" t="s">
        <v>54</v>
      </c>
      <c r="E185" s="259" t="s">
        <v>54</v>
      </c>
      <c r="F185" s="260">
        <v>2.38</v>
      </c>
      <c r="G185" s="259" t="s">
        <v>54</v>
      </c>
      <c r="H185" s="259" t="s">
        <v>54</v>
      </c>
      <c r="I185" s="259" t="s">
        <v>54</v>
      </c>
      <c r="J185" s="259" t="s">
        <v>54</v>
      </c>
      <c r="K185" s="259" t="s">
        <v>54</v>
      </c>
      <c r="L185" s="259" t="s">
        <v>81</v>
      </c>
    </row>
    <row r="186" spans="1:12" x14ac:dyDescent="0.25">
      <c r="A186" s="259" t="s">
        <v>253</v>
      </c>
      <c r="B186" s="260">
        <v>5.31</v>
      </c>
      <c r="C186" s="260">
        <v>1.93</v>
      </c>
      <c r="D186" s="260">
        <v>21.75</v>
      </c>
      <c r="E186" s="260">
        <v>24.81</v>
      </c>
      <c r="F186" s="260">
        <v>1.93</v>
      </c>
      <c r="G186" s="260">
        <v>14.47</v>
      </c>
      <c r="H186" s="260">
        <v>0.91</v>
      </c>
      <c r="I186" s="260">
        <v>1.32</v>
      </c>
      <c r="J186" s="260">
        <v>0.97</v>
      </c>
      <c r="K186" s="260">
        <v>1.92</v>
      </c>
      <c r="L186" s="259" t="s">
        <v>55</v>
      </c>
    </row>
    <row r="187" spans="1:12" x14ac:dyDescent="0.25">
      <c r="A187" s="259" t="s">
        <v>254</v>
      </c>
      <c r="B187" s="260">
        <v>5.39</v>
      </c>
      <c r="C187" s="260">
        <v>2.21</v>
      </c>
      <c r="D187" s="259" t="s">
        <v>54</v>
      </c>
      <c r="E187" s="259" t="s">
        <v>54</v>
      </c>
      <c r="F187" s="260">
        <v>2.21</v>
      </c>
      <c r="G187" s="259" t="s">
        <v>54</v>
      </c>
      <c r="H187" s="259" t="s">
        <v>54</v>
      </c>
      <c r="I187" s="259" t="s">
        <v>54</v>
      </c>
      <c r="J187" s="259" t="s">
        <v>54</v>
      </c>
      <c r="K187" s="259" t="s">
        <v>54</v>
      </c>
      <c r="L187" s="259" t="s">
        <v>55</v>
      </c>
    </row>
    <row r="188" spans="1:12" x14ac:dyDescent="0.25">
      <c r="A188" s="259" t="s">
        <v>255</v>
      </c>
      <c r="B188" s="260">
        <v>4.78</v>
      </c>
      <c r="C188" s="260">
        <v>2.4</v>
      </c>
      <c r="D188" s="260">
        <v>18.579999999999998</v>
      </c>
      <c r="E188" s="260">
        <v>21.22</v>
      </c>
      <c r="F188" s="260">
        <v>2.4</v>
      </c>
      <c r="G188" s="260">
        <v>13.04</v>
      </c>
      <c r="H188" s="260">
        <v>0.83</v>
      </c>
      <c r="I188" s="260">
        <v>1.35</v>
      </c>
      <c r="J188" s="260">
        <v>0.94</v>
      </c>
      <c r="K188" s="260">
        <v>1.1299999999999999</v>
      </c>
      <c r="L188" s="259" t="s">
        <v>65</v>
      </c>
    </row>
    <row r="189" spans="1:12" x14ac:dyDescent="0.25">
      <c r="A189" s="259" t="s">
        <v>256</v>
      </c>
      <c r="B189" s="260">
        <v>4.78</v>
      </c>
      <c r="C189" s="260">
        <v>2.4</v>
      </c>
      <c r="D189" s="260">
        <v>18.579999999999998</v>
      </c>
      <c r="E189" s="260">
        <v>21.22</v>
      </c>
      <c r="F189" s="260">
        <v>2.4</v>
      </c>
      <c r="G189" s="260">
        <v>13.04</v>
      </c>
      <c r="H189" s="260">
        <v>0.83</v>
      </c>
      <c r="I189" s="260">
        <v>1.35</v>
      </c>
      <c r="J189" s="260">
        <v>0.94</v>
      </c>
      <c r="K189" s="260">
        <v>1.1299999999999999</v>
      </c>
      <c r="L189" s="259" t="s">
        <v>65</v>
      </c>
    </row>
    <row r="190" spans="1:12" x14ac:dyDescent="0.25">
      <c r="A190" s="259" t="s">
        <v>257</v>
      </c>
      <c r="B190" s="260">
        <v>4.78</v>
      </c>
      <c r="C190" s="260">
        <v>2.12</v>
      </c>
      <c r="D190" s="260">
        <v>18.559999999999999</v>
      </c>
      <c r="E190" s="260">
        <v>21.19</v>
      </c>
      <c r="F190" s="260">
        <v>2.12</v>
      </c>
      <c r="G190" s="260">
        <v>13.04</v>
      </c>
      <c r="H190" s="260">
        <v>0.83</v>
      </c>
      <c r="I190" s="260">
        <v>1.34</v>
      </c>
      <c r="J190" s="260">
        <v>0.94</v>
      </c>
      <c r="K190" s="260">
        <v>1.1000000000000001</v>
      </c>
      <c r="L190" s="259" t="s">
        <v>65</v>
      </c>
    </row>
    <row r="191" spans="1:12" x14ac:dyDescent="0.25">
      <c r="A191" s="259" t="s">
        <v>258</v>
      </c>
      <c r="B191" s="260">
        <v>7.94</v>
      </c>
      <c r="C191" s="260">
        <v>1.86</v>
      </c>
      <c r="D191" s="260">
        <v>21.73</v>
      </c>
      <c r="E191" s="260">
        <v>25.24</v>
      </c>
      <c r="F191" s="260">
        <v>1.86</v>
      </c>
      <c r="G191" s="260">
        <v>14.81</v>
      </c>
      <c r="H191" s="260">
        <v>0.88</v>
      </c>
      <c r="I191" s="260">
        <v>1.23</v>
      </c>
      <c r="J191" s="260">
        <v>0.99</v>
      </c>
      <c r="K191" s="260">
        <v>2.12</v>
      </c>
      <c r="L191" s="259" t="s">
        <v>71</v>
      </c>
    </row>
    <row r="192" spans="1:12" x14ac:dyDescent="0.25">
      <c r="A192" s="259" t="s">
        <v>259</v>
      </c>
      <c r="B192" s="260">
        <v>13.7</v>
      </c>
      <c r="C192" s="260">
        <v>1.7</v>
      </c>
      <c r="D192" s="260">
        <v>29.58</v>
      </c>
      <c r="E192" s="260">
        <v>33.57</v>
      </c>
      <c r="F192" s="260">
        <v>1.7</v>
      </c>
      <c r="G192" s="260">
        <v>16.63</v>
      </c>
      <c r="H192" s="260">
        <v>1.17</v>
      </c>
      <c r="I192" s="260">
        <v>1.58</v>
      </c>
      <c r="J192" s="260">
        <v>0.95</v>
      </c>
      <c r="K192" s="260">
        <v>2.35</v>
      </c>
      <c r="L192" s="259" t="s">
        <v>84</v>
      </c>
    </row>
    <row r="193" spans="1:12" x14ac:dyDescent="0.25">
      <c r="A193" s="259" t="s">
        <v>260</v>
      </c>
      <c r="B193" s="260">
        <v>8.7100000000000009</v>
      </c>
      <c r="C193" s="260">
        <v>0.72</v>
      </c>
      <c r="D193" s="259" t="s">
        <v>54</v>
      </c>
      <c r="E193" s="259" t="s">
        <v>54</v>
      </c>
      <c r="F193" s="260">
        <v>0.72</v>
      </c>
      <c r="G193" s="259" t="s">
        <v>54</v>
      </c>
      <c r="H193" s="259" t="s">
        <v>54</v>
      </c>
      <c r="I193" s="259" t="s">
        <v>54</v>
      </c>
      <c r="J193" s="259" t="s">
        <v>54</v>
      </c>
      <c r="K193" s="259" t="s">
        <v>54</v>
      </c>
      <c r="L193" s="259" t="s">
        <v>60</v>
      </c>
    </row>
    <row r="194" spans="1:12" x14ac:dyDescent="0.25">
      <c r="A194" s="259" t="s">
        <v>261</v>
      </c>
      <c r="B194" s="260">
        <v>6.93</v>
      </c>
      <c r="C194" s="260">
        <v>1.92</v>
      </c>
      <c r="D194" s="259" t="s">
        <v>54</v>
      </c>
      <c r="E194" s="259" t="s">
        <v>54</v>
      </c>
      <c r="F194" s="260">
        <v>1.92</v>
      </c>
      <c r="G194" s="259" t="s">
        <v>54</v>
      </c>
      <c r="H194" s="259" t="s">
        <v>54</v>
      </c>
      <c r="I194" s="259" t="s">
        <v>54</v>
      </c>
      <c r="J194" s="259" t="s">
        <v>54</v>
      </c>
      <c r="K194" s="259" t="s">
        <v>54</v>
      </c>
      <c r="L194" s="259" t="s">
        <v>89</v>
      </c>
    </row>
    <row r="195" spans="1:12" x14ac:dyDescent="0.25">
      <c r="A195" s="259" t="s">
        <v>262</v>
      </c>
      <c r="B195" s="260">
        <v>0.3</v>
      </c>
      <c r="C195" s="260">
        <v>0.85</v>
      </c>
      <c r="D195" s="260">
        <v>17.149999999999999</v>
      </c>
      <c r="E195" s="259" t="s">
        <v>54</v>
      </c>
      <c r="F195" s="260">
        <v>0.85</v>
      </c>
      <c r="G195" s="260">
        <v>14.51</v>
      </c>
      <c r="H195" s="260">
        <v>0.64</v>
      </c>
      <c r="I195" s="260">
        <v>0.86</v>
      </c>
      <c r="J195" s="260">
        <v>0.98</v>
      </c>
      <c r="K195" s="260">
        <v>-0.88</v>
      </c>
      <c r="L195" s="259" t="s">
        <v>65</v>
      </c>
    </row>
    <row r="196" spans="1:12" x14ac:dyDescent="0.25">
      <c r="A196" s="259" t="s">
        <v>263</v>
      </c>
      <c r="B196" s="259" t="s">
        <v>54</v>
      </c>
      <c r="C196" s="260">
        <v>0.3</v>
      </c>
      <c r="D196" s="259" t="s">
        <v>54</v>
      </c>
      <c r="E196" s="259" t="s">
        <v>54</v>
      </c>
      <c r="F196" s="260">
        <v>0.3</v>
      </c>
      <c r="G196" s="259" t="s">
        <v>54</v>
      </c>
      <c r="H196" s="259" t="s">
        <v>54</v>
      </c>
      <c r="I196" s="259" t="s">
        <v>54</v>
      </c>
      <c r="J196" s="259" t="s">
        <v>54</v>
      </c>
      <c r="K196" s="259" t="s">
        <v>54</v>
      </c>
      <c r="L196" s="259" t="s">
        <v>89</v>
      </c>
    </row>
    <row r="197" spans="1:12" x14ac:dyDescent="0.25">
      <c r="A197" s="259" t="s">
        <v>264</v>
      </c>
      <c r="B197" s="259" t="s">
        <v>54</v>
      </c>
      <c r="C197" s="260">
        <v>1.02</v>
      </c>
      <c r="D197" s="259" t="s">
        <v>54</v>
      </c>
      <c r="E197" s="259" t="s">
        <v>54</v>
      </c>
      <c r="F197" s="260">
        <v>1.02</v>
      </c>
      <c r="G197" s="259" t="s">
        <v>54</v>
      </c>
      <c r="H197" s="259" t="s">
        <v>54</v>
      </c>
      <c r="I197" s="259" t="s">
        <v>54</v>
      </c>
      <c r="J197" s="259" t="s">
        <v>54</v>
      </c>
      <c r="K197" s="259" t="s">
        <v>54</v>
      </c>
      <c r="L197" s="259" t="s">
        <v>89</v>
      </c>
    </row>
    <row r="198" spans="1:12" x14ac:dyDescent="0.25">
      <c r="A198" s="259" t="s">
        <v>265</v>
      </c>
      <c r="B198" s="260">
        <v>7.16</v>
      </c>
      <c r="C198" s="260">
        <v>0.5</v>
      </c>
      <c r="D198" s="260">
        <v>15.76</v>
      </c>
      <c r="E198" s="259" t="s">
        <v>54</v>
      </c>
      <c r="F198" s="260">
        <v>0.5</v>
      </c>
      <c r="G198" s="260">
        <v>13.09</v>
      </c>
      <c r="H198" s="260">
        <v>0.63</v>
      </c>
      <c r="I198" s="260">
        <v>1.08</v>
      </c>
      <c r="J198" s="260">
        <v>0.94</v>
      </c>
      <c r="K198" s="260">
        <v>-1.43</v>
      </c>
      <c r="L198" s="259" t="s">
        <v>65</v>
      </c>
    </row>
    <row r="199" spans="1:12" x14ac:dyDescent="0.25">
      <c r="A199" s="259" t="s">
        <v>266</v>
      </c>
      <c r="B199" s="260">
        <v>-4.25</v>
      </c>
      <c r="C199" s="260">
        <v>1.1000000000000001</v>
      </c>
      <c r="D199" s="259" t="s">
        <v>54</v>
      </c>
      <c r="E199" s="259" t="s">
        <v>54</v>
      </c>
      <c r="F199" s="260">
        <v>1.1000000000000001</v>
      </c>
      <c r="G199" s="259" t="s">
        <v>54</v>
      </c>
      <c r="H199" s="259" t="s">
        <v>54</v>
      </c>
      <c r="I199" s="259" t="s">
        <v>54</v>
      </c>
      <c r="J199" s="259" t="s">
        <v>54</v>
      </c>
      <c r="K199" s="259" t="s">
        <v>54</v>
      </c>
      <c r="L199" s="259" t="s">
        <v>71</v>
      </c>
    </row>
    <row r="200" spans="1:12" x14ac:dyDescent="0.25">
      <c r="A200" s="259" t="s">
        <v>267</v>
      </c>
      <c r="B200" s="260">
        <v>5.33</v>
      </c>
      <c r="C200" s="260">
        <v>0.9</v>
      </c>
      <c r="D200" s="260">
        <v>21.5</v>
      </c>
      <c r="E200" s="259" t="s">
        <v>54</v>
      </c>
      <c r="F200" s="260">
        <v>0.9</v>
      </c>
      <c r="G200" s="260">
        <v>14.9</v>
      </c>
      <c r="H200" s="260">
        <v>0.89</v>
      </c>
      <c r="I200" s="260">
        <v>1.33</v>
      </c>
      <c r="J200" s="260">
        <v>1.03</v>
      </c>
      <c r="K200" s="260">
        <v>1.94</v>
      </c>
      <c r="L200" s="259" t="s">
        <v>71</v>
      </c>
    </row>
    <row r="201" spans="1:12" x14ac:dyDescent="0.25">
      <c r="A201" s="259" t="s">
        <v>268</v>
      </c>
      <c r="B201" s="260">
        <v>-0.37</v>
      </c>
      <c r="C201" s="260">
        <v>1.1000000000000001</v>
      </c>
      <c r="D201" s="259" t="s">
        <v>54</v>
      </c>
      <c r="E201" s="259" t="s">
        <v>54</v>
      </c>
      <c r="F201" s="260">
        <v>1.1000000000000001</v>
      </c>
      <c r="G201" s="259" t="s">
        <v>54</v>
      </c>
      <c r="H201" s="259" t="s">
        <v>54</v>
      </c>
      <c r="I201" s="259" t="s">
        <v>54</v>
      </c>
      <c r="J201" s="259" t="s">
        <v>54</v>
      </c>
      <c r="K201" s="259" t="s">
        <v>54</v>
      </c>
      <c r="L201" s="259" t="s">
        <v>84</v>
      </c>
    </row>
    <row r="202" spans="1:12" x14ac:dyDescent="0.25">
      <c r="A202" s="259" t="s">
        <v>269</v>
      </c>
      <c r="B202" s="260">
        <v>-4.21</v>
      </c>
      <c r="C202" s="260">
        <v>0.75</v>
      </c>
      <c r="D202" s="259" t="s">
        <v>54</v>
      </c>
      <c r="E202" s="259" t="s">
        <v>54</v>
      </c>
      <c r="F202" s="260">
        <v>0.75</v>
      </c>
      <c r="G202" s="259" t="s">
        <v>54</v>
      </c>
      <c r="H202" s="259" t="s">
        <v>54</v>
      </c>
      <c r="I202" s="259" t="s">
        <v>54</v>
      </c>
      <c r="J202" s="259" t="s">
        <v>54</v>
      </c>
      <c r="K202" s="259" t="s">
        <v>54</v>
      </c>
      <c r="L202" s="259" t="s">
        <v>65</v>
      </c>
    </row>
    <row r="203" spans="1:12" x14ac:dyDescent="0.25">
      <c r="A203" s="259" t="s">
        <v>270</v>
      </c>
      <c r="B203" s="260">
        <v>3.64</v>
      </c>
      <c r="C203" s="260">
        <v>0.78</v>
      </c>
      <c r="D203" s="259" t="s">
        <v>54</v>
      </c>
      <c r="E203" s="259" t="s">
        <v>54</v>
      </c>
      <c r="F203" s="260">
        <v>0.78</v>
      </c>
      <c r="G203" s="259" t="s">
        <v>54</v>
      </c>
      <c r="H203" s="259" t="s">
        <v>54</v>
      </c>
      <c r="I203" s="259" t="s">
        <v>54</v>
      </c>
      <c r="J203" s="259" t="s">
        <v>54</v>
      </c>
      <c r="K203" s="259" t="s">
        <v>54</v>
      </c>
      <c r="L203" s="259" t="s">
        <v>103</v>
      </c>
    </row>
    <row r="204" spans="1:12" hidden="1" x14ac:dyDescent="0.25">
      <c r="A204" s="259" t="s">
        <v>271</v>
      </c>
      <c r="B204" s="260">
        <v>3.03</v>
      </c>
      <c r="C204" s="260">
        <v>2.29</v>
      </c>
      <c r="D204" s="260">
        <v>15.32</v>
      </c>
      <c r="E204" s="260">
        <v>22.04</v>
      </c>
      <c r="F204" s="260">
        <v>2.29</v>
      </c>
      <c r="G204" s="260">
        <v>18.53</v>
      </c>
      <c r="H204" s="260">
        <v>0.5</v>
      </c>
      <c r="I204" s="260">
        <v>0.69</v>
      </c>
      <c r="J204" s="260">
        <v>0.99</v>
      </c>
      <c r="K204" s="260">
        <v>-2.2200000000000002</v>
      </c>
      <c r="L204" s="259" t="s">
        <v>58</v>
      </c>
    </row>
    <row r="205" spans="1:12" x14ac:dyDescent="0.25">
      <c r="A205" s="259" t="s">
        <v>272</v>
      </c>
      <c r="B205" s="260">
        <v>5.0999999999999996</v>
      </c>
      <c r="C205" s="260">
        <v>1.83</v>
      </c>
      <c r="D205" s="260">
        <v>24.91</v>
      </c>
      <c r="E205" s="260">
        <v>34.619999999999997</v>
      </c>
      <c r="F205" s="260">
        <v>1.83</v>
      </c>
      <c r="G205" s="260">
        <v>16.79</v>
      </c>
      <c r="H205" s="260">
        <v>0.95</v>
      </c>
      <c r="I205" s="260">
        <v>1.34</v>
      </c>
      <c r="J205" s="260">
        <v>0.83</v>
      </c>
      <c r="K205" s="260">
        <v>0.76</v>
      </c>
      <c r="L205" s="259" t="s">
        <v>103</v>
      </c>
    </row>
    <row r="206" spans="1:12" x14ac:dyDescent="0.25">
      <c r="A206" s="259" t="s">
        <v>273</v>
      </c>
      <c r="B206" s="260">
        <v>7.46</v>
      </c>
      <c r="C206" s="260">
        <v>1.94</v>
      </c>
      <c r="D206" s="259" t="s">
        <v>54</v>
      </c>
      <c r="E206" s="259" t="s">
        <v>54</v>
      </c>
      <c r="F206" s="260">
        <v>1.94</v>
      </c>
      <c r="G206" s="259" t="s">
        <v>54</v>
      </c>
      <c r="H206" s="259" t="s">
        <v>54</v>
      </c>
      <c r="I206" s="259" t="s">
        <v>54</v>
      </c>
      <c r="J206" s="259" t="s">
        <v>54</v>
      </c>
      <c r="K206" s="259" t="s">
        <v>54</v>
      </c>
      <c r="L206" s="259" t="s">
        <v>62</v>
      </c>
    </row>
    <row r="207" spans="1:12" x14ac:dyDescent="0.25">
      <c r="A207" s="259" t="s">
        <v>274</v>
      </c>
      <c r="B207" s="260">
        <v>8.2899999999999991</v>
      </c>
      <c r="C207" s="260">
        <v>1.84</v>
      </c>
      <c r="D207" s="260">
        <v>16.190000000000001</v>
      </c>
      <c r="E207" s="260">
        <v>20.29</v>
      </c>
      <c r="F207" s="260">
        <v>1.84</v>
      </c>
      <c r="G207" s="260">
        <v>12.8</v>
      </c>
      <c r="H207" s="260">
        <v>0.65</v>
      </c>
      <c r="I207" s="260">
        <v>1</v>
      </c>
      <c r="J207" s="260">
        <v>0.91</v>
      </c>
      <c r="K207" s="260">
        <v>-1.03</v>
      </c>
      <c r="L207" s="259" t="s">
        <v>65</v>
      </c>
    </row>
    <row r="208" spans="1:12" x14ac:dyDescent="0.25">
      <c r="A208" s="259" t="s">
        <v>275</v>
      </c>
      <c r="B208" s="260">
        <v>8.0500000000000007</v>
      </c>
      <c r="C208" s="260">
        <v>2.0099999999999998</v>
      </c>
      <c r="D208" s="260">
        <v>15.69</v>
      </c>
      <c r="E208" s="260">
        <v>19.87</v>
      </c>
      <c r="F208" s="260">
        <v>2.0099999999999998</v>
      </c>
      <c r="G208" s="260">
        <v>7.14</v>
      </c>
      <c r="H208" s="260">
        <v>1.1200000000000001</v>
      </c>
      <c r="I208" s="260">
        <v>1.64</v>
      </c>
      <c r="J208" s="260">
        <v>0.66</v>
      </c>
      <c r="K208" s="260">
        <v>2.84</v>
      </c>
      <c r="L208" s="259" t="s">
        <v>62</v>
      </c>
    </row>
    <row r="209" spans="1:12" x14ac:dyDescent="0.25">
      <c r="A209" s="259" t="s">
        <v>276</v>
      </c>
      <c r="B209" s="260">
        <v>10.61</v>
      </c>
      <c r="C209" s="260">
        <v>2.02</v>
      </c>
      <c r="D209" s="260">
        <v>18.920000000000002</v>
      </c>
      <c r="E209" s="260">
        <v>24.77</v>
      </c>
      <c r="F209" s="260">
        <v>2.02</v>
      </c>
      <c r="G209" s="260">
        <v>14.1</v>
      </c>
      <c r="H209" s="260">
        <v>0.74</v>
      </c>
      <c r="I209" s="260">
        <v>1.1100000000000001</v>
      </c>
      <c r="J209" s="260">
        <v>0.95</v>
      </c>
      <c r="K209" s="260">
        <v>-0.01</v>
      </c>
      <c r="L209" s="259" t="s">
        <v>71</v>
      </c>
    </row>
    <row r="210" spans="1:12" x14ac:dyDescent="0.25">
      <c r="A210" s="259" t="s">
        <v>277</v>
      </c>
      <c r="B210" s="260">
        <v>8.11</v>
      </c>
      <c r="C210" s="260">
        <v>1.7</v>
      </c>
      <c r="D210" s="260">
        <v>22.64</v>
      </c>
      <c r="E210" s="260">
        <v>26.81</v>
      </c>
      <c r="F210" s="260">
        <v>1.7</v>
      </c>
      <c r="G210" s="260">
        <v>13.6</v>
      </c>
      <c r="H210" s="260">
        <v>1.03</v>
      </c>
      <c r="I210" s="260">
        <v>1.52</v>
      </c>
      <c r="J210" s="260">
        <v>0.92</v>
      </c>
      <c r="K210" s="260">
        <v>3.47</v>
      </c>
      <c r="L210" s="259" t="s">
        <v>55</v>
      </c>
    </row>
    <row r="211" spans="1:12" x14ac:dyDescent="0.25">
      <c r="A211" s="259" t="s">
        <v>278</v>
      </c>
      <c r="B211" s="260">
        <v>3.93</v>
      </c>
      <c r="C211" s="260">
        <v>1.76</v>
      </c>
      <c r="D211" s="260">
        <v>20.07</v>
      </c>
      <c r="E211" s="260">
        <v>24.82</v>
      </c>
      <c r="F211" s="260">
        <v>1.76</v>
      </c>
      <c r="G211" s="260">
        <v>13.24</v>
      </c>
      <c r="H211" s="260">
        <v>0.92</v>
      </c>
      <c r="I211" s="260">
        <v>1.43</v>
      </c>
      <c r="J211" s="260">
        <v>0.87</v>
      </c>
      <c r="K211" s="260">
        <v>2.09</v>
      </c>
      <c r="L211" s="259" t="s">
        <v>55</v>
      </c>
    </row>
    <row r="212" spans="1:12" x14ac:dyDescent="0.25">
      <c r="A212" s="259" t="s">
        <v>279</v>
      </c>
      <c r="B212" s="260">
        <v>14.77</v>
      </c>
      <c r="C212" s="260">
        <v>2.13</v>
      </c>
      <c r="D212" s="260">
        <v>13.97</v>
      </c>
      <c r="E212" s="260">
        <v>15.78</v>
      </c>
      <c r="F212" s="260">
        <v>2.13</v>
      </c>
      <c r="G212" s="260">
        <v>5.15</v>
      </c>
      <c r="H212" s="260">
        <v>1.25</v>
      </c>
      <c r="I212" s="260">
        <v>2.04</v>
      </c>
      <c r="J212" s="260">
        <v>0.43</v>
      </c>
      <c r="K212" s="260">
        <v>2.56</v>
      </c>
      <c r="L212" s="259" t="s">
        <v>60</v>
      </c>
    </row>
    <row r="213" spans="1:12" x14ac:dyDescent="0.25">
      <c r="A213" s="259" t="s">
        <v>280</v>
      </c>
      <c r="B213" s="259" t="s">
        <v>54</v>
      </c>
      <c r="C213" s="260">
        <v>1.81</v>
      </c>
      <c r="D213" s="259" t="s">
        <v>54</v>
      </c>
      <c r="E213" s="259" t="s">
        <v>54</v>
      </c>
      <c r="F213" s="260">
        <v>1.81</v>
      </c>
      <c r="G213" s="259" t="s">
        <v>54</v>
      </c>
      <c r="H213" s="259" t="s">
        <v>54</v>
      </c>
      <c r="I213" s="259" t="s">
        <v>54</v>
      </c>
      <c r="J213" s="259" t="s">
        <v>54</v>
      </c>
      <c r="K213" s="259" t="s">
        <v>54</v>
      </c>
      <c r="L213" s="259" t="s">
        <v>89</v>
      </c>
    </row>
    <row r="214" spans="1:12" x14ac:dyDescent="0.25">
      <c r="A214" s="259" t="s">
        <v>281</v>
      </c>
      <c r="B214" s="260">
        <v>7.31</v>
      </c>
      <c r="C214" s="260">
        <v>0.63</v>
      </c>
      <c r="D214" s="260">
        <v>15.84</v>
      </c>
      <c r="E214" s="260">
        <v>20.5</v>
      </c>
      <c r="F214" s="260">
        <v>0.63</v>
      </c>
      <c r="G214" s="260">
        <v>13.03</v>
      </c>
      <c r="H214" s="260">
        <v>0.64</v>
      </c>
      <c r="I214" s="260">
        <v>1.1000000000000001</v>
      </c>
      <c r="J214" s="260">
        <v>0.94</v>
      </c>
      <c r="K214" s="260">
        <v>-1.3</v>
      </c>
      <c r="L214" s="259" t="s">
        <v>65</v>
      </c>
    </row>
    <row r="215" spans="1:12" hidden="1" x14ac:dyDescent="0.25">
      <c r="A215" s="259" t="s">
        <v>282</v>
      </c>
      <c r="B215" s="260">
        <v>5.74</v>
      </c>
      <c r="C215" s="260">
        <v>1.77</v>
      </c>
      <c r="D215" s="260">
        <v>33.909999999999997</v>
      </c>
      <c r="E215" s="260">
        <v>31.67</v>
      </c>
      <c r="F215" s="260">
        <v>1.77</v>
      </c>
      <c r="G215" s="260">
        <v>16.41</v>
      </c>
      <c r="H215" s="260">
        <v>1.43</v>
      </c>
      <c r="I215" s="260">
        <v>2.0299999999999998</v>
      </c>
      <c r="J215" s="260">
        <v>1</v>
      </c>
      <c r="K215" s="260">
        <v>12</v>
      </c>
      <c r="L215" s="259" t="s">
        <v>58</v>
      </c>
    </row>
    <row r="216" spans="1:12" x14ac:dyDescent="0.25">
      <c r="A216" s="259" t="s">
        <v>283</v>
      </c>
      <c r="B216" s="260">
        <v>8.11</v>
      </c>
      <c r="C216" s="260">
        <v>1.76</v>
      </c>
      <c r="D216" s="260">
        <v>27.8</v>
      </c>
      <c r="E216" s="260">
        <v>27.73</v>
      </c>
      <c r="F216" s="260">
        <v>1.76</v>
      </c>
      <c r="G216" s="260">
        <v>15.83</v>
      </c>
      <c r="H216" s="260">
        <v>1.1499999999999999</v>
      </c>
      <c r="I216" s="260">
        <v>1.64</v>
      </c>
      <c r="J216" s="260">
        <v>0.91</v>
      </c>
      <c r="K216" s="260">
        <v>1.78</v>
      </c>
      <c r="L216" s="259" t="s">
        <v>84</v>
      </c>
    </row>
    <row r="217" spans="1:12" x14ac:dyDescent="0.25">
      <c r="A217" s="259" t="s">
        <v>284</v>
      </c>
      <c r="B217" s="260">
        <v>-0.14000000000000001</v>
      </c>
      <c r="C217" s="260">
        <v>1.74</v>
      </c>
      <c r="D217" s="260">
        <v>28.58</v>
      </c>
      <c r="E217" s="260">
        <v>35.32</v>
      </c>
      <c r="F217" s="260">
        <v>1.74</v>
      </c>
      <c r="G217" s="260">
        <v>17.059999999999999</v>
      </c>
      <c r="H217" s="260">
        <v>1.1399999999999999</v>
      </c>
      <c r="I217" s="260">
        <v>1.49</v>
      </c>
      <c r="J217" s="260">
        <v>0.83</v>
      </c>
      <c r="K217" s="260">
        <v>4.29</v>
      </c>
      <c r="L217" s="259" t="s">
        <v>103</v>
      </c>
    </row>
    <row r="218" spans="1:12" x14ac:dyDescent="0.25">
      <c r="A218" s="259" t="s">
        <v>285</v>
      </c>
      <c r="B218" s="260">
        <v>1.44</v>
      </c>
      <c r="C218" s="260">
        <v>2.46</v>
      </c>
      <c r="D218" s="260">
        <v>16.62</v>
      </c>
      <c r="E218" s="260">
        <v>18.5</v>
      </c>
      <c r="F218" s="260">
        <v>2.46</v>
      </c>
      <c r="G218" s="260">
        <v>13.83</v>
      </c>
      <c r="H218" s="260">
        <v>0.64</v>
      </c>
      <c r="I218" s="260">
        <v>1.1200000000000001</v>
      </c>
      <c r="J218" s="260">
        <v>0.98</v>
      </c>
      <c r="K218" s="260">
        <v>-1.2</v>
      </c>
      <c r="L218" s="259" t="s">
        <v>65</v>
      </c>
    </row>
    <row r="219" spans="1:12" x14ac:dyDescent="0.25">
      <c r="A219" s="259" t="s">
        <v>286</v>
      </c>
      <c r="B219" s="259" t="s">
        <v>54</v>
      </c>
      <c r="C219" s="260">
        <v>2.2999999999999998</v>
      </c>
      <c r="D219" s="259" t="s">
        <v>54</v>
      </c>
      <c r="E219" s="259" t="s">
        <v>54</v>
      </c>
      <c r="F219" s="260">
        <v>2.2999999999999998</v>
      </c>
      <c r="G219" s="259" t="s">
        <v>54</v>
      </c>
      <c r="H219" s="259" t="s">
        <v>54</v>
      </c>
      <c r="I219" s="259" t="s">
        <v>54</v>
      </c>
      <c r="J219" s="259" t="s">
        <v>54</v>
      </c>
      <c r="K219" s="259" t="s">
        <v>54</v>
      </c>
      <c r="L219" s="259" t="s">
        <v>89</v>
      </c>
    </row>
    <row r="220" spans="1:12" x14ac:dyDescent="0.25">
      <c r="A220" s="259" t="s">
        <v>287</v>
      </c>
      <c r="B220" s="259" t="s">
        <v>54</v>
      </c>
      <c r="C220" s="260">
        <v>0.35</v>
      </c>
      <c r="D220" s="259" t="s">
        <v>54</v>
      </c>
      <c r="E220" s="259" t="s">
        <v>54</v>
      </c>
      <c r="F220" s="260">
        <v>0.35</v>
      </c>
      <c r="G220" s="259" t="s">
        <v>54</v>
      </c>
      <c r="H220" s="259" t="s">
        <v>54</v>
      </c>
      <c r="I220" s="259" t="s">
        <v>54</v>
      </c>
      <c r="J220" s="259" t="s">
        <v>54</v>
      </c>
      <c r="K220" s="259" t="s">
        <v>54</v>
      </c>
      <c r="L220" s="259" t="s">
        <v>71</v>
      </c>
    </row>
    <row r="221" spans="1:12" x14ac:dyDescent="0.25">
      <c r="A221" s="259" t="s">
        <v>288</v>
      </c>
      <c r="B221" s="259" t="s">
        <v>54</v>
      </c>
      <c r="C221" s="260">
        <v>0.7</v>
      </c>
      <c r="D221" s="259" t="s">
        <v>54</v>
      </c>
      <c r="E221" s="259" t="s">
        <v>54</v>
      </c>
      <c r="F221" s="260">
        <v>0.7</v>
      </c>
      <c r="G221" s="259" t="s">
        <v>54</v>
      </c>
      <c r="H221" s="259" t="s">
        <v>54</v>
      </c>
      <c r="I221" s="259" t="s">
        <v>54</v>
      </c>
      <c r="J221" s="259" t="s">
        <v>54</v>
      </c>
      <c r="K221" s="259" t="s">
        <v>54</v>
      </c>
      <c r="L221" s="259" t="s">
        <v>71</v>
      </c>
    </row>
    <row r="222" spans="1:12" x14ac:dyDescent="0.25">
      <c r="A222" s="259" t="s">
        <v>289</v>
      </c>
      <c r="B222" s="259" t="s">
        <v>54</v>
      </c>
      <c r="C222" s="259" t="s">
        <v>54</v>
      </c>
      <c r="D222" s="259" t="s">
        <v>54</v>
      </c>
      <c r="E222" s="259" t="s">
        <v>54</v>
      </c>
      <c r="F222" s="259" t="s">
        <v>54</v>
      </c>
      <c r="G222" s="259" t="s">
        <v>54</v>
      </c>
      <c r="H222" s="259" t="s">
        <v>54</v>
      </c>
      <c r="I222" s="259" t="s">
        <v>54</v>
      </c>
      <c r="J222" s="259" t="s">
        <v>54</v>
      </c>
      <c r="K222" s="259" t="s">
        <v>54</v>
      </c>
      <c r="L222" s="259" t="s">
        <v>55</v>
      </c>
    </row>
    <row r="223" spans="1:12" x14ac:dyDescent="0.25">
      <c r="A223" s="259" t="s">
        <v>290</v>
      </c>
      <c r="B223" s="259" t="s">
        <v>54</v>
      </c>
      <c r="C223" s="260">
        <v>0.44</v>
      </c>
      <c r="D223" s="259" t="s">
        <v>54</v>
      </c>
      <c r="E223" s="259" t="s">
        <v>54</v>
      </c>
      <c r="F223" s="260">
        <v>0.44</v>
      </c>
      <c r="G223" s="259" t="s">
        <v>54</v>
      </c>
      <c r="H223" s="259" t="s">
        <v>54</v>
      </c>
      <c r="I223" s="259" t="s">
        <v>54</v>
      </c>
      <c r="J223" s="259" t="s">
        <v>54</v>
      </c>
      <c r="K223" s="259" t="s">
        <v>54</v>
      </c>
      <c r="L223" s="259" t="s">
        <v>55</v>
      </c>
    </row>
    <row r="224" spans="1:12" x14ac:dyDescent="0.25">
      <c r="A224" s="259" t="s">
        <v>291</v>
      </c>
      <c r="B224" s="259" t="s">
        <v>54</v>
      </c>
      <c r="C224" s="260">
        <v>0.65</v>
      </c>
      <c r="D224" s="259" t="s">
        <v>54</v>
      </c>
      <c r="E224" s="259" t="s">
        <v>54</v>
      </c>
      <c r="F224" s="260">
        <v>0.65</v>
      </c>
      <c r="G224" s="259" t="s">
        <v>54</v>
      </c>
      <c r="H224" s="259" t="s">
        <v>54</v>
      </c>
      <c r="I224" s="259" t="s">
        <v>54</v>
      </c>
      <c r="J224" s="259" t="s">
        <v>54</v>
      </c>
      <c r="K224" s="259" t="s">
        <v>54</v>
      </c>
      <c r="L224" s="259" t="s">
        <v>55</v>
      </c>
    </row>
    <row r="225" spans="1:12" hidden="1" x14ac:dyDescent="0.25">
      <c r="A225" s="259" t="s">
        <v>292</v>
      </c>
      <c r="B225" s="259" t="s">
        <v>54</v>
      </c>
      <c r="C225" s="260">
        <v>0.47</v>
      </c>
      <c r="D225" s="259" t="s">
        <v>54</v>
      </c>
      <c r="E225" s="259" t="s">
        <v>54</v>
      </c>
      <c r="F225" s="260">
        <v>0.47</v>
      </c>
      <c r="G225" s="259" t="s">
        <v>54</v>
      </c>
      <c r="H225" s="259" t="s">
        <v>54</v>
      </c>
      <c r="I225" s="259" t="s">
        <v>54</v>
      </c>
      <c r="J225" s="259" t="s">
        <v>54</v>
      </c>
      <c r="K225" s="259" t="s">
        <v>54</v>
      </c>
      <c r="L225" s="259" t="s">
        <v>58</v>
      </c>
    </row>
    <row r="226" spans="1:12" hidden="1" x14ac:dyDescent="0.25">
      <c r="A226" s="259" t="s">
        <v>293</v>
      </c>
      <c r="B226" s="259" t="s">
        <v>54</v>
      </c>
      <c r="C226" s="260">
        <v>0.62</v>
      </c>
      <c r="D226" s="259" t="s">
        <v>54</v>
      </c>
      <c r="E226" s="259" t="s">
        <v>54</v>
      </c>
      <c r="F226" s="260">
        <v>0.62</v>
      </c>
      <c r="G226" s="259" t="s">
        <v>54</v>
      </c>
      <c r="H226" s="259" t="s">
        <v>54</v>
      </c>
      <c r="I226" s="259" t="s">
        <v>54</v>
      </c>
      <c r="J226" s="259" t="s">
        <v>54</v>
      </c>
      <c r="K226" s="259" t="s">
        <v>54</v>
      </c>
      <c r="L226" s="259" t="s">
        <v>58</v>
      </c>
    </row>
    <row r="227" spans="1:12" hidden="1" x14ac:dyDescent="0.25">
      <c r="A227" s="259" t="s">
        <v>294</v>
      </c>
      <c r="B227" s="259" t="s">
        <v>54</v>
      </c>
      <c r="C227" s="260">
        <v>0.43</v>
      </c>
      <c r="D227" s="259" t="s">
        <v>54</v>
      </c>
      <c r="E227" s="259" t="s">
        <v>54</v>
      </c>
      <c r="F227" s="260">
        <v>0.43</v>
      </c>
      <c r="G227" s="259" t="s">
        <v>54</v>
      </c>
      <c r="H227" s="259" t="s">
        <v>54</v>
      </c>
      <c r="I227" s="259" t="s">
        <v>54</v>
      </c>
      <c r="J227" s="259" t="s">
        <v>54</v>
      </c>
      <c r="K227" s="259" t="s">
        <v>54</v>
      </c>
      <c r="L227" s="259" t="s">
        <v>58</v>
      </c>
    </row>
    <row r="228" spans="1:12" hidden="1" x14ac:dyDescent="0.25">
      <c r="A228" s="259" t="s">
        <v>295</v>
      </c>
      <c r="B228" s="259" t="s">
        <v>54</v>
      </c>
      <c r="C228" s="260">
        <v>0.63</v>
      </c>
      <c r="D228" s="259" t="s">
        <v>54</v>
      </c>
      <c r="E228" s="259" t="s">
        <v>54</v>
      </c>
      <c r="F228" s="260">
        <v>0.63</v>
      </c>
      <c r="G228" s="259" t="s">
        <v>54</v>
      </c>
      <c r="H228" s="259" t="s">
        <v>54</v>
      </c>
      <c r="I228" s="259" t="s">
        <v>54</v>
      </c>
      <c r="J228" s="259" t="s">
        <v>54</v>
      </c>
      <c r="K228" s="259" t="s">
        <v>54</v>
      </c>
      <c r="L228" s="259" t="s">
        <v>58</v>
      </c>
    </row>
    <row r="229" spans="1:12" hidden="1" x14ac:dyDescent="0.25">
      <c r="A229" s="259" t="s">
        <v>296</v>
      </c>
      <c r="B229" s="259" t="s">
        <v>54</v>
      </c>
      <c r="C229" s="259" t="s">
        <v>54</v>
      </c>
      <c r="D229" s="259" t="s">
        <v>54</v>
      </c>
      <c r="E229" s="259" t="s">
        <v>54</v>
      </c>
      <c r="F229" s="259" t="s">
        <v>54</v>
      </c>
      <c r="G229" s="259" t="s">
        <v>54</v>
      </c>
      <c r="H229" s="259" t="s">
        <v>54</v>
      </c>
      <c r="I229" s="259" t="s">
        <v>54</v>
      </c>
      <c r="J229" s="259" t="s">
        <v>54</v>
      </c>
      <c r="K229" s="259" t="s">
        <v>54</v>
      </c>
      <c r="L229" s="259" t="s">
        <v>58</v>
      </c>
    </row>
    <row r="230" spans="1:12" hidden="1" x14ac:dyDescent="0.25">
      <c r="A230" s="259" t="s">
        <v>297</v>
      </c>
      <c r="B230" s="259" t="s">
        <v>54</v>
      </c>
      <c r="C230" s="259" t="s">
        <v>54</v>
      </c>
      <c r="D230" s="259" t="s">
        <v>54</v>
      </c>
      <c r="E230" s="259" t="s">
        <v>54</v>
      </c>
      <c r="F230" s="259" t="s">
        <v>54</v>
      </c>
      <c r="G230" s="259" t="s">
        <v>54</v>
      </c>
      <c r="H230" s="259" t="s">
        <v>54</v>
      </c>
      <c r="I230" s="259" t="s">
        <v>54</v>
      </c>
      <c r="J230" s="259" t="s">
        <v>54</v>
      </c>
      <c r="K230" s="259" t="s">
        <v>54</v>
      </c>
      <c r="L230" s="259" t="s">
        <v>58</v>
      </c>
    </row>
    <row r="231" spans="1:12" hidden="1" x14ac:dyDescent="0.25">
      <c r="A231" s="259" t="s">
        <v>298</v>
      </c>
      <c r="B231" s="259" t="s">
        <v>54</v>
      </c>
      <c r="C231" s="260">
        <v>0.49</v>
      </c>
      <c r="D231" s="259" t="s">
        <v>54</v>
      </c>
      <c r="E231" s="259" t="s">
        <v>54</v>
      </c>
      <c r="F231" s="260">
        <v>0.49</v>
      </c>
      <c r="G231" s="259" t="s">
        <v>54</v>
      </c>
      <c r="H231" s="259" t="s">
        <v>54</v>
      </c>
      <c r="I231" s="259" t="s">
        <v>54</v>
      </c>
      <c r="J231" s="259" t="s">
        <v>54</v>
      </c>
      <c r="K231" s="259" t="s">
        <v>54</v>
      </c>
      <c r="L231" s="259" t="s">
        <v>101</v>
      </c>
    </row>
    <row r="232" spans="1:12" hidden="1" x14ac:dyDescent="0.25">
      <c r="A232" s="259" t="s">
        <v>299</v>
      </c>
      <c r="B232" s="259" t="s">
        <v>54</v>
      </c>
      <c r="C232" s="260">
        <v>1.07</v>
      </c>
      <c r="D232" s="259" t="s">
        <v>54</v>
      </c>
      <c r="E232" s="259" t="s">
        <v>54</v>
      </c>
      <c r="F232" s="260">
        <v>1.07</v>
      </c>
      <c r="G232" s="259" t="s">
        <v>54</v>
      </c>
      <c r="H232" s="259" t="s">
        <v>54</v>
      </c>
      <c r="I232" s="259" t="s">
        <v>54</v>
      </c>
      <c r="J232" s="259" t="s">
        <v>54</v>
      </c>
      <c r="K232" s="259" t="s">
        <v>54</v>
      </c>
      <c r="L232" s="259" t="s">
        <v>101</v>
      </c>
    </row>
    <row r="233" spans="1:12" hidden="1" x14ac:dyDescent="0.25">
      <c r="A233" s="259" t="s">
        <v>300</v>
      </c>
      <c r="B233" s="260">
        <v>2.87</v>
      </c>
      <c r="C233" s="260">
        <v>1</v>
      </c>
      <c r="D233" s="259" t="s">
        <v>54</v>
      </c>
      <c r="E233" s="259" t="s">
        <v>54</v>
      </c>
      <c r="F233" s="260">
        <v>1</v>
      </c>
      <c r="G233" s="259" t="s">
        <v>54</v>
      </c>
      <c r="H233" s="259" t="s">
        <v>54</v>
      </c>
      <c r="I233" s="259" t="s">
        <v>54</v>
      </c>
      <c r="J233" s="259" t="s">
        <v>54</v>
      </c>
      <c r="K233" s="259" t="s">
        <v>54</v>
      </c>
      <c r="L233" s="259" t="s">
        <v>81</v>
      </c>
    </row>
    <row r="234" spans="1:12" x14ac:dyDescent="0.25">
      <c r="A234" s="259" t="s">
        <v>301</v>
      </c>
      <c r="B234" s="260">
        <v>3.59</v>
      </c>
      <c r="C234" s="260">
        <v>1.05</v>
      </c>
      <c r="D234" s="259" t="s">
        <v>54</v>
      </c>
      <c r="E234" s="259" t="s">
        <v>54</v>
      </c>
      <c r="F234" s="260">
        <v>1.05</v>
      </c>
      <c r="G234" s="259" t="s">
        <v>54</v>
      </c>
      <c r="H234" s="259" t="s">
        <v>54</v>
      </c>
      <c r="I234" s="259" t="s">
        <v>54</v>
      </c>
      <c r="J234" s="259" t="s">
        <v>54</v>
      </c>
      <c r="K234" s="259" t="s">
        <v>54</v>
      </c>
      <c r="L234" s="259" t="s">
        <v>103</v>
      </c>
    </row>
    <row r="235" spans="1:12" x14ac:dyDescent="0.25">
      <c r="A235" s="259" t="s">
        <v>302</v>
      </c>
      <c r="B235" s="260">
        <v>4.8099999999999996</v>
      </c>
      <c r="C235" s="260">
        <v>1.05</v>
      </c>
      <c r="D235" s="259" t="s">
        <v>54</v>
      </c>
      <c r="E235" s="259" t="s">
        <v>54</v>
      </c>
      <c r="F235" s="260">
        <v>1.05</v>
      </c>
      <c r="G235" s="259" t="s">
        <v>54</v>
      </c>
      <c r="H235" s="259" t="s">
        <v>54</v>
      </c>
      <c r="I235" s="259" t="s">
        <v>54</v>
      </c>
      <c r="J235" s="259" t="s">
        <v>54</v>
      </c>
      <c r="K235" s="259" t="s">
        <v>54</v>
      </c>
      <c r="L235" s="259" t="s">
        <v>55</v>
      </c>
    </row>
    <row r="236" spans="1:12" x14ac:dyDescent="0.25">
      <c r="A236" s="259" t="s">
        <v>303</v>
      </c>
      <c r="B236" s="260">
        <v>6.63</v>
      </c>
      <c r="C236" s="260">
        <v>1.37</v>
      </c>
      <c r="D236" s="260">
        <v>21.92</v>
      </c>
      <c r="E236" s="260">
        <v>25.35</v>
      </c>
      <c r="F236" s="260">
        <v>1.37</v>
      </c>
      <c r="G236" s="260">
        <v>9.74</v>
      </c>
      <c r="H236" s="260">
        <v>1.42</v>
      </c>
      <c r="I236" s="260">
        <v>2.5099999999999998</v>
      </c>
      <c r="J236" s="260">
        <v>0.88</v>
      </c>
      <c r="K236" s="260">
        <v>6.9</v>
      </c>
      <c r="L236" s="259" t="s">
        <v>62</v>
      </c>
    </row>
    <row r="237" spans="1:12" x14ac:dyDescent="0.25">
      <c r="A237" s="259" t="s">
        <v>304</v>
      </c>
      <c r="B237" s="260">
        <v>4.88</v>
      </c>
      <c r="C237" s="260">
        <v>0.3</v>
      </c>
      <c r="D237" s="259" t="s">
        <v>54</v>
      </c>
      <c r="E237" s="259" t="s">
        <v>54</v>
      </c>
      <c r="F237" s="260">
        <v>0.3</v>
      </c>
      <c r="G237" s="259" t="s">
        <v>54</v>
      </c>
      <c r="H237" s="259" t="s">
        <v>54</v>
      </c>
      <c r="I237" s="259" t="s">
        <v>54</v>
      </c>
      <c r="J237" s="259" t="s">
        <v>54</v>
      </c>
      <c r="K237" s="259" t="s">
        <v>54</v>
      </c>
      <c r="L237" s="259" t="s">
        <v>55</v>
      </c>
    </row>
    <row r="238" spans="1:12" x14ac:dyDescent="0.25">
      <c r="A238" s="259" t="s">
        <v>305</v>
      </c>
      <c r="B238" s="260">
        <v>4.1900000000000004</v>
      </c>
      <c r="C238" s="260">
        <v>0.81</v>
      </c>
      <c r="D238" s="259" t="s">
        <v>54</v>
      </c>
      <c r="E238" s="259" t="s">
        <v>54</v>
      </c>
      <c r="F238" s="260">
        <v>0.81</v>
      </c>
      <c r="G238" s="259" t="s">
        <v>54</v>
      </c>
      <c r="H238" s="259" t="s">
        <v>54</v>
      </c>
      <c r="I238" s="259" t="s">
        <v>54</v>
      </c>
      <c r="J238" s="259" t="s">
        <v>54</v>
      </c>
      <c r="K238" s="259" t="s">
        <v>54</v>
      </c>
      <c r="L238" s="259" t="s">
        <v>55</v>
      </c>
    </row>
    <row r="239" spans="1:12" x14ac:dyDescent="0.25">
      <c r="A239" s="259" t="s">
        <v>306</v>
      </c>
      <c r="B239" s="260">
        <v>7.74</v>
      </c>
      <c r="C239" s="260">
        <v>0.05</v>
      </c>
      <c r="D239" s="260">
        <v>15.88</v>
      </c>
      <c r="E239" s="260">
        <v>20.68</v>
      </c>
      <c r="F239" s="260">
        <v>0.05</v>
      </c>
      <c r="G239" s="260">
        <v>12.7</v>
      </c>
      <c r="H239" s="260">
        <v>0.66</v>
      </c>
      <c r="I239" s="260">
        <v>1.1100000000000001</v>
      </c>
      <c r="J239" s="260">
        <v>0.91</v>
      </c>
      <c r="K239" s="260">
        <v>-0.93</v>
      </c>
      <c r="L239" s="259" t="s">
        <v>65</v>
      </c>
    </row>
    <row r="240" spans="1:12" x14ac:dyDescent="0.25">
      <c r="A240" s="259" t="s">
        <v>307</v>
      </c>
      <c r="B240" s="260">
        <v>7.38</v>
      </c>
      <c r="C240" s="260">
        <v>0.36</v>
      </c>
      <c r="D240" s="260">
        <v>15.45</v>
      </c>
      <c r="E240" s="260">
        <v>20.239999999999998</v>
      </c>
      <c r="F240" s="260">
        <v>0.36</v>
      </c>
      <c r="G240" s="260">
        <v>12.71</v>
      </c>
      <c r="H240" s="260">
        <v>0.63</v>
      </c>
      <c r="I240" s="260">
        <v>1.06</v>
      </c>
      <c r="J240" s="260">
        <v>0.91</v>
      </c>
      <c r="K240" s="260">
        <v>-1.31</v>
      </c>
      <c r="L240" s="259" t="s">
        <v>65</v>
      </c>
    </row>
    <row r="241" spans="1:12" hidden="1" x14ac:dyDescent="0.25">
      <c r="A241" s="259" t="s">
        <v>308</v>
      </c>
      <c r="B241" s="260">
        <v>4.5999999999999996</v>
      </c>
      <c r="C241" s="260">
        <v>1.97</v>
      </c>
      <c r="D241" s="259" t="s">
        <v>54</v>
      </c>
      <c r="E241" s="259" t="s">
        <v>54</v>
      </c>
      <c r="F241" s="260">
        <v>1.97</v>
      </c>
      <c r="G241" s="259" t="s">
        <v>54</v>
      </c>
      <c r="H241" s="259" t="s">
        <v>54</v>
      </c>
      <c r="I241" s="259" t="s">
        <v>54</v>
      </c>
      <c r="J241" s="259" t="s">
        <v>54</v>
      </c>
      <c r="K241" s="259" t="s">
        <v>54</v>
      </c>
      <c r="L241" s="259" t="s">
        <v>58</v>
      </c>
    </row>
    <row r="242" spans="1:12" hidden="1" x14ac:dyDescent="0.25">
      <c r="A242" s="259" t="s">
        <v>309</v>
      </c>
      <c r="B242" s="260">
        <v>14.82</v>
      </c>
      <c r="C242" s="260">
        <v>1.77</v>
      </c>
      <c r="D242" s="259" t="s">
        <v>54</v>
      </c>
      <c r="E242" s="259" t="s">
        <v>54</v>
      </c>
      <c r="F242" s="260">
        <v>1.77</v>
      </c>
      <c r="G242" s="259" t="s">
        <v>54</v>
      </c>
      <c r="H242" s="259" t="s">
        <v>54</v>
      </c>
      <c r="I242" s="259" t="s">
        <v>54</v>
      </c>
      <c r="J242" s="259" t="s">
        <v>54</v>
      </c>
      <c r="K242" s="259" t="s">
        <v>54</v>
      </c>
      <c r="L242" s="259" t="s">
        <v>58</v>
      </c>
    </row>
    <row r="243" spans="1:12" hidden="1" x14ac:dyDescent="0.25">
      <c r="A243" s="259" t="s">
        <v>310</v>
      </c>
      <c r="B243" s="260">
        <v>2.76</v>
      </c>
      <c r="C243" s="260">
        <v>1.81</v>
      </c>
      <c r="D243" s="260">
        <v>22.25</v>
      </c>
      <c r="E243" s="259" t="s">
        <v>54</v>
      </c>
      <c r="F243" s="260">
        <v>1.81</v>
      </c>
      <c r="G243" s="260">
        <v>14.66</v>
      </c>
      <c r="H243" s="260">
        <v>0.95</v>
      </c>
      <c r="I243" s="260">
        <v>1.44</v>
      </c>
      <c r="J243" s="260">
        <v>0.98</v>
      </c>
      <c r="K243" s="260">
        <v>2.65</v>
      </c>
      <c r="L243" s="259" t="s">
        <v>69</v>
      </c>
    </row>
    <row r="244" spans="1:12" x14ac:dyDescent="0.25">
      <c r="A244" s="259" t="s">
        <v>311</v>
      </c>
      <c r="B244" s="260">
        <v>11.37</v>
      </c>
      <c r="C244" s="260">
        <v>1.39</v>
      </c>
      <c r="D244" s="260">
        <v>25.56</v>
      </c>
      <c r="E244" s="260">
        <v>30.17</v>
      </c>
      <c r="F244" s="260">
        <v>1.39</v>
      </c>
      <c r="G244" s="260">
        <v>12.4</v>
      </c>
      <c r="H244" s="260">
        <v>1.37</v>
      </c>
      <c r="I244" s="260">
        <v>2.36</v>
      </c>
      <c r="J244" s="260">
        <v>0.83</v>
      </c>
      <c r="K244" s="260">
        <v>7.35</v>
      </c>
      <c r="L244" s="259" t="s">
        <v>55</v>
      </c>
    </row>
    <row r="245" spans="1:12" x14ac:dyDescent="0.25">
      <c r="A245" s="259" t="s">
        <v>312</v>
      </c>
      <c r="B245" s="260">
        <v>11.37</v>
      </c>
      <c r="C245" s="260">
        <v>1.66</v>
      </c>
      <c r="D245" s="260">
        <v>25.56</v>
      </c>
      <c r="E245" s="260">
        <v>29.95</v>
      </c>
      <c r="F245" s="260">
        <v>1.66</v>
      </c>
      <c r="G245" s="260">
        <v>11.27</v>
      </c>
      <c r="H245" s="260">
        <v>1.48</v>
      </c>
      <c r="I245" s="260">
        <v>2.41</v>
      </c>
      <c r="J245" s="260">
        <v>0.75</v>
      </c>
      <c r="K245" s="260">
        <v>8.0399999999999991</v>
      </c>
      <c r="L245" s="259" t="s">
        <v>55</v>
      </c>
    </row>
    <row r="246" spans="1:12" hidden="1" x14ac:dyDescent="0.25">
      <c r="A246" s="259" t="s">
        <v>313</v>
      </c>
      <c r="B246" s="260">
        <v>-5.83</v>
      </c>
      <c r="C246" s="260">
        <v>2.21</v>
      </c>
      <c r="D246" s="260">
        <v>24.1</v>
      </c>
      <c r="E246" s="260">
        <v>25.66</v>
      </c>
      <c r="F246" s="260">
        <v>2.21</v>
      </c>
      <c r="G246" s="260">
        <v>16.97</v>
      </c>
      <c r="H246" s="260">
        <v>0.92</v>
      </c>
      <c r="I246" s="260">
        <v>1.43</v>
      </c>
      <c r="J246" s="260">
        <v>1.0900000000000001</v>
      </c>
      <c r="K246" s="260">
        <v>3.08</v>
      </c>
      <c r="L246" s="259" t="s">
        <v>58</v>
      </c>
    </row>
    <row r="247" spans="1:12" x14ac:dyDescent="0.25">
      <c r="A247" s="259" t="s">
        <v>314</v>
      </c>
      <c r="B247" s="260">
        <v>5.34</v>
      </c>
      <c r="C247" s="260">
        <v>1.65</v>
      </c>
      <c r="D247" s="260">
        <v>24.04</v>
      </c>
      <c r="E247" s="260">
        <v>29.05</v>
      </c>
      <c r="F247" s="260">
        <v>1.65</v>
      </c>
      <c r="G247" s="260">
        <v>14.9</v>
      </c>
      <c r="H247" s="260">
        <v>1.03</v>
      </c>
      <c r="I247" s="260">
        <v>1.57</v>
      </c>
      <c r="J247" s="260">
        <v>1.01</v>
      </c>
      <c r="K247" s="260">
        <v>4.28</v>
      </c>
      <c r="L247" s="259" t="s">
        <v>71</v>
      </c>
    </row>
    <row r="248" spans="1:12" x14ac:dyDescent="0.25">
      <c r="A248" s="259" t="s">
        <v>315</v>
      </c>
      <c r="B248" s="260">
        <v>4.3099999999999996</v>
      </c>
      <c r="C248" s="260">
        <v>1.61</v>
      </c>
      <c r="D248" s="260">
        <v>19.059999999999999</v>
      </c>
      <c r="E248" s="260">
        <v>23.37</v>
      </c>
      <c r="F248" s="260">
        <v>1.61</v>
      </c>
      <c r="G248" s="260">
        <v>13.01</v>
      </c>
      <c r="H248" s="260">
        <v>0.88</v>
      </c>
      <c r="I248" s="260">
        <v>1.44</v>
      </c>
      <c r="J248" s="260">
        <v>0.92</v>
      </c>
      <c r="K248" s="260">
        <v>1.97</v>
      </c>
      <c r="L248" s="259" t="s">
        <v>65</v>
      </c>
    </row>
    <row r="249" spans="1:12" hidden="1" x14ac:dyDescent="0.25">
      <c r="A249" s="259" t="s">
        <v>316</v>
      </c>
      <c r="B249" s="260">
        <v>-1.02</v>
      </c>
      <c r="C249" s="260">
        <v>1.69</v>
      </c>
      <c r="D249" s="259" t="s">
        <v>54</v>
      </c>
      <c r="E249" s="259" t="s">
        <v>54</v>
      </c>
      <c r="F249" s="260">
        <v>1.69</v>
      </c>
      <c r="G249" s="259" t="s">
        <v>54</v>
      </c>
      <c r="H249" s="259" t="s">
        <v>54</v>
      </c>
      <c r="I249" s="259" t="s">
        <v>54</v>
      </c>
      <c r="J249" s="259" t="s">
        <v>54</v>
      </c>
      <c r="K249" s="259" t="s">
        <v>54</v>
      </c>
      <c r="L249" s="259" t="s">
        <v>58</v>
      </c>
    </row>
    <row r="250" spans="1:12" x14ac:dyDescent="0.25">
      <c r="A250" s="259" t="s">
        <v>317</v>
      </c>
      <c r="B250" s="260">
        <v>8.7899999999999991</v>
      </c>
      <c r="C250" s="260">
        <v>1.4</v>
      </c>
      <c r="D250" s="260">
        <v>30.58</v>
      </c>
      <c r="E250" s="260">
        <v>33.24</v>
      </c>
      <c r="F250" s="260">
        <v>1.4</v>
      </c>
      <c r="G250" s="260">
        <v>15.1</v>
      </c>
      <c r="H250" s="260">
        <v>1.36</v>
      </c>
      <c r="I250" s="260">
        <v>2.02</v>
      </c>
      <c r="J250" s="260">
        <v>0.87</v>
      </c>
      <c r="K250" s="260">
        <v>4.83</v>
      </c>
      <c r="L250" s="259" t="s">
        <v>84</v>
      </c>
    </row>
    <row r="251" spans="1:12" hidden="1" x14ac:dyDescent="0.25">
      <c r="A251" s="259" t="s">
        <v>318</v>
      </c>
      <c r="B251" s="260">
        <v>-8.4600000000000009</v>
      </c>
      <c r="C251" s="260">
        <v>2.4300000000000002</v>
      </c>
      <c r="D251" s="259" t="s">
        <v>54</v>
      </c>
      <c r="E251" s="259" t="s">
        <v>54</v>
      </c>
      <c r="F251" s="260">
        <v>2.4300000000000002</v>
      </c>
      <c r="G251" s="259" t="s">
        <v>54</v>
      </c>
      <c r="H251" s="259" t="s">
        <v>54</v>
      </c>
      <c r="I251" s="259" t="s">
        <v>54</v>
      </c>
      <c r="J251" s="259" t="s">
        <v>54</v>
      </c>
      <c r="K251" s="259" t="s">
        <v>54</v>
      </c>
      <c r="L251" s="259" t="s">
        <v>86</v>
      </c>
    </row>
    <row r="252" spans="1:12" x14ac:dyDescent="0.25">
      <c r="A252" s="259" t="s">
        <v>319</v>
      </c>
      <c r="B252" s="260">
        <v>11.26</v>
      </c>
      <c r="C252" s="260">
        <v>1.1599999999999999</v>
      </c>
      <c r="D252" s="260">
        <v>17.420000000000002</v>
      </c>
      <c r="E252" s="259" t="s">
        <v>54</v>
      </c>
      <c r="F252" s="260">
        <v>1.1599999999999999</v>
      </c>
      <c r="G252" s="260">
        <v>6.67</v>
      </c>
      <c r="H252" s="260">
        <v>1.45</v>
      </c>
      <c r="I252" s="260">
        <v>2.4</v>
      </c>
      <c r="J252" s="260">
        <v>0.67</v>
      </c>
      <c r="K252" s="260">
        <v>3.68</v>
      </c>
      <c r="L252" s="259" t="s">
        <v>60</v>
      </c>
    </row>
    <row r="253" spans="1:12" x14ac:dyDescent="0.25">
      <c r="A253" s="259" t="s">
        <v>320</v>
      </c>
      <c r="B253" s="260">
        <v>10.11</v>
      </c>
      <c r="C253" s="260">
        <v>1.89</v>
      </c>
      <c r="D253" s="260">
        <v>15.47</v>
      </c>
      <c r="E253" s="260">
        <v>17.89</v>
      </c>
      <c r="F253" s="260">
        <v>1.89</v>
      </c>
      <c r="G253" s="260">
        <v>6.67</v>
      </c>
      <c r="H253" s="260">
        <v>1.1599999999999999</v>
      </c>
      <c r="I253" s="260">
        <v>2.3199999999999998</v>
      </c>
      <c r="J253" s="260">
        <v>0.68</v>
      </c>
      <c r="K253" s="260">
        <v>1.7</v>
      </c>
      <c r="L253" s="259" t="s">
        <v>60</v>
      </c>
    </row>
    <row r="254" spans="1:12" x14ac:dyDescent="0.25">
      <c r="A254" s="259" t="s">
        <v>321</v>
      </c>
      <c r="B254" s="260">
        <v>4</v>
      </c>
      <c r="C254" s="260">
        <v>1.68</v>
      </c>
      <c r="D254" s="260">
        <v>25.91</v>
      </c>
      <c r="E254" s="259" t="s">
        <v>54</v>
      </c>
      <c r="F254" s="260">
        <v>1.68</v>
      </c>
      <c r="G254" s="260">
        <v>15.11</v>
      </c>
      <c r="H254" s="260">
        <v>1.1399999999999999</v>
      </c>
      <c r="I254" s="260">
        <v>1.7</v>
      </c>
      <c r="J254" s="260">
        <v>0.95</v>
      </c>
      <c r="K254" s="260">
        <v>3.31</v>
      </c>
      <c r="L254" s="259" t="s">
        <v>89</v>
      </c>
    </row>
    <row r="255" spans="1:12" x14ac:dyDescent="0.25">
      <c r="A255" s="259" t="s">
        <v>322</v>
      </c>
      <c r="B255" s="260">
        <v>1.1200000000000001</v>
      </c>
      <c r="C255" s="260">
        <v>0.83</v>
      </c>
      <c r="D255" s="260">
        <v>19.62</v>
      </c>
      <c r="E255" s="259" t="s">
        <v>54</v>
      </c>
      <c r="F255" s="260">
        <v>0.83</v>
      </c>
      <c r="G255" s="260">
        <v>16.09</v>
      </c>
      <c r="H255" s="260">
        <v>0.72</v>
      </c>
      <c r="I255" s="260">
        <v>1.24</v>
      </c>
      <c r="J255" s="260">
        <v>1.1299999999999999</v>
      </c>
      <c r="K255" s="260">
        <v>0.01</v>
      </c>
      <c r="L255" s="259" t="s">
        <v>65</v>
      </c>
    </row>
    <row r="256" spans="1:12" x14ac:dyDescent="0.25">
      <c r="A256" s="259" t="s">
        <v>323</v>
      </c>
      <c r="B256" s="260">
        <v>5.5</v>
      </c>
      <c r="C256" s="260">
        <v>0.3</v>
      </c>
      <c r="D256" s="259" t="s">
        <v>54</v>
      </c>
      <c r="E256" s="259" t="s">
        <v>54</v>
      </c>
      <c r="F256" s="260">
        <v>0.3</v>
      </c>
      <c r="G256" s="259" t="s">
        <v>54</v>
      </c>
      <c r="H256" s="259" t="s">
        <v>54</v>
      </c>
      <c r="I256" s="259" t="s">
        <v>54</v>
      </c>
      <c r="J256" s="259" t="s">
        <v>54</v>
      </c>
      <c r="K256" s="259" t="s">
        <v>54</v>
      </c>
      <c r="L256" s="259" t="s">
        <v>65</v>
      </c>
    </row>
    <row r="257" spans="1:12" x14ac:dyDescent="0.25">
      <c r="A257" s="259" t="s">
        <v>324</v>
      </c>
      <c r="B257" s="260">
        <v>4.97</v>
      </c>
      <c r="C257" s="260">
        <v>0.75</v>
      </c>
      <c r="D257" s="260">
        <v>16.07</v>
      </c>
      <c r="E257" s="259" t="s">
        <v>54</v>
      </c>
      <c r="F257" s="260">
        <v>0.75</v>
      </c>
      <c r="G257" s="260">
        <v>13.91</v>
      </c>
      <c r="H257" s="260">
        <v>0.62</v>
      </c>
      <c r="I257" s="260">
        <v>1.01</v>
      </c>
      <c r="J257" s="260">
        <v>1.01</v>
      </c>
      <c r="K257" s="260">
        <v>-1.76</v>
      </c>
      <c r="L257" s="259" t="s">
        <v>65</v>
      </c>
    </row>
    <row r="258" spans="1:12" x14ac:dyDescent="0.25">
      <c r="A258" s="259" t="s">
        <v>325</v>
      </c>
      <c r="B258" s="260">
        <v>5.69</v>
      </c>
      <c r="C258" s="260">
        <v>0.3</v>
      </c>
      <c r="D258" s="259" t="s">
        <v>54</v>
      </c>
      <c r="E258" s="259" t="s">
        <v>54</v>
      </c>
      <c r="F258" s="260">
        <v>0.3</v>
      </c>
      <c r="G258" s="259" t="s">
        <v>54</v>
      </c>
      <c r="H258" s="259" t="s">
        <v>54</v>
      </c>
      <c r="I258" s="259" t="s">
        <v>54</v>
      </c>
      <c r="J258" s="259" t="s">
        <v>54</v>
      </c>
      <c r="K258" s="259" t="s">
        <v>54</v>
      </c>
      <c r="L258" s="259" t="s">
        <v>65</v>
      </c>
    </row>
    <row r="259" spans="1:12" x14ac:dyDescent="0.25">
      <c r="A259" s="259" t="s">
        <v>326</v>
      </c>
      <c r="B259" s="259" t="s">
        <v>54</v>
      </c>
      <c r="C259" s="260">
        <v>0.9</v>
      </c>
      <c r="D259" s="259" t="s">
        <v>54</v>
      </c>
      <c r="E259" s="259" t="s">
        <v>54</v>
      </c>
      <c r="F259" s="260">
        <v>0.9</v>
      </c>
      <c r="G259" s="259" t="s">
        <v>54</v>
      </c>
      <c r="H259" s="259" t="s">
        <v>54</v>
      </c>
      <c r="I259" s="259" t="s">
        <v>54</v>
      </c>
      <c r="J259" s="259" t="s">
        <v>54</v>
      </c>
      <c r="K259" s="259" t="s">
        <v>54</v>
      </c>
      <c r="L259" s="259" t="s">
        <v>65</v>
      </c>
    </row>
    <row r="260" spans="1:12" x14ac:dyDescent="0.25">
      <c r="A260" s="259" t="s">
        <v>327</v>
      </c>
      <c r="B260" s="260">
        <v>0.92</v>
      </c>
      <c r="C260" s="260">
        <v>0.3</v>
      </c>
      <c r="D260" s="259" t="s">
        <v>54</v>
      </c>
      <c r="E260" s="259" t="s">
        <v>54</v>
      </c>
      <c r="F260" s="260">
        <v>0.3</v>
      </c>
      <c r="G260" s="259" t="s">
        <v>54</v>
      </c>
      <c r="H260" s="259" t="s">
        <v>54</v>
      </c>
      <c r="I260" s="259" t="s">
        <v>54</v>
      </c>
      <c r="J260" s="259" t="s">
        <v>54</v>
      </c>
      <c r="K260" s="259" t="s">
        <v>54</v>
      </c>
      <c r="L260" s="259" t="s">
        <v>65</v>
      </c>
    </row>
    <row r="261" spans="1:12" x14ac:dyDescent="0.25">
      <c r="A261" s="259" t="s">
        <v>328</v>
      </c>
      <c r="B261" s="259" t="s">
        <v>54</v>
      </c>
      <c r="C261" s="260">
        <v>0.89</v>
      </c>
      <c r="D261" s="259" t="s">
        <v>54</v>
      </c>
      <c r="E261" s="259" t="s">
        <v>54</v>
      </c>
      <c r="F261" s="260">
        <v>0.89</v>
      </c>
      <c r="G261" s="259" t="s">
        <v>54</v>
      </c>
      <c r="H261" s="259" t="s">
        <v>54</v>
      </c>
      <c r="I261" s="259" t="s">
        <v>54</v>
      </c>
      <c r="J261" s="259" t="s">
        <v>54</v>
      </c>
      <c r="K261" s="259" t="s">
        <v>54</v>
      </c>
      <c r="L261" s="259" t="s">
        <v>65</v>
      </c>
    </row>
    <row r="262" spans="1:12" x14ac:dyDescent="0.25">
      <c r="A262" s="259" t="s">
        <v>329</v>
      </c>
      <c r="B262" s="260">
        <v>-11.86</v>
      </c>
      <c r="C262" s="260">
        <v>0.3</v>
      </c>
      <c r="D262" s="259" t="s">
        <v>54</v>
      </c>
      <c r="E262" s="259" t="s">
        <v>54</v>
      </c>
      <c r="F262" s="260">
        <v>0.3</v>
      </c>
      <c r="G262" s="259" t="s">
        <v>54</v>
      </c>
      <c r="H262" s="259" t="s">
        <v>54</v>
      </c>
      <c r="I262" s="259" t="s">
        <v>54</v>
      </c>
      <c r="J262" s="259" t="s">
        <v>54</v>
      </c>
      <c r="K262" s="259" t="s">
        <v>54</v>
      </c>
      <c r="L262" s="259" t="s">
        <v>71</v>
      </c>
    </row>
    <row r="263" spans="1:12" x14ac:dyDescent="0.25">
      <c r="A263" s="259" t="s">
        <v>330</v>
      </c>
      <c r="B263" s="260">
        <v>-12.43</v>
      </c>
      <c r="C263" s="260">
        <v>0.89</v>
      </c>
      <c r="D263" s="259" t="s">
        <v>54</v>
      </c>
      <c r="E263" s="259" t="s">
        <v>54</v>
      </c>
      <c r="F263" s="260">
        <v>0.89</v>
      </c>
      <c r="G263" s="259" t="s">
        <v>54</v>
      </c>
      <c r="H263" s="259" t="s">
        <v>54</v>
      </c>
      <c r="I263" s="259" t="s">
        <v>54</v>
      </c>
      <c r="J263" s="259" t="s">
        <v>54</v>
      </c>
      <c r="K263" s="259" t="s">
        <v>54</v>
      </c>
      <c r="L263" s="259" t="s">
        <v>71</v>
      </c>
    </row>
    <row r="264" spans="1:12" x14ac:dyDescent="0.25">
      <c r="A264" s="259" t="s">
        <v>331</v>
      </c>
      <c r="B264" s="259" t="s">
        <v>54</v>
      </c>
      <c r="C264" s="260">
        <v>0.8</v>
      </c>
      <c r="D264" s="259" t="s">
        <v>54</v>
      </c>
      <c r="E264" s="259" t="s">
        <v>54</v>
      </c>
      <c r="F264" s="260">
        <v>0.8</v>
      </c>
      <c r="G264" s="259" t="s">
        <v>54</v>
      </c>
      <c r="H264" s="259" t="s">
        <v>54</v>
      </c>
      <c r="I264" s="259" t="s">
        <v>54</v>
      </c>
      <c r="J264" s="259" t="s">
        <v>54</v>
      </c>
      <c r="K264" s="259" t="s">
        <v>54</v>
      </c>
      <c r="L264" s="259" t="s">
        <v>89</v>
      </c>
    </row>
    <row r="265" spans="1:12" x14ac:dyDescent="0.25">
      <c r="A265" s="259" t="s">
        <v>332</v>
      </c>
      <c r="B265" s="260">
        <v>5.04</v>
      </c>
      <c r="C265" s="260">
        <v>0.86</v>
      </c>
      <c r="D265" s="260">
        <v>19.64</v>
      </c>
      <c r="E265" s="259" t="s">
        <v>54</v>
      </c>
      <c r="F265" s="260">
        <v>0.86</v>
      </c>
      <c r="G265" s="260">
        <v>14.77</v>
      </c>
      <c r="H265" s="260">
        <v>0.78</v>
      </c>
      <c r="I265" s="260">
        <v>1.22</v>
      </c>
      <c r="J265" s="260">
        <v>1.05</v>
      </c>
      <c r="K265" s="260">
        <v>0.81</v>
      </c>
      <c r="L265" s="259" t="s">
        <v>65</v>
      </c>
    </row>
    <row r="266" spans="1:12" x14ac:dyDescent="0.25">
      <c r="A266" s="259" t="s">
        <v>333</v>
      </c>
      <c r="B266" s="260">
        <v>7.81</v>
      </c>
      <c r="C266" s="260">
        <v>0.05</v>
      </c>
      <c r="D266" s="260">
        <v>16.579999999999998</v>
      </c>
      <c r="E266" s="260">
        <v>21.38</v>
      </c>
      <c r="F266" s="260">
        <v>0.05</v>
      </c>
      <c r="G266" s="260">
        <v>13.13</v>
      </c>
      <c r="H266" s="260">
        <v>0.69</v>
      </c>
      <c r="I266" s="260">
        <v>1.17</v>
      </c>
      <c r="J266" s="260">
        <v>0.95</v>
      </c>
      <c r="K266" s="260">
        <v>-0.73</v>
      </c>
      <c r="L266" s="259" t="s">
        <v>65</v>
      </c>
    </row>
    <row r="267" spans="1:12" x14ac:dyDescent="0.25">
      <c r="A267" s="259" t="s">
        <v>334</v>
      </c>
      <c r="B267" s="260">
        <v>7.42</v>
      </c>
      <c r="C267" s="260">
        <v>0.35</v>
      </c>
      <c r="D267" s="260">
        <v>16.149999999999999</v>
      </c>
      <c r="E267" s="260">
        <v>20.92</v>
      </c>
      <c r="F267" s="260">
        <v>0.35</v>
      </c>
      <c r="G267" s="260">
        <v>13.12</v>
      </c>
      <c r="H267" s="260">
        <v>0.66</v>
      </c>
      <c r="I267" s="260">
        <v>1.1299999999999999</v>
      </c>
      <c r="J267" s="260">
        <v>0.95</v>
      </c>
      <c r="K267" s="260">
        <v>-1.1000000000000001</v>
      </c>
      <c r="L267" s="259" t="s">
        <v>65</v>
      </c>
    </row>
    <row r="268" spans="1:12" hidden="1" x14ac:dyDescent="0.25">
      <c r="A268" s="259" t="s">
        <v>335</v>
      </c>
      <c r="B268" s="260">
        <v>3.57</v>
      </c>
      <c r="C268" s="260">
        <v>0.3</v>
      </c>
      <c r="D268" s="259" t="s">
        <v>54</v>
      </c>
      <c r="E268" s="259" t="s">
        <v>54</v>
      </c>
      <c r="F268" s="260">
        <v>0.3</v>
      </c>
      <c r="G268" s="259" t="s">
        <v>54</v>
      </c>
      <c r="H268" s="259" t="s">
        <v>54</v>
      </c>
      <c r="I268" s="259" t="s">
        <v>54</v>
      </c>
      <c r="J268" s="259" t="s">
        <v>54</v>
      </c>
      <c r="K268" s="259" t="s">
        <v>54</v>
      </c>
      <c r="L268" s="259" t="s">
        <v>58</v>
      </c>
    </row>
    <row r="269" spans="1:12" x14ac:dyDescent="0.25">
      <c r="A269" s="259" t="s">
        <v>336</v>
      </c>
      <c r="B269" s="259" t="s">
        <v>54</v>
      </c>
      <c r="C269" s="260">
        <v>0.75</v>
      </c>
      <c r="D269" s="259" t="s">
        <v>54</v>
      </c>
      <c r="E269" s="259" t="s">
        <v>54</v>
      </c>
      <c r="F269" s="260">
        <v>0.75</v>
      </c>
      <c r="G269" s="259" t="s">
        <v>54</v>
      </c>
      <c r="H269" s="259" t="s">
        <v>54</v>
      </c>
      <c r="I269" s="259" t="s">
        <v>54</v>
      </c>
      <c r="J269" s="259" t="s">
        <v>54</v>
      </c>
      <c r="K269" s="259" t="s">
        <v>54</v>
      </c>
      <c r="L269" s="259" t="s">
        <v>71</v>
      </c>
    </row>
    <row r="270" spans="1:12" x14ac:dyDescent="0.25">
      <c r="A270" s="259" t="s">
        <v>337</v>
      </c>
      <c r="B270" s="260">
        <v>6.22</v>
      </c>
      <c r="C270" s="260">
        <v>0.2</v>
      </c>
      <c r="D270" s="259" t="s">
        <v>54</v>
      </c>
      <c r="E270" s="259" t="s">
        <v>54</v>
      </c>
      <c r="F270" s="260">
        <v>0.2</v>
      </c>
      <c r="G270" s="259" t="s">
        <v>54</v>
      </c>
      <c r="H270" s="259" t="s">
        <v>54</v>
      </c>
      <c r="I270" s="259" t="s">
        <v>54</v>
      </c>
      <c r="J270" s="259" t="s">
        <v>54</v>
      </c>
      <c r="K270" s="259" t="s">
        <v>54</v>
      </c>
      <c r="L270" s="259" t="s">
        <v>84</v>
      </c>
    </row>
    <row r="271" spans="1:12" x14ac:dyDescent="0.25">
      <c r="A271" s="259" t="s">
        <v>338</v>
      </c>
      <c r="B271" s="260">
        <v>5.39</v>
      </c>
      <c r="C271" s="260">
        <v>0.83</v>
      </c>
      <c r="D271" s="259" t="s">
        <v>54</v>
      </c>
      <c r="E271" s="259" t="s">
        <v>54</v>
      </c>
      <c r="F271" s="260">
        <v>0.83</v>
      </c>
      <c r="G271" s="259" t="s">
        <v>54</v>
      </c>
      <c r="H271" s="259" t="s">
        <v>54</v>
      </c>
      <c r="I271" s="259" t="s">
        <v>54</v>
      </c>
      <c r="J271" s="259" t="s">
        <v>54</v>
      </c>
      <c r="K271" s="259" t="s">
        <v>54</v>
      </c>
      <c r="L271" s="259" t="s">
        <v>84</v>
      </c>
    </row>
    <row r="272" spans="1:12" x14ac:dyDescent="0.25">
      <c r="A272" s="259" t="s">
        <v>339</v>
      </c>
      <c r="B272" s="260">
        <v>-3.3</v>
      </c>
      <c r="C272" s="260">
        <v>0.25</v>
      </c>
      <c r="D272" s="259" t="s">
        <v>54</v>
      </c>
      <c r="E272" s="259" t="s">
        <v>54</v>
      </c>
      <c r="F272" s="260">
        <v>0.25</v>
      </c>
      <c r="G272" s="259" t="s">
        <v>54</v>
      </c>
      <c r="H272" s="259" t="s">
        <v>54</v>
      </c>
      <c r="I272" s="259" t="s">
        <v>54</v>
      </c>
      <c r="J272" s="259" t="s">
        <v>54</v>
      </c>
      <c r="K272" s="259" t="s">
        <v>54</v>
      </c>
      <c r="L272" s="259" t="s">
        <v>65</v>
      </c>
    </row>
    <row r="273" spans="1:12" x14ac:dyDescent="0.25">
      <c r="A273" s="259" t="s">
        <v>340</v>
      </c>
      <c r="B273" s="260">
        <v>-4.08</v>
      </c>
      <c r="C273" s="260">
        <v>0.66</v>
      </c>
      <c r="D273" s="260">
        <v>21.05</v>
      </c>
      <c r="E273" s="259" t="s">
        <v>54</v>
      </c>
      <c r="F273" s="260">
        <v>0.66</v>
      </c>
      <c r="G273" s="260">
        <v>19.53</v>
      </c>
      <c r="H273" s="260">
        <v>0.68</v>
      </c>
      <c r="I273" s="260">
        <v>1.02</v>
      </c>
      <c r="J273" s="260">
        <v>1.3</v>
      </c>
      <c r="K273" s="260">
        <v>-0.04</v>
      </c>
      <c r="L273" s="259" t="s">
        <v>65</v>
      </c>
    </row>
    <row r="274" spans="1:12" hidden="1" x14ac:dyDescent="0.25">
      <c r="A274" s="259" t="s">
        <v>341</v>
      </c>
      <c r="B274" s="260">
        <v>-8.7200000000000006</v>
      </c>
      <c r="C274" s="260">
        <v>0.89</v>
      </c>
      <c r="D274" s="259" t="s">
        <v>54</v>
      </c>
      <c r="E274" s="259" t="s">
        <v>54</v>
      </c>
      <c r="F274" s="260">
        <v>0.89</v>
      </c>
      <c r="G274" s="259" t="s">
        <v>54</v>
      </c>
      <c r="H274" s="259" t="s">
        <v>54</v>
      </c>
      <c r="I274" s="259" t="s">
        <v>54</v>
      </c>
      <c r="J274" s="259" t="s">
        <v>54</v>
      </c>
      <c r="K274" s="259" t="s">
        <v>54</v>
      </c>
      <c r="L274" s="259" t="s">
        <v>58</v>
      </c>
    </row>
    <row r="275" spans="1:12" x14ac:dyDescent="0.25">
      <c r="A275" s="259" t="s">
        <v>342</v>
      </c>
      <c r="B275" s="260">
        <v>4.41</v>
      </c>
      <c r="C275" s="260">
        <v>0.2</v>
      </c>
      <c r="D275" s="259" t="s">
        <v>54</v>
      </c>
      <c r="E275" s="259" t="s">
        <v>54</v>
      </c>
      <c r="F275" s="260">
        <v>0.2</v>
      </c>
      <c r="G275" s="259" t="s">
        <v>54</v>
      </c>
      <c r="H275" s="259" t="s">
        <v>54</v>
      </c>
      <c r="I275" s="259" t="s">
        <v>54</v>
      </c>
      <c r="J275" s="259" t="s">
        <v>54</v>
      </c>
      <c r="K275" s="259" t="s">
        <v>54</v>
      </c>
      <c r="L275" s="259" t="s">
        <v>103</v>
      </c>
    </row>
    <row r="276" spans="1:12" x14ac:dyDescent="0.25">
      <c r="A276" s="259" t="s">
        <v>343</v>
      </c>
      <c r="B276" s="260">
        <v>3.66</v>
      </c>
      <c r="C276" s="260">
        <v>0.81</v>
      </c>
      <c r="D276" s="259" t="s">
        <v>54</v>
      </c>
      <c r="E276" s="259" t="s">
        <v>54</v>
      </c>
      <c r="F276" s="260">
        <v>0.81</v>
      </c>
      <c r="G276" s="259" t="s">
        <v>54</v>
      </c>
      <c r="H276" s="259" t="s">
        <v>54</v>
      </c>
      <c r="I276" s="259" t="s">
        <v>54</v>
      </c>
      <c r="J276" s="259" t="s">
        <v>54</v>
      </c>
      <c r="K276" s="259" t="s">
        <v>54</v>
      </c>
      <c r="L276" s="259" t="s">
        <v>103</v>
      </c>
    </row>
    <row r="277" spans="1:12" x14ac:dyDescent="0.25">
      <c r="A277" s="259" t="s">
        <v>344</v>
      </c>
      <c r="B277" s="259" t="s">
        <v>54</v>
      </c>
      <c r="C277" s="260">
        <v>0.9</v>
      </c>
      <c r="D277" s="259" t="s">
        <v>54</v>
      </c>
      <c r="E277" s="259" t="s">
        <v>54</v>
      </c>
      <c r="F277" s="260">
        <v>0.9</v>
      </c>
      <c r="G277" s="259" t="s">
        <v>54</v>
      </c>
      <c r="H277" s="259" t="s">
        <v>54</v>
      </c>
      <c r="I277" s="259" t="s">
        <v>54</v>
      </c>
      <c r="J277" s="259" t="s">
        <v>54</v>
      </c>
      <c r="K277" s="259" t="s">
        <v>54</v>
      </c>
      <c r="L277" s="259" t="s">
        <v>65</v>
      </c>
    </row>
    <row r="278" spans="1:12" hidden="1" x14ac:dyDescent="0.25">
      <c r="A278" s="259" t="s">
        <v>345</v>
      </c>
      <c r="B278" s="260">
        <v>4.68</v>
      </c>
      <c r="C278" s="260">
        <v>2.25</v>
      </c>
      <c r="D278" s="259" t="s">
        <v>54</v>
      </c>
      <c r="E278" s="259" t="s">
        <v>54</v>
      </c>
      <c r="F278" s="260">
        <v>2.25</v>
      </c>
      <c r="G278" s="259" t="s">
        <v>54</v>
      </c>
      <c r="H278" s="259" t="s">
        <v>54</v>
      </c>
      <c r="I278" s="259" t="s">
        <v>54</v>
      </c>
      <c r="J278" s="259" t="s">
        <v>54</v>
      </c>
      <c r="K278" s="259" t="s">
        <v>54</v>
      </c>
      <c r="L278" s="259" t="s">
        <v>81</v>
      </c>
    </row>
    <row r="279" spans="1:12" x14ac:dyDescent="0.25">
      <c r="A279" s="259" t="s">
        <v>346</v>
      </c>
      <c r="B279" s="260">
        <v>5.75</v>
      </c>
      <c r="C279" s="260">
        <v>1.77</v>
      </c>
      <c r="D279" s="260">
        <v>22.22</v>
      </c>
      <c r="E279" s="260">
        <v>28.01</v>
      </c>
      <c r="F279" s="260">
        <v>1.77</v>
      </c>
      <c r="G279" s="260">
        <v>11.86</v>
      </c>
      <c r="H279" s="260">
        <v>1.18</v>
      </c>
      <c r="I279" s="260">
        <v>1.8</v>
      </c>
      <c r="J279" s="260">
        <v>0.8</v>
      </c>
      <c r="K279" s="260">
        <v>4.8099999999999996</v>
      </c>
      <c r="L279" s="259" t="s">
        <v>55</v>
      </c>
    </row>
    <row r="280" spans="1:12" x14ac:dyDescent="0.25">
      <c r="A280" s="259" t="s">
        <v>347</v>
      </c>
      <c r="B280" s="260">
        <v>5.88</v>
      </c>
      <c r="C280" s="260">
        <v>1.59</v>
      </c>
      <c r="D280" s="260">
        <v>27.34</v>
      </c>
      <c r="E280" s="260">
        <v>35.25</v>
      </c>
      <c r="F280" s="260">
        <v>1.59</v>
      </c>
      <c r="G280" s="260">
        <v>16.329999999999998</v>
      </c>
      <c r="H280" s="260">
        <v>1.1299999999999999</v>
      </c>
      <c r="I280" s="260">
        <v>1.67</v>
      </c>
      <c r="J280" s="260">
        <v>0.81</v>
      </c>
      <c r="K280" s="260">
        <v>3.63</v>
      </c>
      <c r="L280" s="259" t="s">
        <v>103</v>
      </c>
    </row>
    <row r="281" spans="1:12" hidden="1" x14ac:dyDescent="0.25">
      <c r="A281" s="259" t="s">
        <v>348</v>
      </c>
      <c r="B281" s="260">
        <v>-1.2</v>
      </c>
      <c r="C281" s="260">
        <v>2.12</v>
      </c>
      <c r="D281" s="259" t="s">
        <v>54</v>
      </c>
      <c r="E281" s="259" t="s">
        <v>54</v>
      </c>
      <c r="F281" s="260">
        <v>2.12</v>
      </c>
      <c r="G281" s="259" t="s">
        <v>54</v>
      </c>
      <c r="H281" s="259" t="s">
        <v>54</v>
      </c>
      <c r="I281" s="259" t="s">
        <v>54</v>
      </c>
      <c r="J281" s="259" t="s">
        <v>54</v>
      </c>
      <c r="K281" s="259" t="s">
        <v>54</v>
      </c>
      <c r="L281" s="259" t="s">
        <v>58</v>
      </c>
    </row>
    <row r="282" spans="1:12" x14ac:dyDescent="0.25">
      <c r="A282" s="259" t="s">
        <v>349</v>
      </c>
      <c r="B282" s="260">
        <v>3.75</v>
      </c>
      <c r="C282" s="260">
        <v>2.4</v>
      </c>
      <c r="D282" s="259" t="s">
        <v>54</v>
      </c>
      <c r="E282" s="259" t="s">
        <v>54</v>
      </c>
      <c r="F282" s="260">
        <v>2.4</v>
      </c>
      <c r="G282" s="259" t="s">
        <v>54</v>
      </c>
      <c r="H282" s="259" t="s">
        <v>54</v>
      </c>
      <c r="I282" s="259" t="s">
        <v>54</v>
      </c>
      <c r="J282" s="259" t="s">
        <v>54</v>
      </c>
      <c r="K282" s="259" t="s">
        <v>54</v>
      </c>
      <c r="L282" s="259" t="s">
        <v>62</v>
      </c>
    </row>
    <row r="283" spans="1:12" x14ac:dyDescent="0.25">
      <c r="A283" s="259" t="s">
        <v>350</v>
      </c>
      <c r="B283" s="260">
        <v>6.72</v>
      </c>
      <c r="C283" s="260">
        <v>1.9</v>
      </c>
      <c r="D283" s="259" t="s">
        <v>54</v>
      </c>
      <c r="E283" s="259" t="s">
        <v>54</v>
      </c>
      <c r="F283" s="260">
        <v>1.9</v>
      </c>
      <c r="G283" s="259" t="s">
        <v>54</v>
      </c>
      <c r="H283" s="259" t="s">
        <v>54</v>
      </c>
      <c r="I283" s="259" t="s">
        <v>54</v>
      </c>
      <c r="J283" s="259" t="s">
        <v>54</v>
      </c>
      <c r="K283" s="259" t="s">
        <v>54</v>
      </c>
      <c r="L283" s="259" t="s">
        <v>55</v>
      </c>
    </row>
    <row r="284" spans="1:12" x14ac:dyDescent="0.25">
      <c r="A284" s="259" t="s">
        <v>351</v>
      </c>
      <c r="B284" s="259" t="s">
        <v>54</v>
      </c>
      <c r="C284" s="260">
        <v>2.38</v>
      </c>
      <c r="D284" s="259" t="s">
        <v>54</v>
      </c>
      <c r="E284" s="259" t="s">
        <v>54</v>
      </c>
      <c r="F284" s="260">
        <v>2.38</v>
      </c>
      <c r="G284" s="259" t="s">
        <v>54</v>
      </c>
      <c r="H284" s="259" t="s">
        <v>54</v>
      </c>
      <c r="I284" s="259" t="s">
        <v>54</v>
      </c>
      <c r="J284" s="259" t="s">
        <v>54</v>
      </c>
      <c r="K284" s="259" t="s">
        <v>54</v>
      </c>
      <c r="L284" s="259" t="s">
        <v>71</v>
      </c>
    </row>
    <row r="285" spans="1:12" x14ac:dyDescent="0.25">
      <c r="A285" s="259" t="s">
        <v>352</v>
      </c>
      <c r="B285" s="259" t="s">
        <v>54</v>
      </c>
      <c r="C285" s="260">
        <v>2.39</v>
      </c>
      <c r="D285" s="259" t="s">
        <v>54</v>
      </c>
      <c r="E285" s="259" t="s">
        <v>54</v>
      </c>
      <c r="F285" s="260">
        <v>2.39</v>
      </c>
      <c r="G285" s="259" t="s">
        <v>54</v>
      </c>
      <c r="H285" s="259" t="s">
        <v>54</v>
      </c>
      <c r="I285" s="259" t="s">
        <v>54</v>
      </c>
      <c r="J285" s="259" t="s">
        <v>54</v>
      </c>
      <c r="K285" s="259" t="s">
        <v>54</v>
      </c>
      <c r="L285" s="259" t="s">
        <v>84</v>
      </c>
    </row>
    <row r="286" spans="1:12" x14ac:dyDescent="0.25">
      <c r="A286" s="259" t="s">
        <v>353</v>
      </c>
      <c r="B286" s="260">
        <v>7.89</v>
      </c>
      <c r="C286" s="260">
        <v>2.11</v>
      </c>
      <c r="D286" s="260">
        <v>12.75</v>
      </c>
      <c r="E286" s="260">
        <v>11.67</v>
      </c>
      <c r="F286" s="260">
        <v>2.11</v>
      </c>
      <c r="G286" s="260">
        <v>6.95</v>
      </c>
      <c r="H286" s="260">
        <v>0.8</v>
      </c>
      <c r="I286" s="260">
        <v>1.18</v>
      </c>
      <c r="J286" s="260">
        <v>0.61</v>
      </c>
      <c r="K286" s="260">
        <v>0.74</v>
      </c>
      <c r="L286" s="259" t="s">
        <v>62</v>
      </c>
    </row>
    <row r="287" spans="1:12" hidden="1" x14ac:dyDescent="0.25">
      <c r="A287" s="259" t="s">
        <v>354</v>
      </c>
      <c r="B287" s="260">
        <v>8.1199999999999992</v>
      </c>
      <c r="C287" s="260">
        <v>2.2400000000000002</v>
      </c>
      <c r="D287" s="260">
        <v>26.66</v>
      </c>
      <c r="E287" s="260">
        <v>28.72</v>
      </c>
      <c r="F287" s="260">
        <v>2.2400000000000002</v>
      </c>
      <c r="G287" s="260">
        <v>17.87</v>
      </c>
      <c r="H287" s="260">
        <v>0.99</v>
      </c>
      <c r="I287" s="260">
        <v>1.39</v>
      </c>
      <c r="J287" s="260">
        <v>1.1100000000000001</v>
      </c>
      <c r="K287" s="260">
        <v>4.87</v>
      </c>
      <c r="L287" s="259" t="s">
        <v>58</v>
      </c>
    </row>
    <row r="288" spans="1:12" hidden="1" x14ac:dyDescent="0.25">
      <c r="A288" s="259" t="s">
        <v>355</v>
      </c>
      <c r="B288" s="260">
        <v>7.21</v>
      </c>
      <c r="C288" s="260">
        <v>2.11</v>
      </c>
      <c r="D288" s="259" t="s">
        <v>54</v>
      </c>
      <c r="E288" s="259" t="s">
        <v>54</v>
      </c>
      <c r="F288" s="260">
        <v>2.11</v>
      </c>
      <c r="G288" s="259" t="s">
        <v>54</v>
      </c>
      <c r="H288" s="259" t="s">
        <v>54</v>
      </c>
      <c r="I288" s="259" t="s">
        <v>54</v>
      </c>
      <c r="J288" s="259" t="s">
        <v>54</v>
      </c>
      <c r="K288" s="259" t="s">
        <v>54</v>
      </c>
      <c r="L288" s="259" t="s">
        <v>81</v>
      </c>
    </row>
    <row r="289" spans="1:12" x14ac:dyDescent="0.25">
      <c r="A289" s="259" t="s">
        <v>356</v>
      </c>
      <c r="B289" s="260">
        <v>7.46</v>
      </c>
      <c r="C289" s="260">
        <v>1.93</v>
      </c>
      <c r="D289" s="260">
        <v>22.84</v>
      </c>
      <c r="E289" s="260">
        <v>23.93</v>
      </c>
      <c r="F289" s="260">
        <v>1.93</v>
      </c>
      <c r="G289" s="260">
        <v>14.83</v>
      </c>
      <c r="H289" s="260">
        <v>0.98</v>
      </c>
      <c r="I289" s="260">
        <v>1.27</v>
      </c>
      <c r="J289" s="260">
        <v>0.97</v>
      </c>
      <c r="K289" s="260">
        <v>3.32</v>
      </c>
      <c r="L289" s="259" t="s">
        <v>55</v>
      </c>
    </row>
    <row r="290" spans="1:12" x14ac:dyDescent="0.25">
      <c r="A290" s="259" t="s">
        <v>357</v>
      </c>
      <c r="B290" s="260">
        <v>6.25</v>
      </c>
      <c r="C290" s="260">
        <v>2.12</v>
      </c>
      <c r="D290" s="260">
        <v>18.3</v>
      </c>
      <c r="E290" s="259" t="s">
        <v>54</v>
      </c>
      <c r="F290" s="260">
        <v>2.12</v>
      </c>
      <c r="G290" s="260">
        <v>15.13</v>
      </c>
      <c r="H290" s="260">
        <v>0.69</v>
      </c>
      <c r="I290" s="260">
        <v>0.96</v>
      </c>
      <c r="J290" s="260">
        <v>0.96</v>
      </c>
      <c r="K290" s="260">
        <v>-0.64</v>
      </c>
      <c r="L290" s="259" t="s">
        <v>55</v>
      </c>
    </row>
    <row r="291" spans="1:12" hidden="1" x14ac:dyDescent="0.25">
      <c r="A291" s="259" t="s">
        <v>358</v>
      </c>
      <c r="B291" s="259" t="s">
        <v>54</v>
      </c>
      <c r="C291" s="260">
        <v>2.0699999999999998</v>
      </c>
      <c r="D291" s="259" t="s">
        <v>54</v>
      </c>
      <c r="E291" s="259" t="s">
        <v>54</v>
      </c>
      <c r="F291" s="260">
        <v>2.0699999999999998</v>
      </c>
      <c r="G291" s="259" t="s">
        <v>54</v>
      </c>
      <c r="H291" s="259" t="s">
        <v>54</v>
      </c>
      <c r="I291" s="259" t="s">
        <v>54</v>
      </c>
      <c r="J291" s="259" t="s">
        <v>54</v>
      </c>
      <c r="K291" s="259" t="s">
        <v>54</v>
      </c>
      <c r="L291" s="259" t="s">
        <v>58</v>
      </c>
    </row>
    <row r="292" spans="1:12" x14ac:dyDescent="0.25">
      <c r="A292" s="259" t="s">
        <v>359</v>
      </c>
      <c r="B292" s="260">
        <v>2.83</v>
      </c>
      <c r="C292" s="260">
        <v>1.91</v>
      </c>
      <c r="D292" s="260">
        <v>23.17</v>
      </c>
      <c r="E292" s="260">
        <v>23.96</v>
      </c>
      <c r="F292" s="260">
        <v>1.91</v>
      </c>
      <c r="G292" s="260">
        <v>16.95</v>
      </c>
      <c r="H292" s="260">
        <v>0.88</v>
      </c>
      <c r="I292" s="260">
        <v>0.98</v>
      </c>
      <c r="J292" s="260">
        <v>0.99</v>
      </c>
      <c r="K292" s="260">
        <v>4.0199999999999996</v>
      </c>
      <c r="L292" s="259" t="s">
        <v>71</v>
      </c>
    </row>
    <row r="293" spans="1:12" x14ac:dyDescent="0.25">
      <c r="A293" s="259" t="s">
        <v>360</v>
      </c>
      <c r="B293" s="260">
        <v>4.13</v>
      </c>
      <c r="C293" s="260">
        <v>2.14</v>
      </c>
      <c r="D293" s="260">
        <v>17.510000000000002</v>
      </c>
      <c r="E293" s="260">
        <v>19.78</v>
      </c>
      <c r="F293" s="260">
        <v>2.14</v>
      </c>
      <c r="G293" s="260">
        <v>13.9</v>
      </c>
      <c r="H293" s="260">
        <v>0.7</v>
      </c>
      <c r="I293" s="260">
        <v>1.07</v>
      </c>
      <c r="J293" s="260">
        <v>0.98</v>
      </c>
      <c r="K293" s="260">
        <v>-0.36</v>
      </c>
      <c r="L293" s="259" t="s">
        <v>65</v>
      </c>
    </row>
    <row r="294" spans="1:12" x14ac:dyDescent="0.25">
      <c r="A294" s="259" t="s">
        <v>361</v>
      </c>
      <c r="B294" s="260">
        <v>5.53</v>
      </c>
      <c r="C294" s="260">
        <v>1.73</v>
      </c>
      <c r="D294" s="260">
        <v>26.1</v>
      </c>
      <c r="E294" s="260">
        <v>26.82</v>
      </c>
      <c r="F294" s="260">
        <v>1.73</v>
      </c>
      <c r="G294" s="260">
        <v>17.34</v>
      </c>
      <c r="H294" s="260">
        <v>1.01</v>
      </c>
      <c r="I294" s="260">
        <v>1.1200000000000001</v>
      </c>
      <c r="J294" s="260">
        <v>0.95</v>
      </c>
      <c r="K294" s="260">
        <v>0.36</v>
      </c>
      <c r="L294" s="259" t="s">
        <v>84</v>
      </c>
    </row>
    <row r="295" spans="1:12" x14ac:dyDescent="0.25">
      <c r="A295" s="259" t="s">
        <v>362</v>
      </c>
      <c r="B295" s="260">
        <v>8.64</v>
      </c>
      <c r="C295" s="260">
        <v>1.45</v>
      </c>
      <c r="D295" s="260">
        <v>16.32</v>
      </c>
      <c r="E295" s="260">
        <v>17.690000000000001</v>
      </c>
      <c r="F295" s="260">
        <v>1.45</v>
      </c>
      <c r="G295" s="260">
        <v>9.6300000000000008</v>
      </c>
      <c r="H295" s="260">
        <v>0.85</v>
      </c>
      <c r="I295" s="260">
        <v>1.21</v>
      </c>
      <c r="J295" s="260">
        <v>0.95</v>
      </c>
      <c r="K295" s="260">
        <v>-0.26</v>
      </c>
      <c r="L295" s="259" t="s">
        <v>60</v>
      </c>
    </row>
    <row r="296" spans="1:12" x14ac:dyDescent="0.25">
      <c r="A296" s="259" t="s">
        <v>363</v>
      </c>
      <c r="B296" s="260">
        <v>3.61</v>
      </c>
      <c r="C296" s="260">
        <v>1.87</v>
      </c>
      <c r="D296" s="259" t="s">
        <v>54</v>
      </c>
      <c r="E296" s="259" t="s">
        <v>54</v>
      </c>
      <c r="F296" s="260">
        <v>1.87</v>
      </c>
      <c r="G296" s="259" t="s">
        <v>54</v>
      </c>
      <c r="H296" s="259" t="s">
        <v>54</v>
      </c>
      <c r="I296" s="259" t="s">
        <v>54</v>
      </c>
      <c r="J296" s="259" t="s">
        <v>54</v>
      </c>
      <c r="K296" s="259" t="s">
        <v>54</v>
      </c>
      <c r="L296" s="259" t="s">
        <v>60</v>
      </c>
    </row>
    <row r="297" spans="1:12" x14ac:dyDescent="0.25">
      <c r="A297" s="259" t="s">
        <v>364</v>
      </c>
      <c r="B297" s="260">
        <v>4.17</v>
      </c>
      <c r="C297" s="260">
        <v>1.85</v>
      </c>
      <c r="D297" s="259" t="s">
        <v>54</v>
      </c>
      <c r="E297" s="259" t="s">
        <v>54</v>
      </c>
      <c r="F297" s="260">
        <v>1.85</v>
      </c>
      <c r="G297" s="259" t="s">
        <v>54</v>
      </c>
      <c r="H297" s="259" t="s">
        <v>54</v>
      </c>
      <c r="I297" s="259" t="s">
        <v>54</v>
      </c>
      <c r="J297" s="259" t="s">
        <v>54</v>
      </c>
      <c r="K297" s="259" t="s">
        <v>54</v>
      </c>
      <c r="L297" s="259" t="s">
        <v>89</v>
      </c>
    </row>
    <row r="298" spans="1:12" x14ac:dyDescent="0.25">
      <c r="A298" s="259" t="s">
        <v>365</v>
      </c>
      <c r="B298" s="260">
        <v>7.31</v>
      </c>
      <c r="C298" s="260">
        <v>0.44</v>
      </c>
      <c r="D298" s="260">
        <v>16.04</v>
      </c>
      <c r="E298" s="260">
        <v>20.7</v>
      </c>
      <c r="F298" s="260">
        <v>0.44</v>
      </c>
      <c r="G298" s="260">
        <v>13.1</v>
      </c>
      <c r="H298" s="260">
        <v>0.65</v>
      </c>
      <c r="I298" s="260">
        <v>1.1200000000000001</v>
      </c>
      <c r="J298" s="260">
        <v>0.95</v>
      </c>
      <c r="K298" s="260">
        <v>-1.18</v>
      </c>
      <c r="L298" s="259" t="s">
        <v>65</v>
      </c>
    </row>
    <row r="299" spans="1:12" x14ac:dyDescent="0.25">
      <c r="A299" s="259" t="s">
        <v>366</v>
      </c>
      <c r="B299" s="260">
        <v>-4.22</v>
      </c>
      <c r="C299" s="260">
        <v>0.72</v>
      </c>
      <c r="D299" s="260">
        <v>20.92</v>
      </c>
      <c r="E299" s="260">
        <v>21.57</v>
      </c>
      <c r="F299" s="260">
        <v>0.72</v>
      </c>
      <c r="G299" s="260">
        <v>19.489999999999998</v>
      </c>
      <c r="H299" s="260">
        <v>0.68</v>
      </c>
      <c r="I299" s="260">
        <v>1.01</v>
      </c>
      <c r="J299" s="260">
        <v>1.3</v>
      </c>
      <c r="K299" s="260">
        <v>-0.14000000000000001</v>
      </c>
      <c r="L299" s="259" t="s">
        <v>65</v>
      </c>
    </row>
    <row r="300" spans="1:12" x14ac:dyDescent="0.25">
      <c r="A300" s="259" t="s">
        <v>367</v>
      </c>
      <c r="B300" s="260">
        <v>0.54</v>
      </c>
      <c r="C300" s="260">
        <v>1.68</v>
      </c>
      <c r="D300" s="260">
        <v>24.89</v>
      </c>
      <c r="E300" s="260">
        <v>35.75</v>
      </c>
      <c r="F300" s="260">
        <v>1.68</v>
      </c>
      <c r="G300" s="260">
        <v>18.41</v>
      </c>
      <c r="H300" s="260">
        <v>0.9</v>
      </c>
      <c r="I300" s="260">
        <v>1.1599999999999999</v>
      </c>
      <c r="J300" s="260">
        <v>0.9</v>
      </c>
      <c r="K300" s="260">
        <v>0.12</v>
      </c>
      <c r="L300" s="259" t="s">
        <v>103</v>
      </c>
    </row>
    <row r="301" spans="1:12" x14ac:dyDescent="0.25">
      <c r="A301" s="259" t="s">
        <v>368</v>
      </c>
      <c r="B301" s="260">
        <v>11.15</v>
      </c>
      <c r="C301" s="260">
        <v>1.27</v>
      </c>
      <c r="D301" s="260">
        <v>15.17</v>
      </c>
      <c r="E301" s="260">
        <v>17.010000000000002</v>
      </c>
      <c r="F301" s="260">
        <v>1.27</v>
      </c>
      <c r="G301" s="260">
        <v>5.27</v>
      </c>
      <c r="H301" s="260">
        <v>1.45</v>
      </c>
      <c r="I301" s="260">
        <v>1.94</v>
      </c>
      <c r="J301" s="260">
        <v>0.52</v>
      </c>
      <c r="K301" s="260">
        <v>3.02</v>
      </c>
      <c r="L301" s="259" t="s">
        <v>60</v>
      </c>
    </row>
    <row r="302" spans="1:12" x14ac:dyDescent="0.25">
      <c r="A302" s="259" t="s">
        <v>369</v>
      </c>
      <c r="B302" s="260">
        <v>9.7200000000000006</v>
      </c>
      <c r="C302" s="260">
        <v>1.45</v>
      </c>
      <c r="D302" s="260">
        <v>14.26</v>
      </c>
      <c r="E302" s="260">
        <v>16.260000000000002</v>
      </c>
      <c r="F302" s="260">
        <v>1.45</v>
      </c>
      <c r="G302" s="260">
        <v>5.76</v>
      </c>
      <c r="H302" s="260">
        <v>1.18</v>
      </c>
      <c r="I302" s="260">
        <v>1.86</v>
      </c>
      <c r="J302" s="260">
        <v>0.54</v>
      </c>
      <c r="K302" s="260">
        <v>2.57</v>
      </c>
      <c r="L302" s="259" t="s">
        <v>62</v>
      </c>
    </row>
    <row r="303" spans="1:12" x14ac:dyDescent="0.25">
      <c r="A303" s="259" t="s">
        <v>370</v>
      </c>
      <c r="B303" s="260">
        <v>-0.94</v>
      </c>
      <c r="C303" s="260">
        <v>0.13</v>
      </c>
      <c r="D303" s="260">
        <v>31.2</v>
      </c>
      <c r="E303" s="260">
        <v>34.119999999999997</v>
      </c>
      <c r="F303" s="260">
        <v>0.13</v>
      </c>
      <c r="G303" s="260">
        <v>17.7</v>
      </c>
      <c r="H303" s="260">
        <v>1.27</v>
      </c>
      <c r="I303" s="260">
        <v>2.0699999999999998</v>
      </c>
      <c r="J303" s="260">
        <v>1.1000000000000001</v>
      </c>
      <c r="K303" s="260">
        <v>11.14</v>
      </c>
      <c r="L303" s="259" t="s">
        <v>65</v>
      </c>
    </row>
    <row r="304" spans="1:12" hidden="1" x14ac:dyDescent="0.25">
      <c r="A304" s="259" t="s">
        <v>371</v>
      </c>
      <c r="B304" s="260">
        <v>1.98</v>
      </c>
      <c r="C304" s="260">
        <v>2</v>
      </c>
      <c r="D304" s="260">
        <v>19.48</v>
      </c>
      <c r="E304" s="260">
        <v>21.69</v>
      </c>
      <c r="F304" s="260">
        <v>2</v>
      </c>
      <c r="G304" s="260">
        <v>12.78</v>
      </c>
      <c r="H304" s="260">
        <v>0.93</v>
      </c>
      <c r="I304" s="260">
        <v>1.18</v>
      </c>
      <c r="J304" s="260">
        <v>0.67</v>
      </c>
      <c r="K304" s="260">
        <v>2.29</v>
      </c>
      <c r="L304" s="259" t="s">
        <v>81</v>
      </c>
    </row>
    <row r="305" spans="1:12" x14ac:dyDescent="0.25">
      <c r="A305" s="259" t="s">
        <v>372</v>
      </c>
      <c r="B305" s="260">
        <v>7.75</v>
      </c>
      <c r="C305" s="260">
        <v>1.42</v>
      </c>
      <c r="D305" s="260">
        <v>20.81</v>
      </c>
      <c r="E305" s="260">
        <v>24.12</v>
      </c>
      <c r="F305" s="260">
        <v>1.42</v>
      </c>
      <c r="G305" s="260">
        <v>12.53</v>
      </c>
      <c r="H305" s="260">
        <v>1.01</v>
      </c>
      <c r="I305" s="260">
        <v>1.79</v>
      </c>
      <c r="J305" s="260">
        <v>0.89</v>
      </c>
      <c r="K305" s="260">
        <v>3.56</v>
      </c>
      <c r="L305" s="259" t="s">
        <v>65</v>
      </c>
    </row>
    <row r="306" spans="1:12" x14ac:dyDescent="0.25">
      <c r="A306" s="259" t="s">
        <v>373</v>
      </c>
      <c r="B306" s="260">
        <v>4.93</v>
      </c>
      <c r="C306" s="260">
        <v>0.32</v>
      </c>
      <c r="D306" s="260">
        <v>19.07</v>
      </c>
      <c r="E306" s="260">
        <v>23.79</v>
      </c>
      <c r="F306" s="260">
        <v>0.32</v>
      </c>
      <c r="G306" s="260">
        <v>14.5</v>
      </c>
      <c r="H306" s="260">
        <v>0.77</v>
      </c>
      <c r="I306" s="260">
        <v>1.22</v>
      </c>
      <c r="J306" s="260">
        <v>1</v>
      </c>
      <c r="K306" s="260">
        <v>-0.32</v>
      </c>
      <c r="L306" s="259" t="s">
        <v>55</v>
      </c>
    </row>
    <row r="307" spans="1:12" x14ac:dyDescent="0.25">
      <c r="A307" s="259" t="s">
        <v>374</v>
      </c>
      <c r="B307" s="260">
        <v>4.3600000000000003</v>
      </c>
      <c r="C307" s="260">
        <v>0.57999999999999996</v>
      </c>
      <c r="D307" s="260">
        <v>17.760000000000002</v>
      </c>
      <c r="E307" s="259" t="s">
        <v>54</v>
      </c>
      <c r="F307" s="260">
        <v>0.57999999999999996</v>
      </c>
      <c r="G307" s="260">
        <v>14.05</v>
      </c>
      <c r="H307" s="260">
        <v>0.74</v>
      </c>
      <c r="I307" s="260">
        <v>1.1200000000000001</v>
      </c>
      <c r="J307" s="260">
        <v>0.96</v>
      </c>
      <c r="K307" s="260">
        <v>-0.66</v>
      </c>
      <c r="L307" s="259" t="s">
        <v>55</v>
      </c>
    </row>
    <row r="308" spans="1:12" x14ac:dyDescent="0.25">
      <c r="A308" s="259" t="s">
        <v>375</v>
      </c>
      <c r="B308" s="260">
        <v>4.0599999999999996</v>
      </c>
      <c r="C308" s="260">
        <v>0.15</v>
      </c>
      <c r="D308" s="260">
        <v>22.75</v>
      </c>
      <c r="E308" s="260">
        <v>25.93</v>
      </c>
      <c r="F308" s="260">
        <v>0.15</v>
      </c>
      <c r="G308" s="260">
        <v>18.079999999999998</v>
      </c>
      <c r="H308" s="260">
        <v>0.8</v>
      </c>
      <c r="I308" s="260">
        <v>1.1100000000000001</v>
      </c>
      <c r="J308" s="260">
        <v>1.02</v>
      </c>
      <c r="K308" s="260">
        <v>-4.03</v>
      </c>
      <c r="L308" s="259" t="s">
        <v>84</v>
      </c>
    </row>
    <row r="309" spans="1:12" x14ac:dyDescent="0.25">
      <c r="A309" s="259" t="s">
        <v>376</v>
      </c>
      <c r="B309" s="260">
        <v>7.78</v>
      </c>
      <c r="C309" s="260">
        <v>0.03</v>
      </c>
      <c r="D309" s="260">
        <v>15.91</v>
      </c>
      <c r="E309" s="260">
        <v>20.69</v>
      </c>
      <c r="F309" s="260">
        <v>0.03</v>
      </c>
      <c r="G309" s="260">
        <v>12.71</v>
      </c>
      <c r="H309" s="260">
        <v>0.67</v>
      </c>
      <c r="I309" s="260">
        <v>1.1100000000000001</v>
      </c>
      <c r="J309" s="260">
        <v>0.91</v>
      </c>
      <c r="K309" s="260">
        <v>-0.91</v>
      </c>
      <c r="L309" s="259" t="s">
        <v>65</v>
      </c>
    </row>
    <row r="310" spans="1:12" x14ac:dyDescent="0.25">
      <c r="A310" s="259" t="s">
        <v>377</v>
      </c>
      <c r="B310" s="260">
        <v>7.46</v>
      </c>
      <c r="C310" s="260">
        <v>0.28000000000000003</v>
      </c>
      <c r="D310" s="260">
        <v>15.53</v>
      </c>
      <c r="E310" s="260">
        <v>20.21</v>
      </c>
      <c r="F310" s="260">
        <v>0.28000000000000003</v>
      </c>
      <c r="G310" s="260">
        <v>12.71</v>
      </c>
      <c r="H310" s="260">
        <v>0.64</v>
      </c>
      <c r="I310" s="260">
        <v>1.07</v>
      </c>
      <c r="J310" s="260">
        <v>0.91</v>
      </c>
      <c r="K310" s="260">
        <v>-1.24</v>
      </c>
      <c r="L310" s="259" t="s">
        <v>65</v>
      </c>
    </row>
    <row r="311" spans="1:12" hidden="1" x14ac:dyDescent="0.25">
      <c r="A311" s="259" t="s">
        <v>378</v>
      </c>
      <c r="B311" s="260">
        <v>8.8000000000000007</v>
      </c>
      <c r="C311" s="260">
        <v>1.7</v>
      </c>
      <c r="D311" s="260">
        <v>24.46</v>
      </c>
      <c r="E311" s="259" t="s">
        <v>54</v>
      </c>
      <c r="F311" s="260">
        <v>1.7</v>
      </c>
      <c r="G311" s="260">
        <v>12.98</v>
      </c>
      <c r="H311" s="260">
        <v>1.21</v>
      </c>
      <c r="I311" s="260">
        <v>2.5299999999999998</v>
      </c>
      <c r="J311" s="260">
        <v>0.85</v>
      </c>
      <c r="K311" s="260">
        <v>6</v>
      </c>
      <c r="L311" s="259" t="s">
        <v>58</v>
      </c>
    </row>
    <row r="312" spans="1:12" hidden="1" x14ac:dyDescent="0.25">
      <c r="A312" s="259" t="s">
        <v>379</v>
      </c>
      <c r="B312" s="260">
        <v>-2.29</v>
      </c>
      <c r="C312" s="260">
        <v>2</v>
      </c>
      <c r="D312" s="260">
        <v>21.24</v>
      </c>
      <c r="E312" s="260">
        <v>36</v>
      </c>
      <c r="F312" s="260">
        <v>2</v>
      </c>
      <c r="G312" s="260">
        <v>16.79</v>
      </c>
      <c r="H312" s="260">
        <v>0.76</v>
      </c>
      <c r="I312" s="260">
        <v>1.17</v>
      </c>
      <c r="J312" s="260">
        <v>1.03</v>
      </c>
      <c r="K312" s="260">
        <v>0.88</v>
      </c>
      <c r="L312" s="259" t="s">
        <v>58</v>
      </c>
    </row>
    <row r="313" spans="1:12" hidden="1" x14ac:dyDescent="0.25">
      <c r="A313" s="259" t="s">
        <v>380</v>
      </c>
      <c r="B313" s="260">
        <v>7.4</v>
      </c>
      <c r="C313" s="260">
        <v>1.83</v>
      </c>
      <c r="D313" s="260">
        <v>25.74</v>
      </c>
      <c r="E313" s="260">
        <v>31.39</v>
      </c>
      <c r="F313" s="260">
        <v>1.83</v>
      </c>
      <c r="G313" s="260">
        <v>13.04</v>
      </c>
      <c r="H313" s="260">
        <v>1.31</v>
      </c>
      <c r="I313" s="260">
        <v>2.12</v>
      </c>
      <c r="J313" s="260">
        <v>0.84</v>
      </c>
      <c r="K313" s="260">
        <v>7.34</v>
      </c>
      <c r="L313" s="259" t="s">
        <v>69</v>
      </c>
    </row>
    <row r="314" spans="1:12" hidden="1" x14ac:dyDescent="0.25">
      <c r="A314" s="259" t="s">
        <v>381</v>
      </c>
      <c r="B314" s="259" t="s">
        <v>54</v>
      </c>
      <c r="C314" s="260">
        <v>1.72</v>
      </c>
      <c r="D314" s="259" t="s">
        <v>54</v>
      </c>
      <c r="E314" s="259" t="s">
        <v>54</v>
      </c>
      <c r="F314" s="260">
        <v>1.72</v>
      </c>
      <c r="G314" s="259" t="s">
        <v>54</v>
      </c>
      <c r="H314" s="259" t="s">
        <v>54</v>
      </c>
      <c r="I314" s="259" t="s">
        <v>54</v>
      </c>
      <c r="J314" s="259" t="s">
        <v>54</v>
      </c>
      <c r="K314" s="259" t="s">
        <v>54</v>
      </c>
      <c r="L314" s="259" t="s">
        <v>194</v>
      </c>
    </row>
    <row r="315" spans="1:12" hidden="1" x14ac:dyDescent="0.25">
      <c r="A315" s="259" t="s">
        <v>382</v>
      </c>
      <c r="B315" s="259" t="s">
        <v>54</v>
      </c>
      <c r="C315" s="260">
        <v>1.91</v>
      </c>
      <c r="D315" s="259" t="s">
        <v>54</v>
      </c>
      <c r="E315" s="259" t="s">
        <v>54</v>
      </c>
      <c r="F315" s="260">
        <v>1.91</v>
      </c>
      <c r="G315" s="259" t="s">
        <v>54</v>
      </c>
      <c r="H315" s="259" t="s">
        <v>54</v>
      </c>
      <c r="I315" s="259" t="s">
        <v>54</v>
      </c>
      <c r="J315" s="259" t="s">
        <v>54</v>
      </c>
      <c r="K315" s="259" t="s">
        <v>54</v>
      </c>
      <c r="L315" s="259" t="s">
        <v>58</v>
      </c>
    </row>
    <row r="316" spans="1:12" hidden="1" x14ac:dyDescent="0.25">
      <c r="A316" s="259" t="s">
        <v>383</v>
      </c>
      <c r="B316" s="260">
        <v>13.09</v>
      </c>
      <c r="C316" s="260">
        <v>2.14</v>
      </c>
      <c r="D316" s="260">
        <v>21.92</v>
      </c>
      <c r="E316" s="259" t="s">
        <v>54</v>
      </c>
      <c r="F316" s="260">
        <v>2.14</v>
      </c>
      <c r="G316" s="260">
        <v>12.84</v>
      </c>
      <c r="H316" s="260">
        <v>1.0900000000000001</v>
      </c>
      <c r="I316" s="260">
        <v>1.76</v>
      </c>
      <c r="J316" s="260">
        <v>0.86</v>
      </c>
      <c r="K316" s="260">
        <v>5.21</v>
      </c>
      <c r="L316" s="259" t="s">
        <v>73</v>
      </c>
    </row>
    <row r="317" spans="1:12" hidden="1" x14ac:dyDescent="0.25">
      <c r="A317" s="259" t="s">
        <v>384</v>
      </c>
      <c r="B317" s="260">
        <v>12.86</v>
      </c>
      <c r="C317" s="260">
        <v>2.27</v>
      </c>
      <c r="D317" s="260">
        <v>23.16</v>
      </c>
      <c r="E317" s="260">
        <v>27.03</v>
      </c>
      <c r="F317" s="260">
        <v>2.27</v>
      </c>
      <c r="G317" s="260">
        <v>11.63</v>
      </c>
      <c r="H317" s="260">
        <v>1.23</v>
      </c>
      <c r="I317" s="260">
        <v>2.4900000000000002</v>
      </c>
      <c r="J317" s="260">
        <v>0.76</v>
      </c>
      <c r="K317" s="260">
        <v>5.59</v>
      </c>
      <c r="L317" s="259" t="s">
        <v>58</v>
      </c>
    </row>
    <row r="318" spans="1:12" x14ac:dyDescent="0.25">
      <c r="A318" s="259" t="s">
        <v>385</v>
      </c>
      <c r="B318" s="260">
        <v>5.85</v>
      </c>
      <c r="C318" s="260">
        <v>1.69</v>
      </c>
      <c r="D318" s="260">
        <v>20.99</v>
      </c>
      <c r="E318" s="259" t="s">
        <v>54</v>
      </c>
      <c r="F318" s="260">
        <v>1.69</v>
      </c>
      <c r="G318" s="260">
        <v>13.5</v>
      </c>
      <c r="H318" s="260">
        <v>0.97</v>
      </c>
      <c r="I318" s="260">
        <v>1.48</v>
      </c>
      <c r="J318" s="260">
        <v>0.89</v>
      </c>
      <c r="K318" s="260">
        <v>2.95</v>
      </c>
      <c r="L318" s="259" t="s">
        <v>55</v>
      </c>
    </row>
    <row r="319" spans="1:12" hidden="1" x14ac:dyDescent="0.25">
      <c r="A319" s="259" t="s">
        <v>386</v>
      </c>
      <c r="B319" s="260">
        <v>-2.67</v>
      </c>
      <c r="C319" s="260">
        <v>2.13</v>
      </c>
      <c r="D319" s="260">
        <v>12.6</v>
      </c>
      <c r="E319" s="260">
        <v>15.78</v>
      </c>
      <c r="F319" s="260">
        <v>2.13</v>
      </c>
      <c r="G319" s="260">
        <v>13.18</v>
      </c>
      <c r="H319" s="260">
        <v>0.43</v>
      </c>
      <c r="I319" s="260">
        <v>0.56000000000000005</v>
      </c>
      <c r="J319" s="260">
        <v>0.73</v>
      </c>
      <c r="K319" s="260">
        <v>-2.76</v>
      </c>
      <c r="L319" s="259" t="s">
        <v>58</v>
      </c>
    </row>
    <row r="320" spans="1:12" x14ac:dyDescent="0.25">
      <c r="A320" s="259" t="s">
        <v>387</v>
      </c>
      <c r="B320" s="260">
        <v>11.89</v>
      </c>
      <c r="C320" s="260">
        <v>1.72</v>
      </c>
      <c r="D320" s="260">
        <v>25.23</v>
      </c>
      <c r="E320" s="260">
        <v>26.49</v>
      </c>
      <c r="F320" s="260">
        <v>1.72</v>
      </c>
      <c r="G320" s="260">
        <v>13.93</v>
      </c>
      <c r="H320" s="260">
        <v>1.1599999999999999</v>
      </c>
      <c r="I320" s="260">
        <v>2.08</v>
      </c>
      <c r="J320" s="260">
        <v>0.92</v>
      </c>
      <c r="K320" s="260">
        <v>5.61</v>
      </c>
      <c r="L320" s="259" t="s">
        <v>55</v>
      </c>
    </row>
    <row r="321" spans="1:12" hidden="1" x14ac:dyDescent="0.25">
      <c r="A321" s="259" t="s">
        <v>388</v>
      </c>
      <c r="B321" s="260">
        <v>4.4800000000000004</v>
      </c>
      <c r="C321" s="260">
        <v>2.0499999999999998</v>
      </c>
      <c r="D321" s="260">
        <v>21.16</v>
      </c>
      <c r="E321" s="259" t="s">
        <v>54</v>
      </c>
      <c r="F321" s="260">
        <v>2.0499999999999998</v>
      </c>
      <c r="G321" s="260">
        <v>12.77</v>
      </c>
      <c r="H321" s="260">
        <v>1.01</v>
      </c>
      <c r="I321" s="260">
        <v>1.74</v>
      </c>
      <c r="J321" s="260">
        <v>0.83</v>
      </c>
      <c r="K321" s="260">
        <v>3.35</v>
      </c>
      <c r="L321" s="259" t="s">
        <v>58</v>
      </c>
    </row>
    <row r="322" spans="1:12" x14ac:dyDescent="0.25">
      <c r="A322" s="259" t="s">
        <v>389</v>
      </c>
      <c r="B322" s="260">
        <v>9.23</v>
      </c>
      <c r="C322" s="260">
        <v>1.24</v>
      </c>
      <c r="D322" s="260">
        <v>23.36</v>
      </c>
      <c r="E322" s="260">
        <v>28.73</v>
      </c>
      <c r="F322" s="260">
        <v>1.24</v>
      </c>
      <c r="G322" s="260">
        <v>12.57</v>
      </c>
      <c r="H322" s="260">
        <v>1.17</v>
      </c>
      <c r="I322" s="260">
        <v>1.93</v>
      </c>
      <c r="J322" s="260">
        <v>0.84</v>
      </c>
      <c r="K322" s="260">
        <v>4.99</v>
      </c>
      <c r="L322" s="259" t="s">
        <v>55</v>
      </c>
    </row>
    <row r="323" spans="1:12" hidden="1" x14ac:dyDescent="0.25">
      <c r="A323" s="259" t="s">
        <v>390</v>
      </c>
      <c r="B323" s="260">
        <v>12.08</v>
      </c>
      <c r="C323" s="260">
        <v>1.6</v>
      </c>
      <c r="D323" s="260">
        <v>26.36</v>
      </c>
      <c r="E323" s="260">
        <v>32.35</v>
      </c>
      <c r="F323" s="260">
        <v>1.6</v>
      </c>
      <c r="G323" s="260">
        <v>12.31</v>
      </c>
      <c r="H323" s="260">
        <v>1.43</v>
      </c>
      <c r="I323" s="260">
        <v>2.83</v>
      </c>
      <c r="J323" s="260">
        <v>0.8</v>
      </c>
      <c r="K323" s="260">
        <v>8.41</v>
      </c>
      <c r="L323" s="259" t="s">
        <v>58</v>
      </c>
    </row>
    <row r="324" spans="1:12" hidden="1" x14ac:dyDescent="0.25">
      <c r="A324" s="259" t="s">
        <v>391</v>
      </c>
      <c r="B324" s="260">
        <v>8.07</v>
      </c>
      <c r="C324" s="260">
        <v>1.81</v>
      </c>
      <c r="D324" s="259" t="s">
        <v>54</v>
      </c>
      <c r="E324" s="259" t="s">
        <v>54</v>
      </c>
      <c r="F324" s="260">
        <v>1.81</v>
      </c>
      <c r="G324" s="259" t="s">
        <v>54</v>
      </c>
      <c r="H324" s="259" t="s">
        <v>54</v>
      </c>
      <c r="I324" s="259" t="s">
        <v>54</v>
      </c>
      <c r="J324" s="259" t="s">
        <v>54</v>
      </c>
      <c r="K324" s="259" t="s">
        <v>54</v>
      </c>
      <c r="L324" s="259" t="s">
        <v>58</v>
      </c>
    </row>
    <row r="325" spans="1:12" x14ac:dyDescent="0.25">
      <c r="A325" s="259" t="s">
        <v>392</v>
      </c>
      <c r="B325" s="260">
        <v>9.85</v>
      </c>
      <c r="C325" s="260">
        <v>1.66</v>
      </c>
      <c r="D325" s="260">
        <v>24.58</v>
      </c>
      <c r="E325" s="260">
        <v>29.49</v>
      </c>
      <c r="F325" s="260">
        <v>1.66</v>
      </c>
      <c r="G325" s="260">
        <v>12.58</v>
      </c>
      <c r="H325" s="260">
        <v>1.26</v>
      </c>
      <c r="I325" s="260">
        <v>2.04</v>
      </c>
      <c r="J325" s="260">
        <v>0.84</v>
      </c>
      <c r="K325" s="260">
        <v>6.58</v>
      </c>
      <c r="L325" s="259" t="s">
        <v>71</v>
      </c>
    </row>
    <row r="326" spans="1:12" hidden="1" x14ac:dyDescent="0.25">
      <c r="A326" s="259" t="s">
        <v>393</v>
      </c>
      <c r="B326" s="260">
        <v>-1.1000000000000001</v>
      </c>
      <c r="C326" s="260">
        <v>1.82</v>
      </c>
      <c r="D326" s="260">
        <v>27.84</v>
      </c>
      <c r="E326" s="260">
        <v>30.64</v>
      </c>
      <c r="F326" s="260">
        <v>1.82</v>
      </c>
      <c r="G326" s="260">
        <v>16.920000000000002</v>
      </c>
      <c r="H326" s="260">
        <v>1.1100000000000001</v>
      </c>
      <c r="I326" s="260">
        <v>1.63</v>
      </c>
      <c r="J326" s="260">
        <v>1.08</v>
      </c>
      <c r="K326" s="260">
        <v>6.38</v>
      </c>
      <c r="L326" s="259" t="s">
        <v>58</v>
      </c>
    </row>
    <row r="327" spans="1:12" x14ac:dyDescent="0.25">
      <c r="A327" s="259" t="s">
        <v>394</v>
      </c>
      <c r="B327" s="260">
        <v>5.16</v>
      </c>
      <c r="C327" s="260">
        <v>1.87</v>
      </c>
      <c r="D327" s="260">
        <v>25.83</v>
      </c>
      <c r="E327" s="260">
        <v>31.05</v>
      </c>
      <c r="F327" s="260">
        <v>1.87</v>
      </c>
      <c r="G327" s="260">
        <v>16.600000000000001</v>
      </c>
      <c r="H327" s="260">
        <v>1</v>
      </c>
      <c r="I327" s="260">
        <v>1.45</v>
      </c>
      <c r="J327" s="260">
        <v>0.93</v>
      </c>
      <c r="K327" s="260">
        <v>-0.31</v>
      </c>
      <c r="L327" s="259" t="s">
        <v>84</v>
      </c>
    </row>
    <row r="328" spans="1:12" hidden="1" x14ac:dyDescent="0.25">
      <c r="A328" s="259" t="s">
        <v>395</v>
      </c>
      <c r="B328" s="260">
        <v>-0.14000000000000001</v>
      </c>
      <c r="C328" s="260">
        <v>2.14</v>
      </c>
      <c r="D328" s="260">
        <v>16.239999999999998</v>
      </c>
      <c r="E328" s="260">
        <v>23.65</v>
      </c>
      <c r="F328" s="260">
        <v>2.14</v>
      </c>
      <c r="G328" s="260">
        <v>12.47</v>
      </c>
      <c r="H328" s="260">
        <v>0.68</v>
      </c>
      <c r="I328" s="260">
        <v>0.88</v>
      </c>
      <c r="J328" s="260">
        <v>0.79</v>
      </c>
      <c r="K328" s="260">
        <v>-0.63</v>
      </c>
      <c r="L328" s="259" t="s">
        <v>86</v>
      </c>
    </row>
    <row r="329" spans="1:12" x14ac:dyDescent="0.25">
      <c r="A329" s="259" t="s">
        <v>396</v>
      </c>
      <c r="B329" s="260">
        <v>12.08</v>
      </c>
      <c r="C329" s="260">
        <v>1.4</v>
      </c>
      <c r="D329" s="260">
        <v>20.66</v>
      </c>
      <c r="E329" s="260">
        <v>24.94</v>
      </c>
      <c r="F329" s="260">
        <v>1.4</v>
      </c>
      <c r="G329" s="260">
        <v>7.57</v>
      </c>
      <c r="H329" s="260">
        <v>1.61</v>
      </c>
      <c r="I329" s="260">
        <v>2.76</v>
      </c>
      <c r="J329" s="260">
        <v>0.72</v>
      </c>
      <c r="K329" s="260">
        <v>5.85</v>
      </c>
      <c r="L329" s="259" t="s">
        <v>60</v>
      </c>
    </row>
    <row r="330" spans="1:12" x14ac:dyDescent="0.25">
      <c r="A330" s="259" t="s">
        <v>397</v>
      </c>
      <c r="B330" s="260">
        <v>7.66</v>
      </c>
      <c r="C330" s="260">
        <v>1.74</v>
      </c>
      <c r="D330" s="260">
        <v>24.54</v>
      </c>
      <c r="E330" s="260">
        <v>26.91</v>
      </c>
      <c r="F330" s="260">
        <v>1.74</v>
      </c>
      <c r="G330" s="260">
        <v>13.41</v>
      </c>
      <c r="H330" s="260">
        <v>1.18</v>
      </c>
      <c r="I330" s="260">
        <v>1.95</v>
      </c>
      <c r="J330" s="260">
        <v>0.83</v>
      </c>
      <c r="K330" s="260">
        <v>3.71</v>
      </c>
      <c r="L330" s="259" t="s">
        <v>89</v>
      </c>
    </row>
    <row r="331" spans="1:12" x14ac:dyDescent="0.25">
      <c r="A331" s="259" t="s">
        <v>398</v>
      </c>
      <c r="B331" s="260">
        <v>5.33</v>
      </c>
      <c r="C331" s="260">
        <v>0.48</v>
      </c>
      <c r="D331" s="260">
        <v>16.579999999999998</v>
      </c>
      <c r="E331" s="260">
        <v>20.94</v>
      </c>
      <c r="F331" s="260">
        <v>0.48</v>
      </c>
      <c r="G331" s="260">
        <v>13.96</v>
      </c>
      <c r="H331" s="260">
        <v>0.65</v>
      </c>
      <c r="I331" s="260">
        <v>1.05</v>
      </c>
      <c r="J331" s="260">
        <v>1.01</v>
      </c>
      <c r="K331" s="260">
        <v>-1.36</v>
      </c>
      <c r="L331" s="259" t="s">
        <v>65</v>
      </c>
    </row>
    <row r="332" spans="1:12" x14ac:dyDescent="0.25">
      <c r="A332" s="259" t="s">
        <v>399</v>
      </c>
      <c r="B332" s="260">
        <v>5.57</v>
      </c>
      <c r="C332" s="260">
        <v>0.41</v>
      </c>
      <c r="D332" s="260">
        <v>18.09</v>
      </c>
      <c r="E332" s="260">
        <v>20.7</v>
      </c>
      <c r="F332" s="260">
        <v>0.41</v>
      </c>
      <c r="G332" s="260">
        <v>13.91</v>
      </c>
      <c r="H332" s="260">
        <v>0.72</v>
      </c>
      <c r="I332" s="260">
        <v>1.06</v>
      </c>
      <c r="J332" s="260">
        <v>0.96</v>
      </c>
      <c r="K332" s="260">
        <v>0.16</v>
      </c>
      <c r="L332" s="259" t="s">
        <v>65</v>
      </c>
    </row>
    <row r="333" spans="1:12" x14ac:dyDescent="0.25">
      <c r="A333" s="259" t="s">
        <v>400</v>
      </c>
      <c r="B333" s="260">
        <v>5.15</v>
      </c>
      <c r="C333" s="260">
        <v>0.54</v>
      </c>
      <c r="D333" s="260">
        <v>17.329999999999998</v>
      </c>
      <c r="E333" s="259" t="s">
        <v>54</v>
      </c>
      <c r="F333" s="260">
        <v>0.54</v>
      </c>
      <c r="G333" s="260">
        <v>13.46</v>
      </c>
      <c r="H333" s="260">
        <v>0.69</v>
      </c>
      <c r="I333" s="260">
        <v>1.04</v>
      </c>
      <c r="J333" s="260">
        <v>0.92</v>
      </c>
      <c r="K333" s="260">
        <v>-0.11</v>
      </c>
      <c r="L333" s="259" t="s">
        <v>65</v>
      </c>
    </row>
    <row r="334" spans="1:12" x14ac:dyDescent="0.25">
      <c r="A334" s="259" t="s">
        <v>401</v>
      </c>
      <c r="B334" s="260">
        <v>-11.97</v>
      </c>
      <c r="C334" s="260">
        <v>0.3</v>
      </c>
      <c r="D334" s="259" t="s">
        <v>54</v>
      </c>
      <c r="E334" s="259" t="s">
        <v>54</v>
      </c>
      <c r="F334" s="260">
        <v>0.3</v>
      </c>
      <c r="G334" s="259" t="s">
        <v>54</v>
      </c>
      <c r="H334" s="259" t="s">
        <v>54</v>
      </c>
      <c r="I334" s="259" t="s">
        <v>54</v>
      </c>
      <c r="J334" s="259" t="s">
        <v>54</v>
      </c>
      <c r="K334" s="259" t="s">
        <v>54</v>
      </c>
      <c r="L334" s="259" t="s">
        <v>71</v>
      </c>
    </row>
    <row r="335" spans="1:12" x14ac:dyDescent="0.25">
      <c r="A335" s="259" t="s">
        <v>402</v>
      </c>
      <c r="B335" s="260">
        <v>-12.57</v>
      </c>
      <c r="C335" s="260">
        <v>1</v>
      </c>
      <c r="D335" s="259" t="s">
        <v>54</v>
      </c>
      <c r="E335" s="259" t="s">
        <v>54</v>
      </c>
      <c r="F335" s="260">
        <v>1</v>
      </c>
      <c r="G335" s="259" t="s">
        <v>54</v>
      </c>
      <c r="H335" s="259" t="s">
        <v>54</v>
      </c>
      <c r="I335" s="259" t="s">
        <v>54</v>
      </c>
      <c r="J335" s="259" t="s">
        <v>54</v>
      </c>
      <c r="K335" s="259" t="s">
        <v>54</v>
      </c>
      <c r="L335" s="259" t="s">
        <v>71</v>
      </c>
    </row>
    <row r="336" spans="1:12" x14ac:dyDescent="0.25">
      <c r="A336" s="259" t="s">
        <v>403</v>
      </c>
      <c r="B336" s="260">
        <v>2.41</v>
      </c>
      <c r="C336" s="260">
        <v>0.3</v>
      </c>
      <c r="D336" s="259" t="s">
        <v>54</v>
      </c>
      <c r="E336" s="259" t="s">
        <v>54</v>
      </c>
      <c r="F336" s="260">
        <v>0.3</v>
      </c>
      <c r="G336" s="259" t="s">
        <v>54</v>
      </c>
      <c r="H336" s="259" t="s">
        <v>54</v>
      </c>
      <c r="I336" s="259" t="s">
        <v>54</v>
      </c>
      <c r="J336" s="259" t="s">
        <v>54</v>
      </c>
      <c r="K336" s="259" t="s">
        <v>54</v>
      </c>
      <c r="L336" s="259" t="s">
        <v>71</v>
      </c>
    </row>
    <row r="337" spans="1:12" x14ac:dyDescent="0.25">
      <c r="A337" s="259" t="s">
        <v>404</v>
      </c>
      <c r="B337" s="259" t="s">
        <v>54</v>
      </c>
      <c r="C337" s="259" t="s">
        <v>54</v>
      </c>
      <c r="D337" s="259" t="s">
        <v>54</v>
      </c>
      <c r="E337" s="259" t="s">
        <v>54</v>
      </c>
      <c r="F337" s="259" t="s">
        <v>54</v>
      </c>
      <c r="G337" s="259" t="s">
        <v>54</v>
      </c>
      <c r="H337" s="259" t="s">
        <v>54</v>
      </c>
      <c r="I337" s="259" t="s">
        <v>54</v>
      </c>
      <c r="J337" s="259" t="s">
        <v>54</v>
      </c>
      <c r="K337" s="259" t="s">
        <v>54</v>
      </c>
      <c r="L337" s="259" t="s">
        <v>71</v>
      </c>
    </row>
    <row r="338" spans="1:12" x14ac:dyDescent="0.25">
      <c r="A338" s="259" t="s">
        <v>405</v>
      </c>
      <c r="B338" s="259" t="s">
        <v>54</v>
      </c>
      <c r="C338" s="260">
        <v>0.88</v>
      </c>
      <c r="D338" s="259" t="s">
        <v>54</v>
      </c>
      <c r="E338" s="259" t="s">
        <v>54</v>
      </c>
      <c r="F338" s="260">
        <v>0.88</v>
      </c>
      <c r="G338" s="259" t="s">
        <v>54</v>
      </c>
      <c r="H338" s="259" t="s">
        <v>54</v>
      </c>
      <c r="I338" s="259" t="s">
        <v>54</v>
      </c>
      <c r="J338" s="259" t="s">
        <v>54</v>
      </c>
      <c r="K338" s="259" t="s">
        <v>54</v>
      </c>
      <c r="L338" s="259" t="s">
        <v>55</v>
      </c>
    </row>
    <row r="339" spans="1:12" x14ac:dyDescent="0.25">
      <c r="A339" s="259" t="s">
        <v>406</v>
      </c>
      <c r="B339" s="260">
        <v>4.97</v>
      </c>
      <c r="C339" s="260">
        <v>0.99</v>
      </c>
      <c r="D339" s="259" t="s">
        <v>54</v>
      </c>
      <c r="E339" s="259" t="s">
        <v>54</v>
      </c>
      <c r="F339" s="260">
        <v>0.99</v>
      </c>
      <c r="G339" s="259" t="s">
        <v>54</v>
      </c>
      <c r="H339" s="259" t="s">
        <v>54</v>
      </c>
      <c r="I339" s="259" t="s">
        <v>54</v>
      </c>
      <c r="J339" s="259" t="s">
        <v>54</v>
      </c>
      <c r="K339" s="259" t="s">
        <v>54</v>
      </c>
      <c r="L339" s="259" t="s">
        <v>65</v>
      </c>
    </row>
    <row r="340" spans="1:12" x14ac:dyDescent="0.25">
      <c r="A340" s="259" t="s">
        <v>407</v>
      </c>
      <c r="B340" s="260">
        <v>7.84</v>
      </c>
      <c r="C340" s="260">
        <v>0.03</v>
      </c>
      <c r="D340" s="260">
        <v>16.61</v>
      </c>
      <c r="E340" s="260">
        <v>21.4</v>
      </c>
      <c r="F340" s="260">
        <v>0.03</v>
      </c>
      <c r="G340" s="260">
        <v>13.13</v>
      </c>
      <c r="H340" s="260">
        <v>0.69</v>
      </c>
      <c r="I340" s="260">
        <v>1.18</v>
      </c>
      <c r="J340" s="260">
        <v>0.95</v>
      </c>
      <c r="K340" s="260">
        <v>-0.7</v>
      </c>
      <c r="L340" s="259" t="s">
        <v>65</v>
      </c>
    </row>
    <row r="341" spans="1:12" x14ac:dyDescent="0.25">
      <c r="A341" s="259" t="s">
        <v>408</v>
      </c>
      <c r="B341" s="260">
        <v>7.39</v>
      </c>
      <c r="C341" s="260">
        <v>0.36</v>
      </c>
      <c r="D341" s="260">
        <v>16.13</v>
      </c>
      <c r="E341" s="260">
        <v>20.85</v>
      </c>
      <c r="F341" s="260">
        <v>0.36</v>
      </c>
      <c r="G341" s="260">
        <v>13.12</v>
      </c>
      <c r="H341" s="260">
        <v>0.66</v>
      </c>
      <c r="I341" s="260">
        <v>1.1200000000000001</v>
      </c>
      <c r="J341" s="260">
        <v>0.95</v>
      </c>
      <c r="K341" s="260">
        <v>-1.1100000000000001</v>
      </c>
      <c r="L341" s="259" t="s">
        <v>65</v>
      </c>
    </row>
    <row r="342" spans="1:12" x14ac:dyDescent="0.25">
      <c r="A342" s="259" t="s">
        <v>409</v>
      </c>
      <c r="B342" s="260">
        <v>-3.51</v>
      </c>
      <c r="C342" s="260">
        <v>0.41</v>
      </c>
      <c r="D342" s="260">
        <v>21.07</v>
      </c>
      <c r="E342" s="259" t="s">
        <v>54</v>
      </c>
      <c r="F342" s="260">
        <v>0.41</v>
      </c>
      <c r="G342" s="260">
        <v>16.07</v>
      </c>
      <c r="H342" s="260">
        <v>0.79</v>
      </c>
      <c r="I342" s="260">
        <v>1.1399999999999999</v>
      </c>
      <c r="J342" s="260">
        <v>1.05</v>
      </c>
      <c r="K342" s="260">
        <v>1.01</v>
      </c>
      <c r="L342" s="259" t="s">
        <v>71</v>
      </c>
    </row>
    <row r="343" spans="1:12" x14ac:dyDescent="0.25">
      <c r="A343" s="259" t="s">
        <v>410</v>
      </c>
      <c r="B343" s="260">
        <v>-3.82</v>
      </c>
      <c r="C343" s="260">
        <v>0.53</v>
      </c>
      <c r="D343" s="260">
        <v>20.34</v>
      </c>
      <c r="E343" s="259" t="s">
        <v>54</v>
      </c>
      <c r="F343" s="260">
        <v>0.53</v>
      </c>
      <c r="G343" s="260">
        <v>15.96</v>
      </c>
      <c r="H343" s="260">
        <v>0.76</v>
      </c>
      <c r="I343" s="260">
        <v>1.03</v>
      </c>
      <c r="J343" s="260">
        <v>1.03</v>
      </c>
      <c r="K343" s="260">
        <v>0.66</v>
      </c>
      <c r="L343" s="259" t="s">
        <v>71</v>
      </c>
    </row>
    <row r="344" spans="1:12" hidden="1" x14ac:dyDescent="0.25">
      <c r="A344" s="259" t="s">
        <v>411</v>
      </c>
      <c r="B344" s="260">
        <v>-6.55</v>
      </c>
      <c r="C344" s="260">
        <v>0.2</v>
      </c>
      <c r="D344" s="260">
        <v>27.89</v>
      </c>
      <c r="E344" s="259" t="s">
        <v>54</v>
      </c>
      <c r="F344" s="260">
        <v>0.2</v>
      </c>
      <c r="G344" s="260">
        <v>18.11</v>
      </c>
      <c r="H344" s="260">
        <v>1.08</v>
      </c>
      <c r="I344" s="260">
        <v>1.4</v>
      </c>
      <c r="J344" s="260">
        <v>1</v>
      </c>
      <c r="K344" s="260">
        <v>8.0299999999999994</v>
      </c>
      <c r="L344" s="259" t="s">
        <v>58</v>
      </c>
    </row>
    <row r="345" spans="1:12" hidden="1" x14ac:dyDescent="0.25">
      <c r="A345" s="259" t="s">
        <v>412</v>
      </c>
      <c r="B345" s="260">
        <v>-7.21</v>
      </c>
      <c r="C345" s="260">
        <v>0.94</v>
      </c>
      <c r="D345" s="259" t="s">
        <v>54</v>
      </c>
      <c r="E345" s="259" t="s">
        <v>54</v>
      </c>
      <c r="F345" s="260">
        <v>0.94</v>
      </c>
      <c r="G345" s="259" t="s">
        <v>54</v>
      </c>
      <c r="H345" s="259" t="s">
        <v>54</v>
      </c>
      <c r="I345" s="259" t="s">
        <v>54</v>
      </c>
      <c r="J345" s="259" t="s">
        <v>54</v>
      </c>
      <c r="K345" s="259" t="s">
        <v>54</v>
      </c>
      <c r="L345" s="259" t="s">
        <v>58</v>
      </c>
    </row>
    <row r="346" spans="1:12" hidden="1" x14ac:dyDescent="0.25">
      <c r="A346" s="259" t="s">
        <v>413</v>
      </c>
      <c r="B346" s="260">
        <v>-4.45</v>
      </c>
      <c r="C346" s="260">
        <v>0.3</v>
      </c>
      <c r="D346" s="259" t="s">
        <v>54</v>
      </c>
      <c r="E346" s="259" t="s">
        <v>54</v>
      </c>
      <c r="F346" s="260">
        <v>0.3</v>
      </c>
      <c r="G346" s="259" t="s">
        <v>54</v>
      </c>
      <c r="H346" s="259" t="s">
        <v>54</v>
      </c>
      <c r="I346" s="259" t="s">
        <v>54</v>
      </c>
      <c r="J346" s="259" t="s">
        <v>54</v>
      </c>
      <c r="K346" s="259" t="s">
        <v>54</v>
      </c>
      <c r="L346" s="259" t="s">
        <v>58</v>
      </c>
    </row>
    <row r="347" spans="1:12" hidden="1" x14ac:dyDescent="0.25">
      <c r="A347" s="259" t="s">
        <v>414</v>
      </c>
      <c r="B347" s="259" t="s">
        <v>54</v>
      </c>
      <c r="C347" s="260">
        <v>0.44</v>
      </c>
      <c r="D347" s="259" t="s">
        <v>54</v>
      </c>
      <c r="E347" s="259" t="s">
        <v>54</v>
      </c>
      <c r="F347" s="260">
        <v>0.44</v>
      </c>
      <c r="G347" s="259" t="s">
        <v>54</v>
      </c>
      <c r="H347" s="259" t="s">
        <v>54</v>
      </c>
      <c r="I347" s="259" t="s">
        <v>54</v>
      </c>
      <c r="J347" s="259" t="s">
        <v>54</v>
      </c>
      <c r="K347" s="259" t="s">
        <v>54</v>
      </c>
      <c r="L347" s="259" t="s">
        <v>58</v>
      </c>
    </row>
    <row r="348" spans="1:12" hidden="1" x14ac:dyDescent="0.25">
      <c r="A348" s="259" t="s">
        <v>415</v>
      </c>
      <c r="B348" s="259" t="s">
        <v>54</v>
      </c>
      <c r="C348" s="260">
        <v>0.61</v>
      </c>
      <c r="D348" s="259" t="s">
        <v>54</v>
      </c>
      <c r="E348" s="259" t="s">
        <v>54</v>
      </c>
      <c r="F348" s="260">
        <v>0.61</v>
      </c>
      <c r="G348" s="259" t="s">
        <v>54</v>
      </c>
      <c r="H348" s="259" t="s">
        <v>54</v>
      </c>
      <c r="I348" s="259" t="s">
        <v>54</v>
      </c>
      <c r="J348" s="259" t="s">
        <v>54</v>
      </c>
      <c r="K348" s="259" t="s">
        <v>54</v>
      </c>
      <c r="L348" s="259" t="s">
        <v>58</v>
      </c>
    </row>
    <row r="349" spans="1:12" hidden="1" x14ac:dyDescent="0.25">
      <c r="A349" s="259" t="s">
        <v>416</v>
      </c>
      <c r="B349" s="260">
        <v>-2.48</v>
      </c>
      <c r="C349" s="260">
        <v>0.2</v>
      </c>
      <c r="D349" s="260">
        <v>15.39</v>
      </c>
      <c r="E349" s="259" t="s">
        <v>54</v>
      </c>
      <c r="F349" s="260">
        <v>0.2</v>
      </c>
      <c r="G349" s="260">
        <v>15.7</v>
      </c>
      <c r="H349" s="260">
        <v>0.53</v>
      </c>
      <c r="I349" s="260">
        <v>0.77</v>
      </c>
      <c r="J349" s="260">
        <v>0.86</v>
      </c>
      <c r="K349" s="260">
        <v>-1.55</v>
      </c>
      <c r="L349" s="259" t="s">
        <v>58</v>
      </c>
    </row>
    <row r="350" spans="1:12" hidden="1" x14ac:dyDescent="0.25">
      <c r="A350" s="259" t="s">
        <v>417</v>
      </c>
      <c r="B350" s="260">
        <v>3.91</v>
      </c>
      <c r="C350" s="260">
        <v>0.2</v>
      </c>
      <c r="D350" s="260">
        <v>20.57</v>
      </c>
      <c r="E350" s="259" t="s">
        <v>54</v>
      </c>
      <c r="F350" s="260">
        <v>0.2</v>
      </c>
      <c r="G350" s="260">
        <v>15.98</v>
      </c>
      <c r="H350" s="260">
        <v>0.78</v>
      </c>
      <c r="I350" s="260">
        <v>1.1299999999999999</v>
      </c>
      <c r="J350" s="260">
        <v>0.85</v>
      </c>
      <c r="K350" s="260">
        <v>0.18</v>
      </c>
      <c r="L350" s="259" t="s">
        <v>81</v>
      </c>
    </row>
    <row r="351" spans="1:12" x14ac:dyDescent="0.25">
      <c r="A351" s="259" t="s">
        <v>418</v>
      </c>
      <c r="B351" s="260">
        <v>5.29</v>
      </c>
      <c r="C351" s="260">
        <v>0.8</v>
      </c>
      <c r="D351" s="259" t="s">
        <v>54</v>
      </c>
      <c r="E351" s="259" t="s">
        <v>54</v>
      </c>
      <c r="F351" s="260">
        <v>0.8</v>
      </c>
      <c r="G351" s="259" t="s">
        <v>54</v>
      </c>
      <c r="H351" s="259" t="s">
        <v>54</v>
      </c>
      <c r="I351" s="259" t="s">
        <v>54</v>
      </c>
      <c r="J351" s="259" t="s">
        <v>54</v>
      </c>
      <c r="K351" s="259" t="s">
        <v>54</v>
      </c>
      <c r="L351" s="259" t="s">
        <v>71</v>
      </c>
    </row>
    <row r="352" spans="1:12" hidden="1" x14ac:dyDescent="0.25">
      <c r="A352" s="259" t="s">
        <v>419</v>
      </c>
      <c r="B352" s="259" t="s">
        <v>54</v>
      </c>
      <c r="C352" s="260">
        <v>0.4</v>
      </c>
      <c r="D352" s="259" t="s">
        <v>54</v>
      </c>
      <c r="E352" s="259" t="s">
        <v>54</v>
      </c>
      <c r="F352" s="260">
        <v>0.4</v>
      </c>
      <c r="G352" s="259" t="s">
        <v>54</v>
      </c>
      <c r="H352" s="259" t="s">
        <v>54</v>
      </c>
      <c r="I352" s="259" t="s">
        <v>54</v>
      </c>
      <c r="J352" s="259" t="s">
        <v>54</v>
      </c>
      <c r="K352" s="259" t="s">
        <v>54</v>
      </c>
      <c r="L352" s="259" t="s">
        <v>58</v>
      </c>
    </row>
    <row r="353" spans="1:12" x14ac:dyDescent="0.25">
      <c r="A353" s="259" t="s">
        <v>420</v>
      </c>
      <c r="B353" s="260">
        <v>6.28</v>
      </c>
      <c r="C353" s="260">
        <v>0.15</v>
      </c>
      <c r="D353" s="260">
        <v>27.99</v>
      </c>
      <c r="E353" s="260">
        <v>32.17</v>
      </c>
      <c r="F353" s="260">
        <v>0.15</v>
      </c>
      <c r="G353" s="260">
        <v>16.989999999999998</v>
      </c>
      <c r="H353" s="260">
        <v>1.1000000000000001</v>
      </c>
      <c r="I353" s="260">
        <v>1.6</v>
      </c>
      <c r="J353" s="260">
        <v>1</v>
      </c>
      <c r="K353" s="260">
        <v>0.69</v>
      </c>
      <c r="L353" s="259" t="s">
        <v>84</v>
      </c>
    </row>
    <row r="354" spans="1:12" x14ac:dyDescent="0.25">
      <c r="A354" s="259" t="s">
        <v>421</v>
      </c>
      <c r="B354" s="260">
        <v>5.29</v>
      </c>
      <c r="C354" s="260">
        <v>0.92</v>
      </c>
      <c r="D354" s="260">
        <v>26.7</v>
      </c>
      <c r="E354" s="259" t="s">
        <v>54</v>
      </c>
      <c r="F354" s="260">
        <v>0.92</v>
      </c>
      <c r="G354" s="260">
        <v>16.940000000000001</v>
      </c>
      <c r="H354" s="260">
        <v>1.05</v>
      </c>
      <c r="I354" s="260">
        <v>1.51</v>
      </c>
      <c r="J354" s="260">
        <v>0.99</v>
      </c>
      <c r="K354" s="260">
        <v>-0.28999999999999998</v>
      </c>
      <c r="L354" s="259" t="s">
        <v>84</v>
      </c>
    </row>
    <row r="355" spans="1:12" x14ac:dyDescent="0.25">
      <c r="A355" s="259" t="s">
        <v>422</v>
      </c>
      <c r="B355" s="260">
        <v>-3.16</v>
      </c>
      <c r="C355" s="260">
        <v>0.1</v>
      </c>
      <c r="D355" s="260">
        <v>22.11</v>
      </c>
      <c r="E355" s="260">
        <v>22.79</v>
      </c>
      <c r="F355" s="260">
        <v>0.1</v>
      </c>
      <c r="G355" s="260">
        <v>19.54</v>
      </c>
      <c r="H355" s="260">
        <v>0.73</v>
      </c>
      <c r="I355" s="260">
        <v>1.08</v>
      </c>
      <c r="J355" s="260">
        <v>1.3</v>
      </c>
      <c r="K355" s="260">
        <v>0.83</v>
      </c>
      <c r="L355" s="259" t="s">
        <v>65</v>
      </c>
    </row>
    <row r="356" spans="1:12" x14ac:dyDescent="0.25">
      <c r="A356" s="259" t="s">
        <v>423</v>
      </c>
      <c r="B356" s="260">
        <v>-4.07</v>
      </c>
      <c r="C356" s="260">
        <v>0.68</v>
      </c>
      <c r="D356" s="260">
        <v>21.27</v>
      </c>
      <c r="E356" s="260">
        <v>21.78</v>
      </c>
      <c r="F356" s="260">
        <v>0.68</v>
      </c>
      <c r="G356" s="260">
        <v>19.55</v>
      </c>
      <c r="H356" s="260">
        <v>0.69</v>
      </c>
      <c r="I356" s="260">
        <v>1.03</v>
      </c>
      <c r="J356" s="260">
        <v>1.3</v>
      </c>
      <c r="K356" s="260">
        <v>0.13</v>
      </c>
      <c r="L356" s="259" t="s">
        <v>65</v>
      </c>
    </row>
    <row r="357" spans="1:12" hidden="1" x14ac:dyDescent="0.25">
      <c r="A357" s="259" t="s">
        <v>424</v>
      </c>
      <c r="B357" s="259" t="s">
        <v>54</v>
      </c>
      <c r="C357" s="260">
        <v>0.4</v>
      </c>
      <c r="D357" s="259" t="s">
        <v>54</v>
      </c>
      <c r="E357" s="259" t="s">
        <v>54</v>
      </c>
      <c r="F357" s="260">
        <v>0.4</v>
      </c>
      <c r="G357" s="259" t="s">
        <v>54</v>
      </c>
      <c r="H357" s="259" t="s">
        <v>54</v>
      </c>
      <c r="I357" s="259" t="s">
        <v>54</v>
      </c>
      <c r="J357" s="259" t="s">
        <v>54</v>
      </c>
      <c r="K357" s="259" t="s">
        <v>54</v>
      </c>
      <c r="L357" s="259" t="s">
        <v>58</v>
      </c>
    </row>
    <row r="358" spans="1:12" x14ac:dyDescent="0.25">
      <c r="A358" s="259" t="s">
        <v>425</v>
      </c>
      <c r="B358" s="260">
        <v>3.55</v>
      </c>
      <c r="C358" s="260">
        <v>0.84</v>
      </c>
      <c r="D358" s="260">
        <v>25.88</v>
      </c>
      <c r="E358" s="259" t="s">
        <v>54</v>
      </c>
      <c r="F358" s="260">
        <v>0.84</v>
      </c>
      <c r="G358" s="260">
        <v>19.89</v>
      </c>
      <c r="H358" s="260">
        <v>0.88</v>
      </c>
      <c r="I358" s="260">
        <v>1.28</v>
      </c>
      <c r="J358" s="260">
        <v>1.01</v>
      </c>
      <c r="K358" s="260">
        <v>-1.03</v>
      </c>
      <c r="L358" s="259" t="s">
        <v>103</v>
      </c>
    </row>
    <row r="359" spans="1:12" x14ac:dyDescent="0.25">
      <c r="A359" s="259" t="s">
        <v>426</v>
      </c>
      <c r="B359" s="259" t="s">
        <v>54</v>
      </c>
      <c r="C359" s="259" t="s">
        <v>54</v>
      </c>
      <c r="D359" s="259" t="s">
        <v>54</v>
      </c>
      <c r="E359" s="259" t="s">
        <v>54</v>
      </c>
      <c r="F359" s="259" t="s">
        <v>54</v>
      </c>
      <c r="G359" s="259" t="s">
        <v>54</v>
      </c>
      <c r="H359" s="259" t="s">
        <v>54</v>
      </c>
      <c r="I359" s="259" t="s">
        <v>54</v>
      </c>
      <c r="J359" s="259" t="s">
        <v>54</v>
      </c>
      <c r="K359" s="259" t="s">
        <v>54</v>
      </c>
      <c r="L359" s="259" t="s">
        <v>65</v>
      </c>
    </row>
    <row r="360" spans="1:12" x14ac:dyDescent="0.25">
      <c r="A360" s="259" t="s">
        <v>427</v>
      </c>
      <c r="B360" s="259" t="s">
        <v>54</v>
      </c>
      <c r="C360" s="259" t="s">
        <v>54</v>
      </c>
      <c r="D360" s="259" t="s">
        <v>54</v>
      </c>
      <c r="E360" s="259" t="s">
        <v>54</v>
      </c>
      <c r="F360" s="259" t="s">
        <v>54</v>
      </c>
      <c r="G360" s="259" t="s">
        <v>54</v>
      </c>
      <c r="H360" s="259" t="s">
        <v>54</v>
      </c>
      <c r="I360" s="259" t="s">
        <v>54</v>
      </c>
      <c r="J360" s="259" t="s">
        <v>54</v>
      </c>
      <c r="K360" s="259" t="s">
        <v>54</v>
      </c>
      <c r="L360" s="259" t="s">
        <v>65</v>
      </c>
    </row>
    <row r="361" spans="1:12" x14ac:dyDescent="0.25">
      <c r="A361" s="259" t="s">
        <v>428</v>
      </c>
      <c r="B361" s="260">
        <v>13.4</v>
      </c>
      <c r="C361" s="260">
        <v>0.59</v>
      </c>
      <c r="D361" s="260">
        <v>15.28</v>
      </c>
      <c r="E361" s="259" t="s">
        <v>54</v>
      </c>
      <c r="F361" s="260">
        <v>0.59</v>
      </c>
      <c r="G361" s="260">
        <v>6.62</v>
      </c>
      <c r="H361" s="260">
        <v>1.1000000000000001</v>
      </c>
      <c r="I361" s="260">
        <v>1.87</v>
      </c>
      <c r="J361" s="260">
        <v>0.54</v>
      </c>
      <c r="K361" s="260">
        <v>2.52</v>
      </c>
      <c r="L361" s="259" t="s">
        <v>60</v>
      </c>
    </row>
    <row r="362" spans="1:12" x14ac:dyDescent="0.25">
      <c r="A362" s="259" t="s">
        <v>429</v>
      </c>
      <c r="B362" s="260">
        <v>10.06</v>
      </c>
      <c r="C362" s="260">
        <v>0.44</v>
      </c>
      <c r="D362" s="260">
        <v>20.92</v>
      </c>
      <c r="E362" s="260">
        <v>24.26</v>
      </c>
      <c r="F362" s="260">
        <v>0.44</v>
      </c>
      <c r="G362" s="260">
        <v>12.54</v>
      </c>
      <c r="H362" s="260">
        <v>1.01</v>
      </c>
      <c r="I362" s="260">
        <v>1.7</v>
      </c>
      <c r="J362" s="260">
        <v>0.84</v>
      </c>
      <c r="K362" s="260">
        <v>2.98</v>
      </c>
      <c r="L362" s="259" t="s">
        <v>55</v>
      </c>
    </row>
    <row r="363" spans="1:12" hidden="1" x14ac:dyDescent="0.25">
      <c r="A363" s="259" t="s">
        <v>430</v>
      </c>
      <c r="B363" s="260">
        <v>-1.34</v>
      </c>
      <c r="C363" s="260">
        <v>2.0699999999999998</v>
      </c>
      <c r="D363" s="259" t="s">
        <v>54</v>
      </c>
      <c r="E363" s="259" t="s">
        <v>54</v>
      </c>
      <c r="F363" s="260">
        <v>2.0699999999999998</v>
      </c>
      <c r="G363" s="259" t="s">
        <v>54</v>
      </c>
      <c r="H363" s="259" t="s">
        <v>54</v>
      </c>
      <c r="I363" s="259" t="s">
        <v>54</v>
      </c>
      <c r="J363" s="259" t="s">
        <v>54</v>
      </c>
      <c r="K363" s="259" t="s">
        <v>54</v>
      </c>
      <c r="L363" s="259" t="s">
        <v>101</v>
      </c>
    </row>
    <row r="364" spans="1:12" hidden="1" x14ac:dyDescent="0.25">
      <c r="A364" s="259" t="s">
        <v>431</v>
      </c>
      <c r="B364" s="259" t="s">
        <v>54</v>
      </c>
      <c r="C364" s="260">
        <v>2.0699999999999998</v>
      </c>
      <c r="D364" s="259" t="s">
        <v>54</v>
      </c>
      <c r="E364" s="259" t="s">
        <v>54</v>
      </c>
      <c r="F364" s="260">
        <v>2.0699999999999998</v>
      </c>
      <c r="G364" s="259" t="s">
        <v>54</v>
      </c>
      <c r="H364" s="259" t="s">
        <v>54</v>
      </c>
      <c r="I364" s="259" t="s">
        <v>54</v>
      </c>
      <c r="J364" s="259" t="s">
        <v>54</v>
      </c>
      <c r="K364" s="259" t="s">
        <v>54</v>
      </c>
      <c r="L364" s="259" t="s">
        <v>58</v>
      </c>
    </row>
    <row r="365" spans="1:12" hidden="1" x14ac:dyDescent="0.25">
      <c r="A365" s="259" t="s">
        <v>432</v>
      </c>
      <c r="B365" s="260">
        <v>8.27</v>
      </c>
      <c r="C365" s="260">
        <v>2.3199999999999998</v>
      </c>
      <c r="D365" s="260">
        <v>19.46</v>
      </c>
      <c r="E365" s="259" t="s">
        <v>54</v>
      </c>
      <c r="F365" s="260">
        <v>2.3199999999999998</v>
      </c>
      <c r="G365" s="260">
        <v>11.89</v>
      </c>
      <c r="H365" s="260">
        <v>0.94</v>
      </c>
      <c r="I365" s="260">
        <v>1.42</v>
      </c>
      <c r="J365" s="260">
        <v>0.78</v>
      </c>
      <c r="K365" s="260">
        <v>2.11</v>
      </c>
      <c r="L365" s="259" t="s">
        <v>58</v>
      </c>
    </row>
    <row r="366" spans="1:12" x14ac:dyDescent="0.25">
      <c r="A366" s="259" t="s">
        <v>433</v>
      </c>
      <c r="B366" s="260">
        <v>8.25</v>
      </c>
      <c r="C366" s="260">
        <v>2.11</v>
      </c>
      <c r="D366" s="260">
        <v>25.85</v>
      </c>
      <c r="E366" s="260">
        <v>29.83</v>
      </c>
      <c r="F366" s="260">
        <v>2.11</v>
      </c>
      <c r="G366" s="260">
        <v>14.67</v>
      </c>
      <c r="H366" s="260">
        <v>1.08</v>
      </c>
      <c r="I366" s="260">
        <v>1.6</v>
      </c>
      <c r="J366" s="260">
        <v>0.95</v>
      </c>
      <c r="K366" s="260">
        <v>4.91</v>
      </c>
      <c r="L366" s="259" t="s">
        <v>55</v>
      </c>
    </row>
    <row r="367" spans="1:12" hidden="1" x14ac:dyDescent="0.25">
      <c r="A367" s="259" t="s">
        <v>434</v>
      </c>
      <c r="B367" s="259" t="s">
        <v>54</v>
      </c>
      <c r="C367" s="260">
        <v>2.17</v>
      </c>
      <c r="D367" s="259" t="s">
        <v>54</v>
      </c>
      <c r="E367" s="259" t="s">
        <v>54</v>
      </c>
      <c r="F367" s="260">
        <v>2.17</v>
      </c>
      <c r="G367" s="259" t="s">
        <v>54</v>
      </c>
      <c r="H367" s="259" t="s">
        <v>54</v>
      </c>
      <c r="I367" s="259" t="s">
        <v>54</v>
      </c>
      <c r="J367" s="259" t="s">
        <v>54</v>
      </c>
      <c r="K367" s="259" t="s">
        <v>54</v>
      </c>
      <c r="L367" s="259" t="s">
        <v>58</v>
      </c>
    </row>
    <row r="368" spans="1:12" x14ac:dyDescent="0.25">
      <c r="A368" s="259" t="s">
        <v>435</v>
      </c>
      <c r="B368" s="260">
        <v>1.22</v>
      </c>
      <c r="C368" s="260">
        <v>1.78</v>
      </c>
      <c r="D368" s="260">
        <v>21.11</v>
      </c>
      <c r="E368" s="260">
        <v>33.99</v>
      </c>
      <c r="F368" s="260">
        <v>1.78</v>
      </c>
      <c r="G368" s="260">
        <v>15.46</v>
      </c>
      <c r="H368" s="260">
        <v>0.87</v>
      </c>
      <c r="I368" s="260">
        <v>1.27</v>
      </c>
      <c r="J368" s="260">
        <v>0.75</v>
      </c>
      <c r="K368" s="260">
        <v>-0.14000000000000001</v>
      </c>
      <c r="L368" s="259" t="s">
        <v>103</v>
      </c>
    </row>
    <row r="369" spans="1:12" hidden="1" x14ac:dyDescent="0.25">
      <c r="A369" s="259" t="s">
        <v>436</v>
      </c>
      <c r="B369" s="260">
        <v>16.760000000000002</v>
      </c>
      <c r="C369" s="260">
        <v>1.52</v>
      </c>
      <c r="D369" s="260">
        <v>22.36</v>
      </c>
      <c r="E369" s="260">
        <v>27.78</v>
      </c>
      <c r="F369" s="260">
        <v>1.52</v>
      </c>
      <c r="G369" s="260">
        <v>11.07</v>
      </c>
      <c r="H369" s="260">
        <v>1.25</v>
      </c>
      <c r="I369" s="260">
        <v>2.36</v>
      </c>
      <c r="J369" s="260">
        <v>0.73</v>
      </c>
      <c r="K369" s="260">
        <v>5.41</v>
      </c>
      <c r="L369" s="259" t="s">
        <v>58</v>
      </c>
    </row>
    <row r="370" spans="1:12" hidden="1" x14ac:dyDescent="0.25">
      <c r="A370" s="259" t="s">
        <v>437</v>
      </c>
      <c r="B370" s="260">
        <v>0.83</v>
      </c>
      <c r="C370" s="260">
        <v>1.98</v>
      </c>
      <c r="D370" s="259" t="s">
        <v>54</v>
      </c>
      <c r="E370" s="259" t="s">
        <v>54</v>
      </c>
      <c r="F370" s="260">
        <v>1.98</v>
      </c>
      <c r="G370" s="259" t="s">
        <v>54</v>
      </c>
      <c r="H370" s="259" t="s">
        <v>54</v>
      </c>
      <c r="I370" s="259" t="s">
        <v>54</v>
      </c>
      <c r="J370" s="259" t="s">
        <v>54</v>
      </c>
      <c r="K370" s="259" t="s">
        <v>54</v>
      </c>
      <c r="L370" s="259" t="s">
        <v>58</v>
      </c>
    </row>
    <row r="371" spans="1:12" x14ac:dyDescent="0.25">
      <c r="A371" s="259" t="s">
        <v>438</v>
      </c>
      <c r="B371" s="260">
        <v>7.19</v>
      </c>
      <c r="C371" s="260">
        <v>2.13</v>
      </c>
      <c r="D371" s="260">
        <v>15</v>
      </c>
      <c r="E371" s="260">
        <v>14.03</v>
      </c>
      <c r="F371" s="260">
        <v>2.13</v>
      </c>
      <c r="G371" s="260">
        <v>8.39</v>
      </c>
      <c r="H371" s="260">
        <v>0.89</v>
      </c>
      <c r="I371" s="260">
        <v>1.27</v>
      </c>
      <c r="J371" s="260">
        <v>0.79</v>
      </c>
      <c r="K371" s="260">
        <v>1.24</v>
      </c>
      <c r="L371" s="259" t="s">
        <v>62</v>
      </c>
    </row>
    <row r="372" spans="1:12" hidden="1" x14ac:dyDescent="0.25">
      <c r="A372" s="259" t="s">
        <v>439</v>
      </c>
      <c r="B372" s="259" t="s">
        <v>54</v>
      </c>
      <c r="C372" s="260">
        <v>2.38</v>
      </c>
      <c r="D372" s="259" t="s">
        <v>54</v>
      </c>
      <c r="E372" s="259" t="s">
        <v>54</v>
      </c>
      <c r="F372" s="260">
        <v>2.38</v>
      </c>
      <c r="G372" s="259" t="s">
        <v>54</v>
      </c>
      <c r="H372" s="259" t="s">
        <v>54</v>
      </c>
      <c r="I372" s="259" t="s">
        <v>54</v>
      </c>
      <c r="J372" s="259" t="s">
        <v>54</v>
      </c>
      <c r="K372" s="259" t="s">
        <v>54</v>
      </c>
      <c r="L372" s="259" t="s">
        <v>58</v>
      </c>
    </row>
    <row r="373" spans="1:12" hidden="1" x14ac:dyDescent="0.25">
      <c r="A373" s="259" t="s">
        <v>440</v>
      </c>
      <c r="B373" s="260">
        <v>7.14</v>
      </c>
      <c r="C373" s="260">
        <v>2.4300000000000002</v>
      </c>
      <c r="D373" s="260">
        <v>16.32</v>
      </c>
      <c r="E373" s="259" t="s">
        <v>54</v>
      </c>
      <c r="F373" s="260">
        <v>2.4300000000000002</v>
      </c>
      <c r="G373" s="260">
        <v>13.95</v>
      </c>
      <c r="H373" s="260">
        <v>0.64</v>
      </c>
      <c r="I373" s="260">
        <v>0.89</v>
      </c>
      <c r="J373" s="260">
        <v>0.94</v>
      </c>
      <c r="K373" s="260">
        <v>-0.77</v>
      </c>
      <c r="L373" s="259" t="s">
        <v>73</v>
      </c>
    </row>
    <row r="374" spans="1:12" x14ac:dyDescent="0.25">
      <c r="A374" s="259" t="s">
        <v>441</v>
      </c>
      <c r="B374" s="260">
        <v>12.02</v>
      </c>
      <c r="C374" s="260">
        <v>1.94</v>
      </c>
      <c r="D374" s="260">
        <v>25.35</v>
      </c>
      <c r="E374" s="259" t="s">
        <v>54</v>
      </c>
      <c r="F374" s="260">
        <v>1.94</v>
      </c>
      <c r="G374" s="260">
        <v>14.81</v>
      </c>
      <c r="H374" s="260">
        <v>1.1100000000000001</v>
      </c>
      <c r="I374" s="260">
        <v>1.33</v>
      </c>
      <c r="J374" s="260">
        <v>0.94</v>
      </c>
      <c r="K374" s="260">
        <v>5.55</v>
      </c>
      <c r="L374" s="259" t="s">
        <v>55</v>
      </c>
    </row>
    <row r="375" spans="1:12" x14ac:dyDescent="0.25">
      <c r="A375" s="259" t="s">
        <v>442</v>
      </c>
      <c r="B375" s="260">
        <v>12.53</v>
      </c>
      <c r="C375" s="260">
        <v>1.88</v>
      </c>
      <c r="D375" s="260">
        <v>26.3</v>
      </c>
      <c r="E375" s="259" t="s">
        <v>54</v>
      </c>
      <c r="F375" s="260">
        <v>1.88</v>
      </c>
      <c r="G375" s="260">
        <v>15.57</v>
      </c>
      <c r="H375" s="260">
        <v>1.1599999999999999</v>
      </c>
      <c r="I375" s="260">
        <v>1.61</v>
      </c>
      <c r="J375" s="260">
        <v>0.96</v>
      </c>
      <c r="K375" s="260">
        <v>6.93</v>
      </c>
      <c r="L375" s="259" t="s">
        <v>55</v>
      </c>
    </row>
    <row r="376" spans="1:12" x14ac:dyDescent="0.25">
      <c r="A376" s="259" t="s">
        <v>443</v>
      </c>
      <c r="B376" s="260">
        <v>8.19</v>
      </c>
      <c r="C376" s="260">
        <v>2.06</v>
      </c>
      <c r="D376" s="260">
        <v>19.809999999999999</v>
      </c>
      <c r="E376" s="260">
        <v>21.68</v>
      </c>
      <c r="F376" s="260">
        <v>2.06</v>
      </c>
      <c r="G376" s="260">
        <v>14.58</v>
      </c>
      <c r="H376" s="260">
        <v>0.81</v>
      </c>
      <c r="I376" s="260">
        <v>1.17</v>
      </c>
      <c r="J376" s="260">
        <v>1.02</v>
      </c>
      <c r="K376" s="260">
        <v>1.24</v>
      </c>
      <c r="L376" s="259" t="s">
        <v>65</v>
      </c>
    </row>
    <row r="377" spans="1:12" x14ac:dyDescent="0.25">
      <c r="A377" s="259" t="s">
        <v>444</v>
      </c>
      <c r="B377" s="260">
        <v>15.89</v>
      </c>
      <c r="C377" s="260">
        <v>1.79</v>
      </c>
      <c r="D377" s="260">
        <v>27.8</v>
      </c>
      <c r="E377" s="260">
        <v>26.13</v>
      </c>
      <c r="F377" s="260">
        <v>1.79</v>
      </c>
      <c r="G377" s="260">
        <v>15.45</v>
      </c>
      <c r="H377" s="260">
        <v>1.1599999999999999</v>
      </c>
      <c r="I377" s="260">
        <v>1.49</v>
      </c>
      <c r="J377" s="260">
        <v>0.99</v>
      </c>
      <c r="K377" s="260">
        <v>7.08</v>
      </c>
      <c r="L377" s="259" t="s">
        <v>71</v>
      </c>
    </row>
    <row r="378" spans="1:12" hidden="1" x14ac:dyDescent="0.25">
      <c r="A378" s="259" t="s">
        <v>445</v>
      </c>
      <c r="B378" s="259" t="s">
        <v>54</v>
      </c>
      <c r="C378" s="260">
        <v>2.2799999999999998</v>
      </c>
      <c r="D378" s="259" t="s">
        <v>54</v>
      </c>
      <c r="E378" s="259" t="s">
        <v>54</v>
      </c>
      <c r="F378" s="260">
        <v>2.2799999999999998</v>
      </c>
      <c r="G378" s="259" t="s">
        <v>54</v>
      </c>
      <c r="H378" s="259" t="s">
        <v>54</v>
      </c>
      <c r="I378" s="259" t="s">
        <v>54</v>
      </c>
      <c r="J378" s="259" t="s">
        <v>54</v>
      </c>
      <c r="K378" s="259" t="s">
        <v>54</v>
      </c>
      <c r="L378" s="259" t="s">
        <v>58</v>
      </c>
    </row>
    <row r="379" spans="1:12" x14ac:dyDescent="0.25">
      <c r="A379" s="259" t="s">
        <v>446</v>
      </c>
      <c r="B379" s="260">
        <v>17.98</v>
      </c>
      <c r="C379" s="260">
        <v>1.8</v>
      </c>
      <c r="D379" s="260">
        <v>30.27</v>
      </c>
      <c r="E379" s="260">
        <v>30.52</v>
      </c>
      <c r="F379" s="260">
        <v>1.8</v>
      </c>
      <c r="G379" s="260">
        <v>16.829999999999998</v>
      </c>
      <c r="H379" s="260">
        <v>1.18</v>
      </c>
      <c r="I379" s="260">
        <v>1.51</v>
      </c>
      <c r="J379" s="260">
        <v>0.94</v>
      </c>
      <c r="K379" s="260">
        <v>2.9</v>
      </c>
      <c r="L379" s="259" t="s">
        <v>84</v>
      </c>
    </row>
    <row r="380" spans="1:12" x14ac:dyDescent="0.25">
      <c r="A380" s="259" t="s">
        <v>447</v>
      </c>
      <c r="B380" s="259" t="s">
        <v>54</v>
      </c>
      <c r="C380" s="260">
        <v>1.86</v>
      </c>
      <c r="D380" s="259" t="s">
        <v>54</v>
      </c>
      <c r="E380" s="259" t="s">
        <v>54</v>
      </c>
      <c r="F380" s="260">
        <v>1.86</v>
      </c>
      <c r="G380" s="259" t="s">
        <v>54</v>
      </c>
      <c r="H380" s="259" t="s">
        <v>54</v>
      </c>
      <c r="I380" s="259" t="s">
        <v>54</v>
      </c>
      <c r="J380" s="259" t="s">
        <v>54</v>
      </c>
      <c r="K380" s="259" t="s">
        <v>54</v>
      </c>
      <c r="L380" s="259" t="s">
        <v>60</v>
      </c>
    </row>
    <row r="381" spans="1:12" x14ac:dyDescent="0.25">
      <c r="A381" s="259" t="s">
        <v>448</v>
      </c>
      <c r="B381" s="260">
        <v>8.98</v>
      </c>
      <c r="C381" s="260">
        <v>1.89</v>
      </c>
      <c r="D381" s="260">
        <v>23.02</v>
      </c>
      <c r="E381" s="260">
        <v>25.39</v>
      </c>
      <c r="F381" s="260">
        <v>1.89</v>
      </c>
      <c r="G381" s="260">
        <v>15.02</v>
      </c>
      <c r="H381" s="260">
        <v>0.97</v>
      </c>
      <c r="I381" s="260">
        <v>1.23</v>
      </c>
      <c r="J381" s="260">
        <v>0.93</v>
      </c>
      <c r="K381" s="260">
        <v>1.05</v>
      </c>
      <c r="L381" s="259" t="s">
        <v>89</v>
      </c>
    </row>
    <row r="382" spans="1:12" x14ac:dyDescent="0.25">
      <c r="A382" s="259" t="s">
        <v>449</v>
      </c>
      <c r="B382" s="260">
        <v>7.74</v>
      </c>
      <c r="C382" s="260">
        <v>0.1</v>
      </c>
      <c r="D382" s="260">
        <v>16.510000000000002</v>
      </c>
      <c r="E382" s="260">
        <v>21.31</v>
      </c>
      <c r="F382" s="260">
        <v>0.1</v>
      </c>
      <c r="G382" s="260">
        <v>13.13</v>
      </c>
      <c r="H382" s="260">
        <v>0.68</v>
      </c>
      <c r="I382" s="260">
        <v>1.17</v>
      </c>
      <c r="J382" s="260">
        <v>0.95</v>
      </c>
      <c r="K382" s="260">
        <v>-0.79</v>
      </c>
      <c r="L382" s="259" t="s">
        <v>65</v>
      </c>
    </row>
    <row r="383" spans="1:12" hidden="1" x14ac:dyDescent="0.25">
      <c r="A383" s="259" t="s">
        <v>450</v>
      </c>
      <c r="B383" s="260">
        <v>-2.17</v>
      </c>
      <c r="C383" s="260">
        <v>2.14</v>
      </c>
      <c r="D383" s="260">
        <v>35.299999999999997</v>
      </c>
      <c r="E383" s="260">
        <v>29.81</v>
      </c>
      <c r="F383" s="260">
        <v>2.14</v>
      </c>
      <c r="G383" s="260">
        <v>22.95</v>
      </c>
      <c r="H383" s="260">
        <v>1.18</v>
      </c>
      <c r="I383" s="260">
        <v>2.0499999999999998</v>
      </c>
      <c r="J383" s="260">
        <v>0.97</v>
      </c>
      <c r="K383" s="260">
        <v>0.03</v>
      </c>
      <c r="L383" s="259" t="s">
        <v>101</v>
      </c>
    </row>
    <row r="384" spans="1:12" x14ac:dyDescent="0.25">
      <c r="A384" s="259" t="s">
        <v>451</v>
      </c>
      <c r="B384" s="260">
        <v>13.35</v>
      </c>
      <c r="C384" s="260">
        <v>1.76</v>
      </c>
      <c r="D384" s="260">
        <v>29.48</v>
      </c>
      <c r="E384" s="260">
        <v>34.26</v>
      </c>
      <c r="F384" s="260">
        <v>1.76</v>
      </c>
      <c r="G384" s="260">
        <v>16.670000000000002</v>
      </c>
      <c r="H384" s="260">
        <v>1.19</v>
      </c>
      <c r="I384" s="260">
        <v>1.43</v>
      </c>
      <c r="J384" s="260">
        <v>0.8</v>
      </c>
      <c r="K384" s="260">
        <v>5.17</v>
      </c>
      <c r="L384" s="259" t="s">
        <v>103</v>
      </c>
    </row>
    <row r="385" spans="1:12" x14ac:dyDescent="0.25">
      <c r="A385" s="259" t="s">
        <v>452</v>
      </c>
      <c r="B385" s="260">
        <v>7.6</v>
      </c>
      <c r="C385" s="260">
        <v>2.37</v>
      </c>
      <c r="D385" s="260">
        <v>12.37</v>
      </c>
      <c r="E385" s="260">
        <v>10.9</v>
      </c>
      <c r="F385" s="260">
        <v>2.37</v>
      </c>
      <c r="G385" s="260">
        <v>7.31</v>
      </c>
      <c r="H385" s="260">
        <v>0.7</v>
      </c>
      <c r="I385" s="260">
        <v>1.19</v>
      </c>
      <c r="J385" s="260">
        <v>0.64</v>
      </c>
      <c r="K385" s="260">
        <v>0.05</v>
      </c>
      <c r="L385" s="259" t="s">
        <v>62</v>
      </c>
    </row>
    <row r="386" spans="1:12" hidden="1" x14ac:dyDescent="0.25">
      <c r="A386" s="259" t="s">
        <v>453</v>
      </c>
      <c r="B386" s="259" t="s">
        <v>54</v>
      </c>
      <c r="C386" s="260">
        <v>2.34</v>
      </c>
      <c r="D386" s="259" t="s">
        <v>54</v>
      </c>
      <c r="E386" s="259" t="s">
        <v>54</v>
      </c>
      <c r="F386" s="260">
        <v>2.34</v>
      </c>
      <c r="G386" s="259" t="s">
        <v>54</v>
      </c>
      <c r="H386" s="259" t="s">
        <v>54</v>
      </c>
      <c r="I386" s="259" t="s">
        <v>54</v>
      </c>
      <c r="J386" s="259" t="s">
        <v>54</v>
      </c>
      <c r="K386" s="259" t="s">
        <v>54</v>
      </c>
      <c r="L386" s="259" t="s">
        <v>81</v>
      </c>
    </row>
    <row r="387" spans="1:12" x14ac:dyDescent="0.25">
      <c r="A387" s="259" t="s">
        <v>454</v>
      </c>
      <c r="B387" s="260">
        <v>4.6100000000000003</v>
      </c>
      <c r="C387" s="260">
        <v>2.0499999999999998</v>
      </c>
      <c r="D387" s="259" t="s">
        <v>54</v>
      </c>
      <c r="E387" s="259" t="s">
        <v>54</v>
      </c>
      <c r="F387" s="260">
        <v>2.0499999999999998</v>
      </c>
      <c r="G387" s="259" t="s">
        <v>54</v>
      </c>
      <c r="H387" s="259" t="s">
        <v>54</v>
      </c>
      <c r="I387" s="259" t="s">
        <v>54</v>
      </c>
      <c r="J387" s="259" t="s">
        <v>54</v>
      </c>
      <c r="K387" s="259" t="s">
        <v>54</v>
      </c>
      <c r="L387" s="259" t="s">
        <v>55</v>
      </c>
    </row>
    <row r="388" spans="1:12" x14ac:dyDescent="0.25">
      <c r="A388" s="259" t="s">
        <v>455</v>
      </c>
      <c r="B388" s="260">
        <v>7.55</v>
      </c>
      <c r="C388" s="260">
        <v>2.37</v>
      </c>
      <c r="D388" s="259" t="s">
        <v>54</v>
      </c>
      <c r="E388" s="259" t="s">
        <v>54</v>
      </c>
      <c r="F388" s="260">
        <v>2.37</v>
      </c>
      <c r="G388" s="259" t="s">
        <v>54</v>
      </c>
      <c r="H388" s="259" t="s">
        <v>54</v>
      </c>
      <c r="I388" s="259" t="s">
        <v>54</v>
      </c>
      <c r="J388" s="259" t="s">
        <v>54</v>
      </c>
      <c r="K388" s="259" t="s">
        <v>54</v>
      </c>
      <c r="L388" s="259" t="s">
        <v>55</v>
      </c>
    </row>
    <row r="389" spans="1:12" x14ac:dyDescent="0.25">
      <c r="A389" s="259" t="s">
        <v>456</v>
      </c>
      <c r="B389" s="260">
        <v>1.56</v>
      </c>
      <c r="C389" s="260">
        <v>2.35</v>
      </c>
      <c r="D389" s="260">
        <v>17.37</v>
      </c>
      <c r="E389" s="259" t="s">
        <v>54</v>
      </c>
      <c r="F389" s="260">
        <v>2.35</v>
      </c>
      <c r="G389" s="260">
        <v>14.44</v>
      </c>
      <c r="H389" s="260">
        <v>0.68</v>
      </c>
      <c r="I389" s="260">
        <v>1.1000000000000001</v>
      </c>
      <c r="J389" s="260">
        <v>1.01</v>
      </c>
      <c r="K389" s="260">
        <v>-0.57999999999999996</v>
      </c>
      <c r="L389" s="259" t="s">
        <v>65</v>
      </c>
    </row>
    <row r="390" spans="1:12" x14ac:dyDescent="0.25">
      <c r="A390" s="259" t="s">
        <v>457</v>
      </c>
      <c r="B390" s="259" t="s">
        <v>54</v>
      </c>
      <c r="C390" s="260">
        <v>2.15</v>
      </c>
      <c r="D390" s="259" t="s">
        <v>54</v>
      </c>
      <c r="E390" s="259" t="s">
        <v>54</v>
      </c>
      <c r="F390" s="260">
        <v>2.15</v>
      </c>
      <c r="G390" s="259" t="s">
        <v>54</v>
      </c>
      <c r="H390" s="259" t="s">
        <v>54</v>
      </c>
      <c r="I390" s="259" t="s">
        <v>54</v>
      </c>
      <c r="J390" s="259" t="s">
        <v>54</v>
      </c>
      <c r="K390" s="259" t="s">
        <v>54</v>
      </c>
      <c r="L390" s="259" t="s">
        <v>71</v>
      </c>
    </row>
    <row r="391" spans="1:12" x14ac:dyDescent="0.25">
      <c r="A391" s="259" t="s">
        <v>458</v>
      </c>
      <c r="B391" s="260">
        <v>0.86</v>
      </c>
      <c r="C391" s="260">
        <v>2.06</v>
      </c>
      <c r="D391" s="260">
        <v>27.01</v>
      </c>
      <c r="E391" s="259" t="s">
        <v>54</v>
      </c>
      <c r="F391" s="260">
        <v>2.06</v>
      </c>
      <c r="G391" s="260">
        <v>16.920000000000002</v>
      </c>
      <c r="H391" s="260">
        <v>1.1100000000000001</v>
      </c>
      <c r="I391" s="260">
        <v>1.59</v>
      </c>
      <c r="J391" s="260">
        <v>0.96</v>
      </c>
      <c r="K391" s="260">
        <v>1.39</v>
      </c>
      <c r="L391" s="259" t="s">
        <v>84</v>
      </c>
    </row>
    <row r="392" spans="1:12" x14ac:dyDescent="0.25">
      <c r="A392" s="259" t="s">
        <v>459</v>
      </c>
      <c r="B392" s="260">
        <v>1.06</v>
      </c>
      <c r="C392" s="260">
        <v>2.02</v>
      </c>
      <c r="D392" s="260">
        <v>22.96</v>
      </c>
      <c r="E392" s="260">
        <v>20.48</v>
      </c>
      <c r="F392" s="260">
        <v>2.02</v>
      </c>
      <c r="G392" s="260">
        <v>15.61</v>
      </c>
      <c r="H392" s="260">
        <v>0.98</v>
      </c>
      <c r="I392" s="260">
        <v>1.26</v>
      </c>
      <c r="J392" s="260">
        <v>0.97</v>
      </c>
      <c r="K392" s="260">
        <v>1.1599999999999999</v>
      </c>
      <c r="L392" s="259" t="s">
        <v>89</v>
      </c>
    </row>
    <row r="393" spans="1:12" x14ac:dyDescent="0.25">
      <c r="A393" s="259" t="s">
        <v>460</v>
      </c>
      <c r="B393" s="260">
        <v>6.5</v>
      </c>
      <c r="C393" s="260">
        <v>1.93</v>
      </c>
      <c r="D393" s="260">
        <v>30.32</v>
      </c>
      <c r="E393" s="260">
        <v>29.58</v>
      </c>
      <c r="F393" s="260">
        <v>1.93</v>
      </c>
      <c r="G393" s="260">
        <v>17.190000000000001</v>
      </c>
      <c r="H393" s="260">
        <v>1.24</v>
      </c>
      <c r="I393" s="260">
        <v>1.55</v>
      </c>
      <c r="J393" s="260">
        <v>0.84</v>
      </c>
      <c r="K393" s="260">
        <v>6.01</v>
      </c>
      <c r="L393" s="259" t="s">
        <v>103</v>
      </c>
    </row>
    <row r="394" spans="1:12" x14ac:dyDescent="0.25">
      <c r="A394" s="259" t="s">
        <v>461</v>
      </c>
      <c r="B394" s="260">
        <v>-2.29</v>
      </c>
      <c r="C394" s="260">
        <v>1.77</v>
      </c>
      <c r="D394" s="260">
        <v>26.56</v>
      </c>
      <c r="E394" s="260">
        <v>27.29</v>
      </c>
      <c r="F394" s="260">
        <v>1.77</v>
      </c>
      <c r="G394" s="260">
        <v>15.55</v>
      </c>
      <c r="H394" s="260">
        <v>1.1599999999999999</v>
      </c>
      <c r="I394" s="260">
        <v>1.66</v>
      </c>
      <c r="J394" s="260">
        <v>0.98</v>
      </c>
      <c r="K394" s="260">
        <v>6.73</v>
      </c>
      <c r="L394" s="259" t="s">
        <v>55</v>
      </c>
    </row>
    <row r="395" spans="1:12" x14ac:dyDescent="0.25">
      <c r="A395" s="259" t="s">
        <v>462</v>
      </c>
      <c r="B395" s="260">
        <v>0.27</v>
      </c>
      <c r="C395" s="260">
        <v>2.37</v>
      </c>
      <c r="D395" s="260">
        <v>21.76</v>
      </c>
      <c r="E395" s="260">
        <v>21.22</v>
      </c>
      <c r="F395" s="260">
        <v>2.37</v>
      </c>
      <c r="G395" s="260">
        <v>14.92</v>
      </c>
      <c r="H395" s="260">
        <v>0.93</v>
      </c>
      <c r="I395" s="260">
        <v>1.41</v>
      </c>
      <c r="J395" s="260">
        <v>0.94</v>
      </c>
      <c r="K395" s="260">
        <v>3.02</v>
      </c>
      <c r="L395" s="259" t="s">
        <v>55</v>
      </c>
    </row>
    <row r="396" spans="1:12" x14ac:dyDescent="0.25">
      <c r="A396" s="259" t="s">
        <v>463</v>
      </c>
      <c r="B396" s="260">
        <v>-2.66</v>
      </c>
      <c r="C396" s="260">
        <v>2.36</v>
      </c>
      <c r="D396" s="260">
        <v>18.63</v>
      </c>
      <c r="E396" s="260">
        <v>18.68</v>
      </c>
      <c r="F396" s="260">
        <v>2.36</v>
      </c>
      <c r="G396" s="260">
        <v>13.89</v>
      </c>
      <c r="H396" s="260">
        <v>0.78</v>
      </c>
      <c r="I396" s="260">
        <v>1.32</v>
      </c>
      <c r="J396" s="260">
        <v>0.95</v>
      </c>
      <c r="K396" s="260">
        <v>1.03</v>
      </c>
      <c r="L396" s="259" t="s">
        <v>65</v>
      </c>
    </row>
    <row r="397" spans="1:12" x14ac:dyDescent="0.25">
      <c r="A397" s="259" t="s">
        <v>464</v>
      </c>
      <c r="B397" s="260">
        <v>0.73</v>
      </c>
      <c r="C397" s="260">
        <v>2.0499999999999998</v>
      </c>
      <c r="D397" s="259" t="s">
        <v>54</v>
      </c>
      <c r="E397" s="259" t="s">
        <v>54</v>
      </c>
      <c r="F397" s="260">
        <v>2.0499999999999998</v>
      </c>
      <c r="G397" s="259" t="s">
        <v>54</v>
      </c>
      <c r="H397" s="259" t="s">
        <v>54</v>
      </c>
      <c r="I397" s="259" t="s">
        <v>54</v>
      </c>
      <c r="J397" s="259" t="s">
        <v>54</v>
      </c>
      <c r="K397" s="259" t="s">
        <v>54</v>
      </c>
      <c r="L397" s="259" t="s">
        <v>84</v>
      </c>
    </row>
    <row r="398" spans="1:12" x14ac:dyDescent="0.25">
      <c r="A398" s="259" t="s">
        <v>465</v>
      </c>
      <c r="B398" s="259" t="s">
        <v>54</v>
      </c>
      <c r="C398" s="260">
        <v>2.27</v>
      </c>
      <c r="D398" s="259" t="s">
        <v>54</v>
      </c>
      <c r="E398" s="259" t="s">
        <v>54</v>
      </c>
      <c r="F398" s="260">
        <v>2.27</v>
      </c>
      <c r="G398" s="259" t="s">
        <v>54</v>
      </c>
      <c r="H398" s="259" t="s">
        <v>54</v>
      </c>
      <c r="I398" s="259" t="s">
        <v>54</v>
      </c>
      <c r="J398" s="259" t="s">
        <v>54</v>
      </c>
      <c r="K398" s="259" t="s">
        <v>54</v>
      </c>
      <c r="L398" s="259" t="s">
        <v>103</v>
      </c>
    </row>
    <row r="399" spans="1:12" x14ac:dyDescent="0.25">
      <c r="A399" s="259" t="s">
        <v>466</v>
      </c>
      <c r="B399" s="260">
        <v>8.66</v>
      </c>
      <c r="C399" s="260">
        <v>1.66</v>
      </c>
      <c r="D399" s="260">
        <v>13.59</v>
      </c>
      <c r="E399" s="260">
        <v>14.28</v>
      </c>
      <c r="F399" s="260">
        <v>1.66</v>
      </c>
      <c r="G399" s="260">
        <v>7.54</v>
      </c>
      <c r="H399" s="260">
        <v>0.82</v>
      </c>
      <c r="I399" s="260">
        <v>1.07</v>
      </c>
      <c r="J399" s="260">
        <v>0.71</v>
      </c>
      <c r="K399" s="260">
        <v>0.62</v>
      </c>
      <c r="L399" s="259" t="s">
        <v>62</v>
      </c>
    </row>
    <row r="400" spans="1:12" x14ac:dyDescent="0.25">
      <c r="A400" s="259" t="s">
        <v>467</v>
      </c>
      <c r="B400" s="260">
        <v>6.46</v>
      </c>
      <c r="C400" s="260">
        <v>1.73</v>
      </c>
      <c r="D400" s="260">
        <v>18.149999999999999</v>
      </c>
      <c r="E400" s="260">
        <v>21.85</v>
      </c>
      <c r="F400" s="260">
        <v>1.73</v>
      </c>
      <c r="G400" s="260">
        <v>13.04</v>
      </c>
      <c r="H400" s="260">
        <v>0.78</v>
      </c>
      <c r="I400" s="260">
        <v>1.21</v>
      </c>
      <c r="J400" s="260">
        <v>0.94</v>
      </c>
      <c r="K400" s="260">
        <v>0.53</v>
      </c>
      <c r="L400" s="259" t="s">
        <v>65</v>
      </c>
    </row>
    <row r="401" spans="1:12" hidden="1" x14ac:dyDescent="0.25">
      <c r="A401" s="259" t="s">
        <v>468</v>
      </c>
      <c r="B401" s="260">
        <v>-5.97</v>
      </c>
      <c r="C401" s="260">
        <v>0.72</v>
      </c>
      <c r="D401" s="259" t="s">
        <v>54</v>
      </c>
      <c r="E401" s="259" t="s">
        <v>54</v>
      </c>
      <c r="F401" s="260">
        <v>0.72</v>
      </c>
      <c r="G401" s="259" t="s">
        <v>54</v>
      </c>
      <c r="H401" s="259" t="s">
        <v>54</v>
      </c>
      <c r="I401" s="259" t="s">
        <v>54</v>
      </c>
      <c r="J401" s="259" t="s">
        <v>54</v>
      </c>
      <c r="K401" s="259" t="s">
        <v>54</v>
      </c>
      <c r="L401" s="259" t="s">
        <v>58</v>
      </c>
    </row>
    <row r="402" spans="1:12" hidden="1" x14ac:dyDescent="0.25">
      <c r="A402" s="259" t="s">
        <v>469</v>
      </c>
      <c r="B402" s="259" t="s">
        <v>54</v>
      </c>
      <c r="C402" s="260">
        <v>1.04</v>
      </c>
      <c r="D402" s="259" t="s">
        <v>54</v>
      </c>
      <c r="E402" s="259" t="s">
        <v>54</v>
      </c>
      <c r="F402" s="260">
        <v>1.04</v>
      </c>
      <c r="G402" s="259" t="s">
        <v>54</v>
      </c>
      <c r="H402" s="259" t="s">
        <v>54</v>
      </c>
      <c r="I402" s="259" t="s">
        <v>54</v>
      </c>
      <c r="J402" s="259" t="s">
        <v>54</v>
      </c>
      <c r="K402" s="259" t="s">
        <v>54</v>
      </c>
      <c r="L402" s="259" t="s">
        <v>101</v>
      </c>
    </row>
    <row r="403" spans="1:12" x14ac:dyDescent="0.25">
      <c r="A403" s="259" t="s">
        <v>470</v>
      </c>
      <c r="B403" s="260">
        <v>7.58</v>
      </c>
      <c r="C403" s="260">
        <v>0.18</v>
      </c>
      <c r="D403" s="260">
        <v>15.63</v>
      </c>
      <c r="E403" s="260">
        <v>20.43</v>
      </c>
      <c r="F403" s="260">
        <v>0.18</v>
      </c>
      <c r="G403" s="260">
        <v>12.69</v>
      </c>
      <c r="H403" s="260">
        <v>0.65</v>
      </c>
      <c r="I403" s="260">
        <v>1.08</v>
      </c>
      <c r="J403" s="260">
        <v>0.91</v>
      </c>
      <c r="K403" s="260">
        <v>-1.1499999999999999</v>
      </c>
      <c r="L403" s="259" t="s">
        <v>65</v>
      </c>
    </row>
    <row r="404" spans="1:12" x14ac:dyDescent="0.25">
      <c r="A404" s="259" t="s">
        <v>471</v>
      </c>
      <c r="B404" s="259" t="s">
        <v>54</v>
      </c>
      <c r="C404" s="260">
        <v>0.31</v>
      </c>
      <c r="D404" s="259" t="s">
        <v>54</v>
      </c>
      <c r="E404" s="259" t="s">
        <v>54</v>
      </c>
      <c r="F404" s="260">
        <v>0.31</v>
      </c>
      <c r="G404" s="259" t="s">
        <v>54</v>
      </c>
      <c r="H404" s="259" t="s">
        <v>54</v>
      </c>
      <c r="I404" s="259" t="s">
        <v>54</v>
      </c>
      <c r="J404" s="259" t="s">
        <v>54</v>
      </c>
      <c r="K404" s="259" t="s">
        <v>54</v>
      </c>
      <c r="L404" s="259" t="s">
        <v>65</v>
      </c>
    </row>
    <row r="405" spans="1:12" hidden="1" x14ac:dyDescent="0.25">
      <c r="A405" s="259" t="s">
        <v>472</v>
      </c>
      <c r="B405" s="260">
        <v>9.02</v>
      </c>
      <c r="C405" s="260">
        <v>1.95</v>
      </c>
      <c r="D405" s="259" t="s">
        <v>54</v>
      </c>
      <c r="E405" s="259" t="s">
        <v>54</v>
      </c>
      <c r="F405" s="260">
        <v>1.95</v>
      </c>
      <c r="G405" s="259" t="s">
        <v>54</v>
      </c>
      <c r="H405" s="259" t="s">
        <v>54</v>
      </c>
      <c r="I405" s="259" t="s">
        <v>54</v>
      </c>
      <c r="J405" s="259" t="s">
        <v>54</v>
      </c>
      <c r="K405" s="259" t="s">
        <v>54</v>
      </c>
      <c r="L405" s="259" t="s">
        <v>58</v>
      </c>
    </row>
    <row r="406" spans="1:12" hidden="1" x14ac:dyDescent="0.25">
      <c r="A406" s="259" t="s">
        <v>473</v>
      </c>
      <c r="B406" s="260">
        <v>6.83</v>
      </c>
      <c r="C406" s="260">
        <v>2.12</v>
      </c>
      <c r="D406" s="259" t="s">
        <v>54</v>
      </c>
      <c r="E406" s="259" t="s">
        <v>54</v>
      </c>
      <c r="F406" s="260">
        <v>2.12</v>
      </c>
      <c r="G406" s="259" t="s">
        <v>54</v>
      </c>
      <c r="H406" s="259" t="s">
        <v>54</v>
      </c>
      <c r="I406" s="259" t="s">
        <v>54</v>
      </c>
      <c r="J406" s="259" t="s">
        <v>54</v>
      </c>
      <c r="K406" s="259" t="s">
        <v>54</v>
      </c>
      <c r="L406" s="259" t="s">
        <v>81</v>
      </c>
    </row>
    <row r="407" spans="1:12" x14ac:dyDescent="0.25">
      <c r="A407" s="259" t="s">
        <v>474</v>
      </c>
      <c r="B407" s="260">
        <v>8.01</v>
      </c>
      <c r="C407" s="260">
        <v>1.42</v>
      </c>
      <c r="D407" s="260">
        <v>25.55</v>
      </c>
      <c r="E407" s="260">
        <v>30.87</v>
      </c>
      <c r="F407" s="260">
        <v>1.42</v>
      </c>
      <c r="G407" s="260">
        <v>16.23</v>
      </c>
      <c r="H407" s="260">
        <v>1</v>
      </c>
      <c r="I407" s="260">
        <v>1.31</v>
      </c>
      <c r="J407" s="260">
        <v>0.91</v>
      </c>
      <c r="K407" s="260">
        <v>-0.12</v>
      </c>
      <c r="L407" s="259" t="s">
        <v>84</v>
      </c>
    </row>
    <row r="408" spans="1:12" hidden="1" x14ac:dyDescent="0.25">
      <c r="A408" s="259" t="s">
        <v>475</v>
      </c>
      <c r="B408" s="259" t="s">
        <v>54</v>
      </c>
      <c r="C408" s="260">
        <v>2.42</v>
      </c>
      <c r="D408" s="259" t="s">
        <v>54</v>
      </c>
      <c r="E408" s="259" t="s">
        <v>54</v>
      </c>
      <c r="F408" s="260">
        <v>2.42</v>
      </c>
      <c r="G408" s="259" t="s">
        <v>54</v>
      </c>
      <c r="H408" s="259" t="s">
        <v>54</v>
      </c>
      <c r="I408" s="259" t="s">
        <v>54</v>
      </c>
      <c r="J408" s="259" t="s">
        <v>54</v>
      </c>
      <c r="K408" s="259" t="s">
        <v>54</v>
      </c>
      <c r="L408" s="259" t="s">
        <v>194</v>
      </c>
    </row>
    <row r="409" spans="1:12" x14ac:dyDescent="0.25">
      <c r="A409" s="259" t="s">
        <v>476</v>
      </c>
      <c r="B409" s="260">
        <v>2.76</v>
      </c>
      <c r="C409" s="260">
        <v>1.59</v>
      </c>
      <c r="D409" s="260">
        <v>22.77</v>
      </c>
      <c r="E409" s="260">
        <v>24.97</v>
      </c>
      <c r="F409" s="260">
        <v>1.59</v>
      </c>
      <c r="G409" s="260">
        <v>14.06</v>
      </c>
      <c r="H409" s="260">
        <v>1</v>
      </c>
      <c r="I409" s="260">
        <v>1.4</v>
      </c>
      <c r="J409" s="260">
        <v>0.93</v>
      </c>
      <c r="K409" s="260">
        <v>3.75</v>
      </c>
      <c r="L409" s="259" t="s">
        <v>71</v>
      </c>
    </row>
    <row r="410" spans="1:12" hidden="1" x14ac:dyDescent="0.25">
      <c r="A410" s="259" t="s">
        <v>477</v>
      </c>
      <c r="B410" s="260">
        <v>2.36</v>
      </c>
      <c r="C410" s="260">
        <v>2.2799999999999998</v>
      </c>
      <c r="D410" s="260">
        <v>16.84</v>
      </c>
      <c r="E410" s="259" t="s">
        <v>54</v>
      </c>
      <c r="F410" s="260">
        <v>2.2799999999999998</v>
      </c>
      <c r="G410" s="260">
        <v>13.58</v>
      </c>
      <c r="H410" s="260">
        <v>0.65</v>
      </c>
      <c r="I410" s="260">
        <v>1.03</v>
      </c>
      <c r="J410" s="260">
        <v>0.96</v>
      </c>
      <c r="K410" s="260">
        <v>-1.03</v>
      </c>
      <c r="L410" s="259" t="s">
        <v>73</v>
      </c>
    </row>
    <row r="411" spans="1:12" x14ac:dyDescent="0.25">
      <c r="A411" s="259" t="s">
        <v>478</v>
      </c>
      <c r="B411" s="260">
        <v>6.64</v>
      </c>
      <c r="C411" s="260">
        <v>1.46</v>
      </c>
      <c r="D411" s="260">
        <v>20.63</v>
      </c>
      <c r="E411" s="260">
        <v>22.04</v>
      </c>
      <c r="F411" s="260">
        <v>1.46</v>
      </c>
      <c r="G411" s="260">
        <v>13.86</v>
      </c>
      <c r="H411" s="260">
        <v>0.87</v>
      </c>
      <c r="I411" s="260">
        <v>1.38</v>
      </c>
      <c r="J411" s="260">
        <v>0.93</v>
      </c>
      <c r="K411" s="260">
        <v>1.31</v>
      </c>
      <c r="L411" s="259" t="s">
        <v>55</v>
      </c>
    </row>
    <row r="412" spans="1:12" x14ac:dyDescent="0.25">
      <c r="A412" s="259" t="s">
        <v>479</v>
      </c>
      <c r="B412" s="260">
        <v>4.91</v>
      </c>
      <c r="C412" s="260">
        <v>1.89</v>
      </c>
      <c r="D412" s="260">
        <v>18.309999999999999</v>
      </c>
      <c r="E412" s="260">
        <v>22.07</v>
      </c>
      <c r="F412" s="260">
        <v>1.89</v>
      </c>
      <c r="G412" s="260">
        <v>13.28</v>
      </c>
      <c r="H412" s="260">
        <v>0.75</v>
      </c>
      <c r="I412" s="260">
        <v>1.1499999999999999</v>
      </c>
      <c r="J412" s="260">
        <v>0.9</v>
      </c>
      <c r="K412" s="260">
        <v>-0.33</v>
      </c>
      <c r="L412" s="259" t="s">
        <v>55</v>
      </c>
    </row>
    <row r="413" spans="1:12" hidden="1" x14ac:dyDescent="0.25">
      <c r="A413" s="259" t="s">
        <v>480</v>
      </c>
      <c r="B413" s="260">
        <v>-0.11</v>
      </c>
      <c r="C413" s="260">
        <v>1.97</v>
      </c>
      <c r="D413" s="260">
        <v>21.76</v>
      </c>
      <c r="E413" s="259" t="s">
        <v>54</v>
      </c>
      <c r="F413" s="260">
        <v>1.97</v>
      </c>
      <c r="G413" s="260">
        <v>15.85</v>
      </c>
      <c r="H413" s="260">
        <v>0.88</v>
      </c>
      <c r="I413" s="260">
        <v>1.17</v>
      </c>
      <c r="J413" s="260">
        <v>1</v>
      </c>
      <c r="K413" s="260">
        <v>2.38</v>
      </c>
      <c r="L413" s="259" t="s">
        <v>58</v>
      </c>
    </row>
    <row r="414" spans="1:12" hidden="1" x14ac:dyDescent="0.25">
      <c r="A414" s="259" t="s">
        <v>481</v>
      </c>
      <c r="B414" s="259" t="s">
        <v>54</v>
      </c>
      <c r="C414" s="260">
        <v>1.99</v>
      </c>
      <c r="D414" s="259" t="s">
        <v>54</v>
      </c>
      <c r="E414" s="259" t="s">
        <v>54</v>
      </c>
      <c r="F414" s="260">
        <v>1.99</v>
      </c>
      <c r="G414" s="259" t="s">
        <v>54</v>
      </c>
      <c r="H414" s="259" t="s">
        <v>54</v>
      </c>
      <c r="I414" s="259" t="s">
        <v>54</v>
      </c>
      <c r="J414" s="259" t="s">
        <v>54</v>
      </c>
      <c r="K414" s="259" t="s">
        <v>54</v>
      </c>
      <c r="L414" s="259" t="s">
        <v>86</v>
      </c>
    </row>
    <row r="415" spans="1:12" x14ac:dyDescent="0.25">
      <c r="A415" s="259" t="s">
        <v>482</v>
      </c>
      <c r="B415" s="259" t="s">
        <v>54</v>
      </c>
      <c r="C415" s="260">
        <v>0.4</v>
      </c>
      <c r="D415" s="259" t="s">
        <v>54</v>
      </c>
      <c r="E415" s="259" t="s">
        <v>54</v>
      </c>
      <c r="F415" s="260">
        <v>0.4</v>
      </c>
      <c r="G415" s="259" t="s">
        <v>54</v>
      </c>
      <c r="H415" s="259" t="s">
        <v>54</v>
      </c>
      <c r="I415" s="259" t="s">
        <v>54</v>
      </c>
      <c r="J415" s="259" t="s">
        <v>54</v>
      </c>
      <c r="K415" s="259" t="s">
        <v>54</v>
      </c>
      <c r="L415" s="259" t="s">
        <v>71</v>
      </c>
    </row>
    <row r="416" spans="1:12" x14ac:dyDescent="0.25">
      <c r="A416" s="259" t="s">
        <v>483</v>
      </c>
      <c r="B416" s="260">
        <v>4.87</v>
      </c>
      <c r="C416" s="260">
        <v>1.74</v>
      </c>
      <c r="D416" s="259" t="s">
        <v>54</v>
      </c>
      <c r="E416" s="259" t="s">
        <v>54</v>
      </c>
      <c r="F416" s="260">
        <v>1.74</v>
      </c>
      <c r="G416" s="259" t="s">
        <v>54</v>
      </c>
      <c r="H416" s="259" t="s">
        <v>54</v>
      </c>
      <c r="I416" s="259" t="s">
        <v>54</v>
      </c>
      <c r="J416" s="259" t="s">
        <v>54</v>
      </c>
      <c r="K416" s="259" t="s">
        <v>54</v>
      </c>
      <c r="L416" s="259" t="s">
        <v>60</v>
      </c>
    </row>
    <row r="417" spans="1:12" x14ac:dyDescent="0.25">
      <c r="A417" s="259" t="s">
        <v>484</v>
      </c>
      <c r="B417" s="260">
        <v>8.9</v>
      </c>
      <c r="C417" s="260">
        <v>0.99</v>
      </c>
      <c r="D417" s="260">
        <v>21.31</v>
      </c>
      <c r="E417" s="260">
        <v>21.98</v>
      </c>
      <c r="F417" s="260">
        <v>0.99</v>
      </c>
      <c r="G417" s="260">
        <v>9.16</v>
      </c>
      <c r="H417" s="260">
        <v>1.38</v>
      </c>
      <c r="I417" s="260">
        <v>1.9</v>
      </c>
      <c r="J417" s="260">
        <v>0.91</v>
      </c>
      <c r="K417" s="260">
        <v>4.5599999999999996</v>
      </c>
      <c r="L417" s="259" t="s">
        <v>60</v>
      </c>
    </row>
    <row r="418" spans="1:12" x14ac:dyDescent="0.25">
      <c r="A418" s="259" t="s">
        <v>485</v>
      </c>
      <c r="B418" s="260">
        <v>3.08</v>
      </c>
      <c r="C418" s="260">
        <v>1.63</v>
      </c>
      <c r="D418" s="260">
        <v>27.34</v>
      </c>
      <c r="E418" s="259" t="s">
        <v>54</v>
      </c>
      <c r="F418" s="260">
        <v>1.63</v>
      </c>
      <c r="G418" s="260">
        <v>16.12</v>
      </c>
      <c r="H418" s="260">
        <v>1.1499999999999999</v>
      </c>
      <c r="I418" s="260">
        <v>1.58</v>
      </c>
      <c r="J418" s="260">
        <v>1</v>
      </c>
      <c r="K418" s="260">
        <v>4.0199999999999996</v>
      </c>
      <c r="L418" s="259" t="s">
        <v>89</v>
      </c>
    </row>
    <row r="419" spans="1:12" x14ac:dyDescent="0.25">
      <c r="A419" s="259" t="s">
        <v>486</v>
      </c>
      <c r="B419" s="259" t="s">
        <v>54</v>
      </c>
      <c r="C419" s="260">
        <v>0.25</v>
      </c>
      <c r="D419" s="259" t="s">
        <v>54</v>
      </c>
      <c r="E419" s="259" t="s">
        <v>54</v>
      </c>
      <c r="F419" s="260">
        <v>0.25</v>
      </c>
      <c r="G419" s="259" t="s">
        <v>54</v>
      </c>
      <c r="H419" s="259" t="s">
        <v>54</v>
      </c>
      <c r="I419" s="259" t="s">
        <v>54</v>
      </c>
      <c r="J419" s="259" t="s">
        <v>54</v>
      </c>
      <c r="K419" s="259" t="s">
        <v>54</v>
      </c>
      <c r="L419" s="259" t="s">
        <v>65</v>
      </c>
    </row>
    <row r="420" spans="1:12" x14ac:dyDescent="0.25">
      <c r="A420" s="259" t="s">
        <v>487</v>
      </c>
      <c r="B420" s="259" t="s">
        <v>54</v>
      </c>
      <c r="C420" s="260">
        <v>0.72</v>
      </c>
      <c r="D420" s="259" t="s">
        <v>54</v>
      </c>
      <c r="E420" s="259" t="s">
        <v>54</v>
      </c>
      <c r="F420" s="260">
        <v>0.72</v>
      </c>
      <c r="G420" s="259" t="s">
        <v>54</v>
      </c>
      <c r="H420" s="259" t="s">
        <v>54</v>
      </c>
      <c r="I420" s="259" t="s">
        <v>54</v>
      </c>
      <c r="J420" s="259" t="s">
        <v>54</v>
      </c>
      <c r="K420" s="259" t="s">
        <v>54</v>
      </c>
      <c r="L420" s="259" t="s">
        <v>65</v>
      </c>
    </row>
    <row r="421" spans="1:12" x14ac:dyDescent="0.25">
      <c r="A421" s="259" t="s">
        <v>488</v>
      </c>
      <c r="B421" s="260">
        <v>5.87</v>
      </c>
      <c r="C421" s="260">
        <v>0.09</v>
      </c>
      <c r="D421" s="260">
        <v>18.47</v>
      </c>
      <c r="E421" s="259" t="s">
        <v>54</v>
      </c>
      <c r="F421" s="260">
        <v>0.09</v>
      </c>
      <c r="G421" s="260">
        <v>13.86</v>
      </c>
      <c r="H421" s="260">
        <v>0.75</v>
      </c>
      <c r="I421" s="260">
        <v>1.1000000000000001</v>
      </c>
      <c r="J421" s="260">
        <v>0.95</v>
      </c>
      <c r="K421" s="260">
        <v>0.52</v>
      </c>
      <c r="L421" s="259" t="s">
        <v>65</v>
      </c>
    </row>
    <row r="422" spans="1:12" x14ac:dyDescent="0.25">
      <c r="A422" s="259" t="s">
        <v>489</v>
      </c>
      <c r="B422" s="260">
        <v>4.7</v>
      </c>
      <c r="C422" s="260">
        <v>0.94</v>
      </c>
      <c r="D422" s="259" t="s">
        <v>54</v>
      </c>
      <c r="E422" s="259" t="s">
        <v>54</v>
      </c>
      <c r="F422" s="260">
        <v>0.94</v>
      </c>
      <c r="G422" s="259" t="s">
        <v>54</v>
      </c>
      <c r="H422" s="259" t="s">
        <v>54</v>
      </c>
      <c r="I422" s="259" t="s">
        <v>54</v>
      </c>
      <c r="J422" s="259" t="s">
        <v>54</v>
      </c>
      <c r="K422" s="259" t="s">
        <v>54</v>
      </c>
      <c r="L422" s="259" t="s">
        <v>65</v>
      </c>
    </row>
    <row r="423" spans="1:12" x14ac:dyDescent="0.25">
      <c r="A423" s="259" t="s">
        <v>490</v>
      </c>
      <c r="B423" s="260">
        <v>-11.34</v>
      </c>
      <c r="C423" s="260">
        <v>0.79</v>
      </c>
      <c r="D423" s="259" t="s">
        <v>54</v>
      </c>
      <c r="E423" s="259" t="s">
        <v>54</v>
      </c>
      <c r="F423" s="260">
        <v>0.79</v>
      </c>
      <c r="G423" s="259" t="s">
        <v>54</v>
      </c>
      <c r="H423" s="259" t="s">
        <v>54</v>
      </c>
      <c r="I423" s="259" t="s">
        <v>54</v>
      </c>
      <c r="J423" s="259" t="s">
        <v>54</v>
      </c>
      <c r="K423" s="259" t="s">
        <v>54</v>
      </c>
      <c r="L423" s="259" t="s">
        <v>71</v>
      </c>
    </row>
    <row r="424" spans="1:12" x14ac:dyDescent="0.25">
      <c r="A424" s="259" t="s">
        <v>491</v>
      </c>
      <c r="B424" s="259" t="s">
        <v>54</v>
      </c>
      <c r="C424" s="260">
        <v>0.72</v>
      </c>
      <c r="D424" s="259" t="s">
        <v>54</v>
      </c>
      <c r="E424" s="259" t="s">
        <v>54</v>
      </c>
      <c r="F424" s="260">
        <v>0.72</v>
      </c>
      <c r="G424" s="259" t="s">
        <v>54</v>
      </c>
      <c r="H424" s="259" t="s">
        <v>54</v>
      </c>
      <c r="I424" s="259" t="s">
        <v>54</v>
      </c>
      <c r="J424" s="259" t="s">
        <v>54</v>
      </c>
      <c r="K424" s="259" t="s">
        <v>54</v>
      </c>
      <c r="L424" s="259" t="s">
        <v>65</v>
      </c>
    </row>
    <row r="425" spans="1:12" x14ac:dyDescent="0.25">
      <c r="A425" s="259" t="s">
        <v>492</v>
      </c>
      <c r="B425" s="260">
        <v>7.81</v>
      </c>
      <c r="C425" s="260">
        <v>0.04</v>
      </c>
      <c r="D425" s="260">
        <v>16.52</v>
      </c>
      <c r="E425" s="260">
        <v>21.31</v>
      </c>
      <c r="F425" s="260">
        <v>0.04</v>
      </c>
      <c r="G425" s="260">
        <v>13.13</v>
      </c>
      <c r="H425" s="260">
        <v>0.68</v>
      </c>
      <c r="I425" s="260">
        <v>1.17</v>
      </c>
      <c r="J425" s="260">
        <v>0.95</v>
      </c>
      <c r="K425" s="260">
        <v>-0.78</v>
      </c>
      <c r="L425" s="259" t="s">
        <v>65</v>
      </c>
    </row>
    <row r="426" spans="1:12" x14ac:dyDescent="0.25">
      <c r="A426" s="259" t="s">
        <v>493</v>
      </c>
      <c r="B426" s="260">
        <v>7.17</v>
      </c>
      <c r="C426" s="260">
        <v>0.35</v>
      </c>
      <c r="D426" s="260">
        <v>15.87</v>
      </c>
      <c r="E426" s="259" t="s">
        <v>54</v>
      </c>
      <c r="F426" s="260">
        <v>0.35</v>
      </c>
      <c r="G426" s="260">
        <v>13.11</v>
      </c>
      <c r="H426" s="260">
        <v>0.64</v>
      </c>
      <c r="I426" s="260">
        <v>1.1000000000000001</v>
      </c>
      <c r="J426" s="260">
        <v>0.95</v>
      </c>
      <c r="K426" s="260">
        <v>-1.34</v>
      </c>
      <c r="L426" s="259" t="s">
        <v>65</v>
      </c>
    </row>
    <row r="427" spans="1:12" x14ac:dyDescent="0.25">
      <c r="A427" s="259" t="s">
        <v>494</v>
      </c>
      <c r="B427" s="260">
        <v>-5.82</v>
      </c>
      <c r="C427" s="260">
        <v>0.3</v>
      </c>
      <c r="D427" s="260">
        <v>20.39</v>
      </c>
      <c r="E427" s="259" t="s">
        <v>54</v>
      </c>
      <c r="F427" s="260">
        <v>0.3</v>
      </c>
      <c r="G427" s="260">
        <v>23.27</v>
      </c>
      <c r="H427" s="260">
        <v>0.59</v>
      </c>
      <c r="I427" s="260">
        <v>0.74</v>
      </c>
      <c r="J427" s="260">
        <v>1.4</v>
      </c>
      <c r="K427" s="260">
        <v>-2.5099999999999998</v>
      </c>
      <c r="L427" s="259" t="s">
        <v>55</v>
      </c>
    </row>
    <row r="428" spans="1:12" hidden="1" x14ac:dyDescent="0.25">
      <c r="A428" s="259" t="s">
        <v>495</v>
      </c>
      <c r="B428" s="259" t="s">
        <v>54</v>
      </c>
      <c r="C428" s="260">
        <v>0.48</v>
      </c>
      <c r="D428" s="259" t="s">
        <v>54</v>
      </c>
      <c r="E428" s="259" t="s">
        <v>54</v>
      </c>
      <c r="F428" s="260">
        <v>0.48</v>
      </c>
      <c r="G428" s="259" t="s">
        <v>54</v>
      </c>
      <c r="H428" s="259" t="s">
        <v>54</v>
      </c>
      <c r="I428" s="259" t="s">
        <v>54</v>
      </c>
      <c r="J428" s="259" t="s">
        <v>54</v>
      </c>
      <c r="K428" s="259" t="s">
        <v>54</v>
      </c>
      <c r="L428" s="259" t="s">
        <v>58</v>
      </c>
    </row>
    <row r="429" spans="1:12" hidden="1" x14ac:dyDescent="0.25">
      <c r="A429" s="259" t="s">
        <v>496</v>
      </c>
      <c r="B429" s="260">
        <v>4.08</v>
      </c>
      <c r="C429" s="260">
        <v>0.1</v>
      </c>
      <c r="D429" s="259" t="s">
        <v>54</v>
      </c>
      <c r="E429" s="259" t="s">
        <v>54</v>
      </c>
      <c r="F429" s="260">
        <v>0.1</v>
      </c>
      <c r="G429" s="259" t="s">
        <v>54</v>
      </c>
      <c r="H429" s="259" t="s">
        <v>54</v>
      </c>
      <c r="I429" s="259" t="s">
        <v>54</v>
      </c>
      <c r="J429" s="259" t="s">
        <v>54</v>
      </c>
      <c r="K429" s="259" t="s">
        <v>54</v>
      </c>
      <c r="L429" s="259" t="s">
        <v>81</v>
      </c>
    </row>
    <row r="430" spans="1:12" hidden="1" x14ac:dyDescent="0.25">
      <c r="A430" s="259" t="s">
        <v>497</v>
      </c>
      <c r="B430" s="259" t="s">
        <v>54</v>
      </c>
      <c r="C430" s="260">
        <v>0.96</v>
      </c>
      <c r="D430" s="259" t="s">
        <v>54</v>
      </c>
      <c r="E430" s="259" t="s">
        <v>54</v>
      </c>
      <c r="F430" s="260">
        <v>0.96</v>
      </c>
      <c r="G430" s="259" t="s">
        <v>54</v>
      </c>
      <c r="H430" s="259" t="s">
        <v>54</v>
      </c>
      <c r="I430" s="259" t="s">
        <v>54</v>
      </c>
      <c r="J430" s="259" t="s">
        <v>54</v>
      </c>
      <c r="K430" s="259" t="s">
        <v>54</v>
      </c>
      <c r="L430" s="259" t="s">
        <v>58</v>
      </c>
    </row>
    <row r="431" spans="1:12" x14ac:dyDescent="0.25">
      <c r="A431" s="259" t="s">
        <v>498</v>
      </c>
      <c r="B431" s="259" t="s">
        <v>54</v>
      </c>
      <c r="C431" s="260">
        <v>0.1</v>
      </c>
      <c r="D431" s="259" t="s">
        <v>54</v>
      </c>
      <c r="E431" s="259" t="s">
        <v>54</v>
      </c>
      <c r="F431" s="260">
        <v>0.1</v>
      </c>
      <c r="G431" s="259" t="s">
        <v>54</v>
      </c>
      <c r="H431" s="259" t="s">
        <v>54</v>
      </c>
      <c r="I431" s="259" t="s">
        <v>54</v>
      </c>
      <c r="J431" s="259" t="s">
        <v>54</v>
      </c>
      <c r="K431" s="259" t="s">
        <v>54</v>
      </c>
      <c r="L431" s="259" t="s">
        <v>84</v>
      </c>
    </row>
    <row r="432" spans="1:12" x14ac:dyDescent="0.25">
      <c r="A432" s="259" t="s">
        <v>499</v>
      </c>
      <c r="B432" s="259" t="s">
        <v>54</v>
      </c>
      <c r="C432" s="260">
        <v>0.78</v>
      </c>
      <c r="D432" s="259" t="s">
        <v>54</v>
      </c>
      <c r="E432" s="259" t="s">
        <v>54</v>
      </c>
      <c r="F432" s="260">
        <v>0.78</v>
      </c>
      <c r="G432" s="259" t="s">
        <v>54</v>
      </c>
      <c r="H432" s="259" t="s">
        <v>54</v>
      </c>
      <c r="I432" s="259" t="s">
        <v>54</v>
      </c>
      <c r="J432" s="259" t="s">
        <v>54</v>
      </c>
      <c r="K432" s="259" t="s">
        <v>54</v>
      </c>
      <c r="L432" s="259" t="s">
        <v>84</v>
      </c>
    </row>
    <row r="433" spans="1:12" x14ac:dyDescent="0.25">
      <c r="A433" s="259" t="s">
        <v>500</v>
      </c>
      <c r="B433" s="259" t="s">
        <v>54</v>
      </c>
      <c r="C433" s="260">
        <v>0.93</v>
      </c>
      <c r="D433" s="259" t="s">
        <v>54</v>
      </c>
      <c r="E433" s="259" t="s">
        <v>54</v>
      </c>
      <c r="F433" s="260">
        <v>0.93</v>
      </c>
      <c r="G433" s="259" t="s">
        <v>54</v>
      </c>
      <c r="H433" s="259" t="s">
        <v>54</v>
      </c>
      <c r="I433" s="259" t="s">
        <v>54</v>
      </c>
      <c r="J433" s="259" t="s">
        <v>54</v>
      </c>
      <c r="K433" s="259" t="s">
        <v>54</v>
      </c>
      <c r="L433" s="259" t="s">
        <v>84</v>
      </c>
    </row>
    <row r="434" spans="1:12" x14ac:dyDescent="0.25">
      <c r="A434" s="259" t="s">
        <v>501</v>
      </c>
      <c r="B434" s="260">
        <v>8.2100000000000009</v>
      </c>
      <c r="C434" s="260">
        <v>0.05</v>
      </c>
      <c r="D434" s="260">
        <v>29.83</v>
      </c>
      <c r="E434" s="259" t="s">
        <v>54</v>
      </c>
      <c r="F434" s="260">
        <v>0.05</v>
      </c>
      <c r="G434" s="260">
        <v>17.7</v>
      </c>
      <c r="H434" s="260">
        <v>1.1299999999999999</v>
      </c>
      <c r="I434" s="260">
        <v>1.6</v>
      </c>
      <c r="J434" s="260">
        <v>1.02</v>
      </c>
      <c r="K434" s="260">
        <v>1.41</v>
      </c>
      <c r="L434" s="259" t="s">
        <v>84</v>
      </c>
    </row>
    <row r="435" spans="1:12" x14ac:dyDescent="0.25">
      <c r="A435" s="259" t="s">
        <v>502</v>
      </c>
      <c r="B435" s="259" t="s">
        <v>54</v>
      </c>
      <c r="C435" s="260">
        <v>0.86</v>
      </c>
      <c r="D435" s="259" t="s">
        <v>54</v>
      </c>
      <c r="E435" s="259" t="s">
        <v>54</v>
      </c>
      <c r="F435" s="260">
        <v>0.86</v>
      </c>
      <c r="G435" s="259" t="s">
        <v>54</v>
      </c>
      <c r="H435" s="259" t="s">
        <v>54</v>
      </c>
      <c r="I435" s="259" t="s">
        <v>54</v>
      </c>
      <c r="J435" s="259" t="s">
        <v>54</v>
      </c>
      <c r="K435" s="259" t="s">
        <v>54</v>
      </c>
      <c r="L435" s="259" t="s">
        <v>84</v>
      </c>
    </row>
    <row r="436" spans="1:12" hidden="1" x14ac:dyDescent="0.25">
      <c r="A436" s="259" t="s">
        <v>503</v>
      </c>
      <c r="B436" s="260">
        <v>-5.24</v>
      </c>
      <c r="C436" s="260">
        <v>0.3</v>
      </c>
      <c r="D436" s="259" t="s">
        <v>54</v>
      </c>
      <c r="E436" s="259" t="s">
        <v>54</v>
      </c>
      <c r="F436" s="260">
        <v>0.3</v>
      </c>
      <c r="G436" s="259" t="s">
        <v>54</v>
      </c>
      <c r="H436" s="259" t="s">
        <v>54</v>
      </c>
      <c r="I436" s="259" t="s">
        <v>54</v>
      </c>
      <c r="J436" s="259" t="s">
        <v>54</v>
      </c>
      <c r="K436" s="259" t="s">
        <v>54</v>
      </c>
      <c r="L436" s="259" t="s">
        <v>86</v>
      </c>
    </row>
    <row r="437" spans="1:12" x14ac:dyDescent="0.25">
      <c r="A437" s="259" t="s">
        <v>504</v>
      </c>
      <c r="B437" s="260">
        <v>-3.75</v>
      </c>
      <c r="C437" s="260">
        <v>0.56999999999999995</v>
      </c>
      <c r="D437" s="260">
        <v>21.41</v>
      </c>
      <c r="E437" s="259" t="s">
        <v>54</v>
      </c>
      <c r="F437" s="260">
        <v>0.56999999999999995</v>
      </c>
      <c r="G437" s="260">
        <v>19.43</v>
      </c>
      <c r="H437" s="260">
        <v>0.7</v>
      </c>
      <c r="I437" s="260">
        <v>1.04</v>
      </c>
      <c r="J437" s="260">
        <v>1.29</v>
      </c>
      <c r="K437" s="260">
        <v>0.31</v>
      </c>
      <c r="L437" s="259" t="s">
        <v>65</v>
      </c>
    </row>
    <row r="438" spans="1:12" x14ac:dyDescent="0.25">
      <c r="A438" s="259" t="s">
        <v>505</v>
      </c>
      <c r="B438" s="259" t="s">
        <v>54</v>
      </c>
      <c r="C438" s="260">
        <v>0.73</v>
      </c>
      <c r="D438" s="259" t="s">
        <v>54</v>
      </c>
      <c r="E438" s="259" t="s">
        <v>54</v>
      </c>
      <c r="F438" s="260">
        <v>0.73</v>
      </c>
      <c r="G438" s="259" t="s">
        <v>54</v>
      </c>
      <c r="H438" s="259" t="s">
        <v>54</v>
      </c>
      <c r="I438" s="259" t="s">
        <v>54</v>
      </c>
      <c r="J438" s="259" t="s">
        <v>54</v>
      </c>
      <c r="K438" s="259" t="s">
        <v>54</v>
      </c>
      <c r="L438" s="259" t="s">
        <v>103</v>
      </c>
    </row>
    <row r="439" spans="1:12" x14ac:dyDescent="0.25">
      <c r="A439" s="259" t="s">
        <v>506</v>
      </c>
      <c r="B439" s="260">
        <v>6.36</v>
      </c>
      <c r="C439" s="260">
        <v>0.9</v>
      </c>
      <c r="D439" s="259" t="s">
        <v>54</v>
      </c>
      <c r="E439" s="259" t="s">
        <v>54</v>
      </c>
      <c r="F439" s="260">
        <v>0.9</v>
      </c>
      <c r="G439" s="259" t="s">
        <v>54</v>
      </c>
      <c r="H439" s="259" t="s">
        <v>54</v>
      </c>
      <c r="I439" s="259" t="s">
        <v>54</v>
      </c>
      <c r="J439" s="259" t="s">
        <v>54</v>
      </c>
      <c r="K439" s="259" t="s">
        <v>54</v>
      </c>
      <c r="L439" s="259" t="s">
        <v>103</v>
      </c>
    </row>
    <row r="440" spans="1:12" x14ac:dyDescent="0.25">
      <c r="A440" s="259" t="s">
        <v>507</v>
      </c>
      <c r="B440" s="259" t="s">
        <v>54</v>
      </c>
      <c r="C440" s="260">
        <v>0.92</v>
      </c>
      <c r="D440" s="259" t="s">
        <v>54</v>
      </c>
      <c r="E440" s="259" t="s">
        <v>54</v>
      </c>
      <c r="F440" s="260">
        <v>0.92</v>
      </c>
      <c r="G440" s="259" t="s">
        <v>54</v>
      </c>
      <c r="H440" s="259" t="s">
        <v>54</v>
      </c>
      <c r="I440" s="259" t="s">
        <v>54</v>
      </c>
      <c r="J440" s="259" t="s">
        <v>54</v>
      </c>
      <c r="K440" s="259" t="s">
        <v>54</v>
      </c>
      <c r="L440" s="259" t="s">
        <v>65</v>
      </c>
    </row>
    <row r="441" spans="1:12" hidden="1" x14ac:dyDescent="0.25">
      <c r="A441" s="259" t="s">
        <v>508</v>
      </c>
      <c r="B441" s="260">
        <v>7.93</v>
      </c>
      <c r="C441" s="260">
        <v>1.88</v>
      </c>
      <c r="D441" s="260">
        <v>22.57</v>
      </c>
      <c r="E441" s="260">
        <v>26.85</v>
      </c>
      <c r="F441" s="260">
        <v>1.88</v>
      </c>
      <c r="G441" s="260">
        <v>14.37</v>
      </c>
      <c r="H441" s="260">
        <v>1</v>
      </c>
      <c r="I441" s="260">
        <v>1.26</v>
      </c>
      <c r="J441" s="260">
        <v>0.88</v>
      </c>
      <c r="K441" s="260">
        <v>4.1900000000000004</v>
      </c>
      <c r="L441" s="259" t="s">
        <v>58</v>
      </c>
    </row>
    <row r="442" spans="1:12" hidden="1" x14ac:dyDescent="0.25">
      <c r="A442" s="259" t="s">
        <v>509</v>
      </c>
      <c r="B442" s="260">
        <v>-3.7</v>
      </c>
      <c r="C442" s="260">
        <v>1.66</v>
      </c>
      <c r="D442" s="259" t="s">
        <v>54</v>
      </c>
      <c r="E442" s="259" t="s">
        <v>54</v>
      </c>
      <c r="F442" s="260">
        <v>1.66</v>
      </c>
      <c r="G442" s="259" t="s">
        <v>54</v>
      </c>
      <c r="H442" s="259" t="s">
        <v>54</v>
      </c>
      <c r="I442" s="259" t="s">
        <v>54</v>
      </c>
      <c r="J442" s="259" t="s">
        <v>54</v>
      </c>
      <c r="K442" s="259" t="s">
        <v>54</v>
      </c>
      <c r="L442" s="259" t="s">
        <v>58</v>
      </c>
    </row>
    <row r="443" spans="1:12" x14ac:dyDescent="0.25">
      <c r="A443" s="259" t="s">
        <v>510</v>
      </c>
      <c r="B443" s="260">
        <v>1.56</v>
      </c>
      <c r="C443" s="260">
        <v>1.66</v>
      </c>
      <c r="D443" s="260">
        <v>20.12</v>
      </c>
      <c r="E443" s="260">
        <v>33.590000000000003</v>
      </c>
      <c r="F443" s="260">
        <v>1.66</v>
      </c>
      <c r="G443" s="260">
        <v>17.11</v>
      </c>
      <c r="H443" s="260">
        <v>0.73</v>
      </c>
      <c r="I443" s="260">
        <v>1.06</v>
      </c>
      <c r="J443" s="260">
        <v>0.83</v>
      </c>
      <c r="K443" s="260">
        <v>-2.64</v>
      </c>
      <c r="L443" s="259" t="s">
        <v>103</v>
      </c>
    </row>
    <row r="444" spans="1:12" hidden="1" x14ac:dyDescent="0.25">
      <c r="A444" s="259" t="s">
        <v>511</v>
      </c>
      <c r="B444" s="259" t="s">
        <v>54</v>
      </c>
      <c r="C444" s="260">
        <v>2.02</v>
      </c>
      <c r="D444" s="259" t="s">
        <v>54</v>
      </c>
      <c r="E444" s="259" t="s">
        <v>54</v>
      </c>
      <c r="F444" s="260">
        <v>2.02</v>
      </c>
      <c r="G444" s="259" t="s">
        <v>54</v>
      </c>
      <c r="H444" s="259" t="s">
        <v>54</v>
      </c>
      <c r="I444" s="259" t="s">
        <v>54</v>
      </c>
      <c r="J444" s="259" t="s">
        <v>54</v>
      </c>
      <c r="K444" s="259" t="s">
        <v>54</v>
      </c>
      <c r="L444" s="259" t="s">
        <v>58</v>
      </c>
    </row>
    <row r="445" spans="1:12" hidden="1" x14ac:dyDescent="0.25">
      <c r="A445" s="259" t="s">
        <v>512</v>
      </c>
      <c r="B445" s="259" t="s">
        <v>54</v>
      </c>
      <c r="C445" s="260">
        <v>2.41</v>
      </c>
      <c r="D445" s="259" t="s">
        <v>54</v>
      </c>
      <c r="E445" s="259" t="s">
        <v>54</v>
      </c>
      <c r="F445" s="260">
        <v>2.41</v>
      </c>
      <c r="G445" s="259" t="s">
        <v>54</v>
      </c>
      <c r="H445" s="259" t="s">
        <v>54</v>
      </c>
      <c r="I445" s="259" t="s">
        <v>54</v>
      </c>
      <c r="J445" s="259" t="s">
        <v>54</v>
      </c>
      <c r="K445" s="259" t="s">
        <v>54</v>
      </c>
      <c r="L445" s="259" t="s">
        <v>58</v>
      </c>
    </row>
    <row r="446" spans="1:12" x14ac:dyDescent="0.25">
      <c r="A446" s="259" t="s">
        <v>513</v>
      </c>
      <c r="B446" s="260">
        <v>10.84</v>
      </c>
      <c r="C446" s="260">
        <v>2.27</v>
      </c>
      <c r="D446" s="260">
        <v>12.63</v>
      </c>
      <c r="E446" s="259" t="s">
        <v>54</v>
      </c>
      <c r="F446" s="260">
        <v>2.27</v>
      </c>
      <c r="G446" s="260">
        <v>8.0500000000000007</v>
      </c>
      <c r="H446" s="260">
        <v>0.66</v>
      </c>
      <c r="I446" s="260">
        <v>1.02</v>
      </c>
      <c r="J446" s="260">
        <v>0.74</v>
      </c>
      <c r="K446" s="260">
        <v>-0.5</v>
      </c>
      <c r="L446" s="259" t="s">
        <v>62</v>
      </c>
    </row>
    <row r="447" spans="1:12" x14ac:dyDescent="0.25">
      <c r="A447" s="259" t="s">
        <v>514</v>
      </c>
      <c r="B447" s="260">
        <v>7.68</v>
      </c>
      <c r="C447" s="260">
        <v>0.1</v>
      </c>
      <c r="D447" s="260">
        <v>15.82</v>
      </c>
      <c r="E447" s="260">
        <v>20.62</v>
      </c>
      <c r="F447" s="260">
        <v>0.1</v>
      </c>
      <c r="G447" s="260">
        <v>12.7</v>
      </c>
      <c r="H447" s="260">
        <v>0.66</v>
      </c>
      <c r="I447" s="260">
        <v>1.1000000000000001</v>
      </c>
      <c r="J447" s="260">
        <v>0.91</v>
      </c>
      <c r="K447" s="260">
        <v>-0.99</v>
      </c>
      <c r="L447" s="259" t="s">
        <v>65</v>
      </c>
    </row>
    <row r="448" spans="1:12" x14ac:dyDescent="0.25">
      <c r="A448" s="259" t="s">
        <v>515</v>
      </c>
      <c r="B448" s="260">
        <v>6.61</v>
      </c>
      <c r="C448" s="260">
        <v>1.08</v>
      </c>
      <c r="D448" s="260">
        <v>14.71</v>
      </c>
      <c r="E448" s="260">
        <v>19.399999999999999</v>
      </c>
      <c r="F448" s="260">
        <v>1.08</v>
      </c>
      <c r="G448" s="260">
        <v>12.66</v>
      </c>
      <c r="H448" s="260">
        <v>0.59</v>
      </c>
      <c r="I448" s="260">
        <v>0.97</v>
      </c>
      <c r="J448" s="260">
        <v>0.91</v>
      </c>
      <c r="K448" s="260">
        <v>-1.94</v>
      </c>
      <c r="L448" s="259" t="s">
        <v>65</v>
      </c>
    </row>
    <row r="449" spans="1:12" x14ac:dyDescent="0.25">
      <c r="A449" s="259" t="s">
        <v>516</v>
      </c>
      <c r="B449" s="260">
        <v>1.46</v>
      </c>
      <c r="C449" s="260">
        <v>2.4500000000000002</v>
      </c>
      <c r="D449" s="260">
        <v>13.65</v>
      </c>
      <c r="E449" s="260">
        <v>15.21</v>
      </c>
      <c r="F449" s="260">
        <v>2.4500000000000002</v>
      </c>
      <c r="G449" s="260">
        <v>13.96</v>
      </c>
      <c r="H449" s="260">
        <v>0.45</v>
      </c>
      <c r="I449" s="260">
        <v>0.54</v>
      </c>
      <c r="J449" s="260">
        <v>0.88</v>
      </c>
      <c r="K449" s="260">
        <v>-3.89</v>
      </c>
      <c r="L449" s="259" t="s">
        <v>55</v>
      </c>
    </row>
    <row r="450" spans="1:12" hidden="1" x14ac:dyDescent="0.25">
      <c r="A450" s="259" t="s">
        <v>517</v>
      </c>
      <c r="B450" s="260">
        <v>8.23</v>
      </c>
      <c r="C450" s="260">
        <v>2.35</v>
      </c>
      <c r="D450" s="260">
        <v>25.64</v>
      </c>
      <c r="E450" s="260">
        <v>25.45</v>
      </c>
      <c r="F450" s="260">
        <v>2.35</v>
      </c>
      <c r="G450" s="260">
        <v>15.86</v>
      </c>
      <c r="H450" s="260">
        <v>1.06</v>
      </c>
      <c r="I450" s="260">
        <v>1.58</v>
      </c>
      <c r="J450" s="260">
        <v>1.04</v>
      </c>
      <c r="K450" s="260">
        <v>4.9000000000000004</v>
      </c>
      <c r="L450" s="259" t="s">
        <v>69</v>
      </c>
    </row>
    <row r="451" spans="1:12" x14ac:dyDescent="0.25">
      <c r="A451" s="259" t="s">
        <v>518</v>
      </c>
      <c r="B451" s="260">
        <v>-1.17</v>
      </c>
      <c r="C451" s="260">
        <v>2.2799999999999998</v>
      </c>
      <c r="D451" s="260">
        <v>15.83</v>
      </c>
      <c r="E451" s="260">
        <v>18.940000000000001</v>
      </c>
      <c r="F451" s="260">
        <v>2.2799999999999998</v>
      </c>
      <c r="G451" s="260">
        <v>15.52</v>
      </c>
      <c r="H451" s="260">
        <v>0.52</v>
      </c>
      <c r="I451" s="260">
        <v>0.68</v>
      </c>
      <c r="J451" s="260">
        <v>1.01</v>
      </c>
      <c r="K451" s="260">
        <v>-3.62</v>
      </c>
      <c r="L451" s="259" t="s">
        <v>55</v>
      </c>
    </row>
    <row r="452" spans="1:12" x14ac:dyDescent="0.25">
      <c r="A452" s="259" t="s">
        <v>519</v>
      </c>
      <c r="B452" s="260">
        <v>9.2200000000000006</v>
      </c>
      <c r="C452" s="260">
        <v>2.52</v>
      </c>
      <c r="D452" s="260">
        <v>16.28</v>
      </c>
      <c r="E452" s="260">
        <v>19.899999999999999</v>
      </c>
      <c r="F452" s="260">
        <v>2.52</v>
      </c>
      <c r="G452" s="260">
        <v>14.48</v>
      </c>
      <c r="H452" s="260">
        <v>0.57999999999999996</v>
      </c>
      <c r="I452" s="260">
        <v>0.84</v>
      </c>
      <c r="J452" s="260">
        <v>0.94</v>
      </c>
      <c r="K452" s="260">
        <v>-2.5099999999999998</v>
      </c>
      <c r="L452" s="259" t="s">
        <v>55</v>
      </c>
    </row>
    <row r="453" spans="1:12" x14ac:dyDescent="0.25">
      <c r="A453" s="259" t="s">
        <v>520</v>
      </c>
      <c r="B453" s="260">
        <v>6.73</v>
      </c>
      <c r="C453" s="260">
        <v>2.12</v>
      </c>
      <c r="D453" s="260">
        <v>15.86</v>
      </c>
      <c r="E453" s="260">
        <v>19.63</v>
      </c>
      <c r="F453" s="260">
        <v>2.12</v>
      </c>
      <c r="G453" s="260">
        <v>14.26</v>
      </c>
      <c r="H453" s="260">
        <v>0.57999999999999996</v>
      </c>
      <c r="I453" s="260">
        <v>0.88</v>
      </c>
      <c r="J453" s="260">
        <v>1.02</v>
      </c>
      <c r="K453" s="260">
        <v>-2.31</v>
      </c>
      <c r="L453" s="259" t="s">
        <v>65</v>
      </c>
    </row>
    <row r="454" spans="1:12" x14ac:dyDescent="0.25">
      <c r="A454" s="259" t="s">
        <v>521</v>
      </c>
      <c r="B454" s="260">
        <v>7.47</v>
      </c>
      <c r="C454" s="260">
        <v>1.91</v>
      </c>
      <c r="D454" s="260">
        <v>20.09</v>
      </c>
      <c r="E454" s="260">
        <v>23.76</v>
      </c>
      <c r="F454" s="260">
        <v>1.91</v>
      </c>
      <c r="G454" s="260">
        <v>15.78</v>
      </c>
      <c r="H454" s="260">
        <v>0.76</v>
      </c>
      <c r="I454" s="260">
        <v>1.1499999999999999</v>
      </c>
      <c r="J454" s="260">
        <v>0.99</v>
      </c>
      <c r="K454" s="260">
        <v>1.1100000000000001</v>
      </c>
      <c r="L454" s="259" t="s">
        <v>71</v>
      </c>
    </row>
    <row r="455" spans="1:12" hidden="1" x14ac:dyDescent="0.25">
      <c r="A455" s="259" t="s">
        <v>522</v>
      </c>
      <c r="B455" s="259" t="s">
        <v>54</v>
      </c>
      <c r="C455" s="260">
        <v>2.21</v>
      </c>
      <c r="D455" s="259" t="s">
        <v>54</v>
      </c>
      <c r="E455" s="259" t="s">
        <v>54</v>
      </c>
      <c r="F455" s="260">
        <v>2.21</v>
      </c>
      <c r="G455" s="259" t="s">
        <v>54</v>
      </c>
      <c r="H455" s="259" t="s">
        <v>54</v>
      </c>
      <c r="I455" s="259" t="s">
        <v>54</v>
      </c>
      <c r="J455" s="259" t="s">
        <v>54</v>
      </c>
      <c r="K455" s="259" t="s">
        <v>54</v>
      </c>
      <c r="L455" s="259" t="s">
        <v>58</v>
      </c>
    </row>
    <row r="456" spans="1:12" x14ac:dyDescent="0.25">
      <c r="A456" s="259" t="s">
        <v>523</v>
      </c>
      <c r="B456" s="260">
        <v>4.92</v>
      </c>
      <c r="C456" s="260">
        <v>2.48</v>
      </c>
      <c r="D456" s="260">
        <v>24.88</v>
      </c>
      <c r="E456" s="260">
        <v>26.22</v>
      </c>
      <c r="F456" s="260">
        <v>2.48</v>
      </c>
      <c r="G456" s="260">
        <v>17.55</v>
      </c>
      <c r="H456" s="260">
        <v>0.9</v>
      </c>
      <c r="I456" s="260">
        <v>1.33</v>
      </c>
      <c r="J456" s="260">
        <v>1</v>
      </c>
      <c r="K456" s="260">
        <v>-2.33</v>
      </c>
      <c r="L456" s="259" t="s">
        <v>84</v>
      </c>
    </row>
    <row r="457" spans="1:12" x14ac:dyDescent="0.25">
      <c r="A457" s="259" t="s">
        <v>524</v>
      </c>
      <c r="B457" s="259" t="s">
        <v>54</v>
      </c>
      <c r="C457" s="260">
        <v>2.25</v>
      </c>
      <c r="D457" s="259" t="s">
        <v>54</v>
      </c>
      <c r="E457" s="259" t="s">
        <v>54</v>
      </c>
      <c r="F457" s="260">
        <v>2.25</v>
      </c>
      <c r="G457" s="259" t="s">
        <v>54</v>
      </c>
      <c r="H457" s="259" t="s">
        <v>54</v>
      </c>
      <c r="I457" s="259" t="s">
        <v>54</v>
      </c>
      <c r="J457" s="259" t="s">
        <v>54</v>
      </c>
      <c r="K457" s="259" t="s">
        <v>54</v>
      </c>
      <c r="L457" s="259" t="s">
        <v>60</v>
      </c>
    </row>
    <row r="458" spans="1:12" x14ac:dyDescent="0.25">
      <c r="A458" s="259" t="s">
        <v>525</v>
      </c>
      <c r="B458" s="260">
        <v>8.6999999999999993</v>
      </c>
      <c r="C458" s="260">
        <v>2.04</v>
      </c>
      <c r="D458" s="259" t="s">
        <v>54</v>
      </c>
      <c r="E458" s="259" t="s">
        <v>54</v>
      </c>
      <c r="F458" s="260">
        <v>2.04</v>
      </c>
      <c r="G458" s="259" t="s">
        <v>54</v>
      </c>
      <c r="H458" s="259" t="s">
        <v>54</v>
      </c>
      <c r="I458" s="259" t="s">
        <v>54</v>
      </c>
      <c r="J458" s="259" t="s">
        <v>54</v>
      </c>
      <c r="K458" s="259" t="s">
        <v>54</v>
      </c>
      <c r="L458" s="259" t="s">
        <v>89</v>
      </c>
    </row>
    <row r="459" spans="1:12" x14ac:dyDescent="0.25">
      <c r="A459" s="259" t="s">
        <v>526</v>
      </c>
      <c r="B459" s="260">
        <v>5.52</v>
      </c>
      <c r="C459" s="260">
        <v>0.28000000000000003</v>
      </c>
      <c r="D459" s="260">
        <v>16.79</v>
      </c>
      <c r="E459" s="260">
        <v>21.17</v>
      </c>
      <c r="F459" s="260">
        <v>0.28000000000000003</v>
      </c>
      <c r="G459" s="260">
        <v>13.97</v>
      </c>
      <c r="H459" s="260">
        <v>0.66</v>
      </c>
      <c r="I459" s="260">
        <v>1.08</v>
      </c>
      <c r="J459" s="260">
        <v>1.01</v>
      </c>
      <c r="K459" s="260">
        <v>-1.17</v>
      </c>
      <c r="L459" s="259" t="s">
        <v>65</v>
      </c>
    </row>
    <row r="460" spans="1:12" x14ac:dyDescent="0.25">
      <c r="A460" s="259" t="s">
        <v>527</v>
      </c>
      <c r="B460" s="260">
        <v>7.79</v>
      </c>
      <c r="C460" s="260">
        <v>0.06</v>
      </c>
      <c r="D460" s="260">
        <v>16.510000000000002</v>
      </c>
      <c r="E460" s="260">
        <v>21.33</v>
      </c>
      <c r="F460" s="260">
        <v>0.06</v>
      </c>
      <c r="G460" s="260">
        <v>13.14</v>
      </c>
      <c r="H460" s="260">
        <v>0.68</v>
      </c>
      <c r="I460" s="260">
        <v>1.17</v>
      </c>
      <c r="J460" s="260">
        <v>0.95</v>
      </c>
      <c r="K460" s="260">
        <v>-0.79</v>
      </c>
      <c r="L460" s="259" t="s">
        <v>65</v>
      </c>
    </row>
    <row r="461" spans="1:12" x14ac:dyDescent="0.25">
      <c r="A461" s="259" t="s">
        <v>528</v>
      </c>
      <c r="B461" s="260">
        <v>6.72</v>
      </c>
      <c r="C461" s="260">
        <v>1.01</v>
      </c>
      <c r="D461" s="260">
        <v>15.43</v>
      </c>
      <c r="E461" s="260">
        <v>20.079999999999998</v>
      </c>
      <c r="F461" s="260">
        <v>1.01</v>
      </c>
      <c r="G461" s="260">
        <v>13.12</v>
      </c>
      <c r="H461" s="260">
        <v>0.61</v>
      </c>
      <c r="I461" s="260">
        <v>1.04</v>
      </c>
      <c r="J461" s="260">
        <v>0.95</v>
      </c>
      <c r="K461" s="260">
        <v>-1.73</v>
      </c>
      <c r="L461" s="259" t="s">
        <v>65</v>
      </c>
    </row>
    <row r="462" spans="1:12" x14ac:dyDescent="0.25">
      <c r="A462" s="259" t="s">
        <v>529</v>
      </c>
      <c r="B462" s="260">
        <v>8.0299999999999994</v>
      </c>
      <c r="C462" s="260">
        <v>0.16</v>
      </c>
      <c r="D462" s="259" t="s">
        <v>54</v>
      </c>
      <c r="E462" s="259" t="s">
        <v>54</v>
      </c>
      <c r="F462" s="260">
        <v>0.16</v>
      </c>
      <c r="G462" s="259" t="s">
        <v>54</v>
      </c>
      <c r="H462" s="259" t="s">
        <v>54</v>
      </c>
      <c r="I462" s="259" t="s">
        <v>54</v>
      </c>
      <c r="J462" s="259" t="s">
        <v>54</v>
      </c>
      <c r="K462" s="259" t="s">
        <v>54</v>
      </c>
      <c r="L462" s="259" t="s">
        <v>84</v>
      </c>
    </row>
    <row r="463" spans="1:12" x14ac:dyDescent="0.25">
      <c r="A463" s="259" t="s">
        <v>530</v>
      </c>
      <c r="B463" s="260">
        <v>-4.1399999999999997</v>
      </c>
      <c r="C463" s="260">
        <v>0.9</v>
      </c>
      <c r="D463" s="260">
        <v>21.01</v>
      </c>
      <c r="E463" s="260">
        <v>21.42</v>
      </c>
      <c r="F463" s="260">
        <v>0.9</v>
      </c>
      <c r="G463" s="260">
        <v>19.440000000000001</v>
      </c>
      <c r="H463" s="260">
        <v>0.68</v>
      </c>
      <c r="I463" s="260">
        <v>1.02</v>
      </c>
      <c r="J463" s="260">
        <v>1.29</v>
      </c>
      <c r="K463" s="260">
        <v>-0.02</v>
      </c>
      <c r="L463" s="259" t="s">
        <v>65</v>
      </c>
    </row>
    <row r="464" spans="1:12" x14ac:dyDescent="0.25">
      <c r="A464" s="259" t="s">
        <v>531</v>
      </c>
      <c r="B464" s="260">
        <v>1.0900000000000001</v>
      </c>
      <c r="C464" s="260">
        <v>2.38</v>
      </c>
      <c r="D464" s="260">
        <v>22.5</v>
      </c>
      <c r="E464" s="260">
        <v>32.83</v>
      </c>
      <c r="F464" s="260">
        <v>2.38</v>
      </c>
      <c r="G464" s="260">
        <v>19.309999999999999</v>
      </c>
      <c r="H464" s="260">
        <v>0.78</v>
      </c>
      <c r="I464" s="260">
        <v>0.97</v>
      </c>
      <c r="J464" s="260">
        <v>0.93</v>
      </c>
      <c r="K464" s="260">
        <v>-1.83</v>
      </c>
      <c r="L464" s="259" t="s">
        <v>103</v>
      </c>
    </row>
    <row r="465" spans="1:12" x14ac:dyDescent="0.25">
      <c r="A465" s="259" t="s">
        <v>532</v>
      </c>
      <c r="B465" s="260">
        <v>6.27</v>
      </c>
      <c r="C465" s="260">
        <v>2.2200000000000002</v>
      </c>
      <c r="D465" s="260">
        <v>14.15</v>
      </c>
      <c r="E465" s="259" t="s">
        <v>54</v>
      </c>
      <c r="F465" s="260">
        <v>2.2200000000000002</v>
      </c>
      <c r="G465" s="260">
        <v>8.69</v>
      </c>
      <c r="H465" s="260">
        <v>0.79</v>
      </c>
      <c r="I465" s="260">
        <v>1.22</v>
      </c>
      <c r="J465" s="260">
        <v>0.79</v>
      </c>
      <c r="K465" s="260">
        <v>0.62</v>
      </c>
      <c r="L465" s="259" t="s">
        <v>62</v>
      </c>
    </row>
    <row r="466" spans="1:12" hidden="1" x14ac:dyDescent="0.25">
      <c r="A466" s="259" t="s">
        <v>533</v>
      </c>
      <c r="B466" s="260">
        <v>3.64</v>
      </c>
      <c r="C466" s="260">
        <v>2.11</v>
      </c>
      <c r="D466" s="259" t="s">
        <v>54</v>
      </c>
      <c r="E466" s="259" t="s">
        <v>54</v>
      </c>
      <c r="F466" s="260">
        <v>2.11</v>
      </c>
      <c r="G466" s="259" t="s">
        <v>54</v>
      </c>
      <c r="H466" s="259" t="s">
        <v>54</v>
      </c>
      <c r="I466" s="259" t="s">
        <v>54</v>
      </c>
      <c r="J466" s="259" t="s">
        <v>54</v>
      </c>
      <c r="K466" s="259" t="s">
        <v>54</v>
      </c>
      <c r="L466" s="259" t="s">
        <v>58</v>
      </c>
    </row>
    <row r="467" spans="1:12" hidden="1" x14ac:dyDescent="0.25">
      <c r="A467" s="259" t="s">
        <v>534</v>
      </c>
      <c r="B467" s="260">
        <v>-1.1000000000000001</v>
      </c>
      <c r="C467" s="260">
        <v>2.38</v>
      </c>
      <c r="D467" s="260">
        <v>18.899999999999999</v>
      </c>
      <c r="E467" s="260">
        <v>20.420000000000002</v>
      </c>
      <c r="F467" s="260">
        <v>2.38</v>
      </c>
      <c r="G467" s="260">
        <v>14.96</v>
      </c>
      <c r="H467" s="260">
        <v>0.74</v>
      </c>
      <c r="I467" s="260">
        <v>0.98</v>
      </c>
      <c r="J467" s="260">
        <v>0.82</v>
      </c>
      <c r="K467" s="260">
        <v>-0.7</v>
      </c>
      <c r="L467" s="259" t="s">
        <v>81</v>
      </c>
    </row>
    <row r="468" spans="1:12" x14ac:dyDescent="0.25">
      <c r="A468" s="259" t="s">
        <v>535</v>
      </c>
      <c r="B468" s="260">
        <v>5.19</v>
      </c>
      <c r="C468" s="260">
        <v>2.0499999999999998</v>
      </c>
      <c r="D468" s="260">
        <v>19.72</v>
      </c>
      <c r="E468" s="259" t="s">
        <v>54</v>
      </c>
      <c r="F468" s="260">
        <v>2.0499999999999998</v>
      </c>
      <c r="G468" s="260">
        <v>13.82</v>
      </c>
      <c r="H468" s="260">
        <v>0.84</v>
      </c>
      <c r="I468" s="260">
        <v>1.24</v>
      </c>
      <c r="J468" s="260">
        <v>0.93</v>
      </c>
      <c r="K468" s="260">
        <v>0.84</v>
      </c>
      <c r="L468" s="259" t="s">
        <v>55</v>
      </c>
    </row>
    <row r="469" spans="1:12" x14ac:dyDescent="0.25">
      <c r="A469" s="259" t="s">
        <v>536</v>
      </c>
      <c r="B469" s="260">
        <v>4.4000000000000004</v>
      </c>
      <c r="C469" s="260">
        <v>1.98</v>
      </c>
      <c r="D469" s="260">
        <v>22.83</v>
      </c>
      <c r="E469" s="259" t="s">
        <v>54</v>
      </c>
      <c r="F469" s="260">
        <v>1.98</v>
      </c>
      <c r="G469" s="260">
        <v>13.72</v>
      </c>
      <c r="H469" s="260">
        <v>1.04</v>
      </c>
      <c r="I469" s="260">
        <v>1.58</v>
      </c>
      <c r="J469" s="260">
        <v>0.9</v>
      </c>
      <c r="K469" s="260">
        <v>3.94</v>
      </c>
      <c r="L469" s="259" t="s">
        <v>55</v>
      </c>
    </row>
    <row r="470" spans="1:12" x14ac:dyDescent="0.25">
      <c r="A470" s="259" t="s">
        <v>537</v>
      </c>
      <c r="B470" s="260">
        <v>5.97</v>
      </c>
      <c r="C470" s="260">
        <v>2.31</v>
      </c>
      <c r="D470" s="260">
        <v>16.670000000000002</v>
      </c>
      <c r="E470" s="260">
        <v>20.82</v>
      </c>
      <c r="F470" s="260">
        <v>2.31</v>
      </c>
      <c r="G470" s="260">
        <v>13.09</v>
      </c>
      <c r="H470" s="260">
        <v>0.69</v>
      </c>
      <c r="I470" s="260">
        <v>1.0900000000000001</v>
      </c>
      <c r="J470" s="260">
        <v>0.93</v>
      </c>
      <c r="K470" s="260">
        <v>-0.59</v>
      </c>
      <c r="L470" s="259" t="s">
        <v>65</v>
      </c>
    </row>
    <row r="471" spans="1:12" x14ac:dyDescent="0.25">
      <c r="A471" s="259" t="s">
        <v>538</v>
      </c>
      <c r="B471" s="260">
        <v>1.29</v>
      </c>
      <c r="C471" s="260">
        <v>1.93</v>
      </c>
      <c r="D471" s="260">
        <v>19.27</v>
      </c>
      <c r="E471" s="260">
        <v>25.49</v>
      </c>
      <c r="F471" s="260">
        <v>1.93</v>
      </c>
      <c r="G471" s="260">
        <v>14.59</v>
      </c>
      <c r="H471" s="260">
        <v>0.79</v>
      </c>
      <c r="I471" s="260">
        <v>1.17</v>
      </c>
      <c r="J471" s="260">
        <v>0.95</v>
      </c>
      <c r="K471" s="260">
        <v>1.03</v>
      </c>
      <c r="L471" s="259" t="s">
        <v>71</v>
      </c>
    </row>
    <row r="472" spans="1:12" hidden="1" x14ac:dyDescent="0.25">
      <c r="A472" s="259" t="s">
        <v>539</v>
      </c>
      <c r="B472" s="259" t="s">
        <v>54</v>
      </c>
      <c r="C472" s="260">
        <v>2.2400000000000002</v>
      </c>
      <c r="D472" s="259" t="s">
        <v>54</v>
      </c>
      <c r="E472" s="259" t="s">
        <v>54</v>
      </c>
      <c r="F472" s="260">
        <v>2.2400000000000002</v>
      </c>
      <c r="G472" s="259" t="s">
        <v>54</v>
      </c>
      <c r="H472" s="259" t="s">
        <v>54</v>
      </c>
      <c r="I472" s="259" t="s">
        <v>54</v>
      </c>
      <c r="J472" s="259" t="s">
        <v>54</v>
      </c>
      <c r="K472" s="259" t="s">
        <v>54</v>
      </c>
      <c r="L472" s="259" t="s">
        <v>58</v>
      </c>
    </row>
    <row r="473" spans="1:12" x14ac:dyDescent="0.25">
      <c r="A473" s="259" t="s">
        <v>540</v>
      </c>
      <c r="B473" s="260">
        <v>4.08</v>
      </c>
      <c r="C473" s="260">
        <v>1.86</v>
      </c>
      <c r="D473" s="260">
        <v>27.42</v>
      </c>
      <c r="E473" s="260">
        <v>30.25</v>
      </c>
      <c r="F473" s="260">
        <v>1.86</v>
      </c>
      <c r="G473" s="260">
        <v>16.48</v>
      </c>
      <c r="H473" s="260">
        <v>1.1200000000000001</v>
      </c>
      <c r="I473" s="260">
        <v>1.58</v>
      </c>
      <c r="J473" s="260">
        <v>0.96</v>
      </c>
      <c r="K473" s="260">
        <v>1.01</v>
      </c>
      <c r="L473" s="259" t="s">
        <v>84</v>
      </c>
    </row>
    <row r="474" spans="1:12" x14ac:dyDescent="0.25">
      <c r="A474" s="259" t="s">
        <v>541</v>
      </c>
      <c r="B474" s="260">
        <v>10.3</v>
      </c>
      <c r="C474" s="260">
        <v>2.04</v>
      </c>
      <c r="D474" s="259" t="s">
        <v>54</v>
      </c>
      <c r="E474" s="259" t="s">
        <v>54</v>
      </c>
      <c r="F474" s="260">
        <v>2.04</v>
      </c>
      <c r="G474" s="259" t="s">
        <v>54</v>
      </c>
      <c r="H474" s="259" t="s">
        <v>54</v>
      </c>
      <c r="I474" s="259" t="s">
        <v>54</v>
      </c>
      <c r="J474" s="259" t="s">
        <v>54</v>
      </c>
      <c r="K474" s="259" t="s">
        <v>54</v>
      </c>
      <c r="L474" s="259" t="s">
        <v>60</v>
      </c>
    </row>
    <row r="475" spans="1:12" x14ac:dyDescent="0.25">
      <c r="A475" s="259" t="s">
        <v>542</v>
      </c>
      <c r="B475" s="260">
        <v>5.8</v>
      </c>
      <c r="C475" s="260">
        <v>1.8</v>
      </c>
      <c r="D475" s="260">
        <v>22.56</v>
      </c>
      <c r="E475" s="260">
        <v>28</v>
      </c>
      <c r="F475" s="260">
        <v>1.8</v>
      </c>
      <c r="G475" s="260">
        <v>15.64</v>
      </c>
      <c r="H475" s="260">
        <v>0.91</v>
      </c>
      <c r="I475" s="260">
        <v>1.25</v>
      </c>
      <c r="J475" s="260">
        <v>0.96</v>
      </c>
      <c r="K475" s="260">
        <v>0.24</v>
      </c>
      <c r="L475" s="259" t="s">
        <v>89</v>
      </c>
    </row>
    <row r="476" spans="1:12" x14ac:dyDescent="0.25">
      <c r="A476" s="259" t="s">
        <v>543</v>
      </c>
      <c r="B476" s="260">
        <v>2.3199999999999998</v>
      </c>
      <c r="C476" s="260">
        <v>1.85</v>
      </c>
      <c r="D476" s="259" t="s">
        <v>54</v>
      </c>
      <c r="E476" s="259" t="s">
        <v>54</v>
      </c>
      <c r="F476" s="260">
        <v>1.85</v>
      </c>
      <c r="G476" s="259" t="s">
        <v>54</v>
      </c>
      <c r="H476" s="259" t="s">
        <v>54</v>
      </c>
      <c r="I476" s="259" t="s">
        <v>54</v>
      </c>
      <c r="J476" s="259" t="s">
        <v>54</v>
      </c>
      <c r="K476" s="259" t="s">
        <v>54</v>
      </c>
      <c r="L476" s="259" t="s">
        <v>103</v>
      </c>
    </row>
    <row r="477" spans="1:12" x14ac:dyDescent="0.25">
      <c r="A477" s="259" t="s">
        <v>544</v>
      </c>
      <c r="B477" s="260">
        <v>8.0500000000000007</v>
      </c>
      <c r="C477" s="260">
        <v>2.06</v>
      </c>
      <c r="D477" s="259" t="s">
        <v>54</v>
      </c>
      <c r="E477" s="259" t="s">
        <v>54</v>
      </c>
      <c r="F477" s="260">
        <v>2.06</v>
      </c>
      <c r="G477" s="259" t="s">
        <v>54</v>
      </c>
      <c r="H477" s="259" t="s">
        <v>54</v>
      </c>
      <c r="I477" s="259" t="s">
        <v>54</v>
      </c>
      <c r="J477" s="259" t="s">
        <v>54</v>
      </c>
      <c r="K477" s="259" t="s">
        <v>54</v>
      </c>
      <c r="L477" s="259" t="s">
        <v>62</v>
      </c>
    </row>
    <row r="478" spans="1:12" x14ac:dyDescent="0.25">
      <c r="A478" s="259" t="s">
        <v>545</v>
      </c>
      <c r="B478" s="259" t="s">
        <v>54</v>
      </c>
      <c r="C478" s="260">
        <v>0.36</v>
      </c>
      <c r="D478" s="259" t="s">
        <v>54</v>
      </c>
      <c r="E478" s="259" t="s">
        <v>54</v>
      </c>
      <c r="F478" s="260">
        <v>0.36</v>
      </c>
      <c r="G478" s="259" t="s">
        <v>54</v>
      </c>
      <c r="H478" s="259" t="s">
        <v>54</v>
      </c>
      <c r="I478" s="259" t="s">
        <v>54</v>
      </c>
      <c r="J478" s="259" t="s">
        <v>54</v>
      </c>
      <c r="K478" s="259" t="s">
        <v>54</v>
      </c>
      <c r="L478" s="259" t="s">
        <v>71</v>
      </c>
    </row>
    <row r="479" spans="1:12" x14ac:dyDescent="0.25">
      <c r="A479" s="259" t="s">
        <v>546</v>
      </c>
      <c r="B479" s="259" t="s">
        <v>54</v>
      </c>
      <c r="C479" s="260">
        <v>0.64</v>
      </c>
      <c r="D479" s="259" t="s">
        <v>54</v>
      </c>
      <c r="E479" s="259" t="s">
        <v>54</v>
      </c>
      <c r="F479" s="260">
        <v>0.64</v>
      </c>
      <c r="G479" s="259" t="s">
        <v>54</v>
      </c>
      <c r="H479" s="259" t="s">
        <v>54</v>
      </c>
      <c r="I479" s="259" t="s">
        <v>54</v>
      </c>
      <c r="J479" s="259" t="s">
        <v>54</v>
      </c>
      <c r="K479" s="259" t="s">
        <v>54</v>
      </c>
      <c r="L479" s="259" t="s">
        <v>71</v>
      </c>
    </row>
    <row r="480" spans="1:12" hidden="1" x14ac:dyDescent="0.25">
      <c r="A480" s="259" t="s">
        <v>547</v>
      </c>
      <c r="B480" s="259" t="s">
        <v>54</v>
      </c>
      <c r="C480" s="260">
        <v>0.36</v>
      </c>
      <c r="D480" s="259" t="s">
        <v>54</v>
      </c>
      <c r="E480" s="259" t="s">
        <v>54</v>
      </c>
      <c r="F480" s="260">
        <v>0.36</v>
      </c>
      <c r="G480" s="259" t="s">
        <v>54</v>
      </c>
      <c r="H480" s="259" t="s">
        <v>54</v>
      </c>
      <c r="I480" s="259" t="s">
        <v>54</v>
      </c>
      <c r="J480" s="259" t="s">
        <v>54</v>
      </c>
      <c r="K480" s="259" t="s">
        <v>54</v>
      </c>
      <c r="L480" s="259" t="s">
        <v>58</v>
      </c>
    </row>
    <row r="481" spans="1:12" hidden="1" x14ac:dyDescent="0.25">
      <c r="A481" s="259" t="s">
        <v>548</v>
      </c>
      <c r="B481" s="259" t="s">
        <v>54</v>
      </c>
      <c r="C481" s="260">
        <v>0.64</v>
      </c>
      <c r="D481" s="259" t="s">
        <v>54</v>
      </c>
      <c r="E481" s="259" t="s">
        <v>54</v>
      </c>
      <c r="F481" s="260">
        <v>0.64</v>
      </c>
      <c r="G481" s="259" t="s">
        <v>54</v>
      </c>
      <c r="H481" s="259" t="s">
        <v>54</v>
      </c>
      <c r="I481" s="259" t="s">
        <v>54</v>
      </c>
      <c r="J481" s="259" t="s">
        <v>54</v>
      </c>
      <c r="K481" s="259" t="s">
        <v>54</v>
      </c>
      <c r="L481" s="259" t="s">
        <v>58</v>
      </c>
    </row>
    <row r="482" spans="1:12" x14ac:dyDescent="0.25">
      <c r="A482" s="259" t="s">
        <v>549</v>
      </c>
      <c r="B482" s="260">
        <v>7.74</v>
      </c>
      <c r="C482" s="260">
        <v>0.05</v>
      </c>
      <c r="D482" s="259" t="s">
        <v>54</v>
      </c>
      <c r="E482" s="259" t="s">
        <v>54</v>
      </c>
      <c r="F482" s="260">
        <v>0.05</v>
      </c>
      <c r="G482" s="259" t="s">
        <v>54</v>
      </c>
      <c r="H482" s="259" t="s">
        <v>54</v>
      </c>
      <c r="I482" s="259" t="s">
        <v>54</v>
      </c>
      <c r="J482" s="259" t="s">
        <v>54</v>
      </c>
      <c r="K482" s="259" t="s">
        <v>54</v>
      </c>
      <c r="L482" s="259" t="s">
        <v>65</v>
      </c>
    </row>
    <row r="483" spans="1:12" x14ac:dyDescent="0.25">
      <c r="A483" s="259" t="s">
        <v>550</v>
      </c>
      <c r="B483" s="260">
        <v>5.18</v>
      </c>
      <c r="C483" s="260">
        <v>0.11</v>
      </c>
      <c r="D483" s="260">
        <v>19.02</v>
      </c>
      <c r="E483" s="259" t="s">
        <v>54</v>
      </c>
      <c r="F483" s="260">
        <v>0.11</v>
      </c>
      <c r="G483" s="260">
        <v>14.05</v>
      </c>
      <c r="H483" s="260">
        <v>0.79</v>
      </c>
      <c r="I483" s="260">
        <v>1.22</v>
      </c>
      <c r="J483" s="260">
        <v>1.01</v>
      </c>
      <c r="K483" s="260">
        <v>0.73</v>
      </c>
      <c r="L483" s="259" t="s">
        <v>65</v>
      </c>
    </row>
    <row r="484" spans="1:12" x14ac:dyDescent="0.25">
      <c r="A484" s="259" t="s">
        <v>551</v>
      </c>
      <c r="B484" s="260">
        <v>8.07</v>
      </c>
      <c r="C484" s="260">
        <v>1.93</v>
      </c>
      <c r="D484" s="259" t="s">
        <v>54</v>
      </c>
      <c r="E484" s="259" t="s">
        <v>54</v>
      </c>
      <c r="F484" s="260">
        <v>1.93</v>
      </c>
      <c r="G484" s="259" t="s">
        <v>54</v>
      </c>
      <c r="H484" s="259" t="s">
        <v>54</v>
      </c>
      <c r="I484" s="259" t="s">
        <v>54</v>
      </c>
      <c r="J484" s="259" t="s">
        <v>54</v>
      </c>
      <c r="K484" s="259" t="s">
        <v>54</v>
      </c>
      <c r="L484" s="259" t="s">
        <v>55</v>
      </c>
    </row>
    <row r="485" spans="1:12" x14ac:dyDescent="0.25">
      <c r="A485" s="259" t="s">
        <v>552</v>
      </c>
      <c r="B485" s="260">
        <v>11.89</v>
      </c>
      <c r="C485" s="260">
        <v>1.77</v>
      </c>
      <c r="D485" s="260">
        <v>13.16</v>
      </c>
      <c r="E485" s="260">
        <v>21.05</v>
      </c>
      <c r="F485" s="260">
        <v>1.77</v>
      </c>
      <c r="G485" s="260">
        <v>12.75</v>
      </c>
      <c r="H485" s="260">
        <v>0.47</v>
      </c>
      <c r="I485" s="260">
        <v>0.74</v>
      </c>
      <c r="J485" s="260">
        <v>0.81</v>
      </c>
      <c r="K485" s="260">
        <v>-3.36</v>
      </c>
      <c r="L485" s="259" t="s">
        <v>55</v>
      </c>
    </row>
    <row r="486" spans="1:12" hidden="1" x14ac:dyDescent="0.25">
      <c r="A486" s="259" t="s">
        <v>553</v>
      </c>
      <c r="B486" s="260">
        <v>2.2799999999999998</v>
      </c>
      <c r="C486" s="260">
        <v>1.85</v>
      </c>
      <c r="D486" s="260">
        <v>20.81</v>
      </c>
      <c r="E486" s="260">
        <v>23.55</v>
      </c>
      <c r="F486" s="260">
        <v>1.85</v>
      </c>
      <c r="G486" s="260">
        <v>15.84</v>
      </c>
      <c r="H486" s="260">
        <v>0.81</v>
      </c>
      <c r="I486" s="260">
        <v>1.1299999999999999</v>
      </c>
      <c r="J486" s="260">
        <v>0.86</v>
      </c>
      <c r="K486" s="260">
        <v>0.5</v>
      </c>
      <c r="L486" s="259" t="s">
        <v>81</v>
      </c>
    </row>
    <row r="487" spans="1:12" x14ac:dyDescent="0.25">
      <c r="A487" s="259" t="s">
        <v>554</v>
      </c>
      <c r="B487" s="260">
        <v>8.3699999999999992</v>
      </c>
      <c r="C487" s="260">
        <v>1.52</v>
      </c>
      <c r="D487" s="260">
        <v>15.37</v>
      </c>
      <c r="E487" s="260">
        <v>20.059999999999999</v>
      </c>
      <c r="F487" s="260">
        <v>1.52</v>
      </c>
      <c r="G487" s="260">
        <v>12.52</v>
      </c>
      <c r="H487" s="260">
        <v>0.63</v>
      </c>
      <c r="I487" s="260">
        <v>1.01</v>
      </c>
      <c r="J487" s="260">
        <v>0.9</v>
      </c>
      <c r="K487" s="260">
        <v>-1.36</v>
      </c>
      <c r="L487" s="259" t="s">
        <v>65</v>
      </c>
    </row>
    <row r="488" spans="1:12" x14ac:dyDescent="0.25">
      <c r="A488" s="259" t="s">
        <v>555</v>
      </c>
      <c r="B488" s="260">
        <v>4.7699999999999996</v>
      </c>
      <c r="C488" s="260">
        <v>1.53</v>
      </c>
      <c r="D488" s="260">
        <v>18.71</v>
      </c>
      <c r="E488" s="260">
        <v>24.51</v>
      </c>
      <c r="F488" s="260">
        <v>1.53</v>
      </c>
      <c r="G488" s="260">
        <v>14.51</v>
      </c>
      <c r="H488" s="260">
        <v>0.73</v>
      </c>
      <c r="I488" s="260">
        <v>1.08</v>
      </c>
      <c r="J488" s="260">
        <v>0.98</v>
      </c>
      <c r="K488" s="260">
        <v>-0.19</v>
      </c>
      <c r="L488" s="259" t="s">
        <v>71</v>
      </c>
    </row>
    <row r="489" spans="1:12" x14ac:dyDescent="0.25">
      <c r="A489" s="259" t="s">
        <v>556</v>
      </c>
      <c r="B489" s="260">
        <v>4.55</v>
      </c>
      <c r="C489" s="260">
        <v>1.67</v>
      </c>
      <c r="D489" s="260">
        <v>22.76</v>
      </c>
      <c r="E489" s="260">
        <v>30.05</v>
      </c>
      <c r="F489" s="260">
        <v>1.67</v>
      </c>
      <c r="G489" s="260">
        <v>16.88</v>
      </c>
      <c r="H489" s="260">
        <v>0.84</v>
      </c>
      <c r="I489" s="260">
        <v>1.21</v>
      </c>
      <c r="J489" s="260">
        <v>0.97</v>
      </c>
      <c r="K489" s="260">
        <v>-3.37</v>
      </c>
      <c r="L489" s="259" t="s">
        <v>84</v>
      </c>
    </row>
    <row r="490" spans="1:12" x14ac:dyDescent="0.25">
      <c r="A490" s="259" t="s">
        <v>557</v>
      </c>
      <c r="B490" s="260">
        <v>11.78</v>
      </c>
      <c r="C490" s="260">
        <v>1.98</v>
      </c>
      <c r="D490" s="259" t="s">
        <v>54</v>
      </c>
      <c r="E490" s="259" t="s">
        <v>54</v>
      </c>
      <c r="F490" s="260">
        <v>1.98</v>
      </c>
      <c r="G490" s="259" t="s">
        <v>54</v>
      </c>
      <c r="H490" s="259" t="s">
        <v>54</v>
      </c>
      <c r="I490" s="259" t="s">
        <v>54</v>
      </c>
      <c r="J490" s="259" t="s">
        <v>54</v>
      </c>
      <c r="K490" s="259" t="s">
        <v>54</v>
      </c>
      <c r="L490" s="259" t="s">
        <v>60</v>
      </c>
    </row>
    <row r="491" spans="1:12" x14ac:dyDescent="0.25">
      <c r="A491" s="259" t="s">
        <v>558</v>
      </c>
      <c r="B491" s="260">
        <v>8.2100000000000009</v>
      </c>
      <c r="C491" s="260">
        <v>1.87</v>
      </c>
      <c r="D491" s="259" t="s">
        <v>54</v>
      </c>
      <c r="E491" s="259" t="s">
        <v>54</v>
      </c>
      <c r="F491" s="260">
        <v>1.87</v>
      </c>
      <c r="G491" s="259" t="s">
        <v>54</v>
      </c>
      <c r="H491" s="259" t="s">
        <v>54</v>
      </c>
      <c r="I491" s="259" t="s">
        <v>54</v>
      </c>
      <c r="J491" s="259" t="s">
        <v>54</v>
      </c>
      <c r="K491" s="259" t="s">
        <v>54</v>
      </c>
      <c r="L491" s="259" t="s">
        <v>89</v>
      </c>
    </row>
    <row r="492" spans="1:12" hidden="1" x14ac:dyDescent="0.25">
      <c r="A492" s="259" t="s">
        <v>559</v>
      </c>
      <c r="B492" s="260">
        <v>7.65</v>
      </c>
      <c r="C492" s="260">
        <v>0.41</v>
      </c>
      <c r="D492" s="260">
        <v>15.88</v>
      </c>
      <c r="E492" s="259" t="s">
        <v>54</v>
      </c>
      <c r="F492" s="260">
        <v>0.41</v>
      </c>
      <c r="G492" s="260">
        <v>13.45</v>
      </c>
      <c r="H492" s="260">
        <v>0.62</v>
      </c>
      <c r="I492" s="260">
        <v>1.01</v>
      </c>
      <c r="J492" s="260">
        <v>0.97</v>
      </c>
      <c r="K492" s="260">
        <v>-1.59</v>
      </c>
      <c r="L492" s="259" t="s">
        <v>73</v>
      </c>
    </row>
    <row r="493" spans="1:12" hidden="1" x14ac:dyDescent="0.25">
      <c r="A493" s="259" t="s">
        <v>560</v>
      </c>
      <c r="B493" s="260">
        <v>6.9</v>
      </c>
      <c r="C493" s="260">
        <v>0.43</v>
      </c>
      <c r="D493" s="260">
        <v>15.25</v>
      </c>
      <c r="E493" s="259" t="s">
        <v>54</v>
      </c>
      <c r="F493" s="260">
        <v>0.43</v>
      </c>
      <c r="G493" s="260">
        <v>13.38</v>
      </c>
      <c r="H493" s="260">
        <v>0.59</v>
      </c>
      <c r="I493" s="260">
        <v>0.96</v>
      </c>
      <c r="J493" s="260">
        <v>0.96</v>
      </c>
      <c r="K493" s="260">
        <v>-2.02</v>
      </c>
      <c r="L493" s="259" t="s">
        <v>73</v>
      </c>
    </row>
    <row r="494" spans="1:12" x14ac:dyDescent="0.25">
      <c r="A494" s="259" t="s">
        <v>561</v>
      </c>
      <c r="B494" s="260">
        <v>5.8</v>
      </c>
      <c r="C494" s="260">
        <v>0.33</v>
      </c>
      <c r="D494" s="259" t="s">
        <v>54</v>
      </c>
      <c r="E494" s="259" t="s">
        <v>54</v>
      </c>
      <c r="F494" s="260">
        <v>0.33</v>
      </c>
      <c r="G494" s="259" t="s">
        <v>54</v>
      </c>
      <c r="H494" s="259" t="s">
        <v>54</v>
      </c>
      <c r="I494" s="259" t="s">
        <v>54</v>
      </c>
      <c r="J494" s="259" t="s">
        <v>54</v>
      </c>
      <c r="K494" s="259" t="s">
        <v>54</v>
      </c>
      <c r="L494" s="259" t="s">
        <v>65</v>
      </c>
    </row>
    <row r="495" spans="1:12" x14ac:dyDescent="0.25">
      <c r="A495" s="259" t="s">
        <v>562</v>
      </c>
      <c r="B495" s="260">
        <v>-6.42</v>
      </c>
      <c r="C495" s="260">
        <v>0.47</v>
      </c>
      <c r="D495" s="259" t="s">
        <v>54</v>
      </c>
      <c r="E495" s="259" t="s">
        <v>54</v>
      </c>
      <c r="F495" s="260">
        <v>0.47</v>
      </c>
      <c r="G495" s="259" t="s">
        <v>54</v>
      </c>
      <c r="H495" s="259" t="s">
        <v>54</v>
      </c>
      <c r="I495" s="259" t="s">
        <v>54</v>
      </c>
      <c r="J495" s="259" t="s">
        <v>54</v>
      </c>
      <c r="K495" s="259" t="s">
        <v>54</v>
      </c>
      <c r="L495" s="259" t="s">
        <v>71</v>
      </c>
    </row>
    <row r="496" spans="1:12" x14ac:dyDescent="0.25">
      <c r="A496" s="259" t="s">
        <v>563</v>
      </c>
      <c r="B496" s="259" t="s">
        <v>54</v>
      </c>
      <c r="C496" s="260">
        <v>0.63</v>
      </c>
      <c r="D496" s="259" t="s">
        <v>54</v>
      </c>
      <c r="E496" s="259" t="s">
        <v>54</v>
      </c>
      <c r="F496" s="260">
        <v>0.63</v>
      </c>
      <c r="G496" s="259" t="s">
        <v>54</v>
      </c>
      <c r="H496" s="259" t="s">
        <v>54</v>
      </c>
      <c r="I496" s="259" t="s">
        <v>54</v>
      </c>
      <c r="J496" s="259" t="s">
        <v>54</v>
      </c>
      <c r="K496" s="259" t="s">
        <v>54</v>
      </c>
      <c r="L496" s="259" t="s">
        <v>71</v>
      </c>
    </row>
    <row r="497" spans="1:12" x14ac:dyDescent="0.25">
      <c r="A497" s="259" t="s">
        <v>564</v>
      </c>
      <c r="B497" s="259" t="s">
        <v>54</v>
      </c>
      <c r="C497" s="260">
        <v>0.16</v>
      </c>
      <c r="D497" s="259" t="s">
        <v>54</v>
      </c>
      <c r="E497" s="259" t="s">
        <v>54</v>
      </c>
      <c r="F497" s="260">
        <v>0.16</v>
      </c>
      <c r="G497" s="259" t="s">
        <v>54</v>
      </c>
      <c r="H497" s="259" t="s">
        <v>54</v>
      </c>
      <c r="I497" s="259" t="s">
        <v>54</v>
      </c>
      <c r="J497" s="259" t="s">
        <v>54</v>
      </c>
      <c r="K497" s="259" t="s">
        <v>54</v>
      </c>
      <c r="L497" s="259" t="s">
        <v>89</v>
      </c>
    </row>
    <row r="498" spans="1:12" x14ac:dyDescent="0.25">
      <c r="A498" s="259" t="s">
        <v>565</v>
      </c>
      <c r="B498" s="259" t="s">
        <v>54</v>
      </c>
      <c r="C498" s="260">
        <v>7.0000000000000007E-2</v>
      </c>
      <c r="D498" s="259" t="s">
        <v>54</v>
      </c>
      <c r="E498" s="259" t="s">
        <v>54</v>
      </c>
      <c r="F498" s="260">
        <v>7.0000000000000007E-2</v>
      </c>
      <c r="G498" s="259" t="s">
        <v>54</v>
      </c>
      <c r="H498" s="259" t="s">
        <v>54</v>
      </c>
      <c r="I498" s="259" t="s">
        <v>54</v>
      </c>
      <c r="J498" s="259" t="s">
        <v>54</v>
      </c>
      <c r="K498" s="259" t="s">
        <v>54</v>
      </c>
      <c r="L498" s="259" t="s">
        <v>65</v>
      </c>
    </row>
    <row r="499" spans="1:12" x14ac:dyDescent="0.25">
      <c r="A499" s="259" t="s">
        <v>566</v>
      </c>
      <c r="B499" s="260">
        <v>7.81</v>
      </c>
      <c r="C499" s="260">
        <v>0.04</v>
      </c>
      <c r="D499" s="260">
        <v>16.579999999999998</v>
      </c>
      <c r="E499" s="260">
        <v>21.41</v>
      </c>
      <c r="F499" s="260">
        <v>0.04</v>
      </c>
      <c r="G499" s="260">
        <v>13.13</v>
      </c>
      <c r="H499" s="260">
        <v>0.69</v>
      </c>
      <c r="I499" s="260">
        <v>1.17</v>
      </c>
      <c r="J499" s="260">
        <v>0.95</v>
      </c>
      <c r="K499" s="260">
        <v>-0.73</v>
      </c>
      <c r="L499" s="259" t="s">
        <v>65</v>
      </c>
    </row>
    <row r="500" spans="1:12" x14ac:dyDescent="0.25">
      <c r="A500" s="259" t="s">
        <v>567</v>
      </c>
      <c r="B500" s="259" t="s">
        <v>54</v>
      </c>
      <c r="C500" s="260">
        <v>0.75</v>
      </c>
      <c r="D500" s="259" t="s">
        <v>54</v>
      </c>
      <c r="E500" s="259" t="s">
        <v>54</v>
      </c>
      <c r="F500" s="260">
        <v>0.75</v>
      </c>
      <c r="G500" s="259" t="s">
        <v>54</v>
      </c>
      <c r="H500" s="259" t="s">
        <v>54</v>
      </c>
      <c r="I500" s="259" t="s">
        <v>54</v>
      </c>
      <c r="J500" s="259" t="s">
        <v>54</v>
      </c>
      <c r="K500" s="259" t="s">
        <v>54</v>
      </c>
      <c r="L500" s="259" t="s">
        <v>65</v>
      </c>
    </row>
    <row r="501" spans="1:12" hidden="1" x14ac:dyDescent="0.25">
      <c r="A501" s="259" t="s">
        <v>568</v>
      </c>
      <c r="B501" s="259" t="s">
        <v>54</v>
      </c>
      <c r="C501" s="260">
        <v>0.44</v>
      </c>
      <c r="D501" s="259" t="s">
        <v>54</v>
      </c>
      <c r="E501" s="259" t="s">
        <v>54</v>
      </c>
      <c r="F501" s="260">
        <v>0.44</v>
      </c>
      <c r="G501" s="259" t="s">
        <v>54</v>
      </c>
      <c r="H501" s="259" t="s">
        <v>54</v>
      </c>
      <c r="I501" s="259" t="s">
        <v>54</v>
      </c>
      <c r="J501" s="259" t="s">
        <v>54</v>
      </c>
      <c r="K501" s="259" t="s">
        <v>54</v>
      </c>
      <c r="L501" s="259" t="s">
        <v>58</v>
      </c>
    </row>
    <row r="502" spans="1:12" hidden="1" x14ac:dyDescent="0.25">
      <c r="A502" s="259" t="s">
        <v>569</v>
      </c>
      <c r="B502" s="259" t="s">
        <v>54</v>
      </c>
      <c r="C502" s="259" t="s">
        <v>54</v>
      </c>
      <c r="D502" s="259" t="s">
        <v>54</v>
      </c>
      <c r="E502" s="259" t="s">
        <v>54</v>
      </c>
      <c r="F502" s="259" t="s">
        <v>54</v>
      </c>
      <c r="G502" s="259" t="s">
        <v>54</v>
      </c>
      <c r="H502" s="259" t="s">
        <v>54</v>
      </c>
      <c r="I502" s="259" t="s">
        <v>54</v>
      </c>
      <c r="J502" s="259" t="s">
        <v>54</v>
      </c>
      <c r="K502" s="259" t="s">
        <v>54</v>
      </c>
      <c r="L502" s="259" t="s">
        <v>58</v>
      </c>
    </row>
    <row r="503" spans="1:12" hidden="1" x14ac:dyDescent="0.25">
      <c r="A503" s="259" t="s">
        <v>570</v>
      </c>
      <c r="B503" s="260">
        <v>-0.63</v>
      </c>
      <c r="C503" s="260">
        <v>0.5</v>
      </c>
      <c r="D503" s="260">
        <v>24.16</v>
      </c>
      <c r="E503" s="259" t="s">
        <v>54</v>
      </c>
      <c r="F503" s="260">
        <v>0.5</v>
      </c>
      <c r="G503" s="260">
        <v>16.420000000000002</v>
      </c>
      <c r="H503" s="260">
        <v>0.97</v>
      </c>
      <c r="I503" s="260">
        <v>1.41</v>
      </c>
      <c r="J503" s="260">
        <v>1.07</v>
      </c>
      <c r="K503" s="260">
        <v>3.62</v>
      </c>
      <c r="L503" s="259" t="s">
        <v>58</v>
      </c>
    </row>
    <row r="504" spans="1:12" hidden="1" x14ac:dyDescent="0.25">
      <c r="A504" s="259" t="s">
        <v>571</v>
      </c>
      <c r="B504" s="260">
        <v>-1.52</v>
      </c>
      <c r="C504" s="260">
        <v>0.46</v>
      </c>
      <c r="D504" s="260">
        <v>23.22</v>
      </c>
      <c r="E504" s="259" t="s">
        <v>54</v>
      </c>
      <c r="F504" s="260">
        <v>0.46</v>
      </c>
      <c r="G504" s="260">
        <v>16.350000000000001</v>
      </c>
      <c r="H504" s="260">
        <v>0.93</v>
      </c>
      <c r="I504" s="260">
        <v>1.35</v>
      </c>
      <c r="J504" s="260">
        <v>1.06</v>
      </c>
      <c r="K504" s="260">
        <v>2.96</v>
      </c>
      <c r="L504" s="259" t="s">
        <v>58</v>
      </c>
    </row>
    <row r="505" spans="1:12" hidden="1" x14ac:dyDescent="0.25">
      <c r="A505" s="259" t="s">
        <v>572</v>
      </c>
      <c r="B505" s="259" t="s">
        <v>54</v>
      </c>
      <c r="C505" s="260">
        <v>0.33</v>
      </c>
      <c r="D505" s="259" t="s">
        <v>54</v>
      </c>
      <c r="E505" s="259" t="s">
        <v>54</v>
      </c>
      <c r="F505" s="260">
        <v>0.33</v>
      </c>
      <c r="G505" s="259" t="s">
        <v>54</v>
      </c>
      <c r="H505" s="259" t="s">
        <v>54</v>
      </c>
      <c r="I505" s="259" t="s">
        <v>54</v>
      </c>
      <c r="J505" s="259" t="s">
        <v>54</v>
      </c>
      <c r="K505" s="259" t="s">
        <v>54</v>
      </c>
      <c r="L505" s="259" t="s">
        <v>81</v>
      </c>
    </row>
    <row r="506" spans="1:12" hidden="1" x14ac:dyDescent="0.25">
      <c r="A506" s="259" t="s">
        <v>573</v>
      </c>
      <c r="B506" s="259" t="s">
        <v>54</v>
      </c>
      <c r="C506" s="260">
        <v>0.62</v>
      </c>
      <c r="D506" s="259" t="s">
        <v>54</v>
      </c>
      <c r="E506" s="259" t="s">
        <v>54</v>
      </c>
      <c r="F506" s="260">
        <v>0.62</v>
      </c>
      <c r="G506" s="259" t="s">
        <v>54</v>
      </c>
      <c r="H506" s="259" t="s">
        <v>54</v>
      </c>
      <c r="I506" s="259" t="s">
        <v>54</v>
      </c>
      <c r="J506" s="259" t="s">
        <v>54</v>
      </c>
      <c r="K506" s="259" t="s">
        <v>54</v>
      </c>
      <c r="L506" s="259" t="s">
        <v>81</v>
      </c>
    </row>
    <row r="507" spans="1:12" x14ac:dyDescent="0.25">
      <c r="A507" s="259" t="s">
        <v>574</v>
      </c>
      <c r="B507" s="259" t="s">
        <v>54</v>
      </c>
      <c r="C507" s="260">
        <v>0.86</v>
      </c>
      <c r="D507" s="259" t="s">
        <v>54</v>
      </c>
      <c r="E507" s="259" t="s">
        <v>54</v>
      </c>
      <c r="F507" s="260">
        <v>0.86</v>
      </c>
      <c r="G507" s="259" t="s">
        <v>54</v>
      </c>
      <c r="H507" s="259" t="s">
        <v>54</v>
      </c>
      <c r="I507" s="259" t="s">
        <v>54</v>
      </c>
      <c r="J507" s="259" t="s">
        <v>54</v>
      </c>
      <c r="K507" s="259" t="s">
        <v>54</v>
      </c>
      <c r="L507" s="259" t="s">
        <v>71</v>
      </c>
    </row>
    <row r="508" spans="1:12" hidden="1" x14ac:dyDescent="0.25">
      <c r="A508" s="259" t="s">
        <v>575</v>
      </c>
      <c r="B508" s="259" t="s">
        <v>54</v>
      </c>
      <c r="C508" s="260">
        <v>0.27</v>
      </c>
      <c r="D508" s="259" t="s">
        <v>54</v>
      </c>
      <c r="E508" s="259" t="s">
        <v>54</v>
      </c>
      <c r="F508" s="260">
        <v>0.27</v>
      </c>
      <c r="G508" s="259" t="s">
        <v>54</v>
      </c>
      <c r="H508" s="259" t="s">
        <v>54</v>
      </c>
      <c r="I508" s="259" t="s">
        <v>54</v>
      </c>
      <c r="J508" s="259" t="s">
        <v>54</v>
      </c>
      <c r="K508" s="259" t="s">
        <v>54</v>
      </c>
      <c r="L508" s="259" t="s">
        <v>58</v>
      </c>
    </row>
    <row r="509" spans="1:12" x14ac:dyDescent="0.25">
      <c r="A509" s="259" t="s">
        <v>576</v>
      </c>
      <c r="B509" s="260">
        <v>6.33</v>
      </c>
      <c r="C509" s="260">
        <v>0.05</v>
      </c>
      <c r="D509" s="260">
        <v>28.07</v>
      </c>
      <c r="E509" s="259" t="s">
        <v>54</v>
      </c>
      <c r="F509" s="260">
        <v>0.05</v>
      </c>
      <c r="G509" s="260">
        <v>16.989999999999998</v>
      </c>
      <c r="H509" s="260">
        <v>1.1100000000000001</v>
      </c>
      <c r="I509" s="260">
        <v>1.6</v>
      </c>
      <c r="J509" s="260">
        <v>1</v>
      </c>
      <c r="K509" s="260">
        <v>0.75</v>
      </c>
      <c r="L509" s="259" t="s">
        <v>84</v>
      </c>
    </row>
    <row r="510" spans="1:12" x14ac:dyDescent="0.25">
      <c r="A510" s="259" t="s">
        <v>577</v>
      </c>
      <c r="B510" s="260">
        <v>-1.1200000000000001</v>
      </c>
      <c r="C510" s="260">
        <v>0.46</v>
      </c>
      <c r="D510" s="259" t="s">
        <v>54</v>
      </c>
      <c r="E510" s="259" t="s">
        <v>54</v>
      </c>
      <c r="F510" s="260">
        <v>0.46</v>
      </c>
      <c r="G510" s="259" t="s">
        <v>54</v>
      </c>
      <c r="H510" s="259" t="s">
        <v>54</v>
      </c>
      <c r="I510" s="259" t="s">
        <v>54</v>
      </c>
      <c r="J510" s="259" t="s">
        <v>54</v>
      </c>
      <c r="K510" s="259" t="s">
        <v>54</v>
      </c>
      <c r="L510" s="259" t="s">
        <v>84</v>
      </c>
    </row>
    <row r="511" spans="1:12" x14ac:dyDescent="0.25">
      <c r="A511" s="259" t="s">
        <v>578</v>
      </c>
      <c r="B511" s="260">
        <v>-2.6</v>
      </c>
      <c r="C511" s="260">
        <v>0.66</v>
      </c>
      <c r="D511" s="259" t="s">
        <v>54</v>
      </c>
      <c r="E511" s="259" t="s">
        <v>54</v>
      </c>
      <c r="F511" s="260">
        <v>0.66</v>
      </c>
      <c r="G511" s="259" t="s">
        <v>54</v>
      </c>
      <c r="H511" s="259" t="s">
        <v>54</v>
      </c>
      <c r="I511" s="259" t="s">
        <v>54</v>
      </c>
      <c r="J511" s="259" t="s">
        <v>54</v>
      </c>
      <c r="K511" s="259" t="s">
        <v>54</v>
      </c>
      <c r="L511" s="259" t="s">
        <v>84</v>
      </c>
    </row>
    <row r="512" spans="1:12" x14ac:dyDescent="0.25">
      <c r="A512" s="259" t="s">
        <v>579</v>
      </c>
      <c r="B512" s="260">
        <v>-3.17</v>
      </c>
      <c r="C512" s="260">
        <v>0.05</v>
      </c>
      <c r="D512" s="260">
        <v>21.98</v>
      </c>
      <c r="E512" s="260">
        <v>22.38</v>
      </c>
      <c r="F512" s="260">
        <v>0.05</v>
      </c>
      <c r="G512" s="260">
        <v>19.55</v>
      </c>
      <c r="H512" s="260">
        <v>0.72</v>
      </c>
      <c r="I512" s="260">
        <v>1.08</v>
      </c>
      <c r="J512" s="260">
        <v>1.3</v>
      </c>
      <c r="K512" s="260">
        <v>0.73</v>
      </c>
      <c r="L512" s="259" t="s">
        <v>65</v>
      </c>
    </row>
    <row r="513" spans="1:12" x14ac:dyDescent="0.25">
      <c r="A513" s="259" t="s">
        <v>580</v>
      </c>
      <c r="B513" s="260">
        <v>-4.66</v>
      </c>
      <c r="C513" s="260">
        <v>0.47</v>
      </c>
      <c r="D513" s="259" t="s">
        <v>54</v>
      </c>
      <c r="E513" s="259" t="s">
        <v>54</v>
      </c>
      <c r="F513" s="260">
        <v>0.47</v>
      </c>
      <c r="G513" s="259" t="s">
        <v>54</v>
      </c>
      <c r="H513" s="259" t="s">
        <v>54</v>
      </c>
      <c r="I513" s="259" t="s">
        <v>54</v>
      </c>
      <c r="J513" s="259" t="s">
        <v>54</v>
      </c>
      <c r="K513" s="259" t="s">
        <v>54</v>
      </c>
      <c r="L513" s="259" t="s">
        <v>103</v>
      </c>
    </row>
    <row r="514" spans="1:12" x14ac:dyDescent="0.25">
      <c r="A514" s="259" t="s">
        <v>581</v>
      </c>
      <c r="B514" s="260">
        <v>-5.81</v>
      </c>
      <c r="C514" s="260">
        <v>0.64</v>
      </c>
      <c r="D514" s="259" t="s">
        <v>54</v>
      </c>
      <c r="E514" s="259" t="s">
        <v>54</v>
      </c>
      <c r="F514" s="260">
        <v>0.64</v>
      </c>
      <c r="G514" s="259" t="s">
        <v>54</v>
      </c>
      <c r="H514" s="259" t="s">
        <v>54</v>
      </c>
      <c r="I514" s="259" t="s">
        <v>54</v>
      </c>
      <c r="J514" s="259" t="s">
        <v>54</v>
      </c>
      <c r="K514" s="259" t="s">
        <v>54</v>
      </c>
      <c r="L514" s="259" t="s">
        <v>103</v>
      </c>
    </row>
    <row r="515" spans="1:12" x14ac:dyDescent="0.25">
      <c r="A515" s="259" t="s">
        <v>582</v>
      </c>
      <c r="B515" s="259" t="s">
        <v>54</v>
      </c>
      <c r="C515" s="260">
        <v>0.91</v>
      </c>
      <c r="D515" s="259" t="s">
        <v>54</v>
      </c>
      <c r="E515" s="259" t="s">
        <v>54</v>
      </c>
      <c r="F515" s="260">
        <v>0.91</v>
      </c>
      <c r="G515" s="259" t="s">
        <v>54</v>
      </c>
      <c r="H515" s="259" t="s">
        <v>54</v>
      </c>
      <c r="I515" s="259" t="s">
        <v>54</v>
      </c>
      <c r="J515" s="259" t="s">
        <v>54</v>
      </c>
      <c r="K515" s="259" t="s">
        <v>54</v>
      </c>
      <c r="L515" s="259" t="s">
        <v>55</v>
      </c>
    </row>
    <row r="516" spans="1:12" x14ac:dyDescent="0.25">
      <c r="A516" s="259" t="s">
        <v>583</v>
      </c>
      <c r="B516" s="259" t="s">
        <v>54</v>
      </c>
      <c r="C516" s="260">
        <v>2.0499999999999998</v>
      </c>
      <c r="D516" s="259" t="s">
        <v>54</v>
      </c>
      <c r="E516" s="259" t="s">
        <v>54</v>
      </c>
      <c r="F516" s="260">
        <v>2.0499999999999998</v>
      </c>
      <c r="G516" s="259" t="s">
        <v>54</v>
      </c>
      <c r="H516" s="259" t="s">
        <v>54</v>
      </c>
      <c r="I516" s="259" t="s">
        <v>54</v>
      </c>
      <c r="J516" s="259" t="s">
        <v>54</v>
      </c>
      <c r="K516" s="259" t="s">
        <v>54</v>
      </c>
      <c r="L516" s="259" t="s">
        <v>103</v>
      </c>
    </row>
    <row r="517" spans="1:12" hidden="1" x14ac:dyDescent="0.25">
      <c r="A517" s="259" t="s">
        <v>584</v>
      </c>
      <c r="B517" s="259" t="s">
        <v>54</v>
      </c>
      <c r="C517" s="260">
        <v>2.68</v>
      </c>
      <c r="D517" s="259" t="s">
        <v>54</v>
      </c>
      <c r="E517" s="259" t="s">
        <v>54</v>
      </c>
      <c r="F517" s="260">
        <v>2.68</v>
      </c>
      <c r="G517" s="259" t="s">
        <v>54</v>
      </c>
      <c r="H517" s="259" t="s">
        <v>54</v>
      </c>
      <c r="I517" s="259" t="s">
        <v>54</v>
      </c>
      <c r="J517" s="259" t="s">
        <v>54</v>
      </c>
      <c r="K517" s="259" t="s">
        <v>54</v>
      </c>
      <c r="L517" s="259" t="s">
        <v>58</v>
      </c>
    </row>
    <row r="518" spans="1:12" x14ac:dyDescent="0.25">
      <c r="A518" s="259" t="s">
        <v>585</v>
      </c>
      <c r="B518" s="260">
        <v>11.14</v>
      </c>
      <c r="C518" s="260">
        <v>0.51</v>
      </c>
      <c r="D518" s="260">
        <v>17.22</v>
      </c>
      <c r="E518" s="259" t="s">
        <v>54</v>
      </c>
      <c r="F518" s="260">
        <v>0.51</v>
      </c>
      <c r="G518" s="260">
        <v>8.8699999999999992</v>
      </c>
      <c r="H518" s="260">
        <v>1.02</v>
      </c>
      <c r="I518" s="260">
        <v>1.74</v>
      </c>
      <c r="J518" s="260">
        <v>0.84</v>
      </c>
      <c r="K518" s="260">
        <v>1.53</v>
      </c>
      <c r="L518" s="259" t="s">
        <v>60</v>
      </c>
    </row>
    <row r="519" spans="1:12" x14ac:dyDescent="0.25">
      <c r="A519" s="259" t="s">
        <v>586</v>
      </c>
      <c r="B519" s="260">
        <v>11.87</v>
      </c>
      <c r="C519" s="260">
        <v>0.49</v>
      </c>
      <c r="D519" s="260">
        <v>14.01</v>
      </c>
      <c r="E519" s="259" t="s">
        <v>54</v>
      </c>
      <c r="F519" s="260">
        <v>0.49</v>
      </c>
      <c r="G519" s="260">
        <v>5.5</v>
      </c>
      <c r="H519" s="260">
        <v>1.17</v>
      </c>
      <c r="I519" s="260">
        <v>1.87</v>
      </c>
      <c r="J519" s="260">
        <v>0.48</v>
      </c>
      <c r="K519" s="260">
        <v>2.16</v>
      </c>
      <c r="L519" s="259" t="s">
        <v>60</v>
      </c>
    </row>
    <row r="520" spans="1:12" x14ac:dyDescent="0.25">
      <c r="A520" s="259" t="s">
        <v>587</v>
      </c>
      <c r="B520" s="260">
        <v>-7.48</v>
      </c>
      <c r="C520" s="260">
        <v>2.27</v>
      </c>
      <c r="D520" s="260">
        <v>9.67</v>
      </c>
      <c r="E520" s="260">
        <v>8.9600000000000009</v>
      </c>
      <c r="F520" s="260">
        <v>2.27</v>
      </c>
      <c r="G520" s="260">
        <v>14.27</v>
      </c>
      <c r="H520" s="260">
        <v>0.28000000000000003</v>
      </c>
      <c r="I520" s="260">
        <v>0.39</v>
      </c>
      <c r="J520" s="260">
        <v>1.04</v>
      </c>
      <c r="K520" s="260">
        <v>-4.1900000000000004</v>
      </c>
      <c r="L520" s="259" t="s">
        <v>62</v>
      </c>
    </row>
    <row r="521" spans="1:12" x14ac:dyDescent="0.25">
      <c r="A521" s="259" t="s">
        <v>588</v>
      </c>
      <c r="B521" s="259" t="s">
        <v>54</v>
      </c>
      <c r="C521" s="259" t="s">
        <v>54</v>
      </c>
      <c r="D521" s="259" t="s">
        <v>54</v>
      </c>
      <c r="E521" s="259" t="s">
        <v>54</v>
      </c>
      <c r="F521" s="259" t="s">
        <v>54</v>
      </c>
      <c r="G521" s="259" t="s">
        <v>54</v>
      </c>
      <c r="H521" s="259" t="s">
        <v>54</v>
      </c>
      <c r="I521" s="259" t="s">
        <v>54</v>
      </c>
      <c r="J521" s="259" t="s">
        <v>54</v>
      </c>
      <c r="K521" s="259" t="s">
        <v>54</v>
      </c>
      <c r="L521" s="259" t="s">
        <v>55</v>
      </c>
    </row>
    <row r="522" spans="1:12" x14ac:dyDescent="0.25">
      <c r="A522" s="259" t="s">
        <v>589</v>
      </c>
      <c r="B522" s="260">
        <v>1.42</v>
      </c>
      <c r="C522" s="260">
        <v>0.37</v>
      </c>
      <c r="D522" s="260">
        <v>18.75</v>
      </c>
      <c r="E522" s="259" t="s">
        <v>54</v>
      </c>
      <c r="F522" s="260">
        <v>0.37</v>
      </c>
      <c r="G522" s="260">
        <v>13.56</v>
      </c>
      <c r="H522" s="260">
        <v>0.79</v>
      </c>
      <c r="I522" s="260">
        <v>1.21</v>
      </c>
      <c r="J522" s="260">
        <v>0.9</v>
      </c>
      <c r="K522" s="260">
        <v>0.78</v>
      </c>
      <c r="L522" s="259" t="s">
        <v>71</v>
      </c>
    </row>
    <row r="523" spans="1:12" x14ac:dyDescent="0.25">
      <c r="A523" s="259" t="s">
        <v>590</v>
      </c>
      <c r="B523" s="260">
        <v>0.51</v>
      </c>
      <c r="C523" s="260">
        <v>1.05</v>
      </c>
      <c r="D523" s="260">
        <v>17.55</v>
      </c>
      <c r="E523" s="259" t="s">
        <v>54</v>
      </c>
      <c r="F523" s="260">
        <v>1.05</v>
      </c>
      <c r="G523" s="260">
        <v>13.56</v>
      </c>
      <c r="H523" s="260">
        <v>0.71</v>
      </c>
      <c r="I523" s="260">
        <v>1.08</v>
      </c>
      <c r="J523" s="260">
        <v>0.9</v>
      </c>
      <c r="K523" s="260">
        <v>-0.24</v>
      </c>
      <c r="L523" s="259" t="s">
        <v>71</v>
      </c>
    </row>
    <row r="524" spans="1:12" x14ac:dyDescent="0.25">
      <c r="A524" s="259" t="s">
        <v>591</v>
      </c>
      <c r="B524" s="260">
        <v>-3.14</v>
      </c>
      <c r="C524" s="260">
        <v>0.31</v>
      </c>
      <c r="D524" s="259" t="s">
        <v>54</v>
      </c>
      <c r="E524" s="259" t="s">
        <v>54</v>
      </c>
      <c r="F524" s="260">
        <v>0.31</v>
      </c>
      <c r="G524" s="259" t="s">
        <v>54</v>
      </c>
      <c r="H524" s="259" t="s">
        <v>54</v>
      </c>
      <c r="I524" s="259" t="s">
        <v>54</v>
      </c>
      <c r="J524" s="259" t="s">
        <v>54</v>
      </c>
      <c r="K524" s="259" t="s">
        <v>54</v>
      </c>
      <c r="L524" s="259" t="s">
        <v>71</v>
      </c>
    </row>
    <row r="525" spans="1:12" x14ac:dyDescent="0.25">
      <c r="A525" s="259" t="s">
        <v>592</v>
      </c>
      <c r="B525" s="260">
        <v>-3.72</v>
      </c>
      <c r="C525" s="260">
        <v>1.05</v>
      </c>
      <c r="D525" s="259" t="s">
        <v>54</v>
      </c>
      <c r="E525" s="259" t="s">
        <v>54</v>
      </c>
      <c r="F525" s="260">
        <v>1.05</v>
      </c>
      <c r="G525" s="259" t="s">
        <v>54</v>
      </c>
      <c r="H525" s="259" t="s">
        <v>54</v>
      </c>
      <c r="I525" s="259" t="s">
        <v>54</v>
      </c>
      <c r="J525" s="259" t="s">
        <v>54</v>
      </c>
      <c r="K525" s="259" t="s">
        <v>54</v>
      </c>
      <c r="L525" s="259" t="s">
        <v>71</v>
      </c>
    </row>
    <row r="526" spans="1:12" hidden="1" x14ac:dyDescent="0.25">
      <c r="A526" s="259" t="s">
        <v>593</v>
      </c>
      <c r="B526" s="259" t="s">
        <v>54</v>
      </c>
      <c r="C526" s="260">
        <v>2.02</v>
      </c>
      <c r="D526" s="259" t="s">
        <v>54</v>
      </c>
      <c r="E526" s="259" t="s">
        <v>54</v>
      </c>
      <c r="F526" s="260">
        <v>2.02</v>
      </c>
      <c r="G526" s="259" t="s">
        <v>54</v>
      </c>
      <c r="H526" s="259" t="s">
        <v>54</v>
      </c>
      <c r="I526" s="259" t="s">
        <v>54</v>
      </c>
      <c r="J526" s="259" t="s">
        <v>54</v>
      </c>
      <c r="K526" s="259" t="s">
        <v>54</v>
      </c>
      <c r="L526" s="259" t="s">
        <v>58</v>
      </c>
    </row>
    <row r="527" spans="1:12" x14ac:dyDescent="0.25">
      <c r="A527" s="259" t="s">
        <v>594</v>
      </c>
      <c r="B527" s="260">
        <v>12.92</v>
      </c>
      <c r="C527" s="260">
        <v>1.72</v>
      </c>
      <c r="D527" s="260">
        <v>25.78</v>
      </c>
      <c r="E527" s="260">
        <v>22.17</v>
      </c>
      <c r="F527" s="260">
        <v>1.72</v>
      </c>
      <c r="G527" s="260">
        <v>16.010000000000002</v>
      </c>
      <c r="H527" s="260">
        <v>1.07</v>
      </c>
      <c r="I527" s="260">
        <v>1.35</v>
      </c>
      <c r="J527" s="260">
        <v>0.9</v>
      </c>
      <c r="K527" s="260">
        <v>6.75</v>
      </c>
      <c r="L527" s="259" t="s">
        <v>55</v>
      </c>
    </row>
    <row r="528" spans="1:12" x14ac:dyDescent="0.25">
      <c r="A528" s="259" t="s">
        <v>595</v>
      </c>
      <c r="B528" s="260">
        <v>-3.06</v>
      </c>
      <c r="C528" s="260">
        <v>2.14</v>
      </c>
      <c r="D528" s="260">
        <v>12.64</v>
      </c>
      <c r="E528" s="260">
        <v>15.44</v>
      </c>
      <c r="F528" s="260">
        <v>2.14</v>
      </c>
      <c r="G528" s="260">
        <v>18.5</v>
      </c>
      <c r="H528" s="260">
        <v>0.37</v>
      </c>
      <c r="I528" s="260">
        <v>0.51</v>
      </c>
      <c r="J528" s="260">
        <v>1.1000000000000001</v>
      </c>
      <c r="K528" s="260">
        <v>-5.82</v>
      </c>
      <c r="L528" s="259" t="s">
        <v>55</v>
      </c>
    </row>
    <row r="529" spans="1:12" hidden="1" x14ac:dyDescent="0.25">
      <c r="A529" s="259" t="s">
        <v>596</v>
      </c>
      <c r="B529" s="259" t="s">
        <v>54</v>
      </c>
      <c r="C529" s="260">
        <v>2.4300000000000002</v>
      </c>
      <c r="D529" s="259" t="s">
        <v>54</v>
      </c>
      <c r="E529" s="259" t="s">
        <v>54</v>
      </c>
      <c r="F529" s="260">
        <v>2.4300000000000002</v>
      </c>
      <c r="G529" s="259" t="s">
        <v>54</v>
      </c>
      <c r="H529" s="259" t="s">
        <v>54</v>
      </c>
      <c r="I529" s="259" t="s">
        <v>54</v>
      </c>
      <c r="J529" s="259" t="s">
        <v>54</v>
      </c>
      <c r="K529" s="259" t="s">
        <v>54</v>
      </c>
      <c r="L529" s="259" t="s">
        <v>58</v>
      </c>
    </row>
    <row r="530" spans="1:12" x14ac:dyDescent="0.25">
      <c r="A530" s="259" t="s">
        <v>597</v>
      </c>
      <c r="B530" s="260">
        <v>16.440000000000001</v>
      </c>
      <c r="C530" s="260">
        <v>1.73</v>
      </c>
      <c r="D530" s="260">
        <v>32.15</v>
      </c>
      <c r="E530" s="260">
        <v>30.31</v>
      </c>
      <c r="F530" s="260">
        <v>1.73</v>
      </c>
      <c r="G530" s="260">
        <v>19.22</v>
      </c>
      <c r="H530" s="260">
        <v>1.19</v>
      </c>
      <c r="I530" s="260">
        <v>1.32</v>
      </c>
      <c r="J530" s="260">
        <v>1.0900000000000001</v>
      </c>
      <c r="K530" s="260">
        <v>10.73</v>
      </c>
      <c r="L530" s="259" t="s">
        <v>71</v>
      </c>
    </row>
    <row r="531" spans="1:12" x14ac:dyDescent="0.25">
      <c r="A531" s="259" t="s">
        <v>598</v>
      </c>
      <c r="B531" s="260">
        <v>20.48</v>
      </c>
      <c r="C531" s="260">
        <v>2.0099999999999998</v>
      </c>
      <c r="D531" s="259" t="s">
        <v>54</v>
      </c>
      <c r="E531" s="259" t="s">
        <v>54</v>
      </c>
      <c r="F531" s="260">
        <v>2.0099999999999998</v>
      </c>
      <c r="G531" s="259" t="s">
        <v>54</v>
      </c>
      <c r="H531" s="259" t="s">
        <v>54</v>
      </c>
      <c r="I531" s="259" t="s">
        <v>54</v>
      </c>
      <c r="J531" s="259" t="s">
        <v>54</v>
      </c>
      <c r="K531" s="259" t="s">
        <v>54</v>
      </c>
      <c r="L531" s="259" t="s">
        <v>65</v>
      </c>
    </row>
    <row r="532" spans="1:12" hidden="1" x14ac:dyDescent="0.25">
      <c r="A532" s="259" t="s">
        <v>599</v>
      </c>
      <c r="B532" s="259" t="s">
        <v>54</v>
      </c>
      <c r="C532" s="260">
        <v>2.2999999999999998</v>
      </c>
      <c r="D532" s="259" t="s">
        <v>54</v>
      </c>
      <c r="E532" s="259" t="s">
        <v>54</v>
      </c>
      <c r="F532" s="260">
        <v>2.2999999999999998</v>
      </c>
      <c r="G532" s="259" t="s">
        <v>54</v>
      </c>
      <c r="H532" s="259" t="s">
        <v>54</v>
      </c>
      <c r="I532" s="259" t="s">
        <v>54</v>
      </c>
      <c r="J532" s="259" t="s">
        <v>54</v>
      </c>
      <c r="K532" s="259" t="s">
        <v>54</v>
      </c>
      <c r="L532" s="259" t="s">
        <v>58</v>
      </c>
    </row>
    <row r="533" spans="1:12" x14ac:dyDescent="0.25">
      <c r="A533" s="259" t="s">
        <v>600</v>
      </c>
      <c r="B533" s="260">
        <v>11.79</v>
      </c>
      <c r="C533" s="260">
        <v>1.58</v>
      </c>
      <c r="D533" s="260">
        <v>33.950000000000003</v>
      </c>
      <c r="E533" s="260">
        <v>36.57</v>
      </c>
      <c r="F533" s="260">
        <v>1.58</v>
      </c>
      <c r="G533" s="260">
        <v>18.2</v>
      </c>
      <c r="H533" s="260">
        <v>1.27</v>
      </c>
      <c r="I533" s="260">
        <v>1.56</v>
      </c>
      <c r="J533" s="260">
        <v>0.89</v>
      </c>
      <c r="K533" s="260">
        <v>7.1</v>
      </c>
      <c r="L533" s="259" t="s">
        <v>84</v>
      </c>
    </row>
    <row r="534" spans="1:12" x14ac:dyDescent="0.25">
      <c r="A534" s="259" t="s">
        <v>601</v>
      </c>
      <c r="B534" s="260">
        <v>-6.86</v>
      </c>
      <c r="C534" s="260">
        <v>2.04</v>
      </c>
      <c r="D534" s="260">
        <v>4.6500000000000004</v>
      </c>
      <c r="E534" s="259" t="s">
        <v>54</v>
      </c>
      <c r="F534" s="260">
        <v>2.04</v>
      </c>
      <c r="G534" s="260">
        <v>9.6300000000000008</v>
      </c>
      <c r="H534" s="260">
        <v>-0.16</v>
      </c>
      <c r="I534" s="260">
        <v>-0.19</v>
      </c>
      <c r="J534" s="260">
        <v>0.73</v>
      </c>
      <c r="K534" s="260">
        <v>-8.0299999999999994</v>
      </c>
      <c r="L534" s="259" t="s">
        <v>60</v>
      </c>
    </row>
    <row r="535" spans="1:12" x14ac:dyDescent="0.25">
      <c r="A535" s="259" t="s">
        <v>602</v>
      </c>
      <c r="B535" s="259" t="s">
        <v>54</v>
      </c>
      <c r="C535" s="260">
        <v>1.88</v>
      </c>
      <c r="D535" s="259" t="s">
        <v>54</v>
      </c>
      <c r="E535" s="259" t="s">
        <v>54</v>
      </c>
      <c r="F535" s="260">
        <v>1.88</v>
      </c>
      <c r="G535" s="259" t="s">
        <v>54</v>
      </c>
      <c r="H535" s="259" t="s">
        <v>54</v>
      </c>
      <c r="I535" s="259" t="s">
        <v>54</v>
      </c>
      <c r="J535" s="259" t="s">
        <v>54</v>
      </c>
      <c r="K535" s="259" t="s">
        <v>54</v>
      </c>
      <c r="L535" s="259" t="s">
        <v>89</v>
      </c>
    </row>
    <row r="536" spans="1:12" x14ac:dyDescent="0.25">
      <c r="A536" s="259" t="s">
        <v>603</v>
      </c>
      <c r="B536" s="260">
        <v>-11.79</v>
      </c>
      <c r="C536" s="260">
        <v>0.3</v>
      </c>
      <c r="D536" s="260">
        <v>21.96</v>
      </c>
      <c r="E536" s="259" t="s">
        <v>54</v>
      </c>
      <c r="F536" s="260">
        <v>0.3</v>
      </c>
      <c r="G536" s="260">
        <v>19.37</v>
      </c>
      <c r="H536" s="260">
        <v>0.71</v>
      </c>
      <c r="I536" s="260">
        <v>1.01</v>
      </c>
      <c r="J536" s="260">
        <v>1.23</v>
      </c>
      <c r="K536" s="260">
        <v>0.22</v>
      </c>
      <c r="L536" s="259" t="s">
        <v>71</v>
      </c>
    </row>
    <row r="537" spans="1:12" x14ac:dyDescent="0.25">
      <c r="A537" s="259" t="s">
        <v>604</v>
      </c>
      <c r="B537" s="260">
        <v>-12.37</v>
      </c>
      <c r="C537" s="260">
        <v>1</v>
      </c>
      <c r="D537" s="260">
        <v>21.24</v>
      </c>
      <c r="E537" s="259" t="s">
        <v>54</v>
      </c>
      <c r="F537" s="260">
        <v>1</v>
      </c>
      <c r="G537" s="260">
        <v>19.3</v>
      </c>
      <c r="H537" s="260">
        <v>0.68</v>
      </c>
      <c r="I537" s="260">
        <v>0.97</v>
      </c>
      <c r="J537" s="260">
        <v>1.22</v>
      </c>
      <c r="K537" s="260">
        <v>-0.34</v>
      </c>
      <c r="L537" s="259" t="s">
        <v>71</v>
      </c>
    </row>
    <row r="538" spans="1:12" x14ac:dyDescent="0.25">
      <c r="A538" s="259" t="s">
        <v>605</v>
      </c>
      <c r="B538" s="260">
        <v>5.68</v>
      </c>
      <c r="C538" s="260">
        <v>0.21</v>
      </c>
      <c r="D538" s="259" t="s">
        <v>54</v>
      </c>
      <c r="E538" s="259" t="s">
        <v>54</v>
      </c>
      <c r="F538" s="260">
        <v>0.21</v>
      </c>
      <c r="G538" s="259" t="s">
        <v>54</v>
      </c>
      <c r="H538" s="259" t="s">
        <v>54</v>
      </c>
      <c r="I538" s="259" t="s">
        <v>54</v>
      </c>
      <c r="J538" s="259" t="s">
        <v>54</v>
      </c>
      <c r="K538" s="259" t="s">
        <v>54</v>
      </c>
      <c r="L538" s="259" t="s">
        <v>55</v>
      </c>
    </row>
    <row r="539" spans="1:12" x14ac:dyDescent="0.25">
      <c r="A539" s="259" t="s">
        <v>606</v>
      </c>
      <c r="B539" s="260">
        <v>4.96</v>
      </c>
      <c r="C539" s="260">
        <v>0.88</v>
      </c>
      <c r="D539" s="260">
        <v>18.53</v>
      </c>
      <c r="E539" s="260">
        <v>22.73</v>
      </c>
      <c r="F539" s="260">
        <v>0.88</v>
      </c>
      <c r="G539" s="260">
        <v>14.47</v>
      </c>
      <c r="H539" s="260">
        <v>0.74</v>
      </c>
      <c r="I539" s="260">
        <v>1.17</v>
      </c>
      <c r="J539" s="260">
        <v>1</v>
      </c>
      <c r="K539" s="260">
        <v>-0.78</v>
      </c>
      <c r="L539" s="259" t="s">
        <v>55</v>
      </c>
    </row>
    <row r="540" spans="1:12" x14ac:dyDescent="0.25">
      <c r="A540" s="259" t="s">
        <v>607</v>
      </c>
      <c r="B540" s="259" t="s">
        <v>54</v>
      </c>
      <c r="C540" s="260">
        <v>0.41</v>
      </c>
      <c r="D540" s="259" t="s">
        <v>54</v>
      </c>
      <c r="E540" s="259" t="s">
        <v>54</v>
      </c>
      <c r="F540" s="260">
        <v>0.41</v>
      </c>
      <c r="G540" s="259" t="s">
        <v>54</v>
      </c>
      <c r="H540" s="259" t="s">
        <v>54</v>
      </c>
      <c r="I540" s="259" t="s">
        <v>54</v>
      </c>
      <c r="J540" s="259" t="s">
        <v>54</v>
      </c>
      <c r="K540" s="259" t="s">
        <v>54</v>
      </c>
      <c r="L540" s="259" t="s">
        <v>55</v>
      </c>
    </row>
    <row r="541" spans="1:12" x14ac:dyDescent="0.25">
      <c r="A541" s="259" t="s">
        <v>608</v>
      </c>
      <c r="B541" s="259" t="s">
        <v>54</v>
      </c>
      <c r="C541" s="260">
        <v>1.0900000000000001</v>
      </c>
      <c r="D541" s="259" t="s">
        <v>54</v>
      </c>
      <c r="E541" s="259" t="s">
        <v>54</v>
      </c>
      <c r="F541" s="260">
        <v>1.0900000000000001</v>
      </c>
      <c r="G541" s="259" t="s">
        <v>54</v>
      </c>
      <c r="H541" s="259" t="s">
        <v>54</v>
      </c>
      <c r="I541" s="259" t="s">
        <v>54</v>
      </c>
      <c r="J541" s="259" t="s">
        <v>54</v>
      </c>
      <c r="K541" s="259" t="s">
        <v>54</v>
      </c>
      <c r="L541" s="259" t="s">
        <v>55</v>
      </c>
    </row>
    <row r="542" spans="1:12" x14ac:dyDescent="0.25">
      <c r="A542" s="259" t="s">
        <v>609</v>
      </c>
      <c r="B542" s="259" t="s">
        <v>54</v>
      </c>
      <c r="C542" s="260">
        <v>0.15</v>
      </c>
      <c r="D542" s="259" t="s">
        <v>54</v>
      </c>
      <c r="E542" s="259" t="s">
        <v>54</v>
      </c>
      <c r="F542" s="260">
        <v>0.15</v>
      </c>
      <c r="G542" s="259" t="s">
        <v>54</v>
      </c>
      <c r="H542" s="259" t="s">
        <v>54</v>
      </c>
      <c r="I542" s="259" t="s">
        <v>54</v>
      </c>
      <c r="J542" s="259" t="s">
        <v>54</v>
      </c>
      <c r="K542" s="259" t="s">
        <v>54</v>
      </c>
      <c r="L542" s="259" t="s">
        <v>65</v>
      </c>
    </row>
    <row r="543" spans="1:12" x14ac:dyDescent="0.25">
      <c r="A543" s="259" t="s">
        <v>610</v>
      </c>
      <c r="B543" s="260">
        <v>7.8</v>
      </c>
      <c r="C543" s="260">
        <v>0.06</v>
      </c>
      <c r="D543" s="260">
        <v>16.57</v>
      </c>
      <c r="E543" s="260">
        <v>21.34</v>
      </c>
      <c r="F543" s="260">
        <v>0.06</v>
      </c>
      <c r="G543" s="260">
        <v>13.14</v>
      </c>
      <c r="H543" s="260">
        <v>0.69</v>
      </c>
      <c r="I543" s="260">
        <v>1.17</v>
      </c>
      <c r="J543" s="260">
        <v>0.95</v>
      </c>
      <c r="K543" s="260">
        <v>-0.74</v>
      </c>
      <c r="L543" s="259" t="s">
        <v>65</v>
      </c>
    </row>
    <row r="544" spans="1:12" x14ac:dyDescent="0.25">
      <c r="A544" s="259" t="s">
        <v>611</v>
      </c>
      <c r="B544" s="260">
        <v>7.24</v>
      </c>
      <c r="C544" s="260">
        <v>0.51</v>
      </c>
      <c r="D544" s="260">
        <v>15.97</v>
      </c>
      <c r="E544" s="260">
        <v>20.64</v>
      </c>
      <c r="F544" s="260">
        <v>0.51</v>
      </c>
      <c r="G544" s="260">
        <v>13.14</v>
      </c>
      <c r="H544" s="260">
        <v>0.65</v>
      </c>
      <c r="I544" s="260">
        <v>1.1100000000000001</v>
      </c>
      <c r="J544" s="260">
        <v>0.95</v>
      </c>
      <c r="K544" s="260">
        <v>-1.27</v>
      </c>
      <c r="L544" s="259" t="s">
        <v>65</v>
      </c>
    </row>
    <row r="545" spans="1:12" hidden="1" x14ac:dyDescent="0.25">
      <c r="A545" s="259" t="s">
        <v>612</v>
      </c>
      <c r="B545" s="259" t="s">
        <v>54</v>
      </c>
      <c r="C545" s="260">
        <v>0.52</v>
      </c>
      <c r="D545" s="259" t="s">
        <v>54</v>
      </c>
      <c r="E545" s="259" t="s">
        <v>54</v>
      </c>
      <c r="F545" s="260">
        <v>0.52</v>
      </c>
      <c r="G545" s="259" t="s">
        <v>54</v>
      </c>
      <c r="H545" s="259" t="s">
        <v>54</v>
      </c>
      <c r="I545" s="259" t="s">
        <v>54</v>
      </c>
      <c r="J545" s="259" t="s">
        <v>54</v>
      </c>
      <c r="K545" s="259" t="s">
        <v>54</v>
      </c>
      <c r="L545" s="259" t="s">
        <v>58</v>
      </c>
    </row>
    <row r="546" spans="1:12" hidden="1" x14ac:dyDescent="0.25">
      <c r="A546" s="259" t="s">
        <v>613</v>
      </c>
      <c r="B546" s="259" t="s">
        <v>54</v>
      </c>
      <c r="C546" s="260">
        <v>1.1000000000000001</v>
      </c>
      <c r="D546" s="259" t="s">
        <v>54</v>
      </c>
      <c r="E546" s="259" t="s">
        <v>54</v>
      </c>
      <c r="F546" s="260">
        <v>1.1000000000000001</v>
      </c>
      <c r="G546" s="259" t="s">
        <v>54</v>
      </c>
      <c r="H546" s="259" t="s">
        <v>54</v>
      </c>
      <c r="I546" s="259" t="s">
        <v>54</v>
      </c>
      <c r="J546" s="259" t="s">
        <v>54</v>
      </c>
      <c r="K546" s="259" t="s">
        <v>54</v>
      </c>
      <c r="L546" s="259" t="s">
        <v>58</v>
      </c>
    </row>
    <row r="547" spans="1:12" hidden="1" x14ac:dyDescent="0.25">
      <c r="A547" s="259" t="s">
        <v>614</v>
      </c>
      <c r="B547" s="259" t="s">
        <v>54</v>
      </c>
      <c r="C547" s="260">
        <v>0.41</v>
      </c>
      <c r="D547" s="259" t="s">
        <v>54</v>
      </c>
      <c r="E547" s="259" t="s">
        <v>54</v>
      </c>
      <c r="F547" s="260">
        <v>0.41</v>
      </c>
      <c r="G547" s="259" t="s">
        <v>54</v>
      </c>
      <c r="H547" s="259" t="s">
        <v>54</v>
      </c>
      <c r="I547" s="259" t="s">
        <v>54</v>
      </c>
      <c r="J547" s="259" t="s">
        <v>54</v>
      </c>
      <c r="K547" s="259" t="s">
        <v>54</v>
      </c>
      <c r="L547" s="259" t="s">
        <v>58</v>
      </c>
    </row>
    <row r="548" spans="1:12" hidden="1" x14ac:dyDescent="0.25">
      <c r="A548" s="259" t="s">
        <v>615</v>
      </c>
      <c r="B548" s="259" t="s">
        <v>54</v>
      </c>
      <c r="C548" s="260">
        <v>1.1000000000000001</v>
      </c>
      <c r="D548" s="259" t="s">
        <v>54</v>
      </c>
      <c r="E548" s="259" t="s">
        <v>54</v>
      </c>
      <c r="F548" s="260">
        <v>1.1000000000000001</v>
      </c>
      <c r="G548" s="259" t="s">
        <v>54</v>
      </c>
      <c r="H548" s="259" t="s">
        <v>54</v>
      </c>
      <c r="I548" s="259" t="s">
        <v>54</v>
      </c>
      <c r="J548" s="259" t="s">
        <v>54</v>
      </c>
      <c r="K548" s="259" t="s">
        <v>54</v>
      </c>
      <c r="L548" s="259" t="s">
        <v>58</v>
      </c>
    </row>
    <row r="549" spans="1:12" hidden="1" x14ac:dyDescent="0.25">
      <c r="A549" s="259" t="s">
        <v>616</v>
      </c>
      <c r="B549" s="259" t="s">
        <v>54</v>
      </c>
      <c r="C549" s="260">
        <v>0.31</v>
      </c>
      <c r="D549" s="259" t="s">
        <v>54</v>
      </c>
      <c r="E549" s="259" t="s">
        <v>54</v>
      </c>
      <c r="F549" s="260">
        <v>0.31</v>
      </c>
      <c r="G549" s="259" t="s">
        <v>54</v>
      </c>
      <c r="H549" s="259" t="s">
        <v>54</v>
      </c>
      <c r="I549" s="259" t="s">
        <v>54</v>
      </c>
      <c r="J549" s="259" t="s">
        <v>54</v>
      </c>
      <c r="K549" s="259" t="s">
        <v>54</v>
      </c>
      <c r="L549" s="259" t="s">
        <v>58</v>
      </c>
    </row>
    <row r="550" spans="1:12" hidden="1" x14ac:dyDescent="0.25">
      <c r="A550" s="259" t="s">
        <v>617</v>
      </c>
      <c r="B550" s="259" t="s">
        <v>54</v>
      </c>
      <c r="C550" s="259" t="s">
        <v>54</v>
      </c>
      <c r="D550" s="259" t="s">
        <v>54</v>
      </c>
      <c r="E550" s="259" t="s">
        <v>54</v>
      </c>
      <c r="F550" s="259" t="s">
        <v>54</v>
      </c>
      <c r="G550" s="259" t="s">
        <v>54</v>
      </c>
      <c r="H550" s="259" t="s">
        <v>54</v>
      </c>
      <c r="I550" s="259" t="s">
        <v>54</v>
      </c>
      <c r="J550" s="259" t="s">
        <v>54</v>
      </c>
      <c r="K550" s="259" t="s">
        <v>54</v>
      </c>
      <c r="L550" s="259" t="s">
        <v>58</v>
      </c>
    </row>
    <row r="551" spans="1:12" x14ac:dyDescent="0.25">
      <c r="A551" s="259" t="s">
        <v>618</v>
      </c>
      <c r="B551" s="260">
        <v>6.12</v>
      </c>
      <c r="C551" s="260">
        <v>1.1100000000000001</v>
      </c>
      <c r="D551" s="259" t="s">
        <v>54</v>
      </c>
      <c r="E551" s="259" t="s">
        <v>54</v>
      </c>
      <c r="F551" s="260">
        <v>1.1100000000000001</v>
      </c>
      <c r="G551" s="259" t="s">
        <v>54</v>
      </c>
      <c r="H551" s="259" t="s">
        <v>54</v>
      </c>
      <c r="I551" s="259" t="s">
        <v>54</v>
      </c>
      <c r="J551" s="259" t="s">
        <v>54</v>
      </c>
      <c r="K551" s="259" t="s">
        <v>54</v>
      </c>
      <c r="L551" s="259" t="s">
        <v>103</v>
      </c>
    </row>
    <row r="552" spans="1:12" x14ac:dyDescent="0.25">
      <c r="A552" s="259" t="s">
        <v>619</v>
      </c>
      <c r="B552" s="260">
        <v>8.33</v>
      </c>
      <c r="C552" s="260">
        <v>0.23</v>
      </c>
      <c r="D552" s="260">
        <v>28.99</v>
      </c>
      <c r="E552" s="260">
        <v>32.9</v>
      </c>
      <c r="F552" s="260">
        <v>0.23</v>
      </c>
      <c r="G552" s="260">
        <v>17.89</v>
      </c>
      <c r="H552" s="260">
        <v>1.1000000000000001</v>
      </c>
      <c r="I552" s="260">
        <v>1.6</v>
      </c>
      <c r="J552" s="260">
        <v>1.05</v>
      </c>
      <c r="K552" s="260">
        <v>0.67</v>
      </c>
      <c r="L552" s="259" t="s">
        <v>84</v>
      </c>
    </row>
    <row r="553" spans="1:12" x14ac:dyDescent="0.25">
      <c r="A553" s="259" t="s">
        <v>620</v>
      </c>
      <c r="B553" s="260">
        <v>5.52</v>
      </c>
      <c r="C553" s="260">
        <v>1</v>
      </c>
      <c r="D553" s="260">
        <v>27.01</v>
      </c>
      <c r="E553" s="260">
        <v>31.03</v>
      </c>
      <c r="F553" s="260">
        <v>1</v>
      </c>
      <c r="G553" s="260">
        <v>17</v>
      </c>
      <c r="H553" s="260">
        <v>1.06</v>
      </c>
      <c r="I553" s="260">
        <v>1.53</v>
      </c>
      <c r="J553" s="260">
        <v>1</v>
      </c>
      <c r="K553" s="260">
        <v>-0.09</v>
      </c>
      <c r="L553" s="259" t="s">
        <v>84</v>
      </c>
    </row>
    <row r="554" spans="1:12" hidden="1" x14ac:dyDescent="0.25">
      <c r="A554" s="259" t="s">
        <v>621</v>
      </c>
      <c r="B554" s="259" t="s">
        <v>54</v>
      </c>
      <c r="C554" s="260">
        <v>1.1100000000000001</v>
      </c>
      <c r="D554" s="259" t="s">
        <v>54</v>
      </c>
      <c r="E554" s="259" t="s">
        <v>54</v>
      </c>
      <c r="F554" s="260">
        <v>1.1100000000000001</v>
      </c>
      <c r="G554" s="259" t="s">
        <v>54</v>
      </c>
      <c r="H554" s="259" t="s">
        <v>54</v>
      </c>
      <c r="I554" s="259" t="s">
        <v>54</v>
      </c>
      <c r="J554" s="259" t="s">
        <v>54</v>
      </c>
      <c r="K554" s="259" t="s">
        <v>54</v>
      </c>
      <c r="L554" s="259" t="s">
        <v>81</v>
      </c>
    </row>
    <row r="555" spans="1:12" hidden="1" x14ac:dyDescent="0.25">
      <c r="A555" s="259" t="s">
        <v>622</v>
      </c>
      <c r="B555" s="259" t="s">
        <v>54</v>
      </c>
      <c r="C555" s="260">
        <v>1.1000000000000001</v>
      </c>
      <c r="D555" s="259" t="s">
        <v>54</v>
      </c>
      <c r="E555" s="259" t="s">
        <v>54</v>
      </c>
      <c r="F555" s="260">
        <v>1.1000000000000001</v>
      </c>
      <c r="G555" s="259" t="s">
        <v>54</v>
      </c>
      <c r="H555" s="259" t="s">
        <v>54</v>
      </c>
      <c r="I555" s="259" t="s">
        <v>54</v>
      </c>
      <c r="J555" s="259" t="s">
        <v>54</v>
      </c>
      <c r="K555" s="259" t="s">
        <v>54</v>
      </c>
      <c r="L555" s="259" t="s">
        <v>58</v>
      </c>
    </row>
    <row r="556" spans="1:12" x14ac:dyDescent="0.25">
      <c r="A556" s="259" t="s">
        <v>623</v>
      </c>
      <c r="B556" s="259" t="s">
        <v>54</v>
      </c>
      <c r="C556" s="260">
        <v>0.2</v>
      </c>
      <c r="D556" s="259" t="s">
        <v>54</v>
      </c>
      <c r="E556" s="259" t="s">
        <v>54</v>
      </c>
      <c r="F556" s="260">
        <v>0.2</v>
      </c>
      <c r="G556" s="259" t="s">
        <v>54</v>
      </c>
      <c r="H556" s="259" t="s">
        <v>54</v>
      </c>
      <c r="I556" s="259" t="s">
        <v>54</v>
      </c>
      <c r="J556" s="259" t="s">
        <v>54</v>
      </c>
      <c r="K556" s="259" t="s">
        <v>54</v>
      </c>
      <c r="L556" s="259" t="s">
        <v>65</v>
      </c>
    </row>
    <row r="557" spans="1:12" x14ac:dyDescent="0.25">
      <c r="A557" s="259" t="s">
        <v>624</v>
      </c>
      <c r="B557" s="260">
        <v>-4.0599999999999996</v>
      </c>
      <c r="C557" s="260">
        <v>1.04</v>
      </c>
      <c r="D557" s="260">
        <v>21.05</v>
      </c>
      <c r="E557" s="260">
        <v>21.31</v>
      </c>
      <c r="F557" s="260">
        <v>1.04</v>
      </c>
      <c r="G557" s="260">
        <v>19.5</v>
      </c>
      <c r="H557" s="260">
        <v>0.68</v>
      </c>
      <c r="I557" s="260">
        <v>1.01</v>
      </c>
      <c r="J557" s="260">
        <v>1.3</v>
      </c>
      <c r="K557" s="260">
        <v>-0.03</v>
      </c>
      <c r="L557" s="259" t="s">
        <v>65</v>
      </c>
    </row>
    <row r="558" spans="1:12" hidden="1" x14ac:dyDescent="0.25">
      <c r="A558" s="259" t="s">
        <v>625</v>
      </c>
      <c r="B558" s="259" t="s">
        <v>54</v>
      </c>
      <c r="C558" s="259" t="s">
        <v>54</v>
      </c>
      <c r="D558" s="259" t="s">
        <v>54</v>
      </c>
      <c r="E558" s="259" t="s">
        <v>54</v>
      </c>
      <c r="F558" s="259" t="s">
        <v>54</v>
      </c>
      <c r="G558" s="259" t="s">
        <v>54</v>
      </c>
      <c r="H558" s="259" t="s">
        <v>54</v>
      </c>
      <c r="I558" s="259" t="s">
        <v>54</v>
      </c>
      <c r="J558" s="259" t="s">
        <v>54</v>
      </c>
      <c r="K558" s="259" t="s">
        <v>54</v>
      </c>
      <c r="L558" s="259" t="s">
        <v>101</v>
      </c>
    </row>
    <row r="559" spans="1:12" hidden="1" x14ac:dyDescent="0.25">
      <c r="A559" s="259" t="s">
        <v>626</v>
      </c>
      <c r="B559" s="260">
        <v>-8.2100000000000009</v>
      </c>
      <c r="C559" s="260">
        <v>0.41</v>
      </c>
      <c r="D559" s="259" t="s">
        <v>54</v>
      </c>
      <c r="E559" s="259" t="s">
        <v>54</v>
      </c>
      <c r="F559" s="260">
        <v>0.41</v>
      </c>
      <c r="G559" s="259" t="s">
        <v>54</v>
      </c>
      <c r="H559" s="259" t="s">
        <v>54</v>
      </c>
      <c r="I559" s="259" t="s">
        <v>54</v>
      </c>
      <c r="J559" s="259" t="s">
        <v>54</v>
      </c>
      <c r="K559" s="259" t="s">
        <v>54</v>
      </c>
      <c r="L559" s="259" t="s">
        <v>58</v>
      </c>
    </row>
    <row r="560" spans="1:12" x14ac:dyDescent="0.25">
      <c r="A560" s="259" t="s">
        <v>627</v>
      </c>
      <c r="B560" s="260">
        <v>4.1900000000000004</v>
      </c>
      <c r="C560" s="260">
        <v>0.31</v>
      </c>
      <c r="D560" s="259" t="s">
        <v>54</v>
      </c>
      <c r="E560" s="259" t="s">
        <v>54</v>
      </c>
      <c r="F560" s="260">
        <v>0.31</v>
      </c>
      <c r="G560" s="259" t="s">
        <v>54</v>
      </c>
      <c r="H560" s="259" t="s">
        <v>54</v>
      </c>
      <c r="I560" s="259" t="s">
        <v>54</v>
      </c>
      <c r="J560" s="259" t="s">
        <v>54</v>
      </c>
      <c r="K560" s="259" t="s">
        <v>54</v>
      </c>
      <c r="L560" s="259" t="s">
        <v>103</v>
      </c>
    </row>
    <row r="561" spans="1:12" x14ac:dyDescent="0.25">
      <c r="A561" s="259" t="s">
        <v>628</v>
      </c>
      <c r="B561" s="260">
        <v>3.76</v>
      </c>
      <c r="C561" s="260">
        <v>1.04</v>
      </c>
      <c r="D561" s="260">
        <v>25.9</v>
      </c>
      <c r="E561" s="260">
        <v>33.75</v>
      </c>
      <c r="F561" s="260">
        <v>1.04</v>
      </c>
      <c r="G561" s="260">
        <v>19.96</v>
      </c>
      <c r="H561" s="260">
        <v>0.87</v>
      </c>
      <c r="I561" s="260">
        <v>1.28</v>
      </c>
      <c r="J561" s="260">
        <v>1.02</v>
      </c>
      <c r="K561" s="260">
        <v>-1.07</v>
      </c>
      <c r="L561" s="259" t="s">
        <v>103</v>
      </c>
    </row>
    <row r="562" spans="1:12" hidden="1" x14ac:dyDescent="0.25">
      <c r="A562" s="259" t="s">
        <v>629</v>
      </c>
      <c r="B562" s="259" t="s">
        <v>54</v>
      </c>
      <c r="C562" s="260">
        <v>0.96</v>
      </c>
      <c r="D562" s="259" t="s">
        <v>54</v>
      </c>
      <c r="E562" s="259" t="s">
        <v>54</v>
      </c>
      <c r="F562" s="260">
        <v>0.96</v>
      </c>
      <c r="G562" s="259" t="s">
        <v>54</v>
      </c>
      <c r="H562" s="259" t="s">
        <v>54</v>
      </c>
      <c r="I562" s="259" t="s">
        <v>54</v>
      </c>
      <c r="J562" s="259" t="s">
        <v>54</v>
      </c>
      <c r="K562" s="259" t="s">
        <v>54</v>
      </c>
      <c r="L562" s="259" t="s">
        <v>58</v>
      </c>
    </row>
    <row r="563" spans="1:12" hidden="1" x14ac:dyDescent="0.25">
      <c r="A563" s="259" t="s">
        <v>630</v>
      </c>
      <c r="B563" s="259" t="s">
        <v>54</v>
      </c>
      <c r="C563" s="259" t="s">
        <v>54</v>
      </c>
      <c r="D563" s="259" t="s">
        <v>54</v>
      </c>
      <c r="E563" s="259" t="s">
        <v>54</v>
      </c>
      <c r="F563" s="259" t="s">
        <v>54</v>
      </c>
      <c r="G563" s="259" t="s">
        <v>54</v>
      </c>
      <c r="H563" s="259" t="s">
        <v>54</v>
      </c>
      <c r="I563" s="259" t="s">
        <v>54</v>
      </c>
      <c r="J563" s="259" t="s">
        <v>54</v>
      </c>
      <c r="K563" s="259" t="s">
        <v>54</v>
      </c>
      <c r="L563" s="259" t="s">
        <v>58</v>
      </c>
    </row>
    <row r="564" spans="1:12" x14ac:dyDescent="0.25">
      <c r="A564" s="259" t="s">
        <v>631</v>
      </c>
      <c r="B564" s="260">
        <v>18.04</v>
      </c>
      <c r="C564" s="260">
        <v>1.84</v>
      </c>
      <c r="D564" s="259" t="s">
        <v>54</v>
      </c>
      <c r="E564" s="259" t="s">
        <v>54</v>
      </c>
      <c r="F564" s="260">
        <v>1.84</v>
      </c>
      <c r="G564" s="259" t="s">
        <v>54</v>
      </c>
      <c r="H564" s="259" t="s">
        <v>54</v>
      </c>
      <c r="I564" s="259" t="s">
        <v>54</v>
      </c>
      <c r="J564" s="259" t="s">
        <v>54</v>
      </c>
      <c r="K564" s="259" t="s">
        <v>54</v>
      </c>
      <c r="L564" s="259" t="s">
        <v>103</v>
      </c>
    </row>
    <row r="565" spans="1:12" x14ac:dyDescent="0.25">
      <c r="A565" s="259" t="s">
        <v>632</v>
      </c>
      <c r="B565" s="260">
        <v>6.86</v>
      </c>
      <c r="C565" s="260">
        <v>0.9</v>
      </c>
      <c r="D565" s="259" t="s">
        <v>54</v>
      </c>
      <c r="E565" s="259" t="s">
        <v>54</v>
      </c>
      <c r="F565" s="260">
        <v>0.9</v>
      </c>
      <c r="G565" s="259" t="s">
        <v>54</v>
      </c>
      <c r="H565" s="259" t="s">
        <v>54</v>
      </c>
      <c r="I565" s="259" t="s">
        <v>54</v>
      </c>
      <c r="J565" s="259" t="s">
        <v>54</v>
      </c>
      <c r="K565" s="259" t="s">
        <v>54</v>
      </c>
      <c r="L565" s="259" t="s">
        <v>65</v>
      </c>
    </row>
    <row r="566" spans="1:12" x14ac:dyDescent="0.25">
      <c r="A566" s="259" t="s">
        <v>633</v>
      </c>
      <c r="B566" s="260">
        <v>1.67</v>
      </c>
      <c r="C566" s="260">
        <v>2.29</v>
      </c>
      <c r="D566" s="260">
        <v>15.59</v>
      </c>
      <c r="E566" s="260">
        <v>19.57</v>
      </c>
      <c r="F566" s="260">
        <v>2.29</v>
      </c>
      <c r="G566" s="260">
        <v>14.08</v>
      </c>
      <c r="H566" s="260">
        <v>0.59</v>
      </c>
      <c r="I566" s="260">
        <v>0.95</v>
      </c>
      <c r="J566" s="260">
        <v>0.93</v>
      </c>
      <c r="K566" s="260">
        <v>-2.5</v>
      </c>
      <c r="L566" s="259" t="s">
        <v>55</v>
      </c>
    </row>
    <row r="567" spans="1:12" x14ac:dyDescent="0.25">
      <c r="A567" s="259" t="s">
        <v>634</v>
      </c>
      <c r="B567" s="260">
        <v>5.23</v>
      </c>
      <c r="C567" s="260">
        <v>2.2599999999999998</v>
      </c>
      <c r="D567" s="260">
        <v>16.37</v>
      </c>
      <c r="E567" s="260">
        <v>22.16</v>
      </c>
      <c r="F567" s="260">
        <v>2.2599999999999998</v>
      </c>
      <c r="G567" s="260">
        <v>14.96</v>
      </c>
      <c r="H567" s="260">
        <v>0.59</v>
      </c>
      <c r="I567" s="260">
        <v>0.89</v>
      </c>
      <c r="J567" s="260">
        <v>0.97</v>
      </c>
      <c r="K567" s="260">
        <v>-1.93</v>
      </c>
      <c r="L567" s="259" t="s">
        <v>71</v>
      </c>
    </row>
    <row r="568" spans="1:12" x14ac:dyDescent="0.25">
      <c r="A568" s="259" t="s">
        <v>635</v>
      </c>
      <c r="B568" s="259" t="s">
        <v>54</v>
      </c>
      <c r="C568" s="260">
        <v>0.99</v>
      </c>
      <c r="D568" s="259" t="s">
        <v>54</v>
      </c>
      <c r="E568" s="259" t="s">
        <v>54</v>
      </c>
      <c r="F568" s="260">
        <v>0.99</v>
      </c>
      <c r="G568" s="259" t="s">
        <v>54</v>
      </c>
      <c r="H568" s="259" t="s">
        <v>54</v>
      </c>
      <c r="I568" s="259" t="s">
        <v>54</v>
      </c>
      <c r="J568" s="259" t="s">
        <v>54</v>
      </c>
      <c r="K568" s="259" t="s">
        <v>54</v>
      </c>
      <c r="L568" s="259" t="s">
        <v>89</v>
      </c>
    </row>
    <row r="569" spans="1:12" x14ac:dyDescent="0.25">
      <c r="A569" s="259" t="s">
        <v>636</v>
      </c>
      <c r="B569" s="260">
        <v>7.46</v>
      </c>
      <c r="C569" s="260">
        <v>0.26</v>
      </c>
      <c r="D569" s="260">
        <v>16.18</v>
      </c>
      <c r="E569" s="259" t="s">
        <v>54</v>
      </c>
      <c r="F569" s="260">
        <v>0.26</v>
      </c>
      <c r="G569" s="260">
        <v>13.13</v>
      </c>
      <c r="H569" s="260">
        <v>0.66</v>
      </c>
      <c r="I569" s="260">
        <v>1.1299999999999999</v>
      </c>
      <c r="J569" s="260">
        <v>0.95</v>
      </c>
      <c r="K569" s="260">
        <v>-1.08</v>
      </c>
      <c r="L569" s="259" t="s">
        <v>65</v>
      </c>
    </row>
    <row r="570" spans="1:12" hidden="1" x14ac:dyDescent="0.25">
      <c r="A570" s="259" t="s">
        <v>637</v>
      </c>
      <c r="B570" s="260">
        <v>-1.55</v>
      </c>
      <c r="C570" s="260">
        <v>1</v>
      </c>
      <c r="D570" s="259" t="s">
        <v>54</v>
      </c>
      <c r="E570" s="259" t="s">
        <v>54</v>
      </c>
      <c r="F570" s="260">
        <v>1</v>
      </c>
      <c r="G570" s="259" t="s">
        <v>54</v>
      </c>
      <c r="H570" s="259" t="s">
        <v>54</v>
      </c>
      <c r="I570" s="259" t="s">
        <v>54</v>
      </c>
      <c r="J570" s="259" t="s">
        <v>54</v>
      </c>
      <c r="K570" s="259" t="s">
        <v>54</v>
      </c>
      <c r="L570" s="259" t="s">
        <v>58</v>
      </c>
    </row>
    <row r="571" spans="1:12" x14ac:dyDescent="0.25">
      <c r="A571" s="259" t="s">
        <v>638</v>
      </c>
      <c r="B571" s="260">
        <v>5.12</v>
      </c>
      <c r="C571" s="260">
        <v>1</v>
      </c>
      <c r="D571" s="260">
        <v>26.51</v>
      </c>
      <c r="E571" s="259" t="s">
        <v>54</v>
      </c>
      <c r="F571" s="260">
        <v>1</v>
      </c>
      <c r="G571" s="260">
        <v>16.920000000000002</v>
      </c>
      <c r="H571" s="260">
        <v>1.04</v>
      </c>
      <c r="I571" s="260">
        <v>1.5</v>
      </c>
      <c r="J571" s="260">
        <v>0.99</v>
      </c>
      <c r="K571" s="260">
        <v>-0.42</v>
      </c>
      <c r="L571" s="259" t="s">
        <v>84</v>
      </c>
    </row>
    <row r="572" spans="1:12" x14ac:dyDescent="0.25">
      <c r="A572" s="259" t="s">
        <v>639</v>
      </c>
      <c r="B572" s="260">
        <v>-3.79</v>
      </c>
      <c r="C572" s="260">
        <v>0.57999999999999996</v>
      </c>
      <c r="D572" s="260">
        <v>21.24</v>
      </c>
      <c r="E572" s="259" t="s">
        <v>54</v>
      </c>
      <c r="F572" s="260">
        <v>0.57999999999999996</v>
      </c>
      <c r="G572" s="260">
        <v>19.47</v>
      </c>
      <c r="H572" s="260">
        <v>0.69</v>
      </c>
      <c r="I572" s="260">
        <v>1.03</v>
      </c>
      <c r="J572" s="260">
        <v>1.29</v>
      </c>
      <c r="K572" s="260">
        <v>0.14000000000000001</v>
      </c>
      <c r="L572" s="259" t="s">
        <v>65</v>
      </c>
    </row>
    <row r="573" spans="1:12" x14ac:dyDescent="0.25">
      <c r="A573" s="259" t="s">
        <v>640</v>
      </c>
      <c r="B573" s="259" t="s">
        <v>54</v>
      </c>
      <c r="C573" s="260">
        <v>1</v>
      </c>
      <c r="D573" s="259" t="s">
        <v>54</v>
      </c>
      <c r="E573" s="259" t="s">
        <v>54</v>
      </c>
      <c r="F573" s="260">
        <v>1</v>
      </c>
      <c r="G573" s="259" t="s">
        <v>54</v>
      </c>
      <c r="H573" s="259" t="s">
        <v>54</v>
      </c>
      <c r="I573" s="259" t="s">
        <v>54</v>
      </c>
      <c r="J573" s="259" t="s">
        <v>54</v>
      </c>
      <c r="K573" s="259" t="s">
        <v>54</v>
      </c>
      <c r="L573" s="259" t="s">
        <v>103</v>
      </c>
    </row>
    <row r="574" spans="1:12" hidden="1" x14ac:dyDescent="0.25">
      <c r="A574" s="259" t="s">
        <v>641</v>
      </c>
      <c r="B574" s="259" t="s">
        <v>54</v>
      </c>
      <c r="C574" s="260">
        <v>1.66</v>
      </c>
      <c r="D574" s="259" t="s">
        <v>54</v>
      </c>
      <c r="E574" s="259" t="s">
        <v>54</v>
      </c>
      <c r="F574" s="260">
        <v>1.66</v>
      </c>
      <c r="G574" s="259" t="s">
        <v>54</v>
      </c>
      <c r="H574" s="259" t="s">
        <v>54</v>
      </c>
      <c r="I574" s="259" t="s">
        <v>54</v>
      </c>
      <c r="J574" s="259" t="s">
        <v>54</v>
      </c>
      <c r="K574" s="259" t="s">
        <v>54</v>
      </c>
      <c r="L574" s="259" t="s">
        <v>58</v>
      </c>
    </row>
    <row r="575" spans="1:12" x14ac:dyDescent="0.25">
      <c r="A575" s="259" t="s">
        <v>642</v>
      </c>
      <c r="B575" s="260">
        <v>7.22</v>
      </c>
      <c r="C575" s="260">
        <v>1.74</v>
      </c>
      <c r="D575" s="260">
        <v>13.91</v>
      </c>
      <c r="E575" s="260">
        <v>15.31</v>
      </c>
      <c r="F575" s="260">
        <v>1.74</v>
      </c>
      <c r="G575" s="260">
        <v>7.42</v>
      </c>
      <c r="H575" s="260">
        <v>0.91</v>
      </c>
      <c r="I575" s="260">
        <v>1.38</v>
      </c>
      <c r="J575" s="260">
        <v>0.71</v>
      </c>
      <c r="K575" s="260">
        <v>1.1599999999999999</v>
      </c>
      <c r="L575" s="259" t="s">
        <v>62</v>
      </c>
    </row>
    <row r="576" spans="1:12" x14ac:dyDescent="0.25">
      <c r="A576" s="259" t="s">
        <v>643</v>
      </c>
      <c r="B576" s="259" t="s">
        <v>54</v>
      </c>
      <c r="C576" s="259" t="s">
        <v>54</v>
      </c>
      <c r="D576" s="259" t="s">
        <v>54</v>
      </c>
      <c r="E576" s="259" t="s">
        <v>54</v>
      </c>
      <c r="F576" s="259" t="s">
        <v>54</v>
      </c>
      <c r="G576" s="259" t="s">
        <v>54</v>
      </c>
      <c r="H576" s="259" t="s">
        <v>54</v>
      </c>
      <c r="I576" s="259" t="s">
        <v>54</v>
      </c>
      <c r="J576" s="259" t="s">
        <v>54</v>
      </c>
      <c r="K576" s="259" t="s">
        <v>54</v>
      </c>
      <c r="L576" s="259" t="s">
        <v>65</v>
      </c>
    </row>
    <row r="577" spans="1:12" x14ac:dyDescent="0.25">
      <c r="A577" s="259" t="s">
        <v>644</v>
      </c>
      <c r="B577" s="259" t="s">
        <v>54</v>
      </c>
      <c r="C577" s="259" t="s">
        <v>54</v>
      </c>
      <c r="D577" s="259" t="s">
        <v>54</v>
      </c>
      <c r="E577" s="259" t="s">
        <v>54</v>
      </c>
      <c r="F577" s="259" t="s">
        <v>54</v>
      </c>
      <c r="G577" s="259" t="s">
        <v>54</v>
      </c>
      <c r="H577" s="259" t="s">
        <v>54</v>
      </c>
      <c r="I577" s="259" t="s">
        <v>54</v>
      </c>
      <c r="J577" s="259" t="s">
        <v>54</v>
      </c>
      <c r="K577" s="259" t="s">
        <v>54</v>
      </c>
      <c r="L577" s="259" t="s">
        <v>65</v>
      </c>
    </row>
    <row r="578" spans="1:12" hidden="1" x14ac:dyDescent="0.25">
      <c r="A578" s="259" t="s">
        <v>645</v>
      </c>
      <c r="B578" s="260">
        <v>0.43</v>
      </c>
      <c r="C578" s="260">
        <v>1.97</v>
      </c>
      <c r="D578" s="260">
        <v>21.31</v>
      </c>
      <c r="E578" s="260">
        <v>25.2</v>
      </c>
      <c r="F578" s="260">
        <v>1.97</v>
      </c>
      <c r="G578" s="260">
        <v>14.88</v>
      </c>
      <c r="H578" s="260">
        <v>0.89</v>
      </c>
      <c r="I578" s="260">
        <v>1.19</v>
      </c>
      <c r="J578" s="260">
        <v>0.78</v>
      </c>
      <c r="K578" s="260">
        <v>1.98</v>
      </c>
      <c r="L578" s="259" t="s">
        <v>81</v>
      </c>
    </row>
    <row r="579" spans="1:12" x14ac:dyDescent="0.25">
      <c r="A579" s="259" t="s">
        <v>646</v>
      </c>
      <c r="B579" s="260">
        <v>4.7</v>
      </c>
      <c r="C579" s="260">
        <v>0.57999999999999996</v>
      </c>
      <c r="D579" s="260">
        <v>18.52</v>
      </c>
      <c r="E579" s="259" t="s">
        <v>54</v>
      </c>
      <c r="F579" s="260">
        <v>0.57999999999999996</v>
      </c>
      <c r="G579" s="260">
        <v>14.36</v>
      </c>
      <c r="H579" s="260">
        <v>0.74</v>
      </c>
      <c r="I579" s="260">
        <v>1.29</v>
      </c>
      <c r="J579" s="260">
        <v>0.98</v>
      </c>
      <c r="K579" s="260">
        <v>-0.66</v>
      </c>
      <c r="L579" s="259" t="s">
        <v>55</v>
      </c>
    </row>
    <row r="580" spans="1:12" x14ac:dyDescent="0.25">
      <c r="A580" s="259" t="s">
        <v>647</v>
      </c>
      <c r="B580" s="260">
        <v>7.75</v>
      </c>
      <c r="C580" s="260">
        <v>0.04</v>
      </c>
      <c r="D580" s="260">
        <v>15.9</v>
      </c>
      <c r="E580" s="260">
        <v>20.67</v>
      </c>
      <c r="F580" s="260">
        <v>0.04</v>
      </c>
      <c r="G580" s="260">
        <v>12.7</v>
      </c>
      <c r="H580" s="260">
        <v>0.67</v>
      </c>
      <c r="I580" s="260">
        <v>1.1100000000000001</v>
      </c>
      <c r="J580" s="260">
        <v>0.91</v>
      </c>
      <c r="K580" s="260">
        <v>-0.91</v>
      </c>
      <c r="L580" s="259" t="s">
        <v>65</v>
      </c>
    </row>
    <row r="581" spans="1:12" x14ac:dyDescent="0.25">
      <c r="A581" s="259" t="s">
        <v>648</v>
      </c>
      <c r="B581" s="260">
        <v>5.88</v>
      </c>
      <c r="C581" s="260">
        <v>0.23</v>
      </c>
      <c r="D581" s="260">
        <v>24.53</v>
      </c>
      <c r="E581" s="260">
        <v>26.23</v>
      </c>
      <c r="F581" s="260">
        <v>0.23</v>
      </c>
      <c r="G581" s="260">
        <v>17.72</v>
      </c>
      <c r="H581" s="260">
        <v>0.88</v>
      </c>
      <c r="I581" s="260">
        <v>1.29</v>
      </c>
      <c r="J581" s="260">
        <v>1.21</v>
      </c>
      <c r="K581" s="260">
        <v>3.15</v>
      </c>
      <c r="L581" s="259" t="s">
        <v>65</v>
      </c>
    </row>
    <row r="582" spans="1:12" x14ac:dyDescent="0.25">
      <c r="A582" s="259" t="s">
        <v>649</v>
      </c>
      <c r="B582" s="260">
        <v>5.29</v>
      </c>
      <c r="C582" s="260">
        <v>0.5</v>
      </c>
      <c r="D582" s="260">
        <v>16.53</v>
      </c>
      <c r="E582" s="260">
        <v>20.8</v>
      </c>
      <c r="F582" s="260">
        <v>0.5</v>
      </c>
      <c r="G582" s="260">
        <v>13.95</v>
      </c>
      <c r="H582" s="260">
        <v>0.65</v>
      </c>
      <c r="I582" s="260">
        <v>1.05</v>
      </c>
      <c r="J582" s="260">
        <v>1.01</v>
      </c>
      <c r="K582" s="260">
        <v>-1.39</v>
      </c>
      <c r="L582" s="259" t="s">
        <v>65</v>
      </c>
    </row>
    <row r="583" spans="1:12" x14ac:dyDescent="0.25">
      <c r="A583" s="259" t="s">
        <v>650</v>
      </c>
      <c r="B583" s="260">
        <v>7.82</v>
      </c>
      <c r="C583" s="260">
        <v>0.04</v>
      </c>
      <c r="D583" s="260">
        <v>16.59</v>
      </c>
      <c r="E583" s="260">
        <v>21.4</v>
      </c>
      <c r="F583" s="260">
        <v>0.04</v>
      </c>
      <c r="G583" s="260">
        <v>13.13</v>
      </c>
      <c r="H583" s="260">
        <v>0.69</v>
      </c>
      <c r="I583" s="260">
        <v>1.18</v>
      </c>
      <c r="J583" s="260">
        <v>0.95</v>
      </c>
      <c r="K583" s="260">
        <v>-0.72</v>
      </c>
      <c r="L583" s="259" t="s">
        <v>65</v>
      </c>
    </row>
    <row r="584" spans="1:12" x14ac:dyDescent="0.25">
      <c r="A584" s="259" t="s">
        <v>651</v>
      </c>
      <c r="B584" s="260">
        <v>-0.28999999999999998</v>
      </c>
      <c r="C584" s="260">
        <v>0.96</v>
      </c>
      <c r="D584" s="260">
        <v>8.92</v>
      </c>
      <c r="E584" s="260">
        <v>15.6</v>
      </c>
      <c r="F584" s="260">
        <v>0.96</v>
      </c>
      <c r="G584" s="260">
        <v>15.97</v>
      </c>
      <c r="H584" s="260">
        <v>0.14000000000000001</v>
      </c>
      <c r="I584" s="260">
        <v>0.22</v>
      </c>
      <c r="J584" s="260">
        <v>0.99</v>
      </c>
      <c r="K584" s="260">
        <v>-7.96</v>
      </c>
      <c r="L584" s="259" t="s">
        <v>65</v>
      </c>
    </row>
    <row r="585" spans="1:12" hidden="1" x14ac:dyDescent="0.25">
      <c r="A585" s="259" t="s">
        <v>652</v>
      </c>
      <c r="B585" s="260">
        <v>-0.12</v>
      </c>
      <c r="C585" s="260">
        <v>0.37</v>
      </c>
      <c r="D585" s="260">
        <v>22.45</v>
      </c>
      <c r="E585" s="260">
        <v>24.93</v>
      </c>
      <c r="F585" s="260">
        <v>0.37</v>
      </c>
      <c r="G585" s="260">
        <v>15.6</v>
      </c>
      <c r="H585" s="260">
        <v>0.91</v>
      </c>
      <c r="I585" s="260">
        <v>1.3</v>
      </c>
      <c r="J585" s="260">
        <v>0.97</v>
      </c>
      <c r="K585" s="260">
        <v>3.01</v>
      </c>
      <c r="L585" s="259" t="s">
        <v>58</v>
      </c>
    </row>
    <row r="586" spans="1:12" hidden="1" x14ac:dyDescent="0.25">
      <c r="A586" s="259" t="s">
        <v>653</v>
      </c>
      <c r="B586" s="260">
        <v>3.8</v>
      </c>
      <c r="C586" s="260">
        <v>0.31</v>
      </c>
      <c r="D586" s="260">
        <v>20.41</v>
      </c>
      <c r="E586" s="260">
        <v>20.41</v>
      </c>
      <c r="F586" s="260">
        <v>0.31</v>
      </c>
      <c r="G586" s="260">
        <v>15.96</v>
      </c>
      <c r="H586" s="260">
        <v>0.77</v>
      </c>
      <c r="I586" s="260">
        <v>1.1200000000000001</v>
      </c>
      <c r="J586" s="260">
        <v>0.85</v>
      </c>
      <c r="K586" s="260">
        <v>0.06</v>
      </c>
      <c r="L586" s="259" t="s">
        <v>81</v>
      </c>
    </row>
    <row r="587" spans="1:12" x14ac:dyDescent="0.25">
      <c r="A587" s="259" t="s">
        <v>654</v>
      </c>
      <c r="B587" s="260">
        <v>6.16</v>
      </c>
      <c r="C587" s="260">
        <v>0.21</v>
      </c>
      <c r="D587" s="260">
        <v>27.95</v>
      </c>
      <c r="E587" s="260">
        <v>32.33</v>
      </c>
      <c r="F587" s="260">
        <v>0.21</v>
      </c>
      <c r="G587" s="260">
        <v>16.98</v>
      </c>
      <c r="H587" s="260">
        <v>1.1000000000000001</v>
      </c>
      <c r="I587" s="260">
        <v>1.6</v>
      </c>
      <c r="J587" s="260">
        <v>1</v>
      </c>
      <c r="K587" s="260">
        <v>0.66</v>
      </c>
      <c r="L587" s="259" t="s">
        <v>84</v>
      </c>
    </row>
    <row r="588" spans="1:12" x14ac:dyDescent="0.25">
      <c r="A588" s="259" t="s">
        <v>655</v>
      </c>
      <c r="B588" s="260">
        <v>-3.26</v>
      </c>
      <c r="C588" s="260">
        <v>0.17</v>
      </c>
      <c r="D588" s="260">
        <v>22.02</v>
      </c>
      <c r="E588" s="260">
        <v>22.56</v>
      </c>
      <c r="F588" s="260">
        <v>0.17</v>
      </c>
      <c r="G588" s="260">
        <v>19.54</v>
      </c>
      <c r="H588" s="260">
        <v>0.72</v>
      </c>
      <c r="I588" s="260">
        <v>1.08</v>
      </c>
      <c r="J588" s="260">
        <v>1.3</v>
      </c>
      <c r="K588" s="260">
        <v>0.76</v>
      </c>
      <c r="L588" s="259" t="s">
        <v>65</v>
      </c>
    </row>
    <row r="589" spans="1:12" x14ac:dyDescent="0.25">
      <c r="A589" s="259" t="s">
        <v>656</v>
      </c>
      <c r="B589" s="260">
        <v>1.53</v>
      </c>
      <c r="C589" s="260">
        <v>1.72</v>
      </c>
      <c r="D589" s="260">
        <v>18.25</v>
      </c>
      <c r="E589" s="259" t="s">
        <v>54</v>
      </c>
      <c r="F589" s="260">
        <v>1.72</v>
      </c>
      <c r="G589" s="260">
        <v>14.07</v>
      </c>
      <c r="H589" s="260">
        <v>0.75</v>
      </c>
      <c r="I589" s="260">
        <v>1.1299999999999999</v>
      </c>
      <c r="J589" s="260">
        <v>0.94</v>
      </c>
      <c r="K589" s="260">
        <v>-0.26</v>
      </c>
      <c r="L589" s="259" t="s">
        <v>55</v>
      </c>
    </row>
    <row r="590" spans="1:12" x14ac:dyDescent="0.25">
      <c r="A590" s="259" t="s">
        <v>657</v>
      </c>
      <c r="B590" s="260">
        <v>6.65</v>
      </c>
      <c r="C590" s="260">
        <v>1.84</v>
      </c>
      <c r="D590" s="260">
        <v>18.2</v>
      </c>
      <c r="E590" s="260">
        <v>25.7</v>
      </c>
      <c r="F590" s="260">
        <v>1.84</v>
      </c>
      <c r="G590" s="260">
        <v>13.84</v>
      </c>
      <c r="H590" s="260">
        <v>0.76</v>
      </c>
      <c r="I590" s="260">
        <v>1.58</v>
      </c>
      <c r="J590" s="260">
        <v>0.91</v>
      </c>
      <c r="K590" s="260">
        <v>-0.02</v>
      </c>
      <c r="L590" s="259" t="s">
        <v>55</v>
      </c>
    </row>
    <row r="591" spans="1:12" x14ac:dyDescent="0.25">
      <c r="A591" s="259" t="s">
        <v>658</v>
      </c>
      <c r="B591" s="260">
        <v>8.6199999999999992</v>
      </c>
      <c r="C591" s="260">
        <v>1.56</v>
      </c>
      <c r="D591" s="260">
        <v>29.08</v>
      </c>
      <c r="E591" s="260">
        <v>33.49</v>
      </c>
      <c r="F591" s="260">
        <v>1.56</v>
      </c>
      <c r="G591" s="260">
        <v>16.21</v>
      </c>
      <c r="H591" s="260">
        <v>1.23</v>
      </c>
      <c r="I591" s="260">
        <v>1.83</v>
      </c>
      <c r="J591" s="260">
        <v>0.93</v>
      </c>
      <c r="K591" s="260">
        <v>2.96</v>
      </c>
      <c r="L591" s="259" t="s">
        <v>84</v>
      </c>
    </row>
    <row r="592" spans="1:12" x14ac:dyDescent="0.25">
      <c r="A592" s="259" t="s">
        <v>659</v>
      </c>
      <c r="B592" s="260">
        <v>2.04</v>
      </c>
      <c r="C592" s="259" t="s">
        <v>54</v>
      </c>
      <c r="D592" s="260">
        <v>26.69</v>
      </c>
      <c r="E592" s="260">
        <v>32.159999999999997</v>
      </c>
      <c r="F592" s="259" t="s">
        <v>54</v>
      </c>
      <c r="G592" s="260">
        <v>15.76</v>
      </c>
      <c r="H592" s="260">
        <v>1.1399999999999999</v>
      </c>
      <c r="I592" s="260">
        <v>1.65</v>
      </c>
      <c r="J592" s="260">
        <v>0.89</v>
      </c>
      <c r="K592" s="260">
        <v>1.84</v>
      </c>
      <c r="L592" s="259" t="s">
        <v>84</v>
      </c>
    </row>
    <row r="593" spans="1:12" x14ac:dyDescent="0.25">
      <c r="A593" s="259" t="s">
        <v>660</v>
      </c>
      <c r="B593" s="260">
        <v>7.25</v>
      </c>
      <c r="C593" s="260">
        <v>0.49</v>
      </c>
      <c r="D593" s="260">
        <v>15.18</v>
      </c>
      <c r="E593" s="260">
        <v>19.97</v>
      </c>
      <c r="F593" s="260">
        <v>0.49</v>
      </c>
      <c r="G593" s="260">
        <v>12.69</v>
      </c>
      <c r="H593" s="260">
        <v>0.62</v>
      </c>
      <c r="I593" s="260">
        <v>1.03</v>
      </c>
      <c r="J593" s="260">
        <v>0.91</v>
      </c>
      <c r="K593" s="260">
        <v>-1.54</v>
      </c>
      <c r="L593" s="259" t="s">
        <v>65</v>
      </c>
    </row>
    <row r="594" spans="1:12" x14ac:dyDescent="0.25">
      <c r="A594" s="259" t="s">
        <v>661</v>
      </c>
      <c r="B594" s="260">
        <v>7.31</v>
      </c>
      <c r="C594" s="260">
        <v>0.42</v>
      </c>
      <c r="D594" s="260">
        <v>15.9</v>
      </c>
      <c r="E594" s="260">
        <v>20.38</v>
      </c>
      <c r="F594" s="260">
        <v>0.42</v>
      </c>
      <c r="G594" s="260">
        <v>13.11</v>
      </c>
      <c r="H594" s="260">
        <v>0.64</v>
      </c>
      <c r="I594" s="260">
        <v>1.1000000000000001</v>
      </c>
      <c r="J594" s="260">
        <v>0.95</v>
      </c>
      <c r="K594" s="260">
        <v>-1.32</v>
      </c>
      <c r="L594" s="259" t="s">
        <v>65</v>
      </c>
    </row>
    <row r="595" spans="1:12" hidden="1" x14ac:dyDescent="0.25">
      <c r="A595" s="259" t="s">
        <v>662</v>
      </c>
      <c r="B595" s="260">
        <v>2.29</v>
      </c>
      <c r="C595" s="260">
        <v>1.97</v>
      </c>
      <c r="D595" s="259" t="s">
        <v>54</v>
      </c>
      <c r="E595" s="259" t="s">
        <v>54</v>
      </c>
      <c r="F595" s="260">
        <v>1.97</v>
      </c>
      <c r="G595" s="259" t="s">
        <v>54</v>
      </c>
      <c r="H595" s="259" t="s">
        <v>54</v>
      </c>
      <c r="I595" s="259" t="s">
        <v>54</v>
      </c>
      <c r="J595" s="259" t="s">
        <v>54</v>
      </c>
      <c r="K595" s="259" t="s">
        <v>54</v>
      </c>
      <c r="L595" s="259" t="s">
        <v>58</v>
      </c>
    </row>
    <row r="596" spans="1:12" x14ac:dyDescent="0.25">
      <c r="A596" s="259" t="s">
        <v>663</v>
      </c>
      <c r="B596" s="260">
        <v>7.14</v>
      </c>
      <c r="C596" s="260">
        <v>1.53</v>
      </c>
      <c r="D596" s="260">
        <v>23.54</v>
      </c>
      <c r="E596" s="260">
        <v>26.8</v>
      </c>
      <c r="F596" s="260">
        <v>1.53</v>
      </c>
      <c r="G596" s="260">
        <v>13.18</v>
      </c>
      <c r="H596" s="260">
        <v>1.1200000000000001</v>
      </c>
      <c r="I596" s="260">
        <v>1.9</v>
      </c>
      <c r="J596" s="260">
        <v>0.94</v>
      </c>
      <c r="K596" s="260">
        <v>5.13</v>
      </c>
      <c r="L596" s="259" t="s">
        <v>65</v>
      </c>
    </row>
    <row r="597" spans="1:12" x14ac:dyDescent="0.25">
      <c r="A597" s="259" t="s">
        <v>664</v>
      </c>
      <c r="B597" s="260">
        <v>13.07</v>
      </c>
      <c r="C597" s="260">
        <v>1.1599999999999999</v>
      </c>
      <c r="D597" s="260">
        <v>21.62</v>
      </c>
      <c r="E597" s="259" t="s">
        <v>54</v>
      </c>
      <c r="F597" s="260">
        <v>1.1599999999999999</v>
      </c>
      <c r="G597" s="260">
        <v>7.86</v>
      </c>
      <c r="H597" s="260">
        <v>1.66</v>
      </c>
      <c r="I597" s="260">
        <v>2.73</v>
      </c>
      <c r="J597" s="260">
        <v>0.77</v>
      </c>
      <c r="K597" s="260">
        <v>6.2</v>
      </c>
      <c r="L597" s="259" t="s">
        <v>60</v>
      </c>
    </row>
    <row r="598" spans="1:12" x14ac:dyDescent="0.25">
      <c r="A598" s="259" t="s">
        <v>665</v>
      </c>
      <c r="B598" s="260">
        <v>11.74</v>
      </c>
      <c r="C598" s="260">
        <v>1.45</v>
      </c>
      <c r="D598" s="260">
        <v>19.079999999999998</v>
      </c>
      <c r="E598" s="259" t="s">
        <v>54</v>
      </c>
      <c r="F598" s="260">
        <v>1.45</v>
      </c>
      <c r="G598" s="260">
        <v>8.76</v>
      </c>
      <c r="H598" s="260">
        <v>1.23</v>
      </c>
      <c r="I598" s="260">
        <v>2.17</v>
      </c>
      <c r="J598" s="260">
        <v>0.86</v>
      </c>
      <c r="K598" s="260">
        <v>3.12</v>
      </c>
      <c r="L598" s="259" t="s">
        <v>60</v>
      </c>
    </row>
    <row r="599" spans="1:12" x14ac:dyDescent="0.25">
      <c r="A599" s="259" t="s">
        <v>666</v>
      </c>
      <c r="B599" s="260">
        <v>5.56</v>
      </c>
      <c r="C599" s="260">
        <v>1.53</v>
      </c>
      <c r="D599" s="260">
        <v>28.15</v>
      </c>
      <c r="E599" s="260">
        <v>33.090000000000003</v>
      </c>
      <c r="F599" s="260">
        <v>1.53</v>
      </c>
      <c r="G599" s="260">
        <v>14.43</v>
      </c>
      <c r="H599" s="260">
        <v>1.31</v>
      </c>
      <c r="I599" s="260">
        <v>1.91</v>
      </c>
      <c r="J599" s="260">
        <v>0.88</v>
      </c>
      <c r="K599" s="260">
        <v>6.18</v>
      </c>
      <c r="L599" s="259" t="s">
        <v>89</v>
      </c>
    </row>
    <row r="600" spans="1:12" x14ac:dyDescent="0.25">
      <c r="A600" s="259" t="s">
        <v>667</v>
      </c>
      <c r="B600" s="259" t="s">
        <v>54</v>
      </c>
      <c r="C600" s="260">
        <v>0.89</v>
      </c>
      <c r="D600" s="259" t="s">
        <v>54</v>
      </c>
      <c r="E600" s="259" t="s">
        <v>54</v>
      </c>
      <c r="F600" s="260">
        <v>0.89</v>
      </c>
      <c r="G600" s="259" t="s">
        <v>54</v>
      </c>
      <c r="H600" s="259" t="s">
        <v>54</v>
      </c>
      <c r="I600" s="259" t="s">
        <v>54</v>
      </c>
      <c r="J600" s="259" t="s">
        <v>54</v>
      </c>
      <c r="K600" s="259" t="s">
        <v>54</v>
      </c>
      <c r="L600" s="259" t="s">
        <v>89</v>
      </c>
    </row>
    <row r="601" spans="1:12" x14ac:dyDescent="0.25">
      <c r="A601" s="259" t="s">
        <v>668</v>
      </c>
      <c r="B601" s="259" t="s">
        <v>54</v>
      </c>
      <c r="C601" s="260">
        <v>0.9</v>
      </c>
      <c r="D601" s="259" t="s">
        <v>54</v>
      </c>
      <c r="E601" s="259" t="s">
        <v>54</v>
      </c>
      <c r="F601" s="260">
        <v>0.9</v>
      </c>
      <c r="G601" s="259" t="s">
        <v>54</v>
      </c>
      <c r="H601" s="259" t="s">
        <v>54</v>
      </c>
      <c r="I601" s="259" t="s">
        <v>54</v>
      </c>
      <c r="J601" s="259" t="s">
        <v>54</v>
      </c>
      <c r="K601" s="259" t="s">
        <v>54</v>
      </c>
      <c r="L601" s="259" t="s">
        <v>55</v>
      </c>
    </row>
    <row r="602" spans="1:12" x14ac:dyDescent="0.25">
      <c r="A602" s="259" t="s">
        <v>669</v>
      </c>
      <c r="B602" s="259" t="s">
        <v>54</v>
      </c>
      <c r="C602" s="260">
        <v>0.87</v>
      </c>
      <c r="D602" s="259" t="s">
        <v>54</v>
      </c>
      <c r="E602" s="259" t="s">
        <v>54</v>
      </c>
      <c r="F602" s="260">
        <v>0.87</v>
      </c>
      <c r="G602" s="259" t="s">
        <v>54</v>
      </c>
      <c r="H602" s="259" t="s">
        <v>54</v>
      </c>
      <c r="I602" s="259" t="s">
        <v>54</v>
      </c>
      <c r="J602" s="259" t="s">
        <v>54</v>
      </c>
      <c r="K602" s="259" t="s">
        <v>54</v>
      </c>
      <c r="L602" s="259" t="s">
        <v>55</v>
      </c>
    </row>
    <row r="603" spans="1:12" x14ac:dyDescent="0.25">
      <c r="A603" s="259" t="s">
        <v>670</v>
      </c>
      <c r="B603" s="259" t="s">
        <v>54</v>
      </c>
      <c r="C603" s="260">
        <v>0.91</v>
      </c>
      <c r="D603" s="259" t="s">
        <v>54</v>
      </c>
      <c r="E603" s="259" t="s">
        <v>54</v>
      </c>
      <c r="F603" s="260">
        <v>0.91</v>
      </c>
      <c r="G603" s="259" t="s">
        <v>54</v>
      </c>
      <c r="H603" s="259" t="s">
        <v>54</v>
      </c>
      <c r="I603" s="259" t="s">
        <v>54</v>
      </c>
      <c r="J603" s="259" t="s">
        <v>54</v>
      </c>
      <c r="K603" s="259" t="s">
        <v>54</v>
      </c>
      <c r="L603" s="259" t="s">
        <v>55</v>
      </c>
    </row>
    <row r="604" spans="1:12" x14ac:dyDescent="0.25">
      <c r="A604" s="259" t="s">
        <v>671</v>
      </c>
      <c r="B604" s="260">
        <v>-4.0599999999999996</v>
      </c>
      <c r="C604" s="260">
        <v>0.89</v>
      </c>
      <c r="D604" s="259" t="s">
        <v>54</v>
      </c>
      <c r="E604" s="259" t="s">
        <v>54</v>
      </c>
      <c r="F604" s="260">
        <v>0.89</v>
      </c>
      <c r="G604" s="259" t="s">
        <v>54</v>
      </c>
      <c r="H604" s="259" t="s">
        <v>54</v>
      </c>
      <c r="I604" s="259" t="s">
        <v>54</v>
      </c>
      <c r="J604" s="259" t="s">
        <v>54</v>
      </c>
      <c r="K604" s="259" t="s">
        <v>54</v>
      </c>
      <c r="L604" s="259" t="s">
        <v>71</v>
      </c>
    </row>
    <row r="605" spans="1:12" hidden="1" x14ac:dyDescent="0.25">
      <c r="A605" s="259" t="s">
        <v>672</v>
      </c>
      <c r="B605" s="260">
        <v>-6.63</v>
      </c>
      <c r="C605" s="260">
        <v>0.22</v>
      </c>
      <c r="D605" s="260">
        <v>27.83</v>
      </c>
      <c r="E605" s="259" t="s">
        <v>54</v>
      </c>
      <c r="F605" s="260">
        <v>0.22</v>
      </c>
      <c r="G605" s="260">
        <v>18.100000000000001</v>
      </c>
      <c r="H605" s="260">
        <v>1.08</v>
      </c>
      <c r="I605" s="260">
        <v>1.4</v>
      </c>
      <c r="J605" s="260">
        <v>1</v>
      </c>
      <c r="K605" s="260">
        <v>7.99</v>
      </c>
      <c r="L605" s="259" t="s">
        <v>58</v>
      </c>
    </row>
    <row r="606" spans="1:12" hidden="1" x14ac:dyDescent="0.25">
      <c r="A606" s="259" t="s">
        <v>673</v>
      </c>
      <c r="B606" s="259" t="s">
        <v>54</v>
      </c>
      <c r="C606" s="260">
        <v>0.86</v>
      </c>
      <c r="D606" s="259" t="s">
        <v>54</v>
      </c>
      <c r="E606" s="259" t="s">
        <v>54</v>
      </c>
      <c r="F606" s="260">
        <v>0.86</v>
      </c>
      <c r="G606" s="259" t="s">
        <v>54</v>
      </c>
      <c r="H606" s="259" t="s">
        <v>54</v>
      </c>
      <c r="I606" s="259" t="s">
        <v>54</v>
      </c>
      <c r="J606" s="259" t="s">
        <v>54</v>
      </c>
      <c r="K606" s="259" t="s">
        <v>54</v>
      </c>
      <c r="L606" s="259" t="s">
        <v>58</v>
      </c>
    </row>
    <row r="607" spans="1:12" x14ac:dyDescent="0.25">
      <c r="A607" s="259" t="s">
        <v>674</v>
      </c>
      <c r="B607" s="260">
        <v>5.44</v>
      </c>
      <c r="C607" s="260">
        <v>0.8</v>
      </c>
      <c r="D607" s="260">
        <v>27.03</v>
      </c>
      <c r="E607" s="259" t="s">
        <v>54</v>
      </c>
      <c r="F607" s="260">
        <v>0.8</v>
      </c>
      <c r="G607" s="260">
        <v>16.97</v>
      </c>
      <c r="H607" s="260">
        <v>1.06</v>
      </c>
      <c r="I607" s="260">
        <v>1.53</v>
      </c>
      <c r="J607" s="260">
        <v>1</v>
      </c>
      <c r="K607" s="260">
        <v>-0.06</v>
      </c>
      <c r="L607" s="259" t="s">
        <v>84</v>
      </c>
    </row>
    <row r="608" spans="1:12" x14ac:dyDescent="0.25">
      <c r="A608" s="259" t="s">
        <v>675</v>
      </c>
      <c r="B608" s="260">
        <v>-3.5</v>
      </c>
      <c r="C608" s="260">
        <v>0.28999999999999998</v>
      </c>
      <c r="D608" s="260">
        <v>21.61</v>
      </c>
      <c r="E608" s="260">
        <v>22.2</v>
      </c>
      <c r="F608" s="260">
        <v>0.28999999999999998</v>
      </c>
      <c r="G608" s="260">
        <v>19.329999999999998</v>
      </c>
      <c r="H608" s="260">
        <v>0.71</v>
      </c>
      <c r="I608" s="260">
        <v>1.05</v>
      </c>
      <c r="J608" s="260">
        <v>1.28</v>
      </c>
      <c r="K608" s="260">
        <v>0.56999999999999995</v>
      </c>
      <c r="L608" s="259" t="s">
        <v>65</v>
      </c>
    </row>
    <row r="609" spans="1:12" hidden="1" x14ac:dyDescent="0.25">
      <c r="A609" s="259" t="s">
        <v>676</v>
      </c>
      <c r="B609" s="259" t="s">
        <v>54</v>
      </c>
      <c r="C609" s="260">
        <v>0.88</v>
      </c>
      <c r="D609" s="259" t="s">
        <v>54</v>
      </c>
      <c r="E609" s="259" t="s">
        <v>54</v>
      </c>
      <c r="F609" s="260">
        <v>0.88</v>
      </c>
      <c r="G609" s="259" t="s">
        <v>54</v>
      </c>
      <c r="H609" s="259" t="s">
        <v>54</v>
      </c>
      <c r="I609" s="259" t="s">
        <v>54</v>
      </c>
      <c r="J609" s="259" t="s">
        <v>54</v>
      </c>
      <c r="K609" s="259" t="s">
        <v>54</v>
      </c>
      <c r="L609" s="259" t="s">
        <v>58</v>
      </c>
    </row>
    <row r="610" spans="1:12" x14ac:dyDescent="0.25">
      <c r="A610" s="259" t="s">
        <v>677</v>
      </c>
      <c r="B610" s="260">
        <v>3.12</v>
      </c>
      <c r="C610" s="260">
        <v>0.95</v>
      </c>
      <c r="D610" s="260">
        <v>25.55</v>
      </c>
      <c r="E610" s="259" t="s">
        <v>54</v>
      </c>
      <c r="F610" s="260">
        <v>0.95</v>
      </c>
      <c r="G610" s="260">
        <v>19.850000000000001</v>
      </c>
      <c r="H610" s="260">
        <v>0.86</v>
      </c>
      <c r="I610" s="260">
        <v>1.26</v>
      </c>
      <c r="J610" s="260">
        <v>1.01</v>
      </c>
      <c r="K610" s="260">
        <v>-1.28</v>
      </c>
      <c r="L610" s="259" t="s">
        <v>103</v>
      </c>
    </row>
    <row r="611" spans="1:12" hidden="1" x14ac:dyDescent="0.25">
      <c r="A611" s="259" t="s">
        <v>678</v>
      </c>
      <c r="B611" s="260">
        <v>6.97</v>
      </c>
      <c r="C611" s="260">
        <v>0.94</v>
      </c>
      <c r="D611" s="260">
        <v>23.56</v>
      </c>
      <c r="E611" s="260">
        <v>24.6</v>
      </c>
      <c r="F611" s="260">
        <v>0.94</v>
      </c>
      <c r="G611" s="260">
        <v>14.43</v>
      </c>
      <c r="H611" s="260">
        <v>1.05</v>
      </c>
      <c r="I611" s="260">
        <v>1.69</v>
      </c>
      <c r="J611" s="260">
        <v>0.96</v>
      </c>
      <c r="K611" s="260">
        <v>4.08</v>
      </c>
      <c r="L611" s="259" t="s">
        <v>58</v>
      </c>
    </row>
    <row r="612" spans="1:12" x14ac:dyDescent="0.25">
      <c r="A612" s="259" t="s">
        <v>679</v>
      </c>
      <c r="B612" s="260">
        <v>4.54</v>
      </c>
      <c r="C612" s="260">
        <v>1.93</v>
      </c>
      <c r="D612" s="260">
        <v>20.84</v>
      </c>
      <c r="E612" s="260">
        <v>23.24</v>
      </c>
      <c r="F612" s="260">
        <v>1.93</v>
      </c>
      <c r="G612" s="260">
        <v>14.44</v>
      </c>
      <c r="H612" s="260">
        <v>0.88</v>
      </c>
      <c r="I612" s="260">
        <v>1.28</v>
      </c>
      <c r="J612" s="260">
        <v>0.97</v>
      </c>
      <c r="K612" s="260">
        <v>1.53</v>
      </c>
      <c r="L612" s="259" t="s">
        <v>55</v>
      </c>
    </row>
    <row r="613" spans="1:12" x14ac:dyDescent="0.25">
      <c r="A613" s="259" t="s">
        <v>680</v>
      </c>
      <c r="B613" s="260">
        <v>1.98</v>
      </c>
      <c r="C613" s="260">
        <v>1.41</v>
      </c>
      <c r="D613" s="260">
        <v>28.56</v>
      </c>
      <c r="E613" s="260">
        <v>38.79</v>
      </c>
      <c r="F613" s="260">
        <v>1.41</v>
      </c>
      <c r="G613" s="260">
        <v>16.86</v>
      </c>
      <c r="H613" s="260">
        <v>1.1499999999999999</v>
      </c>
      <c r="I613" s="260">
        <v>1.59</v>
      </c>
      <c r="J613" s="260">
        <v>0.84</v>
      </c>
      <c r="K613" s="260">
        <v>4.08</v>
      </c>
      <c r="L613" s="259" t="s">
        <v>103</v>
      </c>
    </row>
    <row r="614" spans="1:12" x14ac:dyDescent="0.25">
      <c r="A614" s="259" t="s">
        <v>681</v>
      </c>
      <c r="B614" s="260">
        <v>7.4</v>
      </c>
      <c r="C614" s="260">
        <v>1.93</v>
      </c>
      <c r="D614" s="260">
        <v>23.8</v>
      </c>
      <c r="E614" s="260">
        <v>27.19</v>
      </c>
      <c r="F614" s="260">
        <v>1.93</v>
      </c>
      <c r="G614" s="260">
        <v>14.06</v>
      </c>
      <c r="H614" s="260">
        <v>1.08</v>
      </c>
      <c r="I614" s="260">
        <v>1.47</v>
      </c>
      <c r="J614" s="260">
        <v>0.95</v>
      </c>
      <c r="K614" s="260">
        <v>4.63</v>
      </c>
      <c r="L614" s="259" t="s">
        <v>71</v>
      </c>
    </row>
    <row r="615" spans="1:12" x14ac:dyDescent="0.25">
      <c r="A615" s="259" t="s">
        <v>682</v>
      </c>
      <c r="B615" s="260">
        <v>1.5</v>
      </c>
      <c r="C615" s="260">
        <v>1.89</v>
      </c>
      <c r="D615" s="260">
        <v>13.27</v>
      </c>
      <c r="E615" s="259" t="s">
        <v>54</v>
      </c>
      <c r="F615" s="260">
        <v>1.89</v>
      </c>
      <c r="G615" s="260">
        <v>9.06</v>
      </c>
      <c r="H615" s="260">
        <v>0.65</v>
      </c>
      <c r="I615" s="260">
        <v>0.91</v>
      </c>
      <c r="J615" s="260">
        <v>0.81</v>
      </c>
      <c r="K615" s="260">
        <v>-0.5</v>
      </c>
      <c r="L615" s="259" t="s">
        <v>62</v>
      </c>
    </row>
    <row r="616" spans="1:12" x14ac:dyDescent="0.25">
      <c r="A616" s="259" t="s">
        <v>683</v>
      </c>
      <c r="B616" s="260">
        <v>-3.97</v>
      </c>
      <c r="C616" s="260">
        <v>1.99</v>
      </c>
      <c r="D616" s="259" t="s">
        <v>54</v>
      </c>
      <c r="E616" s="259" t="s">
        <v>54</v>
      </c>
      <c r="F616" s="260">
        <v>1.99</v>
      </c>
      <c r="G616" s="259" t="s">
        <v>54</v>
      </c>
      <c r="H616" s="259" t="s">
        <v>54</v>
      </c>
      <c r="I616" s="259" t="s">
        <v>54</v>
      </c>
      <c r="J616" s="259" t="s">
        <v>54</v>
      </c>
      <c r="K616" s="259" t="s">
        <v>54</v>
      </c>
      <c r="L616" s="259" t="s">
        <v>55</v>
      </c>
    </row>
    <row r="617" spans="1:12" x14ac:dyDescent="0.25">
      <c r="A617" s="259" t="s">
        <v>684</v>
      </c>
      <c r="B617" s="260">
        <v>9.09</v>
      </c>
      <c r="C617" s="260">
        <v>2.12</v>
      </c>
      <c r="D617" s="259" t="s">
        <v>54</v>
      </c>
      <c r="E617" s="259" t="s">
        <v>54</v>
      </c>
      <c r="F617" s="260">
        <v>2.12</v>
      </c>
      <c r="G617" s="259" t="s">
        <v>54</v>
      </c>
      <c r="H617" s="259" t="s">
        <v>54</v>
      </c>
      <c r="I617" s="259" t="s">
        <v>54</v>
      </c>
      <c r="J617" s="259" t="s">
        <v>54</v>
      </c>
      <c r="K617" s="259" t="s">
        <v>54</v>
      </c>
      <c r="L617" s="259" t="s">
        <v>55</v>
      </c>
    </row>
    <row r="618" spans="1:12" x14ac:dyDescent="0.25">
      <c r="A618" s="259" t="s">
        <v>685</v>
      </c>
      <c r="B618" s="260">
        <v>8.31</v>
      </c>
      <c r="C618" s="260">
        <v>0.63</v>
      </c>
      <c r="D618" s="259" t="s">
        <v>54</v>
      </c>
      <c r="E618" s="259" t="s">
        <v>54</v>
      </c>
      <c r="F618" s="260">
        <v>0.63</v>
      </c>
      <c r="G618" s="259" t="s">
        <v>54</v>
      </c>
      <c r="H618" s="259" t="s">
        <v>54</v>
      </c>
      <c r="I618" s="259" t="s">
        <v>54</v>
      </c>
      <c r="J618" s="259" t="s">
        <v>54</v>
      </c>
      <c r="K618" s="259" t="s">
        <v>54</v>
      </c>
      <c r="L618" s="259" t="s">
        <v>62</v>
      </c>
    </row>
    <row r="619" spans="1:12" x14ac:dyDescent="0.25">
      <c r="A619" s="259" t="s">
        <v>686</v>
      </c>
      <c r="B619" s="260">
        <v>12.01</v>
      </c>
      <c r="C619" s="260">
        <v>1.28</v>
      </c>
      <c r="D619" s="260">
        <v>22.57</v>
      </c>
      <c r="E619" s="260">
        <v>26.41</v>
      </c>
      <c r="F619" s="260">
        <v>1.28</v>
      </c>
      <c r="G619" s="260">
        <v>10</v>
      </c>
      <c r="H619" s="260">
        <v>1.34</v>
      </c>
      <c r="I619" s="260">
        <v>1.75</v>
      </c>
      <c r="J619" s="260">
        <v>0.61</v>
      </c>
      <c r="K619" s="260">
        <v>6.3</v>
      </c>
      <c r="L619" s="259" t="s">
        <v>55</v>
      </c>
    </row>
    <row r="620" spans="1:12" x14ac:dyDescent="0.25">
      <c r="A620" s="259" t="s">
        <v>687</v>
      </c>
      <c r="B620" s="260">
        <v>7.92</v>
      </c>
      <c r="C620" s="260">
        <v>2.19</v>
      </c>
      <c r="D620" s="260">
        <v>12.28</v>
      </c>
      <c r="E620" s="259" t="s">
        <v>54</v>
      </c>
      <c r="F620" s="260">
        <v>2.19</v>
      </c>
      <c r="G620" s="260">
        <v>9.25</v>
      </c>
      <c r="H620" s="260">
        <v>0.54</v>
      </c>
      <c r="I620" s="260">
        <v>0.94</v>
      </c>
      <c r="J620" s="260">
        <v>0.85</v>
      </c>
      <c r="K620" s="260">
        <v>-1.78</v>
      </c>
      <c r="L620" s="259" t="s">
        <v>62</v>
      </c>
    </row>
    <row r="621" spans="1:12" x14ac:dyDescent="0.25">
      <c r="A621" s="259" t="s">
        <v>688</v>
      </c>
      <c r="B621" s="260">
        <v>8.52</v>
      </c>
      <c r="C621" s="260">
        <v>1.78</v>
      </c>
      <c r="D621" s="260">
        <v>15.64</v>
      </c>
      <c r="E621" s="260">
        <v>23.04</v>
      </c>
      <c r="F621" s="260">
        <v>1.78</v>
      </c>
      <c r="G621" s="260">
        <v>13.54</v>
      </c>
      <c r="H621" s="260">
        <v>0.57999999999999996</v>
      </c>
      <c r="I621" s="260">
        <v>0.91</v>
      </c>
      <c r="J621" s="260">
        <v>0.89</v>
      </c>
      <c r="K621" s="260">
        <v>-2.34</v>
      </c>
      <c r="L621" s="259" t="s">
        <v>55</v>
      </c>
    </row>
    <row r="622" spans="1:12" x14ac:dyDescent="0.25">
      <c r="A622" s="259" t="s">
        <v>689</v>
      </c>
      <c r="B622" s="260">
        <v>10.19</v>
      </c>
      <c r="C622" s="260">
        <v>2.31</v>
      </c>
      <c r="D622" s="259" t="s">
        <v>54</v>
      </c>
      <c r="E622" s="259" t="s">
        <v>54</v>
      </c>
      <c r="F622" s="260">
        <v>2.31</v>
      </c>
      <c r="G622" s="259" t="s">
        <v>54</v>
      </c>
      <c r="H622" s="259" t="s">
        <v>54</v>
      </c>
      <c r="I622" s="259" t="s">
        <v>54</v>
      </c>
      <c r="J622" s="259" t="s">
        <v>54</v>
      </c>
      <c r="K622" s="259" t="s">
        <v>54</v>
      </c>
      <c r="L622" s="259" t="s">
        <v>71</v>
      </c>
    </row>
    <row r="623" spans="1:12" x14ac:dyDescent="0.25">
      <c r="A623" s="259" t="s">
        <v>690</v>
      </c>
      <c r="B623" s="260">
        <v>5.93</v>
      </c>
      <c r="C623" s="260">
        <v>2.38</v>
      </c>
      <c r="D623" s="260">
        <v>15.04</v>
      </c>
      <c r="E623" s="260">
        <v>18.11</v>
      </c>
      <c r="F623" s="260">
        <v>2.38</v>
      </c>
      <c r="G623" s="260">
        <v>12.88</v>
      </c>
      <c r="H623" s="260">
        <v>0.59</v>
      </c>
      <c r="I623" s="260">
        <v>0.92</v>
      </c>
      <c r="J623" s="260">
        <v>0.92</v>
      </c>
      <c r="K623" s="260">
        <v>-1.77</v>
      </c>
      <c r="L623" s="259" t="s">
        <v>65</v>
      </c>
    </row>
    <row r="624" spans="1:12" x14ac:dyDescent="0.25">
      <c r="A624" s="259" t="s">
        <v>691</v>
      </c>
      <c r="B624" s="260">
        <v>6.51</v>
      </c>
      <c r="C624" s="260">
        <v>1.7</v>
      </c>
      <c r="D624" s="260">
        <v>17.63</v>
      </c>
      <c r="E624" s="260">
        <v>29.59</v>
      </c>
      <c r="F624" s="260">
        <v>1.7</v>
      </c>
      <c r="G624" s="260">
        <v>15.11</v>
      </c>
      <c r="H624" s="260">
        <v>0.65</v>
      </c>
      <c r="I624" s="260">
        <v>0.94</v>
      </c>
      <c r="J624" s="260">
        <v>0.83</v>
      </c>
      <c r="K624" s="260">
        <v>-5.26</v>
      </c>
      <c r="L624" s="259" t="s">
        <v>84</v>
      </c>
    </row>
    <row r="625" spans="1:12" x14ac:dyDescent="0.25">
      <c r="A625" s="259" t="s">
        <v>692</v>
      </c>
      <c r="B625" s="259" t="s">
        <v>54</v>
      </c>
      <c r="C625" s="260">
        <v>2.38</v>
      </c>
      <c r="D625" s="259" t="s">
        <v>54</v>
      </c>
      <c r="E625" s="259" t="s">
        <v>54</v>
      </c>
      <c r="F625" s="260">
        <v>2.38</v>
      </c>
      <c r="G625" s="259" t="s">
        <v>54</v>
      </c>
      <c r="H625" s="259" t="s">
        <v>54</v>
      </c>
      <c r="I625" s="259" t="s">
        <v>54</v>
      </c>
      <c r="J625" s="259" t="s">
        <v>54</v>
      </c>
      <c r="K625" s="259" t="s">
        <v>54</v>
      </c>
      <c r="L625" s="259" t="s">
        <v>89</v>
      </c>
    </row>
    <row r="626" spans="1:12" x14ac:dyDescent="0.25">
      <c r="A626" s="259" t="s">
        <v>693</v>
      </c>
      <c r="B626" s="260">
        <v>11.1</v>
      </c>
      <c r="C626" s="260">
        <v>2.3199999999999998</v>
      </c>
      <c r="D626" s="259" t="s">
        <v>54</v>
      </c>
      <c r="E626" s="259" t="s">
        <v>54</v>
      </c>
      <c r="F626" s="260">
        <v>2.3199999999999998</v>
      </c>
      <c r="G626" s="259" t="s">
        <v>54</v>
      </c>
      <c r="H626" s="259" t="s">
        <v>54</v>
      </c>
      <c r="I626" s="259" t="s">
        <v>54</v>
      </c>
      <c r="J626" s="259" t="s">
        <v>54</v>
      </c>
      <c r="K626" s="259" t="s">
        <v>54</v>
      </c>
      <c r="L626" s="259" t="s">
        <v>89</v>
      </c>
    </row>
    <row r="627" spans="1:12" x14ac:dyDescent="0.25">
      <c r="A627" s="259" t="s">
        <v>694</v>
      </c>
      <c r="B627" s="260">
        <v>5.97</v>
      </c>
      <c r="C627" s="260">
        <v>2.08</v>
      </c>
      <c r="D627" s="260">
        <v>16.32</v>
      </c>
      <c r="E627" s="259" t="s">
        <v>54</v>
      </c>
      <c r="F627" s="260">
        <v>2.08</v>
      </c>
      <c r="G627" s="260">
        <v>16.170000000000002</v>
      </c>
      <c r="H627" s="260">
        <v>0.56999999999999995</v>
      </c>
      <c r="I627" s="260">
        <v>0.89</v>
      </c>
      <c r="J627" s="260">
        <v>0.78</v>
      </c>
      <c r="K627" s="260">
        <v>-4.96</v>
      </c>
      <c r="L627" s="259" t="s">
        <v>103</v>
      </c>
    </row>
    <row r="628" spans="1:12" x14ac:dyDescent="0.25">
      <c r="A628" s="259" t="s">
        <v>695</v>
      </c>
      <c r="B628" s="260">
        <v>-9.51</v>
      </c>
      <c r="C628" s="260">
        <v>1.73</v>
      </c>
      <c r="D628" s="260">
        <v>17.04</v>
      </c>
      <c r="E628" s="260">
        <v>29.54</v>
      </c>
      <c r="F628" s="260">
        <v>1.73</v>
      </c>
      <c r="G628" s="260">
        <v>17.329999999999998</v>
      </c>
      <c r="H628" s="260">
        <v>0.6</v>
      </c>
      <c r="I628" s="260">
        <v>0.88</v>
      </c>
      <c r="J628" s="260">
        <v>1.04</v>
      </c>
      <c r="K628" s="260">
        <v>-4.79</v>
      </c>
      <c r="L628" s="259" t="s">
        <v>89</v>
      </c>
    </row>
    <row r="629" spans="1:12" hidden="1" x14ac:dyDescent="0.25">
      <c r="A629" s="259" t="s">
        <v>696</v>
      </c>
      <c r="B629" s="260">
        <v>-4.28</v>
      </c>
      <c r="C629" s="260">
        <v>2.09</v>
      </c>
      <c r="D629" s="259" t="s">
        <v>54</v>
      </c>
      <c r="E629" s="259" t="s">
        <v>54</v>
      </c>
      <c r="F629" s="260">
        <v>2.09</v>
      </c>
      <c r="G629" s="259" t="s">
        <v>54</v>
      </c>
      <c r="H629" s="259" t="s">
        <v>54</v>
      </c>
      <c r="I629" s="259" t="s">
        <v>54</v>
      </c>
      <c r="J629" s="259" t="s">
        <v>54</v>
      </c>
      <c r="K629" s="259" t="s">
        <v>54</v>
      </c>
      <c r="L629" s="259" t="s">
        <v>58</v>
      </c>
    </row>
    <row r="630" spans="1:12" hidden="1" x14ac:dyDescent="0.25">
      <c r="A630" s="259" t="s">
        <v>697</v>
      </c>
      <c r="B630" s="260">
        <v>1.78</v>
      </c>
      <c r="C630" s="260">
        <v>2.42</v>
      </c>
      <c r="D630" s="259" t="s">
        <v>54</v>
      </c>
      <c r="E630" s="259" t="s">
        <v>54</v>
      </c>
      <c r="F630" s="260">
        <v>2.42</v>
      </c>
      <c r="G630" s="259" t="s">
        <v>54</v>
      </c>
      <c r="H630" s="259" t="s">
        <v>54</v>
      </c>
      <c r="I630" s="259" t="s">
        <v>54</v>
      </c>
      <c r="J630" s="259" t="s">
        <v>54</v>
      </c>
      <c r="K630" s="259" t="s">
        <v>54</v>
      </c>
      <c r="L630" s="259" t="s">
        <v>58</v>
      </c>
    </row>
    <row r="631" spans="1:12" hidden="1" x14ac:dyDescent="0.25">
      <c r="A631" s="259" t="s">
        <v>698</v>
      </c>
      <c r="B631" s="260">
        <v>-6.35</v>
      </c>
      <c r="C631" s="260">
        <v>2.42</v>
      </c>
      <c r="D631" s="259" t="s">
        <v>54</v>
      </c>
      <c r="E631" s="259" t="s">
        <v>54</v>
      </c>
      <c r="F631" s="260">
        <v>2.42</v>
      </c>
      <c r="G631" s="259" t="s">
        <v>54</v>
      </c>
      <c r="H631" s="259" t="s">
        <v>54</v>
      </c>
      <c r="I631" s="259" t="s">
        <v>54</v>
      </c>
      <c r="J631" s="259" t="s">
        <v>54</v>
      </c>
      <c r="K631" s="259" t="s">
        <v>54</v>
      </c>
      <c r="L631" s="259" t="s">
        <v>81</v>
      </c>
    </row>
    <row r="632" spans="1:12" x14ac:dyDescent="0.25">
      <c r="A632" s="259" t="s">
        <v>699</v>
      </c>
      <c r="B632" s="260">
        <v>1.07</v>
      </c>
      <c r="C632" s="260">
        <v>2.13</v>
      </c>
      <c r="D632" s="259" t="s">
        <v>54</v>
      </c>
      <c r="E632" s="259" t="s">
        <v>54</v>
      </c>
      <c r="F632" s="260">
        <v>2.13</v>
      </c>
      <c r="G632" s="259" t="s">
        <v>54</v>
      </c>
      <c r="H632" s="259" t="s">
        <v>54</v>
      </c>
      <c r="I632" s="259" t="s">
        <v>54</v>
      </c>
      <c r="J632" s="259" t="s">
        <v>54</v>
      </c>
      <c r="K632" s="259" t="s">
        <v>54</v>
      </c>
      <c r="L632" s="259" t="s">
        <v>62</v>
      </c>
    </row>
    <row r="633" spans="1:12" hidden="1" x14ac:dyDescent="0.25">
      <c r="A633" s="259" t="s">
        <v>700</v>
      </c>
      <c r="B633" s="260">
        <v>-1.05</v>
      </c>
      <c r="C633" s="260">
        <v>2.41</v>
      </c>
      <c r="D633" s="260">
        <v>21.46</v>
      </c>
      <c r="E633" s="259" t="s">
        <v>54</v>
      </c>
      <c r="F633" s="260">
        <v>2.41</v>
      </c>
      <c r="G633" s="260">
        <v>17.2</v>
      </c>
      <c r="H633" s="260">
        <v>0.79</v>
      </c>
      <c r="I633" s="260">
        <v>1.29</v>
      </c>
      <c r="J633" s="260">
        <v>1.07</v>
      </c>
      <c r="K633" s="260">
        <v>2.5099999999999998</v>
      </c>
      <c r="L633" s="259" t="s">
        <v>73</v>
      </c>
    </row>
    <row r="634" spans="1:12" x14ac:dyDescent="0.25">
      <c r="A634" s="259" t="s">
        <v>701</v>
      </c>
      <c r="B634" s="260">
        <v>-6.34</v>
      </c>
      <c r="C634" s="260">
        <v>1.78</v>
      </c>
      <c r="D634" s="260">
        <v>21.86</v>
      </c>
      <c r="E634" s="260">
        <v>32.81</v>
      </c>
      <c r="F634" s="260">
        <v>1.78</v>
      </c>
      <c r="G634" s="260">
        <v>17.13</v>
      </c>
      <c r="H634" s="260">
        <v>0.83</v>
      </c>
      <c r="I634" s="260">
        <v>1.27</v>
      </c>
      <c r="J634" s="260">
        <v>1.07</v>
      </c>
      <c r="K634" s="260">
        <v>1.79</v>
      </c>
      <c r="L634" s="259" t="s">
        <v>55</v>
      </c>
    </row>
    <row r="635" spans="1:12" x14ac:dyDescent="0.25">
      <c r="A635" s="259" t="s">
        <v>702</v>
      </c>
      <c r="B635" s="260">
        <v>-4.03</v>
      </c>
      <c r="C635" s="260">
        <v>2.1800000000000002</v>
      </c>
      <c r="D635" s="260">
        <v>18.47</v>
      </c>
      <c r="E635" s="260">
        <v>24.28</v>
      </c>
      <c r="F635" s="260">
        <v>2.1800000000000002</v>
      </c>
      <c r="G635" s="260">
        <v>16.059999999999999</v>
      </c>
      <c r="H635" s="260">
        <v>0.68</v>
      </c>
      <c r="I635" s="260">
        <v>1.1000000000000001</v>
      </c>
      <c r="J635" s="260">
        <v>1.05</v>
      </c>
      <c r="K635" s="260">
        <v>0.09</v>
      </c>
      <c r="L635" s="259" t="s">
        <v>65</v>
      </c>
    </row>
    <row r="636" spans="1:12" x14ac:dyDescent="0.25">
      <c r="A636" s="259" t="s">
        <v>703</v>
      </c>
      <c r="B636" s="260">
        <v>-7.31</v>
      </c>
      <c r="C636" s="260">
        <v>1.88</v>
      </c>
      <c r="D636" s="260">
        <v>21.87</v>
      </c>
      <c r="E636" s="260">
        <v>25.57</v>
      </c>
      <c r="F636" s="260">
        <v>1.88</v>
      </c>
      <c r="G636" s="260">
        <v>16.88</v>
      </c>
      <c r="H636" s="260">
        <v>0.82</v>
      </c>
      <c r="I636" s="260">
        <v>1.31</v>
      </c>
      <c r="J636" s="260">
        <v>1.0900000000000001</v>
      </c>
      <c r="K636" s="260">
        <v>1.95</v>
      </c>
      <c r="L636" s="259" t="s">
        <v>71</v>
      </c>
    </row>
    <row r="637" spans="1:12" x14ac:dyDescent="0.25">
      <c r="A637" s="259" t="s">
        <v>704</v>
      </c>
      <c r="B637" s="260">
        <v>-2.36</v>
      </c>
      <c r="C637" s="260">
        <v>1.92</v>
      </c>
      <c r="D637" s="259" t="s">
        <v>54</v>
      </c>
      <c r="E637" s="259" t="s">
        <v>54</v>
      </c>
      <c r="F637" s="260">
        <v>1.92</v>
      </c>
      <c r="G637" s="259" t="s">
        <v>54</v>
      </c>
      <c r="H637" s="259" t="s">
        <v>54</v>
      </c>
      <c r="I637" s="259" t="s">
        <v>54</v>
      </c>
      <c r="J637" s="259" t="s">
        <v>54</v>
      </c>
      <c r="K637" s="259" t="s">
        <v>54</v>
      </c>
      <c r="L637" s="259" t="s">
        <v>65</v>
      </c>
    </row>
    <row r="638" spans="1:12" hidden="1" x14ac:dyDescent="0.25">
      <c r="A638" s="259" t="s">
        <v>705</v>
      </c>
      <c r="B638" s="260">
        <v>-7.93</v>
      </c>
      <c r="C638" s="260">
        <v>2.25</v>
      </c>
      <c r="D638" s="259" t="s">
        <v>54</v>
      </c>
      <c r="E638" s="259" t="s">
        <v>54</v>
      </c>
      <c r="F638" s="260">
        <v>2.25</v>
      </c>
      <c r="G638" s="259" t="s">
        <v>54</v>
      </c>
      <c r="H638" s="259" t="s">
        <v>54</v>
      </c>
      <c r="I638" s="259" t="s">
        <v>54</v>
      </c>
      <c r="J638" s="259" t="s">
        <v>54</v>
      </c>
      <c r="K638" s="259" t="s">
        <v>54</v>
      </c>
      <c r="L638" s="259" t="s">
        <v>58</v>
      </c>
    </row>
    <row r="639" spans="1:12" x14ac:dyDescent="0.25">
      <c r="A639" s="259" t="s">
        <v>706</v>
      </c>
      <c r="B639" s="260">
        <v>-10.31</v>
      </c>
      <c r="C639" s="260">
        <v>1.74</v>
      </c>
      <c r="D639" s="260">
        <v>23.01</v>
      </c>
      <c r="E639" s="260">
        <v>32.729999999999997</v>
      </c>
      <c r="F639" s="260">
        <v>1.74</v>
      </c>
      <c r="G639" s="260">
        <v>17.670000000000002</v>
      </c>
      <c r="H639" s="260">
        <v>0.87</v>
      </c>
      <c r="I639" s="260">
        <v>1.23</v>
      </c>
      <c r="J639" s="260">
        <v>0.95</v>
      </c>
      <c r="K639" s="260">
        <v>-1.82</v>
      </c>
      <c r="L639" s="259" t="s">
        <v>84</v>
      </c>
    </row>
    <row r="640" spans="1:12" hidden="1" x14ac:dyDescent="0.25">
      <c r="A640" s="259" t="s">
        <v>707</v>
      </c>
      <c r="B640" s="260">
        <v>-4.37</v>
      </c>
      <c r="C640" s="260">
        <v>2.09</v>
      </c>
      <c r="D640" s="259" t="s">
        <v>54</v>
      </c>
      <c r="E640" s="259" t="s">
        <v>54</v>
      </c>
      <c r="F640" s="260">
        <v>2.09</v>
      </c>
      <c r="G640" s="259" t="s">
        <v>54</v>
      </c>
      <c r="H640" s="259" t="s">
        <v>54</v>
      </c>
      <c r="I640" s="259" t="s">
        <v>54</v>
      </c>
      <c r="J640" s="259" t="s">
        <v>54</v>
      </c>
      <c r="K640" s="259" t="s">
        <v>54</v>
      </c>
      <c r="L640" s="259" t="s">
        <v>58</v>
      </c>
    </row>
    <row r="641" spans="1:12" x14ac:dyDescent="0.25">
      <c r="A641" s="259" t="s">
        <v>708</v>
      </c>
      <c r="B641" s="260">
        <v>5.97</v>
      </c>
      <c r="C641" s="260">
        <v>1.88</v>
      </c>
      <c r="D641" s="260">
        <v>22.09</v>
      </c>
      <c r="E641" s="260">
        <v>32.69</v>
      </c>
      <c r="F641" s="260">
        <v>1.88</v>
      </c>
      <c r="G641" s="260">
        <v>12.15</v>
      </c>
      <c r="H641" s="260">
        <v>1.1599999999999999</v>
      </c>
      <c r="I641" s="260">
        <v>1.87</v>
      </c>
      <c r="J641" s="260">
        <v>1.05</v>
      </c>
      <c r="K641" s="260">
        <v>4.7300000000000004</v>
      </c>
      <c r="L641" s="259" t="s">
        <v>60</v>
      </c>
    </row>
    <row r="642" spans="1:12" hidden="1" x14ac:dyDescent="0.25">
      <c r="A642" s="259" t="s">
        <v>709</v>
      </c>
      <c r="B642" s="260">
        <v>-9.4700000000000006</v>
      </c>
      <c r="C642" s="260">
        <v>2.34</v>
      </c>
      <c r="D642" s="259" t="s">
        <v>54</v>
      </c>
      <c r="E642" s="259" t="s">
        <v>54</v>
      </c>
      <c r="F642" s="260">
        <v>2.34</v>
      </c>
      <c r="G642" s="259" t="s">
        <v>54</v>
      </c>
      <c r="H642" s="259" t="s">
        <v>54</v>
      </c>
      <c r="I642" s="259" t="s">
        <v>54</v>
      </c>
      <c r="J642" s="259" t="s">
        <v>54</v>
      </c>
      <c r="K642" s="259" t="s">
        <v>54</v>
      </c>
      <c r="L642" s="259" t="s">
        <v>101</v>
      </c>
    </row>
    <row r="643" spans="1:12" hidden="1" x14ac:dyDescent="0.25">
      <c r="A643" s="259" t="s">
        <v>710</v>
      </c>
      <c r="B643" s="260">
        <v>-7.21</v>
      </c>
      <c r="C643" s="260">
        <v>2.04</v>
      </c>
      <c r="D643" s="260">
        <v>26.28</v>
      </c>
      <c r="E643" s="259" t="s">
        <v>54</v>
      </c>
      <c r="F643" s="260">
        <v>2.04</v>
      </c>
      <c r="G643" s="260">
        <v>16.420000000000002</v>
      </c>
      <c r="H643" s="260">
        <v>1.07</v>
      </c>
      <c r="I643" s="260">
        <v>1.54</v>
      </c>
      <c r="J643" s="260">
        <v>1.02</v>
      </c>
      <c r="K643" s="260">
        <v>5.86</v>
      </c>
      <c r="L643" s="259" t="s">
        <v>58</v>
      </c>
    </row>
    <row r="644" spans="1:12" x14ac:dyDescent="0.25">
      <c r="A644" s="259" t="s">
        <v>711</v>
      </c>
      <c r="B644" s="260">
        <v>-2.6</v>
      </c>
      <c r="C644" s="260">
        <v>1.58</v>
      </c>
      <c r="D644" s="260">
        <v>28.18</v>
      </c>
      <c r="E644" s="260">
        <v>46.34</v>
      </c>
      <c r="F644" s="260">
        <v>1.58</v>
      </c>
      <c r="G644" s="260">
        <v>17.97</v>
      </c>
      <c r="H644" s="260">
        <v>1.1000000000000001</v>
      </c>
      <c r="I644" s="260">
        <v>1.67</v>
      </c>
      <c r="J644" s="260">
        <v>0.87</v>
      </c>
      <c r="K644" s="260">
        <v>3.86</v>
      </c>
      <c r="L644" s="259" t="s">
        <v>103</v>
      </c>
    </row>
    <row r="645" spans="1:12" x14ac:dyDescent="0.25">
      <c r="A645" s="259" t="s">
        <v>712</v>
      </c>
      <c r="B645" s="260">
        <v>7.2</v>
      </c>
      <c r="C645" s="260">
        <v>0.75</v>
      </c>
      <c r="D645" s="260">
        <v>19.63</v>
      </c>
      <c r="E645" s="260">
        <v>21.79</v>
      </c>
      <c r="F645" s="260">
        <v>0.75</v>
      </c>
      <c r="G645" s="260">
        <v>13.11</v>
      </c>
      <c r="H645" s="260">
        <v>0.87</v>
      </c>
      <c r="I645" s="260">
        <v>1.36</v>
      </c>
      <c r="J645" s="260">
        <v>0.89</v>
      </c>
      <c r="K645" s="260">
        <v>1.1100000000000001</v>
      </c>
      <c r="L645" s="259" t="s">
        <v>55</v>
      </c>
    </row>
    <row r="646" spans="1:12" hidden="1" x14ac:dyDescent="0.25">
      <c r="A646" s="259" t="s">
        <v>713</v>
      </c>
      <c r="B646" s="260">
        <v>5.72</v>
      </c>
      <c r="C646" s="260">
        <v>2.1</v>
      </c>
      <c r="D646" s="260">
        <v>16.25</v>
      </c>
      <c r="E646" s="260">
        <v>20.54</v>
      </c>
      <c r="F646" s="260">
        <v>2.1</v>
      </c>
      <c r="G646" s="260">
        <v>13.58</v>
      </c>
      <c r="H646" s="260">
        <v>0.64</v>
      </c>
      <c r="I646" s="260">
        <v>0.96</v>
      </c>
      <c r="J646" s="260">
        <v>0.94</v>
      </c>
      <c r="K646" s="260">
        <v>-1.02</v>
      </c>
      <c r="L646" s="259" t="s">
        <v>73</v>
      </c>
    </row>
    <row r="647" spans="1:12" hidden="1" x14ac:dyDescent="0.25">
      <c r="A647" s="259" t="s">
        <v>714</v>
      </c>
      <c r="B647" s="259" t="s">
        <v>54</v>
      </c>
      <c r="C647" s="260">
        <v>2.1</v>
      </c>
      <c r="D647" s="259" t="s">
        <v>54</v>
      </c>
      <c r="E647" s="259" t="s">
        <v>54</v>
      </c>
      <c r="F647" s="260">
        <v>2.1</v>
      </c>
      <c r="G647" s="259" t="s">
        <v>54</v>
      </c>
      <c r="H647" s="259" t="s">
        <v>54</v>
      </c>
      <c r="I647" s="259" t="s">
        <v>54</v>
      </c>
      <c r="J647" s="259" t="s">
        <v>54</v>
      </c>
      <c r="K647" s="259" t="s">
        <v>54</v>
      </c>
      <c r="L647" s="259" t="s">
        <v>58</v>
      </c>
    </row>
    <row r="648" spans="1:12" x14ac:dyDescent="0.25">
      <c r="A648" s="259" t="s">
        <v>715</v>
      </c>
      <c r="B648" s="260">
        <v>9.36</v>
      </c>
      <c r="C648" s="260">
        <v>1.96</v>
      </c>
      <c r="D648" s="259" t="s">
        <v>54</v>
      </c>
      <c r="E648" s="259" t="s">
        <v>54</v>
      </c>
      <c r="F648" s="260">
        <v>1.96</v>
      </c>
      <c r="G648" s="259" t="s">
        <v>54</v>
      </c>
      <c r="H648" s="259" t="s">
        <v>54</v>
      </c>
      <c r="I648" s="259" t="s">
        <v>54</v>
      </c>
      <c r="J648" s="259" t="s">
        <v>54</v>
      </c>
      <c r="K648" s="259" t="s">
        <v>54</v>
      </c>
      <c r="L648" s="259" t="s">
        <v>60</v>
      </c>
    </row>
    <row r="649" spans="1:12" x14ac:dyDescent="0.25">
      <c r="A649" s="259" t="s">
        <v>716</v>
      </c>
      <c r="B649" s="260">
        <v>11.73</v>
      </c>
      <c r="C649" s="260">
        <v>0.47</v>
      </c>
      <c r="D649" s="260">
        <v>13.32</v>
      </c>
      <c r="E649" s="260">
        <v>11.98</v>
      </c>
      <c r="F649" s="260">
        <v>0.47</v>
      </c>
      <c r="G649" s="260">
        <v>5.09</v>
      </c>
      <c r="H649" s="260">
        <v>1.18</v>
      </c>
      <c r="I649" s="260">
        <v>1.88</v>
      </c>
      <c r="J649" s="260">
        <v>0.5</v>
      </c>
      <c r="K649" s="260">
        <v>1.6</v>
      </c>
      <c r="L649" s="259" t="s">
        <v>60</v>
      </c>
    </row>
    <row r="650" spans="1:12" x14ac:dyDescent="0.25">
      <c r="A650" s="259" t="s">
        <v>717</v>
      </c>
      <c r="B650" s="260">
        <v>7.76</v>
      </c>
      <c r="C650" s="260">
        <v>0.09</v>
      </c>
      <c r="D650" s="260">
        <v>16.54</v>
      </c>
      <c r="E650" s="260">
        <v>21.35</v>
      </c>
      <c r="F650" s="260">
        <v>0.09</v>
      </c>
      <c r="G650" s="260">
        <v>13.13</v>
      </c>
      <c r="H650" s="260">
        <v>0.68</v>
      </c>
      <c r="I650" s="260">
        <v>1.17</v>
      </c>
      <c r="J650" s="260">
        <v>0.95</v>
      </c>
      <c r="K650" s="260">
        <v>-0.76</v>
      </c>
      <c r="L650" s="259" t="s">
        <v>65</v>
      </c>
    </row>
    <row r="651" spans="1:12" x14ac:dyDescent="0.25">
      <c r="A651" s="259" t="s">
        <v>718</v>
      </c>
      <c r="B651" s="260">
        <v>7.76</v>
      </c>
      <c r="C651" s="260">
        <v>0.18</v>
      </c>
      <c r="D651" s="259" t="s">
        <v>54</v>
      </c>
      <c r="E651" s="259" t="s">
        <v>54</v>
      </c>
      <c r="F651" s="260">
        <v>0.18</v>
      </c>
      <c r="G651" s="259" t="s">
        <v>54</v>
      </c>
      <c r="H651" s="259" t="s">
        <v>54</v>
      </c>
      <c r="I651" s="259" t="s">
        <v>54</v>
      </c>
      <c r="J651" s="259" t="s">
        <v>54</v>
      </c>
      <c r="K651" s="259" t="s">
        <v>54</v>
      </c>
      <c r="L651" s="259" t="s">
        <v>65</v>
      </c>
    </row>
    <row r="652" spans="1:12" x14ac:dyDescent="0.25">
      <c r="A652" s="259" t="s">
        <v>719</v>
      </c>
      <c r="B652" s="260">
        <v>9.23</v>
      </c>
      <c r="C652" s="260">
        <v>2.1</v>
      </c>
      <c r="D652" s="259" t="s">
        <v>54</v>
      </c>
      <c r="E652" s="259" t="s">
        <v>54</v>
      </c>
      <c r="F652" s="260">
        <v>2.1</v>
      </c>
      <c r="G652" s="259" t="s">
        <v>54</v>
      </c>
      <c r="H652" s="259" t="s">
        <v>54</v>
      </c>
      <c r="I652" s="259" t="s">
        <v>54</v>
      </c>
      <c r="J652" s="259" t="s">
        <v>54</v>
      </c>
      <c r="K652" s="259" t="s">
        <v>54</v>
      </c>
      <c r="L652" s="259" t="s">
        <v>103</v>
      </c>
    </row>
    <row r="653" spans="1:12" hidden="1" x14ac:dyDescent="0.25">
      <c r="A653" s="259" t="s">
        <v>720</v>
      </c>
      <c r="B653" s="260">
        <v>3.9</v>
      </c>
      <c r="C653" s="260">
        <v>2.25</v>
      </c>
      <c r="D653" s="259" t="s">
        <v>54</v>
      </c>
      <c r="E653" s="259" t="s">
        <v>54</v>
      </c>
      <c r="F653" s="260">
        <v>2.25</v>
      </c>
      <c r="G653" s="259" t="s">
        <v>54</v>
      </c>
      <c r="H653" s="259" t="s">
        <v>54</v>
      </c>
      <c r="I653" s="259" t="s">
        <v>54</v>
      </c>
      <c r="J653" s="259" t="s">
        <v>54</v>
      </c>
      <c r="K653" s="259" t="s">
        <v>54</v>
      </c>
      <c r="L653" s="259" t="s">
        <v>58</v>
      </c>
    </row>
    <row r="654" spans="1:12" x14ac:dyDescent="0.25">
      <c r="A654" s="259" t="s">
        <v>721</v>
      </c>
      <c r="B654" s="260">
        <v>-0.67</v>
      </c>
      <c r="C654" s="260">
        <v>2.41</v>
      </c>
      <c r="D654" s="259" t="s">
        <v>54</v>
      </c>
      <c r="E654" s="259" t="s">
        <v>54</v>
      </c>
      <c r="F654" s="260">
        <v>2.41</v>
      </c>
      <c r="G654" s="259" t="s">
        <v>54</v>
      </c>
      <c r="H654" s="259" t="s">
        <v>54</v>
      </c>
      <c r="I654" s="259" t="s">
        <v>54</v>
      </c>
      <c r="J654" s="259" t="s">
        <v>54</v>
      </c>
      <c r="K654" s="259" t="s">
        <v>54</v>
      </c>
      <c r="L654" s="259" t="s">
        <v>62</v>
      </c>
    </row>
    <row r="655" spans="1:12" x14ac:dyDescent="0.25">
      <c r="A655" s="259" t="s">
        <v>722</v>
      </c>
      <c r="B655" s="260">
        <v>-12.79</v>
      </c>
      <c r="C655" s="260">
        <v>2.41</v>
      </c>
      <c r="D655" s="260">
        <v>7.72</v>
      </c>
      <c r="E655" s="259" t="s">
        <v>54</v>
      </c>
      <c r="F655" s="260">
        <v>2.41</v>
      </c>
      <c r="G655" s="260">
        <v>19.05</v>
      </c>
      <c r="H655" s="260">
        <v>0.04</v>
      </c>
      <c r="I655" s="260">
        <v>0.05</v>
      </c>
      <c r="J655" s="260">
        <v>1.08</v>
      </c>
      <c r="K655" s="260">
        <v>-11.72</v>
      </c>
      <c r="L655" s="259" t="s">
        <v>55</v>
      </c>
    </row>
    <row r="656" spans="1:12" x14ac:dyDescent="0.25">
      <c r="A656" s="259" t="s">
        <v>723</v>
      </c>
      <c r="B656" s="259" t="s">
        <v>54</v>
      </c>
      <c r="C656" s="260">
        <v>2.37</v>
      </c>
      <c r="D656" s="259" t="s">
        <v>54</v>
      </c>
      <c r="E656" s="259" t="s">
        <v>54</v>
      </c>
      <c r="F656" s="260">
        <v>2.37</v>
      </c>
      <c r="G656" s="259" t="s">
        <v>54</v>
      </c>
      <c r="H656" s="259" t="s">
        <v>54</v>
      </c>
      <c r="I656" s="259" t="s">
        <v>54</v>
      </c>
      <c r="J656" s="259" t="s">
        <v>54</v>
      </c>
      <c r="K656" s="259" t="s">
        <v>54</v>
      </c>
      <c r="L656" s="259" t="s">
        <v>65</v>
      </c>
    </row>
    <row r="657" spans="1:12" x14ac:dyDescent="0.25">
      <c r="A657" s="259" t="s">
        <v>724</v>
      </c>
      <c r="B657" s="259" t="s">
        <v>54</v>
      </c>
      <c r="C657" s="259" t="s">
        <v>54</v>
      </c>
      <c r="D657" s="259" t="s">
        <v>54</v>
      </c>
      <c r="E657" s="259" t="s">
        <v>54</v>
      </c>
      <c r="F657" s="259" t="s">
        <v>54</v>
      </c>
      <c r="G657" s="259" t="s">
        <v>54</v>
      </c>
      <c r="H657" s="259" t="s">
        <v>54</v>
      </c>
      <c r="I657" s="259" t="s">
        <v>54</v>
      </c>
      <c r="J657" s="259" t="s">
        <v>54</v>
      </c>
      <c r="K657" s="259" t="s">
        <v>54</v>
      </c>
      <c r="L657" s="259" t="s">
        <v>71</v>
      </c>
    </row>
    <row r="658" spans="1:12" x14ac:dyDescent="0.25">
      <c r="A658" s="259" t="s">
        <v>725</v>
      </c>
      <c r="B658" s="259" t="s">
        <v>54</v>
      </c>
      <c r="C658" s="260">
        <v>2.21</v>
      </c>
      <c r="D658" s="259" t="s">
        <v>54</v>
      </c>
      <c r="E658" s="259" t="s">
        <v>54</v>
      </c>
      <c r="F658" s="260">
        <v>2.21</v>
      </c>
      <c r="G658" s="259" t="s">
        <v>54</v>
      </c>
      <c r="H658" s="259" t="s">
        <v>54</v>
      </c>
      <c r="I658" s="259" t="s">
        <v>54</v>
      </c>
      <c r="J658" s="259" t="s">
        <v>54</v>
      </c>
      <c r="K658" s="259" t="s">
        <v>54</v>
      </c>
      <c r="L658" s="259" t="s">
        <v>60</v>
      </c>
    </row>
    <row r="659" spans="1:12" x14ac:dyDescent="0.25">
      <c r="A659" s="259" t="s">
        <v>726</v>
      </c>
      <c r="B659" s="259" t="s">
        <v>54</v>
      </c>
      <c r="C659" s="260">
        <v>2.39</v>
      </c>
      <c r="D659" s="259" t="s">
        <v>54</v>
      </c>
      <c r="E659" s="259" t="s">
        <v>54</v>
      </c>
      <c r="F659" s="260">
        <v>2.39</v>
      </c>
      <c r="G659" s="259" t="s">
        <v>54</v>
      </c>
      <c r="H659" s="259" t="s">
        <v>54</v>
      </c>
      <c r="I659" s="259" t="s">
        <v>54</v>
      </c>
      <c r="J659" s="259" t="s">
        <v>54</v>
      </c>
      <c r="K659" s="259" t="s">
        <v>54</v>
      </c>
      <c r="L659" s="259" t="s">
        <v>89</v>
      </c>
    </row>
    <row r="660" spans="1:12" hidden="1" x14ac:dyDescent="0.25">
      <c r="A660" s="259" t="s">
        <v>727</v>
      </c>
      <c r="B660" s="259" t="s">
        <v>54</v>
      </c>
      <c r="C660" s="260">
        <v>2.41</v>
      </c>
      <c r="D660" s="259" t="s">
        <v>54</v>
      </c>
      <c r="E660" s="259" t="s">
        <v>54</v>
      </c>
      <c r="F660" s="260">
        <v>2.41</v>
      </c>
      <c r="G660" s="259" t="s">
        <v>54</v>
      </c>
      <c r="H660" s="259" t="s">
        <v>54</v>
      </c>
      <c r="I660" s="259" t="s">
        <v>54</v>
      </c>
      <c r="J660" s="259" t="s">
        <v>54</v>
      </c>
      <c r="K660" s="259" t="s">
        <v>54</v>
      </c>
      <c r="L660" s="259" t="s">
        <v>58</v>
      </c>
    </row>
    <row r="661" spans="1:12" hidden="1" x14ac:dyDescent="0.25">
      <c r="A661" s="259" t="s">
        <v>728</v>
      </c>
      <c r="B661" s="260">
        <v>-8.44</v>
      </c>
      <c r="C661" s="260">
        <v>1.84</v>
      </c>
      <c r="D661" s="259" t="s">
        <v>54</v>
      </c>
      <c r="E661" s="259" t="s">
        <v>54</v>
      </c>
      <c r="F661" s="260">
        <v>1.84</v>
      </c>
      <c r="G661" s="259" t="s">
        <v>54</v>
      </c>
      <c r="H661" s="259" t="s">
        <v>54</v>
      </c>
      <c r="I661" s="259" t="s">
        <v>54</v>
      </c>
      <c r="J661" s="259" t="s">
        <v>54</v>
      </c>
      <c r="K661" s="259" t="s">
        <v>54</v>
      </c>
      <c r="L661" s="259" t="s">
        <v>58</v>
      </c>
    </row>
    <row r="662" spans="1:12" x14ac:dyDescent="0.25">
      <c r="A662" s="259" t="s">
        <v>729</v>
      </c>
      <c r="B662" s="260">
        <v>6.96</v>
      </c>
      <c r="C662" s="260">
        <v>1.57</v>
      </c>
      <c r="D662" s="260">
        <v>15.24</v>
      </c>
      <c r="E662" s="259" t="s">
        <v>54</v>
      </c>
      <c r="F662" s="260">
        <v>1.57</v>
      </c>
      <c r="G662" s="260">
        <v>6.44</v>
      </c>
      <c r="H662" s="260">
        <v>1.18</v>
      </c>
      <c r="I662" s="260">
        <v>1.88</v>
      </c>
      <c r="J662" s="260">
        <v>0.6</v>
      </c>
      <c r="K662" s="260">
        <v>2.88</v>
      </c>
      <c r="L662" s="259" t="s">
        <v>62</v>
      </c>
    </row>
    <row r="663" spans="1:12" x14ac:dyDescent="0.25">
      <c r="A663" s="259" t="s">
        <v>730</v>
      </c>
      <c r="B663" s="260">
        <v>7.23</v>
      </c>
      <c r="C663" s="260">
        <v>1.49</v>
      </c>
      <c r="D663" s="260">
        <v>17.55</v>
      </c>
      <c r="E663" s="260">
        <v>21.63</v>
      </c>
      <c r="F663" s="260">
        <v>1.49</v>
      </c>
      <c r="G663" s="260">
        <v>12.69</v>
      </c>
      <c r="H663" s="260">
        <v>0.77</v>
      </c>
      <c r="I663" s="260">
        <v>1.41</v>
      </c>
      <c r="J663" s="260">
        <v>0.9</v>
      </c>
      <c r="K663" s="260">
        <v>0.43</v>
      </c>
      <c r="L663" s="259" t="s">
        <v>65</v>
      </c>
    </row>
    <row r="664" spans="1:12" x14ac:dyDescent="0.25">
      <c r="A664" s="259" t="s">
        <v>731</v>
      </c>
      <c r="B664" s="260">
        <v>6.82</v>
      </c>
      <c r="C664" s="260">
        <v>0.14000000000000001</v>
      </c>
      <c r="D664" s="260">
        <v>17.87</v>
      </c>
      <c r="E664" s="260">
        <v>22.3</v>
      </c>
      <c r="F664" s="260">
        <v>0.14000000000000001</v>
      </c>
      <c r="G664" s="260">
        <v>13.75</v>
      </c>
      <c r="H664" s="260">
        <v>0.74</v>
      </c>
      <c r="I664" s="260">
        <v>1.2</v>
      </c>
      <c r="J664" s="260">
        <v>1</v>
      </c>
      <c r="K664" s="260">
        <v>-0.14000000000000001</v>
      </c>
      <c r="L664" s="259" t="s">
        <v>65</v>
      </c>
    </row>
    <row r="665" spans="1:12" x14ac:dyDescent="0.25">
      <c r="A665" s="259" t="s">
        <v>732</v>
      </c>
      <c r="B665" s="260">
        <v>7.74</v>
      </c>
      <c r="C665" s="260">
        <v>0.04</v>
      </c>
      <c r="D665" s="260">
        <v>15.86</v>
      </c>
      <c r="E665" s="260">
        <v>20.68</v>
      </c>
      <c r="F665" s="260">
        <v>0.04</v>
      </c>
      <c r="G665" s="260">
        <v>12.71</v>
      </c>
      <c r="H665" s="260">
        <v>0.66</v>
      </c>
      <c r="I665" s="260">
        <v>1.1000000000000001</v>
      </c>
      <c r="J665" s="260">
        <v>0.91</v>
      </c>
      <c r="K665" s="260">
        <v>-0.96</v>
      </c>
      <c r="L665" s="259" t="s">
        <v>65</v>
      </c>
    </row>
    <row r="666" spans="1:12" x14ac:dyDescent="0.25">
      <c r="A666" s="259" t="s">
        <v>733</v>
      </c>
      <c r="B666" s="260">
        <v>7.22</v>
      </c>
      <c r="C666" s="260">
        <v>0.43</v>
      </c>
      <c r="D666" s="259" t="s">
        <v>54</v>
      </c>
      <c r="E666" s="259" t="s">
        <v>54</v>
      </c>
      <c r="F666" s="260">
        <v>0.43</v>
      </c>
      <c r="G666" s="259" t="s">
        <v>54</v>
      </c>
      <c r="H666" s="259" t="s">
        <v>54</v>
      </c>
      <c r="I666" s="259" t="s">
        <v>54</v>
      </c>
      <c r="J666" s="259" t="s">
        <v>54</v>
      </c>
      <c r="K666" s="259" t="s">
        <v>54</v>
      </c>
      <c r="L666" s="259" t="s">
        <v>65</v>
      </c>
    </row>
    <row r="667" spans="1:12" x14ac:dyDescent="0.25">
      <c r="A667" s="259" t="s">
        <v>734</v>
      </c>
      <c r="B667" s="260">
        <v>5.96</v>
      </c>
      <c r="C667" s="260">
        <v>0.12</v>
      </c>
      <c r="D667" s="260">
        <v>24.78</v>
      </c>
      <c r="E667" s="260">
        <v>26.52</v>
      </c>
      <c r="F667" s="260">
        <v>0.12</v>
      </c>
      <c r="G667" s="260">
        <v>17.75</v>
      </c>
      <c r="H667" s="260">
        <v>0.89</v>
      </c>
      <c r="I667" s="260">
        <v>1.3</v>
      </c>
      <c r="J667" s="260">
        <v>1.22</v>
      </c>
      <c r="K667" s="260">
        <v>3.33</v>
      </c>
      <c r="L667" s="259" t="s">
        <v>65</v>
      </c>
    </row>
    <row r="668" spans="1:12" hidden="1" x14ac:dyDescent="0.25">
      <c r="A668" s="259" t="s">
        <v>735</v>
      </c>
      <c r="B668" s="260">
        <v>0.09</v>
      </c>
      <c r="C668" s="260">
        <v>1.98</v>
      </c>
      <c r="D668" s="260">
        <v>19.27</v>
      </c>
      <c r="E668" s="260">
        <v>26.52</v>
      </c>
      <c r="F668" s="260">
        <v>1.98</v>
      </c>
      <c r="G668" s="260">
        <v>14.56</v>
      </c>
      <c r="H668" s="260">
        <v>0.8</v>
      </c>
      <c r="I668" s="260">
        <v>1.07</v>
      </c>
      <c r="J668" s="260">
        <v>0.76</v>
      </c>
      <c r="K668" s="260">
        <v>0.66</v>
      </c>
      <c r="L668" s="259" t="s">
        <v>81</v>
      </c>
    </row>
    <row r="669" spans="1:12" hidden="1" x14ac:dyDescent="0.25">
      <c r="A669" s="259" t="s">
        <v>736</v>
      </c>
      <c r="B669" s="260">
        <v>0.84</v>
      </c>
      <c r="C669" s="260">
        <v>1.78</v>
      </c>
      <c r="D669" s="259" t="s">
        <v>54</v>
      </c>
      <c r="E669" s="259" t="s">
        <v>54</v>
      </c>
      <c r="F669" s="260">
        <v>1.78</v>
      </c>
      <c r="G669" s="259" t="s">
        <v>54</v>
      </c>
      <c r="H669" s="259" t="s">
        <v>54</v>
      </c>
      <c r="I669" s="259" t="s">
        <v>54</v>
      </c>
      <c r="J669" s="259" t="s">
        <v>54</v>
      </c>
      <c r="K669" s="259" t="s">
        <v>54</v>
      </c>
      <c r="L669" s="259" t="s">
        <v>69</v>
      </c>
    </row>
    <row r="670" spans="1:12" hidden="1" x14ac:dyDescent="0.25">
      <c r="A670" s="259" t="s">
        <v>737</v>
      </c>
      <c r="B670" s="260">
        <v>-3.37</v>
      </c>
      <c r="C670" s="260">
        <v>1.75</v>
      </c>
      <c r="D670" s="259" t="s">
        <v>54</v>
      </c>
      <c r="E670" s="259" t="s">
        <v>54</v>
      </c>
      <c r="F670" s="260">
        <v>1.75</v>
      </c>
      <c r="G670" s="259" t="s">
        <v>54</v>
      </c>
      <c r="H670" s="259" t="s">
        <v>54</v>
      </c>
      <c r="I670" s="259" t="s">
        <v>54</v>
      </c>
      <c r="J670" s="259" t="s">
        <v>54</v>
      </c>
      <c r="K670" s="259" t="s">
        <v>54</v>
      </c>
      <c r="L670" s="259" t="s">
        <v>194</v>
      </c>
    </row>
    <row r="671" spans="1:12" hidden="1" x14ac:dyDescent="0.25">
      <c r="A671" s="259" t="s">
        <v>738</v>
      </c>
      <c r="B671" s="260">
        <v>1.54</v>
      </c>
      <c r="C671" s="260">
        <v>0.75</v>
      </c>
      <c r="D671" s="260">
        <v>16.77</v>
      </c>
      <c r="E671" s="260">
        <v>20.3</v>
      </c>
      <c r="F671" s="260">
        <v>0.75</v>
      </c>
      <c r="G671" s="260">
        <v>14.22</v>
      </c>
      <c r="H671" s="260">
        <v>0.62</v>
      </c>
      <c r="I671" s="260">
        <v>0.91</v>
      </c>
      <c r="J671" s="260">
        <v>0.91</v>
      </c>
      <c r="K671" s="260">
        <v>-1.65</v>
      </c>
      <c r="L671" s="259" t="s">
        <v>58</v>
      </c>
    </row>
    <row r="672" spans="1:12" hidden="1" x14ac:dyDescent="0.25">
      <c r="A672" s="259" t="s">
        <v>739</v>
      </c>
      <c r="B672" s="260">
        <v>5.28</v>
      </c>
      <c r="C672" s="260">
        <v>1.93</v>
      </c>
      <c r="D672" s="260">
        <v>17.11</v>
      </c>
      <c r="E672" s="260">
        <v>20.77</v>
      </c>
      <c r="F672" s="260">
        <v>1.93</v>
      </c>
      <c r="G672" s="260">
        <v>13.16</v>
      </c>
      <c r="H672" s="260">
        <v>0.7</v>
      </c>
      <c r="I672" s="260">
        <v>1.1100000000000001</v>
      </c>
      <c r="J672" s="260">
        <v>0.93</v>
      </c>
      <c r="K672" s="260">
        <v>-0.35</v>
      </c>
      <c r="L672" s="259" t="s">
        <v>73</v>
      </c>
    </row>
    <row r="673" spans="1:12" x14ac:dyDescent="0.25">
      <c r="A673" s="259" t="s">
        <v>740</v>
      </c>
      <c r="B673" s="260">
        <v>2.64</v>
      </c>
      <c r="C673" s="260">
        <v>1.67</v>
      </c>
      <c r="D673" s="260">
        <v>14.96</v>
      </c>
      <c r="E673" s="260">
        <v>20.54</v>
      </c>
      <c r="F673" s="260">
        <v>1.67</v>
      </c>
      <c r="G673" s="260">
        <v>12.31</v>
      </c>
      <c r="H673" s="260">
        <v>0.61</v>
      </c>
      <c r="I673" s="260">
        <v>0.91</v>
      </c>
      <c r="J673" s="260">
        <v>0.82</v>
      </c>
      <c r="K673" s="260">
        <v>-2.0299999999999998</v>
      </c>
      <c r="L673" s="259" t="s">
        <v>55</v>
      </c>
    </row>
    <row r="674" spans="1:12" x14ac:dyDescent="0.25">
      <c r="A674" s="259" t="s">
        <v>741</v>
      </c>
      <c r="B674" s="260">
        <v>8.89</v>
      </c>
      <c r="C674" s="260">
        <v>1.56</v>
      </c>
      <c r="D674" s="260">
        <v>18.32</v>
      </c>
      <c r="E674" s="260">
        <v>21.14</v>
      </c>
      <c r="F674" s="260">
        <v>1.56</v>
      </c>
      <c r="G674" s="260">
        <v>11.41</v>
      </c>
      <c r="H674" s="260">
        <v>0.87</v>
      </c>
      <c r="I674" s="260">
        <v>1.45</v>
      </c>
      <c r="J674" s="260">
        <v>0.71</v>
      </c>
      <c r="K674" s="260">
        <v>1.81</v>
      </c>
      <c r="L674" s="259" t="s">
        <v>55</v>
      </c>
    </row>
    <row r="675" spans="1:12" hidden="1" x14ac:dyDescent="0.25">
      <c r="A675" s="259" t="s">
        <v>742</v>
      </c>
      <c r="B675" s="259" t="s">
        <v>54</v>
      </c>
      <c r="C675" s="260">
        <v>1.78</v>
      </c>
      <c r="D675" s="259" t="s">
        <v>54</v>
      </c>
      <c r="E675" s="259" t="s">
        <v>54</v>
      </c>
      <c r="F675" s="260">
        <v>1.78</v>
      </c>
      <c r="G675" s="259" t="s">
        <v>54</v>
      </c>
      <c r="H675" s="259" t="s">
        <v>54</v>
      </c>
      <c r="I675" s="259" t="s">
        <v>54</v>
      </c>
      <c r="J675" s="259" t="s">
        <v>54</v>
      </c>
      <c r="K675" s="259" t="s">
        <v>54</v>
      </c>
      <c r="L675" s="259" t="s">
        <v>58</v>
      </c>
    </row>
    <row r="676" spans="1:12" x14ac:dyDescent="0.25">
      <c r="A676" s="259" t="s">
        <v>743</v>
      </c>
      <c r="B676" s="260">
        <v>7.12</v>
      </c>
      <c r="C676" s="260">
        <v>1.59</v>
      </c>
      <c r="D676" s="260">
        <v>21.14</v>
      </c>
      <c r="E676" s="260">
        <v>26.05</v>
      </c>
      <c r="F676" s="260">
        <v>1.59</v>
      </c>
      <c r="G676" s="260">
        <v>12.51</v>
      </c>
      <c r="H676" s="260">
        <v>1.02</v>
      </c>
      <c r="I676" s="260">
        <v>1.66</v>
      </c>
      <c r="J676" s="260">
        <v>0.84</v>
      </c>
      <c r="K676" s="260">
        <v>3.47</v>
      </c>
      <c r="L676" s="259" t="s">
        <v>71</v>
      </c>
    </row>
    <row r="677" spans="1:12" hidden="1" x14ac:dyDescent="0.25">
      <c r="A677" s="259" t="s">
        <v>744</v>
      </c>
      <c r="B677" s="260">
        <v>2.92</v>
      </c>
      <c r="C677" s="260">
        <v>2.5</v>
      </c>
      <c r="D677" s="260">
        <v>16.72</v>
      </c>
      <c r="E677" s="260">
        <v>24.47</v>
      </c>
      <c r="F677" s="260">
        <v>2.5</v>
      </c>
      <c r="G677" s="260">
        <v>17.07</v>
      </c>
      <c r="H677" s="260">
        <v>0.56999999999999995</v>
      </c>
      <c r="I677" s="260">
        <v>0.89</v>
      </c>
      <c r="J677" s="260">
        <v>1.08</v>
      </c>
      <c r="K677" s="260">
        <v>-2.73</v>
      </c>
      <c r="L677" s="259" t="s">
        <v>58</v>
      </c>
    </row>
    <row r="678" spans="1:12" hidden="1" x14ac:dyDescent="0.25">
      <c r="A678" s="259" t="s">
        <v>745</v>
      </c>
      <c r="B678" s="260">
        <v>-0.15</v>
      </c>
      <c r="C678" s="260">
        <v>1.89</v>
      </c>
      <c r="D678" s="260">
        <v>12.92</v>
      </c>
      <c r="E678" s="260">
        <v>17.27</v>
      </c>
      <c r="F678" s="260">
        <v>1.89</v>
      </c>
      <c r="G678" s="260">
        <v>11.45</v>
      </c>
      <c r="H678" s="260">
        <v>0.53</v>
      </c>
      <c r="I678" s="260">
        <v>0.74</v>
      </c>
      <c r="J678" s="260">
        <v>0.66</v>
      </c>
      <c r="K678" s="260">
        <v>-1.51</v>
      </c>
      <c r="L678" s="259" t="s">
        <v>86</v>
      </c>
    </row>
    <row r="679" spans="1:12" x14ac:dyDescent="0.25">
      <c r="A679" s="259" t="s">
        <v>746</v>
      </c>
      <c r="B679" s="260">
        <v>3.54</v>
      </c>
      <c r="C679" s="260">
        <v>1.66</v>
      </c>
      <c r="D679" s="260">
        <v>21.87</v>
      </c>
      <c r="E679" s="260">
        <v>30.51</v>
      </c>
      <c r="F679" s="260">
        <v>1.66</v>
      </c>
      <c r="G679" s="260">
        <v>13.88</v>
      </c>
      <c r="H679" s="260">
        <v>0.95</v>
      </c>
      <c r="I679" s="260">
        <v>1.37</v>
      </c>
      <c r="J679" s="260">
        <v>0.77</v>
      </c>
      <c r="K679" s="260">
        <v>-0.8</v>
      </c>
      <c r="L679" s="259" t="s">
        <v>84</v>
      </c>
    </row>
    <row r="680" spans="1:12" x14ac:dyDescent="0.25">
      <c r="A680" s="259" t="s">
        <v>747</v>
      </c>
      <c r="B680" s="260">
        <v>9.2799999999999994</v>
      </c>
      <c r="C680" s="260">
        <v>1.44</v>
      </c>
      <c r="D680" s="260">
        <v>17.53</v>
      </c>
      <c r="E680" s="260">
        <v>15.28</v>
      </c>
      <c r="F680" s="260">
        <v>1.44</v>
      </c>
      <c r="G680" s="260">
        <v>7.39</v>
      </c>
      <c r="H680" s="260">
        <v>1.26</v>
      </c>
      <c r="I680" s="260">
        <v>2.16</v>
      </c>
      <c r="J680" s="260">
        <v>0.7</v>
      </c>
      <c r="K680" s="260">
        <v>3.14</v>
      </c>
      <c r="L680" s="259" t="s">
        <v>60</v>
      </c>
    </row>
    <row r="681" spans="1:12" x14ac:dyDescent="0.25">
      <c r="A681" s="259" t="s">
        <v>748</v>
      </c>
      <c r="B681" s="260">
        <v>10.38</v>
      </c>
      <c r="C681" s="260">
        <v>1.68</v>
      </c>
      <c r="D681" s="260">
        <v>20.059999999999999</v>
      </c>
      <c r="E681" s="259" t="s">
        <v>54</v>
      </c>
      <c r="F681" s="260">
        <v>1.68</v>
      </c>
      <c r="G681" s="260">
        <v>13.5</v>
      </c>
      <c r="H681" s="260">
        <v>0.85</v>
      </c>
      <c r="I681" s="260">
        <v>1.33</v>
      </c>
      <c r="J681" s="260">
        <v>0.82</v>
      </c>
      <c r="K681" s="260">
        <v>-0.35</v>
      </c>
      <c r="L681" s="259" t="s">
        <v>89</v>
      </c>
    </row>
    <row r="682" spans="1:12" x14ac:dyDescent="0.25">
      <c r="A682" s="259" t="s">
        <v>749</v>
      </c>
      <c r="B682" s="260">
        <v>2.17</v>
      </c>
      <c r="C682" s="260">
        <v>0.5</v>
      </c>
      <c r="D682" s="260">
        <v>17.05</v>
      </c>
      <c r="E682" s="260">
        <v>19.37</v>
      </c>
      <c r="F682" s="260">
        <v>0.5</v>
      </c>
      <c r="G682" s="260">
        <v>15.29</v>
      </c>
      <c r="H682" s="260">
        <v>0.6</v>
      </c>
      <c r="I682" s="260">
        <v>0.78</v>
      </c>
      <c r="J682" s="260">
        <v>0.99</v>
      </c>
      <c r="K682" s="260">
        <v>-1.75</v>
      </c>
      <c r="L682" s="259" t="s">
        <v>71</v>
      </c>
    </row>
    <row r="683" spans="1:12" x14ac:dyDescent="0.25">
      <c r="A683" s="259" t="s">
        <v>750</v>
      </c>
      <c r="B683" s="259" t="s">
        <v>54</v>
      </c>
      <c r="C683" s="259" t="s">
        <v>54</v>
      </c>
      <c r="D683" s="259" t="s">
        <v>54</v>
      </c>
      <c r="E683" s="259" t="s">
        <v>54</v>
      </c>
      <c r="F683" s="259" t="s">
        <v>54</v>
      </c>
      <c r="G683" s="259" t="s">
        <v>54</v>
      </c>
      <c r="H683" s="259" t="s">
        <v>54</v>
      </c>
      <c r="I683" s="259" t="s">
        <v>54</v>
      </c>
      <c r="J683" s="259" t="s">
        <v>54</v>
      </c>
      <c r="K683" s="259" t="s">
        <v>54</v>
      </c>
      <c r="L683" s="259" t="s">
        <v>71</v>
      </c>
    </row>
    <row r="684" spans="1:12" x14ac:dyDescent="0.25">
      <c r="A684" s="259" t="s">
        <v>751</v>
      </c>
      <c r="B684" s="259" t="s">
        <v>54</v>
      </c>
      <c r="C684" s="260">
        <v>0.87</v>
      </c>
      <c r="D684" s="259" t="s">
        <v>54</v>
      </c>
      <c r="E684" s="259" t="s">
        <v>54</v>
      </c>
      <c r="F684" s="260">
        <v>0.87</v>
      </c>
      <c r="G684" s="259" t="s">
        <v>54</v>
      </c>
      <c r="H684" s="259" t="s">
        <v>54</v>
      </c>
      <c r="I684" s="259" t="s">
        <v>54</v>
      </c>
      <c r="J684" s="259" t="s">
        <v>54</v>
      </c>
      <c r="K684" s="259" t="s">
        <v>54</v>
      </c>
      <c r="L684" s="259" t="s">
        <v>55</v>
      </c>
    </row>
    <row r="685" spans="1:12" x14ac:dyDescent="0.25">
      <c r="A685" s="259" t="s">
        <v>752</v>
      </c>
      <c r="B685" s="259" t="s">
        <v>54</v>
      </c>
      <c r="C685" s="260">
        <v>0.3</v>
      </c>
      <c r="D685" s="259" t="s">
        <v>54</v>
      </c>
      <c r="E685" s="259" t="s">
        <v>54</v>
      </c>
      <c r="F685" s="260">
        <v>0.3</v>
      </c>
      <c r="G685" s="259" t="s">
        <v>54</v>
      </c>
      <c r="H685" s="259" t="s">
        <v>54</v>
      </c>
      <c r="I685" s="259" t="s">
        <v>54</v>
      </c>
      <c r="J685" s="259" t="s">
        <v>54</v>
      </c>
      <c r="K685" s="259" t="s">
        <v>54</v>
      </c>
      <c r="L685" s="259" t="s">
        <v>65</v>
      </c>
    </row>
    <row r="686" spans="1:12" x14ac:dyDescent="0.25">
      <c r="A686" s="259" t="s">
        <v>753</v>
      </c>
      <c r="B686" s="260">
        <v>4.87</v>
      </c>
      <c r="C686" s="260">
        <v>1.02</v>
      </c>
      <c r="D686" s="259" t="s">
        <v>54</v>
      </c>
      <c r="E686" s="259" t="s">
        <v>54</v>
      </c>
      <c r="F686" s="260">
        <v>1.02</v>
      </c>
      <c r="G686" s="259" t="s">
        <v>54</v>
      </c>
      <c r="H686" s="259" t="s">
        <v>54</v>
      </c>
      <c r="I686" s="259" t="s">
        <v>54</v>
      </c>
      <c r="J686" s="259" t="s">
        <v>54</v>
      </c>
      <c r="K686" s="259" t="s">
        <v>54</v>
      </c>
      <c r="L686" s="259" t="s">
        <v>65</v>
      </c>
    </row>
    <row r="687" spans="1:12" x14ac:dyDescent="0.25">
      <c r="A687" s="259" t="s">
        <v>754</v>
      </c>
      <c r="B687" s="260">
        <v>7.81</v>
      </c>
      <c r="C687" s="260">
        <v>0.04</v>
      </c>
      <c r="D687" s="260">
        <v>16.57</v>
      </c>
      <c r="E687" s="260">
        <v>21.38</v>
      </c>
      <c r="F687" s="260">
        <v>0.04</v>
      </c>
      <c r="G687" s="260">
        <v>13.13</v>
      </c>
      <c r="H687" s="260">
        <v>0.69</v>
      </c>
      <c r="I687" s="260">
        <v>1.17</v>
      </c>
      <c r="J687" s="260">
        <v>0.95</v>
      </c>
      <c r="K687" s="260">
        <v>-0.74</v>
      </c>
      <c r="L687" s="259" t="s">
        <v>65</v>
      </c>
    </row>
    <row r="688" spans="1:12" hidden="1" x14ac:dyDescent="0.25">
      <c r="A688" s="259" t="s">
        <v>755</v>
      </c>
      <c r="B688" s="260">
        <v>3.84</v>
      </c>
      <c r="C688" s="260">
        <v>0.3</v>
      </c>
      <c r="D688" s="260">
        <v>20.46</v>
      </c>
      <c r="E688" s="259" t="s">
        <v>54</v>
      </c>
      <c r="F688" s="260">
        <v>0.3</v>
      </c>
      <c r="G688" s="260">
        <v>15.98</v>
      </c>
      <c r="H688" s="260">
        <v>0.77</v>
      </c>
      <c r="I688" s="260">
        <v>1.1299999999999999</v>
      </c>
      <c r="J688" s="260">
        <v>0.85</v>
      </c>
      <c r="K688" s="260">
        <v>0.09</v>
      </c>
      <c r="L688" s="259" t="s">
        <v>81</v>
      </c>
    </row>
    <row r="689" spans="1:12" x14ac:dyDescent="0.25">
      <c r="A689" s="259" t="s">
        <v>756</v>
      </c>
      <c r="B689" s="260">
        <v>7.33</v>
      </c>
      <c r="C689" s="260">
        <v>0.44</v>
      </c>
      <c r="D689" s="260">
        <v>16.03</v>
      </c>
      <c r="E689" s="260">
        <v>20.76</v>
      </c>
      <c r="F689" s="260">
        <v>0.44</v>
      </c>
      <c r="G689" s="260">
        <v>13.14</v>
      </c>
      <c r="H689" s="260">
        <v>0.65</v>
      </c>
      <c r="I689" s="260">
        <v>1.1100000000000001</v>
      </c>
      <c r="J689" s="260">
        <v>0.95</v>
      </c>
      <c r="K689" s="260">
        <v>-1.22</v>
      </c>
      <c r="L689" s="259" t="s">
        <v>65</v>
      </c>
    </row>
    <row r="690" spans="1:12" hidden="1" x14ac:dyDescent="0.25">
      <c r="A690" s="259" t="s">
        <v>757</v>
      </c>
      <c r="B690" s="259" t="s">
        <v>54</v>
      </c>
      <c r="C690" s="260">
        <v>0.87</v>
      </c>
      <c r="D690" s="259" t="s">
        <v>54</v>
      </c>
      <c r="E690" s="259" t="s">
        <v>54</v>
      </c>
      <c r="F690" s="260">
        <v>0.87</v>
      </c>
      <c r="G690" s="259" t="s">
        <v>54</v>
      </c>
      <c r="H690" s="259" t="s">
        <v>54</v>
      </c>
      <c r="I690" s="259" t="s">
        <v>54</v>
      </c>
      <c r="J690" s="259" t="s">
        <v>54</v>
      </c>
      <c r="K690" s="259" t="s">
        <v>54</v>
      </c>
      <c r="L690" s="259" t="s">
        <v>81</v>
      </c>
    </row>
    <row r="691" spans="1:12" x14ac:dyDescent="0.25">
      <c r="A691" s="259" t="s">
        <v>758</v>
      </c>
      <c r="B691" s="260">
        <v>5.41</v>
      </c>
      <c r="C691" s="260">
        <v>0.87</v>
      </c>
      <c r="D691" s="259" t="s">
        <v>54</v>
      </c>
      <c r="E691" s="259" t="s">
        <v>54</v>
      </c>
      <c r="F691" s="260">
        <v>0.87</v>
      </c>
      <c r="G691" s="259" t="s">
        <v>54</v>
      </c>
      <c r="H691" s="259" t="s">
        <v>54</v>
      </c>
      <c r="I691" s="259" t="s">
        <v>54</v>
      </c>
      <c r="J691" s="259" t="s">
        <v>54</v>
      </c>
      <c r="K691" s="259" t="s">
        <v>54</v>
      </c>
      <c r="L691" s="259" t="s">
        <v>84</v>
      </c>
    </row>
    <row r="692" spans="1:12" x14ac:dyDescent="0.25">
      <c r="A692" s="259" t="s">
        <v>759</v>
      </c>
      <c r="B692" s="260">
        <v>-3.25</v>
      </c>
      <c r="C692" s="260">
        <v>0.15</v>
      </c>
      <c r="D692" s="260">
        <v>22.07</v>
      </c>
      <c r="E692" s="260">
        <v>22.61</v>
      </c>
      <c r="F692" s="260">
        <v>0.15</v>
      </c>
      <c r="G692" s="260">
        <v>19.54</v>
      </c>
      <c r="H692" s="260">
        <v>0.72</v>
      </c>
      <c r="I692" s="260">
        <v>1.08</v>
      </c>
      <c r="J692" s="260">
        <v>1.3</v>
      </c>
      <c r="K692" s="260">
        <v>0.8</v>
      </c>
      <c r="L692" s="259" t="s">
        <v>65</v>
      </c>
    </row>
    <row r="693" spans="1:12" x14ac:dyDescent="0.25">
      <c r="A693" s="259" t="s">
        <v>760</v>
      </c>
      <c r="B693" s="260">
        <v>-3.89</v>
      </c>
      <c r="C693" s="260">
        <v>0.75</v>
      </c>
      <c r="D693" s="260">
        <v>21.24</v>
      </c>
      <c r="E693" s="259" t="s">
        <v>54</v>
      </c>
      <c r="F693" s="260">
        <v>0.75</v>
      </c>
      <c r="G693" s="260">
        <v>19.53</v>
      </c>
      <c r="H693" s="260">
        <v>0.69</v>
      </c>
      <c r="I693" s="260">
        <v>1.03</v>
      </c>
      <c r="J693" s="260">
        <v>1.3</v>
      </c>
      <c r="K693" s="260">
        <v>0.11</v>
      </c>
      <c r="L693" s="259" t="s">
        <v>65</v>
      </c>
    </row>
    <row r="694" spans="1:12" x14ac:dyDescent="0.25">
      <c r="A694" s="259" t="s">
        <v>761</v>
      </c>
      <c r="B694" s="260">
        <v>3.63</v>
      </c>
      <c r="C694" s="260">
        <v>0.88</v>
      </c>
      <c r="D694" s="259" t="s">
        <v>54</v>
      </c>
      <c r="E694" s="259" t="s">
        <v>54</v>
      </c>
      <c r="F694" s="260">
        <v>0.88</v>
      </c>
      <c r="G694" s="259" t="s">
        <v>54</v>
      </c>
      <c r="H694" s="259" t="s">
        <v>54</v>
      </c>
      <c r="I694" s="259" t="s">
        <v>54</v>
      </c>
      <c r="J694" s="259" t="s">
        <v>54</v>
      </c>
      <c r="K694" s="259" t="s">
        <v>54</v>
      </c>
      <c r="L694" s="259" t="s">
        <v>103</v>
      </c>
    </row>
    <row r="695" spans="1:12" hidden="1" x14ac:dyDescent="0.25">
      <c r="A695" s="259" t="s">
        <v>762</v>
      </c>
      <c r="B695" s="260">
        <v>-1.27</v>
      </c>
      <c r="C695" s="260">
        <v>1.86</v>
      </c>
      <c r="D695" s="260">
        <v>34.97</v>
      </c>
      <c r="E695" s="260">
        <v>31.4</v>
      </c>
      <c r="F695" s="260">
        <v>1.86</v>
      </c>
      <c r="G695" s="260">
        <v>22.74</v>
      </c>
      <c r="H695" s="260">
        <v>1.1599999999999999</v>
      </c>
      <c r="I695" s="260">
        <v>2.13</v>
      </c>
      <c r="J695" s="260">
        <v>0.97</v>
      </c>
      <c r="K695" s="260">
        <v>-0.73</v>
      </c>
      <c r="L695" s="259" t="s">
        <v>101</v>
      </c>
    </row>
    <row r="696" spans="1:12" hidden="1" x14ac:dyDescent="0.25">
      <c r="A696" s="259" t="s">
        <v>763</v>
      </c>
      <c r="B696" s="259" t="s">
        <v>54</v>
      </c>
      <c r="C696" s="260">
        <v>1.9</v>
      </c>
      <c r="D696" s="259" t="s">
        <v>54</v>
      </c>
      <c r="E696" s="259" t="s">
        <v>54</v>
      </c>
      <c r="F696" s="260">
        <v>1.9</v>
      </c>
      <c r="G696" s="259" t="s">
        <v>54</v>
      </c>
      <c r="H696" s="259" t="s">
        <v>54</v>
      </c>
      <c r="I696" s="259" t="s">
        <v>54</v>
      </c>
      <c r="J696" s="259" t="s">
        <v>54</v>
      </c>
      <c r="K696" s="259" t="s">
        <v>54</v>
      </c>
      <c r="L696" s="259" t="s">
        <v>58</v>
      </c>
    </row>
    <row r="697" spans="1:12" x14ac:dyDescent="0.25">
      <c r="A697" s="259" t="s">
        <v>764</v>
      </c>
      <c r="B697" s="260">
        <v>1.42</v>
      </c>
      <c r="C697" s="260">
        <v>1.93</v>
      </c>
      <c r="D697" s="260">
        <v>18</v>
      </c>
      <c r="E697" s="259" t="s">
        <v>54</v>
      </c>
      <c r="F697" s="260">
        <v>1.93</v>
      </c>
      <c r="G697" s="260">
        <v>13.05</v>
      </c>
      <c r="H697" s="260">
        <v>0.77</v>
      </c>
      <c r="I697" s="260">
        <v>1.2</v>
      </c>
      <c r="J697" s="260">
        <v>0.86</v>
      </c>
      <c r="K697" s="260">
        <v>0.08</v>
      </c>
      <c r="L697" s="259" t="s">
        <v>55</v>
      </c>
    </row>
    <row r="698" spans="1:12" x14ac:dyDescent="0.25">
      <c r="A698" s="259" t="s">
        <v>765</v>
      </c>
      <c r="B698" s="260">
        <v>-1.46</v>
      </c>
      <c r="C698" s="260">
        <v>1.56</v>
      </c>
      <c r="D698" s="260">
        <v>19.52</v>
      </c>
      <c r="E698" s="260">
        <v>29.41</v>
      </c>
      <c r="F698" s="260">
        <v>1.56</v>
      </c>
      <c r="G698" s="260">
        <v>15.01</v>
      </c>
      <c r="H698" s="260">
        <v>0.81</v>
      </c>
      <c r="I698" s="260">
        <v>1.1299999999999999</v>
      </c>
      <c r="J698" s="260">
        <v>0.74</v>
      </c>
      <c r="K698" s="260">
        <v>-1.24</v>
      </c>
      <c r="L698" s="259" t="s">
        <v>103</v>
      </c>
    </row>
    <row r="699" spans="1:12" x14ac:dyDescent="0.25">
      <c r="A699" s="259" t="s">
        <v>766</v>
      </c>
      <c r="B699" s="260">
        <v>-4.03</v>
      </c>
      <c r="C699" s="260">
        <v>2.39</v>
      </c>
      <c r="D699" s="260">
        <v>9.85</v>
      </c>
      <c r="E699" s="260">
        <v>10.84</v>
      </c>
      <c r="F699" s="260">
        <v>2.39</v>
      </c>
      <c r="G699" s="260">
        <v>9.9700000000000006</v>
      </c>
      <c r="H699" s="260">
        <v>0.31</v>
      </c>
      <c r="I699" s="260">
        <v>0.39</v>
      </c>
      <c r="J699" s="260">
        <v>0.84</v>
      </c>
      <c r="K699" s="260">
        <v>-3.5</v>
      </c>
      <c r="L699" s="259" t="s">
        <v>62</v>
      </c>
    </row>
    <row r="700" spans="1:12" x14ac:dyDescent="0.25">
      <c r="A700" s="259" t="s">
        <v>767</v>
      </c>
      <c r="B700" s="260">
        <v>-9.25</v>
      </c>
      <c r="C700" s="260">
        <v>2.4</v>
      </c>
      <c r="D700" s="260">
        <v>14.24</v>
      </c>
      <c r="E700" s="260">
        <v>16.559999999999999</v>
      </c>
      <c r="F700" s="260">
        <v>2.4</v>
      </c>
      <c r="G700" s="260">
        <v>16.010000000000002</v>
      </c>
      <c r="H700" s="260">
        <v>0.44</v>
      </c>
      <c r="I700" s="260">
        <v>0.57999999999999996</v>
      </c>
      <c r="J700" s="260">
        <v>0.99</v>
      </c>
      <c r="K700" s="260">
        <v>-4.33</v>
      </c>
      <c r="L700" s="259" t="s">
        <v>55</v>
      </c>
    </row>
    <row r="701" spans="1:12" x14ac:dyDescent="0.25">
      <c r="A701" s="259" t="s">
        <v>768</v>
      </c>
      <c r="B701" s="260">
        <v>-4.17</v>
      </c>
      <c r="C701" s="260">
        <v>2.35</v>
      </c>
      <c r="D701" s="259" t="s">
        <v>54</v>
      </c>
      <c r="E701" s="259" t="s">
        <v>54</v>
      </c>
      <c r="F701" s="260">
        <v>2.35</v>
      </c>
      <c r="G701" s="259" t="s">
        <v>54</v>
      </c>
      <c r="H701" s="259" t="s">
        <v>54</v>
      </c>
      <c r="I701" s="259" t="s">
        <v>54</v>
      </c>
      <c r="J701" s="259" t="s">
        <v>54</v>
      </c>
      <c r="K701" s="259" t="s">
        <v>54</v>
      </c>
      <c r="L701" s="259" t="s">
        <v>60</v>
      </c>
    </row>
    <row r="702" spans="1:12" hidden="1" x14ac:dyDescent="0.25">
      <c r="A702" s="259" t="s">
        <v>769</v>
      </c>
      <c r="B702" s="259" t="s">
        <v>54</v>
      </c>
      <c r="C702" s="260">
        <v>2.35</v>
      </c>
      <c r="D702" s="259" t="s">
        <v>54</v>
      </c>
      <c r="E702" s="259" t="s">
        <v>54</v>
      </c>
      <c r="F702" s="260">
        <v>2.35</v>
      </c>
      <c r="G702" s="259" t="s">
        <v>54</v>
      </c>
      <c r="H702" s="259" t="s">
        <v>54</v>
      </c>
      <c r="I702" s="259" t="s">
        <v>54</v>
      </c>
      <c r="J702" s="259" t="s">
        <v>54</v>
      </c>
      <c r="K702" s="259" t="s">
        <v>54</v>
      </c>
      <c r="L702" s="259" t="s">
        <v>58</v>
      </c>
    </row>
    <row r="703" spans="1:12" x14ac:dyDescent="0.25">
      <c r="A703" s="259" t="s">
        <v>770</v>
      </c>
      <c r="B703" s="260">
        <v>7.11</v>
      </c>
      <c r="C703" s="260">
        <v>2.08</v>
      </c>
      <c r="D703" s="260">
        <v>12.84</v>
      </c>
      <c r="E703" s="260">
        <v>13.51</v>
      </c>
      <c r="F703" s="260">
        <v>2.08</v>
      </c>
      <c r="G703" s="260">
        <v>7.9</v>
      </c>
      <c r="H703" s="260">
        <v>0.73</v>
      </c>
      <c r="I703" s="260">
        <v>1.1599999999999999</v>
      </c>
      <c r="J703" s="260">
        <v>0.75</v>
      </c>
      <c r="K703" s="260">
        <v>-0.12</v>
      </c>
      <c r="L703" s="259" t="s">
        <v>62</v>
      </c>
    </row>
    <row r="704" spans="1:12" hidden="1" x14ac:dyDescent="0.25">
      <c r="A704" s="259" t="s">
        <v>771</v>
      </c>
      <c r="B704" s="259" t="s">
        <v>54</v>
      </c>
      <c r="C704" s="260">
        <v>2.0299999999999998</v>
      </c>
      <c r="D704" s="259" t="s">
        <v>54</v>
      </c>
      <c r="E704" s="259" t="s">
        <v>54</v>
      </c>
      <c r="F704" s="260">
        <v>2.0299999999999998</v>
      </c>
      <c r="G704" s="259" t="s">
        <v>54</v>
      </c>
      <c r="H704" s="259" t="s">
        <v>54</v>
      </c>
      <c r="I704" s="259" t="s">
        <v>54</v>
      </c>
      <c r="J704" s="259" t="s">
        <v>54</v>
      </c>
      <c r="K704" s="259" t="s">
        <v>54</v>
      </c>
      <c r="L704" s="259" t="s">
        <v>58</v>
      </c>
    </row>
    <row r="705" spans="1:12" hidden="1" x14ac:dyDescent="0.25">
      <c r="A705" s="259" t="s">
        <v>772</v>
      </c>
      <c r="B705" s="260">
        <v>7</v>
      </c>
      <c r="C705" s="260">
        <v>2.19</v>
      </c>
      <c r="D705" s="260">
        <v>20.99</v>
      </c>
      <c r="E705" s="260">
        <v>21.25</v>
      </c>
      <c r="F705" s="260">
        <v>2.19</v>
      </c>
      <c r="G705" s="260">
        <v>15.23</v>
      </c>
      <c r="H705" s="260">
        <v>0.85</v>
      </c>
      <c r="I705" s="260">
        <v>1.24</v>
      </c>
      <c r="J705" s="260">
        <v>0.81</v>
      </c>
      <c r="K705" s="260">
        <v>1.32</v>
      </c>
      <c r="L705" s="259" t="s">
        <v>81</v>
      </c>
    </row>
    <row r="706" spans="1:12" hidden="1" x14ac:dyDescent="0.25">
      <c r="A706" s="259" t="s">
        <v>773</v>
      </c>
      <c r="B706" s="260">
        <v>0.64</v>
      </c>
      <c r="C706" s="260">
        <v>2.29</v>
      </c>
      <c r="D706" s="260">
        <v>18.579999999999998</v>
      </c>
      <c r="E706" s="260">
        <v>22.53</v>
      </c>
      <c r="F706" s="260">
        <v>2.29</v>
      </c>
      <c r="G706" s="260">
        <v>13.68</v>
      </c>
      <c r="H706" s="260">
        <v>0.8</v>
      </c>
      <c r="I706" s="260">
        <v>1.19</v>
      </c>
      <c r="J706" s="260">
        <v>0.91</v>
      </c>
      <c r="K706" s="260">
        <v>0.51</v>
      </c>
      <c r="L706" s="259" t="s">
        <v>69</v>
      </c>
    </row>
    <row r="707" spans="1:12" x14ac:dyDescent="0.25">
      <c r="A707" s="259" t="s">
        <v>774</v>
      </c>
      <c r="B707" s="260">
        <v>8.02</v>
      </c>
      <c r="C707" s="260">
        <v>2.0299999999999998</v>
      </c>
      <c r="D707" s="259" t="s">
        <v>54</v>
      </c>
      <c r="E707" s="259" t="s">
        <v>54</v>
      </c>
      <c r="F707" s="260">
        <v>2.0299999999999998</v>
      </c>
      <c r="G707" s="259" t="s">
        <v>54</v>
      </c>
      <c r="H707" s="259" t="s">
        <v>54</v>
      </c>
      <c r="I707" s="259" t="s">
        <v>54</v>
      </c>
      <c r="J707" s="259" t="s">
        <v>54</v>
      </c>
      <c r="K707" s="259" t="s">
        <v>54</v>
      </c>
      <c r="L707" s="259" t="s">
        <v>55</v>
      </c>
    </row>
    <row r="708" spans="1:12" x14ac:dyDescent="0.25">
      <c r="A708" s="259" t="s">
        <v>775</v>
      </c>
      <c r="B708" s="260">
        <v>3.15</v>
      </c>
      <c r="C708" s="260">
        <v>2.27</v>
      </c>
      <c r="D708" s="260">
        <v>16.989999999999998</v>
      </c>
      <c r="E708" s="260">
        <v>21.11</v>
      </c>
      <c r="F708" s="260">
        <v>2.27</v>
      </c>
      <c r="G708" s="260">
        <v>13.22</v>
      </c>
      <c r="H708" s="260">
        <v>0.7</v>
      </c>
      <c r="I708" s="260">
        <v>1.19</v>
      </c>
      <c r="J708" s="260">
        <v>0.87</v>
      </c>
      <c r="K708" s="260">
        <v>-0.8</v>
      </c>
      <c r="L708" s="259" t="s">
        <v>55</v>
      </c>
    </row>
    <row r="709" spans="1:12" x14ac:dyDescent="0.25">
      <c r="A709" s="259" t="s">
        <v>776</v>
      </c>
      <c r="B709" s="260">
        <v>4.1500000000000004</v>
      </c>
      <c r="C709" s="260">
        <v>1.82</v>
      </c>
      <c r="D709" s="260">
        <v>19.25</v>
      </c>
      <c r="E709" s="260">
        <v>23.67</v>
      </c>
      <c r="F709" s="260">
        <v>1.82</v>
      </c>
      <c r="G709" s="260">
        <v>14.95</v>
      </c>
      <c r="H709" s="260">
        <v>0.75</v>
      </c>
      <c r="I709" s="260">
        <v>1.1000000000000001</v>
      </c>
      <c r="J709" s="260">
        <v>1</v>
      </c>
      <c r="K709" s="260">
        <v>0.21</v>
      </c>
      <c r="L709" s="259" t="s">
        <v>71</v>
      </c>
    </row>
    <row r="710" spans="1:12" x14ac:dyDescent="0.25">
      <c r="A710" s="259" t="s">
        <v>777</v>
      </c>
      <c r="B710" s="260">
        <v>4.3899999999999997</v>
      </c>
      <c r="C710" s="260">
        <v>1.91</v>
      </c>
      <c r="D710" s="260">
        <v>15.53</v>
      </c>
      <c r="E710" s="260">
        <v>18.73</v>
      </c>
      <c r="F710" s="260">
        <v>1.91</v>
      </c>
      <c r="G710" s="260">
        <v>12.61</v>
      </c>
      <c r="H710" s="260">
        <v>0.64</v>
      </c>
      <c r="I710" s="260">
        <v>1.07</v>
      </c>
      <c r="J710" s="260">
        <v>0.9</v>
      </c>
      <c r="K710" s="260">
        <v>-1.27</v>
      </c>
      <c r="L710" s="259" t="s">
        <v>65</v>
      </c>
    </row>
    <row r="711" spans="1:12" x14ac:dyDescent="0.25">
      <c r="A711" s="259" t="s">
        <v>778</v>
      </c>
      <c r="B711" s="260">
        <v>9.23</v>
      </c>
      <c r="C711" s="260">
        <v>1.75</v>
      </c>
      <c r="D711" s="260">
        <v>28.3</v>
      </c>
      <c r="E711" s="260">
        <v>29.68</v>
      </c>
      <c r="F711" s="260">
        <v>1.75</v>
      </c>
      <c r="G711" s="260">
        <v>16.399999999999999</v>
      </c>
      <c r="H711" s="260">
        <v>1.1599999999999999</v>
      </c>
      <c r="I711" s="260">
        <v>1.59</v>
      </c>
      <c r="J711" s="260">
        <v>0.94</v>
      </c>
      <c r="K711" s="260">
        <v>2.02</v>
      </c>
      <c r="L711" s="259" t="s">
        <v>84</v>
      </c>
    </row>
    <row r="712" spans="1:12" x14ac:dyDescent="0.25">
      <c r="A712" s="259" t="s">
        <v>779</v>
      </c>
      <c r="B712" s="260">
        <v>11.28</v>
      </c>
      <c r="C712" s="260">
        <v>1.86</v>
      </c>
      <c r="D712" s="259" t="s">
        <v>54</v>
      </c>
      <c r="E712" s="259" t="s">
        <v>54</v>
      </c>
      <c r="F712" s="260">
        <v>1.86</v>
      </c>
      <c r="G712" s="259" t="s">
        <v>54</v>
      </c>
      <c r="H712" s="259" t="s">
        <v>54</v>
      </c>
      <c r="I712" s="259" t="s">
        <v>54</v>
      </c>
      <c r="J712" s="259" t="s">
        <v>54</v>
      </c>
      <c r="K712" s="259" t="s">
        <v>54</v>
      </c>
      <c r="L712" s="259" t="s">
        <v>60</v>
      </c>
    </row>
    <row r="713" spans="1:12" x14ac:dyDescent="0.25">
      <c r="A713" s="259" t="s">
        <v>780</v>
      </c>
      <c r="B713" s="260">
        <v>5.19</v>
      </c>
      <c r="C713" s="260">
        <v>2</v>
      </c>
      <c r="D713" s="260">
        <v>20.02</v>
      </c>
      <c r="E713" s="260">
        <v>24.6</v>
      </c>
      <c r="F713" s="260">
        <v>2</v>
      </c>
      <c r="G713" s="260">
        <v>14.39</v>
      </c>
      <c r="H713" s="260">
        <v>0.84</v>
      </c>
      <c r="I713" s="260">
        <v>1.28</v>
      </c>
      <c r="J713" s="260">
        <v>0.9</v>
      </c>
      <c r="K713" s="260">
        <v>-0.97</v>
      </c>
      <c r="L713" s="259" t="s">
        <v>89</v>
      </c>
    </row>
    <row r="714" spans="1:12" x14ac:dyDescent="0.25">
      <c r="A714" s="259" t="s">
        <v>781</v>
      </c>
      <c r="B714" s="260">
        <v>1.05</v>
      </c>
      <c r="C714" s="260">
        <v>1.08</v>
      </c>
      <c r="D714" s="260">
        <v>19.63</v>
      </c>
      <c r="E714" s="260">
        <v>22.74</v>
      </c>
      <c r="F714" s="260">
        <v>1.08</v>
      </c>
      <c r="G714" s="260">
        <v>15.9</v>
      </c>
      <c r="H714" s="260">
        <v>0.73</v>
      </c>
      <c r="I714" s="260">
        <v>1.25</v>
      </c>
      <c r="J714" s="260">
        <v>1.1200000000000001</v>
      </c>
      <c r="K714" s="260">
        <v>0.16</v>
      </c>
      <c r="L714" s="259" t="s">
        <v>65</v>
      </c>
    </row>
    <row r="715" spans="1:12" hidden="1" x14ac:dyDescent="0.25">
      <c r="A715" s="259" t="s">
        <v>782</v>
      </c>
      <c r="B715" s="260">
        <v>17.11</v>
      </c>
      <c r="C715" s="260">
        <v>1.89</v>
      </c>
      <c r="D715" s="260">
        <v>21.91</v>
      </c>
      <c r="E715" s="260">
        <v>27.28</v>
      </c>
      <c r="F715" s="260">
        <v>1.89</v>
      </c>
      <c r="G715" s="260">
        <v>13.5</v>
      </c>
      <c r="H715" s="260">
        <v>0.96</v>
      </c>
      <c r="I715" s="260">
        <v>1.63</v>
      </c>
      <c r="J715" s="260">
        <v>0.87</v>
      </c>
      <c r="K715" s="260">
        <v>2.87</v>
      </c>
      <c r="L715" s="259" t="s">
        <v>58</v>
      </c>
    </row>
    <row r="716" spans="1:12" x14ac:dyDescent="0.25">
      <c r="A716" s="259" t="s">
        <v>783</v>
      </c>
      <c r="B716" s="260">
        <v>6.21</v>
      </c>
      <c r="C716" s="260">
        <v>1.94</v>
      </c>
      <c r="D716" s="260">
        <v>25.02</v>
      </c>
      <c r="E716" s="260">
        <v>33.450000000000003</v>
      </c>
      <c r="F716" s="260">
        <v>1.94</v>
      </c>
      <c r="G716" s="260">
        <v>16.11</v>
      </c>
      <c r="H716" s="260">
        <v>1.01</v>
      </c>
      <c r="I716" s="260">
        <v>1.39</v>
      </c>
      <c r="J716" s="260">
        <v>0.8</v>
      </c>
      <c r="K716" s="260">
        <v>1.7</v>
      </c>
      <c r="L716" s="259" t="s">
        <v>103</v>
      </c>
    </row>
    <row r="717" spans="1:12" x14ac:dyDescent="0.25">
      <c r="A717" s="259" t="s">
        <v>784</v>
      </c>
      <c r="B717" s="260">
        <v>4.5199999999999996</v>
      </c>
      <c r="C717" s="260">
        <v>1.69</v>
      </c>
      <c r="D717" s="260">
        <v>12.66</v>
      </c>
      <c r="E717" s="260">
        <v>14.26</v>
      </c>
      <c r="F717" s="260">
        <v>1.69</v>
      </c>
      <c r="G717" s="260">
        <v>7.07</v>
      </c>
      <c r="H717" s="260">
        <v>0.75</v>
      </c>
      <c r="I717" s="260">
        <v>1.2</v>
      </c>
      <c r="J717" s="260">
        <v>0.67</v>
      </c>
      <c r="K717" s="260">
        <v>-0.03</v>
      </c>
      <c r="L717" s="259" t="s">
        <v>62</v>
      </c>
    </row>
    <row r="718" spans="1:12" x14ac:dyDescent="0.25">
      <c r="A718" s="259" t="s">
        <v>785</v>
      </c>
      <c r="B718" s="259" t="s">
        <v>54</v>
      </c>
      <c r="C718" s="260">
        <v>1.0900000000000001</v>
      </c>
      <c r="D718" s="259" t="s">
        <v>54</v>
      </c>
      <c r="E718" s="259" t="s">
        <v>54</v>
      </c>
      <c r="F718" s="260">
        <v>1.0900000000000001</v>
      </c>
      <c r="G718" s="259" t="s">
        <v>54</v>
      </c>
      <c r="H718" s="259" t="s">
        <v>54</v>
      </c>
      <c r="I718" s="259" t="s">
        <v>54</v>
      </c>
      <c r="J718" s="259" t="s">
        <v>54</v>
      </c>
      <c r="K718" s="259" t="s">
        <v>54</v>
      </c>
      <c r="L718" s="259" t="s">
        <v>71</v>
      </c>
    </row>
    <row r="719" spans="1:12" hidden="1" x14ac:dyDescent="0.25">
      <c r="A719" s="259" t="s">
        <v>786</v>
      </c>
      <c r="B719" s="259" t="s">
        <v>54</v>
      </c>
      <c r="C719" s="260">
        <v>1.08</v>
      </c>
      <c r="D719" s="259" t="s">
        <v>54</v>
      </c>
      <c r="E719" s="259" t="s">
        <v>54</v>
      </c>
      <c r="F719" s="260">
        <v>1.08</v>
      </c>
      <c r="G719" s="259" t="s">
        <v>54</v>
      </c>
      <c r="H719" s="259" t="s">
        <v>54</v>
      </c>
      <c r="I719" s="259" t="s">
        <v>54</v>
      </c>
      <c r="J719" s="259" t="s">
        <v>54</v>
      </c>
      <c r="K719" s="259" t="s">
        <v>54</v>
      </c>
      <c r="L719" s="259" t="s">
        <v>58</v>
      </c>
    </row>
    <row r="720" spans="1:12" x14ac:dyDescent="0.25">
      <c r="A720" s="259" t="s">
        <v>787</v>
      </c>
      <c r="B720" s="260">
        <v>7.11</v>
      </c>
      <c r="C720" s="260">
        <v>0.56999999999999995</v>
      </c>
      <c r="D720" s="260">
        <v>15.15</v>
      </c>
      <c r="E720" s="260">
        <v>19.57</v>
      </c>
      <c r="F720" s="260">
        <v>0.56999999999999995</v>
      </c>
      <c r="G720" s="260">
        <v>12.67</v>
      </c>
      <c r="H720" s="260">
        <v>0.62</v>
      </c>
      <c r="I720" s="260">
        <v>1.02</v>
      </c>
      <c r="J720" s="260">
        <v>0.91</v>
      </c>
      <c r="K720" s="260">
        <v>-1.55</v>
      </c>
      <c r="L720" s="259" t="s">
        <v>65</v>
      </c>
    </row>
    <row r="721" spans="1:12" hidden="1" x14ac:dyDescent="0.25">
      <c r="A721" s="259" t="s">
        <v>788</v>
      </c>
      <c r="B721" s="260">
        <v>-0.39</v>
      </c>
      <c r="C721" s="260">
        <v>1.91</v>
      </c>
      <c r="D721" s="260">
        <v>23.22</v>
      </c>
      <c r="E721" s="259" t="s">
        <v>54</v>
      </c>
      <c r="F721" s="260">
        <v>1.91</v>
      </c>
      <c r="G721" s="260">
        <v>14.41</v>
      </c>
      <c r="H721" s="260">
        <v>1.03</v>
      </c>
      <c r="I721" s="260">
        <v>1.58</v>
      </c>
      <c r="J721" s="260">
        <v>0.96</v>
      </c>
      <c r="K721" s="260">
        <v>3.75</v>
      </c>
      <c r="L721" s="259" t="s">
        <v>58</v>
      </c>
    </row>
    <row r="722" spans="1:12" hidden="1" x14ac:dyDescent="0.25">
      <c r="A722" s="259" t="s">
        <v>789</v>
      </c>
      <c r="B722" s="260">
        <v>0.36</v>
      </c>
      <c r="C722" s="260">
        <v>2.1800000000000002</v>
      </c>
      <c r="D722" s="260">
        <v>20.03</v>
      </c>
      <c r="E722" s="259" t="s">
        <v>54</v>
      </c>
      <c r="F722" s="260">
        <v>2.1800000000000002</v>
      </c>
      <c r="G722" s="260">
        <v>15.25</v>
      </c>
      <c r="H722" s="260">
        <v>0.77</v>
      </c>
      <c r="I722" s="260">
        <v>1.18</v>
      </c>
      <c r="J722" s="260">
        <v>1.01</v>
      </c>
      <c r="K722" s="260">
        <v>0.03</v>
      </c>
      <c r="L722" s="259" t="s">
        <v>69</v>
      </c>
    </row>
    <row r="723" spans="1:12" hidden="1" x14ac:dyDescent="0.25">
      <c r="A723" s="259" t="s">
        <v>790</v>
      </c>
      <c r="B723" s="260">
        <v>-2.6</v>
      </c>
      <c r="C723" s="260">
        <v>1.9</v>
      </c>
      <c r="D723" s="260">
        <v>13.91</v>
      </c>
      <c r="E723" s="260">
        <v>20.61</v>
      </c>
      <c r="F723" s="260">
        <v>1.9</v>
      </c>
      <c r="G723" s="260">
        <v>14.08</v>
      </c>
      <c r="H723" s="260">
        <v>0.45</v>
      </c>
      <c r="I723" s="260">
        <v>0.6</v>
      </c>
      <c r="J723" s="260">
        <v>0.9</v>
      </c>
      <c r="K723" s="260">
        <v>-4.0199999999999996</v>
      </c>
      <c r="L723" s="259" t="s">
        <v>58</v>
      </c>
    </row>
    <row r="724" spans="1:12" x14ac:dyDescent="0.25">
      <c r="A724" s="259" t="s">
        <v>791</v>
      </c>
      <c r="B724" s="260">
        <v>10.02</v>
      </c>
      <c r="C724" s="260">
        <v>1.9</v>
      </c>
      <c r="D724" s="260">
        <v>18.34</v>
      </c>
      <c r="E724" s="260">
        <v>20.059999999999999</v>
      </c>
      <c r="F724" s="260">
        <v>1.9</v>
      </c>
      <c r="G724" s="260">
        <v>12.22</v>
      </c>
      <c r="H724" s="260">
        <v>0.85</v>
      </c>
      <c r="I724" s="260">
        <v>1.5</v>
      </c>
      <c r="J724" s="260">
        <v>0.8</v>
      </c>
      <c r="K724" s="260">
        <v>1.19</v>
      </c>
      <c r="L724" s="259" t="s">
        <v>55</v>
      </c>
    </row>
    <row r="725" spans="1:12" x14ac:dyDescent="0.25">
      <c r="A725" s="259" t="s">
        <v>792</v>
      </c>
      <c r="B725" s="260">
        <v>3.57</v>
      </c>
      <c r="C725" s="260">
        <v>2.04</v>
      </c>
      <c r="D725" s="260">
        <v>18.3</v>
      </c>
      <c r="E725" s="260">
        <v>22.9</v>
      </c>
      <c r="F725" s="260">
        <v>2.04</v>
      </c>
      <c r="G725" s="260">
        <v>14.17</v>
      </c>
      <c r="H725" s="260">
        <v>0.73</v>
      </c>
      <c r="I725" s="260">
        <v>1.1100000000000001</v>
      </c>
      <c r="J725" s="260">
        <v>0.93</v>
      </c>
      <c r="K725" s="260">
        <v>-0.4</v>
      </c>
      <c r="L725" s="259" t="s">
        <v>55</v>
      </c>
    </row>
    <row r="726" spans="1:12" hidden="1" x14ac:dyDescent="0.25">
      <c r="A726" s="259" t="s">
        <v>793</v>
      </c>
      <c r="B726" s="260">
        <v>-3.11</v>
      </c>
      <c r="C726" s="260">
        <v>2.36</v>
      </c>
      <c r="D726" s="259" t="s">
        <v>54</v>
      </c>
      <c r="E726" s="259" t="s">
        <v>54</v>
      </c>
      <c r="F726" s="260">
        <v>2.36</v>
      </c>
      <c r="G726" s="259" t="s">
        <v>54</v>
      </c>
      <c r="H726" s="259" t="s">
        <v>54</v>
      </c>
      <c r="I726" s="259" t="s">
        <v>54</v>
      </c>
      <c r="J726" s="259" t="s">
        <v>54</v>
      </c>
      <c r="K726" s="259" t="s">
        <v>54</v>
      </c>
      <c r="L726" s="259" t="s">
        <v>58</v>
      </c>
    </row>
    <row r="727" spans="1:12" hidden="1" x14ac:dyDescent="0.25">
      <c r="A727" s="259" t="s">
        <v>794</v>
      </c>
      <c r="B727" s="260">
        <v>6.78</v>
      </c>
      <c r="C727" s="260">
        <v>1.99</v>
      </c>
      <c r="D727" s="260">
        <v>21.69</v>
      </c>
      <c r="E727" s="260">
        <v>22.17</v>
      </c>
      <c r="F727" s="260">
        <v>1.99</v>
      </c>
      <c r="G727" s="260">
        <v>15.81</v>
      </c>
      <c r="H727" s="260">
        <v>0.86</v>
      </c>
      <c r="I727" s="260">
        <v>1.18</v>
      </c>
      <c r="J727" s="260">
        <v>0.84</v>
      </c>
      <c r="K727" s="260">
        <v>1.52</v>
      </c>
      <c r="L727" s="259" t="s">
        <v>81</v>
      </c>
    </row>
    <row r="728" spans="1:12" hidden="1" x14ac:dyDescent="0.25">
      <c r="A728" s="259" t="s">
        <v>795</v>
      </c>
      <c r="B728" s="259" t="s">
        <v>54</v>
      </c>
      <c r="C728" s="260">
        <v>2.0299999999999998</v>
      </c>
      <c r="D728" s="259" t="s">
        <v>54</v>
      </c>
      <c r="E728" s="259" t="s">
        <v>54</v>
      </c>
      <c r="F728" s="260">
        <v>2.0299999999999998</v>
      </c>
      <c r="G728" s="259" t="s">
        <v>54</v>
      </c>
      <c r="H728" s="259" t="s">
        <v>54</v>
      </c>
      <c r="I728" s="259" t="s">
        <v>54</v>
      </c>
      <c r="J728" s="259" t="s">
        <v>54</v>
      </c>
      <c r="K728" s="259" t="s">
        <v>54</v>
      </c>
      <c r="L728" s="259" t="s">
        <v>58</v>
      </c>
    </row>
    <row r="729" spans="1:12" x14ac:dyDescent="0.25">
      <c r="A729" s="259" t="s">
        <v>796</v>
      </c>
      <c r="B729" s="260">
        <v>3.31</v>
      </c>
      <c r="C729" s="260">
        <v>2.0099999999999998</v>
      </c>
      <c r="D729" s="260">
        <v>17.75</v>
      </c>
      <c r="E729" s="260">
        <v>21.92</v>
      </c>
      <c r="F729" s="260">
        <v>2.0099999999999998</v>
      </c>
      <c r="G729" s="260">
        <v>13.6</v>
      </c>
      <c r="H729" s="260">
        <v>0.74</v>
      </c>
      <c r="I729" s="260">
        <v>1.21</v>
      </c>
      <c r="J729" s="260">
        <v>0.98</v>
      </c>
      <c r="K729" s="260">
        <v>-0.04</v>
      </c>
      <c r="L729" s="259" t="s">
        <v>65</v>
      </c>
    </row>
    <row r="730" spans="1:12" x14ac:dyDescent="0.25">
      <c r="A730" s="259" t="s">
        <v>797</v>
      </c>
      <c r="B730" s="260">
        <v>4.4000000000000004</v>
      </c>
      <c r="C730" s="260">
        <v>1.75</v>
      </c>
      <c r="D730" s="260">
        <v>20.21</v>
      </c>
      <c r="E730" s="260">
        <v>23.29</v>
      </c>
      <c r="F730" s="260">
        <v>1.75</v>
      </c>
      <c r="G730" s="260">
        <v>13.26</v>
      </c>
      <c r="H730" s="260">
        <v>0.89</v>
      </c>
      <c r="I730" s="260">
        <v>1.47</v>
      </c>
      <c r="J730" s="260">
        <v>0.89</v>
      </c>
      <c r="K730" s="260">
        <v>1.96</v>
      </c>
      <c r="L730" s="259" t="s">
        <v>71</v>
      </c>
    </row>
    <row r="731" spans="1:12" x14ac:dyDescent="0.25">
      <c r="A731" s="259" t="s">
        <v>798</v>
      </c>
      <c r="B731" s="260">
        <v>-0.3</v>
      </c>
      <c r="C731" s="260">
        <v>1.85</v>
      </c>
      <c r="D731" s="260">
        <v>24.05</v>
      </c>
      <c r="E731" s="260">
        <v>27.29</v>
      </c>
      <c r="F731" s="260">
        <v>1.85</v>
      </c>
      <c r="G731" s="260">
        <v>15.64</v>
      </c>
      <c r="H731" s="260">
        <v>0.96</v>
      </c>
      <c r="I731" s="260">
        <v>1.38</v>
      </c>
      <c r="J731" s="260">
        <v>0.91</v>
      </c>
      <c r="K731" s="260">
        <v>-1.44</v>
      </c>
      <c r="L731" s="259" t="s">
        <v>84</v>
      </c>
    </row>
    <row r="732" spans="1:12" x14ac:dyDescent="0.25">
      <c r="A732" s="259" t="s">
        <v>799</v>
      </c>
      <c r="B732" s="260">
        <v>7.67</v>
      </c>
      <c r="C732" s="260">
        <v>1.84</v>
      </c>
      <c r="D732" s="260">
        <v>16.13</v>
      </c>
      <c r="E732" s="260">
        <v>18.64</v>
      </c>
      <c r="F732" s="260">
        <v>1.84</v>
      </c>
      <c r="G732" s="260">
        <v>8.5399999999999991</v>
      </c>
      <c r="H732" s="260">
        <v>0.96</v>
      </c>
      <c r="I732" s="260">
        <v>1.55</v>
      </c>
      <c r="J732" s="260">
        <v>0.86</v>
      </c>
      <c r="K732" s="260">
        <v>0.55000000000000004</v>
      </c>
      <c r="L732" s="259" t="s">
        <v>60</v>
      </c>
    </row>
    <row r="733" spans="1:12" x14ac:dyDescent="0.25">
      <c r="A733" s="259" t="s">
        <v>800</v>
      </c>
      <c r="B733" s="260">
        <v>-0.39</v>
      </c>
      <c r="C733" s="260">
        <v>1.88</v>
      </c>
      <c r="D733" s="259" t="s">
        <v>54</v>
      </c>
      <c r="E733" s="259" t="s">
        <v>54</v>
      </c>
      <c r="F733" s="260">
        <v>1.88</v>
      </c>
      <c r="G733" s="259" t="s">
        <v>54</v>
      </c>
      <c r="H733" s="259" t="s">
        <v>54</v>
      </c>
      <c r="I733" s="259" t="s">
        <v>54</v>
      </c>
      <c r="J733" s="259" t="s">
        <v>54</v>
      </c>
      <c r="K733" s="259" t="s">
        <v>54</v>
      </c>
      <c r="L733" s="259" t="s">
        <v>89</v>
      </c>
    </row>
    <row r="734" spans="1:12" x14ac:dyDescent="0.25">
      <c r="A734" s="259" t="s">
        <v>801</v>
      </c>
      <c r="B734" s="259" t="s">
        <v>54</v>
      </c>
      <c r="C734" s="260">
        <v>1.1100000000000001</v>
      </c>
      <c r="D734" s="259" t="s">
        <v>54</v>
      </c>
      <c r="E734" s="259" t="s">
        <v>54</v>
      </c>
      <c r="F734" s="260">
        <v>1.1100000000000001</v>
      </c>
      <c r="G734" s="259" t="s">
        <v>54</v>
      </c>
      <c r="H734" s="259" t="s">
        <v>54</v>
      </c>
      <c r="I734" s="259" t="s">
        <v>54</v>
      </c>
      <c r="J734" s="259" t="s">
        <v>54</v>
      </c>
      <c r="K734" s="259" t="s">
        <v>54</v>
      </c>
      <c r="L734" s="259" t="s">
        <v>71</v>
      </c>
    </row>
    <row r="735" spans="1:12" hidden="1" x14ac:dyDescent="0.25">
      <c r="A735" s="259" t="s">
        <v>802</v>
      </c>
      <c r="B735" s="260">
        <v>1.06</v>
      </c>
      <c r="C735" s="260">
        <v>1.1100000000000001</v>
      </c>
      <c r="D735" s="259" t="s">
        <v>54</v>
      </c>
      <c r="E735" s="259" t="s">
        <v>54</v>
      </c>
      <c r="F735" s="260">
        <v>1.1100000000000001</v>
      </c>
      <c r="G735" s="259" t="s">
        <v>54</v>
      </c>
      <c r="H735" s="259" t="s">
        <v>54</v>
      </c>
      <c r="I735" s="259" t="s">
        <v>54</v>
      </c>
      <c r="J735" s="259" t="s">
        <v>54</v>
      </c>
      <c r="K735" s="259" t="s">
        <v>54</v>
      </c>
      <c r="L735" s="259" t="s">
        <v>58</v>
      </c>
    </row>
    <row r="736" spans="1:12" x14ac:dyDescent="0.25">
      <c r="A736" s="259" t="s">
        <v>803</v>
      </c>
      <c r="B736" s="260">
        <v>7.77</v>
      </c>
      <c r="C736" s="260">
        <v>0.06</v>
      </c>
      <c r="D736" s="260">
        <v>16.52</v>
      </c>
      <c r="E736" s="260">
        <v>21.39</v>
      </c>
      <c r="F736" s="260">
        <v>0.06</v>
      </c>
      <c r="G736" s="260">
        <v>13.1</v>
      </c>
      <c r="H736" s="260">
        <v>0.69</v>
      </c>
      <c r="I736" s="260">
        <v>1.17</v>
      </c>
      <c r="J736" s="260">
        <v>0.95</v>
      </c>
      <c r="K736" s="260">
        <v>-0.76</v>
      </c>
      <c r="L736" s="259" t="s">
        <v>65</v>
      </c>
    </row>
    <row r="737" spans="1:12" x14ac:dyDescent="0.25">
      <c r="A737" s="259" t="s">
        <v>804</v>
      </c>
      <c r="B737" s="260">
        <v>7.17</v>
      </c>
      <c r="C737" s="260">
        <v>0.51</v>
      </c>
      <c r="D737" s="260">
        <v>15.91</v>
      </c>
      <c r="E737" s="260">
        <v>20.59</v>
      </c>
      <c r="F737" s="260">
        <v>0.51</v>
      </c>
      <c r="G737" s="260">
        <v>13.1</v>
      </c>
      <c r="H737" s="260">
        <v>0.64</v>
      </c>
      <c r="I737" s="260">
        <v>1.1000000000000001</v>
      </c>
      <c r="J737" s="260">
        <v>0.95</v>
      </c>
      <c r="K737" s="260">
        <v>-1.29</v>
      </c>
      <c r="L737" s="259" t="s">
        <v>65</v>
      </c>
    </row>
    <row r="738" spans="1:12" hidden="1" x14ac:dyDescent="0.25">
      <c r="A738" s="259" t="s">
        <v>805</v>
      </c>
      <c r="B738" s="260">
        <v>-7.41</v>
      </c>
      <c r="C738" s="260">
        <v>1.1100000000000001</v>
      </c>
      <c r="D738" s="259" t="s">
        <v>54</v>
      </c>
      <c r="E738" s="259" t="s">
        <v>54</v>
      </c>
      <c r="F738" s="260">
        <v>1.1100000000000001</v>
      </c>
      <c r="G738" s="259" t="s">
        <v>54</v>
      </c>
      <c r="H738" s="259" t="s">
        <v>54</v>
      </c>
      <c r="I738" s="259" t="s">
        <v>54</v>
      </c>
      <c r="J738" s="259" t="s">
        <v>54</v>
      </c>
      <c r="K738" s="259" t="s">
        <v>54</v>
      </c>
      <c r="L738" s="259" t="s">
        <v>58</v>
      </c>
    </row>
    <row r="739" spans="1:12" hidden="1" x14ac:dyDescent="0.25">
      <c r="A739" s="259" t="s">
        <v>806</v>
      </c>
      <c r="B739" s="259" t="s">
        <v>54</v>
      </c>
      <c r="C739" s="260">
        <v>1.1200000000000001</v>
      </c>
      <c r="D739" s="259" t="s">
        <v>54</v>
      </c>
      <c r="E739" s="259" t="s">
        <v>54</v>
      </c>
      <c r="F739" s="260">
        <v>1.1200000000000001</v>
      </c>
      <c r="G739" s="259" t="s">
        <v>54</v>
      </c>
      <c r="H739" s="259" t="s">
        <v>54</v>
      </c>
      <c r="I739" s="259" t="s">
        <v>54</v>
      </c>
      <c r="J739" s="259" t="s">
        <v>54</v>
      </c>
      <c r="K739" s="259" t="s">
        <v>54</v>
      </c>
      <c r="L739" s="259" t="s">
        <v>58</v>
      </c>
    </row>
    <row r="740" spans="1:12" hidden="1" x14ac:dyDescent="0.25">
      <c r="A740" s="259" t="s">
        <v>807</v>
      </c>
      <c r="B740" s="259" t="s">
        <v>54</v>
      </c>
      <c r="C740" s="260">
        <v>1.1100000000000001</v>
      </c>
      <c r="D740" s="259" t="s">
        <v>54</v>
      </c>
      <c r="E740" s="259" t="s">
        <v>54</v>
      </c>
      <c r="F740" s="260">
        <v>1.1100000000000001</v>
      </c>
      <c r="G740" s="259" t="s">
        <v>54</v>
      </c>
      <c r="H740" s="259" t="s">
        <v>54</v>
      </c>
      <c r="I740" s="259" t="s">
        <v>54</v>
      </c>
      <c r="J740" s="259" t="s">
        <v>54</v>
      </c>
      <c r="K740" s="259" t="s">
        <v>54</v>
      </c>
      <c r="L740" s="259" t="s">
        <v>58</v>
      </c>
    </row>
    <row r="741" spans="1:12" x14ac:dyDescent="0.25">
      <c r="A741" s="259" t="s">
        <v>808</v>
      </c>
      <c r="B741" s="259" t="s">
        <v>54</v>
      </c>
      <c r="C741" s="259" t="s">
        <v>54</v>
      </c>
      <c r="D741" s="259" t="s">
        <v>54</v>
      </c>
      <c r="E741" s="259" t="s">
        <v>54</v>
      </c>
      <c r="F741" s="259" t="s">
        <v>54</v>
      </c>
      <c r="G741" s="259" t="s">
        <v>54</v>
      </c>
      <c r="H741" s="259" t="s">
        <v>54</v>
      </c>
      <c r="I741" s="259" t="s">
        <v>54</v>
      </c>
      <c r="J741" s="259" t="s">
        <v>54</v>
      </c>
      <c r="K741" s="259" t="s">
        <v>54</v>
      </c>
      <c r="L741" s="259" t="s">
        <v>84</v>
      </c>
    </row>
    <row r="742" spans="1:12" x14ac:dyDescent="0.25">
      <c r="A742" s="259" t="s">
        <v>809</v>
      </c>
      <c r="B742" s="260">
        <v>-1.05</v>
      </c>
      <c r="C742" s="260">
        <v>1.05</v>
      </c>
      <c r="D742" s="259" t="s">
        <v>54</v>
      </c>
      <c r="E742" s="259" t="s">
        <v>54</v>
      </c>
      <c r="F742" s="260">
        <v>1.05</v>
      </c>
      <c r="G742" s="259" t="s">
        <v>54</v>
      </c>
      <c r="H742" s="259" t="s">
        <v>54</v>
      </c>
      <c r="I742" s="259" t="s">
        <v>54</v>
      </c>
      <c r="J742" s="259" t="s">
        <v>54</v>
      </c>
      <c r="K742" s="259" t="s">
        <v>54</v>
      </c>
      <c r="L742" s="259" t="s">
        <v>84</v>
      </c>
    </row>
    <row r="743" spans="1:12" hidden="1" x14ac:dyDescent="0.25">
      <c r="A743" s="259" t="s">
        <v>810</v>
      </c>
      <c r="B743" s="260">
        <v>-9.09</v>
      </c>
      <c r="C743" s="260">
        <v>1.1100000000000001</v>
      </c>
      <c r="D743" s="259" t="s">
        <v>54</v>
      </c>
      <c r="E743" s="259" t="s">
        <v>54</v>
      </c>
      <c r="F743" s="260">
        <v>1.1100000000000001</v>
      </c>
      <c r="G743" s="259" t="s">
        <v>54</v>
      </c>
      <c r="H743" s="259" t="s">
        <v>54</v>
      </c>
      <c r="I743" s="259" t="s">
        <v>54</v>
      </c>
      <c r="J743" s="259" t="s">
        <v>54</v>
      </c>
      <c r="K743" s="259" t="s">
        <v>54</v>
      </c>
      <c r="L743" s="259" t="s">
        <v>58</v>
      </c>
    </row>
    <row r="744" spans="1:12" hidden="1" x14ac:dyDescent="0.25">
      <c r="A744" s="259" t="s">
        <v>811</v>
      </c>
      <c r="B744" s="260">
        <v>1.52</v>
      </c>
      <c r="C744" s="260">
        <v>2.13</v>
      </c>
      <c r="D744" s="260">
        <v>18.95</v>
      </c>
      <c r="E744" s="260">
        <v>25.36</v>
      </c>
      <c r="F744" s="260">
        <v>2.13</v>
      </c>
      <c r="G744" s="260">
        <v>17.11</v>
      </c>
      <c r="H744" s="260">
        <v>0.67</v>
      </c>
      <c r="I744" s="260">
        <v>1.04</v>
      </c>
      <c r="J744" s="260">
        <v>0.62</v>
      </c>
      <c r="K744" s="260">
        <v>4.51</v>
      </c>
      <c r="L744" s="259" t="s">
        <v>194</v>
      </c>
    </row>
    <row r="745" spans="1:12" x14ac:dyDescent="0.25">
      <c r="A745" s="259" t="s">
        <v>812</v>
      </c>
      <c r="B745" s="260">
        <v>7.86</v>
      </c>
      <c r="C745" s="260">
        <v>2</v>
      </c>
      <c r="D745" s="260">
        <v>19.41</v>
      </c>
      <c r="E745" s="260">
        <v>19.57</v>
      </c>
      <c r="F745" s="260">
        <v>2</v>
      </c>
      <c r="G745" s="260">
        <v>13.75</v>
      </c>
      <c r="H745" s="260">
        <v>0.81</v>
      </c>
      <c r="I745" s="260">
        <v>1.06</v>
      </c>
      <c r="J745" s="260">
        <v>0.88</v>
      </c>
      <c r="K745" s="260">
        <v>0.99</v>
      </c>
      <c r="L745" s="259" t="s">
        <v>55</v>
      </c>
    </row>
    <row r="746" spans="1:12" x14ac:dyDescent="0.25">
      <c r="A746" s="259" t="s">
        <v>813</v>
      </c>
      <c r="B746" s="260">
        <v>6.52</v>
      </c>
      <c r="C746" s="260">
        <v>1.68</v>
      </c>
      <c r="D746" s="260">
        <v>26.02</v>
      </c>
      <c r="E746" s="260">
        <v>34.590000000000003</v>
      </c>
      <c r="F746" s="260">
        <v>1.68</v>
      </c>
      <c r="G746" s="260">
        <v>16.37</v>
      </c>
      <c r="H746" s="260">
        <v>1.06</v>
      </c>
      <c r="I746" s="260">
        <v>1.47</v>
      </c>
      <c r="J746" s="260">
        <v>0.78</v>
      </c>
      <c r="K746" s="260">
        <v>3.11</v>
      </c>
      <c r="L746" s="259" t="s">
        <v>103</v>
      </c>
    </row>
    <row r="747" spans="1:12" x14ac:dyDescent="0.25">
      <c r="A747" s="259" t="s">
        <v>814</v>
      </c>
      <c r="B747" s="260">
        <v>5.9</v>
      </c>
      <c r="C747" s="260">
        <v>2.58</v>
      </c>
      <c r="D747" s="260">
        <v>18</v>
      </c>
      <c r="E747" s="260">
        <v>21.71</v>
      </c>
      <c r="F747" s="260">
        <v>2.58</v>
      </c>
      <c r="G747" s="260">
        <v>13.53</v>
      </c>
      <c r="H747" s="260">
        <v>0.74</v>
      </c>
      <c r="I747" s="260">
        <v>1.1599999999999999</v>
      </c>
      <c r="J747" s="260">
        <v>0.9</v>
      </c>
      <c r="K747" s="260">
        <v>-0.36</v>
      </c>
      <c r="L747" s="259" t="s">
        <v>55</v>
      </c>
    </row>
    <row r="748" spans="1:12" hidden="1" x14ac:dyDescent="0.25">
      <c r="A748" s="259" t="s">
        <v>815</v>
      </c>
      <c r="B748" s="260">
        <v>-0.08</v>
      </c>
      <c r="C748" s="260">
        <v>2.39</v>
      </c>
      <c r="D748" s="260">
        <v>17.13</v>
      </c>
      <c r="E748" s="260">
        <v>20.170000000000002</v>
      </c>
      <c r="F748" s="260">
        <v>2.39</v>
      </c>
      <c r="G748" s="260">
        <v>14.82</v>
      </c>
      <c r="H748" s="260">
        <v>0.66</v>
      </c>
      <c r="I748" s="260">
        <v>0.94</v>
      </c>
      <c r="J748" s="260">
        <v>0.93</v>
      </c>
      <c r="K748" s="260">
        <v>-0.94</v>
      </c>
      <c r="L748" s="259" t="s">
        <v>58</v>
      </c>
    </row>
    <row r="749" spans="1:12" x14ac:dyDescent="0.25">
      <c r="A749" s="259" t="s">
        <v>816</v>
      </c>
      <c r="B749" s="260">
        <v>0.42</v>
      </c>
      <c r="C749" s="260">
        <v>2.64</v>
      </c>
      <c r="D749" s="260">
        <v>17.55</v>
      </c>
      <c r="E749" s="260">
        <v>19.920000000000002</v>
      </c>
      <c r="F749" s="260">
        <v>2.64</v>
      </c>
      <c r="G749" s="260">
        <v>15.7</v>
      </c>
      <c r="H749" s="260">
        <v>0.63</v>
      </c>
      <c r="I749" s="260">
        <v>0.95</v>
      </c>
      <c r="J749" s="260">
        <v>1.02</v>
      </c>
      <c r="K749" s="260">
        <v>-1.88</v>
      </c>
      <c r="L749" s="259" t="s">
        <v>55</v>
      </c>
    </row>
    <row r="750" spans="1:12" x14ac:dyDescent="0.25">
      <c r="A750" s="259" t="s">
        <v>817</v>
      </c>
      <c r="B750" s="260">
        <v>3.28</v>
      </c>
      <c r="C750" s="260">
        <v>2.59</v>
      </c>
      <c r="D750" s="260">
        <v>18.309999999999999</v>
      </c>
      <c r="E750" s="260">
        <v>19.71</v>
      </c>
      <c r="F750" s="260">
        <v>2.59</v>
      </c>
      <c r="G750" s="260">
        <v>16.489999999999998</v>
      </c>
      <c r="H750" s="260">
        <v>0.63</v>
      </c>
      <c r="I750" s="260">
        <v>0.99</v>
      </c>
      <c r="J750" s="260">
        <v>1.1000000000000001</v>
      </c>
      <c r="K750" s="260">
        <v>-1</v>
      </c>
      <c r="L750" s="259" t="s">
        <v>65</v>
      </c>
    </row>
    <row r="751" spans="1:12" x14ac:dyDescent="0.25">
      <c r="A751" s="259" t="s">
        <v>818</v>
      </c>
      <c r="B751" s="260">
        <v>-0.6</v>
      </c>
      <c r="C751" s="260">
        <v>2.56</v>
      </c>
      <c r="D751" s="260">
        <v>21.52</v>
      </c>
      <c r="E751" s="260">
        <v>24.36</v>
      </c>
      <c r="F751" s="260">
        <v>2.56</v>
      </c>
      <c r="G751" s="260">
        <v>17.48</v>
      </c>
      <c r="H751" s="260">
        <v>0.82</v>
      </c>
      <c r="I751" s="260">
        <v>1.44</v>
      </c>
      <c r="J751" s="260">
        <v>0.99</v>
      </c>
      <c r="K751" s="260">
        <v>-3.52</v>
      </c>
      <c r="L751" s="259" t="s">
        <v>84</v>
      </c>
    </row>
    <row r="752" spans="1:12" x14ac:dyDescent="0.25">
      <c r="A752" s="259" t="s">
        <v>819</v>
      </c>
      <c r="B752" s="260">
        <v>6.61</v>
      </c>
      <c r="C752" s="260">
        <v>1.07</v>
      </c>
      <c r="D752" s="260">
        <v>15.37</v>
      </c>
      <c r="E752" s="260">
        <v>20.29</v>
      </c>
      <c r="F752" s="260">
        <v>1.07</v>
      </c>
      <c r="G752" s="260">
        <v>13.02</v>
      </c>
      <c r="H752" s="260">
        <v>0.61</v>
      </c>
      <c r="I752" s="260">
        <v>1.05</v>
      </c>
      <c r="J752" s="260">
        <v>0.94</v>
      </c>
      <c r="K752" s="260">
        <v>-1.78</v>
      </c>
      <c r="L752" s="259" t="s">
        <v>65</v>
      </c>
    </row>
    <row r="753" spans="1:12" hidden="1" x14ac:dyDescent="0.25">
      <c r="A753" s="259" t="s">
        <v>820</v>
      </c>
      <c r="B753" s="260">
        <v>1.61</v>
      </c>
      <c r="C753" s="260">
        <v>2.09</v>
      </c>
      <c r="D753" s="260">
        <v>18.45</v>
      </c>
      <c r="E753" s="260">
        <v>28.13</v>
      </c>
      <c r="F753" s="260">
        <v>2.09</v>
      </c>
      <c r="G753" s="260">
        <v>13.28</v>
      </c>
      <c r="H753" s="260">
        <v>0.84</v>
      </c>
      <c r="I753" s="260">
        <v>1.33</v>
      </c>
      <c r="J753" s="260">
        <v>0.79</v>
      </c>
      <c r="K753" s="260">
        <v>2.11</v>
      </c>
      <c r="L753" s="259" t="s">
        <v>69</v>
      </c>
    </row>
    <row r="754" spans="1:12" x14ac:dyDescent="0.25">
      <c r="A754" s="259" t="s">
        <v>821</v>
      </c>
      <c r="B754" s="260">
        <v>7.69</v>
      </c>
      <c r="C754" s="260">
        <v>2.12</v>
      </c>
      <c r="D754" s="259" t="s">
        <v>54</v>
      </c>
      <c r="E754" s="259" t="s">
        <v>54</v>
      </c>
      <c r="F754" s="260">
        <v>2.12</v>
      </c>
      <c r="G754" s="259" t="s">
        <v>54</v>
      </c>
      <c r="H754" s="259" t="s">
        <v>54</v>
      </c>
      <c r="I754" s="259" t="s">
        <v>54</v>
      </c>
      <c r="J754" s="259" t="s">
        <v>54</v>
      </c>
      <c r="K754" s="259" t="s">
        <v>54</v>
      </c>
      <c r="L754" s="259" t="s">
        <v>55</v>
      </c>
    </row>
    <row r="755" spans="1:12" x14ac:dyDescent="0.25">
      <c r="A755" s="259" t="s">
        <v>822</v>
      </c>
      <c r="B755" s="259" t="s">
        <v>54</v>
      </c>
      <c r="C755" s="260">
        <v>2.17</v>
      </c>
      <c r="D755" s="259" t="s">
        <v>54</v>
      </c>
      <c r="E755" s="259" t="s">
        <v>54</v>
      </c>
      <c r="F755" s="260">
        <v>2.17</v>
      </c>
      <c r="G755" s="259" t="s">
        <v>54</v>
      </c>
      <c r="H755" s="259" t="s">
        <v>54</v>
      </c>
      <c r="I755" s="259" t="s">
        <v>54</v>
      </c>
      <c r="J755" s="259" t="s">
        <v>54</v>
      </c>
      <c r="K755" s="259" t="s">
        <v>54</v>
      </c>
      <c r="L755" s="259" t="s">
        <v>103</v>
      </c>
    </row>
    <row r="756" spans="1:12" x14ac:dyDescent="0.25">
      <c r="A756" s="259" t="s">
        <v>823</v>
      </c>
      <c r="B756" s="259" t="s">
        <v>54</v>
      </c>
      <c r="C756" s="260">
        <v>1.52</v>
      </c>
      <c r="D756" s="259" t="s">
        <v>54</v>
      </c>
      <c r="E756" s="259" t="s">
        <v>54</v>
      </c>
      <c r="F756" s="260">
        <v>1.52</v>
      </c>
      <c r="G756" s="259" t="s">
        <v>54</v>
      </c>
      <c r="H756" s="259" t="s">
        <v>54</v>
      </c>
      <c r="I756" s="259" t="s">
        <v>54</v>
      </c>
      <c r="J756" s="259" t="s">
        <v>54</v>
      </c>
      <c r="K756" s="259" t="s">
        <v>54</v>
      </c>
      <c r="L756" s="259" t="s">
        <v>62</v>
      </c>
    </row>
    <row r="757" spans="1:12" x14ac:dyDescent="0.25">
      <c r="A757" s="259" t="s">
        <v>824</v>
      </c>
      <c r="B757" s="259" t="s">
        <v>54</v>
      </c>
      <c r="C757" s="259" t="s">
        <v>54</v>
      </c>
      <c r="D757" s="259" t="s">
        <v>54</v>
      </c>
      <c r="E757" s="259" t="s">
        <v>54</v>
      </c>
      <c r="F757" s="259" t="s">
        <v>54</v>
      </c>
      <c r="G757" s="259" t="s">
        <v>54</v>
      </c>
      <c r="H757" s="259" t="s">
        <v>54</v>
      </c>
      <c r="I757" s="259" t="s">
        <v>54</v>
      </c>
      <c r="J757" s="259" t="s">
        <v>54</v>
      </c>
      <c r="K757" s="259" t="s">
        <v>54</v>
      </c>
      <c r="L757" s="259" t="s">
        <v>55</v>
      </c>
    </row>
    <row r="758" spans="1:12" hidden="1" x14ac:dyDescent="0.25">
      <c r="A758" s="259" t="s">
        <v>825</v>
      </c>
      <c r="B758" s="259" t="s">
        <v>54</v>
      </c>
      <c r="C758" s="260">
        <v>2.44</v>
      </c>
      <c r="D758" s="259" t="s">
        <v>54</v>
      </c>
      <c r="E758" s="259" t="s">
        <v>54</v>
      </c>
      <c r="F758" s="260">
        <v>2.44</v>
      </c>
      <c r="G758" s="259" t="s">
        <v>54</v>
      </c>
      <c r="H758" s="259" t="s">
        <v>54</v>
      </c>
      <c r="I758" s="259" t="s">
        <v>54</v>
      </c>
      <c r="J758" s="259" t="s">
        <v>54</v>
      </c>
      <c r="K758" s="259" t="s">
        <v>54</v>
      </c>
      <c r="L758" s="259" t="s">
        <v>58</v>
      </c>
    </row>
    <row r="759" spans="1:12" x14ac:dyDescent="0.25">
      <c r="A759" s="259" t="s">
        <v>826</v>
      </c>
      <c r="B759" s="260">
        <v>5.44</v>
      </c>
      <c r="C759" s="260">
        <v>2.15</v>
      </c>
      <c r="D759" s="260">
        <v>11.42</v>
      </c>
      <c r="E759" s="260">
        <v>13.02</v>
      </c>
      <c r="F759" s="260">
        <v>2.15</v>
      </c>
      <c r="G759" s="260">
        <v>7.08</v>
      </c>
      <c r="H759" s="260">
        <v>0.61</v>
      </c>
      <c r="I759" s="260">
        <v>0.91</v>
      </c>
      <c r="J759" s="260">
        <v>0.67</v>
      </c>
      <c r="K759" s="260">
        <v>-0.97</v>
      </c>
      <c r="L759" s="259" t="s">
        <v>62</v>
      </c>
    </row>
    <row r="760" spans="1:12" hidden="1" x14ac:dyDescent="0.25">
      <c r="A760" s="259" t="s">
        <v>827</v>
      </c>
      <c r="B760" s="260">
        <v>-0.99</v>
      </c>
      <c r="C760" s="260">
        <v>2.36</v>
      </c>
      <c r="D760" s="259" t="s">
        <v>54</v>
      </c>
      <c r="E760" s="259" t="s">
        <v>54</v>
      </c>
      <c r="F760" s="260">
        <v>2.36</v>
      </c>
      <c r="G760" s="259" t="s">
        <v>54</v>
      </c>
      <c r="H760" s="259" t="s">
        <v>54</v>
      </c>
      <c r="I760" s="259" t="s">
        <v>54</v>
      </c>
      <c r="J760" s="259" t="s">
        <v>54</v>
      </c>
      <c r="K760" s="259" t="s">
        <v>54</v>
      </c>
      <c r="L760" s="259" t="s">
        <v>58</v>
      </c>
    </row>
    <row r="761" spans="1:12" x14ac:dyDescent="0.25">
      <c r="A761" s="259" t="s">
        <v>828</v>
      </c>
      <c r="B761" s="260">
        <v>8.16</v>
      </c>
      <c r="C761" s="260">
        <v>2.42</v>
      </c>
      <c r="D761" s="259" t="s">
        <v>54</v>
      </c>
      <c r="E761" s="259" t="s">
        <v>54</v>
      </c>
      <c r="F761" s="260">
        <v>2.42</v>
      </c>
      <c r="G761" s="259" t="s">
        <v>54</v>
      </c>
      <c r="H761" s="259" t="s">
        <v>54</v>
      </c>
      <c r="I761" s="259" t="s">
        <v>54</v>
      </c>
      <c r="J761" s="259" t="s">
        <v>54</v>
      </c>
      <c r="K761" s="259" t="s">
        <v>54</v>
      </c>
      <c r="L761" s="259" t="s">
        <v>55</v>
      </c>
    </row>
    <row r="762" spans="1:12" x14ac:dyDescent="0.25">
      <c r="A762" s="259" t="s">
        <v>829</v>
      </c>
      <c r="B762" s="260">
        <v>5.47</v>
      </c>
      <c r="C762" s="260">
        <v>2.02</v>
      </c>
      <c r="D762" s="260">
        <v>18.52</v>
      </c>
      <c r="E762" s="260">
        <v>22.98</v>
      </c>
      <c r="F762" s="260">
        <v>2.02</v>
      </c>
      <c r="G762" s="260">
        <v>13.52</v>
      </c>
      <c r="H762" s="260">
        <v>0.78</v>
      </c>
      <c r="I762" s="260">
        <v>1.07</v>
      </c>
      <c r="J762" s="260">
        <v>0.9</v>
      </c>
      <c r="K762" s="260">
        <v>0.25</v>
      </c>
      <c r="L762" s="259" t="s">
        <v>55</v>
      </c>
    </row>
    <row r="763" spans="1:12" x14ac:dyDescent="0.25">
      <c r="A763" s="259" t="s">
        <v>830</v>
      </c>
      <c r="B763" s="260">
        <v>2.61</v>
      </c>
      <c r="C763" s="260">
        <v>2.4900000000000002</v>
      </c>
      <c r="D763" s="260">
        <v>15.3</v>
      </c>
      <c r="E763" s="260">
        <v>20.149999999999999</v>
      </c>
      <c r="F763" s="260">
        <v>2.4900000000000002</v>
      </c>
      <c r="G763" s="260">
        <v>12.93</v>
      </c>
      <c r="H763" s="260">
        <v>0.6</v>
      </c>
      <c r="I763" s="260">
        <v>0.85</v>
      </c>
      <c r="J763" s="260">
        <v>0.84</v>
      </c>
      <c r="K763" s="260">
        <v>-1.86</v>
      </c>
      <c r="L763" s="259" t="s">
        <v>55</v>
      </c>
    </row>
    <row r="764" spans="1:12" hidden="1" x14ac:dyDescent="0.25">
      <c r="A764" s="259" t="s">
        <v>831</v>
      </c>
      <c r="B764" s="260">
        <v>10.37</v>
      </c>
      <c r="C764" s="260">
        <v>2.21</v>
      </c>
      <c r="D764" s="259" t="s">
        <v>54</v>
      </c>
      <c r="E764" s="259" t="s">
        <v>54</v>
      </c>
      <c r="F764" s="260">
        <v>2.21</v>
      </c>
      <c r="G764" s="259" t="s">
        <v>54</v>
      </c>
      <c r="H764" s="259" t="s">
        <v>54</v>
      </c>
      <c r="I764" s="259" t="s">
        <v>54</v>
      </c>
      <c r="J764" s="259" t="s">
        <v>54</v>
      </c>
      <c r="K764" s="259" t="s">
        <v>54</v>
      </c>
      <c r="L764" s="259" t="s">
        <v>58</v>
      </c>
    </row>
    <row r="765" spans="1:12" x14ac:dyDescent="0.25">
      <c r="A765" s="259" t="s">
        <v>832</v>
      </c>
      <c r="B765" s="260">
        <v>2.11</v>
      </c>
      <c r="C765" s="260">
        <v>2.4900000000000002</v>
      </c>
      <c r="D765" s="260">
        <v>15.63</v>
      </c>
      <c r="E765" s="260">
        <v>19.55</v>
      </c>
      <c r="F765" s="260">
        <v>2.4900000000000002</v>
      </c>
      <c r="G765" s="260">
        <v>12.93</v>
      </c>
      <c r="H765" s="260">
        <v>0.62</v>
      </c>
      <c r="I765" s="260">
        <v>1.08</v>
      </c>
      <c r="J765" s="260">
        <v>0.92</v>
      </c>
      <c r="K765" s="260">
        <v>-1.41</v>
      </c>
      <c r="L765" s="259" t="s">
        <v>65</v>
      </c>
    </row>
    <row r="766" spans="1:12" x14ac:dyDescent="0.25">
      <c r="A766" s="259" t="s">
        <v>833</v>
      </c>
      <c r="B766" s="260">
        <v>4.3</v>
      </c>
      <c r="C766" s="260">
        <v>2.27</v>
      </c>
      <c r="D766" s="260">
        <v>18.649999999999999</v>
      </c>
      <c r="E766" s="260">
        <v>23</v>
      </c>
      <c r="F766" s="260">
        <v>2.27</v>
      </c>
      <c r="G766" s="260">
        <v>14.43</v>
      </c>
      <c r="H766" s="260">
        <v>0.73</v>
      </c>
      <c r="I766" s="260">
        <v>0.92</v>
      </c>
      <c r="J766" s="260">
        <v>0.92</v>
      </c>
      <c r="K766" s="260">
        <v>0.42</v>
      </c>
      <c r="L766" s="259" t="s">
        <v>71</v>
      </c>
    </row>
    <row r="767" spans="1:12" x14ac:dyDescent="0.25">
      <c r="A767" s="259" t="s">
        <v>834</v>
      </c>
      <c r="B767" s="260">
        <v>6.5</v>
      </c>
      <c r="C767" s="260">
        <v>2.1</v>
      </c>
      <c r="D767" s="260">
        <v>22.75</v>
      </c>
      <c r="E767" s="260">
        <v>29.92</v>
      </c>
      <c r="F767" s="260">
        <v>2.1</v>
      </c>
      <c r="G767" s="260">
        <v>16.73</v>
      </c>
      <c r="H767" s="260">
        <v>0.85</v>
      </c>
      <c r="I767" s="260">
        <v>1.1299999999999999</v>
      </c>
      <c r="J767" s="260">
        <v>0.94</v>
      </c>
      <c r="K767" s="260">
        <v>-2.84</v>
      </c>
      <c r="L767" s="259" t="s">
        <v>84</v>
      </c>
    </row>
    <row r="768" spans="1:12" x14ac:dyDescent="0.25">
      <c r="A768" s="259" t="s">
        <v>835</v>
      </c>
      <c r="B768" s="259" t="s">
        <v>54</v>
      </c>
      <c r="C768" s="260">
        <v>2.2000000000000002</v>
      </c>
      <c r="D768" s="259" t="s">
        <v>54</v>
      </c>
      <c r="E768" s="259" t="s">
        <v>54</v>
      </c>
      <c r="F768" s="260">
        <v>2.2000000000000002</v>
      </c>
      <c r="G768" s="259" t="s">
        <v>54</v>
      </c>
      <c r="H768" s="259" t="s">
        <v>54</v>
      </c>
      <c r="I768" s="259" t="s">
        <v>54</v>
      </c>
      <c r="J768" s="259" t="s">
        <v>54</v>
      </c>
      <c r="K768" s="259" t="s">
        <v>54</v>
      </c>
      <c r="L768" s="259" t="s">
        <v>60</v>
      </c>
    </row>
    <row r="769" spans="1:12" x14ac:dyDescent="0.25">
      <c r="A769" s="259" t="s">
        <v>836</v>
      </c>
      <c r="B769" s="260">
        <v>4.05</v>
      </c>
      <c r="C769" s="260">
        <v>2.19</v>
      </c>
      <c r="D769" s="259" t="s">
        <v>54</v>
      </c>
      <c r="E769" s="259" t="s">
        <v>54</v>
      </c>
      <c r="F769" s="260">
        <v>2.19</v>
      </c>
      <c r="G769" s="259" t="s">
        <v>54</v>
      </c>
      <c r="H769" s="259" t="s">
        <v>54</v>
      </c>
      <c r="I769" s="259" t="s">
        <v>54</v>
      </c>
      <c r="J769" s="259" t="s">
        <v>54</v>
      </c>
      <c r="K769" s="259" t="s">
        <v>54</v>
      </c>
      <c r="L769" s="259" t="s">
        <v>89</v>
      </c>
    </row>
    <row r="770" spans="1:12" x14ac:dyDescent="0.25">
      <c r="A770" s="259" t="s">
        <v>837</v>
      </c>
      <c r="B770" s="260">
        <v>5.56</v>
      </c>
      <c r="C770" s="260">
        <v>2.37</v>
      </c>
      <c r="D770" s="259" t="s">
        <v>54</v>
      </c>
      <c r="E770" s="259" t="s">
        <v>54</v>
      </c>
      <c r="F770" s="260">
        <v>2.37</v>
      </c>
      <c r="G770" s="259" t="s">
        <v>54</v>
      </c>
      <c r="H770" s="259" t="s">
        <v>54</v>
      </c>
      <c r="I770" s="259" t="s">
        <v>54</v>
      </c>
      <c r="J770" s="259" t="s">
        <v>54</v>
      </c>
      <c r="K770" s="259" t="s">
        <v>54</v>
      </c>
      <c r="L770" s="259" t="s">
        <v>55</v>
      </c>
    </row>
    <row r="771" spans="1:12" x14ac:dyDescent="0.25">
      <c r="A771" s="259" t="s">
        <v>838</v>
      </c>
      <c r="B771" s="260">
        <v>2.94</v>
      </c>
      <c r="C771" s="260">
        <v>2.12</v>
      </c>
      <c r="D771" s="260">
        <v>20.32</v>
      </c>
      <c r="E771" s="260">
        <v>30.92</v>
      </c>
      <c r="F771" s="260">
        <v>2.12</v>
      </c>
      <c r="G771" s="260">
        <v>18.13</v>
      </c>
      <c r="H771" s="260">
        <v>0.71</v>
      </c>
      <c r="I771" s="260">
        <v>0.95</v>
      </c>
      <c r="J771" s="260">
        <v>0.85</v>
      </c>
      <c r="K771" s="260">
        <v>-2.5299999999999998</v>
      </c>
      <c r="L771" s="259" t="s">
        <v>103</v>
      </c>
    </row>
    <row r="772" spans="1:12" x14ac:dyDescent="0.25">
      <c r="A772" s="259" t="s">
        <v>839</v>
      </c>
      <c r="B772" s="260">
        <v>8.94</v>
      </c>
      <c r="C772" s="260">
        <v>1.92</v>
      </c>
      <c r="D772" s="259" t="s">
        <v>54</v>
      </c>
      <c r="E772" s="259" t="s">
        <v>54</v>
      </c>
      <c r="F772" s="260">
        <v>1.92</v>
      </c>
      <c r="G772" s="259" t="s">
        <v>54</v>
      </c>
      <c r="H772" s="259" t="s">
        <v>54</v>
      </c>
      <c r="I772" s="259" t="s">
        <v>54</v>
      </c>
      <c r="J772" s="259" t="s">
        <v>54</v>
      </c>
      <c r="K772" s="259" t="s">
        <v>54</v>
      </c>
      <c r="L772" s="259" t="s">
        <v>62</v>
      </c>
    </row>
    <row r="773" spans="1:12" hidden="1" x14ac:dyDescent="0.25">
      <c r="A773" s="259" t="s">
        <v>840</v>
      </c>
      <c r="B773" s="260">
        <v>-5.93</v>
      </c>
      <c r="C773" s="260">
        <v>0.98</v>
      </c>
      <c r="D773" s="259" t="s">
        <v>54</v>
      </c>
      <c r="E773" s="259" t="s">
        <v>54</v>
      </c>
      <c r="F773" s="260">
        <v>0.98</v>
      </c>
      <c r="G773" s="259" t="s">
        <v>54</v>
      </c>
      <c r="H773" s="259" t="s">
        <v>54</v>
      </c>
      <c r="I773" s="259" t="s">
        <v>54</v>
      </c>
      <c r="J773" s="259" t="s">
        <v>54</v>
      </c>
      <c r="K773" s="259" t="s">
        <v>54</v>
      </c>
      <c r="L773" s="259" t="s">
        <v>58</v>
      </c>
    </row>
    <row r="774" spans="1:12" x14ac:dyDescent="0.25">
      <c r="A774" s="259" t="s">
        <v>841</v>
      </c>
      <c r="B774" s="260">
        <v>0.75</v>
      </c>
      <c r="C774" s="260">
        <v>0.91</v>
      </c>
      <c r="D774" s="260">
        <v>18.04</v>
      </c>
      <c r="E774" s="259" t="s">
        <v>54</v>
      </c>
      <c r="F774" s="260">
        <v>0.91</v>
      </c>
      <c r="G774" s="260">
        <v>13.58</v>
      </c>
      <c r="H774" s="260">
        <v>0.74</v>
      </c>
      <c r="I774" s="260">
        <v>1.1499999999999999</v>
      </c>
      <c r="J774" s="260">
        <v>0.9</v>
      </c>
      <c r="K774" s="260">
        <v>0.16</v>
      </c>
      <c r="L774" s="259" t="s">
        <v>71</v>
      </c>
    </row>
    <row r="775" spans="1:12" x14ac:dyDescent="0.25">
      <c r="A775" s="259" t="s">
        <v>842</v>
      </c>
      <c r="B775" s="260">
        <v>7.74</v>
      </c>
      <c r="C775" s="260">
        <v>0.05</v>
      </c>
      <c r="D775" s="260">
        <v>15.86</v>
      </c>
      <c r="E775" s="260">
        <v>20.68</v>
      </c>
      <c r="F775" s="260">
        <v>0.05</v>
      </c>
      <c r="G775" s="260">
        <v>12.71</v>
      </c>
      <c r="H775" s="260">
        <v>0.66</v>
      </c>
      <c r="I775" s="260">
        <v>1.1000000000000001</v>
      </c>
      <c r="J775" s="260">
        <v>0.91</v>
      </c>
      <c r="K775" s="260">
        <v>-0.95</v>
      </c>
      <c r="L775" s="259" t="s">
        <v>65</v>
      </c>
    </row>
    <row r="776" spans="1:12" x14ac:dyDescent="0.25">
      <c r="A776" s="259" t="s">
        <v>843</v>
      </c>
      <c r="B776" s="260">
        <v>7.44</v>
      </c>
      <c r="C776" s="260">
        <v>0.3</v>
      </c>
      <c r="D776" s="260">
        <v>15.5</v>
      </c>
      <c r="E776" s="259" t="s">
        <v>54</v>
      </c>
      <c r="F776" s="260">
        <v>0.3</v>
      </c>
      <c r="G776" s="260">
        <v>12.71</v>
      </c>
      <c r="H776" s="260">
        <v>0.64</v>
      </c>
      <c r="I776" s="260">
        <v>1.06</v>
      </c>
      <c r="J776" s="260">
        <v>0.91</v>
      </c>
      <c r="K776" s="260">
        <v>-1.27</v>
      </c>
      <c r="L776" s="259" t="s">
        <v>65</v>
      </c>
    </row>
    <row r="777" spans="1:12" x14ac:dyDescent="0.25">
      <c r="A777" s="259" t="s">
        <v>844</v>
      </c>
      <c r="B777" s="260">
        <v>6.01</v>
      </c>
      <c r="C777" s="260">
        <v>0.21</v>
      </c>
      <c r="D777" s="260">
        <v>24.83</v>
      </c>
      <c r="E777" s="260">
        <v>26.47</v>
      </c>
      <c r="F777" s="260">
        <v>0.21</v>
      </c>
      <c r="G777" s="260">
        <v>17.760000000000002</v>
      </c>
      <c r="H777" s="260">
        <v>0.89</v>
      </c>
      <c r="I777" s="260">
        <v>1.3</v>
      </c>
      <c r="J777" s="260">
        <v>1.22</v>
      </c>
      <c r="K777" s="260">
        <v>3.36</v>
      </c>
      <c r="L777" s="259" t="s">
        <v>65</v>
      </c>
    </row>
    <row r="778" spans="1:12" x14ac:dyDescent="0.25">
      <c r="A778" s="259" t="s">
        <v>845</v>
      </c>
      <c r="B778" s="260">
        <v>3.85</v>
      </c>
      <c r="C778" s="260">
        <v>2.25</v>
      </c>
      <c r="D778" s="260">
        <v>16.54</v>
      </c>
      <c r="E778" s="260">
        <v>20.51</v>
      </c>
      <c r="F778" s="260">
        <v>2.25</v>
      </c>
      <c r="G778" s="260">
        <v>14.08</v>
      </c>
      <c r="H778" s="260">
        <v>0.61</v>
      </c>
      <c r="I778" s="260">
        <v>0.99</v>
      </c>
      <c r="J778" s="260">
        <v>0.93</v>
      </c>
      <c r="K778" s="260">
        <v>-2.16</v>
      </c>
      <c r="L778" s="259" t="s">
        <v>55</v>
      </c>
    </row>
    <row r="779" spans="1:12" hidden="1" x14ac:dyDescent="0.25">
      <c r="A779" s="259" t="s">
        <v>846</v>
      </c>
      <c r="B779" s="260">
        <v>6.15</v>
      </c>
      <c r="C779" s="260">
        <v>2</v>
      </c>
      <c r="D779" s="260">
        <v>21.35</v>
      </c>
      <c r="E779" s="260">
        <v>24.58</v>
      </c>
      <c r="F779" s="260">
        <v>2</v>
      </c>
      <c r="G779" s="260">
        <v>14.45</v>
      </c>
      <c r="H779" s="260">
        <v>0.94</v>
      </c>
      <c r="I779" s="260">
        <v>1.43</v>
      </c>
      <c r="J779" s="260">
        <v>0.93</v>
      </c>
      <c r="K779" s="260">
        <v>2.82</v>
      </c>
      <c r="L779" s="259" t="s">
        <v>69</v>
      </c>
    </row>
    <row r="780" spans="1:12" x14ac:dyDescent="0.25">
      <c r="A780" s="259" t="s">
        <v>847</v>
      </c>
      <c r="B780" s="260">
        <v>10.73</v>
      </c>
      <c r="C780" s="260">
        <v>1.66</v>
      </c>
      <c r="D780" s="260">
        <v>14.2</v>
      </c>
      <c r="E780" s="260">
        <v>19.34</v>
      </c>
      <c r="F780" s="260">
        <v>1.66</v>
      </c>
      <c r="G780" s="260">
        <v>13.97</v>
      </c>
      <c r="H780" s="260">
        <v>0.44</v>
      </c>
      <c r="I780" s="260">
        <v>0.71</v>
      </c>
      <c r="J780" s="260">
        <v>0.88</v>
      </c>
      <c r="K780" s="260">
        <v>-3.97</v>
      </c>
      <c r="L780" s="259" t="s">
        <v>55</v>
      </c>
    </row>
    <row r="781" spans="1:12" x14ac:dyDescent="0.25">
      <c r="A781" s="259" t="s">
        <v>848</v>
      </c>
      <c r="B781" s="260">
        <v>3.68</v>
      </c>
      <c r="C781" s="260">
        <v>1.96</v>
      </c>
      <c r="D781" s="260">
        <v>18.57</v>
      </c>
      <c r="E781" s="259" t="s">
        <v>54</v>
      </c>
      <c r="F781" s="260">
        <v>1.96</v>
      </c>
      <c r="G781" s="260">
        <v>14.3</v>
      </c>
      <c r="H781" s="260">
        <v>0.73</v>
      </c>
      <c r="I781" s="260">
        <v>1.17</v>
      </c>
      <c r="J781" s="260">
        <v>0.93</v>
      </c>
      <c r="K781" s="260">
        <v>-0.28999999999999998</v>
      </c>
      <c r="L781" s="259" t="s">
        <v>55</v>
      </c>
    </row>
    <row r="782" spans="1:12" hidden="1" x14ac:dyDescent="0.25">
      <c r="A782" s="259" t="s">
        <v>849</v>
      </c>
      <c r="B782" s="260">
        <v>0.49</v>
      </c>
      <c r="C782" s="260">
        <v>2.4500000000000002</v>
      </c>
      <c r="D782" s="260">
        <v>16.739999999999998</v>
      </c>
      <c r="E782" s="260">
        <v>18.100000000000001</v>
      </c>
      <c r="F782" s="260">
        <v>2.4500000000000002</v>
      </c>
      <c r="G782" s="260">
        <v>15.53</v>
      </c>
      <c r="H782" s="260">
        <v>0.56999999999999995</v>
      </c>
      <c r="I782" s="260">
        <v>0.83</v>
      </c>
      <c r="J782" s="260">
        <v>0.84</v>
      </c>
      <c r="K782" s="260">
        <v>-3.17</v>
      </c>
      <c r="L782" s="259" t="s">
        <v>81</v>
      </c>
    </row>
    <row r="783" spans="1:12" hidden="1" x14ac:dyDescent="0.25">
      <c r="A783" s="259" t="s">
        <v>850</v>
      </c>
      <c r="B783" s="260">
        <v>4.47</v>
      </c>
      <c r="C783" s="260">
        <v>2.29</v>
      </c>
      <c r="D783" s="259" t="s">
        <v>54</v>
      </c>
      <c r="E783" s="259" t="s">
        <v>54</v>
      </c>
      <c r="F783" s="260">
        <v>2.29</v>
      </c>
      <c r="G783" s="259" t="s">
        <v>54</v>
      </c>
      <c r="H783" s="259" t="s">
        <v>54</v>
      </c>
      <c r="I783" s="259" t="s">
        <v>54</v>
      </c>
      <c r="J783" s="259" t="s">
        <v>54</v>
      </c>
      <c r="K783" s="259" t="s">
        <v>54</v>
      </c>
      <c r="L783" s="259" t="s">
        <v>58</v>
      </c>
    </row>
    <row r="784" spans="1:12" x14ac:dyDescent="0.25">
      <c r="A784" s="259" t="s">
        <v>851</v>
      </c>
      <c r="B784" s="260">
        <v>6.27</v>
      </c>
      <c r="C784" s="260">
        <v>1.75</v>
      </c>
      <c r="D784" s="260">
        <v>15.52</v>
      </c>
      <c r="E784" s="260">
        <v>19.96</v>
      </c>
      <c r="F784" s="260">
        <v>1.75</v>
      </c>
      <c r="G784" s="260">
        <v>12.76</v>
      </c>
      <c r="H784" s="260">
        <v>0.6</v>
      </c>
      <c r="I784" s="260">
        <v>0.97</v>
      </c>
      <c r="J784" s="260">
        <v>0.91</v>
      </c>
      <c r="K784" s="260">
        <v>-1.71</v>
      </c>
      <c r="L784" s="259" t="s">
        <v>65</v>
      </c>
    </row>
    <row r="785" spans="1:12" x14ac:dyDescent="0.25">
      <c r="A785" s="259" t="s">
        <v>852</v>
      </c>
      <c r="B785" s="260">
        <v>9.2899999999999991</v>
      </c>
      <c r="C785" s="260">
        <v>1.93</v>
      </c>
      <c r="D785" s="260">
        <v>24.99</v>
      </c>
      <c r="E785" s="260">
        <v>28.36</v>
      </c>
      <c r="F785" s="260">
        <v>1.93</v>
      </c>
      <c r="G785" s="260">
        <v>14.07</v>
      </c>
      <c r="H785" s="260">
        <v>1.1499999999999999</v>
      </c>
      <c r="I785" s="260">
        <v>1.75</v>
      </c>
      <c r="J785" s="260">
        <v>0.95</v>
      </c>
      <c r="K785" s="260">
        <v>5.69</v>
      </c>
      <c r="L785" s="259" t="s">
        <v>71</v>
      </c>
    </row>
    <row r="786" spans="1:12" x14ac:dyDescent="0.25">
      <c r="A786" s="259" t="s">
        <v>853</v>
      </c>
      <c r="B786" s="260">
        <v>4.71</v>
      </c>
      <c r="C786" s="260">
        <v>1.76</v>
      </c>
      <c r="D786" s="260">
        <v>21.87</v>
      </c>
      <c r="E786" s="260">
        <v>27.25</v>
      </c>
      <c r="F786" s="260">
        <v>1.76</v>
      </c>
      <c r="G786" s="260">
        <v>16.37</v>
      </c>
      <c r="H786" s="260">
        <v>0.81</v>
      </c>
      <c r="I786" s="260">
        <v>1.1599999999999999</v>
      </c>
      <c r="J786" s="260">
        <v>0.94</v>
      </c>
      <c r="K786" s="260">
        <v>-3.74</v>
      </c>
      <c r="L786" s="259" t="s">
        <v>84</v>
      </c>
    </row>
    <row r="787" spans="1:12" hidden="1" x14ac:dyDescent="0.25">
      <c r="A787" s="259" t="s">
        <v>854</v>
      </c>
      <c r="B787" s="260">
        <v>-1.79</v>
      </c>
      <c r="C787" s="260">
        <v>2.04</v>
      </c>
      <c r="D787" s="260">
        <v>15.16</v>
      </c>
      <c r="E787" s="260">
        <v>15.91</v>
      </c>
      <c r="F787" s="260">
        <v>2.04</v>
      </c>
      <c r="G787" s="260">
        <v>13.35</v>
      </c>
      <c r="H787" s="260">
        <v>0.56999999999999995</v>
      </c>
      <c r="I787" s="260">
        <v>0.82</v>
      </c>
      <c r="J787" s="260">
        <v>0.84</v>
      </c>
      <c r="K787" s="260">
        <v>-2.11</v>
      </c>
      <c r="L787" s="259" t="s">
        <v>86</v>
      </c>
    </row>
    <row r="788" spans="1:12" x14ac:dyDescent="0.25">
      <c r="A788" s="259" t="s">
        <v>855</v>
      </c>
      <c r="B788" s="260">
        <v>7.95</v>
      </c>
      <c r="C788" s="260">
        <v>1.74</v>
      </c>
      <c r="D788" s="260">
        <v>21.08</v>
      </c>
      <c r="E788" s="260">
        <v>17.760000000000002</v>
      </c>
      <c r="F788" s="260">
        <v>1.74</v>
      </c>
      <c r="G788" s="260">
        <v>8.9499999999999993</v>
      </c>
      <c r="H788" s="260">
        <v>1.41</v>
      </c>
      <c r="I788" s="260">
        <v>2.02</v>
      </c>
      <c r="J788" s="260">
        <v>0.86</v>
      </c>
      <c r="K788" s="260">
        <v>4.95</v>
      </c>
      <c r="L788" s="259" t="s">
        <v>60</v>
      </c>
    </row>
    <row r="789" spans="1:12" x14ac:dyDescent="0.25">
      <c r="A789" s="259" t="s">
        <v>856</v>
      </c>
      <c r="B789" s="259" t="s">
        <v>54</v>
      </c>
      <c r="C789" s="260">
        <v>2.16</v>
      </c>
      <c r="D789" s="259" t="s">
        <v>54</v>
      </c>
      <c r="E789" s="259" t="s">
        <v>54</v>
      </c>
      <c r="F789" s="260">
        <v>2.16</v>
      </c>
      <c r="G789" s="259" t="s">
        <v>54</v>
      </c>
      <c r="H789" s="259" t="s">
        <v>54</v>
      </c>
      <c r="I789" s="259" t="s">
        <v>54</v>
      </c>
      <c r="J789" s="259" t="s">
        <v>54</v>
      </c>
      <c r="K789" s="259" t="s">
        <v>54</v>
      </c>
      <c r="L789" s="259" t="s">
        <v>89</v>
      </c>
    </row>
    <row r="790" spans="1:12" x14ac:dyDescent="0.25">
      <c r="A790" s="259" t="s">
        <v>857</v>
      </c>
      <c r="B790" s="260">
        <v>-11.8</v>
      </c>
      <c r="C790" s="260">
        <v>0.92</v>
      </c>
      <c r="D790" s="260">
        <v>21.78</v>
      </c>
      <c r="E790" s="259" t="s">
        <v>54</v>
      </c>
      <c r="F790" s="260">
        <v>0.92</v>
      </c>
      <c r="G790" s="260">
        <v>19.28</v>
      </c>
      <c r="H790" s="260">
        <v>0.7</v>
      </c>
      <c r="I790" s="260">
        <v>1.01</v>
      </c>
      <c r="J790" s="260">
        <v>1.23</v>
      </c>
      <c r="K790" s="260">
        <v>0.09</v>
      </c>
      <c r="L790" s="259" t="s">
        <v>71</v>
      </c>
    </row>
    <row r="791" spans="1:12" x14ac:dyDescent="0.25">
      <c r="A791" s="259" t="s">
        <v>858</v>
      </c>
      <c r="B791" s="259" t="s">
        <v>54</v>
      </c>
      <c r="C791" s="260">
        <v>1.05</v>
      </c>
      <c r="D791" s="259" t="s">
        <v>54</v>
      </c>
      <c r="E791" s="259" t="s">
        <v>54</v>
      </c>
      <c r="F791" s="260">
        <v>1.05</v>
      </c>
      <c r="G791" s="259" t="s">
        <v>54</v>
      </c>
      <c r="H791" s="259" t="s">
        <v>54</v>
      </c>
      <c r="I791" s="259" t="s">
        <v>54</v>
      </c>
      <c r="J791" s="259" t="s">
        <v>54</v>
      </c>
      <c r="K791" s="259" t="s">
        <v>54</v>
      </c>
      <c r="L791" s="259" t="s">
        <v>71</v>
      </c>
    </row>
    <row r="792" spans="1:12" x14ac:dyDescent="0.25">
      <c r="A792" s="259" t="s">
        <v>859</v>
      </c>
      <c r="B792" s="260">
        <v>4.82</v>
      </c>
      <c r="C792" s="260">
        <v>1.03</v>
      </c>
      <c r="D792" s="259" t="s">
        <v>54</v>
      </c>
      <c r="E792" s="259" t="s">
        <v>54</v>
      </c>
      <c r="F792" s="260">
        <v>1.03</v>
      </c>
      <c r="G792" s="259" t="s">
        <v>54</v>
      </c>
      <c r="H792" s="259" t="s">
        <v>54</v>
      </c>
      <c r="I792" s="259" t="s">
        <v>54</v>
      </c>
      <c r="J792" s="259" t="s">
        <v>54</v>
      </c>
      <c r="K792" s="259" t="s">
        <v>54</v>
      </c>
      <c r="L792" s="259" t="s">
        <v>65</v>
      </c>
    </row>
    <row r="793" spans="1:12" x14ac:dyDescent="0.25">
      <c r="A793" s="259" t="s">
        <v>860</v>
      </c>
      <c r="B793" s="260">
        <v>7.81</v>
      </c>
      <c r="C793" s="260">
        <v>0.05</v>
      </c>
      <c r="D793" s="260">
        <v>16.579999999999998</v>
      </c>
      <c r="E793" s="260">
        <v>21.38</v>
      </c>
      <c r="F793" s="260">
        <v>0.05</v>
      </c>
      <c r="G793" s="260">
        <v>13.13</v>
      </c>
      <c r="H793" s="260">
        <v>0.69</v>
      </c>
      <c r="I793" s="260">
        <v>1.17</v>
      </c>
      <c r="J793" s="260">
        <v>0.95</v>
      </c>
      <c r="K793" s="260">
        <v>-0.73</v>
      </c>
      <c r="L793" s="259" t="s">
        <v>65</v>
      </c>
    </row>
    <row r="794" spans="1:12" x14ac:dyDescent="0.25">
      <c r="A794" s="259" t="s">
        <v>861</v>
      </c>
      <c r="B794" s="260">
        <v>7.55</v>
      </c>
      <c r="C794" s="260">
        <v>0.27</v>
      </c>
      <c r="D794" s="260">
        <v>16.239999999999998</v>
      </c>
      <c r="E794" s="260">
        <v>21.07</v>
      </c>
      <c r="F794" s="260">
        <v>0.27</v>
      </c>
      <c r="G794" s="260">
        <v>13.13</v>
      </c>
      <c r="H794" s="260">
        <v>0.67</v>
      </c>
      <c r="I794" s="260">
        <v>1.1399999999999999</v>
      </c>
      <c r="J794" s="260">
        <v>0.95</v>
      </c>
      <c r="K794" s="260">
        <v>-1.02</v>
      </c>
      <c r="L794" s="259" t="s">
        <v>65</v>
      </c>
    </row>
    <row r="795" spans="1:12" x14ac:dyDescent="0.25">
      <c r="A795" s="259" t="s">
        <v>862</v>
      </c>
      <c r="B795" s="259" t="s">
        <v>54</v>
      </c>
      <c r="C795" s="260">
        <v>1.03</v>
      </c>
      <c r="D795" s="259" t="s">
        <v>54</v>
      </c>
      <c r="E795" s="259" t="s">
        <v>54</v>
      </c>
      <c r="F795" s="260">
        <v>1.03</v>
      </c>
      <c r="G795" s="259" t="s">
        <v>54</v>
      </c>
      <c r="H795" s="259" t="s">
        <v>54</v>
      </c>
      <c r="I795" s="259" t="s">
        <v>54</v>
      </c>
      <c r="J795" s="259" t="s">
        <v>54</v>
      </c>
      <c r="K795" s="259" t="s">
        <v>54</v>
      </c>
      <c r="L795" s="259" t="s">
        <v>71</v>
      </c>
    </row>
    <row r="796" spans="1:12" hidden="1" x14ac:dyDescent="0.25">
      <c r="A796" s="259" t="s">
        <v>863</v>
      </c>
      <c r="B796" s="259" t="s">
        <v>54</v>
      </c>
      <c r="C796" s="260">
        <v>1.04</v>
      </c>
      <c r="D796" s="259" t="s">
        <v>54</v>
      </c>
      <c r="E796" s="259" t="s">
        <v>54</v>
      </c>
      <c r="F796" s="260">
        <v>1.04</v>
      </c>
      <c r="G796" s="259" t="s">
        <v>54</v>
      </c>
      <c r="H796" s="259" t="s">
        <v>54</v>
      </c>
      <c r="I796" s="259" t="s">
        <v>54</v>
      </c>
      <c r="J796" s="259" t="s">
        <v>54</v>
      </c>
      <c r="K796" s="259" t="s">
        <v>54</v>
      </c>
      <c r="L796" s="259" t="s">
        <v>58</v>
      </c>
    </row>
    <row r="797" spans="1:12" x14ac:dyDescent="0.25">
      <c r="A797" s="259" t="s">
        <v>864</v>
      </c>
      <c r="B797" s="260">
        <v>6.24</v>
      </c>
      <c r="C797" s="260">
        <v>0.25</v>
      </c>
      <c r="D797" s="259" t="s">
        <v>54</v>
      </c>
      <c r="E797" s="259" t="s">
        <v>54</v>
      </c>
      <c r="F797" s="260">
        <v>0.25</v>
      </c>
      <c r="G797" s="259" t="s">
        <v>54</v>
      </c>
      <c r="H797" s="259" t="s">
        <v>54</v>
      </c>
      <c r="I797" s="259" t="s">
        <v>54</v>
      </c>
      <c r="J797" s="259" t="s">
        <v>54</v>
      </c>
      <c r="K797" s="259" t="s">
        <v>54</v>
      </c>
      <c r="L797" s="259" t="s">
        <v>84</v>
      </c>
    </row>
    <row r="798" spans="1:12" x14ac:dyDescent="0.25">
      <c r="A798" s="259" t="s">
        <v>865</v>
      </c>
      <c r="B798" s="259" t="s">
        <v>54</v>
      </c>
      <c r="C798" s="260">
        <v>1.04</v>
      </c>
      <c r="D798" s="259" t="s">
        <v>54</v>
      </c>
      <c r="E798" s="259" t="s">
        <v>54</v>
      </c>
      <c r="F798" s="260">
        <v>1.04</v>
      </c>
      <c r="G798" s="259" t="s">
        <v>54</v>
      </c>
      <c r="H798" s="259" t="s">
        <v>54</v>
      </c>
      <c r="I798" s="259" t="s">
        <v>54</v>
      </c>
      <c r="J798" s="259" t="s">
        <v>54</v>
      </c>
      <c r="K798" s="259" t="s">
        <v>54</v>
      </c>
      <c r="L798" s="259" t="s">
        <v>84</v>
      </c>
    </row>
    <row r="799" spans="1:12" x14ac:dyDescent="0.25">
      <c r="A799" s="259" t="s">
        <v>866</v>
      </c>
      <c r="B799" s="260">
        <v>2.98</v>
      </c>
      <c r="C799" s="260">
        <v>0.88</v>
      </c>
      <c r="D799" s="260">
        <v>16.98</v>
      </c>
      <c r="E799" s="259" t="s">
        <v>54</v>
      </c>
      <c r="F799" s="260">
        <v>0.88</v>
      </c>
      <c r="G799" s="260">
        <v>15.58</v>
      </c>
      <c r="H799" s="260">
        <v>0.62</v>
      </c>
      <c r="I799" s="260">
        <v>0.96</v>
      </c>
      <c r="J799" s="260">
        <v>0.87</v>
      </c>
      <c r="K799" s="260">
        <v>-6.23</v>
      </c>
      <c r="L799" s="259" t="s">
        <v>84</v>
      </c>
    </row>
    <row r="800" spans="1:12" x14ac:dyDescent="0.25">
      <c r="A800" s="259" t="s">
        <v>867</v>
      </c>
      <c r="B800" s="259" t="s">
        <v>54</v>
      </c>
      <c r="C800" s="260">
        <v>1.03</v>
      </c>
      <c r="D800" s="259" t="s">
        <v>54</v>
      </c>
      <c r="E800" s="259" t="s">
        <v>54</v>
      </c>
      <c r="F800" s="260">
        <v>1.03</v>
      </c>
      <c r="G800" s="259" t="s">
        <v>54</v>
      </c>
      <c r="H800" s="259" t="s">
        <v>54</v>
      </c>
      <c r="I800" s="259" t="s">
        <v>54</v>
      </c>
      <c r="J800" s="259" t="s">
        <v>54</v>
      </c>
      <c r="K800" s="259" t="s">
        <v>54</v>
      </c>
      <c r="L800" s="259" t="s">
        <v>84</v>
      </c>
    </row>
    <row r="801" spans="1:12" x14ac:dyDescent="0.25">
      <c r="A801" s="259" t="s">
        <v>868</v>
      </c>
      <c r="B801" s="260">
        <v>-3.17</v>
      </c>
      <c r="C801" s="260">
        <v>0.15</v>
      </c>
      <c r="D801" s="260">
        <v>22.13</v>
      </c>
      <c r="E801" s="260">
        <v>22.73</v>
      </c>
      <c r="F801" s="260">
        <v>0.15</v>
      </c>
      <c r="G801" s="260">
        <v>19.55</v>
      </c>
      <c r="H801" s="260">
        <v>0.73</v>
      </c>
      <c r="I801" s="260">
        <v>1.08</v>
      </c>
      <c r="J801" s="260">
        <v>1.3</v>
      </c>
      <c r="K801" s="260">
        <v>0.85</v>
      </c>
      <c r="L801" s="259" t="s">
        <v>65</v>
      </c>
    </row>
    <row r="802" spans="1:12" x14ac:dyDescent="0.25">
      <c r="A802" s="259" t="s">
        <v>869</v>
      </c>
      <c r="B802" s="260">
        <v>-3.82</v>
      </c>
      <c r="C802" s="260">
        <v>0.79</v>
      </c>
      <c r="D802" s="260">
        <v>21.3</v>
      </c>
      <c r="E802" s="260">
        <v>21.84</v>
      </c>
      <c r="F802" s="260">
        <v>0.79</v>
      </c>
      <c r="G802" s="260">
        <v>19.53</v>
      </c>
      <c r="H802" s="260">
        <v>0.69</v>
      </c>
      <c r="I802" s="260">
        <v>1.03</v>
      </c>
      <c r="J802" s="260">
        <v>1.3</v>
      </c>
      <c r="K802" s="260">
        <v>0.16</v>
      </c>
      <c r="L802" s="259" t="s">
        <v>65</v>
      </c>
    </row>
    <row r="803" spans="1:12" hidden="1" x14ac:dyDescent="0.25">
      <c r="A803" s="259" t="s">
        <v>870</v>
      </c>
      <c r="B803" s="259" t="s">
        <v>54</v>
      </c>
      <c r="C803" s="260">
        <v>2.02</v>
      </c>
      <c r="D803" s="259" t="s">
        <v>54</v>
      </c>
      <c r="E803" s="259" t="s">
        <v>54</v>
      </c>
      <c r="F803" s="260">
        <v>2.02</v>
      </c>
      <c r="G803" s="259" t="s">
        <v>54</v>
      </c>
      <c r="H803" s="259" t="s">
        <v>54</v>
      </c>
      <c r="I803" s="259" t="s">
        <v>54</v>
      </c>
      <c r="J803" s="259" t="s">
        <v>54</v>
      </c>
      <c r="K803" s="259" t="s">
        <v>54</v>
      </c>
      <c r="L803" s="259" t="s">
        <v>58</v>
      </c>
    </row>
    <row r="804" spans="1:12" x14ac:dyDescent="0.25">
      <c r="A804" s="259" t="s">
        <v>871</v>
      </c>
      <c r="B804" s="260">
        <v>11</v>
      </c>
      <c r="C804" s="260">
        <v>1.86</v>
      </c>
      <c r="D804" s="260">
        <v>23.04</v>
      </c>
      <c r="E804" s="259" t="s">
        <v>54</v>
      </c>
      <c r="F804" s="260">
        <v>1.86</v>
      </c>
      <c r="G804" s="260">
        <v>17.13</v>
      </c>
      <c r="H804" s="260">
        <v>0.82</v>
      </c>
      <c r="I804" s="260">
        <v>1.1399999999999999</v>
      </c>
      <c r="J804" s="260">
        <v>0.83</v>
      </c>
      <c r="K804" s="260">
        <v>-1.03</v>
      </c>
      <c r="L804" s="259" t="s">
        <v>103</v>
      </c>
    </row>
    <row r="805" spans="1:12" hidden="1" x14ac:dyDescent="0.25">
      <c r="A805" s="259" t="s">
        <v>872</v>
      </c>
      <c r="B805" s="260">
        <v>-4.99</v>
      </c>
      <c r="C805" s="260">
        <v>1.94</v>
      </c>
      <c r="D805" s="260">
        <v>23.72</v>
      </c>
      <c r="E805" s="260">
        <v>27.98</v>
      </c>
      <c r="F805" s="260">
        <v>1.94</v>
      </c>
      <c r="G805" s="260">
        <v>16.440000000000001</v>
      </c>
      <c r="H805" s="260">
        <v>0.95</v>
      </c>
      <c r="I805" s="260">
        <v>1.35</v>
      </c>
      <c r="J805" s="260">
        <v>0.98</v>
      </c>
      <c r="K805" s="260">
        <v>4.3499999999999996</v>
      </c>
      <c r="L805" s="259" t="s">
        <v>58</v>
      </c>
    </row>
    <row r="806" spans="1:12" x14ac:dyDescent="0.25">
      <c r="A806" s="259" t="s">
        <v>873</v>
      </c>
      <c r="B806" s="260">
        <v>10.91</v>
      </c>
      <c r="C806" s="260">
        <v>1.64</v>
      </c>
      <c r="D806" s="260">
        <v>10.7</v>
      </c>
      <c r="E806" s="260">
        <v>11.89</v>
      </c>
      <c r="F806" s="260">
        <v>1.64</v>
      </c>
      <c r="G806" s="260">
        <v>6.23</v>
      </c>
      <c r="H806" s="260">
        <v>0.56000000000000005</v>
      </c>
      <c r="I806" s="260">
        <v>0.89</v>
      </c>
      <c r="J806" s="260">
        <v>0.55000000000000004</v>
      </c>
      <c r="K806" s="260">
        <v>-0.88</v>
      </c>
      <c r="L806" s="259" t="s">
        <v>62</v>
      </c>
    </row>
    <row r="807" spans="1:12" x14ac:dyDescent="0.25">
      <c r="A807" s="259" t="s">
        <v>874</v>
      </c>
      <c r="B807" s="260">
        <v>10.36</v>
      </c>
      <c r="C807" s="260">
        <v>2.06</v>
      </c>
      <c r="D807" s="259" t="s">
        <v>54</v>
      </c>
      <c r="E807" s="259" t="s">
        <v>54</v>
      </c>
      <c r="F807" s="260">
        <v>2.06</v>
      </c>
      <c r="G807" s="259" t="s">
        <v>54</v>
      </c>
      <c r="H807" s="259" t="s">
        <v>54</v>
      </c>
      <c r="I807" s="259" t="s">
        <v>54</v>
      </c>
      <c r="J807" s="259" t="s">
        <v>54</v>
      </c>
      <c r="K807" s="259" t="s">
        <v>54</v>
      </c>
      <c r="L807" s="259" t="s">
        <v>62</v>
      </c>
    </row>
    <row r="808" spans="1:12" hidden="1" x14ac:dyDescent="0.25">
      <c r="A808" s="259" t="s">
        <v>875</v>
      </c>
      <c r="B808" s="259" t="s">
        <v>54</v>
      </c>
      <c r="C808" s="260">
        <v>2.35</v>
      </c>
      <c r="D808" s="259" t="s">
        <v>54</v>
      </c>
      <c r="E808" s="259" t="s">
        <v>54</v>
      </c>
      <c r="F808" s="260">
        <v>2.35</v>
      </c>
      <c r="G808" s="259" t="s">
        <v>54</v>
      </c>
      <c r="H808" s="259" t="s">
        <v>54</v>
      </c>
      <c r="I808" s="259" t="s">
        <v>54</v>
      </c>
      <c r="J808" s="259" t="s">
        <v>54</v>
      </c>
      <c r="K808" s="259" t="s">
        <v>54</v>
      </c>
      <c r="L808" s="259" t="s">
        <v>73</v>
      </c>
    </row>
    <row r="809" spans="1:12" x14ac:dyDescent="0.25">
      <c r="A809" s="259" t="s">
        <v>876</v>
      </c>
      <c r="B809" s="260">
        <v>11.18</v>
      </c>
      <c r="C809" s="260">
        <v>1.82</v>
      </c>
      <c r="D809" s="259" t="s">
        <v>54</v>
      </c>
      <c r="E809" s="259" t="s">
        <v>54</v>
      </c>
      <c r="F809" s="260">
        <v>1.82</v>
      </c>
      <c r="G809" s="259" t="s">
        <v>54</v>
      </c>
      <c r="H809" s="259" t="s">
        <v>54</v>
      </c>
      <c r="I809" s="259" t="s">
        <v>54</v>
      </c>
      <c r="J809" s="259" t="s">
        <v>54</v>
      </c>
      <c r="K809" s="259" t="s">
        <v>54</v>
      </c>
      <c r="L809" s="259" t="s">
        <v>55</v>
      </c>
    </row>
    <row r="810" spans="1:12" x14ac:dyDescent="0.25">
      <c r="A810" s="259" t="s">
        <v>877</v>
      </c>
      <c r="B810" s="260">
        <v>8.7200000000000006</v>
      </c>
      <c r="C810" s="260">
        <v>2.2000000000000002</v>
      </c>
      <c r="D810" s="259" t="s">
        <v>54</v>
      </c>
      <c r="E810" s="259" t="s">
        <v>54</v>
      </c>
      <c r="F810" s="260">
        <v>2.2000000000000002</v>
      </c>
      <c r="G810" s="259" t="s">
        <v>54</v>
      </c>
      <c r="H810" s="259" t="s">
        <v>54</v>
      </c>
      <c r="I810" s="259" t="s">
        <v>54</v>
      </c>
      <c r="J810" s="259" t="s">
        <v>54</v>
      </c>
      <c r="K810" s="259" t="s">
        <v>54</v>
      </c>
      <c r="L810" s="259" t="s">
        <v>65</v>
      </c>
    </row>
    <row r="811" spans="1:12" x14ac:dyDescent="0.25">
      <c r="A811" s="259" t="s">
        <v>878</v>
      </c>
      <c r="B811" s="260">
        <v>9.7899999999999991</v>
      </c>
      <c r="C811" s="260">
        <v>2.04</v>
      </c>
      <c r="D811" s="259" t="s">
        <v>54</v>
      </c>
      <c r="E811" s="259" t="s">
        <v>54</v>
      </c>
      <c r="F811" s="260">
        <v>2.04</v>
      </c>
      <c r="G811" s="259" t="s">
        <v>54</v>
      </c>
      <c r="H811" s="259" t="s">
        <v>54</v>
      </c>
      <c r="I811" s="259" t="s">
        <v>54</v>
      </c>
      <c r="J811" s="259" t="s">
        <v>54</v>
      </c>
      <c r="K811" s="259" t="s">
        <v>54</v>
      </c>
      <c r="L811" s="259" t="s">
        <v>71</v>
      </c>
    </row>
    <row r="812" spans="1:12" x14ac:dyDescent="0.25">
      <c r="A812" s="259" t="s">
        <v>879</v>
      </c>
      <c r="B812" s="260">
        <v>13.25</v>
      </c>
      <c r="C812" s="260">
        <v>1.88</v>
      </c>
      <c r="D812" s="259" t="s">
        <v>54</v>
      </c>
      <c r="E812" s="259" t="s">
        <v>54</v>
      </c>
      <c r="F812" s="260">
        <v>1.88</v>
      </c>
      <c r="G812" s="259" t="s">
        <v>54</v>
      </c>
      <c r="H812" s="259" t="s">
        <v>54</v>
      </c>
      <c r="I812" s="259" t="s">
        <v>54</v>
      </c>
      <c r="J812" s="259" t="s">
        <v>54</v>
      </c>
      <c r="K812" s="259" t="s">
        <v>54</v>
      </c>
      <c r="L812" s="259" t="s">
        <v>84</v>
      </c>
    </row>
    <row r="813" spans="1:12" x14ac:dyDescent="0.25">
      <c r="A813" s="259" t="s">
        <v>880</v>
      </c>
      <c r="B813" s="260">
        <v>15.93</v>
      </c>
      <c r="C813" s="260">
        <v>1.73</v>
      </c>
      <c r="D813" s="259" t="s">
        <v>54</v>
      </c>
      <c r="E813" s="259" t="s">
        <v>54</v>
      </c>
      <c r="F813" s="260">
        <v>1.73</v>
      </c>
      <c r="G813" s="259" t="s">
        <v>54</v>
      </c>
      <c r="H813" s="259" t="s">
        <v>54</v>
      </c>
      <c r="I813" s="259" t="s">
        <v>54</v>
      </c>
      <c r="J813" s="259" t="s">
        <v>54</v>
      </c>
      <c r="K813" s="259" t="s">
        <v>54</v>
      </c>
      <c r="L813" s="259" t="s">
        <v>60</v>
      </c>
    </row>
    <row r="814" spans="1:12" x14ac:dyDescent="0.25">
      <c r="A814" s="259" t="s">
        <v>881</v>
      </c>
      <c r="B814" s="260">
        <v>12.85</v>
      </c>
      <c r="C814" s="260">
        <v>2.0099999999999998</v>
      </c>
      <c r="D814" s="259" t="s">
        <v>54</v>
      </c>
      <c r="E814" s="259" t="s">
        <v>54</v>
      </c>
      <c r="F814" s="260">
        <v>2.0099999999999998</v>
      </c>
      <c r="G814" s="259" t="s">
        <v>54</v>
      </c>
      <c r="H814" s="259" t="s">
        <v>54</v>
      </c>
      <c r="I814" s="259" t="s">
        <v>54</v>
      </c>
      <c r="J814" s="259" t="s">
        <v>54</v>
      </c>
      <c r="K814" s="259" t="s">
        <v>54</v>
      </c>
      <c r="L814" s="259" t="s">
        <v>89</v>
      </c>
    </row>
    <row r="815" spans="1:12" hidden="1" x14ac:dyDescent="0.25">
      <c r="A815" s="259" t="s">
        <v>882</v>
      </c>
      <c r="B815" s="259" t="s">
        <v>54</v>
      </c>
      <c r="C815" s="260">
        <v>2.36</v>
      </c>
      <c r="D815" s="259" t="s">
        <v>54</v>
      </c>
      <c r="E815" s="259" t="s">
        <v>54</v>
      </c>
      <c r="F815" s="260">
        <v>2.36</v>
      </c>
      <c r="G815" s="259" t="s">
        <v>54</v>
      </c>
      <c r="H815" s="259" t="s">
        <v>54</v>
      </c>
      <c r="I815" s="259" t="s">
        <v>54</v>
      </c>
      <c r="J815" s="259" t="s">
        <v>54</v>
      </c>
      <c r="K815" s="259" t="s">
        <v>54</v>
      </c>
      <c r="L815" s="259" t="s">
        <v>58</v>
      </c>
    </row>
    <row r="816" spans="1:12" hidden="1" x14ac:dyDescent="0.25">
      <c r="A816" s="259" t="s">
        <v>883</v>
      </c>
      <c r="B816" s="260">
        <v>17.64</v>
      </c>
      <c r="C816" s="260">
        <v>2.19</v>
      </c>
      <c r="D816" s="259" t="s">
        <v>54</v>
      </c>
      <c r="E816" s="259" t="s">
        <v>54</v>
      </c>
      <c r="F816" s="260">
        <v>2.19</v>
      </c>
      <c r="G816" s="259" t="s">
        <v>54</v>
      </c>
      <c r="H816" s="259" t="s">
        <v>54</v>
      </c>
      <c r="I816" s="259" t="s">
        <v>54</v>
      </c>
      <c r="J816" s="259" t="s">
        <v>54</v>
      </c>
      <c r="K816" s="259" t="s">
        <v>54</v>
      </c>
      <c r="L816" s="259" t="s">
        <v>58</v>
      </c>
    </row>
    <row r="817" spans="1:12" x14ac:dyDescent="0.25">
      <c r="A817" s="259" t="s">
        <v>884</v>
      </c>
      <c r="B817" s="259" t="s">
        <v>54</v>
      </c>
      <c r="C817" s="260">
        <v>0.25</v>
      </c>
      <c r="D817" s="259" t="s">
        <v>54</v>
      </c>
      <c r="E817" s="259" t="s">
        <v>54</v>
      </c>
      <c r="F817" s="260">
        <v>0.25</v>
      </c>
      <c r="G817" s="259" t="s">
        <v>54</v>
      </c>
      <c r="H817" s="259" t="s">
        <v>54</v>
      </c>
      <c r="I817" s="259" t="s">
        <v>54</v>
      </c>
      <c r="J817" s="259" t="s">
        <v>54</v>
      </c>
      <c r="K817" s="259" t="s">
        <v>54</v>
      </c>
      <c r="L817" s="259" t="s">
        <v>65</v>
      </c>
    </row>
    <row r="818" spans="1:12" x14ac:dyDescent="0.25">
      <c r="A818" s="259" t="s">
        <v>885</v>
      </c>
      <c r="B818" s="259" t="s">
        <v>54</v>
      </c>
      <c r="C818" s="260">
        <v>0.21</v>
      </c>
      <c r="D818" s="259" t="s">
        <v>54</v>
      </c>
      <c r="E818" s="259" t="s">
        <v>54</v>
      </c>
      <c r="F818" s="260">
        <v>0.21</v>
      </c>
      <c r="G818" s="259" t="s">
        <v>54</v>
      </c>
      <c r="H818" s="259" t="s">
        <v>54</v>
      </c>
      <c r="I818" s="259" t="s">
        <v>54</v>
      </c>
      <c r="J818" s="259" t="s">
        <v>54</v>
      </c>
      <c r="K818" s="259" t="s">
        <v>54</v>
      </c>
      <c r="L818" s="259" t="s">
        <v>84</v>
      </c>
    </row>
  </sheetData>
  <autoFilter ref="A1:L818" xr:uid="{00000000-0009-0000-0000-000001000000}">
    <filterColumn colId="11">
      <filters>
        <filter val="EQ-FLX"/>
        <filter val="EQ-L&amp;MC"/>
        <filter val="EQ-LC"/>
        <filter val="EQ-MC"/>
        <filter val="EQ-MLC"/>
        <filter val="EQ-SC"/>
        <filter val="HY-DAA"/>
        <filter val="HY-MAA"/>
      </filters>
    </filterColumn>
  </autoFilter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G52"/>
  <sheetViews>
    <sheetView topLeftCell="A51" zoomScaleNormal="100" workbookViewId="0">
      <selection activeCell="A54" sqref="A54:D75"/>
    </sheetView>
  </sheetViews>
  <sheetFormatPr defaultColWidth="8" defaultRowHeight="12.75" x14ac:dyDescent="0.25"/>
  <cols>
    <col min="1" max="1" width="36.5703125" style="329" bestFit="1" customWidth="1"/>
    <col min="2" max="2" width="10.140625" style="329" customWidth="1"/>
    <col min="3" max="3" width="10.28515625" style="329" customWidth="1"/>
    <col min="4" max="4" width="2.28515625" style="329" customWidth="1"/>
    <col min="5" max="5" width="36.28515625" style="329" customWidth="1"/>
    <col min="6" max="6" width="15" style="329" customWidth="1"/>
    <col min="7" max="7" width="10.28515625" style="329" customWidth="1"/>
    <col min="8" max="11" width="8" style="329" customWidth="1"/>
    <col min="12" max="16384" width="8" style="329"/>
  </cols>
  <sheetData>
    <row r="2" spans="1:7" ht="15" x14ac:dyDescent="0.25">
      <c r="A2" s="393" t="s">
        <v>1487</v>
      </c>
      <c r="B2" s="394"/>
      <c r="C2" s="394"/>
      <c r="D2" s="394"/>
      <c r="E2" s="394"/>
      <c r="F2" s="394"/>
      <c r="G2" s="395"/>
    </row>
    <row r="3" spans="1:7" ht="15" x14ac:dyDescent="0.25">
      <c r="A3" s="383"/>
      <c r="B3" s="384"/>
      <c r="C3" s="384"/>
      <c r="D3" s="384"/>
      <c r="E3" s="384"/>
      <c r="F3" s="384"/>
      <c r="G3" s="385"/>
    </row>
    <row r="4" spans="1:7" ht="15" x14ac:dyDescent="0.25">
      <c r="A4" s="392" t="s">
        <v>886</v>
      </c>
      <c r="B4" s="362"/>
      <c r="C4" s="363"/>
      <c r="D4" s="330"/>
      <c r="E4" s="396" t="s">
        <v>887</v>
      </c>
      <c r="F4" s="362"/>
      <c r="G4" s="378"/>
    </row>
    <row r="5" spans="1:7" ht="15" x14ac:dyDescent="0.25">
      <c r="A5" s="338" t="s">
        <v>888</v>
      </c>
      <c r="B5" s="368" t="s">
        <v>889</v>
      </c>
      <c r="C5" s="363"/>
      <c r="D5" s="387"/>
      <c r="E5" s="388"/>
      <c r="F5" s="388"/>
      <c r="G5" s="389"/>
    </row>
    <row r="6" spans="1:7" ht="25.5" customHeight="1" x14ac:dyDescent="0.25">
      <c r="A6" s="340" t="s">
        <v>1503</v>
      </c>
      <c r="B6" s="365" t="s">
        <v>1502</v>
      </c>
      <c r="C6" s="363"/>
      <c r="D6" s="379"/>
      <c r="E6" s="342" t="s">
        <v>890</v>
      </c>
      <c r="F6" s="339" t="s">
        <v>25</v>
      </c>
      <c r="G6" s="343" t="s">
        <v>26</v>
      </c>
    </row>
    <row r="7" spans="1:7" ht="15" x14ac:dyDescent="0.25">
      <c r="A7" s="340" t="s">
        <v>1504</v>
      </c>
      <c r="B7" s="365" t="s">
        <v>1501</v>
      </c>
      <c r="C7" s="363"/>
      <c r="D7" s="380"/>
      <c r="E7" s="459" t="s">
        <v>891</v>
      </c>
      <c r="F7" s="344">
        <v>6.13E-2</v>
      </c>
      <c r="G7" s="345">
        <v>3.2000000000000002E-3</v>
      </c>
    </row>
    <row r="8" spans="1:7" ht="25.5" customHeight="1" x14ac:dyDescent="0.25">
      <c r="A8" s="390"/>
      <c r="B8" s="388"/>
      <c r="C8" s="388"/>
      <c r="D8" s="391"/>
      <c r="E8" s="342" t="s">
        <v>892</v>
      </c>
      <c r="F8" s="339" t="s">
        <v>25</v>
      </c>
      <c r="G8" s="343" t="s">
        <v>26</v>
      </c>
    </row>
    <row r="9" spans="1:7" ht="25.5" customHeight="1" x14ac:dyDescent="0.25">
      <c r="A9" s="382" t="s">
        <v>893</v>
      </c>
      <c r="B9" s="362"/>
      <c r="C9" s="363"/>
      <c r="D9" s="330"/>
      <c r="E9" s="341" t="str">
        <f>'Summary '!J4</f>
        <v>ICICI Prudential Ultra Short Term Fund - Growth</v>
      </c>
      <c r="F9" s="346" t="str">
        <f>'Summary '!K4</f>
        <v>6.97%</v>
      </c>
      <c r="G9" s="347" t="str">
        <f>'Summary '!L4</f>
        <v>6.13%</v>
      </c>
    </row>
    <row r="10" spans="1:7" ht="25.5" customHeight="1" x14ac:dyDescent="0.25">
      <c r="A10" s="390"/>
      <c r="B10" s="388"/>
      <c r="C10" s="388"/>
      <c r="D10" s="391"/>
      <c r="E10" s="341" t="str">
        <f>'Summary '!J5</f>
        <v>SBI Magnum Ultra Short Duration Fund - Growth</v>
      </c>
      <c r="F10" s="346" t="str">
        <f>'Summary '!K5</f>
        <v>7.06%</v>
      </c>
      <c r="G10" s="347" t="str">
        <f>'Summary '!L5</f>
        <v>7.56%</v>
      </c>
    </row>
    <row r="11" spans="1:7" ht="25.5" customHeight="1" x14ac:dyDescent="0.25">
      <c r="A11" s="338" t="s">
        <v>894</v>
      </c>
      <c r="B11" s="339" t="s">
        <v>25</v>
      </c>
      <c r="C11" s="339" t="s">
        <v>26</v>
      </c>
      <c r="D11" s="379"/>
      <c r="E11" s="341" t="str">
        <f>'Summary '!J6</f>
        <v>Kotak Savings Fund - Reg - Growth</v>
      </c>
      <c r="F11" s="346" t="str">
        <f>'Summary '!K6</f>
        <v>6.73%</v>
      </c>
      <c r="G11" s="347" t="str">
        <f>'Summary '!L6</f>
        <v>5.82%</v>
      </c>
    </row>
    <row r="12" spans="1:7" ht="15" x14ac:dyDescent="0.25">
      <c r="A12" s="457" t="s">
        <v>27</v>
      </c>
      <c r="B12" s="344">
        <v>0.10100000000000001</v>
      </c>
      <c r="C12" s="344">
        <v>-3.5099999999999999E-2</v>
      </c>
      <c r="D12" s="380"/>
      <c r="E12" s="377"/>
      <c r="F12" s="362"/>
      <c r="G12" s="378"/>
    </row>
    <row r="13" spans="1:7" ht="25.5" customHeight="1" x14ac:dyDescent="0.25">
      <c r="A13" s="349" t="s">
        <v>895</v>
      </c>
      <c r="B13" s="339" t="s">
        <v>25</v>
      </c>
      <c r="C13" s="339" t="s">
        <v>26</v>
      </c>
      <c r="D13" s="380"/>
      <c r="E13" s="342" t="s">
        <v>896</v>
      </c>
      <c r="F13" s="339" t="s">
        <v>25</v>
      </c>
      <c r="G13" s="343" t="s">
        <v>26</v>
      </c>
    </row>
    <row r="14" spans="1:7" x14ac:dyDescent="0.25">
      <c r="A14" s="340" t="str">
        <f>'Summary '!D4</f>
        <v>ICICI Prudential Large Cap Fund - Growth</v>
      </c>
      <c r="B14" s="346" t="str">
        <f>'Summary '!E4</f>
        <v>14.1%</v>
      </c>
      <c r="C14" s="346" t="str">
        <f>'Summary '!F4</f>
        <v>-1.31%</v>
      </c>
      <c r="D14" s="380"/>
      <c r="E14" s="459" t="s">
        <v>897</v>
      </c>
      <c r="F14" s="344">
        <v>7.1099999999999997E-2</v>
      </c>
      <c r="G14" s="345">
        <v>5.8299999999999998E-2</v>
      </c>
    </row>
    <row r="15" spans="1:7" ht="25.5" customHeight="1" x14ac:dyDescent="0.25">
      <c r="A15" s="340" t="str">
        <f>'Summary '!D5</f>
        <v>Nippon India Large Cap Fund - Reg - Growth</v>
      </c>
      <c r="B15" s="346" t="str">
        <f>'Summary '!E5</f>
        <v>14.47%</v>
      </c>
      <c r="C15" s="346" t="str">
        <f>'Summary '!F5</f>
        <v>-0.31%</v>
      </c>
      <c r="D15" s="380"/>
      <c r="E15" s="342" t="s">
        <v>898</v>
      </c>
      <c r="F15" s="339" t="s">
        <v>25</v>
      </c>
      <c r="G15" s="343" t="s">
        <v>26</v>
      </c>
    </row>
    <row r="16" spans="1:7" x14ac:dyDescent="0.25">
      <c r="A16" s="340" t="str">
        <f>'Summary '!D6</f>
        <v>HDFC Large Cap Fund - Growth</v>
      </c>
      <c r="B16" s="346" t="str">
        <f>'Summary '!E6</f>
        <v>11.77%</v>
      </c>
      <c r="C16" s="346" t="str">
        <f>'Summary '!F6</f>
        <v>-1.42%</v>
      </c>
      <c r="D16" s="380"/>
      <c r="E16" s="341" t="str">
        <f>'Summary '!J8</f>
        <v>UTI Low Duration Fund - Reg - Growth</v>
      </c>
      <c r="F16" s="346" t="str">
        <f>'Summary '!K8</f>
        <v>7.17%</v>
      </c>
      <c r="G16" s="347" t="str">
        <f>'Summary '!L8</f>
        <v>6.03%</v>
      </c>
    </row>
    <row r="17" spans="1:7" ht="25.5" customHeight="1" x14ac:dyDescent="0.25">
      <c r="A17" s="348" t="s">
        <v>899</v>
      </c>
      <c r="B17" s="376">
        <v>2572605</v>
      </c>
      <c r="C17" s="363"/>
      <c r="D17" s="380"/>
      <c r="E17" s="341" t="str">
        <f>'Summary '!J9</f>
        <v>ICICI Prudential Savings Fund - Reg - Growth</v>
      </c>
      <c r="F17" s="346" t="str">
        <f>'Summary '!K9</f>
        <v>7.45%</v>
      </c>
      <c r="G17" s="347" t="str">
        <f>'Summary '!L9</f>
        <v>6.2%</v>
      </c>
    </row>
    <row r="18" spans="1:7" ht="15" x14ac:dyDescent="0.25">
      <c r="A18" s="390"/>
      <c r="B18" s="388"/>
      <c r="C18" s="388"/>
      <c r="D18" s="391"/>
      <c r="E18" s="341" t="str">
        <f>'Summary '!J10</f>
        <v>SBI Magnum Low Duration Fund - Growth</v>
      </c>
      <c r="F18" s="346" t="str">
        <f>'Summary '!K10</f>
        <v>7%</v>
      </c>
      <c r="G18" s="347" t="str">
        <f>'Summary '!L10</f>
        <v>7.79%</v>
      </c>
    </row>
    <row r="19" spans="1:7" ht="25.5" customHeight="1" x14ac:dyDescent="0.25">
      <c r="A19" s="349" t="s">
        <v>900</v>
      </c>
      <c r="B19" s="339" t="s">
        <v>25</v>
      </c>
      <c r="C19" s="339" t="s">
        <v>26</v>
      </c>
      <c r="D19" s="331"/>
      <c r="E19" s="377"/>
      <c r="F19" s="362"/>
      <c r="G19" s="378"/>
    </row>
    <row r="20" spans="1:7" ht="25.5" customHeight="1" x14ac:dyDescent="0.25">
      <c r="A20" s="340" t="str">
        <f>'Summary '!D8</f>
        <v>ICICI Prudential Large &amp; Mid Cap Fund - Growth</v>
      </c>
      <c r="B20" s="346" t="str">
        <f>'Summary '!E8</f>
        <v>17.98%</v>
      </c>
      <c r="C20" s="346" t="str">
        <f>'Summary '!F8</f>
        <v>2.44%</v>
      </c>
      <c r="D20" s="331"/>
      <c r="E20" s="342" t="s">
        <v>901</v>
      </c>
      <c r="F20" s="339" t="s">
        <v>25</v>
      </c>
      <c r="G20" s="343" t="s">
        <v>26</v>
      </c>
    </row>
    <row r="21" spans="1:7" x14ac:dyDescent="0.25">
      <c r="A21" s="340" t="str">
        <f>'Summary '!D9</f>
        <v>UTI Large &amp; Mid Cap Fund - Growth</v>
      </c>
      <c r="B21" s="346" t="str">
        <f>'Summary '!E9</f>
        <v>18.57%</v>
      </c>
      <c r="C21" s="346" t="str">
        <f>'Summary '!F9</f>
        <v>2.75%</v>
      </c>
      <c r="D21" s="331"/>
      <c r="E21" s="460" t="s">
        <v>902</v>
      </c>
      <c r="F21" s="344">
        <v>6.5699999999999995E-2</v>
      </c>
      <c r="G21" s="345">
        <v>7.6300000000000007E-2</v>
      </c>
    </row>
    <row r="22" spans="1:7" ht="25.5" customHeight="1" x14ac:dyDescent="0.25">
      <c r="A22" s="340" t="str">
        <f>'Summary '!D10</f>
        <v>SBI Large &amp; Midcap Fund - Growth</v>
      </c>
      <c r="B22" s="346" t="str">
        <f>'Summary '!E10</f>
        <v>14.88%</v>
      </c>
      <c r="C22" s="346" t="str">
        <f>'Summary '!F10</f>
        <v>5.3%</v>
      </c>
      <c r="D22" s="331"/>
      <c r="E22" s="342" t="s">
        <v>903</v>
      </c>
      <c r="F22" s="339" t="s">
        <v>25</v>
      </c>
      <c r="G22" s="343" t="s">
        <v>26</v>
      </c>
    </row>
    <row r="23" spans="1:7" ht="25.5" customHeight="1" x14ac:dyDescent="0.25">
      <c r="A23" s="348" t="s">
        <v>899</v>
      </c>
      <c r="B23" s="376">
        <v>2646895</v>
      </c>
      <c r="C23" s="363"/>
      <c r="D23" s="331"/>
      <c r="E23" s="341" t="str">
        <f>'Summary '!J12</f>
        <v>Nippon India Short Duration Fund - Reg - Growth</v>
      </c>
      <c r="F23" s="346" t="str">
        <f>'Summary '!K12</f>
        <v>7.21%</v>
      </c>
      <c r="G23" s="347" t="str">
        <f>'Summary '!L12</f>
        <v>5.24%</v>
      </c>
    </row>
    <row r="24" spans="1:7" ht="15" x14ac:dyDescent="0.25">
      <c r="A24" s="386"/>
      <c r="B24" s="362"/>
      <c r="C24" s="363"/>
      <c r="D24" s="331"/>
      <c r="E24" s="341" t="str">
        <f>'Summary '!J13</f>
        <v>ICICI Prudential Short Term Fund - Growth</v>
      </c>
      <c r="F24" s="346" t="str">
        <f>'Summary '!K13</f>
        <v>7.38%</v>
      </c>
      <c r="G24" s="347" t="str">
        <f>'Summary '!L13</f>
        <v>5.75%</v>
      </c>
    </row>
    <row r="25" spans="1:7" ht="25.5" customHeight="1" x14ac:dyDescent="0.25">
      <c r="A25" s="338" t="s">
        <v>904</v>
      </c>
      <c r="B25" s="339" t="s">
        <v>25</v>
      </c>
      <c r="C25" s="339" t="s">
        <v>26</v>
      </c>
      <c r="D25" s="331"/>
      <c r="E25" s="341" t="str">
        <f>'Summary '!J14</f>
        <v>SBI Short Term Debt Fund - Growth</v>
      </c>
      <c r="F25" s="346" t="str">
        <f>'Summary '!K14</f>
        <v>6.98%</v>
      </c>
      <c r="G25" s="347" t="str">
        <f>'Summary '!L14</f>
        <v>4.98%</v>
      </c>
    </row>
    <row r="26" spans="1:7" ht="15" x14ac:dyDescent="0.25">
      <c r="A26" s="457" t="s">
        <v>905</v>
      </c>
      <c r="B26" s="344">
        <v>0.21820000000000001</v>
      </c>
      <c r="C26" s="344">
        <v>5.57E-2</v>
      </c>
      <c r="D26" s="331"/>
      <c r="E26" s="377"/>
      <c r="F26" s="362"/>
      <c r="G26" s="378"/>
    </row>
    <row r="27" spans="1:7" ht="25.5" customHeight="1" x14ac:dyDescent="0.25">
      <c r="A27" s="349" t="s">
        <v>906</v>
      </c>
      <c r="B27" s="339" t="s">
        <v>907</v>
      </c>
      <c r="C27" s="339" t="s">
        <v>26</v>
      </c>
      <c r="E27" s="342" t="s">
        <v>908</v>
      </c>
      <c r="F27" s="339" t="s">
        <v>25</v>
      </c>
      <c r="G27" s="343" t="s">
        <v>26</v>
      </c>
    </row>
    <row r="28" spans="1:7" x14ac:dyDescent="0.25">
      <c r="A28" s="340" t="str">
        <f>'Summary '!D12</f>
        <v>HDFC Mid Cap Fund - Growth</v>
      </c>
      <c r="B28" s="346" t="str">
        <f>'Summary '!E12</f>
        <v>21.04%</v>
      </c>
      <c r="C28" s="346" t="str">
        <f>'Summary '!F12</f>
        <v>7.2%</v>
      </c>
      <c r="E28" s="460" t="s">
        <v>909</v>
      </c>
      <c r="F28" s="344">
        <v>4.0099999999999997E-2</v>
      </c>
      <c r="G28" s="345">
        <v>3.3099999999999997E-2</v>
      </c>
    </row>
    <row r="29" spans="1:7" ht="25.5" customHeight="1" x14ac:dyDescent="0.25">
      <c r="A29" s="340" t="str">
        <f>'Summary '!D13</f>
        <v>Nippon India Growth Mid Cap Fund - Reg - Growth</v>
      </c>
      <c r="B29" s="346" t="str">
        <f>'Summary '!E13</f>
        <v>23.23%</v>
      </c>
      <c r="C29" s="346" t="str">
        <f>'Summary '!F13</f>
        <v>8.36%</v>
      </c>
      <c r="E29" s="342" t="s">
        <v>903</v>
      </c>
      <c r="F29" s="339" t="s">
        <v>25</v>
      </c>
      <c r="G29" s="343" t="s">
        <v>26</v>
      </c>
    </row>
    <row r="30" spans="1:7" ht="25.5" customHeight="1" x14ac:dyDescent="0.25">
      <c r="A30" s="340" t="str">
        <f>'Summary '!D14</f>
        <v>ICICI Prudential MidCap Fund - Growth</v>
      </c>
      <c r="B30" s="346" t="str">
        <f>'Summary '!E14</f>
        <v>24.92%</v>
      </c>
      <c r="C30" s="346" t="str">
        <f>'Summary '!F14</f>
        <v>14.3%</v>
      </c>
      <c r="E30" s="341" t="str">
        <f>'Summary '!J16</f>
        <v>Aditya Birla Sun Life Medium Term Plan - Reg - Growth</v>
      </c>
      <c r="F30" s="346" t="str">
        <f>'Summary '!K16</f>
        <v>9.78%</v>
      </c>
      <c r="G30" s="347" t="str">
        <f>'Summary '!L16</f>
        <v>8.33%</v>
      </c>
    </row>
    <row r="31" spans="1:7" ht="25.5" customHeight="1" x14ac:dyDescent="0.25">
      <c r="A31" s="348" t="s">
        <v>910</v>
      </c>
      <c r="B31" s="376">
        <v>2767450</v>
      </c>
      <c r="C31" s="363"/>
      <c r="E31" s="341" t="str">
        <f>'Summary '!J17</f>
        <v>Kotak Medium Term Fund - Reg - Growth</v>
      </c>
      <c r="F31" s="346" t="str">
        <f>'Summary '!K17</f>
        <v>7.89%</v>
      </c>
      <c r="G31" s="347" t="str">
        <f>'Summary '!L17</f>
        <v>6.18%</v>
      </c>
    </row>
    <row r="32" spans="1:7" ht="25.5" customHeight="1" x14ac:dyDescent="0.25">
      <c r="A32" s="386"/>
      <c r="B32" s="362"/>
      <c r="C32" s="363"/>
      <c r="E32" s="341" t="str">
        <f>'Summary '!J18</f>
        <v>ICICI Prudential Medium Term Bond Fund - Growth</v>
      </c>
      <c r="F32" s="346" t="str">
        <f>'Summary '!K18</f>
        <v>7.75%</v>
      </c>
      <c r="G32" s="347" t="str">
        <f>'Summary '!L18</f>
        <v>6.8%</v>
      </c>
    </row>
    <row r="33" spans="1:7" ht="25.5" customHeight="1" x14ac:dyDescent="0.25">
      <c r="A33" s="338" t="s">
        <v>911</v>
      </c>
      <c r="B33" s="339" t="s">
        <v>25</v>
      </c>
      <c r="C33" s="339" t="s">
        <v>26</v>
      </c>
      <c r="D33" s="331"/>
      <c r="G33" s="332"/>
    </row>
    <row r="34" spans="1:7" ht="25.5" customHeight="1" x14ac:dyDescent="0.25">
      <c r="A34" s="457" t="s">
        <v>912</v>
      </c>
      <c r="B34" s="344">
        <v>0.21759999999999999</v>
      </c>
      <c r="C34" s="344">
        <v>9.9000000000000008E-3</v>
      </c>
      <c r="D34" s="331"/>
      <c r="E34" s="342" t="s">
        <v>913</v>
      </c>
      <c r="F34" s="339" t="s">
        <v>25</v>
      </c>
      <c r="G34" s="343" t="s">
        <v>26</v>
      </c>
    </row>
    <row r="35" spans="1:7" x14ac:dyDescent="0.25">
      <c r="A35" s="349" t="s">
        <v>914</v>
      </c>
      <c r="B35" s="339" t="s">
        <v>915</v>
      </c>
      <c r="C35" s="339" t="s">
        <v>916</v>
      </c>
      <c r="D35" s="331"/>
      <c r="E35" s="460" t="s">
        <v>917</v>
      </c>
      <c r="F35" s="344">
        <v>-1.24E-2</v>
      </c>
      <c r="G35" s="345">
        <v>5.6599999999999998E-2</v>
      </c>
    </row>
    <row r="36" spans="1:7" ht="25.5" customHeight="1" x14ac:dyDescent="0.25">
      <c r="A36" s="340" t="str">
        <f>'Summary '!D16</f>
        <v>Nippon India Small Cap Fund - Reg - Growth</v>
      </c>
      <c r="B36" s="346" t="str">
        <f>'Summary '!E16</f>
        <v>19.03%</v>
      </c>
      <c r="C36" s="346" t="str">
        <f>'Summary '!F16</f>
        <v>7.66%</v>
      </c>
      <c r="D36" s="331"/>
      <c r="E36" s="342" t="s">
        <v>918</v>
      </c>
      <c r="F36" s="339" t="s">
        <v>25</v>
      </c>
      <c r="G36" s="343" t="s">
        <v>26</v>
      </c>
    </row>
    <row r="37" spans="1:7" x14ac:dyDescent="0.25">
      <c r="A37" s="340" t="str">
        <f>'Summary '!D17</f>
        <v>HDFC Small Cap Fund - Growth</v>
      </c>
      <c r="B37" s="346" t="str">
        <f>'Summary '!E17</f>
        <v>14.72%</v>
      </c>
      <c r="C37" s="346" t="str">
        <f>'Summary '!F17</f>
        <v>1.51%</v>
      </c>
      <c r="D37" s="331"/>
      <c r="E37" s="341" t="str">
        <f>'Summary '!J20</f>
        <v>SBI Magnum Income Fund - Growth</v>
      </c>
      <c r="F37" s="346" t="str">
        <f>'Summary '!K20</f>
        <v>7.87%</v>
      </c>
      <c r="G37" s="347" t="str">
        <f>'Summary '!L20</f>
        <v>8.41%</v>
      </c>
    </row>
    <row r="38" spans="1:7" x14ac:dyDescent="0.25">
      <c r="A38" s="340" t="str">
        <f>'Summary '!D18</f>
        <v>ICICI Prudential Smallcap Fund - Growth</v>
      </c>
      <c r="B38" s="346" t="str">
        <f>'Summary '!E18</f>
        <v>13.93%</v>
      </c>
      <c r="C38" s="346" t="str">
        <f>'Summary '!F18</f>
        <v>4.33%</v>
      </c>
      <c r="D38" s="331"/>
      <c r="E38" s="341" t="str">
        <f>'Summary '!J21</f>
        <v>UTI Medium to Long Duration Fund - Growth</v>
      </c>
      <c r="F38" s="346" t="str">
        <f>'Summary '!K21</f>
        <v>6%</v>
      </c>
      <c r="G38" s="347" t="str">
        <f>'Summary '!L21</f>
        <v>2.89%</v>
      </c>
    </row>
    <row r="39" spans="1:7" ht="25.5" customHeight="1" x14ac:dyDescent="0.25">
      <c r="A39" s="348" t="s">
        <v>910</v>
      </c>
      <c r="B39" s="376">
        <v>2767450</v>
      </c>
      <c r="C39" s="363"/>
      <c r="D39" s="331"/>
      <c r="E39" s="341" t="str">
        <f>'Summary '!J22</f>
        <v>Kotak Bond Fund - Reg - Growth</v>
      </c>
      <c r="F39" s="346" t="str">
        <f>'Summary '!K22</f>
        <v>6.28%</v>
      </c>
      <c r="G39" s="347" t="str">
        <f>'Summary '!L22</f>
        <v>3.27%</v>
      </c>
    </row>
    <row r="40" spans="1:7" ht="15" x14ac:dyDescent="0.25">
      <c r="A40" s="381"/>
      <c r="B40" s="362"/>
      <c r="C40" s="362"/>
      <c r="D40" s="333"/>
      <c r="E40" s="396" t="s">
        <v>919</v>
      </c>
      <c r="F40" s="362"/>
      <c r="G40" s="378"/>
    </row>
    <row r="41" spans="1:7" ht="25.5" customHeight="1" x14ac:dyDescent="0.25">
      <c r="A41" s="338" t="s">
        <v>920</v>
      </c>
      <c r="B41" s="339" t="s">
        <v>25</v>
      </c>
      <c r="C41" s="339" t="s">
        <v>26</v>
      </c>
      <c r="D41" s="330"/>
      <c r="E41" s="339" t="s">
        <v>921</v>
      </c>
      <c r="F41" s="339" t="s">
        <v>25</v>
      </c>
      <c r="G41" s="343" t="s">
        <v>26</v>
      </c>
    </row>
    <row r="42" spans="1:7" ht="25.5" customHeight="1" x14ac:dyDescent="0.25">
      <c r="A42" s="340" t="str">
        <f>'Summary '!D20</f>
        <v>ICICI Prudential Focused Equity Fund  - Ret - Growth</v>
      </c>
      <c r="B42" s="346" t="str">
        <f>'Summary '!E20</f>
        <v>25.74%</v>
      </c>
      <c r="C42" s="346" t="str">
        <f>'Summary '!F20</f>
        <v>6.99%</v>
      </c>
      <c r="D42" s="330"/>
      <c r="E42" s="459" t="s">
        <v>922</v>
      </c>
      <c r="F42" s="344">
        <v>0.14099999999999999</v>
      </c>
      <c r="G42" s="344">
        <v>2.3E-3</v>
      </c>
    </row>
    <row r="43" spans="1:7" x14ac:dyDescent="0.25">
      <c r="A43" s="340" t="str">
        <f>'Summary '!D21</f>
        <v>SBI Focused Fund - Growth</v>
      </c>
      <c r="B43" s="346" t="str">
        <f>'Summary '!E21</f>
        <v>16.34%</v>
      </c>
      <c r="C43" s="346" t="str">
        <f>'Summary '!F21</f>
        <v>9.89%</v>
      </c>
      <c r="D43" s="330"/>
      <c r="E43" s="341" t="str">
        <f>'Summary '!D28</f>
        <v>HDFC Multi - Asset Fund - Growth</v>
      </c>
      <c r="F43" s="346" t="str">
        <f>'Summary '!E28</f>
        <v>15.63%</v>
      </c>
      <c r="G43" s="347" t="str">
        <f>'Summary '!F28</f>
        <v>7.13%</v>
      </c>
    </row>
    <row r="44" spans="1:7" ht="25.5" customHeight="1" x14ac:dyDescent="0.25">
      <c r="A44" s="340" t="str">
        <f>'Summary '!D22</f>
        <v>HDFC Focused Fund - Growth</v>
      </c>
      <c r="B44" s="346" t="str">
        <f>'Summary '!E22</f>
        <v>17.33%</v>
      </c>
      <c r="C44" s="346" t="str">
        <f>'Summary '!F22</f>
        <v>0.74%</v>
      </c>
      <c r="D44" s="330"/>
      <c r="E44" s="341" t="str">
        <f>'Summary '!D29</f>
        <v>Nippon India Multi Asset Allocation Fund - Reg - Growth</v>
      </c>
      <c r="F44" s="346" t="str">
        <f>'Summary '!E29</f>
        <v>19.42%</v>
      </c>
      <c r="G44" s="347" t="str">
        <f>'Summary '!F29</f>
        <v>14.31%</v>
      </c>
    </row>
    <row r="45" spans="1:7" ht="25.5" customHeight="1" x14ac:dyDescent="0.25">
      <c r="A45" s="348" t="s">
        <v>910</v>
      </c>
      <c r="B45" s="376">
        <v>2669566</v>
      </c>
      <c r="C45" s="363"/>
      <c r="D45" s="330"/>
      <c r="E45" s="341" t="str">
        <f>'Summary '!D30</f>
        <v>SBI Multi Asset Allocation Fund - Growth</v>
      </c>
      <c r="F45" s="346" t="str">
        <f>'Summary '!E30</f>
        <v>16.79%</v>
      </c>
      <c r="G45" s="347" t="str">
        <f>'Summary '!F30</f>
        <v>12.69%</v>
      </c>
    </row>
    <row r="46" spans="1:7" x14ac:dyDescent="0.25">
      <c r="A46" s="334"/>
      <c r="B46" s="335"/>
      <c r="C46" s="335"/>
      <c r="D46" s="333"/>
      <c r="E46" s="333"/>
      <c r="F46" s="333"/>
      <c r="G46" s="336"/>
    </row>
    <row r="47" spans="1:7" ht="25.5" customHeight="1" x14ac:dyDescent="0.25">
      <c r="A47" s="338" t="s">
        <v>923</v>
      </c>
      <c r="B47" s="339" t="s">
        <v>25</v>
      </c>
      <c r="C47" s="343" t="s">
        <v>26</v>
      </c>
      <c r="D47" s="337"/>
      <c r="E47" s="339" t="s">
        <v>924</v>
      </c>
      <c r="F47" s="339" t="s">
        <v>25</v>
      </c>
      <c r="G47" s="343" t="s">
        <v>26</v>
      </c>
    </row>
    <row r="48" spans="1:7" x14ac:dyDescent="0.25">
      <c r="A48" s="458" t="s">
        <v>922</v>
      </c>
      <c r="B48" s="344">
        <v>0.14099999999999999</v>
      </c>
      <c r="C48" s="344">
        <v>2.3E-3</v>
      </c>
      <c r="D48" s="337"/>
      <c r="E48" s="459" t="s">
        <v>925</v>
      </c>
      <c r="F48" s="344">
        <v>1.0999999999999999E-2</v>
      </c>
      <c r="G48" s="344">
        <v>-3.5099999999999999E-2</v>
      </c>
    </row>
    <row r="49" spans="1:7" ht="25.5" customHeight="1" x14ac:dyDescent="0.25">
      <c r="A49" s="340" t="str">
        <f>'Summary '!D43</f>
        <v>Nippon India US Equity Opportunities Fund - Reg - Growth</v>
      </c>
      <c r="B49" s="346" t="str">
        <f>'Summary '!E43</f>
        <v>16.29%</v>
      </c>
      <c r="C49" s="347" t="str">
        <f>'Summary '!F43</f>
        <v>11.77%</v>
      </c>
      <c r="D49" s="337"/>
      <c r="E49" s="341" t="str">
        <f>'Summary '!D24</f>
        <v>ICICI Prudential Balanced Advantage Fund - Reg - Growth</v>
      </c>
      <c r="F49" s="346" t="str">
        <f>'Summary '!E24</f>
        <v>11.99%</v>
      </c>
      <c r="G49" s="347" t="str">
        <f>'Summary '!F24</f>
        <v>5.06%</v>
      </c>
    </row>
    <row r="50" spans="1:7" ht="25.5" customHeight="1" x14ac:dyDescent="0.25">
      <c r="A50" s="340" t="str">
        <f>'Summary '!D44</f>
        <v>Aditya Birla Sun Life Manufacturing Equity Fund - Reg - Growth</v>
      </c>
      <c r="B50" s="346" t="str">
        <f>'Summary '!E44</f>
        <v>21.2%</v>
      </c>
      <c r="C50" s="347" t="str">
        <f>'Summary '!F44</f>
        <v>17.42%</v>
      </c>
      <c r="D50" s="337"/>
      <c r="E50" s="341" t="str">
        <f>'Summary '!D25</f>
        <v>Aditya Birla Sun Life Balanced Advantage Fund - Growth</v>
      </c>
      <c r="F50" s="346" t="str">
        <f>'Summary '!E25</f>
        <v>11.77%</v>
      </c>
      <c r="G50" s="347" t="str">
        <f>'Summary '!F25</f>
        <v>4.51%</v>
      </c>
    </row>
    <row r="51" spans="1:7" ht="25.5" customHeight="1" x14ac:dyDescent="0.25">
      <c r="A51" s="340" t="str">
        <f>'Summary '!D45</f>
        <v>Nippon India Quant Fund - Reg - Growth</v>
      </c>
      <c r="B51" s="346" t="str">
        <f>'Summary '!E45</f>
        <v>16.52%</v>
      </c>
      <c r="C51" s="351" t="str">
        <f>'Summary '!F45</f>
        <v>2.31%</v>
      </c>
      <c r="D51" s="337"/>
      <c r="E51" s="341" t="str">
        <f>'Summary '!D26</f>
        <v>Nippon India Balanced Advantage Fund - Reg - Growth</v>
      </c>
      <c r="F51" s="346" t="str">
        <f>'Summary '!E26</f>
        <v>11.21%</v>
      </c>
      <c r="G51" s="347" t="str">
        <f>'Summary '!F26</f>
        <v>3.77%</v>
      </c>
    </row>
    <row r="52" spans="1:7" x14ac:dyDescent="0.25">
      <c r="A52" s="352"/>
      <c r="B52" s="353"/>
      <c r="C52" s="353"/>
      <c r="D52" s="353"/>
      <c r="E52" s="353"/>
      <c r="F52" s="353"/>
      <c r="G52" s="354" t="s">
        <v>926</v>
      </c>
    </row>
  </sheetData>
  <mergeCells count="26">
    <mergeCell ref="A2:G2"/>
    <mergeCell ref="E4:G4"/>
    <mergeCell ref="B17:C17"/>
    <mergeCell ref="B23:C23"/>
    <mergeCell ref="B39:C39"/>
    <mergeCell ref="A8:D8"/>
    <mergeCell ref="B7:C7"/>
    <mergeCell ref="E19:G19"/>
    <mergeCell ref="E12:G12"/>
    <mergeCell ref="A10:D10"/>
    <mergeCell ref="A3:G3"/>
    <mergeCell ref="A24:C24"/>
    <mergeCell ref="D5:G5"/>
    <mergeCell ref="A18:D18"/>
    <mergeCell ref="A32:C32"/>
    <mergeCell ref="A4:C4"/>
    <mergeCell ref="B6:C6"/>
    <mergeCell ref="B5:C5"/>
    <mergeCell ref="B45:C45"/>
    <mergeCell ref="E26:G26"/>
    <mergeCell ref="D11:D17"/>
    <mergeCell ref="A40:C40"/>
    <mergeCell ref="A9:C9"/>
    <mergeCell ref="D6:D7"/>
    <mergeCell ref="B31:C31"/>
    <mergeCell ref="E40:G40"/>
  </mergeCells>
  <printOptions horizontalCentered="1" verticalCentered="1"/>
  <pageMargins left="0.19685039370078741" right="0.19685039370078741" top="0.19685039370078741" bottom="0.19685039370078741" header="0.31496062992125978" footer="0.31496062992125978"/>
  <pageSetup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2:I24"/>
  <sheetViews>
    <sheetView tabSelected="1" zoomScale="130" zoomScaleNormal="130" workbookViewId="0">
      <selection activeCell="B2" sqref="B2:E23"/>
    </sheetView>
  </sheetViews>
  <sheetFormatPr defaultColWidth="8.7109375" defaultRowHeight="12.75" x14ac:dyDescent="0.25"/>
  <cols>
    <col min="1" max="1" width="8.7109375" style="355" customWidth="1"/>
    <col min="2" max="2" width="24.42578125" style="355" bestFit="1" customWidth="1"/>
    <col min="3" max="3" width="11.85546875" style="355" customWidth="1"/>
    <col min="4" max="4" width="15.140625" style="355" bestFit="1" customWidth="1"/>
    <col min="5" max="5" width="12" style="355" customWidth="1"/>
    <col min="6" max="9" width="8.7109375" style="355" customWidth="1"/>
    <col min="10" max="16384" width="8.7109375" style="355"/>
  </cols>
  <sheetData>
    <row r="2" spans="2:5" ht="15" x14ac:dyDescent="0.25">
      <c r="B2" s="372" t="s">
        <v>1487</v>
      </c>
      <c r="C2" s="362"/>
      <c r="D2" s="362"/>
      <c r="E2" s="363"/>
    </row>
    <row r="3" spans="2:5" ht="15" x14ac:dyDescent="0.25">
      <c r="B3" s="371"/>
      <c r="C3" s="362"/>
      <c r="D3" s="362"/>
      <c r="E3" s="363"/>
    </row>
    <row r="4" spans="2:5" ht="15" x14ac:dyDescent="0.25">
      <c r="B4" s="370" t="s">
        <v>0</v>
      </c>
      <c r="C4" s="362"/>
      <c r="D4" s="362"/>
      <c r="E4" s="363"/>
    </row>
    <row r="5" spans="2:5" ht="15" x14ac:dyDescent="0.25">
      <c r="B5" s="367"/>
      <c r="C5" s="362"/>
      <c r="D5" s="362"/>
      <c r="E5" s="363"/>
    </row>
    <row r="6" spans="2:5" ht="15" x14ac:dyDescent="0.25">
      <c r="B6" s="369" t="s">
        <v>1</v>
      </c>
      <c r="C6" s="362"/>
      <c r="D6" s="362"/>
      <c r="E6" s="363"/>
    </row>
    <row r="7" spans="2:5" ht="25.5" customHeight="1" x14ac:dyDescent="0.25">
      <c r="B7" s="339" t="s">
        <v>2</v>
      </c>
      <c r="C7" s="368" t="s">
        <v>3</v>
      </c>
      <c r="D7" s="363"/>
      <c r="E7" s="339" t="s">
        <v>4</v>
      </c>
    </row>
    <row r="8" spans="2:5" ht="15" x14ac:dyDescent="0.25">
      <c r="B8" s="356" t="s">
        <v>5</v>
      </c>
      <c r="C8" s="373" t="s">
        <v>1499</v>
      </c>
      <c r="D8" s="363"/>
      <c r="E8" s="357" t="s">
        <v>1500</v>
      </c>
    </row>
    <row r="9" spans="2:5" ht="13.5" customHeight="1" x14ac:dyDescent="0.25">
      <c r="B9" s="341" t="s">
        <v>6</v>
      </c>
      <c r="C9" s="364" t="s">
        <v>1488</v>
      </c>
      <c r="D9" s="363"/>
      <c r="E9" s="358" t="s">
        <v>1489</v>
      </c>
    </row>
    <row r="10" spans="2:5" ht="13.5" customHeight="1" x14ac:dyDescent="0.25">
      <c r="B10" s="341" t="s">
        <v>7</v>
      </c>
      <c r="C10" s="364" t="s">
        <v>1490</v>
      </c>
      <c r="D10" s="363"/>
      <c r="E10" s="358" t="s">
        <v>1491</v>
      </c>
    </row>
    <row r="11" spans="2:5" ht="13.5" customHeight="1" x14ac:dyDescent="0.25">
      <c r="B11" s="359" t="s">
        <v>8</v>
      </c>
      <c r="C11" s="364" t="s">
        <v>1492</v>
      </c>
      <c r="D11" s="363"/>
      <c r="E11" s="358" t="s">
        <v>1493</v>
      </c>
    </row>
    <row r="12" spans="2:5" ht="13.5" customHeight="1" x14ac:dyDescent="0.25">
      <c r="B12" s="341" t="s">
        <v>9</v>
      </c>
      <c r="C12" s="366" t="s">
        <v>1494</v>
      </c>
      <c r="D12" s="363"/>
      <c r="E12" s="358" t="s">
        <v>1495</v>
      </c>
    </row>
    <row r="13" spans="2:5" ht="13.5" customHeight="1" x14ac:dyDescent="0.25">
      <c r="B13" s="359" t="s">
        <v>10</v>
      </c>
      <c r="C13" s="366" t="s">
        <v>1496</v>
      </c>
      <c r="D13" s="363"/>
      <c r="E13" s="358" t="s">
        <v>1497</v>
      </c>
    </row>
    <row r="14" spans="2:5" ht="15" x14ac:dyDescent="0.25">
      <c r="B14" s="369" t="s">
        <v>11</v>
      </c>
      <c r="C14" s="362"/>
      <c r="D14" s="362"/>
      <c r="E14" s="363"/>
    </row>
    <row r="15" spans="2:5" ht="15" x14ac:dyDescent="0.25">
      <c r="B15" s="339" t="s">
        <v>12</v>
      </c>
      <c r="C15" s="368" t="s">
        <v>13</v>
      </c>
      <c r="D15" s="362"/>
      <c r="E15" s="363"/>
    </row>
    <row r="16" spans="2:5" ht="25.5" customHeight="1" x14ac:dyDescent="0.25">
      <c r="B16" s="350" t="s">
        <v>14</v>
      </c>
      <c r="C16" s="361">
        <v>5.5199999999999999E-2</v>
      </c>
      <c r="D16" s="362"/>
      <c r="E16" s="363"/>
    </row>
    <row r="17" spans="2:9" ht="15" x14ac:dyDescent="0.25">
      <c r="B17" s="339" t="s">
        <v>15</v>
      </c>
      <c r="C17" s="339" t="s">
        <v>16</v>
      </c>
      <c r="D17" s="368" t="s">
        <v>17</v>
      </c>
      <c r="E17" s="363"/>
    </row>
    <row r="18" spans="2:9" ht="15" x14ac:dyDescent="0.25">
      <c r="B18" s="341" t="s">
        <v>18</v>
      </c>
      <c r="C18" s="358" t="s">
        <v>19</v>
      </c>
      <c r="D18" s="364" t="s">
        <v>20</v>
      </c>
      <c r="E18" s="363"/>
    </row>
    <row r="19" spans="2:9" ht="15" x14ac:dyDescent="0.25">
      <c r="B19" s="341" t="s">
        <v>21</v>
      </c>
      <c r="C19" s="358" t="s">
        <v>19</v>
      </c>
      <c r="D19" s="364" t="s">
        <v>20</v>
      </c>
      <c r="E19" s="363"/>
    </row>
    <row r="20" spans="2:9" ht="15" x14ac:dyDescent="0.25">
      <c r="B20" s="341" t="s">
        <v>22</v>
      </c>
      <c r="C20" s="358" t="s">
        <v>19</v>
      </c>
      <c r="D20" s="364" t="s">
        <v>20</v>
      </c>
      <c r="E20" s="363"/>
    </row>
    <row r="21" spans="2:9" ht="15" x14ac:dyDescent="0.25">
      <c r="B21" s="367"/>
      <c r="C21" s="362"/>
      <c r="D21" s="362"/>
      <c r="E21" s="363"/>
    </row>
    <row r="22" spans="2:9" ht="15" x14ac:dyDescent="0.25">
      <c r="B22" s="369" t="s">
        <v>23</v>
      </c>
      <c r="C22" s="363"/>
      <c r="D22" s="369" t="s">
        <v>16</v>
      </c>
      <c r="E22" s="363"/>
    </row>
    <row r="23" spans="2:9" ht="15" x14ac:dyDescent="0.25">
      <c r="B23" s="364" t="s">
        <v>24</v>
      </c>
      <c r="C23" s="363"/>
      <c r="D23" s="364" t="s">
        <v>1498</v>
      </c>
      <c r="E23" s="363"/>
    </row>
    <row r="24" spans="2:9" x14ac:dyDescent="0.25">
      <c r="F24" s="360"/>
      <c r="G24" s="360"/>
      <c r="H24" s="360"/>
      <c r="I24" s="360"/>
    </row>
  </sheetData>
  <mergeCells count="24">
    <mergeCell ref="B2:E2"/>
    <mergeCell ref="D18:E18"/>
    <mergeCell ref="C15:E15"/>
    <mergeCell ref="C8:D8"/>
    <mergeCell ref="B14:E14"/>
    <mergeCell ref="C7:D7"/>
    <mergeCell ref="D23:E23"/>
    <mergeCell ref="C13:D13"/>
    <mergeCell ref="B3:E3"/>
    <mergeCell ref="C9:D9"/>
    <mergeCell ref="D17:E17"/>
    <mergeCell ref="C12:D12"/>
    <mergeCell ref="C11:D11"/>
    <mergeCell ref="B21:E21"/>
    <mergeCell ref="B4:E4"/>
    <mergeCell ref="B23:C23"/>
    <mergeCell ref="B6:E6"/>
    <mergeCell ref="B22:C22"/>
    <mergeCell ref="D22:E22"/>
    <mergeCell ref="B5:E5"/>
    <mergeCell ref="C10:D10"/>
    <mergeCell ref="C16:E16"/>
    <mergeCell ref="D20:E20"/>
    <mergeCell ref="D19:E19"/>
  </mergeCells>
  <printOptions horizontalCentered="1" verticalCentered="1"/>
  <pageMargins left="0.19685039370078741" right="0.19685039370078741" top="0.19685039370078741" bottom="0.19685039370078741" header="0.31496062992125978" footer="0.31496062992125978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"/>
  <dimension ref="B1:L45"/>
  <sheetViews>
    <sheetView zoomScale="73" zoomScaleNormal="66" workbookViewId="0"/>
  </sheetViews>
  <sheetFormatPr defaultColWidth="8.7109375" defaultRowHeight="15" x14ac:dyDescent="0.25"/>
  <cols>
    <col min="1" max="1" width="8.7109375" style="115" customWidth="1"/>
    <col min="2" max="2" width="16.42578125" style="115" customWidth="1"/>
    <col min="3" max="3" width="8.42578125" style="115" customWidth="1"/>
    <col min="4" max="4" width="59.28515625" style="115" bestFit="1" customWidth="1"/>
    <col min="5" max="5" width="15.85546875" style="115" customWidth="1"/>
    <col min="6" max="6" width="14.42578125" style="55" customWidth="1"/>
    <col min="7" max="7" width="8.7109375" style="115" customWidth="1"/>
    <col min="8" max="8" width="18.42578125" style="115" customWidth="1"/>
    <col min="9" max="9" width="8.7109375" style="115" customWidth="1"/>
    <col min="10" max="10" width="44.85546875" style="115" customWidth="1"/>
    <col min="11" max="11" width="13.42578125" style="115" customWidth="1"/>
    <col min="12" max="12" width="14.42578125" style="115" customWidth="1"/>
    <col min="13" max="19" width="8.7109375" style="115" customWidth="1"/>
    <col min="20" max="16384" width="8.7109375" style="115"/>
  </cols>
  <sheetData>
    <row r="1" spans="2:12" ht="15" customHeight="1" thickBot="1" x14ac:dyDescent="0.3"/>
    <row r="2" spans="2:12" x14ac:dyDescent="0.25">
      <c r="B2" s="400" t="s">
        <v>893</v>
      </c>
      <c r="C2" s="401"/>
      <c r="D2" s="401"/>
      <c r="E2" s="401"/>
      <c r="F2" s="402"/>
      <c r="H2" s="400" t="s">
        <v>887</v>
      </c>
      <c r="I2" s="401"/>
      <c r="J2" s="401"/>
      <c r="K2" s="401"/>
      <c r="L2" s="402"/>
    </row>
    <row r="3" spans="2:12" ht="29.1" customHeight="1" x14ac:dyDescent="0.25">
      <c r="B3" s="243" t="s">
        <v>30</v>
      </c>
      <c r="C3" s="244" t="s">
        <v>927</v>
      </c>
      <c r="D3" s="245" t="s">
        <v>928</v>
      </c>
      <c r="E3" s="244" t="s">
        <v>929</v>
      </c>
      <c r="F3" s="273" t="s">
        <v>930</v>
      </c>
      <c r="H3" s="243" t="s">
        <v>30</v>
      </c>
      <c r="I3" s="244" t="s">
        <v>927</v>
      </c>
      <c r="J3" s="245" t="s">
        <v>928</v>
      </c>
      <c r="K3" s="244" t="s">
        <v>929</v>
      </c>
      <c r="L3" s="273" t="s">
        <v>930</v>
      </c>
    </row>
    <row r="4" spans="2:12" x14ac:dyDescent="0.25">
      <c r="B4" s="397" t="s">
        <v>931</v>
      </c>
      <c r="C4" s="193">
        <v>1</v>
      </c>
      <c r="D4" s="246" t="str">
        <f>VLOOKUP(C4, 'Fund Ranking_Equity'!$C$5:$D$12,2,FALSE)</f>
        <v>ICICI Prudential Large Cap Fund - Growth</v>
      </c>
      <c r="E4" s="206" t="str">
        <f>_xlfn.CONCAT((ROUND(VLOOKUP($D4,'Fund Ranking_Equity'!$B$6:$T$137,5,FALSE),2)),"%")</f>
        <v>14.1%</v>
      </c>
      <c r="F4" s="209" t="str">
        <f>_xlfn.CONCAT((ROUND(VLOOKUP($D4,'Fund Ranking_Equity'!$B$6:$T$137,4,FALSE),2)),"%")</f>
        <v>-1.31%</v>
      </c>
      <c r="H4" s="397" t="str">
        <f>'Fund Ranking Criteria'!C24</f>
        <v>Ultra Short Duration Fund</v>
      </c>
      <c r="I4" s="193">
        <v>1</v>
      </c>
      <c r="J4" s="246" t="str">
        <f>VLOOKUP($I4, 'Fund Ranking_Debt'!$C$7:$N$13,3,FALSE)</f>
        <v>ICICI Prudential Ultra Short Term Fund - Growth</v>
      </c>
      <c r="K4" s="206" t="str">
        <f>_xlfn.CONCAT(ROUND(VLOOKUP($I4, 'Fund Ranking_Debt'!$C$7:$N$13,12,FALSE),2),"%")</f>
        <v>6.97%</v>
      </c>
      <c r="L4" s="299" t="str">
        <f>_xlfn.CONCAT(ROUND(VLOOKUP($I4, 'Fund Ranking_Debt'!$C$7:$N$13,10,FALSE),2),"%")</f>
        <v>6.13%</v>
      </c>
    </row>
    <row r="5" spans="2:12" x14ac:dyDescent="0.25">
      <c r="B5" s="398"/>
      <c r="C5" s="195">
        <v>2</v>
      </c>
      <c r="D5" s="115" t="str">
        <f>VLOOKUP(C5, 'Fund Ranking_Equity'!$C$5:$D$12,2,FALSE)</f>
        <v>Nippon India Large Cap Fund - Reg - Growth</v>
      </c>
      <c r="E5" s="207" t="str">
        <f>_xlfn.CONCAT((ROUND(VLOOKUP($D5,'Fund Ranking_Equity'!$B$6:$T$137,5,FALSE),2)),"%")</f>
        <v>14.47%</v>
      </c>
      <c r="F5" s="272" t="str">
        <f>_xlfn.CONCAT((ROUND(VLOOKUP($D5,'Fund Ranking_Equity'!$B$6:$T$137,4,FALSE),2)),"%")</f>
        <v>-0.31%</v>
      </c>
      <c r="H5" s="398"/>
      <c r="I5" s="195">
        <v>2</v>
      </c>
      <c r="J5" s="115" t="str">
        <f>VLOOKUP($I5, 'Fund Ranking_Debt'!$C$7:$N$13,3,FALSE)</f>
        <v>SBI Magnum Ultra Short Duration Fund - Growth</v>
      </c>
      <c r="K5" s="207" t="str">
        <f>_xlfn.CONCAT(ROUND(VLOOKUP($I5, 'Fund Ranking_Debt'!$C$7:$N$13,12,FALSE),2),"%")</f>
        <v>7.06%</v>
      </c>
      <c r="L5" s="300" t="str">
        <f>_xlfn.CONCAT(ROUND(VLOOKUP($I5, 'Fund Ranking_Debt'!$C$7:$N$13,10,FALSE),2),"%")</f>
        <v>7.56%</v>
      </c>
    </row>
    <row r="6" spans="2:12" x14ac:dyDescent="0.25">
      <c r="B6" s="399"/>
      <c r="C6" s="194">
        <v>3</v>
      </c>
      <c r="D6" s="247" t="str">
        <f>VLOOKUP(C6, 'Fund Ranking_Equity'!$C$5:$D$12,2,FALSE)</f>
        <v>HDFC Large Cap Fund - Growth</v>
      </c>
      <c r="E6" s="208" t="str">
        <f>_xlfn.CONCAT((ROUND(VLOOKUP($D6,'Fund Ranking_Equity'!$B$6:$T$137,5,FALSE),2)),"%")</f>
        <v>11.77%</v>
      </c>
      <c r="F6" s="274" t="str">
        <f>_xlfn.CONCAT((ROUND(VLOOKUP($D6,'Fund Ranking_Equity'!$B$6:$T$137,4,FALSE),2)),"%")</f>
        <v>-1.42%</v>
      </c>
      <c r="H6" s="399"/>
      <c r="I6" s="194">
        <v>3</v>
      </c>
      <c r="J6" s="247" t="str">
        <f>VLOOKUP($I6, 'Fund Ranking_Debt'!$C$7:$N$13,3,FALSE)</f>
        <v>Kotak Savings Fund - Reg - Growth</v>
      </c>
      <c r="K6" s="208" t="str">
        <f>_xlfn.CONCAT(ROUND(VLOOKUP($I6, 'Fund Ranking_Debt'!$C$7:$N$13,12,FALSE),2),"%")</f>
        <v>6.73%</v>
      </c>
      <c r="L6" s="301" t="str">
        <f>_xlfn.CONCAT(ROUND(VLOOKUP($I6, 'Fund Ranking_Debt'!$C$7:$N$13,10,FALSE),2),"%")</f>
        <v>5.82%</v>
      </c>
    </row>
    <row r="7" spans="2:12" x14ac:dyDescent="0.25">
      <c r="B7" s="197"/>
      <c r="C7" s="195"/>
      <c r="E7" s="207"/>
      <c r="F7" s="272"/>
      <c r="H7" s="197"/>
      <c r="I7" s="195"/>
      <c r="K7" s="207"/>
      <c r="L7" s="300"/>
    </row>
    <row r="8" spans="2:12" x14ac:dyDescent="0.25">
      <c r="B8" s="397" t="str">
        <f>'Fund Ranking Criteria'!D4</f>
        <v>Large &amp; Mid Cap Funds</v>
      </c>
      <c r="C8" s="193">
        <v>1</v>
      </c>
      <c r="D8" s="246" t="str">
        <f>VLOOKUP(C8, 'Fund Ranking_Equity'!$C$17:$D$23,2,FALSE)</f>
        <v>ICICI Prudential Large &amp; Mid Cap Fund - Growth</v>
      </c>
      <c r="E8" s="206" t="str">
        <f>_xlfn.CONCAT((ROUND(VLOOKUP($D8,'Fund Ranking_Equity'!$B$6:$T$137,5,FALSE),2)),"%")</f>
        <v>17.98%</v>
      </c>
      <c r="F8" s="209" t="str">
        <f>_xlfn.CONCAT((ROUND(VLOOKUP($D8,'Fund Ranking_Equity'!$B$6:$T$137,4,FALSE),2)),"%")</f>
        <v>2.44%</v>
      </c>
      <c r="H8" s="397" t="str">
        <f>'Fund Ranking Criteria'!D24</f>
        <v>Low Duration Fund</v>
      </c>
      <c r="I8" s="193">
        <v>1</v>
      </c>
      <c r="J8" s="246" t="str">
        <f>VLOOKUP($I8, 'Fund Ranking_Debt'!$C$19:$N$25,3,FALSE)</f>
        <v>UTI Low Duration Fund - Reg - Growth</v>
      </c>
      <c r="K8" s="206" t="str">
        <f>_xlfn.CONCAT(ROUND(VLOOKUP($I8, 'Fund Ranking_Debt'!$C$19:$N$25,12,FALSE),2),"%")</f>
        <v>7.17%</v>
      </c>
      <c r="L8" s="299" t="str">
        <f>_xlfn.CONCAT(ROUND(VLOOKUP($I8, 'Fund Ranking_Debt'!$C$19:$N$25,10,FALSE),2),"%")</f>
        <v>6.03%</v>
      </c>
    </row>
    <row r="9" spans="2:12" x14ac:dyDescent="0.25">
      <c r="B9" s="398"/>
      <c r="C9" s="195">
        <v>2</v>
      </c>
      <c r="D9" s="115" t="str">
        <f>VLOOKUP(C9, 'Fund Ranking_Equity'!$C$17:$D$23,2,FALSE)</f>
        <v>UTI Large &amp; Mid Cap Fund - Growth</v>
      </c>
      <c r="E9" s="207" t="str">
        <f>_xlfn.CONCAT((ROUND(VLOOKUP($D9,'Fund Ranking_Equity'!$B$6:$T$137,5,FALSE),2)),"%")</f>
        <v>18.57%</v>
      </c>
      <c r="F9" s="272" t="str">
        <f>_xlfn.CONCAT((ROUND(VLOOKUP($D9,'Fund Ranking_Equity'!$B$6:$T$137,4,FALSE),2)),"%")</f>
        <v>2.75%</v>
      </c>
      <c r="H9" s="398"/>
      <c r="I9" s="195">
        <v>2</v>
      </c>
      <c r="J9" s="115" t="str">
        <f>VLOOKUP($I9, 'Fund Ranking_Debt'!$C$19:$N$25,3,FALSE)</f>
        <v>ICICI Prudential Savings Fund - Reg - Growth</v>
      </c>
      <c r="K9" s="207" t="str">
        <f>_xlfn.CONCAT(ROUND(VLOOKUP($I9, 'Fund Ranking_Debt'!$C$19:$N$25,12,FALSE),2),"%")</f>
        <v>7.45%</v>
      </c>
      <c r="L9" s="300" t="str">
        <f>_xlfn.CONCAT(ROUND(VLOOKUP($I9, 'Fund Ranking_Debt'!$C$19:$N$25,10,FALSE),2),"%")</f>
        <v>6.2%</v>
      </c>
    </row>
    <row r="10" spans="2:12" x14ac:dyDescent="0.25">
      <c r="B10" s="399"/>
      <c r="C10" s="194">
        <v>3</v>
      </c>
      <c r="D10" s="247" t="str">
        <f>VLOOKUP(C10, 'Fund Ranking_Equity'!$C$17:$D$23,2,FALSE)</f>
        <v>SBI Large &amp; Midcap Fund - Growth</v>
      </c>
      <c r="E10" s="208" t="str">
        <f>_xlfn.CONCAT((ROUND(VLOOKUP($D10,'Fund Ranking_Equity'!$B$6:$T$137,5,FALSE),2)),"%")</f>
        <v>14.88%</v>
      </c>
      <c r="F10" s="274" t="str">
        <f>_xlfn.CONCAT((ROUND(VLOOKUP($D10,'Fund Ranking_Equity'!$B$6:$T$137,4,FALSE),2)),"%")</f>
        <v>5.3%</v>
      </c>
      <c r="H10" s="399"/>
      <c r="I10" s="194">
        <v>3</v>
      </c>
      <c r="J10" s="247" t="str">
        <f>VLOOKUP($I10, 'Fund Ranking_Debt'!$C$19:$N$25,3,FALSE)</f>
        <v>SBI Magnum Low Duration Fund - Growth</v>
      </c>
      <c r="K10" s="208" t="str">
        <f>_xlfn.CONCAT(ROUND(VLOOKUP($I10, 'Fund Ranking_Debt'!$C$19:$N$25,12,FALSE),2),"%")</f>
        <v>7%</v>
      </c>
      <c r="L10" s="301" t="str">
        <f>_xlfn.CONCAT(ROUND(VLOOKUP($I10, 'Fund Ranking_Debt'!$C$19:$N$25,10,FALSE),2),"%")</f>
        <v>7.79%</v>
      </c>
    </row>
    <row r="11" spans="2:12" x14ac:dyDescent="0.25">
      <c r="B11" s="197"/>
      <c r="C11" s="195"/>
      <c r="E11" s="207"/>
      <c r="F11" s="272"/>
      <c r="H11" s="197"/>
      <c r="I11" s="195"/>
      <c r="K11" s="207"/>
      <c r="L11" s="300"/>
    </row>
    <row r="12" spans="2:12" x14ac:dyDescent="0.25">
      <c r="B12" s="397" t="str">
        <f>'Fund Ranking Criteria'!F4</f>
        <v>Midcap</v>
      </c>
      <c r="C12" s="193">
        <v>1</v>
      </c>
      <c r="D12" s="246" t="str">
        <f>VLOOKUP(C12, 'Fund Ranking_Equity'!$C$28:$D$34,2,FALSE)</f>
        <v>HDFC Mid Cap Fund - Growth</v>
      </c>
      <c r="E12" s="206" t="str">
        <f>_xlfn.CONCAT((ROUND(VLOOKUP($D12,'Fund Ranking_Equity'!$B$6:$T$137,5,FALSE),2)),"%")</f>
        <v>21.04%</v>
      </c>
      <c r="F12" s="209" t="str">
        <f>_xlfn.CONCAT((ROUND(VLOOKUP($D12,'Fund Ranking_Equity'!$B$6:$T$137,4,FALSE),2)),"%")</f>
        <v>7.2%</v>
      </c>
      <c r="H12" s="397" t="str">
        <f>'Fund Ranking Criteria'!E24</f>
        <v>Short Duration Fund</v>
      </c>
      <c r="I12" s="193">
        <v>1</v>
      </c>
      <c r="J12" s="246" t="str">
        <f>VLOOKUP($I12, 'Fund Ranking_Debt'!$C$31:$N$37,3,FALSE)</f>
        <v>Nippon India Short Duration Fund - Reg - Growth</v>
      </c>
      <c r="K12" s="206" t="str">
        <f>_xlfn.CONCAT(ROUND(VLOOKUP($I12, 'Fund Ranking_Debt'!$C$31:$N$37,12,FALSE),2),"%")</f>
        <v>7.21%</v>
      </c>
      <c r="L12" s="209" t="str">
        <f>_xlfn.CONCAT(ROUND(VLOOKUP($I12, 'Fund Ranking_Debt'!$C$31:$N$37,10,FALSE),2),"%")</f>
        <v>5.24%</v>
      </c>
    </row>
    <row r="13" spans="2:12" x14ac:dyDescent="0.25">
      <c r="B13" s="398"/>
      <c r="C13" s="195">
        <v>2</v>
      </c>
      <c r="D13" s="115" t="str">
        <f>VLOOKUP(C13, 'Fund Ranking_Equity'!$C$28:$D$34,2,FALSE)</f>
        <v>Nippon India Growth Mid Cap Fund - Reg - Growth</v>
      </c>
      <c r="E13" s="207" t="str">
        <f>_xlfn.CONCAT((ROUND(VLOOKUP($D13,'Fund Ranking_Equity'!$B$6:$T$137,5,FALSE),2)),"%")</f>
        <v>23.23%</v>
      </c>
      <c r="F13" s="272" t="str">
        <f>_xlfn.CONCAT((ROUND(VLOOKUP($D13,'Fund Ranking_Equity'!$B$6:$T$137,4,FALSE),2)),"%")</f>
        <v>8.36%</v>
      </c>
      <c r="H13" s="398"/>
      <c r="I13" s="195">
        <v>2</v>
      </c>
      <c r="J13" s="115" t="str">
        <f>VLOOKUP($I13, 'Fund Ranking_Debt'!$C$31:$N$37,3,FALSE)</f>
        <v>ICICI Prudential Short Term Fund - Growth</v>
      </c>
      <c r="K13" s="207" t="str">
        <f>_xlfn.CONCAT(ROUND(VLOOKUP($I13, 'Fund Ranking_Debt'!$C$31:$N$37,12,FALSE),2),"%")</f>
        <v>7.38%</v>
      </c>
      <c r="L13" s="300" t="str">
        <f>_xlfn.CONCAT(ROUND(VLOOKUP($I13, 'Fund Ranking_Debt'!$C$31:$N$37,10,FALSE),2),"%")</f>
        <v>5.75%</v>
      </c>
    </row>
    <row r="14" spans="2:12" x14ac:dyDescent="0.25">
      <c r="B14" s="399"/>
      <c r="C14" s="194">
        <v>3</v>
      </c>
      <c r="D14" s="247" t="str">
        <f>VLOOKUP(C14, 'Fund Ranking_Equity'!$C$28:$D$34,2,FALSE)</f>
        <v>ICICI Prudential MidCap Fund - Growth</v>
      </c>
      <c r="E14" s="208" t="str">
        <f>_xlfn.CONCAT((ROUND(VLOOKUP($D14,'Fund Ranking_Equity'!$B$6:$T$137,5,FALSE),2)),"%")</f>
        <v>24.92%</v>
      </c>
      <c r="F14" s="274" t="str">
        <f>_xlfn.CONCAT((ROUND(VLOOKUP($D14,'Fund Ranking_Equity'!$B$6:$T$137,4,FALSE),2)),"%")</f>
        <v>14.3%</v>
      </c>
      <c r="H14" s="399"/>
      <c r="I14" s="194">
        <v>3</v>
      </c>
      <c r="J14" s="247" t="str">
        <f>VLOOKUP($I14, 'Fund Ranking_Debt'!$C$31:$N$37,3,FALSE)</f>
        <v>SBI Short Term Debt Fund - Growth</v>
      </c>
      <c r="K14" s="208" t="str">
        <f>_xlfn.CONCAT(ROUND(VLOOKUP($I14, 'Fund Ranking_Debt'!$C$31:$N$37,12,FALSE),2),"%")</f>
        <v>6.98%</v>
      </c>
      <c r="L14" s="301" t="str">
        <f>_xlfn.CONCAT(ROUND(VLOOKUP($I14, 'Fund Ranking_Debt'!$C$31:$N$37,10,FALSE),2),"%")</f>
        <v>4.98%</v>
      </c>
    </row>
    <row r="15" spans="2:12" x14ac:dyDescent="0.25">
      <c r="B15" s="197"/>
      <c r="C15" s="195"/>
      <c r="E15" s="207"/>
      <c r="F15" s="272"/>
      <c r="H15" s="197"/>
      <c r="I15" s="195"/>
      <c r="K15" s="207"/>
      <c r="L15" s="300"/>
    </row>
    <row r="16" spans="2:12" x14ac:dyDescent="0.25">
      <c r="B16" s="397" t="str">
        <f>'Fund Ranking Criteria'!G4</f>
        <v>Small Cap</v>
      </c>
      <c r="C16" s="193">
        <v>1</v>
      </c>
      <c r="D16" s="246" t="str">
        <f>VLOOKUP(C16, 'Fund Ranking_Equity'!$C$39:$D$45,2,FALSE)</f>
        <v>Nippon India Small Cap Fund - Reg - Growth</v>
      </c>
      <c r="E16" s="206" t="str">
        <f>_xlfn.CONCAT((ROUND(VLOOKUP($D16,'Fund Ranking_Equity'!$B$6:$T$137,5,FALSE),2)),"%")</f>
        <v>19.03%</v>
      </c>
      <c r="F16" s="209" t="str">
        <f>_xlfn.CONCAT((ROUND(VLOOKUP($D16,'Fund Ranking_Equity'!$B$6:$T$137,4,FALSE),2)),"%")</f>
        <v>7.66%</v>
      </c>
      <c r="H16" s="397" t="str">
        <f>'Fund Ranking Criteria'!F24</f>
        <v>Medium Duration Fund</v>
      </c>
      <c r="I16" s="193">
        <v>1</v>
      </c>
      <c r="J16" s="246" t="str">
        <f>VLOOKUP($I16, 'Fund Ranking_Debt'!$C$42:$N$48,3,FALSE)</f>
        <v>Aditya Birla Sun Life Medium Term Plan - Reg - Growth</v>
      </c>
      <c r="K16" s="206" t="str">
        <f>_xlfn.CONCAT(ROUND(VLOOKUP($I16, 'Fund Ranking_Debt'!$C$42:$N$48,12,FALSE),2),"%")</f>
        <v>9.78%</v>
      </c>
      <c r="L16" s="209" t="str">
        <f>_xlfn.CONCAT(ROUND(VLOOKUP($I16, 'Fund Ranking_Debt'!$C$42:$N$48,10,FALSE),2),"%")</f>
        <v>8.33%</v>
      </c>
    </row>
    <row r="17" spans="2:12" x14ac:dyDescent="0.25">
      <c r="B17" s="398"/>
      <c r="C17" s="195">
        <v>2</v>
      </c>
      <c r="D17" s="115" t="str">
        <f>VLOOKUP(C17, 'Fund Ranking_Equity'!$C$39:$D$45,2,FALSE)</f>
        <v>HDFC Small Cap Fund - Growth</v>
      </c>
      <c r="E17" s="207" t="str">
        <f>_xlfn.CONCAT((ROUND(VLOOKUP($D17,'Fund Ranking_Equity'!$B$6:$T$137,5,FALSE),2)),"%")</f>
        <v>14.72%</v>
      </c>
      <c r="F17" s="272" t="str">
        <f>_xlfn.CONCAT((ROUND(VLOOKUP($D17,'Fund Ranking_Equity'!$B$6:$T$137,4,FALSE),2)),"%")</f>
        <v>1.51%</v>
      </c>
      <c r="H17" s="398"/>
      <c r="I17" s="195">
        <v>2</v>
      </c>
      <c r="J17" s="115" t="str">
        <f>VLOOKUP($I17, 'Fund Ranking_Debt'!$C$42:$N$48,3,FALSE)</f>
        <v>Kotak Medium Term Fund - Reg - Growth</v>
      </c>
      <c r="K17" s="207" t="str">
        <f>_xlfn.CONCAT(ROUND(VLOOKUP($I17, 'Fund Ranking_Debt'!$C$42:$N$48,12,FALSE),2),"%")</f>
        <v>7.89%</v>
      </c>
      <c r="L17" s="300" t="str">
        <f>_xlfn.CONCAT(ROUND(VLOOKUP($I17, 'Fund Ranking_Debt'!$C$42:$N$48,10,FALSE),2),"%")</f>
        <v>6.18%</v>
      </c>
    </row>
    <row r="18" spans="2:12" x14ac:dyDescent="0.25">
      <c r="B18" s="399"/>
      <c r="C18" s="194">
        <v>3</v>
      </c>
      <c r="D18" s="247" t="str">
        <f>VLOOKUP(C18, 'Fund Ranking_Equity'!$C$39:$D$45,2,FALSE)</f>
        <v>ICICI Prudential Smallcap Fund - Growth</v>
      </c>
      <c r="E18" s="208" t="str">
        <f>_xlfn.CONCAT((ROUND(VLOOKUP($D18,'Fund Ranking_Equity'!$B$6:$T$137,5,FALSE),2)),"%")</f>
        <v>13.93%</v>
      </c>
      <c r="F18" s="274" t="str">
        <f>_xlfn.CONCAT((ROUND(VLOOKUP($D18,'Fund Ranking_Equity'!$B$6:$T$137,4,FALSE),2)),"%")</f>
        <v>4.33%</v>
      </c>
      <c r="H18" s="399"/>
      <c r="I18" s="194">
        <v>3</v>
      </c>
      <c r="J18" s="247" t="str">
        <f>VLOOKUP($I18, 'Fund Ranking_Debt'!$C$42:$N$48,3,FALSE)</f>
        <v>ICICI Prudential Medium Term Bond Fund - Growth</v>
      </c>
      <c r="K18" s="208" t="str">
        <f>_xlfn.CONCAT(ROUND(VLOOKUP($I18, 'Fund Ranking_Debt'!$C$42:$N$48,12,FALSE),2),"%")</f>
        <v>7.75%</v>
      </c>
      <c r="L18" s="301" t="str">
        <f>_xlfn.CONCAT(ROUND(VLOOKUP($I18, 'Fund Ranking_Debt'!$C$42:$N$48,10,FALSE),2),"%")</f>
        <v>6.8%</v>
      </c>
    </row>
    <row r="19" spans="2:12" x14ac:dyDescent="0.25">
      <c r="B19" s="197"/>
      <c r="C19" s="195"/>
      <c r="E19" s="207"/>
      <c r="F19" s="272"/>
      <c r="H19" s="197"/>
      <c r="I19" s="195"/>
      <c r="K19" s="207"/>
      <c r="L19" s="300"/>
    </row>
    <row r="20" spans="2:12" ht="15" customHeight="1" thickBot="1" x14ac:dyDescent="0.3">
      <c r="B20" s="397" t="s">
        <v>932</v>
      </c>
      <c r="C20" s="193">
        <v>1</v>
      </c>
      <c r="D20" s="246" t="str">
        <f>VLOOKUP(C20, 'Fund Ranking_Equity'!$C$50:$D$53,2,FALSE)</f>
        <v>ICICI Prudential Focused Equity Fund  - Ret - Growth</v>
      </c>
      <c r="E20" s="206" t="str">
        <f>_xlfn.CONCAT((ROUND(VLOOKUP($D20,'Fund Ranking_Equity'!$B$6:$T$137,5,FALSE),2)),"%")</f>
        <v>25.74%</v>
      </c>
      <c r="F20" s="209" t="str">
        <f>_xlfn.CONCAT((ROUND(VLOOKUP($D20,'Fund Ranking_Equity'!$B$6:$T$137,4,FALSE),2)),"%")</f>
        <v>6.99%</v>
      </c>
      <c r="H20" s="403" t="s">
        <v>933</v>
      </c>
      <c r="I20" s="193">
        <v>1</v>
      </c>
      <c r="J20" s="246" t="str">
        <f>VLOOKUP($I20, 'Fund Ranking_Debt'!$C$53:$N$59,3,FALSE)</f>
        <v>SBI Magnum Income Fund - Growth</v>
      </c>
      <c r="K20" s="206" t="str">
        <f>_xlfn.CONCAT(ROUND(VLOOKUP($I20, 'Fund Ranking_Debt'!$C$53:$N$59,12,FALSE),2),"%")</f>
        <v>7.87%</v>
      </c>
      <c r="L20" s="209" t="str">
        <f>_xlfn.CONCAT(ROUND(VLOOKUP($I20, 'Fund Ranking_Debt'!$C$53:$N$59,10,FALSE),2),"%")</f>
        <v>8.41%</v>
      </c>
    </row>
    <row r="21" spans="2:12" x14ac:dyDescent="0.25">
      <c r="B21" s="398"/>
      <c r="C21" s="195">
        <v>2</v>
      </c>
      <c r="D21" s="115" t="str">
        <f>VLOOKUP(C21, 'Fund Ranking_Equity'!$C$50:$D$53,2,FALSE)</f>
        <v>SBI Focused Fund - Growth</v>
      </c>
      <c r="E21" s="207" t="str">
        <f>_xlfn.CONCAT((ROUND(VLOOKUP($D21,'Fund Ranking_Equity'!$B$6:$T$137,5,FALSE),2)),"%")</f>
        <v>16.34%</v>
      </c>
      <c r="F21" s="272" t="str">
        <f>_xlfn.CONCAT((ROUND(VLOOKUP($D21,'Fund Ranking_Equity'!$B$6:$T$137,4,FALSE),2)),"%")</f>
        <v>9.89%</v>
      </c>
      <c r="H21" s="398"/>
      <c r="I21" s="195">
        <v>2</v>
      </c>
      <c r="J21" s="115" t="str">
        <f>VLOOKUP($I21, 'Fund Ranking_Debt'!$C$53:$N$59,3,FALSE)</f>
        <v>UTI Medium to Long Duration Fund - Growth</v>
      </c>
      <c r="K21" s="207" t="str">
        <f>_xlfn.CONCAT(ROUND(VLOOKUP($I21, 'Fund Ranking_Debt'!$C$53:$N$59,12,FALSE),2),"%")</f>
        <v>6%</v>
      </c>
      <c r="L21" s="300" t="str">
        <f>_xlfn.CONCAT(ROUND(VLOOKUP($I21, 'Fund Ranking_Debt'!$C$53:$N$59,10,FALSE),2),"%")</f>
        <v>2.89%</v>
      </c>
    </row>
    <row r="22" spans="2:12" ht="15" customHeight="1" thickBot="1" x14ac:dyDescent="0.3">
      <c r="B22" s="399"/>
      <c r="C22" s="194">
        <v>3</v>
      </c>
      <c r="D22" s="247" t="str">
        <f>VLOOKUP(C22, 'Fund Ranking_Equity'!$C$50:$D$56,2,FALSE)</f>
        <v>HDFC Focused Fund - Growth</v>
      </c>
      <c r="E22" s="208" t="str">
        <f>_xlfn.CONCAT((ROUND(VLOOKUP($D22,'Fund Ranking_Equity'!$B$6:$T$137,5,FALSE),2)),"%")</f>
        <v>17.33%</v>
      </c>
      <c r="F22" s="274" t="str">
        <f>_xlfn.CONCAT((ROUND(VLOOKUP($D22,'Fund Ranking_Equity'!$B$6:$T$137,4,FALSE),2)),"%")</f>
        <v>0.74%</v>
      </c>
      <c r="H22" s="404"/>
      <c r="I22" s="196">
        <v>3</v>
      </c>
      <c r="J22" s="242" t="str">
        <f>VLOOKUP($I22, 'Fund Ranking_Debt'!$C$53:$N$59,3,FALSE)</f>
        <v>Kotak Bond Fund - Reg - Growth</v>
      </c>
      <c r="K22" s="297" t="str">
        <f>_xlfn.CONCAT(ROUND(VLOOKUP($I22, 'Fund Ranking_Debt'!$C$53:$N$59,12,FALSE),2),"%")</f>
        <v>6.28%</v>
      </c>
      <c r="L22" s="302" t="str">
        <f>_xlfn.CONCAT(ROUND(VLOOKUP($I22, 'Fund Ranking_Debt'!$C$53:$N$59,10,FALSE),2),"%")</f>
        <v>3.27%</v>
      </c>
    </row>
    <row r="23" spans="2:12" x14ac:dyDescent="0.25">
      <c r="B23" s="197"/>
      <c r="C23" s="195"/>
      <c r="E23" s="207"/>
      <c r="F23" s="272"/>
    </row>
    <row r="24" spans="2:12" x14ac:dyDescent="0.25">
      <c r="B24" s="397" t="str">
        <f>'Fund Ranking Criteria'!H4</f>
        <v>Balanced Fund</v>
      </c>
      <c r="C24" s="193">
        <v>1</v>
      </c>
      <c r="D24" s="246" t="str">
        <f>VLOOKUP($C24,'Fund Ranking_Equity'!$C$61:$E$67,2,FALSE)</f>
        <v>ICICI Prudential Balanced Advantage Fund - Reg - Growth</v>
      </c>
      <c r="E24" s="206" t="str">
        <f>_xlfn.CONCAT((ROUND(VLOOKUP($D24,'Fund Ranking_Equity'!$B$6:$T$137,5,FALSE),2)),"%")</f>
        <v>11.99%</v>
      </c>
      <c r="F24" s="209" t="str">
        <f>_xlfn.CONCAT((ROUND(VLOOKUP($D24,'Fund Ranking_Equity'!$B$6:$T$137,4,FALSE),2)),"%")</f>
        <v>5.06%</v>
      </c>
    </row>
    <row r="25" spans="2:12" x14ac:dyDescent="0.25">
      <c r="B25" s="398"/>
      <c r="C25" s="195">
        <v>2</v>
      </c>
      <c r="D25" s="115" t="str">
        <f>VLOOKUP($C25,'Fund Ranking_Equity'!$C$61:$E$67,2,FALSE)</f>
        <v>Aditya Birla Sun Life Balanced Advantage Fund - Growth</v>
      </c>
      <c r="E25" s="207" t="str">
        <f>_xlfn.CONCAT((ROUND(VLOOKUP($D25,'Fund Ranking_Equity'!$B$6:$T$137,5,FALSE),2)),"%")</f>
        <v>11.77%</v>
      </c>
      <c r="F25" s="272" t="str">
        <f>_xlfn.CONCAT((ROUND(VLOOKUP($D25,'Fund Ranking_Equity'!$B$6:$T$137,4,FALSE),2)),"%")</f>
        <v>4.51%</v>
      </c>
    </row>
    <row r="26" spans="2:12" x14ac:dyDescent="0.25">
      <c r="B26" s="399"/>
      <c r="C26" s="194">
        <v>3</v>
      </c>
      <c r="D26" s="247" t="str">
        <f>VLOOKUP($C26,'Fund Ranking_Equity'!$C$61:$E$67,2,FALSE)</f>
        <v>Nippon India Balanced Advantage Fund - Reg - Growth</v>
      </c>
      <c r="E26" s="208" t="str">
        <f>_xlfn.CONCAT((ROUND(VLOOKUP($D26,'Fund Ranking_Equity'!$B$6:$T$137,5,FALSE),2)),"%")</f>
        <v>11.21%</v>
      </c>
      <c r="F26" s="274" t="str">
        <f>_xlfn.CONCAT((ROUND(VLOOKUP($D26,'Fund Ranking_Equity'!$B$6:$T$137,4,FALSE),2)),"%")</f>
        <v>3.77%</v>
      </c>
    </row>
    <row r="27" spans="2:12" x14ac:dyDescent="0.25">
      <c r="B27" s="197"/>
      <c r="C27" s="195"/>
      <c r="E27" s="207"/>
      <c r="F27" s="272"/>
    </row>
    <row r="28" spans="2:12" ht="14.45" customHeight="1" x14ac:dyDescent="0.25">
      <c r="B28" s="406" t="s">
        <v>934</v>
      </c>
      <c r="C28" s="193">
        <v>1</v>
      </c>
      <c r="D28" s="246" t="str">
        <f>VLOOKUP(C28, 'Fund Ranking_Equity'!$C$72:$D$78,2,FALSE)</f>
        <v>HDFC Multi - Asset Fund - Growth</v>
      </c>
      <c r="E28" s="206" t="str">
        <f>_xlfn.CONCAT((ROUND(VLOOKUP($D28,'Fund Ranking_Equity'!$B$6:$T$137,5,FALSE),2)),"%")</f>
        <v>15.63%</v>
      </c>
      <c r="F28" s="209" t="str">
        <f>_xlfn.CONCAT((ROUND(VLOOKUP($D28,'Fund Ranking_Equity'!$B$6:$T$137,4,FALSE),2)),"%")</f>
        <v>7.13%</v>
      </c>
    </row>
    <row r="29" spans="2:12" x14ac:dyDescent="0.25">
      <c r="B29" s="398"/>
      <c r="C29" s="195">
        <v>2</v>
      </c>
      <c r="D29" s="115" t="str">
        <f>VLOOKUP(C29, 'Fund Ranking_Equity'!$C$72:$D$78,2,FALSE)</f>
        <v>Nippon India Multi Asset Allocation Fund - Reg - Growth</v>
      </c>
      <c r="E29" s="207" t="str">
        <f>_xlfn.CONCAT((ROUND(VLOOKUP($D29,'Fund Ranking_Equity'!$B$6:$T$137,5,FALSE),2)),"%")</f>
        <v>19.42%</v>
      </c>
      <c r="F29" s="272" t="str">
        <f>_xlfn.CONCAT((ROUND(VLOOKUP($D29,'Fund Ranking_Equity'!$B$6:$T$137,4,FALSE),2)),"%")</f>
        <v>14.31%</v>
      </c>
    </row>
    <row r="30" spans="2:12" x14ac:dyDescent="0.25">
      <c r="B30" s="398"/>
      <c r="C30" s="195">
        <v>3</v>
      </c>
      <c r="D30" s="115" t="str">
        <f>VLOOKUP(C30, 'Fund Ranking_Equity'!$C$72:$D$78,2,FALSE)</f>
        <v>SBI Multi Asset Allocation Fund - Growth</v>
      </c>
      <c r="E30" s="208" t="str">
        <f>_xlfn.CONCAT((ROUND(VLOOKUP($D30,'Fund Ranking_Equity'!$B$6:$T$137,5,FALSE),2)),"%")</f>
        <v>16.79%</v>
      </c>
      <c r="F30" s="274" t="str">
        <f>_xlfn.CONCAT((ROUND(VLOOKUP($D30,'Fund Ranking_Equity'!$B$6:$T$137,4,FALSE),2)),"%")</f>
        <v>12.69%</v>
      </c>
    </row>
    <row r="31" spans="2:12" x14ac:dyDescent="0.25">
      <c r="B31" s="269"/>
      <c r="C31" s="267"/>
      <c r="D31" s="267"/>
      <c r="E31" s="276"/>
      <c r="F31" s="270"/>
    </row>
    <row r="32" spans="2:12" hidden="1" x14ac:dyDescent="0.25">
      <c r="B32" s="268"/>
      <c r="C32" s="316" t="s">
        <v>935</v>
      </c>
      <c r="D32" s="316" t="s">
        <v>936</v>
      </c>
      <c r="E32" s="275"/>
      <c r="F32" s="271"/>
    </row>
    <row r="33" spans="2:6" hidden="1" x14ac:dyDescent="0.25">
      <c r="B33" s="405" t="s">
        <v>937</v>
      </c>
      <c r="C33" s="55">
        <v>1</v>
      </c>
      <c r="D33" s="115" t="e">
        <f>VLOOKUP(C33,#REF!, 2,FALSE)</f>
        <v>#REF!</v>
      </c>
      <c r="E33" s="195"/>
      <c r="F33" s="272"/>
    </row>
    <row r="34" spans="2:6" hidden="1" x14ac:dyDescent="0.25">
      <c r="B34" s="398"/>
      <c r="C34" s="55">
        <v>2</v>
      </c>
      <c r="D34" s="115" t="e">
        <f>VLOOKUP(C34,#REF!, 2,FALSE)</f>
        <v>#REF!</v>
      </c>
      <c r="E34" s="195"/>
      <c r="F34" s="272"/>
    </row>
    <row r="35" spans="2:6" hidden="1" x14ac:dyDescent="0.25">
      <c r="B35" s="398"/>
      <c r="C35" s="55">
        <f t="shared" ref="C35:C42" si="0">C34+1</f>
        <v>3</v>
      </c>
      <c r="D35" s="115" t="e">
        <f>VLOOKUP(C35,#REF!, 2,FALSE)</f>
        <v>#REF!</v>
      </c>
      <c r="E35" s="195"/>
      <c r="F35" s="272"/>
    </row>
    <row r="36" spans="2:6" hidden="1" x14ac:dyDescent="0.25">
      <c r="B36" s="398"/>
      <c r="C36" s="55">
        <f t="shared" si="0"/>
        <v>4</v>
      </c>
      <c r="D36" s="115" t="e">
        <f>VLOOKUP(C36,#REF!, 2,FALSE)</f>
        <v>#REF!</v>
      </c>
      <c r="E36" s="195"/>
      <c r="F36" s="272"/>
    </row>
    <row r="37" spans="2:6" hidden="1" x14ac:dyDescent="0.25">
      <c r="B37" s="398"/>
      <c r="C37" s="55">
        <f t="shared" si="0"/>
        <v>5</v>
      </c>
      <c r="D37" s="115" t="e">
        <f>VLOOKUP(C37,#REF!, 2,FALSE)</f>
        <v>#REF!</v>
      </c>
      <c r="E37" s="195"/>
      <c r="F37" s="272"/>
    </row>
    <row r="38" spans="2:6" hidden="1" x14ac:dyDescent="0.25">
      <c r="B38" s="398"/>
      <c r="C38" s="55">
        <f t="shared" si="0"/>
        <v>6</v>
      </c>
      <c r="D38" s="115" t="e">
        <f>VLOOKUP(C38,#REF!, 2,FALSE)</f>
        <v>#REF!</v>
      </c>
      <c r="E38" s="195"/>
      <c r="F38" s="272"/>
    </row>
    <row r="39" spans="2:6" hidden="1" x14ac:dyDescent="0.25">
      <c r="B39" s="398"/>
      <c r="C39" s="55">
        <f t="shared" si="0"/>
        <v>7</v>
      </c>
      <c r="D39" s="115" t="e">
        <f>VLOOKUP(C39,#REF!, 2,FALSE)</f>
        <v>#REF!</v>
      </c>
      <c r="E39" s="195"/>
      <c r="F39" s="272"/>
    </row>
    <row r="40" spans="2:6" hidden="1" x14ac:dyDescent="0.25">
      <c r="B40" s="398"/>
      <c r="C40" s="55">
        <f t="shared" si="0"/>
        <v>8</v>
      </c>
      <c r="D40" s="115" t="e">
        <f>VLOOKUP(C40,#REF!, 2,FALSE)</f>
        <v>#REF!</v>
      </c>
      <c r="E40" s="195"/>
      <c r="F40" s="272"/>
    </row>
    <row r="41" spans="2:6" hidden="1" x14ac:dyDescent="0.25">
      <c r="B41" s="398"/>
      <c r="C41" s="55">
        <f t="shared" si="0"/>
        <v>9</v>
      </c>
      <c r="D41" s="115" t="e">
        <f>VLOOKUP(C41,#REF!, 2,FALSE)</f>
        <v>#REF!</v>
      </c>
      <c r="E41" s="195"/>
      <c r="F41" s="272"/>
    </row>
    <row r="42" spans="2:6" hidden="1" x14ac:dyDescent="0.25">
      <c r="B42" s="398"/>
      <c r="C42" s="55">
        <f t="shared" si="0"/>
        <v>10</v>
      </c>
      <c r="D42" s="115" t="e">
        <f>VLOOKUP(C42,#REF!, 2,FALSE)</f>
        <v>#REF!</v>
      </c>
      <c r="E42" s="195"/>
      <c r="F42" s="272"/>
    </row>
    <row r="43" spans="2:6" ht="15" customHeight="1" thickBot="1" x14ac:dyDescent="0.3">
      <c r="B43" s="403" t="s">
        <v>923</v>
      </c>
      <c r="C43" s="193">
        <v>1</v>
      </c>
      <c r="D43" s="246" t="str">
        <f>VLOOKUP('Summary '!$C24,'Fund Ranking_Equity'!$C$83:$E$137,2,FALSE)</f>
        <v>Nippon India US Equity Opportunities Fund - Reg - Growth</v>
      </c>
      <c r="E43" s="290" t="str">
        <f>_xlfn.CONCAT((ROUND(VLOOKUP($D43,'Fund Ranking_Equity'!$B$6:$T$137,5,FALSE),2)),"%")</f>
        <v>16.29%</v>
      </c>
      <c r="F43" s="293" t="str">
        <f>_xlfn.CONCAT((ROUND(VLOOKUP($D43,'Fund Ranking_Equity'!$B$6:$T$137,4,FALSE),2)),"%")</f>
        <v>11.77%</v>
      </c>
    </row>
    <row r="44" spans="2:6" x14ac:dyDescent="0.25">
      <c r="B44" s="398"/>
      <c r="C44" s="195">
        <v>2</v>
      </c>
      <c r="D44" s="115" t="str">
        <f>VLOOKUP('Summary '!$C25,'Fund Ranking_Equity'!$C$83:$E$137,2,FALSE)</f>
        <v>Aditya Birla Sun Life Manufacturing Equity Fund - Reg - Growth</v>
      </c>
      <c r="E44" s="291" t="str">
        <f>_xlfn.CONCAT((ROUND(VLOOKUP($D44,'Fund Ranking_Equity'!$B$6:$T$137,5,FALSE),2)),"%")</f>
        <v>21.2%</v>
      </c>
      <c r="F44" s="294" t="str">
        <f>_xlfn.CONCAT((ROUND(VLOOKUP($D44,'Fund Ranking_Equity'!$B$6:$T$137,4,FALSE),2)),"%")</f>
        <v>17.42%</v>
      </c>
    </row>
    <row r="45" spans="2:6" ht="15" customHeight="1" thickBot="1" x14ac:dyDescent="0.3">
      <c r="B45" s="404"/>
      <c r="C45" s="196">
        <v>3</v>
      </c>
      <c r="D45" s="242" t="str">
        <f>VLOOKUP('Summary '!$C26,'Fund Ranking_Equity'!$C$83:$E$137,2,FALSE)</f>
        <v>Nippon India Quant Fund - Reg - Growth</v>
      </c>
      <c r="E45" s="292" t="str">
        <f>_xlfn.CONCAT((ROUND(VLOOKUP($D45,'Fund Ranking_Equity'!$B$6:$T$137,5,FALSE),2)),"%")</f>
        <v>16.52%</v>
      </c>
      <c r="F45" s="295" t="str">
        <f>_xlfn.CONCAT((ROUND(VLOOKUP($D45,'Fund Ranking_Equity'!$B$6:$T$137,4,FALSE),2)),"%")</f>
        <v>2.31%</v>
      </c>
    </row>
  </sheetData>
  <mergeCells count="16">
    <mergeCell ref="B43:B45"/>
    <mergeCell ref="B12:B14"/>
    <mergeCell ref="B20:B22"/>
    <mergeCell ref="H16:H18"/>
    <mergeCell ref="H20:H22"/>
    <mergeCell ref="B24:B26"/>
    <mergeCell ref="B33:B42"/>
    <mergeCell ref="B28:B30"/>
    <mergeCell ref="B16:B18"/>
    <mergeCell ref="H12:H14"/>
    <mergeCell ref="H4:H6"/>
    <mergeCell ref="H2:L2"/>
    <mergeCell ref="B2:F2"/>
    <mergeCell ref="B4:B6"/>
    <mergeCell ref="B8:B10"/>
    <mergeCell ref="H8:H10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"/>
  <dimension ref="B2:L68"/>
  <sheetViews>
    <sheetView topLeftCell="F1" zoomScale="92" workbookViewId="0">
      <selection activeCell="G18" sqref="G18"/>
    </sheetView>
  </sheetViews>
  <sheetFormatPr defaultColWidth="8.7109375" defaultRowHeight="12" x14ac:dyDescent="0.2"/>
  <cols>
    <col min="1" max="1" width="8.7109375" style="15" customWidth="1"/>
    <col min="2" max="2" width="6.85546875" style="15" customWidth="1"/>
    <col min="3" max="3" width="30.42578125" style="15" customWidth="1"/>
    <col min="4" max="4" width="44.42578125" style="15" customWidth="1"/>
    <col min="5" max="5" width="18" style="15" customWidth="1"/>
    <col min="6" max="6" width="8.7109375" style="15" customWidth="1"/>
    <col min="7" max="7" width="34.85546875" style="15" customWidth="1"/>
    <col min="8" max="8" width="19.7109375" style="15" hidden="1" customWidth="1"/>
    <col min="9" max="12" width="34.85546875" style="15" customWidth="1"/>
    <col min="13" max="19" width="8.7109375" style="15" customWidth="1"/>
    <col min="20" max="16384" width="8.7109375" style="15"/>
  </cols>
  <sheetData>
    <row r="2" spans="2:12" ht="14.45" customHeight="1" thickBot="1" x14ac:dyDescent="0.25"/>
    <row r="3" spans="2:12" ht="14.45" customHeight="1" thickBot="1" x14ac:dyDescent="0.3">
      <c r="B3" s="16" t="s">
        <v>938</v>
      </c>
      <c r="C3" s="17" t="s">
        <v>939</v>
      </c>
      <c r="D3" s="17" t="s">
        <v>940</v>
      </c>
      <c r="E3" s="18" t="s">
        <v>941</v>
      </c>
      <c r="G3" s="106" t="s">
        <v>942</v>
      </c>
      <c r="H3" s="107"/>
      <c r="I3" s="411" t="s">
        <v>943</v>
      </c>
      <c r="J3" s="408"/>
      <c r="K3" s="408"/>
      <c r="L3" s="408"/>
    </row>
    <row r="4" spans="2:12" ht="14.45" customHeight="1" thickBot="1" x14ac:dyDescent="0.3">
      <c r="B4" s="410" t="s">
        <v>944</v>
      </c>
      <c r="C4" s="401"/>
      <c r="D4" s="401"/>
      <c r="E4" s="402"/>
      <c r="G4" s="108" t="s">
        <v>945</v>
      </c>
      <c r="H4" s="26"/>
      <c r="I4" s="27" t="s">
        <v>946</v>
      </c>
      <c r="J4" s="27" t="s">
        <v>947</v>
      </c>
      <c r="K4" s="27" t="s">
        <v>948</v>
      </c>
      <c r="L4" s="27" t="s">
        <v>949</v>
      </c>
    </row>
    <row r="5" spans="2:12" ht="14.45" customHeight="1" thickBot="1" x14ac:dyDescent="0.25">
      <c r="B5" s="29">
        <v>1</v>
      </c>
      <c r="C5" s="28" t="s">
        <v>945</v>
      </c>
      <c r="D5" s="19" t="s">
        <v>950</v>
      </c>
      <c r="E5" s="33">
        <v>4</v>
      </c>
      <c r="G5" s="109" t="s">
        <v>951</v>
      </c>
      <c r="H5" s="26"/>
      <c r="I5" s="14">
        <v>4</v>
      </c>
      <c r="J5" s="14">
        <v>3</v>
      </c>
      <c r="K5" s="14">
        <v>2</v>
      </c>
      <c r="L5" s="14">
        <v>1</v>
      </c>
    </row>
    <row r="6" spans="2:12" ht="14.45" customHeight="1" thickBot="1" x14ac:dyDescent="0.25">
      <c r="B6" s="30"/>
      <c r="C6" s="21"/>
      <c r="D6" s="21" t="s">
        <v>952</v>
      </c>
      <c r="E6" s="34">
        <v>3</v>
      </c>
      <c r="G6" s="108" t="s">
        <v>953</v>
      </c>
      <c r="H6" s="26"/>
      <c r="I6" s="27" t="s">
        <v>954</v>
      </c>
      <c r="J6" s="27" t="s">
        <v>955</v>
      </c>
      <c r="K6" s="27" t="s">
        <v>956</v>
      </c>
      <c r="L6" s="27" t="s">
        <v>957</v>
      </c>
    </row>
    <row r="7" spans="2:12" ht="14.45" customHeight="1" thickBot="1" x14ac:dyDescent="0.25">
      <c r="B7" s="30"/>
      <c r="C7" s="21"/>
      <c r="D7" s="21" t="s">
        <v>958</v>
      </c>
      <c r="E7" s="34">
        <v>2</v>
      </c>
      <c r="G7" s="109" t="s">
        <v>959</v>
      </c>
      <c r="H7" s="26"/>
      <c r="I7" s="13" t="s">
        <v>960</v>
      </c>
      <c r="J7" s="130" t="s">
        <v>961</v>
      </c>
      <c r="K7" s="13" t="s">
        <v>962</v>
      </c>
      <c r="L7" s="13" t="s">
        <v>963</v>
      </c>
    </row>
    <row r="8" spans="2:12" ht="14.45" customHeight="1" thickBot="1" x14ac:dyDescent="0.25">
      <c r="B8" s="31"/>
      <c r="C8" s="22"/>
      <c r="D8" s="22" t="s">
        <v>964</v>
      </c>
      <c r="E8" s="35">
        <v>1</v>
      </c>
      <c r="G8" s="108" t="s">
        <v>965</v>
      </c>
      <c r="H8" s="26"/>
      <c r="I8" s="27" t="s">
        <v>966</v>
      </c>
      <c r="J8" s="27" t="s">
        <v>967</v>
      </c>
      <c r="K8" s="27" t="s">
        <v>968</v>
      </c>
      <c r="L8" s="27" t="s">
        <v>969</v>
      </c>
    </row>
    <row r="9" spans="2:12" ht="14.45" customHeight="1" thickBot="1" x14ac:dyDescent="0.25">
      <c r="B9" s="29">
        <f>B5+1</f>
        <v>2</v>
      </c>
      <c r="C9" s="28" t="s">
        <v>970</v>
      </c>
      <c r="D9" s="19" t="s">
        <v>971</v>
      </c>
      <c r="E9" s="33">
        <v>0</v>
      </c>
      <c r="G9" s="109" t="s">
        <v>972</v>
      </c>
      <c r="H9" s="26"/>
      <c r="I9" s="13">
        <v>1</v>
      </c>
      <c r="J9" s="13">
        <v>2</v>
      </c>
      <c r="K9" s="13">
        <v>3</v>
      </c>
      <c r="L9" s="131">
        <v>4</v>
      </c>
    </row>
    <row r="10" spans="2:12" ht="14.45" customHeight="1" thickBot="1" x14ac:dyDescent="0.25">
      <c r="B10" s="32"/>
      <c r="C10" s="25"/>
      <c r="D10" s="21" t="s">
        <v>973</v>
      </c>
      <c r="E10" s="34">
        <v>1</v>
      </c>
      <c r="G10" s="108" t="s">
        <v>974</v>
      </c>
      <c r="H10" s="26"/>
      <c r="I10" s="27" t="s">
        <v>975</v>
      </c>
      <c r="J10" s="27" t="s">
        <v>976</v>
      </c>
      <c r="K10" s="27" t="s">
        <v>977</v>
      </c>
      <c r="L10" s="27" t="s">
        <v>978</v>
      </c>
    </row>
    <row r="11" spans="2:12" ht="14.45" customHeight="1" thickBot="1" x14ac:dyDescent="0.25">
      <c r="B11" s="30"/>
      <c r="C11" s="21"/>
      <c r="D11" s="21" t="s">
        <v>979</v>
      </c>
      <c r="E11" s="34">
        <v>2</v>
      </c>
      <c r="G11" s="109" t="s">
        <v>980</v>
      </c>
      <c r="H11" s="26"/>
      <c r="I11" s="13">
        <v>1</v>
      </c>
      <c r="J11" s="13">
        <v>2</v>
      </c>
      <c r="K11" s="13">
        <v>3</v>
      </c>
      <c r="L11" s="131">
        <v>4</v>
      </c>
    </row>
    <row r="12" spans="2:12" ht="14.45" customHeight="1" thickBot="1" x14ac:dyDescent="0.25">
      <c r="B12" s="30"/>
      <c r="C12" s="21"/>
      <c r="D12" s="21" t="s">
        <v>981</v>
      </c>
      <c r="E12" s="34">
        <v>3</v>
      </c>
      <c r="G12" s="108" t="s">
        <v>982</v>
      </c>
      <c r="H12" s="26"/>
      <c r="I12" s="27" t="s">
        <v>983</v>
      </c>
      <c r="J12" s="27" t="s">
        <v>984</v>
      </c>
      <c r="K12" s="27"/>
      <c r="L12" s="27"/>
    </row>
    <row r="13" spans="2:12" ht="14.45" customHeight="1" thickBot="1" x14ac:dyDescent="0.25">
      <c r="B13" s="30"/>
      <c r="C13" s="21"/>
      <c r="D13" s="21" t="s">
        <v>985</v>
      </c>
      <c r="E13" s="34">
        <v>4</v>
      </c>
      <c r="G13" s="109" t="s">
        <v>986</v>
      </c>
      <c r="H13" s="26"/>
      <c r="I13" s="13">
        <v>1</v>
      </c>
      <c r="J13" s="137">
        <v>2</v>
      </c>
      <c r="K13" s="137"/>
      <c r="L13" s="137"/>
    </row>
    <row r="14" spans="2:12" ht="14.45" customHeight="1" thickBot="1" x14ac:dyDescent="0.25">
      <c r="B14" s="31"/>
      <c r="C14" s="22"/>
      <c r="D14" s="22" t="s">
        <v>987</v>
      </c>
      <c r="E14" s="35">
        <v>5</v>
      </c>
      <c r="G14" s="108" t="s">
        <v>988</v>
      </c>
      <c r="H14" s="26"/>
      <c r="I14" s="27" t="s">
        <v>989</v>
      </c>
      <c r="J14" s="27" t="s">
        <v>990</v>
      </c>
      <c r="K14" s="27" t="s">
        <v>991</v>
      </c>
      <c r="L14" s="27" t="s">
        <v>992</v>
      </c>
    </row>
    <row r="15" spans="2:12" ht="14.45" customHeight="1" thickBot="1" x14ac:dyDescent="0.25">
      <c r="B15" s="29">
        <v>3</v>
      </c>
      <c r="C15" s="28" t="s">
        <v>993</v>
      </c>
      <c r="D15" s="19" t="s">
        <v>973</v>
      </c>
      <c r="E15" s="33">
        <v>1</v>
      </c>
      <c r="G15" s="110" t="s">
        <v>994</v>
      </c>
      <c r="H15" s="111"/>
      <c r="I15" s="13">
        <v>2</v>
      </c>
      <c r="J15" s="112">
        <v>3</v>
      </c>
      <c r="K15" s="112">
        <v>4</v>
      </c>
      <c r="L15" s="112">
        <v>5</v>
      </c>
    </row>
    <row r="16" spans="2:12" x14ac:dyDescent="0.2">
      <c r="B16" s="32"/>
      <c r="C16" s="25"/>
      <c r="D16" s="21" t="s">
        <v>979</v>
      </c>
      <c r="E16" s="34">
        <v>2</v>
      </c>
    </row>
    <row r="17" spans="2:12" ht="14.45" customHeight="1" thickBot="1" x14ac:dyDescent="0.25">
      <c r="B17" s="30"/>
      <c r="C17" s="21"/>
      <c r="D17" s="21" t="s">
        <v>981</v>
      </c>
      <c r="E17" s="34">
        <v>3</v>
      </c>
      <c r="I17" s="161"/>
    </row>
    <row r="18" spans="2:12" ht="14.45" customHeight="1" thickBot="1" x14ac:dyDescent="0.3">
      <c r="B18" s="30"/>
      <c r="C18" s="21"/>
      <c r="D18" s="21" t="s">
        <v>985</v>
      </c>
      <c r="E18" s="34">
        <v>4</v>
      </c>
      <c r="G18" s="106" t="s">
        <v>942</v>
      </c>
      <c r="H18" s="107"/>
      <c r="I18" s="407" t="s">
        <v>995</v>
      </c>
      <c r="J18" s="408"/>
      <c r="K18" s="408"/>
      <c r="L18" s="409"/>
    </row>
    <row r="19" spans="2:12" ht="14.45" customHeight="1" thickBot="1" x14ac:dyDescent="0.25">
      <c r="B19" s="31"/>
      <c r="C19" s="22"/>
      <c r="D19" s="22" t="s">
        <v>987</v>
      </c>
      <c r="E19" s="35">
        <v>5</v>
      </c>
      <c r="G19" s="108" t="s">
        <v>945</v>
      </c>
      <c r="H19" s="26"/>
      <c r="I19" s="27" t="s">
        <v>946</v>
      </c>
      <c r="J19" s="27" t="s">
        <v>947</v>
      </c>
      <c r="K19" s="27" t="s">
        <v>948</v>
      </c>
      <c r="L19" s="164" t="s">
        <v>949</v>
      </c>
    </row>
    <row r="20" spans="2:12" ht="14.45" customHeight="1" thickBot="1" x14ac:dyDescent="0.25">
      <c r="B20" s="29">
        <v>4</v>
      </c>
      <c r="C20" s="28" t="s">
        <v>996</v>
      </c>
      <c r="D20" s="19" t="s">
        <v>997</v>
      </c>
      <c r="E20" s="33">
        <v>1</v>
      </c>
      <c r="G20" s="162" t="s">
        <v>998</v>
      </c>
      <c r="H20" s="26"/>
      <c r="I20" s="14" t="s">
        <v>999</v>
      </c>
      <c r="J20" s="14" t="s">
        <v>1000</v>
      </c>
      <c r="K20" s="14" t="str">
        <f>J20</f>
        <v>Lumpsum/SIP</v>
      </c>
      <c r="L20" s="165" t="str">
        <f>K20</f>
        <v>Lumpsum/SIP</v>
      </c>
    </row>
    <row r="21" spans="2:12" ht="14.45" customHeight="1" thickBot="1" x14ac:dyDescent="0.25">
      <c r="B21" s="32"/>
      <c r="C21" s="25"/>
      <c r="D21" s="21" t="s">
        <v>1001</v>
      </c>
      <c r="E21" s="34">
        <v>2</v>
      </c>
      <c r="G21" s="170" t="s">
        <v>1002</v>
      </c>
      <c r="H21" s="26"/>
      <c r="I21" s="172" t="s">
        <v>1003</v>
      </c>
      <c r="J21" s="174" t="s">
        <v>1004</v>
      </c>
      <c r="K21" s="174" t="s">
        <v>1005</v>
      </c>
      <c r="L21" s="175" t="s">
        <v>1006</v>
      </c>
    </row>
    <row r="22" spans="2:12" ht="41.1" customHeight="1" thickBot="1" x14ac:dyDescent="0.25">
      <c r="B22" s="32"/>
      <c r="C22" s="25"/>
      <c r="D22" s="21" t="s">
        <v>1007</v>
      </c>
      <c r="E22" s="34">
        <v>3</v>
      </c>
      <c r="G22" s="162" t="s">
        <v>1008</v>
      </c>
      <c r="H22" s="26"/>
      <c r="I22" s="165" t="str">
        <f>_xlfn.CONCAT(Backup!$B$36, ", ",Backup!$B$38,", ",Backup!$B$37, ", ",Backup!$B$40, ", ",Backup!$B$41)</f>
        <v>Large &amp; Mid Cap Funds, Midcap, Flexicap fund, Balanced Fund, Asset Allocator Fund</v>
      </c>
      <c r="J22" s="165" t="str">
        <f>_xlfn.CONCAT(Backup!$B$35, ", ", Backup!$B$36, ", ",Backup!$B$37, ", ",Backup!$B$40, ", ",Backup!$B$41)</f>
        <v>Large Cap Fund, Large &amp; Mid Cap Funds, Flexicap fund, Balanced Fund, Asset Allocator Fund</v>
      </c>
      <c r="K22" s="165" t="str">
        <f>_xlfn.CONCAT(Backup!$B$35, ", ", Backup!$B$36, ", ",Backup!$B$37, ", ",Backup!$B$40, ", ",Backup!$B$41)</f>
        <v>Large Cap Fund, Large &amp; Mid Cap Funds, Flexicap fund, Balanced Fund, Asset Allocator Fund</v>
      </c>
      <c r="L22" s="165" t="str">
        <f>_xlfn.CONCAT(Backup!$B$35, ", ", Backup!$B$36)</f>
        <v>Large Cap Fund, Large &amp; Mid Cap Funds</v>
      </c>
    </row>
    <row r="23" spans="2:12" ht="28.5" customHeight="1" thickBot="1" x14ac:dyDescent="0.25">
      <c r="B23" s="32"/>
      <c r="C23" s="25"/>
      <c r="D23" s="21" t="s">
        <v>1009</v>
      </c>
      <c r="E23" s="34">
        <v>4</v>
      </c>
      <c r="G23" s="162" t="s">
        <v>1010</v>
      </c>
      <c r="H23" s="26"/>
      <c r="I23" s="14" t="str">
        <f>_xlfn.CONCAT(Backup!$C$35, " ,",Backup!$C$36)</f>
        <v>Ultra Short Duration Fund ,Low Duration Fund</v>
      </c>
      <c r="J23" s="14" t="str">
        <f>_xlfn.CONCAT(Backup!$C$35, " ,",Backup!$C$36, " ,",Backup!$C$37 )</f>
        <v>Ultra Short Duration Fund ,Low Duration Fund ,Short Duration Fund</v>
      </c>
      <c r="K23" s="14" t="str">
        <f>_xlfn.CONCAT(Backup!$C$35, " ,",Backup!$C$36, " ,",Backup!$C$37 )</f>
        <v>Ultra Short Duration Fund ,Low Duration Fund ,Short Duration Fund</v>
      </c>
      <c r="L23" s="14" t="str">
        <f>_xlfn.CONCAT(Backup!$C$35, " ,",Backup!$C$36, " ,",Backup!$C$37 )</f>
        <v>Ultra Short Duration Fund ,Low Duration Fund ,Short Duration Fund</v>
      </c>
    </row>
    <row r="24" spans="2:12" ht="14.45" customHeight="1" thickBot="1" x14ac:dyDescent="0.25">
      <c r="B24" s="32"/>
      <c r="C24" s="25"/>
      <c r="D24" s="24" t="s">
        <v>1011</v>
      </c>
      <c r="E24" s="36">
        <v>5</v>
      </c>
      <c r="G24" s="108" t="s">
        <v>953</v>
      </c>
      <c r="H24" s="26"/>
      <c r="I24" s="27" t="s">
        <v>954</v>
      </c>
      <c r="J24" s="27" t="s">
        <v>955</v>
      </c>
      <c r="K24" s="27" t="s">
        <v>956</v>
      </c>
      <c r="L24" s="164" t="s">
        <v>957</v>
      </c>
    </row>
    <row r="25" spans="2:12" ht="14.45" customHeight="1" thickBot="1" x14ac:dyDescent="0.3">
      <c r="B25" s="410" t="s">
        <v>1012</v>
      </c>
      <c r="C25" s="401"/>
      <c r="D25" s="401"/>
      <c r="E25" s="402"/>
      <c r="G25" s="109" t="s">
        <v>998</v>
      </c>
      <c r="H25" s="26"/>
      <c r="I25" s="14" t="s">
        <v>999</v>
      </c>
      <c r="J25" s="14" t="s">
        <v>1000</v>
      </c>
      <c r="K25" s="14" t="str">
        <f>J25</f>
        <v>Lumpsum/SIP</v>
      </c>
      <c r="L25" s="165" t="str">
        <f>K25</f>
        <v>Lumpsum/SIP</v>
      </c>
    </row>
    <row r="26" spans="2:12" ht="14.45" customHeight="1" thickBot="1" x14ac:dyDescent="0.25">
      <c r="B26" s="32">
        <v>6</v>
      </c>
      <c r="C26" s="25" t="s">
        <v>1013</v>
      </c>
      <c r="D26" s="21" t="s">
        <v>966</v>
      </c>
      <c r="E26" s="34">
        <v>1</v>
      </c>
      <c r="G26" s="170" t="s">
        <v>1002</v>
      </c>
      <c r="H26" s="26"/>
      <c r="I26" s="172" t="s">
        <v>1006</v>
      </c>
      <c r="J26" s="14" t="s">
        <v>1005</v>
      </c>
      <c r="K26" s="14" t="s">
        <v>1004</v>
      </c>
      <c r="L26" s="165" t="s">
        <v>1004</v>
      </c>
    </row>
    <row r="27" spans="2:12" ht="45.6" customHeight="1" thickBot="1" x14ac:dyDescent="0.25">
      <c r="B27" s="32"/>
      <c r="C27" s="25"/>
      <c r="D27" s="21" t="s">
        <v>1014</v>
      </c>
      <c r="E27" s="34">
        <v>2</v>
      </c>
      <c r="G27" s="162" t="s">
        <v>1008</v>
      </c>
      <c r="H27" s="26"/>
      <c r="I27" s="172" t="str">
        <f>L22</f>
        <v>Large Cap Fund, Large &amp; Mid Cap Funds</v>
      </c>
      <c r="J27" s="14" t="str">
        <f>K22</f>
        <v>Large Cap Fund, Large &amp; Mid Cap Funds, Flexicap fund, Balanced Fund, Asset Allocator Fund</v>
      </c>
      <c r="K27" s="14" t="str">
        <f>J22</f>
        <v>Large Cap Fund, Large &amp; Mid Cap Funds, Flexicap fund, Balanced Fund, Asset Allocator Fund</v>
      </c>
      <c r="L27" s="165" t="str">
        <f>_xlfn.CONCAT(Backup!$B$36, ", ",Backup!$B$38,", ",Backup!$B$37, ", ",Backup!$B$40, ", ",Backup!$B$41)</f>
        <v>Large &amp; Mid Cap Funds, Midcap, Flexicap fund, Balanced Fund, Asset Allocator Fund</v>
      </c>
    </row>
    <row r="28" spans="2:12" ht="28.5" customHeight="1" thickBot="1" x14ac:dyDescent="0.25">
      <c r="B28" s="32"/>
      <c r="C28" s="25"/>
      <c r="D28" s="21" t="s">
        <v>1015</v>
      </c>
      <c r="E28" s="34">
        <v>3</v>
      </c>
      <c r="G28" s="162" t="s">
        <v>1010</v>
      </c>
      <c r="H28" s="26"/>
      <c r="I28" s="168" t="str">
        <f>I23</f>
        <v>Ultra Short Duration Fund ,Low Duration Fund</v>
      </c>
      <c r="J28" s="178" t="str">
        <f>L23</f>
        <v>Ultra Short Duration Fund ,Low Duration Fund ,Short Duration Fund</v>
      </c>
      <c r="K28" s="168" t="str">
        <f>K23</f>
        <v>Ultra Short Duration Fund ,Low Duration Fund ,Short Duration Fund</v>
      </c>
      <c r="L28" s="179" t="str">
        <f>K28</f>
        <v>Ultra Short Duration Fund ,Low Duration Fund ,Short Duration Fund</v>
      </c>
    </row>
    <row r="29" spans="2:12" ht="14.45" customHeight="1" thickBot="1" x14ac:dyDescent="0.25">
      <c r="B29" s="32"/>
      <c r="C29" s="25"/>
      <c r="D29" s="21" t="s">
        <v>969</v>
      </c>
      <c r="E29" s="34">
        <v>4</v>
      </c>
      <c r="G29" s="108" t="s">
        <v>965</v>
      </c>
      <c r="H29" s="26"/>
      <c r="I29" s="27" t="s">
        <v>966</v>
      </c>
      <c r="J29" s="27" t="s">
        <v>967</v>
      </c>
      <c r="K29" s="27" t="s">
        <v>968</v>
      </c>
      <c r="L29" s="164" t="s">
        <v>969</v>
      </c>
    </row>
    <row r="30" spans="2:12" ht="14.45" customHeight="1" thickBot="1" x14ac:dyDescent="0.25">
      <c r="B30" s="32">
        <v>7</v>
      </c>
      <c r="C30" s="25" t="s">
        <v>1016</v>
      </c>
      <c r="D30" s="21" t="s">
        <v>1017</v>
      </c>
      <c r="E30" s="34">
        <v>1</v>
      </c>
      <c r="G30" s="109" t="s">
        <v>998</v>
      </c>
      <c r="H30" s="26"/>
      <c r="I30" s="14" t="s">
        <v>1000</v>
      </c>
      <c r="J30" s="168" t="s">
        <v>1018</v>
      </c>
      <c r="K30" s="168" t="s">
        <v>1000</v>
      </c>
      <c r="L30" s="166" t="s">
        <v>999</v>
      </c>
    </row>
    <row r="31" spans="2:12" ht="14.45" customHeight="1" thickBot="1" x14ac:dyDescent="0.25">
      <c r="B31" s="30"/>
      <c r="C31" s="21"/>
      <c r="D31" s="21" t="s">
        <v>1019</v>
      </c>
      <c r="E31" s="34">
        <v>2</v>
      </c>
      <c r="G31" s="170" t="s">
        <v>1002</v>
      </c>
      <c r="H31" s="26"/>
      <c r="I31" s="14" t="str">
        <f>L31</f>
        <v>80:20</v>
      </c>
      <c r="J31" s="168" t="str">
        <f>J26</f>
        <v>50:50</v>
      </c>
      <c r="K31" s="171" t="s">
        <v>1020</v>
      </c>
      <c r="L31" s="166" t="s">
        <v>1003</v>
      </c>
    </row>
    <row r="32" spans="2:12" ht="51" customHeight="1" thickBot="1" x14ac:dyDescent="0.25">
      <c r="B32" s="30"/>
      <c r="C32" s="21"/>
      <c r="D32" s="21" t="s">
        <v>1021</v>
      </c>
      <c r="E32" s="34">
        <v>3</v>
      </c>
      <c r="G32" s="162" t="s">
        <v>1008</v>
      </c>
      <c r="H32" s="26"/>
      <c r="I32" s="14" t="str">
        <f>J27</f>
        <v>Large Cap Fund, Large &amp; Mid Cap Funds, Flexicap fund, Balanced Fund, Asset Allocator Fund</v>
      </c>
      <c r="J32" s="168" t="str">
        <f>J27</f>
        <v>Large Cap Fund, Large &amp; Mid Cap Funds, Flexicap fund, Balanced Fund, Asset Allocator Fund</v>
      </c>
      <c r="K32" s="165" t="str">
        <f>_xlfn.CONCAT(Backup!$B$35, ", ", Backup!$B$36)</f>
        <v>Large Cap Fund, Large &amp; Mid Cap Funds</v>
      </c>
      <c r="L32" s="165" t="str">
        <f>_xlfn.CONCAT(Backup!$B$39, ", ", Backup!$B$38)</f>
        <v>Small Cap, Midcap</v>
      </c>
    </row>
    <row r="33" spans="2:12" ht="28.5" customHeight="1" thickBot="1" x14ac:dyDescent="0.25">
      <c r="B33" s="30"/>
      <c r="C33" s="21"/>
      <c r="D33" s="21" t="s">
        <v>1022</v>
      </c>
      <c r="E33" s="34">
        <v>4</v>
      </c>
      <c r="G33" s="162" t="s">
        <v>1010</v>
      </c>
      <c r="H33" s="26"/>
      <c r="I33" s="168" t="str">
        <f>I28</f>
        <v>Ultra Short Duration Fund ,Low Duration Fund</v>
      </c>
      <c r="J33" s="178" t="str">
        <f>J28</f>
        <v>Ultra Short Duration Fund ,Low Duration Fund ,Short Duration Fund</v>
      </c>
      <c r="K33" s="168" t="str">
        <f>I33</f>
        <v>Ultra Short Duration Fund ,Low Duration Fund</v>
      </c>
      <c r="L33" s="166" t="str">
        <f>I43</f>
        <v>Medium Duration Fund ,Short Duration Fund ,Medium to Long Duration Fund</v>
      </c>
    </row>
    <row r="34" spans="2:12" ht="14.45" customHeight="1" thickBot="1" x14ac:dyDescent="0.3">
      <c r="B34" s="410" t="s">
        <v>982</v>
      </c>
      <c r="C34" s="401"/>
      <c r="D34" s="401"/>
      <c r="E34" s="402"/>
      <c r="G34" s="108" t="s">
        <v>974</v>
      </c>
      <c r="H34" s="26"/>
      <c r="I34" s="27" t="s">
        <v>975</v>
      </c>
      <c r="J34" s="27" t="s">
        <v>976</v>
      </c>
      <c r="K34" s="27" t="s">
        <v>977</v>
      </c>
      <c r="L34" s="164" t="s">
        <v>978</v>
      </c>
    </row>
    <row r="35" spans="2:12" ht="14.45" customHeight="1" thickBot="1" x14ac:dyDescent="0.25">
      <c r="B35" s="32">
        <v>8</v>
      </c>
      <c r="C35" s="28" t="s">
        <v>1023</v>
      </c>
      <c r="D35" s="21" t="s">
        <v>1024</v>
      </c>
      <c r="E35" s="34">
        <v>2</v>
      </c>
      <c r="G35" s="109" t="s">
        <v>998</v>
      </c>
      <c r="H35" s="26"/>
      <c r="I35" s="168" t="str">
        <f>I40</f>
        <v>Lumpsum</v>
      </c>
      <c r="J35" s="168" t="str">
        <f>I35</f>
        <v>Lumpsum</v>
      </c>
      <c r="K35" s="168" t="str">
        <f>K30</f>
        <v>Lumpsum/SIP</v>
      </c>
      <c r="L35" s="166" t="str">
        <f>K35</f>
        <v>Lumpsum/SIP</v>
      </c>
    </row>
    <row r="36" spans="2:12" ht="14.45" customHeight="1" thickBot="1" x14ac:dyDescent="0.25">
      <c r="B36" s="30"/>
      <c r="C36" s="25"/>
      <c r="D36" s="21" t="s">
        <v>1025</v>
      </c>
      <c r="E36" s="34">
        <v>1</v>
      </c>
      <c r="G36" s="170" t="s">
        <v>1002</v>
      </c>
      <c r="H36" s="26"/>
      <c r="I36" s="168" t="s">
        <v>1003</v>
      </c>
      <c r="J36" s="168" t="s">
        <v>1005</v>
      </c>
      <c r="K36" s="168" t="s">
        <v>1005</v>
      </c>
      <c r="L36" s="166" t="s">
        <v>1020</v>
      </c>
    </row>
    <row r="37" spans="2:12" ht="31.5" customHeight="1" thickBot="1" x14ac:dyDescent="0.3">
      <c r="B37" s="410" t="s">
        <v>1026</v>
      </c>
      <c r="C37" s="401"/>
      <c r="D37" s="401"/>
      <c r="E37" s="402"/>
      <c r="G37" s="162" t="s">
        <v>1008</v>
      </c>
      <c r="H37" s="26"/>
      <c r="I37" s="168" t="str">
        <f>L32</f>
        <v>Small Cap, Midcap</v>
      </c>
      <c r="J37" s="168" t="str">
        <f>_xlfn.CONCAT(Backup!$B$39, ", ", Backup!$B$38, ", ",Backup!$B$37, ", ",Backup!$B$40, ", ",Backup!$B$41)</f>
        <v>Small Cap, Midcap, Flexicap fund, Balanced Fund, Asset Allocator Fund</v>
      </c>
      <c r="K37" s="168" t="str">
        <f>_xlfn.CONCAT(Backup!$B$38, ", ",Backup!$B$37, ", ",Backup!$B$40, ", ",Backup!$B$41)</f>
        <v>Midcap, Flexicap fund, Balanced Fund, Asset Allocator Fund</v>
      </c>
      <c r="L37" s="165" t="str">
        <f>_xlfn.CONCAT(Backup!$B$35, ", ", Backup!$B$36)</f>
        <v>Large Cap Fund, Large &amp; Mid Cap Funds</v>
      </c>
    </row>
    <row r="38" spans="2:12" ht="28.5" customHeight="1" thickBot="1" x14ac:dyDescent="0.25">
      <c r="B38" s="32">
        <v>9</v>
      </c>
      <c r="C38" s="25" t="s">
        <v>1026</v>
      </c>
      <c r="D38" s="21" t="s">
        <v>1027</v>
      </c>
      <c r="E38" s="34">
        <v>1</v>
      </c>
      <c r="G38" s="162" t="s">
        <v>1010</v>
      </c>
      <c r="H38" s="26"/>
      <c r="I38" s="168" t="str">
        <f>I33</f>
        <v>Ultra Short Duration Fund ,Low Duration Fund</v>
      </c>
      <c r="J38" s="178" t="str">
        <f>J33</f>
        <v>Ultra Short Duration Fund ,Low Duration Fund ,Short Duration Fund</v>
      </c>
      <c r="K38" s="168" t="str">
        <f>K33</f>
        <v>Ultra Short Duration Fund ,Low Duration Fund</v>
      </c>
      <c r="L38" s="166" t="str">
        <f>L33</f>
        <v>Medium Duration Fund ,Short Duration Fund ,Medium to Long Duration Fund</v>
      </c>
    </row>
    <row r="39" spans="2:12" ht="14.45" customHeight="1" thickBot="1" x14ac:dyDescent="0.25">
      <c r="B39" s="30"/>
      <c r="C39" s="21"/>
      <c r="D39" s="21" t="s">
        <v>1028</v>
      </c>
      <c r="E39" s="34">
        <v>2</v>
      </c>
      <c r="G39" s="108" t="s">
        <v>982</v>
      </c>
      <c r="H39" s="26"/>
      <c r="I39" s="27" t="s">
        <v>983</v>
      </c>
      <c r="J39" s="27" t="s">
        <v>984</v>
      </c>
      <c r="K39" s="27"/>
      <c r="L39" s="164"/>
    </row>
    <row r="40" spans="2:12" ht="14.45" customHeight="1" thickBot="1" x14ac:dyDescent="0.25">
      <c r="B40" s="30"/>
      <c r="C40" s="21"/>
      <c r="D40" s="21" t="s">
        <v>1029</v>
      </c>
      <c r="E40" s="34">
        <v>3</v>
      </c>
      <c r="G40" s="109" t="s">
        <v>998</v>
      </c>
      <c r="H40" s="26"/>
      <c r="I40" s="168" t="s">
        <v>1018</v>
      </c>
      <c r="J40" s="14" t="s">
        <v>999</v>
      </c>
      <c r="K40" s="137"/>
      <c r="L40" s="167"/>
    </row>
    <row r="41" spans="2:12" ht="14.45" customHeight="1" thickBot="1" x14ac:dyDescent="0.25">
      <c r="B41" s="32">
        <v>10</v>
      </c>
      <c r="C41" s="25" t="s">
        <v>1030</v>
      </c>
      <c r="D41" s="21" t="s">
        <v>1031</v>
      </c>
      <c r="E41" s="34">
        <v>1</v>
      </c>
      <c r="G41" s="170" t="s">
        <v>1002</v>
      </c>
      <c r="H41" s="26"/>
      <c r="I41" s="171" t="s">
        <v>1020</v>
      </c>
      <c r="J41" s="173" t="s">
        <v>1003</v>
      </c>
      <c r="K41" s="137"/>
      <c r="L41" s="167"/>
    </row>
    <row r="42" spans="2:12" ht="28.5" customHeight="1" thickBot="1" x14ac:dyDescent="0.25">
      <c r="B42" s="20"/>
      <c r="C42" s="21"/>
      <c r="D42" s="21" t="s">
        <v>1032</v>
      </c>
      <c r="E42" s="34">
        <v>2</v>
      </c>
      <c r="G42" s="162" t="s">
        <v>1008</v>
      </c>
      <c r="H42" s="26"/>
      <c r="I42" s="168" t="str">
        <f>_xlfn.CONCAT(Backup!$B$37, ", ",Backup!$B$40, ", ",Backup!$B$41, Backup!$B$35, ", ", Backup!$B$36)</f>
        <v>Flexicap fund, Balanced Fund, Asset Allocator FundLarge Cap Fund, Large &amp; Mid Cap Funds</v>
      </c>
      <c r="J42" s="173" t="str">
        <f>J37</f>
        <v>Small Cap, Midcap, Flexicap fund, Balanced Fund, Asset Allocator Fund</v>
      </c>
      <c r="K42" s="137"/>
      <c r="L42" s="167"/>
    </row>
    <row r="43" spans="2:12" ht="30.6" customHeight="1" thickBot="1" x14ac:dyDescent="0.25">
      <c r="B43" s="23"/>
      <c r="C43" s="24"/>
      <c r="D43" s="24" t="s">
        <v>1033</v>
      </c>
      <c r="E43" s="36">
        <v>3</v>
      </c>
      <c r="G43" s="162" t="s">
        <v>1010</v>
      </c>
      <c r="H43" s="26"/>
      <c r="I43" s="168" t="str">
        <f>_xlfn.CONCAT(Backup!$C$38," ,",Backup!$C$37," ,",Backup!$C$39)</f>
        <v>Medium Duration Fund ,Short Duration Fund ,Medium to Long Duration Fund</v>
      </c>
      <c r="J43" s="168" t="str">
        <f>_xlfn.CONCAT(Backup!$C$35, " ,",Backup!$C$36)</f>
        <v>Ultra Short Duration Fund ,Low Duration Fund</v>
      </c>
      <c r="K43" s="137"/>
      <c r="L43" s="167"/>
    </row>
    <row r="44" spans="2:12" ht="14.45" customHeight="1" thickBot="1" x14ac:dyDescent="0.25">
      <c r="G44" s="108" t="s">
        <v>988</v>
      </c>
      <c r="H44" s="26"/>
      <c r="I44" s="27" t="s">
        <v>989</v>
      </c>
      <c r="J44" s="27" t="s">
        <v>990</v>
      </c>
      <c r="K44" s="27" t="s">
        <v>991</v>
      </c>
      <c r="L44" s="27" t="s">
        <v>992</v>
      </c>
    </row>
    <row r="45" spans="2:12" ht="42.6" customHeight="1" thickBot="1" x14ac:dyDescent="0.25">
      <c r="G45" s="109" t="s">
        <v>998</v>
      </c>
      <c r="H45" s="163"/>
      <c r="I45" s="131" t="s">
        <v>999</v>
      </c>
      <c r="J45" s="131" t="str">
        <f>K45</f>
        <v>SIP</v>
      </c>
      <c r="K45" s="169" t="str">
        <f>I45</f>
        <v>SIP</v>
      </c>
      <c r="L45" s="169" t="s">
        <v>1000</v>
      </c>
    </row>
    <row r="46" spans="2:12" ht="14.45" customHeight="1" thickBot="1" x14ac:dyDescent="0.25">
      <c r="G46" s="170" t="s">
        <v>1002</v>
      </c>
      <c r="H46" s="163"/>
      <c r="I46" s="176" t="s">
        <v>1004</v>
      </c>
      <c r="J46" s="176" t="str">
        <f>K46</f>
        <v>50:50</v>
      </c>
      <c r="K46" s="177" t="s">
        <v>1005</v>
      </c>
      <c r="L46" s="169" t="s">
        <v>1003</v>
      </c>
    </row>
    <row r="47" spans="2:12" ht="30.95" customHeight="1" thickBot="1" x14ac:dyDescent="0.25">
      <c r="G47" s="162" t="s">
        <v>1008</v>
      </c>
      <c r="H47" s="163"/>
      <c r="I47" s="176" t="str">
        <f>L37</f>
        <v>Large Cap Fund, Large &amp; Mid Cap Funds</v>
      </c>
      <c r="J47" s="176" t="str">
        <f>K47</f>
        <v>Midcap, Flexicap fund, Balanced Fund, Asset Allocator Fund</v>
      </c>
      <c r="K47" s="177" t="str">
        <f>K37</f>
        <v>Midcap, Flexicap fund, Balanced Fund, Asset Allocator Fund</v>
      </c>
      <c r="L47" s="169" t="str">
        <f>J37</f>
        <v>Small Cap, Midcap, Flexicap fund, Balanced Fund, Asset Allocator Fund</v>
      </c>
    </row>
    <row r="48" spans="2:12" ht="28.5" customHeight="1" thickBot="1" x14ac:dyDescent="0.25">
      <c r="G48" s="110" t="s">
        <v>1010</v>
      </c>
      <c r="H48" s="111"/>
      <c r="I48" s="180" t="str">
        <f>J43</f>
        <v>Ultra Short Duration Fund ,Low Duration Fund</v>
      </c>
      <c r="J48" s="180" t="str">
        <f>K48</f>
        <v>Ultra Short Duration Fund ,Low Duration Fund ,Short Duration Fund</v>
      </c>
      <c r="K48" s="181" t="s">
        <v>1034</v>
      </c>
      <c r="L48" s="181" t="str">
        <f>L38</f>
        <v>Medium Duration Fund ,Short Duration Fund ,Medium to Long Duration Fund</v>
      </c>
    </row>
    <row r="51" ht="14.1" customHeight="1" x14ac:dyDescent="0.2"/>
    <row r="52" ht="14.1" customHeight="1" x14ac:dyDescent="0.2"/>
    <row r="53" ht="14.45" customHeight="1" x14ac:dyDescent="0.2"/>
    <row r="54" ht="14.45" customHeight="1" x14ac:dyDescent="0.2"/>
    <row r="55" ht="14.1" customHeight="1" x14ac:dyDescent="0.2"/>
    <row r="64" hidden="1" x14ac:dyDescent="0.2"/>
    <row r="65" hidden="1" x14ac:dyDescent="0.2"/>
    <row r="66" hidden="1" x14ac:dyDescent="0.2"/>
    <row r="67" hidden="1" x14ac:dyDescent="0.2"/>
    <row r="68" hidden="1" x14ac:dyDescent="0.2"/>
  </sheetData>
  <mergeCells count="6">
    <mergeCell ref="I18:L18"/>
    <mergeCell ref="B4:E4"/>
    <mergeCell ref="I3:L3"/>
    <mergeCell ref="B25:E25"/>
    <mergeCell ref="B37:E37"/>
    <mergeCell ref="B34:E34"/>
  </mergeCells>
  <dataValidations disablePrompts="1" count="1">
    <dataValidation showInputMessage="1" showErrorMessage="1" promptTitle="Select Age" sqref="D5:D8" xr:uid="{00000000-0002-0000-0500-000000000000}"/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3"/>
  <dimension ref="B1:I17"/>
  <sheetViews>
    <sheetView zoomScale="84" workbookViewId="0">
      <selection activeCell="G18" sqref="G18"/>
    </sheetView>
  </sheetViews>
  <sheetFormatPr defaultRowHeight="15" x14ac:dyDescent="0.25"/>
  <cols>
    <col min="2" max="2" width="26.140625" customWidth="1"/>
    <col min="3" max="3" width="29" style="115" bestFit="1" customWidth="1"/>
    <col min="4" max="4" width="11.42578125" hidden="1" customWidth="1"/>
    <col min="5" max="5" width="31.85546875" customWidth="1"/>
    <col min="6" max="7" width="23.42578125" style="182" customWidth="1"/>
    <col min="8" max="9" width="34.42578125" style="182" customWidth="1"/>
    <col min="10" max="10" width="34.85546875" customWidth="1"/>
  </cols>
  <sheetData>
    <row r="1" spans="2:9" ht="15" customHeight="1" thickBot="1" x14ac:dyDescent="0.3"/>
    <row r="2" spans="2:9" ht="15" hidden="1" customHeight="1" thickBot="1" x14ac:dyDescent="0.3">
      <c r="F2" s="182">
        <v>2</v>
      </c>
      <c r="G2" s="182">
        <v>3</v>
      </c>
      <c r="H2" s="182">
        <v>4</v>
      </c>
      <c r="I2" s="182">
        <v>5</v>
      </c>
    </row>
    <row r="3" spans="2:9" x14ac:dyDescent="0.25">
      <c r="B3" s="185" t="s">
        <v>1035</v>
      </c>
      <c r="C3" s="135" t="s">
        <v>1036</v>
      </c>
      <c r="D3" s="136" t="s">
        <v>1037</v>
      </c>
      <c r="E3" s="183" t="s">
        <v>1038</v>
      </c>
      <c r="F3" s="186" t="s">
        <v>998</v>
      </c>
      <c r="G3" s="186" t="s">
        <v>1002</v>
      </c>
      <c r="H3" s="186" t="s">
        <v>1008</v>
      </c>
      <c r="I3" s="187" t="s">
        <v>1010</v>
      </c>
    </row>
    <row r="4" spans="2:9" ht="43.5" customHeight="1" x14ac:dyDescent="0.25">
      <c r="B4" s="133" t="s">
        <v>945</v>
      </c>
      <c r="C4" s="160" t="s">
        <v>950</v>
      </c>
      <c r="D4" s="132">
        <f>VLOOKUP($C4, 'Investor Profile'!$D$5:$E$14,2,FALSE)</f>
        <v>4</v>
      </c>
      <c r="E4" s="323" t="str">
        <f t="array" ref="E4">_xlfn.IFS(D4='Investor Profile'!I5,'Investor Profile'!I4, D4='Investor Profile'!J5, 'Investor Profile'!J4, D4='Investor Profile'!K5, 'Investor Profile'!K4, D4='Investor Profile'!L5, 'Investor Profile'!L4)</f>
        <v>Early Career</v>
      </c>
      <c r="F4" s="322" t="str">
        <f>HLOOKUP('Investor Persona'!$E$4, 'Investor Profile'!$I$19:$L$23,F$2,FALSE)</f>
        <v>SIP</v>
      </c>
      <c r="G4" s="322" t="str">
        <f>HLOOKUP('Investor Persona'!$E$4, 'Investor Profile'!$I$19:$L$23,G$2,FALSE)</f>
        <v>80:20</v>
      </c>
      <c r="H4" s="322" t="str">
        <f>HLOOKUP('Investor Persona'!$E$4, 'Investor Profile'!$I$19:$L$23,H$2,FALSE)</f>
        <v>Large &amp; Mid Cap Funds, Midcap, Flexicap fund, Balanced Fund, Asset Allocator Fund</v>
      </c>
      <c r="I4" s="320" t="str">
        <f>HLOOKUP('Investor Persona'!$E$4, 'Investor Profile'!$I$19:$L$23,I$2,FALSE)</f>
        <v>Ultra Short Duration Fund ,Low Duration Fund</v>
      </c>
    </row>
    <row r="5" spans="2:9" x14ac:dyDescent="0.25">
      <c r="B5" s="133" t="s">
        <v>970</v>
      </c>
      <c r="C5" s="160" t="s">
        <v>979</v>
      </c>
      <c r="D5" s="132">
        <f>VLOOKUP($C5, 'Investor Profile'!$D$5:$E$14,2,FALSE)</f>
        <v>2</v>
      </c>
      <c r="E5" s="420" t="str">
        <f>IF(SUM($D$5:$D$7)&lt;5,"Limited Resources",IF(SUM($D$5:$D$7)&lt;=8,"Stable Financials",IF(SUM($D$5:$D$7)&lt;=12,"Affluent",IF(SUM($D$5:$D$7)&gt;=13,"HNI/UHNI",""))))</f>
        <v>Stable Financials</v>
      </c>
      <c r="F5" s="417" t="str">
        <f>HLOOKUP('Investor Persona'!$E$5, 'Investor Profile'!$I$24:$L$28,F$2,FALSE)</f>
        <v>Lumpsum/SIP</v>
      </c>
      <c r="G5" s="417" t="str">
        <f>HLOOKUP('Investor Persona'!$E$5, 'Investor Profile'!$I$24:$L$28,G$2,FALSE)</f>
        <v>50:50</v>
      </c>
      <c r="H5" s="417" t="str">
        <f>HLOOKUP('Investor Persona'!$E$5, 'Investor Profile'!$I$24:$L$28,H$2,FALSE)</f>
        <v>Large Cap Fund, Large &amp; Mid Cap Funds, Flexicap fund, Balanced Fund, Asset Allocator Fund</v>
      </c>
      <c r="I5" s="412" t="str">
        <f>HLOOKUP('Investor Persona'!$E$5, 'Investor Profile'!$I$24:$L$28,I$2,FALSE)</f>
        <v>Ultra Short Duration Fund ,Low Duration Fund ,Short Duration Fund</v>
      </c>
    </row>
    <row r="6" spans="2:9" x14ac:dyDescent="0.25">
      <c r="B6" s="133" t="s">
        <v>993</v>
      </c>
      <c r="C6" s="160" t="s">
        <v>981</v>
      </c>
      <c r="D6" s="132">
        <f>VLOOKUP($C6, 'Investor Profile'!$D$15:$E$19,2,FALSE)</f>
        <v>3</v>
      </c>
      <c r="E6" s="421"/>
      <c r="F6" s="418"/>
      <c r="G6" s="418"/>
      <c r="H6" s="418"/>
      <c r="I6" s="413"/>
    </row>
    <row r="7" spans="2:9" x14ac:dyDescent="0.25">
      <c r="B7" s="133" t="s">
        <v>996</v>
      </c>
      <c r="C7" s="160" t="s">
        <v>997</v>
      </c>
      <c r="D7" s="132">
        <f>VLOOKUP($C7, 'Investor Profile'!$D$20:$E$24,2,FALSE)</f>
        <v>1</v>
      </c>
      <c r="E7" s="422"/>
      <c r="F7" s="419"/>
      <c r="G7" s="419"/>
      <c r="H7" s="419"/>
      <c r="I7" s="414"/>
    </row>
    <row r="8" spans="2:9" ht="29.1" customHeight="1" x14ac:dyDescent="0.25">
      <c r="B8" s="133" t="s">
        <v>1013</v>
      </c>
      <c r="C8" s="160" t="s">
        <v>969</v>
      </c>
      <c r="D8" s="132">
        <f>VLOOKUP($C8, 'Investor Profile'!$D$26:$E$33,2,FALSE)</f>
        <v>4</v>
      </c>
      <c r="E8" s="323" t="str">
        <f t="array" ref="E8">_xlfn.IFS(D8='Investor Profile'!I9,'Investor Profile'!I8, D8='Investor Profile'!J9, 'Investor Profile'!J8, D8='Investor Profile'!K9, 'Investor Profile'!K8, D8='Investor Profile'!L9, 'Investor Profile'!L8)</f>
        <v>Aggressive Growth</v>
      </c>
      <c r="F8" s="322" t="str">
        <f>HLOOKUP('Investor Persona'!$E$8, 'Investor Profile'!$I$29:$L$33,F$2,FALSE)</f>
        <v>SIP</v>
      </c>
      <c r="G8" s="322" t="str">
        <f>HLOOKUP('Investor Persona'!$E$8, 'Investor Profile'!$I$29:$L$33,G$2,FALSE)</f>
        <v>80:20</v>
      </c>
      <c r="H8" s="322" t="str">
        <f>HLOOKUP('Investor Persona'!$E$8, 'Investor Profile'!$I$29:$L$33,H$2,FALSE)</f>
        <v>Small Cap, Midcap</v>
      </c>
      <c r="I8" s="320" t="str">
        <f>HLOOKUP('Investor Persona'!$E$8, 'Investor Profile'!$I$29:$L$33,I$2,FALSE)</f>
        <v>Medium Duration Fund ,Short Duration Fund ,Medium to Long Duration Fund</v>
      </c>
    </row>
    <row r="9" spans="2:9" ht="29.1" customHeight="1" x14ac:dyDescent="0.25">
      <c r="B9" s="133" t="s">
        <v>1016</v>
      </c>
      <c r="C9" s="160" t="s">
        <v>1017</v>
      </c>
      <c r="D9" s="132">
        <f>VLOOKUP($C9, 'Investor Profile'!$D$26:$E$33,2,FALSE)</f>
        <v>1</v>
      </c>
      <c r="E9" s="323" t="str">
        <f t="array" ref="E9">_xlfn.IFS(D9='Investor Profile'!I11,'Investor Profile'!I10, D9='Investor Profile'!J11, 'Investor Profile'!J10, D9='Investor Profile'!K11, 'Investor Profile'!K10, D9='Investor Profile'!L11, 'Investor Profile'!L10)</f>
        <v>Short Term</v>
      </c>
      <c r="F9" s="322" t="str">
        <f>HLOOKUP('Investor Persona'!$E$9, 'Investor Profile'!$I$34:$L$38,F$2,FALSE)</f>
        <v>Lumpsum</v>
      </c>
      <c r="G9" s="322" t="str">
        <f>HLOOKUP('Investor Persona'!$E$9, 'Investor Profile'!$I$34:$L$38,G$2,FALSE)</f>
        <v>80:20</v>
      </c>
      <c r="H9" s="322" t="str">
        <f>HLOOKUP('Investor Persona'!$E$9, 'Investor Profile'!$I$34:$L$38,H$2,FALSE)</f>
        <v>Small Cap, Midcap</v>
      </c>
      <c r="I9" s="320" t="str">
        <f>HLOOKUP('Investor Persona'!$E$9, 'Investor Profile'!$I$34:$L$38,I$2,FALSE)</f>
        <v>Ultra Short Duration Fund ,Low Duration Fund</v>
      </c>
    </row>
    <row r="10" spans="2:9" ht="43.5" customHeight="1" x14ac:dyDescent="0.25">
      <c r="B10" s="133" t="s">
        <v>1023</v>
      </c>
      <c r="C10" s="160" t="s">
        <v>1025</v>
      </c>
      <c r="D10" s="132">
        <f>VLOOKUP($C10,'Investor Profile'!$D$35:$E$36,2,FALSE)</f>
        <v>1</v>
      </c>
      <c r="E10" s="184" t="str">
        <f>IF(SUM($D$10:$D$10)=1,"Conservative",IF(SUM($D$10:$D$10)=2,"Aggressive",""))</f>
        <v>Conservative</v>
      </c>
      <c r="F10" s="322" t="str">
        <f>HLOOKUP('Investor Persona'!$E$10,'Investor Profile'!$I$39:$J$43,F$2,FALSE)</f>
        <v>Lumpsum</v>
      </c>
      <c r="G10" s="322" t="str">
        <f>HLOOKUP('Investor Persona'!$E$10,'Investor Profile'!$I$39:$J$43,G$2,FALSE)</f>
        <v>20:80</v>
      </c>
      <c r="H10" s="322" t="str">
        <f>HLOOKUP('Investor Persona'!$E$10,'Investor Profile'!$I$39:$J$43,H$2,FALSE)</f>
        <v>Flexicap fund, Balanced Fund, Asset Allocator FundLarge Cap Fund, Large &amp; Mid Cap Funds</v>
      </c>
      <c r="I10" s="320" t="str">
        <f>HLOOKUP('Investor Persona'!$E$10,'Investor Profile'!$I$39:$J$43,I$2,FALSE)</f>
        <v>Medium Duration Fund ,Short Duration Fund ,Medium to Long Duration Fund</v>
      </c>
    </row>
    <row r="11" spans="2:9" x14ac:dyDescent="0.25">
      <c r="B11" s="133" t="s">
        <v>1026</v>
      </c>
      <c r="C11" s="160" t="s">
        <v>1029</v>
      </c>
      <c r="D11" s="132">
        <f>VLOOKUP($C11, 'Investor Profile'!$D$38:$E$43,2,FALSE)</f>
        <v>3</v>
      </c>
      <c r="E11" s="420" t="str">
        <f t="array" ref="E11">_xlfn.IFS(SUM($D$11:$D$12)='Investor Profile'!I15,'Investor Profile'!I14, SUM($D$11:$D$12)='Investor Profile'!J15, 'Investor Profile'!J14, SUM($D$11:$D$12)='Investor Profile'!K15, 'Investor Profile'!K14, SUM($D$11:$D$12)='Investor Profile'!L15, 'Investor Profile'!L14, SUM($D$11:$D$12)=6, 'Investor Profile'!L14)</f>
        <v>Advanced Knowledge</v>
      </c>
      <c r="F11" s="415" t="str">
        <f>HLOOKUP('Investor Persona'!$E$11,'Investor Profile'!$I$44:$L$48,F$2,FALSE)</f>
        <v>Lumpsum/SIP</v>
      </c>
      <c r="G11" s="415" t="str">
        <f>HLOOKUP('Investor Persona'!$E$11,'Investor Profile'!$I$44:$L$48,G$2,FALSE)</f>
        <v>80:20</v>
      </c>
      <c r="H11" s="415" t="str">
        <f>HLOOKUP('Investor Persona'!$E$11,'Investor Profile'!$I$44:$L$48,H$2,FALSE)</f>
        <v>Small Cap, Midcap, Flexicap fund, Balanced Fund, Asset Allocator Fund</v>
      </c>
      <c r="I11" s="423" t="str">
        <f>HLOOKUP('Investor Persona'!$E$11,'Investor Profile'!$I$44:$L$48,I$2,FALSE)</f>
        <v>Medium Duration Fund ,Short Duration Fund ,Medium to Long Duration Fund</v>
      </c>
    </row>
    <row r="12" spans="2:9" ht="15" customHeight="1" thickBot="1" x14ac:dyDescent="0.3">
      <c r="B12" s="134" t="s">
        <v>1030</v>
      </c>
      <c r="C12" s="188" t="s">
        <v>1033</v>
      </c>
      <c r="D12" s="141">
        <f>VLOOKUP($C12, 'Investor Profile'!$D$38:$E$43,2,FALSE)</f>
        <v>3</v>
      </c>
      <c r="E12" s="422"/>
      <c r="F12" s="416"/>
      <c r="G12" s="416"/>
      <c r="H12" s="416"/>
      <c r="I12" s="424"/>
    </row>
    <row r="14" spans="2:9" hidden="1" x14ac:dyDescent="0.25">
      <c r="B14" s="25" t="s">
        <v>1039</v>
      </c>
    </row>
    <row r="15" spans="2:9" hidden="1" x14ac:dyDescent="0.25">
      <c r="B15" s="25" t="s">
        <v>1040</v>
      </c>
      <c r="C15" s="115">
        <f>10*10^5</f>
        <v>1000000</v>
      </c>
    </row>
    <row r="16" spans="2:9" hidden="1" x14ac:dyDescent="0.25">
      <c r="B16" s="25" t="s">
        <v>1041</v>
      </c>
      <c r="C16" s="115">
        <f>20*10^5</f>
        <v>2000000</v>
      </c>
    </row>
    <row r="17" spans="2:2" x14ac:dyDescent="0.25">
      <c r="B17" s="25"/>
    </row>
  </sheetData>
  <mergeCells count="10">
    <mergeCell ref="I5:I7"/>
    <mergeCell ref="H11:H12"/>
    <mergeCell ref="G5:G7"/>
    <mergeCell ref="E5:E7"/>
    <mergeCell ref="G11:G12"/>
    <mergeCell ref="H5:H7"/>
    <mergeCell ref="F5:F7"/>
    <mergeCell ref="I11:I12"/>
    <mergeCell ref="E11:E12"/>
    <mergeCell ref="F11:F1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5"/>
  <dimension ref="B1:AC137"/>
  <sheetViews>
    <sheetView zoomScale="54" zoomScaleNormal="90" workbookViewId="0">
      <pane xSplit="2" topLeftCell="C1" activePane="topRight" state="frozen"/>
      <selection activeCell="A12" sqref="A12"/>
      <selection pane="topRight" activeCell="C1" sqref="C1"/>
    </sheetView>
  </sheetViews>
  <sheetFormatPr defaultColWidth="8.7109375" defaultRowHeight="15" x14ac:dyDescent="0.25"/>
  <cols>
    <col min="1" max="1" width="8.7109375" style="42" customWidth="1"/>
    <col min="2" max="2" width="53.42578125" style="1" customWidth="1"/>
    <col min="3" max="3" width="8.140625" style="42" customWidth="1"/>
    <col min="4" max="4" width="5" style="42" hidden="1" customWidth="1"/>
    <col min="5" max="7" width="13.140625" style="42" customWidth="1"/>
    <col min="8" max="8" width="11.7109375" style="42" customWidth="1"/>
    <col min="9" max="25" width="8.7109375" style="42" customWidth="1"/>
    <col min="26" max="26" width="8.7109375" style="146" customWidth="1"/>
    <col min="27" max="33" width="8.7109375" style="42" customWidth="1"/>
    <col min="34" max="16384" width="8.7109375" style="42"/>
  </cols>
  <sheetData>
    <row r="1" spans="2:29" x14ac:dyDescent="0.25">
      <c r="B1" s="1" t="s">
        <v>1042</v>
      </c>
    </row>
    <row r="2" spans="2:29" ht="15" customHeight="1" thickBot="1" x14ac:dyDescent="0.3">
      <c r="B2" s="1" t="s">
        <v>995</v>
      </c>
      <c r="E2" s="42">
        <v>2</v>
      </c>
      <c r="F2" s="84">
        <f t="shared" ref="F2:O2" si="0">E2+1</f>
        <v>3</v>
      </c>
      <c r="G2" s="84">
        <f t="shared" si="0"/>
        <v>4</v>
      </c>
      <c r="H2" s="84">
        <f t="shared" si="0"/>
        <v>5</v>
      </c>
      <c r="I2" s="84">
        <f t="shared" si="0"/>
        <v>6</v>
      </c>
      <c r="J2" s="84">
        <f t="shared" si="0"/>
        <v>7</v>
      </c>
      <c r="K2" s="84">
        <f t="shared" si="0"/>
        <v>8</v>
      </c>
      <c r="L2" s="84">
        <f t="shared" si="0"/>
        <v>9</v>
      </c>
      <c r="M2" s="84">
        <f t="shared" si="0"/>
        <v>10</v>
      </c>
      <c r="N2" s="84">
        <f t="shared" si="0"/>
        <v>11</v>
      </c>
      <c r="O2" s="84">
        <f t="shared" si="0"/>
        <v>12</v>
      </c>
    </row>
    <row r="3" spans="2:29" ht="15" customHeight="1" thickBot="1" x14ac:dyDescent="0.3">
      <c r="B3" s="309" t="s">
        <v>1043</v>
      </c>
      <c r="C3" s="310"/>
      <c r="D3" s="310"/>
      <c r="E3" s="310"/>
      <c r="F3" s="310"/>
      <c r="G3" s="310"/>
      <c r="H3" s="310"/>
      <c r="I3" s="310"/>
      <c r="J3" s="310"/>
      <c r="K3" s="310"/>
      <c r="L3" s="310"/>
      <c r="M3" s="310"/>
      <c r="N3" s="310"/>
      <c r="O3" s="310"/>
      <c r="P3" s="310"/>
      <c r="Q3" s="310"/>
      <c r="R3" s="310"/>
      <c r="S3" s="310"/>
      <c r="T3" s="310"/>
      <c r="U3" s="310"/>
      <c r="V3" s="310"/>
      <c r="W3" s="310"/>
      <c r="X3" s="310"/>
      <c r="Y3" s="310"/>
      <c r="Z3" s="311"/>
    </row>
    <row r="4" spans="2:29" ht="15" customHeight="1" thickBot="1" x14ac:dyDescent="0.3">
      <c r="B4" s="147"/>
      <c r="C4" s="148"/>
      <c r="D4" s="190"/>
      <c r="E4" s="425" t="s">
        <v>1044</v>
      </c>
      <c r="F4" s="426"/>
      <c r="G4" s="426"/>
      <c r="H4" s="426"/>
      <c r="I4" s="426"/>
      <c r="J4" s="426"/>
      <c r="K4" s="426"/>
      <c r="L4" s="426"/>
      <c r="M4" s="425" t="s">
        <v>1045</v>
      </c>
      <c r="N4" s="426"/>
      <c r="O4" s="426"/>
      <c r="P4" s="426"/>
      <c r="Q4" s="426"/>
      <c r="R4" s="426"/>
      <c r="S4" s="426"/>
      <c r="T4" s="426"/>
      <c r="U4" s="308"/>
      <c r="V4" s="308"/>
      <c r="W4" s="308"/>
      <c r="X4" s="308"/>
      <c r="Y4" s="308"/>
    </row>
    <row r="5" spans="2:29" ht="29.1" customHeight="1" x14ac:dyDescent="0.25">
      <c r="B5" s="116" t="s">
        <v>44</v>
      </c>
      <c r="C5" s="114" t="s">
        <v>927</v>
      </c>
      <c r="D5" s="114"/>
      <c r="E5" s="113" t="s">
        <v>45</v>
      </c>
      <c r="F5" s="113" t="s">
        <v>47</v>
      </c>
      <c r="G5" s="113" t="s">
        <v>48</v>
      </c>
      <c r="H5" s="113" t="s">
        <v>1046</v>
      </c>
      <c r="I5" s="113" t="s">
        <v>38</v>
      </c>
      <c r="J5" s="113" t="s">
        <v>40</v>
      </c>
      <c r="K5" s="138" t="s">
        <v>52</v>
      </c>
      <c r="L5" s="113" t="s">
        <v>1047</v>
      </c>
      <c r="M5" s="124" t="str">
        <f>F5</f>
        <v>3 Yr Ret (%)</v>
      </c>
      <c r="N5" s="124" t="str">
        <f>G5</f>
        <v>5 Yr Ret (%)</v>
      </c>
      <c r="O5" s="124" t="str">
        <f>H5</f>
        <v>10 Yr Ret (%)</v>
      </c>
      <c r="P5" s="123" t="s">
        <v>38</v>
      </c>
      <c r="Q5" s="123" t="s">
        <v>40</v>
      </c>
      <c r="R5" s="121" t="s">
        <v>52</v>
      </c>
      <c r="S5" s="122" t="s">
        <v>1047</v>
      </c>
      <c r="T5" s="326" t="s">
        <v>1048</v>
      </c>
      <c r="Z5" s="42"/>
    </row>
    <row r="6" spans="2:29" x14ac:dyDescent="0.25">
      <c r="B6" s="117" t="s">
        <v>1049</v>
      </c>
      <c r="C6" s="125">
        <f t="shared" ref="C6:C12" si="1">RANK(T6,$T$6:$T$12,0)</f>
        <v>6</v>
      </c>
      <c r="D6" s="191" t="str">
        <f t="shared" ref="D6:D12" si="2">B6</f>
        <v>Aditya Birla Sun Life Large Cap Fund - Reg - Growth</v>
      </c>
      <c r="E6" s="248">
        <v>-2.8123999999999998</v>
      </c>
      <c r="F6" s="248">
        <v>11.6348</v>
      </c>
      <c r="G6" s="248">
        <v>10.9438</v>
      </c>
      <c r="H6" s="248">
        <v>12.013400000000001</v>
      </c>
      <c r="I6" s="248">
        <v>4.8924461981938297E-2</v>
      </c>
      <c r="J6" s="248">
        <v>3.0643245290050199E-2</v>
      </c>
      <c r="K6" s="248">
        <v>0.96623818538752204</v>
      </c>
      <c r="L6" s="248">
        <v>12.0100875971006</v>
      </c>
      <c r="M6" s="149">
        <f t="shared" ref="M6:Q12" si="3">(F6-MIN(F$6:F$12))/(MAX(F$6:F$12)-MIN(F$6:F$12))</f>
        <v>0.46678564719143339</v>
      </c>
      <c r="N6" s="142">
        <f t="shared" si="3"/>
        <v>0.37121299889938014</v>
      </c>
      <c r="O6" s="142">
        <f t="shared" si="3"/>
        <v>0.18590347078390804</v>
      </c>
      <c r="P6" s="142">
        <f t="shared" si="3"/>
        <v>0.44332784032104544</v>
      </c>
      <c r="Q6" s="142">
        <f t="shared" si="3"/>
        <v>0.43900095781712101</v>
      </c>
      <c r="R6" s="142">
        <f t="shared" ref="R6:S12" si="4">(MAX(K$6:K$12)-K6)/(MAX(K$6:K$12)-MIN(K$6:K$12))</f>
        <v>0.43570667413346248</v>
      </c>
      <c r="S6" s="150">
        <f t="shared" si="4"/>
        <v>0.32532267991089586</v>
      </c>
      <c r="T6" s="143">
        <f>(M6*'Fund Ranking Criteria'!$C$9)+('Fund Ranking_Equity'!N6*'Fund Ranking Criteria'!$C$10)+('Fund Ranking_Equity'!O6*'Fund Ranking Criteria'!$C$11)+('Fund Ranking_Equity'!P6*'Fund Ranking Criteria'!$C$16)+('Fund Ranking_Equity'!Q6*'Fund Ranking Criteria'!$C$12)+('Fund Ranking_Equity'!R6*'Fund Ranking Criteria'!$C$14)+('Fund Ranking_Equity'!S6*'Fund Ranking Criteria'!$C$15)</f>
        <v>0.37286782576659594</v>
      </c>
      <c r="Z6" s="42">
        <v>1</v>
      </c>
      <c r="AA6" s="42">
        <v>21</v>
      </c>
      <c r="AB6" s="149">
        <f t="shared" ref="AB6:AC10" si="5">(Z6-MIN(Z$6:Z$10))/(MAX(Z$6:Z$10)-MIN(R$6:R$12))</f>
        <v>0</v>
      </c>
      <c r="AC6" s="149">
        <f t="shared" si="5"/>
        <v>0</v>
      </c>
    </row>
    <row r="7" spans="2:29" x14ac:dyDescent="0.25">
      <c r="B7" s="117" t="s">
        <v>1050</v>
      </c>
      <c r="C7" s="125">
        <f t="shared" si="1"/>
        <v>3</v>
      </c>
      <c r="D7" s="191" t="str">
        <f t="shared" si="2"/>
        <v>HDFC Large Cap Fund - Growth</v>
      </c>
      <c r="E7" s="248">
        <v>-1.4151</v>
      </c>
      <c r="F7" s="248">
        <v>11.7689</v>
      </c>
      <c r="G7" s="248">
        <v>12.3157</v>
      </c>
      <c r="H7" s="248">
        <v>12.9849</v>
      </c>
      <c r="I7" s="249">
        <v>4.9551435147476099E-2</v>
      </c>
      <c r="J7" s="249">
        <v>4.1987009464588998E-2</v>
      </c>
      <c r="K7" s="249">
        <v>0.95515409915681804</v>
      </c>
      <c r="L7" s="249">
        <v>11.9581183002097</v>
      </c>
      <c r="M7" s="149">
        <f t="shared" si="3"/>
        <v>0.49197820777756907</v>
      </c>
      <c r="N7" s="142">
        <f t="shared" si="3"/>
        <v>0.56988935874413482</v>
      </c>
      <c r="O7" s="142">
        <f t="shared" si="3"/>
        <v>0.49077386556204111</v>
      </c>
      <c r="P7" s="142">
        <f t="shared" si="3"/>
        <v>0.46313028708920384</v>
      </c>
      <c r="Q7" s="142">
        <f t="shared" si="3"/>
        <v>0.46981947015537484</v>
      </c>
      <c r="R7" s="142">
        <f t="shared" si="4"/>
        <v>0.53706629162731534</v>
      </c>
      <c r="S7" s="150">
        <f t="shared" si="4"/>
        <v>0.36329769031924075</v>
      </c>
      <c r="T7" s="143">
        <f>(M7*'Fund Ranking Criteria'!$C$9)+('Fund Ranking_Equity'!N7*'Fund Ranking Criteria'!$C$10)+('Fund Ranking_Equity'!O7*'Fund Ranking Criteria'!$C$11)+('Fund Ranking_Equity'!P7*'Fund Ranking Criteria'!$C$16)+('Fund Ranking_Equity'!Q7*'Fund Ranking Criteria'!$C$12)+('Fund Ranking_Equity'!R7*'Fund Ranking Criteria'!$C$14)+('Fund Ranking_Equity'!S7*'Fund Ranking Criteria'!$C$15)</f>
        <v>0.48728770695000129</v>
      </c>
      <c r="Z7" s="42">
        <v>2</v>
      </c>
      <c r="AA7" s="42">
        <v>22</v>
      </c>
      <c r="AB7" s="149">
        <f t="shared" si="5"/>
        <v>0.2</v>
      </c>
      <c r="AC7" s="149">
        <f t="shared" si="5"/>
        <v>0.04</v>
      </c>
    </row>
    <row r="8" spans="2:29" x14ac:dyDescent="0.25">
      <c r="B8" s="117" t="s">
        <v>1051</v>
      </c>
      <c r="C8" s="125">
        <f t="shared" si="1"/>
        <v>1</v>
      </c>
      <c r="D8" s="191" t="str">
        <f t="shared" si="2"/>
        <v>ICICI Prudential Large Cap Fund - Growth</v>
      </c>
      <c r="E8" s="248">
        <v>-1.3134999999999999</v>
      </c>
      <c r="F8" s="248">
        <v>14.1004</v>
      </c>
      <c r="G8" s="248">
        <v>13.3423</v>
      </c>
      <c r="H8" s="248">
        <v>13.9659</v>
      </c>
      <c r="I8" s="249">
        <v>6.6549481263994306E-2</v>
      </c>
      <c r="J8" s="249">
        <v>0.23713734100814701</v>
      </c>
      <c r="K8" s="249">
        <v>0.91139177296386997</v>
      </c>
      <c r="L8" s="249">
        <v>11.4571511037396</v>
      </c>
      <c r="M8" s="149">
        <f t="shared" si="3"/>
        <v>0.92998309224121734</v>
      </c>
      <c r="N8" s="142">
        <f t="shared" si="3"/>
        <v>0.71855992585298034</v>
      </c>
      <c r="O8" s="142">
        <f t="shared" si="3"/>
        <v>0.79862549425720197</v>
      </c>
      <c r="P8" s="142">
        <f t="shared" si="3"/>
        <v>1</v>
      </c>
      <c r="Q8" s="142">
        <f t="shared" si="3"/>
        <v>1</v>
      </c>
      <c r="R8" s="142">
        <f t="shared" si="4"/>
        <v>0.93725558565058109</v>
      </c>
      <c r="S8" s="150">
        <f t="shared" si="4"/>
        <v>0.72936449588193619</v>
      </c>
      <c r="T8" s="143">
        <f>(M8*'Fund Ranking Criteria'!$C$9)+('Fund Ranking_Equity'!N8*'Fund Ranking Criteria'!$C$10)+('Fund Ranking_Equity'!O8*'Fund Ranking Criteria'!$C$11)+('Fund Ranking_Equity'!P8*'Fund Ranking Criteria'!$C$16)+('Fund Ranking_Equity'!Q8*'Fund Ranking Criteria'!$C$12)+('Fund Ranking_Equity'!R8*'Fund Ranking Criteria'!$C$14)+('Fund Ranking_Equity'!S8*'Fund Ranking Criteria'!$C$15)</f>
        <v>0.88550390306844806</v>
      </c>
      <c r="Z8" s="42">
        <v>3</v>
      </c>
      <c r="AA8" s="42">
        <v>23</v>
      </c>
      <c r="AB8" s="149">
        <f t="shared" si="5"/>
        <v>0.4</v>
      </c>
      <c r="AC8" s="149">
        <f t="shared" si="5"/>
        <v>0.08</v>
      </c>
    </row>
    <row r="9" spans="2:29" x14ac:dyDescent="0.25">
      <c r="B9" s="117" t="s">
        <v>1052</v>
      </c>
      <c r="C9" s="125">
        <f t="shared" si="1"/>
        <v>5</v>
      </c>
      <c r="D9" s="191" t="str">
        <f t="shared" si="2"/>
        <v>Kotak Large Cap Fund - Reg - Growth</v>
      </c>
      <c r="E9" s="248">
        <v>-1.5456000000000001</v>
      </c>
      <c r="F9" s="248">
        <v>11.962899999999999</v>
      </c>
      <c r="G9" s="248">
        <v>10.503500000000001</v>
      </c>
      <c r="H9" s="248">
        <v>12.403</v>
      </c>
      <c r="I9" s="249">
        <v>4.9790441661809799E-2</v>
      </c>
      <c r="J9" s="249">
        <v>4.1865449522766801E-2</v>
      </c>
      <c r="K9" s="249">
        <v>0.95976024984765995</v>
      </c>
      <c r="L9" s="249">
        <v>11.9515985121512</v>
      </c>
      <c r="M9" s="149">
        <f t="shared" si="3"/>
        <v>0.52842382115348474</v>
      </c>
      <c r="N9" s="142">
        <f t="shared" si="3"/>
        <v>0.30744945837919263</v>
      </c>
      <c r="O9" s="142">
        <f t="shared" si="3"/>
        <v>0.3081654427916905</v>
      </c>
      <c r="P9" s="142">
        <f t="shared" si="3"/>
        <v>0.47067911698733256</v>
      </c>
      <c r="Q9" s="142">
        <f t="shared" si="3"/>
        <v>0.46948921852908543</v>
      </c>
      <c r="R9" s="142">
        <f t="shared" si="4"/>
        <v>0.49494485171560793</v>
      </c>
      <c r="S9" s="150">
        <f t="shared" si="4"/>
        <v>0.36806183057500519</v>
      </c>
      <c r="T9" s="143">
        <f>(M9*'Fund Ranking Criteria'!$C$9)+('Fund Ranking_Equity'!N9*'Fund Ranking Criteria'!$C$10)+('Fund Ranking_Equity'!O9*'Fund Ranking Criteria'!$C$11)+('Fund Ranking_Equity'!P9*'Fund Ranking Criteria'!$C$16)+('Fund Ranking_Equity'!Q9*'Fund Ranking Criteria'!$C$12)+('Fund Ranking_Equity'!R9*'Fund Ranking Criteria'!$C$14)+('Fund Ranking_Equity'!S9*'Fund Ranking Criteria'!$C$15)</f>
        <v>0.41329256278273269</v>
      </c>
      <c r="Z9" s="42">
        <v>4</v>
      </c>
      <c r="AA9" s="42">
        <v>24</v>
      </c>
      <c r="AB9" s="149">
        <f t="shared" si="5"/>
        <v>0.6</v>
      </c>
      <c r="AC9" s="149">
        <f t="shared" si="5"/>
        <v>0.12</v>
      </c>
    </row>
    <row r="10" spans="2:29" x14ac:dyDescent="0.25">
      <c r="B10" s="117" t="s">
        <v>1053</v>
      </c>
      <c r="C10" s="125">
        <f t="shared" si="1"/>
        <v>2</v>
      </c>
      <c r="D10" s="191" t="str">
        <f t="shared" si="2"/>
        <v>Nippon India Large Cap Fund - Reg - Growth</v>
      </c>
      <c r="E10" s="248">
        <v>-0.307</v>
      </c>
      <c r="F10" s="248">
        <v>14.473100000000001</v>
      </c>
      <c r="G10" s="248">
        <v>15.2857</v>
      </c>
      <c r="H10" s="248">
        <v>14.6076</v>
      </c>
      <c r="I10" s="249">
        <v>6.4686721304376998E-2</v>
      </c>
      <c r="J10" s="249">
        <v>0.22535728919894699</v>
      </c>
      <c r="K10" s="249">
        <v>1.0138844814845001</v>
      </c>
      <c r="L10" s="249">
        <v>12.4552959263633</v>
      </c>
      <c r="M10" s="149">
        <f t="shared" si="3"/>
        <v>1</v>
      </c>
      <c r="N10" s="142">
        <f t="shared" si="3"/>
        <v>1</v>
      </c>
      <c r="O10" s="142">
        <f t="shared" si="3"/>
        <v>1</v>
      </c>
      <c r="P10" s="142">
        <f t="shared" si="3"/>
        <v>0.94116621417036628</v>
      </c>
      <c r="Q10" s="142">
        <f t="shared" si="3"/>
        <v>0.96799619011456917</v>
      </c>
      <c r="R10" s="142">
        <f t="shared" si="4"/>
        <v>0</v>
      </c>
      <c r="S10" s="150">
        <f t="shared" si="4"/>
        <v>0</v>
      </c>
      <c r="T10" s="143">
        <f>(M10*'Fund Ranking Criteria'!$C$9)+('Fund Ranking_Equity'!N10*'Fund Ranking Criteria'!$C$10)+('Fund Ranking_Equity'!O10*'Fund Ranking Criteria'!$C$11)+('Fund Ranking_Equity'!P10*'Fund Ranking Criteria'!$C$16)+('Fund Ranking_Equity'!Q10*'Fund Ranking Criteria'!$C$12)+('Fund Ranking_Equity'!R10*'Fund Ranking Criteria'!$C$14)+('Fund Ranking_Equity'!S10*'Fund Ranking Criteria'!$C$15)</f>
        <v>0.83317397965419726</v>
      </c>
      <c r="Z10" s="42">
        <v>5</v>
      </c>
      <c r="AA10" s="42">
        <v>25</v>
      </c>
      <c r="AB10" s="149">
        <f t="shared" si="5"/>
        <v>0.8</v>
      </c>
      <c r="AC10" s="149">
        <f t="shared" si="5"/>
        <v>0.16</v>
      </c>
    </row>
    <row r="11" spans="2:29" x14ac:dyDescent="0.25">
      <c r="B11" s="117" t="s">
        <v>1054</v>
      </c>
      <c r="C11" s="125">
        <f t="shared" si="1"/>
        <v>4</v>
      </c>
      <c r="D11" s="191" t="str">
        <f t="shared" si="2"/>
        <v>SBI Large Cap Fund - Growth</v>
      </c>
      <c r="E11" s="248">
        <v>2.4117999999999999</v>
      </c>
      <c r="F11" s="248">
        <v>11.4161</v>
      </c>
      <c r="G11" s="248">
        <v>11.3596</v>
      </c>
      <c r="H11" s="248">
        <v>12.3132</v>
      </c>
      <c r="I11" s="249">
        <v>4.9652177434587899E-2</v>
      </c>
      <c r="J11" s="249">
        <v>3.5154331622678302E-2</v>
      </c>
      <c r="K11" s="249">
        <v>0.92649677563924004</v>
      </c>
      <c r="L11" s="249">
        <v>11.388617446808</v>
      </c>
      <c r="M11" s="149">
        <f t="shared" si="3"/>
        <v>0.42569979334961483</v>
      </c>
      <c r="N11" s="142">
        <f t="shared" si="3"/>
        <v>0.43142848867520134</v>
      </c>
      <c r="O11" s="142">
        <f t="shared" si="3"/>
        <v>0.27998493692336679</v>
      </c>
      <c r="P11" s="142">
        <f t="shared" si="3"/>
        <v>0.46631215178053037</v>
      </c>
      <c r="Q11" s="142">
        <f t="shared" si="3"/>
        <v>0.45125658722389861</v>
      </c>
      <c r="R11" s="142">
        <f t="shared" si="4"/>
        <v>0.79912626569112311</v>
      </c>
      <c r="S11" s="150">
        <f t="shared" si="4"/>
        <v>0.77944341730284716</v>
      </c>
      <c r="T11" s="143">
        <f>(M11*'Fund Ranking Criteria'!$C$9)+('Fund Ranking_Equity'!N11*'Fund Ranking Criteria'!$C$10)+('Fund Ranking_Equity'!O11*'Fund Ranking Criteria'!$C$11)+('Fund Ranking_Equity'!P11*'Fund Ranking Criteria'!$C$16)+('Fund Ranking_Equity'!Q11*'Fund Ranking Criteria'!$C$12)+('Fund Ranking_Equity'!R11*'Fund Ranking Criteria'!$C$14)+('Fund Ranking_Equity'!S11*'Fund Ranking Criteria'!$C$15)</f>
        <v>0.46443493581851703</v>
      </c>
      <c r="Z11" s="42"/>
    </row>
    <row r="12" spans="2:29" ht="15" customHeight="1" thickBot="1" x14ac:dyDescent="0.3">
      <c r="B12" s="118" t="s">
        <v>1055</v>
      </c>
      <c r="C12" s="126">
        <f t="shared" si="1"/>
        <v>7</v>
      </c>
      <c r="D12" s="191" t="str">
        <f t="shared" si="2"/>
        <v>UTI Large Cap Fund - Growth</v>
      </c>
      <c r="E12" s="251">
        <v>-4.5616000000000003</v>
      </c>
      <c r="F12" s="251">
        <v>9.1501000000000001</v>
      </c>
      <c r="G12" s="251">
        <v>8.3804999999999996</v>
      </c>
      <c r="H12" s="251">
        <v>11.420999999999999</v>
      </c>
      <c r="I12" s="250">
        <v>3.4888082403629603E-2</v>
      </c>
      <c r="J12" s="250">
        <v>-0.13094545448935799</v>
      </c>
      <c r="K12" s="250">
        <v>0.90453041617958496</v>
      </c>
      <c r="L12" s="250">
        <v>11.0867828876024</v>
      </c>
      <c r="M12" s="151">
        <f t="shared" si="3"/>
        <v>0</v>
      </c>
      <c r="N12" s="144">
        <f t="shared" si="3"/>
        <v>0</v>
      </c>
      <c r="O12" s="144">
        <f t="shared" si="3"/>
        <v>0</v>
      </c>
      <c r="P12" s="144">
        <f t="shared" si="3"/>
        <v>0</v>
      </c>
      <c r="Q12" s="144">
        <f t="shared" si="3"/>
        <v>0</v>
      </c>
      <c r="R12" s="144">
        <f t="shared" si="4"/>
        <v>1</v>
      </c>
      <c r="S12" s="152">
        <f t="shared" si="4"/>
        <v>1</v>
      </c>
      <c r="T12" s="145">
        <f>(M12*'Fund Ranking Criteria'!$C$9)+('Fund Ranking_Equity'!N12*'Fund Ranking Criteria'!$C$10)+('Fund Ranking_Equity'!O12*'Fund Ranking Criteria'!$C$11)+('Fund Ranking_Equity'!P12*'Fund Ranking Criteria'!$C$16)+('Fund Ranking_Equity'!Q12*'Fund Ranking Criteria'!$C$12)+('Fund Ranking_Equity'!R12*'Fund Ranking Criteria'!$C$14)+('Fund Ranking_Equity'!S12*'Fund Ranking Criteria'!$C$15)</f>
        <v>0.15</v>
      </c>
      <c r="Z12" s="42"/>
    </row>
    <row r="13" spans="2:29" ht="15" customHeight="1" thickBot="1" x14ac:dyDescent="0.3"/>
    <row r="14" spans="2:29" ht="15" customHeight="1" thickBot="1" x14ac:dyDescent="0.3">
      <c r="B14" s="309" t="s">
        <v>1056</v>
      </c>
      <c r="C14" s="310"/>
      <c r="D14" s="310"/>
      <c r="E14" s="310"/>
      <c r="F14" s="310"/>
      <c r="G14" s="310"/>
      <c r="H14" s="310"/>
      <c r="I14" s="310"/>
      <c r="J14" s="310"/>
      <c r="K14" s="310"/>
      <c r="L14" s="310"/>
      <c r="M14" s="310"/>
      <c r="N14" s="310"/>
      <c r="O14" s="310"/>
      <c r="P14" s="310"/>
      <c r="Q14" s="310"/>
      <c r="R14" s="310"/>
      <c r="S14" s="310"/>
      <c r="T14" s="310"/>
      <c r="U14" s="310"/>
      <c r="V14" s="310"/>
      <c r="W14" s="310"/>
      <c r="X14" s="310"/>
      <c r="Y14" s="310"/>
      <c r="Z14" s="311"/>
    </row>
    <row r="15" spans="2:29" ht="15" customHeight="1" thickBot="1" x14ac:dyDescent="0.3">
      <c r="B15" s="147"/>
      <c r="C15" s="148"/>
      <c r="D15" s="190"/>
      <c r="E15" s="425" t="s">
        <v>1044</v>
      </c>
      <c r="F15" s="426"/>
      <c r="G15" s="426"/>
      <c r="H15" s="426"/>
      <c r="I15" s="426"/>
      <c r="J15" s="426"/>
      <c r="K15" s="426"/>
      <c r="L15" s="426"/>
      <c r="M15" s="425" t="s">
        <v>1045</v>
      </c>
      <c r="N15" s="426"/>
      <c r="O15" s="426"/>
      <c r="P15" s="426"/>
      <c r="Q15" s="426"/>
      <c r="R15" s="426"/>
      <c r="S15" s="426"/>
      <c r="T15" s="426"/>
      <c r="U15" s="308"/>
      <c r="V15" s="308"/>
      <c r="W15" s="308"/>
      <c r="X15" s="308"/>
      <c r="Y15" s="308"/>
    </row>
    <row r="16" spans="2:29" ht="29.1" customHeight="1" x14ac:dyDescent="0.25">
      <c r="B16" s="129" t="s">
        <v>44</v>
      </c>
      <c r="C16" s="127" t="s">
        <v>927</v>
      </c>
      <c r="D16" s="127"/>
      <c r="E16" s="113" t="s">
        <v>45</v>
      </c>
      <c r="F16" s="128" t="s">
        <v>47</v>
      </c>
      <c r="G16" s="128" t="s">
        <v>48</v>
      </c>
      <c r="H16" s="128" t="s">
        <v>1046</v>
      </c>
      <c r="I16" s="128" t="s">
        <v>38</v>
      </c>
      <c r="J16" s="128" t="s">
        <v>40</v>
      </c>
      <c r="K16" s="128" t="s">
        <v>52</v>
      </c>
      <c r="L16" s="128" t="s">
        <v>1047</v>
      </c>
      <c r="M16" s="123" t="str">
        <f>F16</f>
        <v>3 Yr Ret (%)</v>
      </c>
      <c r="N16" s="123" t="str">
        <f>G16</f>
        <v>5 Yr Ret (%)</v>
      </c>
      <c r="O16" s="123" t="str">
        <f>H16</f>
        <v>10 Yr Ret (%)</v>
      </c>
      <c r="P16" s="123" t="s">
        <v>38</v>
      </c>
      <c r="Q16" s="123" t="s">
        <v>40</v>
      </c>
      <c r="R16" s="121" t="s">
        <v>52</v>
      </c>
      <c r="S16" s="121" t="s">
        <v>1047</v>
      </c>
      <c r="T16" s="307"/>
      <c r="Z16" s="42"/>
    </row>
    <row r="17" spans="2:26" x14ac:dyDescent="0.25">
      <c r="B17" s="119" t="s">
        <v>1057</v>
      </c>
      <c r="C17" s="125">
        <f t="shared" ref="C17:C23" si="6">RANK(T17,$T$17:$T$23,0)</f>
        <v>3</v>
      </c>
      <c r="D17" s="191" t="str">
        <f t="shared" ref="D17:D23" si="7">B17</f>
        <v>SBI Large &amp; Midcap Fund - Growth</v>
      </c>
      <c r="E17" s="248">
        <v>5.2991999999999999</v>
      </c>
      <c r="F17" s="252">
        <v>14.883599999999999</v>
      </c>
      <c r="G17" s="248">
        <v>14.418699999999999</v>
      </c>
      <c r="H17" s="248">
        <v>15.0648</v>
      </c>
      <c r="I17" s="249">
        <v>7.0991676131067202E-2</v>
      </c>
      <c r="J17" s="249">
        <v>1.28804001701605E-2</v>
      </c>
      <c r="K17" s="249">
        <v>0.84497740642628105</v>
      </c>
      <c r="L17" s="249">
        <v>11.7173753020909</v>
      </c>
      <c r="M17" s="142">
        <f t="shared" ref="M17:Q23" si="8">(F17-MIN(F$17:F$23))/(MAX(F$17:F$23)-MIN(F$17:F$23))</f>
        <v>0.28362090716767258</v>
      </c>
      <c r="N17" s="142">
        <f t="shared" si="8"/>
        <v>0.61039009013446288</v>
      </c>
      <c r="O17" s="142">
        <f t="shared" si="8"/>
        <v>0.84687706325102319</v>
      </c>
      <c r="P17" s="142">
        <f t="shared" si="8"/>
        <v>0.48278265452668429</v>
      </c>
      <c r="Q17" s="142">
        <f t="shared" si="8"/>
        <v>0.5305901960435907</v>
      </c>
      <c r="R17" s="142">
        <f t="shared" ref="R17:S23" si="9">(MAX(K$17:K$23)-K17)/(MAX(K$17:K$23)-MIN(K$17:K$23))</f>
        <v>0.96049675340956708</v>
      </c>
      <c r="S17" s="142">
        <f t="shared" si="9"/>
        <v>1</v>
      </c>
      <c r="T17" s="143">
        <f>(M17*'Fund Ranking Criteria'!$D$9)+('Fund Ranking_Equity'!N17*'Fund Ranking Criteria'!$D$10)+('Fund Ranking_Equity'!O17*'Fund Ranking Criteria'!$D$11)+('Fund Ranking_Equity'!P17*'Fund Ranking Criteria'!$D$16)+('Fund Ranking_Equity'!Q17*'Fund Ranking Criteria'!$D$12)+('Fund Ranking_Equity'!R17*'Fund Ranking Criteria'!$D$14)+('Fund Ranking_Equity'!S17*'Fund Ranking Criteria'!$D$15)</f>
        <v>0.64139822058275919</v>
      </c>
      <c r="Z17" s="42"/>
    </row>
    <row r="18" spans="2:26" x14ac:dyDescent="0.25">
      <c r="B18" s="119" t="s">
        <v>1058</v>
      </c>
      <c r="C18" s="125">
        <f t="shared" si="6"/>
        <v>5</v>
      </c>
      <c r="D18" s="191" t="str">
        <f t="shared" si="7"/>
        <v>Kotak Large &amp; Midcap Fund - Reg - Growth</v>
      </c>
      <c r="E18" s="248">
        <v>3.3961000000000001</v>
      </c>
      <c r="F18" s="252">
        <v>15.922000000000001</v>
      </c>
      <c r="G18" s="248">
        <v>14.500500000000001</v>
      </c>
      <c r="H18" s="248">
        <v>15.495699999999999</v>
      </c>
      <c r="I18" s="249">
        <v>6.9765401947531197E-2</v>
      </c>
      <c r="J18" s="249">
        <v>1.3730607660444899E-3</v>
      </c>
      <c r="K18" s="249">
        <v>0.95449090282066296</v>
      </c>
      <c r="L18" s="249">
        <v>13.4304560573048</v>
      </c>
      <c r="M18" s="142">
        <f t="shared" si="8"/>
        <v>0.485161966500398</v>
      </c>
      <c r="N18" s="142">
        <f t="shared" si="8"/>
        <v>0.62046249322760194</v>
      </c>
      <c r="O18" s="142">
        <f t="shared" si="8"/>
        <v>0.96067608609533839</v>
      </c>
      <c r="P18" s="142">
        <f t="shared" si="8"/>
        <v>0.44668662365698408</v>
      </c>
      <c r="Q18" s="142">
        <f t="shared" si="8"/>
        <v>0.50503422612921511</v>
      </c>
      <c r="R18" s="142">
        <f t="shared" si="9"/>
        <v>0.4060842258535512</v>
      </c>
      <c r="S18" s="142">
        <f t="shared" si="9"/>
        <v>0.25389296164349778</v>
      </c>
      <c r="T18" s="143">
        <f>(M18*'Fund Ranking Criteria'!$D$9)+('Fund Ranking_Equity'!N18*'Fund Ranking Criteria'!$D$10)+('Fund Ranking_Equity'!O18*'Fund Ranking Criteria'!$D$11)+('Fund Ranking_Equity'!P18*'Fund Ranking Criteria'!$D$16)+('Fund Ranking_Equity'!Q18*'Fund Ranking Criteria'!$D$12)+('Fund Ranking_Equity'!R18*'Fund Ranking Criteria'!$D$14)+('Fund Ranking_Equity'!S18*'Fund Ranking Criteria'!$D$15)</f>
        <v>0.57648062699637781</v>
      </c>
      <c r="Z18" s="42"/>
    </row>
    <row r="19" spans="2:26" x14ac:dyDescent="0.25">
      <c r="B19" s="119" t="s">
        <v>1059</v>
      </c>
      <c r="C19" s="125">
        <f t="shared" si="6"/>
        <v>6</v>
      </c>
      <c r="D19" s="191" t="str">
        <f t="shared" si="7"/>
        <v>HDFC Large and Mid Cap Fund - Growth</v>
      </c>
      <c r="E19" s="248">
        <v>1.3818999999999999</v>
      </c>
      <c r="F19" s="252">
        <v>16.482299999999999</v>
      </c>
      <c r="G19" s="248">
        <v>15.9323</v>
      </c>
      <c r="H19" s="248">
        <v>14.8804</v>
      </c>
      <c r="I19" s="249">
        <v>7.1688323188216593E-2</v>
      </c>
      <c r="J19" s="249">
        <v>-9.6381199400854493E-3</v>
      </c>
      <c r="K19" s="249">
        <v>1.0347050054850999</v>
      </c>
      <c r="L19" s="249">
        <v>14.013400761102</v>
      </c>
      <c r="M19" s="142">
        <f t="shared" si="8"/>
        <v>0.59390951613842335</v>
      </c>
      <c r="N19" s="142">
        <f t="shared" si="8"/>
        <v>0.79676648771117575</v>
      </c>
      <c r="O19" s="142">
        <f t="shared" si="8"/>
        <v>0.79817773669615721</v>
      </c>
      <c r="P19" s="142">
        <f t="shared" si="8"/>
        <v>0.5032888300767886</v>
      </c>
      <c r="Q19" s="142">
        <f t="shared" si="8"/>
        <v>0.48058014574057584</v>
      </c>
      <c r="R19" s="142">
        <f t="shared" si="9"/>
        <v>0</v>
      </c>
      <c r="S19" s="142">
        <f t="shared" si="9"/>
        <v>0</v>
      </c>
      <c r="T19" s="143">
        <f>(M19*'Fund Ranking Criteria'!$D$9)+('Fund Ranking_Equity'!N19*'Fund Ranking Criteria'!$D$10)+('Fund Ranking_Equity'!O19*'Fund Ranking Criteria'!$D$11)+('Fund Ranking_Equity'!P19*'Fund Ranking Criteria'!$D$16)+('Fund Ranking_Equity'!Q19*'Fund Ranking Criteria'!$D$12)+('Fund Ranking_Equity'!R19*'Fund Ranking Criteria'!$D$14)+('Fund Ranking_Equity'!S19*'Fund Ranking Criteria'!$D$15)</f>
        <v>0.53417983305641248</v>
      </c>
      <c r="Z19" s="42"/>
    </row>
    <row r="20" spans="2:26" x14ac:dyDescent="0.25">
      <c r="B20" s="119" t="s">
        <v>1060</v>
      </c>
      <c r="C20" s="125">
        <f t="shared" si="6"/>
        <v>1</v>
      </c>
      <c r="D20" s="191" t="str">
        <f t="shared" si="7"/>
        <v>ICICI Prudential Large &amp; Mid Cap Fund - Growth</v>
      </c>
      <c r="E20" s="248">
        <v>2.4428000000000001</v>
      </c>
      <c r="F20" s="252">
        <v>17.984300000000001</v>
      </c>
      <c r="G20" s="248">
        <v>17.582799999999999</v>
      </c>
      <c r="H20" s="248">
        <v>15.644600000000001</v>
      </c>
      <c r="I20" s="249">
        <v>8.8174217219883694E-2</v>
      </c>
      <c r="J20" s="249">
        <v>0.22016121872142799</v>
      </c>
      <c r="K20" s="249">
        <v>0.83717430235120105</v>
      </c>
      <c r="L20" s="249">
        <v>11.803604757441599</v>
      </c>
      <c r="M20" s="142">
        <f t="shared" si="8"/>
        <v>0.88542980804689186</v>
      </c>
      <c r="N20" s="142">
        <f t="shared" si="8"/>
        <v>1</v>
      </c>
      <c r="O20" s="142">
        <f t="shared" si="8"/>
        <v>1</v>
      </c>
      <c r="P20" s="142">
        <f t="shared" si="8"/>
        <v>0.98855986315500322</v>
      </c>
      <c r="Q20" s="142">
        <f t="shared" si="8"/>
        <v>0.99092791414622783</v>
      </c>
      <c r="R20" s="142">
        <f t="shared" si="9"/>
        <v>1</v>
      </c>
      <c r="S20" s="142">
        <f t="shared" si="9"/>
        <v>0.9624440334438461</v>
      </c>
      <c r="T20" s="143">
        <f>(M20*'Fund Ranking Criteria'!$D$9)+('Fund Ranking_Equity'!N20*'Fund Ranking Criteria'!$D$10)+('Fund Ranking_Equity'!O20*'Fund Ranking Criteria'!$D$11)+('Fund Ranking_Equity'!P20*'Fund Ranking Criteria'!$D$16)+('Fund Ranking_Equity'!Q20*'Fund Ranking Criteria'!$D$12)+('Fund Ranking_Equity'!R20*'Fund Ranking Criteria'!$D$14)+('Fund Ranking_Equity'!S20*'Fund Ranking Criteria'!$D$15)</f>
        <v>0.98174224132278498</v>
      </c>
      <c r="Z20" s="42"/>
    </row>
    <row r="21" spans="2:26" x14ac:dyDescent="0.25">
      <c r="B21" s="119" t="s">
        <v>1061</v>
      </c>
      <c r="C21" s="125">
        <f t="shared" si="6"/>
        <v>4</v>
      </c>
      <c r="D21" s="191" t="str">
        <f t="shared" si="7"/>
        <v>Nippon India Vision Large &amp; Mid Cap Fund - Reg - Growth</v>
      </c>
      <c r="E21" s="248">
        <v>2.3742999999999999</v>
      </c>
      <c r="F21" s="252">
        <v>17.914300000000001</v>
      </c>
      <c r="G21" s="248">
        <v>15.460900000000001</v>
      </c>
      <c r="H21" s="248">
        <v>13.337</v>
      </c>
      <c r="I21" s="249">
        <v>7.9554283628568506E-2</v>
      </c>
      <c r="J21" s="249">
        <v>0.106465930340856</v>
      </c>
      <c r="K21" s="249">
        <v>0.98243908467408603</v>
      </c>
      <c r="L21" s="249">
        <v>13.4432649742087</v>
      </c>
      <c r="M21" s="142">
        <f t="shared" si="8"/>
        <v>0.87184364264503245</v>
      </c>
      <c r="N21" s="142">
        <f t="shared" si="8"/>
        <v>0.73872087868787883</v>
      </c>
      <c r="O21" s="142">
        <f t="shared" si="8"/>
        <v>0.39057176812359684</v>
      </c>
      <c r="P21" s="142">
        <f t="shared" si="8"/>
        <v>0.73482754685549534</v>
      </c>
      <c r="Q21" s="142">
        <f t="shared" si="8"/>
        <v>0.73842876840791249</v>
      </c>
      <c r="R21" s="142">
        <f t="shared" si="9"/>
        <v>0.26459643985362985</v>
      </c>
      <c r="S21" s="142">
        <f t="shared" si="9"/>
        <v>0.24831422694191618</v>
      </c>
      <c r="T21" s="143">
        <f>(M21*'Fund Ranking Criteria'!$D$9)+('Fund Ranking_Equity'!N21*'Fund Ranking Criteria'!$D$10)+('Fund Ranking_Equity'!O21*'Fund Ranking Criteria'!$D$11)+('Fund Ranking_Equity'!P21*'Fund Ranking Criteria'!$D$16)+('Fund Ranking_Equity'!Q21*'Fund Ranking Criteria'!$D$12)+('Fund Ranking_Equity'!R21*'Fund Ranking Criteria'!$D$14)+('Fund Ranking_Equity'!S21*'Fund Ranking Criteria'!$D$15)</f>
        <v>0.60940647383237279</v>
      </c>
      <c r="Z21" s="42"/>
    </row>
    <row r="22" spans="2:26" x14ac:dyDescent="0.25">
      <c r="B22" s="119" t="s">
        <v>1062</v>
      </c>
      <c r="C22" s="125">
        <f t="shared" si="6"/>
        <v>7</v>
      </c>
      <c r="D22" s="191" t="str">
        <f t="shared" si="7"/>
        <v>Aditya Birla Sun Life Large &amp; Mid Cap Fund - Growth</v>
      </c>
      <c r="E22" s="248">
        <v>3.5813000000000001</v>
      </c>
      <c r="F22" s="252">
        <v>13.4223</v>
      </c>
      <c r="G22" s="248">
        <v>9.4616000000000007</v>
      </c>
      <c r="H22" s="248">
        <v>11.8581</v>
      </c>
      <c r="I22" s="249">
        <v>5.4590318662093698E-2</v>
      </c>
      <c r="J22" s="249">
        <v>-0.22603369664662801</v>
      </c>
      <c r="K22" s="249">
        <v>0.99903820123268805</v>
      </c>
      <c r="L22" s="249">
        <v>13.7980587132854</v>
      </c>
      <c r="M22" s="142">
        <f t="shared" si="8"/>
        <v>0</v>
      </c>
      <c r="N22" s="142">
        <f t="shared" si="8"/>
        <v>0</v>
      </c>
      <c r="O22" s="142">
        <f t="shared" si="8"/>
        <v>0</v>
      </c>
      <c r="P22" s="142">
        <f t="shared" si="8"/>
        <v>0</v>
      </c>
      <c r="Q22" s="142">
        <f t="shared" si="8"/>
        <v>0</v>
      </c>
      <c r="R22" s="142">
        <f t="shared" si="9"/>
        <v>0.18056334375641156</v>
      </c>
      <c r="S22" s="142">
        <f t="shared" si="9"/>
        <v>9.3789050540122584E-2</v>
      </c>
      <c r="T22" s="143">
        <f>(M22*'Fund Ranking Criteria'!$D$9)+('Fund Ranking_Equity'!N22*'Fund Ranking Criteria'!$D$10)+('Fund Ranking_Equity'!O22*'Fund Ranking Criteria'!$D$11)+('Fund Ranking_Equity'!P22*'Fund Ranking Criteria'!$D$16)+('Fund Ranking_Equity'!Q22*'Fund Ranking Criteria'!$D$12)+('Fund Ranking_Equity'!R22*'Fund Ranking Criteria'!$D$14)+('Fund Ranking_Equity'!S22*'Fund Ranking Criteria'!$D$15)</f>
        <v>2.0576429572240061E-2</v>
      </c>
      <c r="Z22" s="42"/>
    </row>
    <row r="23" spans="2:26" ht="15" customHeight="1" thickBot="1" x14ac:dyDescent="0.3">
      <c r="B23" s="120" t="s">
        <v>1063</v>
      </c>
      <c r="C23" s="126">
        <f t="shared" si="6"/>
        <v>2</v>
      </c>
      <c r="D23" s="192" t="str">
        <f t="shared" si="7"/>
        <v>UTI Large &amp; Mid Cap Fund - Growth</v>
      </c>
      <c r="E23" s="251">
        <v>2.7507999999999999</v>
      </c>
      <c r="F23" s="254">
        <v>18.5746</v>
      </c>
      <c r="G23" s="251">
        <v>15.614599999999999</v>
      </c>
      <c r="H23" s="251">
        <v>14.3348</v>
      </c>
      <c r="I23" s="250">
        <v>8.8562867831353406E-2</v>
      </c>
      <c r="J23" s="250">
        <v>0.22424619657092501</v>
      </c>
      <c r="K23" s="250">
        <v>0.92870030304933204</v>
      </c>
      <c r="L23" s="250">
        <v>12.8109437652782</v>
      </c>
      <c r="M23" s="144">
        <f t="shared" si="8"/>
        <v>1</v>
      </c>
      <c r="N23" s="144">
        <f t="shared" si="8"/>
        <v>0.75764665320395996</v>
      </c>
      <c r="O23" s="144">
        <f t="shared" si="8"/>
        <v>0.65408688762709599</v>
      </c>
      <c r="P23" s="144">
        <f t="shared" si="8"/>
        <v>1</v>
      </c>
      <c r="Q23" s="144">
        <f t="shared" si="8"/>
        <v>1</v>
      </c>
      <c r="R23" s="144">
        <f t="shared" si="9"/>
        <v>0.53664924365662359</v>
      </c>
      <c r="S23" s="144">
        <f t="shared" si="9"/>
        <v>0.52371239661327595</v>
      </c>
      <c r="T23" s="145">
        <f>(M23*'Fund Ranking Criteria'!$D$9)+('Fund Ranking_Equity'!N23*'Fund Ranking Criteria'!$D$10)+('Fund Ranking_Equity'!O23*'Fund Ranking Criteria'!$D$11)+('Fund Ranking_Equity'!P23*'Fund Ranking Criteria'!$D$16)+('Fund Ranking_Equity'!Q23*'Fund Ranking Criteria'!$D$12)+('Fund Ranking_Equity'!R23*'Fund Ranking Criteria'!$D$14)+('Fund Ranking_Equity'!S23*'Fund Ranking Criteria'!$D$15)</f>
        <v>0.82399149852625564</v>
      </c>
      <c r="Z23" s="42"/>
    </row>
    <row r="24" spans="2:26" ht="15" customHeight="1" thickBot="1" x14ac:dyDescent="0.3"/>
    <row r="25" spans="2:26" ht="15" customHeight="1" thickBot="1" x14ac:dyDescent="0.3">
      <c r="B25" s="309" t="s">
        <v>1064</v>
      </c>
      <c r="C25" s="310"/>
      <c r="D25" s="310"/>
      <c r="E25" s="310"/>
      <c r="F25" s="310"/>
      <c r="G25" s="310"/>
      <c r="H25" s="310"/>
      <c r="I25" s="310"/>
      <c r="J25" s="310"/>
      <c r="K25" s="310"/>
      <c r="L25" s="310"/>
      <c r="M25" s="310"/>
      <c r="N25" s="310"/>
      <c r="O25" s="310"/>
      <c r="P25" s="310"/>
      <c r="Q25" s="310"/>
      <c r="R25" s="310"/>
      <c r="S25" s="310"/>
      <c r="T25" s="310"/>
      <c r="U25" s="310"/>
      <c r="V25" s="310"/>
      <c r="W25" s="310"/>
      <c r="X25" s="310"/>
      <c r="Y25" s="310"/>
      <c r="Z25" s="311"/>
    </row>
    <row r="26" spans="2:26" ht="15" customHeight="1" thickBot="1" x14ac:dyDescent="0.3">
      <c r="B26" s="147"/>
      <c r="C26" s="148"/>
      <c r="D26" s="190"/>
      <c r="E26" s="425" t="s">
        <v>1044</v>
      </c>
      <c r="F26" s="426"/>
      <c r="G26" s="426"/>
      <c r="H26" s="426"/>
      <c r="I26" s="426"/>
      <c r="J26" s="426"/>
      <c r="K26" s="426"/>
      <c r="L26" s="426"/>
      <c r="M26" s="425" t="s">
        <v>1045</v>
      </c>
      <c r="N26" s="426"/>
      <c r="O26" s="426"/>
      <c r="P26" s="426"/>
      <c r="Q26" s="426"/>
      <c r="R26" s="426"/>
      <c r="S26" s="426"/>
      <c r="T26" s="426"/>
      <c r="U26" s="308"/>
      <c r="V26" s="308"/>
      <c r="W26" s="308"/>
      <c r="X26" s="308"/>
      <c r="Y26" s="308"/>
    </row>
    <row r="27" spans="2:26" ht="29.1" customHeight="1" x14ac:dyDescent="0.25">
      <c r="B27" s="129" t="s">
        <v>44</v>
      </c>
      <c r="C27" s="127" t="s">
        <v>927</v>
      </c>
      <c r="D27" s="127"/>
      <c r="E27" s="113" t="s">
        <v>45</v>
      </c>
      <c r="F27" s="128" t="s">
        <v>47</v>
      </c>
      <c r="G27" s="128" t="s">
        <v>48</v>
      </c>
      <c r="H27" s="128" t="s">
        <v>1046</v>
      </c>
      <c r="I27" s="128" t="s">
        <v>38</v>
      </c>
      <c r="J27" s="128" t="s">
        <v>40</v>
      </c>
      <c r="K27" s="139" t="s">
        <v>52</v>
      </c>
      <c r="L27" s="140" t="s">
        <v>1047</v>
      </c>
      <c r="M27" s="123" t="str">
        <f>F27</f>
        <v>3 Yr Ret (%)</v>
      </c>
      <c r="N27" s="123" t="str">
        <f>G27</f>
        <v>5 Yr Ret (%)</v>
      </c>
      <c r="O27" s="123" t="str">
        <f>H27</f>
        <v>10 Yr Ret (%)</v>
      </c>
      <c r="P27" s="123" t="s">
        <v>38</v>
      </c>
      <c r="Q27" s="123" t="s">
        <v>40</v>
      </c>
      <c r="R27" s="121" t="s">
        <v>52</v>
      </c>
      <c r="S27" s="121" t="s">
        <v>1047</v>
      </c>
      <c r="T27" s="328"/>
      <c r="Z27" s="42"/>
    </row>
    <row r="28" spans="2:26" x14ac:dyDescent="0.25">
      <c r="B28" s="119" t="s">
        <v>1065</v>
      </c>
      <c r="C28" s="125">
        <f t="shared" ref="C28:C34" si="10">RANK(T28,$T$28:$T$34,0)</f>
        <v>1</v>
      </c>
      <c r="D28" s="191" t="str">
        <f t="shared" ref="D28:D34" si="11">B28</f>
        <v>HDFC Mid Cap Fund - Growth</v>
      </c>
      <c r="E28" s="248">
        <v>7.2047999999999996</v>
      </c>
      <c r="F28" s="248">
        <v>21.041</v>
      </c>
      <c r="G28" s="248">
        <v>20.3292</v>
      </c>
      <c r="H28" s="248">
        <v>18.133800000000001</v>
      </c>
      <c r="I28" s="249">
        <v>9.7338784440986495E-2</v>
      </c>
      <c r="J28" s="249">
        <v>0.17458374934826401</v>
      </c>
      <c r="K28" s="249">
        <v>0.87987596781340804</v>
      </c>
      <c r="L28" s="249">
        <v>14.2248754482276</v>
      </c>
      <c r="M28" s="142">
        <f t="shared" ref="M28:Q34" si="12">(F28-MIN(F$28:F$34))/(MAX(F$28:F$34)-MIN(F$28:F$34))</f>
        <v>0.67197180360568998</v>
      </c>
      <c r="N28" s="142">
        <f t="shared" si="12"/>
        <v>0.9127548667495845</v>
      </c>
      <c r="O28" s="142">
        <f t="shared" si="12"/>
        <v>0.82436931745421937</v>
      </c>
      <c r="P28" s="142">
        <f t="shared" si="12"/>
        <v>0.95332986654801455</v>
      </c>
      <c r="Q28" s="142">
        <f t="shared" si="12"/>
        <v>0.89026241131397876</v>
      </c>
      <c r="R28" s="142">
        <f t="shared" ref="R28:S34" si="13">(MAX(K$28:K$34)-K28)/(MAX(K$28:K$34)-MIN(K$28:K$34))</f>
        <v>0.93515482660579641</v>
      </c>
      <c r="S28" s="142">
        <f t="shared" si="13"/>
        <v>1</v>
      </c>
      <c r="T28" s="143">
        <f>(M28*'Fund Ranking Criteria'!$F$9)+('Fund Ranking_Equity'!N28*'Fund Ranking Criteria'!$F$10)+('Fund Ranking_Equity'!O28*'Fund Ranking Criteria'!$F$11)+('Fund Ranking_Equity'!P28*'Fund Ranking Criteria'!$F$16)+('Fund Ranking_Equity'!Q28*'Fund Ranking Criteria'!$F$12)+('Fund Ranking_Equity'!R28*'Fund Ranking Criteria'!$F$14)+('Fund Ranking_Equity'!S28*'Fund Ranking Criteria'!$F$15)</f>
        <v>0.89546952773975053</v>
      </c>
      <c r="Z28" s="42"/>
    </row>
    <row r="29" spans="2:26" x14ac:dyDescent="0.25">
      <c r="B29" s="119" t="s">
        <v>1066</v>
      </c>
      <c r="C29" s="125">
        <f t="shared" si="10"/>
        <v>4</v>
      </c>
      <c r="D29" s="191" t="str">
        <f t="shared" si="11"/>
        <v>Kotak Midcap Fund - Reg - Growth</v>
      </c>
      <c r="E29" s="248">
        <v>7.9650999999999996</v>
      </c>
      <c r="F29" s="248">
        <v>20.459099999999999</v>
      </c>
      <c r="G29" s="248">
        <v>17.767299999999999</v>
      </c>
      <c r="H29" s="248">
        <v>17.911000000000001</v>
      </c>
      <c r="I29" s="249">
        <v>8.2550087744349201E-2</v>
      </c>
      <c r="J29" s="249">
        <v>2.11872276376022E-2</v>
      </c>
      <c r="K29" s="249">
        <v>0.945141533085888</v>
      </c>
      <c r="L29" s="249">
        <v>16.002308261490299</v>
      </c>
      <c r="M29" s="142">
        <f t="shared" si="12"/>
        <v>0.62278870453796276</v>
      </c>
      <c r="N29" s="142">
        <f t="shared" si="12"/>
        <v>0.55473259080173842</v>
      </c>
      <c r="O29" s="142">
        <f t="shared" si="12"/>
        <v>0.77681734750501563</v>
      </c>
      <c r="P29" s="142">
        <f t="shared" si="12"/>
        <v>0.61153340718425142</v>
      </c>
      <c r="Q29" s="142">
        <f t="shared" si="12"/>
        <v>0.64443963732903276</v>
      </c>
      <c r="R29" s="142">
        <f t="shared" si="13"/>
        <v>0.40831388566290533</v>
      </c>
      <c r="S29" s="142">
        <f t="shared" si="13"/>
        <v>0.11287645943650032</v>
      </c>
      <c r="T29" s="143">
        <f>(M29*'Fund Ranking Criteria'!$F$9)+('Fund Ranking_Equity'!N29*'Fund Ranking Criteria'!$F$10)+('Fund Ranking_Equity'!O29*'Fund Ranking Criteria'!$F$11)+('Fund Ranking_Equity'!P29*'Fund Ranking Criteria'!$F$16)+('Fund Ranking_Equity'!Q29*'Fund Ranking Criteria'!$F$12)+('Fund Ranking_Equity'!R29*'Fund Ranking Criteria'!$F$14)+('Fund Ranking_Equity'!S29*'Fund Ranking Criteria'!$F$15)</f>
        <v>0.5850046387792579</v>
      </c>
      <c r="Z29" s="42"/>
    </row>
    <row r="30" spans="2:26" x14ac:dyDescent="0.25">
      <c r="B30" s="119" t="s">
        <v>1067</v>
      </c>
      <c r="C30" s="125">
        <f t="shared" si="10"/>
        <v>2</v>
      </c>
      <c r="D30" s="191" t="str">
        <f t="shared" si="11"/>
        <v>Nippon India Growth Mid Cap Fund - Reg - Growth</v>
      </c>
      <c r="E30" s="248">
        <v>8.3564000000000007</v>
      </c>
      <c r="F30" s="248">
        <v>23.230899999999998</v>
      </c>
      <c r="G30" s="248">
        <v>20.953499999999998</v>
      </c>
      <c r="H30" s="248">
        <v>18.956700000000001</v>
      </c>
      <c r="I30" s="249">
        <v>9.5639296167253696E-2</v>
      </c>
      <c r="J30" s="249">
        <v>0.151860145457417</v>
      </c>
      <c r="K30" s="249">
        <v>0.98507780889074004</v>
      </c>
      <c r="L30" s="249">
        <v>15.752804999212</v>
      </c>
      <c r="M30" s="142">
        <f t="shared" si="12"/>
        <v>0.85706558028280899</v>
      </c>
      <c r="N30" s="142">
        <f t="shared" si="12"/>
        <v>1</v>
      </c>
      <c r="O30" s="142">
        <f t="shared" si="12"/>
        <v>1</v>
      </c>
      <c r="P30" s="142">
        <f t="shared" si="12"/>
        <v>0.91405128192302953</v>
      </c>
      <c r="Q30" s="142">
        <f t="shared" si="12"/>
        <v>0.85384711792212808</v>
      </c>
      <c r="R30" s="142">
        <f t="shared" si="13"/>
        <v>8.5937682607863858E-2</v>
      </c>
      <c r="S30" s="142">
        <f t="shared" si="13"/>
        <v>0.23740449546851825</v>
      </c>
      <c r="T30" s="143">
        <f>(M30*'Fund Ranking Criteria'!$F$9)+('Fund Ranking_Equity'!N30*'Fund Ranking Criteria'!$F$10)+('Fund Ranking_Equity'!O30*'Fund Ranking Criteria'!$F$11)+('Fund Ranking_Equity'!P30*'Fund Ranking Criteria'!$F$16)+('Fund Ranking_Equity'!Q30*'Fund Ranking Criteria'!$F$12)+('Fund Ranking_Equity'!R30*'Fund Ranking Criteria'!$F$14)+('Fund Ranking_Equity'!S30*'Fund Ranking Criteria'!$F$15)</f>
        <v>0.7780578500443408</v>
      </c>
      <c r="Z30" s="42"/>
    </row>
    <row r="31" spans="2:26" x14ac:dyDescent="0.25">
      <c r="B31" s="119" t="s">
        <v>1068</v>
      </c>
      <c r="C31" s="125">
        <f t="shared" si="10"/>
        <v>6</v>
      </c>
      <c r="D31" s="191" t="str">
        <f t="shared" si="11"/>
        <v>SBI Midcap Fund - Growth</v>
      </c>
      <c r="E31" s="248">
        <v>2.6655000000000002</v>
      </c>
      <c r="F31" s="248">
        <v>13.0907</v>
      </c>
      <c r="G31" s="248">
        <v>15.2241</v>
      </c>
      <c r="H31" s="248">
        <v>14.289199999999999</v>
      </c>
      <c r="I31" s="249">
        <v>5.6090533144094901E-2</v>
      </c>
      <c r="J31" s="249">
        <v>-0.38095126106404997</v>
      </c>
      <c r="K31" s="249">
        <v>0.87184288502149299</v>
      </c>
      <c r="L31" s="249">
        <v>14.584450200802699</v>
      </c>
      <c r="M31" s="142">
        <f t="shared" si="12"/>
        <v>0</v>
      </c>
      <c r="N31" s="142">
        <f t="shared" si="12"/>
        <v>0.19932361613818353</v>
      </c>
      <c r="O31" s="142">
        <f t="shared" si="12"/>
        <v>3.8203781960983339E-3</v>
      </c>
      <c r="P31" s="142">
        <f t="shared" si="12"/>
        <v>0</v>
      </c>
      <c r="Q31" s="142">
        <f t="shared" si="12"/>
        <v>0</v>
      </c>
      <c r="R31" s="142">
        <f t="shared" si="13"/>
        <v>1</v>
      </c>
      <c r="S31" s="142">
        <f t="shared" si="13"/>
        <v>0.8205348606026206</v>
      </c>
      <c r="T31" s="143">
        <f>(M31*'Fund Ranking Criteria'!$F$9)+('Fund Ranking_Equity'!N31*'Fund Ranking Criteria'!$F$10)+('Fund Ranking_Equity'!O31*'Fund Ranking Criteria'!$F$11)+('Fund Ranking_Equity'!P31*'Fund Ranking Criteria'!$F$16)+('Fund Ranking_Equity'!Q31*'Fund Ranking Criteria'!$F$12)+('Fund Ranking_Equity'!R31*'Fund Ranking Criteria'!$F$14)+('Fund Ranking_Equity'!S31*'Fund Ranking Criteria'!$F$15)</f>
        <v>0.18204553288842965</v>
      </c>
      <c r="Z31" s="42"/>
    </row>
    <row r="32" spans="2:26" x14ac:dyDescent="0.25">
      <c r="B32" s="119" t="s">
        <v>1069</v>
      </c>
      <c r="C32" s="125">
        <f t="shared" si="10"/>
        <v>7</v>
      </c>
      <c r="D32" s="191" t="str">
        <f t="shared" si="11"/>
        <v>UTI Mid Cap Fund - Growth</v>
      </c>
      <c r="E32" s="248">
        <v>2.2170000000000001</v>
      </c>
      <c r="F32" s="248">
        <v>14.5406</v>
      </c>
      <c r="G32" s="248">
        <v>13.797800000000001</v>
      </c>
      <c r="H32" s="248">
        <v>14.3096</v>
      </c>
      <c r="I32" s="249">
        <v>6.1171246626600798E-2</v>
      </c>
      <c r="J32" s="249">
        <v>-0.358189987481281</v>
      </c>
      <c r="K32" s="249">
        <v>0.91626162708780801</v>
      </c>
      <c r="L32" s="249">
        <v>14.743817246506101</v>
      </c>
      <c r="M32" s="142">
        <f t="shared" si="12"/>
        <v>0.12254781807578199</v>
      </c>
      <c r="N32" s="142">
        <f t="shared" si="12"/>
        <v>0</v>
      </c>
      <c r="O32" s="142">
        <f t="shared" si="12"/>
        <v>8.1743287659537169E-3</v>
      </c>
      <c r="P32" s="142">
        <f t="shared" si="12"/>
        <v>0.11742548481348714</v>
      </c>
      <c r="Q32" s="142">
        <f t="shared" si="12"/>
        <v>3.6475660263668427E-2</v>
      </c>
      <c r="R32" s="142">
        <f t="shared" si="13"/>
        <v>0.64144014124421345</v>
      </c>
      <c r="S32" s="142">
        <f t="shared" si="13"/>
        <v>0.74099415629097387</v>
      </c>
      <c r="T32" s="143">
        <f>(M32*'Fund Ranking Criteria'!$F$9)+('Fund Ranking_Equity'!N32*'Fund Ranking Criteria'!$F$10)+('Fund Ranking_Equity'!O32*'Fund Ranking Criteria'!$F$11)+('Fund Ranking_Equity'!P32*'Fund Ranking Criteria'!$F$16)+('Fund Ranking_Equity'!Q32*'Fund Ranking Criteria'!$F$12)+('Fund Ranking_Equity'!R32*'Fund Ranking Criteria'!$F$14)+('Fund Ranking_Equity'!S32*'Fund Ranking Criteria'!$F$15)</f>
        <v>0.16038805699957073</v>
      </c>
      <c r="Z32" s="42"/>
    </row>
    <row r="33" spans="2:26" x14ac:dyDescent="0.25">
      <c r="B33" s="119" t="s">
        <v>1070</v>
      </c>
      <c r="C33" s="125">
        <f t="shared" si="10"/>
        <v>3</v>
      </c>
      <c r="D33" s="191" t="str">
        <f t="shared" si="11"/>
        <v>ICICI Prudential MidCap Fund - Growth</v>
      </c>
      <c r="E33" s="248">
        <v>14.3034</v>
      </c>
      <c r="F33" s="248">
        <v>24.922000000000001</v>
      </c>
      <c r="G33" s="248">
        <v>18.8733</v>
      </c>
      <c r="H33" s="248">
        <v>17.4039</v>
      </c>
      <c r="I33" s="249">
        <v>9.9358086951310196E-2</v>
      </c>
      <c r="J33" s="249">
        <v>0.24306139335362301</v>
      </c>
      <c r="K33" s="249">
        <v>0.99572385212263304</v>
      </c>
      <c r="L33" s="249">
        <v>16.2284665288269</v>
      </c>
      <c r="M33" s="142">
        <f t="shared" si="12"/>
        <v>1</v>
      </c>
      <c r="N33" s="142">
        <f t="shared" si="12"/>
        <v>0.70929468815070529</v>
      </c>
      <c r="O33" s="142">
        <f t="shared" si="12"/>
        <v>0.66858752721219084</v>
      </c>
      <c r="P33" s="142">
        <f t="shared" si="12"/>
        <v>1</v>
      </c>
      <c r="Q33" s="142">
        <f t="shared" si="12"/>
        <v>1</v>
      </c>
      <c r="R33" s="142">
        <f t="shared" si="13"/>
        <v>0</v>
      </c>
      <c r="S33" s="142">
        <f t="shared" si="13"/>
        <v>0</v>
      </c>
      <c r="T33" s="143">
        <f>(M33*'Fund Ranking Criteria'!$F$9)+('Fund Ranking_Equity'!N33*'Fund Ranking Criteria'!$F$10)+('Fund Ranking_Equity'!O33*'Fund Ranking Criteria'!$F$11)+('Fund Ranking_Equity'!P33*'Fund Ranking Criteria'!$F$16)+('Fund Ranking_Equity'!Q33*'Fund Ranking Criteria'!$F$12)+('Fund Ranking_Equity'!R33*'Fund Ranking Criteria'!$F$14)+('Fund Ranking_Equity'!S33*'Fund Ranking Criteria'!$F$15)</f>
        <v>0.74621759789689912</v>
      </c>
      <c r="Z33" s="42"/>
    </row>
    <row r="34" spans="2:26" ht="15" customHeight="1" thickBot="1" x14ac:dyDescent="0.3">
      <c r="B34" s="120" t="s">
        <v>1071</v>
      </c>
      <c r="C34" s="125">
        <f t="shared" si="10"/>
        <v>5</v>
      </c>
      <c r="D34" s="191" t="str">
        <f t="shared" si="11"/>
        <v>Aditya Birla Sun Life Mid Cap Fund - Plan A - Growth</v>
      </c>
      <c r="E34" s="251">
        <v>6.5090000000000003</v>
      </c>
      <c r="F34" s="251">
        <v>19.1435</v>
      </c>
      <c r="G34" s="251">
        <v>16.179300000000001</v>
      </c>
      <c r="H34" s="251">
        <v>14.2713</v>
      </c>
      <c r="I34" s="250">
        <v>7.4870745628906096E-2</v>
      </c>
      <c r="J34" s="250">
        <v>-0.14841210083786699</v>
      </c>
      <c r="K34" s="250">
        <v>0.98028841540993406</v>
      </c>
      <c r="L34" s="250">
        <v>16.023993336191499</v>
      </c>
      <c r="M34" s="144">
        <f t="shared" si="12"/>
        <v>0.51159213273266668</v>
      </c>
      <c r="N34" s="144">
        <f t="shared" si="12"/>
        <v>0.33281160473468724</v>
      </c>
      <c r="O34" s="144">
        <f t="shared" si="12"/>
        <v>0</v>
      </c>
      <c r="P34" s="144">
        <f t="shared" si="12"/>
        <v>0.43404839960421815</v>
      </c>
      <c r="Q34" s="144">
        <f t="shared" si="12"/>
        <v>0.37265135342998446</v>
      </c>
      <c r="R34" s="144">
        <f t="shared" si="13"/>
        <v>0.12459893617150274</v>
      </c>
      <c r="S34" s="144">
        <f t="shared" si="13"/>
        <v>0.10205335540535573</v>
      </c>
      <c r="T34" s="145">
        <f>(M34*'Fund Ranking Criteria'!$F$9)+('Fund Ranking_Equity'!N34*'Fund Ranking Criteria'!$F$10)+('Fund Ranking_Equity'!O34*'Fund Ranking Criteria'!$F$11)+('Fund Ranking_Equity'!P34*'Fund Ranking Criteria'!$F$16)+('Fund Ranking_Equity'!Q34*'Fund Ranking Criteria'!$F$12)+('Fund Ranking_Equity'!R34*'Fund Ranking Criteria'!$F$14)+('Fund Ranking_Equity'!S34*'Fund Ranking Criteria'!$F$15)</f>
        <v>0.28536110601388676</v>
      </c>
      <c r="Z34" s="42"/>
    </row>
    <row r="35" spans="2:26" ht="15" customHeight="1" thickBot="1" x14ac:dyDescent="0.3"/>
    <row r="36" spans="2:26" ht="15" customHeight="1" thickBot="1" x14ac:dyDescent="0.3">
      <c r="B36" s="309" t="s">
        <v>1072</v>
      </c>
      <c r="C36" s="310"/>
      <c r="D36" s="310"/>
      <c r="E36" s="310"/>
      <c r="F36" s="310"/>
      <c r="G36" s="310"/>
      <c r="H36" s="310"/>
      <c r="I36" s="310"/>
      <c r="J36" s="310"/>
      <c r="K36" s="310"/>
      <c r="L36" s="310"/>
      <c r="M36" s="310"/>
      <c r="N36" s="310"/>
      <c r="O36" s="310"/>
      <c r="P36" s="310"/>
      <c r="Q36" s="310"/>
      <c r="R36" s="310"/>
      <c r="S36" s="310"/>
      <c r="T36" s="310"/>
      <c r="U36" s="310"/>
      <c r="V36" s="310"/>
      <c r="W36" s="310"/>
      <c r="X36" s="310"/>
      <c r="Y36" s="310"/>
      <c r="Z36" s="311"/>
    </row>
    <row r="37" spans="2:26" ht="15" customHeight="1" thickBot="1" x14ac:dyDescent="0.3">
      <c r="B37" s="147"/>
      <c r="C37" s="148"/>
      <c r="D37" s="190"/>
      <c r="E37" s="425" t="s">
        <v>1044</v>
      </c>
      <c r="F37" s="426"/>
      <c r="G37" s="426"/>
      <c r="H37" s="426"/>
      <c r="I37" s="426"/>
      <c r="J37" s="426"/>
      <c r="K37" s="426"/>
      <c r="L37" s="426"/>
      <c r="M37" s="425" t="s">
        <v>1045</v>
      </c>
      <c r="N37" s="426"/>
      <c r="O37" s="426"/>
      <c r="P37" s="426"/>
      <c r="Q37" s="426"/>
      <c r="R37" s="426"/>
      <c r="S37" s="426"/>
      <c r="T37" s="426"/>
      <c r="U37" s="308"/>
      <c r="V37" s="308"/>
      <c r="W37" s="308"/>
      <c r="X37" s="308"/>
      <c r="Y37" s="308"/>
    </row>
    <row r="38" spans="2:26" ht="29.1" customHeight="1" x14ac:dyDescent="0.25">
      <c r="B38" s="116" t="s">
        <v>44</v>
      </c>
      <c r="C38" s="114" t="s">
        <v>927</v>
      </c>
      <c r="D38" s="114"/>
      <c r="E38" s="113" t="s">
        <v>45</v>
      </c>
      <c r="F38" s="113" t="s">
        <v>47</v>
      </c>
      <c r="G38" s="113" t="s">
        <v>48</v>
      </c>
      <c r="H38" s="113" t="s">
        <v>1046</v>
      </c>
      <c r="I38" s="113" t="s">
        <v>38</v>
      </c>
      <c r="J38" s="113" t="s">
        <v>40</v>
      </c>
      <c r="K38" s="113" t="s">
        <v>52</v>
      </c>
      <c r="L38" s="113" t="s">
        <v>1047</v>
      </c>
      <c r="M38" s="123" t="str">
        <f>F38</f>
        <v>3 Yr Ret (%)</v>
      </c>
      <c r="N38" s="123" t="str">
        <f>G38</f>
        <v>5 Yr Ret (%)</v>
      </c>
      <c r="O38" s="123" t="str">
        <f>H38</f>
        <v>10 Yr Ret (%)</v>
      </c>
      <c r="P38" s="123" t="s">
        <v>38</v>
      </c>
      <c r="Q38" s="123" t="s">
        <v>40</v>
      </c>
      <c r="R38" s="121" t="s">
        <v>52</v>
      </c>
      <c r="S38" s="121" t="s">
        <v>1047</v>
      </c>
      <c r="T38" s="328"/>
      <c r="Z38" s="42"/>
    </row>
    <row r="39" spans="2:26" x14ac:dyDescent="0.25">
      <c r="B39" s="119" t="s">
        <v>1073</v>
      </c>
      <c r="C39" s="125">
        <f t="shared" ref="C39:C45" si="14">RANK(T39,$T$39:$T$45,0)</f>
        <v>1</v>
      </c>
      <c r="D39" s="191" t="str">
        <f t="shared" ref="D39:D45" si="15">B39</f>
        <v>Nippon India Small Cap Fund - Reg - Growth</v>
      </c>
      <c r="E39" s="248">
        <v>7.6624999999999996</v>
      </c>
      <c r="F39" s="248">
        <v>19.028199999999998</v>
      </c>
      <c r="G39" s="248">
        <v>20.770499999999998</v>
      </c>
      <c r="H39" s="248">
        <v>21.3767</v>
      </c>
      <c r="I39" s="249">
        <v>7.4072899729234795E-2</v>
      </c>
      <c r="J39" s="249">
        <v>7.6207807234054195E-2</v>
      </c>
      <c r="K39" s="249">
        <v>0.86324644056310296</v>
      </c>
      <c r="L39" s="249">
        <v>17.274269871682101</v>
      </c>
      <c r="M39" s="142">
        <f t="shared" ref="M39:Q45" si="16">(F39-MIN(F$39:F$45))/(MAX(F$39:F$45)-MIN(F$39:F$45))</f>
        <v>1</v>
      </c>
      <c r="N39" s="142">
        <f t="shared" si="16"/>
        <v>1</v>
      </c>
      <c r="O39" s="142">
        <f t="shared" si="16"/>
        <v>1</v>
      </c>
      <c r="P39" s="142">
        <f t="shared" si="16"/>
        <v>1</v>
      </c>
      <c r="Q39" s="142">
        <f t="shared" si="16"/>
        <v>1</v>
      </c>
      <c r="R39" s="142">
        <f t="shared" ref="R39:S45" si="17">(MAX(K$39:K$45)-K39)/(MAX(K$39:K$45)-MIN(K$39:K$45))</f>
        <v>0.11598766574962305</v>
      </c>
      <c r="S39" s="142">
        <f t="shared" si="17"/>
        <v>0.12381100620656874</v>
      </c>
      <c r="T39" s="143">
        <f>(M39*'Fund Ranking Criteria'!$G$9)+('Fund Ranking_Equity'!N39*'Fund Ranking Criteria'!$G$10)+('Fund Ranking_Equity'!O39*'Fund Ranking Criteria'!$G$11)+('Fund Ranking_Equity'!P39*'Fund Ranking Criteria'!$G$16)+('Fund Ranking_Equity'!Q39*'Fund Ranking Criteria'!$G$12)+('Fund Ranking_Equity'!R39*'Fund Ranking Criteria'!$G$14)+('Fund Ranking_Equity'!S39*'Fund Ranking Criteria'!$G$15)</f>
        <v>0.73596980079342889</v>
      </c>
      <c r="Z39" s="42"/>
    </row>
    <row r="40" spans="2:26" x14ac:dyDescent="0.25">
      <c r="B40" s="119" t="s">
        <v>1074</v>
      </c>
      <c r="C40" s="125">
        <f t="shared" si="14"/>
        <v>2</v>
      </c>
      <c r="D40" s="191" t="str">
        <f t="shared" si="15"/>
        <v>HDFC Small Cap Fund - Growth</v>
      </c>
      <c r="E40" s="248">
        <v>1.5105</v>
      </c>
      <c r="F40" s="248">
        <v>14.720599999999999</v>
      </c>
      <c r="G40" s="248">
        <v>16.7361</v>
      </c>
      <c r="H40" s="248">
        <v>17.8186</v>
      </c>
      <c r="I40" s="249">
        <v>5.9022722882482601E-2</v>
      </c>
      <c r="J40" s="249">
        <v>-6.0089263305076503E-2</v>
      </c>
      <c r="K40" s="249">
        <v>0.76159588327151595</v>
      </c>
      <c r="L40" s="249">
        <v>15.319205439005801</v>
      </c>
      <c r="M40" s="142">
        <f t="shared" si="16"/>
        <v>0.22076700434153401</v>
      </c>
      <c r="N40" s="142">
        <f t="shared" si="16"/>
        <v>0.42065281387768005</v>
      </c>
      <c r="O40" s="142">
        <f t="shared" si="16"/>
        <v>0.83355241922279866</v>
      </c>
      <c r="P40" s="142">
        <f t="shared" si="16"/>
        <v>0.37888435742710869</v>
      </c>
      <c r="Q40" s="142">
        <f t="shared" si="16"/>
        <v>0.6473214295295785</v>
      </c>
      <c r="R40" s="142">
        <f t="shared" si="17"/>
        <v>0.8415590386827736</v>
      </c>
      <c r="S40" s="142">
        <f t="shared" si="17"/>
        <v>0.95380986585798533</v>
      </c>
      <c r="T40" s="143">
        <f>(M40*'Fund Ranking Criteria'!$G$9)+('Fund Ranking_Equity'!N40*'Fund Ranking Criteria'!$G$10)+('Fund Ranking_Equity'!O40*'Fund Ranking Criteria'!$G$11)+('Fund Ranking_Equity'!P40*'Fund Ranking Criteria'!$G$16)+('Fund Ranking_Equity'!Q40*'Fund Ranking Criteria'!$G$12)+('Fund Ranking_Equity'!R40*'Fund Ranking Criteria'!$G$14)+('Fund Ranking_Equity'!S40*'Fund Ranking Criteria'!$G$15)</f>
        <v>0.64903815346735239</v>
      </c>
      <c r="Z40" s="42"/>
    </row>
    <row r="41" spans="2:26" x14ac:dyDescent="0.25">
      <c r="B41" s="119" t="s">
        <v>1075</v>
      </c>
      <c r="C41" s="125">
        <f t="shared" si="14"/>
        <v>6</v>
      </c>
      <c r="D41" s="191" t="str">
        <f t="shared" si="15"/>
        <v>SBI Small Cap Fund - Growth</v>
      </c>
      <c r="E41" s="248">
        <v>4.5871000000000004</v>
      </c>
      <c r="F41" s="248">
        <v>13.531599999999999</v>
      </c>
      <c r="G41" s="248">
        <v>14.393700000000001</v>
      </c>
      <c r="H41" s="248">
        <v>18.460699999999999</v>
      </c>
      <c r="I41" s="249">
        <v>4.98420225540782E-2</v>
      </c>
      <c r="J41" s="249">
        <v>-0.21417815443860599</v>
      </c>
      <c r="K41" s="249">
        <v>0.79357969314071997</v>
      </c>
      <c r="L41" s="249">
        <v>15.861868611237499</v>
      </c>
      <c r="M41" s="142">
        <f t="shared" si="16"/>
        <v>5.6801736613602853E-3</v>
      </c>
      <c r="N41" s="142">
        <f t="shared" si="16"/>
        <v>8.4279908669241954E-2</v>
      </c>
      <c r="O41" s="142">
        <f t="shared" si="16"/>
        <v>0.86358979636707256</v>
      </c>
      <c r="P41" s="142">
        <f t="shared" si="16"/>
        <v>0</v>
      </c>
      <c r="Q41" s="142">
        <f t="shared" si="16"/>
        <v>0.24860523089533476</v>
      </c>
      <c r="R41" s="142">
        <f t="shared" si="17"/>
        <v>0.61326184625457358</v>
      </c>
      <c r="S41" s="142">
        <f t="shared" si="17"/>
        <v>0.72342880700430801</v>
      </c>
      <c r="T41" s="143">
        <f>(M41*'Fund Ranking Criteria'!$G$9)+('Fund Ranking_Equity'!N41*'Fund Ranking Criteria'!$G$10)+('Fund Ranking_Equity'!O41*'Fund Ranking Criteria'!$G$11)+('Fund Ranking_Equity'!P41*'Fund Ranking Criteria'!$G$16)+('Fund Ranking_Equity'!Q41*'Fund Ranking Criteria'!$G$12)+('Fund Ranking_Equity'!R41*'Fund Ranking Criteria'!$G$14)+('Fund Ranking_Equity'!S41*'Fund Ranking Criteria'!$G$15)</f>
        <v>0.36183401795501768</v>
      </c>
      <c r="Z41" s="42"/>
    </row>
    <row r="42" spans="2:26" x14ac:dyDescent="0.25">
      <c r="B42" s="119" t="s">
        <v>1076</v>
      </c>
      <c r="C42" s="125">
        <f t="shared" si="14"/>
        <v>7</v>
      </c>
      <c r="D42" s="191" t="str">
        <f t="shared" si="15"/>
        <v>Kotak Small Cap Fund - Reg - Growth</v>
      </c>
      <c r="E42" s="248">
        <v>1.3735999999999999</v>
      </c>
      <c r="F42" s="248">
        <v>13.5002</v>
      </c>
      <c r="G42" s="248">
        <v>13.806800000000001</v>
      </c>
      <c r="H42" s="248">
        <v>16.9877</v>
      </c>
      <c r="I42" s="249">
        <v>4.9940279893228801E-2</v>
      </c>
      <c r="J42" s="249">
        <v>-0.310254773572402</v>
      </c>
      <c r="K42" s="249">
        <v>0.84473573954442305</v>
      </c>
      <c r="L42" s="249">
        <v>17.366525612861501</v>
      </c>
      <c r="M42" s="142">
        <f t="shared" si="16"/>
        <v>0</v>
      </c>
      <c r="N42" s="142">
        <f t="shared" si="16"/>
        <v>0</v>
      </c>
      <c r="O42" s="142">
        <f t="shared" si="16"/>
        <v>0.79468299597225023</v>
      </c>
      <c r="P42" s="142">
        <f t="shared" si="16"/>
        <v>4.0550467257265462E-3</v>
      </c>
      <c r="Q42" s="142">
        <f t="shared" si="16"/>
        <v>0</v>
      </c>
      <c r="R42" s="142">
        <f t="shared" si="17"/>
        <v>0.24811517306423603</v>
      </c>
      <c r="S42" s="142">
        <f t="shared" si="17"/>
        <v>8.464495178125328E-2</v>
      </c>
      <c r="T42" s="143">
        <f>(M42*'Fund Ranking Criteria'!$G$9)+('Fund Ranking_Equity'!N42*'Fund Ranking Criteria'!$G$10)+('Fund Ranking_Equity'!O42*'Fund Ranking Criteria'!$G$11)+('Fund Ranking_Equity'!P42*'Fund Ranking Criteria'!$G$16)+('Fund Ranking_Equity'!Q42*'Fund Ranking Criteria'!$G$12)+('Fund Ranking_Equity'!R42*'Fund Ranking Criteria'!$G$14)+('Fund Ranking_Equity'!S42*'Fund Ranking Criteria'!$G$15)</f>
        <v>0.13019332766919373</v>
      </c>
      <c r="Z42" s="42"/>
    </row>
    <row r="43" spans="2:26" x14ac:dyDescent="0.25">
      <c r="B43" s="119" t="s">
        <v>1077</v>
      </c>
      <c r="C43" s="125">
        <f t="shared" si="14"/>
        <v>3</v>
      </c>
      <c r="D43" s="191" t="str">
        <f t="shared" si="15"/>
        <v>ICICI Prudential Smallcap Fund - Growth</v>
      </c>
      <c r="E43" s="248">
        <v>4.3261000000000003</v>
      </c>
      <c r="F43" s="248">
        <v>13.9251</v>
      </c>
      <c r="G43" s="248">
        <v>16.026499999999999</v>
      </c>
      <c r="H43" s="248">
        <v>16.3492</v>
      </c>
      <c r="I43" s="249">
        <v>5.7988899046383699E-2</v>
      </c>
      <c r="J43" s="249">
        <v>-0.148671743665861</v>
      </c>
      <c r="K43" s="249">
        <v>0.73939873959066305</v>
      </c>
      <c r="L43" s="249">
        <v>15.210404460123099</v>
      </c>
      <c r="M43" s="142">
        <f t="shared" si="16"/>
        <v>7.6863241678726671E-2</v>
      </c>
      <c r="N43" s="142">
        <f t="shared" si="16"/>
        <v>0.31875296178755524</v>
      </c>
      <c r="O43" s="142">
        <f t="shared" si="16"/>
        <v>0.76481402648678232</v>
      </c>
      <c r="P43" s="142">
        <f t="shared" si="16"/>
        <v>0.33621880187888198</v>
      </c>
      <c r="Q43" s="142">
        <f t="shared" si="16"/>
        <v>0.41810782707437122</v>
      </c>
      <c r="R43" s="142">
        <f t="shared" si="17"/>
        <v>1</v>
      </c>
      <c r="S43" s="142">
        <f t="shared" si="17"/>
        <v>1</v>
      </c>
      <c r="T43" s="143">
        <f>(M43*'Fund Ranking Criteria'!$G$9)+('Fund Ranking_Equity'!N43*'Fund Ranking Criteria'!$G$10)+('Fund Ranking_Equity'!O43*'Fund Ranking Criteria'!$G$11)+('Fund Ranking_Equity'!P43*'Fund Ranking Criteria'!$G$16)+('Fund Ranking_Equity'!Q43*'Fund Ranking Criteria'!$G$12)+('Fund Ranking_Equity'!R43*'Fund Ranking Criteria'!$G$14)+('Fund Ranking_Equity'!S43*'Fund Ranking Criteria'!$G$15)</f>
        <v>0.58645444968790972</v>
      </c>
      <c r="Z43" s="42"/>
    </row>
    <row r="44" spans="2:26" x14ac:dyDescent="0.25">
      <c r="B44" s="119" t="s">
        <v>1078</v>
      </c>
      <c r="C44" s="125">
        <f t="shared" si="14"/>
        <v>4</v>
      </c>
      <c r="D44" s="191" t="str">
        <f t="shared" si="15"/>
        <v>Aditya Birla Sun Life Small Cap Fund - Growth</v>
      </c>
      <c r="E44" s="248">
        <v>11.061</v>
      </c>
      <c r="F44" s="248">
        <v>17.612200000000001</v>
      </c>
      <c r="G44" s="248">
        <v>14.116199999999999</v>
      </c>
      <c r="H44" s="248">
        <v>13.4131</v>
      </c>
      <c r="I44" s="249">
        <v>6.4137390150931894E-2</v>
      </c>
      <c r="J44" s="249">
        <v>1.3085463513651001E-2</v>
      </c>
      <c r="K44" s="249">
        <v>0.87949599409046597</v>
      </c>
      <c r="L44" s="249">
        <v>17.5659070128584</v>
      </c>
      <c r="M44" s="142">
        <f t="shared" si="16"/>
        <v>0.74384949348769946</v>
      </c>
      <c r="N44" s="142">
        <f t="shared" si="16"/>
        <v>4.4430403377514603E-2</v>
      </c>
      <c r="O44" s="142">
        <f t="shared" si="16"/>
        <v>0.6274635467588543</v>
      </c>
      <c r="P44" s="142">
        <f t="shared" si="16"/>
        <v>0.5899649234122829</v>
      </c>
      <c r="Q44" s="142">
        <f t="shared" si="16"/>
        <v>0.83666635049457627</v>
      </c>
      <c r="R44" s="142">
        <f t="shared" si="17"/>
        <v>0</v>
      </c>
      <c r="S44" s="142">
        <f t="shared" si="17"/>
        <v>0</v>
      </c>
      <c r="T44" s="143">
        <f>(M44*'Fund Ranking Criteria'!$G$9)+('Fund Ranking_Equity'!N44*'Fund Ranking Criteria'!$G$10)+('Fund Ranking_Equity'!O44*'Fund Ranking Criteria'!$G$11)+('Fund Ranking_Equity'!P44*'Fund Ranking Criteria'!$G$16)+('Fund Ranking_Equity'!Q44*'Fund Ranking Criteria'!$G$12)+('Fund Ranking_Equity'!R44*'Fund Ranking Criteria'!$G$14)+('Fund Ranking_Equity'!S44*'Fund Ranking Criteria'!$G$15)</f>
        <v>0.45134734067204907</v>
      </c>
      <c r="Z44" s="42"/>
    </row>
    <row r="45" spans="2:26" ht="15" customHeight="1" thickBot="1" x14ac:dyDescent="0.3">
      <c r="B45" s="120" t="s">
        <v>1079</v>
      </c>
      <c r="C45" s="126">
        <f t="shared" si="14"/>
        <v>5</v>
      </c>
      <c r="D45" s="192" t="str">
        <f t="shared" si="15"/>
        <v>UTI Small Cap Fund - Reg - Growth</v>
      </c>
      <c r="E45" s="251">
        <v>5.1303999999999998</v>
      </c>
      <c r="F45" s="251">
        <v>16.572800000000001</v>
      </c>
      <c r="G45" s="251">
        <v>16.258299999999998</v>
      </c>
      <c r="H45" s="251">
        <v>0</v>
      </c>
      <c r="I45" s="250">
        <v>6.2903032996442995E-2</v>
      </c>
      <c r="J45" s="250">
        <v>-9.0612325943729505E-2</v>
      </c>
      <c r="K45" s="250">
        <v>0.83001276589012696</v>
      </c>
      <c r="L45" s="250">
        <v>16.9532060679004</v>
      </c>
      <c r="M45" s="144">
        <f t="shared" si="16"/>
        <v>0.55582489146165015</v>
      </c>
      <c r="N45" s="144">
        <f t="shared" si="16"/>
        <v>0.35203986386547359</v>
      </c>
      <c r="O45" s="144">
        <f t="shared" si="16"/>
        <v>0</v>
      </c>
      <c r="P45" s="144">
        <f t="shared" si="16"/>
        <v>0.53902342651284507</v>
      </c>
      <c r="Q45" s="144">
        <f t="shared" si="16"/>
        <v>0.56834078779459207</v>
      </c>
      <c r="R45" s="144">
        <f t="shared" si="17"/>
        <v>0.35320626643977965</v>
      </c>
      <c r="S45" s="144">
        <f t="shared" si="17"/>
        <v>0.2601147446206365</v>
      </c>
      <c r="T45" s="145">
        <f>(M45*'Fund Ranking Criteria'!$G$9)+('Fund Ranking_Equity'!N45*'Fund Ranking Criteria'!$G$10)+('Fund Ranking_Equity'!O45*'Fund Ranking Criteria'!$G$11)+('Fund Ranking_Equity'!P45*'Fund Ranking Criteria'!$G$16)+('Fund Ranking_Equity'!Q45*'Fund Ranking Criteria'!$G$12)+('Fund Ranking_Equity'!R45*'Fund Ranking Criteria'!$G$14)+('Fund Ranking_Equity'!S45*'Fund Ranking Criteria'!$G$15)</f>
        <v>0.41029078796813728</v>
      </c>
      <c r="Z45" s="42"/>
    </row>
    <row r="46" spans="2:26" ht="15" customHeight="1" thickBot="1" x14ac:dyDescent="0.3"/>
    <row r="47" spans="2:26" ht="15" customHeight="1" thickBot="1" x14ac:dyDescent="0.3">
      <c r="B47" s="309" t="s">
        <v>1080</v>
      </c>
      <c r="C47" s="310"/>
      <c r="D47" s="310"/>
      <c r="E47" s="310"/>
      <c r="F47" s="310"/>
      <c r="G47" s="310"/>
      <c r="H47" s="310"/>
      <c r="I47" s="310"/>
      <c r="J47" s="310"/>
      <c r="K47" s="310"/>
      <c r="L47" s="310"/>
      <c r="M47" s="310"/>
      <c r="N47" s="310"/>
      <c r="O47" s="310"/>
      <c r="P47" s="310"/>
      <c r="Q47" s="310"/>
      <c r="R47" s="310"/>
      <c r="S47" s="310"/>
      <c r="T47" s="310"/>
      <c r="U47" s="310"/>
      <c r="V47" s="310"/>
      <c r="W47" s="310"/>
      <c r="X47" s="310"/>
      <c r="Y47" s="310"/>
      <c r="Z47" s="311"/>
    </row>
    <row r="48" spans="2:26" ht="15" customHeight="1" thickBot="1" x14ac:dyDescent="0.3">
      <c r="B48" s="147"/>
      <c r="C48" s="148"/>
      <c r="D48" s="190"/>
      <c r="E48" s="425" t="s">
        <v>1044</v>
      </c>
      <c r="F48" s="426"/>
      <c r="G48" s="426"/>
      <c r="H48" s="426"/>
      <c r="I48" s="426"/>
      <c r="J48" s="426"/>
      <c r="K48" s="426"/>
      <c r="L48" s="426"/>
      <c r="M48" s="425" t="s">
        <v>1045</v>
      </c>
      <c r="N48" s="426"/>
      <c r="O48" s="426"/>
      <c r="P48" s="426"/>
      <c r="Q48" s="426"/>
      <c r="R48" s="426"/>
      <c r="S48" s="426"/>
      <c r="T48" s="426"/>
      <c r="U48" s="308"/>
      <c r="V48" s="308"/>
      <c r="W48" s="308"/>
      <c r="X48" s="308"/>
      <c r="Y48" s="308"/>
    </row>
    <row r="49" spans="2:26" ht="29.1" customHeight="1" x14ac:dyDescent="0.25">
      <c r="B49" s="116" t="s">
        <v>44</v>
      </c>
      <c r="C49" s="114" t="s">
        <v>927</v>
      </c>
      <c r="D49" s="114"/>
      <c r="E49" s="113" t="s">
        <v>45</v>
      </c>
      <c r="F49" s="113" t="s">
        <v>47</v>
      </c>
      <c r="G49" s="113" t="s">
        <v>48</v>
      </c>
      <c r="H49" s="113" t="s">
        <v>1046</v>
      </c>
      <c r="I49" s="113" t="s">
        <v>38</v>
      </c>
      <c r="J49" s="113" t="s">
        <v>40</v>
      </c>
      <c r="K49" s="113" t="s">
        <v>52</v>
      </c>
      <c r="L49" s="113" t="s">
        <v>1047</v>
      </c>
      <c r="M49" s="123" t="str">
        <f>F49</f>
        <v>3 Yr Ret (%)</v>
      </c>
      <c r="N49" s="123" t="str">
        <f>G49</f>
        <v>5 Yr Ret (%)</v>
      </c>
      <c r="O49" s="123" t="str">
        <f>H49</f>
        <v>10 Yr Ret (%)</v>
      </c>
      <c r="P49" s="123" t="s">
        <v>38</v>
      </c>
      <c r="Q49" s="123" t="s">
        <v>40</v>
      </c>
      <c r="R49" s="121" t="s">
        <v>52</v>
      </c>
      <c r="S49" s="121" t="s">
        <v>1047</v>
      </c>
      <c r="T49" s="328"/>
      <c r="Z49" s="42"/>
    </row>
    <row r="50" spans="2:26" x14ac:dyDescent="0.25">
      <c r="B50" s="119" t="s">
        <v>1081</v>
      </c>
      <c r="C50" s="125">
        <f t="shared" ref="C50:C56" si="18">RANK(T50,$T$50:$T$56,0)</f>
        <v>2</v>
      </c>
      <c r="D50" s="191" t="str">
        <f t="shared" ref="D50:D56" si="19">B50</f>
        <v>SBI Focused Fund - Growth</v>
      </c>
      <c r="E50" s="248">
        <v>9.8925999999999998</v>
      </c>
      <c r="F50" s="248">
        <v>16.3428</v>
      </c>
      <c r="G50" s="248">
        <v>12.8795</v>
      </c>
      <c r="H50" s="248">
        <v>15.072800000000001</v>
      </c>
      <c r="I50" s="249">
        <v>8.3070707612642694E-2</v>
      </c>
      <c r="J50" s="249">
        <v>0.389889854242153</v>
      </c>
      <c r="K50" s="249">
        <v>0.73588079488524205</v>
      </c>
      <c r="L50" s="249">
        <v>11.072002369588599</v>
      </c>
      <c r="M50" s="142">
        <f t="shared" ref="M50:Q56" si="20">(F50-MIN(F$50:F$56))/(MAX(F$50:F$56)-MIN(F$50:F$56))</f>
        <v>0.42990863978840343</v>
      </c>
      <c r="N50" s="142">
        <f t="shared" si="20"/>
        <v>0.50814323251611682</v>
      </c>
      <c r="O50" s="142">
        <f t="shared" si="20"/>
        <v>1</v>
      </c>
      <c r="P50" s="142">
        <f t="shared" si="20"/>
        <v>0.55564726461229741</v>
      </c>
      <c r="Q50" s="142">
        <f t="shared" si="20"/>
        <v>0.89579020080639082</v>
      </c>
      <c r="R50" s="142">
        <f t="shared" ref="R50:S56" si="21">(MAX(K$50:K$56)-K50)/(MAX(K$50:K$56)-MIN(K$50:K$56))</f>
        <v>1</v>
      </c>
      <c r="S50" s="142">
        <f t="shared" si="21"/>
        <v>1</v>
      </c>
      <c r="T50" s="143">
        <f>(M50*'Fund Ranking Criteria'!$E$9)+('Fund Ranking_Equity'!N50*'Fund Ranking Criteria'!$E$10)+('Fund Ranking_Equity'!O50*'Fund Ranking Criteria'!$E$11)+('Fund Ranking_Equity'!P50*'Fund Ranking Criteria'!$E$16)+('Fund Ranking_Equity'!Q50*'Fund Ranking Criteria'!$E$12)+('Fund Ranking_Equity'!R50*'Fund Ranking Criteria'!$E$14)+('Fund Ranking_Equity'!S50*'Fund Ranking Criteria'!$E$15)</f>
        <v>0.80807459683042071</v>
      </c>
      <c r="Z50" s="42"/>
    </row>
    <row r="51" spans="2:26" x14ac:dyDescent="0.25">
      <c r="B51" s="119" t="s">
        <v>1082</v>
      </c>
      <c r="C51" s="125">
        <f t="shared" si="18"/>
        <v>3</v>
      </c>
      <c r="D51" s="191" t="str">
        <f t="shared" si="19"/>
        <v>HDFC Focused Fund - Growth</v>
      </c>
      <c r="E51" s="248">
        <v>0.74360000000000004</v>
      </c>
      <c r="F51" s="248">
        <v>17.331800000000001</v>
      </c>
      <c r="G51" s="248">
        <v>18.839700000000001</v>
      </c>
      <c r="H51" s="248">
        <v>14.471299999999999</v>
      </c>
      <c r="I51" s="249">
        <v>8.3455789197794006E-2</v>
      </c>
      <c r="J51" s="249">
        <v>0.327157424881236</v>
      </c>
      <c r="K51" s="249">
        <v>0.864223124647715</v>
      </c>
      <c r="L51" s="249">
        <v>12.0184449965141</v>
      </c>
      <c r="M51" s="142">
        <f t="shared" si="20"/>
        <v>0.4899054852525449</v>
      </c>
      <c r="N51" s="142">
        <f t="shared" si="20"/>
        <v>0.74329485287735442</v>
      </c>
      <c r="O51" s="142">
        <f t="shared" si="20"/>
        <v>0.96009367867947548</v>
      </c>
      <c r="P51" s="142">
        <f t="shared" si="20"/>
        <v>0.55996726616305215</v>
      </c>
      <c r="Q51" s="142">
        <f t="shared" si="20"/>
        <v>0.81252825335435841</v>
      </c>
      <c r="R51" s="142">
        <f t="shared" si="21"/>
        <v>0.42745416166912431</v>
      </c>
      <c r="S51" s="142">
        <f t="shared" si="21"/>
        <v>0.61340225792778447</v>
      </c>
      <c r="T51" s="143">
        <f>(M51*'Fund Ranking Criteria'!$E$9)+('Fund Ranking_Equity'!N51*'Fund Ranking Criteria'!$E$10)+('Fund Ranking_Equity'!O51*'Fund Ranking Criteria'!$E$11)+('Fund Ranking_Equity'!P51*'Fund Ranking Criteria'!$E$16)+('Fund Ranking_Equity'!Q51*'Fund Ranking Criteria'!$E$12)+('Fund Ranking_Equity'!R51*'Fund Ranking Criteria'!$E$14)+('Fund Ranking_Equity'!S51*'Fund Ranking Criteria'!$E$15)</f>
        <v>0.71396855711633989</v>
      </c>
      <c r="Z51" s="42"/>
    </row>
    <row r="52" spans="2:26" x14ac:dyDescent="0.25">
      <c r="B52" s="119" t="s">
        <v>1083</v>
      </c>
      <c r="C52" s="125">
        <f t="shared" si="18"/>
        <v>6</v>
      </c>
      <c r="D52" s="191" t="str">
        <f t="shared" si="19"/>
        <v>Axis Focused Fund - Growth</v>
      </c>
      <c r="E52" s="248">
        <v>-2.7183999999999999</v>
      </c>
      <c r="F52" s="248">
        <v>9.2561</v>
      </c>
      <c r="G52" s="248">
        <v>5.4827000000000004</v>
      </c>
      <c r="H52" s="248">
        <v>11.607699999999999</v>
      </c>
      <c r="I52" s="249">
        <v>3.3540741725359799E-2</v>
      </c>
      <c r="J52" s="249">
        <v>-0.28502944819985199</v>
      </c>
      <c r="K52" s="249">
        <v>0.93833442825382096</v>
      </c>
      <c r="L52" s="249">
        <v>13.380129180349201</v>
      </c>
      <c r="M52" s="142">
        <f t="shared" si="20"/>
        <v>0</v>
      </c>
      <c r="N52" s="142">
        <f t="shared" si="20"/>
        <v>0.21631250443853517</v>
      </c>
      <c r="O52" s="142">
        <f t="shared" si="20"/>
        <v>0.77010907064380862</v>
      </c>
      <c r="P52" s="142">
        <f t="shared" si="20"/>
        <v>0</v>
      </c>
      <c r="Q52" s="142">
        <f t="shared" si="20"/>
        <v>0</v>
      </c>
      <c r="R52" s="142">
        <f t="shared" si="21"/>
        <v>9.683745452751015E-2</v>
      </c>
      <c r="S52" s="142">
        <f t="shared" si="21"/>
        <v>5.7188900762992614E-2</v>
      </c>
      <c r="T52" s="143">
        <f>(M52*'Fund Ranking Criteria'!$E$9)+('Fund Ranking_Equity'!N52*'Fund Ranking Criteria'!$E$10)+('Fund Ranking_Equity'!O52*'Fund Ranking Criteria'!$E$11)+('Fund Ranking_Equity'!P52*'Fund Ranking Criteria'!$E$16)+('Fund Ranking_Equity'!Q52*'Fund Ranking Criteria'!$E$12)+('Fund Ranking_Equity'!R52*'Fund Ranking Criteria'!$E$14)+('Fund Ranking_Equity'!S52*'Fund Ranking Criteria'!$E$15)</f>
        <v>0.15112052405040027</v>
      </c>
      <c r="Z52" s="42"/>
    </row>
    <row r="53" spans="2:26" x14ac:dyDescent="0.25">
      <c r="B53" s="119" t="s">
        <v>1084</v>
      </c>
      <c r="C53" s="125">
        <f t="shared" si="18"/>
        <v>1</v>
      </c>
      <c r="D53" s="191" t="str">
        <f t="shared" si="19"/>
        <v>ICICI Prudential Focused Equity Fund  - Ret - Growth</v>
      </c>
      <c r="E53" s="248">
        <v>6.9878</v>
      </c>
      <c r="F53" s="248">
        <v>25.740300000000001</v>
      </c>
      <c r="G53" s="248">
        <v>25.3462</v>
      </c>
      <c r="H53" s="248">
        <v>14.723000000000001</v>
      </c>
      <c r="I53" s="249">
        <v>0.12267996554902499</v>
      </c>
      <c r="J53" s="249">
        <v>0.46840511921832501</v>
      </c>
      <c r="K53" s="249">
        <v>0.92061035175529404</v>
      </c>
      <c r="L53" s="249">
        <v>13.520135206196599</v>
      </c>
      <c r="M53" s="142">
        <f t="shared" si="20"/>
        <v>1</v>
      </c>
      <c r="N53" s="142">
        <f t="shared" si="20"/>
        <v>1</v>
      </c>
      <c r="O53" s="142">
        <f t="shared" si="20"/>
        <v>0.97679263308741571</v>
      </c>
      <c r="P53" s="142">
        <f t="shared" si="20"/>
        <v>1</v>
      </c>
      <c r="Q53" s="142">
        <f t="shared" si="20"/>
        <v>1</v>
      </c>
      <c r="R53" s="142">
        <f t="shared" si="21"/>
        <v>0.17590603818397479</v>
      </c>
      <c r="S53" s="142">
        <f t="shared" si="21"/>
        <v>0</v>
      </c>
      <c r="T53" s="143">
        <f>(M53*'Fund Ranking Criteria'!$E$9)+('Fund Ranking_Equity'!N53*'Fund Ranking Criteria'!$E$10)+('Fund Ranking_Equity'!O53*'Fund Ranking Criteria'!$E$11)+('Fund Ranking_Equity'!P53*'Fund Ranking Criteria'!$E$16)+('Fund Ranking_Equity'!Q53*'Fund Ranking Criteria'!$E$12)+('Fund Ranking_Equity'!R53*'Fund Ranking Criteria'!$E$14)+('Fund Ranking_Equity'!S53*'Fund Ranking Criteria'!$E$15)</f>
        <v>0.83910949878150976</v>
      </c>
      <c r="Z53" s="42"/>
    </row>
    <row r="54" spans="2:26" x14ac:dyDescent="0.25">
      <c r="B54" s="119" t="s">
        <v>1085</v>
      </c>
      <c r="C54" s="125">
        <f t="shared" si="18"/>
        <v>5</v>
      </c>
      <c r="D54" s="191" t="str">
        <f t="shared" si="19"/>
        <v>Nippon India Focused Fund - Reg - Growth</v>
      </c>
      <c r="E54" s="248">
        <v>1.1802999999999999</v>
      </c>
      <c r="F54" s="248">
        <v>13.371</v>
      </c>
      <c r="G54" s="248">
        <v>12.389099999999999</v>
      </c>
      <c r="H54" s="248">
        <v>13.7684</v>
      </c>
      <c r="I54" s="249">
        <v>5.4834564296076499E-2</v>
      </c>
      <c r="J54" s="249">
        <v>2.1920888483126801E-3</v>
      </c>
      <c r="K54" s="249">
        <v>0.96004158895655201</v>
      </c>
      <c r="L54" s="249">
        <v>13.1801262683591</v>
      </c>
      <c r="M54" s="142">
        <f t="shared" si="20"/>
        <v>0.24962691547057184</v>
      </c>
      <c r="N54" s="142">
        <f t="shared" si="20"/>
        <v>0.48879516456115707</v>
      </c>
      <c r="O54" s="142">
        <f t="shared" si="20"/>
        <v>0.9134600074306034</v>
      </c>
      <c r="P54" s="142">
        <f t="shared" si="20"/>
        <v>0.23888274608313892</v>
      </c>
      <c r="Q54" s="142">
        <f t="shared" si="20"/>
        <v>0.38121629862616691</v>
      </c>
      <c r="R54" s="142">
        <f t="shared" si="21"/>
        <v>0</v>
      </c>
      <c r="S54" s="142">
        <f t="shared" si="21"/>
        <v>0.13888500360486861</v>
      </c>
      <c r="T54" s="143">
        <f>(M54*'Fund Ranking Criteria'!$E$9)+('Fund Ranking_Equity'!N54*'Fund Ranking Criteria'!$E$10)+('Fund Ranking_Equity'!O54*'Fund Ranking Criteria'!$E$11)+('Fund Ranking_Equity'!P54*'Fund Ranking Criteria'!$E$16)+('Fund Ranking_Equity'!Q54*'Fund Ranking Criteria'!$E$12)+('Fund Ranking_Equity'!R54*'Fund Ranking Criteria'!$E$14)+('Fund Ranking_Equity'!S54*'Fund Ranking Criteria'!$E$15)</f>
        <v>0.3840264236983077</v>
      </c>
      <c r="Z54" s="42"/>
    </row>
    <row r="55" spans="2:26" x14ac:dyDescent="0.25">
      <c r="B55" s="119" t="s">
        <v>1086</v>
      </c>
      <c r="C55" s="125">
        <f t="shared" si="18"/>
        <v>4</v>
      </c>
      <c r="D55" s="191" t="str">
        <f t="shared" si="19"/>
        <v>Kotak Focused Fund - Reg - Growth</v>
      </c>
      <c r="E55" s="248">
        <v>8.0756999999999994</v>
      </c>
      <c r="F55" s="248">
        <v>16.0596</v>
      </c>
      <c r="G55" s="248">
        <v>13.0017</v>
      </c>
      <c r="H55" s="248">
        <v>0</v>
      </c>
      <c r="I55" s="249">
        <v>7.1927089712550601E-2</v>
      </c>
      <c r="J55" s="249">
        <v>0.16581476275130899</v>
      </c>
      <c r="K55" s="249">
        <v>0.93433108254205399</v>
      </c>
      <c r="L55" s="249">
        <v>12.463912016825599</v>
      </c>
      <c r="M55" s="142">
        <f t="shared" si="20"/>
        <v>0.41272855218936916</v>
      </c>
      <c r="N55" s="142">
        <f t="shared" si="20"/>
        <v>0.51296446804649221</v>
      </c>
      <c r="O55" s="142">
        <f t="shared" si="20"/>
        <v>0</v>
      </c>
      <c r="P55" s="142">
        <f t="shared" si="20"/>
        <v>0.43063363512258646</v>
      </c>
      <c r="Q55" s="142">
        <f t="shared" si="20"/>
        <v>0.59838535481068522</v>
      </c>
      <c r="R55" s="142">
        <f t="shared" si="21"/>
        <v>0.11469671367384163</v>
      </c>
      <c r="S55" s="142">
        <f t="shared" si="21"/>
        <v>0.43144030976458181</v>
      </c>
      <c r="T55" s="143">
        <f>(M55*'Fund Ranking Criteria'!$E$9)+('Fund Ranking_Equity'!N55*'Fund Ranking Criteria'!$E$10)+('Fund Ranking_Equity'!O55*'Fund Ranking Criteria'!$E$11)+('Fund Ranking_Equity'!P55*'Fund Ranking Criteria'!$E$16)+('Fund Ranking_Equity'!Q55*'Fund Ranking Criteria'!$E$12)+('Fund Ranking_Equity'!R55*'Fund Ranking Criteria'!$E$14)+('Fund Ranking_Equity'!S55*'Fund Ranking Criteria'!$E$15)</f>
        <v>0.40055632934403795</v>
      </c>
      <c r="Z55" s="42"/>
    </row>
    <row r="56" spans="2:26" ht="15" customHeight="1" thickBot="1" x14ac:dyDescent="0.3">
      <c r="B56" s="119" t="s">
        <v>1087</v>
      </c>
      <c r="C56" s="125">
        <f t="shared" si="18"/>
        <v>7</v>
      </c>
      <c r="D56" s="191" t="str">
        <f t="shared" si="19"/>
        <v>UTI Focused Fund - Reg - Growth</v>
      </c>
      <c r="E56" s="251">
        <v>-2.6179999999999999</v>
      </c>
      <c r="F56" s="251">
        <v>10.9085</v>
      </c>
      <c r="G56" s="251">
        <v>0</v>
      </c>
      <c r="H56" s="251">
        <v>0</v>
      </c>
      <c r="I56" s="250">
        <v>4.5687427603933801E-2</v>
      </c>
      <c r="J56" s="250">
        <v>-0.14391322512685101</v>
      </c>
      <c r="K56" s="250">
        <v>0.91018603719576496</v>
      </c>
      <c r="L56" s="250">
        <v>12.4297367289244</v>
      </c>
      <c r="M56" s="142">
        <f t="shared" si="20"/>
        <v>0.1002414433214836</v>
      </c>
      <c r="N56" s="142">
        <f t="shared" si="20"/>
        <v>0</v>
      </c>
      <c r="O56" s="142">
        <f t="shared" si="20"/>
        <v>0</v>
      </c>
      <c r="P56" s="142">
        <f t="shared" si="20"/>
        <v>0.13626645327989978</v>
      </c>
      <c r="Q56" s="142">
        <f t="shared" si="20"/>
        <v>0.18729725071756306</v>
      </c>
      <c r="R56" s="142">
        <f t="shared" si="21"/>
        <v>0.22240977494452938</v>
      </c>
      <c r="S56" s="142">
        <f t="shared" si="21"/>
        <v>0.4454000456866532</v>
      </c>
      <c r="T56" s="143">
        <f>(M56*'Fund Ranking Criteria'!$E$9)+('Fund Ranking_Equity'!N56*'Fund Ranking Criteria'!$E$10)+('Fund Ranking_Equity'!O56*'Fund Ranking Criteria'!$E$11)+('Fund Ranking_Equity'!P56*'Fund Ranking Criteria'!$E$16)+('Fund Ranking_Equity'!Q56*'Fund Ranking Criteria'!$E$12)+('Fund Ranking_Equity'!R56*'Fund Ranking Criteria'!$E$14)+('Fund Ranking_Equity'!S56*'Fund Ranking Criteria'!$E$15)</f>
        <v>0.15005872016215566</v>
      </c>
      <c r="Z56" s="42"/>
    </row>
    <row r="57" spans="2:26" ht="15" customHeight="1" thickBot="1" x14ac:dyDescent="0.3">
      <c r="E57" s="42">
        <v>2</v>
      </c>
      <c r="F57" s="42">
        <v>3</v>
      </c>
      <c r="G57" s="42">
        <v>4</v>
      </c>
      <c r="H57" s="42">
        <v>6</v>
      </c>
      <c r="I57" s="42">
        <v>7</v>
      </c>
      <c r="J57" s="42">
        <f>I57+1</f>
        <v>8</v>
      </c>
      <c r="K57" s="42">
        <f>J57+1</f>
        <v>9</v>
      </c>
      <c r="L57" s="42">
        <f>K57+1</f>
        <v>10</v>
      </c>
      <c r="M57" s="42">
        <f>L57+1</f>
        <v>11</v>
      </c>
      <c r="N57" s="42">
        <f>M57+1</f>
        <v>12</v>
      </c>
    </row>
    <row r="58" spans="2:26" ht="15" customHeight="1" thickBot="1" x14ac:dyDescent="0.3">
      <c r="B58" s="309" t="s">
        <v>924</v>
      </c>
      <c r="C58" s="310"/>
      <c r="D58" s="310"/>
      <c r="E58" s="310"/>
      <c r="F58" s="310"/>
      <c r="G58" s="310"/>
      <c r="H58" s="310"/>
      <c r="I58" s="310"/>
      <c r="J58" s="310"/>
      <c r="K58" s="310"/>
      <c r="L58" s="310"/>
      <c r="M58" s="310"/>
      <c r="N58" s="310"/>
      <c r="O58" s="310"/>
      <c r="P58" s="310"/>
      <c r="Q58" s="310"/>
      <c r="R58" s="310"/>
      <c r="S58" s="310"/>
      <c r="Z58" s="42"/>
    </row>
    <row r="59" spans="2:26" ht="15" customHeight="1" thickBot="1" x14ac:dyDescent="0.3">
      <c r="B59" s="262"/>
      <c r="C59" s="189"/>
      <c r="D59" s="189"/>
      <c r="E59" s="427" t="s">
        <v>1044</v>
      </c>
      <c r="F59" s="426"/>
      <c r="G59" s="426"/>
      <c r="H59" s="426"/>
      <c r="I59" s="426"/>
      <c r="J59" s="426"/>
      <c r="K59" s="426"/>
      <c r="L59" s="425" t="s">
        <v>1045</v>
      </c>
      <c r="M59" s="426"/>
      <c r="N59" s="426"/>
      <c r="O59" s="426"/>
      <c r="P59" s="426"/>
      <c r="Q59" s="426"/>
      <c r="R59" s="426"/>
      <c r="S59" s="426"/>
      <c r="Z59" s="42"/>
    </row>
    <row r="60" spans="2:26" ht="29.1" customHeight="1" x14ac:dyDescent="0.25">
      <c r="B60" s="116" t="s">
        <v>44</v>
      </c>
      <c r="C60" s="114" t="s">
        <v>927</v>
      </c>
      <c r="D60" s="114"/>
      <c r="E60" s="113" t="s">
        <v>45</v>
      </c>
      <c r="F60" s="113" t="s">
        <v>47</v>
      </c>
      <c r="G60" s="113" t="s">
        <v>48</v>
      </c>
      <c r="H60" s="113" t="s">
        <v>1046</v>
      </c>
      <c r="I60" s="113" t="s">
        <v>38</v>
      </c>
      <c r="J60" s="113" t="s">
        <v>40</v>
      </c>
      <c r="K60" s="113" t="s">
        <v>52</v>
      </c>
      <c r="L60" s="113" t="s">
        <v>1047</v>
      </c>
      <c r="M60" s="123" t="str">
        <f>E60</f>
        <v>1 Yr Ret (%)</v>
      </c>
      <c r="N60" s="123" t="str">
        <f>F60</f>
        <v>3 Yr Ret (%)</v>
      </c>
      <c r="O60" s="123" t="str">
        <f>G60</f>
        <v>5 Yr Ret (%)</v>
      </c>
      <c r="P60" s="123" t="s">
        <v>38</v>
      </c>
      <c r="Q60" s="123" t="s">
        <v>40</v>
      </c>
      <c r="R60" s="121" t="s">
        <v>52</v>
      </c>
      <c r="S60" s="121" t="s">
        <v>1047</v>
      </c>
      <c r="T60" s="328"/>
      <c r="Z60" s="42"/>
    </row>
    <row r="61" spans="2:26" x14ac:dyDescent="0.25">
      <c r="B61" s="304" t="s">
        <v>1088</v>
      </c>
      <c r="C61" s="125">
        <f t="shared" ref="C61:C67" si="22">RANK(T61,$T$61:$T$67,0)</f>
        <v>6</v>
      </c>
      <c r="D61" s="191" t="str">
        <f>B61</f>
        <v>HDFC Balanced Advantage Fund - Growth</v>
      </c>
      <c r="E61" s="248">
        <v>0.60770000000000002</v>
      </c>
      <c r="F61" s="248">
        <v>14.595599999999999</v>
      </c>
      <c r="G61" s="248">
        <v>15.2247</v>
      </c>
      <c r="H61" s="248">
        <v>14.6709</v>
      </c>
      <c r="I61" s="249">
        <v>8.17444657795484E-2</v>
      </c>
      <c r="J61" s="249">
        <v>0</v>
      </c>
      <c r="K61" s="249">
        <v>0</v>
      </c>
      <c r="L61" s="249">
        <v>9.3368020994506598</v>
      </c>
      <c r="M61" s="142">
        <f t="shared" ref="M61:N67" si="23">(E61-MIN(E$61:E$67))/(MAX(E$61:E$67)-MIN(E$61:E$67))</f>
        <v>0.33991221566475871</v>
      </c>
      <c r="N61" s="142">
        <f t="shared" si="23"/>
        <v>1</v>
      </c>
      <c r="O61" s="142">
        <v>0</v>
      </c>
      <c r="P61" s="142">
        <f t="shared" ref="P61:P67" si="24">(I61-MIN(I$61:I$67))/(MAX(I$61:I$67)-MIN(I$61:I$67))</f>
        <v>0.94715096647830632</v>
      </c>
      <c r="Q61" s="142"/>
      <c r="R61" s="142"/>
      <c r="S61" s="142">
        <f t="shared" ref="S61:S67" si="25">(MAX(L$61:L$67)-L61)/(MAX(L$61:L$67)-MIN(L$61:L$67))</f>
        <v>0</v>
      </c>
      <c r="T61" s="143">
        <f>(M61*'Fund Ranking Criteria'!$F$9)+('Fund Ranking_Equity'!N61*'Fund Ranking Criteria'!$F$10)+('Fund Ranking_Equity'!O61*'Fund Ranking Criteria'!$F$11)+('Fund Ranking_Equity'!P61*'Fund Ranking Criteria'!$F$16)+('Fund Ranking_Equity'!Q61*'Fund Ranking Criteria'!$F$12)+('Fund Ranking_Equity'!R61*'Fund Ranking Criteria'!$F$14)+('Fund Ranking_Equity'!S61*'Fund Ranking Criteria'!$F$15)</f>
        <v>0.28274702991694156</v>
      </c>
      <c r="Z61" s="42"/>
    </row>
    <row r="62" spans="2:26" ht="29.1" customHeight="1" x14ac:dyDescent="0.25">
      <c r="B62" s="119" t="s">
        <v>1089</v>
      </c>
      <c r="C62" s="125">
        <f t="shared" si="22"/>
        <v>1</v>
      </c>
      <c r="D62" s="191" t="str">
        <f>B62</f>
        <v>ICICI Prudential Balanced Advantage Fund - Reg - Growth</v>
      </c>
      <c r="E62" s="248">
        <v>5.0591999999999997</v>
      </c>
      <c r="F62" s="248">
        <v>11.9938</v>
      </c>
      <c r="G62" s="248">
        <v>10.803100000000001</v>
      </c>
      <c r="H62" s="248">
        <v>11.1358</v>
      </c>
      <c r="I62" s="249">
        <v>8.4753245481936093E-2</v>
      </c>
      <c r="J62" s="249">
        <v>0</v>
      </c>
      <c r="K62" s="249">
        <v>0</v>
      </c>
      <c r="L62" s="249">
        <v>6.2336317601142897</v>
      </c>
      <c r="M62" s="142">
        <f t="shared" si="23"/>
        <v>1</v>
      </c>
      <c r="N62" s="142">
        <f t="shared" si="23"/>
        <v>0.82174079859683746</v>
      </c>
      <c r="O62" s="142">
        <f t="shared" ref="O62:O67" si="26">(G62-MIN(G$61:G$67))/(MAX(G$61:G$67)-MIN(G$61:G$67))</f>
        <v>0.70957720020755743</v>
      </c>
      <c r="P62" s="142">
        <f t="shared" si="24"/>
        <v>1</v>
      </c>
      <c r="Q62" s="142"/>
      <c r="R62" s="142"/>
      <c r="S62" s="142">
        <f t="shared" si="25"/>
        <v>1</v>
      </c>
      <c r="T62" s="143">
        <f>(M62*'Fund Ranking Criteria'!$F$9)+('Fund Ranking_Equity'!N62*'Fund Ranking Criteria'!$F$10)+('Fund Ranking_Equity'!O62*'Fund Ranking Criteria'!$F$11)+('Fund Ranking_Equity'!P62*'Fund Ranking Criteria'!$F$16)+('Fund Ranking_Equity'!Q62*'Fund Ranking Criteria'!$F$12)+('Fund Ranking_Equity'!R62*'Fund Ranking Criteria'!$F$14)+('Fund Ranking_Equity'!S62*'Fund Ranking Criteria'!$F$15)</f>
        <v>0.48861065989081737</v>
      </c>
      <c r="Z62" s="42"/>
    </row>
    <row r="63" spans="2:26" x14ac:dyDescent="0.25">
      <c r="B63" s="119" t="s">
        <v>1090</v>
      </c>
      <c r="C63" s="125">
        <f t="shared" si="22"/>
        <v>4</v>
      </c>
      <c r="D63" s="191" t="str">
        <f>B63</f>
        <v>SBI Balanced Advantage Fund - Reg - Growth</v>
      </c>
      <c r="E63" s="248">
        <v>3.3473999999999999</v>
      </c>
      <c r="F63" s="248">
        <v>11.246499999999999</v>
      </c>
      <c r="G63" s="248">
        <v>0</v>
      </c>
      <c r="H63" s="248">
        <v>0</v>
      </c>
      <c r="I63" s="249">
        <v>7.7386369160566099E-2</v>
      </c>
      <c r="J63" s="249">
        <v>0</v>
      </c>
      <c r="K63" s="249">
        <v>0</v>
      </c>
      <c r="L63" s="249">
        <v>6.28677888538048</v>
      </c>
      <c r="M63" s="142">
        <f t="shared" si="23"/>
        <v>0.74616684955069845</v>
      </c>
      <c r="N63" s="142">
        <f t="shared" si="23"/>
        <v>0.77054043684398033</v>
      </c>
      <c r="O63" s="142">
        <f t="shared" si="26"/>
        <v>0</v>
      </c>
      <c r="P63" s="142">
        <f t="shared" si="24"/>
        <v>0.87060126291423412</v>
      </c>
      <c r="Q63" s="142"/>
      <c r="R63" s="142"/>
      <c r="S63" s="142">
        <f t="shared" si="25"/>
        <v>0.98287328136889962</v>
      </c>
      <c r="T63" s="143">
        <f>(M63*'Fund Ranking Criteria'!$F$9)+('Fund Ranking_Equity'!N63*'Fund Ranking Criteria'!$F$10)+('Fund Ranking_Equity'!O63*'Fund Ranking Criteria'!$F$11)+('Fund Ranking_Equity'!P63*'Fund Ranking Criteria'!$F$16)+('Fund Ranking_Equity'!Q63*'Fund Ranking Criteria'!$F$12)+('Fund Ranking_Equity'!R63*'Fund Ranking Criteria'!$F$14)+('Fund Ranking_Equity'!S63*'Fund Ranking Criteria'!$F$15)</f>
        <v>0.34043310327459142</v>
      </c>
      <c r="Z63" s="42"/>
    </row>
    <row r="64" spans="2:26" x14ac:dyDescent="0.25">
      <c r="B64" s="119" t="s">
        <v>1091</v>
      </c>
      <c r="C64" s="125">
        <f t="shared" si="22"/>
        <v>5</v>
      </c>
      <c r="D64" s="191" t="str">
        <f>B64</f>
        <v>Kotak Balanced Advantage Fund - Reg - Growth</v>
      </c>
      <c r="E64" s="248">
        <v>1.8466</v>
      </c>
      <c r="F64" s="248">
        <v>9.8640000000000008</v>
      </c>
      <c r="G64" s="248">
        <v>8.8010999999999999</v>
      </c>
      <c r="H64" s="248">
        <v>0</v>
      </c>
      <c r="I64" s="249">
        <v>5.12648231064382E-2</v>
      </c>
      <c r="J64" s="249">
        <v>0</v>
      </c>
      <c r="K64" s="249">
        <v>0</v>
      </c>
      <c r="L64" s="249">
        <v>7.4272788120709503</v>
      </c>
      <c r="M64" s="142">
        <f t="shared" si="23"/>
        <v>0.52362169696610217</v>
      </c>
      <c r="N64" s="142">
        <f t="shared" si="23"/>
        <v>0.67582011017018839</v>
      </c>
      <c r="O64" s="142">
        <f t="shared" si="26"/>
        <v>0.57808035626317755</v>
      </c>
      <c r="P64" s="142">
        <f t="shared" si="24"/>
        <v>0.41177788612877531</v>
      </c>
      <c r="Q64" s="142"/>
      <c r="R64" s="142"/>
      <c r="S64" s="142">
        <f t="shared" si="25"/>
        <v>0.61534594578139445</v>
      </c>
      <c r="T64" s="143">
        <f>(M64*'Fund Ranking Criteria'!$F$9)+('Fund Ranking_Equity'!N64*'Fund Ranking Criteria'!$F$10)+('Fund Ranking_Equity'!O64*'Fund Ranking Criteria'!$F$11)+('Fund Ranking_Equity'!P64*'Fund Ranking Criteria'!$F$16)+('Fund Ranking_Equity'!Q64*'Fund Ranking Criteria'!$F$12)+('Fund Ranking_Equity'!R64*'Fund Ranking Criteria'!$F$14)+('Fund Ranking_Equity'!S64*'Fund Ranking Criteria'!$F$15)</f>
        <v>0.29868722531094083</v>
      </c>
      <c r="Z64" s="42"/>
    </row>
    <row r="65" spans="2:26" x14ac:dyDescent="0.25">
      <c r="B65" s="304" t="s">
        <v>1092</v>
      </c>
      <c r="C65" s="125">
        <f t="shared" si="22"/>
        <v>7</v>
      </c>
      <c r="D65" s="191"/>
      <c r="E65" s="248">
        <v>-1.6846000000000001</v>
      </c>
      <c r="F65" s="248">
        <v>0</v>
      </c>
      <c r="G65" s="248">
        <v>0</v>
      </c>
      <c r="H65" s="248">
        <v>0</v>
      </c>
      <c r="I65" s="249">
        <v>2.7821651810452201E-2</v>
      </c>
      <c r="J65" s="249">
        <v>0</v>
      </c>
      <c r="K65" s="249">
        <v>0</v>
      </c>
      <c r="L65" s="249">
        <v>7.2404666287213697</v>
      </c>
      <c r="M65" s="142">
        <f t="shared" si="23"/>
        <v>0</v>
      </c>
      <c r="N65" s="142">
        <f t="shared" si="23"/>
        <v>0</v>
      </c>
      <c r="O65" s="142">
        <f t="shared" si="26"/>
        <v>0</v>
      </c>
      <c r="P65" s="142">
        <f t="shared" si="24"/>
        <v>0</v>
      </c>
      <c r="Q65" s="142"/>
      <c r="R65" s="142"/>
      <c r="S65" s="142">
        <f t="shared" si="25"/>
        <v>0.67554637402779594</v>
      </c>
      <c r="T65" s="143">
        <f>(M65*'Fund Ranking Criteria'!$F$9)+('Fund Ranking_Equity'!N65*'Fund Ranking Criteria'!$F$10)+('Fund Ranking_Equity'!O65*'Fund Ranking Criteria'!$F$11)+('Fund Ranking_Equity'!P65*'Fund Ranking Criteria'!$F$16)+('Fund Ranking_Equity'!Q65*'Fund Ranking Criteria'!$F$12)+('Fund Ranking_Equity'!R65*'Fund Ranking Criteria'!$F$14)+('Fund Ranking_Equity'!S65*'Fund Ranking Criteria'!$F$15)</f>
        <v>5.0665978052084691E-2</v>
      </c>
      <c r="Z65" s="42"/>
    </row>
    <row r="66" spans="2:26" x14ac:dyDescent="0.25">
      <c r="B66" s="119" t="s">
        <v>1093</v>
      </c>
      <c r="C66" s="125">
        <f t="shared" si="22"/>
        <v>3</v>
      </c>
      <c r="D66" s="191" t="str">
        <f>B66</f>
        <v>Nippon India Balanced Advantage Fund - Reg - Growth</v>
      </c>
      <c r="E66" s="248">
        <v>3.7662</v>
      </c>
      <c r="F66" s="248">
        <v>11.207700000000001</v>
      </c>
      <c r="G66" s="248">
        <v>9.5429999999999993</v>
      </c>
      <c r="H66" s="248">
        <v>10.937099999999999</v>
      </c>
      <c r="I66" s="249">
        <v>6.5924640684800306E-2</v>
      </c>
      <c r="J66" s="249">
        <v>0</v>
      </c>
      <c r="K66" s="249">
        <v>0</v>
      </c>
      <c r="L66" s="249">
        <v>7.48160691911146</v>
      </c>
      <c r="M66" s="142">
        <f t="shared" si="23"/>
        <v>0.80826833535988607</v>
      </c>
      <c r="N66" s="142">
        <f t="shared" si="23"/>
        <v>0.76788210145523317</v>
      </c>
      <c r="O66" s="142">
        <f t="shared" si="26"/>
        <v>0.62681038050010829</v>
      </c>
      <c r="P66" s="142">
        <f t="shared" si="24"/>
        <v>0.66927669536560452</v>
      </c>
      <c r="Q66" s="142"/>
      <c r="R66" s="142"/>
      <c r="S66" s="142">
        <f t="shared" si="25"/>
        <v>0.5978386544955</v>
      </c>
      <c r="T66" s="143">
        <f>(M66*'Fund Ranking Criteria'!$F$9)+('Fund Ranking_Equity'!N66*'Fund Ranking Criteria'!$F$10)+('Fund Ranking_Equity'!O66*'Fund Ranking Criteria'!$F$11)+('Fund Ranking_Equity'!P66*'Fund Ranking Criteria'!$F$16)+('Fund Ranking_Equity'!Q66*'Fund Ranking Criteria'!$F$12)+('Fund Ranking_Equity'!R66*'Fund Ranking Criteria'!$F$14)+('Fund Ranking_Equity'!S66*'Fund Ranking Criteria'!$F$15)</f>
        <v>0.37318450476467713</v>
      </c>
      <c r="Z66" s="42"/>
    </row>
    <row r="67" spans="2:26" ht="15" customHeight="1" thickBot="1" x14ac:dyDescent="0.3">
      <c r="B67" s="120" t="s">
        <v>1094</v>
      </c>
      <c r="C67" s="126">
        <f t="shared" si="22"/>
        <v>2</v>
      </c>
      <c r="D67" s="192" t="str">
        <f>B67</f>
        <v>Aditya Birla Sun Life Balanced Advantage Fund - Growth</v>
      </c>
      <c r="E67" s="251">
        <v>4.5145999999999997</v>
      </c>
      <c r="F67" s="251">
        <v>11.7743</v>
      </c>
      <c r="G67" s="251">
        <v>9.7859999999999996</v>
      </c>
      <c r="H67" s="251">
        <v>10.77</v>
      </c>
      <c r="I67" s="250">
        <v>7.3136013912531495E-2</v>
      </c>
      <c r="J67" s="250">
        <v>0</v>
      </c>
      <c r="K67" s="250">
        <v>0</v>
      </c>
      <c r="L67" s="250">
        <v>7.2585662086351403</v>
      </c>
      <c r="M67" s="144">
        <f t="shared" si="23"/>
        <v>0.91924434295204471</v>
      </c>
      <c r="N67" s="144">
        <f t="shared" si="23"/>
        <v>0.80670201978678513</v>
      </c>
      <c r="O67" s="144">
        <f t="shared" si="26"/>
        <v>0.64277128613371692</v>
      </c>
      <c r="P67" s="144">
        <f t="shared" si="24"/>
        <v>0.79594403001538527</v>
      </c>
      <c r="Q67" s="144"/>
      <c r="R67" s="144"/>
      <c r="S67" s="144">
        <f t="shared" si="25"/>
        <v>0.66971376481381339</v>
      </c>
      <c r="T67" s="145">
        <f>(M67*'Fund Ranking Criteria'!$F$9)+('Fund Ranking_Equity'!N67*'Fund Ranking Criteria'!$F$10)+('Fund Ranking_Equity'!O67*'Fund Ranking Criteria'!$F$11)+('Fund Ranking_Equity'!P67*'Fund Ranking Criteria'!$F$16)+('Fund Ranking_Equity'!Q67*'Fund Ranking Criteria'!$F$12)+('Fund Ranking_Equity'!R67*'Fund Ranking Criteria'!$F$14)+('Fund Ranking_Equity'!S67*'Fund Ranking Criteria'!$F$15)</f>
        <v>0.41256684966006674</v>
      </c>
      <c r="Z67" s="42"/>
    </row>
    <row r="68" spans="2:26" ht="15" customHeight="1" thickBot="1" x14ac:dyDescent="0.3">
      <c r="Z68" s="42"/>
    </row>
    <row r="69" spans="2:26" ht="15" customHeight="1" thickBot="1" x14ac:dyDescent="0.3">
      <c r="B69" s="309" t="s">
        <v>1095</v>
      </c>
      <c r="C69" s="310"/>
      <c r="D69" s="310"/>
      <c r="E69" s="310"/>
      <c r="F69" s="310"/>
      <c r="G69" s="310"/>
      <c r="H69" s="310"/>
      <c r="I69" s="310"/>
      <c r="J69" s="310"/>
      <c r="K69" s="310"/>
      <c r="L69" s="310"/>
      <c r="M69" s="310"/>
      <c r="N69" s="310"/>
      <c r="O69" s="310"/>
      <c r="P69" s="310"/>
      <c r="Q69" s="310"/>
      <c r="R69" s="310"/>
      <c r="S69" s="311"/>
      <c r="Z69" s="42"/>
    </row>
    <row r="70" spans="2:26" ht="15" customHeight="1" thickBot="1" x14ac:dyDescent="0.3">
      <c r="B70" s="262"/>
      <c r="C70" s="189"/>
      <c r="D70" s="189"/>
      <c r="E70" s="427" t="s">
        <v>1044</v>
      </c>
      <c r="F70" s="426"/>
      <c r="G70" s="426"/>
      <c r="H70" s="426"/>
      <c r="I70" s="426"/>
      <c r="J70" s="426"/>
      <c r="K70" s="426"/>
      <c r="L70" s="428" t="s">
        <v>1045</v>
      </c>
      <c r="M70" s="426"/>
      <c r="N70" s="426"/>
      <c r="O70" s="426"/>
      <c r="P70" s="426"/>
      <c r="Q70" s="426"/>
      <c r="R70" s="426"/>
      <c r="S70" s="375"/>
      <c r="Z70" s="42"/>
    </row>
    <row r="71" spans="2:26" ht="29.1" customHeight="1" x14ac:dyDescent="0.25">
      <c r="B71" s="116" t="s">
        <v>44</v>
      </c>
      <c r="C71" s="114" t="s">
        <v>927</v>
      </c>
      <c r="D71" s="114"/>
      <c r="E71" s="113" t="s">
        <v>45</v>
      </c>
      <c r="F71" s="113" t="s">
        <v>47</v>
      </c>
      <c r="G71" s="113" t="s">
        <v>48</v>
      </c>
      <c r="H71" s="113" t="s">
        <v>1046</v>
      </c>
      <c r="I71" s="113" t="s">
        <v>38</v>
      </c>
      <c r="J71" s="113" t="s">
        <v>40</v>
      </c>
      <c r="K71" s="113" t="s">
        <v>52</v>
      </c>
      <c r="L71" s="113" t="s">
        <v>1047</v>
      </c>
      <c r="M71" s="123" t="str">
        <f>E71</f>
        <v>1 Yr Ret (%)</v>
      </c>
      <c r="N71" s="123" t="str">
        <f>F71</f>
        <v>3 Yr Ret (%)</v>
      </c>
      <c r="O71" s="123" t="str">
        <f>G71</f>
        <v>5 Yr Ret (%)</v>
      </c>
      <c r="P71" s="123" t="s">
        <v>38</v>
      </c>
      <c r="Q71" s="123" t="s">
        <v>40</v>
      </c>
      <c r="R71" s="121" t="s">
        <v>52</v>
      </c>
      <c r="S71" s="121" t="s">
        <v>1047</v>
      </c>
      <c r="T71" s="328"/>
      <c r="Z71" s="42"/>
    </row>
    <row r="72" spans="2:26" x14ac:dyDescent="0.25">
      <c r="B72" s="119" t="s">
        <v>1096</v>
      </c>
      <c r="C72" s="125">
        <f t="shared" ref="C72:C78" si="27">RANK(T72,$T$72:$T$78,0)</f>
        <v>4</v>
      </c>
      <c r="D72" s="191" t="str">
        <f t="shared" ref="D72:D78" si="28">B72</f>
        <v>ICICI Prudential Multi-Asset Fund - Growth</v>
      </c>
      <c r="E72" s="248">
        <v>6.2510000000000003</v>
      </c>
      <c r="F72" s="248">
        <v>16.602599999999999</v>
      </c>
      <c r="G72" s="248">
        <v>17.216799999999999</v>
      </c>
      <c r="H72" s="248">
        <v>15.750500000000001</v>
      </c>
      <c r="I72" s="249">
        <v>0.10843298664003601</v>
      </c>
      <c r="J72" s="249">
        <v>0</v>
      </c>
      <c r="K72" s="249">
        <v>0</v>
      </c>
      <c r="L72" s="249">
        <v>92.558191463168995</v>
      </c>
      <c r="M72" s="142">
        <f t="shared" ref="M72:O78" si="29">(E72-MIN(E$72:E$78))/(MAX(E$72:E$78)-MIN(E$72:E$78))</f>
        <v>6.9626046461906482E-2</v>
      </c>
      <c r="N72" s="142">
        <f t="shared" si="29"/>
        <v>0.85502402447251724</v>
      </c>
      <c r="O72" s="142">
        <f t="shared" si="29"/>
        <v>1</v>
      </c>
      <c r="P72" s="142">
        <f t="shared" ref="P72:Q78" si="30">(I72-MIN(I$72:I$78))/(MAX(I$72:I$78)-MIN(I$72:I$78))</f>
        <v>0.59489880001391215</v>
      </c>
      <c r="Q72" s="142">
        <f t="shared" si="30"/>
        <v>0</v>
      </c>
      <c r="R72" s="142">
        <f t="shared" ref="R72:S78" si="31">(MAX(K$72:K$78)-K72)/(MAX(K$72:K$78)-MIN(K$72:K$78))</f>
        <v>1</v>
      </c>
      <c r="S72" s="142">
        <f t="shared" si="31"/>
        <v>0.73842646192487571</v>
      </c>
      <c r="T72" s="143">
        <f>(M72*'Fund Ranking Criteria'!$I$9)+('Fund Ranking_Equity'!N72*'Fund Ranking Criteria'!$I$10)+('Fund Ranking_Equity'!O72*'Fund Ranking Criteria'!$I$11)+('Fund Ranking_Equity'!P72*'Fund Ranking Criteria'!$I$16)+('Fund Ranking_Equity'!Q72*'Fund Ranking Criteria'!$I$12)+('Fund Ranking_Equity'!R72*'Fund Ranking Criteria'!$I$14)+('Fund Ranking_Equity'!S72*'Fund Ranking Criteria'!$I$15)</f>
        <v>0.48834544941749514</v>
      </c>
      <c r="Z72" s="42"/>
    </row>
    <row r="73" spans="2:26" x14ac:dyDescent="0.25">
      <c r="B73" s="119" t="s">
        <v>1097</v>
      </c>
      <c r="C73" s="125">
        <f t="shared" si="27"/>
        <v>3</v>
      </c>
      <c r="D73" s="191" t="str">
        <f t="shared" si="28"/>
        <v>SBI Multi Asset Allocation Fund - Growth</v>
      </c>
      <c r="E73" s="248">
        <v>12.6884</v>
      </c>
      <c r="F73" s="248">
        <v>16.793700000000001</v>
      </c>
      <c r="G73" s="248">
        <v>13.5824</v>
      </c>
      <c r="H73" s="248">
        <v>11.473599999999999</v>
      </c>
      <c r="I73" s="249">
        <v>0.11226178591618501</v>
      </c>
      <c r="J73" s="249">
        <v>0</v>
      </c>
      <c r="K73" s="249">
        <v>0</v>
      </c>
      <c r="L73" s="249">
        <v>91.579258997120704</v>
      </c>
      <c r="M73" s="142">
        <f t="shared" si="29"/>
        <v>0.49972940649825287</v>
      </c>
      <c r="N73" s="142">
        <f t="shared" si="29"/>
        <v>0.86486556080277277</v>
      </c>
      <c r="O73" s="142">
        <f t="shared" si="29"/>
        <v>0.78890386134473311</v>
      </c>
      <c r="P73" s="142">
        <f t="shared" si="30"/>
        <v>0.70247248876231061</v>
      </c>
      <c r="Q73" s="142">
        <f t="shared" si="30"/>
        <v>0</v>
      </c>
      <c r="R73" s="142">
        <f t="shared" si="31"/>
        <v>1</v>
      </c>
      <c r="S73" s="142">
        <f t="shared" si="31"/>
        <v>0.76151255609266333</v>
      </c>
      <c r="T73" s="143">
        <f>(M73*'Fund Ranking Criteria'!$I$9)+('Fund Ranking_Equity'!N73*'Fund Ranking Criteria'!$I$10)+('Fund Ranking_Equity'!O73*'Fund Ranking Criteria'!$I$11)+('Fund Ranking_Equity'!P73*'Fund Ranking Criteria'!$I$16)+('Fund Ranking_Equity'!Q73*'Fund Ranking Criteria'!$I$12)+('Fund Ranking_Equity'!R73*'Fund Ranking Criteria'!$I$14)+('Fund Ranking_Equity'!S73*'Fund Ranking Criteria'!$I$15)</f>
        <v>0.50241654506631173</v>
      </c>
      <c r="Z73" s="42"/>
    </row>
    <row r="74" spans="2:26" x14ac:dyDescent="0.25">
      <c r="B74" s="119" t="s">
        <v>1098</v>
      </c>
      <c r="C74" s="125">
        <f t="shared" si="27"/>
        <v>7</v>
      </c>
      <c r="D74" s="191" t="str">
        <f t="shared" si="28"/>
        <v>Kotak Multi Asset Allocation Fund -Reg - Growth</v>
      </c>
      <c r="E74" s="248">
        <v>20.175999999999998</v>
      </c>
      <c r="F74" s="248">
        <v>0</v>
      </c>
      <c r="G74" s="248">
        <v>0</v>
      </c>
      <c r="H74" s="248">
        <v>0</v>
      </c>
      <c r="I74" s="249">
        <v>9.0389895052291405E-2</v>
      </c>
      <c r="J74" s="249">
        <v>0</v>
      </c>
      <c r="K74" s="249">
        <v>0</v>
      </c>
      <c r="L74" s="249">
        <v>123.870098627442</v>
      </c>
      <c r="M74" s="142">
        <f t="shared" si="29"/>
        <v>1</v>
      </c>
      <c r="N74" s="142">
        <f t="shared" si="29"/>
        <v>0</v>
      </c>
      <c r="O74" s="142">
        <f t="shared" si="29"/>
        <v>0</v>
      </c>
      <c r="P74" s="142">
        <f t="shared" si="30"/>
        <v>8.7961303809854022E-2</v>
      </c>
      <c r="Q74" s="142">
        <f t="shared" si="30"/>
        <v>0</v>
      </c>
      <c r="R74" s="142">
        <f t="shared" si="31"/>
        <v>1</v>
      </c>
      <c r="S74" s="142">
        <f t="shared" si="31"/>
        <v>0</v>
      </c>
      <c r="T74" s="143">
        <f>(M74*'Fund Ranking Criteria'!$I$9)+('Fund Ranking_Equity'!N74*'Fund Ranking Criteria'!$I$10)+('Fund Ranking_Equity'!O74*'Fund Ranking Criteria'!$I$11)+('Fund Ranking_Equity'!P74*'Fund Ranking Criteria'!$I$16)+('Fund Ranking_Equity'!Q74*'Fund Ranking Criteria'!$I$12)+('Fund Ranking_Equity'!R74*'Fund Ranking Criteria'!$I$14)+('Fund Ranking_Equity'!S74*'Fund Ranking Criteria'!$I$15)</f>
        <v>0.14259226076197079</v>
      </c>
      <c r="Z74" s="42"/>
    </row>
    <row r="75" spans="2:26" x14ac:dyDescent="0.25">
      <c r="B75" s="119" t="s">
        <v>1099</v>
      </c>
      <c r="C75" s="125">
        <f t="shared" si="27"/>
        <v>2</v>
      </c>
      <c r="D75" s="191" t="str">
        <f t="shared" si="28"/>
        <v>Nippon India Multi Asset Allocation Fund - Reg - Growth</v>
      </c>
      <c r="E75" s="248">
        <v>14.306699999999999</v>
      </c>
      <c r="F75" s="248">
        <v>19.4177</v>
      </c>
      <c r="G75" s="248">
        <v>15.254300000000001</v>
      </c>
      <c r="H75" s="248">
        <v>0</v>
      </c>
      <c r="I75" s="249">
        <v>0.12285148617574999</v>
      </c>
      <c r="J75" s="249">
        <v>0</v>
      </c>
      <c r="K75" s="249">
        <v>0</v>
      </c>
      <c r="L75" s="249">
        <v>103.440931629708</v>
      </c>
      <c r="M75" s="142">
        <f t="shared" si="29"/>
        <v>0.60785322473959558</v>
      </c>
      <c r="N75" s="142">
        <f t="shared" si="29"/>
        <v>1</v>
      </c>
      <c r="O75" s="142">
        <f t="shared" si="29"/>
        <v>0.88601249941917204</v>
      </c>
      <c r="P75" s="142">
        <f t="shared" si="30"/>
        <v>1</v>
      </c>
      <c r="Q75" s="142">
        <f t="shared" si="30"/>
        <v>0</v>
      </c>
      <c r="R75" s="142">
        <f t="shared" si="31"/>
        <v>1</v>
      </c>
      <c r="S75" s="142">
        <f t="shared" si="31"/>
        <v>0.48177958075392124</v>
      </c>
      <c r="T75" s="143">
        <f>(M75*'Fund Ranking Criteria'!$I$9)+('Fund Ranking_Equity'!N75*'Fund Ranking Criteria'!$I$10)+('Fund Ranking_Equity'!O75*'Fund Ranking Criteria'!$I$11)+('Fund Ranking_Equity'!P75*'Fund Ranking Criteria'!$I$16)+('Fund Ranking_Equity'!Q75*'Fund Ranking Criteria'!$I$12)+('Fund Ranking_Equity'!R75*'Fund Ranking Criteria'!$I$14)+('Fund Ranking_Equity'!S75*'Fund Ranking Criteria'!$I$15)</f>
        <v>0.57442800470639965</v>
      </c>
      <c r="Z75" s="42"/>
    </row>
    <row r="76" spans="2:26" x14ac:dyDescent="0.25">
      <c r="B76" s="119" t="s">
        <v>1100</v>
      </c>
      <c r="C76" s="125">
        <f t="shared" si="27"/>
        <v>5</v>
      </c>
      <c r="D76" s="191" t="str">
        <f t="shared" si="28"/>
        <v>UTI Multi Asset Allocation Fund - Growth</v>
      </c>
      <c r="E76" s="248">
        <v>5.2088999999999999</v>
      </c>
      <c r="F76" s="248">
        <v>16.162299999999998</v>
      </c>
      <c r="G76" s="248">
        <v>13.2637</v>
      </c>
      <c r="H76" s="248">
        <v>10.7811</v>
      </c>
      <c r="I76" s="249">
        <v>9.1040379000806207E-2</v>
      </c>
      <c r="J76" s="249">
        <v>0</v>
      </c>
      <c r="K76" s="249">
        <v>0</v>
      </c>
      <c r="L76" s="249">
        <v>111.94159313239599</v>
      </c>
      <c r="M76" s="142">
        <f t="shared" si="29"/>
        <v>0</v>
      </c>
      <c r="N76" s="142">
        <f t="shared" si="29"/>
        <v>0.83234883637093982</v>
      </c>
      <c r="O76" s="142">
        <f t="shared" si="29"/>
        <v>0.7703928720784351</v>
      </c>
      <c r="P76" s="142">
        <f t="shared" si="30"/>
        <v>0.10623725738340913</v>
      </c>
      <c r="Q76" s="142">
        <f t="shared" si="30"/>
        <v>0</v>
      </c>
      <c r="R76" s="142">
        <f t="shared" si="31"/>
        <v>1</v>
      </c>
      <c r="S76" s="142">
        <f t="shared" si="31"/>
        <v>0.28130908994290166</v>
      </c>
      <c r="T76" s="143">
        <f>(M76*'Fund Ranking Criteria'!$I$9)+('Fund Ranking_Equity'!N76*'Fund Ranking Criteria'!$I$10)+('Fund Ranking_Equity'!O76*'Fund Ranking Criteria'!$I$11)+('Fund Ranking_Equity'!P76*'Fund Ranking Criteria'!$I$16)+('Fund Ranking_Equity'!Q76*'Fund Ranking Criteria'!$I$12)+('Fund Ranking_Equity'!R76*'Fund Ranking Criteria'!$I$14)+('Fund Ranking_Equity'!S76*'Fund Ranking Criteria'!$I$15)</f>
        <v>0.31613944767125873</v>
      </c>
      <c r="Z76" s="42"/>
    </row>
    <row r="77" spans="2:26" x14ac:dyDescent="0.25">
      <c r="B77" s="119" t="s">
        <v>1101</v>
      </c>
      <c r="C77" s="125">
        <f t="shared" si="27"/>
        <v>1</v>
      </c>
      <c r="D77" s="191" t="str">
        <f t="shared" si="28"/>
        <v>HDFC Multi - Asset Fund - Growth</v>
      </c>
      <c r="E77" s="248">
        <v>7.1325000000000003</v>
      </c>
      <c r="F77" s="248">
        <v>15.63</v>
      </c>
      <c r="G77" s="248">
        <v>16.216200000000001</v>
      </c>
      <c r="H77" s="248">
        <v>11.0444</v>
      </c>
      <c r="I77" s="249">
        <v>0.120292630637335</v>
      </c>
      <c r="J77" s="249">
        <v>3.6452247141698799</v>
      </c>
      <c r="K77" s="249">
        <v>0.49482937108694403</v>
      </c>
      <c r="L77" s="249">
        <v>81.466543529143607</v>
      </c>
      <c r="M77" s="142">
        <f t="shared" si="29"/>
        <v>0.12852189134835743</v>
      </c>
      <c r="N77" s="142">
        <f t="shared" si="29"/>
        <v>0.80493570299263051</v>
      </c>
      <c r="O77" s="142">
        <f t="shared" si="29"/>
        <v>0.94188234747455979</v>
      </c>
      <c r="P77" s="142">
        <f t="shared" si="30"/>
        <v>0.92810656569115535</v>
      </c>
      <c r="Q77" s="142">
        <f t="shared" si="30"/>
        <v>1</v>
      </c>
      <c r="R77" s="142">
        <f t="shared" si="31"/>
        <v>0</v>
      </c>
      <c r="S77" s="142">
        <f t="shared" si="31"/>
        <v>1</v>
      </c>
      <c r="T77" s="143">
        <f>(M77*'Fund Ranking Criteria'!$I$9)+('Fund Ranking_Equity'!N77*'Fund Ranking Criteria'!$I$10)+('Fund Ranking_Equity'!O77*'Fund Ranking Criteria'!$I$11)+('Fund Ranking_Equity'!P77*'Fund Ranking Criteria'!$I$16)+('Fund Ranking_Equity'!Q77*'Fund Ranking Criteria'!$I$12)+('Fund Ranking_Equity'!R77*'Fund Ranking Criteria'!$I$14)+('Fund Ranking_Equity'!S77*'Fund Ranking Criteria'!$I$15)</f>
        <v>0.83882333012609589</v>
      </c>
      <c r="Z77" s="42"/>
    </row>
    <row r="78" spans="2:26" ht="29.45" customHeight="1" thickBot="1" x14ac:dyDescent="0.3">
      <c r="B78" s="120" t="s">
        <v>1102</v>
      </c>
      <c r="C78" s="126">
        <f t="shared" si="27"/>
        <v>6</v>
      </c>
      <c r="D78" s="192" t="str">
        <f t="shared" si="28"/>
        <v>Aditya Birla Sun Life Multi Asset Allocation Fund - Reg - Growth</v>
      </c>
      <c r="E78" s="251">
        <v>13.701700000000001</v>
      </c>
      <c r="F78" s="251">
        <v>16.345199999999998</v>
      </c>
      <c r="G78" s="251">
        <v>0</v>
      </c>
      <c r="H78" s="251">
        <v>0</v>
      </c>
      <c r="I78" s="250">
        <v>8.7259146443828303E-2</v>
      </c>
      <c r="J78" s="250">
        <v>0</v>
      </c>
      <c r="K78" s="250">
        <v>0</v>
      </c>
      <c r="L78" s="250">
        <v>114.366218565735</v>
      </c>
      <c r="M78" s="144">
        <f t="shared" si="29"/>
        <v>0.56743123250329064</v>
      </c>
      <c r="N78" s="144">
        <f t="shared" si="29"/>
        <v>0.84176807757870387</v>
      </c>
      <c r="O78" s="144">
        <f t="shared" si="29"/>
        <v>0</v>
      </c>
      <c r="P78" s="144">
        <f t="shared" si="30"/>
        <v>0</v>
      </c>
      <c r="Q78" s="144">
        <f t="shared" si="30"/>
        <v>0</v>
      </c>
      <c r="R78" s="144">
        <f t="shared" si="31"/>
        <v>1</v>
      </c>
      <c r="S78" s="144">
        <f t="shared" si="31"/>
        <v>0.22412932216828177</v>
      </c>
      <c r="T78" s="145">
        <f>(M78*'Fund Ranking Criteria'!$I$9)+('Fund Ranking_Equity'!N78*'Fund Ranking Criteria'!$I$10)+('Fund Ranking_Equity'!O78*'Fund Ranking Criteria'!$I$11)+('Fund Ranking_Equity'!P78*'Fund Ranking Criteria'!$I$16)+('Fund Ranking_Equity'!Q78*'Fund Ranking Criteria'!$I$12)+('Fund Ranking_Equity'!R78*'Fund Ranking Criteria'!$I$14)+('Fund Ranking_Equity'!S78*'Fund Ranking Criteria'!$I$15)</f>
        <v>0.20435806854565605</v>
      </c>
      <c r="Z78" s="42"/>
    </row>
    <row r="79" spans="2:26" ht="15" customHeight="1" thickBot="1" x14ac:dyDescent="0.3">
      <c r="Z79" s="42"/>
    </row>
    <row r="80" spans="2:26" ht="15" customHeight="1" thickBot="1" x14ac:dyDescent="0.3">
      <c r="B80" s="309" t="s">
        <v>923</v>
      </c>
      <c r="C80" s="310"/>
      <c r="D80" s="310"/>
      <c r="E80" s="310"/>
      <c r="F80" s="310"/>
      <c r="G80" s="310"/>
      <c r="H80" s="310"/>
      <c r="I80" s="310"/>
      <c r="J80" s="310"/>
      <c r="K80" s="310"/>
      <c r="L80" s="310"/>
      <c r="M80" s="310"/>
      <c r="N80" s="310"/>
      <c r="O80" s="310"/>
      <c r="P80" s="310"/>
      <c r="Q80" s="310"/>
      <c r="R80" s="310"/>
      <c r="S80" s="311"/>
      <c r="Z80" s="42"/>
    </row>
    <row r="81" spans="2:27" ht="15" customHeight="1" thickBot="1" x14ac:dyDescent="0.3">
      <c r="B81" s="314"/>
      <c r="C81" s="315"/>
      <c r="D81" s="315"/>
      <c r="E81" s="427" t="s">
        <v>1044</v>
      </c>
      <c r="F81" s="426"/>
      <c r="G81" s="426"/>
      <c r="H81" s="426"/>
      <c r="I81" s="426"/>
      <c r="J81" s="426"/>
      <c r="K81" s="426"/>
      <c r="L81" s="428" t="s">
        <v>1045</v>
      </c>
      <c r="M81" s="426"/>
      <c r="N81" s="426"/>
      <c r="O81" s="426"/>
      <c r="P81" s="426"/>
      <c r="Q81" s="426"/>
      <c r="R81" s="426"/>
      <c r="S81" s="375"/>
      <c r="Z81" s="42"/>
    </row>
    <row r="82" spans="2:27" ht="29.1" customHeight="1" x14ac:dyDescent="0.25">
      <c r="B82" s="116" t="s">
        <v>44</v>
      </c>
      <c r="C82" s="114" t="s">
        <v>927</v>
      </c>
      <c r="D82" s="114"/>
      <c r="E82" s="113" t="s">
        <v>45</v>
      </c>
      <c r="F82" s="113" t="s">
        <v>47</v>
      </c>
      <c r="G82" s="113" t="s">
        <v>48</v>
      </c>
      <c r="H82" s="113" t="s">
        <v>1046</v>
      </c>
      <c r="I82" s="113" t="s">
        <v>38</v>
      </c>
      <c r="J82" s="113" t="s">
        <v>40</v>
      </c>
      <c r="K82" s="113" t="s">
        <v>52</v>
      </c>
      <c r="L82" s="113" t="s">
        <v>1047</v>
      </c>
      <c r="M82" s="123" t="str">
        <f>E82</f>
        <v>1 Yr Ret (%)</v>
      </c>
      <c r="N82" s="123" t="str">
        <f>F82</f>
        <v>3 Yr Ret (%)</v>
      </c>
      <c r="O82" s="123" t="str">
        <f>G82</f>
        <v>5 Yr Ret (%)</v>
      </c>
      <c r="P82" s="123" t="s">
        <v>40</v>
      </c>
      <c r="Q82" s="121" t="s">
        <v>52</v>
      </c>
      <c r="R82" s="121" t="s">
        <v>1047</v>
      </c>
      <c r="S82" s="123" t="s">
        <v>38</v>
      </c>
      <c r="T82" s="326"/>
      <c r="Z82" s="42"/>
    </row>
    <row r="83" spans="2:27" x14ac:dyDescent="0.25">
      <c r="B83" s="5" t="s">
        <v>1103</v>
      </c>
      <c r="C83" s="125">
        <f t="shared" ref="C83:C114" si="32">RANK(T83,$T$83:$T$137,0)</f>
        <v>10</v>
      </c>
      <c r="D83" s="42" t="str">
        <f t="shared" ref="D83:D114" si="33">B83</f>
        <v>Aditya Birla Sun Life PSU Equity Fund - Reg - Growth</v>
      </c>
      <c r="E83" s="84">
        <v>10.9085</v>
      </c>
      <c r="F83" s="84">
        <v>26.5184</v>
      </c>
      <c r="G83" s="84">
        <v>23.243400000000001</v>
      </c>
      <c r="H83" s="84">
        <v>0</v>
      </c>
      <c r="I83" s="84">
        <v>8.0655764594760496E-2</v>
      </c>
      <c r="J83" s="84">
        <v>-0.12758142920983101</v>
      </c>
      <c r="K83" s="84">
        <v>0.95868723445508897</v>
      </c>
      <c r="L83" s="84">
        <v>21.1952018163255</v>
      </c>
      <c r="M83" s="142">
        <f t="shared" ref="M83:M114" si="34">(E83-MIN(E$83:E$137))/(MAX(E$83:E$137)-MIN(E$83:E$137))</f>
        <v>0.15593334414109708</v>
      </c>
      <c r="N83" s="142">
        <f t="shared" ref="N83:N114" si="35">(F83-MIN(F$83:F$137))/(MAX(F$83:F$137)-MIN(F$83:F$137))</f>
        <v>0.43494106127429671</v>
      </c>
      <c r="O83" s="142">
        <f t="shared" ref="O83:O114" si="36">(G83-MIN(G$83:G$137))/(MAX(G$83:G$137)-MIN(G$83:G$137))</f>
        <v>1</v>
      </c>
      <c r="P83" s="142">
        <f>(J83-MIN(J$83:J$137))/(MAX(J$83:J$137)-MIN(J$83:J$137))</f>
        <v>0.28926757149967952</v>
      </c>
      <c r="Q83" s="142">
        <f t="shared" ref="Q83:Q114" si="37">(MAX(K$83:K$137)-K83)/(MAX(K$83:K$137)-MIN(K$83:K$137))</f>
        <v>0.18141992706908985</v>
      </c>
      <c r="R83" s="142">
        <f t="shared" ref="R83:R114" si="38">(MAX(L$83:L$137)-L83)/(MAX(L$83:L$137)-MIN(L$83:L$137))</f>
        <v>0.45087712535859853</v>
      </c>
      <c r="S83" s="142">
        <f t="shared" ref="S83:S114" si="39">(I83-MIN(I$83:I$137))/(MAX(I$83:I$137)-MIN(I$83:I$137))</f>
        <v>0.66767966004081691</v>
      </c>
      <c r="T83" s="100">
        <f t="array" ref="T83">SUMPRODUCT(M83:P83,TRANSPOSE('Fund Ranking Criteria'!$K$9:$K$12))+SUMPRODUCT('Fund Ranking_Equity'!Q83:S83, TRANSPOSE('Fund Ranking Criteria'!$K$14:$K$16))</f>
        <v>0.46569447107467948</v>
      </c>
      <c r="Z83" s="42"/>
    </row>
    <row r="84" spans="2:27" ht="29.1" customHeight="1" x14ac:dyDescent="0.25">
      <c r="B84" s="5" t="s">
        <v>1104</v>
      </c>
      <c r="C84" s="125">
        <f t="shared" si="32"/>
        <v>6</v>
      </c>
      <c r="D84" s="42" t="str">
        <f t="shared" si="33"/>
        <v>Aditya Birla Sun Life Banking and Financial Services Fund - Reg - Growth</v>
      </c>
      <c r="E84" s="84">
        <v>3.8542999999999998</v>
      </c>
      <c r="F84" s="84">
        <v>13.3276</v>
      </c>
      <c r="G84" s="84">
        <v>12.163</v>
      </c>
      <c r="H84" s="84">
        <v>13.066800000000001</v>
      </c>
      <c r="I84" s="84">
        <v>4.85651788006565E-2</v>
      </c>
      <c r="J84" s="84">
        <v>0.156252505324351</v>
      </c>
      <c r="K84" s="84">
        <v>0.96641009496587704</v>
      </c>
      <c r="L84" s="84">
        <v>15.3968447729241</v>
      </c>
      <c r="M84" s="142">
        <f t="shared" si="34"/>
        <v>0.12259218069320618</v>
      </c>
      <c r="N84" s="142">
        <f t="shared" si="35"/>
        <v>0.21859239200854189</v>
      </c>
      <c r="O84" s="142">
        <f t="shared" si="36"/>
        <v>0.52328833131125396</v>
      </c>
      <c r="P84" s="142">
        <f t="shared" ref="P84:P115" si="40">(H84-MIN(H$83:H$137))/(MAX(H$83:H$137)-MIN(H$83:H$137))</f>
        <v>0.88093360030742474</v>
      </c>
      <c r="Q84" s="142">
        <f t="shared" si="37"/>
        <v>0.17482572252254719</v>
      </c>
      <c r="R84" s="142">
        <f t="shared" si="38"/>
        <v>0.74680776137198557</v>
      </c>
      <c r="S84" s="142">
        <f t="shared" si="39"/>
        <v>0.47306884850031083</v>
      </c>
      <c r="T84" s="100">
        <f t="array" ref="T84">SUMPRODUCT(M84:P84,TRANSPOSE('Fund Ranking Criteria'!$K$9:$K$12))+SUMPRODUCT('Fund Ranking_Equity'!Q84:S84, TRANSPOSE('Fund Ranking Criteria'!$K$14:$K$16))</f>
        <v>0.510082318379668</v>
      </c>
      <c r="Z84" s="42"/>
    </row>
    <row r="85" spans="2:27" x14ac:dyDescent="0.25">
      <c r="B85" s="5" t="s">
        <v>1105</v>
      </c>
      <c r="C85" s="125">
        <f t="shared" si="32"/>
        <v>54</v>
      </c>
      <c r="D85" s="42" t="str">
        <f t="shared" si="33"/>
        <v>Aditya Birla Sun Life Quant Fund - Reg - Growth</v>
      </c>
      <c r="E85" s="84">
        <v>6.0126999999999997</v>
      </c>
      <c r="F85" s="84">
        <v>0</v>
      </c>
      <c r="G85" s="84">
        <v>0</v>
      </c>
      <c r="H85" s="84">
        <v>0</v>
      </c>
      <c r="I85" s="84">
        <v>-2.1793426844984701E-2</v>
      </c>
      <c r="J85" s="84">
        <v>-3.7972025862805403E-2</v>
      </c>
      <c r="K85" s="84">
        <v>1.0976977452063801</v>
      </c>
      <c r="L85" s="84">
        <v>15.4114350160194</v>
      </c>
      <c r="M85" s="142">
        <f t="shared" si="34"/>
        <v>0.13279370137392515</v>
      </c>
      <c r="N85" s="142">
        <f t="shared" si="35"/>
        <v>0</v>
      </c>
      <c r="O85" s="142">
        <f t="shared" si="36"/>
        <v>0</v>
      </c>
      <c r="P85" s="142">
        <f t="shared" si="40"/>
        <v>0</v>
      </c>
      <c r="Q85" s="142">
        <f t="shared" si="37"/>
        <v>6.2725080679867734E-2</v>
      </c>
      <c r="R85" s="142">
        <f t="shared" si="38"/>
        <v>0.74606311941798664</v>
      </c>
      <c r="S85" s="142">
        <f t="shared" si="39"/>
        <v>4.6384666684209513E-2</v>
      </c>
      <c r="T85" s="100">
        <f t="array" ref="T85">SUMPRODUCT(M85:P85,TRANSPOSE('Fund Ranking Criteria'!$K$9:$K$12))+SUMPRODUCT('Fund Ranking_Equity'!Q85:S85, TRANSPOSE('Fund Ranking Criteria'!$K$14:$K$16))</f>
        <v>0.14224049208934678</v>
      </c>
      <c r="Z85" s="42"/>
    </row>
    <row r="86" spans="2:27" x14ac:dyDescent="0.25">
      <c r="B86" s="5" t="s">
        <v>1106</v>
      </c>
      <c r="C86" s="125">
        <f t="shared" si="32"/>
        <v>24</v>
      </c>
      <c r="D86" s="42" t="str">
        <f t="shared" si="33"/>
        <v>Aditya Birla Sun Life Business Cycle Fund - Reg - Growth</v>
      </c>
      <c r="E86" s="84">
        <v>2.3289</v>
      </c>
      <c r="F86" s="84">
        <v>12.905900000000001</v>
      </c>
      <c r="G86" s="84">
        <v>0</v>
      </c>
      <c r="H86" s="84">
        <v>0</v>
      </c>
      <c r="I86" s="84">
        <v>5.4366335801105198E-2</v>
      </c>
      <c r="J86" s="84">
        <v>1.02114532475968E-2</v>
      </c>
      <c r="K86" s="84">
        <v>0.94245419137521103</v>
      </c>
      <c r="L86" s="84">
        <v>12.670034563435401</v>
      </c>
      <c r="M86" s="142">
        <f t="shared" si="34"/>
        <v>0.11538248849233114</v>
      </c>
      <c r="N86" s="142">
        <f t="shared" si="35"/>
        <v>0.21167588703315232</v>
      </c>
      <c r="O86" s="142">
        <f t="shared" si="36"/>
        <v>0</v>
      </c>
      <c r="P86" s="142">
        <f t="shared" si="40"/>
        <v>0</v>
      </c>
      <c r="Q86" s="142">
        <f t="shared" si="37"/>
        <v>0.19528059518966823</v>
      </c>
      <c r="R86" s="142">
        <f t="shared" si="38"/>
        <v>0.88597592116995849</v>
      </c>
      <c r="S86" s="142">
        <f t="shared" si="39"/>
        <v>0.50824950487644449</v>
      </c>
      <c r="T86" s="100">
        <f t="array" ref="T86">SUMPRODUCT(M86:P86,TRANSPOSE('Fund Ranking Criteria'!$K$9:$K$12))+SUMPRODUCT('Fund Ranking_Equity'!Q86:S86, TRANSPOSE('Fund Ranking Criteria'!$K$14:$K$16))</f>
        <v>0.3384249013021165</v>
      </c>
      <c r="Z86" s="42"/>
    </row>
    <row r="87" spans="2:27" x14ac:dyDescent="0.25">
      <c r="B87" s="5" t="s">
        <v>1107</v>
      </c>
      <c r="C87" s="125">
        <f t="shared" si="32"/>
        <v>41</v>
      </c>
      <c r="D87" s="42" t="str">
        <f t="shared" si="33"/>
        <v>Aditya Birla Sun Life Conglomerate Fund - Reg - Growth</v>
      </c>
      <c r="E87" s="84">
        <v>1.5008999999999999</v>
      </c>
      <c r="F87" s="84">
        <v>0</v>
      </c>
      <c r="G87" s="84">
        <v>0</v>
      </c>
      <c r="H87" s="84">
        <v>0</v>
      </c>
      <c r="I87" s="84">
        <v>1.1784428974835301E-2</v>
      </c>
      <c r="J87" s="84">
        <v>0</v>
      </c>
      <c r="K87" s="84">
        <v>0</v>
      </c>
      <c r="L87" s="84">
        <v>14.5110676633452</v>
      </c>
      <c r="M87" s="142">
        <f t="shared" si="34"/>
        <v>0.11146900668931256</v>
      </c>
      <c r="N87" s="142">
        <f t="shared" si="35"/>
        <v>0</v>
      </c>
      <c r="O87" s="142">
        <f t="shared" si="36"/>
        <v>0</v>
      </c>
      <c r="P87" s="142">
        <f t="shared" si="40"/>
        <v>0</v>
      </c>
      <c r="Q87" s="142">
        <f t="shared" si="37"/>
        <v>1</v>
      </c>
      <c r="R87" s="142">
        <f t="shared" si="38"/>
        <v>0.79201515054131744</v>
      </c>
      <c r="S87" s="142">
        <f t="shared" si="39"/>
        <v>0.25001490929841197</v>
      </c>
      <c r="T87" s="100">
        <f t="array" ref="T87">SUMPRODUCT(M87:P87,TRANSPOSE('Fund Ranking Criteria'!$K$9:$K$12))+SUMPRODUCT('Fund Ranking_Equity'!Q87:S87, TRANSPOSE('Fund Ranking Criteria'!$K$14:$K$16))</f>
        <v>0.25495364603965248</v>
      </c>
      <c r="Z87" s="42"/>
    </row>
    <row r="88" spans="2:27" ht="29.1" customHeight="1" x14ac:dyDescent="0.25">
      <c r="B88" s="5" t="s">
        <v>1108</v>
      </c>
      <c r="C88" s="312">
        <f t="shared" si="32"/>
        <v>35</v>
      </c>
      <c r="D88" s="42" t="str">
        <f t="shared" si="33"/>
        <v>Aditya Birla Sun Life Transportation and Logistics Fund - Reg - Growth</v>
      </c>
      <c r="E88" s="84">
        <v>14.306900000000001</v>
      </c>
      <c r="F88" s="84">
        <v>0</v>
      </c>
      <c r="G88" s="84">
        <v>0</v>
      </c>
      <c r="H88" s="84">
        <v>0</v>
      </c>
      <c r="I88" s="84">
        <v>6.1455418896245E-2</v>
      </c>
      <c r="J88" s="84">
        <v>1.46537699845535E-2</v>
      </c>
      <c r="K88" s="84">
        <v>0.97632822648724304</v>
      </c>
      <c r="L88" s="84">
        <v>17.398225582296501</v>
      </c>
      <c r="M88" s="313">
        <f t="shared" si="34"/>
        <v>0.17199563467174725</v>
      </c>
      <c r="N88" s="313">
        <f t="shared" si="35"/>
        <v>0</v>
      </c>
      <c r="O88" s="313">
        <f t="shared" si="36"/>
        <v>0</v>
      </c>
      <c r="P88" s="313">
        <f t="shared" si="40"/>
        <v>0</v>
      </c>
      <c r="Q88" s="313">
        <f t="shared" si="37"/>
        <v>0.1663570744251176</v>
      </c>
      <c r="R88" s="313">
        <f t="shared" si="38"/>
        <v>0.64466332780410585</v>
      </c>
      <c r="S88" s="313">
        <f t="shared" si="39"/>
        <v>0.55124068687215355</v>
      </c>
      <c r="T88" s="100">
        <f t="array" ref="T88">SUMPRODUCT(M88:P88,TRANSPOSE('Fund Ranking Criteria'!$K$9:$K$12))+SUMPRODUCT('Fund Ranking_Equity'!Q88:S88, TRANSPOSE('Fund Ranking Criteria'!$K$14:$K$16))</f>
        <v>0.28758912242069251</v>
      </c>
      <c r="Z88" s="42"/>
    </row>
    <row r="89" spans="2:27" ht="29.1" customHeight="1" x14ac:dyDescent="0.25">
      <c r="B89" s="5" t="s">
        <v>1109</v>
      </c>
      <c r="C89" s="312">
        <f t="shared" si="32"/>
        <v>2</v>
      </c>
      <c r="D89" s="42" t="str">
        <f t="shared" si="33"/>
        <v>Aditya Birla Sun Life Manufacturing Equity Fund - Reg - Growth</v>
      </c>
      <c r="E89" s="84">
        <v>17.420400000000001</v>
      </c>
      <c r="F89" s="84">
        <v>21.1951</v>
      </c>
      <c r="G89" s="84">
        <v>13.9908</v>
      </c>
      <c r="H89" s="84">
        <v>14.1714</v>
      </c>
      <c r="I89" s="84">
        <v>8.6982678858844698E-2</v>
      </c>
      <c r="J89" s="84">
        <v>6.0967757658854102E-3</v>
      </c>
      <c r="K89" s="84">
        <v>0.96934906466123305</v>
      </c>
      <c r="L89" s="84">
        <v>15.528807126206599</v>
      </c>
      <c r="M89" s="313">
        <f t="shared" si="34"/>
        <v>0.18671136606510277</v>
      </c>
      <c r="N89" s="313">
        <f t="shared" si="35"/>
        <v>0.34763105194185345</v>
      </c>
      <c r="O89" s="313">
        <f t="shared" si="36"/>
        <v>0.6019257079428999</v>
      </c>
      <c r="P89" s="313">
        <f t="shared" si="40"/>
        <v>0.95540319155391051</v>
      </c>
      <c r="Q89" s="313">
        <f t="shared" si="37"/>
        <v>0.17231626798815602</v>
      </c>
      <c r="R89" s="313">
        <f t="shared" si="38"/>
        <v>0.74007280130581399</v>
      </c>
      <c r="S89" s="313">
        <f t="shared" si="39"/>
        <v>0.70604872962965737</v>
      </c>
      <c r="T89" s="100">
        <f t="array" ref="T89">SUMPRODUCT(M89:P89,TRANSPOSE('Fund Ranking Criteria'!$K$9:$K$12))+SUMPRODUCT('Fund Ranking_Equity'!Q89:S89, TRANSPOSE('Fund Ranking Criteria'!$K$14:$K$16))</f>
        <v>0.62343407058989253</v>
      </c>
      <c r="Z89" s="42"/>
      <c r="AA89" s="146"/>
    </row>
    <row r="90" spans="2:27" ht="29.1" customHeight="1" x14ac:dyDescent="0.25">
      <c r="B90" s="5" t="s">
        <v>1110</v>
      </c>
      <c r="C90" s="312">
        <f t="shared" si="32"/>
        <v>9</v>
      </c>
      <c r="D90" s="42" t="str">
        <f t="shared" si="33"/>
        <v>Aditya Birla Sun Life Pharma &amp; Healthcare Fund - Reg - Growth</v>
      </c>
      <c r="E90" s="84">
        <v>15.3048</v>
      </c>
      <c r="F90" s="84">
        <v>23.202500000000001</v>
      </c>
      <c r="G90" s="84">
        <v>13.5284</v>
      </c>
      <c r="H90" s="84">
        <v>0</v>
      </c>
      <c r="I90" s="84">
        <v>0.105424942445102</v>
      </c>
      <c r="J90" s="84">
        <v>-6.5263591219457504E-2</v>
      </c>
      <c r="K90" s="84">
        <v>0.95546205008291296</v>
      </c>
      <c r="L90" s="84">
        <v>14.703552329324699</v>
      </c>
      <c r="M90" s="313">
        <f t="shared" si="34"/>
        <v>0.17671213647275238</v>
      </c>
      <c r="N90" s="313">
        <f t="shared" si="35"/>
        <v>0.38055538698476793</v>
      </c>
      <c r="O90" s="313">
        <f t="shared" si="36"/>
        <v>0.5820318886221465</v>
      </c>
      <c r="P90" s="313">
        <f t="shared" si="40"/>
        <v>0</v>
      </c>
      <c r="Q90" s="313">
        <f t="shared" si="37"/>
        <v>0.18417376749139616</v>
      </c>
      <c r="R90" s="313">
        <f t="shared" si="38"/>
        <v>0.78219131437535361</v>
      </c>
      <c r="S90" s="313">
        <f t="shared" si="39"/>
        <v>0.81789037397336628</v>
      </c>
      <c r="T90" s="100">
        <f t="array" ref="T90">SUMPRODUCT(M90:P90,TRANSPOSE('Fund Ranking Criteria'!$K$9:$K$12))+SUMPRODUCT('Fund Ranking_Equity'!Q90:S90, TRANSPOSE('Fund Ranking Criteria'!$K$14:$K$16))</f>
        <v>0.47576061384898044</v>
      </c>
      <c r="Z90" s="42"/>
      <c r="AA90" s="146"/>
    </row>
    <row r="91" spans="2:27" ht="29.1" customHeight="1" x14ac:dyDescent="0.25">
      <c r="B91" s="5" t="s">
        <v>1111</v>
      </c>
      <c r="C91" s="312">
        <f t="shared" si="32"/>
        <v>8</v>
      </c>
      <c r="D91" s="42" t="str">
        <f t="shared" si="33"/>
        <v>Aditya Birla Sun Life Special Opportunities Fund - Reg - Growth</v>
      </c>
      <c r="E91" s="84">
        <v>15.5694</v>
      </c>
      <c r="F91" s="84">
        <v>21.123100000000001</v>
      </c>
      <c r="G91" s="84">
        <v>15.2349</v>
      </c>
      <c r="H91" s="84">
        <v>0</v>
      </c>
      <c r="I91" s="84">
        <v>0.100129495632987</v>
      </c>
      <c r="J91" s="84">
        <v>0.58644674897363402</v>
      </c>
      <c r="K91" s="84">
        <v>0.95176994755609601</v>
      </c>
      <c r="L91" s="84">
        <v>12.9909080896443</v>
      </c>
      <c r="M91" s="313">
        <f t="shared" si="34"/>
        <v>0.17796274913589094</v>
      </c>
      <c r="N91" s="313">
        <f t="shared" si="35"/>
        <v>0.34645014523512346</v>
      </c>
      <c r="O91" s="313">
        <f t="shared" si="36"/>
        <v>0.65545057951934738</v>
      </c>
      <c r="P91" s="313">
        <f t="shared" si="40"/>
        <v>0</v>
      </c>
      <c r="Q91" s="313">
        <f t="shared" si="37"/>
        <v>0.18732628840442161</v>
      </c>
      <c r="R91" s="313">
        <f t="shared" si="38"/>
        <v>0.86959950523349605</v>
      </c>
      <c r="S91" s="313">
        <f t="shared" si="39"/>
        <v>0.78577655691226944</v>
      </c>
      <c r="T91" s="100">
        <f t="array" ref="T91">SUMPRODUCT(M91:P91,TRANSPOSE('Fund Ranking Criteria'!$K$9:$K$12))+SUMPRODUCT('Fund Ranking_Equity'!Q91:S91, TRANSPOSE('Fund Ranking Criteria'!$K$14:$K$16))</f>
        <v>0.47807553295375127</v>
      </c>
      <c r="Z91" s="42"/>
      <c r="AA91" s="146"/>
    </row>
    <row r="92" spans="2:27" ht="29.1" customHeight="1" x14ac:dyDescent="0.25">
      <c r="B92" s="5" t="s">
        <v>1112</v>
      </c>
      <c r="C92" s="312">
        <f t="shared" si="32"/>
        <v>25</v>
      </c>
      <c r="D92" s="42" t="str">
        <f t="shared" si="33"/>
        <v>Aditya Birla Sun Life ESG Integration Strategy Fund - Reg - Growth</v>
      </c>
      <c r="E92" s="84">
        <v>-1.0106999999999999</v>
      </c>
      <c r="F92" s="84">
        <v>12.1815</v>
      </c>
      <c r="G92" s="84">
        <v>9.1442999999999994</v>
      </c>
      <c r="H92" s="84">
        <v>0</v>
      </c>
      <c r="I92" s="84">
        <v>4.8079842349275002E-2</v>
      </c>
      <c r="J92" s="84">
        <v>-3.9521581394177802E-2</v>
      </c>
      <c r="K92" s="84">
        <v>1.0200887747852201</v>
      </c>
      <c r="L92" s="84">
        <v>13.194546777238701</v>
      </c>
      <c r="M92" s="313">
        <f t="shared" si="34"/>
        <v>9.9598111886822868E-2</v>
      </c>
      <c r="N92" s="313">
        <f t="shared" si="35"/>
        <v>0.19979465344488526</v>
      </c>
      <c r="O92" s="313">
        <f t="shared" si="36"/>
        <v>0.39341490487622288</v>
      </c>
      <c r="P92" s="313">
        <f t="shared" si="40"/>
        <v>0</v>
      </c>
      <c r="Q92" s="313">
        <f t="shared" si="37"/>
        <v>0.12899190304300845</v>
      </c>
      <c r="R92" s="313">
        <f t="shared" si="38"/>
        <v>0.85920640148261151</v>
      </c>
      <c r="S92" s="313">
        <f t="shared" si="39"/>
        <v>0.47012556409660589</v>
      </c>
      <c r="T92" s="100">
        <f t="array" ref="T92">SUMPRODUCT(M92:P92,TRANSPOSE('Fund Ranking Criteria'!$K$9:$K$12))+SUMPRODUCT('Fund Ranking_Equity'!Q92:S92, TRANSPOSE('Fund Ranking Criteria'!$K$14:$K$16))</f>
        <v>0.33596797905275017</v>
      </c>
      <c r="Z92" s="42"/>
      <c r="AA92" s="146"/>
    </row>
    <row r="93" spans="2:27" x14ac:dyDescent="0.25">
      <c r="B93" s="5" t="s">
        <v>1113</v>
      </c>
      <c r="C93" s="312">
        <f t="shared" si="32"/>
        <v>49</v>
      </c>
      <c r="D93" s="42" t="str">
        <f t="shared" si="33"/>
        <v>UTI Quant Fund - Reg - Growth</v>
      </c>
      <c r="E93" s="84">
        <v>-3.6836000000000002</v>
      </c>
      <c r="F93" s="84">
        <v>0</v>
      </c>
      <c r="G93" s="84">
        <v>0</v>
      </c>
      <c r="H93" s="84">
        <v>0</v>
      </c>
      <c r="I93" s="84">
        <v>-2.0634993333945899E-2</v>
      </c>
      <c r="J93" s="84">
        <v>-0.34337784485082801</v>
      </c>
      <c r="K93" s="84">
        <v>0.83941000773100505</v>
      </c>
      <c r="L93" s="84">
        <v>12.2815911088086</v>
      </c>
      <c r="M93" s="313">
        <f t="shared" si="34"/>
        <v>8.6964844361112292E-2</v>
      </c>
      <c r="N93" s="313">
        <f t="shared" si="35"/>
        <v>0</v>
      </c>
      <c r="O93" s="313">
        <f t="shared" si="36"/>
        <v>0</v>
      </c>
      <c r="P93" s="313">
        <f t="shared" si="40"/>
        <v>0</v>
      </c>
      <c r="Q93" s="313">
        <f t="shared" si="37"/>
        <v>0.28326540643055653</v>
      </c>
      <c r="R93" s="313">
        <f t="shared" si="38"/>
        <v>0.90580090223313103</v>
      </c>
      <c r="S93" s="313">
        <f t="shared" si="39"/>
        <v>5.3409894803928035E-2</v>
      </c>
      <c r="T93" s="100">
        <f t="array" ref="T93">SUMPRODUCT(M93:P93,TRANSPOSE('Fund Ranking Criteria'!$K$9:$K$12))+SUMPRODUCT('Fund Ranking_Equity'!Q93:S93, TRANSPOSE('Fund Ranking Criteria'!$K$14:$K$16))</f>
        <v>0.17475285853378711</v>
      </c>
      <c r="Z93" s="42"/>
      <c r="AA93" s="146"/>
    </row>
    <row r="94" spans="2:27" x14ac:dyDescent="0.25">
      <c r="B94" s="5" t="s">
        <v>1114</v>
      </c>
      <c r="C94" s="312">
        <f t="shared" si="32"/>
        <v>51</v>
      </c>
      <c r="D94" s="42" t="str">
        <f t="shared" si="33"/>
        <v>UTI Innovation Fund - Reg - Growth</v>
      </c>
      <c r="E94" s="84">
        <v>-4.7214</v>
      </c>
      <c r="F94" s="84">
        <v>0</v>
      </c>
      <c r="G94" s="84">
        <v>0</v>
      </c>
      <c r="H94" s="84">
        <v>0</v>
      </c>
      <c r="I94" s="84">
        <v>-2.55514007166118E-3</v>
      </c>
      <c r="J94" s="84">
        <v>-0.71187733649660001</v>
      </c>
      <c r="K94" s="84">
        <v>0.96941891361780197</v>
      </c>
      <c r="L94" s="84">
        <v>17.849244779058399</v>
      </c>
      <c r="M94" s="313">
        <f t="shared" si="34"/>
        <v>8.2059758110903741E-2</v>
      </c>
      <c r="N94" s="313">
        <f t="shared" si="35"/>
        <v>0</v>
      </c>
      <c r="O94" s="313">
        <f t="shared" si="36"/>
        <v>0</v>
      </c>
      <c r="P94" s="313">
        <f t="shared" si="40"/>
        <v>0</v>
      </c>
      <c r="Q94" s="313">
        <f t="shared" si="37"/>
        <v>0.17225662709391293</v>
      </c>
      <c r="R94" s="313">
        <f t="shared" si="38"/>
        <v>0.62164466980271793</v>
      </c>
      <c r="S94" s="313">
        <f t="shared" si="39"/>
        <v>0.16305373049087132</v>
      </c>
      <c r="T94" s="100">
        <f t="array" ref="T94">SUMPRODUCT(M94:P94,TRANSPOSE('Fund Ranking Criteria'!$K$9:$K$12))+SUMPRODUCT('Fund Ranking_Equity'!Q94:S94, TRANSPOSE('Fund Ranking Criteria'!$K$14:$K$16))</f>
        <v>0.15898162678345509</v>
      </c>
      <c r="Z94" s="42"/>
      <c r="AA94" s="146"/>
    </row>
    <row r="95" spans="2:27" ht="29.1" customHeight="1" x14ac:dyDescent="0.25">
      <c r="B95" s="5" t="s">
        <v>1115</v>
      </c>
      <c r="C95" s="312">
        <f t="shared" si="32"/>
        <v>5</v>
      </c>
      <c r="D95" s="42" t="str">
        <f t="shared" si="33"/>
        <v>ICICI Prudential Pharma Healthcare and Diagnostics Fund - Reg - Growth</v>
      </c>
      <c r="E95" s="84">
        <v>10.4312</v>
      </c>
      <c r="F95" s="84">
        <v>26.522500000000001</v>
      </c>
      <c r="G95" s="84">
        <v>16.373899999999999</v>
      </c>
      <c r="H95" s="84">
        <v>0</v>
      </c>
      <c r="I95" s="84">
        <v>0.12285990491363601</v>
      </c>
      <c r="J95" s="84">
        <v>0.181460757627388</v>
      </c>
      <c r="K95" s="84">
        <v>0.93356260982585804</v>
      </c>
      <c r="L95" s="84">
        <v>14.323798043797</v>
      </c>
      <c r="M95" s="313">
        <f t="shared" si="34"/>
        <v>0.1536774203916034</v>
      </c>
      <c r="N95" s="313">
        <f t="shared" si="35"/>
        <v>0.43500830735065221</v>
      </c>
      <c r="O95" s="313">
        <f t="shared" si="36"/>
        <v>0.7044537374050267</v>
      </c>
      <c r="P95" s="313">
        <f t="shared" si="40"/>
        <v>0</v>
      </c>
      <c r="Q95" s="313">
        <f t="shared" si="37"/>
        <v>0.20287271826333941</v>
      </c>
      <c r="R95" s="313">
        <f t="shared" si="38"/>
        <v>0.80157282648366923</v>
      </c>
      <c r="S95" s="313">
        <f t="shared" si="39"/>
        <v>0.92362332060605334</v>
      </c>
      <c r="T95" s="100">
        <f t="array" ref="T95">SUMPRODUCT(M95:P95,TRANSPOSE('Fund Ranking Criteria'!$K$9:$K$12))+SUMPRODUCT('Fund Ranking_Equity'!Q95:S95, TRANSPOSE('Fund Ranking Criteria'!$K$14:$K$16))</f>
        <v>0.52330823107954283</v>
      </c>
      <c r="Z95" s="42"/>
      <c r="AA95" s="146"/>
    </row>
    <row r="96" spans="2:27" ht="29.1" customHeight="1" x14ac:dyDescent="0.25">
      <c r="B96" s="5" t="s">
        <v>1116</v>
      </c>
      <c r="C96" s="312">
        <f t="shared" si="32"/>
        <v>47</v>
      </c>
      <c r="D96" s="42" t="str">
        <f t="shared" si="33"/>
        <v>ICICI Prudential Equity Minimum Variance Fund - Reg - Growth</v>
      </c>
      <c r="E96" s="84">
        <v>0.2863</v>
      </c>
      <c r="F96" s="84">
        <v>0</v>
      </c>
      <c r="G96" s="84">
        <v>0</v>
      </c>
      <c r="H96" s="84">
        <v>0</v>
      </c>
      <c r="I96" s="84">
        <v>-2.5549846622550001E-3</v>
      </c>
      <c r="J96" s="84">
        <v>0.19038999600802101</v>
      </c>
      <c r="K96" s="84">
        <v>0.97440840451534005</v>
      </c>
      <c r="L96" s="84">
        <v>11.894902367979499</v>
      </c>
      <c r="M96" s="313">
        <f t="shared" si="34"/>
        <v>0.10572828809275898</v>
      </c>
      <c r="N96" s="313">
        <f t="shared" si="35"/>
        <v>0</v>
      </c>
      <c r="O96" s="313">
        <f t="shared" si="36"/>
        <v>0</v>
      </c>
      <c r="P96" s="313">
        <f t="shared" si="40"/>
        <v>0</v>
      </c>
      <c r="Q96" s="313">
        <f t="shared" si="37"/>
        <v>0.16799632438411799</v>
      </c>
      <c r="R96" s="313">
        <f t="shared" si="38"/>
        <v>0.9255363280022284</v>
      </c>
      <c r="S96" s="313">
        <f t="shared" si="39"/>
        <v>0.16305467295888521</v>
      </c>
      <c r="T96" s="100">
        <f t="array" ref="T96">SUMPRODUCT(M96:P96,TRANSPOSE('Fund Ranking Criteria'!$K$9:$K$12))+SUMPRODUCT('Fund Ranking_Equity'!Q96:S96, TRANSPOSE('Fund Ranking Criteria'!$K$14:$K$16))</f>
        <v>0.2067194961164816</v>
      </c>
      <c r="Z96" s="42"/>
      <c r="AA96" s="146"/>
    </row>
    <row r="97" spans="2:27" ht="29.1" customHeight="1" x14ac:dyDescent="0.25">
      <c r="B97" s="5" t="s">
        <v>1117</v>
      </c>
      <c r="C97" s="312">
        <f t="shared" si="32"/>
        <v>23</v>
      </c>
      <c r="D97" s="42" t="str">
        <f t="shared" si="33"/>
        <v>ICICI Prudential Bharat Consumption Fund - Reg - Growth</v>
      </c>
      <c r="E97" s="84">
        <v>-1.6935</v>
      </c>
      <c r="F97" s="84">
        <v>12.307700000000001</v>
      </c>
      <c r="G97" s="84">
        <v>13.692299999999999</v>
      </c>
      <c r="H97" s="84">
        <v>0</v>
      </c>
      <c r="I97" s="84">
        <v>5.06352733098272E-2</v>
      </c>
      <c r="J97" s="84">
        <v>-2.95535134707244E-2</v>
      </c>
      <c r="K97" s="84">
        <v>0.91013846329373504</v>
      </c>
      <c r="L97" s="84">
        <v>13.4350308218444</v>
      </c>
      <c r="M97" s="313">
        <f t="shared" si="34"/>
        <v>9.6370907327522043E-2</v>
      </c>
      <c r="N97" s="313">
        <f t="shared" si="35"/>
        <v>0.20186452047807041</v>
      </c>
      <c r="O97" s="313">
        <f t="shared" si="36"/>
        <v>0.58908335269366785</v>
      </c>
      <c r="P97" s="313">
        <f t="shared" si="40"/>
        <v>0</v>
      </c>
      <c r="Q97" s="313">
        <f t="shared" si="37"/>
        <v>0.22287354740498147</v>
      </c>
      <c r="R97" s="313">
        <f t="shared" si="38"/>
        <v>0.84693282196024933</v>
      </c>
      <c r="S97" s="313">
        <f t="shared" si="39"/>
        <v>0.48562277241369955</v>
      </c>
      <c r="T97" s="100">
        <f t="array" ref="T97">SUMPRODUCT(M97:P97,TRANSPOSE('Fund Ranking Criteria'!$K$9:$K$12))+SUMPRODUCT('Fund Ranking_Equity'!Q97:S97, TRANSPOSE('Fund Ranking Criteria'!$K$14:$K$16))</f>
        <v>0.35324136882754253</v>
      </c>
      <c r="Z97" s="42"/>
      <c r="AA97" s="146"/>
    </row>
    <row r="98" spans="2:27" ht="29.1" customHeight="1" x14ac:dyDescent="0.25">
      <c r="B98" s="5" t="s">
        <v>1118</v>
      </c>
      <c r="C98" s="312">
        <f t="shared" si="32"/>
        <v>14</v>
      </c>
      <c r="D98" s="42" t="str">
        <f t="shared" si="33"/>
        <v>ICICI Prudential Transportation and Logistics Fund - Reg - Growth</v>
      </c>
      <c r="E98" s="84">
        <v>11.726000000000001</v>
      </c>
      <c r="F98" s="84">
        <v>22.060400000000001</v>
      </c>
      <c r="G98" s="84">
        <v>0</v>
      </c>
      <c r="H98" s="84">
        <v>0</v>
      </c>
      <c r="I98" s="84">
        <v>9.0641961733405704E-2</v>
      </c>
      <c r="J98" s="84">
        <v>0.115092355080437</v>
      </c>
      <c r="K98" s="84">
        <v>0.90340986102006904</v>
      </c>
      <c r="L98" s="84">
        <v>15.1705630124885</v>
      </c>
      <c r="M98" s="313">
        <f t="shared" si="34"/>
        <v>0.15979719845748319</v>
      </c>
      <c r="N98" s="313">
        <f t="shared" si="35"/>
        <v>0.36182325434926299</v>
      </c>
      <c r="O98" s="313">
        <f t="shared" si="36"/>
        <v>0</v>
      </c>
      <c r="P98" s="313">
        <f t="shared" si="40"/>
        <v>0</v>
      </c>
      <c r="Q98" s="313">
        <f t="shared" si="37"/>
        <v>0.22861879939327071</v>
      </c>
      <c r="R98" s="313">
        <f t="shared" si="38"/>
        <v>0.75835649919249304</v>
      </c>
      <c r="S98" s="313">
        <f t="shared" si="39"/>
        <v>0.72824016030168437</v>
      </c>
      <c r="T98" s="100">
        <f t="array" ref="T98">SUMPRODUCT(M98:P98,TRANSPOSE('Fund Ranking Criteria'!$K$9:$K$12))+SUMPRODUCT('Fund Ranking_Equity'!Q98:S98, TRANSPOSE('Fund Ranking Criteria'!$K$14:$K$16))</f>
        <v>0.41390967093718056</v>
      </c>
      <c r="Z98" s="42"/>
      <c r="AA98" s="146"/>
    </row>
    <row r="99" spans="2:27" x14ac:dyDescent="0.25">
      <c r="B99" s="5" t="s">
        <v>1119</v>
      </c>
      <c r="C99" s="312">
        <f t="shared" si="32"/>
        <v>16</v>
      </c>
      <c r="D99" s="42" t="str">
        <f t="shared" si="33"/>
        <v>ICICI Prudential Commodities Fund - Reg - Growth</v>
      </c>
      <c r="E99" s="84">
        <v>13.9773</v>
      </c>
      <c r="F99" s="84">
        <v>18.110199999999999</v>
      </c>
      <c r="G99" s="84">
        <v>15.9237</v>
      </c>
      <c r="H99" s="84">
        <v>0</v>
      </c>
      <c r="I99" s="84">
        <v>7.4436014072534099E-2</v>
      </c>
      <c r="J99" s="84">
        <v>1.1642114881054599E-2</v>
      </c>
      <c r="K99" s="84">
        <v>0.84543164432310303</v>
      </c>
      <c r="L99" s="84">
        <v>15.043291933478001</v>
      </c>
      <c r="M99" s="313">
        <f t="shared" si="34"/>
        <v>0.17043780423421717</v>
      </c>
      <c r="N99" s="313">
        <f t="shared" si="35"/>
        <v>0.29703412000308343</v>
      </c>
      <c r="O99" s="313">
        <f t="shared" si="36"/>
        <v>0.68508479826531399</v>
      </c>
      <c r="P99" s="313">
        <f t="shared" si="40"/>
        <v>0</v>
      </c>
      <c r="Q99" s="313">
        <f t="shared" si="37"/>
        <v>0.27812380076025184</v>
      </c>
      <c r="R99" s="313">
        <f t="shared" si="38"/>
        <v>0.76485203078459274</v>
      </c>
      <c r="S99" s="313">
        <f t="shared" si="39"/>
        <v>0.62996047646229969</v>
      </c>
      <c r="T99" s="100">
        <f t="array" ref="T99">SUMPRODUCT(M99:P99,TRANSPOSE('Fund Ranking Criteria'!$K$9:$K$12))+SUMPRODUCT('Fund Ranking_Equity'!Q99:S99, TRANSPOSE('Fund Ranking Criteria'!$K$14:$K$16))</f>
        <v>0.41347527593154132</v>
      </c>
      <c r="Z99" s="42"/>
      <c r="AA99" s="146"/>
    </row>
    <row r="100" spans="2:27" ht="29.1" customHeight="1" x14ac:dyDescent="0.25">
      <c r="B100" s="5" t="s">
        <v>1120</v>
      </c>
      <c r="C100" s="312">
        <f t="shared" si="32"/>
        <v>22</v>
      </c>
      <c r="D100" s="42" t="str">
        <f t="shared" si="33"/>
        <v>ICICI Prudential Housing Opportunities Fund - Reg - Growth</v>
      </c>
      <c r="E100" s="84">
        <v>2.109</v>
      </c>
      <c r="F100" s="84">
        <v>15.005800000000001</v>
      </c>
      <c r="G100" s="84">
        <v>0</v>
      </c>
      <c r="H100" s="84">
        <v>0</v>
      </c>
      <c r="I100" s="84">
        <v>6.1733668445376998E-2</v>
      </c>
      <c r="J100" s="84">
        <v>0.16753058252310499</v>
      </c>
      <c r="K100" s="84">
        <v>0.81911980080249203</v>
      </c>
      <c r="L100" s="84">
        <v>13.6574361658945</v>
      </c>
      <c r="M100" s="313">
        <f t="shared" si="34"/>
        <v>0.11434314712942803</v>
      </c>
      <c r="N100" s="313">
        <f t="shared" si="35"/>
        <v>0.24611735916457411</v>
      </c>
      <c r="O100" s="313">
        <f t="shared" si="36"/>
        <v>0</v>
      </c>
      <c r="P100" s="313">
        <f t="shared" si="40"/>
        <v>0</v>
      </c>
      <c r="Q100" s="313">
        <f t="shared" si="37"/>
        <v>0.30059030496930256</v>
      </c>
      <c r="R100" s="313">
        <f t="shared" si="38"/>
        <v>0.83558192472765791</v>
      </c>
      <c r="S100" s="313">
        <f t="shared" si="39"/>
        <v>0.55292810918705892</v>
      </c>
      <c r="T100" s="100">
        <f t="array" ref="T100">SUMPRODUCT(M100:P100,TRANSPOSE('Fund Ranking Criteria'!$K$9:$K$12))+SUMPRODUCT('Fund Ranking_Equity'!Q100:S100, TRANSPOSE('Fund Ranking Criteria'!$K$14:$K$16))</f>
        <v>0.35459715530136043</v>
      </c>
      <c r="Z100" s="42"/>
      <c r="AA100" s="146"/>
    </row>
    <row r="101" spans="2:27" x14ac:dyDescent="0.25">
      <c r="B101" s="5" t="s">
        <v>1121</v>
      </c>
      <c r="C101" s="312">
        <f t="shared" si="32"/>
        <v>19</v>
      </c>
      <c r="D101" s="42" t="str">
        <f t="shared" si="33"/>
        <v>ICICI Prudential PSU Equity Fund - Reg - Growth</v>
      </c>
      <c r="E101" s="84">
        <v>7.6848000000000001</v>
      </c>
      <c r="F101" s="84">
        <v>24.927</v>
      </c>
      <c r="G101" s="84">
        <v>0</v>
      </c>
      <c r="H101" s="84">
        <v>0</v>
      </c>
      <c r="I101" s="84">
        <v>8.1707301617248096E-2</v>
      </c>
      <c r="J101" s="84">
        <v>-9.6285078379177103E-2</v>
      </c>
      <c r="K101" s="84">
        <v>0.855180885248496</v>
      </c>
      <c r="L101" s="84">
        <v>18.8779480785449</v>
      </c>
      <c r="M101" s="313">
        <f t="shared" si="34"/>
        <v>0.14069676045946544</v>
      </c>
      <c r="N101" s="313">
        <f t="shared" si="35"/>
        <v>0.40883974275915569</v>
      </c>
      <c r="O101" s="313">
        <f t="shared" si="36"/>
        <v>0</v>
      </c>
      <c r="P101" s="313">
        <f t="shared" si="40"/>
        <v>0</v>
      </c>
      <c r="Q101" s="313">
        <f t="shared" si="37"/>
        <v>0.2697993607751244</v>
      </c>
      <c r="R101" s="313">
        <f t="shared" si="38"/>
        <v>0.5691427594499312</v>
      </c>
      <c r="S101" s="313">
        <f t="shared" si="39"/>
        <v>0.67405662288668677</v>
      </c>
      <c r="T101" s="100">
        <f t="array" ref="T101">SUMPRODUCT(M101:P101,TRANSPOSE('Fund Ranking Criteria'!$K$9:$K$12))+SUMPRODUCT('Fund Ranking_Equity'!Q101:S101, TRANSPOSE('Fund Ranking Criteria'!$K$14:$K$16))</f>
        <v>0.37647400628207184</v>
      </c>
      <c r="Z101" s="42"/>
      <c r="AA101" s="146"/>
    </row>
    <row r="102" spans="2:27" x14ac:dyDescent="0.25">
      <c r="B102" s="5" t="s">
        <v>1122</v>
      </c>
      <c r="C102" s="312">
        <f t="shared" si="32"/>
        <v>46</v>
      </c>
      <c r="D102" s="42" t="str">
        <f t="shared" si="33"/>
        <v>ICICI Prudential Quality Fund - Reg - Growth</v>
      </c>
      <c r="E102" s="84">
        <v>2.1696</v>
      </c>
      <c r="F102" s="84">
        <v>0</v>
      </c>
      <c r="G102" s="84">
        <v>0</v>
      </c>
      <c r="H102" s="84">
        <v>0</v>
      </c>
      <c r="I102" s="84">
        <v>-1.25371505221697E-2</v>
      </c>
      <c r="J102" s="84">
        <v>0.27446925112457898</v>
      </c>
      <c r="K102" s="84">
        <v>0.73137581037940702</v>
      </c>
      <c r="L102" s="84">
        <v>10.832814605733001</v>
      </c>
      <c r="M102" s="313">
        <f t="shared" si="34"/>
        <v>0.11462956862370691</v>
      </c>
      <c r="N102" s="313">
        <f t="shared" si="35"/>
        <v>0</v>
      </c>
      <c r="O102" s="313">
        <f t="shared" si="36"/>
        <v>0</v>
      </c>
      <c r="P102" s="313">
        <f t="shared" si="40"/>
        <v>0</v>
      </c>
      <c r="Q102" s="313">
        <f t="shared" si="37"/>
        <v>0.37551096678514817</v>
      </c>
      <c r="R102" s="313">
        <f t="shared" si="38"/>
        <v>0.9797420805336845</v>
      </c>
      <c r="S102" s="313">
        <f t="shared" si="39"/>
        <v>0.10251862006804474</v>
      </c>
      <c r="T102" s="100">
        <f t="array" ref="T102">SUMPRODUCT(M102:P102,TRANSPOSE('Fund Ranking Criteria'!$K$9:$K$12))+SUMPRODUCT('Fund Ranking_Equity'!Q102:S102, TRANSPOSE('Fund Ranking Criteria'!$K$14:$K$16))</f>
        <v>0.20795540330209419</v>
      </c>
      <c r="Z102" s="42"/>
      <c r="AA102" s="146"/>
    </row>
    <row r="103" spans="2:27" x14ac:dyDescent="0.25">
      <c r="B103" s="5" t="s">
        <v>1123</v>
      </c>
      <c r="C103" s="312">
        <f t="shared" si="32"/>
        <v>18</v>
      </c>
      <c r="D103" s="42" t="str">
        <f t="shared" si="33"/>
        <v>ICICI Prudential MNC Fund - Reg - Growth</v>
      </c>
      <c r="E103" s="84">
        <v>9.1104000000000003</v>
      </c>
      <c r="F103" s="84">
        <v>13.711600000000001</v>
      </c>
      <c r="G103" s="84">
        <v>12.6478</v>
      </c>
      <c r="H103" s="84">
        <v>0</v>
      </c>
      <c r="I103" s="84">
        <v>6.4363404117303805E-2</v>
      </c>
      <c r="J103" s="84">
        <v>3.6395908195307101E-2</v>
      </c>
      <c r="K103" s="84">
        <v>0.74221057771099996</v>
      </c>
      <c r="L103" s="84">
        <v>11.911933309363899</v>
      </c>
      <c r="M103" s="313">
        <f t="shared" si="34"/>
        <v>0.14743475521596699</v>
      </c>
      <c r="N103" s="313">
        <f t="shared" si="35"/>
        <v>0.22489056111110201</v>
      </c>
      <c r="O103" s="313">
        <f t="shared" si="36"/>
        <v>0.54414586506277052</v>
      </c>
      <c r="P103" s="313">
        <f t="shared" si="40"/>
        <v>0</v>
      </c>
      <c r="Q103" s="313">
        <f t="shared" si="37"/>
        <v>0.36625964444170844</v>
      </c>
      <c r="R103" s="313">
        <f t="shared" si="38"/>
        <v>0.92466712017696573</v>
      </c>
      <c r="S103" s="313">
        <f t="shared" si="39"/>
        <v>0.56887593253108537</v>
      </c>
      <c r="T103" s="100">
        <f t="array" ref="T103">SUMPRODUCT(M103:P103,TRANSPOSE('Fund Ranking Criteria'!$K$9:$K$12))+SUMPRODUCT('Fund Ranking_Equity'!Q103:S103, TRANSPOSE('Fund Ranking Criteria'!$K$14:$K$16))</f>
        <v>0.40336018294935638</v>
      </c>
      <c r="Z103" s="42"/>
      <c r="AA103" s="146"/>
    </row>
    <row r="104" spans="2:27" ht="29.1" customHeight="1" x14ac:dyDescent="0.25">
      <c r="B104" s="5" t="s">
        <v>1124</v>
      </c>
      <c r="C104" s="312">
        <f t="shared" si="32"/>
        <v>20</v>
      </c>
      <c r="D104" s="42" t="str">
        <f t="shared" si="33"/>
        <v>ICICI Prudential ESG Exclusionary Strategy Fund - Reg - Growth</v>
      </c>
      <c r="E104" s="84">
        <v>-5.2348999999999997</v>
      </c>
      <c r="F104" s="84">
        <v>13.9354</v>
      </c>
      <c r="G104" s="84">
        <v>10.487500000000001</v>
      </c>
      <c r="H104" s="84">
        <v>0</v>
      </c>
      <c r="I104" s="84">
        <v>6.1574213909762802E-2</v>
      </c>
      <c r="J104" s="84">
        <v>0.13445286963004899</v>
      </c>
      <c r="K104" s="84">
        <v>1.00159559331975</v>
      </c>
      <c r="L104" s="84">
        <v>12.929906209581301</v>
      </c>
      <c r="M104" s="313">
        <f t="shared" si="34"/>
        <v>7.9632737693210442E-2</v>
      </c>
      <c r="N104" s="313">
        <f t="shared" si="35"/>
        <v>0.2285612127911878</v>
      </c>
      <c r="O104" s="313">
        <f t="shared" si="36"/>
        <v>0.45120335234948417</v>
      </c>
      <c r="P104" s="313">
        <f t="shared" si="40"/>
        <v>0</v>
      </c>
      <c r="Q104" s="313">
        <f t="shared" si="37"/>
        <v>0.14478240205944048</v>
      </c>
      <c r="R104" s="313">
        <f t="shared" si="38"/>
        <v>0.87271285700364953</v>
      </c>
      <c r="S104" s="313">
        <f t="shared" si="39"/>
        <v>0.55196110980665514</v>
      </c>
      <c r="T104" s="100">
        <f t="array" ref="T104">SUMPRODUCT(M104:P104,TRANSPOSE('Fund Ranking Criteria'!$K$9:$K$12))+SUMPRODUCT('Fund Ranking_Equity'!Q104:S104, TRANSPOSE('Fund Ranking Criteria'!$K$14:$K$16))</f>
        <v>0.36854200490098943</v>
      </c>
      <c r="Z104" s="42"/>
      <c r="AA104" s="146"/>
    </row>
    <row r="105" spans="2:27" x14ac:dyDescent="0.25">
      <c r="B105" s="5" t="s">
        <v>1125</v>
      </c>
      <c r="C105" s="312">
        <f t="shared" si="32"/>
        <v>44</v>
      </c>
      <c r="D105" s="42" t="str">
        <f t="shared" si="33"/>
        <v>ICICI Prudential Rural Opportunities Fund - Reg - Growth</v>
      </c>
      <c r="E105" s="84">
        <v>-0.55000000000000004</v>
      </c>
      <c r="F105" s="84">
        <v>0</v>
      </c>
      <c r="G105" s="84">
        <v>0</v>
      </c>
      <c r="H105" s="84">
        <v>0</v>
      </c>
      <c r="I105" s="84">
        <v>2.39556474652198E-2</v>
      </c>
      <c r="J105" s="84">
        <v>-0.18695358715561899</v>
      </c>
      <c r="K105" s="84">
        <v>0.91793945800607901</v>
      </c>
      <c r="L105" s="84">
        <v>13.905962727438901</v>
      </c>
      <c r="M105" s="313">
        <f t="shared" si="34"/>
        <v>0.10177557694316423</v>
      </c>
      <c r="N105" s="313">
        <f t="shared" si="35"/>
        <v>0</v>
      </c>
      <c r="O105" s="313">
        <f t="shared" si="36"/>
        <v>0</v>
      </c>
      <c r="P105" s="313">
        <f t="shared" si="40"/>
        <v>0</v>
      </c>
      <c r="Q105" s="313">
        <f t="shared" si="37"/>
        <v>0.21621262756474413</v>
      </c>
      <c r="R105" s="313">
        <f t="shared" si="38"/>
        <v>0.82289787942421255</v>
      </c>
      <c r="S105" s="313">
        <f t="shared" si="39"/>
        <v>0.32382629819134184</v>
      </c>
      <c r="T105" s="100">
        <f t="array" ref="T105">SUMPRODUCT(M105:P105,TRANSPOSE('Fund Ranking Criteria'!$K$9:$K$12))+SUMPRODUCT('Fund Ranking_Equity'!Q105:S105, TRANSPOSE('Fund Ranking Criteria'!$K$14:$K$16))</f>
        <v>0.24157076044358805</v>
      </c>
      <c r="Z105" s="42"/>
      <c r="AA105" s="146"/>
    </row>
    <row r="106" spans="2:27" x14ac:dyDescent="0.25">
      <c r="B106" s="5" t="s">
        <v>1126</v>
      </c>
      <c r="C106" s="312">
        <f t="shared" si="32"/>
        <v>15</v>
      </c>
      <c r="D106" s="42" t="str">
        <f t="shared" si="33"/>
        <v>ICICI Prudential Quant Fund - Reg - Growth</v>
      </c>
      <c r="E106" s="84">
        <v>-0.61760000000000004</v>
      </c>
      <c r="F106" s="84">
        <v>13.7668</v>
      </c>
      <c r="G106" s="84">
        <v>11.8781</v>
      </c>
      <c r="H106" s="84">
        <v>0</v>
      </c>
      <c r="I106" s="84">
        <v>6.8776700889439699E-2</v>
      </c>
      <c r="J106" s="84">
        <v>0.16147669569529999</v>
      </c>
      <c r="K106" s="84">
        <v>0.81008889853383603</v>
      </c>
      <c r="L106" s="84">
        <v>10.4358883138</v>
      </c>
      <c r="M106" s="313">
        <f t="shared" si="34"/>
        <v>0.10145607045779703</v>
      </c>
      <c r="N106" s="313">
        <f t="shared" si="35"/>
        <v>0.22579592291959499</v>
      </c>
      <c r="O106" s="313">
        <f t="shared" si="36"/>
        <v>0.51103108839498523</v>
      </c>
      <c r="P106" s="313">
        <f t="shared" si="40"/>
        <v>0</v>
      </c>
      <c r="Q106" s="313">
        <f t="shared" si="37"/>
        <v>0.30830138776254556</v>
      </c>
      <c r="R106" s="313">
        <f t="shared" si="38"/>
        <v>1</v>
      </c>
      <c r="S106" s="313">
        <f t="shared" si="39"/>
        <v>0.59564002066288446</v>
      </c>
      <c r="T106" s="100">
        <f t="array" ref="T106">SUMPRODUCT(M106:P106,TRANSPOSE('Fund Ranking Criteria'!$K$9:$K$12))+SUMPRODUCT('Fund Ranking_Equity'!Q106:S106, TRANSPOSE('Fund Ranking Criteria'!$K$14:$K$16))</f>
        <v>0.41367362549046083</v>
      </c>
      <c r="Z106" s="42"/>
      <c r="AA106" s="146"/>
    </row>
    <row r="107" spans="2:27" x14ac:dyDescent="0.25">
      <c r="B107" s="5" t="s">
        <v>1127</v>
      </c>
      <c r="C107" s="312">
        <f t="shared" si="32"/>
        <v>43</v>
      </c>
      <c r="D107" s="42" t="str">
        <f t="shared" si="33"/>
        <v>ICICI Prudential Active Momentum Fund - Reg - Growth</v>
      </c>
      <c r="E107" s="84">
        <v>0</v>
      </c>
      <c r="F107" s="84">
        <v>0</v>
      </c>
      <c r="G107" s="84">
        <v>0</v>
      </c>
      <c r="H107" s="84">
        <v>0</v>
      </c>
      <c r="I107" s="84">
        <v>3.2609955027089597E-2</v>
      </c>
      <c r="J107" s="84">
        <v>0.70386148579607699</v>
      </c>
      <c r="K107" s="84">
        <v>0.92250713147857299</v>
      </c>
      <c r="L107" s="84">
        <v>14.849247517844001</v>
      </c>
      <c r="M107" s="313">
        <f t="shared" si="34"/>
        <v>0.10437511195724664</v>
      </c>
      <c r="N107" s="313">
        <f t="shared" si="35"/>
        <v>0</v>
      </c>
      <c r="O107" s="313">
        <f t="shared" si="36"/>
        <v>0</v>
      </c>
      <c r="P107" s="313">
        <f t="shared" si="40"/>
        <v>0</v>
      </c>
      <c r="Q107" s="313">
        <f t="shared" si="37"/>
        <v>0.21231249585352557</v>
      </c>
      <c r="R107" s="313">
        <f t="shared" si="38"/>
        <v>0.77475547186343496</v>
      </c>
      <c r="S107" s="313">
        <f t="shared" si="39"/>
        <v>0.37630965978351516</v>
      </c>
      <c r="T107" s="100">
        <f t="array" ref="T107">SUMPRODUCT(M107:P107,TRANSPOSE('Fund Ranking Criteria'!$K$9:$K$12))+SUMPRODUCT('Fund Ranking_Equity'!Q107:S107, TRANSPOSE('Fund Ranking Criteria'!$K$14:$K$16))</f>
        <v>0.25015935470297074</v>
      </c>
      <c r="Z107" s="42"/>
      <c r="AA107" s="146"/>
    </row>
    <row r="108" spans="2:27" x14ac:dyDescent="0.25">
      <c r="B108" s="5" t="s">
        <v>1128</v>
      </c>
      <c r="C108" s="312">
        <f t="shared" si="32"/>
        <v>30</v>
      </c>
      <c r="D108" s="42" t="str">
        <f t="shared" si="33"/>
        <v>HDFC Banking &amp; Financial Services Fund - Reg - Growth</v>
      </c>
      <c r="E108" s="84">
        <v>5.1745999999999999</v>
      </c>
      <c r="F108" s="84">
        <v>14.0228</v>
      </c>
      <c r="G108" s="84">
        <v>0</v>
      </c>
      <c r="H108" s="84">
        <v>0</v>
      </c>
      <c r="I108" s="84">
        <v>5.1777993740184998E-2</v>
      </c>
      <c r="J108" s="84">
        <v>0.20223358670643901</v>
      </c>
      <c r="K108" s="84">
        <v>0.97797790349607505</v>
      </c>
      <c r="L108" s="84">
        <v>15.4662570040287</v>
      </c>
      <c r="M108" s="313">
        <f t="shared" si="34"/>
        <v>0.12883248265519343</v>
      </c>
      <c r="N108" s="313">
        <f t="shared" si="35"/>
        <v>0.22999470232130176</v>
      </c>
      <c r="O108" s="313">
        <f t="shared" si="36"/>
        <v>0</v>
      </c>
      <c r="P108" s="313">
        <f t="shared" si="40"/>
        <v>0</v>
      </c>
      <c r="Q108" s="313">
        <f t="shared" si="37"/>
        <v>0.16494848914550897</v>
      </c>
      <c r="R108" s="313">
        <f t="shared" si="38"/>
        <v>0.7432651706787704</v>
      </c>
      <c r="S108" s="313">
        <f t="shared" si="39"/>
        <v>0.49255270980227489</v>
      </c>
      <c r="T108" s="100">
        <f t="array" ref="T108">SUMPRODUCT(M108:P108,TRANSPOSE('Fund Ranking Criteria'!$K$9:$K$12))+SUMPRODUCT('Fund Ranking_Equity'!Q108:S108, TRANSPOSE('Fund Ranking Criteria'!$K$14:$K$16))</f>
        <v>0.3148854666134881</v>
      </c>
      <c r="Z108" s="42"/>
      <c r="AA108" s="146"/>
    </row>
    <row r="109" spans="2:27" x14ac:dyDescent="0.25">
      <c r="B109" s="5" t="s">
        <v>1129</v>
      </c>
      <c r="C109" s="312">
        <f t="shared" si="32"/>
        <v>33</v>
      </c>
      <c r="D109" s="42" t="str">
        <f t="shared" si="33"/>
        <v>HDFC Business Cycle Fund - Reg - Growth</v>
      </c>
      <c r="E109" s="84">
        <v>3.278</v>
      </c>
      <c r="F109" s="84">
        <v>11.762600000000001</v>
      </c>
      <c r="G109" s="84">
        <v>0</v>
      </c>
      <c r="H109" s="84">
        <v>0</v>
      </c>
      <c r="I109" s="84">
        <v>4.6101684330824497E-2</v>
      </c>
      <c r="J109" s="84">
        <v>-0.14823736594908399</v>
      </c>
      <c r="K109" s="84">
        <v>1.0123622158880199</v>
      </c>
      <c r="L109" s="84">
        <v>13.9574888521835</v>
      </c>
      <c r="M109" s="313">
        <f t="shared" si="34"/>
        <v>0.11986834064117767</v>
      </c>
      <c r="N109" s="313">
        <f t="shared" si="35"/>
        <v>0.19292407261920189</v>
      </c>
      <c r="O109" s="313">
        <f t="shared" si="36"/>
        <v>0</v>
      </c>
      <c r="P109" s="313">
        <f t="shared" si="40"/>
        <v>0</v>
      </c>
      <c r="Q109" s="313">
        <f t="shared" si="37"/>
        <v>0.1355892654759922</v>
      </c>
      <c r="R109" s="313">
        <f t="shared" si="38"/>
        <v>0.8202681415945412</v>
      </c>
      <c r="S109" s="313">
        <f t="shared" si="39"/>
        <v>0.45812918173711825</v>
      </c>
      <c r="T109" s="100">
        <f t="array" ref="T109">SUMPRODUCT(M109:P109,TRANSPOSE('Fund Ranking Criteria'!$K$9:$K$12))+SUMPRODUCT('Fund Ranking_Equity'!Q109:S109, TRANSPOSE('Fund Ranking Criteria'!$K$14:$K$16))</f>
        <v>0.30818388399111435</v>
      </c>
      <c r="Z109" s="42"/>
      <c r="AA109" s="146"/>
    </row>
    <row r="110" spans="2:27" x14ac:dyDescent="0.25">
      <c r="B110" s="5" t="s">
        <v>1130</v>
      </c>
      <c r="C110" s="312">
        <f t="shared" si="32"/>
        <v>13</v>
      </c>
      <c r="D110" s="42" t="str">
        <f t="shared" si="33"/>
        <v>HDFC Pharma and Healthcare Fund - Reg - Growth</v>
      </c>
      <c r="E110" s="84">
        <v>23.263400000000001</v>
      </c>
      <c r="F110" s="84">
        <v>0</v>
      </c>
      <c r="G110" s="84">
        <v>0</v>
      </c>
      <c r="H110" s="84">
        <v>0</v>
      </c>
      <c r="I110" s="84">
        <v>0.125211461147546</v>
      </c>
      <c r="J110" s="84">
        <v>0.47323173755621101</v>
      </c>
      <c r="K110" s="84">
        <v>0.96462361195280799</v>
      </c>
      <c r="L110" s="84">
        <v>15.1406360950881</v>
      </c>
      <c r="M110" s="313">
        <f t="shared" si="34"/>
        <v>0.21432788076925438</v>
      </c>
      <c r="N110" s="313">
        <f t="shared" si="35"/>
        <v>0</v>
      </c>
      <c r="O110" s="313">
        <f t="shared" si="36"/>
        <v>0</v>
      </c>
      <c r="P110" s="313">
        <f t="shared" si="40"/>
        <v>0</v>
      </c>
      <c r="Q110" s="313">
        <f t="shared" si="37"/>
        <v>0.17635112031921141</v>
      </c>
      <c r="R110" s="313">
        <f t="shared" si="38"/>
        <v>0.75988387869567475</v>
      </c>
      <c r="S110" s="313">
        <f t="shared" si="39"/>
        <v>0.93788414681846999</v>
      </c>
      <c r="T110" s="100">
        <f t="array" ref="T110">SUMPRODUCT(M110:P110,TRANSPOSE('Fund Ranking Criteria'!$K$9:$K$12))+SUMPRODUCT('Fund Ranking_Equity'!Q110:S110, TRANSPOSE('Fund Ranking Criteria'!$K$14:$K$16))</f>
        <v>0.42559816994277822</v>
      </c>
      <c r="Z110" s="42"/>
      <c r="AA110" s="146"/>
    </row>
    <row r="111" spans="2:27" x14ac:dyDescent="0.25">
      <c r="B111" s="5" t="s">
        <v>1131</v>
      </c>
      <c r="C111" s="312">
        <f t="shared" si="32"/>
        <v>53</v>
      </c>
      <c r="D111" s="42" t="str">
        <f t="shared" si="33"/>
        <v>HDFC Technology Fund - Reg - Growth</v>
      </c>
      <c r="E111" s="84">
        <v>-22.083300000000001</v>
      </c>
      <c r="F111" s="84">
        <v>0</v>
      </c>
      <c r="G111" s="84">
        <v>0</v>
      </c>
      <c r="H111" s="84">
        <v>0</v>
      </c>
      <c r="I111" s="84">
        <v>-6.7651188741857798E-3</v>
      </c>
      <c r="J111" s="84">
        <v>0.12495393871855399</v>
      </c>
      <c r="K111" s="84">
        <v>0.97685012153636996</v>
      </c>
      <c r="L111" s="84">
        <v>17.350420393990198</v>
      </c>
      <c r="M111" s="313">
        <f t="shared" si="34"/>
        <v>0</v>
      </c>
      <c r="N111" s="313">
        <f t="shared" si="35"/>
        <v>0</v>
      </c>
      <c r="O111" s="313">
        <f t="shared" si="36"/>
        <v>0</v>
      </c>
      <c r="P111" s="313">
        <f t="shared" si="40"/>
        <v>0</v>
      </c>
      <c r="Q111" s="313">
        <f t="shared" si="37"/>
        <v>0.16591145162758508</v>
      </c>
      <c r="R111" s="313">
        <f t="shared" si="38"/>
        <v>0.64710316027291237</v>
      </c>
      <c r="S111" s="313">
        <f t="shared" si="39"/>
        <v>0.13752264805490746</v>
      </c>
      <c r="T111" s="100">
        <f t="array" ref="T111">SUMPRODUCT(M111:P111,TRANSPOSE('Fund Ranking Criteria'!$K$9:$K$12))+SUMPRODUCT('Fund Ranking_Equity'!Q111:S111, TRANSPOSE('Fund Ranking Criteria'!$K$14:$K$16))</f>
        <v>0.14661784103878833</v>
      </c>
      <c r="Z111" s="42"/>
      <c r="AA111" s="146"/>
    </row>
    <row r="112" spans="2:27" x14ac:dyDescent="0.25">
      <c r="B112" s="5" t="s">
        <v>1132</v>
      </c>
      <c r="C112" s="312">
        <f t="shared" si="32"/>
        <v>28</v>
      </c>
      <c r="D112" s="42" t="str">
        <f t="shared" si="33"/>
        <v>HDFC Transportation and Logistics Fund - Reg - Growth</v>
      </c>
      <c r="E112" s="84">
        <v>16.395700000000001</v>
      </c>
      <c r="F112" s="84">
        <v>0</v>
      </c>
      <c r="G112" s="84">
        <v>0</v>
      </c>
      <c r="H112" s="84">
        <v>0</v>
      </c>
      <c r="I112" s="84">
        <v>8.1333703748580594E-2</v>
      </c>
      <c r="J112" s="84">
        <v>0.219867504534593</v>
      </c>
      <c r="K112" s="84">
        <v>0.98605559538971399</v>
      </c>
      <c r="L112" s="84">
        <v>17.050938339852699</v>
      </c>
      <c r="M112" s="313">
        <f t="shared" si="34"/>
        <v>0.18186819601250234</v>
      </c>
      <c r="N112" s="313">
        <f t="shared" si="35"/>
        <v>0</v>
      </c>
      <c r="O112" s="313">
        <f t="shared" si="36"/>
        <v>0</v>
      </c>
      <c r="P112" s="313">
        <f t="shared" si="40"/>
        <v>0</v>
      </c>
      <c r="Q112" s="313">
        <f t="shared" si="37"/>
        <v>0.15805130998032821</v>
      </c>
      <c r="R112" s="313">
        <f t="shared" si="38"/>
        <v>0.66238782006397556</v>
      </c>
      <c r="S112" s="313">
        <f t="shared" si="39"/>
        <v>0.67179096825271789</v>
      </c>
      <c r="T112" s="100">
        <f t="array" ref="T112">SUMPRODUCT(M112:P112,TRANSPOSE('Fund Ranking Criteria'!$K$9:$K$12))+SUMPRODUCT('Fund Ranking_Equity'!Q112:S112, TRANSPOSE('Fund Ranking Criteria'!$K$14:$K$16))</f>
        <v>0.32698484858567833</v>
      </c>
      <c r="Z112" s="42"/>
      <c r="AA112" s="146"/>
    </row>
    <row r="113" spans="2:27" x14ac:dyDescent="0.25">
      <c r="B113" s="5" t="s">
        <v>1133</v>
      </c>
      <c r="C113" s="312">
        <f t="shared" si="32"/>
        <v>29</v>
      </c>
      <c r="D113" s="42" t="str">
        <f t="shared" si="33"/>
        <v>HDFC Housing Opportunities Fund - Reg - Growth</v>
      </c>
      <c r="E113" s="84">
        <v>-2.5190000000000001</v>
      </c>
      <c r="F113" s="84">
        <v>14.252000000000001</v>
      </c>
      <c r="G113" s="84">
        <v>13.349</v>
      </c>
      <c r="H113" s="84">
        <v>0</v>
      </c>
      <c r="I113" s="84">
        <v>5.1188070872925401E-2</v>
      </c>
      <c r="J113" s="84">
        <v>-8.5211928797176394E-3</v>
      </c>
      <c r="K113" s="84">
        <v>0.98602287061694205</v>
      </c>
      <c r="L113" s="84">
        <v>17.151205645672398</v>
      </c>
      <c r="M113" s="313">
        <f t="shared" si="34"/>
        <v>9.2469241592749288E-2</v>
      </c>
      <c r="N113" s="313">
        <f t="shared" si="35"/>
        <v>0.23375392200439232</v>
      </c>
      <c r="O113" s="313">
        <f t="shared" si="36"/>
        <v>0.57431356858290949</v>
      </c>
      <c r="P113" s="313">
        <f t="shared" si="40"/>
        <v>0</v>
      </c>
      <c r="Q113" s="313">
        <f t="shared" si="37"/>
        <v>0.15807925219747637</v>
      </c>
      <c r="R113" s="313">
        <f t="shared" si="38"/>
        <v>0.65727047952070228</v>
      </c>
      <c r="S113" s="313">
        <f t="shared" si="39"/>
        <v>0.48897516937717039</v>
      </c>
      <c r="T113" s="100">
        <f t="array" ref="T113">SUMPRODUCT(M113:P113,TRANSPOSE('Fund Ranking Criteria'!$K$9:$K$12))+SUMPRODUCT('Fund Ranking_Equity'!Q113:S113, TRANSPOSE('Fund Ranking Criteria'!$K$14:$K$16))</f>
        <v>0.3262127762402095</v>
      </c>
      <c r="Z113" s="42"/>
      <c r="AA113" s="146"/>
    </row>
    <row r="114" spans="2:27" x14ac:dyDescent="0.25">
      <c r="B114" s="5" t="s">
        <v>1134</v>
      </c>
      <c r="C114" s="312">
        <f t="shared" si="32"/>
        <v>31</v>
      </c>
      <c r="D114" s="42" t="str">
        <f t="shared" si="33"/>
        <v>HDFC Non-Cyclical Consumer Fund - Reg - Growth</v>
      </c>
      <c r="E114" s="84">
        <v>3.9891000000000001</v>
      </c>
      <c r="F114" s="84">
        <v>0</v>
      </c>
      <c r="G114" s="84">
        <v>0</v>
      </c>
      <c r="H114" s="84">
        <v>0</v>
      </c>
      <c r="I114" s="84">
        <v>7.20973974093852E-2</v>
      </c>
      <c r="J114" s="84">
        <v>4.1565426897527402E-2</v>
      </c>
      <c r="K114" s="84">
        <v>0.99013759836916204</v>
      </c>
      <c r="L114" s="84">
        <v>15.706250706708699</v>
      </c>
      <c r="M114" s="313">
        <f t="shared" si="34"/>
        <v>0.1232293030930213</v>
      </c>
      <c r="N114" s="313">
        <f t="shared" si="35"/>
        <v>0</v>
      </c>
      <c r="O114" s="313">
        <f t="shared" si="36"/>
        <v>0</v>
      </c>
      <c r="P114" s="313">
        <f t="shared" si="40"/>
        <v>0</v>
      </c>
      <c r="Q114" s="313">
        <f t="shared" si="37"/>
        <v>0.15456587054134369</v>
      </c>
      <c r="R114" s="313">
        <f t="shared" si="38"/>
        <v>0.73101661672776397</v>
      </c>
      <c r="S114" s="313">
        <f t="shared" si="39"/>
        <v>0.61577812125016218</v>
      </c>
      <c r="T114" s="100">
        <f t="array" ref="T114">SUMPRODUCT(M114:P114,TRANSPOSE('Fund Ranking Criteria'!$K$9:$K$12))+SUMPRODUCT('Fund Ranking_Equity'!Q114:S114, TRANSPOSE('Fund Ranking Criteria'!$K$14:$K$16))</f>
        <v>0.31443715272058259</v>
      </c>
      <c r="Z114" s="42"/>
      <c r="AA114" s="146"/>
    </row>
    <row r="115" spans="2:27" x14ac:dyDescent="0.25">
      <c r="B115" s="5" t="s">
        <v>1135</v>
      </c>
      <c r="C115" s="312">
        <f t="shared" ref="C115:C137" si="41">RANK(T115,$T$83:$T$137,0)</f>
        <v>42</v>
      </c>
      <c r="D115" s="42" t="str">
        <f t="shared" ref="D115:D137" si="42">B115</f>
        <v>HDFC MNC Fund - Reg - Growth</v>
      </c>
      <c r="E115" s="84">
        <v>4.0750000000000002</v>
      </c>
      <c r="F115" s="84">
        <v>7.2885</v>
      </c>
      <c r="G115" s="84">
        <v>0</v>
      </c>
      <c r="H115" s="84">
        <v>0</v>
      </c>
      <c r="I115" s="84">
        <v>2.14915084552544E-2</v>
      </c>
      <c r="J115" s="84">
        <v>-0.61867996841385897</v>
      </c>
      <c r="K115" s="84">
        <v>0.95382632388550403</v>
      </c>
      <c r="L115" s="84">
        <v>14.5079893625928</v>
      </c>
      <c r="M115" s="313">
        <f t="shared" ref="M115:M137" si="43">(E115-MIN(E$83:E$137))/(MAX(E$83:E$137)-MIN(E$83:E$137))</f>
        <v>0.12363530319794798</v>
      </c>
      <c r="N115" s="313">
        <f t="shared" ref="N115:N137" si="44">(F115-MIN(F$83:F$137))/(MAX(F$83:F$137)-MIN(F$83:F$137))</f>
        <v>0.11954220183335766</v>
      </c>
      <c r="O115" s="313">
        <f t="shared" ref="O115:O137" si="45">(G115-MIN(G$83:G$137))/(MAX(G$83:G$137)-MIN(G$83:G$137))</f>
        <v>0</v>
      </c>
      <c r="P115" s="313">
        <f t="shared" si="40"/>
        <v>0</v>
      </c>
      <c r="Q115" s="313">
        <f t="shared" ref="Q115:Q137" si="46">(MAX(K$83:K$137)-K115)/(MAX(K$83:K$137)-MIN(K$83:K$137))</f>
        <v>0.1855704407982344</v>
      </c>
      <c r="R115" s="313">
        <f t="shared" ref="R115:R137" si="47">(MAX(L$83:L$137)-L115)/(MAX(L$83:L$137)-MIN(L$83:L$137))</f>
        <v>0.79217225771713973</v>
      </c>
      <c r="S115" s="313">
        <f t="shared" ref="S115:S137" si="48">(I115-MIN(I$83:I$137))/(MAX(I$83:I$137)-MIN(I$83:I$137))</f>
        <v>0.30888272266564687</v>
      </c>
      <c r="T115" s="100">
        <f t="array" ref="T115">SUMPRODUCT(M115:P115,TRANSPOSE('Fund Ranking Criteria'!$K$9:$K$12))+SUMPRODUCT('Fund Ranking_Equity'!Q115:S115, TRANSPOSE('Fund Ranking Criteria'!$K$14:$K$16))</f>
        <v>0.25106403809197519</v>
      </c>
      <c r="Z115" s="42"/>
      <c r="AA115" s="146"/>
    </row>
    <row r="116" spans="2:27" x14ac:dyDescent="0.25">
      <c r="B116" s="5" t="s">
        <v>1136</v>
      </c>
      <c r="C116" s="312">
        <f t="shared" si="41"/>
        <v>45</v>
      </c>
      <c r="D116" s="42" t="str">
        <f t="shared" si="42"/>
        <v>HDFC Innovation Fund - Reg - Growth</v>
      </c>
      <c r="E116" s="84">
        <v>0</v>
      </c>
      <c r="F116" s="84">
        <v>0</v>
      </c>
      <c r="G116" s="84">
        <v>0</v>
      </c>
      <c r="H116" s="84">
        <v>0</v>
      </c>
      <c r="I116" s="84">
        <v>1.3895307211943399E-2</v>
      </c>
      <c r="J116" s="84">
        <v>0.47098992750271601</v>
      </c>
      <c r="K116" s="84">
        <v>0.795034727039862</v>
      </c>
      <c r="L116" s="84">
        <v>13.319293437710799</v>
      </c>
      <c r="M116" s="313">
        <f t="shared" si="43"/>
        <v>0.10437511195724664</v>
      </c>
      <c r="N116" s="313">
        <f t="shared" si="44"/>
        <v>0</v>
      </c>
      <c r="O116" s="313">
        <f t="shared" si="45"/>
        <v>0</v>
      </c>
      <c r="P116" s="313">
        <f t="shared" ref="P116:P137" si="49">(H116-MIN(H$83:H$137))/(MAX(H$83:H$137)-MIN(H$83:H$137))</f>
        <v>0</v>
      </c>
      <c r="Q116" s="313">
        <f t="shared" si="46"/>
        <v>0.32115547025844526</v>
      </c>
      <c r="R116" s="313">
        <f t="shared" si="47"/>
        <v>0.85283970859051628</v>
      </c>
      <c r="S116" s="313">
        <f t="shared" si="48"/>
        <v>0.26281616289417142</v>
      </c>
      <c r="T116" s="100">
        <f t="array" ref="T116">SUMPRODUCT(M116:P116,TRANSPOSE('Fund Ranking Criteria'!$K$9:$K$12))+SUMPRODUCT('Fund Ranking_Equity'!Q116:S116, TRANSPOSE('Fund Ranking Criteria'!$K$14:$K$16))</f>
        <v>0.23326608986547581</v>
      </c>
      <c r="Z116" s="42"/>
      <c r="AA116" s="146"/>
    </row>
    <row r="117" spans="2:27" x14ac:dyDescent="0.25">
      <c r="B117" s="5" t="s">
        <v>1137</v>
      </c>
      <c r="C117" s="312">
        <f t="shared" si="41"/>
        <v>48</v>
      </c>
      <c r="D117" s="42" t="str">
        <f t="shared" si="42"/>
        <v>SBI Automotive Opportunities Fund - Reg - Growth</v>
      </c>
      <c r="E117" s="84">
        <v>25.933299999999999</v>
      </c>
      <c r="F117" s="84">
        <v>0</v>
      </c>
      <c r="G117" s="84">
        <v>0</v>
      </c>
      <c r="H117" s="84">
        <v>0</v>
      </c>
      <c r="I117" s="84">
        <v>1.5155629672703799E-2</v>
      </c>
      <c r="J117" s="84">
        <v>0.36674091797267999</v>
      </c>
      <c r="K117" s="84">
        <v>1.0291933176041299</v>
      </c>
      <c r="L117" s="84">
        <v>17.462088793567599</v>
      </c>
      <c r="M117" s="313">
        <f t="shared" si="43"/>
        <v>0.22694696901306996</v>
      </c>
      <c r="N117" s="313">
        <f t="shared" si="44"/>
        <v>0</v>
      </c>
      <c r="O117" s="313">
        <f t="shared" si="45"/>
        <v>0</v>
      </c>
      <c r="P117" s="313">
        <f t="shared" si="49"/>
        <v>0</v>
      </c>
      <c r="Q117" s="313">
        <f t="shared" si="46"/>
        <v>0.12121794188356741</v>
      </c>
      <c r="R117" s="313">
        <f t="shared" si="47"/>
        <v>0.64140394232855624</v>
      </c>
      <c r="S117" s="313">
        <f t="shared" si="48"/>
        <v>0.27045928846579537</v>
      </c>
      <c r="T117" s="100">
        <f t="array" ref="T117">SUMPRODUCT(M117:P117,TRANSPOSE('Fund Ranking Criteria'!$K$9:$K$12))+SUMPRODUCT('Fund Ranking_Equity'!Q117:S117, TRANSPOSE('Fund Ranking Criteria'!$K$14:$K$16))</f>
        <v>0.20610397188450741</v>
      </c>
      <c r="Z117" s="42"/>
      <c r="AA117" s="146"/>
    </row>
    <row r="118" spans="2:27" x14ac:dyDescent="0.25">
      <c r="B118" s="5" t="s">
        <v>1138</v>
      </c>
      <c r="C118" s="312">
        <f t="shared" si="41"/>
        <v>50</v>
      </c>
      <c r="D118" s="42" t="str">
        <f t="shared" si="42"/>
        <v>SBI Quant Fund - Reg - Growth</v>
      </c>
      <c r="E118" s="84">
        <v>-1.0689</v>
      </c>
      <c r="F118" s="84">
        <v>0</v>
      </c>
      <c r="G118" s="84">
        <v>0</v>
      </c>
      <c r="H118" s="84">
        <v>0</v>
      </c>
      <c r="I118" s="84">
        <v>-2.3199541260259301E-2</v>
      </c>
      <c r="J118" s="84">
        <v>-0.39100296276970697</v>
      </c>
      <c r="K118" s="84">
        <v>0.88300926990283501</v>
      </c>
      <c r="L118" s="84">
        <v>12.775415253474501</v>
      </c>
      <c r="M118" s="313">
        <f t="shared" si="43"/>
        <v>9.9323033818059972E-2</v>
      </c>
      <c r="N118" s="313">
        <f t="shared" si="44"/>
        <v>0</v>
      </c>
      <c r="O118" s="313">
        <f t="shared" si="45"/>
        <v>0</v>
      </c>
      <c r="P118" s="313">
        <f t="shared" si="49"/>
        <v>0</v>
      </c>
      <c r="Q118" s="313">
        <f t="shared" si="46"/>
        <v>0.24603795004470394</v>
      </c>
      <c r="R118" s="313">
        <f t="shared" si="47"/>
        <v>0.88059760893541095</v>
      </c>
      <c r="S118" s="313">
        <f t="shared" si="48"/>
        <v>3.7857397371298722E-2</v>
      </c>
      <c r="T118" s="100">
        <f t="array" ref="T118">SUMPRODUCT(M118:P118,TRANSPOSE('Fund Ranking Criteria'!$K$9:$K$12))+SUMPRODUCT('Fund Ranking_Equity'!Q118:S118, TRANSPOSE('Fund Ranking Criteria'!$K$14:$K$16))</f>
        <v>0.16568106143574246</v>
      </c>
      <c r="Z118" s="42"/>
      <c r="AA118" s="146"/>
    </row>
    <row r="119" spans="2:27" x14ac:dyDescent="0.25">
      <c r="B119" s="5" t="s">
        <v>1139</v>
      </c>
      <c r="C119" s="312">
        <f t="shared" si="41"/>
        <v>26</v>
      </c>
      <c r="D119" s="42" t="str">
        <f t="shared" si="42"/>
        <v>SBI Equity Minimum Variance Fund - Reg - Growth</v>
      </c>
      <c r="E119" s="84">
        <v>0.10879999999999999</v>
      </c>
      <c r="F119" s="84">
        <v>9.9733999999999998</v>
      </c>
      <c r="G119" s="84">
        <v>10.2446</v>
      </c>
      <c r="H119" s="84">
        <v>0</v>
      </c>
      <c r="I119" s="84">
        <v>4.0486148566126402E-2</v>
      </c>
      <c r="J119" s="84">
        <v>6.2697350191533496E-2</v>
      </c>
      <c r="K119" s="84">
        <v>0.96453443350743995</v>
      </c>
      <c r="L119" s="84">
        <v>12.0592378071594</v>
      </c>
      <c r="M119" s="313">
        <f t="shared" si="43"/>
        <v>0.1048893472473051</v>
      </c>
      <c r="N119" s="313">
        <f t="shared" si="44"/>
        <v>0.16357854095696087</v>
      </c>
      <c r="O119" s="313">
        <f t="shared" si="45"/>
        <v>0.4407530739908963</v>
      </c>
      <c r="P119" s="313">
        <f t="shared" si="49"/>
        <v>0</v>
      </c>
      <c r="Q119" s="313">
        <f t="shared" si="46"/>
        <v>0.17642726579783014</v>
      </c>
      <c r="R119" s="313">
        <f t="shared" si="47"/>
        <v>0.91714914337871667</v>
      </c>
      <c r="S119" s="313">
        <f t="shared" si="48"/>
        <v>0.42407421061834788</v>
      </c>
      <c r="T119" s="100">
        <f t="array" ref="T119">SUMPRODUCT(M119:P119,TRANSPOSE('Fund Ranking Criteria'!$K$9:$K$12))+SUMPRODUCT('Fund Ranking_Equity'!Q119:S119, TRANSPOSE('Fund Ranking Criteria'!$K$14:$K$16))</f>
        <v>0.33067936755002281</v>
      </c>
      <c r="Z119" s="42"/>
      <c r="AA119" s="146"/>
    </row>
    <row r="120" spans="2:27" x14ac:dyDescent="0.25">
      <c r="B120" s="5" t="s">
        <v>1140</v>
      </c>
      <c r="C120" s="312">
        <f t="shared" si="41"/>
        <v>39</v>
      </c>
      <c r="D120" s="42" t="str">
        <f t="shared" si="42"/>
        <v>Nippon India Innovation Fund - Reg - Growth</v>
      </c>
      <c r="E120" s="84">
        <v>3.5310000000000001</v>
      </c>
      <c r="F120" s="84">
        <v>0</v>
      </c>
      <c r="G120" s="84">
        <v>0</v>
      </c>
      <c r="H120" s="84">
        <v>0</v>
      </c>
      <c r="I120" s="84">
        <v>4.5664992330835902E-2</v>
      </c>
      <c r="J120" s="84">
        <v>9.6346828155676301E-2</v>
      </c>
      <c r="K120" s="84">
        <v>1.0801167995255301</v>
      </c>
      <c r="L120" s="84">
        <v>16.017768890367702</v>
      </c>
      <c r="M120" s="313">
        <f t="shared" si="43"/>
        <v>0.12106412674765557</v>
      </c>
      <c r="N120" s="313">
        <f t="shared" si="44"/>
        <v>0</v>
      </c>
      <c r="O120" s="313">
        <f t="shared" si="45"/>
        <v>0</v>
      </c>
      <c r="P120" s="313">
        <f t="shared" si="49"/>
        <v>0</v>
      </c>
      <c r="Q120" s="313">
        <f t="shared" si="46"/>
        <v>7.7736662435000367E-2</v>
      </c>
      <c r="R120" s="313">
        <f t="shared" si="47"/>
        <v>0.71511766922765196</v>
      </c>
      <c r="S120" s="313">
        <f t="shared" si="48"/>
        <v>0.45548089774952455</v>
      </c>
      <c r="T120" s="100">
        <f t="array" ref="T120">SUMPRODUCT(M120:P120,TRANSPOSE('Fund Ranking Criteria'!$K$9:$K$12))+SUMPRODUCT('Fund Ranking_Equity'!Q120:S120, TRANSPOSE('Fund Ranking Criteria'!$K$14:$K$16))</f>
        <v>0.25990516550552067</v>
      </c>
      <c r="Z120" s="42"/>
      <c r="AA120" s="146"/>
    </row>
    <row r="121" spans="2:27" x14ac:dyDescent="0.25">
      <c r="B121" s="5" t="s">
        <v>1141</v>
      </c>
      <c r="C121" s="312">
        <f t="shared" si="41"/>
        <v>7</v>
      </c>
      <c r="D121" s="42" t="str">
        <f t="shared" si="42"/>
        <v>Nippon India Consumption Fund - Reg - Growth</v>
      </c>
      <c r="E121" s="84">
        <v>-5.8985000000000003</v>
      </c>
      <c r="F121" s="84">
        <v>10.811299999999999</v>
      </c>
      <c r="G121" s="84">
        <v>13.196199999999999</v>
      </c>
      <c r="H121" s="84">
        <v>12.7532</v>
      </c>
      <c r="I121" s="84">
        <v>4.0875231933215302E-2</v>
      </c>
      <c r="J121" s="84">
        <v>-0.17211563984470599</v>
      </c>
      <c r="K121" s="84">
        <v>0.97327491413754197</v>
      </c>
      <c r="L121" s="84">
        <v>14.359944050222801</v>
      </c>
      <c r="M121" s="313">
        <f t="shared" si="43"/>
        <v>7.6496280538037587E-2</v>
      </c>
      <c r="N121" s="313">
        <f t="shared" si="44"/>
        <v>0.17732134275653147</v>
      </c>
      <c r="O121" s="313">
        <f t="shared" si="45"/>
        <v>0.56773965943020377</v>
      </c>
      <c r="P121" s="313">
        <f t="shared" si="49"/>
        <v>0.85979140963668599</v>
      </c>
      <c r="Q121" s="313">
        <f t="shared" si="46"/>
        <v>0.16896416102862263</v>
      </c>
      <c r="R121" s="313">
        <f t="shared" si="47"/>
        <v>0.79972804345446546</v>
      </c>
      <c r="S121" s="313">
        <f t="shared" si="48"/>
        <v>0.42643377582890241</v>
      </c>
      <c r="T121" s="100">
        <f t="array" ref="T121">SUMPRODUCT(M121:P121,TRANSPOSE('Fund Ranking Criteria'!$K$9:$K$12))+SUMPRODUCT('Fund Ranking_Equity'!Q121:S121, TRANSPOSE('Fund Ranking Criteria'!$K$14:$K$16))</f>
        <v>0.49093064168440248</v>
      </c>
      <c r="Z121" s="42"/>
      <c r="AA121" s="146"/>
    </row>
    <row r="122" spans="2:27" ht="29.1" customHeight="1" x14ac:dyDescent="0.25">
      <c r="B122" s="5" t="s">
        <v>1142</v>
      </c>
      <c r="C122" s="312">
        <f t="shared" si="41"/>
        <v>1</v>
      </c>
      <c r="D122" s="42" t="str">
        <f t="shared" si="42"/>
        <v>Nippon India US Equity Opportunities Fund - Reg - Growth</v>
      </c>
      <c r="E122" s="84">
        <v>11.771000000000001</v>
      </c>
      <c r="F122" s="84">
        <v>16.290800000000001</v>
      </c>
      <c r="G122" s="84">
        <v>9.3203999999999994</v>
      </c>
      <c r="H122" s="84">
        <v>14.8329</v>
      </c>
      <c r="I122" s="84">
        <v>7.52582611711195E-2</v>
      </c>
      <c r="J122" s="84">
        <v>0</v>
      </c>
      <c r="K122" s="84">
        <v>0</v>
      </c>
      <c r="L122" s="84">
        <v>13.3007046611599</v>
      </c>
      <c r="M122" s="313">
        <f t="shared" si="43"/>
        <v>0.16000988768590813</v>
      </c>
      <c r="N122" s="313">
        <f t="shared" si="44"/>
        <v>0.26719326358329737</v>
      </c>
      <c r="O122" s="313">
        <f t="shared" si="45"/>
        <v>0.40099124912878492</v>
      </c>
      <c r="P122" s="313">
        <f t="shared" si="49"/>
        <v>1</v>
      </c>
      <c r="Q122" s="313">
        <f t="shared" si="46"/>
        <v>1</v>
      </c>
      <c r="R122" s="313">
        <f t="shared" si="47"/>
        <v>0.85378842361897056</v>
      </c>
      <c r="S122" s="313">
        <f t="shared" si="48"/>
        <v>0.63494692875610392</v>
      </c>
      <c r="T122" s="100">
        <f t="array" ref="T122">SUMPRODUCT(M122:P122,TRANSPOSE('Fund Ranking Criteria'!$K$9:$K$12))+SUMPRODUCT('Fund Ranking_Equity'!Q122:S122, TRANSPOSE('Fund Ranking Criteria'!$K$14:$K$16))</f>
        <v>0.64468188293220152</v>
      </c>
      <c r="Z122" s="42"/>
      <c r="AA122" s="146"/>
    </row>
    <row r="123" spans="2:27" x14ac:dyDescent="0.25">
      <c r="B123" s="5" t="s">
        <v>1143</v>
      </c>
      <c r="C123" s="312">
        <f t="shared" si="41"/>
        <v>4</v>
      </c>
      <c r="D123" s="42" t="str">
        <f t="shared" si="42"/>
        <v>Nippon India Taiwan Equity Fund - Reg - Growth</v>
      </c>
      <c r="E123" s="84">
        <v>189.49299999999999</v>
      </c>
      <c r="F123" s="84">
        <v>60.970100000000002</v>
      </c>
      <c r="G123" s="84">
        <v>0</v>
      </c>
      <c r="H123" s="84">
        <v>0</v>
      </c>
      <c r="I123" s="84">
        <v>0.13545413009238499</v>
      </c>
      <c r="J123" s="84">
        <v>1.30803766558104</v>
      </c>
      <c r="K123" s="84">
        <v>1.02147072146986</v>
      </c>
      <c r="L123" s="84">
        <v>30.029523908659801</v>
      </c>
      <c r="M123" s="313">
        <f t="shared" si="43"/>
        <v>1</v>
      </c>
      <c r="N123" s="313">
        <f t="shared" si="44"/>
        <v>1</v>
      </c>
      <c r="O123" s="313">
        <f t="shared" si="45"/>
        <v>0</v>
      </c>
      <c r="P123" s="313">
        <f t="shared" si="49"/>
        <v>0</v>
      </c>
      <c r="Q123" s="313">
        <f t="shared" si="46"/>
        <v>0.12781192069084735</v>
      </c>
      <c r="R123" s="313">
        <f t="shared" si="47"/>
        <v>0</v>
      </c>
      <c r="S123" s="313">
        <f t="shared" si="48"/>
        <v>1</v>
      </c>
      <c r="T123" s="100">
        <f t="array" ref="T123">SUMPRODUCT(M123:P123,TRANSPOSE('Fund Ranking Criteria'!$K$9:$K$12))+SUMPRODUCT('Fund Ranking_Equity'!Q123:S123, TRANSPOSE('Fund Ranking Criteria'!$K$14:$K$16))</f>
        <v>0.55639059603454233</v>
      </c>
      <c r="Z123" s="42"/>
      <c r="AA123" s="146"/>
    </row>
    <row r="124" spans="2:27" x14ac:dyDescent="0.25">
      <c r="B124" s="5" t="s">
        <v>1144</v>
      </c>
      <c r="C124" s="312">
        <f t="shared" si="41"/>
        <v>12</v>
      </c>
      <c r="D124" s="42" t="str">
        <f t="shared" si="42"/>
        <v>Nippon India Japan Equity Fund - Reg  - Growth</v>
      </c>
      <c r="E124" s="84">
        <v>5.2144000000000004</v>
      </c>
      <c r="F124" s="84">
        <v>13.2354</v>
      </c>
      <c r="G124" s="84">
        <v>7.2457000000000003</v>
      </c>
      <c r="H124" s="84">
        <v>5.8125999999999998</v>
      </c>
      <c r="I124" s="84">
        <v>4.4597829132370398E-2</v>
      </c>
      <c r="J124" s="84">
        <v>0</v>
      </c>
      <c r="K124" s="84">
        <v>0</v>
      </c>
      <c r="L124" s="84">
        <v>14.1870865119656</v>
      </c>
      <c r="M124" s="313">
        <f t="shared" si="43"/>
        <v>0.12902059446166703</v>
      </c>
      <c r="N124" s="313">
        <f t="shared" si="44"/>
        <v>0.21708017536464594</v>
      </c>
      <c r="O124" s="313">
        <f t="shared" si="45"/>
        <v>0.3117315022759149</v>
      </c>
      <c r="P124" s="313">
        <f t="shared" si="49"/>
        <v>0.39187212210693795</v>
      </c>
      <c r="Q124" s="313">
        <f t="shared" si="46"/>
        <v>1</v>
      </c>
      <c r="R124" s="313">
        <f t="shared" si="47"/>
        <v>0.80855017028337051</v>
      </c>
      <c r="S124" s="313">
        <f t="shared" si="48"/>
        <v>0.44900917119918871</v>
      </c>
      <c r="T124" s="100">
        <f t="array" ref="T124">SUMPRODUCT(M124:P124,TRANSPOSE('Fund Ranking Criteria'!$K$9:$K$12))+SUMPRODUCT('Fund Ranking_Equity'!Q124:S124, TRANSPOSE('Fund Ranking Criteria'!$K$14:$K$16))</f>
        <v>0.44541036218830909</v>
      </c>
      <c r="Z124" s="42"/>
      <c r="AA124" s="146"/>
    </row>
    <row r="125" spans="2:27" x14ac:dyDescent="0.25">
      <c r="B125" s="5" t="s">
        <v>1145</v>
      </c>
      <c r="C125" s="312">
        <f t="shared" si="41"/>
        <v>36</v>
      </c>
      <c r="D125" s="42" t="str">
        <f t="shared" si="42"/>
        <v>Nippon India Active Momentum Fund - Reg - Growth</v>
      </c>
      <c r="E125" s="84">
        <v>8.3019999999999996</v>
      </c>
      <c r="F125" s="84">
        <v>0</v>
      </c>
      <c r="G125" s="84">
        <v>0</v>
      </c>
      <c r="H125" s="84">
        <v>0</v>
      </c>
      <c r="I125" s="84">
        <v>4.3949750465699301E-2</v>
      </c>
      <c r="J125" s="84">
        <v>0.44531298990366702</v>
      </c>
      <c r="K125" s="84">
        <v>1.06197268503888</v>
      </c>
      <c r="L125" s="84">
        <v>14.382435229441001</v>
      </c>
      <c r="M125" s="313">
        <f t="shared" si="43"/>
        <v>0.14361391138799573</v>
      </c>
      <c r="N125" s="313">
        <f t="shared" si="44"/>
        <v>0</v>
      </c>
      <c r="O125" s="313">
        <f t="shared" si="45"/>
        <v>0</v>
      </c>
      <c r="P125" s="313">
        <f t="shared" si="49"/>
        <v>0</v>
      </c>
      <c r="Q125" s="313">
        <f t="shared" si="46"/>
        <v>9.3229108799106619E-2</v>
      </c>
      <c r="R125" s="313">
        <f t="shared" si="47"/>
        <v>0.79858016157673473</v>
      </c>
      <c r="S125" s="313">
        <f t="shared" si="48"/>
        <v>0.44507894954252686</v>
      </c>
      <c r="T125" s="100">
        <f t="array" ref="T125">SUMPRODUCT(M125:P125,TRANSPOSE('Fund Ranking Criteria'!$K$9:$K$12))+SUMPRODUCT('Fund Ranking_Equity'!Q125:S125, TRANSPOSE('Fund Ranking Criteria'!$K$14:$K$16))</f>
        <v>0.2723335556780232</v>
      </c>
      <c r="Z125" s="42"/>
      <c r="AA125" s="146"/>
    </row>
    <row r="126" spans="2:27" x14ac:dyDescent="0.25">
      <c r="B126" s="5" t="s">
        <v>1146</v>
      </c>
      <c r="C126" s="312">
        <f t="shared" si="41"/>
        <v>3</v>
      </c>
      <c r="D126" s="42" t="str">
        <f t="shared" si="42"/>
        <v>Nippon India Quant Fund - Reg - Growth</v>
      </c>
      <c r="E126" s="84">
        <v>2.3148</v>
      </c>
      <c r="F126" s="84">
        <v>16.522400000000001</v>
      </c>
      <c r="G126" s="84">
        <v>15.0433</v>
      </c>
      <c r="H126" s="84">
        <v>14.454599999999999</v>
      </c>
      <c r="I126" s="84">
        <v>7.52741473863974E-2</v>
      </c>
      <c r="J126" s="84">
        <v>0.27818743745640201</v>
      </c>
      <c r="K126" s="84">
        <v>0.99989039823972803</v>
      </c>
      <c r="L126" s="84">
        <v>12.8170033891352</v>
      </c>
      <c r="M126" s="313">
        <f t="shared" si="43"/>
        <v>0.11531584586742466</v>
      </c>
      <c r="N126" s="313">
        <f t="shared" si="44"/>
        <v>0.27099184682327898</v>
      </c>
      <c r="O126" s="313">
        <f t="shared" si="45"/>
        <v>0.6472073792990698</v>
      </c>
      <c r="P126" s="313">
        <f t="shared" si="49"/>
        <v>0.97449588414942456</v>
      </c>
      <c r="Q126" s="313">
        <f t="shared" si="46"/>
        <v>0.14623839173240116</v>
      </c>
      <c r="R126" s="313">
        <f t="shared" si="47"/>
        <v>0.87847507606195041</v>
      </c>
      <c r="S126" s="313">
        <f t="shared" si="48"/>
        <v>0.63504326944827372</v>
      </c>
      <c r="T126" s="100">
        <f t="array" ref="T126">SUMPRODUCT(M126:P126,TRANSPOSE('Fund Ranking Criteria'!$K$9:$K$12))+SUMPRODUCT('Fund Ranking_Equity'!Q126:S126, TRANSPOSE('Fund Ranking Criteria'!$K$14:$K$16))</f>
        <v>0.60903606923546749</v>
      </c>
      <c r="Z126" s="42"/>
      <c r="AA126" s="146"/>
    </row>
    <row r="127" spans="2:27" x14ac:dyDescent="0.25">
      <c r="B127" s="5" t="s">
        <v>1147</v>
      </c>
      <c r="C127" s="312">
        <f t="shared" si="41"/>
        <v>11</v>
      </c>
      <c r="D127" s="42" t="str">
        <f t="shared" si="42"/>
        <v>Kotak Pioneer Fund - Reg - Growth</v>
      </c>
      <c r="E127" s="84">
        <v>9.7642000000000007</v>
      </c>
      <c r="F127" s="84">
        <v>20.014199999999999</v>
      </c>
      <c r="G127" s="84">
        <v>15.193899999999999</v>
      </c>
      <c r="H127" s="84">
        <v>0</v>
      </c>
      <c r="I127" s="84">
        <v>9.1816944080551494E-2</v>
      </c>
      <c r="J127" s="84">
        <v>0.53529191380473096</v>
      </c>
      <c r="K127" s="84">
        <v>0.94888073066942102</v>
      </c>
      <c r="L127" s="84">
        <v>13.598203733095801</v>
      </c>
      <c r="M127" s="313">
        <f t="shared" si="43"/>
        <v>0.15052489338361624</v>
      </c>
      <c r="N127" s="313">
        <f t="shared" si="44"/>
        <v>0.3282625418032773</v>
      </c>
      <c r="O127" s="313">
        <f t="shared" si="45"/>
        <v>0.65368663792732551</v>
      </c>
      <c r="P127" s="313">
        <f t="shared" si="49"/>
        <v>0</v>
      </c>
      <c r="Q127" s="313">
        <f t="shared" si="46"/>
        <v>0.18979326124478901</v>
      </c>
      <c r="R127" s="313">
        <f t="shared" si="47"/>
        <v>0.83860496925208694</v>
      </c>
      <c r="S127" s="313">
        <f t="shared" si="48"/>
        <v>0.7353657475250196</v>
      </c>
      <c r="T127" s="100">
        <f t="array" ref="T127">SUMPRODUCT(M127:P127,TRANSPOSE('Fund Ranking Criteria'!$K$9:$K$12))+SUMPRODUCT('Fund Ranking_Equity'!Q127:S127, TRANSPOSE('Fund Ranking Criteria'!$K$14:$K$16))</f>
        <v>0.45286633521277786</v>
      </c>
      <c r="Z127" s="42"/>
      <c r="AA127" s="146"/>
    </row>
    <row r="128" spans="2:27" x14ac:dyDescent="0.25">
      <c r="B128" s="5" t="s">
        <v>1148</v>
      </c>
      <c r="C128" s="312">
        <f t="shared" si="41"/>
        <v>21</v>
      </c>
      <c r="D128" s="42" t="str">
        <f t="shared" si="42"/>
        <v>Kotak Business Cycle Fund - Reg - Growth</v>
      </c>
      <c r="E128" s="84">
        <v>5.1875999999999998</v>
      </c>
      <c r="F128" s="84">
        <v>16.21</v>
      </c>
      <c r="G128" s="84">
        <v>0</v>
      </c>
      <c r="H128" s="84">
        <v>0</v>
      </c>
      <c r="I128" s="84">
        <v>6.7707584054836206E-2</v>
      </c>
      <c r="J128" s="84">
        <v>0.158813945647407</v>
      </c>
      <c r="K128" s="84">
        <v>1.0169329001143299</v>
      </c>
      <c r="L128" s="84">
        <v>14.0913237115162</v>
      </c>
      <c r="M128" s="313">
        <f t="shared" si="43"/>
        <v>0.12889392621007173</v>
      </c>
      <c r="N128" s="313">
        <f t="shared" si="44"/>
        <v>0.2658680238346337</v>
      </c>
      <c r="O128" s="313">
        <f t="shared" si="45"/>
        <v>0</v>
      </c>
      <c r="P128" s="313">
        <f t="shared" si="49"/>
        <v>0</v>
      </c>
      <c r="Q128" s="313">
        <f t="shared" si="46"/>
        <v>0.13168656301699511</v>
      </c>
      <c r="R128" s="313">
        <f t="shared" si="47"/>
        <v>0.81343761447338703</v>
      </c>
      <c r="S128" s="313">
        <f t="shared" si="48"/>
        <v>0.5891564464411877</v>
      </c>
      <c r="T128" s="100">
        <f t="array" ref="T128">SUMPRODUCT(M128:P128,TRANSPOSE('Fund Ranking Criteria'!$K$9:$K$12))+SUMPRODUCT('Fund Ranking_Equity'!Q128:S128, TRANSPOSE('Fund Ranking Criteria'!$K$14:$K$16))</f>
        <v>0.35811650045041632</v>
      </c>
      <c r="Z128" s="42"/>
      <c r="AA128" s="146"/>
    </row>
    <row r="129" spans="2:27" x14ac:dyDescent="0.25">
      <c r="B129" s="5" t="s">
        <v>1149</v>
      </c>
      <c r="C129" s="312">
        <f t="shared" si="41"/>
        <v>17</v>
      </c>
      <c r="D129" s="42" t="str">
        <f t="shared" si="42"/>
        <v>Kotak Manufacture in India Fund - Reg - Growth</v>
      </c>
      <c r="E129" s="84">
        <v>13.9214</v>
      </c>
      <c r="F129" s="84">
        <v>20.435500000000001</v>
      </c>
      <c r="G129" s="84">
        <v>0</v>
      </c>
      <c r="H129" s="84">
        <v>0</v>
      </c>
      <c r="I129" s="84">
        <v>8.7497389565401706E-2</v>
      </c>
      <c r="J129" s="84">
        <v>-5.2741464733475199E-2</v>
      </c>
      <c r="K129" s="84">
        <v>0.96759093718551403</v>
      </c>
      <c r="L129" s="84">
        <v>14.73712768285</v>
      </c>
      <c r="M129" s="313">
        <f t="shared" si="43"/>
        <v>0.17017359694824041</v>
      </c>
      <c r="N129" s="313">
        <f t="shared" si="44"/>
        <v>0.33517248618585177</v>
      </c>
      <c r="O129" s="313">
        <f t="shared" si="45"/>
        <v>0</v>
      </c>
      <c r="P129" s="313">
        <f t="shared" si="49"/>
        <v>0</v>
      </c>
      <c r="Q129" s="313">
        <f t="shared" si="46"/>
        <v>0.17381745426202347</v>
      </c>
      <c r="R129" s="313">
        <f t="shared" si="47"/>
        <v>0.78047772970839635</v>
      </c>
      <c r="S129" s="313">
        <f t="shared" si="48"/>
        <v>0.70917015187337495</v>
      </c>
      <c r="T129" s="100">
        <f t="array" ref="T129">SUMPRODUCT(M129:P129,TRANSPOSE('Fund Ranking Criteria'!$K$9:$K$12))+SUMPRODUCT('Fund Ranking_Equity'!Q129:S129, TRANSPOSE('Fund Ranking Criteria'!$K$14:$K$16))</f>
        <v>0.40580681035407495</v>
      </c>
      <c r="Z129" s="42"/>
      <c r="AA129" s="146"/>
    </row>
    <row r="130" spans="2:27" x14ac:dyDescent="0.25">
      <c r="B130" s="5" t="s">
        <v>1150</v>
      </c>
      <c r="C130" s="312">
        <f t="shared" si="41"/>
        <v>40</v>
      </c>
      <c r="D130" s="42" t="str">
        <f t="shared" si="42"/>
        <v>Kotak MNC Fund - Reg - Growth</v>
      </c>
      <c r="E130" s="84">
        <v>23.433399999999999</v>
      </c>
      <c r="F130" s="84">
        <v>0</v>
      </c>
      <c r="G130" s="84">
        <v>0</v>
      </c>
      <c r="H130" s="84">
        <v>0</v>
      </c>
      <c r="I130" s="84">
        <v>4.38957728893654E-2</v>
      </c>
      <c r="J130" s="84">
        <v>0.235108378908673</v>
      </c>
      <c r="K130" s="84">
        <v>1.08795538165259</v>
      </c>
      <c r="L130" s="84">
        <v>17.025683938065399</v>
      </c>
      <c r="M130" s="313">
        <f t="shared" si="43"/>
        <v>0.21513137340997077</v>
      </c>
      <c r="N130" s="313">
        <f t="shared" si="44"/>
        <v>0</v>
      </c>
      <c r="O130" s="313">
        <f t="shared" si="45"/>
        <v>0</v>
      </c>
      <c r="P130" s="313">
        <f t="shared" si="49"/>
        <v>0</v>
      </c>
      <c r="Q130" s="313">
        <f t="shared" si="46"/>
        <v>7.1043648385542696E-2</v>
      </c>
      <c r="R130" s="313">
        <f t="shared" si="47"/>
        <v>0.66367672847839598</v>
      </c>
      <c r="S130" s="313">
        <f t="shared" si="48"/>
        <v>0.4447516068133312</v>
      </c>
      <c r="T130" s="100">
        <f t="array" ref="T130">SUMPRODUCT(M130:P130,TRANSPOSE('Fund Ranking Criteria'!$K$9:$K$12))+SUMPRODUCT('Fund Ranking_Equity'!Q130:S130, TRANSPOSE('Fund Ranking Criteria'!$K$14:$K$16))</f>
        <v>0.25804231107603293</v>
      </c>
      <c r="Z130" s="42"/>
      <c r="AA130" s="146"/>
    </row>
    <row r="131" spans="2:27" x14ac:dyDescent="0.25">
      <c r="B131" s="5" t="s">
        <v>1151</v>
      </c>
      <c r="C131" s="312">
        <f t="shared" si="41"/>
        <v>52</v>
      </c>
      <c r="D131" s="42" t="str">
        <f t="shared" si="42"/>
        <v>Kotak Special Opportunities Fund - Reg - Growth</v>
      </c>
      <c r="E131" s="84">
        <v>12.0433</v>
      </c>
      <c r="F131" s="84">
        <v>0</v>
      </c>
      <c r="G131" s="84">
        <v>0</v>
      </c>
      <c r="H131" s="84">
        <v>0</v>
      </c>
      <c r="I131" s="84">
        <v>-4.4914206866179902E-3</v>
      </c>
      <c r="J131" s="84">
        <v>0.22702511872404099</v>
      </c>
      <c r="K131" s="84">
        <v>1.1711587737807101</v>
      </c>
      <c r="L131" s="84">
        <v>17.452291296665301</v>
      </c>
      <c r="M131" s="313">
        <f t="shared" si="43"/>
        <v>0.16129689383924381</v>
      </c>
      <c r="N131" s="313">
        <f t="shared" si="44"/>
        <v>0</v>
      </c>
      <c r="O131" s="313">
        <f t="shared" si="45"/>
        <v>0</v>
      </c>
      <c r="P131" s="313">
        <f t="shared" si="49"/>
        <v>0</v>
      </c>
      <c r="Q131" s="313">
        <f t="shared" si="46"/>
        <v>0</v>
      </c>
      <c r="R131" s="313">
        <f t="shared" si="47"/>
        <v>0.64190397698801815</v>
      </c>
      <c r="S131" s="313">
        <f t="shared" si="48"/>
        <v>0.15131131032239536</v>
      </c>
      <c r="T131" s="100">
        <f t="array" ref="T131">SUMPRODUCT(M131:P131,TRANSPOSE('Fund Ranking Criteria'!$K$9:$K$12))+SUMPRODUCT('Fund Ranking_Equity'!Q131:S131, TRANSPOSE('Fund Ranking Criteria'!$K$14:$K$16))</f>
        <v>0.15780867902884571</v>
      </c>
      <c r="Z131" s="42"/>
      <c r="AA131" s="146"/>
    </row>
    <row r="132" spans="2:27" x14ac:dyDescent="0.25">
      <c r="B132" s="5" t="s">
        <v>1152</v>
      </c>
      <c r="C132" s="312">
        <f t="shared" si="41"/>
        <v>38</v>
      </c>
      <c r="D132" s="42" t="str">
        <f t="shared" si="42"/>
        <v>Kotak Consumption Fund - Reg - Growth</v>
      </c>
      <c r="E132" s="84">
        <v>3.9590999999999998</v>
      </c>
      <c r="F132" s="84">
        <v>0</v>
      </c>
      <c r="G132" s="84">
        <v>0</v>
      </c>
      <c r="H132" s="84">
        <v>0</v>
      </c>
      <c r="I132" s="84">
        <v>4.3255103525987597E-2</v>
      </c>
      <c r="J132" s="84">
        <v>0.116552782044091</v>
      </c>
      <c r="K132" s="84">
        <v>0.98078676773777496</v>
      </c>
      <c r="L132" s="84">
        <v>15.938515696477699</v>
      </c>
      <c r="M132" s="313">
        <f t="shared" si="43"/>
        <v>0.12308751027407135</v>
      </c>
      <c r="N132" s="313">
        <f t="shared" si="44"/>
        <v>0</v>
      </c>
      <c r="O132" s="313">
        <f t="shared" si="45"/>
        <v>0</v>
      </c>
      <c r="P132" s="313">
        <f t="shared" si="49"/>
        <v>0</v>
      </c>
      <c r="Q132" s="313">
        <f t="shared" si="46"/>
        <v>0.16255012582826855</v>
      </c>
      <c r="R132" s="313">
        <f t="shared" si="47"/>
        <v>0.71916251294776246</v>
      </c>
      <c r="S132" s="313">
        <f t="shared" si="48"/>
        <v>0.44086631828865119</v>
      </c>
      <c r="T132" s="100">
        <f t="array" ref="T132">SUMPRODUCT(M132:P132,TRANSPOSE('Fund Ranking Criteria'!$K$9:$K$12))+SUMPRODUCT('Fund Ranking_Equity'!Q132:S132, TRANSPOSE('Fund Ranking Criteria'!$K$14:$K$16))</f>
        <v>0.26057052974758027</v>
      </c>
      <c r="Z132" s="42"/>
      <c r="AA132" s="146"/>
    </row>
    <row r="133" spans="2:27" x14ac:dyDescent="0.25">
      <c r="B133" s="5" t="s">
        <v>1153</v>
      </c>
      <c r="C133" s="312">
        <f t="shared" si="41"/>
        <v>34</v>
      </c>
      <c r="D133" s="42" t="str">
        <f t="shared" si="42"/>
        <v>Kotak Banking &amp; Financial Services Fund - Reg - Growth</v>
      </c>
      <c r="E133" s="84">
        <v>5.7213000000000003</v>
      </c>
      <c r="F133" s="84">
        <v>13.868600000000001</v>
      </c>
      <c r="G133" s="84">
        <v>0</v>
      </c>
      <c r="H133" s="84">
        <v>0</v>
      </c>
      <c r="I133" s="84">
        <v>4.7959775295890898E-2</v>
      </c>
      <c r="J133" s="84">
        <v>0.12777913653644099</v>
      </c>
      <c r="K133" s="84">
        <v>1.0125033055535599</v>
      </c>
      <c r="L133" s="84">
        <v>15.5857448413234</v>
      </c>
      <c r="M133" s="313">
        <f t="shared" si="43"/>
        <v>0.13141642045919133</v>
      </c>
      <c r="N133" s="313">
        <f t="shared" si="44"/>
        <v>0.22746559379105497</v>
      </c>
      <c r="O133" s="313">
        <f t="shared" si="45"/>
        <v>0</v>
      </c>
      <c r="P133" s="313">
        <f t="shared" si="49"/>
        <v>0</v>
      </c>
      <c r="Q133" s="313">
        <f t="shared" si="46"/>
        <v>0.13546879533249101</v>
      </c>
      <c r="R133" s="313">
        <f t="shared" si="47"/>
        <v>0.73716687224322908</v>
      </c>
      <c r="S133" s="313">
        <f t="shared" si="48"/>
        <v>0.46939742697725634</v>
      </c>
      <c r="T133" s="100">
        <f t="array" ref="T133">SUMPRODUCT(M133:P133,TRANSPOSE('Fund Ranking Criteria'!$K$9:$K$12))+SUMPRODUCT('Fund Ranking_Equity'!Q133:S133, TRANSPOSE('Fund Ranking Criteria'!$K$14:$K$16))</f>
        <v>0.30542917981086321</v>
      </c>
      <c r="Z133" s="42"/>
      <c r="AA133" s="146"/>
    </row>
    <row r="134" spans="2:27" x14ac:dyDescent="0.25">
      <c r="B134" s="5" t="s">
        <v>1154</v>
      </c>
      <c r="C134" s="312">
        <f t="shared" si="41"/>
        <v>27</v>
      </c>
      <c r="D134" s="42" t="str">
        <f t="shared" si="42"/>
        <v>Kotak ESG Exclusionary Strategy Fund - Reg - Growth</v>
      </c>
      <c r="E134" s="84">
        <v>-1.704</v>
      </c>
      <c r="F134" s="84">
        <v>10.7225</v>
      </c>
      <c r="G134" s="84">
        <v>7.8765999999999998</v>
      </c>
      <c r="H134" s="84">
        <v>0</v>
      </c>
      <c r="I134" s="84">
        <v>4.0884616879663403E-2</v>
      </c>
      <c r="J134" s="84">
        <v>-0.140905115430668</v>
      </c>
      <c r="K134" s="84">
        <v>0.95138931947699501</v>
      </c>
      <c r="L134" s="84">
        <v>11.9267954192894</v>
      </c>
      <c r="M134" s="313">
        <f t="shared" si="43"/>
        <v>9.6321279840889548E-2</v>
      </c>
      <c r="N134" s="313">
        <f t="shared" si="44"/>
        <v>0.17586489115156445</v>
      </c>
      <c r="O134" s="313">
        <f t="shared" si="45"/>
        <v>0.33887469131022135</v>
      </c>
      <c r="P134" s="313">
        <f t="shared" si="49"/>
        <v>0</v>
      </c>
      <c r="Q134" s="313">
        <f t="shared" si="46"/>
        <v>0.18765128966609707</v>
      </c>
      <c r="R134" s="313">
        <f t="shared" si="47"/>
        <v>0.92390860296082433</v>
      </c>
      <c r="S134" s="313">
        <f t="shared" si="48"/>
        <v>0.4264906900920527</v>
      </c>
      <c r="T134" s="100">
        <f t="array" ref="T134">SUMPRODUCT(M134:P134,TRANSPOSE('Fund Ranking Criteria'!$K$9:$K$12))+SUMPRODUCT('Fund Ranking_Equity'!Q134:S134, TRANSPOSE('Fund Ranking Criteria'!$K$14:$K$16))</f>
        <v>0.32887165817737901</v>
      </c>
      <c r="Z134" s="42"/>
      <c r="AA134" s="146"/>
    </row>
    <row r="135" spans="2:27" x14ac:dyDescent="0.25">
      <c r="B135" s="5" t="s">
        <v>1155</v>
      </c>
      <c r="C135" s="312">
        <f t="shared" si="41"/>
        <v>37</v>
      </c>
      <c r="D135" s="42" t="str">
        <f t="shared" si="42"/>
        <v>Kotak Quant Fund - Reg - Growth</v>
      </c>
      <c r="E135" s="84">
        <v>3.1368</v>
      </c>
      <c r="F135" s="84">
        <v>0</v>
      </c>
      <c r="G135" s="84">
        <v>0</v>
      </c>
      <c r="H135" s="84">
        <v>0</v>
      </c>
      <c r="I135" s="84">
        <v>5.15441890430164E-2</v>
      </c>
      <c r="J135" s="84">
        <v>0.172619236369915</v>
      </c>
      <c r="K135" s="84">
        <v>1.1437027901008401</v>
      </c>
      <c r="L135" s="84">
        <v>15.9848660220706</v>
      </c>
      <c r="M135" s="313">
        <f t="shared" si="43"/>
        <v>0.11920096910665326</v>
      </c>
      <c r="N135" s="313">
        <f t="shared" si="44"/>
        <v>0</v>
      </c>
      <c r="O135" s="313">
        <f t="shared" si="45"/>
        <v>0</v>
      </c>
      <c r="P135" s="313">
        <f t="shared" si="49"/>
        <v>0</v>
      </c>
      <c r="Q135" s="313">
        <f t="shared" si="46"/>
        <v>2.3443434224752622E-2</v>
      </c>
      <c r="R135" s="313">
        <f t="shared" si="47"/>
        <v>0.71679693227905494</v>
      </c>
      <c r="S135" s="313">
        <f t="shared" si="48"/>
        <v>0.49113481976592904</v>
      </c>
      <c r="T135" s="100">
        <f t="array" ref="T135">SUMPRODUCT(M135:P135,TRANSPOSE('Fund Ranking Criteria'!$K$9:$K$12))+SUMPRODUCT('Fund Ranking_Equity'!Q135:S135, TRANSPOSE('Fund Ranking Criteria'!$K$14:$K$16))</f>
        <v>0.26795225439353987</v>
      </c>
      <c r="Z135" s="42"/>
      <c r="AA135" s="146"/>
    </row>
    <row r="136" spans="2:27" x14ac:dyDescent="0.25">
      <c r="B136" s="5" t="s">
        <v>1156</v>
      </c>
      <c r="C136" s="312">
        <f t="shared" si="41"/>
        <v>55</v>
      </c>
      <c r="D136" s="42" t="str">
        <f t="shared" si="42"/>
        <v>Kotak Technology Fund - Reg - Growth</v>
      </c>
      <c r="E136" s="84">
        <v>-20.1343</v>
      </c>
      <c r="F136" s="84">
        <v>0</v>
      </c>
      <c r="G136" s="84">
        <v>0</v>
      </c>
      <c r="H136" s="84">
        <v>0</v>
      </c>
      <c r="I136" s="84">
        <v>-2.94420827134729E-2</v>
      </c>
      <c r="J136" s="84">
        <v>-1.99340460265072E-2</v>
      </c>
      <c r="K136" s="84">
        <v>0.94824622004188197</v>
      </c>
      <c r="L136" s="84">
        <v>16.612448353850301</v>
      </c>
      <c r="M136" s="313">
        <f t="shared" si="43"/>
        <v>9.2118068044483321E-3</v>
      </c>
      <c r="N136" s="313">
        <f t="shared" si="44"/>
        <v>0</v>
      </c>
      <c r="O136" s="313">
        <f t="shared" si="45"/>
        <v>0</v>
      </c>
      <c r="P136" s="313">
        <f t="shared" si="49"/>
        <v>0</v>
      </c>
      <c r="Q136" s="313">
        <f t="shared" si="46"/>
        <v>0.19033504143868257</v>
      </c>
      <c r="R136" s="313">
        <f t="shared" si="47"/>
        <v>0.68476702497873032</v>
      </c>
      <c r="S136" s="313">
        <f t="shared" si="48"/>
        <v>0</v>
      </c>
      <c r="T136" s="100">
        <f t="array" ref="T136">SUMPRODUCT(M136:P136,TRANSPOSE('Fund Ranking Criteria'!$K$9:$K$12))+SUMPRODUCT('Fund Ranking_Equity'!Q136:S136, TRANSPOSE('Fund Ranking Criteria'!$K$14:$K$16))</f>
        <v>0.11315298649918851</v>
      </c>
      <c r="Z136" s="42"/>
      <c r="AA136" s="146"/>
    </row>
    <row r="137" spans="2:27" x14ac:dyDescent="0.25">
      <c r="B137" s="5" t="s">
        <v>1157</v>
      </c>
      <c r="C137" s="312">
        <f t="shared" si="41"/>
        <v>32</v>
      </c>
      <c r="D137" s="42" t="str">
        <f t="shared" si="42"/>
        <v>Kotak Healthcare Fund - Reg - Growth</v>
      </c>
      <c r="E137" s="84">
        <v>19.9542</v>
      </c>
      <c r="F137" s="84">
        <v>0</v>
      </c>
      <c r="G137" s="84">
        <v>0</v>
      </c>
      <c r="H137" s="84">
        <v>0</v>
      </c>
      <c r="I137" s="84">
        <v>7.1027752688409801E-2</v>
      </c>
      <c r="J137" s="84">
        <v>-5.87781789611279E-2</v>
      </c>
      <c r="K137" s="84">
        <v>1.07007911224162</v>
      </c>
      <c r="L137" s="84">
        <v>16.1589189548388</v>
      </c>
      <c r="M137" s="313">
        <f t="shared" si="43"/>
        <v>0.19868718755361542</v>
      </c>
      <c r="N137" s="313">
        <f t="shared" si="44"/>
        <v>0</v>
      </c>
      <c r="O137" s="313">
        <f t="shared" si="45"/>
        <v>0</v>
      </c>
      <c r="P137" s="313">
        <f t="shared" si="49"/>
        <v>0</v>
      </c>
      <c r="Q137" s="313">
        <f t="shared" si="46"/>
        <v>8.6307393841047575E-2</v>
      </c>
      <c r="R137" s="313">
        <f t="shared" si="47"/>
        <v>0.70791379612366678</v>
      </c>
      <c r="S137" s="313">
        <f t="shared" si="48"/>
        <v>0.60929134570344445</v>
      </c>
      <c r="T137" s="100">
        <f t="array" ref="T137">SUMPRODUCT(M137:P137,TRANSPOSE('Fund Ranking Criteria'!$K$9:$K$12))+SUMPRODUCT('Fund Ranking_Equity'!Q137:S137, TRANSPOSE('Fund Ranking Criteria'!$K$14:$K$16))</f>
        <v>0.31315856157699729</v>
      </c>
      <c r="Z137" s="42"/>
      <c r="AA137" s="146"/>
    </row>
  </sheetData>
  <mergeCells count="16">
    <mergeCell ref="E48:L48"/>
    <mergeCell ref="E26:L26"/>
    <mergeCell ref="E81:K81"/>
    <mergeCell ref="E4:L4"/>
    <mergeCell ref="E15:L15"/>
    <mergeCell ref="L81:S81"/>
    <mergeCell ref="E70:K70"/>
    <mergeCell ref="M15:T15"/>
    <mergeCell ref="L59:S59"/>
    <mergeCell ref="E59:K59"/>
    <mergeCell ref="M37:T37"/>
    <mergeCell ref="E37:L37"/>
    <mergeCell ref="M4:T4"/>
    <mergeCell ref="M48:T48"/>
    <mergeCell ref="M26:T26"/>
    <mergeCell ref="L70:S70"/>
  </mergeCells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AI12"/>
  <sheetViews>
    <sheetView zoomScale="99" zoomScaleNormal="90" workbookViewId="0">
      <pane xSplit="2" topLeftCell="E1" activePane="topRight" state="frozen"/>
      <selection activeCell="A12" sqref="A12"/>
      <selection pane="topRight" activeCell="H9" sqref="H9"/>
    </sheetView>
  </sheetViews>
  <sheetFormatPr defaultColWidth="8.7109375" defaultRowHeight="15" x14ac:dyDescent="0.25"/>
  <cols>
    <col min="1" max="1" width="8.7109375" style="42" customWidth="1"/>
    <col min="2" max="2" width="46.42578125" style="1" bestFit="1" customWidth="1"/>
    <col min="3" max="3" width="7.140625" style="42" customWidth="1"/>
    <col min="4" max="4" width="7.140625" style="42" hidden="1" customWidth="1"/>
    <col min="5" max="7" width="13.140625" style="42" customWidth="1"/>
    <col min="8" max="8" width="11.7109375" style="42" customWidth="1"/>
    <col min="9" max="25" width="8.7109375" style="42" customWidth="1"/>
    <col min="26" max="26" width="8.7109375" style="146" customWidth="1"/>
    <col min="27" max="33" width="8.7109375" style="42" customWidth="1"/>
    <col min="34" max="16384" width="8.7109375" style="42"/>
  </cols>
  <sheetData>
    <row r="1" spans="2:35" x14ac:dyDescent="0.25">
      <c r="B1" s="1" t="s">
        <v>1042</v>
      </c>
    </row>
    <row r="2" spans="2:35" ht="15" customHeight="1" thickBot="1" x14ac:dyDescent="0.3">
      <c r="B2" s="1" t="s">
        <v>995</v>
      </c>
      <c r="E2" s="42">
        <v>2</v>
      </c>
      <c r="F2" s="84">
        <f t="shared" ref="F2:O2" si="0">E2+1</f>
        <v>3</v>
      </c>
      <c r="G2" s="84">
        <f t="shared" si="0"/>
        <v>4</v>
      </c>
      <c r="H2" s="84">
        <f t="shared" si="0"/>
        <v>5</v>
      </c>
      <c r="I2" s="84">
        <f t="shared" si="0"/>
        <v>6</v>
      </c>
      <c r="J2" s="84">
        <f t="shared" si="0"/>
        <v>7</v>
      </c>
      <c r="K2" s="84">
        <f t="shared" si="0"/>
        <v>8</v>
      </c>
      <c r="L2" s="84">
        <f t="shared" si="0"/>
        <v>9</v>
      </c>
      <c r="M2" s="84">
        <f t="shared" si="0"/>
        <v>10</v>
      </c>
      <c r="N2" s="84">
        <f t="shared" si="0"/>
        <v>11</v>
      </c>
      <c r="O2" s="84">
        <f t="shared" si="0"/>
        <v>12</v>
      </c>
    </row>
    <row r="3" spans="2:35" ht="15" customHeight="1" thickBot="1" x14ac:dyDescent="0.3">
      <c r="B3" s="429" t="s">
        <v>1043</v>
      </c>
      <c r="C3" s="426"/>
      <c r="D3" s="426"/>
      <c r="E3" s="426"/>
      <c r="F3" s="426"/>
      <c r="G3" s="426"/>
      <c r="H3" s="426"/>
      <c r="I3" s="426"/>
      <c r="J3" s="426"/>
      <c r="K3" s="426"/>
      <c r="L3" s="426"/>
      <c r="M3" s="426"/>
      <c r="N3" s="426"/>
      <c r="O3" s="426"/>
      <c r="P3" s="426"/>
      <c r="Q3" s="426"/>
      <c r="R3" s="426"/>
      <c r="S3" s="426"/>
      <c r="T3" s="426"/>
      <c r="U3" s="426"/>
      <c r="V3" s="426"/>
      <c r="W3" s="426"/>
      <c r="X3" s="426"/>
      <c r="Y3" s="426"/>
      <c r="Z3" s="375"/>
    </row>
    <row r="4" spans="2:35" ht="15" customHeight="1" thickBot="1" x14ac:dyDescent="0.3">
      <c r="B4" s="147"/>
      <c r="C4" s="148"/>
      <c r="D4" s="190"/>
      <c r="E4" s="432" t="s">
        <v>1044</v>
      </c>
      <c r="F4" s="426"/>
      <c r="G4" s="426"/>
      <c r="H4" s="426"/>
      <c r="I4" s="426"/>
      <c r="J4" s="426"/>
      <c r="K4" s="426"/>
      <c r="L4" s="426"/>
      <c r="M4" s="426"/>
      <c r="N4" s="426"/>
      <c r="O4" s="433"/>
      <c r="P4" s="427" t="s">
        <v>1045</v>
      </c>
      <c r="Q4" s="426"/>
      <c r="R4" s="426"/>
      <c r="S4" s="426"/>
      <c r="T4" s="426"/>
      <c r="U4" s="426"/>
      <c r="V4" s="426"/>
      <c r="W4" s="426"/>
      <c r="X4" s="426"/>
      <c r="Y4" s="426"/>
      <c r="Z4" s="430" t="s">
        <v>1048</v>
      </c>
    </row>
    <row r="5" spans="2:35" ht="29.1" customHeight="1" x14ac:dyDescent="0.25">
      <c r="B5" s="116" t="s">
        <v>44</v>
      </c>
      <c r="C5" s="114" t="s">
        <v>927</v>
      </c>
      <c r="D5" s="114"/>
      <c r="E5" s="113" t="s">
        <v>45</v>
      </c>
      <c r="F5" s="113" t="s">
        <v>47</v>
      </c>
      <c r="G5" s="113" t="s">
        <v>48</v>
      </c>
      <c r="H5" s="113" t="s">
        <v>1046</v>
      </c>
      <c r="I5" s="113" t="s">
        <v>38</v>
      </c>
      <c r="J5" s="305" t="s">
        <v>39</v>
      </c>
      <c r="K5" s="113" t="s">
        <v>40</v>
      </c>
      <c r="L5" s="306" t="s">
        <v>42</v>
      </c>
      <c r="M5" s="306" t="s">
        <v>1158</v>
      </c>
      <c r="N5" s="138" t="s">
        <v>52</v>
      </c>
      <c r="O5" s="113" t="s">
        <v>1047</v>
      </c>
      <c r="P5" s="124" t="str">
        <f>F5</f>
        <v>3 Yr Ret (%)</v>
      </c>
      <c r="Q5" s="124" t="str">
        <f>G5</f>
        <v>5 Yr Ret (%)</v>
      </c>
      <c r="R5" s="124" t="str">
        <f>H5</f>
        <v>10 Yr Ret (%)</v>
      </c>
      <c r="S5" s="123" t="s">
        <v>38</v>
      </c>
      <c r="T5" s="123" t="s">
        <v>39</v>
      </c>
      <c r="U5" s="123" t="s">
        <v>40</v>
      </c>
      <c r="V5" s="121" t="s">
        <v>42</v>
      </c>
      <c r="W5" s="122" t="s">
        <v>1158</v>
      </c>
      <c r="X5" s="121" t="s">
        <v>52</v>
      </c>
      <c r="Y5" s="122" t="s">
        <v>1047</v>
      </c>
      <c r="Z5" s="431"/>
    </row>
    <row r="6" spans="2:35" x14ac:dyDescent="0.25">
      <c r="B6" s="117" t="s">
        <v>1159</v>
      </c>
      <c r="C6" s="125" t="e">
        <f t="shared" ref="C6:C12" si="1">RANK(Z6,$Z$6:$Z$12,0)</f>
        <v>#REF!</v>
      </c>
      <c r="D6" s="191" t="str">
        <f t="shared" ref="D6:D12" si="2">B6</f>
        <v>Aditya Birla Sun Life Large Cap Fund - Regular Plan</v>
      </c>
      <c r="E6" s="248">
        <f>VLOOKUP($B6, Sheet4!$A$2:$L$688, 'Fund Ranking_Equity (2)'!E$2,FALSE)</f>
        <v>7.39</v>
      </c>
      <c r="F6" s="248">
        <f>VLOOKUP($B6, Sheet4!$A$2:$L$688, 'Fund Ranking_Equity (2)'!F$2,FALSE)</f>
        <v>20.67</v>
      </c>
      <c r="G6" s="248">
        <f>VLOOKUP($B6, Sheet4!$A$2:$L$688, 'Fund Ranking_Equity (2)'!G$2,FALSE)</f>
        <v>21.97</v>
      </c>
      <c r="H6" s="248">
        <f>VLOOKUP($B6, Sheet4!$A$2:$L$688, 'Fund Ranking_Equity (2)'!H$2,FALSE)</f>
        <v>12.58</v>
      </c>
      <c r="I6" s="248">
        <f>VLOOKUP($B6, Sheet4!$A$2:$L$688, 'Fund Ranking_Equity (2)'!I$2,FALSE)</f>
        <v>0.81</v>
      </c>
      <c r="J6" s="248">
        <f>VLOOKUP($B6, Sheet4!$A$2:$L$688, 'Fund Ranking_Equity (2)'!J$2,FALSE)</f>
        <v>1.3</v>
      </c>
      <c r="K6" s="248">
        <f>VLOOKUP($B6, Sheet4!$A$2:$L$688, 'Fund Ranking_Equity (2)'!K$2,FALSE)</f>
        <v>0.83</v>
      </c>
      <c r="L6" s="248">
        <f>VLOOKUP($B6, Sheet4!$A$2:$L$688, 'Fund Ranking_Equity (2)'!L$2,FALSE)</f>
        <v>1.64</v>
      </c>
      <c r="M6" s="248">
        <f>VLOOKUP($B6, Sheet4!$A$2:$L$688, 'Fund Ranking_Equity (2)'!M$2,FALSE)</f>
        <v>54</v>
      </c>
      <c r="N6" s="248">
        <f>VLOOKUP($B6, Sheet4!$A$2:$L$688, 'Fund Ranking_Equity (2)'!N$2,FALSE)</f>
        <v>0.95</v>
      </c>
      <c r="O6" s="248">
        <f>VLOOKUP($B6, Sheet4!$A$2:$L$688, 'Fund Ranking_Equity (2)'!O$2,FALSE)</f>
        <v>13.13</v>
      </c>
      <c r="P6" s="149">
        <f t="shared" ref="P6:U12" si="3">(F6-MIN(F$6:F$12))/(MAX(F$6:F$12)-MIN(F$6:F$12))</f>
        <v>0.42457420924574241</v>
      </c>
      <c r="Q6" s="142">
        <f t="shared" si="3"/>
        <v>0.34962962962962957</v>
      </c>
      <c r="R6" s="142">
        <f t="shared" si="3"/>
        <v>0.26250000000000029</v>
      </c>
      <c r="S6" s="142">
        <f t="shared" si="3"/>
        <v>0.40384615384615391</v>
      </c>
      <c r="T6" s="142">
        <f t="shared" si="3"/>
        <v>0.35483870967741943</v>
      </c>
      <c r="U6" s="142">
        <f t="shared" si="3"/>
        <v>0.37134502923976609</v>
      </c>
      <c r="V6" s="142">
        <f t="shared" ref="V6:Y12" si="4">(MAX(L$6:L$12)-L6)/(MAX(L$6:L$12)-MIN(L$6:L$12))</f>
        <v>0.33333333333333354</v>
      </c>
      <c r="W6" s="142">
        <f t="shared" si="4"/>
        <v>0</v>
      </c>
      <c r="X6" s="142">
        <f t="shared" si="4"/>
        <v>0</v>
      </c>
      <c r="Y6" s="150">
        <f t="shared" si="4"/>
        <v>7.6923076923075248E-2</v>
      </c>
      <c r="Z6" s="143" t="e">
        <f>(P6*'Fund Ranking Criteria'!$C$9)+('Fund Ranking_Equity (2)'!Q6*'Fund Ranking Criteria'!$C$10)+('Fund Ranking_Equity (2)'!R6*'Fund Ranking Criteria'!$C$11)+('Fund Ranking_Equity (2)'!S6*'Fund Ranking Criteria'!$C$16)+('Fund Ranking_Equity (2)'!T6*'Fund Ranking Criteria'!#REF!)+('Fund Ranking_Equity (2)'!U6*'Fund Ranking Criteria'!$C$12)+('Fund Ranking_Equity (2)'!V6*'Fund Ranking Criteria'!#REF!)+('Fund Ranking_Equity (2)'!W6*'Fund Ranking Criteria'!#REF!)+('Fund Ranking_Equity (2)'!X6*'Fund Ranking Criteria'!$C$14)+('Fund Ranking_Equity (2)'!Y6*'Fund Ranking Criteria'!$C$15)</f>
        <v>#REF!</v>
      </c>
      <c r="AF6" s="42">
        <v>1</v>
      </c>
      <c r="AG6" s="42">
        <v>21</v>
      </c>
      <c r="AH6" s="149">
        <f t="shared" ref="AH6:AI10" si="5">(AF6-MIN(AF$6:AF$10))/(MAX(AF$6:AF$10)-MIN(X$6:X$12))</f>
        <v>0</v>
      </c>
      <c r="AI6" s="149">
        <f t="shared" si="5"/>
        <v>0</v>
      </c>
    </row>
    <row r="7" spans="2:35" x14ac:dyDescent="0.25">
      <c r="B7" s="117" t="s">
        <v>315</v>
      </c>
      <c r="C7" s="125" t="e">
        <f t="shared" si="1"/>
        <v>#REF!</v>
      </c>
      <c r="D7" s="191" t="str">
        <f t="shared" si="2"/>
        <v>HDFC Large Cap Fund - Regular Plan</v>
      </c>
      <c r="E7" s="248">
        <f>VLOOKUP($B7, Sheet4!$A$2:$L$688, 'Fund Ranking_Equity (2)'!E$2,FALSE)</f>
        <v>4.5199999999999996</v>
      </c>
      <c r="F7" s="248">
        <f>VLOOKUP($B7, Sheet4!$A$2:$L$688, 'Fund Ranking_Equity (2)'!F$2,FALSE)</f>
        <v>21.5</v>
      </c>
      <c r="G7" s="248">
        <f>VLOOKUP($B7, Sheet4!$A$2:$L$688, 'Fund Ranking_Equity (2)'!G$2,FALSE)</f>
        <v>22.91</v>
      </c>
      <c r="H7" s="248">
        <f>VLOOKUP($B7, Sheet4!$A$2:$L$688, 'Fund Ranking_Equity (2)'!H$2,FALSE)</f>
        <v>13.02</v>
      </c>
      <c r="I7" s="249">
        <f>VLOOKUP($B7, Sheet4!$A$2:$L$688, 'Fund Ranking_Equity (2)'!I$2,FALSE)</f>
        <v>0.88</v>
      </c>
      <c r="J7" s="249">
        <f>VLOOKUP($B7, Sheet4!$A$2:$L$688, 'Fund Ranking_Equity (2)'!J$2,FALSE)</f>
        <v>1.44</v>
      </c>
      <c r="K7" s="249">
        <f>VLOOKUP($B7, Sheet4!$A$2:$L$688, 'Fund Ranking_Equity (2)'!K$2,FALSE)</f>
        <v>1.97</v>
      </c>
      <c r="L7" s="249">
        <f>VLOOKUP($B7, Sheet4!$A$2:$L$688, 'Fund Ranking_Equity (2)'!L$2,FALSE)</f>
        <v>1.61</v>
      </c>
      <c r="M7" s="249">
        <f>VLOOKUP($B7, Sheet4!$A$2:$L$688, 'Fund Ranking_Equity (2)'!M$2,FALSE)</f>
        <v>19.8</v>
      </c>
      <c r="N7" s="249">
        <f>VLOOKUP($B7, Sheet4!$A$2:$L$688, 'Fund Ranking_Equity (2)'!N$2,FALSE)</f>
        <v>0.92</v>
      </c>
      <c r="O7" s="249">
        <f>VLOOKUP($B7, Sheet4!$A$2:$L$688, 'Fund Ranking_Equity (2)'!O$2,FALSE)</f>
        <v>13.01</v>
      </c>
      <c r="P7" s="149">
        <f t="shared" si="3"/>
        <v>0.52554744525547459</v>
      </c>
      <c r="Q7" s="142">
        <f t="shared" si="3"/>
        <v>0.48888888888888898</v>
      </c>
      <c r="R7" s="142">
        <f t="shared" si="3"/>
        <v>0.44583333333333336</v>
      </c>
      <c r="S7" s="142">
        <f t="shared" si="3"/>
        <v>0.53846153846153832</v>
      </c>
      <c r="T7" s="142">
        <f t="shared" si="3"/>
        <v>0.5053763440860215</v>
      </c>
      <c r="U7" s="142">
        <f t="shared" si="3"/>
        <v>0.53801169590643272</v>
      </c>
      <c r="V7" s="142">
        <f t="shared" si="4"/>
        <v>0.42424242424242387</v>
      </c>
      <c r="W7" s="142">
        <f t="shared" si="4"/>
        <v>0.9</v>
      </c>
      <c r="X7" s="142">
        <f t="shared" si="4"/>
        <v>0.49999999999999906</v>
      </c>
      <c r="Y7" s="150">
        <f t="shared" si="4"/>
        <v>0.26153846153846128</v>
      </c>
      <c r="Z7" s="143" t="e">
        <f>(P7*'Fund Ranking Criteria'!$C$9)+('Fund Ranking_Equity (2)'!Q7*'Fund Ranking Criteria'!$C$10)+('Fund Ranking_Equity (2)'!R7*'Fund Ranking Criteria'!$C$11)+('Fund Ranking_Equity (2)'!S7*'Fund Ranking Criteria'!$C$16)+('Fund Ranking_Equity (2)'!T7*'Fund Ranking Criteria'!#REF!)+('Fund Ranking_Equity (2)'!U7*'Fund Ranking Criteria'!$C$12)+('Fund Ranking_Equity (2)'!V7*'Fund Ranking Criteria'!#REF!)+('Fund Ranking_Equity (2)'!W7*'Fund Ranking Criteria'!#REF!)+('Fund Ranking_Equity (2)'!X7*'Fund Ranking Criteria'!$C$14)+('Fund Ranking_Equity (2)'!Y7*'Fund Ranking Criteria'!$C$15)</f>
        <v>#REF!</v>
      </c>
      <c r="AF7" s="42">
        <v>2</v>
      </c>
      <c r="AG7" s="42">
        <v>22</v>
      </c>
      <c r="AH7" s="149">
        <f t="shared" si="5"/>
        <v>0.2</v>
      </c>
      <c r="AI7" s="149">
        <f t="shared" si="5"/>
        <v>0.04</v>
      </c>
    </row>
    <row r="8" spans="2:35" x14ac:dyDescent="0.25">
      <c r="B8" s="117" t="s">
        <v>1160</v>
      </c>
      <c r="C8" s="125" t="e">
        <f t="shared" si="1"/>
        <v>#REF!</v>
      </c>
      <c r="D8" s="191" t="str">
        <f t="shared" si="2"/>
        <v>ICICI Prudential Large Cap Fund</v>
      </c>
      <c r="E8" s="248">
        <f>VLOOKUP($B8, Sheet4!$A$2:$L$688, 'Fund Ranking_Equity (2)'!E$2,FALSE)</f>
        <v>8.3800000000000008</v>
      </c>
      <c r="F8" s="248">
        <f>VLOOKUP($B8, Sheet4!$A$2:$L$688, 'Fund Ranking_Equity (2)'!F$2,FALSE)</f>
        <v>22.99</v>
      </c>
      <c r="G8" s="248">
        <f>VLOOKUP($B8, Sheet4!$A$2:$L$688, 'Fund Ranking_Equity (2)'!G$2,FALSE)</f>
        <v>23.77</v>
      </c>
      <c r="H8" s="248">
        <f>VLOOKUP($B8, Sheet4!$A$2:$L$688, 'Fund Ranking_Equity (2)'!H$2,FALSE)</f>
        <v>14.35</v>
      </c>
      <c r="I8" s="249">
        <f>VLOOKUP($B8, Sheet4!$A$2:$L$688, 'Fund Ranking_Equity (2)'!I$2,FALSE)</f>
        <v>1.01</v>
      </c>
      <c r="J8" s="249">
        <f>VLOOKUP($B8, Sheet4!$A$2:$L$688, 'Fund Ranking_Equity (2)'!J$2,FALSE)</f>
        <v>1.79</v>
      </c>
      <c r="K8" s="249">
        <f>VLOOKUP($B8, Sheet4!$A$2:$L$688, 'Fund Ranking_Equity (2)'!K$2,FALSE)</f>
        <v>3.56</v>
      </c>
      <c r="L8" s="249">
        <f>VLOOKUP($B8, Sheet4!$A$2:$L$688, 'Fund Ranking_Equity (2)'!L$2,FALSE)</f>
        <v>1.42</v>
      </c>
      <c r="M8" s="249">
        <f>VLOOKUP($B8, Sheet4!$A$2:$L$688, 'Fund Ranking_Equity (2)'!M$2,FALSE)</f>
        <v>16</v>
      </c>
      <c r="N8" s="249">
        <f>VLOOKUP($B8, Sheet4!$A$2:$L$688, 'Fund Ranking_Equity (2)'!N$2,FALSE)</f>
        <v>0.89</v>
      </c>
      <c r="O8" s="249">
        <f>VLOOKUP($B8, Sheet4!$A$2:$L$688, 'Fund Ranking_Equity (2)'!O$2,FALSE)</f>
        <v>12.53</v>
      </c>
      <c r="P8" s="149">
        <f t="shared" si="3"/>
        <v>0.70681265206812649</v>
      </c>
      <c r="Q8" s="142">
        <f t="shared" si="3"/>
        <v>0.61629629629629634</v>
      </c>
      <c r="R8" s="142">
        <f t="shared" si="3"/>
        <v>1</v>
      </c>
      <c r="S8" s="142">
        <f t="shared" si="3"/>
        <v>0.78846153846153832</v>
      </c>
      <c r="T8" s="142">
        <f t="shared" si="3"/>
        <v>0.88172043010752699</v>
      </c>
      <c r="U8" s="142">
        <f t="shared" si="3"/>
        <v>0.77046783625730986</v>
      </c>
      <c r="V8" s="142">
        <f t="shared" si="4"/>
        <v>1</v>
      </c>
      <c r="W8" s="142">
        <f t="shared" si="4"/>
        <v>1</v>
      </c>
      <c r="X8" s="142">
        <f t="shared" si="4"/>
        <v>1</v>
      </c>
      <c r="Y8" s="150">
        <f t="shared" si="4"/>
        <v>1</v>
      </c>
      <c r="Z8" s="143" t="e">
        <f>(P8*'Fund Ranking Criteria'!$C$9)+('Fund Ranking_Equity (2)'!Q8*'Fund Ranking Criteria'!$C$10)+('Fund Ranking_Equity (2)'!R8*'Fund Ranking Criteria'!$C$11)+('Fund Ranking_Equity (2)'!S8*'Fund Ranking Criteria'!$C$16)+('Fund Ranking_Equity (2)'!T8*'Fund Ranking Criteria'!#REF!)+('Fund Ranking_Equity (2)'!U8*'Fund Ranking Criteria'!$C$12)+('Fund Ranking_Equity (2)'!V8*'Fund Ranking Criteria'!#REF!)+('Fund Ranking_Equity (2)'!W8*'Fund Ranking Criteria'!#REF!)+('Fund Ranking_Equity (2)'!X8*'Fund Ranking Criteria'!$C$14)+('Fund Ranking_Equity (2)'!Y8*'Fund Ranking Criteria'!$C$15)</f>
        <v>#REF!</v>
      </c>
      <c r="AF8" s="42">
        <v>3</v>
      </c>
      <c r="AG8" s="42">
        <v>23</v>
      </c>
      <c r="AH8" s="149">
        <f t="shared" si="5"/>
        <v>0.4</v>
      </c>
      <c r="AI8" s="149">
        <f t="shared" si="5"/>
        <v>0.08</v>
      </c>
    </row>
    <row r="9" spans="2:35" x14ac:dyDescent="0.25">
      <c r="B9" s="117" t="s">
        <v>467</v>
      </c>
      <c r="C9" s="125" t="e">
        <f t="shared" si="1"/>
        <v>#REF!</v>
      </c>
      <c r="D9" s="191" t="str">
        <f t="shared" si="2"/>
        <v>Kotak Bluechip Fund - Regular Plan</v>
      </c>
      <c r="E9" s="248">
        <f>VLOOKUP($B9, Sheet4!$A$2:$L$688, 'Fund Ranking_Equity (2)'!E$2,FALSE)</f>
        <v>6.35</v>
      </c>
      <c r="F9" s="248">
        <f>VLOOKUP($B9, Sheet4!$A$2:$L$688, 'Fund Ranking_Equity (2)'!F$2,FALSE)</f>
        <v>19.920000000000002</v>
      </c>
      <c r="G9" s="248">
        <f>VLOOKUP($B9, Sheet4!$A$2:$L$688, 'Fund Ranking_Equity (2)'!G$2,FALSE)</f>
        <v>21.36</v>
      </c>
      <c r="H9" s="248">
        <f>VLOOKUP($B9, Sheet4!$A$2:$L$688, 'Fund Ranking_Equity (2)'!H$2,FALSE)</f>
        <v>12.86</v>
      </c>
      <c r="I9" s="249">
        <f>VLOOKUP($B9, Sheet4!$A$2:$L$688, 'Fund Ranking_Equity (2)'!I$2,FALSE)</f>
        <v>0.78</v>
      </c>
      <c r="J9" s="249">
        <f>VLOOKUP($B9, Sheet4!$A$2:$L$688, 'Fund Ranking_Equity (2)'!J$2,FALSE)</f>
        <v>1.21</v>
      </c>
      <c r="K9" s="249">
        <f>VLOOKUP($B9, Sheet4!$A$2:$L$688, 'Fund Ranking_Equity (2)'!K$2,FALSE)</f>
        <v>0.53</v>
      </c>
      <c r="L9" s="249">
        <f>VLOOKUP($B9, Sheet4!$A$2:$L$688, 'Fund Ranking_Equity (2)'!L$2,FALSE)</f>
        <v>1.73</v>
      </c>
      <c r="M9" s="249">
        <f>VLOOKUP($B9, Sheet4!$A$2:$L$688, 'Fund Ranking_Equity (2)'!M$2,FALSE)</f>
        <v>30.24</v>
      </c>
      <c r="N9" s="249">
        <f>VLOOKUP($B9, Sheet4!$A$2:$L$688, 'Fund Ranking_Equity (2)'!N$2,FALSE)</f>
        <v>0.94</v>
      </c>
      <c r="O9" s="249">
        <f>VLOOKUP($B9, Sheet4!$A$2:$L$688, 'Fund Ranking_Equity (2)'!O$2,FALSE)</f>
        <v>13.04</v>
      </c>
      <c r="P9" s="149">
        <f t="shared" si="3"/>
        <v>0.33333333333333365</v>
      </c>
      <c r="Q9" s="142">
        <f t="shared" si="3"/>
        <v>0.25925925925925924</v>
      </c>
      <c r="R9" s="142">
        <f t="shared" si="3"/>
        <v>0.37916666666666665</v>
      </c>
      <c r="S9" s="142">
        <f t="shared" si="3"/>
        <v>0.34615384615384615</v>
      </c>
      <c r="T9" s="142">
        <f t="shared" si="3"/>
        <v>0.25806451612903225</v>
      </c>
      <c r="U9" s="142">
        <f t="shared" si="3"/>
        <v>0.3274853801169591</v>
      </c>
      <c r="V9" s="142">
        <f t="shared" si="4"/>
        <v>6.0606060606060649E-2</v>
      </c>
      <c r="W9" s="142">
        <f t="shared" si="4"/>
        <v>0.62526315789473685</v>
      </c>
      <c r="X9" s="142">
        <f t="shared" si="4"/>
        <v>0.16666666666666696</v>
      </c>
      <c r="Y9" s="150">
        <f t="shared" si="4"/>
        <v>0.21538461538461615</v>
      </c>
      <c r="Z9" s="143" t="e">
        <f>(P9*'Fund Ranking Criteria'!$C$9)+('Fund Ranking_Equity (2)'!Q9*'Fund Ranking Criteria'!$C$10)+('Fund Ranking_Equity (2)'!R9*'Fund Ranking Criteria'!$C$11)+('Fund Ranking_Equity (2)'!S9*'Fund Ranking Criteria'!$C$16)+('Fund Ranking_Equity (2)'!T9*'Fund Ranking Criteria'!#REF!)+('Fund Ranking_Equity (2)'!U9*'Fund Ranking Criteria'!$C$12)+('Fund Ranking_Equity (2)'!V9*'Fund Ranking Criteria'!#REF!)+('Fund Ranking_Equity (2)'!W9*'Fund Ranking Criteria'!#REF!)+('Fund Ranking_Equity (2)'!X9*'Fund Ranking Criteria'!$C$14)+('Fund Ranking_Equity (2)'!Y9*'Fund Ranking Criteria'!$C$15)</f>
        <v>#REF!</v>
      </c>
      <c r="AF9" s="42">
        <v>4</v>
      </c>
      <c r="AG9" s="42">
        <v>24</v>
      </c>
      <c r="AH9" s="149">
        <f t="shared" si="5"/>
        <v>0.6</v>
      </c>
      <c r="AI9" s="149">
        <f t="shared" si="5"/>
        <v>0.12</v>
      </c>
    </row>
    <row r="10" spans="2:35" x14ac:dyDescent="0.25">
      <c r="B10" s="117" t="s">
        <v>663</v>
      </c>
      <c r="C10" s="125" t="e">
        <f t="shared" si="1"/>
        <v>#REF!</v>
      </c>
      <c r="D10" s="191" t="str">
        <f t="shared" si="2"/>
        <v>Nippon India Large Cap Fund</v>
      </c>
      <c r="E10" s="248">
        <f>VLOOKUP($B10, Sheet4!$A$2:$L$688, 'Fund Ranking_Equity (2)'!E$2,FALSE)</f>
        <v>6.98</v>
      </c>
      <c r="F10" s="248">
        <f>VLOOKUP($B10, Sheet4!$A$2:$L$688, 'Fund Ranking_Equity (2)'!F$2,FALSE)</f>
        <v>25.4</v>
      </c>
      <c r="G10" s="248">
        <f>VLOOKUP($B10, Sheet4!$A$2:$L$688, 'Fund Ranking_Equity (2)'!G$2,FALSE)</f>
        <v>26.36</v>
      </c>
      <c r="H10" s="248">
        <f>VLOOKUP($B10, Sheet4!$A$2:$L$688, 'Fund Ranking_Equity (2)'!H$2,FALSE)</f>
        <v>14.3</v>
      </c>
      <c r="I10" s="249">
        <f>VLOOKUP($B10, Sheet4!$A$2:$L$688, 'Fund Ranking_Equity (2)'!I$2,FALSE)</f>
        <v>1.1200000000000001</v>
      </c>
      <c r="J10" s="249">
        <f>VLOOKUP($B10, Sheet4!$A$2:$L$688, 'Fund Ranking_Equity (2)'!J$2,FALSE)</f>
        <v>1.9</v>
      </c>
      <c r="K10" s="249">
        <f>VLOOKUP($B10, Sheet4!$A$2:$L$688, 'Fund Ranking_Equity (2)'!K$2,FALSE)</f>
        <v>5.13</v>
      </c>
      <c r="L10" s="249">
        <f>VLOOKUP($B10, Sheet4!$A$2:$L$688, 'Fund Ranking_Equity (2)'!L$2,FALSE)</f>
        <v>1.53</v>
      </c>
      <c r="M10" s="249">
        <f>VLOOKUP($B10, Sheet4!$A$2:$L$688, 'Fund Ranking_Equity (2)'!M$2,FALSE)</f>
        <v>27</v>
      </c>
      <c r="N10" s="249">
        <f>VLOOKUP($B10, Sheet4!$A$2:$L$688, 'Fund Ranking_Equity (2)'!N$2,FALSE)</f>
        <v>0.94</v>
      </c>
      <c r="O10" s="249">
        <f>VLOOKUP($B10, Sheet4!$A$2:$L$688, 'Fund Ranking_Equity (2)'!O$2,FALSE)</f>
        <v>13.18</v>
      </c>
      <c r="P10" s="149">
        <f t="shared" si="3"/>
        <v>1</v>
      </c>
      <c r="Q10" s="142">
        <f t="shared" si="3"/>
        <v>1</v>
      </c>
      <c r="R10" s="142">
        <f t="shared" si="3"/>
        <v>0.97916666666666707</v>
      </c>
      <c r="S10" s="142">
        <f t="shared" si="3"/>
        <v>1</v>
      </c>
      <c r="T10" s="142">
        <f t="shared" si="3"/>
        <v>1</v>
      </c>
      <c r="U10" s="142">
        <f t="shared" si="3"/>
        <v>1</v>
      </c>
      <c r="V10" s="142">
        <f t="shared" si="4"/>
        <v>0.66666666666666641</v>
      </c>
      <c r="W10" s="142">
        <f t="shared" si="4"/>
        <v>0.71052631578947367</v>
      </c>
      <c r="X10" s="142">
        <f t="shared" si="4"/>
        <v>0.16666666666666696</v>
      </c>
      <c r="Y10" s="150">
        <f t="shared" si="4"/>
        <v>0</v>
      </c>
      <c r="Z10" s="143" t="e">
        <f>(P10*'Fund Ranking Criteria'!$C$9)+('Fund Ranking_Equity (2)'!Q10*'Fund Ranking Criteria'!$C$10)+('Fund Ranking_Equity (2)'!R10*'Fund Ranking Criteria'!$C$11)+('Fund Ranking_Equity (2)'!S10*'Fund Ranking Criteria'!$C$16)+('Fund Ranking_Equity (2)'!T10*'Fund Ranking Criteria'!#REF!)+('Fund Ranking_Equity (2)'!U10*'Fund Ranking Criteria'!$C$12)+('Fund Ranking_Equity (2)'!V10*'Fund Ranking Criteria'!#REF!)+('Fund Ranking_Equity (2)'!W10*'Fund Ranking Criteria'!#REF!)+('Fund Ranking_Equity (2)'!X10*'Fund Ranking Criteria'!$C$14)+('Fund Ranking_Equity (2)'!Y10*'Fund Ranking Criteria'!$C$15)</f>
        <v>#REF!</v>
      </c>
      <c r="AF10" s="42">
        <v>5</v>
      </c>
      <c r="AG10" s="42">
        <v>25</v>
      </c>
      <c r="AH10" s="149">
        <f t="shared" si="5"/>
        <v>0.8</v>
      </c>
      <c r="AI10" s="149">
        <f t="shared" si="5"/>
        <v>0.16</v>
      </c>
    </row>
    <row r="11" spans="2:35" x14ac:dyDescent="0.25">
      <c r="B11" s="117" t="s">
        <v>730</v>
      </c>
      <c r="C11" s="125" t="e">
        <f t="shared" si="1"/>
        <v>#REF!</v>
      </c>
      <c r="D11" s="191" t="str">
        <f t="shared" si="2"/>
        <v>SBI Bluechip Fund</v>
      </c>
      <c r="E11" s="248">
        <f>VLOOKUP($B11, Sheet4!$A$2:$L$688, 'Fund Ranking_Equity (2)'!E$2,FALSE)</f>
        <v>7.06</v>
      </c>
      <c r="F11" s="248">
        <f>VLOOKUP($B11, Sheet4!$A$2:$L$688, 'Fund Ranking_Equity (2)'!F$2,FALSE)</f>
        <v>19.21</v>
      </c>
      <c r="G11" s="248">
        <f>VLOOKUP($B11, Sheet4!$A$2:$L$688, 'Fund Ranking_Equity (2)'!G$2,FALSE)</f>
        <v>21.27</v>
      </c>
      <c r="H11" s="248">
        <f>VLOOKUP($B11, Sheet4!$A$2:$L$688, 'Fund Ranking_Equity (2)'!H$2,FALSE)</f>
        <v>12.63</v>
      </c>
      <c r="I11" s="249">
        <f>VLOOKUP($B11, Sheet4!$A$2:$L$688, 'Fund Ranking_Equity (2)'!I$2,FALSE)</f>
        <v>0.77</v>
      </c>
      <c r="J11" s="249">
        <f>VLOOKUP($B11, Sheet4!$A$2:$L$688, 'Fund Ranking_Equity (2)'!J$2,FALSE)</f>
        <v>1.41</v>
      </c>
      <c r="K11" s="249">
        <f>VLOOKUP($B11, Sheet4!$A$2:$L$688, 'Fund Ranking_Equity (2)'!K$2,FALSE)</f>
        <v>0.43</v>
      </c>
      <c r="L11" s="249">
        <f>VLOOKUP($B11, Sheet4!$A$2:$L$688, 'Fund Ranking_Equity (2)'!L$2,FALSE)</f>
        <v>1.49</v>
      </c>
      <c r="M11" s="249">
        <f>VLOOKUP($B11, Sheet4!$A$2:$L$688, 'Fund Ranking_Equity (2)'!M$2,FALSE)</f>
        <v>23</v>
      </c>
      <c r="N11" s="249">
        <f>VLOOKUP($B11, Sheet4!$A$2:$L$688, 'Fund Ranking_Equity (2)'!N$2,FALSE)</f>
        <v>0.9</v>
      </c>
      <c r="O11" s="249">
        <f>VLOOKUP($B11, Sheet4!$A$2:$L$688, 'Fund Ranking_Equity (2)'!O$2,FALSE)</f>
        <v>12.69</v>
      </c>
      <c r="P11" s="149">
        <f t="shared" si="3"/>
        <v>0.24695863746958654</v>
      </c>
      <c r="Q11" s="142">
        <f t="shared" si="3"/>
        <v>0.24592592592592594</v>
      </c>
      <c r="R11" s="142">
        <f t="shared" si="3"/>
        <v>0.28333333333333394</v>
      </c>
      <c r="S11" s="142">
        <f t="shared" si="3"/>
        <v>0.32692307692307693</v>
      </c>
      <c r="T11" s="142">
        <f t="shared" si="3"/>
        <v>0.47311827956989244</v>
      </c>
      <c r="U11" s="142">
        <f t="shared" si="3"/>
        <v>0.3128654970760234</v>
      </c>
      <c r="V11" s="142">
        <f t="shared" si="4"/>
        <v>0.78787878787878773</v>
      </c>
      <c r="W11" s="142">
        <f t="shared" si="4"/>
        <v>0.81578947368421051</v>
      </c>
      <c r="X11" s="142">
        <f t="shared" si="4"/>
        <v>0.83333333333333304</v>
      </c>
      <c r="Y11" s="150">
        <f t="shared" si="4"/>
        <v>0.75384615384615372</v>
      </c>
      <c r="Z11" s="143" t="e">
        <f>(P11*'Fund Ranking Criteria'!$C$9)+('Fund Ranking_Equity (2)'!Q11*'Fund Ranking Criteria'!$C$10)+('Fund Ranking_Equity (2)'!R11*'Fund Ranking Criteria'!$C$11)+('Fund Ranking_Equity (2)'!S11*'Fund Ranking Criteria'!$C$16)+('Fund Ranking_Equity (2)'!T11*'Fund Ranking Criteria'!#REF!)+('Fund Ranking_Equity (2)'!U11*'Fund Ranking Criteria'!$C$12)+('Fund Ranking_Equity (2)'!V11*'Fund Ranking Criteria'!#REF!)+('Fund Ranking_Equity (2)'!W11*'Fund Ranking Criteria'!#REF!)+('Fund Ranking_Equity (2)'!X11*'Fund Ranking Criteria'!$C$14)+('Fund Ranking_Equity (2)'!Y11*'Fund Ranking Criteria'!$C$15)</f>
        <v>#REF!</v>
      </c>
    </row>
    <row r="12" spans="2:35" ht="15" customHeight="1" thickBot="1" x14ac:dyDescent="0.3">
      <c r="B12" s="118" t="s">
        <v>851</v>
      </c>
      <c r="C12" s="126" t="e">
        <f t="shared" si="1"/>
        <v>#REF!</v>
      </c>
      <c r="D12" s="191" t="str">
        <f t="shared" si="2"/>
        <v>UTI Large Cap Fund - Regular Plan</v>
      </c>
      <c r="E12" s="251">
        <f>VLOOKUP($B12, Sheet4!$A$2:$L$688, 'Fund Ranking_Equity (2)'!E$2,FALSE)</f>
        <v>5.51</v>
      </c>
      <c r="F12" s="251">
        <f>VLOOKUP($B12, Sheet4!$A$2:$L$688, 'Fund Ranking_Equity (2)'!F$2,FALSE)</f>
        <v>17.18</v>
      </c>
      <c r="G12" s="251">
        <f>VLOOKUP($B12, Sheet4!$A$2:$L$688, 'Fund Ranking_Equity (2)'!G$2,FALSE)</f>
        <v>19.61</v>
      </c>
      <c r="H12" s="251">
        <f>VLOOKUP($B12, Sheet4!$A$2:$L$688, 'Fund Ranking_Equity (2)'!H$2,FALSE)</f>
        <v>11.95</v>
      </c>
      <c r="I12" s="250">
        <f>VLOOKUP($B12, Sheet4!$A$2:$L$688, 'Fund Ranking_Equity (2)'!I$2,FALSE)</f>
        <v>0.6</v>
      </c>
      <c r="J12" s="250">
        <f>VLOOKUP($B12, Sheet4!$A$2:$L$688, 'Fund Ranking_Equity (2)'!J$2,FALSE)</f>
        <v>0.97</v>
      </c>
      <c r="K12" s="250">
        <f>VLOOKUP($B12, Sheet4!$A$2:$L$688, 'Fund Ranking_Equity (2)'!K$2,FALSE)</f>
        <v>-1.71</v>
      </c>
      <c r="L12" s="250">
        <f>VLOOKUP($B12, Sheet4!$A$2:$L$688, 'Fund Ranking_Equity (2)'!L$2,FALSE)</f>
        <v>1.75</v>
      </c>
      <c r="M12" s="250">
        <f>VLOOKUP($B12, Sheet4!$A$2:$L$688, 'Fund Ranking_Equity (2)'!M$2,FALSE)</f>
        <v>36</v>
      </c>
      <c r="N12" s="250">
        <f>VLOOKUP($B12, Sheet4!$A$2:$L$688, 'Fund Ranking_Equity (2)'!N$2,FALSE)</f>
        <v>0.91</v>
      </c>
      <c r="O12" s="250">
        <f>VLOOKUP($B12, Sheet4!$A$2:$L$688, 'Fund Ranking_Equity (2)'!O$2,FALSE)</f>
        <v>12.76</v>
      </c>
      <c r="P12" s="151">
        <f t="shared" si="3"/>
        <v>0</v>
      </c>
      <c r="Q12" s="144">
        <f t="shared" si="3"/>
        <v>0</v>
      </c>
      <c r="R12" s="144">
        <f t="shared" si="3"/>
        <v>0</v>
      </c>
      <c r="S12" s="144">
        <f t="shared" si="3"/>
        <v>0</v>
      </c>
      <c r="T12" s="144">
        <f t="shared" si="3"/>
        <v>0</v>
      </c>
      <c r="U12" s="144">
        <f t="shared" si="3"/>
        <v>0</v>
      </c>
      <c r="V12" s="144">
        <f t="shared" si="4"/>
        <v>0</v>
      </c>
      <c r="W12" s="144">
        <f t="shared" si="4"/>
        <v>0.47368421052631576</v>
      </c>
      <c r="X12" s="144">
        <f t="shared" si="4"/>
        <v>0.66666666666666607</v>
      </c>
      <c r="Y12" s="152">
        <f t="shared" si="4"/>
        <v>0.64615384615384575</v>
      </c>
      <c r="Z12" s="145" t="e">
        <f>(P12*'Fund Ranking Criteria'!$C$9)+('Fund Ranking_Equity (2)'!Q12*'Fund Ranking Criteria'!$C$10)+('Fund Ranking_Equity (2)'!R12*'Fund Ranking Criteria'!$C$11)+('Fund Ranking_Equity (2)'!S12*'Fund Ranking Criteria'!$C$16)+('Fund Ranking_Equity (2)'!T12*'Fund Ranking Criteria'!#REF!)+('Fund Ranking_Equity (2)'!U12*'Fund Ranking Criteria'!$C$12)+('Fund Ranking_Equity (2)'!V12*'Fund Ranking Criteria'!#REF!)+('Fund Ranking_Equity (2)'!W12*'Fund Ranking Criteria'!#REF!)+('Fund Ranking_Equity (2)'!X12*'Fund Ranking Criteria'!$C$14)+('Fund Ranking_Equity (2)'!Y12*'Fund Ranking Criteria'!$C$15)</f>
        <v>#REF!</v>
      </c>
    </row>
  </sheetData>
  <mergeCells count="4">
    <mergeCell ref="B3:Z3"/>
    <mergeCell ref="P4:Y4"/>
    <mergeCell ref="Z4:Z5"/>
    <mergeCell ref="E4:O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Z13"/>
  <sheetViews>
    <sheetView zoomScale="80" zoomScaleNormal="90" workbookViewId="0">
      <pane xSplit="2" topLeftCell="C1" activePane="topRight" state="frozen"/>
      <selection activeCell="A12" sqref="A12"/>
      <selection pane="topRight" activeCell="A15" sqref="A15:XFD1048576"/>
    </sheetView>
  </sheetViews>
  <sheetFormatPr defaultColWidth="8.7109375" defaultRowHeight="15" x14ac:dyDescent="0.25"/>
  <cols>
    <col min="1" max="1" width="8.7109375" style="42" customWidth="1"/>
    <col min="2" max="2" width="46.42578125" style="1" bestFit="1" customWidth="1"/>
    <col min="3" max="3" width="7.140625" style="42" customWidth="1"/>
    <col min="4" max="4" width="7.140625" style="42" hidden="1" customWidth="1"/>
    <col min="5" max="7" width="13.140625" style="42" customWidth="1"/>
    <col min="8" max="8" width="11.7109375" style="42" customWidth="1"/>
    <col min="9" max="25" width="8.7109375" style="42" customWidth="1"/>
    <col min="26" max="26" width="8.7109375" style="146" customWidth="1"/>
    <col min="27" max="33" width="8.7109375" style="42" customWidth="1"/>
    <col min="34" max="16384" width="8.7109375" style="42"/>
  </cols>
  <sheetData>
    <row r="1" spans="2:26" x14ac:dyDescent="0.25">
      <c r="B1" s="1" t="s">
        <v>1042</v>
      </c>
    </row>
    <row r="2" spans="2:26" x14ac:dyDescent="0.25">
      <c r="B2" s="1" t="s">
        <v>995</v>
      </c>
      <c r="E2" s="42">
        <v>2</v>
      </c>
      <c r="F2" s="84">
        <f t="shared" ref="F2:O2" si="0">E2+1</f>
        <v>3</v>
      </c>
      <c r="G2" s="84">
        <f t="shared" si="0"/>
        <v>4</v>
      </c>
      <c r="H2" s="84">
        <f t="shared" si="0"/>
        <v>5</v>
      </c>
      <c r="I2" s="84">
        <f t="shared" si="0"/>
        <v>6</v>
      </c>
      <c r="J2" s="84">
        <f t="shared" si="0"/>
        <v>7</v>
      </c>
      <c r="K2" s="84">
        <f t="shared" si="0"/>
        <v>8</v>
      </c>
      <c r="L2" s="84">
        <f t="shared" si="0"/>
        <v>9</v>
      </c>
      <c r="M2" s="84">
        <f t="shared" si="0"/>
        <v>10</v>
      </c>
      <c r="N2" s="84">
        <f t="shared" si="0"/>
        <v>11</v>
      </c>
      <c r="O2" s="84">
        <f t="shared" si="0"/>
        <v>12</v>
      </c>
    </row>
    <row r="3" spans="2:26" ht="15" customHeight="1" thickBot="1" x14ac:dyDescent="0.3"/>
    <row r="4" spans="2:26" x14ac:dyDescent="0.25">
      <c r="B4" s="437" t="s">
        <v>1056</v>
      </c>
      <c r="C4" s="401"/>
      <c r="D4" s="401"/>
      <c r="E4" s="401"/>
      <c r="F4" s="401"/>
      <c r="G4" s="401"/>
      <c r="H4" s="401"/>
      <c r="I4" s="401"/>
      <c r="J4" s="401"/>
      <c r="K4" s="401"/>
      <c r="L4" s="401"/>
      <c r="M4" s="401"/>
      <c r="N4" s="401"/>
      <c r="O4" s="401"/>
      <c r="P4" s="401"/>
      <c r="Q4" s="401"/>
      <c r="R4" s="401"/>
      <c r="S4" s="401"/>
      <c r="T4" s="401"/>
      <c r="U4" s="401"/>
      <c r="V4" s="401"/>
      <c r="W4" s="401"/>
      <c r="X4" s="401"/>
      <c r="Y4" s="401"/>
      <c r="Z4" s="303"/>
    </row>
    <row r="5" spans="2:26" ht="15" customHeight="1" thickBot="1" x14ac:dyDescent="0.3">
      <c r="B5" s="153"/>
      <c r="C5" s="154"/>
      <c r="D5" s="154"/>
      <c r="E5" s="439" t="s">
        <v>1044</v>
      </c>
      <c r="F5" s="440"/>
      <c r="G5" s="440"/>
      <c r="H5" s="440"/>
      <c r="I5" s="440"/>
      <c r="J5" s="440"/>
      <c r="K5" s="440"/>
      <c r="L5" s="440"/>
      <c r="M5" s="440"/>
      <c r="N5" s="440"/>
      <c r="O5" s="441"/>
      <c r="P5" s="434" t="s">
        <v>1045</v>
      </c>
      <c r="Q5" s="435"/>
      <c r="R5" s="435"/>
      <c r="S5" s="435"/>
      <c r="T5" s="435"/>
      <c r="U5" s="435"/>
      <c r="V5" s="435"/>
      <c r="W5" s="435"/>
      <c r="X5" s="435"/>
      <c r="Y5" s="436"/>
      <c r="Z5" s="438" t="s">
        <v>1048</v>
      </c>
    </row>
    <row r="6" spans="2:26" ht="29.1" customHeight="1" x14ac:dyDescent="0.25">
      <c r="B6" s="129" t="s">
        <v>44</v>
      </c>
      <c r="C6" s="127" t="s">
        <v>927</v>
      </c>
      <c r="D6" s="127"/>
      <c r="E6" s="113" t="s">
        <v>45</v>
      </c>
      <c r="F6" s="128" t="s">
        <v>47</v>
      </c>
      <c r="G6" s="128" t="s">
        <v>48</v>
      </c>
      <c r="H6" s="128" t="s">
        <v>1046</v>
      </c>
      <c r="I6" s="128" t="s">
        <v>38</v>
      </c>
      <c r="J6" s="128" t="s">
        <v>39</v>
      </c>
      <c r="K6" s="128" t="s">
        <v>40</v>
      </c>
      <c r="L6" s="128" t="s">
        <v>42</v>
      </c>
      <c r="M6" s="128" t="s">
        <v>1158</v>
      </c>
      <c r="N6" s="128" t="s">
        <v>52</v>
      </c>
      <c r="O6" s="128" t="s">
        <v>1047</v>
      </c>
      <c r="P6" s="123" t="str">
        <f>F6</f>
        <v>3 Yr Ret (%)</v>
      </c>
      <c r="Q6" s="123" t="str">
        <f>G6</f>
        <v>5 Yr Ret (%)</v>
      </c>
      <c r="R6" s="123" t="str">
        <f>H6</f>
        <v>10 Yr Ret (%)</v>
      </c>
      <c r="S6" s="123" t="s">
        <v>38</v>
      </c>
      <c r="T6" s="123" t="s">
        <v>39</v>
      </c>
      <c r="U6" s="123" t="s">
        <v>40</v>
      </c>
      <c r="V6" s="121" t="s">
        <v>42</v>
      </c>
      <c r="W6" s="122" t="s">
        <v>1158</v>
      </c>
      <c r="X6" s="121" t="s">
        <v>52</v>
      </c>
      <c r="Y6" s="121" t="s">
        <v>1047</v>
      </c>
      <c r="Z6" s="414"/>
    </row>
    <row r="7" spans="2:26" ht="30" customHeight="1" x14ac:dyDescent="0.25">
      <c r="B7" s="119" t="s">
        <v>1161</v>
      </c>
      <c r="C7" s="125" t="e">
        <f t="shared" ref="C7:C13" si="1">RANK(Z7,$Z$7:$Z$13,0)</f>
        <v>#REF!</v>
      </c>
      <c r="D7" s="191" t="str">
        <f t="shared" ref="D7:D13" si="2">B7</f>
        <v>Aditya Birla Sun Life Large &amp; Mid Cap Fund - Regular Plan</v>
      </c>
      <c r="E7" s="248">
        <f>VLOOKUP($B7, Sheet4!$A$2:$L$688, 'Fund Ranking_Equity (3)'!E$2,FALSE)</f>
        <v>3.45</v>
      </c>
      <c r="F7" s="252">
        <f>VLOOKUP($B7, Sheet4!$A$2:$L$688, 'Fund Ranking_Equity (3)'!F$2,FALSE)</f>
        <v>19.29</v>
      </c>
      <c r="G7" s="248">
        <f>VLOOKUP($B7, Sheet4!$A$2:$L$688, 'Fund Ranking_Equity (3)'!G$2,FALSE)</f>
        <v>20.36</v>
      </c>
      <c r="H7" s="248">
        <f>VLOOKUP($B7, Sheet4!$A$2:$L$688, 'Fund Ranking_Equity (3)'!H$2,FALSE)</f>
        <v>11.91</v>
      </c>
      <c r="I7" s="249">
        <f>VLOOKUP($B7, Sheet4!$A$2:$L$688, 'Fund Ranking_Equity (3)'!I$2,FALSE)</f>
        <v>0.62</v>
      </c>
      <c r="J7" s="249">
        <f>VLOOKUP($B7, Sheet4!$A$2:$L$688, 'Fund Ranking_Equity (3)'!J$2,FALSE)</f>
        <v>0.86</v>
      </c>
      <c r="K7" s="249">
        <f>VLOOKUP($B7, Sheet4!$A$2:$L$688, 'Fund Ranking_Equity (3)'!K$2,FALSE)</f>
        <v>-1.71</v>
      </c>
      <c r="L7" s="249">
        <f>VLOOKUP($B7, Sheet4!$A$2:$L$688, 'Fund Ranking_Equity (3)'!L$2,FALSE)</f>
        <v>1.9</v>
      </c>
      <c r="M7" s="253">
        <f>VLOOKUP($B7, Sheet4!$A$2:$L$688, 'Fund Ranking_Equity (3)'!M$2,FALSE)</f>
        <v>37</v>
      </c>
      <c r="N7" s="249">
        <f>VLOOKUP($B7, Sheet4!$A$2:$L$688, 'Fund Ranking_Equity (3)'!N$2,FALSE)</f>
        <v>1.01</v>
      </c>
      <c r="O7" s="249">
        <f>VLOOKUP($B7, Sheet4!$A$2:$L$688, 'Fund Ranking_Equity (3)'!O$2,FALSE)</f>
        <v>15.21</v>
      </c>
      <c r="P7" s="142">
        <f t="shared" ref="P7:U13" si="3">(F7-MIN(F$7:F$13))/(MAX(F$7:F$13)-MIN(F$7:F$13))</f>
        <v>0</v>
      </c>
      <c r="Q7" s="142">
        <f t="shared" si="3"/>
        <v>0</v>
      </c>
      <c r="R7" s="142">
        <f t="shared" si="3"/>
        <v>0</v>
      </c>
      <c r="S7" s="142">
        <f t="shared" si="3"/>
        <v>0</v>
      </c>
      <c r="T7" s="142">
        <f t="shared" si="3"/>
        <v>0</v>
      </c>
      <c r="U7" s="142">
        <f t="shared" si="3"/>
        <v>0</v>
      </c>
      <c r="V7" s="142">
        <f t="shared" ref="V7:Y13" si="4">(MAX(L$7:L$13)-L7)/(MAX(L$7:L$13)-MIN(L$7:L$13))</f>
        <v>8.8235294117647176E-2</v>
      </c>
      <c r="W7" s="142">
        <f t="shared" si="4"/>
        <v>0.50916496945010192</v>
      </c>
      <c r="X7" s="142">
        <f t="shared" si="4"/>
        <v>0</v>
      </c>
      <c r="Y7" s="142">
        <f t="shared" si="4"/>
        <v>0</v>
      </c>
      <c r="Z7" s="143" t="e">
        <f>(P7*'Fund Ranking Criteria'!$D$9)+('Fund Ranking_Equity (3)'!Q7*'Fund Ranking Criteria'!$D$10)+('Fund Ranking_Equity (3)'!R7*'Fund Ranking Criteria'!$D$11)+('Fund Ranking_Equity (3)'!S7*'Fund Ranking Criteria'!$D$16)+('Fund Ranking_Equity (3)'!T7*'Fund Ranking Criteria'!#REF!)+('Fund Ranking_Equity (3)'!U7*'Fund Ranking Criteria'!$D$12)+('Fund Ranking_Equity (3)'!V7*'Fund Ranking Criteria'!#REF!)+('Fund Ranking_Equity (3)'!W7*'Fund Ranking Criteria'!#REF!)+('Fund Ranking_Equity (3)'!X7*'Fund Ranking Criteria'!$D$14)+('Fund Ranking_Equity (3)'!Y7*'Fund Ranking Criteria'!$D$15)</f>
        <v>#REF!</v>
      </c>
    </row>
    <row r="8" spans="2:26" x14ac:dyDescent="0.25">
      <c r="B8" s="119" t="s">
        <v>314</v>
      </c>
      <c r="C8" s="125" t="e">
        <f t="shared" si="1"/>
        <v>#REF!</v>
      </c>
      <c r="D8" s="191" t="str">
        <f t="shared" si="2"/>
        <v>HDFC Large and Mid Cap Fund - Regular Plan</v>
      </c>
      <c r="E8" s="248">
        <f>VLOOKUP($B8, Sheet4!$A$2:$L$688, 'Fund Ranking_Equity (3)'!E$2,FALSE)</f>
        <v>5.25</v>
      </c>
      <c r="F8" s="252">
        <f>VLOOKUP($B8, Sheet4!$A$2:$L$688, 'Fund Ranking_Equity (3)'!F$2,FALSE)</f>
        <v>26.34</v>
      </c>
      <c r="G8" s="248">
        <f>VLOOKUP($B8, Sheet4!$A$2:$L$688, 'Fund Ranking_Equity (3)'!G$2,FALSE)</f>
        <v>28.37</v>
      </c>
      <c r="H8" s="248">
        <f>VLOOKUP($B8, Sheet4!$A$2:$L$688, 'Fund Ranking_Equity (3)'!H$2,FALSE)</f>
        <v>14.23</v>
      </c>
      <c r="I8" s="249">
        <f>VLOOKUP($B8, Sheet4!$A$2:$L$688, 'Fund Ranking_Equity (3)'!I$2,FALSE)</f>
        <v>1.03</v>
      </c>
      <c r="J8" s="249">
        <f>VLOOKUP($B8, Sheet4!$A$2:$L$688, 'Fund Ranking_Equity (3)'!J$2,FALSE)</f>
        <v>1.57</v>
      </c>
      <c r="K8" s="249">
        <f>VLOOKUP($B8, Sheet4!$A$2:$L$688, 'Fund Ranking_Equity (3)'!K$2,FALSE)</f>
        <v>4.28</v>
      </c>
      <c r="L8" s="249">
        <f>VLOOKUP($B8, Sheet4!$A$2:$L$688, 'Fund Ranking_Equity (3)'!L$2,FALSE)</f>
        <v>1.65</v>
      </c>
      <c r="M8" s="253">
        <f>VLOOKUP($B8, Sheet4!$A$2:$L$688, 'Fund Ranking_Equity (3)'!M$2,FALSE)</f>
        <v>3.26</v>
      </c>
      <c r="N8" s="249">
        <f>VLOOKUP($B8, Sheet4!$A$2:$L$688, 'Fund Ranking_Equity (3)'!N$2,FALSE)</f>
        <v>1.01</v>
      </c>
      <c r="O8" s="249">
        <f>VLOOKUP($B8, Sheet4!$A$2:$L$688, 'Fund Ranking_Equity (3)'!O$2,FALSE)</f>
        <v>14.9</v>
      </c>
      <c r="P8" s="142">
        <f t="shared" si="3"/>
        <v>0.90038314176245193</v>
      </c>
      <c r="Q8" s="142">
        <f t="shared" si="3"/>
        <v>0.9238754325259515</v>
      </c>
      <c r="R8" s="142">
        <f t="shared" si="3"/>
        <v>0.6186666666666667</v>
      </c>
      <c r="S8" s="142">
        <f t="shared" si="3"/>
        <v>0.640625</v>
      </c>
      <c r="T8" s="142">
        <f t="shared" si="3"/>
        <v>0.60169491525423724</v>
      </c>
      <c r="U8" s="142">
        <f t="shared" si="3"/>
        <v>0.72255729794933665</v>
      </c>
      <c r="V8" s="142">
        <f t="shared" si="4"/>
        <v>0.82352941176470629</v>
      </c>
      <c r="W8" s="142">
        <f t="shared" si="4"/>
        <v>1</v>
      </c>
      <c r="X8" s="142">
        <f t="shared" si="4"/>
        <v>0</v>
      </c>
      <c r="Y8" s="142">
        <f t="shared" si="4"/>
        <v>0.11481481481481495</v>
      </c>
      <c r="Z8" s="143" t="e">
        <f>(P8*'Fund Ranking Criteria'!$D$9)+('Fund Ranking_Equity (3)'!Q8*'Fund Ranking Criteria'!$D$10)+('Fund Ranking_Equity (3)'!R8*'Fund Ranking Criteria'!$D$11)+('Fund Ranking_Equity (3)'!S8*'Fund Ranking Criteria'!$D$16)+('Fund Ranking_Equity (3)'!T8*'Fund Ranking Criteria'!#REF!)+('Fund Ranking_Equity (3)'!U8*'Fund Ranking Criteria'!$D$12)+('Fund Ranking_Equity (3)'!V8*'Fund Ranking Criteria'!#REF!)+('Fund Ranking_Equity (3)'!W8*'Fund Ranking Criteria'!#REF!)+('Fund Ranking_Equity (3)'!X8*'Fund Ranking Criteria'!$D$14)+('Fund Ranking_Equity (3)'!Y8*'Fund Ranking Criteria'!$D$15)</f>
        <v>#REF!</v>
      </c>
    </row>
    <row r="9" spans="2:26" x14ac:dyDescent="0.25">
      <c r="B9" s="119" t="s">
        <v>392</v>
      </c>
      <c r="C9" s="125" t="e">
        <f t="shared" si="1"/>
        <v>#REF!</v>
      </c>
      <c r="D9" s="191" t="str">
        <f t="shared" si="2"/>
        <v>ICICI Prudential Large &amp; Mid Cap Fund</v>
      </c>
      <c r="E9" s="248">
        <f>VLOOKUP($B9, Sheet4!$A$2:$L$688, 'Fund Ranking_Equity (3)'!E$2,FALSE)</f>
        <v>9.48</v>
      </c>
      <c r="F9" s="252">
        <f>VLOOKUP($B9, Sheet4!$A$2:$L$688, 'Fund Ranking_Equity (3)'!F$2,FALSE)</f>
        <v>26.25</v>
      </c>
      <c r="G9" s="248">
        <f>VLOOKUP($B9, Sheet4!$A$2:$L$688, 'Fund Ranking_Equity (3)'!G$2,FALSE)</f>
        <v>29.03</v>
      </c>
      <c r="H9" s="248">
        <f>VLOOKUP($B9, Sheet4!$A$2:$L$688, 'Fund Ranking_Equity (3)'!H$2,FALSE)</f>
        <v>15.66</v>
      </c>
      <c r="I9" s="249">
        <f>VLOOKUP($B9, Sheet4!$A$2:$L$688, 'Fund Ranking_Equity (3)'!I$2,FALSE)</f>
        <v>1.26</v>
      </c>
      <c r="J9" s="249">
        <f>VLOOKUP($B9, Sheet4!$A$2:$L$688, 'Fund Ranking_Equity (3)'!J$2,FALSE)</f>
        <v>2.04</v>
      </c>
      <c r="K9" s="249">
        <f>VLOOKUP($B9, Sheet4!$A$2:$L$688, 'Fund Ranking_Equity (3)'!K$2,FALSE)</f>
        <v>6.58</v>
      </c>
      <c r="L9" s="249">
        <f>VLOOKUP($B9, Sheet4!$A$2:$L$688, 'Fund Ranking_Equity (3)'!L$2,FALSE)</f>
        <v>1.66</v>
      </c>
      <c r="M9" s="253">
        <f>VLOOKUP($B9, Sheet4!$A$2:$L$688, 'Fund Ranking_Equity (3)'!M$2,FALSE)</f>
        <v>62</v>
      </c>
      <c r="N9" s="249">
        <f>VLOOKUP($B9, Sheet4!$A$2:$L$688, 'Fund Ranking_Equity (3)'!N$2,FALSE)</f>
        <v>0.84</v>
      </c>
      <c r="O9" s="249">
        <f>VLOOKUP($B9, Sheet4!$A$2:$L$688, 'Fund Ranking_Equity (3)'!O$2,FALSE)</f>
        <v>12.58</v>
      </c>
      <c r="P9" s="142">
        <f t="shared" si="3"/>
        <v>0.88888888888888884</v>
      </c>
      <c r="Q9" s="142">
        <f t="shared" si="3"/>
        <v>1</v>
      </c>
      <c r="R9" s="142">
        <f t="shared" si="3"/>
        <v>1</v>
      </c>
      <c r="S9" s="142">
        <f t="shared" si="3"/>
        <v>1</v>
      </c>
      <c r="T9" s="142">
        <f t="shared" si="3"/>
        <v>1</v>
      </c>
      <c r="U9" s="142">
        <f t="shared" si="3"/>
        <v>1</v>
      </c>
      <c r="V9" s="142">
        <f t="shared" si="4"/>
        <v>0.79411764705882393</v>
      </c>
      <c r="W9" s="142">
        <f t="shared" si="4"/>
        <v>0.14547570555717196</v>
      </c>
      <c r="X9" s="142">
        <f t="shared" si="4"/>
        <v>1</v>
      </c>
      <c r="Y9" s="142">
        <f t="shared" si="4"/>
        <v>0.97407407407407398</v>
      </c>
      <c r="Z9" s="143" t="e">
        <f>(P9*'Fund Ranking Criteria'!$D$9)+('Fund Ranking_Equity (3)'!Q9*'Fund Ranking Criteria'!$D$10)+('Fund Ranking_Equity (3)'!R9*'Fund Ranking Criteria'!$D$11)+('Fund Ranking_Equity (3)'!S9*'Fund Ranking Criteria'!$D$16)+('Fund Ranking_Equity (3)'!T9*'Fund Ranking Criteria'!#REF!)+('Fund Ranking_Equity (3)'!U9*'Fund Ranking Criteria'!$D$12)+('Fund Ranking_Equity (3)'!V9*'Fund Ranking Criteria'!#REF!)+('Fund Ranking_Equity (3)'!W9*'Fund Ranking Criteria'!#REF!)+('Fund Ranking_Equity (3)'!X9*'Fund Ranking Criteria'!$D$14)+('Fund Ranking_Equity (3)'!Y9*'Fund Ranking Criteria'!$D$15)</f>
        <v>#REF!</v>
      </c>
    </row>
    <row r="10" spans="2:26" x14ac:dyDescent="0.25">
      <c r="B10" s="119" t="s">
        <v>476</v>
      </c>
      <c r="C10" s="125" t="e">
        <f t="shared" si="1"/>
        <v>#REF!</v>
      </c>
      <c r="D10" s="191" t="str">
        <f t="shared" si="2"/>
        <v>Kotak Equity Opportunities Fund - Regular Plan</v>
      </c>
      <c r="E10" s="248">
        <f>VLOOKUP($B10, Sheet4!$A$2:$L$688, 'Fund Ranking_Equity (3)'!E$2,FALSE)</f>
        <v>2.89</v>
      </c>
      <c r="F10" s="252">
        <f>VLOOKUP($B10, Sheet4!$A$2:$L$688, 'Fund Ranking_Equity (3)'!F$2,FALSE)</f>
        <v>24.52</v>
      </c>
      <c r="G10" s="248">
        <f>VLOOKUP($B10, Sheet4!$A$2:$L$688, 'Fund Ranking_Equity (3)'!G$2,FALSE)</f>
        <v>24.41</v>
      </c>
      <c r="H10" s="248">
        <f>VLOOKUP($B10, Sheet4!$A$2:$L$688, 'Fund Ranking_Equity (3)'!H$2,FALSE)</f>
        <v>15.24</v>
      </c>
      <c r="I10" s="249">
        <f>VLOOKUP($B10, Sheet4!$A$2:$L$688, 'Fund Ranking_Equity (3)'!I$2,FALSE)</f>
        <v>1</v>
      </c>
      <c r="J10" s="249">
        <f>VLOOKUP($B10, Sheet4!$A$2:$L$688, 'Fund Ranking_Equity (3)'!J$2,FALSE)</f>
        <v>1.4</v>
      </c>
      <c r="K10" s="249">
        <f>VLOOKUP($B10, Sheet4!$A$2:$L$688, 'Fund Ranking_Equity (3)'!K$2,FALSE)</f>
        <v>3.75</v>
      </c>
      <c r="L10" s="249">
        <f>VLOOKUP($B10, Sheet4!$A$2:$L$688, 'Fund Ranking_Equity (3)'!L$2,FALSE)</f>
        <v>1.59</v>
      </c>
      <c r="M10" s="253">
        <f>VLOOKUP($B10, Sheet4!$A$2:$L$688, 'Fund Ranking_Equity (3)'!M$2,FALSE)</f>
        <v>20.72</v>
      </c>
      <c r="N10" s="249">
        <f>VLOOKUP($B10, Sheet4!$A$2:$L$688, 'Fund Ranking_Equity (3)'!N$2,FALSE)</f>
        <v>0.93</v>
      </c>
      <c r="O10" s="249">
        <f>VLOOKUP($B10, Sheet4!$A$2:$L$688, 'Fund Ranking_Equity (3)'!O$2,FALSE)</f>
        <v>14.06</v>
      </c>
      <c r="P10" s="142">
        <f t="shared" si="3"/>
        <v>0.66794380587484026</v>
      </c>
      <c r="Q10" s="142">
        <f t="shared" si="3"/>
        <v>0.4671280276816609</v>
      </c>
      <c r="R10" s="142">
        <f t="shared" si="3"/>
        <v>0.88800000000000001</v>
      </c>
      <c r="S10" s="142">
        <f t="shared" si="3"/>
        <v>0.59375</v>
      </c>
      <c r="T10" s="142">
        <f t="shared" si="3"/>
        <v>0.45762711864406769</v>
      </c>
      <c r="U10" s="142">
        <f t="shared" si="3"/>
        <v>0.6586248492159229</v>
      </c>
      <c r="V10" s="142">
        <f t="shared" si="4"/>
        <v>1</v>
      </c>
      <c r="W10" s="142">
        <f t="shared" si="4"/>
        <v>0.74599941809717785</v>
      </c>
      <c r="X10" s="142">
        <f t="shared" si="4"/>
        <v>0.47058823529411731</v>
      </c>
      <c r="Y10" s="142">
        <f t="shared" si="4"/>
        <v>0.42592592592592587</v>
      </c>
      <c r="Z10" s="143" t="e">
        <f>(P10*'Fund Ranking Criteria'!$D$9)+('Fund Ranking_Equity (3)'!Q10*'Fund Ranking Criteria'!$D$10)+('Fund Ranking_Equity (3)'!R10*'Fund Ranking Criteria'!$D$11)+('Fund Ranking_Equity (3)'!S10*'Fund Ranking Criteria'!$D$16)+('Fund Ranking_Equity (3)'!T10*'Fund Ranking Criteria'!#REF!)+('Fund Ranking_Equity (3)'!U10*'Fund Ranking Criteria'!$D$12)+('Fund Ranking_Equity (3)'!V10*'Fund Ranking Criteria'!#REF!)+('Fund Ranking_Equity (3)'!W10*'Fund Ranking Criteria'!#REF!)+('Fund Ranking_Equity (3)'!X10*'Fund Ranking Criteria'!$D$14)+('Fund Ranking_Equity (3)'!Y10*'Fund Ranking Criteria'!$D$15)</f>
        <v>#REF!</v>
      </c>
    </row>
    <row r="11" spans="2:26" x14ac:dyDescent="0.25">
      <c r="B11" s="119" t="s">
        <v>681</v>
      </c>
      <c r="C11" s="125" t="e">
        <f t="shared" si="1"/>
        <v>#REF!</v>
      </c>
      <c r="D11" s="191" t="str">
        <f t="shared" si="2"/>
        <v>Nippon India Vision Fund</v>
      </c>
      <c r="E11" s="248">
        <f>VLOOKUP($B11, Sheet4!$A$2:$L$688, 'Fund Ranking_Equity (3)'!E$2,FALSE)</f>
        <v>7.44</v>
      </c>
      <c r="F11" s="252">
        <f>VLOOKUP($B11, Sheet4!$A$2:$L$688, 'Fund Ranking_Equity (3)'!F$2,FALSE)</f>
        <v>26.11</v>
      </c>
      <c r="G11" s="248">
        <f>VLOOKUP($B11, Sheet4!$A$2:$L$688, 'Fund Ranking_Equity (3)'!G$2,FALSE)</f>
        <v>26.48</v>
      </c>
      <c r="H11" s="248">
        <f>VLOOKUP($B11, Sheet4!$A$2:$L$688, 'Fund Ranking_Equity (3)'!H$2,FALSE)</f>
        <v>12.83</v>
      </c>
      <c r="I11" s="249">
        <f>VLOOKUP($B11, Sheet4!$A$2:$L$688, 'Fund Ranking_Equity (3)'!I$2,FALSE)</f>
        <v>1.08</v>
      </c>
      <c r="J11" s="249">
        <f>VLOOKUP($B11, Sheet4!$A$2:$L$688, 'Fund Ranking_Equity (3)'!J$2,FALSE)</f>
        <v>1.47</v>
      </c>
      <c r="K11" s="249">
        <f>VLOOKUP($B11, Sheet4!$A$2:$L$688, 'Fund Ranking_Equity (3)'!K$2,FALSE)</f>
        <v>4.63</v>
      </c>
      <c r="L11" s="249">
        <f>VLOOKUP($B11, Sheet4!$A$2:$L$688, 'Fund Ranking_Equity (3)'!L$2,FALSE)</f>
        <v>1.93</v>
      </c>
      <c r="M11" s="253">
        <f>VLOOKUP($B11, Sheet4!$A$2:$L$688, 'Fund Ranking_Equity (3)'!M$2,FALSE)</f>
        <v>72</v>
      </c>
      <c r="N11" s="249">
        <f>VLOOKUP($B11, Sheet4!$A$2:$L$688, 'Fund Ranking_Equity (3)'!N$2,FALSE)</f>
        <v>0.95</v>
      </c>
      <c r="O11" s="249">
        <f>VLOOKUP($B11, Sheet4!$A$2:$L$688, 'Fund Ranking_Equity (3)'!O$2,FALSE)</f>
        <v>14.06</v>
      </c>
      <c r="P11" s="142">
        <f t="shared" si="3"/>
        <v>0.87100893997445705</v>
      </c>
      <c r="Q11" s="142">
        <f t="shared" si="3"/>
        <v>0.70588235294117641</v>
      </c>
      <c r="R11" s="142">
        <f t="shared" si="3"/>
        <v>0.24533333333333332</v>
      </c>
      <c r="S11" s="142">
        <f t="shared" si="3"/>
        <v>0.71875000000000011</v>
      </c>
      <c r="T11" s="142">
        <f t="shared" si="3"/>
        <v>0.51694915254237284</v>
      </c>
      <c r="U11" s="142">
        <f t="shared" si="3"/>
        <v>0.76477683956574194</v>
      </c>
      <c r="V11" s="142">
        <f t="shared" si="4"/>
        <v>0</v>
      </c>
      <c r="W11" s="142">
        <f t="shared" si="4"/>
        <v>0</v>
      </c>
      <c r="X11" s="142">
        <f t="shared" si="4"/>
        <v>0.35294117647058848</v>
      </c>
      <c r="Y11" s="142">
        <f t="shared" si="4"/>
        <v>0.42592592592592587</v>
      </c>
      <c r="Z11" s="143" t="e">
        <f>(P11*'Fund Ranking Criteria'!$D$9)+('Fund Ranking_Equity (3)'!Q11*'Fund Ranking Criteria'!$D$10)+('Fund Ranking_Equity (3)'!R11*'Fund Ranking Criteria'!$D$11)+('Fund Ranking_Equity (3)'!S11*'Fund Ranking Criteria'!$D$16)+('Fund Ranking_Equity (3)'!T11*'Fund Ranking Criteria'!#REF!)+('Fund Ranking_Equity (3)'!U11*'Fund Ranking Criteria'!$D$12)+('Fund Ranking_Equity (3)'!V11*'Fund Ranking Criteria'!#REF!)+('Fund Ranking_Equity (3)'!W11*'Fund Ranking Criteria'!#REF!)+('Fund Ranking_Equity (3)'!X11*'Fund Ranking Criteria'!$D$14)+('Fund Ranking_Equity (3)'!Y11*'Fund Ranking Criteria'!$D$15)</f>
        <v>#REF!</v>
      </c>
    </row>
    <row r="12" spans="2:26" x14ac:dyDescent="0.25">
      <c r="B12" s="119" t="s">
        <v>743</v>
      </c>
      <c r="C12" s="125" t="e">
        <f t="shared" si="1"/>
        <v>#REF!</v>
      </c>
      <c r="D12" s="191" t="str">
        <f t="shared" si="2"/>
        <v>SBI Large &amp; Midcap Fund</v>
      </c>
      <c r="E12" s="248">
        <f>VLOOKUP($B12, Sheet4!$A$2:$L$688, 'Fund Ranking_Equity (3)'!E$2,FALSE)</f>
        <v>6.74</v>
      </c>
      <c r="F12" s="252">
        <f>VLOOKUP($B12, Sheet4!$A$2:$L$688, 'Fund Ranking_Equity (3)'!F$2,FALSE)</f>
        <v>23.16</v>
      </c>
      <c r="G12" s="248">
        <f>VLOOKUP($B12, Sheet4!$A$2:$L$688, 'Fund Ranking_Equity (3)'!G$2,FALSE)</f>
        <v>25.58</v>
      </c>
      <c r="H12" s="248">
        <f>VLOOKUP($B12, Sheet4!$A$2:$L$688, 'Fund Ranking_Equity (3)'!H$2,FALSE)</f>
        <v>14.62</v>
      </c>
      <c r="I12" s="249">
        <f>VLOOKUP($B12, Sheet4!$A$2:$L$688, 'Fund Ranking_Equity (3)'!I$2,FALSE)</f>
        <v>1.02</v>
      </c>
      <c r="J12" s="249">
        <f>VLOOKUP($B12, Sheet4!$A$2:$L$688, 'Fund Ranking_Equity (3)'!J$2,FALSE)</f>
        <v>1.66</v>
      </c>
      <c r="K12" s="249">
        <f>VLOOKUP($B12, Sheet4!$A$2:$L$688, 'Fund Ranking_Equity (3)'!K$2,FALSE)</f>
        <v>3.47</v>
      </c>
      <c r="L12" s="249">
        <f>VLOOKUP($B12, Sheet4!$A$2:$L$688, 'Fund Ranking_Equity (3)'!L$2,FALSE)</f>
        <v>1.59</v>
      </c>
      <c r="M12" s="253">
        <f>VLOOKUP($B12, Sheet4!$A$2:$L$688, 'Fund Ranking_Equity (3)'!M$2,FALSE)</f>
        <v>30</v>
      </c>
      <c r="N12" s="249">
        <f>VLOOKUP($B12, Sheet4!$A$2:$L$688, 'Fund Ranking_Equity (3)'!N$2,FALSE)</f>
        <v>0.84</v>
      </c>
      <c r="O12" s="249">
        <f>VLOOKUP($B12, Sheet4!$A$2:$L$688, 'Fund Ranking_Equity (3)'!O$2,FALSE)</f>
        <v>12.51</v>
      </c>
      <c r="P12" s="142">
        <f t="shared" si="3"/>
        <v>0.4942528735632184</v>
      </c>
      <c r="Q12" s="142">
        <f t="shared" si="3"/>
        <v>0.60207612456747384</v>
      </c>
      <c r="R12" s="142">
        <f t="shared" si="3"/>
        <v>0.72266666666666646</v>
      </c>
      <c r="S12" s="142">
        <f t="shared" si="3"/>
        <v>0.625</v>
      </c>
      <c r="T12" s="142">
        <f t="shared" si="3"/>
        <v>0.67796610169491511</v>
      </c>
      <c r="U12" s="142">
        <f t="shared" si="3"/>
        <v>0.62484921592279863</v>
      </c>
      <c r="V12" s="142">
        <f t="shared" si="4"/>
        <v>1</v>
      </c>
      <c r="W12" s="142">
        <f t="shared" si="4"/>
        <v>0.61099796334012224</v>
      </c>
      <c r="X12" s="142">
        <f t="shared" si="4"/>
        <v>1</v>
      </c>
      <c r="Y12" s="142">
        <f t="shared" si="4"/>
        <v>1</v>
      </c>
      <c r="Z12" s="143" t="e">
        <f>(P12*'Fund Ranking Criteria'!$D$9)+('Fund Ranking_Equity (3)'!Q12*'Fund Ranking Criteria'!$D$10)+('Fund Ranking_Equity (3)'!R12*'Fund Ranking Criteria'!$D$11)+('Fund Ranking_Equity (3)'!S12*'Fund Ranking Criteria'!$D$16)+('Fund Ranking_Equity (3)'!T12*'Fund Ranking Criteria'!#REF!)+('Fund Ranking_Equity (3)'!U12*'Fund Ranking Criteria'!$D$12)+('Fund Ranking_Equity (3)'!V12*'Fund Ranking Criteria'!#REF!)+('Fund Ranking_Equity (3)'!W12*'Fund Ranking Criteria'!#REF!)+('Fund Ranking_Equity (3)'!X12*'Fund Ranking Criteria'!$D$14)+('Fund Ranking_Equity (3)'!Y12*'Fund Ranking Criteria'!$D$15)</f>
        <v>#REF!</v>
      </c>
    </row>
    <row r="13" spans="2:26" ht="15" customHeight="1" thickBot="1" x14ac:dyDescent="0.3">
      <c r="B13" s="120" t="s">
        <v>852</v>
      </c>
      <c r="C13" s="126" t="e">
        <f t="shared" si="1"/>
        <v>#REF!</v>
      </c>
      <c r="D13" s="192" t="str">
        <f t="shared" si="2"/>
        <v>UTI Large &amp; Mid Cap Fund - Regular Plan</v>
      </c>
      <c r="E13" s="251">
        <f>VLOOKUP($B13, Sheet4!$A$2:$L$688, 'Fund Ranking_Equity (3)'!E$2,FALSE)</f>
        <v>8.26</v>
      </c>
      <c r="F13" s="254">
        <f>VLOOKUP($B13, Sheet4!$A$2:$L$688, 'Fund Ranking_Equity (3)'!F$2,FALSE)</f>
        <v>27.12</v>
      </c>
      <c r="G13" s="251">
        <f>VLOOKUP($B13, Sheet4!$A$2:$L$688, 'Fund Ranking_Equity (3)'!G$2,FALSE)</f>
        <v>28.01</v>
      </c>
      <c r="H13" s="251">
        <f>VLOOKUP($B13, Sheet4!$A$2:$L$688, 'Fund Ranking_Equity (3)'!H$2,FALSE)</f>
        <v>14.02</v>
      </c>
      <c r="I13" s="250">
        <f>VLOOKUP($B13, Sheet4!$A$2:$L$688, 'Fund Ranking_Equity (3)'!I$2,FALSE)</f>
        <v>1.1499999999999999</v>
      </c>
      <c r="J13" s="250">
        <f>VLOOKUP($B13, Sheet4!$A$2:$L$688, 'Fund Ranking_Equity (3)'!J$2,FALSE)</f>
        <v>1.75</v>
      </c>
      <c r="K13" s="250">
        <f>VLOOKUP($B13, Sheet4!$A$2:$L$688, 'Fund Ranking_Equity (3)'!K$2,FALSE)</f>
        <v>5.69</v>
      </c>
      <c r="L13" s="250">
        <f>VLOOKUP($B13, Sheet4!$A$2:$L$688, 'Fund Ranking_Equity (3)'!L$2,FALSE)</f>
        <v>1.93</v>
      </c>
      <c r="M13" s="255">
        <f>VLOOKUP($B13, Sheet4!$A$2:$L$688, 'Fund Ranking_Equity (3)'!M$2,FALSE)</f>
        <v>33</v>
      </c>
      <c r="N13" s="250">
        <f>VLOOKUP($B13, Sheet4!$A$2:$L$688, 'Fund Ranking_Equity (3)'!N$2,FALSE)</f>
        <v>0.95</v>
      </c>
      <c r="O13" s="250">
        <f>VLOOKUP($B13, Sheet4!$A$2:$L$688, 'Fund Ranking_Equity (3)'!O$2,FALSE)</f>
        <v>14.07</v>
      </c>
      <c r="P13" s="144">
        <f t="shared" si="3"/>
        <v>1</v>
      </c>
      <c r="Q13" s="144">
        <f t="shared" si="3"/>
        <v>0.88235294117647067</v>
      </c>
      <c r="R13" s="144">
        <f t="shared" si="3"/>
        <v>0.56266666666666654</v>
      </c>
      <c r="S13" s="144">
        <f t="shared" si="3"/>
        <v>0.82812499999999989</v>
      </c>
      <c r="T13" s="144">
        <f t="shared" si="3"/>
        <v>0.7542372881355931</v>
      </c>
      <c r="U13" s="144">
        <f t="shared" si="3"/>
        <v>0.89264173703256955</v>
      </c>
      <c r="V13" s="144">
        <f t="shared" si="4"/>
        <v>0</v>
      </c>
      <c r="W13" s="144">
        <f t="shared" si="4"/>
        <v>0.56735525167297063</v>
      </c>
      <c r="X13" s="144">
        <f t="shared" si="4"/>
        <v>0.35294117647058848</v>
      </c>
      <c r="Y13" s="144">
        <f t="shared" si="4"/>
        <v>0.42222222222222228</v>
      </c>
      <c r="Z13" s="145" t="e">
        <f>(P13*'Fund Ranking Criteria'!$D$9)+('Fund Ranking_Equity (3)'!Q13*'Fund Ranking Criteria'!$D$10)+('Fund Ranking_Equity (3)'!R13*'Fund Ranking Criteria'!$D$11)+('Fund Ranking_Equity (3)'!S13*'Fund Ranking Criteria'!$D$16)+('Fund Ranking_Equity (3)'!T13*'Fund Ranking Criteria'!#REF!)+('Fund Ranking_Equity (3)'!U13*'Fund Ranking Criteria'!$D$12)+('Fund Ranking_Equity (3)'!V13*'Fund Ranking Criteria'!#REF!)+('Fund Ranking_Equity (3)'!W13*'Fund Ranking Criteria'!#REF!)+('Fund Ranking_Equity (3)'!X13*'Fund Ranking Criteria'!$D$14)+('Fund Ranking_Equity (3)'!Y13*'Fund Ranking Criteria'!$D$15)</f>
        <v>#REF!</v>
      </c>
    </row>
  </sheetData>
  <mergeCells count="4">
    <mergeCell ref="P5:Y5"/>
    <mergeCell ref="B4:Y4"/>
    <mergeCell ref="Z5:Z6"/>
    <mergeCell ref="E5:O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688"/>
  <sheetViews>
    <sheetView workbookViewId="0">
      <selection sqref="A1:L1"/>
    </sheetView>
  </sheetViews>
  <sheetFormatPr defaultRowHeight="15" x14ac:dyDescent="0.25"/>
  <cols>
    <col min="1" max="1" width="69.140625" style="286" bestFit="1" customWidth="1"/>
    <col min="2" max="256" width="8.7109375" style="286" customWidth="1"/>
    <col min="257" max="257" width="69.140625" style="286" bestFit="1" customWidth="1"/>
    <col min="258" max="512" width="8.7109375" style="286" customWidth="1"/>
    <col min="513" max="513" width="69.140625" style="286" bestFit="1" customWidth="1"/>
    <col min="514" max="768" width="8.7109375" style="286" customWidth="1"/>
    <col min="769" max="769" width="69.140625" style="286" bestFit="1" customWidth="1"/>
    <col min="770" max="1024" width="8.7109375" style="286" customWidth="1"/>
    <col min="1025" max="1025" width="69.140625" style="286" bestFit="1" customWidth="1"/>
    <col min="1026" max="1280" width="8.7109375" style="286" customWidth="1"/>
    <col min="1281" max="1281" width="69.140625" style="286" bestFit="1" customWidth="1"/>
    <col min="1282" max="1536" width="8.7109375" style="286" customWidth="1"/>
    <col min="1537" max="1537" width="69.140625" style="286" bestFit="1" customWidth="1"/>
    <col min="1538" max="1792" width="8.7109375" style="286" customWidth="1"/>
    <col min="1793" max="1793" width="69.140625" style="286" bestFit="1" customWidth="1"/>
    <col min="1794" max="2048" width="8.7109375" style="286" customWidth="1"/>
    <col min="2049" max="2049" width="69.140625" style="286" bestFit="1" customWidth="1"/>
    <col min="2050" max="2304" width="8.7109375" style="286" customWidth="1"/>
    <col min="2305" max="2305" width="69.140625" style="286" bestFit="1" customWidth="1"/>
    <col min="2306" max="2560" width="8.7109375" style="286" customWidth="1"/>
    <col min="2561" max="2561" width="69.140625" style="286" bestFit="1" customWidth="1"/>
    <col min="2562" max="2816" width="8.7109375" style="286" customWidth="1"/>
    <col min="2817" max="2817" width="69.140625" style="286" bestFit="1" customWidth="1"/>
    <col min="2818" max="3072" width="8.7109375" style="286" customWidth="1"/>
    <col min="3073" max="3073" width="69.140625" style="286" bestFit="1" customWidth="1"/>
    <col min="3074" max="3328" width="8.7109375" style="286" customWidth="1"/>
    <col min="3329" max="3329" width="69.140625" style="286" bestFit="1" customWidth="1"/>
    <col min="3330" max="3584" width="8.7109375" style="286" customWidth="1"/>
    <col min="3585" max="3585" width="69.140625" style="286" bestFit="1" customWidth="1"/>
    <col min="3586" max="3840" width="8.7109375" style="286" customWidth="1"/>
    <col min="3841" max="3841" width="69.140625" style="286" bestFit="1" customWidth="1"/>
    <col min="3842" max="4096" width="8.7109375" style="286" customWidth="1"/>
    <col min="4097" max="4097" width="69.140625" style="286" bestFit="1" customWidth="1"/>
    <col min="4098" max="4352" width="8.7109375" style="286" customWidth="1"/>
    <col min="4353" max="4353" width="69.140625" style="286" bestFit="1" customWidth="1"/>
    <col min="4354" max="4608" width="8.7109375" style="286" customWidth="1"/>
    <col min="4609" max="4609" width="69.140625" style="286" bestFit="1" customWidth="1"/>
    <col min="4610" max="4864" width="8.7109375" style="286" customWidth="1"/>
    <col min="4865" max="4865" width="69.140625" style="286" bestFit="1" customWidth="1"/>
    <col min="4866" max="5120" width="8.7109375" style="286" customWidth="1"/>
    <col min="5121" max="5121" width="69.140625" style="286" bestFit="1" customWidth="1"/>
    <col min="5122" max="5376" width="8.7109375" style="286" customWidth="1"/>
    <col min="5377" max="5377" width="69.140625" style="286" bestFit="1" customWidth="1"/>
    <col min="5378" max="5632" width="8.7109375" style="286" customWidth="1"/>
    <col min="5633" max="5633" width="69.140625" style="286" bestFit="1" customWidth="1"/>
    <col min="5634" max="5888" width="8.7109375" style="286" customWidth="1"/>
    <col min="5889" max="5889" width="69.140625" style="286" bestFit="1" customWidth="1"/>
    <col min="5890" max="6144" width="8.7109375" style="286" customWidth="1"/>
    <col min="6145" max="6145" width="69.140625" style="286" bestFit="1" customWidth="1"/>
    <col min="6146" max="6400" width="8.7109375" style="286" customWidth="1"/>
    <col min="6401" max="6401" width="69.140625" style="286" bestFit="1" customWidth="1"/>
    <col min="6402" max="6656" width="8.7109375" style="286" customWidth="1"/>
    <col min="6657" max="6657" width="69.140625" style="286" bestFit="1" customWidth="1"/>
    <col min="6658" max="6912" width="8.7109375" style="286" customWidth="1"/>
    <col min="6913" max="6913" width="69.140625" style="286" bestFit="1" customWidth="1"/>
    <col min="6914" max="7168" width="8.7109375" style="286" customWidth="1"/>
    <col min="7169" max="7169" width="69.140625" style="286" bestFit="1" customWidth="1"/>
    <col min="7170" max="7424" width="8.7109375" style="286" customWidth="1"/>
    <col min="7425" max="7425" width="69.140625" style="286" bestFit="1" customWidth="1"/>
    <col min="7426" max="7680" width="8.7109375" style="286" customWidth="1"/>
    <col min="7681" max="7681" width="69.140625" style="286" bestFit="1" customWidth="1"/>
    <col min="7682" max="7936" width="8.7109375" style="286" customWidth="1"/>
    <col min="7937" max="7937" width="69.140625" style="286" bestFit="1" customWidth="1"/>
    <col min="7938" max="8192" width="8.7109375" style="286" customWidth="1"/>
    <col min="8193" max="8193" width="69.140625" style="286" bestFit="1" customWidth="1"/>
    <col min="8194" max="8448" width="8.7109375" style="286" customWidth="1"/>
    <col min="8449" max="8449" width="69.140625" style="286" bestFit="1" customWidth="1"/>
    <col min="8450" max="8704" width="8.7109375" style="286" customWidth="1"/>
    <col min="8705" max="8705" width="69.140625" style="286" bestFit="1" customWidth="1"/>
    <col min="8706" max="8960" width="8.7109375" style="286" customWidth="1"/>
    <col min="8961" max="8961" width="69.140625" style="286" bestFit="1" customWidth="1"/>
    <col min="8962" max="9216" width="8.7109375" style="286" customWidth="1"/>
    <col min="9217" max="9217" width="69.140625" style="286" bestFit="1" customWidth="1"/>
    <col min="9218" max="9472" width="8.7109375" style="286" customWidth="1"/>
    <col min="9473" max="9473" width="69.140625" style="286" bestFit="1" customWidth="1"/>
    <col min="9474" max="9728" width="8.7109375" style="286" customWidth="1"/>
    <col min="9729" max="9729" width="69.140625" style="286" bestFit="1" customWidth="1"/>
    <col min="9730" max="9984" width="8.7109375" style="286" customWidth="1"/>
    <col min="9985" max="9985" width="69.140625" style="286" bestFit="1" customWidth="1"/>
    <col min="9986" max="10240" width="8.7109375" style="286" customWidth="1"/>
    <col min="10241" max="10241" width="69.140625" style="286" bestFit="1" customWidth="1"/>
    <col min="10242" max="10496" width="8.7109375" style="286" customWidth="1"/>
    <col min="10497" max="10497" width="69.140625" style="286" bestFit="1" customWidth="1"/>
    <col min="10498" max="10752" width="8.7109375" style="286" customWidth="1"/>
    <col min="10753" max="10753" width="69.140625" style="286" bestFit="1" customWidth="1"/>
    <col min="10754" max="11008" width="8.7109375" style="286" customWidth="1"/>
    <col min="11009" max="11009" width="69.140625" style="286" bestFit="1" customWidth="1"/>
    <col min="11010" max="11264" width="8.7109375" style="286" customWidth="1"/>
    <col min="11265" max="11265" width="69.140625" style="286" bestFit="1" customWidth="1"/>
    <col min="11266" max="11520" width="8.7109375" style="286" customWidth="1"/>
    <col min="11521" max="11521" width="69.140625" style="286" bestFit="1" customWidth="1"/>
    <col min="11522" max="11776" width="8.7109375" style="286" customWidth="1"/>
    <col min="11777" max="11777" width="69.140625" style="286" bestFit="1" customWidth="1"/>
    <col min="11778" max="12032" width="8.7109375" style="286" customWidth="1"/>
    <col min="12033" max="12033" width="69.140625" style="286" bestFit="1" customWidth="1"/>
    <col min="12034" max="12288" width="8.7109375" style="286" customWidth="1"/>
    <col min="12289" max="12289" width="69.140625" style="286" bestFit="1" customWidth="1"/>
    <col min="12290" max="12544" width="8.7109375" style="286" customWidth="1"/>
    <col min="12545" max="12545" width="69.140625" style="286" bestFit="1" customWidth="1"/>
    <col min="12546" max="12800" width="8.7109375" style="286" customWidth="1"/>
    <col min="12801" max="12801" width="69.140625" style="286" bestFit="1" customWidth="1"/>
    <col min="12802" max="13056" width="8.7109375" style="286" customWidth="1"/>
    <col min="13057" max="13057" width="69.140625" style="286" bestFit="1" customWidth="1"/>
    <col min="13058" max="13312" width="8.7109375" style="286" customWidth="1"/>
    <col min="13313" max="13313" width="69.140625" style="286" bestFit="1" customWidth="1"/>
    <col min="13314" max="13568" width="8.7109375" style="286" customWidth="1"/>
    <col min="13569" max="13569" width="69.140625" style="286" bestFit="1" customWidth="1"/>
    <col min="13570" max="13824" width="8.7109375" style="286" customWidth="1"/>
    <col min="13825" max="13825" width="69.140625" style="286" bestFit="1" customWidth="1"/>
    <col min="13826" max="14080" width="8.7109375" style="286" customWidth="1"/>
    <col min="14081" max="14081" width="69.140625" style="286" bestFit="1" customWidth="1"/>
    <col min="14082" max="14336" width="8.7109375" style="286" customWidth="1"/>
    <col min="14337" max="14337" width="69.140625" style="286" bestFit="1" customWidth="1"/>
    <col min="14338" max="14592" width="8.7109375" style="286" customWidth="1"/>
    <col min="14593" max="14593" width="69.140625" style="286" bestFit="1" customWidth="1"/>
    <col min="14594" max="14848" width="8.7109375" style="286" customWidth="1"/>
    <col min="14849" max="14849" width="69.140625" style="286" bestFit="1" customWidth="1"/>
    <col min="14850" max="15104" width="8.7109375" style="286" customWidth="1"/>
    <col min="15105" max="15105" width="69.140625" style="286" bestFit="1" customWidth="1"/>
    <col min="15106" max="15360" width="8.7109375" style="286" customWidth="1"/>
    <col min="15361" max="15361" width="69.140625" style="286" bestFit="1" customWidth="1"/>
    <col min="15362" max="15616" width="8.7109375" style="286" customWidth="1"/>
    <col min="15617" max="15617" width="69.140625" style="286" bestFit="1" customWidth="1"/>
    <col min="15618" max="15872" width="8.7109375" style="286" customWidth="1"/>
    <col min="15873" max="15873" width="69.140625" style="286" bestFit="1" customWidth="1"/>
    <col min="15874" max="16128" width="8.7109375" style="286" customWidth="1"/>
    <col min="16129" max="16129" width="69.140625" style="286" bestFit="1" customWidth="1"/>
    <col min="16130" max="16384" width="8.7109375" style="286" customWidth="1"/>
  </cols>
  <sheetData>
    <row r="1" spans="1:13" ht="43.5" customHeight="1" x14ac:dyDescent="0.25">
      <c r="A1" s="284" t="s">
        <v>44</v>
      </c>
      <c r="B1" s="284" t="s">
        <v>45</v>
      </c>
      <c r="C1" s="285" t="s">
        <v>47</v>
      </c>
      <c r="D1" s="285" t="s">
        <v>48</v>
      </c>
      <c r="E1" s="285" t="s">
        <v>1046</v>
      </c>
      <c r="F1" s="285" t="s">
        <v>50</v>
      </c>
      <c r="G1" s="285" t="s">
        <v>51</v>
      </c>
      <c r="H1" s="285" t="s">
        <v>40</v>
      </c>
      <c r="I1" s="285" t="s">
        <v>46</v>
      </c>
      <c r="J1" s="285" t="s">
        <v>1162</v>
      </c>
      <c r="K1" s="285" t="s">
        <v>52</v>
      </c>
      <c r="L1" s="285" t="s">
        <v>49</v>
      </c>
    </row>
    <row r="2" spans="1:13" x14ac:dyDescent="0.25">
      <c r="A2" s="287" t="s">
        <v>1163</v>
      </c>
      <c r="B2" s="286">
        <v>5.81</v>
      </c>
      <c r="C2" s="286">
        <v>0</v>
      </c>
      <c r="D2" s="286">
        <v>0</v>
      </c>
      <c r="E2" s="286">
        <v>0</v>
      </c>
      <c r="F2" s="286">
        <v>0</v>
      </c>
      <c r="G2" s="286">
        <v>0</v>
      </c>
      <c r="H2" s="286">
        <v>0</v>
      </c>
      <c r="I2" s="286">
        <v>1.95</v>
      </c>
      <c r="J2" s="286">
        <v>60</v>
      </c>
      <c r="K2" s="286">
        <v>0</v>
      </c>
      <c r="L2" s="286">
        <v>0</v>
      </c>
      <c r="M2" s="286" t="s">
        <v>1164</v>
      </c>
    </row>
    <row r="3" spans="1:13" x14ac:dyDescent="0.25">
      <c r="A3" s="287" t="s">
        <v>53</v>
      </c>
      <c r="B3" s="286">
        <v>2.96</v>
      </c>
      <c r="C3" s="286">
        <v>0</v>
      </c>
      <c r="D3" s="286">
        <v>0</v>
      </c>
      <c r="E3" s="286">
        <v>0</v>
      </c>
      <c r="F3" s="286">
        <v>0</v>
      </c>
      <c r="G3" s="286">
        <v>0</v>
      </c>
      <c r="H3" s="286">
        <v>0</v>
      </c>
      <c r="I3" s="286">
        <v>2.0299999999999998</v>
      </c>
      <c r="J3" s="286">
        <v>27</v>
      </c>
      <c r="K3" s="286">
        <v>0</v>
      </c>
      <c r="L3" s="286">
        <v>0</v>
      </c>
      <c r="M3" s="286" t="s">
        <v>55</v>
      </c>
    </row>
    <row r="4" spans="1:13" x14ac:dyDescent="0.25">
      <c r="A4" s="287" t="s">
        <v>1165</v>
      </c>
      <c r="B4" s="286">
        <v>1.1200000000000001</v>
      </c>
      <c r="C4" s="286">
        <v>22.27</v>
      </c>
      <c r="D4" s="286">
        <v>23.68</v>
      </c>
      <c r="E4" s="286">
        <v>15.85</v>
      </c>
      <c r="F4" s="286">
        <v>0.94</v>
      </c>
      <c r="G4" s="286">
        <v>1.58</v>
      </c>
      <c r="H4" s="286">
        <v>2.4</v>
      </c>
      <c r="I4" s="286">
        <v>1.8</v>
      </c>
      <c r="J4" s="286">
        <v>33</v>
      </c>
      <c r="K4" s="286">
        <v>0.88</v>
      </c>
      <c r="L4" s="286">
        <v>13.28</v>
      </c>
      <c r="M4" s="286" t="s">
        <v>55</v>
      </c>
    </row>
    <row r="5" spans="1:13" x14ac:dyDescent="0.25">
      <c r="A5" s="287" t="s">
        <v>57</v>
      </c>
      <c r="B5" s="286">
        <v>6.72</v>
      </c>
      <c r="C5" s="286">
        <v>31.45</v>
      </c>
      <c r="D5" s="286">
        <v>0</v>
      </c>
      <c r="E5" s="286">
        <v>0</v>
      </c>
      <c r="F5" s="286">
        <v>1.07</v>
      </c>
      <c r="G5" s="286">
        <v>1.6</v>
      </c>
      <c r="H5" s="286">
        <v>5.59</v>
      </c>
      <c r="I5" s="286">
        <v>1.95</v>
      </c>
      <c r="J5" s="286">
        <v>112</v>
      </c>
      <c r="K5" s="286">
        <v>1.19</v>
      </c>
      <c r="L5" s="286">
        <v>18.03</v>
      </c>
      <c r="M5" s="286" t="s">
        <v>58</v>
      </c>
    </row>
    <row r="6" spans="1:13" x14ac:dyDescent="0.25">
      <c r="A6" s="287" t="s">
        <v>59</v>
      </c>
      <c r="B6" s="286">
        <v>9.4</v>
      </c>
      <c r="C6" s="286">
        <v>18.3</v>
      </c>
      <c r="D6" s="286">
        <v>17.87</v>
      </c>
      <c r="E6" s="286">
        <v>12.24</v>
      </c>
      <c r="F6" s="286">
        <v>1.1200000000000001</v>
      </c>
      <c r="G6" s="286">
        <v>1.9</v>
      </c>
      <c r="H6" s="286">
        <v>1.95</v>
      </c>
      <c r="I6" s="286">
        <v>1.27</v>
      </c>
      <c r="J6" s="286">
        <v>0</v>
      </c>
      <c r="K6" s="286">
        <v>0.84</v>
      </c>
      <c r="L6" s="286">
        <v>8.4499999999999993</v>
      </c>
      <c r="M6" s="286" t="s">
        <v>1166</v>
      </c>
    </row>
    <row r="7" spans="1:13" x14ac:dyDescent="0.25">
      <c r="A7" s="287" t="s">
        <v>61</v>
      </c>
      <c r="B7" s="286">
        <v>9.74</v>
      </c>
      <c r="C7" s="286">
        <v>15.74</v>
      </c>
      <c r="D7" s="286">
        <v>15.19</v>
      </c>
      <c r="E7" s="286">
        <v>11.21</v>
      </c>
      <c r="F7" s="286">
        <v>0.91</v>
      </c>
      <c r="G7" s="286">
        <v>1.39</v>
      </c>
      <c r="H7" s="286">
        <v>1.17</v>
      </c>
      <c r="I7" s="286">
        <v>1.79</v>
      </c>
      <c r="J7" s="286">
        <v>302</v>
      </c>
      <c r="K7" s="286">
        <v>0.74</v>
      </c>
      <c r="L7" s="286">
        <v>7.75</v>
      </c>
      <c r="M7" s="286" t="s">
        <v>62</v>
      </c>
    </row>
    <row r="8" spans="1:13" x14ac:dyDescent="0.25">
      <c r="A8" s="287" t="s">
        <v>63</v>
      </c>
      <c r="B8" s="286">
        <v>3.93</v>
      </c>
      <c r="C8" s="286">
        <v>18.440000000000001</v>
      </c>
      <c r="D8" s="286">
        <v>15</v>
      </c>
      <c r="E8" s="286">
        <v>0</v>
      </c>
      <c r="F8" s="286">
        <v>0.65</v>
      </c>
      <c r="G8" s="286">
        <v>0.98</v>
      </c>
      <c r="H8" s="286">
        <v>-1.75</v>
      </c>
      <c r="I8" s="286">
        <v>2.16</v>
      </c>
      <c r="J8" s="286">
        <v>43</v>
      </c>
      <c r="K8" s="286">
        <v>0.94</v>
      </c>
      <c r="L8" s="286">
        <v>13.97</v>
      </c>
      <c r="M8" s="286" t="s">
        <v>55</v>
      </c>
    </row>
    <row r="9" spans="1:13" x14ac:dyDescent="0.25">
      <c r="A9" s="287" t="s">
        <v>66</v>
      </c>
      <c r="B9" s="286">
        <v>4.8</v>
      </c>
      <c r="C9" s="286">
        <v>19.22</v>
      </c>
      <c r="D9" s="286">
        <v>0</v>
      </c>
      <c r="E9" s="286">
        <v>0</v>
      </c>
      <c r="F9" s="286">
        <v>0.68</v>
      </c>
      <c r="G9" s="286">
        <v>1.0900000000000001</v>
      </c>
      <c r="H9" s="286">
        <v>-1.45</v>
      </c>
      <c r="I9" s="286">
        <v>2.14</v>
      </c>
      <c r="J9" s="286">
        <v>11</v>
      </c>
      <c r="K9" s="286">
        <v>0.96</v>
      </c>
      <c r="L9" s="286">
        <v>14.21</v>
      </c>
      <c r="M9" s="286" t="s">
        <v>58</v>
      </c>
    </row>
    <row r="10" spans="1:13" x14ac:dyDescent="0.25">
      <c r="A10" s="287" t="s">
        <v>67</v>
      </c>
      <c r="B10" s="286">
        <v>0</v>
      </c>
      <c r="C10" s="286">
        <v>0</v>
      </c>
      <c r="D10" s="286">
        <v>0</v>
      </c>
      <c r="E10" s="286">
        <v>0</v>
      </c>
      <c r="F10" s="286">
        <v>0</v>
      </c>
      <c r="G10" s="286">
        <v>0</v>
      </c>
      <c r="H10" s="286">
        <v>0</v>
      </c>
      <c r="I10" s="286">
        <v>2.0699999999999998</v>
      </c>
      <c r="J10" s="286">
        <v>0</v>
      </c>
      <c r="K10" s="286">
        <v>0</v>
      </c>
      <c r="L10" s="286">
        <v>0</v>
      </c>
      <c r="M10" s="286" t="s">
        <v>58</v>
      </c>
    </row>
    <row r="11" spans="1:13" x14ac:dyDescent="0.25">
      <c r="A11" s="287" t="s">
        <v>68</v>
      </c>
      <c r="B11" s="286">
        <v>1.73</v>
      </c>
      <c r="C11" s="286">
        <v>26.52</v>
      </c>
      <c r="D11" s="286">
        <v>25.08</v>
      </c>
      <c r="E11" s="286">
        <v>12.47</v>
      </c>
      <c r="F11" s="286">
        <v>1</v>
      </c>
      <c r="G11" s="286">
        <v>1.56</v>
      </c>
      <c r="H11" s="286">
        <v>4.0599999999999996</v>
      </c>
      <c r="I11" s="286">
        <v>2.2200000000000002</v>
      </c>
      <c r="J11" s="286">
        <v>33</v>
      </c>
      <c r="K11" s="286">
        <v>0.97</v>
      </c>
      <c r="L11" s="286">
        <v>15.2</v>
      </c>
      <c r="M11" s="286" t="s">
        <v>71</v>
      </c>
    </row>
    <row r="12" spans="1:13" x14ac:dyDescent="0.25">
      <c r="A12" s="287" t="s">
        <v>1167</v>
      </c>
      <c r="B12" s="286">
        <v>6.35</v>
      </c>
      <c r="C12" s="286">
        <v>16.61</v>
      </c>
      <c r="D12" s="286">
        <v>18.41</v>
      </c>
      <c r="E12" s="286">
        <v>10.7</v>
      </c>
      <c r="F12" s="286">
        <v>0.72</v>
      </c>
      <c r="G12" s="286">
        <v>1.04</v>
      </c>
      <c r="H12" s="286">
        <v>-0.69</v>
      </c>
      <c r="I12" s="286">
        <v>1.84</v>
      </c>
      <c r="J12" s="286">
        <v>56</v>
      </c>
      <c r="K12" s="286">
        <v>0.85</v>
      </c>
      <c r="L12" s="286">
        <v>10.28</v>
      </c>
      <c r="M12" s="286" t="s">
        <v>1168</v>
      </c>
    </row>
    <row r="13" spans="1:13" x14ac:dyDescent="0.25">
      <c r="A13" s="287" t="s">
        <v>72</v>
      </c>
      <c r="B13" s="286">
        <v>8.59</v>
      </c>
      <c r="C13" s="286">
        <v>18.829999999999998</v>
      </c>
      <c r="D13" s="286">
        <v>0</v>
      </c>
      <c r="E13" s="286">
        <v>0</v>
      </c>
      <c r="F13" s="286">
        <v>0.62</v>
      </c>
      <c r="G13" s="286">
        <v>0.98</v>
      </c>
      <c r="H13" s="286">
        <v>-1</v>
      </c>
      <c r="I13" s="286">
        <v>2.44</v>
      </c>
      <c r="J13" s="286">
        <v>10</v>
      </c>
      <c r="K13" s="286">
        <v>0.98</v>
      </c>
      <c r="L13" s="286">
        <v>14.57</v>
      </c>
      <c r="M13" s="286" t="s">
        <v>55</v>
      </c>
    </row>
    <row r="14" spans="1:13" x14ac:dyDescent="0.25">
      <c r="A14" s="287" t="s">
        <v>74</v>
      </c>
      <c r="B14" s="286">
        <v>7.85</v>
      </c>
      <c r="C14" s="286">
        <v>20.04</v>
      </c>
      <c r="D14" s="286">
        <v>19.170000000000002</v>
      </c>
      <c r="E14" s="286">
        <v>12.58</v>
      </c>
      <c r="F14" s="286">
        <v>1</v>
      </c>
      <c r="G14" s="286">
        <v>1.44</v>
      </c>
      <c r="H14" s="286">
        <v>1.02</v>
      </c>
      <c r="I14" s="286">
        <v>1.1299999999999999</v>
      </c>
      <c r="J14" s="286">
        <v>0</v>
      </c>
      <c r="K14" s="286">
        <v>1.07</v>
      </c>
      <c r="L14" s="286">
        <v>10.49</v>
      </c>
      <c r="M14" s="286" t="s">
        <v>55</v>
      </c>
    </row>
    <row r="15" spans="1:13" x14ac:dyDescent="0.25">
      <c r="A15" s="287" t="s">
        <v>75</v>
      </c>
      <c r="B15" s="286">
        <v>8.44</v>
      </c>
      <c r="C15" s="286">
        <v>13.28</v>
      </c>
      <c r="D15" s="286">
        <v>12.11</v>
      </c>
      <c r="E15" s="286">
        <v>9.1300000000000008</v>
      </c>
      <c r="F15" s="286">
        <v>1.21</v>
      </c>
      <c r="G15" s="286">
        <v>1.84</v>
      </c>
      <c r="H15" s="286">
        <v>1.48</v>
      </c>
      <c r="I15" s="286">
        <v>0.94</v>
      </c>
      <c r="J15" s="286">
        <v>0</v>
      </c>
      <c r="K15" s="286">
        <v>0.47</v>
      </c>
      <c r="L15" s="286">
        <v>4.72</v>
      </c>
      <c r="M15" s="286" t="s">
        <v>65</v>
      </c>
    </row>
    <row r="16" spans="1:13" x14ac:dyDescent="0.25">
      <c r="A16" s="287" t="s">
        <v>76</v>
      </c>
      <c r="B16" s="286">
        <v>8.66</v>
      </c>
      <c r="C16" s="286">
        <v>16.64</v>
      </c>
      <c r="D16" s="286">
        <v>15.68</v>
      </c>
      <c r="E16" s="286">
        <v>10.85</v>
      </c>
      <c r="F16" s="286">
        <v>1.06</v>
      </c>
      <c r="G16" s="286">
        <v>1.54</v>
      </c>
      <c r="H16" s="286">
        <v>1.24</v>
      </c>
      <c r="I16" s="286">
        <v>1.0900000000000001</v>
      </c>
      <c r="J16" s="286">
        <v>0</v>
      </c>
      <c r="K16" s="286">
        <v>0.77</v>
      </c>
      <c r="L16" s="286">
        <v>7.64</v>
      </c>
      <c r="M16" s="286" t="s">
        <v>58</v>
      </c>
    </row>
    <row r="17" spans="1:13" x14ac:dyDescent="0.25">
      <c r="A17" s="287" t="s">
        <v>77</v>
      </c>
      <c r="B17" s="286">
        <v>9.18</v>
      </c>
      <c r="C17" s="286">
        <v>22.19</v>
      </c>
      <c r="D17" s="286">
        <v>22.95</v>
      </c>
      <c r="E17" s="286">
        <v>14.3</v>
      </c>
      <c r="F17" s="286">
        <v>0.87</v>
      </c>
      <c r="G17" s="286">
        <v>1.43</v>
      </c>
      <c r="H17" s="286">
        <v>1.1499999999999999</v>
      </c>
      <c r="I17" s="286">
        <v>1.67</v>
      </c>
      <c r="J17" s="286">
        <v>35</v>
      </c>
      <c r="K17" s="286">
        <v>0.94</v>
      </c>
      <c r="L17" s="286">
        <v>13.82</v>
      </c>
      <c r="M17" s="286" t="s">
        <v>84</v>
      </c>
    </row>
    <row r="18" spans="1:13" x14ac:dyDescent="0.25">
      <c r="A18" s="287" t="s">
        <v>78</v>
      </c>
      <c r="B18" s="286">
        <v>9.18</v>
      </c>
      <c r="C18" s="286">
        <v>21.07</v>
      </c>
      <c r="D18" s="286">
        <v>21.51</v>
      </c>
      <c r="E18" s="286">
        <v>12.94</v>
      </c>
      <c r="F18" s="286">
        <v>0.8</v>
      </c>
      <c r="G18" s="286">
        <v>1.57</v>
      </c>
      <c r="H18" s="286">
        <v>0.3</v>
      </c>
      <c r="I18" s="286">
        <v>1.81</v>
      </c>
      <c r="J18" s="286">
        <v>32</v>
      </c>
      <c r="K18" s="286">
        <v>0.9</v>
      </c>
      <c r="L18" s="286">
        <v>13.24</v>
      </c>
      <c r="M18" s="286" t="s">
        <v>60</v>
      </c>
    </row>
    <row r="19" spans="1:13" x14ac:dyDescent="0.25">
      <c r="A19" s="287" t="s">
        <v>80</v>
      </c>
      <c r="B19" s="286">
        <v>6.07</v>
      </c>
      <c r="C19" s="286">
        <v>20.38</v>
      </c>
      <c r="D19" s="286">
        <v>22.07</v>
      </c>
      <c r="E19" s="286">
        <v>14.95</v>
      </c>
      <c r="F19" s="286">
        <v>0.75</v>
      </c>
      <c r="G19" s="286">
        <v>1.1599999999999999</v>
      </c>
      <c r="H19" s="286">
        <v>-0.37</v>
      </c>
      <c r="I19" s="286">
        <v>1.85</v>
      </c>
      <c r="J19" s="286">
        <v>14</v>
      </c>
      <c r="K19" s="286">
        <v>0.79</v>
      </c>
      <c r="L19" s="286">
        <v>14.6</v>
      </c>
      <c r="M19" s="286" t="s">
        <v>89</v>
      </c>
    </row>
    <row r="20" spans="1:13" x14ac:dyDescent="0.25">
      <c r="A20" s="287" t="s">
        <v>1159</v>
      </c>
      <c r="B20" s="286">
        <v>7.39</v>
      </c>
      <c r="C20" s="286">
        <v>20.67</v>
      </c>
      <c r="D20" s="286">
        <v>21.97</v>
      </c>
      <c r="E20" s="286">
        <v>12.58</v>
      </c>
      <c r="F20" s="286">
        <v>0.81</v>
      </c>
      <c r="G20" s="286">
        <v>1.3</v>
      </c>
      <c r="H20" s="286">
        <v>0.83</v>
      </c>
      <c r="I20" s="286">
        <v>1.64</v>
      </c>
      <c r="J20" s="286">
        <v>54</v>
      </c>
      <c r="K20" s="286">
        <v>0.95</v>
      </c>
      <c r="L20" s="286">
        <v>13.13</v>
      </c>
      <c r="M20" s="286" t="s">
        <v>65</v>
      </c>
    </row>
    <row r="21" spans="1:13" x14ac:dyDescent="0.25">
      <c r="A21" s="287" t="s">
        <v>1161</v>
      </c>
      <c r="B21" s="286">
        <v>3.45</v>
      </c>
      <c r="C21" s="286">
        <v>19.29</v>
      </c>
      <c r="D21" s="286">
        <v>20.36</v>
      </c>
      <c r="E21" s="286">
        <v>11.91</v>
      </c>
      <c r="F21" s="286">
        <v>0.62</v>
      </c>
      <c r="G21" s="286">
        <v>0.86</v>
      </c>
      <c r="H21" s="286">
        <v>-1.71</v>
      </c>
      <c r="I21" s="286">
        <v>1.9</v>
      </c>
      <c r="J21" s="286">
        <v>37</v>
      </c>
      <c r="K21" s="286">
        <v>1.01</v>
      </c>
      <c r="L21" s="286">
        <v>15.21</v>
      </c>
      <c r="M21" s="286" t="s">
        <v>65</v>
      </c>
    </row>
    <row r="22" spans="1:13" x14ac:dyDescent="0.25">
      <c r="A22" s="287" t="s">
        <v>82</v>
      </c>
      <c r="B22" s="286">
        <v>1.1399999999999999</v>
      </c>
      <c r="C22" s="286">
        <v>22.32</v>
      </c>
      <c r="D22" s="286">
        <v>20.59</v>
      </c>
      <c r="E22" s="286">
        <v>12.35</v>
      </c>
      <c r="F22" s="286">
        <v>0.8</v>
      </c>
      <c r="G22" s="286">
        <v>1.25</v>
      </c>
      <c r="H22" s="286">
        <v>0.88</v>
      </c>
      <c r="I22" s="286">
        <v>2.29</v>
      </c>
      <c r="J22" s="286">
        <v>48</v>
      </c>
      <c r="K22" s="286">
        <v>1.07</v>
      </c>
      <c r="L22" s="286">
        <v>16.43</v>
      </c>
      <c r="M22" s="286" t="s">
        <v>58</v>
      </c>
    </row>
    <row r="23" spans="1:13" x14ac:dyDescent="0.25">
      <c r="A23" s="287" t="s">
        <v>83</v>
      </c>
      <c r="B23" s="286">
        <v>5.35</v>
      </c>
      <c r="C23" s="286">
        <v>24.05</v>
      </c>
      <c r="D23" s="286">
        <v>27.54</v>
      </c>
      <c r="E23" s="286">
        <v>13.95</v>
      </c>
      <c r="F23" s="286">
        <v>0.85</v>
      </c>
      <c r="G23" s="286">
        <v>1.39</v>
      </c>
      <c r="H23" s="286">
        <v>-2.87</v>
      </c>
      <c r="I23" s="286">
        <v>1.89</v>
      </c>
      <c r="J23" s="286">
        <v>56</v>
      </c>
      <c r="K23" s="286">
        <v>0.92</v>
      </c>
      <c r="L23" s="286">
        <v>16.239999999999998</v>
      </c>
      <c r="M23" s="286" t="s">
        <v>84</v>
      </c>
    </row>
    <row r="24" spans="1:13" x14ac:dyDescent="0.25">
      <c r="A24" s="287" t="s">
        <v>85</v>
      </c>
      <c r="B24" s="286">
        <v>-1.1299999999999999</v>
      </c>
      <c r="C24" s="286">
        <v>16.14</v>
      </c>
      <c r="D24" s="286">
        <v>13.07</v>
      </c>
      <c r="E24" s="286">
        <v>8.86</v>
      </c>
      <c r="F24" s="286">
        <v>0.52</v>
      </c>
      <c r="G24" s="286">
        <v>0.89</v>
      </c>
      <c r="H24" s="286">
        <v>-2.66</v>
      </c>
      <c r="I24" s="286">
        <v>2.0099999999999998</v>
      </c>
      <c r="J24" s="286">
        <v>14</v>
      </c>
      <c r="K24" s="286">
        <v>0.9</v>
      </c>
      <c r="L24" s="286">
        <v>14.9</v>
      </c>
      <c r="M24" s="286" t="s">
        <v>65</v>
      </c>
    </row>
    <row r="25" spans="1:13" x14ac:dyDescent="0.25">
      <c r="A25" s="287" t="s">
        <v>87</v>
      </c>
      <c r="B25" s="286">
        <v>10.63</v>
      </c>
      <c r="C25" s="286">
        <v>0</v>
      </c>
      <c r="D25" s="286">
        <v>0</v>
      </c>
      <c r="E25" s="286">
        <v>0</v>
      </c>
      <c r="F25" s="286">
        <v>0</v>
      </c>
      <c r="G25" s="286">
        <v>0</v>
      </c>
      <c r="H25" s="286">
        <v>0</v>
      </c>
      <c r="I25" s="286">
        <v>1.83</v>
      </c>
      <c r="J25" s="286">
        <v>0</v>
      </c>
      <c r="K25" s="286">
        <v>0</v>
      </c>
      <c r="L25" s="286">
        <v>0</v>
      </c>
      <c r="M25" s="286" t="s">
        <v>103</v>
      </c>
    </row>
    <row r="26" spans="1:13" x14ac:dyDescent="0.25">
      <c r="A26" s="287" t="s">
        <v>88</v>
      </c>
      <c r="B26" s="286">
        <v>4.4400000000000004</v>
      </c>
      <c r="C26" s="286">
        <v>21.48</v>
      </c>
      <c r="D26" s="286">
        <v>0</v>
      </c>
      <c r="E26" s="286">
        <v>0</v>
      </c>
      <c r="F26" s="286">
        <v>0.8</v>
      </c>
      <c r="G26" s="286">
        <v>1.06</v>
      </c>
      <c r="H26" s="286">
        <v>-1.43</v>
      </c>
      <c r="I26" s="286">
        <v>1.84</v>
      </c>
      <c r="J26" s="286">
        <v>52</v>
      </c>
      <c r="K26" s="286">
        <v>0.88</v>
      </c>
      <c r="L26" s="286">
        <v>14.3</v>
      </c>
      <c r="M26" s="286" t="s">
        <v>58</v>
      </c>
    </row>
    <row r="27" spans="1:13" x14ac:dyDescent="0.25">
      <c r="A27" s="287" t="s">
        <v>104</v>
      </c>
      <c r="B27" s="286">
        <v>-5.0199999999999996</v>
      </c>
      <c r="C27" s="286">
        <v>36.28</v>
      </c>
      <c r="D27" s="286">
        <v>31.04</v>
      </c>
      <c r="E27" s="286">
        <v>0</v>
      </c>
      <c r="F27" s="286">
        <v>1.07</v>
      </c>
      <c r="G27" s="286">
        <v>1.95</v>
      </c>
      <c r="H27" s="286">
        <v>-2.99</v>
      </c>
      <c r="I27" s="286">
        <v>1.79</v>
      </c>
      <c r="J27" s="286">
        <v>18</v>
      </c>
      <c r="K27" s="286">
        <v>0.97</v>
      </c>
      <c r="L27" s="286">
        <v>22.36</v>
      </c>
      <c r="M27" s="286" t="s">
        <v>1169</v>
      </c>
    </row>
    <row r="28" spans="1:13" x14ac:dyDescent="0.25">
      <c r="A28" s="287" t="s">
        <v>105</v>
      </c>
      <c r="B28" s="286">
        <v>0</v>
      </c>
      <c r="C28" s="286">
        <v>0</v>
      </c>
      <c r="D28" s="286">
        <v>0</v>
      </c>
      <c r="E28" s="286">
        <v>0</v>
      </c>
      <c r="F28" s="286">
        <v>0</v>
      </c>
      <c r="G28" s="286">
        <v>0</v>
      </c>
      <c r="H28" s="286">
        <v>0</v>
      </c>
      <c r="I28" s="286">
        <v>1.97</v>
      </c>
      <c r="J28" s="286">
        <v>0</v>
      </c>
      <c r="K28" s="286">
        <v>0</v>
      </c>
      <c r="L28" s="286">
        <v>0</v>
      </c>
      <c r="M28" s="286" t="s">
        <v>55</v>
      </c>
    </row>
    <row r="29" spans="1:13" x14ac:dyDescent="0.25">
      <c r="A29" s="287" t="s">
        <v>1170</v>
      </c>
      <c r="B29" s="286">
        <v>9.3800000000000008</v>
      </c>
      <c r="C29" s="286">
        <v>10.48</v>
      </c>
      <c r="D29" s="286">
        <v>11.94</v>
      </c>
      <c r="E29" s="286">
        <v>8.6300000000000008</v>
      </c>
      <c r="F29" s="286">
        <v>0.86</v>
      </c>
      <c r="G29" s="286">
        <v>1.66</v>
      </c>
      <c r="H29" s="286">
        <v>0.04</v>
      </c>
      <c r="I29" s="286">
        <v>1.92</v>
      </c>
      <c r="J29" s="286">
        <v>138</v>
      </c>
      <c r="K29" s="286">
        <v>0.82</v>
      </c>
      <c r="L29" s="286">
        <v>3.55</v>
      </c>
      <c r="M29" s="286" t="s">
        <v>1168</v>
      </c>
    </row>
    <row r="30" spans="1:13" x14ac:dyDescent="0.25">
      <c r="A30" s="287" t="s">
        <v>106</v>
      </c>
      <c r="B30" s="286">
        <v>7.32</v>
      </c>
      <c r="C30" s="286">
        <v>19.38</v>
      </c>
      <c r="D30" s="286">
        <v>15.85</v>
      </c>
      <c r="E30" s="286">
        <v>0</v>
      </c>
      <c r="F30" s="286">
        <v>0.69</v>
      </c>
      <c r="G30" s="286">
        <v>1.1000000000000001</v>
      </c>
      <c r="H30" s="286">
        <v>-0.98</v>
      </c>
      <c r="I30" s="286">
        <v>2.41</v>
      </c>
      <c r="J30" s="286">
        <v>86</v>
      </c>
      <c r="K30" s="286">
        <v>0.94</v>
      </c>
      <c r="L30" s="286">
        <v>14.35</v>
      </c>
      <c r="M30" s="286" t="s">
        <v>1169</v>
      </c>
    </row>
    <row r="31" spans="1:13" x14ac:dyDescent="0.25">
      <c r="A31" s="287" t="s">
        <v>1171</v>
      </c>
      <c r="B31" s="286">
        <v>8.6300000000000008</v>
      </c>
      <c r="C31" s="286">
        <v>16.95</v>
      </c>
      <c r="D31" s="286">
        <v>13.69</v>
      </c>
      <c r="E31" s="286">
        <v>0</v>
      </c>
      <c r="F31" s="286">
        <v>0.74</v>
      </c>
      <c r="G31" s="286">
        <v>1.2</v>
      </c>
      <c r="H31" s="286">
        <v>-0.3</v>
      </c>
      <c r="I31" s="286">
        <v>2.38</v>
      </c>
      <c r="J31" s="286">
        <v>25</v>
      </c>
      <c r="K31" s="286">
        <v>0.87</v>
      </c>
      <c r="L31" s="286">
        <v>10.97</v>
      </c>
      <c r="M31" s="286" t="s">
        <v>103</v>
      </c>
    </row>
    <row r="32" spans="1:13" x14ac:dyDescent="0.25">
      <c r="A32" s="287" t="s">
        <v>1172</v>
      </c>
      <c r="B32" s="286">
        <v>7.13</v>
      </c>
      <c r="C32" s="286">
        <v>9.4700000000000006</v>
      </c>
      <c r="D32" s="286">
        <v>5.62</v>
      </c>
      <c r="E32" s="286">
        <v>0</v>
      </c>
      <c r="F32" s="286">
        <v>0.62</v>
      </c>
      <c r="G32" s="286">
        <v>0.99</v>
      </c>
      <c r="H32" s="286">
        <v>-0.92</v>
      </c>
      <c r="I32" s="286">
        <v>1.93</v>
      </c>
      <c r="J32" s="286">
        <v>13</v>
      </c>
      <c r="K32" s="286">
        <v>0.88</v>
      </c>
      <c r="L32" s="286">
        <v>3.71</v>
      </c>
      <c r="M32" s="286" t="s">
        <v>58</v>
      </c>
    </row>
    <row r="33" spans="1:13" x14ac:dyDescent="0.25">
      <c r="A33" s="287" t="s">
        <v>107</v>
      </c>
      <c r="B33" s="286">
        <v>0.75</v>
      </c>
      <c r="C33" s="286">
        <v>23.77</v>
      </c>
      <c r="D33" s="286">
        <v>28.2</v>
      </c>
      <c r="E33" s="286">
        <v>13.81</v>
      </c>
      <c r="F33" s="286">
        <v>0.78</v>
      </c>
      <c r="G33" s="286">
        <v>1.18</v>
      </c>
      <c r="H33" s="286">
        <v>-2.19</v>
      </c>
      <c r="I33" s="286">
        <v>1.92</v>
      </c>
      <c r="J33" s="286">
        <v>42</v>
      </c>
      <c r="K33" s="286">
        <v>0.89</v>
      </c>
      <c r="L33" s="286">
        <v>17.91</v>
      </c>
      <c r="M33" s="286" t="s">
        <v>58</v>
      </c>
    </row>
    <row r="34" spans="1:13" x14ac:dyDescent="0.25">
      <c r="A34" s="287" t="s">
        <v>108</v>
      </c>
      <c r="B34" s="286">
        <v>7.75</v>
      </c>
      <c r="C34" s="286">
        <v>22.11</v>
      </c>
      <c r="D34" s="286">
        <v>0</v>
      </c>
      <c r="E34" s="286">
        <v>0</v>
      </c>
      <c r="F34" s="286">
        <v>0.79</v>
      </c>
      <c r="G34" s="286">
        <v>1.39</v>
      </c>
      <c r="H34" s="286">
        <v>0.3</v>
      </c>
      <c r="I34" s="286">
        <v>2.39</v>
      </c>
      <c r="J34" s="286">
        <v>29</v>
      </c>
      <c r="K34" s="286">
        <v>0.99</v>
      </c>
      <c r="L34" s="286">
        <v>14.79</v>
      </c>
      <c r="M34" s="286" t="s">
        <v>65</v>
      </c>
    </row>
    <row r="35" spans="1:13" x14ac:dyDescent="0.25">
      <c r="A35" s="287" t="s">
        <v>109</v>
      </c>
      <c r="B35" s="286">
        <v>-3.98</v>
      </c>
      <c r="C35" s="286">
        <v>0</v>
      </c>
      <c r="D35" s="286">
        <v>0</v>
      </c>
      <c r="E35" s="286">
        <v>0</v>
      </c>
      <c r="F35" s="286">
        <v>0</v>
      </c>
      <c r="G35" s="286">
        <v>0</v>
      </c>
      <c r="H35" s="286">
        <v>0</v>
      </c>
      <c r="I35" s="286">
        <v>2.11</v>
      </c>
      <c r="J35" s="286">
        <v>0</v>
      </c>
      <c r="K35" s="286">
        <v>0</v>
      </c>
      <c r="L35" s="286">
        <v>0</v>
      </c>
      <c r="M35" s="286" t="s">
        <v>55</v>
      </c>
    </row>
    <row r="36" spans="1:13" x14ac:dyDescent="0.25">
      <c r="A36" s="287" t="s">
        <v>1173</v>
      </c>
      <c r="B36" s="286">
        <v>7.78</v>
      </c>
      <c r="C36" s="286">
        <v>14.4</v>
      </c>
      <c r="D36" s="286">
        <v>15.24</v>
      </c>
      <c r="E36" s="286">
        <v>0</v>
      </c>
      <c r="F36" s="286">
        <v>0.51</v>
      </c>
      <c r="G36" s="286">
        <v>0.9</v>
      </c>
      <c r="H36" s="286">
        <v>-3.07</v>
      </c>
      <c r="I36" s="286">
        <v>2.15</v>
      </c>
      <c r="J36" s="286">
        <v>43</v>
      </c>
      <c r="K36" s="286">
        <v>0.92</v>
      </c>
      <c r="L36" s="286">
        <v>11.35</v>
      </c>
      <c r="M36" s="286" t="s">
        <v>1168</v>
      </c>
    </row>
    <row r="37" spans="1:13" x14ac:dyDescent="0.25">
      <c r="A37" s="287" t="s">
        <v>114</v>
      </c>
      <c r="B37" s="286">
        <v>8.6</v>
      </c>
      <c r="C37" s="286">
        <v>16.329999999999998</v>
      </c>
      <c r="D37" s="286">
        <v>14.02</v>
      </c>
      <c r="E37" s="286">
        <v>0</v>
      </c>
      <c r="F37" s="286">
        <v>1.01</v>
      </c>
      <c r="G37" s="286">
        <v>1.7</v>
      </c>
      <c r="H37" s="286">
        <v>2.2200000000000002</v>
      </c>
      <c r="I37" s="286">
        <v>1.94</v>
      </c>
      <c r="J37" s="286">
        <v>434</v>
      </c>
      <c r="K37" s="286">
        <v>0.75</v>
      </c>
      <c r="L37" s="286">
        <v>8.06</v>
      </c>
      <c r="M37" s="286" t="s">
        <v>1166</v>
      </c>
    </row>
    <row r="38" spans="1:13" x14ac:dyDescent="0.25">
      <c r="A38" s="287" t="s">
        <v>117</v>
      </c>
      <c r="B38" s="286">
        <v>4.74</v>
      </c>
      <c r="C38" s="286">
        <v>0</v>
      </c>
      <c r="D38" s="286">
        <v>0</v>
      </c>
      <c r="E38" s="286">
        <v>0</v>
      </c>
      <c r="F38" s="286">
        <v>0</v>
      </c>
      <c r="G38" s="286">
        <v>0</v>
      </c>
      <c r="H38" s="286">
        <v>0</v>
      </c>
      <c r="I38" s="286">
        <v>1.99</v>
      </c>
      <c r="J38" s="286">
        <v>83</v>
      </c>
      <c r="K38" s="286">
        <v>0</v>
      </c>
      <c r="L38" s="286">
        <v>0</v>
      </c>
      <c r="M38" s="286" t="s">
        <v>62</v>
      </c>
    </row>
    <row r="39" spans="1:13" x14ac:dyDescent="0.25">
      <c r="A39" s="287" t="s">
        <v>1174</v>
      </c>
      <c r="B39" s="286">
        <v>8</v>
      </c>
      <c r="C39" s="286">
        <v>13.4</v>
      </c>
      <c r="D39" s="286">
        <v>14.73</v>
      </c>
      <c r="E39" s="286">
        <v>0</v>
      </c>
      <c r="F39" s="286">
        <v>0.44</v>
      </c>
      <c r="G39" s="286">
        <v>0.74</v>
      </c>
      <c r="H39" s="286">
        <v>-3.53</v>
      </c>
      <c r="I39" s="286">
        <v>2.29</v>
      </c>
      <c r="J39" s="286">
        <v>86</v>
      </c>
      <c r="K39" s="286">
        <v>0.86</v>
      </c>
      <c r="L39" s="286">
        <v>10.78</v>
      </c>
      <c r="M39" s="286" t="s">
        <v>65</v>
      </c>
    </row>
    <row r="40" spans="1:13" x14ac:dyDescent="0.25">
      <c r="A40" s="287" t="s">
        <v>1175</v>
      </c>
      <c r="B40" s="286">
        <v>7.51</v>
      </c>
      <c r="C40" s="286">
        <v>8.77</v>
      </c>
      <c r="D40" s="286">
        <v>8.58</v>
      </c>
      <c r="E40" s="286">
        <v>6.93</v>
      </c>
      <c r="F40" s="286">
        <v>0.4</v>
      </c>
      <c r="G40" s="286">
        <v>0.72</v>
      </c>
      <c r="H40" s="286">
        <v>-1.98</v>
      </c>
      <c r="I40" s="286">
        <v>2.19</v>
      </c>
      <c r="J40" s="286">
        <v>16</v>
      </c>
      <c r="K40" s="286">
        <v>0.99</v>
      </c>
      <c r="L40" s="286">
        <v>4.1100000000000003</v>
      </c>
      <c r="M40" s="286" t="s">
        <v>58</v>
      </c>
    </row>
    <row r="41" spans="1:13" x14ac:dyDescent="0.25">
      <c r="A41" s="287" t="s">
        <v>118</v>
      </c>
      <c r="B41" s="286">
        <v>0</v>
      </c>
      <c r="C41" s="286">
        <v>0</v>
      </c>
      <c r="D41" s="286">
        <v>0</v>
      </c>
      <c r="E41" s="286">
        <v>0</v>
      </c>
      <c r="F41" s="286">
        <v>0</v>
      </c>
      <c r="G41" s="286">
        <v>0</v>
      </c>
      <c r="H41" s="286">
        <v>0</v>
      </c>
      <c r="I41" s="286">
        <v>1.86</v>
      </c>
      <c r="J41" s="286">
        <v>0</v>
      </c>
      <c r="K41" s="286">
        <v>0</v>
      </c>
      <c r="L41" s="286">
        <v>0</v>
      </c>
      <c r="M41" s="286" t="s">
        <v>1168</v>
      </c>
    </row>
    <row r="42" spans="1:13" x14ac:dyDescent="0.25">
      <c r="A42" s="287" t="s">
        <v>120</v>
      </c>
      <c r="B42" s="286">
        <v>5.35</v>
      </c>
      <c r="C42" s="286">
        <v>17.329999999999998</v>
      </c>
      <c r="D42" s="286">
        <v>16.46</v>
      </c>
      <c r="E42" s="286">
        <v>0</v>
      </c>
      <c r="F42" s="286">
        <v>0.52</v>
      </c>
      <c r="G42" s="286">
        <v>0.79</v>
      </c>
      <c r="H42" s="286">
        <v>-2.2400000000000002</v>
      </c>
      <c r="I42" s="286">
        <v>2.2200000000000002</v>
      </c>
      <c r="J42" s="286">
        <v>31</v>
      </c>
      <c r="K42" s="286">
        <v>0.94</v>
      </c>
      <c r="L42" s="286">
        <v>14.28</v>
      </c>
      <c r="M42" s="286" t="s">
        <v>1169</v>
      </c>
    </row>
    <row r="43" spans="1:13" x14ac:dyDescent="0.25">
      <c r="A43" s="287" t="s">
        <v>121</v>
      </c>
      <c r="B43" s="286">
        <v>7.26</v>
      </c>
      <c r="C43" s="286">
        <v>18.989999999999998</v>
      </c>
      <c r="D43" s="286">
        <v>18.73</v>
      </c>
      <c r="E43" s="286">
        <v>0</v>
      </c>
      <c r="F43" s="286">
        <v>0.64</v>
      </c>
      <c r="G43" s="286">
        <v>0.9</v>
      </c>
      <c r="H43" s="286">
        <v>-1.74</v>
      </c>
      <c r="I43" s="286">
        <v>1.71</v>
      </c>
      <c r="J43" s="286">
        <v>21</v>
      </c>
      <c r="K43" s="286">
        <v>0.96</v>
      </c>
      <c r="L43" s="286">
        <v>14.62</v>
      </c>
      <c r="M43" s="286" t="s">
        <v>55</v>
      </c>
    </row>
    <row r="44" spans="1:13" x14ac:dyDescent="0.25">
      <c r="A44" s="287" t="s">
        <v>122</v>
      </c>
      <c r="B44" s="286">
        <v>7.48</v>
      </c>
      <c r="C44" s="286">
        <v>14.82</v>
      </c>
      <c r="D44" s="286">
        <v>15.64</v>
      </c>
      <c r="E44" s="286">
        <v>11.96</v>
      </c>
      <c r="F44" s="286">
        <v>0.36</v>
      </c>
      <c r="G44" s="286">
        <v>0.61</v>
      </c>
      <c r="H44" s="286">
        <v>-5.72</v>
      </c>
      <c r="I44" s="286">
        <v>1.74</v>
      </c>
      <c r="J44" s="286">
        <v>30</v>
      </c>
      <c r="K44" s="286">
        <v>0.99</v>
      </c>
      <c r="L44" s="286">
        <v>15.7</v>
      </c>
      <c r="M44" s="286" t="s">
        <v>55</v>
      </c>
    </row>
    <row r="45" spans="1:13" x14ac:dyDescent="0.25">
      <c r="A45" s="287" t="s">
        <v>123</v>
      </c>
      <c r="B45" s="286">
        <v>-0.87</v>
      </c>
      <c r="C45" s="286">
        <v>0</v>
      </c>
      <c r="D45" s="286">
        <v>0</v>
      </c>
      <c r="E45" s="286">
        <v>0</v>
      </c>
      <c r="F45" s="286">
        <v>0</v>
      </c>
      <c r="G45" s="286">
        <v>0</v>
      </c>
      <c r="H45" s="286">
        <v>0</v>
      </c>
      <c r="I45" s="286">
        <v>1.81</v>
      </c>
      <c r="J45" s="286">
        <v>53</v>
      </c>
      <c r="K45" s="286">
        <v>0</v>
      </c>
      <c r="L45" s="286">
        <v>0</v>
      </c>
      <c r="M45" s="286" t="s">
        <v>58</v>
      </c>
    </row>
    <row r="46" spans="1:13" x14ac:dyDescent="0.25">
      <c r="A46" s="287" t="s">
        <v>124</v>
      </c>
      <c r="B46" s="286">
        <v>5.51</v>
      </c>
      <c r="C46" s="286">
        <v>19.350000000000001</v>
      </c>
      <c r="D46" s="286">
        <v>0</v>
      </c>
      <c r="E46" s="286">
        <v>0</v>
      </c>
      <c r="F46" s="286">
        <v>0.68</v>
      </c>
      <c r="G46" s="286">
        <v>0.93</v>
      </c>
      <c r="H46" s="286">
        <v>-0.41</v>
      </c>
      <c r="I46" s="286">
        <v>2.25</v>
      </c>
      <c r="J46" s="286">
        <v>32</v>
      </c>
      <c r="K46" s="286">
        <v>0.86</v>
      </c>
      <c r="L46" s="286">
        <v>14.04</v>
      </c>
      <c r="M46" s="286" t="s">
        <v>58</v>
      </c>
    </row>
    <row r="47" spans="1:13" x14ac:dyDescent="0.25">
      <c r="A47" s="287" t="s">
        <v>125</v>
      </c>
      <c r="B47" s="286">
        <v>5.44</v>
      </c>
      <c r="C47" s="286">
        <v>16.13</v>
      </c>
      <c r="D47" s="286">
        <v>16.38</v>
      </c>
      <c r="E47" s="286">
        <v>12.22</v>
      </c>
      <c r="F47" s="286">
        <v>0.51</v>
      </c>
      <c r="G47" s="286">
        <v>0.85</v>
      </c>
      <c r="H47" s="286">
        <v>-2.78</v>
      </c>
      <c r="I47" s="286">
        <v>1.57</v>
      </c>
      <c r="J47" s="286">
        <v>89</v>
      </c>
      <c r="K47" s="286">
        <v>0.93</v>
      </c>
      <c r="L47" s="286">
        <v>13.3</v>
      </c>
      <c r="M47" s="286" t="s">
        <v>65</v>
      </c>
    </row>
    <row r="48" spans="1:13" x14ac:dyDescent="0.25">
      <c r="A48" s="287" t="s">
        <v>126</v>
      </c>
      <c r="B48" s="286">
        <v>6.47</v>
      </c>
      <c r="C48" s="286">
        <v>22.63</v>
      </c>
      <c r="D48" s="286">
        <v>23.85</v>
      </c>
      <c r="E48" s="286">
        <v>0</v>
      </c>
      <c r="F48" s="286">
        <v>0.88</v>
      </c>
      <c r="G48" s="286">
        <v>1.32</v>
      </c>
      <c r="H48" s="286">
        <v>2.71</v>
      </c>
      <c r="I48" s="286">
        <v>1.68</v>
      </c>
      <c r="J48" s="286">
        <v>58</v>
      </c>
      <c r="K48" s="286">
        <v>0.88</v>
      </c>
      <c r="L48" s="286">
        <v>14.14</v>
      </c>
      <c r="M48" s="286" t="s">
        <v>71</v>
      </c>
    </row>
    <row r="49" spans="1:13" x14ac:dyDescent="0.25">
      <c r="A49" s="287" t="s">
        <v>127</v>
      </c>
      <c r="B49" s="286">
        <v>5.61</v>
      </c>
      <c r="C49" s="286">
        <v>24.2</v>
      </c>
      <c r="D49" s="286">
        <v>24.64</v>
      </c>
      <c r="E49" s="286">
        <v>16.07</v>
      </c>
      <c r="F49" s="286">
        <v>0.88</v>
      </c>
      <c r="G49" s="286">
        <v>1.23</v>
      </c>
      <c r="H49" s="286">
        <v>-1.78</v>
      </c>
      <c r="I49" s="286">
        <v>1.57</v>
      </c>
      <c r="J49" s="286">
        <v>43</v>
      </c>
      <c r="K49" s="286">
        <v>0.85</v>
      </c>
      <c r="L49" s="286">
        <v>15.55</v>
      </c>
      <c r="M49" s="286" t="s">
        <v>84</v>
      </c>
    </row>
    <row r="50" spans="1:13" x14ac:dyDescent="0.25">
      <c r="A50" s="287" t="s">
        <v>128</v>
      </c>
      <c r="B50" s="286">
        <v>0</v>
      </c>
      <c r="C50" s="286">
        <v>0</v>
      </c>
      <c r="D50" s="286">
        <v>0</v>
      </c>
      <c r="E50" s="286">
        <v>0</v>
      </c>
      <c r="F50" s="286">
        <v>0</v>
      </c>
      <c r="G50" s="286">
        <v>0</v>
      </c>
      <c r="H50" s="286">
        <v>0</v>
      </c>
      <c r="I50" s="286">
        <v>2.11</v>
      </c>
      <c r="J50" s="286">
        <v>0</v>
      </c>
      <c r="K50" s="286">
        <v>0</v>
      </c>
      <c r="L50" s="286">
        <v>0</v>
      </c>
      <c r="M50" s="286" t="s">
        <v>58</v>
      </c>
    </row>
    <row r="51" spans="1:13" x14ac:dyDescent="0.25">
      <c r="A51" s="287" t="s">
        <v>129</v>
      </c>
      <c r="B51" s="286">
        <v>8.76</v>
      </c>
      <c r="C51" s="286">
        <v>14.06</v>
      </c>
      <c r="D51" s="286">
        <v>14.79</v>
      </c>
      <c r="E51" s="286">
        <v>10.18</v>
      </c>
      <c r="F51" s="286">
        <v>0.52</v>
      </c>
      <c r="G51" s="286">
        <v>0.99</v>
      </c>
      <c r="H51" s="286">
        <v>-3.51</v>
      </c>
      <c r="I51" s="286">
        <v>2.08</v>
      </c>
      <c r="J51" s="286">
        <v>115</v>
      </c>
      <c r="K51" s="286">
        <v>0.98</v>
      </c>
      <c r="L51" s="286">
        <v>10</v>
      </c>
      <c r="M51" s="286" t="s">
        <v>60</v>
      </c>
    </row>
    <row r="52" spans="1:13" x14ac:dyDescent="0.25">
      <c r="A52" s="287" t="s">
        <v>130</v>
      </c>
      <c r="B52" s="286">
        <v>8.5399999999999991</v>
      </c>
      <c r="C52" s="286">
        <v>27.54</v>
      </c>
      <c r="D52" s="286">
        <v>0</v>
      </c>
      <c r="E52" s="286">
        <v>0</v>
      </c>
      <c r="F52" s="286">
        <v>1.1200000000000001</v>
      </c>
      <c r="G52" s="286">
        <v>1.49</v>
      </c>
      <c r="H52" s="286">
        <v>3.3</v>
      </c>
      <c r="I52" s="286">
        <v>1.79</v>
      </c>
      <c r="J52" s="286">
        <v>46</v>
      </c>
      <c r="K52" s="286">
        <v>0.91</v>
      </c>
      <c r="L52" s="286">
        <v>14.9</v>
      </c>
      <c r="M52" s="286" t="s">
        <v>89</v>
      </c>
    </row>
    <row r="53" spans="1:13" x14ac:dyDescent="0.25">
      <c r="A53" s="287" t="s">
        <v>140</v>
      </c>
      <c r="B53" s="286">
        <v>-2.14</v>
      </c>
      <c r="C53" s="286">
        <v>19.059999999999999</v>
      </c>
      <c r="D53" s="286">
        <v>0</v>
      </c>
      <c r="E53" s="286">
        <v>0</v>
      </c>
      <c r="F53" s="286">
        <v>0.61</v>
      </c>
      <c r="G53" s="286">
        <v>0.86</v>
      </c>
      <c r="H53" s="286">
        <v>-2.21</v>
      </c>
      <c r="I53" s="286">
        <v>2.2200000000000002</v>
      </c>
      <c r="J53" s="286">
        <v>139</v>
      </c>
      <c r="K53" s="286">
        <v>0.97</v>
      </c>
      <c r="L53" s="286">
        <v>14.8</v>
      </c>
      <c r="M53" s="286" t="s">
        <v>65</v>
      </c>
    </row>
    <row r="54" spans="1:13" x14ac:dyDescent="0.25">
      <c r="A54" s="287" t="s">
        <v>1176</v>
      </c>
      <c r="B54" s="286">
        <v>7.38</v>
      </c>
      <c r="C54" s="286">
        <v>17.36</v>
      </c>
      <c r="D54" s="286">
        <v>14.76</v>
      </c>
      <c r="E54" s="286">
        <v>0</v>
      </c>
      <c r="F54" s="286">
        <v>0.74</v>
      </c>
      <c r="G54" s="286">
        <v>1.1599999999999999</v>
      </c>
      <c r="H54" s="286">
        <v>-0.23</v>
      </c>
      <c r="I54" s="286">
        <v>2.29</v>
      </c>
      <c r="J54" s="286">
        <v>0</v>
      </c>
      <c r="K54" s="286">
        <v>0.93</v>
      </c>
      <c r="L54" s="286">
        <v>11.85</v>
      </c>
      <c r="M54" s="286" t="s">
        <v>55</v>
      </c>
    </row>
    <row r="55" spans="1:13" x14ac:dyDescent="0.25">
      <c r="A55" s="287" t="s">
        <v>1177</v>
      </c>
      <c r="B55" s="286">
        <v>6.4</v>
      </c>
      <c r="C55" s="286">
        <v>10.44</v>
      </c>
      <c r="D55" s="286">
        <v>9.49</v>
      </c>
      <c r="E55" s="286">
        <v>0</v>
      </c>
      <c r="F55" s="286">
        <v>0.52</v>
      </c>
      <c r="G55" s="286">
        <v>0.84</v>
      </c>
      <c r="H55" s="286">
        <v>-2.1</v>
      </c>
      <c r="I55" s="286">
        <v>2.15</v>
      </c>
      <c r="J55" s="286">
        <v>0</v>
      </c>
      <c r="K55" s="286">
        <v>1.44</v>
      </c>
      <c r="L55" s="286">
        <v>6.17</v>
      </c>
      <c r="M55" s="286" t="s">
        <v>55</v>
      </c>
    </row>
    <row r="56" spans="1:13" x14ac:dyDescent="0.25">
      <c r="A56" s="287" t="s">
        <v>141</v>
      </c>
      <c r="B56" s="286">
        <v>7.07</v>
      </c>
      <c r="C56" s="286">
        <v>17.63</v>
      </c>
      <c r="D56" s="286">
        <v>15.44</v>
      </c>
      <c r="E56" s="286">
        <v>0</v>
      </c>
      <c r="F56" s="286">
        <v>0.75</v>
      </c>
      <c r="G56" s="286">
        <v>1.08</v>
      </c>
      <c r="H56" s="286">
        <v>0.41</v>
      </c>
      <c r="I56" s="286">
        <v>2.4300000000000002</v>
      </c>
      <c r="J56" s="286">
        <v>0</v>
      </c>
      <c r="K56" s="286">
        <v>1.1499999999999999</v>
      </c>
      <c r="L56" s="286">
        <v>12.64</v>
      </c>
      <c r="M56" s="286" t="s">
        <v>65</v>
      </c>
    </row>
    <row r="57" spans="1:13" x14ac:dyDescent="0.25">
      <c r="A57" s="287" t="s">
        <v>142</v>
      </c>
      <c r="B57" s="286">
        <v>8.2100000000000009</v>
      </c>
      <c r="C57" s="286">
        <v>24.63</v>
      </c>
      <c r="D57" s="286">
        <v>30.61</v>
      </c>
      <c r="E57" s="286">
        <v>18.77</v>
      </c>
      <c r="F57" s="286">
        <v>1.01</v>
      </c>
      <c r="G57" s="286">
        <v>1.36</v>
      </c>
      <c r="H57" s="286">
        <v>1.64</v>
      </c>
      <c r="I57" s="286">
        <v>1.6</v>
      </c>
      <c r="J57" s="286">
        <v>34</v>
      </c>
      <c r="K57" s="286">
        <v>0.71</v>
      </c>
      <c r="L57" s="286">
        <v>14.41</v>
      </c>
      <c r="M57" s="286" t="s">
        <v>84</v>
      </c>
    </row>
    <row r="58" spans="1:13" x14ac:dyDescent="0.25">
      <c r="A58" s="287" t="s">
        <v>143</v>
      </c>
      <c r="B58" s="286">
        <v>4.3899999999999997</v>
      </c>
      <c r="C58" s="286">
        <v>0</v>
      </c>
      <c r="D58" s="286">
        <v>0</v>
      </c>
      <c r="E58" s="286">
        <v>0</v>
      </c>
      <c r="F58" s="286">
        <v>0</v>
      </c>
      <c r="G58" s="286">
        <v>0</v>
      </c>
      <c r="H58" s="286">
        <v>0</v>
      </c>
      <c r="I58" s="286">
        <v>2.0499999999999998</v>
      </c>
      <c r="J58" s="286">
        <v>87</v>
      </c>
      <c r="K58" s="286">
        <v>0</v>
      </c>
      <c r="L58" s="286">
        <v>0</v>
      </c>
      <c r="M58" s="286" t="s">
        <v>65</v>
      </c>
    </row>
    <row r="59" spans="1:13" x14ac:dyDescent="0.25">
      <c r="A59" s="287" t="s">
        <v>144</v>
      </c>
      <c r="B59" s="286">
        <v>0</v>
      </c>
      <c r="C59" s="286">
        <v>0</v>
      </c>
      <c r="D59" s="286">
        <v>0</v>
      </c>
      <c r="E59" s="286">
        <v>0</v>
      </c>
      <c r="F59" s="286">
        <v>0</v>
      </c>
      <c r="G59" s="286">
        <v>0</v>
      </c>
      <c r="H59" s="286">
        <v>0</v>
      </c>
      <c r="I59" s="286">
        <v>2.33</v>
      </c>
      <c r="J59" s="286">
        <v>0</v>
      </c>
      <c r="K59" s="286">
        <v>0</v>
      </c>
      <c r="L59" s="286">
        <v>0</v>
      </c>
      <c r="M59" s="286" t="s">
        <v>103</v>
      </c>
    </row>
    <row r="60" spans="1:13" x14ac:dyDescent="0.25">
      <c r="A60" s="287" t="s">
        <v>145</v>
      </c>
      <c r="B60" s="286">
        <v>7.1</v>
      </c>
      <c r="C60" s="286">
        <v>0</v>
      </c>
      <c r="D60" s="286">
        <v>0</v>
      </c>
      <c r="E60" s="286">
        <v>0</v>
      </c>
      <c r="F60" s="286">
        <v>0</v>
      </c>
      <c r="G60" s="286">
        <v>0</v>
      </c>
      <c r="H60" s="286">
        <v>0</v>
      </c>
      <c r="I60" s="286">
        <v>1.83</v>
      </c>
      <c r="J60" s="286">
        <v>80</v>
      </c>
      <c r="K60" s="286">
        <v>0</v>
      </c>
      <c r="L60" s="286">
        <v>0</v>
      </c>
      <c r="M60" s="286" t="s">
        <v>58</v>
      </c>
    </row>
    <row r="61" spans="1:13" x14ac:dyDescent="0.25">
      <c r="A61" s="287" t="s">
        <v>146</v>
      </c>
      <c r="B61" s="286">
        <v>6.32</v>
      </c>
      <c r="C61" s="286">
        <v>0</v>
      </c>
      <c r="D61" s="286">
        <v>0</v>
      </c>
      <c r="E61" s="286">
        <v>0</v>
      </c>
      <c r="F61" s="286">
        <v>0</v>
      </c>
      <c r="G61" s="286">
        <v>0</v>
      </c>
      <c r="H61" s="286">
        <v>0</v>
      </c>
      <c r="I61" s="286">
        <v>2.02</v>
      </c>
      <c r="J61" s="286">
        <v>66</v>
      </c>
      <c r="K61" s="286">
        <v>0</v>
      </c>
      <c r="L61" s="286">
        <v>0</v>
      </c>
      <c r="M61" s="286" t="s">
        <v>1168</v>
      </c>
    </row>
    <row r="62" spans="1:13" x14ac:dyDescent="0.25">
      <c r="A62" s="287" t="s">
        <v>147</v>
      </c>
      <c r="B62" s="286">
        <v>0</v>
      </c>
      <c r="C62" s="286">
        <v>0</v>
      </c>
      <c r="D62" s="286">
        <v>0</v>
      </c>
      <c r="E62" s="286">
        <v>0</v>
      </c>
      <c r="F62" s="286">
        <v>0</v>
      </c>
      <c r="G62" s="286">
        <v>0</v>
      </c>
      <c r="H62" s="286">
        <v>0</v>
      </c>
      <c r="I62" s="286">
        <v>2.0699999999999998</v>
      </c>
      <c r="J62" s="286">
        <v>0</v>
      </c>
      <c r="K62" s="286">
        <v>0</v>
      </c>
      <c r="L62" s="286">
        <v>0</v>
      </c>
      <c r="M62" s="286" t="s">
        <v>1169</v>
      </c>
    </row>
    <row r="63" spans="1:13" x14ac:dyDescent="0.25">
      <c r="A63" s="287" t="s">
        <v>148</v>
      </c>
      <c r="B63" s="286">
        <v>7.66</v>
      </c>
      <c r="C63" s="286">
        <v>0</v>
      </c>
      <c r="D63" s="286">
        <v>0</v>
      </c>
      <c r="E63" s="286">
        <v>0</v>
      </c>
      <c r="F63" s="286">
        <v>0</v>
      </c>
      <c r="G63" s="286">
        <v>0</v>
      </c>
      <c r="H63" s="286">
        <v>0</v>
      </c>
      <c r="I63" s="286">
        <v>2.0299999999999998</v>
      </c>
      <c r="J63" s="286">
        <v>0</v>
      </c>
      <c r="K63" s="286">
        <v>0</v>
      </c>
      <c r="L63" s="286">
        <v>0</v>
      </c>
      <c r="M63" s="286" t="s">
        <v>62</v>
      </c>
    </row>
    <row r="64" spans="1:13" x14ac:dyDescent="0.25">
      <c r="A64" s="287" t="s">
        <v>149</v>
      </c>
      <c r="B64" s="286">
        <v>0</v>
      </c>
      <c r="C64" s="286">
        <v>0</v>
      </c>
      <c r="D64" s="286">
        <v>0</v>
      </c>
      <c r="E64" s="286">
        <v>0</v>
      </c>
      <c r="F64" s="286">
        <v>0</v>
      </c>
      <c r="G64" s="286">
        <v>0</v>
      </c>
      <c r="H64" s="286">
        <v>0</v>
      </c>
      <c r="I64" s="286">
        <v>2.2999999999999998</v>
      </c>
      <c r="J64" s="286">
        <v>0</v>
      </c>
      <c r="K64" s="286">
        <v>0</v>
      </c>
      <c r="L64" s="286">
        <v>0</v>
      </c>
      <c r="M64" s="286" t="s">
        <v>103</v>
      </c>
    </row>
    <row r="65" spans="1:13" x14ac:dyDescent="0.25">
      <c r="A65" s="287" t="s">
        <v>1178</v>
      </c>
      <c r="B65" s="286">
        <v>0</v>
      </c>
      <c r="C65" s="286">
        <v>0</v>
      </c>
      <c r="D65" s="286">
        <v>0</v>
      </c>
      <c r="E65" s="286">
        <v>0</v>
      </c>
      <c r="F65" s="286">
        <v>0</v>
      </c>
      <c r="G65" s="286">
        <v>0</v>
      </c>
      <c r="H65" s="286">
        <v>0</v>
      </c>
      <c r="I65" s="286">
        <v>0</v>
      </c>
      <c r="J65" s="286">
        <v>0</v>
      </c>
      <c r="K65" s="286">
        <v>0</v>
      </c>
      <c r="L65" s="286">
        <v>0</v>
      </c>
      <c r="M65" s="286" t="s">
        <v>1166</v>
      </c>
    </row>
    <row r="66" spans="1:13" x14ac:dyDescent="0.25">
      <c r="A66" s="287" t="s">
        <v>1179</v>
      </c>
      <c r="B66" s="286">
        <v>12.44</v>
      </c>
      <c r="C66" s="286">
        <v>18.559999999999999</v>
      </c>
      <c r="D66" s="286">
        <v>20.100000000000001</v>
      </c>
      <c r="E66" s="286">
        <v>0</v>
      </c>
      <c r="F66" s="286">
        <v>0.79</v>
      </c>
      <c r="G66" s="286">
        <v>1.1000000000000001</v>
      </c>
      <c r="H66" s="286">
        <v>0.42</v>
      </c>
      <c r="I66" s="286">
        <v>2.29</v>
      </c>
      <c r="J66" s="286">
        <v>105</v>
      </c>
      <c r="K66" s="286">
        <v>0.91</v>
      </c>
      <c r="L66" s="286">
        <v>11.65</v>
      </c>
      <c r="M66" s="286" t="s">
        <v>62</v>
      </c>
    </row>
    <row r="67" spans="1:13" x14ac:dyDescent="0.25">
      <c r="A67" s="287" t="s">
        <v>1180</v>
      </c>
      <c r="B67" s="286">
        <v>6.63</v>
      </c>
      <c r="C67" s="286">
        <v>16.75</v>
      </c>
      <c r="D67" s="286">
        <v>16.5</v>
      </c>
      <c r="E67" s="286">
        <v>9.85</v>
      </c>
      <c r="F67" s="286">
        <v>0.85</v>
      </c>
      <c r="G67" s="286">
        <v>1.35</v>
      </c>
      <c r="H67" s="286">
        <v>0.63</v>
      </c>
      <c r="I67" s="286">
        <v>1.22</v>
      </c>
      <c r="J67" s="286">
        <v>0</v>
      </c>
      <c r="K67" s="286">
        <v>0.77</v>
      </c>
      <c r="L67" s="286">
        <v>9.48</v>
      </c>
      <c r="M67" s="286" t="s">
        <v>55</v>
      </c>
    </row>
    <row r="68" spans="1:13" x14ac:dyDescent="0.25">
      <c r="A68" s="287" t="s">
        <v>1181</v>
      </c>
      <c r="B68" s="286">
        <v>7.48</v>
      </c>
      <c r="C68" s="286">
        <v>9.94</v>
      </c>
      <c r="D68" s="286">
        <v>8.44</v>
      </c>
      <c r="E68" s="286">
        <v>7.56</v>
      </c>
      <c r="F68" s="286">
        <v>0.74</v>
      </c>
      <c r="G68" s="286">
        <v>1.26</v>
      </c>
      <c r="H68" s="286">
        <v>-0.55000000000000004</v>
      </c>
      <c r="I68" s="286">
        <v>0.76</v>
      </c>
      <c r="J68" s="286">
        <v>0</v>
      </c>
      <c r="K68" s="286">
        <v>0.88</v>
      </c>
      <c r="L68" s="286">
        <v>3.63</v>
      </c>
      <c r="M68" s="286" t="s">
        <v>71</v>
      </c>
    </row>
    <row r="69" spans="1:13" x14ac:dyDescent="0.25">
      <c r="A69" s="287" t="s">
        <v>1182</v>
      </c>
      <c r="B69" s="286">
        <v>7.43</v>
      </c>
      <c r="C69" s="286">
        <v>13.76</v>
      </c>
      <c r="D69" s="286">
        <v>12.51</v>
      </c>
      <c r="E69" s="286">
        <v>8.92</v>
      </c>
      <c r="F69" s="286">
        <v>0.84</v>
      </c>
      <c r="G69" s="286">
        <v>1.28</v>
      </c>
      <c r="H69" s="286">
        <v>0.3</v>
      </c>
      <c r="I69" s="286">
        <v>1.03</v>
      </c>
      <c r="J69" s="286">
        <v>0</v>
      </c>
      <c r="K69" s="286">
        <v>0.68</v>
      </c>
      <c r="L69" s="286">
        <v>6.81</v>
      </c>
      <c r="M69" s="286" t="s">
        <v>65</v>
      </c>
    </row>
    <row r="70" spans="1:13" x14ac:dyDescent="0.25">
      <c r="A70" s="287" t="s">
        <v>153</v>
      </c>
      <c r="B70" s="286">
        <v>6.75</v>
      </c>
      <c r="C70" s="286">
        <v>13.32</v>
      </c>
      <c r="D70" s="286">
        <v>11.81</v>
      </c>
      <c r="E70" s="286">
        <v>8.4600000000000009</v>
      </c>
      <c r="F70" s="286">
        <v>0.69</v>
      </c>
      <c r="G70" s="286">
        <v>0.99</v>
      </c>
      <c r="H70" s="286">
        <v>-0.25</v>
      </c>
      <c r="I70" s="286">
        <v>2.02</v>
      </c>
      <c r="J70" s="286">
        <v>57</v>
      </c>
      <c r="K70" s="286">
        <v>0.69</v>
      </c>
      <c r="L70" s="286">
        <v>7.5</v>
      </c>
      <c r="M70" s="286" t="s">
        <v>60</v>
      </c>
    </row>
    <row r="71" spans="1:13" x14ac:dyDescent="0.25">
      <c r="A71" s="287" t="s">
        <v>155</v>
      </c>
      <c r="B71" s="286">
        <v>0</v>
      </c>
      <c r="C71" s="286">
        <v>0</v>
      </c>
      <c r="D71" s="286">
        <v>0</v>
      </c>
      <c r="E71" s="286">
        <v>0</v>
      </c>
      <c r="F71" s="286">
        <v>0</v>
      </c>
      <c r="G71" s="286">
        <v>0</v>
      </c>
      <c r="H71" s="286">
        <v>0</v>
      </c>
      <c r="I71" s="286">
        <v>2.0499999999999998</v>
      </c>
      <c r="J71" s="286">
        <v>0</v>
      </c>
      <c r="K71" s="286">
        <v>0</v>
      </c>
      <c r="L71" s="286">
        <v>0</v>
      </c>
      <c r="M71" s="286" t="s">
        <v>89</v>
      </c>
    </row>
    <row r="72" spans="1:13" x14ac:dyDescent="0.25">
      <c r="A72" s="287" t="s">
        <v>1183</v>
      </c>
      <c r="B72" s="286">
        <v>6.51</v>
      </c>
      <c r="C72" s="286">
        <v>8.27</v>
      </c>
      <c r="D72" s="286">
        <v>7.27</v>
      </c>
      <c r="E72" s="286">
        <v>6.78</v>
      </c>
      <c r="F72" s="286">
        <v>0.42</v>
      </c>
      <c r="G72" s="286">
        <v>0.66</v>
      </c>
      <c r="H72" s="286">
        <v>-1.8</v>
      </c>
      <c r="I72" s="286">
        <v>2.0099999999999998</v>
      </c>
      <c r="J72" s="286">
        <v>0</v>
      </c>
      <c r="K72" s="286">
        <v>0.94</v>
      </c>
      <c r="L72" s="286">
        <v>3.89</v>
      </c>
      <c r="M72" s="286" t="s">
        <v>65</v>
      </c>
    </row>
    <row r="73" spans="1:13" x14ac:dyDescent="0.25">
      <c r="A73" s="287" t="s">
        <v>156</v>
      </c>
      <c r="B73" s="286">
        <v>6.48</v>
      </c>
      <c r="C73" s="286">
        <v>20.77</v>
      </c>
      <c r="D73" s="286">
        <v>21.23</v>
      </c>
      <c r="E73" s="286">
        <v>11.35</v>
      </c>
      <c r="F73" s="286">
        <v>0.82</v>
      </c>
      <c r="G73" s="286">
        <v>1.33</v>
      </c>
      <c r="H73" s="286">
        <v>0.73</v>
      </c>
      <c r="I73" s="286">
        <v>1.86</v>
      </c>
      <c r="J73" s="286">
        <v>114</v>
      </c>
      <c r="K73" s="286">
        <v>0.88</v>
      </c>
      <c r="L73" s="286">
        <v>13.24</v>
      </c>
      <c r="M73" s="286" t="s">
        <v>65</v>
      </c>
    </row>
    <row r="74" spans="1:13" x14ac:dyDescent="0.25">
      <c r="A74" s="287" t="s">
        <v>157</v>
      </c>
      <c r="B74" s="286">
        <v>10.68</v>
      </c>
      <c r="C74" s="286">
        <v>22.59</v>
      </c>
      <c r="D74" s="286">
        <v>20.88</v>
      </c>
      <c r="E74" s="286">
        <v>12.24</v>
      </c>
      <c r="F74" s="286">
        <v>0.87</v>
      </c>
      <c r="G74" s="286">
        <v>1.27</v>
      </c>
      <c r="H74" s="286">
        <v>2.48</v>
      </c>
      <c r="I74" s="286">
        <v>2.09</v>
      </c>
      <c r="J74" s="286">
        <v>73</v>
      </c>
      <c r="K74" s="286">
        <v>0.9</v>
      </c>
      <c r="L74" s="286">
        <v>14.89</v>
      </c>
      <c r="M74" s="286" t="s">
        <v>103</v>
      </c>
    </row>
    <row r="75" spans="1:13" x14ac:dyDescent="0.25">
      <c r="A75" s="287" t="s">
        <v>158</v>
      </c>
      <c r="B75" s="286">
        <v>16.05</v>
      </c>
      <c r="C75" s="286">
        <v>0</v>
      </c>
      <c r="D75" s="286">
        <v>0</v>
      </c>
      <c r="E75" s="286">
        <v>0</v>
      </c>
      <c r="F75" s="286">
        <v>0</v>
      </c>
      <c r="G75" s="286">
        <v>0</v>
      </c>
      <c r="H75" s="286">
        <v>0</v>
      </c>
      <c r="I75" s="286">
        <v>2.08</v>
      </c>
      <c r="J75" s="286">
        <v>105</v>
      </c>
      <c r="K75" s="286">
        <v>0</v>
      </c>
      <c r="L75" s="286">
        <v>0</v>
      </c>
      <c r="M75" s="286" t="s">
        <v>1168</v>
      </c>
    </row>
    <row r="76" spans="1:13" x14ac:dyDescent="0.25">
      <c r="A76" s="287" t="s">
        <v>159</v>
      </c>
      <c r="B76" s="286">
        <v>6.13</v>
      </c>
      <c r="C76" s="286">
        <v>20.78</v>
      </c>
      <c r="D76" s="286">
        <v>20.6</v>
      </c>
      <c r="E76" s="286">
        <v>12.21</v>
      </c>
      <c r="F76" s="286">
        <v>0.79</v>
      </c>
      <c r="G76" s="286">
        <v>1.32</v>
      </c>
      <c r="H76" s="286">
        <v>0.94</v>
      </c>
      <c r="I76" s="286">
        <v>2.04</v>
      </c>
      <c r="J76" s="286">
        <v>87</v>
      </c>
      <c r="K76" s="286">
        <v>1</v>
      </c>
      <c r="L76" s="286">
        <v>14.13</v>
      </c>
      <c r="M76" s="286" t="s">
        <v>1166</v>
      </c>
    </row>
    <row r="77" spans="1:13" x14ac:dyDescent="0.25">
      <c r="A77" s="287" t="s">
        <v>160</v>
      </c>
      <c r="B77" s="286">
        <v>7.23</v>
      </c>
      <c r="C77" s="286">
        <v>29.25</v>
      </c>
      <c r="D77" s="286">
        <v>28.17</v>
      </c>
      <c r="E77" s="286">
        <v>15.42</v>
      </c>
      <c r="F77" s="286">
        <v>1.26</v>
      </c>
      <c r="G77" s="286">
        <v>1.82</v>
      </c>
      <c r="H77" s="286">
        <v>7.63</v>
      </c>
      <c r="I77" s="286">
        <v>1.74</v>
      </c>
      <c r="J77" s="286">
        <v>145</v>
      </c>
      <c r="K77" s="286">
        <v>0.95</v>
      </c>
      <c r="L77" s="286">
        <v>14.42</v>
      </c>
      <c r="M77" s="286" t="s">
        <v>1168</v>
      </c>
    </row>
    <row r="78" spans="1:13" x14ac:dyDescent="0.25">
      <c r="A78" s="287" t="s">
        <v>161</v>
      </c>
      <c r="B78" s="286">
        <v>3.28</v>
      </c>
      <c r="C78" s="286">
        <v>0</v>
      </c>
      <c r="D78" s="286">
        <v>0</v>
      </c>
      <c r="E78" s="286">
        <v>0</v>
      </c>
      <c r="F78" s="286">
        <v>0</v>
      </c>
      <c r="G78" s="286">
        <v>0</v>
      </c>
      <c r="H78" s="286">
        <v>0</v>
      </c>
      <c r="I78" s="286">
        <v>2.0699999999999998</v>
      </c>
      <c r="J78" s="286">
        <v>29</v>
      </c>
      <c r="K78" s="286">
        <v>0</v>
      </c>
      <c r="L78" s="286">
        <v>0</v>
      </c>
      <c r="M78" s="286" t="s">
        <v>1169</v>
      </c>
    </row>
    <row r="79" spans="1:13" x14ac:dyDescent="0.25">
      <c r="A79" s="287" t="s">
        <v>162</v>
      </c>
      <c r="B79" s="286">
        <v>9.94</v>
      </c>
      <c r="C79" s="286">
        <v>0</v>
      </c>
      <c r="D79" s="286">
        <v>0</v>
      </c>
      <c r="E79" s="286">
        <v>0</v>
      </c>
      <c r="F79" s="286">
        <v>0</v>
      </c>
      <c r="G79" s="286">
        <v>0</v>
      </c>
      <c r="H79" s="286">
        <v>0</v>
      </c>
      <c r="I79" s="286">
        <v>1.98</v>
      </c>
      <c r="J79" s="286">
        <v>51</v>
      </c>
      <c r="K79" s="286">
        <v>0</v>
      </c>
      <c r="L79" s="286">
        <v>0</v>
      </c>
      <c r="M79" s="286" t="s">
        <v>1164</v>
      </c>
    </row>
    <row r="80" spans="1:13" x14ac:dyDescent="0.25">
      <c r="A80" s="287" t="s">
        <v>163</v>
      </c>
      <c r="B80" s="286">
        <v>4.3</v>
      </c>
      <c r="C80" s="286">
        <v>23.87</v>
      </c>
      <c r="D80" s="286">
        <v>0</v>
      </c>
      <c r="E80" s="286">
        <v>0</v>
      </c>
      <c r="F80" s="286">
        <v>0.99</v>
      </c>
      <c r="G80" s="286">
        <v>1.49</v>
      </c>
      <c r="H80" s="286">
        <v>1.05</v>
      </c>
      <c r="I80" s="286">
        <v>1.95</v>
      </c>
      <c r="J80" s="286">
        <v>52</v>
      </c>
      <c r="K80" s="286">
        <v>0.86</v>
      </c>
      <c r="L80" s="286">
        <v>13.66</v>
      </c>
      <c r="M80" s="286" t="s">
        <v>62</v>
      </c>
    </row>
    <row r="81" spans="1:13" x14ac:dyDescent="0.25">
      <c r="A81" s="287" t="s">
        <v>1184</v>
      </c>
      <c r="B81" s="286">
        <v>5.28</v>
      </c>
      <c r="C81" s="286">
        <v>0</v>
      </c>
      <c r="D81" s="286">
        <v>0</v>
      </c>
      <c r="E81" s="286">
        <v>0</v>
      </c>
      <c r="F81" s="286">
        <v>0</v>
      </c>
      <c r="G81" s="286">
        <v>0</v>
      </c>
      <c r="H81" s="286">
        <v>0</v>
      </c>
      <c r="I81" s="286">
        <v>2.34</v>
      </c>
      <c r="J81" s="286">
        <v>1</v>
      </c>
      <c r="K81" s="286">
        <v>0</v>
      </c>
      <c r="L81" s="286">
        <v>0</v>
      </c>
      <c r="M81" s="286" t="s">
        <v>58</v>
      </c>
    </row>
    <row r="82" spans="1:13" x14ac:dyDescent="0.25">
      <c r="A82" s="287" t="s">
        <v>177</v>
      </c>
      <c r="B82" s="286">
        <v>14.33</v>
      </c>
      <c r="C82" s="286">
        <v>35.450000000000003</v>
      </c>
      <c r="D82" s="286">
        <v>35.840000000000003</v>
      </c>
      <c r="E82" s="286">
        <v>0</v>
      </c>
      <c r="F82" s="286">
        <v>1.29</v>
      </c>
      <c r="G82" s="286">
        <v>2.02</v>
      </c>
      <c r="H82" s="286">
        <v>7.06</v>
      </c>
      <c r="I82" s="286">
        <v>1.68</v>
      </c>
      <c r="J82" s="286">
        <v>45</v>
      </c>
      <c r="K82" s="286">
        <v>0.9</v>
      </c>
      <c r="L82" s="286">
        <v>18.170000000000002</v>
      </c>
      <c r="M82" s="286" t="s">
        <v>1169</v>
      </c>
    </row>
    <row r="83" spans="1:13" x14ac:dyDescent="0.25">
      <c r="A83" s="287" t="s">
        <v>178</v>
      </c>
      <c r="B83" s="286">
        <v>-4.1900000000000004</v>
      </c>
      <c r="C83" s="286">
        <v>0</v>
      </c>
      <c r="D83" s="286">
        <v>0</v>
      </c>
      <c r="E83" s="286">
        <v>0</v>
      </c>
      <c r="F83" s="286">
        <v>0</v>
      </c>
      <c r="G83" s="286">
        <v>0</v>
      </c>
      <c r="H83" s="286">
        <v>0</v>
      </c>
      <c r="I83" s="286">
        <v>2.4</v>
      </c>
      <c r="J83" s="286">
        <v>37</v>
      </c>
      <c r="K83" s="286">
        <v>0</v>
      </c>
      <c r="L83" s="286">
        <v>0</v>
      </c>
      <c r="M83" s="286" t="s">
        <v>55</v>
      </c>
    </row>
    <row r="84" spans="1:13" x14ac:dyDescent="0.25">
      <c r="A84" s="287" t="s">
        <v>179</v>
      </c>
      <c r="B84" s="286">
        <v>1.55</v>
      </c>
      <c r="C84" s="286">
        <v>13.79</v>
      </c>
      <c r="D84" s="286">
        <v>12.18</v>
      </c>
      <c r="E84" s="286">
        <v>7.34</v>
      </c>
      <c r="F84" s="286">
        <v>0.52</v>
      </c>
      <c r="G84" s="286">
        <v>1.02</v>
      </c>
      <c r="H84" s="286">
        <v>-2.16</v>
      </c>
      <c r="I84" s="286">
        <v>2.5099999999999998</v>
      </c>
      <c r="J84" s="286">
        <v>0</v>
      </c>
      <c r="K84" s="286">
        <v>0.95</v>
      </c>
      <c r="L84" s="286">
        <v>10.19</v>
      </c>
      <c r="M84" s="286" t="s">
        <v>55</v>
      </c>
    </row>
    <row r="85" spans="1:13" x14ac:dyDescent="0.25">
      <c r="A85" s="287" t="s">
        <v>180</v>
      </c>
      <c r="B85" s="286">
        <v>-1.35</v>
      </c>
      <c r="C85" s="286">
        <v>20.04</v>
      </c>
      <c r="D85" s="286">
        <v>0</v>
      </c>
      <c r="E85" s="286">
        <v>0</v>
      </c>
      <c r="F85" s="286">
        <v>0.69</v>
      </c>
      <c r="G85" s="286">
        <v>1.1299999999999999</v>
      </c>
      <c r="H85" s="286">
        <v>-0.3</v>
      </c>
      <c r="I85" s="286">
        <v>2.44</v>
      </c>
      <c r="J85" s="286">
        <v>58</v>
      </c>
      <c r="K85" s="286">
        <v>1.06</v>
      </c>
      <c r="L85" s="286">
        <v>15.33</v>
      </c>
      <c r="M85" s="286" t="s">
        <v>58</v>
      </c>
    </row>
    <row r="86" spans="1:13" x14ac:dyDescent="0.25">
      <c r="A86" s="287" t="s">
        <v>181</v>
      </c>
      <c r="B86" s="286">
        <v>0</v>
      </c>
      <c r="C86" s="286">
        <v>0</v>
      </c>
      <c r="D86" s="286">
        <v>0</v>
      </c>
      <c r="E86" s="286">
        <v>0</v>
      </c>
      <c r="F86" s="286">
        <v>0</v>
      </c>
      <c r="G86" s="286">
        <v>0</v>
      </c>
      <c r="H86" s="286">
        <v>0</v>
      </c>
      <c r="I86" s="286">
        <v>2.4500000000000002</v>
      </c>
      <c r="J86" s="286">
        <v>175</v>
      </c>
      <c r="K86" s="286">
        <v>0</v>
      </c>
      <c r="L86" s="286">
        <v>0</v>
      </c>
      <c r="M86" s="286" t="s">
        <v>65</v>
      </c>
    </row>
    <row r="87" spans="1:13" x14ac:dyDescent="0.25">
      <c r="A87" s="287" t="s">
        <v>1185</v>
      </c>
      <c r="B87" s="286">
        <v>4.24</v>
      </c>
      <c r="C87" s="286">
        <v>8.81</v>
      </c>
      <c r="D87" s="286">
        <v>12.33</v>
      </c>
      <c r="E87" s="286">
        <v>7.69</v>
      </c>
      <c r="F87" s="286">
        <v>0.47</v>
      </c>
      <c r="G87" s="286">
        <v>0.74</v>
      </c>
      <c r="H87" s="286">
        <v>-1.29</v>
      </c>
      <c r="I87" s="286">
        <v>2.23</v>
      </c>
      <c r="J87" s="286">
        <v>69</v>
      </c>
      <c r="K87" s="286">
        <v>0.85</v>
      </c>
      <c r="L87" s="286">
        <v>3.93</v>
      </c>
      <c r="M87" s="286" t="s">
        <v>71</v>
      </c>
    </row>
    <row r="88" spans="1:13" x14ac:dyDescent="0.25">
      <c r="A88" s="287" t="s">
        <v>182</v>
      </c>
      <c r="B88" s="286">
        <v>0</v>
      </c>
      <c r="C88" s="286">
        <v>0</v>
      </c>
      <c r="D88" s="286">
        <v>0</v>
      </c>
      <c r="E88" s="286">
        <v>0</v>
      </c>
      <c r="F88" s="286">
        <v>0</v>
      </c>
      <c r="G88" s="286">
        <v>0</v>
      </c>
      <c r="H88" s="286">
        <v>0</v>
      </c>
      <c r="I88" s="286">
        <v>2.46</v>
      </c>
      <c r="J88" s="286">
        <v>23</v>
      </c>
      <c r="K88" s="286">
        <v>0</v>
      </c>
      <c r="L88" s="286">
        <v>0</v>
      </c>
      <c r="M88" s="286" t="s">
        <v>84</v>
      </c>
    </row>
    <row r="89" spans="1:13" x14ac:dyDescent="0.25">
      <c r="A89" s="287" t="s">
        <v>183</v>
      </c>
      <c r="B89" s="286">
        <v>-1.0900000000000001</v>
      </c>
      <c r="C89" s="286">
        <v>27.01</v>
      </c>
      <c r="D89" s="286">
        <v>0</v>
      </c>
      <c r="E89" s="286">
        <v>0</v>
      </c>
      <c r="F89" s="286">
        <v>0.91</v>
      </c>
      <c r="G89" s="286">
        <v>1.35</v>
      </c>
      <c r="H89" s="286">
        <v>3.39</v>
      </c>
      <c r="I89" s="286">
        <v>1.99</v>
      </c>
      <c r="J89" s="286">
        <v>71</v>
      </c>
      <c r="K89" s="286">
        <v>1.1299999999999999</v>
      </c>
      <c r="L89" s="286">
        <v>18.12</v>
      </c>
      <c r="M89" s="286" t="s">
        <v>60</v>
      </c>
    </row>
    <row r="90" spans="1:13" x14ac:dyDescent="0.25">
      <c r="A90" s="287" t="s">
        <v>185</v>
      </c>
      <c r="B90" s="286">
        <v>0.89</v>
      </c>
      <c r="C90" s="286">
        <v>22.57</v>
      </c>
      <c r="D90" s="286">
        <v>23.08</v>
      </c>
      <c r="E90" s="286">
        <v>12.48</v>
      </c>
      <c r="F90" s="286">
        <v>0.83</v>
      </c>
      <c r="G90" s="286">
        <v>1.26</v>
      </c>
      <c r="H90" s="286">
        <v>1.51</v>
      </c>
      <c r="I90" s="286">
        <v>2.48</v>
      </c>
      <c r="J90" s="286">
        <v>72</v>
      </c>
      <c r="K90" s="286">
        <v>1.03</v>
      </c>
      <c r="L90" s="286">
        <v>15.43</v>
      </c>
      <c r="M90" s="286" t="s">
        <v>89</v>
      </c>
    </row>
    <row r="91" spans="1:13" x14ac:dyDescent="0.25">
      <c r="A91" s="287" t="s">
        <v>1186</v>
      </c>
      <c r="B91" s="286">
        <v>3.14</v>
      </c>
      <c r="C91" s="286">
        <v>24.07</v>
      </c>
      <c r="D91" s="286">
        <v>27.25</v>
      </c>
      <c r="E91" s="286">
        <v>0</v>
      </c>
      <c r="F91" s="286">
        <v>0.98</v>
      </c>
      <c r="G91" s="286">
        <v>1.26</v>
      </c>
      <c r="H91" s="286">
        <v>4.3899999999999997</v>
      </c>
      <c r="I91" s="286">
        <v>2.1800000000000002</v>
      </c>
      <c r="J91" s="286">
        <v>100</v>
      </c>
      <c r="K91" s="286">
        <v>1.04</v>
      </c>
      <c r="L91" s="286">
        <v>14.76</v>
      </c>
      <c r="M91" s="286" t="s">
        <v>65</v>
      </c>
    </row>
    <row r="92" spans="1:13" x14ac:dyDescent="0.25">
      <c r="A92" s="287" t="s">
        <v>186</v>
      </c>
      <c r="B92" s="286">
        <v>5.17</v>
      </c>
      <c r="C92" s="286">
        <v>0</v>
      </c>
      <c r="D92" s="286">
        <v>0</v>
      </c>
      <c r="E92" s="286">
        <v>0</v>
      </c>
      <c r="F92" s="286">
        <v>0</v>
      </c>
      <c r="G92" s="286">
        <v>0</v>
      </c>
      <c r="H92" s="286">
        <v>0</v>
      </c>
      <c r="I92" s="286">
        <v>2.04</v>
      </c>
      <c r="J92" s="286">
        <v>84</v>
      </c>
      <c r="K92" s="286">
        <v>0</v>
      </c>
      <c r="L92" s="286">
        <v>0</v>
      </c>
      <c r="M92" s="286" t="s">
        <v>65</v>
      </c>
    </row>
    <row r="93" spans="1:13" x14ac:dyDescent="0.25">
      <c r="A93" s="287" t="s">
        <v>187</v>
      </c>
      <c r="B93" s="286">
        <v>3.9</v>
      </c>
      <c r="C93" s="286">
        <v>0</v>
      </c>
      <c r="D93" s="286">
        <v>0</v>
      </c>
      <c r="E93" s="286">
        <v>0</v>
      </c>
      <c r="F93" s="286">
        <v>0</v>
      </c>
      <c r="G93" s="286">
        <v>0</v>
      </c>
      <c r="H93" s="286">
        <v>0</v>
      </c>
      <c r="I93" s="286">
        <v>2.31</v>
      </c>
      <c r="J93" s="286">
        <v>67</v>
      </c>
      <c r="K93" s="286">
        <v>0</v>
      </c>
      <c r="L93" s="286">
        <v>0</v>
      </c>
      <c r="M93" s="286" t="s">
        <v>71</v>
      </c>
    </row>
    <row r="94" spans="1:13" x14ac:dyDescent="0.25">
      <c r="A94" s="287" t="s">
        <v>188</v>
      </c>
      <c r="B94" s="286">
        <v>1.83</v>
      </c>
      <c r="C94" s="286">
        <v>27.05</v>
      </c>
      <c r="D94" s="286">
        <v>34.43</v>
      </c>
      <c r="E94" s="286">
        <v>0</v>
      </c>
      <c r="F94" s="286">
        <v>0.95</v>
      </c>
      <c r="G94" s="286">
        <v>1.27</v>
      </c>
      <c r="H94" s="286">
        <v>1.1599999999999999</v>
      </c>
      <c r="I94" s="286">
        <v>2.0299999999999998</v>
      </c>
      <c r="J94" s="286">
        <v>45</v>
      </c>
      <c r="K94" s="286">
        <v>0.89</v>
      </c>
      <c r="L94" s="286">
        <v>18.22</v>
      </c>
      <c r="M94" s="286" t="s">
        <v>71</v>
      </c>
    </row>
    <row r="95" spans="1:13" x14ac:dyDescent="0.25">
      <c r="A95" s="287" t="s">
        <v>1187</v>
      </c>
      <c r="B95" s="286">
        <v>4.88</v>
      </c>
      <c r="C95" s="286">
        <v>18.43</v>
      </c>
      <c r="D95" s="286">
        <v>18.2</v>
      </c>
      <c r="E95" s="286">
        <v>0</v>
      </c>
      <c r="F95" s="286">
        <v>0.94</v>
      </c>
      <c r="G95" s="286">
        <v>1.38</v>
      </c>
      <c r="H95" s="286">
        <v>1.6</v>
      </c>
      <c r="I95" s="286">
        <v>2.13</v>
      </c>
      <c r="J95" s="286">
        <v>90</v>
      </c>
      <c r="K95" s="286">
        <v>0.83</v>
      </c>
      <c r="L95" s="286">
        <v>10.15</v>
      </c>
      <c r="M95" s="286" t="s">
        <v>55</v>
      </c>
    </row>
    <row r="96" spans="1:13" x14ac:dyDescent="0.25">
      <c r="A96" s="287" t="s">
        <v>189</v>
      </c>
      <c r="B96" s="286">
        <v>8.6300000000000008</v>
      </c>
      <c r="C96" s="286">
        <v>18.309999999999999</v>
      </c>
      <c r="D96" s="286">
        <v>17.02</v>
      </c>
      <c r="E96" s="286">
        <v>0</v>
      </c>
      <c r="F96" s="286">
        <v>0.9</v>
      </c>
      <c r="G96" s="286">
        <v>1.3</v>
      </c>
      <c r="H96" s="286">
        <v>1.68</v>
      </c>
      <c r="I96" s="286">
        <v>1.89</v>
      </c>
      <c r="J96" s="286">
        <v>186</v>
      </c>
      <c r="K96" s="286">
        <v>0.94</v>
      </c>
      <c r="L96" s="286">
        <v>10.14</v>
      </c>
      <c r="M96" s="286" t="s">
        <v>65</v>
      </c>
    </row>
    <row r="97" spans="1:13" x14ac:dyDescent="0.25">
      <c r="A97" s="287" t="s">
        <v>190</v>
      </c>
      <c r="B97" s="286">
        <v>0.47</v>
      </c>
      <c r="C97" s="286">
        <v>21.9</v>
      </c>
      <c r="D97" s="286">
        <v>0</v>
      </c>
      <c r="E97" s="286">
        <v>0</v>
      </c>
      <c r="F97" s="286">
        <v>0.82</v>
      </c>
      <c r="G97" s="286">
        <v>1.2</v>
      </c>
      <c r="H97" s="286">
        <v>0.69</v>
      </c>
      <c r="I97" s="286">
        <v>2.38</v>
      </c>
      <c r="J97" s="286">
        <v>65</v>
      </c>
      <c r="K97" s="286">
        <v>1.02</v>
      </c>
      <c r="L97" s="286">
        <v>15.21</v>
      </c>
      <c r="M97" s="286" t="s">
        <v>55</v>
      </c>
    </row>
    <row r="98" spans="1:13" x14ac:dyDescent="0.25">
      <c r="A98" s="287" t="s">
        <v>191</v>
      </c>
      <c r="B98" s="286">
        <v>0</v>
      </c>
      <c r="C98" s="286">
        <v>0</v>
      </c>
      <c r="D98" s="286">
        <v>0</v>
      </c>
      <c r="E98" s="286">
        <v>0</v>
      </c>
      <c r="F98" s="286">
        <v>0</v>
      </c>
      <c r="G98" s="286">
        <v>0</v>
      </c>
      <c r="H98" s="286">
        <v>0</v>
      </c>
      <c r="I98" s="286">
        <v>2.34</v>
      </c>
      <c r="J98" s="286">
        <v>58</v>
      </c>
      <c r="K98" s="286">
        <v>0</v>
      </c>
      <c r="L98" s="286">
        <v>0</v>
      </c>
      <c r="M98" s="286" t="s">
        <v>71</v>
      </c>
    </row>
    <row r="99" spans="1:13" x14ac:dyDescent="0.25">
      <c r="A99" s="287" t="s">
        <v>1188</v>
      </c>
      <c r="B99" s="286">
        <v>6.85</v>
      </c>
      <c r="C99" s="286">
        <v>9.7799999999999994</v>
      </c>
      <c r="D99" s="286">
        <v>8.11</v>
      </c>
      <c r="E99" s="286">
        <v>7.36</v>
      </c>
      <c r="F99" s="286">
        <v>0.79</v>
      </c>
      <c r="G99" s="286">
        <v>1.0900000000000001</v>
      </c>
      <c r="H99" s="286">
        <v>-0.27</v>
      </c>
      <c r="I99" s="286">
        <v>2</v>
      </c>
      <c r="J99" s="286">
        <v>170</v>
      </c>
      <c r="K99" s="286">
        <v>0.84</v>
      </c>
      <c r="L99" s="286">
        <v>3.56</v>
      </c>
      <c r="M99" s="286" t="s">
        <v>84</v>
      </c>
    </row>
    <row r="100" spans="1:13" x14ac:dyDescent="0.25">
      <c r="A100" s="287" t="s">
        <v>192</v>
      </c>
      <c r="B100" s="286">
        <v>0</v>
      </c>
      <c r="C100" s="286">
        <v>0</v>
      </c>
      <c r="D100" s="286">
        <v>0</v>
      </c>
      <c r="E100" s="286">
        <v>0</v>
      </c>
      <c r="F100" s="286">
        <v>0</v>
      </c>
      <c r="G100" s="286">
        <v>0</v>
      </c>
      <c r="H100" s="286">
        <v>0</v>
      </c>
      <c r="I100" s="286">
        <v>2.17</v>
      </c>
      <c r="J100" s="286">
        <v>99</v>
      </c>
      <c r="K100" s="286">
        <v>0</v>
      </c>
      <c r="L100" s="286">
        <v>0</v>
      </c>
      <c r="M100" s="286" t="s">
        <v>65</v>
      </c>
    </row>
    <row r="101" spans="1:13" x14ac:dyDescent="0.25">
      <c r="A101" s="287" t="s">
        <v>193</v>
      </c>
      <c r="B101" s="286">
        <v>0</v>
      </c>
      <c r="C101" s="286">
        <v>0</v>
      </c>
      <c r="D101" s="286">
        <v>0</v>
      </c>
      <c r="E101" s="286">
        <v>0</v>
      </c>
      <c r="F101" s="286">
        <v>0</v>
      </c>
      <c r="G101" s="286">
        <v>0</v>
      </c>
      <c r="H101" s="286">
        <v>0</v>
      </c>
      <c r="I101" s="286">
        <v>2.2999999999999998</v>
      </c>
      <c r="J101" s="286">
        <v>22</v>
      </c>
      <c r="K101" s="286">
        <v>0</v>
      </c>
      <c r="L101" s="286">
        <v>0</v>
      </c>
      <c r="M101" s="286" t="s">
        <v>103</v>
      </c>
    </row>
    <row r="102" spans="1:13" x14ac:dyDescent="0.25">
      <c r="A102" s="287" t="s">
        <v>195</v>
      </c>
      <c r="B102" s="286">
        <v>3.55</v>
      </c>
      <c r="C102" s="286">
        <v>0</v>
      </c>
      <c r="D102" s="286">
        <v>0</v>
      </c>
      <c r="E102" s="286">
        <v>0</v>
      </c>
      <c r="F102" s="286">
        <v>0</v>
      </c>
      <c r="G102" s="286">
        <v>0</v>
      </c>
      <c r="H102" s="286">
        <v>0</v>
      </c>
      <c r="I102" s="286">
        <v>2.17</v>
      </c>
      <c r="J102" s="286">
        <v>85</v>
      </c>
      <c r="K102" s="286">
        <v>0</v>
      </c>
      <c r="L102" s="286">
        <v>0</v>
      </c>
      <c r="M102" s="286" t="s">
        <v>55</v>
      </c>
    </row>
    <row r="103" spans="1:13" x14ac:dyDescent="0.25">
      <c r="A103" s="287" t="s">
        <v>196</v>
      </c>
      <c r="B103" s="286">
        <v>-0.65</v>
      </c>
      <c r="C103" s="286">
        <v>19.43</v>
      </c>
      <c r="D103" s="286">
        <v>19.809999999999999</v>
      </c>
      <c r="E103" s="286">
        <v>0</v>
      </c>
      <c r="F103" s="286">
        <v>0.66</v>
      </c>
      <c r="G103" s="286">
        <v>0.86</v>
      </c>
      <c r="H103" s="286">
        <v>-1.35</v>
      </c>
      <c r="I103" s="286">
        <v>2.29</v>
      </c>
      <c r="J103" s="286">
        <v>171</v>
      </c>
      <c r="K103" s="286">
        <v>0.99</v>
      </c>
      <c r="L103" s="286">
        <v>15.32</v>
      </c>
      <c r="M103" s="286" t="s">
        <v>1168</v>
      </c>
    </row>
    <row r="104" spans="1:13" x14ac:dyDescent="0.25">
      <c r="A104" s="287" t="s">
        <v>197</v>
      </c>
      <c r="B104" s="286">
        <v>3.86</v>
      </c>
      <c r="C104" s="286">
        <v>20.41</v>
      </c>
      <c r="D104" s="286">
        <v>20.62</v>
      </c>
      <c r="E104" s="286">
        <v>0</v>
      </c>
      <c r="F104" s="286">
        <v>0.76</v>
      </c>
      <c r="G104" s="286">
        <v>1.08</v>
      </c>
      <c r="H104" s="286">
        <v>-0.31</v>
      </c>
      <c r="I104" s="286">
        <v>2.09</v>
      </c>
      <c r="J104" s="286">
        <v>61</v>
      </c>
      <c r="K104" s="286">
        <v>0.8</v>
      </c>
      <c r="L104" s="286">
        <v>14.79</v>
      </c>
      <c r="M104" s="286" t="s">
        <v>103</v>
      </c>
    </row>
    <row r="105" spans="1:13" x14ac:dyDescent="0.25">
      <c r="A105" s="287" t="s">
        <v>198</v>
      </c>
      <c r="B105" s="286">
        <v>3.95</v>
      </c>
      <c r="C105" s="286">
        <v>0</v>
      </c>
      <c r="D105" s="286">
        <v>0</v>
      </c>
      <c r="E105" s="286">
        <v>0</v>
      </c>
      <c r="F105" s="286">
        <v>0</v>
      </c>
      <c r="G105" s="286">
        <v>0</v>
      </c>
      <c r="H105" s="286">
        <v>0</v>
      </c>
      <c r="I105" s="286">
        <v>2.2599999999999998</v>
      </c>
      <c r="J105" s="286">
        <v>65</v>
      </c>
      <c r="K105" s="286">
        <v>0</v>
      </c>
      <c r="L105" s="286">
        <v>0</v>
      </c>
      <c r="M105" s="286" t="s">
        <v>58</v>
      </c>
    </row>
    <row r="106" spans="1:13" x14ac:dyDescent="0.25">
      <c r="A106" s="287" t="s">
        <v>199</v>
      </c>
      <c r="B106" s="286">
        <v>3.14</v>
      </c>
      <c r="C106" s="286">
        <v>20.88</v>
      </c>
      <c r="D106" s="286">
        <v>20.64</v>
      </c>
      <c r="E106" s="286">
        <v>12.57</v>
      </c>
      <c r="F106" s="286">
        <v>0.85</v>
      </c>
      <c r="G106" s="286">
        <v>1.31</v>
      </c>
      <c r="H106" s="286">
        <v>1.58</v>
      </c>
      <c r="I106" s="286">
        <v>1.98</v>
      </c>
      <c r="J106" s="286">
        <v>64</v>
      </c>
      <c r="K106" s="286">
        <v>0.95</v>
      </c>
      <c r="L106" s="286">
        <v>13.37</v>
      </c>
      <c r="M106" s="286" t="s">
        <v>1166</v>
      </c>
    </row>
    <row r="107" spans="1:13" x14ac:dyDescent="0.25">
      <c r="A107" s="287" t="s">
        <v>200</v>
      </c>
      <c r="B107" s="286">
        <v>4.55</v>
      </c>
      <c r="C107" s="286">
        <v>23.94</v>
      </c>
      <c r="D107" s="286">
        <v>0</v>
      </c>
      <c r="E107" s="286">
        <v>0</v>
      </c>
      <c r="F107" s="286">
        <v>0.93</v>
      </c>
      <c r="G107" s="286">
        <v>1.22</v>
      </c>
      <c r="H107" s="286">
        <v>3.16</v>
      </c>
      <c r="I107" s="286">
        <v>2.11</v>
      </c>
      <c r="J107" s="286">
        <v>86</v>
      </c>
      <c r="K107" s="286">
        <v>0.98</v>
      </c>
      <c r="L107" s="286">
        <v>14.99</v>
      </c>
      <c r="M107" s="286" t="s">
        <v>62</v>
      </c>
    </row>
    <row r="108" spans="1:13" x14ac:dyDescent="0.25">
      <c r="A108" s="287" t="s">
        <v>201</v>
      </c>
      <c r="B108" s="286">
        <v>0</v>
      </c>
      <c r="C108" s="286">
        <v>0</v>
      </c>
      <c r="D108" s="286">
        <v>0</v>
      </c>
      <c r="E108" s="286">
        <v>0</v>
      </c>
      <c r="F108" s="286">
        <v>0</v>
      </c>
      <c r="G108" s="286">
        <v>0</v>
      </c>
      <c r="H108" s="286">
        <v>0</v>
      </c>
      <c r="I108" s="286">
        <v>2.12</v>
      </c>
      <c r="J108" s="286">
        <v>58</v>
      </c>
      <c r="K108" s="286">
        <v>0</v>
      </c>
      <c r="L108" s="286">
        <v>0</v>
      </c>
      <c r="M108" s="286" t="s">
        <v>65</v>
      </c>
    </row>
    <row r="109" spans="1:13" x14ac:dyDescent="0.25">
      <c r="A109" s="287" t="s">
        <v>202</v>
      </c>
      <c r="B109" s="286">
        <v>1.63</v>
      </c>
      <c r="C109" s="286">
        <v>24.74</v>
      </c>
      <c r="D109" s="286">
        <v>27.12</v>
      </c>
      <c r="E109" s="286">
        <v>15.17</v>
      </c>
      <c r="F109" s="286">
        <v>1.03</v>
      </c>
      <c r="G109" s="286">
        <v>1.45</v>
      </c>
      <c r="H109" s="286">
        <v>-0.12</v>
      </c>
      <c r="I109" s="286">
        <v>2.0099999999999998</v>
      </c>
      <c r="J109" s="286">
        <v>96</v>
      </c>
      <c r="K109" s="286">
        <v>0.83</v>
      </c>
      <c r="L109" s="286">
        <v>14.39</v>
      </c>
      <c r="M109" s="286" t="s">
        <v>58</v>
      </c>
    </row>
    <row r="110" spans="1:13" x14ac:dyDescent="0.25">
      <c r="A110" s="287" t="s">
        <v>203</v>
      </c>
      <c r="B110" s="286">
        <v>0</v>
      </c>
      <c r="C110" s="286">
        <v>0</v>
      </c>
      <c r="D110" s="286">
        <v>0</v>
      </c>
      <c r="E110" s="286">
        <v>0</v>
      </c>
      <c r="F110" s="286">
        <v>0</v>
      </c>
      <c r="G110" s="286">
        <v>0</v>
      </c>
      <c r="H110" s="286">
        <v>0</v>
      </c>
      <c r="I110" s="286">
        <v>0</v>
      </c>
      <c r="J110" s="286">
        <v>0</v>
      </c>
      <c r="K110" s="286">
        <v>0</v>
      </c>
      <c r="L110" s="286">
        <v>0</v>
      </c>
      <c r="M110" s="286" t="s">
        <v>1169</v>
      </c>
    </row>
    <row r="111" spans="1:13" x14ac:dyDescent="0.25">
      <c r="A111" s="287" t="s">
        <v>204</v>
      </c>
      <c r="B111" s="286">
        <v>7.48</v>
      </c>
      <c r="C111" s="286">
        <v>0</v>
      </c>
      <c r="D111" s="286">
        <v>0</v>
      </c>
      <c r="E111" s="286">
        <v>0</v>
      </c>
      <c r="F111" s="286">
        <v>0</v>
      </c>
      <c r="G111" s="286">
        <v>0</v>
      </c>
      <c r="H111" s="286">
        <v>0</v>
      </c>
      <c r="I111" s="286">
        <v>2.11</v>
      </c>
      <c r="J111" s="286">
        <v>50</v>
      </c>
      <c r="K111" s="286">
        <v>0</v>
      </c>
      <c r="L111" s="286">
        <v>0</v>
      </c>
      <c r="M111" s="286" t="s">
        <v>55</v>
      </c>
    </row>
    <row r="112" spans="1:13" x14ac:dyDescent="0.25">
      <c r="A112" s="287" t="s">
        <v>205</v>
      </c>
      <c r="B112" s="286">
        <v>3.22</v>
      </c>
      <c r="C112" s="286">
        <v>23.97</v>
      </c>
      <c r="D112" s="286">
        <v>25.48</v>
      </c>
      <c r="E112" s="286">
        <v>14</v>
      </c>
      <c r="F112" s="286">
        <v>0.97</v>
      </c>
      <c r="G112" s="286">
        <v>1.2</v>
      </c>
      <c r="H112" s="286">
        <v>1.18</v>
      </c>
      <c r="I112" s="286">
        <v>1.99</v>
      </c>
      <c r="J112" s="286">
        <v>127</v>
      </c>
      <c r="K112" s="286">
        <v>0.88</v>
      </c>
      <c r="L112" s="286">
        <v>14.5</v>
      </c>
      <c r="M112" s="286" t="s">
        <v>71</v>
      </c>
    </row>
    <row r="113" spans="1:13" x14ac:dyDescent="0.25">
      <c r="A113" s="287" t="s">
        <v>1189</v>
      </c>
      <c r="B113" s="286">
        <v>7.23</v>
      </c>
      <c r="C113" s="286">
        <v>0</v>
      </c>
      <c r="D113" s="286">
        <v>0</v>
      </c>
      <c r="E113" s="286">
        <v>0</v>
      </c>
      <c r="F113" s="286">
        <v>0</v>
      </c>
      <c r="G113" s="286">
        <v>0</v>
      </c>
      <c r="H113" s="286">
        <v>0</v>
      </c>
      <c r="I113" s="286">
        <v>2.2999999999999998</v>
      </c>
      <c r="J113" s="286">
        <v>83</v>
      </c>
      <c r="K113" s="286">
        <v>0</v>
      </c>
      <c r="L113" s="286">
        <v>0</v>
      </c>
      <c r="M113" s="286" t="s">
        <v>1168</v>
      </c>
    </row>
    <row r="114" spans="1:13" x14ac:dyDescent="0.25">
      <c r="A114" s="287" t="s">
        <v>209</v>
      </c>
      <c r="B114" s="286">
        <v>-1.73</v>
      </c>
      <c r="C114" s="286">
        <v>0</v>
      </c>
      <c r="D114" s="286">
        <v>0</v>
      </c>
      <c r="E114" s="286">
        <v>0</v>
      </c>
      <c r="F114" s="286">
        <v>0</v>
      </c>
      <c r="G114" s="286">
        <v>0</v>
      </c>
      <c r="H114" s="286">
        <v>0</v>
      </c>
      <c r="I114" s="286">
        <v>2.16</v>
      </c>
      <c r="J114" s="286">
        <v>74</v>
      </c>
      <c r="K114" s="286">
        <v>0</v>
      </c>
      <c r="L114" s="286">
        <v>0</v>
      </c>
      <c r="M114" s="286" t="s">
        <v>60</v>
      </c>
    </row>
    <row r="115" spans="1:13" x14ac:dyDescent="0.25">
      <c r="A115" s="287" t="s">
        <v>211</v>
      </c>
      <c r="B115" s="286">
        <v>0</v>
      </c>
      <c r="C115" s="286">
        <v>0</v>
      </c>
      <c r="D115" s="286">
        <v>0</v>
      </c>
      <c r="E115" s="286">
        <v>0</v>
      </c>
      <c r="F115" s="286">
        <v>0</v>
      </c>
      <c r="G115" s="286">
        <v>0</v>
      </c>
      <c r="H115" s="286">
        <v>0</v>
      </c>
      <c r="I115" s="286">
        <v>2.09</v>
      </c>
      <c r="J115" s="286">
        <v>0</v>
      </c>
      <c r="K115" s="286">
        <v>0</v>
      </c>
      <c r="L115" s="286">
        <v>0</v>
      </c>
      <c r="M115" s="286" t="s">
        <v>89</v>
      </c>
    </row>
    <row r="116" spans="1:13" x14ac:dyDescent="0.25">
      <c r="A116" s="287" t="s">
        <v>1190</v>
      </c>
      <c r="B116" s="286">
        <v>7.98</v>
      </c>
      <c r="C116" s="286">
        <v>9.73</v>
      </c>
      <c r="D116" s="286">
        <v>9.25</v>
      </c>
      <c r="E116" s="286">
        <v>8.06</v>
      </c>
      <c r="F116" s="286">
        <v>0.73</v>
      </c>
      <c r="G116" s="286">
        <v>1.23</v>
      </c>
      <c r="H116" s="286">
        <v>-0.55000000000000004</v>
      </c>
      <c r="I116" s="286">
        <v>1.84</v>
      </c>
      <c r="J116" s="286">
        <v>145</v>
      </c>
      <c r="K116" s="286">
        <v>0.9</v>
      </c>
      <c r="L116" s="286">
        <v>3.77</v>
      </c>
      <c r="M116" s="286" t="s">
        <v>103</v>
      </c>
    </row>
    <row r="117" spans="1:13" x14ac:dyDescent="0.25">
      <c r="A117" s="287" t="s">
        <v>213</v>
      </c>
      <c r="B117" s="286">
        <v>6.96</v>
      </c>
      <c r="C117" s="286">
        <v>22.68</v>
      </c>
      <c r="D117" s="286">
        <v>23.81</v>
      </c>
      <c r="E117" s="286">
        <v>15.78</v>
      </c>
      <c r="F117" s="286">
        <v>0.88</v>
      </c>
      <c r="G117" s="286">
        <v>1.52</v>
      </c>
      <c r="H117" s="286">
        <v>1.49</v>
      </c>
      <c r="I117" s="286">
        <v>2.0699999999999998</v>
      </c>
      <c r="J117" s="286">
        <v>18</v>
      </c>
      <c r="K117" s="286">
        <v>0.8</v>
      </c>
      <c r="L117" s="286">
        <v>14.75</v>
      </c>
      <c r="M117" s="286" t="s">
        <v>1168</v>
      </c>
    </row>
    <row r="118" spans="1:13" x14ac:dyDescent="0.25">
      <c r="A118" s="287" t="s">
        <v>1191</v>
      </c>
      <c r="B118" s="286">
        <v>8.57</v>
      </c>
      <c r="C118" s="286">
        <v>17.68</v>
      </c>
      <c r="D118" s="286">
        <v>17.63</v>
      </c>
      <c r="E118" s="286">
        <v>12.59</v>
      </c>
      <c r="F118" s="286">
        <v>0.82</v>
      </c>
      <c r="G118" s="286">
        <v>1.26</v>
      </c>
      <c r="H118" s="286">
        <v>0.32</v>
      </c>
      <c r="I118" s="286">
        <v>1.72</v>
      </c>
      <c r="J118" s="286">
        <v>17</v>
      </c>
      <c r="K118" s="286">
        <v>0.86</v>
      </c>
      <c r="L118" s="286">
        <v>10.36</v>
      </c>
      <c r="M118" s="286" t="s">
        <v>1166</v>
      </c>
    </row>
    <row r="119" spans="1:13" x14ac:dyDescent="0.25">
      <c r="A119" s="287" t="s">
        <v>215</v>
      </c>
      <c r="B119" s="286">
        <v>7.85</v>
      </c>
      <c r="C119" s="286">
        <v>20.190000000000001</v>
      </c>
      <c r="D119" s="286">
        <v>21.4</v>
      </c>
      <c r="E119" s="286">
        <v>13.72</v>
      </c>
      <c r="F119" s="286">
        <v>0.75</v>
      </c>
      <c r="G119" s="286">
        <v>1.1499999999999999</v>
      </c>
      <c r="H119" s="286">
        <v>-0.37</v>
      </c>
      <c r="I119" s="286">
        <v>1.68</v>
      </c>
      <c r="J119" s="286">
        <v>28</v>
      </c>
      <c r="K119" s="286">
        <v>0.91</v>
      </c>
      <c r="L119" s="286">
        <v>13.46</v>
      </c>
      <c r="M119" s="286" t="s">
        <v>62</v>
      </c>
    </row>
    <row r="120" spans="1:13" x14ac:dyDescent="0.25">
      <c r="A120" s="287" t="s">
        <v>1192</v>
      </c>
      <c r="B120" s="286">
        <v>11.75</v>
      </c>
      <c r="C120" s="286">
        <v>23.12</v>
      </c>
      <c r="D120" s="286">
        <v>0</v>
      </c>
      <c r="E120" s="286">
        <v>0</v>
      </c>
      <c r="F120" s="286">
        <v>0.94</v>
      </c>
      <c r="G120" s="286">
        <v>1.45</v>
      </c>
      <c r="H120" s="286">
        <v>2.37</v>
      </c>
      <c r="I120" s="286">
        <v>1.93</v>
      </c>
      <c r="J120" s="286">
        <v>39</v>
      </c>
      <c r="K120" s="286">
        <v>0.89</v>
      </c>
      <c r="L120" s="286">
        <v>13.44</v>
      </c>
      <c r="M120" s="286" t="s">
        <v>58</v>
      </c>
    </row>
    <row r="121" spans="1:13" x14ac:dyDescent="0.25">
      <c r="A121" s="287" t="s">
        <v>1193</v>
      </c>
      <c r="B121" s="286">
        <v>7.04</v>
      </c>
      <c r="C121" s="286">
        <v>21.79</v>
      </c>
      <c r="D121" s="286">
        <v>24.1</v>
      </c>
      <c r="E121" s="286">
        <v>15.98</v>
      </c>
      <c r="F121" s="286">
        <v>0.82</v>
      </c>
      <c r="G121" s="286">
        <v>1.17</v>
      </c>
      <c r="H121" s="286">
        <v>1.31</v>
      </c>
      <c r="I121" s="286">
        <v>1.6</v>
      </c>
      <c r="J121" s="286">
        <v>51</v>
      </c>
      <c r="K121" s="286">
        <v>0.97</v>
      </c>
      <c r="L121" s="286">
        <v>14.62</v>
      </c>
      <c r="M121" s="286" t="s">
        <v>55</v>
      </c>
    </row>
    <row r="122" spans="1:13" x14ac:dyDescent="0.25">
      <c r="A122" s="287" t="s">
        <v>1194</v>
      </c>
      <c r="B122" s="286">
        <v>8.77</v>
      </c>
      <c r="C122" s="286">
        <v>20.29</v>
      </c>
      <c r="D122" s="286">
        <v>20.5</v>
      </c>
      <c r="E122" s="286">
        <v>13.83</v>
      </c>
      <c r="F122" s="286">
        <v>0.83</v>
      </c>
      <c r="G122" s="286">
        <v>1.33</v>
      </c>
      <c r="H122" s="286">
        <v>1.05</v>
      </c>
      <c r="I122" s="286">
        <v>1.65</v>
      </c>
      <c r="J122" s="286">
        <v>22</v>
      </c>
      <c r="K122" s="286">
        <v>0.9</v>
      </c>
      <c r="L122" s="286">
        <v>12.49</v>
      </c>
      <c r="M122" s="286" t="s">
        <v>1169</v>
      </c>
    </row>
    <row r="123" spans="1:13" x14ac:dyDescent="0.25">
      <c r="A123" s="287" t="s">
        <v>217</v>
      </c>
      <c r="B123" s="286">
        <v>-0.24</v>
      </c>
      <c r="C123" s="286">
        <v>0</v>
      </c>
      <c r="D123" s="286">
        <v>0</v>
      </c>
      <c r="E123" s="286">
        <v>0</v>
      </c>
      <c r="F123" s="286">
        <v>0</v>
      </c>
      <c r="G123" s="286">
        <v>0</v>
      </c>
      <c r="H123" s="286">
        <v>0</v>
      </c>
      <c r="I123" s="286">
        <v>2.08</v>
      </c>
      <c r="J123" s="286">
        <v>0</v>
      </c>
      <c r="K123" s="286">
        <v>0</v>
      </c>
      <c r="L123" s="286">
        <v>0</v>
      </c>
      <c r="M123" s="286" t="s">
        <v>55</v>
      </c>
    </row>
    <row r="124" spans="1:13" x14ac:dyDescent="0.25">
      <c r="A124" s="287" t="s">
        <v>218</v>
      </c>
      <c r="B124" s="286">
        <v>7.05</v>
      </c>
      <c r="C124" s="286">
        <v>0</v>
      </c>
      <c r="D124" s="286">
        <v>0</v>
      </c>
      <c r="E124" s="286">
        <v>0</v>
      </c>
      <c r="F124" s="286">
        <v>0</v>
      </c>
      <c r="G124" s="286">
        <v>0</v>
      </c>
      <c r="H124" s="286">
        <v>0</v>
      </c>
      <c r="I124" s="286">
        <v>1.93</v>
      </c>
      <c r="J124" s="286">
        <v>0</v>
      </c>
      <c r="K124" s="286">
        <v>0</v>
      </c>
      <c r="L124" s="286">
        <v>0</v>
      </c>
      <c r="M124" s="286" t="s">
        <v>55</v>
      </c>
    </row>
    <row r="125" spans="1:13" x14ac:dyDescent="0.25">
      <c r="A125" s="287" t="s">
        <v>219</v>
      </c>
      <c r="B125" s="286">
        <v>0</v>
      </c>
      <c r="C125" s="286">
        <v>0</v>
      </c>
      <c r="D125" s="286">
        <v>0</v>
      </c>
      <c r="E125" s="286">
        <v>0</v>
      </c>
      <c r="F125" s="286">
        <v>0</v>
      </c>
      <c r="G125" s="286">
        <v>0</v>
      </c>
      <c r="H125" s="286">
        <v>0</v>
      </c>
      <c r="I125" s="286">
        <v>0</v>
      </c>
      <c r="J125" s="286">
        <v>0</v>
      </c>
      <c r="K125" s="286">
        <v>0</v>
      </c>
      <c r="L125" s="286">
        <v>0</v>
      </c>
      <c r="M125" s="286" t="s">
        <v>58</v>
      </c>
    </row>
    <row r="126" spans="1:13" x14ac:dyDescent="0.25">
      <c r="A126" s="287" t="s">
        <v>220</v>
      </c>
      <c r="B126" s="286">
        <v>7.54</v>
      </c>
      <c r="C126" s="286">
        <v>0</v>
      </c>
      <c r="D126" s="286">
        <v>0</v>
      </c>
      <c r="E126" s="286">
        <v>0</v>
      </c>
      <c r="F126" s="286">
        <v>0</v>
      </c>
      <c r="G126" s="286">
        <v>0</v>
      </c>
      <c r="H126" s="286">
        <v>0</v>
      </c>
      <c r="I126" s="286">
        <v>1.84</v>
      </c>
      <c r="J126" s="286">
        <v>0</v>
      </c>
      <c r="K126" s="286">
        <v>0</v>
      </c>
      <c r="L126" s="286">
        <v>0</v>
      </c>
      <c r="M126" s="286" t="s">
        <v>65</v>
      </c>
    </row>
    <row r="127" spans="1:13" x14ac:dyDescent="0.25">
      <c r="A127" s="287" t="s">
        <v>221</v>
      </c>
      <c r="B127" s="286">
        <v>1.03</v>
      </c>
      <c r="C127" s="286">
        <v>22.47</v>
      </c>
      <c r="D127" s="286">
        <v>33.5</v>
      </c>
      <c r="E127" s="286">
        <v>0</v>
      </c>
      <c r="F127" s="286">
        <v>0.74</v>
      </c>
      <c r="G127" s="286">
        <v>0.98</v>
      </c>
      <c r="H127" s="286">
        <v>-2.66</v>
      </c>
      <c r="I127" s="286">
        <v>1.68</v>
      </c>
      <c r="J127" s="286">
        <v>28</v>
      </c>
      <c r="K127" s="286">
        <v>0.8</v>
      </c>
      <c r="L127" s="286">
        <v>16.23</v>
      </c>
      <c r="M127" s="286" t="s">
        <v>71</v>
      </c>
    </row>
    <row r="128" spans="1:13" x14ac:dyDescent="0.25">
      <c r="A128" s="287" t="s">
        <v>1195</v>
      </c>
      <c r="B128" s="286">
        <v>11.07</v>
      </c>
      <c r="C128" s="286">
        <v>20.47</v>
      </c>
      <c r="D128" s="286">
        <v>18.77</v>
      </c>
      <c r="E128" s="286">
        <v>12.81</v>
      </c>
      <c r="F128" s="286">
        <v>1.02</v>
      </c>
      <c r="G128" s="286">
        <v>1.83</v>
      </c>
      <c r="H128" s="286">
        <v>2.82</v>
      </c>
      <c r="I128" s="286">
        <v>1.71</v>
      </c>
      <c r="J128" s="286">
        <v>26</v>
      </c>
      <c r="K128" s="286">
        <v>0.85</v>
      </c>
      <c r="L128" s="286">
        <v>10.84</v>
      </c>
      <c r="M128" s="286" t="s">
        <v>58</v>
      </c>
    </row>
    <row r="129" spans="1:13" x14ac:dyDescent="0.25">
      <c r="A129" s="287" t="s">
        <v>226</v>
      </c>
      <c r="B129" s="286">
        <v>0</v>
      </c>
      <c r="C129" s="286">
        <v>0</v>
      </c>
      <c r="D129" s="286">
        <v>0</v>
      </c>
      <c r="E129" s="286">
        <v>0</v>
      </c>
      <c r="F129" s="286">
        <v>0</v>
      </c>
      <c r="G129" s="286">
        <v>0</v>
      </c>
      <c r="H129" s="286">
        <v>0</v>
      </c>
      <c r="I129" s="286">
        <v>2.1800000000000002</v>
      </c>
      <c r="J129" s="286">
        <v>11</v>
      </c>
      <c r="K129" s="286">
        <v>0</v>
      </c>
      <c r="L129" s="286">
        <v>0</v>
      </c>
      <c r="M129" s="286" t="s">
        <v>84</v>
      </c>
    </row>
    <row r="130" spans="1:13" x14ac:dyDescent="0.25">
      <c r="A130" s="287" t="s">
        <v>227</v>
      </c>
      <c r="B130" s="286">
        <v>7.79</v>
      </c>
      <c r="C130" s="286">
        <v>13.7</v>
      </c>
      <c r="D130" s="286">
        <v>11.4</v>
      </c>
      <c r="E130" s="286">
        <v>9.11</v>
      </c>
      <c r="F130" s="286">
        <v>0.86</v>
      </c>
      <c r="G130" s="286">
        <v>1.73</v>
      </c>
      <c r="H130" s="286">
        <v>1.1499999999999999</v>
      </c>
      <c r="I130" s="286">
        <v>1.9</v>
      </c>
      <c r="J130" s="286">
        <v>33</v>
      </c>
      <c r="K130" s="286">
        <v>0.6</v>
      </c>
      <c r="L130" s="286">
        <v>6.77</v>
      </c>
      <c r="M130" s="286" t="s">
        <v>60</v>
      </c>
    </row>
    <row r="131" spans="1:13" x14ac:dyDescent="0.25">
      <c r="A131" s="287" t="s">
        <v>228</v>
      </c>
      <c r="B131" s="286">
        <v>6.25</v>
      </c>
      <c r="C131" s="286">
        <v>23.14</v>
      </c>
      <c r="D131" s="286">
        <v>22.16</v>
      </c>
      <c r="E131" s="286">
        <v>14.4</v>
      </c>
      <c r="F131" s="286">
        <v>0.86</v>
      </c>
      <c r="G131" s="286">
        <v>1.58</v>
      </c>
      <c r="H131" s="286">
        <v>1.67</v>
      </c>
      <c r="I131" s="286">
        <v>1.74</v>
      </c>
      <c r="J131" s="286">
        <v>19</v>
      </c>
      <c r="K131" s="286">
        <v>0.98</v>
      </c>
      <c r="L131" s="286">
        <v>14.97</v>
      </c>
      <c r="M131" s="286" t="s">
        <v>89</v>
      </c>
    </row>
    <row r="132" spans="1:13" x14ac:dyDescent="0.25">
      <c r="A132" s="287" t="s">
        <v>229</v>
      </c>
      <c r="B132" s="286">
        <v>7.63</v>
      </c>
      <c r="C132" s="286">
        <v>23.53</v>
      </c>
      <c r="D132" s="286">
        <v>20.75</v>
      </c>
      <c r="E132" s="286">
        <v>12.04</v>
      </c>
      <c r="F132" s="286">
        <v>0.88</v>
      </c>
      <c r="G132" s="286">
        <v>1.56</v>
      </c>
      <c r="H132" s="286">
        <v>2.21</v>
      </c>
      <c r="I132" s="286">
        <v>2.0299999999999998</v>
      </c>
      <c r="J132" s="286">
        <v>25</v>
      </c>
      <c r="K132" s="286">
        <v>0.97</v>
      </c>
      <c r="L132" s="286">
        <v>15.24</v>
      </c>
      <c r="M132" s="286" t="s">
        <v>71</v>
      </c>
    </row>
    <row r="133" spans="1:13" x14ac:dyDescent="0.25">
      <c r="A133" s="287" t="s">
        <v>230</v>
      </c>
      <c r="B133" s="286">
        <v>10.87</v>
      </c>
      <c r="C133" s="286">
        <v>23.46</v>
      </c>
      <c r="D133" s="286">
        <v>21</v>
      </c>
      <c r="E133" s="286">
        <v>11.86</v>
      </c>
      <c r="F133" s="286">
        <v>1.03</v>
      </c>
      <c r="G133" s="286">
        <v>1.96</v>
      </c>
      <c r="H133" s="286">
        <v>3.96</v>
      </c>
      <c r="I133" s="286">
        <v>1.87</v>
      </c>
      <c r="J133" s="286">
        <v>23</v>
      </c>
      <c r="K133" s="286">
        <v>0.9</v>
      </c>
      <c r="L133" s="286">
        <v>12.85</v>
      </c>
      <c r="M133" s="286" t="s">
        <v>65</v>
      </c>
    </row>
    <row r="134" spans="1:13" x14ac:dyDescent="0.25">
      <c r="A134" s="287" t="s">
        <v>231</v>
      </c>
      <c r="B134" s="286">
        <v>6.15</v>
      </c>
      <c r="C134" s="286">
        <v>25.79</v>
      </c>
      <c r="D134" s="286">
        <v>24.76</v>
      </c>
      <c r="E134" s="286">
        <v>15.53</v>
      </c>
      <c r="F134" s="286">
        <v>1.06</v>
      </c>
      <c r="G134" s="286">
        <v>1.79</v>
      </c>
      <c r="H134" s="286">
        <v>4.76</v>
      </c>
      <c r="I134" s="286">
        <v>1.7</v>
      </c>
      <c r="J134" s="286">
        <v>39</v>
      </c>
      <c r="K134" s="286">
        <v>0.97</v>
      </c>
      <c r="L134" s="286">
        <v>14.57</v>
      </c>
      <c r="M134" s="286" t="s">
        <v>84</v>
      </c>
    </row>
    <row r="135" spans="1:13" x14ac:dyDescent="0.25">
      <c r="A135" s="287" t="s">
        <v>232</v>
      </c>
      <c r="B135" s="286">
        <v>3.98</v>
      </c>
      <c r="C135" s="286">
        <v>23.7</v>
      </c>
      <c r="D135" s="286">
        <v>22.11</v>
      </c>
      <c r="E135" s="286">
        <v>15.16</v>
      </c>
      <c r="F135" s="286">
        <v>0.79</v>
      </c>
      <c r="G135" s="286">
        <v>1.21</v>
      </c>
      <c r="H135" s="286">
        <v>-4.17</v>
      </c>
      <c r="I135" s="286">
        <v>1.68</v>
      </c>
      <c r="J135" s="286">
        <v>35</v>
      </c>
      <c r="K135" s="286">
        <v>0.98</v>
      </c>
      <c r="L135" s="286">
        <v>17.329999999999998</v>
      </c>
      <c r="M135" s="286" t="s">
        <v>1168</v>
      </c>
    </row>
    <row r="136" spans="1:13" x14ac:dyDescent="0.25">
      <c r="A136" s="287" t="s">
        <v>233</v>
      </c>
      <c r="B136" s="286">
        <v>12.97</v>
      </c>
      <c r="C136" s="286">
        <v>0</v>
      </c>
      <c r="D136" s="286">
        <v>0</v>
      </c>
      <c r="E136" s="286">
        <v>0</v>
      </c>
      <c r="F136" s="286">
        <v>0</v>
      </c>
      <c r="G136" s="286">
        <v>0</v>
      </c>
      <c r="H136" s="286">
        <v>0</v>
      </c>
      <c r="I136" s="286">
        <v>1.58</v>
      </c>
      <c r="J136" s="286">
        <v>12</v>
      </c>
      <c r="K136" s="286">
        <v>0</v>
      </c>
      <c r="L136" s="286">
        <v>0</v>
      </c>
      <c r="M136" s="286" t="s">
        <v>103</v>
      </c>
    </row>
    <row r="137" spans="1:13" x14ac:dyDescent="0.25">
      <c r="A137" s="287" t="s">
        <v>234</v>
      </c>
      <c r="B137" s="286">
        <v>2.81</v>
      </c>
      <c r="C137" s="286">
        <v>0</v>
      </c>
      <c r="D137" s="286">
        <v>0</v>
      </c>
      <c r="E137" s="286">
        <v>0</v>
      </c>
      <c r="F137" s="286">
        <v>0</v>
      </c>
      <c r="G137" s="286">
        <v>0</v>
      </c>
      <c r="H137" s="286">
        <v>0</v>
      </c>
      <c r="I137" s="286">
        <v>1.99</v>
      </c>
      <c r="J137" s="286">
        <v>16</v>
      </c>
      <c r="K137" s="286">
        <v>0</v>
      </c>
      <c r="L137" s="286">
        <v>0</v>
      </c>
      <c r="M137" s="286" t="s">
        <v>62</v>
      </c>
    </row>
    <row r="138" spans="1:13" x14ac:dyDescent="0.25">
      <c r="A138" s="287" t="s">
        <v>235</v>
      </c>
      <c r="B138" s="286">
        <v>-2.0099999999999998</v>
      </c>
      <c r="C138" s="286">
        <v>25.09</v>
      </c>
      <c r="D138" s="286">
        <v>27.2</v>
      </c>
      <c r="E138" s="286">
        <v>17.170000000000002</v>
      </c>
      <c r="F138" s="286">
        <v>0.69</v>
      </c>
      <c r="G138" s="286">
        <v>0.99</v>
      </c>
      <c r="H138" s="286">
        <v>5.54</v>
      </c>
      <c r="I138" s="286">
        <v>2.11</v>
      </c>
      <c r="J138" s="286">
        <v>27</v>
      </c>
      <c r="K138" s="286">
        <v>0.64</v>
      </c>
      <c r="L138" s="286">
        <v>18.16</v>
      </c>
      <c r="M138" s="286" t="s">
        <v>1169</v>
      </c>
    </row>
    <row r="139" spans="1:13" x14ac:dyDescent="0.25">
      <c r="A139" s="287" t="s">
        <v>246</v>
      </c>
      <c r="B139" s="286">
        <v>4.42</v>
      </c>
      <c r="C139" s="286">
        <v>15.14</v>
      </c>
      <c r="D139" s="286">
        <v>16.64</v>
      </c>
      <c r="E139" s="286">
        <v>0</v>
      </c>
      <c r="F139" s="286">
        <v>0.39</v>
      </c>
      <c r="G139" s="286">
        <v>0.67</v>
      </c>
      <c r="H139" s="286">
        <v>-5.12</v>
      </c>
      <c r="I139" s="286">
        <v>1.28</v>
      </c>
      <c r="J139" s="286">
        <v>111</v>
      </c>
      <c r="K139" s="286">
        <v>0.92</v>
      </c>
      <c r="L139" s="286">
        <v>14.11</v>
      </c>
      <c r="M139" s="286" t="s">
        <v>1168</v>
      </c>
    </row>
    <row r="140" spans="1:13" x14ac:dyDescent="0.25">
      <c r="A140" s="287" t="s">
        <v>1196</v>
      </c>
      <c r="B140" s="286">
        <v>9.73</v>
      </c>
      <c r="C140" s="286">
        <v>11.16</v>
      </c>
      <c r="D140" s="286">
        <v>9.69</v>
      </c>
      <c r="E140" s="286">
        <v>7.34</v>
      </c>
      <c r="F140" s="286">
        <v>1.07</v>
      </c>
      <c r="G140" s="286">
        <v>1.83</v>
      </c>
      <c r="H140" s="286">
        <v>0.74</v>
      </c>
      <c r="I140" s="286">
        <v>1.1599999999999999</v>
      </c>
      <c r="J140" s="286">
        <v>668</v>
      </c>
      <c r="K140" s="286">
        <v>0.85</v>
      </c>
      <c r="L140" s="286">
        <v>3.62</v>
      </c>
      <c r="M140" s="286" t="s">
        <v>55</v>
      </c>
    </row>
    <row r="141" spans="1:13" x14ac:dyDescent="0.25">
      <c r="A141" s="287" t="s">
        <v>247</v>
      </c>
      <c r="B141" s="286">
        <v>7.7</v>
      </c>
      <c r="C141" s="286">
        <v>26.56</v>
      </c>
      <c r="D141" s="286">
        <v>32.19</v>
      </c>
      <c r="E141" s="286">
        <v>17.45</v>
      </c>
      <c r="F141" s="286">
        <v>0.83</v>
      </c>
      <c r="G141" s="286">
        <v>1.29</v>
      </c>
      <c r="H141" s="286">
        <v>-1.1499999999999999</v>
      </c>
      <c r="I141" s="286">
        <v>1.71</v>
      </c>
      <c r="J141" s="286">
        <v>22</v>
      </c>
      <c r="K141" s="286">
        <v>0.94</v>
      </c>
      <c r="L141" s="286">
        <v>19.32</v>
      </c>
      <c r="M141" s="286" t="s">
        <v>55</v>
      </c>
    </row>
    <row r="142" spans="1:13" x14ac:dyDescent="0.25">
      <c r="A142" s="287" t="s">
        <v>1197</v>
      </c>
      <c r="B142" s="286">
        <v>9.1999999999999993</v>
      </c>
      <c r="C142" s="286">
        <v>21.47</v>
      </c>
      <c r="D142" s="286">
        <v>21.46</v>
      </c>
      <c r="E142" s="286">
        <v>12.71</v>
      </c>
      <c r="F142" s="286">
        <v>1.1200000000000001</v>
      </c>
      <c r="G142" s="286">
        <v>1.64</v>
      </c>
      <c r="H142" s="286">
        <v>3.47</v>
      </c>
      <c r="I142" s="286">
        <v>1.9</v>
      </c>
      <c r="J142" s="286">
        <v>86</v>
      </c>
      <c r="K142" s="286">
        <v>0.85</v>
      </c>
      <c r="L142" s="286">
        <v>10.35</v>
      </c>
      <c r="M142" s="286" t="s">
        <v>71</v>
      </c>
    </row>
    <row r="143" spans="1:13" x14ac:dyDescent="0.25">
      <c r="A143" s="287" t="s">
        <v>248</v>
      </c>
      <c r="B143" s="286">
        <v>5.36</v>
      </c>
      <c r="C143" s="286">
        <v>15.18</v>
      </c>
      <c r="D143" s="286">
        <v>15.57</v>
      </c>
      <c r="E143" s="286">
        <v>10.38</v>
      </c>
      <c r="F143" s="286">
        <v>0.76</v>
      </c>
      <c r="G143" s="286">
        <v>1.1399999999999999</v>
      </c>
      <c r="H143" s="286">
        <v>0.09</v>
      </c>
      <c r="I143" s="286">
        <v>1.68</v>
      </c>
      <c r="J143" s="286">
        <v>85</v>
      </c>
      <c r="K143" s="286">
        <v>0.81</v>
      </c>
      <c r="L143" s="286">
        <v>8.56</v>
      </c>
      <c r="M143" s="286" t="s">
        <v>65</v>
      </c>
    </row>
    <row r="144" spans="1:13" x14ac:dyDescent="0.25">
      <c r="A144" s="287" t="s">
        <v>251</v>
      </c>
      <c r="B144" s="286">
        <v>0</v>
      </c>
      <c r="C144" s="286">
        <v>0</v>
      </c>
      <c r="D144" s="286">
        <v>0</v>
      </c>
      <c r="E144" s="286">
        <v>0</v>
      </c>
      <c r="F144" s="286">
        <v>0</v>
      </c>
      <c r="G144" s="286">
        <v>0</v>
      </c>
      <c r="H144" s="286">
        <v>0</v>
      </c>
      <c r="I144" s="286">
        <v>2.02</v>
      </c>
      <c r="J144" s="286">
        <v>0</v>
      </c>
      <c r="K144" s="286">
        <v>0</v>
      </c>
      <c r="L144" s="286">
        <v>0</v>
      </c>
      <c r="M144" s="286" t="s">
        <v>58</v>
      </c>
    </row>
    <row r="145" spans="1:13" x14ac:dyDescent="0.25">
      <c r="A145" s="287" t="s">
        <v>252</v>
      </c>
      <c r="B145" s="286">
        <v>0</v>
      </c>
      <c r="C145" s="286">
        <v>0</v>
      </c>
      <c r="D145" s="286">
        <v>0</v>
      </c>
      <c r="E145" s="286">
        <v>0</v>
      </c>
      <c r="F145" s="286">
        <v>0</v>
      </c>
      <c r="G145" s="286">
        <v>0</v>
      </c>
      <c r="H145" s="286">
        <v>0</v>
      </c>
      <c r="I145" s="286">
        <v>2.38</v>
      </c>
      <c r="J145" s="286">
        <v>0</v>
      </c>
      <c r="K145" s="286">
        <v>0</v>
      </c>
      <c r="L145" s="286">
        <v>0</v>
      </c>
      <c r="M145" s="286" t="s">
        <v>84</v>
      </c>
    </row>
    <row r="146" spans="1:13" x14ac:dyDescent="0.25">
      <c r="A146" s="287" t="s">
        <v>253</v>
      </c>
      <c r="B146" s="286">
        <v>4.53</v>
      </c>
      <c r="C146" s="286">
        <v>23.8</v>
      </c>
      <c r="D146" s="286">
        <v>24.64</v>
      </c>
      <c r="E146" s="286">
        <v>14.41</v>
      </c>
      <c r="F146" s="286">
        <v>0.91</v>
      </c>
      <c r="G146" s="286">
        <v>1.32</v>
      </c>
      <c r="H146" s="286">
        <v>1.92</v>
      </c>
      <c r="I146" s="286">
        <v>1.93</v>
      </c>
      <c r="J146" s="286">
        <v>45</v>
      </c>
      <c r="K146" s="286">
        <v>0.97</v>
      </c>
      <c r="L146" s="286">
        <v>14.47</v>
      </c>
      <c r="M146" s="286" t="s">
        <v>60</v>
      </c>
    </row>
    <row r="147" spans="1:13" x14ac:dyDescent="0.25">
      <c r="A147" s="287" t="s">
        <v>254</v>
      </c>
      <c r="B147" s="286">
        <v>5.08</v>
      </c>
      <c r="C147" s="286">
        <v>0</v>
      </c>
      <c r="D147" s="286">
        <v>0</v>
      </c>
      <c r="E147" s="286">
        <v>0</v>
      </c>
      <c r="F147" s="286">
        <v>0</v>
      </c>
      <c r="G147" s="286">
        <v>0</v>
      </c>
      <c r="H147" s="286">
        <v>0</v>
      </c>
      <c r="I147" s="286">
        <v>2.21</v>
      </c>
      <c r="J147" s="286">
        <v>43</v>
      </c>
      <c r="K147" s="286">
        <v>0</v>
      </c>
      <c r="L147" s="286">
        <v>0</v>
      </c>
      <c r="M147" s="286" t="s">
        <v>89</v>
      </c>
    </row>
    <row r="148" spans="1:13" x14ac:dyDescent="0.25">
      <c r="A148" s="287" t="s">
        <v>257</v>
      </c>
      <c r="B148" s="286">
        <v>4.75</v>
      </c>
      <c r="C148" s="286">
        <v>20.75</v>
      </c>
      <c r="D148" s="286">
        <v>20.93</v>
      </c>
      <c r="E148" s="286">
        <v>12.5</v>
      </c>
      <c r="F148" s="286">
        <v>0.83</v>
      </c>
      <c r="G148" s="286">
        <v>1.34</v>
      </c>
      <c r="H148" s="286">
        <v>1.1000000000000001</v>
      </c>
      <c r="I148" s="286">
        <v>2.12</v>
      </c>
      <c r="J148" s="286">
        <v>75</v>
      </c>
      <c r="K148" s="286">
        <v>0.94</v>
      </c>
      <c r="L148" s="286">
        <v>13.04</v>
      </c>
      <c r="M148" s="286" t="s">
        <v>103</v>
      </c>
    </row>
    <row r="149" spans="1:13" x14ac:dyDescent="0.25">
      <c r="A149" s="287" t="s">
        <v>258</v>
      </c>
      <c r="B149" s="286">
        <v>6.64</v>
      </c>
      <c r="C149" s="286">
        <v>23.65</v>
      </c>
      <c r="D149" s="286">
        <v>24.94</v>
      </c>
      <c r="E149" s="286">
        <v>14.5</v>
      </c>
      <c r="F149" s="286">
        <v>0.88</v>
      </c>
      <c r="G149" s="286">
        <v>1.23</v>
      </c>
      <c r="H149" s="286">
        <v>2.12</v>
      </c>
      <c r="I149" s="286">
        <v>1.86</v>
      </c>
      <c r="J149" s="286">
        <v>20</v>
      </c>
      <c r="K149" s="286">
        <v>0.99</v>
      </c>
      <c r="L149" s="286">
        <v>14.81</v>
      </c>
      <c r="M149" s="286" t="s">
        <v>1168</v>
      </c>
    </row>
    <row r="150" spans="1:13" x14ac:dyDescent="0.25">
      <c r="A150" s="287" t="s">
        <v>259</v>
      </c>
      <c r="B150" s="286">
        <v>11.91</v>
      </c>
      <c r="C150" s="286">
        <v>31.89</v>
      </c>
      <c r="D150" s="286">
        <v>33.369999999999997</v>
      </c>
      <c r="E150" s="286">
        <v>18.13</v>
      </c>
      <c r="F150" s="286">
        <v>1.17</v>
      </c>
      <c r="G150" s="286">
        <v>1.58</v>
      </c>
      <c r="H150" s="286">
        <v>2.35</v>
      </c>
      <c r="I150" s="286">
        <v>1.7</v>
      </c>
      <c r="J150" s="286">
        <v>50</v>
      </c>
      <c r="K150" s="286">
        <v>0.95</v>
      </c>
      <c r="L150" s="286">
        <v>16.63</v>
      </c>
      <c r="M150" s="286" t="s">
        <v>1166</v>
      </c>
    </row>
    <row r="151" spans="1:13" x14ac:dyDescent="0.25">
      <c r="A151" s="287" t="s">
        <v>260</v>
      </c>
      <c r="B151" s="286">
        <v>8.48</v>
      </c>
      <c r="C151" s="286">
        <v>0</v>
      </c>
      <c r="D151" s="286">
        <v>0</v>
      </c>
      <c r="E151" s="286">
        <v>0</v>
      </c>
      <c r="F151" s="286">
        <v>0</v>
      </c>
      <c r="G151" s="286">
        <v>0</v>
      </c>
      <c r="H151" s="286">
        <v>0</v>
      </c>
      <c r="I151" s="286">
        <v>0.72</v>
      </c>
      <c r="J151" s="286">
        <v>73</v>
      </c>
      <c r="K151" s="286">
        <v>0</v>
      </c>
      <c r="L151" s="286">
        <v>0</v>
      </c>
      <c r="M151" s="286" t="s">
        <v>65</v>
      </c>
    </row>
    <row r="152" spans="1:13" x14ac:dyDescent="0.25">
      <c r="A152" s="287" t="s">
        <v>261</v>
      </c>
      <c r="B152" s="286">
        <v>5.82</v>
      </c>
      <c r="C152" s="286">
        <v>0</v>
      </c>
      <c r="D152" s="286">
        <v>0</v>
      </c>
      <c r="E152" s="286">
        <v>0</v>
      </c>
      <c r="F152" s="286">
        <v>0</v>
      </c>
      <c r="G152" s="286">
        <v>0</v>
      </c>
      <c r="H152" s="286">
        <v>0</v>
      </c>
      <c r="I152" s="286">
        <v>1.92</v>
      </c>
      <c r="J152" s="286">
        <v>43</v>
      </c>
      <c r="K152" s="286">
        <v>0</v>
      </c>
      <c r="L152" s="286">
        <v>0</v>
      </c>
      <c r="M152" s="286" t="s">
        <v>58</v>
      </c>
    </row>
    <row r="153" spans="1:13" x14ac:dyDescent="0.25">
      <c r="A153" s="287" t="s">
        <v>271</v>
      </c>
      <c r="B153" s="286">
        <v>0.54</v>
      </c>
      <c r="C153" s="286">
        <v>18.07</v>
      </c>
      <c r="D153" s="286">
        <v>21.87</v>
      </c>
      <c r="E153" s="286">
        <v>0</v>
      </c>
      <c r="F153" s="286">
        <v>0.5</v>
      </c>
      <c r="G153" s="286">
        <v>0.69</v>
      </c>
      <c r="H153" s="286">
        <v>-2.2200000000000002</v>
      </c>
      <c r="I153" s="286">
        <v>2.29</v>
      </c>
      <c r="J153" s="286">
        <v>80</v>
      </c>
      <c r="K153" s="286">
        <v>0.99</v>
      </c>
      <c r="L153" s="286">
        <v>18.53</v>
      </c>
      <c r="M153" s="286" t="s">
        <v>62</v>
      </c>
    </row>
    <row r="154" spans="1:13" x14ac:dyDescent="0.25">
      <c r="A154" s="287" t="s">
        <v>272</v>
      </c>
      <c r="B154" s="286">
        <v>4.43</v>
      </c>
      <c r="C154" s="286">
        <v>27.4</v>
      </c>
      <c r="D154" s="286">
        <v>34.06</v>
      </c>
      <c r="E154" s="286">
        <v>0</v>
      </c>
      <c r="F154" s="286">
        <v>0.95</v>
      </c>
      <c r="G154" s="286">
        <v>1.34</v>
      </c>
      <c r="H154" s="286">
        <v>0.76</v>
      </c>
      <c r="I154" s="286">
        <v>1.83</v>
      </c>
      <c r="J154" s="286">
        <v>20</v>
      </c>
      <c r="K154" s="286">
        <v>0.83</v>
      </c>
      <c r="L154" s="286">
        <v>16.79</v>
      </c>
      <c r="M154" s="286" t="s">
        <v>55</v>
      </c>
    </row>
    <row r="155" spans="1:13" x14ac:dyDescent="0.25">
      <c r="A155" s="287" t="s">
        <v>273</v>
      </c>
      <c r="B155" s="286">
        <v>6.67</v>
      </c>
      <c r="C155" s="286">
        <v>0</v>
      </c>
      <c r="D155" s="286">
        <v>0</v>
      </c>
      <c r="E155" s="286">
        <v>0</v>
      </c>
      <c r="F155" s="286">
        <v>0</v>
      </c>
      <c r="G155" s="286">
        <v>0</v>
      </c>
      <c r="H155" s="286">
        <v>0</v>
      </c>
      <c r="I155" s="286">
        <v>1.94</v>
      </c>
      <c r="J155" s="286">
        <v>363.59</v>
      </c>
      <c r="K155" s="286">
        <v>0</v>
      </c>
      <c r="L155" s="286">
        <v>0</v>
      </c>
      <c r="M155" s="286" t="s">
        <v>55</v>
      </c>
    </row>
    <row r="156" spans="1:13" x14ac:dyDescent="0.25">
      <c r="A156" s="287" t="s">
        <v>274</v>
      </c>
      <c r="B156" s="286">
        <v>8.1300000000000008</v>
      </c>
      <c r="C156" s="286">
        <v>18.05</v>
      </c>
      <c r="D156" s="286">
        <v>20.3</v>
      </c>
      <c r="E156" s="286">
        <v>11.27</v>
      </c>
      <c r="F156" s="286">
        <v>0.65</v>
      </c>
      <c r="G156" s="286">
        <v>1</v>
      </c>
      <c r="H156" s="286">
        <v>-1.03</v>
      </c>
      <c r="I156" s="286">
        <v>1.84</v>
      </c>
      <c r="J156" s="286">
        <v>87.36</v>
      </c>
      <c r="K156" s="286">
        <v>0.91</v>
      </c>
      <c r="L156" s="286">
        <v>12.8</v>
      </c>
      <c r="M156" s="286" t="s">
        <v>65</v>
      </c>
    </row>
    <row r="157" spans="1:13" x14ac:dyDescent="0.25">
      <c r="A157" s="287" t="s">
        <v>1198</v>
      </c>
      <c r="B157" s="286">
        <v>8.5399999999999991</v>
      </c>
      <c r="C157" s="286">
        <v>11.17</v>
      </c>
      <c r="D157" s="286">
        <v>9.5500000000000007</v>
      </c>
      <c r="E157" s="286">
        <v>7.7</v>
      </c>
      <c r="F157" s="286">
        <v>1.02</v>
      </c>
      <c r="G157" s="286">
        <v>1.61</v>
      </c>
      <c r="H157" s="286">
        <v>0.52</v>
      </c>
      <c r="I157" s="286">
        <v>1.41</v>
      </c>
      <c r="J157" s="286">
        <v>0</v>
      </c>
      <c r="K157" s="286">
        <v>0.89</v>
      </c>
      <c r="L157" s="286">
        <v>3.71</v>
      </c>
      <c r="M157" s="286" t="s">
        <v>71</v>
      </c>
    </row>
    <row r="158" spans="1:13" x14ac:dyDescent="0.25">
      <c r="A158" s="287" t="s">
        <v>275</v>
      </c>
      <c r="B158" s="286">
        <v>7.67</v>
      </c>
      <c r="C158" s="286">
        <v>16.75</v>
      </c>
      <c r="D158" s="286">
        <v>19.600000000000001</v>
      </c>
      <c r="E158" s="286">
        <v>10.35</v>
      </c>
      <c r="F158" s="286">
        <v>1.1200000000000001</v>
      </c>
      <c r="G158" s="286">
        <v>1.64</v>
      </c>
      <c r="H158" s="286">
        <v>2.84</v>
      </c>
      <c r="I158" s="286">
        <v>2.0099999999999998</v>
      </c>
      <c r="J158" s="286">
        <v>45.24</v>
      </c>
      <c r="K158" s="286">
        <v>0.66</v>
      </c>
      <c r="L158" s="286">
        <v>7.14</v>
      </c>
      <c r="M158" s="286" t="s">
        <v>84</v>
      </c>
    </row>
    <row r="159" spans="1:13" x14ac:dyDescent="0.25">
      <c r="A159" s="287" t="s">
        <v>276</v>
      </c>
      <c r="B159" s="286">
        <v>10.23</v>
      </c>
      <c r="C159" s="286">
        <v>20.87</v>
      </c>
      <c r="D159" s="286">
        <v>24.69</v>
      </c>
      <c r="E159" s="286">
        <v>12.06</v>
      </c>
      <c r="F159" s="286">
        <v>0.74</v>
      </c>
      <c r="G159" s="286">
        <v>1.1100000000000001</v>
      </c>
      <c r="H159" s="286">
        <v>-0.01</v>
      </c>
      <c r="I159" s="286">
        <v>2.02</v>
      </c>
      <c r="J159" s="286">
        <v>111.44</v>
      </c>
      <c r="K159" s="286">
        <v>0.95</v>
      </c>
      <c r="L159" s="286">
        <v>14.1</v>
      </c>
      <c r="M159" s="286" t="s">
        <v>60</v>
      </c>
    </row>
    <row r="160" spans="1:13" x14ac:dyDescent="0.25">
      <c r="A160" s="287" t="s">
        <v>1199</v>
      </c>
      <c r="B160" s="286">
        <v>6.95</v>
      </c>
      <c r="C160" s="286">
        <v>19.18</v>
      </c>
      <c r="D160" s="286">
        <v>19.62</v>
      </c>
      <c r="E160" s="286">
        <v>11.67</v>
      </c>
      <c r="F160" s="286">
        <v>1.02</v>
      </c>
      <c r="G160" s="286">
        <v>1.48</v>
      </c>
      <c r="H160" s="286">
        <v>2.34</v>
      </c>
      <c r="I160" s="286">
        <v>2.0699999999999998</v>
      </c>
      <c r="J160" s="286">
        <v>29.25</v>
      </c>
      <c r="K160" s="286">
        <v>0.79</v>
      </c>
      <c r="L160" s="286">
        <v>9.73</v>
      </c>
      <c r="M160" s="286" t="s">
        <v>89</v>
      </c>
    </row>
    <row r="161" spans="1:13" x14ac:dyDescent="0.25">
      <c r="A161" s="287" t="s">
        <v>277</v>
      </c>
      <c r="B161" s="286">
        <v>7.26</v>
      </c>
      <c r="C161" s="286">
        <v>24.81</v>
      </c>
      <c r="D161" s="286">
        <v>26.55</v>
      </c>
      <c r="E161" s="286">
        <v>14.16</v>
      </c>
      <c r="F161" s="286">
        <v>1.03</v>
      </c>
      <c r="G161" s="286">
        <v>1.52</v>
      </c>
      <c r="H161" s="286">
        <v>3.47</v>
      </c>
      <c r="I161" s="286">
        <v>1.7</v>
      </c>
      <c r="J161" s="286">
        <v>26.28</v>
      </c>
      <c r="K161" s="286">
        <v>0.92</v>
      </c>
      <c r="L161" s="286">
        <v>13.6</v>
      </c>
      <c r="M161" s="286" t="s">
        <v>65</v>
      </c>
    </row>
    <row r="162" spans="1:13" x14ac:dyDescent="0.25">
      <c r="A162" s="287" t="s">
        <v>278</v>
      </c>
      <c r="B162" s="286">
        <v>3.2</v>
      </c>
      <c r="C162" s="286">
        <v>22.2</v>
      </c>
      <c r="D162" s="286">
        <v>24.59</v>
      </c>
      <c r="E162" s="286">
        <v>13.83</v>
      </c>
      <c r="F162" s="286">
        <v>0.92</v>
      </c>
      <c r="G162" s="286">
        <v>1.43</v>
      </c>
      <c r="H162" s="286">
        <v>2.09</v>
      </c>
      <c r="I162" s="286">
        <v>1.76</v>
      </c>
      <c r="J162" s="286">
        <v>21.04</v>
      </c>
      <c r="K162" s="286">
        <v>0.87</v>
      </c>
      <c r="L162" s="286">
        <v>13.24</v>
      </c>
      <c r="M162" s="286" t="s">
        <v>65</v>
      </c>
    </row>
    <row r="163" spans="1:13" x14ac:dyDescent="0.25">
      <c r="A163" s="287" t="s">
        <v>279</v>
      </c>
      <c r="B163" s="286">
        <v>14.61</v>
      </c>
      <c r="C163" s="286">
        <v>14.66</v>
      </c>
      <c r="D163" s="286">
        <v>15.65</v>
      </c>
      <c r="E163" s="286">
        <v>7.49</v>
      </c>
      <c r="F163" s="286">
        <v>1.25</v>
      </c>
      <c r="G163" s="286">
        <v>2.04</v>
      </c>
      <c r="H163" s="286">
        <v>2.56</v>
      </c>
      <c r="I163" s="286">
        <v>2.13</v>
      </c>
      <c r="J163" s="286">
        <v>61.84</v>
      </c>
      <c r="K163" s="286">
        <v>0.43</v>
      </c>
      <c r="L163" s="286">
        <v>5.15</v>
      </c>
      <c r="M163" s="286" t="s">
        <v>84</v>
      </c>
    </row>
    <row r="164" spans="1:13" x14ac:dyDescent="0.25">
      <c r="A164" s="287" t="s">
        <v>280</v>
      </c>
      <c r="B164" s="286">
        <v>0</v>
      </c>
      <c r="C164" s="286">
        <v>0</v>
      </c>
      <c r="D164" s="286">
        <v>0</v>
      </c>
      <c r="E164" s="286">
        <v>0</v>
      </c>
      <c r="F164" s="286">
        <v>0</v>
      </c>
      <c r="G164" s="286">
        <v>0</v>
      </c>
      <c r="H164" s="286">
        <v>0</v>
      </c>
      <c r="I164" s="286">
        <v>1.81</v>
      </c>
      <c r="J164" s="286">
        <v>41.16</v>
      </c>
      <c r="K164" s="286">
        <v>0</v>
      </c>
      <c r="L164" s="286">
        <v>0</v>
      </c>
      <c r="M164" s="286" t="s">
        <v>65</v>
      </c>
    </row>
    <row r="165" spans="1:13" x14ac:dyDescent="0.25">
      <c r="A165" s="287" t="s">
        <v>282</v>
      </c>
      <c r="B165" s="286">
        <v>3.14</v>
      </c>
      <c r="C165" s="286">
        <v>35.24</v>
      </c>
      <c r="D165" s="286">
        <v>31.27</v>
      </c>
      <c r="E165" s="286">
        <v>15.94</v>
      </c>
      <c r="F165" s="286">
        <v>1.43</v>
      </c>
      <c r="G165" s="286">
        <v>2.0299999999999998</v>
      </c>
      <c r="H165" s="286">
        <v>12</v>
      </c>
      <c r="I165" s="286">
        <v>1.77</v>
      </c>
      <c r="J165" s="286">
        <v>54.02</v>
      </c>
      <c r="K165" s="286">
        <v>1</v>
      </c>
      <c r="L165" s="286">
        <v>16.41</v>
      </c>
      <c r="M165" s="286" t="s">
        <v>103</v>
      </c>
    </row>
    <row r="166" spans="1:13" x14ac:dyDescent="0.25">
      <c r="A166" s="287" t="s">
        <v>1200</v>
      </c>
      <c r="B166" s="286">
        <v>7.38</v>
      </c>
      <c r="C166" s="286">
        <v>13.07</v>
      </c>
      <c r="D166" s="286">
        <v>10.88</v>
      </c>
      <c r="E166" s="286">
        <v>8.43</v>
      </c>
      <c r="F166" s="286">
        <v>0.91</v>
      </c>
      <c r="G166" s="286">
        <v>1.33</v>
      </c>
      <c r="H166" s="286">
        <v>0.6</v>
      </c>
      <c r="I166" s="286">
        <v>2.2599999999999998</v>
      </c>
      <c r="J166" s="286">
        <v>0</v>
      </c>
      <c r="K166" s="286">
        <v>0.56999999999999995</v>
      </c>
      <c r="L166" s="286">
        <v>5.7</v>
      </c>
      <c r="M166" s="286" t="s">
        <v>65</v>
      </c>
    </row>
    <row r="167" spans="1:13" x14ac:dyDescent="0.25">
      <c r="A167" s="287" t="s">
        <v>283</v>
      </c>
      <c r="B167" s="286">
        <v>7.02</v>
      </c>
      <c r="C167" s="286">
        <v>29.5</v>
      </c>
      <c r="D167" s="286">
        <v>27.09</v>
      </c>
      <c r="E167" s="286">
        <v>15.38</v>
      </c>
      <c r="F167" s="286">
        <v>1.1499999999999999</v>
      </c>
      <c r="G167" s="286">
        <v>1.64</v>
      </c>
      <c r="H167" s="286">
        <v>1.78</v>
      </c>
      <c r="I167" s="286">
        <v>1.76</v>
      </c>
      <c r="J167" s="286">
        <v>23.44</v>
      </c>
      <c r="K167" s="286">
        <v>0.91</v>
      </c>
      <c r="L167" s="286">
        <v>15.83</v>
      </c>
      <c r="M167" s="286" t="s">
        <v>58</v>
      </c>
    </row>
    <row r="168" spans="1:13" x14ac:dyDescent="0.25">
      <c r="A168" s="287" t="s">
        <v>284</v>
      </c>
      <c r="B168" s="286">
        <v>-3.18</v>
      </c>
      <c r="C168" s="286">
        <v>30.08</v>
      </c>
      <c r="D168" s="286">
        <v>33.880000000000003</v>
      </c>
      <c r="E168" s="286">
        <v>16.39</v>
      </c>
      <c r="F168" s="286">
        <v>1.1399999999999999</v>
      </c>
      <c r="G168" s="286">
        <v>1.49</v>
      </c>
      <c r="H168" s="286">
        <v>4.29</v>
      </c>
      <c r="I168" s="286">
        <v>1.74</v>
      </c>
      <c r="J168" s="286">
        <v>22.71</v>
      </c>
      <c r="K168" s="286">
        <v>0.83</v>
      </c>
      <c r="L168" s="286">
        <v>17.059999999999999</v>
      </c>
      <c r="M168" s="286" t="s">
        <v>1169</v>
      </c>
    </row>
    <row r="169" spans="1:13" x14ac:dyDescent="0.25">
      <c r="A169" s="287" t="s">
        <v>1201</v>
      </c>
      <c r="B169" s="286">
        <v>1.54</v>
      </c>
      <c r="C169" s="286">
        <v>15.82</v>
      </c>
      <c r="D169" s="286">
        <v>16.45</v>
      </c>
      <c r="E169" s="286">
        <v>0</v>
      </c>
      <c r="F169" s="286">
        <v>0.66</v>
      </c>
      <c r="G169" s="286">
        <v>1.17</v>
      </c>
      <c r="H169" s="286">
        <v>-1.29</v>
      </c>
      <c r="I169" s="286">
        <v>2.38</v>
      </c>
      <c r="J169" s="286">
        <v>206</v>
      </c>
      <c r="K169" s="286">
        <v>0.86</v>
      </c>
      <c r="L169" s="286">
        <v>10.6</v>
      </c>
      <c r="M169" s="286" t="s">
        <v>103</v>
      </c>
    </row>
    <row r="170" spans="1:13" x14ac:dyDescent="0.25">
      <c r="A170" s="287" t="s">
        <v>285</v>
      </c>
      <c r="B170" s="286">
        <v>1.38</v>
      </c>
      <c r="C170" s="286">
        <v>18.54</v>
      </c>
      <c r="D170" s="286">
        <v>18.34</v>
      </c>
      <c r="E170" s="286">
        <v>11.56</v>
      </c>
      <c r="F170" s="286">
        <v>0.64</v>
      </c>
      <c r="G170" s="286">
        <v>1.1200000000000001</v>
      </c>
      <c r="H170" s="286">
        <v>-1.2</v>
      </c>
      <c r="I170" s="286">
        <v>2.46</v>
      </c>
      <c r="J170" s="286">
        <v>250</v>
      </c>
      <c r="K170" s="286">
        <v>0.98</v>
      </c>
      <c r="L170" s="286">
        <v>13.83</v>
      </c>
      <c r="M170" s="286" t="s">
        <v>1168</v>
      </c>
    </row>
    <row r="171" spans="1:13" x14ac:dyDescent="0.25">
      <c r="A171" s="287" t="s">
        <v>286</v>
      </c>
      <c r="B171" s="286">
        <v>0</v>
      </c>
      <c r="C171" s="286">
        <v>0</v>
      </c>
      <c r="D171" s="286">
        <v>0</v>
      </c>
      <c r="E171" s="286">
        <v>0</v>
      </c>
      <c r="F171" s="286">
        <v>0</v>
      </c>
      <c r="G171" s="286">
        <v>0</v>
      </c>
      <c r="H171" s="286">
        <v>0</v>
      </c>
      <c r="I171" s="286">
        <v>2.2999999999999998</v>
      </c>
      <c r="J171" s="286">
        <v>0</v>
      </c>
      <c r="K171" s="286">
        <v>0</v>
      </c>
      <c r="L171" s="286">
        <v>0</v>
      </c>
      <c r="M171" s="286" t="s">
        <v>1166</v>
      </c>
    </row>
    <row r="172" spans="1:13" x14ac:dyDescent="0.25">
      <c r="A172" s="287" t="s">
        <v>303</v>
      </c>
      <c r="B172" s="286">
        <v>6.25</v>
      </c>
      <c r="C172" s="286">
        <v>23.57</v>
      </c>
      <c r="D172" s="286">
        <v>24.68</v>
      </c>
      <c r="E172" s="286">
        <v>14.29</v>
      </c>
      <c r="F172" s="286">
        <v>1.42</v>
      </c>
      <c r="G172" s="286">
        <v>2.5099999999999998</v>
      </c>
      <c r="H172" s="286">
        <v>6.9</v>
      </c>
      <c r="I172" s="286">
        <v>1.37</v>
      </c>
      <c r="J172" s="286">
        <v>27.2</v>
      </c>
      <c r="K172" s="286">
        <v>0.88</v>
      </c>
      <c r="L172" s="286">
        <v>9.74</v>
      </c>
      <c r="M172" s="286" t="s">
        <v>62</v>
      </c>
    </row>
    <row r="173" spans="1:13" x14ac:dyDescent="0.25">
      <c r="A173" s="287" t="s">
        <v>308</v>
      </c>
      <c r="B173" s="286">
        <v>2.76</v>
      </c>
      <c r="C173" s="286">
        <v>0</v>
      </c>
      <c r="D173" s="286">
        <v>0</v>
      </c>
      <c r="E173" s="286">
        <v>0</v>
      </c>
      <c r="F173" s="286">
        <v>0</v>
      </c>
      <c r="G173" s="286">
        <v>0</v>
      </c>
      <c r="H173" s="286">
        <v>0</v>
      </c>
      <c r="I173" s="286">
        <v>1.97</v>
      </c>
      <c r="J173" s="286">
        <v>52.9</v>
      </c>
      <c r="K173" s="286">
        <v>0</v>
      </c>
      <c r="L173" s="286">
        <v>0</v>
      </c>
      <c r="M173" s="286" t="s">
        <v>58</v>
      </c>
    </row>
    <row r="174" spans="1:13" x14ac:dyDescent="0.25">
      <c r="A174" s="287" t="s">
        <v>1202</v>
      </c>
      <c r="B174" s="286">
        <v>4.47</v>
      </c>
      <c r="C174" s="286">
        <v>19.34</v>
      </c>
      <c r="D174" s="286">
        <v>20.73</v>
      </c>
      <c r="E174" s="286">
        <v>13.42</v>
      </c>
      <c r="F174" s="286">
        <v>1.0900000000000001</v>
      </c>
      <c r="G174" s="286">
        <v>1.61</v>
      </c>
      <c r="H174" s="286">
        <v>3.23</v>
      </c>
      <c r="I174" s="286">
        <v>1.73</v>
      </c>
      <c r="J174" s="286">
        <v>13.9</v>
      </c>
      <c r="K174" s="286">
        <v>0.78</v>
      </c>
      <c r="L174" s="286">
        <v>9.81</v>
      </c>
      <c r="M174" s="286" t="s">
        <v>58</v>
      </c>
    </row>
    <row r="175" spans="1:13" x14ac:dyDescent="0.25">
      <c r="A175" s="287" t="s">
        <v>309</v>
      </c>
      <c r="B175" s="286">
        <v>6.89</v>
      </c>
      <c r="C175" s="286">
        <v>0</v>
      </c>
      <c r="D175" s="286">
        <v>0</v>
      </c>
      <c r="E175" s="286">
        <v>0</v>
      </c>
      <c r="F175" s="286">
        <v>0</v>
      </c>
      <c r="G175" s="286">
        <v>0</v>
      </c>
      <c r="H175" s="286">
        <v>0</v>
      </c>
      <c r="I175" s="286">
        <v>1.77</v>
      </c>
      <c r="J175" s="286">
        <v>11.34</v>
      </c>
      <c r="K175" s="286">
        <v>0</v>
      </c>
      <c r="L175" s="286">
        <v>0</v>
      </c>
      <c r="M175" s="286" t="s">
        <v>55</v>
      </c>
    </row>
    <row r="176" spans="1:13" x14ac:dyDescent="0.25">
      <c r="A176" s="287" t="s">
        <v>310</v>
      </c>
      <c r="B176" s="286">
        <v>2.17</v>
      </c>
      <c r="C176" s="286">
        <v>24.68</v>
      </c>
      <c r="D176" s="286">
        <v>0</v>
      </c>
      <c r="E176" s="286">
        <v>0</v>
      </c>
      <c r="F176" s="286">
        <v>0.95</v>
      </c>
      <c r="G176" s="286">
        <v>1.44</v>
      </c>
      <c r="H176" s="286">
        <v>2.65</v>
      </c>
      <c r="I176" s="286">
        <v>1.81</v>
      </c>
      <c r="J176" s="286">
        <v>7.42</v>
      </c>
      <c r="K176" s="286">
        <v>0.98</v>
      </c>
      <c r="L176" s="286">
        <v>14.66</v>
      </c>
      <c r="M176" s="286" t="s">
        <v>55</v>
      </c>
    </row>
    <row r="177" spans="1:13" x14ac:dyDescent="0.25">
      <c r="A177" s="287" t="s">
        <v>311</v>
      </c>
      <c r="B177" s="286">
        <v>10.68</v>
      </c>
      <c r="C177" s="286">
        <v>28.14</v>
      </c>
      <c r="D177" s="286">
        <v>29.67</v>
      </c>
      <c r="E177" s="286">
        <v>15.65</v>
      </c>
      <c r="F177" s="286">
        <v>1.37</v>
      </c>
      <c r="G177" s="286">
        <v>2.36</v>
      </c>
      <c r="H177" s="286">
        <v>7.35</v>
      </c>
      <c r="I177" s="286">
        <v>1.39</v>
      </c>
      <c r="J177" s="286">
        <v>23.11</v>
      </c>
      <c r="K177" s="286">
        <v>0.83</v>
      </c>
      <c r="L177" s="286">
        <v>12.4</v>
      </c>
      <c r="M177" s="286" t="s">
        <v>65</v>
      </c>
    </row>
    <row r="178" spans="1:13" x14ac:dyDescent="0.25">
      <c r="A178" s="287" t="s">
        <v>1203</v>
      </c>
      <c r="B178" s="286">
        <v>10.46</v>
      </c>
      <c r="C178" s="286">
        <v>27.79</v>
      </c>
      <c r="D178" s="286">
        <v>29.26</v>
      </c>
      <c r="E178" s="286">
        <v>14.79</v>
      </c>
      <c r="F178" s="286">
        <v>1.48</v>
      </c>
      <c r="G178" s="286">
        <v>2.41</v>
      </c>
      <c r="H178" s="286">
        <v>8.0399999999999991</v>
      </c>
      <c r="I178" s="286">
        <v>1.66</v>
      </c>
      <c r="J178" s="286">
        <v>27.46</v>
      </c>
      <c r="K178" s="286">
        <v>0.75</v>
      </c>
      <c r="L178" s="286">
        <v>11.27</v>
      </c>
      <c r="M178" s="286" t="s">
        <v>71</v>
      </c>
    </row>
    <row r="179" spans="1:13" x14ac:dyDescent="0.25">
      <c r="A179" s="287" t="s">
        <v>313</v>
      </c>
      <c r="B179" s="286">
        <v>-5.41</v>
      </c>
      <c r="C179" s="286">
        <v>26.92</v>
      </c>
      <c r="D179" s="286">
        <v>25.32</v>
      </c>
      <c r="E179" s="286">
        <v>0</v>
      </c>
      <c r="F179" s="286">
        <v>0.92</v>
      </c>
      <c r="G179" s="286">
        <v>1.43</v>
      </c>
      <c r="H179" s="286">
        <v>3.08</v>
      </c>
      <c r="I179" s="286">
        <v>2.21</v>
      </c>
      <c r="J179" s="286">
        <v>4.87</v>
      </c>
      <c r="K179" s="286">
        <v>1.0900000000000001</v>
      </c>
      <c r="L179" s="286">
        <v>16.97</v>
      </c>
      <c r="M179" s="286" t="s">
        <v>84</v>
      </c>
    </row>
    <row r="180" spans="1:13" x14ac:dyDescent="0.25">
      <c r="A180" s="287" t="s">
        <v>1204</v>
      </c>
      <c r="B180" s="286">
        <v>7.05</v>
      </c>
      <c r="C180" s="286">
        <v>12.14</v>
      </c>
      <c r="D180" s="286">
        <v>12.12</v>
      </c>
      <c r="E180" s="286">
        <v>9.0500000000000007</v>
      </c>
      <c r="F180" s="286">
        <v>1.22</v>
      </c>
      <c r="G180" s="286">
        <v>2.0099999999999998</v>
      </c>
      <c r="H180" s="286">
        <v>1.43</v>
      </c>
      <c r="I180" s="286">
        <v>1.72</v>
      </c>
      <c r="J180" s="286">
        <v>0</v>
      </c>
      <c r="K180" s="286">
        <v>0.97</v>
      </c>
      <c r="L180" s="286">
        <v>4.09</v>
      </c>
      <c r="M180" s="286" t="s">
        <v>60</v>
      </c>
    </row>
    <row r="181" spans="1:13" x14ac:dyDescent="0.25">
      <c r="A181" s="287" t="s">
        <v>1205</v>
      </c>
      <c r="B181" s="286">
        <v>6.3</v>
      </c>
      <c r="C181" s="286">
        <v>17.350000000000001</v>
      </c>
      <c r="D181" s="286">
        <v>19.55</v>
      </c>
      <c r="E181" s="286">
        <v>12.3</v>
      </c>
      <c r="F181" s="286">
        <v>0.9</v>
      </c>
      <c r="G181" s="286">
        <v>1.39</v>
      </c>
      <c r="H181" s="286">
        <v>1.07</v>
      </c>
      <c r="I181" s="286">
        <v>1.69</v>
      </c>
      <c r="J181" s="286">
        <v>22.46</v>
      </c>
      <c r="K181" s="286">
        <v>0.77</v>
      </c>
      <c r="L181" s="286">
        <v>9.4600000000000009</v>
      </c>
      <c r="M181" s="286" t="s">
        <v>89</v>
      </c>
    </row>
    <row r="182" spans="1:13" x14ac:dyDescent="0.25">
      <c r="A182" s="287" t="s">
        <v>1206</v>
      </c>
      <c r="B182" s="286">
        <v>0</v>
      </c>
      <c r="C182" s="286">
        <v>0</v>
      </c>
      <c r="D182" s="286">
        <v>0</v>
      </c>
      <c r="E182" s="286">
        <v>0</v>
      </c>
      <c r="F182" s="286">
        <v>0</v>
      </c>
      <c r="G182" s="286">
        <v>0</v>
      </c>
      <c r="H182" s="286">
        <v>0</v>
      </c>
      <c r="I182" s="286">
        <v>0</v>
      </c>
      <c r="J182" s="286">
        <v>0</v>
      </c>
      <c r="K182" s="286">
        <v>0</v>
      </c>
      <c r="L182" s="286">
        <v>0</v>
      </c>
      <c r="M182" s="286" t="s">
        <v>65</v>
      </c>
    </row>
    <row r="183" spans="1:13" x14ac:dyDescent="0.25">
      <c r="A183" s="287" t="s">
        <v>314</v>
      </c>
      <c r="B183" s="286">
        <v>5.25</v>
      </c>
      <c r="C183" s="286">
        <v>26.34</v>
      </c>
      <c r="D183" s="286">
        <v>28.37</v>
      </c>
      <c r="E183" s="286">
        <v>14.23</v>
      </c>
      <c r="F183" s="286">
        <v>1.03</v>
      </c>
      <c r="G183" s="286">
        <v>1.57</v>
      </c>
      <c r="H183" s="286">
        <v>4.28</v>
      </c>
      <c r="I183" s="286">
        <v>1.65</v>
      </c>
      <c r="J183" s="286">
        <v>3.26</v>
      </c>
      <c r="K183" s="286">
        <v>1.01</v>
      </c>
      <c r="L183" s="286">
        <v>14.9</v>
      </c>
      <c r="M183" s="286" t="s">
        <v>89</v>
      </c>
    </row>
    <row r="184" spans="1:13" x14ac:dyDescent="0.25">
      <c r="A184" s="287" t="s">
        <v>315</v>
      </c>
      <c r="B184" s="286">
        <v>4.5199999999999996</v>
      </c>
      <c r="C184" s="286">
        <v>21.5</v>
      </c>
      <c r="D184" s="286">
        <v>22.91</v>
      </c>
      <c r="E184" s="286">
        <v>13.02</v>
      </c>
      <c r="F184" s="286">
        <v>0.88</v>
      </c>
      <c r="G184" s="286">
        <v>1.44</v>
      </c>
      <c r="H184" s="286">
        <v>1.97</v>
      </c>
      <c r="I184" s="286">
        <v>1.61</v>
      </c>
      <c r="J184" s="286">
        <v>19.8</v>
      </c>
      <c r="K184" s="286">
        <v>0.92</v>
      </c>
      <c r="L184" s="286">
        <v>13.01</v>
      </c>
      <c r="M184" s="286" t="s">
        <v>65</v>
      </c>
    </row>
    <row r="185" spans="1:13" x14ac:dyDescent="0.25">
      <c r="A185" s="287" t="s">
        <v>316</v>
      </c>
      <c r="B185" s="286">
        <v>-0.62</v>
      </c>
      <c r="C185" s="286">
        <v>0</v>
      </c>
      <c r="D185" s="286">
        <v>0</v>
      </c>
      <c r="E185" s="286">
        <v>0</v>
      </c>
      <c r="F185" s="286">
        <v>0</v>
      </c>
      <c r="G185" s="286">
        <v>0</v>
      </c>
      <c r="H185" s="286">
        <v>0</v>
      </c>
      <c r="I185" s="286">
        <v>1.69</v>
      </c>
      <c r="J185" s="286">
        <v>20.03</v>
      </c>
      <c r="K185" s="286">
        <v>0</v>
      </c>
      <c r="L185" s="286">
        <v>0</v>
      </c>
      <c r="M185" s="286" t="s">
        <v>71</v>
      </c>
    </row>
    <row r="186" spans="1:13" x14ac:dyDescent="0.25">
      <c r="A186" s="287" t="s">
        <v>1207</v>
      </c>
      <c r="B186" s="286">
        <v>8.91</v>
      </c>
      <c r="C186" s="286">
        <v>32.49</v>
      </c>
      <c r="D186" s="286">
        <v>32.020000000000003</v>
      </c>
      <c r="E186" s="286">
        <v>17.87</v>
      </c>
      <c r="F186" s="286">
        <v>1.36</v>
      </c>
      <c r="G186" s="286">
        <v>2.02</v>
      </c>
      <c r="H186" s="286">
        <v>4.83</v>
      </c>
      <c r="I186" s="286">
        <v>1.4</v>
      </c>
      <c r="J186" s="286">
        <v>17.649999999999999</v>
      </c>
      <c r="K186" s="286">
        <v>0.87</v>
      </c>
      <c r="L186" s="286">
        <v>15.1</v>
      </c>
      <c r="M186" s="286" t="s">
        <v>71</v>
      </c>
    </row>
    <row r="187" spans="1:13" x14ac:dyDescent="0.25">
      <c r="A187" s="287" t="s">
        <v>318</v>
      </c>
      <c r="B187" s="286">
        <v>-9.3699999999999992</v>
      </c>
      <c r="C187" s="286">
        <v>0</v>
      </c>
      <c r="D187" s="286">
        <v>0</v>
      </c>
      <c r="E187" s="286">
        <v>0</v>
      </c>
      <c r="F187" s="286">
        <v>0</v>
      </c>
      <c r="G187" s="286">
        <v>0</v>
      </c>
      <c r="H187" s="286">
        <v>0</v>
      </c>
      <c r="I187" s="286">
        <v>2.4300000000000002</v>
      </c>
      <c r="J187" s="286">
        <v>41.39</v>
      </c>
      <c r="K187" s="286">
        <v>0</v>
      </c>
      <c r="L187" s="286">
        <v>0</v>
      </c>
      <c r="M187" s="286" t="s">
        <v>84</v>
      </c>
    </row>
    <row r="188" spans="1:13" x14ac:dyDescent="0.25">
      <c r="A188" s="287" t="s">
        <v>319</v>
      </c>
      <c r="B188" s="286">
        <v>10.94</v>
      </c>
      <c r="C188" s="286">
        <v>18.559999999999999</v>
      </c>
      <c r="D188" s="286">
        <v>0</v>
      </c>
      <c r="E188" s="286">
        <v>0</v>
      </c>
      <c r="F188" s="286">
        <v>1.45</v>
      </c>
      <c r="G188" s="286">
        <v>2.4</v>
      </c>
      <c r="H188" s="286">
        <v>3.68</v>
      </c>
      <c r="I188" s="286">
        <v>1.1599999999999999</v>
      </c>
      <c r="J188" s="286">
        <v>0</v>
      </c>
      <c r="K188" s="286">
        <v>0.67</v>
      </c>
      <c r="L188" s="286">
        <v>6.67</v>
      </c>
      <c r="M188" s="286" t="s">
        <v>65</v>
      </c>
    </row>
    <row r="189" spans="1:13" x14ac:dyDescent="0.25">
      <c r="A189" s="287" t="s">
        <v>320</v>
      </c>
      <c r="B189" s="286">
        <v>9.59</v>
      </c>
      <c r="C189" s="286">
        <v>16.28</v>
      </c>
      <c r="D189" s="286">
        <v>17.25</v>
      </c>
      <c r="E189" s="286">
        <v>11.14</v>
      </c>
      <c r="F189" s="286">
        <v>1.1599999999999999</v>
      </c>
      <c r="G189" s="286">
        <v>2.3199999999999998</v>
      </c>
      <c r="H189" s="286">
        <v>1.7</v>
      </c>
      <c r="I189" s="286">
        <v>1.89</v>
      </c>
      <c r="J189" s="286">
        <v>18.12</v>
      </c>
      <c r="K189" s="286">
        <v>0.68</v>
      </c>
      <c r="L189" s="286">
        <v>6.67</v>
      </c>
      <c r="M189" s="286" t="s">
        <v>103</v>
      </c>
    </row>
    <row r="190" spans="1:13" x14ac:dyDescent="0.25">
      <c r="A190" s="287" t="s">
        <v>321</v>
      </c>
      <c r="B190" s="286">
        <v>3.31</v>
      </c>
      <c r="C190" s="286">
        <v>27.98</v>
      </c>
      <c r="D190" s="286">
        <v>0</v>
      </c>
      <c r="E190" s="286">
        <v>0</v>
      </c>
      <c r="F190" s="286">
        <v>1.1399999999999999</v>
      </c>
      <c r="G190" s="286">
        <v>1.7</v>
      </c>
      <c r="H190" s="286">
        <v>3.31</v>
      </c>
      <c r="I190" s="286">
        <v>1.68</v>
      </c>
      <c r="J190" s="286">
        <v>6.55</v>
      </c>
      <c r="K190" s="286">
        <v>0.95</v>
      </c>
      <c r="L190" s="286">
        <v>15.11</v>
      </c>
      <c r="M190" s="286" t="s">
        <v>58</v>
      </c>
    </row>
    <row r="191" spans="1:13" x14ac:dyDescent="0.25">
      <c r="A191" s="287" t="s">
        <v>345</v>
      </c>
      <c r="B191" s="286">
        <v>6.65</v>
      </c>
      <c r="C191" s="286">
        <v>0</v>
      </c>
      <c r="D191" s="286">
        <v>0</v>
      </c>
      <c r="E191" s="286">
        <v>0</v>
      </c>
      <c r="F191" s="286">
        <v>0</v>
      </c>
      <c r="G191" s="286">
        <v>0</v>
      </c>
      <c r="H191" s="286">
        <v>0</v>
      </c>
      <c r="I191" s="286">
        <v>2.25</v>
      </c>
      <c r="J191" s="286">
        <v>48.73</v>
      </c>
      <c r="K191" s="286">
        <v>0</v>
      </c>
      <c r="L191" s="286">
        <v>0</v>
      </c>
      <c r="M191" s="286" t="s">
        <v>103</v>
      </c>
    </row>
    <row r="192" spans="1:13" x14ac:dyDescent="0.25">
      <c r="A192" s="287" t="s">
        <v>346</v>
      </c>
      <c r="B192" s="286">
        <v>5.18</v>
      </c>
      <c r="C192" s="286">
        <v>24.24</v>
      </c>
      <c r="D192" s="286">
        <v>27.18</v>
      </c>
      <c r="E192" s="286">
        <v>0</v>
      </c>
      <c r="F192" s="286">
        <v>1.18</v>
      </c>
      <c r="G192" s="286">
        <v>1.8</v>
      </c>
      <c r="H192" s="286">
        <v>4.8099999999999996</v>
      </c>
      <c r="I192" s="286">
        <v>1.77</v>
      </c>
      <c r="J192" s="286">
        <v>17.38</v>
      </c>
      <c r="K192" s="286">
        <v>0.8</v>
      </c>
      <c r="L192" s="286">
        <v>11.86</v>
      </c>
      <c r="M192" s="286" t="s">
        <v>1166</v>
      </c>
    </row>
    <row r="193" spans="1:13" x14ac:dyDescent="0.25">
      <c r="A193" s="287" t="s">
        <v>1208</v>
      </c>
      <c r="B193" s="286">
        <v>6.59</v>
      </c>
      <c r="C193" s="286">
        <v>10.42</v>
      </c>
      <c r="D193" s="286">
        <v>9.36</v>
      </c>
      <c r="E193" s="286">
        <v>0</v>
      </c>
      <c r="F193" s="286">
        <v>0.95</v>
      </c>
      <c r="G193" s="286">
        <v>1.63</v>
      </c>
      <c r="H193" s="286">
        <v>0.33</v>
      </c>
      <c r="I193" s="286">
        <v>2.14</v>
      </c>
      <c r="J193" s="286">
        <v>13.1</v>
      </c>
      <c r="K193" s="286">
        <v>0.85</v>
      </c>
      <c r="L193" s="286">
        <v>3.63</v>
      </c>
      <c r="M193" s="286" t="s">
        <v>62</v>
      </c>
    </row>
    <row r="194" spans="1:13" x14ac:dyDescent="0.25">
      <c r="A194" s="287" t="s">
        <v>1209</v>
      </c>
      <c r="B194" s="286">
        <v>5.65</v>
      </c>
      <c r="C194" s="286">
        <v>18.8</v>
      </c>
      <c r="D194" s="286">
        <v>19.77</v>
      </c>
      <c r="E194" s="286">
        <v>0</v>
      </c>
      <c r="F194" s="286">
        <v>1.1100000000000001</v>
      </c>
      <c r="G194" s="286">
        <v>1.75</v>
      </c>
      <c r="H194" s="286">
        <v>2.99</v>
      </c>
      <c r="I194" s="286">
        <v>2.0299999999999998</v>
      </c>
      <c r="J194" s="286">
        <v>10.96</v>
      </c>
      <c r="K194" s="286">
        <v>0.74</v>
      </c>
      <c r="L194" s="286">
        <v>9.1</v>
      </c>
      <c r="M194" s="286" t="s">
        <v>65</v>
      </c>
    </row>
    <row r="195" spans="1:13" x14ac:dyDescent="0.25">
      <c r="A195" s="287" t="s">
        <v>347</v>
      </c>
      <c r="B195" s="286">
        <v>4.4800000000000004</v>
      </c>
      <c r="C195" s="286">
        <v>29.62</v>
      </c>
      <c r="D195" s="286">
        <v>33.81</v>
      </c>
      <c r="E195" s="286">
        <v>18.41</v>
      </c>
      <c r="F195" s="286">
        <v>1.1299999999999999</v>
      </c>
      <c r="G195" s="286">
        <v>1.67</v>
      </c>
      <c r="H195" s="286">
        <v>3.63</v>
      </c>
      <c r="I195" s="286">
        <v>1.59</v>
      </c>
      <c r="J195" s="286">
        <v>10.16</v>
      </c>
      <c r="K195" s="286">
        <v>0.81</v>
      </c>
      <c r="L195" s="286">
        <v>16.329999999999998</v>
      </c>
      <c r="M195" s="286" t="s">
        <v>1169</v>
      </c>
    </row>
    <row r="196" spans="1:13" x14ac:dyDescent="0.25">
      <c r="A196" s="287" t="s">
        <v>348</v>
      </c>
      <c r="B196" s="286">
        <v>-0.7</v>
      </c>
      <c r="C196" s="286">
        <v>0</v>
      </c>
      <c r="D196" s="286">
        <v>0</v>
      </c>
      <c r="E196" s="286">
        <v>0</v>
      </c>
      <c r="F196" s="286">
        <v>0</v>
      </c>
      <c r="G196" s="286">
        <v>0</v>
      </c>
      <c r="H196" s="286">
        <v>0</v>
      </c>
      <c r="I196" s="286">
        <v>2.12</v>
      </c>
      <c r="J196" s="286">
        <v>32.31</v>
      </c>
      <c r="K196" s="286">
        <v>0</v>
      </c>
      <c r="L196" s="286">
        <v>0</v>
      </c>
      <c r="M196" s="286" t="s">
        <v>62</v>
      </c>
    </row>
    <row r="197" spans="1:13" x14ac:dyDescent="0.25">
      <c r="A197" s="287" t="s">
        <v>349</v>
      </c>
      <c r="B197" s="286">
        <v>3.49</v>
      </c>
      <c r="C197" s="286">
        <v>0</v>
      </c>
      <c r="D197" s="286">
        <v>0</v>
      </c>
      <c r="E197" s="286">
        <v>0</v>
      </c>
      <c r="F197" s="286">
        <v>0</v>
      </c>
      <c r="G197" s="286">
        <v>0</v>
      </c>
      <c r="H197" s="286">
        <v>0</v>
      </c>
      <c r="I197" s="286">
        <v>2.4</v>
      </c>
      <c r="J197" s="286">
        <v>61</v>
      </c>
      <c r="K197" s="286">
        <v>0</v>
      </c>
      <c r="L197" s="286">
        <v>0</v>
      </c>
      <c r="M197" s="286" t="s">
        <v>71</v>
      </c>
    </row>
    <row r="198" spans="1:13" x14ac:dyDescent="0.25">
      <c r="A198" s="287" t="s">
        <v>350</v>
      </c>
      <c r="B198" s="286">
        <v>6.16</v>
      </c>
      <c r="C198" s="286">
        <v>0</v>
      </c>
      <c r="D198" s="286">
        <v>0</v>
      </c>
      <c r="E198" s="286">
        <v>0</v>
      </c>
      <c r="F198" s="286">
        <v>0</v>
      </c>
      <c r="G198" s="286">
        <v>0</v>
      </c>
      <c r="H198" s="286">
        <v>0</v>
      </c>
      <c r="I198" s="286">
        <v>1.9</v>
      </c>
      <c r="J198" s="286">
        <v>67</v>
      </c>
      <c r="K198" s="286">
        <v>0</v>
      </c>
      <c r="L198" s="286">
        <v>0</v>
      </c>
      <c r="M198" s="286" t="s">
        <v>1168</v>
      </c>
    </row>
    <row r="199" spans="1:13" x14ac:dyDescent="0.25">
      <c r="A199" s="287" t="s">
        <v>351</v>
      </c>
      <c r="B199" s="286">
        <v>0</v>
      </c>
      <c r="C199" s="286">
        <v>0</v>
      </c>
      <c r="D199" s="286">
        <v>0</v>
      </c>
      <c r="E199" s="286">
        <v>0</v>
      </c>
      <c r="F199" s="286">
        <v>0</v>
      </c>
      <c r="G199" s="286">
        <v>0</v>
      </c>
      <c r="H199" s="286">
        <v>0</v>
      </c>
      <c r="I199" s="286">
        <v>2.38</v>
      </c>
      <c r="J199" s="286">
        <v>29</v>
      </c>
      <c r="K199" s="286">
        <v>0</v>
      </c>
      <c r="L199" s="286">
        <v>0</v>
      </c>
      <c r="M199" s="286" t="s">
        <v>55</v>
      </c>
    </row>
    <row r="200" spans="1:13" x14ac:dyDescent="0.25">
      <c r="A200" s="287" t="s">
        <v>352</v>
      </c>
      <c r="B200" s="286">
        <v>0</v>
      </c>
      <c r="C200" s="286">
        <v>0</v>
      </c>
      <c r="D200" s="286">
        <v>0</v>
      </c>
      <c r="E200" s="286">
        <v>0</v>
      </c>
      <c r="F200" s="286">
        <v>0</v>
      </c>
      <c r="G200" s="286">
        <v>0</v>
      </c>
      <c r="H200" s="286">
        <v>0</v>
      </c>
      <c r="I200" s="286">
        <v>2.39</v>
      </c>
      <c r="J200" s="286">
        <v>0</v>
      </c>
      <c r="K200" s="286">
        <v>0</v>
      </c>
      <c r="L200" s="286">
        <v>0</v>
      </c>
      <c r="M200" s="286" t="s">
        <v>55</v>
      </c>
    </row>
    <row r="201" spans="1:13" x14ac:dyDescent="0.25">
      <c r="A201" s="287" t="s">
        <v>1210</v>
      </c>
      <c r="B201" s="286">
        <v>5.32</v>
      </c>
      <c r="C201" s="286">
        <v>19.25</v>
      </c>
      <c r="D201" s="286">
        <v>19.63</v>
      </c>
      <c r="E201" s="286">
        <v>12.14</v>
      </c>
      <c r="F201" s="286">
        <v>0.82</v>
      </c>
      <c r="G201" s="286">
        <v>1.1499999999999999</v>
      </c>
      <c r="H201" s="286">
        <v>0.53</v>
      </c>
      <c r="I201" s="286">
        <v>1.35</v>
      </c>
      <c r="J201" s="286">
        <v>35</v>
      </c>
      <c r="K201" s="286">
        <v>0.94</v>
      </c>
      <c r="L201" s="286">
        <v>11.62</v>
      </c>
      <c r="M201" s="286" t="s">
        <v>60</v>
      </c>
    </row>
    <row r="202" spans="1:13" x14ac:dyDescent="0.25">
      <c r="A202" s="287" t="s">
        <v>1211</v>
      </c>
      <c r="B202" s="286">
        <v>3.87</v>
      </c>
      <c r="C202" s="286">
        <v>18.95</v>
      </c>
      <c r="D202" s="286">
        <v>17.510000000000002</v>
      </c>
      <c r="E202" s="286">
        <v>11.21</v>
      </c>
      <c r="F202" s="286">
        <v>0.7</v>
      </c>
      <c r="G202" s="286">
        <v>0.83</v>
      </c>
      <c r="H202" s="286">
        <v>-0.36</v>
      </c>
      <c r="I202" s="286">
        <v>1.86</v>
      </c>
      <c r="J202" s="286">
        <v>71</v>
      </c>
      <c r="K202" s="286">
        <v>1.01</v>
      </c>
      <c r="L202" s="286">
        <v>13.28</v>
      </c>
      <c r="M202" s="286" t="s">
        <v>89</v>
      </c>
    </row>
    <row r="203" spans="1:13" x14ac:dyDescent="0.25">
      <c r="A203" s="287" t="s">
        <v>353</v>
      </c>
      <c r="B203" s="286">
        <v>6.45</v>
      </c>
      <c r="C203" s="286">
        <v>13.74</v>
      </c>
      <c r="D203" s="286">
        <v>11.41</v>
      </c>
      <c r="E203" s="286">
        <v>7.91</v>
      </c>
      <c r="F203" s="286">
        <v>0.8</v>
      </c>
      <c r="G203" s="286">
        <v>1.18</v>
      </c>
      <c r="H203" s="286">
        <v>0.74</v>
      </c>
      <c r="I203" s="286">
        <v>2.11</v>
      </c>
      <c r="J203" s="286">
        <v>354</v>
      </c>
      <c r="K203" s="286">
        <v>0.61</v>
      </c>
      <c r="L203" s="286">
        <v>6.95</v>
      </c>
      <c r="M203" s="286" t="s">
        <v>65</v>
      </c>
    </row>
    <row r="204" spans="1:13" x14ac:dyDescent="0.25">
      <c r="A204" s="287" t="s">
        <v>354</v>
      </c>
      <c r="B204" s="286">
        <v>7.49</v>
      </c>
      <c r="C204" s="286">
        <v>29.54</v>
      </c>
      <c r="D204" s="286">
        <v>27.92</v>
      </c>
      <c r="E204" s="286">
        <v>13.65</v>
      </c>
      <c r="F204" s="286">
        <v>0.99</v>
      </c>
      <c r="G204" s="286">
        <v>1.39</v>
      </c>
      <c r="H204" s="286">
        <v>4.87</v>
      </c>
      <c r="I204" s="286">
        <v>2.2400000000000002</v>
      </c>
      <c r="J204" s="286">
        <v>17</v>
      </c>
      <c r="K204" s="286">
        <v>1.1100000000000001</v>
      </c>
      <c r="L204" s="286">
        <v>17.87</v>
      </c>
      <c r="M204" s="286" t="s">
        <v>58</v>
      </c>
    </row>
    <row r="205" spans="1:13" x14ac:dyDescent="0.25">
      <c r="A205" s="287" t="s">
        <v>1212</v>
      </c>
      <c r="B205" s="286">
        <v>7.46</v>
      </c>
      <c r="C205" s="286">
        <v>11.41</v>
      </c>
      <c r="D205" s="286">
        <v>9.42</v>
      </c>
      <c r="E205" s="286">
        <v>7.76</v>
      </c>
      <c r="F205" s="286">
        <v>0.88</v>
      </c>
      <c r="G205" s="286">
        <v>1.06</v>
      </c>
      <c r="H205" s="286">
        <v>0.55000000000000004</v>
      </c>
      <c r="I205" s="286">
        <v>2.17</v>
      </c>
      <c r="J205" s="286">
        <v>259</v>
      </c>
      <c r="K205" s="286">
        <v>1.05</v>
      </c>
      <c r="L205" s="286">
        <v>4.99</v>
      </c>
      <c r="M205" s="286" t="s">
        <v>1164</v>
      </c>
    </row>
    <row r="206" spans="1:13" x14ac:dyDescent="0.25">
      <c r="A206" s="287" t="s">
        <v>355</v>
      </c>
      <c r="B206" s="286">
        <v>7.63</v>
      </c>
      <c r="C206" s="286">
        <v>0</v>
      </c>
      <c r="D206" s="286">
        <v>0</v>
      </c>
      <c r="E206" s="286">
        <v>0</v>
      </c>
      <c r="F206" s="286">
        <v>0</v>
      </c>
      <c r="G206" s="286">
        <v>0</v>
      </c>
      <c r="H206" s="286">
        <v>0</v>
      </c>
      <c r="I206" s="286">
        <v>2.11</v>
      </c>
      <c r="J206" s="286">
        <v>8</v>
      </c>
      <c r="K206" s="286">
        <v>0</v>
      </c>
      <c r="L206" s="286">
        <v>0</v>
      </c>
      <c r="M206" s="286" t="s">
        <v>84</v>
      </c>
    </row>
    <row r="207" spans="1:13" x14ac:dyDescent="0.25">
      <c r="A207" s="287" t="s">
        <v>356</v>
      </c>
      <c r="B207" s="286">
        <v>6.58</v>
      </c>
      <c r="C207" s="286">
        <v>25.4</v>
      </c>
      <c r="D207" s="286">
        <v>23.52</v>
      </c>
      <c r="E207" s="286">
        <v>12.95</v>
      </c>
      <c r="F207" s="286">
        <v>0.98</v>
      </c>
      <c r="G207" s="286">
        <v>1.27</v>
      </c>
      <c r="H207" s="286">
        <v>3.32</v>
      </c>
      <c r="I207" s="286">
        <v>1.93</v>
      </c>
      <c r="J207" s="286">
        <v>34</v>
      </c>
      <c r="K207" s="286">
        <v>0.97</v>
      </c>
      <c r="L207" s="286">
        <v>14.83</v>
      </c>
      <c r="M207" s="286" t="s">
        <v>103</v>
      </c>
    </row>
    <row r="208" spans="1:13" x14ac:dyDescent="0.25">
      <c r="A208" s="287" t="s">
        <v>357</v>
      </c>
      <c r="B208" s="286">
        <v>6.6</v>
      </c>
      <c r="C208" s="286">
        <v>20.27</v>
      </c>
      <c r="D208" s="286">
        <v>0</v>
      </c>
      <c r="E208" s="286">
        <v>0</v>
      </c>
      <c r="F208" s="286">
        <v>0.69</v>
      </c>
      <c r="G208" s="286">
        <v>0.96</v>
      </c>
      <c r="H208" s="286">
        <v>-0.64</v>
      </c>
      <c r="I208" s="286">
        <v>2.12</v>
      </c>
      <c r="J208" s="286">
        <v>48</v>
      </c>
      <c r="K208" s="286">
        <v>0.96</v>
      </c>
      <c r="L208" s="286">
        <v>15.13</v>
      </c>
      <c r="M208" s="286" t="s">
        <v>1168</v>
      </c>
    </row>
    <row r="209" spans="1:13" x14ac:dyDescent="0.25">
      <c r="A209" s="287" t="s">
        <v>358</v>
      </c>
      <c r="B209" s="286">
        <v>0</v>
      </c>
      <c r="C209" s="286">
        <v>0</v>
      </c>
      <c r="D209" s="286">
        <v>0</v>
      </c>
      <c r="E209" s="286">
        <v>0</v>
      </c>
      <c r="F209" s="286">
        <v>0</v>
      </c>
      <c r="G209" s="286">
        <v>0</v>
      </c>
      <c r="H209" s="286">
        <v>0</v>
      </c>
      <c r="I209" s="286">
        <v>2.0699999999999998</v>
      </c>
      <c r="J209" s="286">
        <v>4</v>
      </c>
      <c r="K209" s="286">
        <v>0</v>
      </c>
      <c r="L209" s="286">
        <v>0</v>
      </c>
      <c r="M209" s="286" t="s">
        <v>65</v>
      </c>
    </row>
    <row r="210" spans="1:13" x14ac:dyDescent="0.25">
      <c r="A210" s="287" t="s">
        <v>359</v>
      </c>
      <c r="B210" s="286">
        <v>2.74</v>
      </c>
      <c r="C210" s="286">
        <v>25.71</v>
      </c>
      <c r="D210" s="286">
        <v>23.87</v>
      </c>
      <c r="E210" s="286">
        <v>0</v>
      </c>
      <c r="F210" s="286">
        <v>0.88</v>
      </c>
      <c r="G210" s="286">
        <v>0.98</v>
      </c>
      <c r="H210" s="286">
        <v>4.0199999999999996</v>
      </c>
      <c r="I210" s="286">
        <v>1.91</v>
      </c>
      <c r="J210" s="286">
        <v>90</v>
      </c>
      <c r="K210" s="286">
        <v>0.99</v>
      </c>
      <c r="L210" s="286">
        <v>16.95</v>
      </c>
      <c r="M210" s="286" t="s">
        <v>89</v>
      </c>
    </row>
    <row r="211" spans="1:13" x14ac:dyDescent="0.25">
      <c r="A211" s="287" t="s">
        <v>360</v>
      </c>
      <c r="B211" s="286">
        <v>4.1900000000000004</v>
      </c>
      <c r="C211" s="286">
        <v>19.55</v>
      </c>
      <c r="D211" s="286">
        <v>19.61</v>
      </c>
      <c r="E211" s="286">
        <v>11.74</v>
      </c>
      <c r="F211" s="286">
        <v>0.7</v>
      </c>
      <c r="G211" s="286">
        <v>1.07</v>
      </c>
      <c r="H211" s="286">
        <v>-0.36</v>
      </c>
      <c r="I211" s="286">
        <v>2.14</v>
      </c>
      <c r="J211" s="286">
        <v>58</v>
      </c>
      <c r="K211" s="286">
        <v>0.98</v>
      </c>
      <c r="L211" s="286">
        <v>13.9</v>
      </c>
      <c r="M211" s="286" t="s">
        <v>103</v>
      </c>
    </row>
    <row r="212" spans="1:13" x14ac:dyDescent="0.25">
      <c r="A212" s="287" t="s">
        <v>361</v>
      </c>
      <c r="B212" s="286">
        <v>5.87</v>
      </c>
      <c r="C212" s="286">
        <v>28.86</v>
      </c>
      <c r="D212" s="286">
        <v>26.44</v>
      </c>
      <c r="E212" s="286">
        <v>16.239999999999998</v>
      </c>
      <c r="F212" s="286">
        <v>1.01</v>
      </c>
      <c r="G212" s="286">
        <v>1.1200000000000001</v>
      </c>
      <c r="H212" s="286">
        <v>0.36</v>
      </c>
      <c r="I212" s="286">
        <v>1.73</v>
      </c>
      <c r="J212" s="286">
        <v>96</v>
      </c>
      <c r="K212" s="286">
        <v>0.95</v>
      </c>
      <c r="L212" s="286">
        <v>17.34</v>
      </c>
      <c r="M212" s="286" t="s">
        <v>55</v>
      </c>
    </row>
    <row r="213" spans="1:13" x14ac:dyDescent="0.25">
      <c r="A213" s="287" t="s">
        <v>362</v>
      </c>
      <c r="B213" s="286">
        <v>8.19</v>
      </c>
      <c r="C213" s="286">
        <v>17.62</v>
      </c>
      <c r="D213" s="286">
        <v>17.36</v>
      </c>
      <c r="E213" s="286">
        <v>11.32</v>
      </c>
      <c r="F213" s="286">
        <v>0.85</v>
      </c>
      <c r="G213" s="286">
        <v>1.21</v>
      </c>
      <c r="H213" s="286">
        <v>-0.26</v>
      </c>
      <c r="I213" s="286">
        <v>1.45</v>
      </c>
      <c r="J213" s="286">
        <v>95</v>
      </c>
      <c r="K213" s="286">
        <v>0.95</v>
      </c>
      <c r="L213" s="286">
        <v>9.6300000000000008</v>
      </c>
      <c r="M213" s="286" t="s">
        <v>1166</v>
      </c>
    </row>
    <row r="214" spans="1:13" x14ac:dyDescent="0.25">
      <c r="A214" s="287" t="s">
        <v>363</v>
      </c>
      <c r="B214" s="286">
        <v>4.72</v>
      </c>
      <c r="C214" s="286">
        <v>0</v>
      </c>
      <c r="D214" s="286">
        <v>0</v>
      </c>
      <c r="E214" s="286">
        <v>0</v>
      </c>
      <c r="F214" s="286">
        <v>0</v>
      </c>
      <c r="G214" s="286">
        <v>0</v>
      </c>
      <c r="H214" s="286">
        <v>0</v>
      </c>
      <c r="I214" s="286">
        <v>1.87</v>
      </c>
      <c r="J214" s="286">
        <v>89</v>
      </c>
      <c r="K214" s="286">
        <v>0</v>
      </c>
      <c r="L214" s="286">
        <v>0</v>
      </c>
      <c r="M214" s="286" t="s">
        <v>62</v>
      </c>
    </row>
    <row r="215" spans="1:13" x14ac:dyDescent="0.25">
      <c r="A215" s="287" t="s">
        <v>364</v>
      </c>
      <c r="B215" s="286">
        <v>3.57</v>
      </c>
      <c r="C215" s="286">
        <v>0</v>
      </c>
      <c r="D215" s="286">
        <v>0</v>
      </c>
      <c r="E215" s="286">
        <v>0</v>
      </c>
      <c r="F215" s="286">
        <v>0</v>
      </c>
      <c r="G215" s="286">
        <v>0</v>
      </c>
      <c r="H215" s="286">
        <v>0</v>
      </c>
      <c r="I215" s="286">
        <v>1.85</v>
      </c>
      <c r="J215" s="286">
        <v>33</v>
      </c>
      <c r="K215" s="286">
        <v>0</v>
      </c>
      <c r="L215" s="286">
        <v>0</v>
      </c>
      <c r="M215" s="286" t="s">
        <v>55</v>
      </c>
    </row>
    <row r="216" spans="1:13" x14ac:dyDescent="0.25">
      <c r="A216" s="287" t="s">
        <v>367</v>
      </c>
      <c r="B216" s="286">
        <v>-1.82</v>
      </c>
      <c r="C216" s="286">
        <v>27.2</v>
      </c>
      <c r="D216" s="286">
        <v>34.39</v>
      </c>
      <c r="E216" s="286">
        <v>18.11</v>
      </c>
      <c r="F216" s="286">
        <v>0.9</v>
      </c>
      <c r="G216" s="286">
        <v>1.1599999999999999</v>
      </c>
      <c r="H216" s="286">
        <v>0.12</v>
      </c>
      <c r="I216" s="286">
        <v>1.68</v>
      </c>
      <c r="J216" s="286">
        <v>34</v>
      </c>
      <c r="K216" s="286">
        <v>0.9</v>
      </c>
      <c r="L216" s="286">
        <v>18.41</v>
      </c>
      <c r="M216" s="286" t="s">
        <v>65</v>
      </c>
    </row>
    <row r="217" spans="1:13" x14ac:dyDescent="0.25">
      <c r="A217" s="287" t="s">
        <v>368</v>
      </c>
      <c r="B217" s="286">
        <v>11.18</v>
      </c>
      <c r="C217" s="286">
        <v>15.94</v>
      </c>
      <c r="D217" s="286">
        <v>16.66</v>
      </c>
      <c r="E217" s="286">
        <v>12.41</v>
      </c>
      <c r="F217" s="286">
        <v>1.45</v>
      </c>
      <c r="G217" s="286">
        <v>1.94</v>
      </c>
      <c r="H217" s="286">
        <v>3.02</v>
      </c>
      <c r="I217" s="286">
        <v>1.27</v>
      </c>
      <c r="J217" s="286">
        <v>6</v>
      </c>
      <c r="K217" s="286">
        <v>0.52</v>
      </c>
      <c r="L217" s="286">
        <v>5.27</v>
      </c>
      <c r="M217" s="286" t="s">
        <v>58</v>
      </c>
    </row>
    <row r="218" spans="1:13" x14ac:dyDescent="0.25">
      <c r="A218" s="287" t="s">
        <v>369</v>
      </c>
      <c r="B218" s="286">
        <v>10.19</v>
      </c>
      <c r="C218" s="286">
        <v>15.12</v>
      </c>
      <c r="D218" s="286">
        <v>15.87</v>
      </c>
      <c r="E218" s="286">
        <v>11.21</v>
      </c>
      <c r="F218" s="286">
        <v>1.18</v>
      </c>
      <c r="G218" s="286">
        <v>1.86</v>
      </c>
      <c r="H218" s="286">
        <v>2.57</v>
      </c>
      <c r="I218" s="286">
        <v>1.45</v>
      </c>
      <c r="J218" s="286">
        <v>34</v>
      </c>
      <c r="K218" s="286">
        <v>0.54</v>
      </c>
      <c r="L218" s="286">
        <v>5.76</v>
      </c>
      <c r="M218" s="286" t="s">
        <v>1168</v>
      </c>
    </row>
    <row r="219" spans="1:13" x14ac:dyDescent="0.25">
      <c r="A219" s="287" t="s">
        <v>370</v>
      </c>
      <c r="B219" s="286">
        <v>-0.22</v>
      </c>
      <c r="C219" s="286">
        <v>34.83</v>
      </c>
      <c r="D219" s="286">
        <v>33.270000000000003</v>
      </c>
      <c r="E219" s="286">
        <v>0</v>
      </c>
      <c r="F219" s="286">
        <v>1.27</v>
      </c>
      <c r="G219" s="286">
        <v>2.0699999999999998</v>
      </c>
      <c r="H219" s="286">
        <v>11.14</v>
      </c>
      <c r="I219" s="286">
        <v>0.13</v>
      </c>
      <c r="J219" s="286">
        <v>0</v>
      </c>
      <c r="K219" s="286">
        <v>1.1000000000000001</v>
      </c>
      <c r="L219" s="286">
        <v>17.7</v>
      </c>
      <c r="M219" s="286" t="s">
        <v>58</v>
      </c>
    </row>
    <row r="220" spans="1:13" x14ac:dyDescent="0.25">
      <c r="A220" s="287" t="s">
        <v>371</v>
      </c>
      <c r="B220" s="286">
        <v>4.3899999999999997</v>
      </c>
      <c r="C220" s="286">
        <v>20.25</v>
      </c>
      <c r="D220" s="286">
        <v>21.25</v>
      </c>
      <c r="E220" s="286">
        <v>0</v>
      </c>
      <c r="F220" s="286">
        <v>0.93</v>
      </c>
      <c r="G220" s="286">
        <v>1.18</v>
      </c>
      <c r="H220" s="286">
        <v>2.29</v>
      </c>
      <c r="I220" s="286">
        <v>2</v>
      </c>
      <c r="J220" s="286">
        <v>90</v>
      </c>
      <c r="K220" s="286">
        <v>0.67</v>
      </c>
      <c r="L220" s="286">
        <v>12.78</v>
      </c>
      <c r="M220" s="286" t="s">
        <v>55</v>
      </c>
    </row>
    <row r="221" spans="1:13" x14ac:dyDescent="0.25">
      <c r="A221" s="287" t="s">
        <v>378</v>
      </c>
      <c r="B221" s="286">
        <v>9.75</v>
      </c>
      <c r="C221" s="286">
        <v>26.69</v>
      </c>
      <c r="D221" s="286">
        <v>0</v>
      </c>
      <c r="E221" s="286">
        <v>0</v>
      </c>
      <c r="F221" s="286">
        <v>1.21</v>
      </c>
      <c r="G221" s="286">
        <v>2.5299999999999998</v>
      </c>
      <c r="H221" s="286">
        <v>6</v>
      </c>
      <c r="I221" s="286">
        <v>1.7</v>
      </c>
      <c r="J221" s="286">
        <v>25</v>
      </c>
      <c r="K221" s="286">
        <v>0.85</v>
      </c>
      <c r="L221" s="286">
        <v>12.98</v>
      </c>
      <c r="M221" s="286" t="s">
        <v>55</v>
      </c>
    </row>
    <row r="222" spans="1:13" x14ac:dyDescent="0.25">
      <c r="A222" s="287" t="s">
        <v>1213</v>
      </c>
      <c r="B222" s="286">
        <v>8.4600000000000009</v>
      </c>
      <c r="C222" s="286">
        <v>22.77</v>
      </c>
      <c r="D222" s="286">
        <v>21.09</v>
      </c>
      <c r="E222" s="286">
        <v>12.73</v>
      </c>
      <c r="F222" s="286">
        <v>0.96</v>
      </c>
      <c r="G222" s="286">
        <v>1.33</v>
      </c>
      <c r="H222" s="286">
        <v>2.35</v>
      </c>
      <c r="I222" s="286">
        <v>2.19</v>
      </c>
      <c r="J222" s="286">
        <v>53</v>
      </c>
      <c r="K222" s="286">
        <v>1</v>
      </c>
      <c r="L222" s="286">
        <v>12.45</v>
      </c>
      <c r="M222" s="286" t="s">
        <v>58</v>
      </c>
    </row>
    <row r="223" spans="1:13" x14ac:dyDescent="0.25">
      <c r="A223" s="287" t="s">
        <v>379</v>
      </c>
      <c r="B223" s="286">
        <v>-0.69</v>
      </c>
      <c r="C223" s="286">
        <v>24.97</v>
      </c>
      <c r="D223" s="286">
        <v>35.31</v>
      </c>
      <c r="E223" s="286">
        <v>0</v>
      </c>
      <c r="F223" s="286">
        <v>0.76</v>
      </c>
      <c r="G223" s="286">
        <v>1.17</v>
      </c>
      <c r="H223" s="286">
        <v>0.88</v>
      </c>
      <c r="I223" s="286">
        <v>2</v>
      </c>
      <c r="J223" s="286">
        <v>24</v>
      </c>
      <c r="K223" s="286">
        <v>1.03</v>
      </c>
      <c r="L223" s="286">
        <v>16.79</v>
      </c>
      <c r="M223" s="286" t="s">
        <v>1169</v>
      </c>
    </row>
    <row r="224" spans="1:13" x14ac:dyDescent="0.25">
      <c r="A224" s="287" t="s">
        <v>380</v>
      </c>
      <c r="B224" s="286">
        <v>7.93</v>
      </c>
      <c r="C224" s="286">
        <v>28.62</v>
      </c>
      <c r="D224" s="286">
        <v>30.83</v>
      </c>
      <c r="E224" s="286">
        <v>15.99</v>
      </c>
      <c r="F224" s="286">
        <v>1.31</v>
      </c>
      <c r="G224" s="286">
        <v>2.12</v>
      </c>
      <c r="H224" s="286">
        <v>7.34</v>
      </c>
      <c r="I224" s="286">
        <v>1.83</v>
      </c>
      <c r="J224" s="286">
        <v>26</v>
      </c>
      <c r="K224" s="286">
        <v>0.84</v>
      </c>
      <c r="L224" s="286">
        <v>13.04</v>
      </c>
      <c r="M224" s="286" t="s">
        <v>1168</v>
      </c>
    </row>
    <row r="225" spans="1:13" x14ac:dyDescent="0.25">
      <c r="A225" s="287" t="s">
        <v>381</v>
      </c>
      <c r="B225" s="286">
        <v>0</v>
      </c>
      <c r="C225" s="286">
        <v>0</v>
      </c>
      <c r="D225" s="286">
        <v>0</v>
      </c>
      <c r="E225" s="286">
        <v>0</v>
      </c>
      <c r="F225" s="286">
        <v>0</v>
      </c>
      <c r="G225" s="286">
        <v>0</v>
      </c>
      <c r="H225" s="286">
        <v>0</v>
      </c>
      <c r="I225" s="286">
        <v>1.72</v>
      </c>
      <c r="J225" s="286">
        <v>77</v>
      </c>
      <c r="K225" s="286">
        <v>0</v>
      </c>
      <c r="L225" s="286">
        <v>0</v>
      </c>
      <c r="M225" s="286" t="s">
        <v>71</v>
      </c>
    </row>
    <row r="226" spans="1:13" x14ac:dyDescent="0.25">
      <c r="A226" s="287" t="s">
        <v>1214</v>
      </c>
      <c r="B226" s="286">
        <v>10.23</v>
      </c>
      <c r="C226" s="286">
        <v>23.11</v>
      </c>
      <c r="D226" s="286">
        <v>26.07</v>
      </c>
      <c r="E226" s="286">
        <v>15.74</v>
      </c>
      <c r="F226" s="286">
        <v>1.29</v>
      </c>
      <c r="G226" s="286">
        <v>2.23</v>
      </c>
      <c r="H226" s="286">
        <v>5.3</v>
      </c>
      <c r="I226" s="286">
        <v>1.57</v>
      </c>
      <c r="J226" s="286">
        <v>33</v>
      </c>
      <c r="K226" s="286">
        <v>0.77</v>
      </c>
      <c r="L226" s="286">
        <v>9.8699999999999992</v>
      </c>
      <c r="M226" s="286" t="s">
        <v>65</v>
      </c>
    </row>
    <row r="227" spans="1:13" x14ac:dyDescent="0.25">
      <c r="A227" s="287" t="s">
        <v>382</v>
      </c>
      <c r="B227" s="286">
        <v>0</v>
      </c>
      <c r="C227" s="286">
        <v>0</v>
      </c>
      <c r="D227" s="286">
        <v>0</v>
      </c>
      <c r="E227" s="286">
        <v>0</v>
      </c>
      <c r="F227" s="286">
        <v>0</v>
      </c>
      <c r="G227" s="286">
        <v>0</v>
      </c>
      <c r="H227" s="286">
        <v>0</v>
      </c>
      <c r="I227" s="286">
        <v>1.91</v>
      </c>
      <c r="J227" s="286">
        <v>42</v>
      </c>
      <c r="K227" s="286">
        <v>0</v>
      </c>
      <c r="L227" s="286">
        <v>0</v>
      </c>
      <c r="M227" s="286" t="s">
        <v>58</v>
      </c>
    </row>
    <row r="228" spans="1:13" x14ac:dyDescent="0.25">
      <c r="A228" s="287" t="s">
        <v>383</v>
      </c>
      <c r="B228" s="286">
        <v>12.18</v>
      </c>
      <c r="C228" s="286">
        <v>24.05</v>
      </c>
      <c r="D228" s="286">
        <v>0</v>
      </c>
      <c r="E228" s="286">
        <v>0</v>
      </c>
      <c r="F228" s="286">
        <v>1.0900000000000001</v>
      </c>
      <c r="G228" s="286">
        <v>1.76</v>
      </c>
      <c r="H228" s="286">
        <v>5.21</v>
      </c>
      <c r="I228" s="286">
        <v>2.14</v>
      </c>
      <c r="J228" s="286">
        <v>19</v>
      </c>
      <c r="K228" s="286">
        <v>0.86</v>
      </c>
      <c r="L228" s="286">
        <v>12.84</v>
      </c>
      <c r="M228" s="286" t="s">
        <v>84</v>
      </c>
    </row>
    <row r="229" spans="1:13" x14ac:dyDescent="0.25">
      <c r="A229" s="287" t="s">
        <v>384</v>
      </c>
      <c r="B229" s="286">
        <v>10.82</v>
      </c>
      <c r="C229" s="286">
        <v>24.69</v>
      </c>
      <c r="D229" s="286">
        <v>26.44</v>
      </c>
      <c r="E229" s="286">
        <v>14.16</v>
      </c>
      <c r="F229" s="286">
        <v>1.23</v>
      </c>
      <c r="G229" s="286">
        <v>2.4900000000000002</v>
      </c>
      <c r="H229" s="286">
        <v>5.59</v>
      </c>
      <c r="I229" s="286">
        <v>2.27</v>
      </c>
      <c r="J229" s="286">
        <v>99</v>
      </c>
      <c r="K229" s="286">
        <v>0.76</v>
      </c>
      <c r="L229" s="286">
        <v>11.63</v>
      </c>
      <c r="M229" s="286" t="s">
        <v>60</v>
      </c>
    </row>
    <row r="230" spans="1:13" x14ac:dyDescent="0.25">
      <c r="A230" s="287" t="s">
        <v>385</v>
      </c>
      <c r="B230" s="286">
        <v>4.91</v>
      </c>
      <c r="C230" s="286">
        <v>22.46</v>
      </c>
      <c r="D230" s="286">
        <v>0</v>
      </c>
      <c r="E230" s="286">
        <v>0</v>
      </c>
      <c r="F230" s="286">
        <v>0.97</v>
      </c>
      <c r="G230" s="286">
        <v>1.48</v>
      </c>
      <c r="H230" s="286">
        <v>2.95</v>
      </c>
      <c r="I230" s="286">
        <v>1.69</v>
      </c>
      <c r="J230" s="286">
        <v>36</v>
      </c>
      <c r="K230" s="286">
        <v>0.89</v>
      </c>
      <c r="L230" s="286">
        <v>13.5</v>
      </c>
      <c r="M230" s="286" t="s">
        <v>89</v>
      </c>
    </row>
    <row r="231" spans="1:13" x14ac:dyDescent="0.25">
      <c r="A231" s="287" t="s">
        <v>386</v>
      </c>
      <c r="B231" s="286">
        <v>-0.56000000000000005</v>
      </c>
      <c r="C231" s="286">
        <v>12.72</v>
      </c>
      <c r="D231" s="286">
        <v>15.43</v>
      </c>
      <c r="E231" s="286">
        <v>11.94</v>
      </c>
      <c r="F231" s="286">
        <v>0.43</v>
      </c>
      <c r="G231" s="286">
        <v>0.56000000000000005</v>
      </c>
      <c r="H231" s="286">
        <v>-2.76</v>
      </c>
      <c r="I231" s="286">
        <v>2.13</v>
      </c>
      <c r="J231" s="286">
        <v>37</v>
      </c>
      <c r="K231" s="286">
        <v>0.73</v>
      </c>
      <c r="L231" s="286">
        <v>13.18</v>
      </c>
      <c r="M231" s="286" t="s">
        <v>65</v>
      </c>
    </row>
    <row r="232" spans="1:13" x14ac:dyDescent="0.25">
      <c r="A232" s="287" t="s">
        <v>387</v>
      </c>
      <c r="B232" s="286">
        <v>12.03</v>
      </c>
      <c r="C232" s="286">
        <v>27.45</v>
      </c>
      <c r="D232" s="286">
        <v>26.44</v>
      </c>
      <c r="E232" s="286">
        <v>15</v>
      </c>
      <c r="F232" s="286">
        <v>1.1599999999999999</v>
      </c>
      <c r="G232" s="286">
        <v>2.08</v>
      </c>
      <c r="H232" s="286">
        <v>5.61</v>
      </c>
      <c r="I232" s="286">
        <v>1.72</v>
      </c>
      <c r="J232" s="286">
        <v>89</v>
      </c>
      <c r="K232" s="286">
        <v>0.92</v>
      </c>
      <c r="L232" s="286">
        <v>13.93</v>
      </c>
      <c r="M232" s="286" t="s">
        <v>65</v>
      </c>
    </row>
    <row r="233" spans="1:13" x14ac:dyDescent="0.25">
      <c r="A233" s="287" t="s">
        <v>388</v>
      </c>
      <c r="B233" s="286">
        <v>4.07</v>
      </c>
      <c r="C233" s="286">
        <v>22.6</v>
      </c>
      <c r="D233" s="286">
        <v>0</v>
      </c>
      <c r="E233" s="286">
        <v>0</v>
      </c>
      <c r="F233" s="286">
        <v>1.01</v>
      </c>
      <c r="G233" s="286">
        <v>1.74</v>
      </c>
      <c r="H233" s="286">
        <v>3.35</v>
      </c>
      <c r="I233" s="286">
        <v>2.0499999999999998</v>
      </c>
      <c r="J233" s="286">
        <v>69</v>
      </c>
      <c r="K233" s="286">
        <v>0.83</v>
      </c>
      <c r="L233" s="286">
        <v>12.77</v>
      </c>
      <c r="M233" s="286" t="s">
        <v>65</v>
      </c>
    </row>
    <row r="234" spans="1:13" x14ac:dyDescent="0.25">
      <c r="A234" s="287" t="s">
        <v>389</v>
      </c>
      <c r="B234" s="286">
        <v>8.83</v>
      </c>
      <c r="C234" s="286">
        <v>25.32</v>
      </c>
      <c r="D234" s="286">
        <v>27.98</v>
      </c>
      <c r="E234" s="286">
        <v>0</v>
      </c>
      <c r="F234" s="286">
        <v>1.17</v>
      </c>
      <c r="G234" s="286">
        <v>1.93</v>
      </c>
      <c r="H234" s="286">
        <v>4.99</v>
      </c>
      <c r="I234" s="286">
        <v>1.24</v>
      </c>
      <c r="J234" s="286">
        <v>0</v>
      </c>
      <c r="K234" s="286">
        <v>0.84</v>
      </c>
      <c r="L234" s="286">
        <v>12.57</v>
      </c>
      <c r="M234" s="286" t="s">
        <v>65</v>
      </c>
    </row>
    <row r="235" spans="1:13" x14ac:dyDescent="0.25">
      <c r="A235" s="287" t="s">
        <v>390</v>
      </c>
      <c r="B235" s="286">
        <v>11.86</v>
      </c>
      <c r="C235" s="286">
        <v>29.06</v>
      </c>
      <c r="D235" s="286">
        <v>31.83</v>
      </c>
      <c r="E235" s="286">
        <v>0</v>
      </c>
      <c r="F235" s="286">
        <v>1.43</v>
      </c>
      <c r="G235" s="286">
        <v>2.83</v>
      </c>
      <c r="H235" s="286">
        <v>8.41</v>
      </c>
      <c r="I235" s="286">
        <v>1.6</v>
      </c>
      <c r="J235" s="286">
        <v>68</v>
      </c>
      <c r="K235" s="286">
        <v>0.8</v>
      </c>
      <c r="L235" s="286">
        <v>12.31</v>
      </c>
      <c r="M235" s="286" t="s">
        <v>71</v>
      </c>
    </row>
    <row r="236" spans="1:13" x14ac:dyDescent="0.25">
      <c r="A236" s="287" t="s">
        <v>391</v>
      </c>
      <c r="B236" s="286">
        <v>7.82</v>
      </c>
      <c r="C236" s="286">
        <v>0</v>
      </c>
      <c r="D236" s="286">
        <v>0</v>
      </c>
      <c r="E236" s="286">
        <v>0</v>
      </c>
      <c r="F236" s="286">
        <v>0</v>
      </c>
      <c r="G236" s="286">
        <v>0</v>
      </c>
      <c r="H236" s="286">
        <v>0</v>
      </c>
      <c r="I236" s="286">
        <v>1.81</v>
      </c>
      <c r="J236" s="286">
        <v>101</v>
      </c>
      <c r="K236" s="286">
        <v>0</v>
      </c>
      <c r="L236" s="286">
        <v>0</v>
      </c>
      <c r="M236" s="286" t="s">
        <v>89</v>
      </c>
    </row>
    <row r="237" spans="1:13" x14ac:dyDescent="0.25">
      <c r="A237" s="287" t="s">
        <v>1160</v>
      </c>
      <c r="B237" s="286">
        <v>8.3800000000000008</v>
      </c>
      <c r="C237" s="286">
        <v>22.99</v>
      </c>
      <c r="D237" s="286">
        <v>23.77</v>
      </c>
      <c r="E237" s="286">
        <v>14.35</v>
      </c>
      <c r="F237" s="286">
        <v>1.01</v>
      </c>
      <c r="G237" s="286">
        <v>1.79</v>
      </c>
      <c r="H237" s="286">
        <v>3.56</v>
      </c>
      <c r="I237" s="286">
        <v>1.42</v>
      </c>
      <c r="J237" s="286">
        <v>16</v>
      </c>
      <c r="K237" s="286">
        <v>0.89</v>
      </c>
      <c r="L237" s="286">
        <v>12.53</v>
      </c>
      <c r="M237" s="286" t="s">
        <v>65</v>
      </c>
    </row>
    <row r="238" spans="1:13" x14ac:dyDescent="0.25">
      <c r="A238" s="287" t="s">
        <v>392</v>
      </c>
      <c r="B238" s="286">
        <v>9.48</v>
      </c>
      <c r="C238" s="286">
        <v>26.25</v>
      </c>
      <c r="D238" s="286">
        <v>29.03</v>
      </c>
      <c r="E238" s="286">
        <v>15.66</v>
      </c>
      <c r="F238" s="286">
        <v>1.26</v>
      </c>
      <c r="G238" s="286">
        <v>2.04</v>
      </c>
      <c r="H238" s="286">
        <v>6.58</v>
      </c>
      <c r="I238" s="286">
        <v>1.66</v>
      </c>
      <c r="J238" s="286">
        <v>62</v>
      </c>
      <c r="K238" s="286">
        <v>0.84</v>
      </c>
      <c r="L238" s="286">
        <v>12.58</v>
      </c>
      <c r="M238" s="286" t="s">
        <v>65</v>
      </c>
    </row>
    <row r="239" spans="1:13" x14ac:dyDescent="0.25">
      <c r="A239" s="287" t="s">
        <v>393</v>
      </c>
      <c r="B239" s="286">
        <v>-1.19</v>
      </c>
      <c r="C239" s="286">
        <v>29.8</v>
      </c>
      <c r="D239" s="286">
        <v>30.11</v>
      </c>
      <c r="E239" s="286">
        <v>0</v>
      </c>
      <c r="F239" s="286">
        <v>1.1100000000000001</v>
      </c>
      <c r="G239" s="286">
        <v>1.63</v>
      </c>
      <c r="H239" s="286">
        <v>6.38</v>
      </c>
      <c r="I239" s="286">
        <v>1.82</v>
      </c>
      <c r="J239" s="286">
        <v>48</v>
      </c>
      <c r="K239" s="286">
        <v>1.08</v>
      </c>
      <c r="L239" s="286">
        <v>16.920000000000002</v>
      </c>
      <c r="M239" s="286" t="s">
        <v>71</v>
      </c>
    </row>
    <row r="240" spans="1:13" x14ac:dyDescent="0.25">
      <c r="A240" s="287" t="s">
        <v>394</v>
      </c>
      <c r="B240" s="286">
        <v>5.29</v>
      </c>
      <c r="C240" s="286">
        <v>27.68</v>
      </c>
      <c r="D240" s="286">
        <v>30.6</v>
      </c>
      <c r="E240" s="286">
        <v>15.86</v>
      </c>
      <c r="F240" s="286">
        <v>1</v>
      </c>
      <c r="G240" s="286">
        <v>1.45</v>
      </c>
      <c r="H240" s="286">
        <v>-0.31</v>
      </c>
      <c r="I240" s="286">
        <v>1.87</v>
      </c>
      <c r="J240" s="286">
        <v>59</v>
      </c>
      <c r="K240" s="286">
        <v>0.93</v>
      </c>
      <c r="L240" s="286">
        <v>16.600000000000001</v>
      </c>
      <c r="M240" s="286" t="s">
        <v>84</v>
      </c>
    </row>
    <row r="241" spans="1:13" x14ac:dyDescent="0.25">
      <c r="A241" s="287" t="s">
        <v>395</v>
      </c>
      <c r="B241" s="286">
        <v>0.18</v>
      </c>
      <c r="C241" s="286">
        <v>17.11</v>
      </c>
      <c r="D241" s="286">
        <v>22.96</v>
      </c>
      <c r="E241" s="286">
        <v>0</v>
      </c>
      <c r="F241" s="286">
        <v>0.68</v>
      </c>
      <c r="G241" s="286">
        <v>0.88</v>
      </c>
      <c r="H241" s="286">
        <v>-0.63</v>
      </c>
      <c r="I241" s="286">
        <v>2.14</v>
      </c>
      <c r="J241" s="286">
        <v>57</v>
      </c>
      <c r="K241" s="286">
        <v>0.79</v>
      </c>
      <c r="L241" s="286">
        <v>12.47</v>
      </c>
      <c r="M241" s="286" t="s">
        <v>65</v>
      </c>
    </row>
    <row r="242" spans="1:13" x14ac:dyDescent="0.25">
      <c r="A242" s="287" t="s">
        <v>396</v>
      </c>
      <c r="B242" s="286">
        <v>12.16</v>
      </c>
      <c r="C242" s="286">
        <v>22.37</v>
      </c>
      <c r="D242" s="286">
        <v>24.58</v>
      </c>
      <c r="E242" s="286">
        <v>15.21</v>
      </c>
      <c r="F242" s="286">
        <v>1.61</v>
      </c>
      <c r="G242" s="286">
        <v>2.76</v>
      </c>
      <c r="H242" s="286">
        <v>5.85</v>
      </c>
      <c r="I242" s="286">
        <v>1.4</v>
      </c>
      <c r="J242" s="286">
        <v>29</v>
      </c>
      <c r="K242" s="286">
        <v>0.72</v>
      </c>
      <c r="L242" s="286">
        <v>7.57</v>
      </c>
      <c r="M242" s="286" t="s">
        <v>58</v>
      </c>
    </row>
    <row r="243" spans="1:13" x14ac:dyDescent="0.25">
      <c r="A243" s="287" t="s">
        <v>397</v>
      </c>
      <c r="B243" s="286">
        <v>6.63</v>
      </c>
      <c r="C243" s="286">
        <v>25.89</v>
      </c>
      <c r="D243" s="286">
        <v>26.25</v>
      </c>
      <c r="E243" s="286">
        <v>14.74</v>
      </c>
      <c r="F243" s="286">
        <v>1.18</v>
      </c>
      <c r="G243" s="286">
        <v>1.95</v>
      </c>
      <c r="H243" s="286">
        <v>3.71</v>
      </c>
      <c r="I243" s="286">
        <v>1.74</v>
      </c>
      <c r="J243" s="286">
        <v>69</v>
      </c>
      <c r="K243" s="286">
        <v>0.83</v>
      </c>
      <c r="L243" s="286">
        <v>13.41</v>
      </c>
      <c r="M243" s="286" t="s">
        <v>103</v>
      </c>
    </row>
    <row r="244" spans="1:13" x14ac:dyDescent="0.25">
      <c r="A244" s="287" t="s">
        <v>428</v>
      </c>
      <c r="B244" s="286">
        <v>13.28</v>
      </c>
      <c r="C244" s="286">
        <v>15.82</v>
      </c>
      <c r="D244" s="286">
        <v>0</v>
      </c>
      <c r="E244" s="286">
        <v>0</v>
      </c>
      <c r="F244" s="286">
        <v>1.1000000000000001</v>
      </c>
      <c r="G244" s="286">
        <v>1.87</v>
      </c>
      <c r="H244" s="286">
        <v>2.52</v>
      </c>
      <c r="I244" s="286">
        <v>0.59</v>
      </c>
      <c r="J244" s="286">
        <v>0</v>
      </c>
      <c r="K244" s="286">
        <v>0.54</v>
      </c>
      <c r="L244" s="286">
        <v>6.62</v>
      </c>
      <c r="M244" s="286" t="s">
        <v>65</v>
      </c>
    </row>
    <row r="245" spans="1:13" x14ac:dyDescent="0.25">
      <c r="A245" s="287" t="s">
        <v>429</v>
      </c>
      <c r="B245" s="286">
        <v>9.61</v>
      </c>
      <c r="C245" s="286">
        <v>22.9</v>
      </c>
      <c r="D245" s="286">
        <v>23.46</v>
      </c>
      <c r="E245" s="286">
        <v>13.45</v>
      </c>
      <c r="F245" s="286">
        <v>1.01</v>
      </c>
      <c r="G245" s="286">
        <v>1.7</v>
      </c>
      <c r="H245" s="286">
        <v>2.98</v>
      </c>
      <c r="I245" s="286">
        <v>0.44</v>
      </c>
      <c r="J245" s="286">
        <v>8</v>
      </c>
      <c r="K245" s="286">
        <v>0.84</v>
      </c>
      <c r="L245" s="286">
        <v>12.54</v>
      </c>
      <c r="M245" s="286" t="s">
        <v>55</v>
      </c>
    </row>
    <row r="246" spans="1:13" x14ac:dyDescent="0.25">
      <c r="A246" s="287" t="s">
        <v>430</v>
      </c>
      <c r="B246" s="286">
        <v>-1.01</v>
      </c>
      <c r="C246" s="286">
        <v>0</v>
      </c>
      <c r="D246" s="286">
        <v>0</v>
      </c>
      <c r="E246" s="286">
        <v>0</v>
      </c>
      <c r="F246" s="286">
        <v>0</v>
      </c>
      <c r="G246" s="286">
        <v>0</v>
      </c>
      <c r="H246" s="286">
        <v>0</v>
      </c>
      <c r="I246" s="286">
        <v>2.0699999999999998</v>
      </c>
      <c r="J246" s="286">
        <v>65</v>
      </c>
      <c r="K246" s="286">
        <v>0</v>
      </c>
      <c r="L246" s="286">
        <v>0</v>
      </c>
      <c r="M246" s="286" t="s">
        <v>1169</v>
      </c>
    </row>
    <row r="247" spans="1:13" x14ac:dyDescent="0.25">
      <c r="A247" s="287" t="s">
        <v>431</v>
      </c>
      <c r="B247" s="286">
        <v>0</v>
      </c>
      <c r="C247" s="286">
        <v>0</v>
      </c>
      <c r="D247" s="286">
        <v>0</v>
      </c>
      <c r="E247" s="286">
        <v>0</v>
      </c>
      <c r="F247" s="286">
        <v>0</v>
      </c>
      <c r="G247" s="286">
        <v>0</v>
      </c>
      <c r="H247" s="286">
        <v>0</v>
      </c>
      <c r="I247" s="286">
        <v>2.0699999999999998</v>
      </c>
      <c r="J247" s="286">
        <v>0</v>
      </c>
      <c r="K247" s="286">
        <v>0</v>
      </c>
      <c r="L247" s="286">
        <v>0</v>
      </c>
      <c r="M247" s="286" t="s">
        <v>1168</v>
      </c>
    </row>
    <row r="248" spans="1:13" x14ac:dyDescent="0.25">
      <c r="A248" s="287" t="s">
        <v>432</v>
      </c>
      <c r="B248" s="286">
        <v>9.0299999999999994</v>
      </c>
      <c r="C248" s="286">
        <v>21.21</v>
      </c>
      <c r="D248" s="286">
        <v>0</v>
      </c>
      <c r="E248" s="286">
        <v>0</v>
      </c>
      <c r="F248" s="286">
        <v>0.94</v>
      </c>
      <c r="G248" s="286">
        <v>1.42</v>
      </c>
      <c r="H248" s="286">
        <v>2.11</v>
      </c>
      <c r="I248" s="286">
        <v>2.3199999999999998</v>
      </c>
      <c r="J248" s="286">
        <v>112</v>
      </c>
      <c r="K248" s="286">
        <v>0.78</v>
      </c>
      <c r="L248" s="286">
        <v>11.89</v>
      </c>
      <c r="M248" s="286" t="s">
        <v>103</v>
      </c>
    </row>
    <row r="249" spans="1:13" x14ac:dyDescent="0.25">
      <c r="A249" s="287" t="s">
        <v>1215</v>
      </c>
      <c r="B249" s="286">
        <v>9.06</v>
      </c>
      <c r="C249" s="286">
        <v>11.16</v>
      </c>
      <c r="D249" s="286">
        <v>10.62</v>
      </c>
      <c r="E249" s="286">
        <v>9.5399999999999991</v>
      </c>
      <c r="F249" s="286">
        <v>1.2</v>
      </c>
      <c r="G249" s="286">
        <v>1.91</v>
      </c>
      <c r="H249" s="286">
        <v>1.05</v>
      </c>
      <c r="I249" s="286">
        <v>1.72</v>
      </c>
      <c r="J249" s="286">
        <v>19</v>
      </c>
      <c r="K249" s="286">
        <v>0.77</v>
      </c>
      <c r="L249" s="286">
        <v>3.23</v>
      </c>
      <c r="M249" s="286" t="s">
        <v>58</v>
      </c>
    </row>
    <row r="250" spans="1:13" x14ac:dyDescent="0.25">
      <c r="A250" s="287" t="s">
        <v>1216</v>
      </c>
      <c r="B250" s="286">
        <v>7.51</v>
      </c>
      <c r="C250" s="286">
        <v>23.79</v>
      </c>
      <c r="D250" s="286">
        <v>22.31</v>
      </c>
      <c r="E250" s="286">
        <v>0</v>
      </c>
      <c r="F250" s="286">
        <v>1</v>
      </c>
      <c r="G250" s="286">
        <v>1.51</v>
      </c>
      <c r="H250" s="286">
        <v>3.04</v>
      </c>
      <c r="I250" s="286">
        <v>2.2400000000000002</v>
      </c>
      <c r="J250" s="286">
        <v>41</v>
      </c>
      <c r="K250" s="286">
        <v>1.02</v>
      </c>
      <c r="L250" s="286">
        <v>12.78</v>
      </c>
      <c r="M250" s="286" t="s">
        <v>62</v>
      </c>
    </row>
    <row r="251" spans="1:13" x14ac:dyDescent="0.25">
      <c r="A251" s="287" t="s">
        <v>1217</v>
      </c>
      <c r="B251" s="286">
        <v>7.93</v>
      </c>
      <c r="C251" s="286">
        <v>11.88</v>
      </c>
      <c r="D251" s="286">
        <v>9.74</v>
      </c>
      <c r="E251" s="286">
        <v>0</v>
      </c>
      <c r="F251" s="286">
        <v>0.87</v>
      </c>
      <c r="G251" s="286">
        <v>1.21</v>
      </c>
      <c r="H251" s="286">
        <v>0.19</v>
      </c>
      <c r="I251" s="286">
        <v>2.1</v>
      </c>
      <c r="J251" s="286">
        <v>16</v>
      </c>
      <c r="K251" s="286">
        <v>1.01</v>
      </c>
      <c r="L251" s="286">
        <v>4.47</v>
      </c>
      <c r="M251" s="286" t="s">
        <v>55</v>
      </c>
    </row>
    <row r="252" spans="1:13" x14ac:dyDescent="0.25">
      <c r="A252" s="287" t="s">
        <v>433</v>
      </c>
      <c r="B252" s="286">
        <v>11.46</v>
      </c>
      <c r="C252" s="286">
        <v>28.07</v>
      </c>
      <c r="D252" s="286">
        <v>29.87</v>
      </c>
      <c r="E252" s="286">
        <v>0</v>
      </c>
      <c r="F252" s="286">
        <v>1.08</v>
      </c>
      <c r="G252" s="286">
        <v>1.6</v>
      </c>
      <c r="H252" s="286">
        <v>4.91</v>
      </c>
      <c r="I252" s="286">
        <v>2.11</v>
      </c>
      <c r="J252" s="286">
        <v>44</v>
      </c>
      <c r="K252" s="286">
        <v>0.95</v>
      </c>
      <c r="L252" s="286">
        <v>14.67</v>
      </c>
      <c r="M252" s="286" t="s">
        <v>71</v>
      </c>
    </row>
    <row r="253" spans="1:13" x14ac:dyDescent="0.25">
      <c r="A253" s="287" t="s">
        <v>434</v>
      </c>
      <c r="B253" s="286">
        <v>0</v>
      </c>
      <c r="C253" s="286">
        <v>0</v>
      </c>
      <c r="D253" s="286">
        <v>0</v>
      </c>
      <c r="E253" s="286">
        <v>0</v>
      </c>
      <c r="F253" s="286">
        <v>0</v>
      </c>
      <c r="G253" s="286">
        <v>0</v>
      </c>
      <c r="H253" s="286">
        <v>0</v>
      </c>
      <c r="I253" s="286">
        <v>2.17</v>
      </c>
      <c r="J253" s="286">
        <v>35</v>
      </c>
      <c r="K253" s="286">
        <v>0</v>
      </c>
      <c r="L253" s="286">
        <v>0</v>
      </c>
      <c r="M253" s="286" t="s">
        <v>84</v>
      </c>
    </row>
    <row r="254" spans="1:13" x14ac:dyDescent="0.25">
      <c r="A254" s="287" t="s">
        <v>435</v>
      </c>
      <c r="B254" s="286">
        <v>0.48</v>
      </c>
      <c r="C254" s="286">
        <v>22.32</v>
      </c>
      <c r="D254" s="286">
        <v>32.44</v>
      </c>
      <c r="E254" s="286">
        <v>15.35</v>
      </c>
      <c r="F254" s="286">
        <v>0.87</v>
      </c>
      <c r="G254" s="286">
        <v>1.27</v>
      </c>
      <c r="H254" s="286">
        <v>-0.14000000000000001</v>
      </c>
      <c r="I254" s="286">
        <v>1.78</v>
      </c>
      <c r="J254" s="286">
        <v>54</v>
      </c>
      <c r="K254" s="286">
        <v>0.75</v>
      </c>
      <c r="L254" s="286">
        <v>15.46</v>
      </c>
      <c r="M254" s="286" t="s">
        <v>1168</v>
      </c>
    </row>
    <row r="255" spans="1:13" x14ac:dyDescent="0.25">
      <c r="A255" s="287" t="s">
        <v>436</v>
      </c>
      <c r="B255" s="286">
        <v>16.3</v>
      </c>
      <c r="C255" s="286">
        <v>23.96</v>
      </c>
      <c r="D255" s="286">
        <v>27.21</v>
      </c>
      <c r="E255" s="286">
        <v>16.3</v>
      </c>
      <c r="F255" s="286">
        <v>1.25</v>
      </c>
      <c r="G255" s="286">
        <v>2.36</v>
      </c>
      <c r="H255" s="286">
        <v>5.41</v>
      </c>
      <c r="I255" s="286">
        <v>1.52</v>
      </c>
      <c r="J255" s="286">
        <v>4</v>
      </c>
      <c r="K255" s="286">
        <v>0.73</v>
      </c>
      <c r="L255" s="286">
        <v>11.07</v>
      </c>
      <c r="M255" s="286" t="s">
        <v>1166</v>
      </c>
    </row>
    <row r="256" spans="1:13" x14ac:dyDescent="0.25">
      <c r="A256" s="287" t="s">
        <v>437</v>
      </c>
      <c r="B256" s="286">
        <v>1.81</v>
      </c>
      <c r="C256" s="286">
        <v>0</v>
      </c>
      <c r="D256" s="286">
        <v>0</v>
      </c>
      <c r="E256" s="286">
        <v>0</v>
      </c>
      <c r="F256" s="286">
        <v>0</v>
      </c>
      <c r="G256" s="286">
        <v>0</v>
      </c>
      <c r="H256" s="286">
        <v>0</v>
      </c>
      <c r="I256" s="286">
        <v>1.98</v>
      </c>
      <c r="J256" s="286">
        <v>48</v>
      </c>
      <c r="K256" s="286">
        <v>0</v>
      </c>
      <c r="L256" s="286">
        <v>0</v>
      </c>
      <c r="M256" s="286" t="s">
        <v>62</v>
      </c>
    </row>
    <row r="257" spans="1:13" x14ac:dyDescent="0.25">
      <c r="A257" s="287" t="s">
        <v>1218</v>
      </c>
      <c r="B257" s="286">
        <v>7.73</v>
      </c>
      <c r="C257" s="286">
        <v>20.7</v>
      </c>
      <c r="D257" s="286">
        <v>18.07</v>
      </c>
      <c r="E257" s="286">
        <v>0</v>
      </c>
      <c r="F257" s="286">
        <v>1</v>
      </c>
      <c r="G257" s="286">
        <v>1.31</v>
      </c>
      <c r="H257" s="286">
        <v>2.67</v>
      </c>
      <c r="I257" s="286">
        <v>2.33</v>
      </c>
      <c r="J257" s="286">
        <v>68</v>
      </c>
      <c r="K257" s="286">
        <v>0.9</v>
      </c>
      <c r="L257" s="286">
        <v>11.25</v>
      </c>
      <c r="M257" s="286" t="s">
        <v>58</v>
      </c>
    </row>
    <row r="258" spans="1:13" x14ac:dyDescent="0.25">
      <c r="A258" s="287" t="s">
        <v>438</v>
      </c>
      <c r="B258" s="286">
        <v>7.24</v>
      </c>
      <c r="C258" s="286">
        <v>16.559999999999999</v>
      </c>
      <c r="D258" s="286">
        <v>13.91</v>
      </c>
      <c r="E258" s="286">
        <v>9.56</v>
      </c>
      <c r="F258" s="286">
        <v>0.89</v>
      </c>
      <c r="G258" s="286">
        <v>1.27</v>
      </c>
      <c r="H258" s="286">
        <v>1.24</v>
      </c>
      <c r="I258" s="286">
        <v>2.13</v>
      </c>
      <c r="J258" s="286">
        <v>224</v>
      </c>
      <c r="K258" s="286">
        <v>0.79</v>
      </c>
      <c r="L258" s="286">
        <v>8.39</v>
      </c>
      <c r="M258" s="286" t="s">
        <v>1169</v>
      </c>
    </row>
    <row r="259" spans="1:13" x14ac:dyDescent="0.25">
      <c r="A259" s="287" t="s">
        <v>439</v>
      </c>
      <c r="B259" s="286">
        <v>0</v>
      </c>
      <c r="C259" s="286">
        <v>0</v>
      </c>
      <c r="D259" s="286">
        <v>0</v>
      </c>
      <c r="E259" s="286">
        <v>0</v>
      </c>
      <c r="F259" s="286">
        <v>0</v>
      </c>
      <c r="G259" s="286">
        <v>0</v>
      </c>
      <c r="H259" s="286">
        <v>0</v>
      </c>
      <c r="I259" s="286">
        <v>2.38</v>
      </c>
      <c r="J259" s="286">
        <v>0</v>
      </c>
      <c r="K259" s="286">
        <v>0</v>
      </c>
      <c r="L259" s="286">
        <v>0</v>
      </c>
      <c r="M259" s="286" t="s">
        <v>55</v>
      </c>
    </row>
    <row r="260" spans="1:13" x14ac:dyDescent="0.25">
      <c r="A260" s="287" t="s">
        <v>440</v>
      </c>
      <c r="B260" s="286">
        <v>6.36</v>
      </c>
      <c r="C260" s="286">
        <v>18.46</v>
      </c>
      <c r="D260" s="286">
        <v>0</v>
      </c>
      <c r="E260" s="286">
        <v>0</v>
      </c>
      <c r="F260" s="286">
        <v>0.64</v>
      </c>
      <c r="G260" s="286">
        <v>0.89</v>
      </c>
      <c r="H260" s="286">
        <v>-0.77</v>
      </c>
      <c r="I260" s="286">
        <v>2.4300000000000002</v>
      </c>
      <c r="J260" s="286">
        <v>56</v>
      </c>
      <c r="K260" s="286">
        <v>0.94</v>
      </c>
      <c r="L260" s="286">
        <v>13.95</v>
      </c>
      <c r="M260" s="286" t="s">
        <v>55</v>
      </c>
    </row>
    <row r="261" spans="1:13" x14ac:dyDescent="0.25">
      <c r="A261" s="287" t="s">
        <v>441</v>
      </c>
      <c r="B261" s="286">
        <v>11.23</v>
      </c>
      <c r="C261" s="286">
        <v>27.85</v>
      </c>
      <c r="D261" s="286">
        <v>0</v>
      </c>
      <c r="E261" s="286">
        <v>0</v>
      </c>
      <c r="F261" s="286">
        <v>1.1100000000000001</v>
      </c>
      <c r="G261" s="286">
        <v>1.33</v>
      </c>
      <c r="H261" s="286">
        <v>5.55</v>
      </c>
      <c r="I261" s="286">
        <v>1.94</v>
      </c>
      <c r="J261" s="286">
        <v>82</v>
      </c>
      <c r="K261" s="286">
        <v>0.94</v>
      </c>
      <c r="L261" s="286">
        <v>14.81</v>
      </c>
      <c r="M261" s="286" t="s">
        <v>58</v>
      </c>
    </row>
    <row r="262" spans="1:13" x14ac:dyDescent="0.25">
      <c r="A262" s="287" t="s">
        <v>442</v>
      </c>
      <c r="B262" s="286">
        <v>9.65</v>
      </c>
      <c r="C262" s="286">
        <v>28.45</v>
      </c>
      <c r="D262" s="286">
        <v>0</v>
      </c>
      <c r="E262" s="286">
        <v>0</v>
      </c>
      <c r="F262" s="286">
        <v>1.1599999999999999</v>
      </c>
      <c r="G262" s="286">
        <v>1.61</v>
      </c>
      <c r="H262" s="286">
        <v>6.93</v>
      </c>
      <c r="I262" s="286">
        <v>1.88</v>
      </c>
      <c r="J262" s="286">
        <v>29</v>
      </c>
      <c r="K262" s="286">
        <v>0.96</v>
      </c>
      <c r="L262" s="286">
        <v>15.57</v>
      </c>
      <c r="M262" s="286" t="s">
        <v>71</v>
      </c>
    </row>
    <row r="263" spans="1:13" x14ac:dyDescent="0.25">
      <c r="A263" s="287" t="s">
        <v>443</v>
      </c>
      <c r="B263" s="286">
        <v>8.0500000000000007</v>
      </c>
      <c r="C263" s="286">
        <v>22.1</v>
      </c>
      <c r="D263" s="286">
        <v>21.58</v>
      </c>
      <c r="E263" s="286">
        <v>12.91</v>
      </c>
      <c r="F263" s="286">
        <v>0.81</v>
      </c>
      <c r="G263" s="286">
        <v>1.17</v>
      </c>
      <c r="H263" s="286">
        <v>1.24</v>
      </c>
      <c r="I263" s="286">
        <v>2.06</v>
      </c>
      <c r="J263" s="286">
        <v>69</v>
      </c>
      <c r="K263" s="286">
        <v>1.02</v>
      </c>
      <c r="L263" s="286">
        <v>14.58</v>
      </c>
      <c r="M263" s="286" t="s">
        <v>65</v>
      </c>
    </row>
    <row r="264" spans="1:13" x14ac:dyDescent="0.25">
      <c r="A264" s="287" t="s">
        <v>444</v>
      </c>
      <c r="B264" s="286">
        <v>15.26</v>
      </c>
      <c r="C264" s="286">
        <v>30.64</v>
      </c>
      <c r="D264" s="286">
        <v>26.33</v>
      </c>
      <c r="E264" s="286">
        <v>15.68</v>
      </c>
      <c r="F264" s="286">
        <v>1.1599999999999999</v>
      </c>
      <c r="G264" s="286">
        <v>1.49</v>
      </c>
      <c r="H264" s="286">
        <v>7.08</v>
      </c>
      <c r="I264" s="286">
        <v>1.79</v>
      </c>
      <c r="J264" s="286">
        <v>51</v>
      </c>
      <c r="K264" s="286">
        <v>0.99</v>
      </c>
      <c r="L264" s="286">
        <v>15.45</v>
      </c>
      <c r="M264" s="286" t="s">
        <v>84</v>
      </c>
    </row>
    <row r="265" spans="1:13" x14ac:dyDescent="0.25">
      <c r="A265" s="287" t="s">
        <v>445</v>
      </c>
      <c r="B265" s="286">
        <v>0</v>
      </c>
      <c r="C265" s="286">
        <v>0</v>
      </c>
      <c r="D265" s="286">
        <v>0</v>
      </c>
      <c r="E265" s="286">
        <v>0</v>
      </c>
      <c r="F265" s="286">
        <v>0</v>
      </c>
      <c r="G265" s="286">
        <v>0</v>
      </c>
      <c r="H265" s="286">
        <v>0</v>
      </c>
      <c r="I265" s="286">
        <v>2.2799999999999998</v>
      </c>
      <c r="J265" s="286">
        <v>17</v>
      </c>
      <c r="K265" s="286">
        <v>0</v>
      </c>
      <c r="L265" s="286">
        <v>0</v>
      </c>
      <c r="M265" s="286" t="s">
        <v>60</v>
      </c>
    </row>
    <row r="266" spans="1:13" x14ac:dyDescent="0.25">
      <c r="A266" s="287" t="s">
        <v>446</v>
      </c>
      <c r="B266" s="286">
        <v>16.97</v>
      </c>
      <c r="C266" s="286">
        <v>33.020000000000003</v>
      </c>
      <c r="D266" s="286">
        <v>30.77</v>
      </c>
      <c r="E266" s="286">
        <v>17.91</v>
      </c>
      <c r="F266" s="286">
        <v>1.18</v>
      </c>
      <c r="G266" s="286">
        <v>1.51</v>
      </c>
      <c r="H266" s="286">
        <v>2.9</v>
      </c>
      <c r="I266" s="286">
        <v>1.8</v>
      </c>
      <c r="J266" s="286">
        <v>45</v>
      </c>
      <c r="K266" s="286">
        <v>0.94</v>
      </c>
      <c r="L266" s="286">
        <v>16.829999999999998</v>
      </c>
      <c r="M266" s="286" t="s">
        <v>89</v>
      </c>
    </row>
    <row r="267" spans="1:13" x14ac:dyDescent="0.25">
      <c r="A267" s="287" t="s">
        <v>447</v>
      </c>
      <c r="B267" s="286">
        <v>0</v>
      </c>
      <c r="C267" s="286">
        <v>0</v>
      </c>
      <c r="D267" s="286">
        <v>0</v>
      </c>
      <c r="E267" s="286">
        <v>0</v>
      </c>
      <c r="F267" s="286">
        <v>0</v>
      </c>
      <c r="G267" s="286">
        <v>0</v>
      </c>
      <c r="H267" s="286">
        <v>0</v>
      </c>
      <c r="I267" s="286">
        <v>1.86</v>
      </c>
      <c r="J267" s="286">
        <v>8</v>
      </c>
      <c r="K267" s="286">
        <v>0</v>
      </c>
      <c r="L267" s="286">
        <v>0</v>
      </c>
      <c r="M267" s="286" t="s">
        <v>65</v>
      </c>
    </row>
    <row r="268" spans="1:13" x14ac:dyDescent="0.25">
      <c r="A268" s="287" t="s">
        <v>448</v>
      </c>
      <c r="B268" s="286">
        <v>8.1300000000000008</v>
      </c>
      <c r="C268" s="286">
        <v>25.25</v>
      </c>
      <c r="D268" s="286">
        <v>25.27</v>
      </c>
      <c r="E268" s="286">
        <v>14.18</v>
      </c>
      <c r="F268" s="286">
        <v>0.97</v>
      </c>
      <c r="G268" s="286">
        <v>1.23</v>
      </c>
      <c r="H268" s="286">
        <v>1.05</v>
      </c>
      <c r="I268" s="286">
        <v>1.89</v>
      </c>
      <c r="J268" s="286">
        <v>111</v>
      </c>
      <c r="K268" s="286">
        <v>0.93</v>
      </c>
      <c r="L268" s="286">
        <v>15.02</v>
      </c>
      <c r="M268" s="286" t="s">
        <v>65</v>
      </c>
    </row>
    <row r="269" spans="1:13" x14ac:dyDescent="0.25">
      <c r="A269" s="287" t="s">
        <v>450</v>
      </c>
      <c r="B269" s="286">
        <v>-3.33</v>
      </c>
      <c r="C269" s="286">
        <v>39.159999999999997</v>
      </c>
      <c r="D269" s="286">
        <v>28.81</v>
      </c>
      <c r="E269" s="286">
        <v>16.71</v>
      </c>
      <c r="F269" s="286">
        <v>1.18</v>
      </c>
      <c r="G269" s="286">
        <v>2.0499999999999998</v>
      </c>
      <c r="H269" s="286">
        <v>0.03</v>
      </c>
      <c r="I269" s="286">
        <v>2.14</v>
      </c>
      <c r="J269" s="286">
        <v>59</v>
      </c>
      <c r="K269" s="286">
        <v>0.97</v>
      </c>
      <c r="L269" s="286">
        <v>22.95</v>
      </c>
      <c r="M269" s="286" t="s">
        <v>103</v>
      </c>
    </row>
    <row r="270" spans="1:13" x14ac:dyDescent="0.25">
      <c r="A270" s="287" t="s">
        <v>451</v>
      </c>
      <c r="B270" s="286">
        <v>10.62</v>
      </c>
      <c r="C270" s="286">
        <v>31.95</v>
      </c>
      <c r="D270" s="286">
        <v>33.53</v>
      </c>
      <c r="E270" s="286">
        <v>0</v>
      </c>
      <c r="F270" s="286">
        <v>1.19</v>
      </c>
      <c r="G270" s="286">
        <v>1.43</v>
      </c>
      <c r="H270" s="286">
        <v>5.17</v>
      </c>
      <c r="I270" s="286">
        <v>1.76</v>
      </c>
      <c r="J270" s="286">
        <v>48</v>
      </c>
      <c r="K270" s="286">
        <v>0.8</v>
      </c>
      <c r="L270" s="286">
        <v>16.670000000000002</v>
      </c>
      <c r="M270" s="286" t="s">
        <v>62</v>
      </c>
    </row>
    <row r="271" spans="1:13" x14ac:dyDescent="0.25">
      <c r="A271" s="287" t="s">
        <v>452</v>
      </c>
      <c r="B271" s="286">
        <v>6.86</v>
      </c>
      <c r="C271" s="286">
        <v>13.3</v>
      </c>
      <c r="D271" s="286">
        <v>11.48</v>
      </c>
      <c r="E271" s="286">
        <v>0</v>
      </c>
      <c r="F271" s="286">
        <v>0.7</v>
      </c>
      <c r="G271" s="286">
        <v>1.19</v>
      </c>
      <c r="H271" s="286">
        <v>0.05</v>
      </c>
      <c r="I271" s="286">
        <v>2.37</v>
      </c>
      <c r="J271" s="286">
        <v>633</v>
      </c>
      <c r="K271" s="286">
        <v>0.64</v>
      </c>
      <c r="L271" s="286">
        <v>7.31</v>
      </c>
      <c r="M271" s="286" t="s">
        <v>65</v>
      </c>
    </row>
    <row r="272" spans="1:13" x14ac:dyDescent="0.25">
      <c r="A272" s="287" t="s">
        <v>453</v>
      </c>
      <c r="B272" s="286">
        <v>0</v>
      </c>
      <c r="C272" s="286">
        <v>0</v>
      </c>
      <c r="D272" s="286">
        <v>0</v>
      </c>
      <c r="E272" s="286">
        <v>0</v>
      </c>
      <c r="F272" s="286">
        <v>0</v>
      </c>
      <c r="G272" s="286">
        <v>0</v>
      </c>
      <c r="H272" s="286">
        <v>0</v>
      </c>
      <c r="I272" s="286">
        <v>2.34</v>
      </c>
      <c r="J272" s="286">
        <v>0</v>
      </c>
      <c r="K272" s="286">
        <v>0</v>
      </c>
      <c r="L272" s="286">
        <v>0</v>
      </c>
      <c r="M272" s="286" t="s">
        <v>58</v>
      </c>
    </row>
    <row r="273" spans="1:13" x14ac:dyDescent="0.25">
      <c r="A273" s="287" t="s">
        <v>454</v>
      </c>
      <c r="B273" s="286">
        <v>2.19</v>
      </c>
      <c r="C273" s="286">
        <v>0</v>
      </c>
      <c r="D273" s="286">
        <v>0</v>
      </c>
      <c r="E273" s="286">
        <v>0</v>
      </c>
      <c r="F273" s="286">
        <v>0</v>
      </c>
      <c r="G273" s="286">
        <v>0</v>
      </c>
      <c r="H273" s="286">
        <v>0</v>
      </c>
      <c r="I273" s="286">
        <v>2.0499999999999998</v>
      </c>
      <c r="J273" s="286">
        <v>103</v>
      </c>
      <c r="K273" s="286">
        <v>0</v>
      </c>
      <c r="L273" s="286">
        <v>0</v>
      </c>
      <c r="M273" s="286" t="s">
        <v>1168</v>
      </c>
    </row>
    <row r="274" spans="1:13" x14ac:dyDescent="0.25">
      <c r="A274" s="287" t="s">
        <v>455</v>
      </c>
      <c r="B274" s="286">
        <v>7.36</v>
      </c>
      <c r="C274" s="286">
        <v>0</v>
      </c>
      <c r="D274" s="286">
        <v>0</v>
      </c>
      <c r="E274" s="286">
        <v>0</v>
      </c>
      <c r="F274" s="286">
        <v>0</v>
      </c>
      <c r="G274" s="286">
        <v>0</v>
      </c>
      <c r="H274" s="286">
        <v>0</v>
      </c>
      <c r="I274" s="286">
        <v>2.37</v>
      </c>
      <c r="J274" s="286">
        <v>66</v>
      </c>
      <c r="K274" s="286">
        <v>0</v>
      </c>
      <c r="L274" s="286">
        <v>0</v>
      </c>
      <c r="M274" s="286" t="s">
        <v>58</v>
      </c>
    </row>
    <row r="275" spans="1:13" x14ac:dyDescent="0.25">
      <c r="A275" s="287" t="s">
        <v>456</v>
      </c>
      <c r="B275" s="286">
        <v>1.39</v>
      </c>
      <c r="C275" s="286">
        <v>19.670000000000002</v>
      </c>
      <c r="D275" s="286">
        <v>0</v>
      </c>
      <c r="E275" s="286">
        <v>0</v>
      </c>
      <c r="F275" s="286">
        <v>0.68</v>
      </c>
      <c r="G275" s="286">
        <v>1.1000000000000001</v>
      </c>
      <c r="H275" s="286">
        <v>-0.57999999999999996</v>
      </c>
      <c r="I275" s="286">
        <v>2.35</v>
      </c>
      <c r="J275" s="286">
        <v>74</v>
      </c>
      <c r="K275" s="286">
        <v>1.01</v>
      </c>
      <c r="L275" s="286">
        <v>14.44</v>
      </c>
      <c r="M275" s="286" t="s">
        <v>1166</v>
      </c>
    </row>
    <row r="276" spans="1:13" x14ac:dyDescent="0.25">
      <c r="A276" s="287" t="s">
        <v>457</v>
      </c>
      <c r="B276" s="286">
        <v>0</v>
      </c>
      <c r="C276" s="286">
        <v>0</v>
      </c>
      <c r="D276" s="286">
        <v>0</v>
      </c>
      <c r="E276" s="286">
        <v>0</v>
      </c>
      <c r="F276" s="286">
        <v>0</v>
      </c>
      <c r="G276" s="286">
        <v>0</v>
      </c>
      <c r="H276" s="286">
        <v>0</v>
      </c>
      <c r="I276" s="286">
        <v>2.15</v>
      </c>
      <c r="J276" s="286">
        <v>0</v>
      </c>
      <c r="K276" s="286">
        <v>0</v>
      </c>
      <c r="L276" s="286">
        <v>0</v>
      </c>
      <c r="M276" s="286" t="s">
        <v>1168</v>
      </c>
    </row>
    <row r="277" spans="1:13" x14ac:dyDescent="0.25">
      <c r="A277" s="287" t="s">
        <v>458</v>
      </c>
      <c r="B277" s="286">
        <v>-0.67</v>
      </c>
      <c r="C277" s="286">
        <v>29.03</v>
      </c>
      <c r="D277" s="286">
        <v>0</v>
      </c>
      <c r="E277" s="286">
        <v>0</v>
      </c>
      <c r="F277" s="286">
        <v>1.1100000000000001</v>
      </c>
      <c r="G277" s="286">
        <v>1.59</v>
      </c>
      <c r="H277" s="286">
        <v>1.39</v>
      </c>
      <c r="I277" s="286">
        <v>2.06</v>
      </c>
      <c r="J277" s="286">
        <v>135</v>
      </c>
      <c r="K277" s="286">
        <v>0.96</v>
      </c>
      <c r="L277" s="286">
        <v>16.920000000000002</v>
      </c>
      <c r="M277" s="286" t="s">
        <v>58</v>
      </c>
    </row>
    <row r="278" spans="1:13" x14ac:dyDescent="0.25">
      <c r="A278" s="287" t="s">
        <v>459</v>
      </c>
      <c r="B278" s="286">
        <v>-0.17</v>
      </c>
      <c r="C278" s="286">
        <v>25.56</v>
      </c>
      <c r="D278" s="286">
        <v>21.13</v>
      </c>
      <c r="E278" s="286">
        <v>0</v>
      </c>
      <c r="F278" s="286">
        <v>0.98</v>
      </c>
      <c r="G278" s="286">
        <v>1.26</v>
      </c>
      <c r="H278" s="286">
        <v>1.1599999999999999</v>
      </c>
      <c r="I278" s="286">
        <v>2.02</v>
      </c>
      <c r="J278" s="286">
        <v>104</v>
      </c>
      <c r="K278" s="286">
        <v>0.97</v>
      </c>
      <c r="L278" s="286">
        <v>15.61</v>
      </c>
      <c r="M278" s="286" t="s">
        <v>58</v>
      </c>
    </row>
    <row r="279" spans="1:13" x14ac:dyDescent="0.25">
      <c r="A279" s="287" t="s">
        <v>460</v>
      </c>
      <c r="B279" s="286">
        <v>3.76</v>
      </c>
      <c r="C279" s="286">
        <v>33.18</v>
      </c>
      <c r="D279" s="286">
        <v>27.95</v>
      </c>
      <c r="E279" s="286">
        <v>0</v>
      </c>
      <c r="F279" s="286">
        <v>1.24</v>
      </c>
      <c r="G279" s="286">
        <v>1.55</v>
      </c>
      <c r="H279" s="286">
        <v>6.01</v>
      </c>
      <c r="I279" s="286">
        <v>1.93</v>
      </c>
      <c r="J279" s="286">
        <v>104</v>
      </c>
      <c r="K279" s="286">
        <v>0.84</v>
      </c>
      <c r="L279" s="286">
        <v>17.190000000000001</v>
      </c>
      <c r="M279" s="286" t="s">
        <v>55</v>
      </c>
    </row>
    <row r="280" spans="1:13" x14ac:dyDescent="0.25">
      <c r="A280" s="287" t="s">
        <v>1219</v>
      </c>
      <c r="B280" s="286">
        <v>0.7</v>
      </c>
      <c r="C280" s="286">
        <v>25.42</v>
      </c>
      <c r="D280" s="286">
        <v>27.09</v>
      </c>
      <c r="E280" s="286">
        <v>12.45</v>
      </c>
      <c r="F280" s="286">
        <v>1.22</v>
      </c>
      <c r="G280" s="286">
        <v>1.87</v>
      </c>
      <c r="H280" s="286">
        <v>6.55</v>
      </c>
      <c r="I280" s="286">
        <v>2.2200000000000002</v>
      </c>
      <c r="J280" s="286">
        <v>158.6</v>
      </c>
      <c r="K280" s="286">
        <v>0.86</v>
      </c>
      <c r="L280" s="286">
        <v>12.16</v>
      </c>
      <c r="M280" s="286" t="s">
        <v>58</v>
      </c>
    </row>
    <row r="281" spans="1:13" x14ac:dyDescent="0.25">
      <c r="A281" s="287" t="s">
        <v>461</v>
      </c>
      <c r="B281" s="286">
        <v>-3.46</v>
      </c>
      <c r="C281" s="286">
        <v>28.29</v>
      </c>
      <c r="D281" s="286">
        <v>27</v>
      </c>
      <c r="E281" s="286">
        <v>15.92</v>
      </c>
      <c r="F281" s="286">
        <v>1.1599999999999999</v>
      </c>
      <c r="G281" s="286">
        <v>1.66</v>
      </c>
      <c r="H281" s="286">
        <v>6.73</v>
      </c>
      <c r="I281" s="286">
        <v>1.77</v>
      </c>
      <c r="J281" s="286">
        <v>173.16</v>
      </c>
      <c r="K281" s="286">
        <v>0.98</v>
      </c>
      <c r="L281" s="286">
        <v>15.55</v>
      </c>
      <c r="M281" s="286" t="s">
        <v>55</v>
      </c>
    </row>
    <row r="282" spans="1:13" x14ac:dyDescent="0.25">
      <c r="A282" s="287" t="s">
        <v>462</v>
      </c>
      <c r="B282" s="286">
        <v>0.16</v>
      </c>
      <c r="C282" s="286">
        <v>23.92</v>
      </c>
      <c r="D282" s="286">
        <v>21.1</v>
      </c>
      <c r="E282" s="286">
        <v>12.68</v>
      </c>
      <c r="F282" s="286">
        <v>0.93</v>
      </c>
      <c r="G282" s="286">
        <v>1.41</v>
      </c>
      <c r="H282" s="286">
        <v>3.02</v>
      </c>
      <c r="I282" s="286">
        <v>2.37</v>
      </c>
      <c r="J282" s="286">
        <v>193.95</v>
      </c>
      <c r="K282" s="286">
        <v>0.94</v>
      </c>
      <c r="L282" s="286">
        <v>14.92</v>
      </c>
      <c r="M282" s="286" t="s">
        <v>58</v>
      </c>
    </row>
    <row r="283" spans="1:13" x14ac:dyDescent="0.25">
      <c r="A283" s="287" t="s">
        <v>463</v>
      </c>
      <c r="B283" s="286">
        <v>-1.81</v>
      </c>
      <c r="C283" s="286">
        <v>20.97</v>
      </c>
      <c r="D283" s="286">
        <v>18.690000000000001</v>
      </c>
      <c r="E283" s="286">
        <v>10.82</v>
      </c>
      <c r="F283" s="286">
        <v>0.78</v>
      </c>
      <c r="G283" s="286">
        <v>1.32</v>
      </c>
      <c r="H283" s="286">
        <v>1.03</v>
      </c>
      <c r="I283" s="286">
        <v>2.36</v>
      </c>
      <c r="J283" s="286">
        <v>272.2</v>
      </c>
      <c r="K283" s="286">
        <v>0.95</v>
      </c>
      <c r="L283" s="286">
        <v>13.89</v>
      </c>
      <c r="M283" s="286" t="s">
        <v>58</v>
      </c>
    </row>
    <row r="284" spans="1:13" x14ac:dyDescent="0.25">
      <c r="A284" s="287" t="s">
        <v>1220</v>
      </c>
      <c r="B284" s="286">
        <v>0</v>
      </c>
      <c r="C284" s="286">
        <v>0</v>
      </c>
      <c r="D284" s="286">
        <v>0</v>
      </c>
      <c r="E284" s="286">
        <v>0</v>
      </c>
      <c r="F284" s="286">
        <v>0</v>
      </c>
      <c r="G284" s="286">
        <v>0</v>
      </c>
      <c r="H284" s="286">
        <v>0</v>
      </c>
      <c r="I284" s="286">
        <v>0</v>
      </c>
      <c r="J284" s="286">
        <v>0</v>
      </c>
      <c r="K284" s="286">
        <v>0</v>
      </c>
      <c r="L284" s="286">
        <v>0</v>
      </c>
      <c r="M284" s="286" t="s">
        <v>58</v>
      </c>
    </row>
    <row r="285" spans="1:13" x14ac:dyDescent="0.25">
      <c r="A285" s="287" t="s">
        <v>464</v>
      </c>
      <c r="B285" s="286">
        <v>-0.38</v>
      </c>
      <c r="C285" s="286">
        <v>0</v>
      </c>
      <c r="D285" s="286">
        <v>0</v>
      </c>
      <c r="E285" s="286">
        <v>0</v>
      </c>
      <c r="F285" s="286">
        <v>0</v>
      </c>
      <c r="G285" s="286">
        <v>0</v>
      </c>
      <c r="H285" s="286">
        <v>0</v>
      </c>
      <c r="I285" s="286">
        <v>2.0499999999999998</v>
      </c>
      <c r="J285" s="286">
        <v>190.95</v>
      </c>
      <c r="K285" s="286">
        <v>0</v>
      </c>
      <c r="L285" s="286">
        <v>0</v>
      </c>
      <c r="M285" s="286" t="s">
        <v>65</v>
      </c>
    </row>
    <row r="286" spans="1:13" x14ac:dyDescent="0.25">
      <c r="A286" s="287" t="s">
        <v>465</v>
      </c>
      <c r="B286" s="286">
        <v>1.85</v>
      </c>
      <c r="C286" s="286">
        <v>0</v>
      </c>
      <c r="D286" s="286">
        <v>0</v>
      </c>
      <c r="E286" s="286">
        <v>0</v>
      </c>
      <c r="F286" s="286">
        <v>0</v>
      </c>
      <c r="G286" s="286">
        <v>0</v>
      </c>
      <c r="H286" s="286">
        <v>0</v>
      </c>
      <c r="I286" s="286">
        <v>2.27</v>
      </c>
      <c r="J286" s="286">
        <v>0</v>
      </c>
      <c r="K286" s="286">
        <v>0</v>
      </c>
      <c r="L286" s="286">
        <v>0</v>
      </c>
      <c r="M286" s="286" t="s">
        <v>71</v>
      </c>
    </row>
    <row r="287" spans="1:13" x14ac:dyDescent="0.25">
      <c r="A287" s="287" t="s">
        <v>466</v>
      </c>
      <c r="B287" s="286">
        <v>8.27</v>
      </c>
      <c r="C287" s="286">
        <v>14.46</v>
      </c>
      <c r="D287" s="286">
        <v>13.75</v>
      </c>
      <c r="E287" s="286">
        <v>0</v>
      </c>
      <c r="F287" s="286">
        <v>0.82</v>
      </c>
      <c r="G287" s="286">
        <v>1.07</v>
      </c>
      <c r="H287" s="286">
        <v>0.62</v>
      </c>
      <c r="I287" s="286">
        <v>1.66</v>
      </c>
      <c r="J287" s="286">
        <v>236.02</v>
      </c>
      <c r="K287" s="286">
        <v>0.71</v>
      </c>
      <c r="L287" s="286">
        <v>7.54</v>
      </c>
      <c r="M287" s="286" t="s">
        <v>58</v>
      </c>
    </row>
    <row r="288" spans="1:13" x14ac:dyDescent="0.25">
      <c r="A288" s="287" t="s">
        <v>467</v>
      </c>
      <c r="B288" s="286">
        <v>6.35</v>
      </c>
      <c r="C288" s="286">
        <v>19.920000000000002</v>
      </c>
      <c r="D288" s="286">
        <v>21.36</v>
      </c>
      <c r="E288" s="286">
        <v>12.86</v>
      </c>
      <c r="F288" s="286">
        <v>0.78</v>
      </c>
      <c r="G288" s="286">
        <v>1.21</v>
      </c>
      <c r="H288" s="286">
        <v>0.53</v>
      </c>
      <c r="I288" s="286">
        <v>1.73</v>
      </c>
      <c r="J288" s="286">
        <v>30.24</v>
      </c>
      <c r="K288" s="286">
        <v>0.94</v>
      </c>
      <c r="L288" s="286">
        <v>13.04</v>
      </c>
      <c r="M288" s="286" t="s">
        <v>84</v>
      </c>
    </row>
    <row r="289" spans="1:13" x14ac:dyDescent="0.25">
      <c r="A289" s="287" t="s">
        <v>472</v>
      </c>
      <c r="B289" s="286">
        <v>8.36</v>
      </c>
      <c r="C289" s="286">
        <v>0</v>
      </c>
      <c r="D289" s="286">
        <v>0</v>
      </c>
      <c r="E289" s="286">
        <v>0</v>
      </c>
      <c r="F289" s="286">
        <v>0</v>
      </c>
      <c r="G289" s="286">
        <v>0</v>
      </c>
      <c r="H289" s="286">
        <v>0</v>
      </c>
      <c r="I289" s="286">
        <v>1.95</v>
      </c>
      <c r="J289" s="286">
        <v>42.72</v>
      </c>
      <c r="K289" s="286">
        <v>0</v>
      </c>
      <c r="L289" s="286">
        <v>0</v>
      </c>
      <c r="M289" s="286" t="s">
        <v>60</v>
      </c>
    </row>
    <row r="290" spans="1:13" x14ac:dyDescent="0.25">
      <c r="A290" s="287" t="s">
        <v>473</v>
      </c>
      <c r="B290" s="286">
        <v>9.09</v>
      </c>
      <c r="C290" s="286">
        <v>0</v>
      </c>
      <c r="D290" s="286">
        <v>0</v>
      </c>
      <c r="E290" s="286">
        <v>0</v>
      </c>
      <c r="F290" s="286">
        <v>0</v>
      </c>
      <c r="G290" s="286">
        <v>0</v>
      </c>
      <c r="H290" s="286">
        <v>0</v>
      </c>
      <c r="I290" s="286">
        <v>2.12</v>
      </c>
      <c r="J290" s="286">
        <v>27.39</v>
      </c>
      <c r="K290" s="286">
        <v>0</v>
      </c>
      <c r="L290" s="286">
        <v>0</v>
      </c>
      <c r="M290" s="286" t="s">
        <v>89</v>
      </c>
    </row>
    <row r="291" spans="1:13" x14ac:dyDescent="0.25">
      <c r="A291" s="287" t="s">
        <v>1221</v>
      </c>
      <c r="B291" s="286">
        <v>6.95</v>
      </c>
      <c r="C291" s="286">
        <v>12.06</v>
      </c>
      <c r="D291" s="286">
        <v>11.79</v>
      </c>
      <c r="E291" s="286">
        <v>9.68</v>
      </c>
      <c r="F291" s="286">
        <v>1.07</v>
      </c>
      <c r="G291" s="286">
        <v>1.51</v>
      </c>
      <c r="H291" s="286">
        <v>0.92</v>
      </c>
      <c r="I291" s="286">
        <v>1.66</v>
      </c>
      <c r="J291" s="286">
        <v>24.23</v>
      </c>
      <c r="K291" s="286">
        <v>1.1000000000000001</v>
      </c>
      <c r="L291" s="286">
        <v>4.6100000000000003</v>
      </c>
      <c r="M291" s="286" t="s">
        <v>71</v>
      </c>
    </row>
    <row r="292" spans="1:13" x14ac:dyDescent="0.25">
      <c r="A292" s="287" t="s">
        <v>474</v>
      </c>
      <c r="B292" s="286">
        <v>7.36</v>
      </c>
      <c r="C292" s="286">
        <v>27.74</v>
      </c>
      <c r="D292" s="286">
        <v>30.47</v>
      </c>
      <c r="E292" s="286">
        <v>17.989999999999998</v>
      </c>
      <c r="F292" s="286">
        <v>1</v>
      </c>
      <c r="G292" s="286">
        <v>1.31</v>
      </c>
      <c r="H292" s="286">
        <v>-0.12</v>
      </c>
      <c r="I292" s="286">
        <v>1.42</v>
      </c>
      <c r="J292" s="286">
        <v>38.96</v>
      </c>
      <c r="K292" s="286">
        <v>0.91</v>
      </c>
      <c r="L292" s="286">
        <v>16.23</v>
      </c>
      <c r="M292" s="286" t="s">
        <v>71</v>
      </c>
    </row>
    <row r="293" spans="1:13" x14ac:dyDescent="0.25">
      <c r="A293" s="287" t="s">
        <v>475</v>
      </c>
      <c r="B293" s="286">
        <v>0</v>
      </c>
      <c r="C293" s="286">
        <v>0</v>
      </c>
      <c r="D293" s="286">
        <v>0</v>
      </c>
      <c r="E293" s="286">
        <v>0</v>
      </c>
      <c r="F293" s="286">
        <v>0</v>
      </c>
      <c r="G293" s="286">
        <v>0</v>
      </c>
      <c r="H293" s="286">
        <v>0</v>
      </c>
      <c r="I293" s="286">
        <v>2.42</v>
      </c>
      <c r="J293" s="286">
        <v>0</v>
      </c>
      <c r="K293" s="286">
        <v>0</v>
      </c>
      <c r="L293" s="286">
        <v>0</v>
      </c>
      <c r="M293" s="286" t="s">
        <v>55</v>
      </c>
    </row>
    <row r="294" spans="1:13" x14ac:dyDescent="0.25">
      <c r="A294" s="287" t="s">
        <v>1222</v>
      </c>
      <c r="B294" s="286">
        <v>7.29</v>
      </c>
      <c r="C294" s="286">
        <v>19.09</v>
      </c>
      <c r="D294" s="286">
        <v>21.37</v>
      </c>
      <c r="E294" s="286">
        <v>12.92</v>
      </c>
      <c r="F294" s="286">
        <v>0.86</v>
      </c>
      <c r="G294" s="286">
        <v>1.1000000000000001</v>
      </c>
      <c r="H294" s="286">
        <v>0.94</v>
      </c>
      <c r="I294" s="286">
        <v>1.76</v>
      </c>
      <c r="J294" s="286">
        <v>67.739999999999995</v>
      </c>
      <c r="K294" s="286">
        <v>0.88</v>
      </c>
      <c r="L294" s="286">
        <v>11.01</v>
      </c>
      <c r="M294" s="286" t="s">
        <v>65</v>
      </c>
    </row>
    <row r="295" spans="1:13" x14ac:dyDescent="0.25">
      <c r="A295" s="287" t="s">
        <v>476</v>
      </c>
      <c r="B295" s="286">
        <v>2.89</v>
      </c>
      <c r="C295" s="286">
        <v>24.52</v>
      </c>
      <c r="D295" s="286">
        <v>24.41</v>
      </c>
      <c r="E295" s="286">
        <v>15.24</v>
      </c>
      <c r="F295" s="286">
        <v>1</v>
      </c>
      <c r="G295" s="286">
        <v>1.4</v>
      </c>
      <c r="H295" s="286">
        <v>3.75</v>
      </c>
      <c r="I295" s="286">
        <v>1.59</v>
      </c>
      <c r="J295" s="286">
        <v>20.72</v>
      </c>
      <c r="K295" s="286">
        <v>0.93</v>
      </c>
      <c r="L295" s="286">
        <v>14.06</v>
      </c>
      <c r="M295" s="286" t="s">
        <v>65</v>
      </c>
    </row>
    <row r="296" spans="1:13" x14ac:dyDescent="0.25">
      <c r="A296" s="287" t="s">
        <v>477</v>
      </c>
      <c r="B296" s="286">
        <v>2.73</v>
      </c>
      <c r="C296" s="286">
        <v>18.73</v>
      </c>
      <c r="D296" s="286">
        <v>0</v>
      </c>
      <c r="E296" s="286">
        <v>0</v>
      </c>
      <c r="F296" s="286">
        <v>0.65</v>
      </c>
      <c r="G296" s="286">
        <v>1.03</v>
      </c>
      <c r="H296" s="286">
        <v>-1.03</v>
      </c>
      <c r="I296" s="286">
        <v>2.2799999999999998</v>
      </c>
      <c r="J296" s="286">
        <v>14.9</v>
      </c>
      <c r="K296" s="286">
        <v>0.96</v>
      </c>
      <c r="L296" s="286">
        <v>13.58</v>
      </c>
      <c r="M296" s="286" t="s">
        <v>58</v>
      </c>
    </row>
    <row r="297" spans="1:13" x14ac:dyDescent="0.25">
      <c r="A297" s="287" t="s">
        <v>478</v>
      </c>
      <c r="B297" s="286">
        <v>6.96</v>
      </c>
      <c r="C297" s="286">
        <v>22.57</v>
      </c>
      <c r="D297" s="286">
        <v>21.6</v>
      </c>
      <c r="E297" s="286">
        <v>14.19</v>
      </c>
      <c r="F297" s="286">
        <v>0.87</v>
      </c>
      <c r="G297" s="286">
        <v>1.38</v>
      </c>
      <c r="H297" s="286">
        <v>1.31</v>
      </c>
      <c r="I297" s="286">
        <v>1.46</v>
      </c>
      <c r="J297" s="286">
        <v>9.83</v>
      </c>
      <c r="K297" s="286">
        <v>0.93</v>
      </c>
      <c r="L297" s="286">
        <v>13.86</v>
      </c>
      <c r="M297" s="286" t="s">
        <v>71</v>
      </c>
    </row>
    <row r="298" spans="1:13" x14ac:dyDescent="0.25">
      <c r="A298" s="287" t="s">
        <v>479</v>
      </c>
      <c r="B298" s="286">
        <v>5.08</v>
      </c>
      <c r="C298" s="286">
        <v>20.239999999999998</v>
      </c>
      <c r="D298" s="286">
        <v>21.76</v>
      </c>
      <c r="E298" s="286">
        <v>0</v>
      </c>
      <c r="F298" s="286">
        <v>0.75</v>
      </c>
      <c r="G298" s="286">
        <v>1.1499999999999999</v>
      </c>
      <c r="H298" s="286">
        <v>-0.33</v>
      </c>
      <c r="I298" s="286">
        <v>1.89</v>
      </c>
      <c r="J298" s="286">
        <v>33.03</v>
      </c>
      <c r="K298" s="286">
        <v>0.9</v>
      </c>
      <c r="L298" s="286">
        <v>13.28</v>
      </c>
      <c r="M298" s="286" t="s">
        <v>84</v>
      </c>
    </row>
    <row r="299" spans="1:13" x14ac:dyDescent="0.25">
      <c r="A299" s="287" t="s">
        <v>480</v>
      </c>
      <c r="B299" s="286">
        <v>-0.21</v>
      </c>
      <c r="C299" s="286">
        <v>23.46</v>
      </c>
      <c r="D299" s="286">
        <v>0</v>
      </c>
      <c r="E299" s="286">
        <v>0</v>
      </c>
      <c r="F299" s="286">
        <v>0.88</v>
      </c>
      <c r="G299" s="286">
        <v>1.17</v>
      </c>
      <c r="H299" s="286">
        <v>2.38</v>
      </c>
      <c r="I299" s="286">
        <v>1.97</v>
      </c>
      <c r="J299" s="286">
        <v>24.75</v>
      </c>
      <c r="K299" s="286">
        <v>1</v>
      </c>
      <c r="L299" s="286">
        <v>15.85</v>
      </c>
      <c r="M299" s="286" t="s">
        <v>65</v>
      </c>
    </row>
    <row r="300" spans="1:13" x14ac:dyDescent="0.25">
      <c r="A300" s="287" t="s">
        <v>481</v>
      </c>
      <c r="B300" s="286">
        <v>0</v>
      </c>
      <c r="C300" s="286">
        <v>0</v>
      </c>
      <c r="D300" s="286">
        <v>0</v>
      </c>
      <c r="E300" s="286">
        <v>0</v>
      </c>
      <c r="F300" s="286">
        <v>0</v>
      </c>
      <c r="G300" s="286">
        <v>0</v>
      </c>
      <c r="H300" s="286">
        <v>0</v>
      </c>
      <c r="I300" s="286">
        <v>1.99</v>
      </c>
      <c r="J300" s="286">
        <v>2.37</v>
      </c>
      <c r="K300" s="286">
        <v>0</v>
      </c>
      <c r="L300" s="286">
        <v>0</v>
      </c>
      <c r="M300" s="286" t="s">
        <v>103</v>
      </c>
    </row>
    <row r="301" spans="1:13" x14ac:dyDescent="0.25">
      <c r="A301" s="287" t="s">
        <v>483</v>
      </c>
      <c r="B301" s="286">
        <v>5.52</v>
      </c>
      <c r="C301" s="286">
        <v>0</v>
      </c>
      <c r="D301" s="286">
        <v>0</v>
      </c>
      <c r="E301" s="286">
        <v>0</v>
      </c>
      <c r="F301" s="286">
        <v>0</v>
      </c>
      <c r="G301" s="286">
        <v>0</v>
      </c>
      <c r="H301" s="286">
        <v>0</v>
      </c>
      <c r="I301" s="286">
        <v>1.74</v>
      </c>
      <c r="J301" s="286">
        <v>134.87</v>
      </c>
      <c r="K301" s="286">
        <v>0</v>
      </c>
      <c r="L301" s="286">
        <v>0</v>
      </c>
      <c r="M301" s="286" t="s">
        <v>65</v>
      </c>
    </row>
    <row r="302" spans="1:13" x14ac:dyDescent="0.25">
      <c r="A302" s="287" t="s">
        <v>484</v>
      </c>
      <c r="B302" s="286">
        <v>9.14</v>
      </c>
      <c r="C302" s="286">
        <v>22.55</v>
      </c>
      <c r="D302" s="286">
        <v>21.46</v>
      </c>
      <c r="E302" s="286">
        <v>14.77</v>
      </c>
      <c r="F302" s="286">
        <v>1.38</v>
      </c>
      <c r="G302" s="286">
        <v>1.9</v>
      </c>
      <c r="H302" s="286">
        <v>4.5599999999999996</v>
      </c>
      <c r="I302" s="286">
        <v>0.99</v>
      </c>
      <c r="J302" s="286">
        <v>40.43</v>
      </c>
      <c r="K302" s="286">
        <v>0.91</v>
      </c>
      <c r="L302" s="286">
        <v>9.16</v>
      </c>
      <c r="M302" s="286" t="s">
        <v>58</v>
      </c>
    </row>
    <row r="303" spans="1:13" x14ac:dyDescent="0.25">
      <c r="A303" s="287" t="s">
        <v>485</v>
      </c>
      <c r="B303" s="286">
        <v>3.34</v>
      </c>
      <c r="C303" s="286">
        <v>29.14</v>
      </c>
      <c r="D303" s="286">
        <v>0</v>
      </c>
      <c r="E303" s="286">
        <v>0</v>
      </c>
      <c r="F303" s="286">
        <v>1.1499999999999999</v>
      </c>
      <c r="G303" s="286">
        <v>1.58</v>
      </c>
      <c r="H303" s="286">
        <v>4.0199999999999996</v>
      </c>
      <c r="I303" s="286">
        <v>1.63</v>
      </c>
      <c r="J303" s="286">
        <v>45.94</v>
      </c>
      <c r="K303" s="286">
        <v>1</v>
      </c>
      <c r="L303" s="286">
        <v>16.12</v>
      </c>
      <c r="M303" s="286" t="s">
        <v>58</v>
      </c>
    </row>
    <row r="304" spans="1:13" x14ac:dyDescent="0.25">
      <c r="A304" s="287" t="s">
        <v>508</v>
      </c>
      <c r="B304" s="286">
        <v>7.71</v>
      </c>
      <c r="C304" s="286">
        <v>25.1</v>
      </c>
      <c r="D304" s="286">
        <v>26.15</v>
      </c>
      <c r="E304" s="286">
        <v>0</v>
      </c>
      <c r="F304" s="286">
        <v>1</v>
      </c>
      <c r="G304" s="286">
        <v>1.26</v>
      </c>
      <c r="H304" s="286">
        <v>4.1900000000000004</v>
      </c>
      <c r="I304" s="286">
        <v>1.88</v>
      </c>
      <c r="J304" s="286">
        <v>21.47</v>
      </c>
      <c r="K304" s="286">
        <v>0.88</v>
      </c>
      <c r="L304" s="286">
        <v>14.37</v>
      </c>
      <c r="M304" s="286" t="s">
        <v>1169</v>
      </c>
    </row>
    <row r="305" spans="1:13" x14ac:dyDescent="0.25">
      <c r="A305" s="287" t="s">
        <v>509</v>
      </c>
      <c r="B305" s="286">
        <v>-3.49</v>
      </c>
      <c r="C305" s="286">
        <v>0</v>
      </c>
      <c r="D305" s="286">
        <v>0</v>
      </c>
      <c r="E305" s="286">
        <v>0</v>
      </c>
      <c r="F305" s="286">
        <v>0</v>
      </c>
      <c r="G305" s="286">
        <v>0</v>
      </c>
      <c r="H305" s="286">
        <v>0</v>
      </c>
      <c r="I305" s="286">
        <v>1.66</v>
      </c>
      <c r="J305" s="286">
        <v>182.09</v>
      </c>
      <c r="K305" s="286">
        <v>0</v>
      </c>
      <c r="L305" s="286">
        <v>0</v>
      </c>
      <c r="M305" s="286" t="s">
        <v>1168</v>
      </c>
    </row>
    <row r="306" spans="1:13" x14ac:dyDescent="0.25">
      <c r="A306" s="287" t="s">
        <v>510</v>
      </c>
      <c r="B306" s="286">
        <v>-0.31</v>
      </c>
      <c r="C306" s="286">
        <v>21.94</v>
      </c>
      <c r="D306" s="286">
        <v>32.46</v>
      </c>
      <c r="E306" s="286">
        <v>17.63</v>
      </c>
      <c r="F306" s="286">
        <v>0.73</v>
      </c>
      <c r="G306" s="286">
        <v>1.06</v>
      </c>
      <c r="H306" s="286">
        <v>-2.64</v>
      </c>
      <c r="I306" s="286">
        <v>1.66</v>
      </c>
      <c r="J306" s="286">
        <v>23.95</v>
      </c>
      <c r="K306" s="286">
        <v>0.83</v>
      </c>
      <c r="L306" s="286">
        <v>17.11</v>
      </c>
      <c r="M306" s="286" t="s">
        <v>1169</v>
      </c>
    </row>
    <row r="307" spans="1:13" x14ac:dyDescent="0.25">
      <c r="A307" s="287" t="s">
        <v>511</v>
      </c>
      <c r="B307" s="286">
        <v>0</v>
      </c>
      <c r="C307" s="286">
        <v>0</v>
      </c>
      <c r="D307" s="286">
        <v>0</v>
      </c>
      <c r="E307" s="286">
        <v>0</v>
      </c>
      <c r="F307" s="286">
        <v>0</v>
      </c>
      <c r="G307" s="286">
        <v>0</v>
      </c>
      <c r="H307" s="286">
        <v>0</v>
      </c>
      <c r="I307" s="286">
        <v>2.02</v>
      </c>
      <c r="J307" s="286">
        <v>14.8</v>
      </c>
      <c r="K307" s="286">
        <v>0</v>
      </c>
      <c r="L307" s="286">
        <v>0</v>
      </c>
      <c r="M307" s="286" t="s">
        <v>55</v>
      </c>
    </row>
    <row r="308" spans="1:13" x14ac:dyDescent="0.25">
      <c r="A308" s="287" t="s">
        <v>512</v>
      </c>
      <c r="B308" s="286">
        <v>0</v>
      </c>
      <c r="C308" s="286">
        <v>0</v>
      </c>
      <c r="D308" s="286">
        <v>0</v>
      </c>
      <c r="E308" s="286">
        <v>0</v>
      </c>
      <c r="F308" s="286">
        <v>0</v>
      </c>
      <c r="G308" s="286">
        <v>0</v>
      </c>
      <c r="H308" s="286">
        <v>0</v>
      </c>
      <c r="I308" s="286">
        <v>2.41</v>
      </c>
      <c r="J308" s="286">
        <v>0</v>
      </c>
      <c r="K308" s="286">
        <v>0</v>
      </c>
      <c r="L308" s="286">
        <v>0</v>
      </c>
      <c r="M308" s="286" t="s">
        <v>58</v>
      </c>
    </row>
    <row r="309" spans="1:13" x14ac:dyDescent="0.25">
      <c r="A309" s="287" t="s">
        <v>1223</v>
      </c>
      <c r="B309" s="286">
        <v>6.25</v>
      </c>
      <c r="C309" s="286">
        <v>16.98</v>
      </c>
      <c r="D309" s="286">
        <v>15.37</v>
      </c>
      <c r="E309" s="286">
        <v>9.19</v>
      </c>
      <c r="F309" s="286">
        <v>0.73</v>
      </c>
      <c r="G309" s="286">
        <v>1.0900000000000001</v>
      </c>
      <c r="H309" s="286">
        <v>-0.56999999999999995</v>
      </c>
      <c r="I309" s="286">
        <v>2.48</v>
      </c>
      <c r="J309" s="286">
        <v>65</v>
      </c>
      <c r="K309" s="286">
        <v>0.89</v>
      </c>
      <c r="L309" s="286">
        <v>11.01</v>
      </c>
      <c r="M309" s="286" t="s">
        <v>103</v>
      </c>
    </row>
    <row r="310" spans="1:13" x14ac:dyDescent="0.25">
      <c r="A310" s="287" t="s">
        <v>513</v>
      </c>
      <c r="B310" s="286">
        <v>9.56</v>
      </c>
      <c r="C310" s="286">
        <v>13.32</v>
      </c>
      <c r="D310" s="286">
        <v>0</v>
      </c>
      <c r="E310" s="286">
        <v>0</v>
      </c>
      <c r="F310" s="286">
        <v>0.66</v>
      </c>
      <c r="G310" s="286">
        <v>1.02</v>
      </c>
      <c r="H310" s="286">
        <v>-0.5</v>
      </c>
      <c r="I310" s="286">
        <v>2.27</v>
      </c>
      <c r="J310" s="286">
        <v>70</v>
      </c>
      <c r="K310" s="286">
        <v>0.74</v>
      </c>
      <c r="L310" s="286">
        <v>8.0500000000000007</v>
      </c>
      <c r="M310" s="286" t="s">
        <v>58</v>
      </c>
    </row>
    <row r="311" spans="1:13" x14ac:dyDescent="0.25">
      <c r="A311" s="287" t="s">
        <v>516</v>
      </c>
      <c r="B311" s="286">
        <v>-1.37</v>
      </c>
      <c r="C311" s="286">
        <v>14.71</v>
      </c>
      <c r="D311" s="286">
        <v>14.51</v>
      </c>
      <c r="E311" s="286">
        <v>8.4499999999999993</v>
      </c>
      <c r="F311" s="286">
        <v>0.45</v>
      </c>
      <c r="G311" s="286">
        <v>0.54</v>
      </c>
      <c r="H311" s="286">
        <v>-3.89</v>
      </c>
      <c r="I311" s="286">
        <v>2.4500000000000002</v>
      </c>
      <c r="J311" s="286">
        <v>118</v>
      </c>
      <c r="K311" s="286">
        <v>0.88</v>
      </c>
      <c r="L311" s="286">
        <v>13.96</v>
      </c>
      <c r="M311" s="286" t="s">
        <v>1168</v>
      </c>
    </row>
    <row r="312" spans="1:13" x14ac:dyDescent="0.25">
      <c r="A312" s="287" t="s">
        <v>1224</v>
      </c>
      <c r="B312" s="286">
        <v>6.92</v>
      </c>
      <c r="C312" s="286">
        <v>7.72</v>
      </c>
      <c r="D312" s="286">
        <v>6.91</v>
      </c>
      <c r="E312" s="286">
        <v>6.5</v>
      </c>
      <c r="F312" s="286">
        <v>0.26</v>
      </c>
      <c r="G312" s="286">
        <v>0.4</v>
      </c>
      <c r="H312" s="286">
        <v>-2.16</v>
      </c>
      <c r="I312" s="286">
        <v>2.25</v>
      </c>
      <c r="J312" s="286">
        <v>17</v>
      </c>
      <c r="K312" s="286">
        <v>0.83</v>
      </c>
      <c r="L312" s="286">
        <v>3.54</v>
      </c>
      <c r="M312" s="286" t="s">
        <v>1166</v>
      </c>
    </row>
    <row r="313" spans="1:13" x14ac:dyDescent="0.25">
      <c r="A313" s="287" t="s">
        <v>517</v>
      </c>
      <c r="B313" s="286">
        <v>5.87</v>
      </c>
      <c r="C313" s="286">
        <v>27.51</v>
      </c>
      <c r="D313" s="286">
        <v>24.83</v>
      </c>
      <c r="E313" s="286">
        <v>0</v>
      </c>
      <c r="F313" s="286">
        <v>1.06</v>
      </c>
      <c r="G313" s="286">
        <v>1.58</v>
      </c>
      <c r="H313" s="286">
        <v>4.9000000000000004</v>
      </c>
      <c r="I313" s="286">
        <v>2.35</v>
      </c>
      <c r="J313" s="286">
        <v>61</v>
      </c>
      <c r="K313" s="286">
        <v>1.04</v>
      </c>
      <c r="L313" s="286">
        <v>15.86</v>
      </c>
      <c r="M313" s="286" t="s">
        <v>62</v>
      </c>
    </row>
    <row r="314" spans="1:13" x14ac:dyDescent="0.25">
      <c r="A314" s="287" t="s">
        <v>518</v>
      </c>
      <c r="B314" s="286">
        <v>-3.17</v>
      </c>
      <c r="C314" s="286">
        <v>17.63</v>
      </c>
      <c r="D314" s="286">
        <v>18.399999999999999</v>
      </c>
      <c r="E314" s="286">
        <v>10.35</v>
      </c>
      <c r="F314" s="286">
        <v>0.52</v>
      </c>
      <c r="G314" s="286">
        <v>0.68</v>
      </c>
      <c r="H314" s="286">
        <v>-3.62</v>
      </c>
      <c r="I314" s="286">
        <v>2.2799999999999998</v>
      </c>
      <c r="J314" s="286">
        <v>106</v>
      </c>
      <c r="K314" s="286">
        <v>1.01</v>
      </c>
      <c r="L314" s="286">
        <v>15.52</v>
      </c>
      <c r="M314" s="286" t="s">
        <v>58</v>
      </c>
    </row>
    <row r="315" spans="1:13" x14ac:dyDescent="0.25">
      <c r="A315" s="287" t="s">
        <v>519</v>
      </c>
      <c r="B315" s="286">
        <v>7.22</v>
      </c>
      <c r="C315" s="286">
        <v>17.66</v>
      </c>
      <c r="D315" s="286">
        <v>19.28</v>
      </c>
      <c r="E315" s="286">
        <v>0</v>
      </c>
      <c r="F315" s="286">
        <v>0.57999999999999996</v>
      </c>
      <c r="G315" s="286">
        <v>0.84</v>
      </c>
      <c r="H315" s="286">
        <v>-2.5099999999999998</v>
      </c>
      <c r="I315" s="286">
        <v>2.52</v>
      </c>
      <c r="J315" s="286">
        <v>126</v>
      </c>
      <c r="K315" s="286">
        <v>0.94</v>
      </c>
      <c r="L315" s="286">
        <v>14.48</v>
      </c>
      <c r="M315" s="286" t="s">
        <v>55</v>
      </c>
    </row>
    <row r="316" spans="1:13" x14ac:dyDescent="0.25">
      <c r="A316" s="287" t="s">
        <v>520</v>
      </c>
      <c r="B316" s="286">
        <v>5.58</v>
      </c>
      <c r="C316" s="286">
        <v>17.57</v>
      </c>
      <c r="D316" s="286">
        <v>19.2</v>
      </c>
      <c r="E316" s="286">
        <v>11.06</v>
      </c>
      <c r="F316" s="286">
        <v>0.57999999999999996</v>
      </c>
      <c r="G316" s="286">
        <v>0.88</v>
      </c>
      <c r="H316" s="286">
        <v>-2.31</v>
      </c>
      <c r="I316" s="286">
        <v>2.12</v>
      </c>
      <c r="J316" s="286">
        <v>92</v>
      </c>
      <c r="K316" s="286">
        <v>1.02</v>
      </c>
      <c r="L316" s="286">
        <v>14.26</v>
      </c>
      <c r="M316" s="286" t="s">
        <v>55</v>
      </c>
    </row>
    <row r="317" spans="1:13" x14ac:dyDescent="0.25">
      <c r="A317" s="287" t="s">
        <v>521</v>
      </c>
      <c r="B317" s="286">
        <v>4.25</v>
      </c>
      <c r="C317" s="286">
        <v>21.85</v>
      </c>
      <c r="D317" s="286">
        <v>23.18</v>
      </c>
      <c r="E317" s="286">
        <v>14.76</v>
      </c>
      <c r="F317" s="286">
        <v>0.76</v>
      </c>
      <c r="G317" s="286">
        <v>1.1499999999999999</v>
      </c>
      <c r="H317" s="286">
        <v>1.1100000000000001</v>
      </c>
      <c r="I317" s="286">
        <v>1.91</v>
      </c>
      <c r="J317" s="286">
        <v>43</v>
      </c>
      <c r="K317" s="286">
        <v>0.99</v>
      </c>
      <c r="L317" s="286">
        <v>15.78</v>
      </c>
      <c r="M317" s="286" t="s">
        <v>65</v>
      </c>
    </row>
    <row r="318" spans="1:13" x14ac:dyDescent="0.25">
      <c r="A318" s="287" t="s">
        <v>522</v>
      </c>
      <c r="B318" s="286">
        <v>0</v>
      </c>
      <c r="C318" s="286">
        <v>0</v>
      </c>
      <c r="D318" s="286">
        <v>0</v>
      </c>
      <c r="E318" s="286">
        <v>0</v>
      </c>
      <c r="F318" s="286">
        <v>0</v>
      </c>
      <c r="G318" s="286">
        <v>0</v>
      </c>
      <c r="H318" s="286">
        <v>0</v>
      </c>
      <c r="I318" s="286">
        <v>2.21</v>
      </c>
      <c r="J318" s="286">
        <v>0</v>
      </c>
      <c r="K318" s="286">
        <v>0</v>
      </c>
      <c r="L318" s="286">
        <v>0</v>
      </c>
      <c r="M318" s="286" t="s">
        <v>71</v>
      </c>
    </row>
    <row r="319" spans="1:13" x14ac:dyDescent="0.25">
      <c r="A319" s="287" t="s">
        <v>523</v>
      </c>
      <c r="B319" s="286">
        <v>2.75</v>
      </c>
      <c r="C319" s="286">
        <v>26.17</v>
      </c>
      <c r="D319" s="286">
        <v>25.2</v>
      </c>
      <c r="E319" s="286">
        <v>0</v>
      </c>
      <c r="F319" s="286">
        <v>0.9</v>
      </c>
      <c r="G319" s="286">
        <v>1.33</v>
      </c>
      <c r="H319" s="286">
        <v>-2.33</v>
      </c>
      <c r="I319" s="286">
        <v>2.48</v>
      </c>
      <c r="J319" s="286">
        <v>57</v>
      </c>
      <c r="K319" s="286">
        <v>1</v>
      </c>
      <c r="L319" s="286">
        <v>17.55</v>
      </c>
      <c r="M319" s="286" t="s">
        <v>58</v>
      </c>
    </row>
    <row r="320" spans="1:13" x14ac:dyDescent="0.25">
      <c r="A320" s="287" t="s">
        <v>524</v>
      </c>
      <c r="B320" s="286">
        <v>0</v>
      </c>
      <c r="C320" s="286">
        <v>0</v>
      </c>
      <c r="D320" s="286">
        <v>0</v>
      </c>
      <c r="E320" s="286">
        <v>0</v>
      </c>
      <c r="F320" s="286">
        <v>0</v>
      </c>
      <c r="G320" s="286">
        <v>0</v>
      </c>
      <c r="H320" s="286">
        <v>0</v>
      </c>
      <c r="I320" s="286">
        <v>2.25</v>
      </c>
      <c r="J320" s="286">
        <v>0</v>
      </c>
      <c r="K320" s="286">
        <v>0</v>
      </c>
      <c r="L320" s="286">
        <v>0</v>
      </c>
      <c r="M320" s="286" t="s">
        <v>84</v>
      </c>
    </row>
    <row r="321" spans="1:13" x14ac:dyDescent="0.25">
      <c r="A321" s="287" t="s">
        <v>525</v>
      </c>
      <c r="B321" s="286">
        <v>5.77</v>
      </c>
      <c r="C321" s="286">
        <v>0</v>
      </c>
      <c r="D321" s="286">
        <v>0</v>
      </c>
      <c r="E321" s="286">
        <v>0</v>
      </c>
      <c r="F321" s="286">
        <v>0</v>
      </c>
      <c r="G321" s="286">
        <v>0</v>
      </c>
      <c r="H321" s="286">
        <v>0</v>
      </c>
      <c r="I321" s="286">
        <v>2.04</v>
      </c>
      <c r="J321" s="286">
        <v>31</v>
      </c>
      <c r="K321" s="286">
        <v>0</v>
      </c>
      <c r="L321" s="286">
        <v>0</v>
      </c>
      <c r="M321" s="286" t="s">
        <v>60</v>
      </c>
    </row>
    <row r="322" spans="1:13" x14ac:dyDescent="0.25">
      <c r="A322" s="287" t="s">
        <v>531</v>
      </c>
      <c r="B322" s="286">
        <v>-3.81</v>
      </c>
      <c r="C322" s="286">
        <v>24.4</v>
      </c>
      <c r="D322" s="286">
        <v>31.77</v>
      </c>
      <c r="E322" s="286">
        <v>0</v>
      </c>
      <c r="F322" s="286">
        <v>0.78</v>
      </c>
      <c r="G322" s="286">
        <v>0.97</v>
      </c>
      <c r="H322" s="286">
        <v>-1.83</v>
      </c>
      <c r="I322" s="286">
        <v>2.38</v>
      </c>
      <c r="J322" s="286">
        <v>88</v>
      </c>
      <c r="K322" s="286">
        <v>0.93</v>
      </c>
      <c r="L322" s="286">
        <v>19.309999999999999</v>
      </c>
      <c r="M322" s="286" t="s">
        <v>89</v>
      </c>
    </row>
    <row r="323" spans="1:13" x14ac:dyDescent="0.25">
      <c r="A323" s="287" t="s">
        <v>1225</v>
      </c>
      <c r="B323" s="286">
        <v>7.59</v>
      </c>
      <c r="C323" s="286">
        <v>15.24</v>
      </c>
      <c r="D323" s="286">
        <v>17.34</v>
      </c>
      <c r="E323" s="286">
        <v>9.89</v>
      </c>
      <c r="F323" s="286">
        <v>0.61</v>
      </c>
      <c r="G323" s="286">
        <v>0.99</v>
      </c>
      <c r="H323" s="286">
        <v>-1.66</v>
      </c>
      <c r="I323" s="286">
        <v>2.37</v>
      </c>
      <c r="J323" s="286">
        <v>10</v>
      </c>
      <c r="K323" s="286">
        <v>0.85</v>
      </c>
      <c r="L323" s="286">
        <v>10.81</v>
      </c>
      <c r="M323" s="286" t="s">
        <v>103</v>
      </c>
    </row>
    <row r="324" spans="1:13" x14ac:dyDescent="0.25">
      <c r="A324" s="287" t="s">
        <v>1226</v>
      </c>
      <c r="B324" s="286">
        <v>8.83</v>
      </c>
      <c r="C324" s="286">
        <v>21.07</v>
      </c>
      <c r="D324" s="286">
        <v>21.71</v>
      </c>
      <c r="E324" s="286">
        <v>0</v>
      </c>
      <c r="F324" s="286">
        <v>1.03</v>
      </c>
      <c r="G324" s="286">
        <v>1.63</v>
      </c>
      <c r="H324" s="286">
        <v>2.67</v>
      </c>
      <c r="I324" s="286">
        <v>2.0299999999999998</v>
      </c>
      <c r="J324" s="286">
        <v>70</v>
      </c>
      <c r="K324" s="286">
        <v>0.91</v>
      </c>
      <c r="L324" s="286">
        <v>11.15</v>
      </c>
      <c r="M324" s="286" t="s">
        <v>1166</v>
      </c>
    </row>
    <row r="325" spans="1:13" x14ac:dyDescent="0.25">
      <c r="A325" s="287" t="s">
        <v>532</v>
      </c>
      <c r="B325" s="286">
        <v>5.71</v>
      </c>
      <c r="C325" s="286">
        <v>15.63</v>
      </c>
      <c r="D325" s="286">
        <v>0</v>
      </c>
      <c r="E325" s="286">
        <v>0</v>
      </c>
      <c r="F325" s="286">
        <v>0.79</v>
      </c>
      <c r="G325" s="286">
        <v>1.22</v>
      </c>
      <c r="H325" s="286">
        <v>0.62</v>
      </c>
      <c r="I325" s="286">
        <v>2.2200000000000002</v>
      </c>
      <c r="J325" s="286">
        <v>302</v>
      </c>
      <c r="K325" s="286">
        <v>0.79</v>
      </c>
      <c r="L325" s="286">
        <v>8.69</v>
      </c>
      <c r="M325" s="286" t="s">
        <v>62</v>
      </c>
    </row>
    <row r="326" spans="1:13" x14ac:dyDescent="0.25">
      <c r="A326" s="287" t="s">
        <v>533</v>
      </c>
      <c r="B326" s="286">
        <v>2.17</v>
      </c>
      <c r="C326" s="286">
        <v>0</v>
      </c>
      <c r="D326" s="286">
        <v>0</v>
      </c>
      <c r="E326" s="286">
        <v>0</v>
      </c>
      <c r="F326" s="286">
        <v>0</v>
      </c>
      <c r="G326" s="286">
        <v>0</v>
      </c>
      <c r="H326" s="286">
        <v>0</v>
      </c>
      <c r="I326" s="286">
        <v>2.11</v>
      </c>
      <c r="J326" s="286">
        <v>60</v>
      </c>
      <c r="K326" s="286">
        <v>0</v>
      </c>
      <c r="L326" s="286">
        <v>0</v>
      </c>
      <c r="M326" s="286" t="s">
        <v>55</v>
      </c>
    </row>
    <row r="327" spans="1:13" x14ac:dyDescent="0.25">
      <c r="A327" s="287" t="s">
        <v>534</v>
      </c>
      <c r="B327" s="286">
        <v>0.35</v>
      </c>
      <c r="C327" s="286">
        <v>19.88</v>
      </c>
      <c r="D327" s="286">
        <v>20.12</v>
      </c>
      <c r="E327" s="286">
        <v>0</v>
      </c>
      <c r="F327" s="286">
        <v>0.74</v>
      </c>
      <c r="G327" s="286">
        <v>0.98</v>
      </c>
      <c r="H327" s="286">
        <v>-0.7</v>
      </c>
      <c r="I327" s="286">
        <v>2.38</v>
      </c>
      <c r="J327" s="286">
        <v>23</v>
      </c>
      <c r="K327" s="286">
        <v>0.82</v>
      </c>
      <c r="L327" s="286">
        <v>14.96</v>
      </c>
      <c r="M327" s="286" t="s">
        <v>55</v>
      </c>
    </row>
    <row r="328" spans="1:13" x14ac:dyDescent="0.25">
      <c r="A328" s="287" t="s">
        <v>535</v>
      </c>
      <c r="B328" s="286">
        <v>5.31</v>
      </c>
      <c r="C328" s="286">
        <v>22.08</v>
      </c>
      <c r="D328" s="286">
        <v>0</v>
      </c>
      <c r="E328" s="286">
        <v>0</v>
      </c>
      <c r="F328" s="286">
        <v>0.84</v>
      </c>
      <c r="G328" s="286">
        <v>1.24</v>
      </c>
      <c r="H328" s="286">
        <v>0.84</v>
      </c>
      <c r="I328" s="286">
        <v>2.0499999999999998</v>
      </c>
      <c r="J328" s="286">
        <v>73</v>
      </c>
      <c r="K328" s="286">
        <v>0.93</v>
      </c>
      <c r="L328" s="286">
        <v>13.82</v>
      </c>
      <c r="M328" s="286" t="s">
        <v>65</v>
      </c>
    </row>
    <row r="329" spans="1:13" x14ac:dyDescent="0.25">
      <c r="A329" s="287" t="s">
        <v>536</v>
      </c>
      <c r="B329" s="286">
        <v>3.7</v>
      </c>
      <c r="C329" s="286">
        <v>24.71</v>
      </c>
      <c r="D329" s="286">
        <v>0</v>
      </c>
      <c r="E329" s="286">
        <v>0</v>
      </c>
      <c r="F329" s="286">
        <v>1.04</v>
      </c>
      <c r="G329" s="286">
        <v>1.58</v>
      </c>
      <c r="H329" s="286">
        <v>3.94</v>
      </c>
      <c r="I329" s="286">
        <v>1.98</v>
      </c>
      <c r="J329" s="286">
        <v>33</v>
      </c>
      <c r="K329" s="286">
        <v>0.9</v>
      </c>
      <c r="L329" s="286">
        <v>13.72</v>
      </c>
      <c r="M329" s="286" t="s">
        <v>71</v>
      </c>
    </row>
    <row r="330" spans="1:13" x14ac:dyDescent="0.25">
      <c r="A330" s="287" t="s">
        <v>537</v>
      </c>
      <c r="B330" s="286">
        <v>5.77</v>
      </c>
      <c r="C330" s="286">
        <v>18.88</v>
      </c>
      <c r="D330" s="286">
        <v>20.53</v>
      </c>
      <c r="E330" s="286">
        <v>0</v>
      </c>
      <c r="F330" s="286">
        <v>0.69</v>
      </c>
      <c r="G330" s="286">
        <v>1.0900000000000001</v>
      </c>
      <c r="H330" s="286">
        <v>-0.59</v>
      </c>
      <c r="I330" s="286">
        <v>2.31</v>
      </c>
      <c r="J330" s="286">
        <v>60</v>
      </c>
      <c r="K330" s="286">
        <v>0.93</v>
      </c>
      <c r="L330" s="286">
        <v>13.09</v>
      </c>
      <c r="M330" s="286" t="s">
        <v>84</v>
      </c>
    </row>
    <row r="331" spans="1:13" x14ac:dyDescent="0.25">
      <c r="A331" s="287" t="s">
        <v>538</v>
      </c>
      <c r="B331" s="286">
        <v>2.54</v>
      </c>
      <c r="C331" s="286">
        <v>21.8</v>
      </c>
      <c r="D331" s="286">
        <v>24.85</v>
      </c>
      <c r="E331" s="286">
        <v>0</v>
      </c>
      <c r="F331" s="286">
        <v>0.79</v>
      </c>
      <c r="G331" s="286">
        <v>1.17</v>
      </c>
      <c r="H331" s="286">
        <v>1.03</v>
      </c>
      <c r="I331" s="286">
        <v>1.93</v>
      </c>
      <c r="J331" s="286">
        <v>149</v>
      </c>
      <c r="K331" s="286">
        <v>0.95</v>
      </c>
      <c r="L331" s="286">
        <v>14.59</v>
      </c>
      <c r="M331" s="286" t="s">
        <v>89</v>
      </c>
    </row>
    <row r="332" spans="1:13" x14ac:dyDescent="0.25">
      <c r="A332" s="287" t="s">
        <v>539</v>
      </c>
      <c r="B332" s="286">
        <v>-3.32</v>
      </c>
      <c r="C332" s="286">
        <v>0</v>
      </c>
      <c r="D332" s="286">
        <v>0</v>
      </c>
      <c r="E332" s="286">
        <v>0</v>
      </c>
      <c r="F332" s="286">
        <v>0</v>
      </c>
      <c r="G332" s="286">
        <v>0</v>
      </c>
      <c r="H332" s="286">
        <v>0</v>
      </c>
      <c r="I332" s="286">
        <v>2.2400000000000002</v>
      </c>
      <c r="J332" s="286">
        <v>0</v>
      </c>
      <c r="K332" s="286">
        <v>0</v>
      </c>
      <c r="L332" s="286">
        <v>0</v>
      </c>
      <c r="M332" s="286" t="s">
        <v>103</v>
      </c>
    </row>
    <row r="333" spans="1:13" x14ac:dyDescent="0.25">
      <c r="A333" s="287" t="s">
        <v>540</v>
      </c>
      <c r="B333" s="286">
        <v>3.41</v>
      </c>
      <c r="C333" s="286">
        <v>29.95</v>
      </c>
      <c r="D333" s="286">
        <v>29.65</v>
      </c>
      <c r="E333" s="286">
        <v>0</v>
      </c>
      <c r="F333" s="286">
        <v>1.1200000000000001</v>
      </c>
      <c r="G333" s="286">
        <v>1.58</v>
      </c>
      <c r="H333" s="286">
        <v>1.01</v>
      </c>
      <c r="I333" s="286">
        <v>1.86</v>
      </c>
      <c r="J333" s="286">
        <v>65</v>
      </c>
      <c r="K333" s="286">
        <v>0.96</v>
      </c>
      <c r="L333" s="286">
        <v>16.48</v>
      </c>
      <c r="M333" s="286" t="s">
        <v>1168</v>
      </c>
    </row>
    <row r="334" spans="1:13" x14ac:dyDescent="0.25">
      <c r="A334" s="287" t="s">
        <v>541</v>
      </c>
      <c r="B334" s="286">
        <v>10.43</v>
      </c>
      <c r="C334" s="286">
        <v>0</v>
      </c>
      <c r="D334" s="286">
        <v>0</v>
      </c>
      <c r="E334" s="286">
        <v>0</v>
      </c>
      <c r="F334" s="286">
        <v>0</v>
      </c>
      <c r="G334" s="286">
        <v>0</v>
      </c>
      <c r="H334" s="286">
        <v>0</v>
      </c>
      <c r="I334" s="286">
        <v>2.04</v>
      </c>
      <c r="J334" s="286">
        <v>75</v>
      </c>
      <c r="K334" s="286">
        <v>0</v>
      </c>
      <c r="L334" s="286">
        <v>0</v>
      </c>
      <c r="M334" s="286" t="s">
        <v>1166</v>
      </c>
    </row>
    <row r="335" spans="1:13" x14ac:dyDescent="0.25">
      <c r="A335" s="287" t="s">
        <v>542</v>
      </c>
      <c r="B335" s="286">
        <v>4.6399999999999997</v>
      </c>
      <c r="C335" s="286">
        <v>25.62</v>
      </c>
      <c r="D335" s="286">
        <v>27.58</v>
      </c>
      <c r="E335" s="286">
        <v>0</v>
      </c>
      <c r="F335" s="286">
        <v>0.91</v>
      </c>
      <c r="G335" s="286">
        <v>1.25</v>
      </c>
      <c r="H335" s="286">
        <v>0.24</v>
      </c>
      <c r="I335" s="286">
        <v>1.8</v>
      </c>
      <c r="J335" s="286">
        <v>127</v>
      </c>
      <c r="K335" s="286">
        <v>0.96</v>
      </c>
      <c r="L335" s="286">
        <v>15.64</v>
      </c>
      <c r="M335" s="286" t="s">
        <v>55</v>
      </c>
    </row>
    <row r="336" spans="1:13" x14ac:dyDescent="0.25">
      <c r="A336" s="287" t="s">
        <v>543</v>
      </c>
      <c r="B336" s="286">
        <v>0.82</v>
      </c>
      <c r="C336" s="286">
        <v>0</v>
      </c>
      <c r="D336" s="286">
        <v>0</v>
      </c>
      <c r="E336" s="286">
        <v>0</v>
      </c>
      <c r="F336" s="286">
        <v>0</v>
      </c>
      <c r="G336" s="286">
        <v>0</v>
      </c>
      <c r="H336" s="286">
        <v>0</v>
      </c>
      <c r="I336" s="286">
        <v>1.85</v>
      </c>
      <c r="J336" s="286">
        <v>107</v>
      </c>
      <c r="K336" s="286">
        <v>0</v>
      </c>
      <c r="L336" s="286">
        <v>0</v>
      </c>
      <c r="M336" s="286" t="s">
        <v>55</v>
      </c>
    </row>
    <row r="337" spans="1:13" x14ac:dyDescent="0.25">
      <c r="A337" s="287" t="s">
        <v>1227</v>
      </c>
      <c r="B337" s="286">
        <v>7.71</v>
      </c>
      <c r="C337" s="286">
        <v>17.21</v>
      </c>
      <c r="D337" s="286">
        <v>17.690000000000001</v>
      </c>
      <c r="E337" s="286">
        <v>0</v>
      </c>
      <c r="F337" s="286">
        <v>0.76</v>
      </c>
      <c r="G337" s="286">
        <v>1.19</v>
      </c>
      <c r="H337" s="286">
        <v>-0.31</v>
      </c>
      <c r="I337" s="286">
        <v>1.72</v>
      </c>
      <c r="J337" s="286">
        <v>105</v>
      </c>
      <c r="K337" s="286">
        <v>0.87</v>
      </c>
      <c r="L337" s="286">
        <v>10.52</v>
      </c>
      <c r="M337" s="286" t="s">
        <v>65</v>
      </c>
    </row>
    <row r="338" spans="1:13" x14ac:dyDescent="0.25">
      <c r="A338" s="287" t="s">
        <v>544</v>
      </c>
      <c r="B338" s="286">
        <v>7.82</v>
      </c>
      <c r="C338" s="286">
        <v>0</v>
      </c>
      <c r="D338" s="286">
        <v>0</v>
      </c>
      <c r="E338" s="286">
        <v>0</v>
      </c>
      <c r="F338" s="286">
        <v>0</v>
      </c>
      <c r="G338" s="286">
        <v>0</v>
      </c>
      <c r="H338" s="286">
        <v>0</v>
      </c>
      <c r="I338" s="286">
        <v>2.06</v>
      </c>
      <c r="J338" s="286">
        <v>299</v>
      </c>
      <c r="K338" s="286">
        <v>0</v>
      </c>
      <c r="L338" s="286">
        <v>0</v>
      </c>
      <c r="M338" s="286" t="s">
        <v>84</v>
      </c>
    </row>
    <row r="339" spans="1:13" x14ac:dyDescent="0.25">
      <c r="A339" s="287" t="s">
        <v>550</v>
      </c>
      <c r="B339" s="286">
        <v>5.0599999999999996</v>
      </c>
      <c r="C339" s="286">
        <v>20.96</v>
      </c>
      <c r="D339" s="286">
        <v>0</v>
      </c>
      <c r="E339" s="286">
        <v>0</v>
      </c>
      <c r="F339" s="286">
        <v>0.79</v>
      </c>
      <c r="G339" s="286">
        <v>1.22</v>
      </c>
      <c r="H339" s="286">
        <v>0.73</v>
      </c>
      <c r="I339" s="286">
        <v>0.11</v>
      </c>
      <c r="J339" s="286">
        <v>0</v>
      </c>
      <c r="K339" s="286">
        <v>1.01</v>
      </c>
      <c r="L339" s="286">
        <v>14.05</v>
      </c>
      <c r="M339" s="286" t="s">
        <v>103</v>
      </c>
    </row>
    <row r="340" spans="1:13" x14ac:dyDescent="0.25">
      <c r="A340" s="287" t="s">
        <v>551</v>
      </c>
      <c r="B340" s="286">
        <v>6.27</v>
      </c>
      <c r="C340" s="286">
        <v>0</v>
      </c>
      <c r="D340" s="286">
        <v>0</v>
      </c>
      <c r="E340" s="286">
        <v>0</v>
      </c>
      <c r="F340" s="286">
        <v>0</v>
      </c>
      <c r="G340" s="286">
        <v>0</v>
      </c>
      <c r="H340" s="286">
        <v>0</v>
      </c>
      <c r="I340" s="286">
        <v>1.93</v>
      </c>
      <c r="J340" s="286">
        <v>31</v>
      </c>
      <c r="K340" s="286">
        <v>0</v>
      </c>
      <c r="L340" s="286">
        <v>0</v>
      </c>
      <c r="M340" s="286" t="s">
        <v>62</v>
      </c>
    </row>
    <row r="341" spans="1:13" x14ac:dyDescent="0.25">
      <c r="A341" s="287" t="s">
        <v>552</v>
      </c>
      <c r="B341" s="286">
        <v>9.3000000000000007</v>
      </c>
      <c r="C341" s="286">
        <v>14.63</v>
      </c>
      <c r="D341" s="286">
        <v>19.760000000000002</v>
      </c>
      <c r="E341" s="286">
        <v>0</v>
      </c>
      <c r="F341" s="286">
        <v>0.47</v>
      </c>
      <c r="G341" s="286">
        <v>0.74</v>
      </c>
      <c r="H341" s="286">
        <v>-3.36</v>
      </c>
      <c r="I341" s="286">
        <v>1.77</v>
      </c>
      <c r="J341" s="286">
        <v>38</v>
      </c>
      <c r="K341" s="286">
        <v>0.81</v>
      </c>
      <c r="L341" s="286">
        <v>12.75</v>
      </c>
      <c r="M341" s="286" t="s">
        <v>65</v>
      </c>
    </row>
    <row r="342" spans="1:13" x14ac:dyDescent="0.25">
      <c r="A342" s="287" t="s">
        <v>553</v>
      </c>
      <c r="B342" s="286">
        <v>4.32</v>
      </c>
      <c r="C342" s="286">
        <v>22.31</v>
      </c>
      <c r="D342" s="286">
        <v>23.23</v>
      </c>
      <c r="E342" s="286">
        <v>15.34</v>
      </c>
      <c r="F342" s="286">
        <v>0.81</v>
      </c>
      <c r="G342" s="286">
        <v>1.1299999999999999</v>
      </c>
      <c r="H342" s="286">
        <v>0.5</v>
      </c>
      <c r="I342" s="286">
        <v>1.85</v>
      </c>
      <c r="J342" s="286">
        <v>46</v>
      </c>
      <c r="K342" s="286">
        <v>0.86</v>
      </c>
      <c r="L342" s="286">
        <v>15.84</v>
      </c>
      <c r="M342" s="286" t="s">
        <v>58</v>
      </c>
    </row>
    <row r="343" spans="1:13" x14ac:dyDescent="0.25">
      <c r="A343" s="287" t="s">
        <v>554</v>
      </c>
      <c r="B343" s="286">
        <v>7.5</v>
      </c>
      <c r="C343" s="286">
        <v>17.14</v>
      </c>
      <c r="D343" s="286">
        <v>19.489999999999998</v>
      </c>
      <c r="E343" s="286">
        <v>13.33</v>
      </c>
      <c r="F343" s="286">
        <v>0.63</v>
      </c>
      <c r="G343" s="286">
        <v>1.01</v>
      </c>
      <c r="H343" s="286">
        <v>-1.36</v>
      </c>
      <c r="I343" s="286">
        <v>1.52</v>
      </c>
      <c r="J343" s="286">
        <v>42</v>
      </c>
      <c r="K343" s="286">
        <v>0.9</v>
      </c>
      <c r="L343" s="286">
        <v>12.52</v>
      </c>
      <c r="M343" s="286" t="s">
        <v>65</v>
      </c>
    </row>
    <row r="344" spans="1:13" x14ac:dyDescent="0.25">
      <c r="A344" s="287" t="s">
        <v>555</v>
      </c>
      <c r="B344" s="286">
        <v>4.76</v>
      </c>
      <c r="C344" s="286">
        <v>20.69</v>
      </c>
      <c r="D344" s="286">
        <v>23.73</v>
      </c>
      <c r="E344" s="286">
        <v>17.54</v>
      </c>
      <c r="F344" s="286">
        <v>0.73</v>
      </c>
      <c r="G344" s="286">
        <v>1.08</v>
      </c>
      <c r="H344" s="286">
        <v>-0.19</v>
      </c>
      <c r="I344" s="286">
        <v>1.53</v>
      </c>
      <c r="J344" s="286">
        <v>92</v>
      </c>
      <c r="K344" s="286">
        <v>0.98</v>
      </c>
      <c r="L344" s="286">
        <v>14.51</v>
      </c>
      <c r="M344" s="286" t="s">
        <v>58</v>
      </c>
    </row>
    <row r="345" spans="1:13" x14ac:dyDescent="0.25">
      <c r="A345" s="287" t="s">
        <v>556</v>
      </c>
      <c r="B345" s="286">
        <v>4.5</v>
      </c>
      <c r="C345" s="286">
        <v>24.78</v>
      </c>
      <c r="D345" s="286">
        <v>29.31</v>
      </c>
      <c r="E345" s="286">
        <v>0</v>
      </c>
      <c r="F345" s="286">
        <v>0.84</v>
      </c>
      <c r="G345" s="286">
        <v>1.21</v>
      </c>
      <c r="H345" s="286">
        <v>-3.37</v>
      </c>
      <c r="I345" s="286">
        <v>1.67</v>
      </c>
      <c r="J345" s="286">
        <v>109</v>
      </c>
      <c r="K345" s="286">
        <v>0.97</v>
      </c>
      <c r="L345" s="286">
        <v>16.88</v>
      </c>
      <c r="M345" s="286" t="s">
        <v>1169</v>
      </c>
    </row>
    <row r="346" spans="1:13" x14ac:dyDescent="0.25">
      <c r="A346" s="287" t="s">
        <v>557</v>
      </c>
      <c r="B346" s="286">
        <v>11.33</v>
      </c>
      <c r="C346" s="286">
        <v>0</v>
      </c>
      <c r="D346" s="286">
        <v>0</v>
      </c>
      <c r="E346" s="286">
        <v>0</v>
      </c>
      <c r="F346" s="286">
        <v>0</v>
      </c>
      <c r="G346" s="286">
        <v>0</v>
      </c>
      <c r="H346" s="286">
        <v>0</v>
      </c>
      <c r="I346" s="286">
        <v>1.98</v>
      </c>
      <c r="J346" s="286">
        <v>294</v>
      </c>
      <c r="K346" s="286">
        <v>0</v>
      </c>
      <c r="L346" s="286">
        <v>0</v>
      </c>
      <c r="M346" s="286" t="s">
        <v>84</v>
      </c>
    </row>
    <row r="347" spans="1:13" x14ac:dyDescent="0.25">
      <c r="A347" s="287" t="s">
        <v>558</v>
      </c>
      <c r="B347" s="286">
        <v>7.9</v>
      </c>
      <c r="C347" s="286">
        <v>0</v>
      </c>
      <c r="D347" s="286">
        <v>0</v>
      </c>
      <c r="E347" s="286">
        <v>0</v>
      </c>
      <c r="F347" s="286">
        <v>0</v>
      </c>
      <c r="G347" s="286">
        <v>0</v>
      </c>
      <c r="H347" s="286">
        <v>0</v>
      </c>
      <c r="I347" s="286">
        <v>1.87</v>
      </c>
      <c r="J347" s="286">
        <v>105</v>
      </c>
      <c r="K347" s="286">
        <v>0</v>
      </c>
      <c r="L347" s="286">
        <v>0</v>
      </c>
      <c r="M347" s="286" t="s">
        <v>1166</v>
      </c>
    </row>
    <row r="348" spans="1:13" x14ac:dyDescent="0.25">
      <c r="A348" s="287" t="s">
        <v>560</v>
      </c>
      <c r="B348" s="286">
        <v>7.44</v>
      </c>
      <c r="C348" s="286">
        <v>17.32</v>
      </c>
      <c r="D348" s="286">
        <v>0</v>
      </c>
      <c r="E348" s="286">
        <v>0</v>
      </c>
      <c r="F348" s="286">
        <v>0.59</v>
      </c>
      <c r="G348" s="286">
        <v>0.96</v>
      </c>
      <c r="H348" s="286">
        <v>-2.02</v>
      </c>
      <c r="I348" s="286">
        <v>0.43</v>
      </c>
      <c r="J348" s="286">
        <v>0</v>
      </c>
      <c r="K348" s="286">
        <v>0.96</v>
      </c>
      <c r="L348" s="286">
        <v>13.38</v>
      </c>
      <c r="M348" s="286" t="s">
        <v>1168</v>
      </c>
    </row>
    <row r="349" spans="1:13" x14ac:dyDescent="0.25">
      <c r="A349" s="287" t="s">
        <v>583</v>
      </c>
      <c r="B349" s="286">
        <v>0</v>
      </c>
      <c r="C349" s="286">
        <v>0</v>
      </c>
      <c r="D349" s="286">
        <v>0</v>
      </c>
      <c r="E349" s="286">
        <v>0</v>
      </c>
      <c r="F349" s="286">
        <v>0</v>
      </c>
      <c r="G349" s="286">
        <v>0</v>
      </c>
      <c r="H349" s="286">
        <v>0</v>
      </c>
      <c r="I349" s="286">
        <v>2.0499999999999998</v>
      </c>
      <c r="J349" s="286">
        <v>0</v>
      </c>
      <c r="K349" s="286">
        <v>0</v>
      </c>
      <c r="L349" s="286">
        <v>0</v>
      </c>
      <c r="M349" s="286" t="s">
        <v>71</v>
      </c>
    </row>
    <row r="350" spans="1:13" x14ac:dyDescent="0.25">
      <c r="A350" s="287" t="s">
        <v>584</v>
      </c>
      <c r="B350" s="286">
        <v>0</v>
      </c>
      <c r="C350" s="286">
        <v>0</v>
      </c>
      <c r="D350" s="286">
        <v>0</v>
      </c>
      <c r="E350" s="286">
        <v>0</v>
      </c>
      <c r="F350" s="286">
        <v>0</v>
      </c>
      <c r="G350" s="286">
        <v>0</v>
      </c>
      <c r="H350" s="286">
        <v>0</v>
      </c>
      <c r="I350" s="286">
        <v>2.68</v>
      </c>
      <c r="J350" s="286">
        <v>46</v>
      </c>
      <c r="K350" s="286">
        <v>0</v>
      </c>
      <c r="L350" s="286">
        <v>0</v>
      </c>
      <c r="M350" s="286" t="s">
        <v>55</v>
      </c>
    </row>
    <row r="351" spans="1:13" x14ac:dyDescent="0.25">
      <c r="A351" s="287" t="s">
        <v>585</v>
      </c>
      <c r="B351" s="286">
        <v>11.02</v>
      </c>
      <c r="C351" s="286">
        <v>18.760000000000002</v>
      </c>
      <c r="D351" s="286">
        <v>0</v>
      </c>
      <c r="E351" s="286">
        <v>0</v>
      </c>
      <c r="F351" s="286">
        <v>1.02</v>
      </c>
      <c r="G351" s="286">
        <v>1.74</v>
      </c>
      <c r="H351" s="286">
        <v>1.53</v>
      </c>
      <c r="I351" s="286">
        <v>0.51</v>
      </c>
      <c r="J351" s="286">
        <v>0</v>
      </c>
      <c r="K351" s="286">
        <v>0.84</v>
      </c>
      <c r="L351" s="286">
        <v>8.8699999999999992</v>
      </c>
      <c r="M351" s="286" t="s">
        <v>55</v>
      </c>
    </row>
    <row r="352" spans="1:13" x14ac:dyDescent="0.25">
      <c r="A352" s="287" t="s">
        <v>586</v>
      </c>
      <c r="B352" s="286">
        <v>11.48</v>
      </c>
      <c r="C352" s="286">
        <v>14.69</v>
      </c>
      <c r="D352" s="286">
        <v>0</v>
      </c>
      <c r="E352" s="286">
        <v>0</v>
      </c>
      <c r="F352" s="286">
        <v>1.17</v>
      </c>
      <c r="G352" s="286">
        <v>1.87</v>
      </c>
      <c r="H352" s="286">
        <v>2.16</v>
      </c>
      <c r="I352" s="286">
        <v>0.49</v>
      </c>
      <c r="J352" s="286">
        <v>0</v>
      </c>
      <c r="K352" s="286">
        <v>0.48</v>
      </c>
      <c r="L352" s="286">
        <v>5.5</v>
      </c>
      <c r="M352" s="286" t="s">
        <v>58</v>
      </c>
    </row>
    <row r="353" spans="1:13" x14ac:dyDescent="0.25">
      <c r="A353" s="287" t="s">
        <v>587</v>
      </c>
      <c r="B353" s="286">
        <v>-7.86</v>
      </c>
      <c r="C353" s="286">
        <v>11.37</v>
      </c>
      <c r="D353" s="286">
        <v>8.59</v>
      </c>
      <c r="E353" s="286">
        <v>0</v>
      </c>
      <c r="F353" s="286">
        <v>0.28000000000000003</v>
      </c>
      <c r="G353" s="286">
        <v>0.39</v>
      </c>
      <c r="H353" s="286">
        <v>-4.1900000000000004</v>
      </c>
      <c r="I353" s="286">
        <v>2.27</v>
      </c>
      <c r="J353" s="286">
        <v>411</v>
      </c>
      <c r="K353" s="286">
        <v>1.04</v>
      </c>
      <c r="L353" s="286">
        <v>14.27</v>
      </c>
      <c r="M353" s="286" t="s">
        <v>60</v>
      </c>
    </row>
    <row r="354" spans="1:13" x14ac:dyDescent="0.25">
      <c r="A354" s="287" t="s">
        <v>593</v>
      </c>
      <c r="B354" s="286">
        <v>0</v>
      </c>
      <c r="C354" s="286">
        <v>0</v>
      </c>
      <c r="D354" s="286">
        <v>0</v>
      </c>
      <c r="E354" s="286">
        <v>0</v>
      </c>
      <c r="F354" s="286">
        <v>0</v>
      </c>
      <c r="G354" s="286">
        <v>0</v>
      </c>
      <c r="H354" s="286">
        <v>0</v>
      </c>
      <c r="I354" s="286">
        <v>2.02</v>
      </c>
      <c r="J354" s="286">
        <v>194</v>
      </c>
      <c r="K354" s="286">
        <v>0</v>
      </c>
      <c r="L354" s="286">
        <v>0</v>
      </c>
      <c r="M354" s="286" t="s">
        <v>89</v>
      </c>
    </row>
    <row r="355" spans="1:13" x14ac:dyDescent="0.25">
      <c r="A355" s="287" t="s">
        <v>594</v>
      </c>
      <c r="B355" s="286">
        <v>13.56</v>
      </c>
      <c r="C355" s="286">
        <v>28.38</v>
      </c>
      <c r="D355" s="286">
        <v>22.11</v>
      </c>
      <c r="E355" s="286">
        <v>13.5</v>
      </c>
      <c r="F355" s="286">
        <v>1.07</v>
      </c>
      <c r="G355" s="286">
        <v>1.35</v>
      </c>
      <c r="H355" s="286">
        <v>6.75</v>
      </c>
      <c r="I355" s="286">
        <v>1.72</v>
      </c>
      <c r="J355" s="286">
        <v>153</v>
      </c>
      <c r="K355" s="286">
        <v>0.9</v>
      </c>
      <c r="L355" s="286">
        <v>16.010000000000002</v>
      </c>
      <c r="M355" s="286" t="s">
        <v>65</v>
      </c>
    </row>
    <row r="356" spans="1:13" x14ac:dyDescent="0.25">
      <c r="A356" s="287" t="s">
        <v>595</v>
      </c>
      <c r="B356" s="286">
        <v>-5.66</v>
      </c>
      <c r="C356" s="286">
        <v>13.73</v>
      </c>
      <c r="D356" s="286">
        <v>14.72</v>
      </c>
      <c r="E356" s="286">
        <v>10.18</v>
      </c>
      <c r="F356" s="286">
        <v>0.37</v>
      </c>
      <c r="G356" s="286">
        <v>0.51</v>
      </c>
      <c r="H356" s="286">
        <v>-5.82</v>
      </c>
      <c r="I356" s="286">
        <v>2.14</v>
      </c>
      <c r="J356" s="286">
        <v>104</v>
      </c>
      <c r="K356" s="286">
        <v>1.1000000000000001</v>
      </c>
      <c r="L356" s="286">
        <v>18.5</v>
      </c>
      <c r="M356" s="286" t="s">
        <v>65</v>
      </c>
    </row>
    <row r="357" spans="1:13" x14ac:dyDescent="0.25">
      <c r="A357" s="287" t="s">
        <v>596</v>
      </c>
      <c r="B357" s="286">
        <v>0</v>
      </c>
      <c r="C357" s="286">
        <v>0</v>
      </c>
      <c r="D357" s="286">
        <v>0</v>
      </c>
      <c r="E357" s="286">
        <v>0</v>
      </c>
      <c r="F357" s="286">
        <v>0</v>
      </c>
      <c r="G357" s="286">
        <v>0</v>
      </c>
      <c r="H357" s="286">
        <v>0</v>
      </c>
      <c r="I357" s="286">
        <v>2.4300000000000002</v>
      </c>
      <c r="J357" s="286">
        <v>8</v>
      </c>
      <c r="K357" s="286">
        <v>0</v>
      </c>
      <c r="L357" s="286">
        <v>0</v>
      </c>
      <c r="M357" s="286" t="s">
        <v>71</v>
      </c>
    </row>
    <row r="358" spans="1:13" x14ac:dyDescent="0.25">
      <c r="A358" s="287" t="s">
        <v>597</v>
      </c>
      <c r="B358" s="286">
        <v>14.44</v>
      </c>
      <c r="C358" s="286">
        <v>33.869999999999997</v>
      </c>
      <c r="D358" s="286">
        <v>29.78</v>
      </c>
      <c r="E358" s="286">
        <v>0</v>
      </c>
      <c r="F358" s="286">
        <v>1.19</v>
      </c>
      <c r="G358" s="286">
        <v>1.32</v>
      </c>
      <c r="H358" s="286">
        <v>10.73</v>
      </c>
      <c r="I358" s="286">
        <v>1.73</v>
      </c>
      <c r="J358" s="286">
        <v>38</v>
      </c>
      <c r="K358" s="286">
        <v>1.0900000000000001</v>
      </c>
      <c r="L358" s="286">
        <v>19.22</v>
      </c>
      <c r="M358" s="286" t="s">
        <v>71</v>
      </c>
    </row>
    <row r="359" spans="1:13" x14ac:dyDescent="0.25">
      <c r="A359" s="287" t="s">
        <v>598</v>
      </c>
      <c r="B359" s="286">
        <v>18.649999999999999</v>
      </c>
      <c r="C359" s="286">
        <v>0</v>
      </c>
      <c r="D359" s="286">
        <v>0</v>
      </c>
      <c r="E359" s="286">
        <v>0</v>
      </c>
      <c r="F359" s="286">
        <v>0</v>
      </c>
      <c r="G359" s="286">
        <v>0</v>
      </c>
      <c r="H359" s="286">
        <v>0</v>
      </c>
      <c r="I359" s="286">
        <v>2.0099999999999998</v>
      </c>
      <c r="J359" s="286">
        <v>56</v>
      </c>
      <c r="K359" s="286">
        <v>0</v>
      </c>
      <c r="L359" s="286">
        <v>0</v>
      </c>
      <c r="M359" s="286" t="s">
        <v>65</v>
      </c>
    </row>
    <row r="360" spans="1:13" x14ac:dyDescent="0.25">
      <c r="A360" s="287" t="s">
        <v>599</v>
      </c>
      <c r="B360" s="286">
        <v>0</v>
      </c>
      <c r="C360" s="286">
        <v>0</v>
      </c>
      <c r="D360" s="286">
        <v>0</v>
      </c>
      <c r="E360" s="286">
        <v>0</v>
      </c>
      <c r="F360" s="286">
        <v>0</v>
      </c>
      <c r="G360" s="286">
        <v>0</v>
      </c>
      <c r="H360" s="286">
        <v>0</v>
      </c>
      <c r="I360" s="286">
        <v>2.2999999999999998</v>
      </c>
      <c r="J360" s="286">
        <v>53</v>
      </c>
      <c r="K360" s="286">
        <v>0</v>
      </c>
      <c r="L360" s="286">
        <v>0</v>
      </c>
      <c r="M360" s="286" t="s">
        <v>65</v>
      </c>
    </row>
    <row r="361" spans="1:13" x14ac:dyDescent="0.25">
      <c r="A361" s="287" t="s">
        <v>600</v>
      </c>
      <c r="B361" s="286">
        <v>10.02</v>
      </c>
      <c r="C361" s="286">
        <v>35.32</v>
      </c>
      <c r="D361" s="286">
        <v>36.22</v>
      </c>
      <c r="E361" s="286">
        <v>17.62</v>
      </c>
      <c r="F361" s="286">
        <v>1.27</v>
      </c>
      <c r="G361" s="286">
        <v>1.56</v>
      </c>
      <c r="H361" s="286">
        <v>7.1</v>
      </c>
      <c r="I361" s="286">
        <v>1.58</v>
      </c>
      <c r="J361" s="286">
        <v>172</v>
      </c>
      <c r="K361" s="286">
        <v>0.89</v>
      </c>
      <c r="L361" s="286">
        <v>18.2</v>
      </c>
      <c r="M361" s="286" t="s">
        <v>58</v>
      </c>
    </row>
    <row r="362" spans="1:13" x14ac:dyDescent="0.25">
      <c r="A362" s="287" t="s">
        <v>601</v>
      </c>
      <c r="B362" s="286">
        <v>-8.68</v>
      </c>
      <c r="C362" s="286">
        <v>5.16</v>
      </c>
      <c r="D362" s="286">
        <v>0</v>
      </c>
      <c r="E362" s="286">
        <v>0</v>
      </c>
      <c r="F362" s="286">
        <v>-0.16</v>
      </c>
      <c r="G362" s="286">
        <v>-0.19</v>
      </c>
      <c r="H362" s="286">
        <v>-8.0299999999999994</v>
      </c>
      <c r="I362" s="286">
        <v>2.04</v>
      </c>
      <c r="J362" s="286">
        <v>66</v>
      </c>
      <c r="K362" s="286">
        <v>0.73</v>
      </c>
      <c r="L362" s="286">
        <v>9.6300000000000008</v>
      </c>
      <c r="M362" s="286" t="s">
        <v>58</v>
      </c>
    </row>
    <row r="363" spans="1:13" x14ac:dyDescent="0.25">
      <c r="A363" s="287" t="s">
        <v>602</v>
      </c>
      <c r="B363" s="286">
        <v>28.6</v>
      </c>
      <c r="C363" s="286">
        <v>0</v>
      </c>
      <c r="D363" s="286">
        <v>0</v>
      </c>
      <c r="E363" s="286">
        <v>0</v>
      </c>
      <c r="F363" s="286">
        <v>0</v>
      </c>
      <c r="G363" s="286">
        <v>0</v>
      </c>
      <c r="H363" s="286">
        <v>0</v>
      </c>
      <c r="I363" s="286">
        <v>1.88</v>
      </c>
      <c r="J363" s="286">
        <v>234</v>
      </c>
      <c r="K363" s="286">
        <v>0</v>
      </c>
      <c r="L363" s="286">
        <v>0</v>
      </c>
      <c r="M363" s="286" t="s">
        <v>84</v>
      </c>
    </row>
    <row r="364" spans="1:13" x14ac:dyDescent="0.25">
      <c r="A364" s="287" t="s">
        <v>629</v>
      </c>
      <c r="B364" s="286">
        <v>-1.6</v>
      </c>
      <c r="C364" s="286">
        <v>0</v>
      </c>
      <c r="D364" s="286">
        <v>0</v>
      </c>
      <c r="E364" s="286">
        <v>0</v>
      </c>
      <c r="F364" s="286">
        <v>0</v>
      </c>
      <c r="G364" s="286">
        <v>0</v>
      </c>
      <c r="H364" s="286">
        <v>0</v>
      </c>
      <c r="I364" s="286">
        <v>0.96</v>
      </c>
      <c r="J364" s="286">
        <v>199</v>
      </c>
      <c r="K364" s="286">
        <v>0</v>
      </c>
      <c r="L364" s="286">
        <v>0</v>
      </c>
      <c r="M364" s="286" t="s">
        <v>84</v>
      </c>
    </row>
    <row r="365" spans="1:13" x14ac:dyDescent="0.25">
      <c r="A365" s="287" t="s">
        <v>630</v>
      </c>
      <c r="B365" s="286">
        <v>0</v>
      </c>
      <c r="C365" s="286">
        <v>0</v>
      </c>
      <c r="D365" s="286">
        <v>0</v>
      </c>
      <c r="E365" s="286">
        <v>0</v>
      </c>
      <c r="F365" s="286">
        <v>0</v>
      </c>
      <c r="G365" s="286">
        <v>0</v>
      </c>
      <c r="H365" s="286">
        <v>0</v>
      </c>
      <c r="I365" s="286">
        <v>0</v>
      </c>
      <c r="J365" s="286">
        <v>0</v>
      </c>
      <c r="K365" s="286">
        <v>0</v>
      </c>
      <c r="L365" s="286">
        <v>0</v>
      </c>
      <c r="M365" s="286" t="s">
        <v>84</v>
      </c>
    </row>
    <row r="366" spans="1:13" x14ac:dyDescent="0.25">
      <c r="A366" s="287" t="s">
        <v>631</v>
      </c>
      <c r="B366" s="286">
        <v>15.84</v>
      </c>
      <c r="C366" s="286">
        <v>0</v>
      </c>
      <c r="D366" s="286">
        <v>0</v>
      </c>
      <c r="E366" s="286">
        <v>0</v>
      </c>
      <c r="F366" s="286">
        <v>0</v>
      </c>
      <c r="G366" s="286">
        <v>0</v>
      </c>
      <c r="H366" s="286">
        <v>0</v>
      </c>
      <c r="I366" s="286">
        <v>1.84</v>
      </c>
      <c r="J366" s="286">
        <v>59</v>
      </c>
      <c r="K366" s="286">
        <v>0</v>
      </c>
      <c r="L366" s="286">
        <v>0</v>
      </c>
      <c r="M366" s="286" t="s">
        <v>65</v>
      </c>
    </row>
    <row r="367" spans="1:13" x14ac:dyDescent="0.25">
      <c r="A367" s="287" t="s">
        <v>1228</v>
      </c>
      <c r="B367" s="286">
        <v>5.29</v>
      </c>
      <c r="C367" s="286">
        <v>16.11</v>
      </c>
      <c r="D367" s="286">
        <v>15.76</v>
      </c>
      <c r="E367" s="286">
        <v>0</v>
      </c>
      <c r="F367" s="286">
        <v>0.68</v>
      </c>
      <c r="G367" s="286">
        <v>1.04</v>
      </c>
      <c r="H367" s="286">
        <v>-0.91</v>
      </c>
      <c r="I367" s="286">
        <v>2.2799999999999998</v>
      </c>
      <c r="J367" s="286">
        <v>64</v>
      </c>
      <c r="K367" s="286">
        <v>0.82</v>
      </c>
      <c r="L367" s="286">
        <v>10.210000000000001</v>
      </c>
      <c r="M367" s="286" t="s">
        <v>103</v>
      </c>
    </row>
    <row r="368" spans="1:13" x14ac:dyDescent="0.25">
      <c r="A368" s="287" t="s">
        <v>633</v>
      </c>
      <c r="B368" s="286">
        <v>0.7</v>
      </c>
      <c r="C368" s="286">
        <v>17.39</v>
      </c>
      <c r="D368" s="286">
        <v>19.14</v>
      </c>
      <c r="E368" s="286">
        <v>0</v>
      </c>
      <c r="F368" s="286">
        <v>0.59</v>
      </c>
      <c r="G368" s="286">
        <v>0.95</v>
      </c>
      <c r="H368" s="286">
        <v>-2.5</v>
      </c>
      <c r="I368" s="286">
        <v>2.29</v>
      </c>
      <c r="J368" s="286">
        <v>77</v>
      </c>
      <c r="K368" s="286">
        <v>0.93</v>
      </c>
      <c r="L368" s="286">
        <v>14.08</v>
      </c>
      <c r="M368" s="286" t="s">
        <v>103</v>
      </c>
    </row>
    <row r="369" spans="1:13" x14ac:dyDescent="0.25">
      <c r="A369" s="287" t="s">
        <v>634</v>
      </c>
      <c r="B369" s="286">
        <v>3.34</v>
      </c>
      <c r="C369" s="286">
        <v>18.170000000000002</v>
      </c>
      <c r="D369" s="286">
        <v>21.82</v>
      </c>
      <c r="E369" s="286">
        <v>0</v>
      </c>
      <c r="F369" s="286">
        <v>0.59</v>
      </c>
      <c r="G369" s="286">
        <v>0.89</v>
      </c>
      <c r="H369" s="286">
        <v>-1.93</v>
      </c>
      <c r="I369" s="286">
        <v>2.2599999999999998</v>
      </c>
      <c r="J369" s="286">
        <v>71</v>
      </c>
      <c r="K369" s="286">
        <v>0.97</v>
      </c>
      <c r="L369" s="286">
        <v>14.96</v>
      </c>
      <c r="M369" s="286" t="s">
        <v>65</v>
      </c>
    </row>
    <row r="370" spans="1:13" x14ac:dyDescent="0.25">
      <c r="A370" s="287" t="s">
        <v>641</v>
      </c>
      <c r="B370" s="286">
        <v>0</v>
      </c>
      <c r="C370" s="286">
        <v>0</v>
      </c>
      <c r="D370" s="286">
        <v>0</v>
      </c>
      <c r="E370" s="286">
        <v>0</v>
      </c>
      <c r="F370" s="286">
        <v>0</v>
      </c>
      <c r="G370" s="286">
        <v>0</v>
      </c>
      <c r="H370" s="286">
        <v>0</v>
      </c>
      <c r="I370" s="286">
        <v>1.66</v>
      </c>
      <c r="J370" s="286">
        <v>0</v>
      </c>
      <c r="K370" s="286">
        <v>0</v>
      </c>
      <c r="L370" s="286">
        <v>0</v>
      </c>
      <c r="M370" s="286" t="s">
        <v>58</v>
      </c>
    </row>
    <row r="371" spans="1:13" x14ac:dyDescent="0.25">
      <c r="A371" s="287" t="s">
        <v>642</v>
      </c>
      <c r="B371" s="286">
        <v>6.92</v>
      </c>
      <c r="C371" s="286">
        <v>14.9</v>
      </c>
      <c r="D371" s="286">
        <v>15.02</v>
      </c>
      <c r="E371" s="286">
        <v>10.01</v>
      </c>
      <c r="F371" s="286">
        <v>0.91</v>
      </c>
      <c r="G371" s="286">
        <v>1.38</v>
      </c>
      <c r="H371" s="286">
        <v>1.1599999999999999</v>
      </c>
      <c r="I371" s="286">
        <v>1.74</v>
      </c>
      <c r="J371" s="286">
        <v>266</v>
      </c>
      <c r="K371" s="286">
        <v>0.71</v>
      </c>
      <c r="L371" s="286">
        <v>7.42</v>
      </c>
      <c r="M371" s="286" t="s">
        <v>58</v>
      </c>
    </row>
    <row r="372" spans="1:13" x14ac:dyDescent="0.25">
      <c r="A372" s="287" t="s">
        <v>645</v>
      </c>
      <c r="B372" s="286">
        <v>3.23</v>
      </c>
      <c r="C372" s="286">
        <v>22.5</v>
      </c>
      <c r="D372" s="286">
        <v>25.2</v>
      </c>
      <c r="E372" s="286">
        <v>14.92</v>
      </c>
      <c r="F372" s="286">
        <v>0.89</v>
      </c>
      <c r="G372" s="286">
        <v>1.19</v>
      </c>
      <c r="H372" s="286">
        <v>1.98</v>
      </c>
      <c r="I372" s="286">
        <v>1.97</v>
      </c>
      <c r="J372" s="286">
        <v>27</v>
      </c>
      <c r="K372" s="286">
        <v>0.78</v>
      </c>
      <c r="L372" s="286">
        <v>14.88</v>
      </c>
      <c r="M372" s="286" t="s">
        <v>103</v>
      </c>
    </row>
    <row r="373" spans="1:13" x14ac:dyDescent="0.25">
      <c r="A373" s="287" t="s">
        <v>646</v>
      </c>
      <c r="B373" s="286">
        <v>4.1100000000000003</v>
      </c>
      <c r="C373" s="286">
        <v>20.57</v>
      </c>
      <c r="D373" s="286">
        <v>0</v>
      </c>
      <c r="E373" s="286">
        <v>0</v>
      </c>
      <c r="F373" s="286">
        <v>0.74</v>
      </c>
      <c r="G373" s="286">
        <v>1.29</v>
      </c>
      <c r="H373" s="286">
        <v>-0.66</v>
      </c>
      <c r="I373" s="286">
        <v>0.57999999999999996</v>
      </c>
      <c r="J373" s="286">
        <v>8</v>
      </c>
      <c r="K373" s="286">
        <v>0.98</v>
      </c>
      <c r="L373" s="286">
        <v>14.36</v>
      </c>
      <c r="M373" s="286" t="s">
        <v>58</v>
      </c>
    </row>
    <row r="374" spans="1:13" x14ac:dyDescent="0.25">
      <c r="A374" s="287" t="s">
        <v>1229</v>
      </c>
      <c r="B374" s="286">
        <v>6.76</v>
      </c>
      <c r="C374" s="286">
        <v>19.57</v>
      </c>
      <c r="D374" s="286">
        <v>20.34</v>
      </c>
      <c r="E374" s="286">
        <v>10.24</v>
      </c>
      <c r="F374" s="286">
        <v>1</v>
      </c>
      <c r="G374" s="286">
        <v>1.64</v>
      </c>
      <c r="H374" s="286">
        <v>2.16</v>
      </c>
      <c r="I374" s="286">
        <v>1.97</v>
      </c>
      <c r="J374" s="286">
        <v>37</v>
      </c>
      <c r="K374" s="286">
        <v>0.83</v>
      </c>
      <c r="L374" s="286">
        <v>10.130000000000001</v>
      </c>
      <c r="M374" s="286" t="s">
        <v>58</v>
      </c>
    </row>
    <row r="375" spans="1:13" x14ac:dyDescent="0.25">
      <c r="A375" s="287" t="s">
        <v>656</v>
      </c>
      <c r="B375" s="286">
        <v>1.1200000000000001</v>
      </c>
      <c r="C375" s="286">
        <v>20.25</v>
      </c>
      <c r="D375" s="286">
        <v>0</v>
      </c>
      <c r="E375" s="286">
        <v>0</v>
      </c>
      <c r="F375" s="286">
        <v>0.75</v>
      </c>
      <c r="G375" s="286">
        <v>1.1299999999999999</v>
      </c>
      <c r="H375" s="286">
        <v>-0.26</v>
      </c>
      <c r="I375" s="286">
        <v>1.72</v>
      </c>
      <c r="J375" s="286">
        <v>24</v>
      </c>
      <c r="K375" s="286">
        <v>0.94</v>
      </c>
      <c r="L375" s="286">
        <v>14.07</v>
      </c>
      <c r="M375" s="286" t="s">
        <v>1168</v>
      </c>
    </row>
    <row r="376" spans="1:13" x14ac:dyDescent="0.25">
      <c r="A376" s="287" t="s">
        <v>657</v>
      </c>
      <c r="B376" s="286">
        <v>5.2</v>
      </c>
      <c r="C376" s="286">
        <v>20.05</v>
      </c>
      <c r="D376" s="286">
        <v>24.86</v>
      </c>
      <c r="E376" s="286">
        <v>14.32</v>
      </c>
      <c r="F376" s="286">
        <v>0.76</v>
      </c>
      <c r="G376" s="286">
        <v>1.58</v>
      </c>
      <c r="H376" s="286">
        <v>-0.02</v>
      </c>
      <c r="I376" s="286">
        <v>1.84</v>
      </c>
      <c r="J376" s="286">
        <v>41</v>
      </c>
      <c r="K376" s="286">
        <v>0.91</v>
      </c>
      <c r="L376" s="286">
        <v>13.84</v>
      </c>
      <c r="M376" s="286" t="s">
        <v>1166</v>
      </c>
    </row>
    <row r="377" spans="1:13" x14ac:dyDescent="0.25">
      <c r="A377" s="287" t="s">
        <v>658</v>
      </c>
      <c r="B377" s="286">
        <v>8.94</v>
      </c>
      <c r="C377" s="286">
        <v>31.25</v>
      </c>
      <c r="D377" s="286">
        <v>32.93</v>
      </c>
      <c r="E377" s="286">
        <v>18</v>
      </c>
      <c r="F377" s="286">
        <v>1.23</v>
      </c>
      <c r="G377" s="286">
        <v>1.83</v>
      </c>
      <c r="H377" s="286">
        <v>2.96</v>
      </c>
      <c r="I377" s="286">
        <v>1.56</v>
      </c>
      <c r="J377" s="286">
        <v>13</v>
      </c>
      <c r="K377" s="286">
        <v>0.93</v>
      </c>
      <c r="L377" s="286">
        <v>16.21</v>
      </c>
      <c r="M377" s="286" t="s">
        <v>62</v>
      </c>
    </row>
    <row r="378" spans="1:13" x14ac:dyDescent="0.25">
      <c r="A378" s="287" t="s">
        <v>1230</v>
      </c>
      <c r="B378" s="286">
        <v>8.77</v>
      </c>
      <c r="C378" s="286">
        <v>9.4700000000000006</v>
      </c>
      <c r="D378" s="286">
        <v>9.17</v>
      </c>
      <c r="E378" s="286">
        <v>5.68</v>
      </c>
      <c r="F378" s="286">
        <v>1.1299999999999999</v>
      </c>
      <c r="G378" s="286">
        <v>1.87</v>
      </c>
      <c r="H378" s="286">
        <v>0.63</v>
      </c>
      <c r="I378" s="286">
        <v>1.88</v>
      </c>
      <c r="J378" s="286">
        <v>0</v>
      </c>
      <c r="K378" s="286">
        <v>0.47</v>
      </c>
      <c r="L378" s="286">
        <v>2.08</v>
      </c>
      <c r="M378" s="286" t="s">
        <v>65</v>
      </c>
    </row>
    <row r="379" spans="1:13" x14ac:dyDescent="0.25">
      <c r="A379" s="287" t="s">
        <v>662</v>
      </c>
      <c r="B379" s="286">
        <v>1.1200000000000001</v>
      </c>
      <c r="C379" s="286">
        <v>0</v>
      </c>
      <c r="D379" s="286">
        <v>0</v>
      </c>
      <c r="E379" s="286">
        <v>0</v>
      </c>
      <c r="F379" s="286">
        <v>0</v>
      </c>
      <c r="G379" s="286">
        <v>0</v>
      </c>
      <c r="H379" s="286">
        <v>0</v>
      </c>
      <c r="I379" s="286">
        <v>1.97</v>
      </c>
      <c r="J379" s="286">
        <v>28</v>
      </c>
      <c r="K379" s="286">
        <v>0</v>
      </c>
      <c r="L379" s="286">
        <v>0</v>
      </c>
      <c r="M379" s="286" t="s">
        <v>55</v>
      </c>
    </row>
    <row r="380" spans="1:13" x14ac:dyDescent="0.25">
      <c r="A380" s="287" t="s">
        <v>663</v>
      </c>
      <c r="B380" s="286">
        <v>6.98</v>
      </c>
      <c r="C380" s="286">
        <v>25.4</v>
      </c>
      <c r="D380" s="286">
        <v>26.36</v>
      </c>
      <c r="E380" s="286">
        <v>14.3</v>
      </c>
      <c r="F380" s="286">
        <v>1.1200000000000001</v>
      </c>
      <c r="G380" s="286">
        <v>1.9</v>
      </c>
      <c r="H380" s="286">
        <v>5.13</v>
      </c>
      <c r="I380" s="286">
        <v>1.53</v>
      </c>
      <c r="J380" s="286">
        <v>27</v>
      </c>
      <c r="K380" s="286">
        <v>0.94</v>
      </c>
      <c r="L380" s="286">
        <v>13.18</v>
      </c>
      <c r="M380" s="286" t="s">
        <v>1169</v>
      </c>
    </row>
    <row r="381" spans="1:13" x14ac:dyDescent="0.25">
      <c r="A381" s="287" t="s">
        <v>1231</v>
      </c>
      <c r="B381" s="286">
        <v>0</v>
      </c>
      <c r="C381" s="286">
        <v>0</v>
      </c>
      <c r="D381" s="286">
        <v>0</v>
      </c>
      <c r="E381" s="286">
        <v>0</v>
      </c>
      <c r="F381" s="286">
        <v>0</v>
      </c>
      <c r="G381" s="286">
        <v>0</v>
      </c>
      <c r="H381" s="286">
        <v>0</v>
      </c>
      <c r="I381" s="286">
        <v>0</v>
      </c>
      <c r="J381" s="286">
        <v>0</v>
      </c>
      <c r="K381" s="286">
        <v>0</v>
      </c>
      <c r="L381" s="286">
        <v>0</v>
      </c>
      <c r="M381" s="286" t="s">
        <v>55</v>
      </c>
    </row>
    <row r="382" spans="1:13" x14ac:dyDescent="0.25">
      <c r="A382" s="287" t="s">
        <v>664</v>
      </c>
      <c r="B382" s="286">
        <v>12.73</v>
      </c>
      <c r="C382" s="286">
        <v>22.65</v>
      </c>
      <c r="D382" s="286">
        <v>0</v>
      </c>
      <c r="E382" s="286">
        <v>0</v>
      </c>
      <c r="F382" s="286">
        <v>1.66</v>
      </c>
      <c r="G382" s="286">
        <v>2.73</v>
      </c>
      <c r="H382" s="286">
        <v>6.2</v>
      </c>
      <c r="I382" s="286">
        <v>1.1599999999999999</v>
      </c>
      <c r="J382" s="286">
        <v>34</v>
      </c>
      <c r="K382" s="286">
        <v>0.77</v>
      </c>
      <c r="L382" s="286">
        <v>7.86</v>
      </c>
      <c r="M382" s="286" t="s">
        <v>55</v>
      </c>
    </row>
    <row r="383" spans="1:13" x14ac:dyDescent="0.25">
      <c r="A383" s="287" t="s">
        <v>665</v>
      </c>
      <c r="B383" s="286">
        <v>11.82</v>
      </c>
      <c r="C383" s="286">
        <v>20.239999999999998</v>
      </c>
      <c r="D383" s="286">
        <v>0</v>
      </c>
      <c r="E383" s="286">
        <v>0</v>
      </c>
      <c r="F383" s="286">
        <v>1.23</v>
      </c>
      <c r="G383" s="286">
        <v>2.17</v>
      </c>
      <c r="H383" s="286">
        <v>3.12</v>
      </c>
      <c r="I383" s="286">
        <v>1.45</v>
      </c>
      <c r="J383" s="286">
        <v>88</v>
      </c>
      <c r="K383" s="286">
        <v>0.86</v>
      </c>
      <c r="L383" s="286">
        <v>8.76</v>
      </c>
      <c r="M383" s="286" t="s">
        <v>65</v>
      </c>
    </row>
    <row r="384" spans="1:13" x14ac:dyDescent="0.25">
      <c r="A384" s="287" t="s">
        <v>666</v>
      </c>
      <c r="B384" s="286">
        <v>5.22</v>
      </c>
      <c r="C384" s="286">
        <v>30.14</v>
      </c>
      <c r="D384" s="286">
        <v>32.31</v>
      </c>
      <c r="E384" s="286">
        <v>15.12</v>
      </c>
      <c r="F384" s="286">
        <v>1.31</v>
      </c>
      <c r="G384" s="286">
        <v>1.91</v>
      </c>
      <c r="H384" s="286">
        <v>6.18</v>
      </c>
      <c r="I384" s="286">
        <v>1.53</v>
      </c>
      <c r="J384" s="286">
        <v>20</v>
      </c>
      <c r="K384" s="286">
        <v>0.88</v>
      </c>
      <c r="L384" s="286">
        <v>14.43</v>
      </c>
      <c r="M384" s="286" t="s">
        <v>71</v>
      </c>
    </row>
    <row r="385" spans="1:13" x14ac:dyDescent="0.25">
      <c r="A385" s="287" t="s">
        <v>675</v>
      </c>
      <c r="B385" s="286">
        <v>-4.1500000000000004</v>
      </c>
      <c r="C385" s="286">
        <v>23.1</v>
      </c>
      <c r="D385" s="286">
        <v>21.56</v>
      </c>
      <c r="E385" s="286">
        <v>0</v>
      </c>
      <c r="F385" s="286">
        <v>0.71</v>
      </c>
      <c r="G385" s="286">
        <v>1.05</v>
      </c>
      <c r="H385" s="286">
        <v>0.56999999999999995</v>
      </c>
      <c r="I385" s="286">
        <v>0.28999999999999998</v>
      </c>
      <c r="J385" s="286">
        <v>0</v>
      </c>
      <c r="K385" s="286">
        <v>1.28</v>
      </c>
      <c r="L385" s="286">
        <v>19.329999999999998</v>
      </c>
      <c r="M385" s="286" t="s">
        <v>58</v>
      </c>
    </row>
    <row r="386" spans="1:13" x14ac:dyDescent="0.25">
      <c r="A386" s="287" t="s">
        <v>678</v>
      </c>
      <c r="B386" s="286">
        <v>7.87</v>
      </c>
      <c r="C386" s="286">
        <v>26.17</v>
      </c>
      <c r="D386" s="286">
        <v>24.61</v>
      </c>
      <c r="E386" s="286">
        <v>13.83</v>
      </c>
      <c r="F386" s="286">
        <v>1.05</v>
      </c>
      <c r="G386" s="286">
        <v>1.69</v>
      </c>
      <c r="H386" s="286">
        <v>4.08</v>
      </c>
      <c r="I386" s="286">
        <v>0.94</v>
      </c>
      <c r="J386" s="286">
        <v>107</v>
      </c>
      <c r="K386" s="286">
        <v>0.96</v>
      </c>
      <c r="L386" s="286">
        <v>14.43</v>
      </c>
      <c r="M386" s="286" t="s">
        <v>84</v>
      </c>
    </row>
    <row r="387" spans="1:13" x14ac:dyDescent="0.25">
      <c r="A387" s="287" t="s">
        <v>1232</v>
      </c>
      <c r="B387" s="286">
        <v>6.27</v>
      </c>
      <c r="C387" s="286">
        <v>10.74</v>
      </c>
      <c r="D387" s="286">
        <v>7.66</v>
      </c>
      <c r="E387" s="286">
        <v>7.36</v>
      </c>
      <c r="F387" s="286">
        <v>0.91</v>
      </c>
      <c r="G387" s="286">
        <v>1.67</v>
      </c>
      <c r="H387" s="286">
        <v>0.28999999999999998</v>
      </c>
      <c r="I387" s="286">
        <v>2.08</v>
      </c>
      <c r="J387" s="286">
        <v>0</v>
      </c>
      <c r="K387" s="286">
        <v>1.02</v>
      </c>
      <c r="L387" s="286">
        <v>4.46</v>
      </c>
      <c r="M387" s="286" t="s">
        <v>60</v>
      </c>
    </row>
    <row r="388" spans="1:13" x14ac:dyDescent="0.25">
      <c r="A388" s="287" t="s">
        <v>679</v>
      </c>
      <c r="B388" s="286">
        <v>2.65</v>
      </c>
      <c r="C388" s="286">
        <v>22.69</v>
      </c>
      <c r="D388" s="286">
        <v>22.69</v>
      </c>
      <c r="E388" s="286">
        <v>11.15</v>
      </c>
      <c r="F388" s="286">
        <v>0.88</v>
      </c>
      <c r="G388" s="286">
        <v>1.28</v>
      </c>
      <c r="H388" s="286">
        <v>1.53</v>
      </c>
      <c r="I388" s="286">
        <v>1.93</v>
      </c>
      <c r="J388" s="286">
        <v>51</v>
      </c>
      <c r="K388" s="286">
        <v>0.97</v>
      </c>
      <c r="L388" s="286">
        <v>14.44</v>
      </c>
      <c r="M388" s="286" t="s">
        <v>89</v>
      </c>
    </row>
    <row r="389" spans="1:13" x14ac:dyDescent="0.25">
      <c r="A389" s="287" t="s">
        <v>680</v>
      </c>
      <c r="B389" s="286">
        <v>0.9</v>
      </c>
      <c r="C389" s="286">
        <v>30.66</v>
      </c>
      <c r="D389" s="286">
        <v>37.47</v>
      </c>
      <c r="E389" s="286">
        <v>21.74</v>
      </c>
      <c r="F389" s="286">
        <v>1.1499999999999999</v>
      </c>
      <c r="G389" s="286">
        <v>1.59</v>
      </c>
      <c r="H389" s="286">
        <v>4.08</v>
      </c>
      <c r="I389" s="286">
        <v>1.41</v>
      </c>
      <c r="J389" s="286">
        <v>15</v>
      </c>
      <c r="K389" s="286">
        <v>0.84</v>
      </c>
      <c r="L389" s="286">
        <v>16.86</v>
      </c>
      <c r="M389" s="286" t="s">
        <v>65</v>
      </c>
    </row>
    <row r="390" spans="1:13" x14ac:dyDescent="0.25">
      <c r="A390" s="287" t="s">
        <v>681</v>
      </c>
      <c r="B390" s="286">
        <v>7.44</v>
      </c>
      <c r="C390" s="286">
        <v>26.11</v>
      </c>
      <c r="D390" s="286">
        <v>26.48</v>
      </c>
      <c r="E390" s="286">
        <v>12.83</v>
      </c>
      <c r="F390" s="286">
        <v>1.08</v>
      </c>
      <c r="G390" s="286">
        <v>1.47</v>
      </c>
      <c r="H390" s="286">
        <v>4.63</v>
      </c>
      <c r="I390" s="286">
        <v>1.93</v>
      </c>
      <c r="J390" s="286">
        <v>72</v>
      </c>
      <c r="K390" s="286">
        <v>0.95</v>
      </c>
      <c r="L390" s="286">
        <v>14.06</v>
      </c>
      <c r="M390" s="286" t="s">
        <v>65</v>
      </c>
    </row>
    <row r="391" spans="1:13" x14ac:dyDescent="0.25">
      <c r="A391" s="287" t="s">
        <v>682</v>
      </c>
      <c r="B391" s="286">
        <v>1.57</v>
      </c>
      <c r="C391" s="286">
        <v>14.26</v>
      </c>
      <c r="D391" s="286">
        <v>0</v>
      </c>
      <c r="E391" s="286">
        <v>0</v>
      </c>
      <c r="F391" s="286">
        <v>0.65</v>
      </c>
      <c r="G391" s="286">
        <v>0.91</v>
      </c>
      <c r="H391" s="286">
        <v>-0.5</v>
      </c>
      <c r="I391" s="286">
        <v>1.89</v>
      </c>
      <c r="J391" s="286">
        <v>300</v>
      </c>
      <c r="K391" s="286">
        <v>0.81</v>
      </c>
      <c r="L391" s="286">
        <v>9.06</v>
      </c>
      <c r="M391" s="286" t="s">
        <v>103</v>
      </c>
    </row>
    <row r="392" spans="1:13" x14ac:dyDescent="0.25">
      <c r="A392" s="287" t="s">
        <v>683</v>
      </c>
      <c r="B392" s="286">
        <v>-3.88</v>
      </c>
      <c r="C392" s="286">
        <v>0</v>
      </c>
      <c r="D392" s="286">
        <v>0</v>
      </c>
      <c r="E392" s="286">
        <v>0</v>
      </c>
      <c r="F392" s="286">
        <v>0</v>
      </c>
      <c r="G392" s="286">
        <v>0</v>
      </c>
      <c r="H392" s="286">
        <v>0</v>
      </c>
      <c r="I392" s="286">
        <v>1.99</v>
      </c>
      <c r="J392" s="286">
        <v>75</v>
      </c>
      <c r="K392" s="286">
        <v>0</v>
      </c>
      <c r="L392" s="286">
        <v>0</v>
      </c>
      <c r="M392" s="286" t="s">
        <v>1168</v>
      </c>
    </row>
    <row r="393" spans="1:13" x14ac:dyDescent="0.25">
      <c r="A393" s="287" t="s">
        <v>1233</v>
      </c>
      <c r="B393" s="286">
        <v>8.2200000000000006</v>
      </c>
      <c r="C393" s="286">
        <v>0</v>
      </c>
      <c r="D393" s="286">
        <v>0</v>
      </c>
      <c r="E393" s="286">
        <v>0</v>
      </c>
      <c r="F393" s="286">
        <v>0</v>
      </c>
      <c r="G393" s="286">
        <v>0</v>
      </c>
      <c r="H393" s="286">
        <v>0</v>
      </c>
      <c r="I393" s="286">
        <v>2.12</v>
      </c>
      <c r="J393" s="286">
        <v>20</v>
      </c>
      <c r="K393" s="286">
        <v>0</v>
      </c>
      <c r="L393" s="286">
        <v>0</v>
      </c>
      <c r="M393" s="286" t="s">
        <v>1168</v>
      </c>
    </row>
    <row r="394" spans="1:13" x14ac:dyDescent="0.25">
      <c r="A394" s="287" t="s">
        <v>1234</v>
      </c>
      <c r="B394" s="286">
        <v>9.81</v>
      </c>
      <c r="C394" s="286">
        <v>12.49</v>
      </c>
      <c r="D394" s="286">
        <v>0</v>
      </c>
      <c r="E394" s="286">
        <v>0</v>
      </c>
      <c r="F394" s="286">
        <v>1.63</v>
      </c>
      <c r="G394" s="286">
        <v>2.42</v>
      </c>
      <c r="H394" s="286">
        <v>3</v>
      </c>
      <c r="I394" s="286">
        <v>0.64</v>
      </c>
      <c r="J394" s="286">
        <v>0</v>
      </c>
      <c r="K394" s="286">
        <v>0.63</v>
      </c>
      <c r="L394" s="286">
        <v>3.27</v>
      </c>
      <c r="M394" s="286" t="s">
        <v>1166</v>
      </c>
    </row>
    <row r="395" spans="1:13" x14ac:dyDescent="0.25">
      <c r="A395" s="287" t="s">
        <v>685</v>
      </c>
      <c r="B395" s="286">
        <v>8.3000000000000007</v>
      </c>
      <c r="C395" s="286">
        <v>0</v>
      </c>
      <c r="D395" s="286">
        <v>0</v>
      </c>
      <c r="E395" s="286">
        <v>0</v>
      </c>
      <c r="F395" s="286">
        <v>0</v>
      </c>
      <c r="G395" s="286">
        <v>0</v>
      </c>
      <c r="H395" s="286">
        <v>0</v>
      </c>
      <c r="I395" s="286">
        <v>0.63</v>
      </c>
      <c r="J395" s="286">
        <v>0</v>
      </c>
      <c r="K395" s="286">
        <v>0</v>
      </c>
      <c r="L395" s="286">
        <v>0</v>
      </c>
      <c r="M395" s="286" t="s">
        <v>62</v>
      </c>
    </row>
    <row r="396" spans="1:13" x14ac:dyDescent="0.25">
      <c r="A396" s="287" t="s">
        <v>686</v>
      </c>
      <c r="B396" s="286">
        <v>12.56</v>
      </c>
      <c r="C396" s="286">
        <v>24.58</v>
      </c>
      <c r="D396" s="286">
        <v>25.73</v>
      </c>
      <c r="E396" s="286">
        <v>17.64</v>
      </c>
      <c r="F396" s="286">
        <v>1.34</v>
      </c>
      <c r="G396" s="286">
        <v>1.75</v>
      </c>
      <c r="H396" s="286">
        <v>6.3</v>
      </c>
      <c r="I396" s="286">
        <v>1.28</v>
      </c>
      <c r="J396" s="286">
        <v>16.2</v>
      </c>
      <c r="K396" s="286">
        <v>0.61</v>
      </c>
      <c r="L396" s="286">
        <v>10</v>
      </c>
      <c r="M396" s="286" t="s">
        <v>58</v>
      </c>
    </row>
    <row r="397" spans="1:13" x14ac:dyDescent="0.25">
      <c r="A397" s="287" t="s">
        <v>1235</v>
      </c>
      <c r="B397" s="286">
        <v>7.35</v>
      </c>
      <c r="C397" s="286">
        <v>16.34</v>
      </c>
      <c r="D397" s="286">
        <v>15.78</v>
      </c>
      <c r="E397" s="286">
        <v>8.5500000000000007</v>
      </c>
      <c r="F397" s="286">
        <v>0.75</v>
      </c>
      <c r="G397" s="286">
        <v>1.28</v>
      </c>
      <c r="H397" s="286">
        <v>0.1</v>
      </c>
      <c r="I397" s="286">
        <v>2.33</v>
      </c>
      <c r="J397" s="286">
        <v>22</v>
      </c>
      <c r="K397" s="286">
        <v>0.72</v>
      </c>
      <c r="L397" s="286">
        <v>9.4600000000000009</v>
      </c>
      <c r="M397" s="286" t="s">
        <v>55</v>
      </c>
    </row>
    <row r="398" spans="1:13" x14ac:dyDescent="0.25">
      <c r="A398" s="287" t="s">
        <v>687</v>
      </c>
      <c r="B398" s="286">
        <v>7.32</v>
      </c>
      <c r="C398" s="286">
        <v>13.92</v>
      </c>
      <c r="D398" s="286">
        <v>0</v>
      </c>
      <c r="E398" s="286">
        <v>0</v>
      </c>
      <c r="F398" s="286">
        <v>0.54</v>
      </c>
      <c r="G398" s="286">
        <v>0.94</v>
      </c>
      <c r="H398" s="286">
        <v>-1.78</v>
      </c>
      <c r="I398" s="286">
        <v>2.19</v>
      </c>
      <c r="J398" s="286">
        <v>47</v>
      </c>
      <c r="K398" s="286">
        <v>0.85</v>
      </c>
      <c r="L398" s="286">
        <v>9.25</v>
      </c>
      <c r="M398" s="286" t="s">
        <v>55</v>
      </c>
    </row>
    <row r="399" spans="1:13" x14ac:dyDescent="0.25">
      <c r="A399" s="287" t="s">
        <v>688</v>
      </c>
      <c r="B399" s="286">
        <v>7.59</v>
      </c>
      <c r="C399" s="286">
        <v>17.66</v>
      </c>
      <c r="D399" s="286">
        <v>22.4</v>
      </c>
      <c r="E399" s="286">
        <v>13.63</v>
      </c>
      <c r="F399" s="286">
        <v>0.57999999999999996</v>
      </c>
      <c r="G399" s="286">
        <v>0.91</v>
      </c>
      <c r="H399" s="286">
        <v>-2.34</v>
      </c>
      <c r="I399" s="286">
        <v>1.78</v>
      </c>
      <c r="J399" s="286">
        <v>34</v>
      </c>
      <c r="K399" s="286">
        <v>0.89</v>
      </c>
      <c r="L399" s="286">
        <v>13.54</v>
      </c>
      <c r="M399" s="286" t="s">
        <v>65</v>
      </c>
    </row>
    <row r="400" spans="1:13" x14ac:dyDescent="0.25">
      <c r="A400" s="287" t="s">
        <v>689</v>
      </c>
      <c r="B400" s="286">
        <v>9.64</v>
      </c>
      <c r="C400" s="286">
        <v>0</v>
      </c>
      <c r="D400" s="286">
        <v>0</v>
      </c>
      <c r="E400" s="286">
        <v>0</v>
      </c>
      <c r="F400" s="286">
        <v>0</v>
      </c>
      <c r="G400" s="286">
        <v>0</v>
      </c>
      <c r="H400" s="286">
        <v>0</v>
      </c>
      <c r="I400" s="286">
        <v>2.31</v>
      </c>
      <c r="J400" s="286">
        <v>28</v>
      </c>
      <c r="K400" s="286">
        <v>0</v>
      </c>
      <c r="L400" s="286">
        <v>0</v>
      </c>
      <c r="M400" s="286" t="s">
        <v>71</v>
      </c>
    </row>
    <row r="401" spans="1:13" x14ac:dyDescent="0.25">
      <c r="A401" s="287" t="s">
        <v>1236</v>
      </c>
      <c r="B401" s="286">
        <v>5.45</v>
      </c>
      <c r="C401" s="286">
        <v>17.16</v>
      </c>
      <c r="D401" s="286">
        <v>17.850000000000001</v>
      </c>
      <c r="E401" s="286">
        <v>10.54</v>
      </c>
      <c r="F401" s="286">
        <v>0.59</v>
      </c>
      <c r="G401" s="286">
        <v>0.92</v>
      </c>
      <c r="H401" s="286">
        <v>-1.77</v>
      </c>
      <c r="I401" s="286">
        <v>2.38</v>
      </c>
      <c r="J401" s="286">
        <v>39</v>
      </c>
      <c r="K401" s="286">
        <v>0.92</v>
      </c>
      <c r="L401" s="286">
        <v>12.88</v>
      </c>
      <c r="M401" s="286" t="s">
        <v>58</v>
      </c>
    </row>
    <row r="402" spans="1:13" x14ac:dyDescent="0.25">
      <c r="A402" s="287" t="s">
        <v>1237</v>
      </c>
      <c r="B402" s="286">
        <v>5.95</v>
      </c>
      <c r="C402" s="286">
        <v>19.59</v>
      </c>
      <c r="D402" s="286">
        <v>28.95</v>
      </c>
      <c r="E402" s="286">
        <v>15.49</v>
      </c>
      <c r="F402" s="286">
        <v>0.65</v>
      </c>
      <c r="G402" s="286">
        <v>0.94</v>
      </c>
      <c r="H402" s="286">
        <v>-5.26</v>
      </c>
      <c r="I402" s="286">
        <v>1.7</v>
      </c>
      <c r="J402" s="286">
        <v>40</v>
      </c>
      <c r="K402" s="286">
        <v>0.83</v>
      </c>
      <c r="L402" s="286">
        <v>15.11</v>
      </c>
      <c r="M402" s="286" t="s">
        <v>84</v>
      </c>
    </row>
    <row r="403" spans="1:13" x14ac:dyDescent="0.25">
      <c r="A403" s="287" t="s">
        <v>692</v>
      </c>
      <c r="B403" s="286">
        <v>0</v>
      </c>
      <c r="C403" s="286">
        <v>0</v>
      </c>
      <c r="D403" s="286">
        <v>0</v>
      </c>
      <c r="E403" s="286">
        <v>0</v>
      </c>
      <c r="F403" s="286">
        <v>0</v>
      </c>
      <c r="G403" s="286">
        <v>0</v>
      </c>
      <c r="H403" s="286">
        <v>0</v>
      </c>
      <c r="I403" s="286">
        <v>2.38</v>
      </c>
      <c r="J403" s="286">
        <v>13</v>
      </c>
      <c r="K403" s="286">
        <v>0</v>
      </c>
      <c r="L403" s="286">
        <v>0</v>
      </c>
      <c r="M403" s="286" t="s">
        <v>60</v>
      </c>
    </row>
    <row r="404" spans="1:13" x14ac:dyDescent="0.25">
      <c r="A404" s="287" t="s">
        <v>693</v>
      </c>
      <c r="B404" s="286">
        <v>10.32</v>
      </c>
      <c r="C404" s="286">
        <v>0</v>
      </c>
      <c r="D404" s="286">
        <v>0</v>
      </c>
      <c r="E404" s="286">
        <v>0</v>
      </c>
      <c r="F404" s="286">
        <v>0</v>
      </c>
      <c r="G404" s="286">
        <v>0</v>
      </c>
      <c r="H404" s="286">
        <v>0</v>
      </c>
      <c r="I404" s="286">
        <v>2.3199999999999998</v>
      </c>
      <c r="J404" s="286">
        <v>25</v>
      </c>
      <c r="K404" s="286">
        <v>0</v>
      </c>
      <c r="L404" s="286">
        <v>0</v>
      </c>
      <c r="M404" s="286" t="s">
        <v>89</v>
      </c>
    </row>
    <row r="405" spans="1:13" x14ac:dyDescent="0.25">
      <c r="A405" s="287" t="s">
        <v>694</v>
      </c>
      <c r="B405" s="286">
        <v>5.54</v>
      </c>
      <c r="C405" s="286">
        <v>19.11</v>
      </c>
      <c r="D405" s="286">
        <v>0</v>
      </c>
      <c r="E405" s="286">
        <v>0</v>
      </c>
      <c r="F405" s="286">
        <v>0.56999999999999995</v>
      </c>
      <c r="G405" s="286">
        <v>0.89</v>
      </c>
      <c r="H405" s="286">
        <v>-4.96</v>
      </c>
      <c r="I405" s="286">
        <v>2.08</v>
      </c>
      <c r="J405" s="286">
        <v>56</v>
      </c>
      <c r="K405" s="286">
        <v>0.78</v>
      </c>
      <c r="L405" s="286">
        <v>16.170000000000002</v>
      </c>
      <c r="M405" s="286" t="s">
        <v>103</v>
      </c>
    </row>
    <row r="406" spans="1:13" x14ac:dyDescent="0.25">
      <c r="A406" s="287" t="s">
        <v>1238</v>
      </c>
      <c r="B406" s="286">
        <v>-0.11</v>
      </c>
      <c r="C406" s="286">
        <v>17.68</v>
      </c>
      <c r="D406" s="286">
        <v>26.07</v>
      </c>
      <c r="E406" s="286">
        <v>15.81</v>
      </c>
      <c r="F406" s="286">
        <v>0.63</v>
      </c>
      <c r="G406" s="286">
        <v>1.05</v>
      </c>
      <c r="H406" s="286">
        <v>-1.38</v>
      </c>
      <c r="I406" s="286">
        <v>2.02</v>
      </c>
      <c r="J406" s="286">
        <v>237</v>
      </c>
      <c r="K406" s="286">
        <v>1.02</v>
      </c>
      <c r="L406" s="286">
        <v>13.29</v>
      </c>
      <c r="M406" s="286" t="s">
        <v>1168</v>
      </c>
    </row>
    <row r="407" spans="1:13" x14ac:dyDescent="0.25">
      <c r="A407" s="287" t="s">
        <v>695</v>
      </c>
      <c r="B407" s="286">
        <v>-9.58</v>
      </c>
      <c r="C407" s="286">
        <v>20.02</v>
      </c>
      <c r="D407" s="286">
        <v>28.14</v>
      </c>
      <c r="E407" s="286">
        <v>17.940000000000001</v>
      </c>
      <c r="F407" s="286">
        <v>0.6</v>
      </c>
      <c r="G407" s="286">
        <v>0.88</v>
      </c>
      <c r="H407" s="286">
        <v>-4.79</v>
      </c>
      <c r="I407" s="286">
        <v>1.73</v>
      </c>
      <c r="J407" s="286">
        <v>242</v>
      </c>
      <c r="K407" s="286">
        <v>1.04</v>
      </c>
      <c r="L407" s="286">
        <v>17.329999999999998</v>
      </c>
      <c r="M407" s="286" t="s">
        <v>1166</v>
      </c>
    </row>
    <row r="408" spans="1:13" x14ac:dyDescent="0.25">
      <c r="A408" s="287" t="s">
        <v>696</v>
      </c>
      <c r="B408" s="286">
        <v>-4.97</v>
      </c>
      <c r="C408" s="286">
        <v>0</v>
      </c>
      <c r="D408" s="286">
        <v>0</v>
      </c>
      <c r="E408" s="286">
        <v>0</v>
      </c>
      <c r="F408" s="286">
        <v>0</v>
      </c>
      <c r="G408" s="286">
        <v>0</v>
      </c>
      <c r="H408" s="286">
        <v>0</v>
      </c>
      <c r="I408" s="286">
        <v>2.09</v>
      </c>
      <c r="J408" s="286">
        <v>206</v>
      </c>
      <c r="K408" s="286">
        <v>0</v>
      </c>
      <c r="L408" s="286">
        <v>0</v>
      </c>
      <c r="M408" s="286" t="s">
        <v>62</v>
      </c>
    </row>
    <row r="409" spans="1:13" x14ac:dyDescent="0.25">
      <c r="A409" s="287" t="s">
        <v>697</v>
      </c>
      <c r="B409" s="286">
        <v>0.56999999999999995</v>
      </c>
      <c r="C409" s="286">
        <v>0</v>
      </c>
      <c r="D409" s="286">
        <v>0</v>
      </c>
      <c r="E409" s="286">
        <v>0</v>
      </c>
      <c r="F409" s="286">
        <v>0</v>
      </c>
      <c r="G409" s="286">
        <v>0</v>
      </c>
      <c r="H409" s="286">
        <v>0</v>
      </c>
      <c r="I409" s="286">
        <v>2.42</v>
      </c>
      <c r="J409" s="286">
        <v>0</v>
      </c>
      <c r="K409" s="286">
        <v>0</v>
      </c>
      <c r="L409" s="286">
        <v>0</v>
      </c>
      <c r="M409" s="286" t="s">
        <v>55</v>
      </c>
    </row>
    <row r="410" spans="1:13" x14ac:dyDescent="0.25">
      <c r="A410" s="287" t="s">
        <v>698</v>
      </c>
      <c r="B410" s="286">
        <v>-5.31</v>
      </c>
      <c r="C410" s="286">
        <v>0</v>
      </c>
      <c r="D410" s="286">
        <v>0</v>
      </c>
      <c r="E410" s="286">
        <v>0</v>
      </c>
      <c r="F410" s="286">
        <v>0</v>
      </c>
      <c r="G410" s="286">
        <v>0</v>
      </c>
      <c r="H410" s="286">
        <v>0</v>
      </c>
      <c r="I410" s="286">
        <v>2.42</v>
      </c>
      <c r="J410" s="286">
        <v>0</v>
      </c>
      <c r="K410" s="286">
        <v>0</v>
      </c>
      <c r="L410" s="286">
        <v>0</v>
      </c>
      <c r="M410" s="286" t="s">
        <v>55</v>
      </c>
    </row>
    <row r="411" spans="1:13" x14ac:dyDescent="0.25">
      <c r="A411" s="287" t="s">
        <v>699</v>
      </c>
      <c r="B411" s="286">
        <v>0.55000000000000004</v>
      </c>
      <c r="C411" s="286">
        <v>0</v>
      </c>
      <c r="D411" s="286">
        <v>0</v>
      </c>
      <c r="E411" s="286">
        <v>0</v>
      </c>
      <c r="F411" s="286">
        <v>0</v>
      </c>
      <c r="G411" s="286">
        <v>0</v>
      </c>
      <c r="H411" s="286">
        <v>0</v>
      </c>
      <c r="I411" s="286">
        <v>2.13</v>
      </c>
      <c r="J411" s="286">
        <v>510</v>
      </c>
      <c r="K411" s="286">
        <v>0</v>
      </c>
      <c r="L411" s="286">
        <v>0</v>
      </c>
      <c r="M411" s="286" t="s">
        <v>65</v>
      </c>
    </row>
    <row r="412" spans="1:13" x14ac:dyDescent="0.25">
      <c r="A412" s="287" t="s">
        <v>700</v>
      </c>
      <c r="B412" s="286">
        <v>-0.75</v>
      </c>
      <c r="C412" s="286">
        <v>22.79</v>
      </c>
      <c r="D412" s="286">
        <v>0</v>
      </c>
      <c r="E412" s="286">
        <v>0</v>
      </c>
      <c r="F412" s="286">
        <v>0.79</v>
      </c>
      <c r="G412" s="286">
        <v>1.29</v>
      </c>
      <c r="H412" s="286">
        <v>2.5099999999999998</v>
      </c>
      <c r="I412" s="286">
        <v>2.41</v>
      </c>
      <c r="J412" s="286">
        <v>452</v>
      </c>
      <c r="K412" s="286">
        <v>1.07</v>
      </c>
      <c r="L412" s="286">
        <v>17.2</v>
      </c>
      <c r="M412" s="286" t="s">
        <v>71</v>
      </c>
    </row>
    <row r="413" spans="1:13" x14ac:dyDescent="0.25">
      <c r="A413" s="287" t="s">
        <v>701</v>
      </c>
      <c r="B413" s="286">
        <v>-6.78</v>
      </c>
      <c r="C413" s="286">
        <v>24.05</v>
      </c>
      <c r="D413" s="286">
        <v>31.75</v>
      </c>
      <c r="E413" s="286">
        <v>19.05</v>
      </c>
      <c r="F413" s="286">
        <v>0.83</v>
      </c>
      <c r="G413" s="286">
        <v>1.27</v>
      </c>
      <c r="H413" s="286">
        <v>1.79</v>
      </c>
      <c r="I413" s="286">
        <v>1.78</v>
      </c>
      <c r="J413" s="286">
        <v>364</v>
      </c>
      <c r="K413" s="286">
        <v>1.07</v>
      </c>
      <c r="L413" s="286">
        <v>17.13</v>
      </c>
      <c r="M413" s="286" t="s">
        <v>84</v>
      </c>
    </row>
    <row r="414" spans="1:13" x14ac:dyDescent="0.25">
      <c r="A414" s="287" t="s">
        <v>702</v>
      </c>
      <c r="B414" s="286">
        <v>-2.48</v>
      </c>
      <c r="C414" s="286">
        <v>21.49</v>
      </c>
      <c r="D414" s="286">
        <v>23.97</v>
      </c>
      <c r="E414" s="286">
        <v>14.64</v>
      </c>
      <c r="F414" s="286">
        <v>0.68</v>
      </c>
      <c r="G414" s="286">
        <v>1.1000000000000001</v>
      </c>
      <c r="H414" s="286">
        <v>0.09</v>
      </c>
      <c r="I414" s="286">
        <v>2.1800000000000002</v>
      </c>
      <c r="J414" s="286">
        <v>463</v>
      </c>
      <c r="K414" s="286">
        <v>1.05</v>
      </c>
      <c r="L414" s="286">
        <v>16.059999999999999</v>
      </c>
      <c r="M414" s="286" t="s">
        <v>60</v>
      </c>
    </row>
    <row r="415" spans="1:13" x14ac:dyDescent="0.25">
      <c r="A415" s="287" t="s">
        <v>703</v>
      </c>
      <c r="B415" s="286">
        <v>-6.6</v>
      </c>
      <c r="C415" s="286">
        <v>24.1</v>
      </c>
      <c r="D415" s="286">
        <v>25.02</v>
      </c>
      <c r="E415" s="286">
        <v>16.809999999999999</v>
      </c>
      <c r="F415" s="286">
        <v>0.82</v>
      </c>
      <c r="G415" s="286">
        <v>1.31</v>
      </c>
      <c r="H415" s="286">
        <v>1.95</v>
      </c>
      <c r="I415" s="286">
        <v>1.88</v>
      </c>
      <c r="J415" s="286">
        <v>355</v>
      </c>
      <c r="K415" s="286">
        <v>1.0900000000000001</v>
      </c>
      <c r="L415" s="286">
        <v>16.88</v>
      </c>
      <c r="M415" s="286" t="s">
        <v>89</v>
      </c>
    </row>
    <row r="416" spans="1:13" x14ac:dyDescent="0.25">
      <c r="A416" s="287" t="s">
        <v>704</v>
      </c>
      <c r="B416" s="286">
        <v>-0.23</v>
      </c>
      <c r="C416" s="286">
        <v>0</v>
      </c>
      <c r="D416" s="286">
        <v>0</v>
      </c>
      <c r="E416" s="286">
        <v>0</v>
      </c>
      <c r="F416" s="286">
        <v>0</v>
      </c>
      <c r="G416" s="286">
        <v>0</v>
      </c>
      <c r="H416" s="286">
        <v>0</v>
      </c>
      <c r="I416" s="286">
        <v>1.92</v>
      </c>
      <c r="J416" s="286">
        <v>470</v>
      </c>
      <c r="K416" s="286">
        <v>0</v>
      </c>
      <c r="L416" s="286">
        <v>0</v>
      </c>
      <c r="M416" s="286" t="s">
        <v>65</v>
      </c>
    </row>
    <row r="417" spans="1:13" x14ac:dyDescent="0.25">
      <c r="A417" s="287" t="s">
        <v>705</v>
      </c>
      <c r="B417" s="286">
        <v>-9.06</v>
      </c>
      <c r="C417" s="286">
        <v>0</v>
      </c>
      <c r="D417" s="286">
        <v>0</v>
      </c>
      <c r="E417" s="286">
        <v>0</v>
      </c>
      <c r="F417" s="286">
        <v>0</v>
      </c>
      <c r="G417" s="286">
        <v>0</v>
      </c>
      <c r="H417" s="286">
        <v>0</v>
      </c>
      <c r="I417" s="286">
        <v>2.25</v>
      </c>
      <c r="J417" s="286">
        <v>131</v>
      </c>
      <c r="K417" s="286">
        <v>0</v>
      </c>
      <c r="L417" s="286">
        <v>0</v>
      </c>
      <c r="M417" s="286" t="s">
        <v>71</v>
      </c>
    </row>
    <row r="418" spans="1:13" x14ac:dyDescent="0.25">
      <c r="A418" s="287" t="s">
        <v>706</v>
      </c>
      <c r="B418" s="286">
        <v>-9.68</v>
      </c>
      <c r="C418" s="286">
        <v>25.17</v>
      </c>
      <c r="D418" s="286">
        <v>31.51</v>
      </c>
      <c r="E418" s="286">
        <v>16.82</v>
      </c>
      <c r="F418" s="286">
        <v>0.87</v>
      </c>
      <c r="G418" s="286">
        <v>1.23</v>
      </c>
      <c r="H418" s="286">
        <v>-1.82</v>
      </c>
      <c r="I418" s="286">
        <v>1.74</v>
      </c>
      <c r="J418" s="286">
        <v>339</v>
      </c>
      <c r="K418" s="286">
        <v>0.95</v>
      </c>
      <c r="L418" s="286">
        <v>17.670000000000002</v>
      </c>
      <c r="M418" s="286" t="s">
        <v>55</v>
      </c>
    </row>
    <row r="419" spans="1:13" x14ac:dyDescent="0.25">
      <c r="A419" s="287" t="s">
        <v>707</v>
      </c>
      <c r="B419" s="286">
        <v>-4.95</v>
      </c>
      <c r="C419" s="286">
        <v>0</v>
      </c>
      <c r="D419" s="286">
        <v>0</v>
      </c>
      <c r="E419" s="286">
        <v>0</v>
      </c>
      <c r="F419" s="286">
        <v>0</v>
      </c>
      <c r="G419" s="286">
        <v>0</v>
      </c>
      <c r="H419" s="286">
        <v>0</v>
      </c>
      <c r="I419" s="286">
        <v>2.09</v>
      </c>
      <c r="J419" s="286">
        <v>0</v>
      </c>
      <c r="K419" s="286">
        <v>0</v>
      </c>
      <c r="L419" s="286">
        <v>0</v>
      </c>
      <c r="M419" s="286" t="s">
        <v>103</v>
      </c>
    </row>
    <row r="420" spans="1:13" x14ac:dyDescent="0.25">
      <c r="A420" s="287" t="s">
        <v>708</v>
      </c>
      <c r="B420" s="286">
        <v>6.89</v>
      </c>
      <c r="C420" s="286">
        <v>24.41</v>
      </c>
      <c r="D420" s="286">
        <v>31.25</v>
      </c>
      <c r="E420" s="286">
        <v>17.28</v>
      </c>
      <c r="F420" s="286">
        <v>1.1599999999999999</v>
      </c>
      <c r="G420" s="286">
        <v>1.87</v>
      </c>
      <c r="H420" s="286">
        <v>4.7300000000000004</v>
      </c>
      <c r="I420" s="286">
        <v>1.88</v>
      </c>
      <c r="J420" s="286">
        <v>248</v>
      </c>
      <c r="K420" s="286">
        <v>1.05</v>
      </c>
      <c r="L420" s="286">
        <v>12.15</v>
      </c>
      <c r="M420" s="286" t="s">
        <v>58</v>
      </c>
    </row>
    <row r="421" spans="1:13" x14ac:dyDescent="0.25">
      <c r="A421" s="287" t="s">
        <v>709</v>
      </c>
      <c r="B421" s="286">
        <v>-8.86</v>
      </c>
      <c r="C421" s="286">
        <v>0</v>
      </c>
      <c r="D421" s="286">
        <v>0</v>
      </c>
      <c r="E421" s="286">
        <v>0</v>
      </c>
      <c r="F421" s="286">
        <v>0</v>
      </c>
      <c r="G421" s="286">
        <v>0</v>
      </c>
      <c r="H421" s="286">
        <v>0</v>
      </c>
      <c r="I421" s="286">
        <v>2.34</v>
      </c>
      <c r="J421" s="286">
        <v>0</v>
      </c>
      <c r="K421" s="286">
        <v>0</v>
      </c>
      <c r="L421" s="286">
        <v>0</v>
      </c>
      <c r="M421" s="286" t="s">
        <v>1166</v>
      </c>
    </row>
    <row r="422" spans="1:13" x14ac:dyDescent="0.25">
      <c r="A422" s="287" t="s">
        <v>710</v>
      </c>
      <c r="B422" s="286">
        <v>-6.45</v>
      </c>
      <c r="C422" s="286">
        <v>28.66</v>
      </c>
      <c r="D422" s="286">
        <v>0</v>
      </c>
      <c r="E422" s="286">
        <v>0</v>
      </c>
      <c r="F422" s="286">
        <v>1.07</v>
      </c>
      <c r="G422" s="286">
        <v>1.54</v>
      </c>
      <c r="H422" s="286">
        <v>5.86</v>
      </c>
      <c r="I422" s="286">
        <v>2.04</v>
      </c>
      <c r="J422" s="286">
        <v>498</v>
      </c>
      <c r="K422" s="286">
        <v>1.02</v>
      </c>
      <c r="L422" s="286">
        <v>16.420000000000002</v>
      </c>
      <c r="M422" s="286" t="s">
        <v>62</v>
      </c>
    </row>
    <row r="423" spans="1:13" x14ac:dyDescent="0.25">
      <c r="A423" s="287" t="s">
        <v>711</v>
      </c>
      <c r="B423" s="286">
        <v>-3.36</v>
      </c>
      <c r="C423" s="286">
        <v>31.72</v>
      </c>
      <c r="D423" s="286">
        <v>44.15</v>
      </c>
      <c r="E423" s="286">
        <v>19.75</v>
      </c>
      <c r="F423" s="286">
        <v>1.1000000000000001</v>
      </c>
      <c r="G423" s="286">
        <v>1.67</v>
      </c>
      <c r="H423" s="286">
        <v>3.86</v>
      </c>
      <c r="I423" s="286">
        <v>1.58</v>
      </c>
      <c r="J423" s="286">
        <v>151</v>
      </c>
      <c r="K423" s="286">
        <v>0.87</v>
      </c>
      <c r="L423" s="286">
        <v>17.97</v>
      </c>
      <c r="M423" s="286" t="s">
        <v>55</v>
      </c>
    </row>
    <row r="424" spans="1:13" x14ac:dyDescent="0.25">
      <c r="A424" s="287" t="s">
        <v>712</v>
      </c>
      <c r="B424" s="286">
        <v>6.73</v>
      </c>
      <c r="C424" s="286">
        <v>21.34</v>
      </c>
      <c r="D424" s="286">
        <v>21.39</v>
      </c>
      <c r="E424" s="286">
        <v>12.93</v>
      </c>
      <c r="F424" s="286">
        <v>0.87</v>
      </c>
      <c r="G424" s="286">
        <v>1.36</v>
      </c>
      <c r="H424" s="286">
        <v>1.1100000000000001</v>
      </c>
      <c r="I424" s="286">
        <v>0.75</v>
      </c>
      <c r="J424" s="286">
        <v>0</v>
      </c>
      <c r="K424" s="286">
        <v>0.89</v>
      </c>
      <c r="L424" s="286">
        <v>13.11</v>
      </c>
      <c r="M424" s="286" t="s">
        <v>71</v>
      </c>
    </row>
    <row r="425" spans="1:13" x14ac:dyDescent="0.25">
      <c r="A425" s="287" t="s">
        <v>713</v>
      </c>
      <c r="B425" s="286">
        <v>6.78</v>
      </c>
      <c r="C425" s="286">
        <v>17.940000000000001</v>
      </c>
      <c r="D425" s="286">
        <v>20.309999999999999</v>
      </c>
      <c r="E425" s="286">
        <v>0</v>
      </c>
      <c r="F425" s="286">
        <v>0.64</v>
      </c>
      <c r="G425" s="286">
        <v>0.96</v>
      </c>
      <c r="H425" s="286">
        <v>-1.02</v>
      </c>
      <c r="I425" s="286">
        <v>2.1</v>
      </c>
      <c r="J425" s="286">
        <v>13.77</v>
      </c>
      <c r="K425" s="286">
        <v>0.94</v>
      </c>
      <c r="L425" s="286">
        <v>13.58</v>
      </c>
      <c r="M425" s="286" t="s">
        <v>71</v>
      </c>
    </row>
    <row r="426" spans="1:13" x14ac:dyDescent="0.25">
      <c r="A426" s="287" t="s">
        <v>714</v>
      </c>
      <c r="B426" s="286">
        <v>0</v>
      </c>
      <c r="C426" s="286">
        <v>0</v>
      </c>
      <c r="D426" s="286">
        <v>0</v>
      </c>
      <c r="E426" s="286">
        <v>0</v>
      </c>
      <c r="F426" s="286">
        <v>0</v>
      </c>
      <c r="G426" s="286">
        <v>0</v>
      </c>
      <c r="H426" s="286">
        <v>0</v>
      </c>
      <c r="I426" s="286">
        <v>2.1</v>
      </c>
      <c r="J426" s="286">
        <v>0</v>
      </c>
      <c r="K426" s="286">
        <v>0</v>
      </c>
      <c r="L426" s="286">
        <v>0</v>
      </c>
      <c r="M426" s="286" t="s">
        <v>58</v>
      </c>
    </row>
    <row r="427" spans="1:13" x14ac:dyDescent="0.25">
      <c r="A427" s="287" t="s">
        <v>715</v>
      </c>
      <c r="B427" s="286">
        <v>9.3800000000000008</v>
      </c>
      <c r="C427" s="286">
        <v>0</v>
      </c>
      <c r="D427" s="286">
        <v>0</v>
      </c>
      <c r="E427" s="286">
        <v>0</v>
      </c>
      <c r="F427" s="286">
        <v>0</v>
      </c>
      <c r="G427" s="286">
        <v>0</v>
      </c>
      <c r="H427" s="286">
        <v>0</v>
      </c>
      <c r="I427" s="286">
        <v>1.96</v>
      </c>
      <c r="J427" s="286">
        <v>2.64</v>
      </c>
      <c r="K427" s="286">
        <v>0</v>
      </c>
      <c r="L427" s="286">
        <v>0</v>
      </c>
      <c r="M427" s="286" t="s">
        <v>55</v>
      </c>
    </row>
    <row r="428" spans="1:13" x14ac:dyDescent="0.25">
      <c r="A428" s="287" t="s">
        <v>716</v>
      </c>
      <c r="B428" s="286">
        <v>11.55</v>
      </c>
      <c r="C428" s="286">
        <v>14.01</v>
      </c>
      <c r="D428" s="286">
        <v>11.87</v>
      </c>
      <c r="E428" s="286">
        <v>9.5399999999999991</v>
      </c>
      <c r="F428" s="286">
        <v>1.18</v>
      </c>
      <c r="G428" s="286">
        <v>1.88</v>
      </c>
      <c r="H428" s="286">
        <v>1.6</v>
      </c>
      <c r="I428" s="286">
        <v>0.47</v>
      </c>
      <c r="J428" s="286">
        <v>0</v>
      </c>
      <c r="K428" s="286">
        <v>0.5</v>
      </c>
      <c r="L428" s="286">
        <v>5.09</v>
      </c>
      <c r="M428" s="286" t="s">
        <v>55</v>
      </c>
    </row>
    <row r="429" spans="1:13" x14ac:dyDescent="0.25">
      <c r="A429" s="287" t="s">
        <v>719</v>
      </c>
      <c r="B429" s="286">
        <v>7.86</v>
      </c>
      <c r="C429" s="286">
        <v>0</v>
      </c>
      <c r="D429" s="286">
        <v>0</v>
      </c>
      <c r="E429" s="286">
        <v>0</v>
      </c>
      <c r="F429" s="286">
        <v>0</v>
      </c>
      <c r="G429" s="286">
        <v>0</v>
      </c>
      <c r="H429" s="286">
        <v>0</v>
      </c>
      <c r="I429" s="286">
        <v>2.1</v>
      </c>
      <c r="J429" s="286">
        <v>10.26</v>
      </c>
      <c r="K429" s="286">
        <v>0</v>
      </c>
      <c r="L429" s="286">
        <v>0</v>
      </c>
      <c r="M429" s="286" t="s">
        <v>58</v>
      </c>
    </row>
    <row r="430" spans="1:13" x14ac:dyDescent="0.25">
      <c r="A430" s="287" t="s">
        <v>720</v>
      </c>
      <c r="B430" s="286">
        <v>0.71</v>
      </c>
      <c r="C430" s="286">
        <v>0</v>
      </c>
      <c r="D430" s="286">
        <v>0</v>
      </c>
      <c r="E430" s="286">
        <v>0</v>
      </c>
      <c r="F430" s="286">
        <v>0</v>
      </c>
      <c r="G430" s="286">
        <v>0</v>
      </c>
      <c r="H430" s="286">
        <v>0</v>
      </c>
      <c r="I430" s="286">
        <v>2.25</v>
      </c>
      <c r="J430" s="286">
        <v>892</v>
      </c>
      <c r="K430" s="286">
        <v>0</v>
      </c>
      <c r="L430" s="286">
        <v>0</v>
      </c>
      <c r="M430" s="286" t="s">
        <v>71</v>
      </c>
    </row>
    <row r="431" spans="1:13" x14ac:dyDescent="0.25">
      <c r="A431" s="287" t="s">
        <v>721</v>
      </c>
      <c r="B431" s="286">
        <v>-2.15</v>
      </c>
      <c r="C431" s="286">
        <v>0</v>
      </c>
      <c r="D431" s="286">
        <v>0</v>
      </c>
      <c r="E431" s="286">
        <v>0</v>
      </c>
      <c r="F431" s="286">
        <v>0</v>
      </c>
      <c r="G431" s="286">
        <v>0</v>
      </c>
      <c r="H431" s="286">
        <v>0</v>
      </c>
      <c r="I431" s="286">
        <v>2.41</v>
      </c>
      <c r="J431" s="286">
        <v>901</v>
      </c>
      <c r="K431" s="286">
        <v>0</v>
      </c>
      <c r="L431" s="286">
        <v>0</v>
      </c>
      <c r="M431" s="286" t="s">
        <v>65</v>
      </c>
    </row>
    <row r="432" spans="1:13" x14ac:dyDescent="0.25">
      <c r="A432" s="287" t="s">
        <v>722</v>
      </c>
      <c r="B432" s="286">
        <v>-12.31</v>
      </c>
      <c r="C432" s="286">
        <v>8.64</v>
      </c>
      <c r="D432" s="286">
        <v>0</v>
      </c>
      <c r="E432" s="286">
        <v>0</v>
      </c>
      <c r="F432" s="286">
        <v>0.04</v>
      </c>
      <c r="G432" s="286">
        <v>0.05</v>
      </c>
      <c r="H432" s="286">
        <v>-11.72</v>
      </c>
      <c r="I432" s="286">
        <v>2.41</v>
      </c>
      <c r="J432" s="286">
        <v>243</v>
      </c>
      <c r="K432" s="286">
        <v>1.08</v>
      </c>
      <c r="L432" s="286">
        <v>19.05</v>
      </c>
      <c r="M432" s="286" t="s">
        <v>58</v>
      </c>
    </row>
    <row r="433" spans="1:13" x14ac:dyDescent="0.25">
      <c r="A433" s="287" t="s">
        <v>723</v>
      </c>
      <c r="B433" s="286">
        <v>0</v>
      </c>
      <c r="C433" s="286">
        <v>0</v>
      </c>
      <c r="D433" s="286">
        <v>0</v>
      </c>
      <c r="E433" s="286">
        <v>0</v>
      </c>
      <c r="F433" s="286">
        <v>0</v>
      </c>
      <c r="G433" s="286">
        <v>0</v>
      </c>
      <c r="H433" s="286">
        <v>0</v>
      </c>
      <c r="I433" s="286">
        <v>2.37</v>
      </c>
      <c r="J433" s="286">
        <v>0</v>
      </c>
      <c r="K433" s="286">
        <v>0</v>
      </c>
      <c r="L433" s="286">
        <v>0</v>
      </c>
      <c r="M433" s="286" t="s">
        <v>84</v>
      </c>
    </row>
    <row r="434" spans="1:13" x14ac:dyDescent="0.25">
      <c r="A434" s="287" t="s">
        <v>724</v>
      </c>
      <c r="B434" s="286">
        <v>0</v>
      </c>
      <c r="C434" s="286">
        <v>0</v>
      </c>
      <c r="D434" s="286">
        <v>0</v>
      </c>
      <c r="E434" s="286">
        <v>0</v>
      </c>
      <c r="F434" s="286">
        <v>0</v>
      </c>
      <c r="G434" s="286">
        <v>0</v>
      </c>
      <c r="H434" s="286">
        <v>0</v>
      </c>
      <c r="I434" s="286">
        <v>0</v>
      </c>
      <c r="J434" s="286">
        <v>0</v>
      </c>
      <c r="K434" s="286">
        <v>0</v>
      </c>
      <c r="L434" s="286">
        <v>0</v>
      </c>
      <c r="M434" s="286" t="s">
        <v>60</v>
      </c>
    </row>
    <row r="435" spans="1:13" x14ac:dyDescent="0.25">
      <c r="A435" s="287" t="s">
        <v>725</v>
      </c>
      <c r="B435" s="286">
        <v>0</v>
      </c>
      <c r="C435" s="286">
        <v>0</v>
      </c>
      <c r="D435" s="286">
        <v>0</v>
      </c>
      <c r="E435" s="286">
        <v>0</v>
      </c>
      <c r="F435" s="286">
        <v>0</v>
      </c>
      <c r="G435" s="286">
        <v>0</v>
      </c>
      <c r="H435" s="286">
        <v>0</v>
      </c>
      <c r="I435" s="286">
        <v>2.21</v>
      </c>
      <c r="J435" s="286">
        <v>0</v>
      </c>
      <c r="K435" s="286">
        <v>0</v>
      </c>
      <c r="L435" s="286">
        <v>0</v>
      </c>
      <c r="M435" s="286" t="s">
        <v>89</v>
      </c>
    </row>
    <row r="436" spans="1:13" x14ac:dyDescent="0.25">
      <c r="A436" s="287" t="s">
        <v>726</v>
      </c>
      <c r="B436" s="286">
        <v>0</v>
      </c>
      <c r="C436" s="286">
        <v>0</v>
      </c>
      <c r="D436" s="286">
        <v>0</v>
      </c>
      <c r="E436" s="286">
        <v>0</v>
      </c>
      <c r="F436" s="286">
        <v>0</v>
      </c>
      <c r="G436" s="286">
        <v>0</v>
      </c>
      <c r="H436" s="286">
        <v>0</v>
      </c>
      <c r="I436" s="286">
        <v>2.39</v>
      </c>
      <c r="J436" s="286">
        <v>0</v>
      </c>
      <c r="K436" s="286">
        <v>0</v>
      </c>
      <c r="L436" s="286">
        <v>0</v>
      </c>
      <c r="M436" s="286" t="s">
        <v>71</v>
      </c>
    </row>
    <row r="437" spans="1:13" x14ac:dyDescent="0.25">
      <c r="A437" s="287" t="s">
        <v>727</v>
      </c>
      <c r="B437" s="286">
        <v>-16.78</v>
      </c>
      <c r="C437" s="286">
        <v>0</v>
      </c>
      <c r="D437" s="286">
        <v>0</v>
      </c>
      <c r="E437" s="286">
        <v>0</v>
      </c>
      <c r="F437" s="286">
        <v>0</v>
      </c>
      <c r="G437" s="286">
        <v>0</v>
      </c>
      <c r="H437" s="286">
        <v>0</v>
      </c>
      <c r="I437" s="286">
        <v>2.41</v>
      </c>
      <c r="J437" s="286">
        <v>0</v>
      </c>
      <c r="K437" s="286">
        <v>0</v>
      </c>
      <c r="L437" s="286">
        <v>0</v>
      </c>
      <c r="M437" s="286" t="s">
        <v>55</v>
      </c>
    </row>
    <row r="438" spans="1:13" x14ac:dyDescent="0.25">
      <c r="A438" s="287" t="s">
        <v>728</v>
      </c>
      <c r="B438" s="286">
        <v>-6.16</v>
      </c>
      <c r="C438" s="286">
        <v>0</v>
      </c>
      <c r="D438" s="286">
        <v>0</v>
      </c>
      <c r="E438" s="286">
        <v>0</v>
      </c>
      <c r="F438" s="286">
        <v>0</v>
      </c>
      <c r="G438" s="286">
        <v>0</v>
      </c>
      <c r="H438" s="286">
        <v>0</v>
      </c>
      <c r="I438" s="286">
        <v>1.84</v>
      </c>
      <c r="J438" s="286">
        <v>40</v>
      </c>
      <c r="K438" s="286">
        <v>0</v>
      </c>
      <c r="L438" s="286">
        <v>0</v>
      </c>
      <c r="M438" s="286" t="s">
        <v>55</v>
      </c>
    </row>
    <row r="439" spans="1:13" x14ac:dyDescent="0.25">
      <c r="A439" s="287" t="s">
        <v>729</v>
      </c>
      <c r="B439" s="286">
        <v>7.88</v>
      </c>
      <c r="C439" s="286">
        <v>16.239999999999998</v>
      </c>
      <c r="D439" s="286">
        <v>0</v>
      </c>
      <c r="E439" s="286">
        <v>0</v>
      </c>
      <c r="F439" s="286">
        <v>1.18</v>
      </c>
      <c r="G439" s="286">
        <v>1.88</v>
      </c>
      <c r="H439" s="286">
        <v>2.88</v>
      </c>
      <c r="I439" s="286">
        <v>1.57</v>
      </c>
      <c r="J439" s="286">
        <v>23</v>
      </c>
      <c r="K439" s="286">
        <v>0.6</v>
      </c>
      <c r="L439" s="286">
        <v>6.44</v>
      </c>
      <c r="M439" s="286" t="s">
        <v>65</v>
      </c>
    </row>
    <row r="440" spans="1:13" x14ac:dyDescent="0.25">
      <c r="A440" s="287" t="s">
        <v>730</v>
      </c>
      <c r="B440" s="286">
        <v>7.06</v>
      </c>
      <c r="C440" s="286">
        <v>19.21</v>
      </c>
      <c r="D440" s="286">
        <v>21.27</v>
      </c>
      <c r="E440" s="286">
        <v>12.63</v>
      </c>
      <c r="F440" s="286">
        <v>0.77</v>
      </c>
      <c r="G440" s="286">
        <v>1.41</v>
      </c>
      <c r="H440" s="286">
        <v>0.43</v>
      </c>
      <c r="I440" s="286">
        <v>1.49</v>
      </c>
      <c r="J440" s="286">
        <v>23</v>
      </c>
      <c r="K440" s="286">
        <v>0.9</v>
      </c>
      <c r="L440" s="286">
        <v>12.69</v>
      </c>
      <c r="M440" s="286" t="s">
        <v>58</v>
      </c>
    </row>
    <row r="441" spans="1:13" x14ac:dyDescent="0.25">
      <c r="A441" s="287" t="s">
        <v>1239</v>
      </c>
      <c r="B441" s="286">
        <v>6.99</v>
      </c>
      <c r="C441" s="286">
        <v>11.43</v>
      </c>
      <c r="D441" s="286">
        <v>11.83</v>
      </c>
      <c r="E441" s="286">
        <v>9.19</v>
      </c>
      <c r="F441" s="286">
        <v>1.1599999999999999</v>
      </c>
      <c r="G441" s="286">
        <v>1.89</v>
      </c>
      <c r="H441" s="286">
        <v>1.17</v>
      </c>
      <c r="I441" s="286">
        <v>1.54</v>
      </c>
      <c r="J441" s="286">
        <v>0</v>
      </c>
      <c r="K441" s="286">
        <v>0.81</v>
      </c>
      <c r="L441" s="286">
        <v>3.57</v>
      </c>
      <c r="M441" s="286" t="s">
        <v>58</v>
      </c>
    </row>
    <row r="442" spans="1:13" x14ac:dyDescent="0.25">
      <c r="A442" s="287" t="s">
        <v>735</v>
      </c>
      <c r="B442" s="286">
        <v>2.1800000000000002</v>
      </c>
      <c r="C442" s="286">
        <v>20.9</v>
      </c>
      <c r="D442" s="286">
        <v>26.75</v>
      </c>
      <c r="E442" s="286">
        <v>15.95</v>
      </c>
      <c r="F442" s="286">
        <v>0.8</v>
      </c>
      <c r="G442" s="286">
        <v>1.07</v>
      </c>
      <c r="H442" s="286">
        <v>0.66</v>
      </c>
      <c r="I442" s="286">
        <v>1.98</v>
      </c>
      <c r="J442" s="286">
        <v>34</v>
      </c>
      <c r="K442" s="286">
        <v>0.76</v>
      </c>
      <c r="L442" s="286">
        <v>14.56</v>
      </c>
      <c r="M442" s="286" t="s">
        <v>103</v>
      </c>
    </row>
    <row r="443" spans="1:13" x14ac:dyDescent="0.25">
      <c r="A443" s="287" t="s">
        <v>736</v>
      </c>
      <c r="B443" s="286">
        <v>-7.0000000000000007E-2</v>
      </c>
      <c r="C443" s="286">
        <v>0</v>
      </c>
      <c r="D443" s="286">
        <v>0</v>
      </c>
      <c r="E443" s="286">
        <v>0</v>
      </c>
      <c r="F443" s="286">
        <v>0</v>
      </c>
      <c r="G443" s="286">
        <v>0</v>
      </c>
      <c r="H443" s="286">
        <v>0</v>
      </c>
      <c r="I443" s="286">
        <v>1.78</v>
      </c>
      <c r="J443" s="286">
        <v>9</v>
      </c>
      <c r="K443" s="286">
        <v>0</v>
      </c>
      <c r="L443" s="286">
        <v>0</v>
      </c>
      <c r="M443" s="286" t="s">
        <v>84</v>
      </c>
    </row>
    <row r="444" spans="1:13" x14ac:dyDescent="0.25">
      <c r="A444" s="287" t="s">
        <v>737</v>
      </c>
      <c r="B444" s="286">
        <v>-2.8</v>
      </c>
      <c r="C444" s="286">
        <v>0</v>
      </c>
      <c r="D444" s="286">
        <v>0</v>
      </c>
      <c r="E444" s="286">
        <v>0</v>
      </c>
      <c r="F444" s="286">
        <v>0</v>
      </c>
      <c r="G444" s="286">
        <v>0</v>
      </c>
      <c r="H444" s="286">
        <v>0</v>
      </c>
      <c r="I444" s="286">
        <v>1.75</v>
      </c>
      <c r="J444" s="286">
        <v>47</v>
      </c>
      <c r="K444" s="286">
        <v>0</v>
      </c>
      <c r="L444" s="286">
        <v>0</v>
      </c>
      <c r="M444" s="286" t="s">
        <v>58</v>
      </c>
    </row>
    <row r="445" spans="1:13" x14ac:dyDescent="0.25">
      <c r="A445" s="287" t="s">
        <v>1240</v>
      </c>
      <c r="B445" s="286">
        <v>12.5</v>
      </c>
      <c r="C445" s="286">
        <v>17.75</v>
      </c>
      <c r="D445" s="286">
        <v>17.98</v>
      </c>
      <c r="E445" s="286">
        <v>12.42</v>
      </c>
      <c r="F445" s="286">
        <v>0.84</v>
      </c>
      <c r="G445" s="286">
        <v>1.28</v>
      </c>
      <c r="H445" s="286">
        <v>0.62</v>
      </c>
      <c r="I445" s="286">
        <v>1.39</v>
      </c>
      <c r="J445" s="286">
        <v>19</v>
      </c>
      <c r="K445" s="286">
        <v>0.77</v>
      </c>
      <c r="L445" s="286">
        <v>9.56</v>
      </c>
      <c r="M445" s="286" t="s">
        <v>65</v>
      </c>
    </row>
    <row r="446" spans="1:13" x14ac:dyDescent="0.25">
      <c r="A446" s="287" t="s">
        <v>738</v>
      </c>
      <c r="B446" s="286">
        <v>3.3</v>
      </c>
      <c r="C446" s="286">
        <v>18.059999999999999</v>
      </c>
      <c r="D446" s="286">
        <v>20</v>
      </c>
      <c r="E446" s="286">
        <v>0</v>
      </c>
      <c r="F446" s="286">
        <v>0.62</v>
      </c>
      <c r="G446" s="286">
        <v>0.91</v>
      </c>
      <c r="H446" s="286">
        <v>-1.65</v>
      </c>
      <c r="I446" s="286">
        <v>0.75</v>
      </c>
      <c r="J446" s="286">
        <v>44</v>
      </c>
      <c r="K446" s="286">
        <v>0.91</v>
      </c>
      <c r="L446" s="286">
        <v>14.22</v>
      </c>
      <c r="M446" s="286" t="s">
        <v>103</v>
      </c>
    </row>
    <row r="447" spans="1:13" x14ac:dyDescent="0.25">
      <c r="A447" s="287" t="s">
        <v>739</v>
      </c>
      <c r="B447" s="286">
        <v>3.85</v>
      </c>
      <c r="C447" s="286">
        <v>18.329999999999998</v>
      </c>
      <c r="D447" s="286">
        <v>20.13</v>
      </c>
      <c r="E447" s="286">
        <v>12.43</v>
      </c>
      <c r="F447" s="286">
        <v>0.7</v>
      </c>
      <c r="G447" s="286">
        <v>1.1100000000000001</v>
      </c>
      <c r="H447" s="286">
        <v>-0.35</v>
      </c>
      <c r="I447" s="286">
        <v>1.93</v>
      </c>
      <c r="J447" s="286">
        <v>14</v>
      </c>
      <c r="K447" s="286">
        <v>0.93</v>
      </c>
      <c r="L447" s="286">
        <v>13.16</v>
      </c>
      <c r="M447" s="286" t="s">
        <v>58</v>
      </c>
    </row>
    <row r="448" spans="1:13" x14ac:dyDescent="0.25">
      <c r="A448" s="287" t="s">
        <v>740</v>
      </c>
      <c r="B448" s="286">
        <v>3.2</v>
      </c>
      <c r="C448" s="286">
        <v>17.14</v>
      </c>
      <c r="D448" s="286">
        <v>20.239999999999998</v>
      </c>
      <c r="E448" s="286">
        <v>12.96</v>
      </c>
      <c r="F448" s="286">
        <v>0.61</v>
      </c>
      <c r="G448" s="286">
        <v>0.91</v>
      </c>
      <c r="H448" s="286">
        <v>-2.0299999999999998</v>
      </c>
      <c r="I448" s="286">
        <v>1.67</v>
      </c>
      <c r="J448" s="286">
        <v>77</v>
      </c>
      <c r="K448" s="286">
        <v>0.82</v>
      </c>
      <c r="L448" s="286">
        <v>12.31</v>
      </c>
      <c r="M448" s="286" t="s">
        <v>58</v>
      </c>
    </row>
    <row r="449" spans="1:13" x14ac:dyDescent="0.25">
      <c r="A449" s="287" t="s">
        <v>741</v>
      </c>
      <c r="B449" s="286">
        <v>9.5</v>
      </c>
      <c r="C449" s="286">
        <v>19.690000000000001</v>
      </c>
      <c r="D449" s="286">
        <v>20.75</v>
      </c>
      <c r="E449" s="286">
        <v>14.86</v>
      </c>
      <c r="F449" s="286">
        <v>0.87</v>
      </c>
      <c r="G449" s="286">
        <v>1.45</v>
      </c>
      <c r="H449" s="286">
        <v>1.81</v>
      </c>
      <c r="I449" s="286">
        <v>1.56</v>
      </c>
      <c r="J449" s="286">
        <v>47</v>
      </c>
      <c r="K449" s="286">
        <v>0.71</v>
      </c>
      <c r="L449" s="286">
        <v>11.41</v>
      </c>
      <c r="M449" s="286" t="s">
        <v>103</v>
      </c>
    </row>
    <row r="450" spans="1:13" x14ac:dyDescent="0.25">
      <c r="A450" s="287" t="s">
        <v>742</v>
      </c>
      <c r="B450" s="286">
        <v>0</v>
      </c>
      <c r="C450" s="286">
        <v>0</v>
      </c>
      <c r="D450" s="286">
        <v>0</v>
      </c>
      <c r="E450" s="286">
        <v>0</v>
      </c>
      <c r="F450" s="286">
        <v>0</v>
      </c>
      <c r="G450" s="286">
        <v>0</v>
      </c>
      <c r="H450" s="286">
        <v>0</v>
      </c>
      <c r="I450" s="286">
        <v>1.78</v>
      </c>
      <c r="J450" s="286">
        <v>56</v>
      </c>
      <c r="K450" s="286">
        <v>0</v>
      </c>
      <c r="L450" s="286">
        <v>0</v>
      </c>
      <c r="M450" s="286" t="s">
        <v>1168</v>
      </c>
    </row>
    <row r="451" spans="1:13" x14ac:dyDescent="0.25">
      <c r="A451" s="287" t="s">
        <v>743</v>
      </c>
      <c r="B451" s="286">
        <v>6.74</v>
      </c>
      <c r="C451" s="286">
        <v>23.16</v>
      </c>
      <c r="D451" s="286">
        <v>25.58</v>
      </c>
      <c r="E451" s="286">
        <v>14.62</v>
      </c>
      <c r="F451" s="286">
        <v>1.02</v>
      </c>
      <c r="G451" s="286">
        <v>1.66</v>
      </c>
      <c r="H451" s="286">
        <v>3.47</v>
      </c>
      <c r="I451" s="286">
        <v>1.59</v>
      </c>
      <c r="J451" s="286">
        <v>30</v>
      </c>
      <c r="K451" s="286">
        <v>0.84</v>
      </c>
      <c r="L451" s="286">
        <v>12.51</v>
      </c>
      <c r="M451" s="286" t="s">
        <v>65</v>
      </c>
    </row>
    <row r="452" spans="1:13" x14ac:dyDescent="0.25">
      <c r="A452" s="287" t="s">
        <v>1241</v>
      </c>
      <c r="B452" s="286">
        <v>9.0500000000000007</v>
      </c>
      <c r="C452" s="286">
        <v>24.94</v>
      </c>
      <c r="D452" s="286">
        <v>0</v>
      </c>
      <c r="E452" s="286">
        <v>0</v>
      </c>
      <c r="F452" s="286">
        <v>1.03</v>
      </c>
      <c r="G452" s="286">
        <v>1.49</v>
      </c>
      <c r="H452" s="286">
        <v>5.41</v>
      </c>
      <c r="I452" s="286">
        <v>1.87</v>
      </c>
      <c r="J452" s="286">
        <v>0</v>
      </c>
      <c r="K452" s="286">
        <v>0.92</v>
      </c>
      <c r="L452" s="286">
        <v>13.85</v>
      </c>
      <c r="M452" s="286" t="s">
        <v>55</v>
      </c>
    </row>
    <row r="453" spans="1:13" x14ac:dyDescent="0.25">
      <c r="A453" s="287" t="s">
        <v>1242</v>
      </c>
      <c r="B453" s="286">
        <v>9.7200000000000006</v>
      </c>
      <c r="C453" s="286">
        <v>13.71</v>
      </c>
      <c r="D453" s="286">
        <v>14.03</v>
      </c>
      <c r="E453" s="286">
        <v>11.78</v>
      </c>
      <c r="F453" s="286">
        <v>1.45</v>
      </c>
      <c r="G453" s="286">
        <v>2.08</v>
      </c>
      <c r="H453" s="286">
        <v>3.43</v>
      </c>
      <c r="I453" s="286">
        <v>1.21</v>
      </c>
      <c r="J453" s="286">
        <v>0</v>
      </c>
      <c r="K453" s="286">
        <v>0.81</v>
      </c>
      <c r="L453" s="286">
        <v>4.43</v>
      </c>
      <c r="M453" s="286" t="s">
        <v>71</v>
      </c>
    </row>
    <row r="454" spans="1:13" x14ac:dyDescent="0.25">
      <c r="A454" s="287" t="s">
        <v>744</v>
      </c>
      <c r="B454" s="286">
        <v>5.52</v>
      </c>
      <c r="C454" s="286">
        <v>21.54</v>
      </c>
      <c r="D454" s="286">
        <v>24.01</v>
      </c>
      <c r="E454" s="286">
        <v>15.39</v>
      </c>
      <c r="F454" s="286">
        <v>0.56999999999999995</v>
      </c>
      <c r="G454" s="286">
        <v>0.89</v>
      </c>
      <c r="H454" s="286">
        <v>-2.73</v>
      </c>
      <c r="I454" s="286">
        <v>2.5</v>
      </c>
      <c r="J454" s="286">
        <v>25</v>
      </c>
      <c r="K454" s="286">
        <v>1.08</v>
      </c>
      <c r="L454" s="286">
        <v>17.07</v>
      </c>
      <c r="M454" s="286" t="s">
        <v>89</v>
      </c>
    </row>
    <row r="455" spans="1:13" x14ac:dyDescent="0.25">
      <c r="A455" s="287" t="s">
        <v>745</v>
      </c>
      <c r="B455" s="286">
        <v>-0.39</v>
      </c>
      <c r="C455" s="286">
        <v>13.44</v>
      </c>
      <c r="D455" s="286">
        <v>16.48</v>
      </c>
      <c r="E455" s="286">
        <v>10.6</v>
      </c>
      <c r="F455" s="286">
        <v>0.53</v>
      </c>
      <c r="G455" s="286">
        <v>0.74</v>
      </c>
      <c r="H455" s="286">
        <v>-1.51</v>
      </c>
      <c r="I455" s="286">
        <v>1.89</v>
      </c>
      <c r="J455" s="286">
        <v>53</v>
      </c>
      <c r="K455" s="286">
        <v>0.66</v>
      </c>
      <c r="L455" s="286">
        <v>11.45</v>
      </c>
      <c r="M455" s="286" t="s">
        <v>65</v>
      </c>
    </row>
    <row r="456" spans="1:13" x14ac:dyDescent="0.25">
      <c r="A456" s="287" t="s">
        <v>746</v>
      </c>
      <c r="B456" s="286">
        <v>2.17</v>
      </c>
      <c r="C456" s="286">
        <v>23.21</v>
      </c>
      <c r="D456" s="286">
        <v>29.26</v>
      </c>
      <c r="E456" s="286">
        <v>14.91</v>
      </c>
      <c r="F456" s="286">
        <v>0.95</v>
      </c>
      <c r="G456" s="286">
        <v>1.37</v>
      </c>
      <c r="H456" s="286">
        <v>-0.8</v>
      </c>
      <c r="I456" s="286">
        <v>1.66</v>
      </c>
      <c r="J456" s="286">
        <v>39</v>
      </c>
      <c r="K456" s="286">
        <v>0.77</v>
      </c>
      <c r="L456" s="286">
        <v>13.88</v>
      </c>
      <c r="M456" s="286" t="s">
        <v>58</v>
      </c>
    </row>
    <row r="457" spans="1:13" x14ac:dyDescent="0.25">
      <c r="A457" s="287" t="s">
        <v>747</v>
      </c>
      <c r="B457" s="286">
        <v>9.83</v>
      </c>
      <c r="C457" s="286">
        <v>18.670000000000002</v>
      </c>
      <c r="D457" s="286">
        <v>15.12</v>
      </c>
      <c r="E457" s="286">
        <v>11.22</v>
      </c>
      <c r="F457" s="286">
        <v>1.26</v>
      </c>
      <c r="G457" s="286">
        <v>2.16</v>
      </c>
      <c r="H457" s="286">
        <v>3.14</v>
      </c>
      <c r="I457" s="286">
        <v>1.44</v>
      </c>
      <c r="J457" s="286">
        <v>0</v>
      </c>
      <c r="K457" s="286">
        <v>0.7</v>
      </c>
      <c r="L457" s="286">
        <v>7.39</v>
      </c>
      <c r="M457" s="286" t="s">
        <v>84</v>
      </c>
    </row>
    <row r="458" spans="1:13" x14ac:dyDescent="0.25">
      <c r="A458" s="287" t="s">
        <v>748</v>
      </c>
      <c r="B458" s="286">
        <v>10.97</v>
      </c>
      <c r="C458" s="286">
        <v>22.22</v>
      </c>
      <c r="D458" s="286">
        <v>0</v>
      </c>
      <c r="E458" s="286">
        <v>0</v>
      </c>
      <c r="F458" s="286">
        <v>0.85</v>
      </c>
      <c r="G458" s="286">
        <v>1.33</v>
      </c>
      <c r="H458" s="286">
        <v>-0.35</v>
      </c>
      <c r="I458" s="286">
        <v>1.68</v>
      </c>
      <c r="J458" s="286">
        <v>25</v>
      </c>
      <c r="K458" s="286">
        <v>0.82</v>
      </c>
      <c r="L458" s="286">
        <v>13.5</v>
      </c>
      <c r="M458" s="286" t="s">
        <v>65</v>
      </c>
    </row>
    <row r="459" spans="1:13" x14ac:dyDescent="0.25">
      <c r="A459" s="287" t="s">
        <v>762</v>
      </c>
      <c r="B459" s="286">
        <v>-0.98</v>
      </c>
      <c r="C459" s="286">
        <v>38.369999999999997</v>
      </c>
      <c r="D459" s="286">
        <v>30.28</v>
      </c>
      <c r="E459" s="286">
        <v>13.06</v>
      </c>
      <c r="F459" s="286">
        <v>1.1599999999999999</v>
      </c>
      <c r="G459" s="286">
        <v>2.13</v>
      </c>
      <c r="H459" s="286">
        <v>-0.73</v>
      </c>
      <c r="I459" s="286">
        <v>1.86</v>
      </c>
      <c r="J459" s="286">
        <v>25</v>
      </c>
      <c r="K459" s="286">
        <v>0.97</v>
      </c>
      <c r="L459" s="286">
        <v>22.74</v>
      </c>
      <c r="M459" s="286" t="s">
        <v>103</v>
      </c>
    </row>
    <row r="460" spans="1:13" x14ac:dyDescent="0.25">
      <c r="A460" s="287" t="s">
        <v>763</v>
      </c>
      <c r="B460" s="286">
        <v>0</v>
      </c>
      <c r="C460" s="286">
        <v>0</v>
      </c>
      <c r="D460" s="286">
        <v>0</v>
      </c>
      <c r="E460" s="286">
        <v>0</v>
      </c>
      <c r="F460" s="286">
        <v>0</v>
      </c>
      <c r="G460" s="286">
        <v>0</v>
      </c>
      <c r="H460" s="286">
        <v>0</v>
      </c>
      <c r="I460" s="286">
        <v>1.9</v>
      </c>
      <c r="J460" s="286">
        <v>139</v>
      </c>
      <c r="K460" s="286">
        <v>0</v>
      </c>
      <c r="L460" s="286">
        <v>0</v>
      </c>
      <c r="M460" s="286" t="s">
        <v>58</v>
      </c>
    </row>
    <row r="461" spans="1:13" x14ac:dyDescent="0.25">
      <c r="A461" s="287" t="s">
        <v>1243</v>
      </c>
      <c r="B461" s="286">
        <v>1.71</v>
      </c>
      <c r="C461" s="286">
        <v>17.38</v>
      </c>
      <c r="D461" s="286">
        <v>0</v>
      </c>
      <c r="E461" s="286">
        <v>0</v>
      </c>
      <c r="F461" s="286">
        <v>0.77</v>
      </c>
      <c r="G461" s="286">
        <v>1.18</v>
      </c>
      <c r="H461" s="286">
        <v>0.03</v>
      </c>
      <c r="I461" s="286">
        <v>2.09</v>
      </c>
      <c r="J461" s="286">
        <v>0</v>
      </c>
      <c r="K461" s="286">
        <v>0.85</v>
      </c>
      <c r="L461" s="286">
        <v>10.6</v>
      </c>
      <c r="M461" s="286" t="s">
        <v>1166</v>
      </c>
    </row>
    <row r="462" spans="1:13" x14ac:dyDescent="0.25">
      <c r="A462" s="287" t="s">
        <v>764</v>
      </c>
      <c r="B462" s="286">
        <v>-7.0000000000000007E-2</v>
      </c>
      <c r="C462" s="286">
        <v>19.420000000000002</v>
      </c>
      <c r="D462" s="286">
        <v>0</v>
      </c>
      <c r="E462" s="286">
        <v>0</v>
      </c>
      <c r="F462" s="286">
        <v>0.77</v>
      </c>
      <c r="G462" s="286">
        <v>1.2</v>
      </c>
      <c r="H462" s="286">
        <v>0.08</v>
      </c>
      <c r="I462" s="286">
        <v>1.93</v>
      </c>
      <c r="J462" s="286">
        <v>0</v>
      </c>
      <c r="K462" s="286">
        <v>0.86</v>
      </c>
      <c r="L462" s="286">
        <v>13.05</v>
      </c>
      <c r="M462" s="286" t="s">
        <v>62</v>
      </c>
    </row>
    <row r="463" spans="1:13" x14ac:dyDescent="0.25">
      <c r="A463" s="287" t="s">
        <v>1244</v>
      </c>
      <c r="B463" s="286">
        <v>5.05</v>
      </c>
      <c r="C463" s="286">
        <v>12.7</v>
      </c>
      <c r="D463" s="286">
        <v>0</v>
      </c>
      <c r="E463" s="286">
        <v>0</v>
      </c>
      <c r="F463" s="286">
        <v>0.9</v>
      </c>
      <c r="G463" s="286">
        <v>1.34</v>
      </c>
      <c r="H463" s="286">
        <v>0.21</v>
      </c>
      <c r="I463" s="286">
        <v>1.67</v>
      </c>
      <c r="J463" s="286">
        <v>0</v>
      </c>
      <c r="K463" s="286">
        <v>1.35</v>
      </c>
      <c r="L463" s="286">
        <v>5.72</v>
      </c>
      <c r="M463" s="286" t="s">
        <v>65</v>
      </c>
    </row>
    <row r="464" spans="1:13" x14ac:dyDescent="0.25">
      <c r="A464" s="287" t="s">
        <v>1245</v>
      </c>
      <c r="B464" s="286">
        <v>7.15</v>
      </c>
      <c r="C464" s="286">
        <v>10.48</v>
      </c>
      <c r="D464" s="286">
        <v>0</v>
      </c>
      <c r="E464" s="286">
        <v>0</v>
      </c>
      <c r="F464" s="286">
        <v>1.05</v>
      </c>
      <c r="G464" s="286">
        <v>1.58</v>
      </c>
      <c r="H464" s="286">
        <v>0.61</v>
      </c>
      <c r="I464" s="286">
        <v>1.38</v>
      </c>
      <c r="J464" s="286">
        <v>0</v>
      </c>
      <c r="K464" s="286">
        <v>0.82</v>
      </c>
      <c r="L464" s="286">
        <v>3.47</v>
      </c>
      <c r="M464" s="286" t="s">
        <v>1168</v>
      </c>
    </row>
    <row r="465" spans="1:13" x14ac:dyDescent="0.25">
      <c r="A465" s="287" t="s">
        <v>765</v>
      </c>
      <c r="B465" s="286">
        <v>-1.61</v>
      </c>
      <c r="C465" s="286">
        <v>21.52</v>
      </c>
      <c r="D465" s="286">
        <v>28.52</v>
      </c>
      <c r="E465" s="286">
        <v>18.96</v>
      </c>
      <c r="F465" s="286">
        <v>0.81</v>
      </c>
      <c r="G465" s="286">
        <v>1.1299999999999999</v>
      </c>
      <c r="H465" s="286">
        <v>-1.24</v>
      </c>
      <c r="I465" s="286">
        <v>1.56</v>
      </c>
      <c r="J465" s="286">
        <v>17</v>
      </c>
      <c r="K465" s="286">
        <v>0.74</v>
      </c>
      <c r="L465" s="286">
        <v>15.01</v>
      </c>
      <c r="M465" s="286" t="s">
        <v>55</v>
      </c>
    </row>
    <row r="466" spans="1:13" x14ac:dyDescent="0.25">
      <c r="A466" s="287" t="s">
        <v>1246</v>
      </c>
      <c r="B466" s="286">
        <v>-1.0900000000000001</v>
      </c>
      <c r="C466" s="286">
        <v>14.29</v>
      </c>
      <c r="D466" s="286">
        <v>14.34</v>
      </c>
      <c r="E466" s="286">
        <v>9.09</v>
      </c>
      <c r="F466" s="286">
        <v>0.51</v>
      </c>
      <c r="G466" s="286">
        <v>0.72</v>
      </c>
      <c r="H466" s="286">
        <v>-2.75</v>
      </c>
      <c r="I466" s="286">
        <v>2.41</v>
      </c>
      <c r="J466" s="286">
        <v>424</v>
      </c>
      <c r="K466" s="286">
        <v>0.87</v>
      </c>
      <c r="L466" s="286">
        <v>11.15</v>
      </c>
      <c r="M466" s="286" t="s">
        <v>55</v>
      </c>
    </row>
    <row r="467" spans="1:13" x14ac:dyDescent="0.25">
      <c r="A467" s="287" t="s">
        <v>766</v>
      </c>
      <c r="B467" s="286">
        <v>-3.21</v>
      </c>
      <c r="C467" s="286">
        <v>10.78</v>
      </c>
      <c r="D467" s="286">
        <v>10.68</v>
      </c>
      <c r="E467" s="286">
        <v>0</v>
      </c>
      <c r="F467" s="286">
        <v>0.31</v>
      </c>
      <c r="G467" s="286">
        <v>0.39</v>
      </c>
      <c r="H467" s="286">
        <v>-3.5</v>
      </c>
      <c r="I467" s="286">
        <v>2.39</v>
      </c>
      <c r="J467" s="286">
        <v>372</v>
      </c>
      <c r="K467" s="286">
        <v>0.84</v>
      </c>
      <c r="L467" s="286">
        <v>9.9700000000000006</v>
      </c>
      <c r="M467" s="286" t="s">
        <v>84</v>
      </c>
    </row>
    <row r="468" spans="1:13" x14ac:dyDescent="0.25">
      <c r="A468" s="287" t="s">
        <v>767</v>
      </c>
      <c r="B468" s="286">
        <v>-9.16</v>
      </c>
      <c r="C468" s="286">
        <v>16.07</v>
      </c>
      <c r="D468" s="286">
        <v>16.309999999999999</v>
      </c>
      <c r="E468" s="286">
        <v>0</v>
      </c>
      <c r="F468" s="286">
        <v>0.44</v>
      </c>
      <c r="G468" s="286">
        <v>0.57999999999999996</v>
      </c>
      <c r="H468" s="286">
        <v>-4.33</v>
      </c>
      <c r="I468" s="286">
        <v>2.4</v>
      </c>
      <c r="J468" s="286">
        <v>615.1</v>
      </c>
      <c r="K468" s="286">
        <v>0.99</v>
      </c>
      <c r="L468" s="286">
        <v>16.010000000000002</v>
      </c>
      <c r="M468" s="286" t="s">
        <v>1169</v>
      </c>
    </row>
    <row r="469" spans="1:13" x14ac:dyDescent="0.25">
      <c r="A469" s="287" t="s">
        <v>768</v>
      </c>
      <c r="B469" s="286">
        <v>-3.37</v>
      </c>
      <c r="C469" s="286">
        <v>0</v>
      </c>
      <c r="D469" s="286">
        <v>0</v>
      </c>
      <c r="E469" s="286">
        <v>0</v>
      </c>
      <c r="F469" s="286">
        <v>0</v>
      </c>
      <c r="G469" s="286">
        <v>0</v>
      </c>
      <c r="H469" s="286">
        <v>0</v>
      </c>
      <c r="I469" s="286">
        <v>2.35</v>
      </c>
      <c r="J469" s="286">
        <v>447.9</v>
      </c>
      <c r="K469" s="286">
        <v>0</v>
      </c>
      <c r="L469" s="286">
        <v>0</v>
      </c>
      <c r="M469" s="286" t="s">
        <v>65</v>
      </c>
    </row>
    <row r="470" spans="1:13" x14ac:dyDescent="0.25">
      <c r="A470" s="287" t="s">
        <v>769</v>
      </c>
      <c r="B470" s="286">
        <v>0</v>
      </c>
      <c r="C470" s="286">
        <v>0</v>
      </c>
      <c r="D470" s="286">
        <v>0</v>
      </c>
      <c r="E470" s="286">
        <v>0</v>
      </c>
      <c r="F470" s="286">
        <v>0</v>
      </c>
      <c r="G470" s="286">
        <v>0</v>
      </c>
      <c r="H470" s="286">
        <v>0</v>
      </c>
      <c r="I470" s="286">
        <v>2.35</v>
      </c>
      <c r="J470" s="286">
        <v>338.2</v>
      </c>
      <c r="K470" s="286">
        <v>0</v>
      </c>
      <c r="L470" s="286">
        <v>0</v>
      </c>
      <c r="M470" s="286" t="s">
        <v>65</v>
      </c>
    </row>
    <row r="471" spans="1:13" x14ac:dyDescent="0.25">
      <c r="A471" s="287" t="s">
        <v>1247</v>
      </c>
      <c r="B471" s="286">
        <v>6.49</v>
      </c>
      <c r="C471" s="286">
        <v>16.59</v>
      </c>
      <c r="D471" s="286">
        <v>17.71</v>
      </c>
      <c r="E471" s="286">
        <v>11.65</v>
      </c>
      <c r="F471" s="286">
        <v>0.76</v>
      </c>
      <c r="G471" s="286">
        <v>1.23</v>
      </c>
      <c r="H471" s="286">
        <v>-0.25</v>
      </c>
      <c r="I471" s="286">
        <v>1.81</v>
      </c>
      <c r="J471" s="286">
        <v>79.900000000000006</v>
      </c>
      <c r="K471" s="286">
        <v>0.85</v>
      </c>
      <c r="L471" s="286">
        <v>10.41</v>
      </c>
      <c r="M471" s="286" t="s">
        <v>58</v>
      </c>
    </row>
    <row r="472" spans="1:13" x14ac:dyDescent="0.25">
      <c r="A472" s="287" t="s">
        <v>770</v>
      </c>
      <c r="B472" s="286">
        <v>6.47</v>
      </c>
      <c r="C472" s="286">
        <v>14.02</v>
      </c>
      <c r="D472" s="286">
        <v>13.34</v>
      </c>
      <c r="E472" s="286">
        <v>9.36</v>
      </c>
      <c r="F472" s="286">
        <v>0.73</v>
      </c>
      <c r="G472" s="286">
        <v>1.1599999999999999</v>
      </c>
      <c r="H472" s="286">
        <v>-0.12</v>
      </c>
      <c r="I472" s="286">
        <v>2.08</v>
      </c>
      <c r="J472" s="286">
        <v>69.5</v>
      </c>
      <c r="K472" s="286">
        <v>0.75</v>
      </c>
      <c r="L472" s="286">
        <v>7.9</v>
      </c>
      <c r="M472" s="286" t="s">
        <v>65</v>
      </c>
    </row>
    <row r="473" spans="1:13" x14ac:dyDescent="0.25">
      <c r="A473" s="287" t="s">
        <v>771</v>
      </c>
      <c r="B473" s="286">
        <v>10.130000000000001</v>
      </c>
      <c r="C473" s="286">
        <v>0</v>
      </c>
      <c r="D473" s="286">
        <v>0</v>
      </c>
      <c r="E473" s="286">
        <v>0</v>
      </c>
      <c r="F473" s="286">
        <v>0</v>
      </c>
      <c r="G473" s="286">
        <v>0</v>
      </c>
      <c r="H473" s="286">
        <v>0</v>
      </c>
      <c r="I473" s="286">
        <v>2.0299999999999998</v>
      </c>
      <c r="J473" s="286">
        <v>28.5</v>
      </c>
      <c r="K473" s="286">
        <v>0</v>
      </c>
      <c r="L473" s="286">
        <v>0</v>
      </c>
      <c r="M473" s="286" t="s">
        <v>60</v>
      </c>
    </row>
    <row r="474" spans="1:13" x14ac:dyDescent="0.25">
      <c r="A474" s="287" t="s">
        <v>1248</v>
      </c>
      <c r="B474" s="286">
        <v>6.02</v>
      </c>
      <c r="C474" s="286">
        <v>8.77</v>
      </c>
      <c r="D474" s="286">
        <v>8.9499999999999993</v>
      </c>
      <c r="E474" s="286">
        <v>7</v>
      </c>
      <c r="F474" s="286">
        <v>0.55000000000000004</v>
      </c>
      <c r="G474" s="286">
        <v>1.06</v>
      </c>
      <c r="H474" s="286">
        <v>-1.21</v>
      </c>
      <c r="I474" s="286">
        <v>2.15</v>
      </c>
      <c r="J474" s="286">
        <v>0</v>
      </c>
      <c r="K474" s="286">
        <v>0.88</v>
      </c>
      <c r="L474" s="286">
        <v>3.66</v>
      </c>
      <c r="M474" s="286" t="s">
        <v>89</v>
      </c>
    </row>
    <row r="475" spans="1:13" x14ac:dyDescent="0.25">
      <c r="A475" s="287" t="s">
        <v>772</v>
      </c>
      <c r="B475" s="286">
        <v>9.27</v>
      </c>
      <c r="C475" s="286">
        <v>22.13</v>
      </c>
      <c r="D475" s="286">
        <v>21.31</v>
      </c>
      <c r="E475" s="286">
        <v>14.36</v>
      </c>
      <c r="F475" s="286">
        <v>0.85</v>
      </c>
      <c r="G475" s="286">
        <v>1.24</v>
      </c>
      <c r="H475" s="286">
        <v>1.32</v>
      </c>
      <c r="I475" s="286">
        <v>2.19</v>
      </c>
      <c r="J475" s="286">
        <v>25.7</v>
      </c>
      <c r="K475" s="286">
        <v>0.81</v>
      </c>
      <c r="L475" s="286">
        <v>15.23</v>
      </c>
      <c r="M475" s="286" t="s">
        <v>89</v>
      </c>
    </row>
    <row r="476" spans="1:13" x14ac:dyDescent="0.25">
      <c r="A476" s="287" t="s">
        <v>773</v>
      </c>
      <c r="B476" s="286">
        <v>0.57999999999999996</v>
      </c>
      <c r="C476" s="286">
        <v>20.41</v>
      </c>
      <c r="D476" s="286">
        <v>21.96</v>
      </c>
      <c r="E476" s="286">
        <v>14.34</v>
      </c>
      <c r="F476" s="286">
        <v>0.8</v>
      </c>
      <c r="G476" s="286">
        <v>1.19</v>
      </c>
      <c r="H476" s="286">
        <v>0.51</v>
      </c>
      <c r="I476" s="286">
        <v>2.29</v>
      </c>
      <c r="J476" s="286">
        <v>60</v>
      </c>
      <c r="K476" s="286">
        <v>0.91</v>
      </c>
      <c r="L476" s="286">
        <v>13.68</v>
      </c>
      <c r="M476" s="286" t="s">
        <v>55</v>
      </c>
    </row>
    <row r="477" spans="1:13" x14ac:dyDescent="0.25">
      <c r="A477" s="287" t="s">
        <v>774</v>
      </c>
      <c r="B477" s="286">
        <v>7.83</v>
      </c>
      <c r="C477" s="286">
        <v>0</v>
      </c>
      <c r="D477" s="286">
        <v>0</v>
      </c>
      <c r="E477" s="286">
        <v>0</v>
      </c>
      <c r="F477" s="286">
        <v>0</v>
      </c>
      <c r="G477" s="286">
        <v>0</v>
      </c>
      <c r="H477" s="286">
        <v>0</v>
      </c>
      <c r="I477" s="286">
        <v>2.0299999999999998</v>
      </c>
      <c r="J477" s="286">
        <v>32.5</v>
      </c>
      <c r="K477" s="286">
        <v>0</v>
      </c>
      <c r="L477" s="286">
        <v>0</v>
      </c>
      <c r="M477" s="286" t="s">
        <v>55</v>
      </c>
    </row>
    <row r="478" spans="1:13" x14ac:dyDescent="0.25">
      <c r="A478" s="287" t="s">
        <v>775</v>
      </c>
      <c r="B478" s="286">
        <v>2.72</v>
      </c>
      <c r="C478" s="286">
        <v>19.45</v>
      </c>
      <c r="D478" s="286">
        <v>20.9</v>
      </c>
      <c r="E478" s="286">
        <v>13.34</v>
      </c>
      <c r="F478" s="286">
        <v>0.7</v>
      </c>
      <c r="G478" s="286">
        <v>1.19</v>
      </c>
      <c r="H478" s="286">
        <v>-0.8</v>
      </c>
      <c r="I478" s="286">
        <v>2.27</v>
      </c>
      <c r="J478" s="286">
        <v>75.5</v>
      </c>
      <c r="K478" s="286">
        <v>0.87</v>
      </c>
      <c r="L478" s="286">
        <v>13.22</v>
      </c>
      <c r="M478" s="286" t="s">
        <v>55</v>
      </c>
    </row>
    <row r="479" spans="1:13" x14ac:dyDescent="0.25">
      <c r="A479" s="287" t="s">
        <v>776</v>
      </c>
      <c r="B479" s="286">
        <v>3.87</v>
      </c>
      <c r="C479" s="286">
        <v>21.1</v>
      </c>
      <c r="D479" s="286">
        <v>23.28</v>
      </c>
      <c r="E479" s="286">
        <v>14.53</v>
      </c>
      <c r="F479" s="286">
        <v>0.75</v>
      </c>
      <c r="G479" s="286">
        <v>1.1000000000000001</v>
      </c>
      <c r="H479" s="286">
        <v>0.21</v>
      </c>
      <c r="I479" s="286">
        <v>1.82</v>
      </c>
      <c r="J479" s="286">
        <v>40.299999999999997</v>
      </c>
      <c r="K479" s="286">
        <v>1</v>
      </c>
      <c r="L479" s="286">
        <v>14.95</v>
      </c>
      <c r="M479" s="286" t="s">
        <v>71</v>
      </c>
    </row>
    <row r="480" spans="1:13" x14ac:dyDescent="0.25">
      <c r="A480" s="287" t="s">
        <v>777</v>
      </c>
      <c r="B480" s="286">
        <v>4.3099999999999996</v>
      </c>
      <c r="C480" s="286">
        <v>17.41</v>
      </c>
      <c r="D480" s="286">
        <v>18.47</v>
      </c>
      <c r="E480" s="286">
        <v>12.02</v>
      </c>
      <c r="F480" s="286">
        <v>0.64</v>
      </c>
      <c r="G480" s="286">
        <v>1.07</v>
      </c>
      <c r="H480" s="286">
        <v>-1.27</v>
      </c>
      <c r="I480" s="286">
        <v>1.91</v>
      </c>
      <c r="J480" s="286">
        <v>33.6</v>
      </c>
      <c r="K480" s="286">
        <v>0.9</v>
      </c>
      <c r="L480" s="286">
        <v>12.61</v>
      </c>
      <c r="M480" s="286" t="s">
        <v>58</v>
      </c>
    </row>
    <row r="481" spans="1:13" x14ac:dyDescent="0.25">
      <c r="A481" s="287" t="s">
        <v>778</v>
      </c>
      <c r="B481" s="286">
        <v>9.0299999999999994</v>
      </c>
      <c r="C481" s="286">
        <v>30.17</v>
      </c>
      <c r="D481" s="286">
        <v>28.62</v>
      </c>
      <c r="E481" s="286">
        <v>15.19</v>
      </c>
      <c r="F481" s="286">
        <v>1.1599999999999999</v>
      </c>
      <c r="G481" s="286">
        <v>1.59</v>
      </c>
      <c r="H481" s="286">
        <v>2.02</v>
      </c>
      <c r="I481" s="286">
        <v>1.75</v>
      </c>
      <c r="J481" s="286">
        <v>43</v>
      </c>
      <c r="K481" s="286">
        <v>0.94</v>
      </c>
      <c r="L481" s="286">
        <v>16.399999999999999</v>
      </c>
      <c r="M481" s="286" t="s">
        <v>84</v>
      </c>
    </row>
    <row r="482" spans="1:13" x14ac:dyDescent="0.25">
      <c r="A482" s="287" t="s">
        <v>779</v>
      </c>
      <c r="B482" s="286">
        <v>11.54</v>
      </c>
      <c r="C482" s="286">
        <v>0</v>
      </c>
      <c r="D482" s="286">
        <v>0</v>
      </c>
      <c r="E482" s="286">
        <v>0</v>
      </c>
      <c r="F482" s="286">
        <v>0</v>
      </c>
      <c r="G482" s="286">
        <v>0</v>
      </c>
      <c r="H482" s="286">
        <v>0</v>
      </c>
      <c r="I482" s="286">
        <v>1.86</v>
      </c>
      <c r="J482" s="286">
        <v>48.4</v>
      </c>
      <c r="K482" s="286">
        <v>0</v>
      </c>
      <c r="L482" s="286">
        <v>0</v>
      </c>
      <c r="M482" s="286" t="s">
        <v>58</v>
      </c>
    </row>
    <row r="483" spans="1:13" x14ac:dyDescent="0.25">
      <c r="A483" s="287" t="s">
        <v>780</v>
      </c>
      <c r="B483" s="286">
        <v>5.26</v>
      </c>
      <c r="C483" s="286">
        <v>21.89</v>
      </c>
      <c r="D483" s="286">
        <v>24.05</v>
      </c>
      <c r="E483" s="286">
        <v>14.2</v>
      </c>
      <c r="F483" s="286">
        <v>0.84</v>
      </c>
      <c r="G483" s="286">
        <v>1.28</v>
      </c>
      <c r="H483" s="286">
        <v>-0.97</v>
      </c>
      <c r="I483" s="286">
        <v>2</v>
      </c>
      <c r="J483" s="286">
        <v>54.7</v>
      </c>
      <c r="K483" s="286">
        <v>0.9</v>
      </c>
      <c r="L483" s="286">
        <v>14.39</v>
      </c>
      <c r="M483" s="286" t="s">
        <v>103</v>
      </c>
    </row>
    <row r="484" spans="1:13" x14ac:dyDescent="0.25">
      <c r="A484" s="287" t="s">
        <v>1249</v>
      </c>
      <c r="B484" s="286">
        <v>0</v>
      </c>
      <c r="C484" s="286">
        <v>0</v>
      </c>
      <c r="D484" s="286">
        <v>0</v>
      </c>
      <c r="E484" s="286">
        <v>0</v>
      </c>
      <c r="F484" s="286">
        <v>0</v>
      </c>
      <c r="G484" s="286">
        <v>0</v>
      </c>
      <c r="H484" s="286">
        <v>0</v>
      </c>
      <c r="I484" s="286">
        <v>0</v>
      </c>
      <c r="J484" s="286">
        <v>0</v>
      </c>
      <c r="K484" s="286">
        <v>0</v>
      </c>
      <c r="L484" s="286">
        <v>0</v>
      </c>
      <c r="M484" s="286" t="s">
        <v>58</v>
      </c>
    </row>
    <row r="485" spans="1:13" x14ac:dyDescent="0.25">
      <c r="A485" s="287" t="s">
        <v>781</v>
      </c>
      <c r="B485" s="286">
        <v>2.1</v>
      </c>
      <c r="C485" s="286">
        <v>21.51</v>
      </c>
      <c r="D485" s="286">
        <v>22.34</v>
      </c>
      <c r="E485" s="286">
        <v>11.47</v>
      </c>
      <c r="F485" s="286">
        <v>0.73</v>
      </c>
      <c r="G485" s="286">
        <v>1.25</v>
      </c>
      <c r="H485" s="286">
        <v>0.16</v>
      </c>
      <c r="I485" s="286">
        <v>1.08</v>
      </c>
      <c r="J485" s="286">
        <v>27.6</v>
      </c>
      <c r="K485" s="286">
        <v>1.1200000000000001</v>
      </c>
      <c r="L485" s="286">
        <v>15.9</v>
      </c>
      <c r="M485" s="286" t="s">
        <v>1169</v>
      </c>
    </row>
    <row r="486" spans="1:13" x14ac:dyDescent="0.25">
      <c r="A486" s="287" t="s">
        <v>782</v>
      </c>
      <c r="B486" s="286">
        <v>17.11</v>
      </c>
      <c r="C486" s="286">
        <v>24.13</v>
      </c>
      <c r="D486" s="286">
        <v>26.94</v>
      </c>
      <c r="E486" s="286">
        <v>0</v>
      </c>
      <c r="F486" s="286">
        <v>0.96</v>
      </c>
      <c r="G486" s="286">
        <v>1.63</v>
      </c>
      <c r="H486" s="286">
        <v>2.87</v>
      </c>
      <c r="I486" s="286">
        <v>1.89</v>
      </c>
      <c r="J486" s="286">
        <v>77.8</v>
      </c>
      <c r="K486" s="286">
        <v>0.87</v>
      </c>
      <c r="L486" s="286">
        <v>13.5</v>
      </c>
      <c r="M486" s="286" t="s">
        <v>55</v>
      </c>
    </row>
    <row r="487" spans="1:13" x14ac:dyDescent="0.25">
      <c r="A487" s="287" t="s">
        <v>783</v>
      </c>
      <c r="B487" s="286">
        <v>4.72</v>
      </c>
      <c r="C487" s="286">
        <v>26.34</v>
      </c>
      <c r="D487" s="286">
        <v>32.020000000000003</v>
      </c>
      <c r="E487" s="286">
        <v>14.75</v>
      </c>
      <c r="F487" s="286">
        <v>1.01</v>
      </c>
      <c r="G487" s="286">
        <v>1.39</v>
      </c>
      <c r="H487" s="286">
        <v>1.7</v>
      </c>
      <c r="I487" s="286">
        <v>1.94</v>
      </c>
      <c r="J487" s="286">
        <v>66</v>
      </c>
      <c r="K487" s="286">
        <v>0.8</v>
      </c>
      <c r="L487" s="286">
        <v>16.11</v>
      </c>
      <c r="M487" s="286" t="s">
        <v>103</v>
      </c>
    </row>
    <row r="488" spans="1:13" x14ac:dyDescent="0.25">
      <c r="A488" s="287" t="s">
        <v>784</v>
      </c>
      <c r="B488" s="286">
        <v>4.49</v>
      </c>
      <c r="C488" s="286">
        <v>13.67</v>
      </c>
      <c r="D488" s="286">
        <v>13.99</v>
      </c>
      <c r="E488" s="286">
        <v>0</v>
      </c>
      <c r="F488" s="286">
        <v>0.75</v>
      </c>
      <c r="G488" s="286">
        <v>1.2</v>
      </c>
      <c r="H488" s="286">
        <v>-0.03</v>
      </c>
      <c r="I488" s="286">
        <v>1.69</v>
      </c>
      <c r="J488" s="286">
        <v>29.31</v>
      </c>
      <c r="K488" s="286">
        <v>0.67</v>
      </c>
      <c r="L488" s="286">
        <v>7.07</v>
      </c>
      <c r="M488" s="286" t="s">
        <v>71</v>
      </c>
    </row>
    <row r="489" spans="1:13" x14ac:dyDescent="0.25">
      <c r="A489" s="287" t="s">
        <v>788</v>
      </c>
      <c r="B489" s="286">
        <v>-0.61</v>
      </c>
      <c r="C489" s="286">
        <v>25.49</v>
      </c>
      <c r="D489" s="286">
        <v>0</v>
      </c>
      <c r="E489" s="286">
        <v>0</v>
      </c>
      <c r="F489" s="286">
        <v>1.03</v>
      </c>
      <c r="G489" s="286">
        <v>1.58</v>
      </c>
      <c r="H489" s="286">
        <v>3.75</v>
      </c>
      <c r="I489" s="286">
        <v>1.91</v>
      </c>
      <c r="J489" s="286">
        <v>56.39</v>
      </c>
      <c r="K489" s="286">
        <v>0.96</v>
      </c>
      <c r="L489" s="286">
        <v>14.41</v>
      </c>
      <c r="M489" s="286" t="s">
        <v>1166</v>
      </c>
    </row>
    <row r="490" spans="1:13" x14ac:dyDescent="0.25">
      <c r="A490" s="287" t="s">
        <v>789</v>
      </c>
      <c r="B490" s="286">
        <v>-0.26</v>
      </c>
      <c r="C490" s="286">
        <v>22.23</v>
      </c>
      <c r="D490" s="286">
        <v>0</v>
      </c>
      <c r="E490" s="286">
        <v>0</v>
      </c>
      <c r="F490" s="286">
        <v>0.77</v>
      </c>
      <c r="G490" s="286">
        <v>1.18</v>
      </c>
      <c r="H490" s="286">
        <v>0.03</v>
      </c>
      <c r="I490" s="286">
        <v>2.1800000000000002</v>
      </c>
      <c r="J490" s="286">
        <v>26.46</v>
      </c>
      <c r="K490" s="286">
        <v>1.01</v>
      </c>
      <c r="L490" s="286">
        <v>15.25</v>
      </c>
      <c r="M490" s="286" t="s">
        <v>62</v>
      </c>
    </row>
    <row r="491" spans="1:13" x14ac:dyDescent="0.25">
      <c r="A491" s="287" t="s">
        <v>790</v>
      </c>
      <c r="B491" s="286">
        <v>-3.32</v>
      </c>
      <c r="C491" s="286">
        <v>15.26</v>
      </c>
      <c r="D491" s="286">
        <v>19.95</v>
      </c>
      <c r="E491" s="286">
        <v>11.51</v>
      </c>
      <c r="F491" s="286">
        <v>0.45</v>
      </c>
      <c r="G491" s="286">
        <v>0.6</v>
      </c>
      <c r="H491" s="286">
        <v>-4.0199999999999996</v>
      </c>
      <c r="I491" s="286">
        <v>1.9</v>
      </c>
      <c r="J491" s="286">
        <v>28.68</v>
      </c>
      <c r="K491" s="286">
        <v>0.9</v>
      </c>
      <c r="L491" s="286">
        <v>14.08</v>
      </c>
      <c r="M491" s="286" t="s">
        <v>55</v>
      </c>
    </row>
    <row r="492" spans="1:13" x14ac:dyDescent="0.25">
      <c r="A492" s="287" t="s">
        <v>791</v>
      </c>
      <c r="B492" s="286">
        <v>9.9700000000000006</v>
      </c>
      <c r="C492" s="286">
        <v>20.36</v>
      </c>
      <c r="D492" s="286">
        <v>19.86</v>
      </c>
      <c r="E492" s="286">
        <v>0</v>
      </c>
      <c r="F492" s="286">
        <v>0.85</v>
      </c>
      <c r="G492" s="286">
        <v>1.5</v>
      </c>
      <c r="H492" s="286">
        <v>1.19</v>
      </c>
      <c r="I492" s="286">
        <v>1.9</v>
      </c>
      <c r="J492" s="286">
        <v>37.840000000000003</v>
      </c>
      <c r="K492" s="286">
        <v>0.8</v>
      </c>
      <c r="L492" s="286">
        <v>12.22</v>
      </c>
      <c r="M492" s="286" t="s">
        <v>55</v>
      </c>
    </row>
    <row r="493" spans="1:13" x14ac:dyDescent="0.25">
      <c r="A493" s="287" t="s">
        <v>792</v>
      </c>
      <c r="B493" s="286">
        <v>1.9</v>
      </c>
      <c r="C493" s="286">
        <v>20.27</v>
      </c>
      <c r="D493" s="286">
        <v>22.5</v>
      </c>
      <c r="E493" s="286">
        <v>0</v>
      </c>
      <c r="F493" s="286">
        <v>0.73</v>
      </c>
      <c r="G493" s="286">
        <v>1.1100000000000001</v>
      </c>
      <c r="H493" s="286">
        <v>-0.4</v>
      </c>
      <c r="I493" s="286">
        <v>2.04</v>
      </c>
      <c r="J493" s="286">
        <v>40.42</v>
      </c>
      <c r="K493" s="286">
        <v>0.93</v>
      </c>
      <c r="L493" s="286">
        <v>14.17</v>
      </c>
      <c r="M493" s="286" t="s">
        <v>1166</v>
      </c>
    </row>
    <row r="494" spans="1:13" x14ac:dyDescent="0.25">
      <c r="A494" s="287" t="s">
        <v>793</v>
      </c>
      <c r="B494" s="286">
        <v>-4.91</v>
      </c>
      <c r="C494" s="286">
        <v>0</v>
      </c>
      <c r="D494" s="286">
        <v>0</v>
      </c>
      <c r="E494" s="286">
        <v>0</v>
      </c>
      <c r="F494" s="286">
        <v>0</v>
      </c>
      <c r="G494" s="286">
        <v>0</v>
      </c>
      <c r="H494" s="286">
        <v>0</v>
      </c>
      <c r="I494" s="286">
        <v>2.36</v>
      </c>
      <c r="J494" s="286">
        <v>6.42</v>
      </c>
      <c r="K494" s="286">
        <v>0</v>
      </c>
      <c r="L494" s="286">
        <v>0</v>
      </c>
      <c r="M494" s="286" t="s">
        <v>1169</v>
      </c>
    </row>
    <row r="495" spans="1:13" x14ac:dyDescent="0.25">
      <c r="A495" s="287" t="s">
        <v>1250</v>
      </c>
      <c r="B495" s="286">
        <v>3.59</v>
      </c>
      <c r="C495" s="286">
        <v>15.7</v>
      </c>
      <c r="D495" s="286">
        <v>17.5</v>
      </c>
      <c r="E495" s="286">
        <v>10.01</v>
      </c>
      <c r="F495" s="286">
        <v>0.71</v>
      </c>
      <c r="G495" s="286">
        <v>1.1000000000000001</v>
      </c>
      <c r="H495" s="286">
        <v>-0.75</v>
      </c>
      <c r="I495" s="286">
        <v>1.92</v>
      </c>
      <c r="J495" s="286">
        <v>27.99</v>
      </c>
      <c r="K495" s="286">
        <v>0.85</v>
      </c>
      <c r="L495" s="286">
        <v>10.4</v>
      </c>
      <c r="M495" s="286" t="s">
        <v>62</v>
      </c>
    </row>
    <row r="496" spans="1:13" x14ac:dyDescent="0.25">
      <c r="A496" s="287" t="s">
        <v>794</v>
      </c>
      <c r="B496" s="286">
        <v>6.94</v>
      </c>
      <c r="C496" s="286">
        <v>23.19</v>
      </c>
      <c r="D496" s="286">
        <v>21.79</v>
      </c>
      <c r="E496" s="286">
        <v>0</v>
      </c>
      <c r="F496" s="286">
        <v>0.86</v>
      </c>
      <c r="G496" s="286">
        <v>1.18</v>
      </c>
      <c r="H496" s="286">
        <v>1.52</v>
      </c>
      <c r="I496" s="286">
        <v>1.99</v>
      </c>
      <c r="J496" s="286">
        <v>49.43</v>
      </c>
      <c r="K496" s="286">
        <v>0.84</v>
      </c>
      <c r="L496" s="286">
        <v>15.81</v>
      </c>
      <c r="M496" s="286" t="s">
        <v>55</v>
      </c>
    </row>
    <row r="497" spans="1:13" x14ac:dyDescent="0.25">
      <c r="A497" s="287" t="s">
        <v>795</v>
      </c>
      <c r="B497" s="286">
        <v>0</v>
      </c>
      <c r="C497" s="286">
        <v>0</v>
      </c>
      <c r="D497" s="286">
        <v>0</v>
      </c>
      <c r="E497" s="286">
        <v>0</v>
      </c>
      <c r="F497" s="286">
        <v>0</v>
      </c>
      <c r="G497" s="286">
        <v>0</v>
      </c>
      <c r="H497" s="286">
        <v>0</v>
      </c>
      <c r="I497" s="286">
        <v>2.0299999999999998</v>
      </c>
      <c r="J497" s="286">
        <v>10.08</v>
      </c>
      <c r="K497" s="286">
        <v>0</v>
      </c>
      <c r="L497" s="286">
        <v>0</v>
      </c>
      <c r="M497" s="286" t="s">
        <v>1168</v>
      </c>
    </row>
    <row r="498" spans="1:13" x14ac:dyDescent="0.25">
      <c r="A498" s="287" t="s">
        <v>796</v>
      </c>
      <c r="B498" s="286">
        <v>3.6</v>
      </c>
      <c r="C498" s="286">
        <v>19.73</v>
      </c>
      <c r="D498" s="286">
        <v>21.45</v>
      </c>
      <c r="E498" s="286">
        <v>11.92</v>
      </c>
      <c r="F498" s="286">
        <v>0.74</v>
      </c>
      <c r="G498" s="286">
        <v>1.21</v>
      </c>
      <c r="H498" s="286">
        <v>-0.04</v>
      </c>
      <c r="I498" s="286">
        <v>2.0099999999999998</v>
      </c>
      <c r="J498" s="286">
        <v>40.67</v>
      </c>
      <c r="K498" s="286">
        <v>0.98</v>
      </c>
      <c r="L498" s="286">
        <v>13.6</v>
      </c>
      <c r="M498" s="286" t="s">
        <v>1166</v>
      </c>
    </row>
    <row r="499" spans="1:13" x14ac:dyDescent="0.25">
      <c r="A499" s="287" t="s">
        <v>797</v>
      </c>
      <c r="B499" s="286">
        <v>2.4900000000000002</v>
      </c>
      <c r="C499" s="286">
        <v>21.29</v>
      </c>
      <c r="D499" s="286">
        <v>22.45</v>
      </c>
      <c r="E499" s="286">
        <v>13.63</v>
      </c>
      <c r="F499" s="286">
        <v>0.89</v>
      </c>
      <c r="G499" s="286">
        <v>1.47</v>
      </c>
      <c r="H499" s="286">
        <v>1.96</v>
      </c>
      <c r="I499" s="286">
        <v>1.75</v>
      </c>
      <c r="J499" s="286">
        <v>12.1</v>
      </c>
      <c r="K499" s="286">
        <v>0.89</v>
      </c>
      <c r="L499" s="286">
        <v>13.26</v>
      </c>
      <c r="M499" s="286" t="s">
        <v>62</v>
      </c>
    </row>
    <row r="500" spans="1:13" x14ac:dyDescent="0.25">
      <c r="A500" s="287" t="s">
        <v>798</v>
      </c>
      <c r="B500" s="286">
        <v>-0.49</v>
      </c>
      <c r="C500" s="286">
        <v>26.1</v>
      </c>
      <c r="D500" s="286">
        <v>26.92</v>
      </c>
      <c r="E500" s="286">
        <v>15.57</v>
      </c>
      <c r="F500" s="286">
        <v>0.96</v>
      </c>
      <c r="G500" s="286">
        <v>1.38</v>
      </c>
      <c r="H500" s="286">
        <v>-1.44</v>
      </c>
      <c r="I500" s="286">
        <v>1.85</v>
      </c>
      <c r="J500" s="286">
        <v>31.34</v>
      </c>
      <c r="K500" s="286">
        <v>0.91</v>
      </c>
      <c r="L500" s="286">
        <v>15.64</v>
      </c>
      <c r="M500" s="286" t="s">
        <v>55</v>
      </c>
    </row>
    <row r="501" spans="1:13" x14ac:dyDescent="0.25">
      <c r="A501" s="287" t="s">
        <v>799</v>
      </c>
      <c r="B501" s="286">
        <v>6.78</v>
      </c>
      <c r="C501" s="286">
        <v>17.329999999999998</v>
      </c>
      <c r="D501" s="286">
        <v>18.170000000000002</v>
      </c>
      <c r="E501" s="286">
        <v>0</v>
      </c>
      <c r="F501" s="286">
        <v>0.96</v>
      </c>
      <c r="G501" s="286">
        <v>1.55</v>
      </c>
      <c r="H501" s="286">
        <v>0.55000000000000004</v>
      </c>
      <c r="I501" s="286">
        <v>1.84</v>
      </c>
      <c r="J501" s="286">
        <v>18.739999999999998</v>
      </c>
      <c r="K501" s="286">
        <v>0.86</v>
      </c>
      <c r="L501" s="286">
        <v>8.5399999999999991</v>
      </c>
      <c r="M501" s="286" t="s">
        <v>71</v>
      </c>
    </row>
    <row r="502" spans="1:13" x14ac:dyDescent="0.25">
      <c r="A502" s="287" t="s">
        <v>800</v>
      </c>
      <c r="B502" s="286">
        <v>-0.77</v>
      </c>
      <c r="C502" s="286">
        <v>0</v>
      </c>
      <c r="D502" s="286">
        <v>0</v>
      </c>
      <c r="E502" s="286">
        <v>0</v>
      </c>
      <c r="F502" s="286">
        <v>0</v>
      </c>
      <c r="G502" s="286">
        <v>0</v>
      </c>
      <c r="H502" s="286">
        <v>0</v>
      </c>
      <c r="I502" s="286">
        <v>1.88</v>
      </c>
      <c r="J502" s="286">
        <v>42.93</v>
      </c>
      <c r="K502" s="286">
        <v>0</v>
      </c>
      <c r="L502" s="286">
        <v>0</v>
      </c>
      <c r="M502" s="286" t="s">
        <v>65</v>
      </c>
    </row>
    <row r="503" spans="1:13" x14ac:dyDescent="0.25">
      <c r="A503" s="287" t="s">
        <v>803</v>
      </c>
      <c r="B503" s="286">
        <v>8.0399999999999991</v>
      </c>
      <c r="C503" s="286">
        <v>18.739999999999998</v>
      </c>
      <c r="D503" s="286">
        <v>21.04</v>
      </c>
      <c r="E503" s="286">
        <v>0</v>
      </c>
      <c r="F503" s="286">
        <v>0.69</v>
      </c>
      <c r="G503" s="286">
        <v>1.17</v>
      </c>
      <c r="H503" s="286">
        <v>-0.76</v>
      </c>
      <c r="I503" s="286">
        <v>0.06</v>
      </c>
      <c r="J503" s="286">
        <v>9.76</v>
      </c>
      <c r="K503" s="286">
        <v>0.95</v>
      </c>
      <c r="L503" s="286">
        <v>13.1</v>
      </c>
      <c r="M503" s="286" t="s">
        <v>84</v>
      </c>
    </row>
    <row r="504" spans="1:13" x14ac:dyDescent="0.25">
      <c r="A504" s="287" t="s">
        <v>811</v>
      </c>
      <c r="B504" s="286">
        <v>3.45</v>
      </c>
      <c r="C504" s="286">
        <v>23.1</v>
      </c>
      <c r="D504" s="286">
        <v>24.88</v>
      </c>
      <c r="E504" s="286">
        <v>0</v>
      </c>
      <c r="F504" s="286">
        <v>0.67</v>
      </c>
      <c r="G504" s="286">
        <v>1.04</v>
      </c>
      <c r="H504" s="286">
        <v>4.51</v>
      </c>
      <c r="I504" s="286">
        <v>2.13</v>
      </c>
      <c r="J504" s="286">
        <v>26.55</v>
      </c>
      <c r="K504" s="286">
        <v>0.62</v>
      </c>
      <c r="L504" s="286">
        <v>17.11</v>
      </c>
      <c r="M504" s="286" t="s">
        <v>89</v>
      </c>
    </row>
    <row r="505" spans="1:13" x14ac:dyDescent="0.25">
      <c r="A505" s="287" t="s">
        <v>1251</v>
      </c>
      <c r="B505" s="286">
        <v>6.48</v>
      </c>
      <c r="C505" s="286">
        <v>10.07</v>
      </c>
      <c r="D505" s="286">
        <v>8.48</v>
      </c>
      <c r="E505" s="286">
        <v>7.89</v>
      </c>
      <c r="F505" s="286">
        <v>0.59</v>
      </c>
      <c r="G505" s="286">
        <v>0.84</v>
      </c>
      <c r="H505" s="286">
        <v>-1.1200000000000001</v>
      </c>
      <c r="I505" s="286">
        <v>2.17</v>
      </c>
      <c r="J505" s="286">
        <v>4</v>
      </c>
      <c r="K505" s="286">
        <v>1.03</v>
      </c>
      <c r="L505" s="286">
        <v>4.5</v>
      </c>
      <c r="M505" s="286" t="s">
        <v>89</v>
      </c>
    </row>
    <row r="506" spans="1:13" x14ac:dyDescent="0.25">
      <c r="A506" s="287" t="s">
        <v>1252</v>
      </c>
      <c r="B506" s="286">
        <v>8.25</v>
      </c>
      <c r="C506" s="286">
        <v>19.25</v>
      </c>
      <c r="D506" s="286">
        <v>17.649999999999999</v>
      </c>
      <c r="E506" s="286">
        <v>12.35</v>
      </c>
      <c r="F506" s="286">
        <v>0.84</v>
      </c>
      <c r="G506" s="286">
        <v>1.1299999999999999</v>
      </c>
      <c r="H506" s="286">
        <v>1.03</v>
      </c>
      <c r="I506" s="286">
        <v>2</v>
      </c>
      <c r="J506" s="286">
        <v>41.18</v>
      </c>
      <c r="K506" s="286">
        <v>0.9</v>
      </c>
      <c r="L506" s="286">
        <v>11.59</v>
      </c>
      <c r="M506" s="286" t="s">
        <v>103</v>
      </c>
    </row>
    <row r="507" spans="1:13" x14ac:dyDescent="0.25">
      <c r="A507" s="287" t="s">
        <v>812</v>
      </c>
      <c r="B507" s="286">
        <v>7.2</v>
      </c>
      <c r="C507" s="286">
        <v>21.17</v>
      </c>
      <c r="D507" s="286">
        <v>19.239999999999998</v>
      </c>
      <c r="E507" s="286">
        <v>13.73</v>
      </c>
      <c r="F507" s="286">
        <v>0.81</v>
      </c>
      <c r="G507" s="286">
        <v>1.06</v>
      </c>
      <c r="H507" s="286">
        <v>0.99</v>
      </c>
      <c r="I507" s="286">
        <v>2</v>
      </c>
      <c r="J507" s="286">
        <v>52.69</v>
      </c>
      <c r="K507" s="286">
        <v>0.88</v>
      </c>
      <c r="L507" s="286">
        <v>13.75</v>
      </c>
      <c r="M507" s="286" t="s">
        <v>1168</v>
      </c>
    </row>
    <row r="508" spans="1:13" x14ac:dyDescent="0.25">
      <c r="A508" s="287" t="s">
        <v>813</v>
      </c>
      <c r="B508" s="286">
        <v>3.01</v>
      </c>
      <c r="C508" s="286">
        <v>28.05</v>
      </c>
      <c r="D508" s="286">
        <v>33.19</v>
      </c>
      <c r="E508" s="286">
        <v>0</v>
      </c>
      <c r="F508" s="286">
        <v>1.06</v>
      </c>
      <c r="G508" s="286">
        <v>1.47</v>
      </c>
      <c r="H508" s="286">
        <v>3.11</v>
      </c>
      <c r="I508" s="286">
        <v>1.68</v>
      </c>
      <c r="J508" s="286">
        <v>10.8</v>
      </c>
      <c r="K508" s="286">
        <v>0.78</v>
      </c>
      <c r="L508" s="286">
        <v>16.37</v>
      </c>
      <c r="M508" s="286" t="s">
        <v>89</v>
      </c>
    </row>
    <row r="509" spans="1:13" x14ac:dyDescent="0.25">
      <c r="A509" s="287" t="s">
        <v>814</v>
      </c>
      <c r="B509" s="286">
        <v>4.7699999999999996</v>
      </c>
      <c r="C509" s="286">
        <v>19.850000000000001</v>
      </c>
      <c r="D509" s="286">
        <v>21.15</v>
      </c>
      <c r="E509" s="286">
        <v>11.6</v>
      </c>
      <c r="F509" s="286">
        <v>0.74</v>
      </c>
      <c r="G509" s="286">
        <v>1.1599999999999999</v>
      </c>
      <c r="H509" s="286">
        <v>-0.36</v>
      </c>
      <c r="I509" s="286">
        <v>2.58</v>
      </c>
      <c r="J509" s="286">
        <v>38.68</v>
      </c>
      <c r="K509" s="286">
        <v>0.9</v>
      </c>
      <c r="L509" s="286">
        <v>13.53</v>
      </c>
      <c r="M509" s="286" t="s">
        <v>1166</v>
      </c>
    </row>
    <row r="510" spans="1:13" x14ac:dyDescent="0.25">
      <c r="A510" s="287" t="s">
        <v>815</v>
      </c>
      <c r="B510" s="286">
        <v>1.63</v>
      </c>
      <c r="C510" s="286">
        <v>19.52</v>
      </c>
      <c r="D510" s="286">
        <v>20.04</v>
      </c>
      <c r="E510" s="286">
        <v>12.14</v>
      </c>
      <c r="F510" s="286">
        <v>0.66</v>
      </c>
      <c r="G510" s="286">
        <v>0.94</v>
      </c>
      <c r="H510" s="286">
        <v>-0.94</v>
      </c>
      <c r="I510" s="286">
        <v>2.39</v>
      </c>
      <c r="J510" s="286">
        <v>114</v>
      </c>
      <c r="K510" s="286">
        <v>0.93</v>
      </c>
      <c r="L510" s="286">
        <v>14.82</v>
      </c>
      <c r="M510" s="286" t="s">
        <v>58</v>
      </c>
    </row>
    <row r="511" spans="1:13" x14ac:dyDescent="0.25">
      <c r="A511" s="287" t="s">
        <v>816</v>
      </c>
      <c r="B511" s="286">
        <v>0.12</v>
      </c>
      <c r="C511" s="286">
        <v>20.22</v>
      </c>
      <c r="D511" s="286">
        <v>19.440000000000001</v>
      </c>
      <c r="E511" s="286">
        <v>9.1999999999999993</v>
      </c>
      <c r="F511" s="286">
        <v>0.63</v>
      </c>
      <c r="G511" s="286">
        <v>0.95</v>
      </c>
      <c r="H511" s="286">
        <v>-1.88</v>
      </c>
      <c r="I511" s="286">
        <v>2.64</v>
      </c>
      <c r="J511" s="286">
        <v>72</v>
      </c>
      <c r="K511" s="286">
        <v>1.02</v>
      </c>
      <c r="L511" s="286">
        <v>15.7</v>
      </c>
      <c r="M511" s="286" t="s">
        <v>58</v>
      </c>
    </row>
    <row r="512" spans="1:13" x14ac:dyDescent="0.25">
      <c r="A512" s="287" t="s">
        <v>817</v>
      </c>
      <c r="B512" s="286">
        <v>3.53</v>
      </c>
      <c r="C512" s="286">
        <v>20.59</v>
      </c>
      <c r="D512" s="286">
        <v>19.27</v>
      </c>
      <c r="E512" s="286">
        <v>9.5500000000000007</v>
      </c>
      <c r="F512" s="286">
        <v>0.63</v>
      </c>
      <c r="G512" s="286">
        <v>0.99</v>
      </c>
      <c r="H512" s="286">
        <v>-1</v>
      </c>
      <c r="I512" s="286">
        <v>2.59</v>
      </c>
      <c r="J512" s="286">
        <v>87</v>
      </c>
      <c r="K512" s="286">
        <v>1.1000000000000001</v>
      </c>
      <c r="L512" s="286">
        <v>16.489999999999998</v>
      </c>
      <c r="M512" s="286" t="s">
        <v>62</v>
      </c>
    </row>
    <row r="513" spans="1:13" x14ac:dyDescent="0.25">
      <c r="A513" s="287" t="s">
        <v>818</v>
      </c>
      <c r="B513" s="286">
        <v>-1.04</v>
      </c>
      <c r="C513" s="286">
        <v>24.25</v>
      </c>
      <c r="D513" s="286">
        <v>23.9</v>
      </c>
      <c r="E513" s="286">
        <v>14.88</v>
      </c>
      <c r="F513" s="286">
        <v>0.82</v>
      </c>
      <c r="G513" s="286">
        <v>1.44</v>
      </c>
      <c r="H513" s="286">
        <v>-3.52</v>
      </c>
      <c r="I513" s="286">
        <v>2.56</v>
      </c>
      <c r="J513" s="286">
        <v>81</v>
      </c>
      <c r="K513" s="286">
        <v>0.99</v>
      </c>
      <c r="L513" s="286">
        <v>17.48</v>
      </c>
      <c r="M513" s="286" t="s">
        <v>55</v>
      </c>
    </row>
    <row r="514" spans="1:13" x14ac:dyDescent="0.25">
      <c r="A514" s="287" t="s">
        <v>820</v>
      </c>
      <c r="B514" s="286">
        <v>2.02</v>
      </c>
      <c r="C514" s="286">
        <v>20.84</v>
      </c>
      <c r="D514" s="286">
        <v>27.19</v>
      </c>
      <c r="E514" s="286">
        <v>15.1</v>
      </c>
      <c r="F514" s="286">
        <v>0.84</v>
      </c>
      <c r="G514" s="286">
        <v>1.33</v>
      </c>
      <c r="H514" s="286">
        <v>2.11</v>
      </c>
      <c r="I514" s="286">
        <v>2.09</v>
      </c>
      <c r="J514" s="286">
        <v>13.86</v>
      </c>
      <c r="K514" s="286">
        <v>0.79</v>
      </c>
      <c r="L514" s="286">
        <v>13.28</v>
      </c>
      <c r="M514" s="286" t="s">
        <v>65</v>
      </c>
    </row>
    <row r="515" spans="1:13" x14ac:dyDescent="0.25">
      <c r="A515" s="287" t="s">
        <v>821</v>
      </c>
      <c r="B515" s="286">
        <v>5.29</v>
      </c>
      <c r="C515" s="286">
        <v>0</v>
      </c>
      <c r="D515" s="286">
        <v>0</v>
      </c>
      <c r="E515" s="286">
        <v>0</v>
      </c>
      <c r="F515" s="286">
        <v>0</v>
      </c>
      <c r="G515" s="286">
        <v>0</v>
      </c>
      <c r="H515" s="286">
        <v>0</v>
      </c>
      <c r="I515" s="286">
        <v>2.12</v>
      </c>
      <c r="J515" s="286">
        <v>259</v>
      </c>
      <c r="K515" s="286">
        <v>0</v>
      </c>
      <c r="L515" s="286">
        <v>0</v>
      </c>
      <c r="M515" s="286" t="s">
        <v>71</v>
      </c>
    </row>
    <row r="516" spans="1:13" x14ac:dyDescent="0.25">
      <c r="A516" s="287" t="s">
        <v>1253</v>
      </c>
      <c r="B516" s="286">
        <v>0</v>
      </c>
      <c r="C516" s="286">
        <v>0</v>
      </c>
      <c r="D516" s="286">
        <v>0</v>
      </c>
      <c r="E516" s="286">
        <v>0</v>
      </c>
      <c r="F516" s="286">
        <v>0</v>
      </c>
      <c r="G516" s="286">
        <v>0</v>
      </c>
      <c r="H516" s="286">
        <v>0</v>
      </c>
      <c r="I516" s="286">
        <v>0</v>
      </c>
      <c r="J516" s="286">
        <v>0</v>
      </c>
      <c r="K516" s="286">
        <v>0</v>
      </c>
      <c r="L516" s="286">
        <v>0</v>
      </c>
      <c r="M516" s="286" t="s">
        <v>65</v>
      </c>
    </row>
    <row r="517" spans="1:13" x14ac:dyDescent="0.25">
      <c r="A517" s="287" t="s">
        <v>822</v>
      </c>
      <c r="B517" s="286">
        <v>0</v>
      </c>
      <c r="C517" s="286">
        <v>0</v>
      </c>
      <c r="D517" s="286">
        <v>0</v>
      </c>
      <c r="E517" s="286">
        <v>0</v>
      </c>
      <c r="F517" s="286">
        <v>0</v>
      </c>
      <c r="G517" s="286">
        <v>0</v>
      </c>
      <c r="H517" s="286">
        <v>0</v>
      </c>
      <c r="I517" s="286">
        <v>2.17</v>
      </c>
      <c r="J517" s="286">
        <v>0</v>
      </c>
      <c r="K517" s="286">
        <v>0</v>
      </c>
      <c r="L517" s="286">
        <v>0</v>
      </c>
      <c r="M517" s="286" t="s">
        <v>58</v>
      </c>
    </row>
    <row r="518" spans="1:13" x14ac:dyDescent="0.25">
      <c r="A518" s="287" t="s">
        <v>823</v>
      </c>
      <c r="B518" s="286">
        <v>0</v>
      </c>
      <c r="C518" s="286">
        <v>0</v>
      </c>
      <c r="D518" s="286">
        <v>0</v>
      </c>
      <c r="E518" s="286">
        <v>0</v>
      </c>
      <c r="F518" s="286">
        <v>0</v>
      </c>
      <c r="G518" s="286">
        <v>0</v>
      </c>
      <c r="H518" s="286">
        <v>0</v>
      </c>
      <c r="I518" s="286">
        <v>1.52</v>
      </c>
      <c r="J518" s="286">
        <v>0</v>
      </c>
      <c r="K518" s="286">
        <v>0</v>
      </c>
      <c r="L518" s="286">
        <v>0</v>
      </c>
      <c r="M518" s="286" t="s">
        <v>84</v>
      </c>
    </row>
    <row r="519" spans="1:13" x14ac:dyDescent="0.25">
      <c r="A519" s="287" t="s">
        <v>824</v>
      </c>
      <c r="B519" s="286">
        <v>0</v>
      </c>
      <c r="C519" s="286">
        <v>0</v>
      </c>
      <c r="D519" s="286">
        <v>0</v>
      </c>
      <c r="E519" s="286">
        <v>0</v>
      </c>
      <c r="F519" s="286">
        <v>0</v>
      </c>
      <c r="G519" s="286">
        <v>0</v>
      </c>
      <c r="H519" s="286">
        <v>0</v>
      </c>
      <c r="I519" s="286">
        <v>0</v>
      </c>
      <c r="J519" s="286">
        <v>0</v>
      </c>
      <c r="K519" s="286">
        <v>0</v>
      </c>
      <c r="L519" s="286">
        <v>0</v>
      </c>
      <c r="M519" s="286" t="s">
        <v>58</v>
      </c>
    </row>
    <row r="520" spans="1:13" x14ac:dyDescent="0.25">
      <c r="A520" s="287" t="s">
        <v>825</v>
      </c>
      <c r="B520" s="286">
        <v>0</v>
      </c>
      <c r="C520" s="286">
        <v>0</v>
      </c>
      <c r="D520" s="286">
        <v>0</v>
      </c>
      <c r="E520" s="286">
        <v>0</v>
      </c>
      <c r="F520" s="286">
        <v>0</v>
      </c>
      <c r="G520" s="286">
        <v>0</v>
      </c>
      <c r="H520" s="286">
        <v>0</v>
      </c>
      <c r="I520" s="286">
        <v>2.44</v>
      </c>
      <c r="J520" s="286">
        <v>0</v>
      </c>
      <c r="K520" s="286">
        <v>0</v>
      </c>
      <c r="L520" s="286">
        <v>0</v>
      </c>
      <c r="M520" s="286" t="s">
        <v>60</v>
      </c>
    </row>
    <row r="521" spans="1:13" x14ac:dyDescent="0.25">
      <c r="A521" s="287" t="s">
        <v>1254</v>
      </c>
      <c r="B521" s="286">
        <v>6.57</v>
      </c>
      <c r="C521" s="286">
        <v>16.84</v>
      </c>
      <c r="D521" s="286">
        <v>0</v>
      </c>
      <c r="E521" s="286">
        <v>0</v>
      </c>
      <c r="F521" s="286">
        <v>0.74</v>
      </c>
      <c r="G521" s="286">
        <v>1.1399999999999999</v>
      </c>
      <c r="H521" s="286">
        <v>-0.46</v>
      </c>
      <c r="I521" s="286">
        <v>2.37</v>
      </c>
      <c r="J521" s="286">
        <v>65</v>
      </c>
      <c r="K521" s="286">
        <v>0.88</v>
      </c>
      <c r="L521" s="286">
        <v>10.76</v>
      </c>
      <c r="M521" s="286" t="s">
        <v>58</v>
      </c>
    </row>
    <row r="522" spans="1:13" x14ac:dyDescent="0.25">
      <c r="A522" s="287" t="s">
        <v>826</v>
      </c>
      <c r="B522" s="286">
        <v>4.87</v>
      </c>
      <c r="C522" s="286">
        <v>12.31</v>
      </c>
      <c r="D522" s="286">
        <v>12.57</v>
      </c>
      <c r="E522" s="286">
        <v>0</v>
      </c>
      <c r="F522" s="286">
        <v>0.61</v>
      </c>
      <c r="G522" s="286">
        <v>0.91</v>
      </c>
      <c r="H522" s="286">
        <v>-0.97</v>
      </c>
      <c r="I522" s="286">
        <v>2.15</v>
      </c>
      <c r="J522" s="286">
        <v>451</v>
      </c>
      <c r="K522" s="286">
        <v>0.67</v>
      </c>
      <c r="L522" s="286">
        <v>7.08</v>
      </c>
      <c r="M522" s="286" t="s">
        <v>103</v>
      </c>
    </row>
    <row r="523" spans="1:13" x14ac:dyDescent="0.25">
      <c r="A523" s="287" t="s">
        <v>827</v>
      </c>
      <c r="B523" s="286">
        <v>-0.62</v>
      </c>
      <c r="C523" s="286">
        <v>0</v>
      </c>
      <c r="D523" s="286">
        <v>0</v>
      </c>
      <c r="E523" s="286">
        <v>0</v>
      </c>
      <c r="F523" s="286">
        <v>0</v>
      </c>
      <c r="G523" s="286">
        <v>0</v>
      </c>
      <c r="H523" s="286">
        <v>0</v>
      </c>
      <c r="I523" s="286">
        <v>2.36</v>
      </c>
      <c r="J523" s="286">
        <v>194</v>
      </c>
      <c r="K523" s="286">
        <v>0</v>
      </c>
      <c r="L523" s="286">
        <v>0</v>
      </c>
      <c r="M523" s="286" t="s">
        <v>58</v>
      </c>
    </row>
    <row r="524" spans="1:13" x14ac:dyDescent="0.25">
      <c r="A524" s="287" t="s">
        <v>828</v>
      </c>
      <c r="B524" s="286">
        <v>7.16</v>
      </c>
      <c r="C524" s="286">
        <v>0</v>
      </c>
      <c r="D524" s="286">
        <v>0</v>
      </c>
      <c r="E524" s="286">
        <v>0</v>
      </c>
      <c r="F524" s="286">
        <v>0</v>
      </c>
      <c r="G524" s="286">
        <v>0</v>
      </c>
      <c r="H524" s="286">
        <v>0</v>
      </c>
      <c r="I524" s="286">
        <v>2.42</v>
      </c>
      <c r="J524" s="286">
        <v>82</v>
      </c>
      <c r="K524" s="286">
        <v>0</v>
      </c>
      <c r="L524" s="286">
        <v>0</v>
      </c>
      <c r="M524" s="286" t="s">
        <v>60</v>
      </c>
    </row>
    <row r="525" spans="1:13" x14ac:dyDescent="0.25">
      <c r="A525" s="287" t="s">
        <v>829</v>
      </c>
      <c r="B525" s="286">
        <v>5.0999999999999996</v>
      </c>
      <c r="C525" s="286">
        <v>20.5</v>
      </c>
      <c r="D525" s="286">
        <v>22.62</v>
      </c>
      <c r="E525" s="286">
        <v>12.43</v>
      </c>
      <c r="F525" s="286">
        <v>0.78</v>
      </c>
      <c r="G525" s="286">
        <v>1.07</v>
      </c>
      <c r="H525" s="286">
        <v>0.25</v>
      </c>
      <c r="I525" s="286">
        <v>2.02</v>
      </c>
      <c r="J525" s="286">
        <v>106</v>
      </c>
      <c r="K525" s="286">
        <v>0.9</v>
      </c>
      <c r="L525" s="286">
        <v>13.52</v>
      </c>
      <c r="M525" s="286" t="s">
        <v>60</v>
      </c>
    </row>
    <row r="526" spans="1:13" x14ac:dyDescent="0.25">
      <c r="A526" s="287" t="s">
        <v>830</v>
      </c>
      <c r="B526" s="286">
        <v>1.92</v>
      </c>
      <c r="C526" s="286">
        <v>16.88</v>
      </c>
      <c r="D526" s="286">
        <v>20.079999999999998</v>
      </c>
      <c r="E526" s="286">
        <v>0</v>
      </c>
      <c r="F526" s="286">
        <v>0.6</v>
      </c>
      <c r="G526" s="286">
        <v>0.85</v>
      </c>
      <c r="H526" s="286">
        <v>-1.86</v>
      </c>
      <c r="I526" s="286">
        <v>2.4900000000000002</v>
      </c>
      <c r="J526" s="286">
        <v>126</v>
      </c>
      <c r="K526" s="286">
        <v>0.84</v>
      </c>
      <c r="L526" s="286">
        <v>12.93</v>
      </c>
      <c r="M526" s="286" t="s">
        <v>103</v>
      </c>
    </row>
    <row r="527" spans="1:13" x14ac:dyDescent="0.25">
      <c r="A527" s="287" t="s">
        <v>831</v>
      </c>
      <c r="B527" s="286">
        <v>7.49</v>
      </c>
      <c r="C527" s="286">
        <v>0</v>
      </c>
      <c r="D527" s="286">
        <v>0</v>
      </c>
      <c r="E527" s="286">
        <v>0</v>
      </c>
      <c r="F527" s="286">
        <v>0</v>
      </c>
      <c r="G527" s="286">
        <v>0</v>
      </c>
      <c r="H527" s="286">
        <v>0</v>
      </c>
      <c r="I527" s="286">
        <v>2.21</v>
      </c>
      <c r="J527" s="286">
        <v>55</v>
      </c>
      <c r="K527" s="286">
        <v>0</v>
      </c>
      <c r="L527" s="286">
        <v>0</v>
      </c>
      <c r="M527" s="286" t="s">
        <v>58</v>
      </c>
    </row>
    <row r="528" spans="1:13" x14ac:dyDescent="0.25">
      <c r="A528" s="287" t="s">
        <v>832</v>
      </c>
      <c r="B528" s="286">
        <v>2.0499999999999998</v>
      </c>
      <c r="C528" s="286">
        <v>17.61</v>
      </c>
      <c r="D528" s="286">
        <v>19.239999999999998</v>
      </c>
      <c r="E528" s="286">
        <v>0</v>
      </c>
      <c r="F528" s="286">
        <v>0.62</v>
      </c>
      <c r="G528" s="286">
        <v>1.08</v>
      </c>
      <c r="H528" s="286">
        <v>-1.41</v>
      </c>
      <c r="I528" s="286">
        <v>2.4900000000000002</v>
      </c>
      <c r="J528" s="286">
        <v>130</v>
      </c>
      <c r="K528" s="286">
        <v>0.92</v>
      </c>
      <c r="L528" s="286">
        <v>12.93</v>
      </c>
      <c r="M528" s="286" t="s">
        <v>1166</v>
      </c>
    </row>
    <row r="529" spans="1:13" x14ac:dyDescent="0.25">
      <c r="A529" s="287" t="s">
        <v>833</v>
      </c>
      <c r="B529" s="286">
        <v>3.42</v>
      </c>
      <c r="C529" s="286">
        <v>20.72</v>
      </c>
      <c r="D529" s="286">
        <v>22.59</v>
      </c>
      <c r="E529" s="286">
        <v>0</v>
      </c>
      <c r="F529" s="286">
        <v>0.73</v>
      </c>
      <c r="G529" s="286">
        <v>0.92</v>
      </c>
      <c r="H529" s="286">
        <v>0.42</v>
      </c>
      <c r="I529" s="286">
        <v>2.27</v>
      </c>
      <c r="J529" s="286">
        <v>164</v>
      </c>
      <c r="K529" s="286">
        <v>0.92</v>
      </c>
      <c r="L529" s="286">
        <v>14.43</v>
      </c>
      <c r="M529" s="286" t="s">
        <v>62</v>
      </c>
    </row>
    <row r="530" spans="1:13" x14ac:dyDescent="0.25">
      <c r="A530" s="287" t="s">
        <v>834</v>
      </c>
      <c r="B530" s="286">
        <v>5.03</v>
      </c>
      <c r="C530" s="286">
        <v>24.92</v>
      </c>
      <c r="D530" s="286">
        <v>29.49</v>
      </c>
      <c r="E530" s="286">
        <v>0</v>
      </c>
      <c r="F530" s="286">
        <v>0.85</v>
      </c>
      <c r="G530" s="286">
        <v>1.1299999999999999</v>
      </c>
      <c r="H530" s="286">
        <v>-2.84</v>
      </c>
      <c r="I530" s="286">
        <v>2.1</v>
      </c>
      <c r="J530" s="286">
        <v>168</v>
      </c>
      <c r="K530" s="286">
        <v>0.94</v>
      </c>
      <c r="L530" s="286">
        <v>16.73</v>
      </c>
      <c r="M530" s="286" t="s">
        <v>55</v>
      </c>
    </row>
    <row r="531" spans="1:13" x14ac:dyDescent="0.25">
      <c r="A531" s="287" t="s">
        <v>835</v>
      </c>
      <c r="B531" s="286">
        <v>0</v>
      </c>
      <c r="C531" s="286">
        <v>0</v>
      </c>
      <c r="D531" s="286">
        <v>0</v>
      </c>
      <c r="E531" s="286">
        <v>0</v>
      </c>
      <c r="F531" s="286">
        <v>0</v>
      </c>
      <c r="G531" s="286">
        <v>0</v>
      </c>
      <c r="H531" s="286">
        <v>0</v>
      </c>
      <c r="I531" s="286">
        <v>2.2000000000000002</v>
      </c>
      <c r="J531" s="286">
        <v>0</v>
      </c>
      <c r="K531" s="286">
        <v>0</v>
      </c>
      <c r="L531" s="286">
        <v>0</v>
      </c>
      <c r="M531" s="286" t="s">
        <v>65</v>
      </c>
    </row>
    <row r="532" spans="1:13" x14ac:dyDescent="0.25">
      <c r="A532" s="287" t="s">
        <v>836</v>
      </c>
      <c r="B532" s="286">
        <v>4.0199999999999996</v>
      </c>
      <c r="C532" s="286">
        <v>0</v>
      </c>
      <c r="D532" s="286">
        <v>0</v>
      </c>
      <c r="E532" s="286">
        <v>0</v>
      </c>
      <c r="F532" s="286">
        <v>0</v>
      </c>
      <c r="G532" s="286">
        <v>0</v>
      </c>
      <c r="H532" s="286">
        <v>0</v>
      </c>
      <c r="I532" s="286">
        <v>2.19</v>
      </c>
      <c r="J532" s="286">
        <v>125</v>
      </c>
      <c r="K532" s="286">
        <v>0</v>
      </c>
      <c r="L532" s="286">
        <v>0</v>
      </c>
      <c r="M532" s="286" t="s">
        <v>71</v>
      </c>
    </row>
    <row r="533" spans="1:13" x14ac:dyDescent="0.25">
      <c r="A533" s="287" t="s">
        <v>837</v>
      </c>
      <c r="B533" s="286">
        <v>5.14</v>
      </c>
      <c r="C533" s="286">
        <v>0</v>
      </c>
      <c r="D533" s="286">
        <v>0</v>
      </c>
      <c r="E533" s="286">
        <v>0</v>
      </c>
      <c r="F533" s="286">
        <v>0</v>
      </c>
      <c r="G533" s="286">
        <v>0</v>
      </c>
      <c r="H533" s="286">
        <v>0</v>
      </c>
      <c r="I533" s="286">
        <v>2.37</v>
      </c>
      <c r="J533" s="286">
        <v>49</v>
      </c>
      <c r="K533" s="286">
        <v>0</v>
      </c>
      <c r="L533" s="286">
        <v>0</v>
      </c>
      <c r="M533" s="286" t="s">
        <v>60</v>
      </c>
    </row>
    <row r="534" spans="1:13" x14ac:dyDescent="0.25">
      <c r="A534" s="287" t="s">
        <v>838</v>
      </c>
      <c r="B534" s="286">
        <v>1.6</v>
      </c>
      <c r="C534" s="286">
        <v>22.96</v>
      </c>
      <c r="D534" s="286">
        <v>30.68</v>
      </c>
      <c r="E534" s="286">
        <v>14.63</v>
      </c>
      <c r="F534" s="286">
        <v>0.71</v>
      </c>
      <c r="G534" s="286">
        <v>0.95</v>
      </c>
      <c r="H534" s="286">
        <v>-2.5299999999999998</v>
      </c>
      <c r="I534" s="286">
        <v>2.12</v>
      </c>
      <c r="J534" s="286">
        <v>105</v>
      </c>
      <c r="K534" s="286">
        <v>0.85</v>
      </c>
      <c r="L534" s="286">
        <v>18.13</v>
      </c>
      <c r="M534" s="286" t="s">
        <v>89</v>
      </c>
    </row>
    <row r="535" spans="1:13" x14ac:dyDescent="0.25">
      <c r="A535" s="287" t="s">
        <v>1255</v>
      </c>
      <c r="B535" s="286">
        <v>7.56</v>
      </c>
      <c r="C535" s="286">
        <v>20.62</v>
      </c>
      <c r="D535" s="286">
        <v>21.9</v>
      </c>
      <c r="E535" s="286">
        <v>12.43</v>
      </c>
      <c r="F535" s="286">
        <v>1.1100000000000001</v>
      </c>
      <c r="G535" s="286">
        <v>1.7</v>
      </c>
      <c r="H535" s="286">
        <v>3.21</v>
      </c>
      <c r="I535" s="286">
        <v>1.88</v>
      </c>
      <c r="J535" s="286">
        <v>31</v>
      </c>
      <c r="K535" s="286">
        <v>0.83</v>
      </c>
      <c r="L535" s="286">
        <v>10.1</v>
      </c>
      <c r="M535" s="286" t="s">
        <v>58</v>
      </c>
    </row>
    <row r="536" spans="1:13" x14ac:dyDescent="0.25">
      <c r="A536" s="287" t="s">
        <v>839</v>
      </c>
      <c r="B536" s="286">
        <v>9.3000000000000007</v>
      </c>
      <c r="C536" s="286">
        <v>0</v>
      </c>
      <c r="D536" s="286">
        <v>0</v>
      </c>
      <c r="E536" s="286">
        <v>0</v>
      </c>
      <c r="F536" s="286">
        <v>0</v>
      </c>
      <c r="G536" s="286">
        <v>0</v>
      </c>
      <c r="H536" s="286">
        <v>0</v>
      </c>
      <c r="I536" s="286">
        <v>1.92</v>
      </c>
      <c r="J536" s="286">
        <v>223</v>
      </c>
      <c r="K536" s="286">
        <v>0</v>
      </c>
      <c r="L536" s="286">
        <v>0</v>
      </c>
      <c r="M536" s="286" t="s">
        <v>1166</v>
      </c>
    </row>
    <row r="537" spans="1:13" x14ac:dyDescent="0.25">
      <c r="A537" s="287" t="s">
        <v>845</v>
      </c>
      <c r="B537" s="286">
        <v>3.58</v>
      </c>
      <c r="C537" s="286">
        <v>18.22</v>
      </c>
      <c r="D537" s="286">
        <v>20.34</v>
      </c>
      <c r="E537" s="286">
        <v>12.44</v>
      </c>
      <c r="F537" s="286">
        <v>0.61</v>
      </c>
      <c r="G537" s="286">
        <v>0.99</v>
      </c>
      <c r="H537" s="286">
        <v>-2.16</v>
      </c>
      <c r="I537" s="286">
        <v>2.25</v>
      </c>
      <c r="J537" s="286">
        <v>28</v>
      </c>
      <c r="K537" s="286">
        <v>0.93</v>
      </c>
      <c r="L537" s="286">
        <v>14.08</v>
      </c>
      <c r="M537" s="286" t="s">
        <v>58</v>
      </c>
    </row>
    <row r="538" spans="1:13" x14ac:dyDescent="0.25">
      <c r="A538" s="287" t="s">
        <v>1256</v>
      </c>
      <c r="B538" s="286">
        <v>7.11</v>
      </c>
      <c r="C538" s="286">
        <v>12.05</v>
      </c>
      <c r="D538" s="286">
        <v>12.6</v>
      </c>
      <c r="E538" s="286">
        <v>8.86</v>
      </c>
      <c r="F538" s="286">
        <v>0.7</v>
      </c>
      <c r="G538" s="286">
        <v>1.0900000000000001</v>
      </c>
      <c r="H538" s="286">
        <v>-0.61</v>
      </c>
      <c r="I538" s="286">
        <v>1.73</v>
      </c>
      <c r="J538" s="286">
        <v>35</v>
      </c>
      <c r="K538" s="286">
        <v>0.62</v>
      </c>
      <c r="L538" s="286">
        <v>6.22</v>
      </c>
      <c r="M538" s="286" t="s">
        <v>62</v>
      </c>
    </row>
    <row r="539" spans="1:13" x14ac:dyDescent="0.25">
      <c r="A539" s="287" t="s">
        <v>1257</v>
      </c>
      <c r="B539" s="286">
        <v>8.6199999999999992</v>
      </c>
      <c r="C539" s="286">
        <v>11.5</v>
      </c>
      <c r="D539" s="286">
        <v>11.73</v>
      </c>
      <c r="E539" s="286">
        <v>8.43</v>
      </c>
      <c r="F539" s="286">
        <v>1</v>
      </c>
      <c r="G539" s="286">
        <v>1.65</v>
      </c>
      <c r="H539" s="286">
        <v>0.44</v>
      </c>
      <c r="I539" s="286">
        <v>1.82</v>
      </c>
      <c r="J539" s="286">
        <v>31</v>
      </c>
      <c r="K539" s="286">
        <v>1.01</v>
      </c>
      <c r="L539" s="286">
        <v>4.12</v>
      </c>
      <c r="M539" s="286" t="s">
        <v>65</v>
      </c>
    </row>
    <row r="540" spans="1:13" x14ac:dyDescent="0.25">
      <c r="A540" s="287" t="s">
        <v>846</v>
      </c>
      <c r="B540" s="286">
        <v>5.95</v>
      </c>
      <c r="C540" s="286">
        <v>24.25</v>
      </c>
      <c r="D540" s="286">
        <v>23.83</v>
      </c>
      <c r="E540" s="286">
        <v>14.1</v>
      </c>
      <c r="F540" s="286">
        <v>0.94</v>
      </c>
      <c r="G540" s="286">
        <v>1.43</v>
      </c>
      <c r="H540" s="286">
        <v>2.82</v>
      </c>
      <c r="I540" s="286">
        <v>2</v>
      </c>
      <c r="J540" s="286">
        <v>25</v>
      </c>
      <c r="K540" s="286">
        <v>0.93</v>
      </c>
      <c r="L540" s="286">
        <v>14.45</v>
      </c>
      <c r="M540" s="286" t="s">
        <v>65</v>
      </c>
    </row>
    <row r="541" spans="1:13" x14ac:dyDescent="0.25">
      <c r="A541" s="287" t="s">
        <v>847</v>
      </c>
      <c r="B541" s="286">
        <v>9.2100000000000009</v>
      </c>
      <c r="C541" s="286">
        <v>15.31</v>
      </c>
      <c r="D541" s="286">
        <v>19.02</v>
      </c>
      <c r="E541" s="286">
        <v>12.45</v>
      </c>
      <c r="F541" s="286">
        <v>0.44</v>
      </c>
      <c r="G541" s="286">
        <v>0.71</v>
      </c>
      <c r="H541" s="286">
        <v>-3.97</v>
      </c>
      <c r="I541" s="286">
        <v>1.66</v>
      </c>
      <c r="J541" s="286">
        <v>10</v>
      </c>
      <c r="K541" s="286">
        <v>0.88</v>
      </c>
      <c r="L541" s="286">
        <v>13.97</v>
      </c>
      <c r="M541" s="286" t="s">
        <v>1169</v>
      </c>
    </row>
    <row r="542" spans="1:13" x14ac:dyDescent="0.25">
      <c r="A542" s="287" t="s">
        <v>848</v>
      </c>
      <c r="B542" s="286">
        <v>3.26</v>
      </c>
      <c r="C542" s="286">
        <v>20.100000000000001</v>
      </c>
      <c r="D542" s="286">
        <v>0</v>
      </c>
      <c r="E542" s="286">
        <v>0</v>
      </c>
      <c r="F542" s="286">
        <v>0.73</v>
      </c>
      <c r="G542" s="286">
        <v>1.17</v>
      </c>
      <c r="H542" s="286">
        <v>-0.28999999999999998</v>
      </c>
      <c r="I542" s="286">
        <v>1.96</v>
      </c>
      <c r="J542" s="286">
        <v>23</v>
      </c>
      <c r="K542" s="286">
        <v>0.93</v>
      </c>
      <c r="L542" s="286">
        <v>14.3</v>
      </c>
      <c r="M542" s="286" t="s">
        <v>1168</v>
      </c>
    </row>
    <row r="543" spans="1:13" x14ac:dyDescent="0.25">
      <c r="A543" s="287" t="s">
        <v>849</v>
      </c>
      <c r="B543" s="286">
        <v>2.69</v>
      </c>
      <c r="C543" s="286">
        <v>18.11</v>
      </c>
      <c r="D543" s="286">
        <v>18.39</v>
      </c>
      <c r="E543" s="286">
        <v>11.19</v>
      </c>
      <c r="F543" s="286">
        <v>0.56999999999999995</v>
      </c>
      <c r="G543" s="286">
        <v>0.83</v>
      </c>
      <c r="H543" s="286">
        <v>-3.17</v>
      </c>
      <c r="I543" s="286">
        <v>2.4500000000000002</v>
      </c>
      <c r="J543" s="286">
        <v>34</v>
      </c>
      <c r="K543" s="286">
        <v>0.84</v>
      </c>
      <c r="L543" s="286">
        <v>15.53</v>
      </c>
      <c r="M543" s="286" t="s">
        <v>58</v>
      </c>
    </row>
    <row r="544" spans="1:13" x14ac:dyDescent="0.25">
      <c r="A544" s="287" t="s">
        <v>850</v>
      </c>
      <c r="B544" s="286">
        <v>1.72</v>
      </c>
      <c r="C544" s="286">
        <v>0</v>
      </c>
      <c r="D544" s="286">
        <v>0</v>
      </c>
      <c r="E544" s="286">
        <v>0</v>
      </c>
      <c r="F544" s="286">
        <v>0</v>
      </c>
      <c r="G544" s="286">
        <v>0</v>
      </c>
      <c r="H544" s="286">
        <v>0</v>
      </c>
      <c r="I544" s="286">
        <v>2.29</v>
      </c>
      <c r="J544" s="286">
        <v>12</v>
      </c>
      <c r="K544" s="286">
        <v>0</v>
      </c>
      <c r="L544" s="286">
        <v>0</v>
      </c>
      <c r="M544" s="286" t="s">
        <v>55</v>
      </c>
    </row>
    <row r="545" spans="1:13" x14ac:dyDescent="0.25">
      <c r="A545" s="287" t="s">
        <v>851</v>
      </c>
      <c r="B545" s="286">
        <v>5.51</v>
      </c>
      <c r="C545" s="286">
        <v>17.18</v>
      </c>
      <c r="D545" s="286">
        <v>19.61</v>
      </c>
      <c r="E545" s="286">
        <v>11.95</v>
      </c>
      <c r="F545" s="286">
        <v>0.6</v>
      </c>
      <c r="G545" s="286">
        <v>0.97</v>
      </c>
      <c r="H545" s="286">
        <v>-1.71</v>
      </c>
      <c r="I545" s="286">
        <v>1.75</v>
      </c>
      <c r="J545" s="286">
        <v>36</v>
      </c>
      <c r="K545" s="286">
        <v>0.91</v>
      </c>
      <c r="L545" s="286">
        <v>12.76</v>
      </c>
      <c r="M545" s="286" t="s">
        <v>55</v>
      </c>
    </row>
    <row r="546" spans="1:13" x14ac:dyDescent="0.25">
      <c r="A546" s="287" t="s">
        <v>852</v>
      </c>
      <c r="B546" s="286">
        <v>8.26</v>
      </c>
      <c r="C546" s="286">
        <v>27.12</v>
      </c>
      <c r="D546" s="286">
        <v>28.01</v>
      </c>
      <c r="E546" s="286">
        <v>14.02</v>
      </c>
      <c r="F546" s="286">
        <v>1.1499999999999999</v>
      </c>
      <c r="G546" s="286">
        <v>1.75</v>
      </c>
      <c r="H546" s="286">
        <v>5.69</v>
      </c>
      <c r="I546" s="286">
        <v>1.93</v>
      </c>
      <c r="J546" s="286">
        <v>33</v>
      </c>
      <c r="K546" s="286">
        <v>0.95</v>
      </c>
      <c r="L546" s="286">
        <v>14.07</v>
      </c>
      <c r="M546" s="286" t="s">
        <v>58</v>
      </c>
    </row>
    <row r="547" spans="1:13" x14ac:dyDescent="0.25">
      <c r="A547" s="287" t="s">
        <v>853</v>
      </c>
      <c r="B547" s="286">
        <v>3.54</v>
      </c>
      <c r="C547" s="286">
        <v>23.13</v>
      </c>
      <c r="D547" s="286">
        <v>26.64</v>
      </c>
      <c r="E547" s="286">
        <v>14.52</v>
      </c>
      <c r="F547" s="286">
        <v>0.81</v>
      </c>
      <c r="G547" s="286">
        <v>1.1599999999999999</v>
      </c>
      <c r="H547" s="286">
        <v>-3.74</v>
      </c>
      <c r="I547" s="286">
        <v>1.76</v>
      </c>
      <c r="J547" s="286">
        <v>34</v>
      </c>
      <c r="K547" s="286">
        <v>0.94</v>
      </c>
      <c r="L547" s="286">
        <v>16.37</v>
      </c>
      <c r="M547" s="286" t="s">
        <v>71</v>
      </c>
    </row>
    <row r="548" spans="1:13" x14ac:dyDescent="0.25">
      <c r="A548" s="287" t="s">
        <v>854</v>
      </c>
      <c r="B548" s="286">
        <v>-2.13</v>
      </c>
      <c r="C548" s="286">
        <v>16.05</v>
      </c>
      <c r="D548" s="286">
        <v>15.38</v>
      </c>
      <c r="E548" s="286">
        <v>9.99</v>
      </c>
      <c r="F548" s="286">
        <v>0.56999999999999995</v>
      </c>
      <c r="G548" s="286">
        <v>0.82</v>
      </c>
      <c r="H548" s="286">
        <v>-2.11</v>
      </c>
      <c r="I548" s="286">
        <v>2.04</v>
      </c>
      <c r="J548" s="286">
        <v>32</v>
      </c>
      <c r="K548" s="286">
        <v>0.84</v>
      </c>
      <c r="L548" s="286">
        <v>13.35</v>
      </c>
      <c r="M548" s="286" t="s">
        <v>1168</v>
      </c>
    </row>
    <row r="549" spans="1:13" x14ac:dyDescent="0.25">
      <c r="A549" s="287" t="s">
        <v>855</v>
      </c>
      <c r="B549" s="286">
        <v>8.7200000000000006</v>
      </c>
      <c r="C549" s="286">
        <v>22.61</v>
      </c>
      <c r="D549" s="286">
        <v>17.309999999999999</v>
      </c>
      <c r="E549" s="286">
        <v>10.31</v>
      </c>
      <c r="F549" s="286">
        <v>1.41</v>
      </c>
      <c r="G549" s="286">
        <v>2.02</v>
      </c>
      <c r="H549" s="286">
        <v>4.95</v>
      </c>
      <c r="I549" s="286">
        <v>1.74</v>
      </c>
      <c r="J549" s="286">
        <v>239</v>
      </c>
      <c r="K549" s="286">
        <v>0.86</v>
      </c>
      <c r="L549" s="286">
        <v>8.9499999999999993</v>
      </c>
      <c r="M549" s="286" t="s">
        <v>1169</v>
      </c>
    </row>
    <row r="550" spans="1:13" x14ac:dyDescent="0.25">
      <c r="A550" s="287" t="s">
        <v>856</v>
      </c>
      <c r="B550" s="286">
        <v>0</v>
      </c>
      <c r="C550" s="286">
        <v>0</v>
      </c>
      <c r="D550" s="286">
        <v>0</v>
      </c>
      <c r="E550" s="286">
        <v>0</v>
      </c>
      <c r="F550" s="286">
        <v>0</v>
      </c>
      <c r="G550" s="286">
        <v>0</v>
      </c>
      <c r="H550" s="286">
        <v>0</v>
      </c>
      <c r="I550" s="286">
        <v>2.16</v>
      </c>
      <c r="J550" s="286">
        <v>0</v>
      </c>
      <c r="K550" s="286">
        <v>0</v>
      </c>
      <c r="L550" s="286">
        <v>0</v>
      </c>
      <c r="M550" s="286" t="s">
        <v>58</v>
      </c>
    </row>
    <row r="551" spans="1:13" x14ac:dyDescent="0.25">
      <c r="A551" s="287" t="s">
        <v>868</v>
      </c>
      <c r="B551" s="286">
        <v>-3.39</v>
      </c>
      <c r="C551" s="286">
        <v>23.76</v>
      </c>
      <c r="D551" s="286">
        <v>22.12</v>
      </c>
      <c r="E551" s="286">
        <v>0</v>
      </c>
      <c r="F551" s="286">
        <v>0.73</v>
      </c>
      <c r="G551" s="286">
        <v>1.08</v>
      </c>
      <c r="H551" s="286">
        <v>0.85</v>
      </c>
      <c r="I551" s="286">
        <v>0.15</v>
      </c>
      <c r="J551" s="286">
        <v>35</v>
      </c>
      <c r="K551" s="286">
        <v>1.3</v>
      </c>
      <c r="L551" s="286">
        <v>19.55</v>
      </c>
      <c r="M551" s="286" t="s">
        <v>84</v>
      </c>
    </row>
    <row r="552" spans="1:13" x14ac:dyDescent="0.25">
      <c r="A552" s="287" t="s">
        <v>870</v>
      </c>
      <c r="B552" s="286">
        <v>0</v>
      </c>
      <c r="C552" s="286">
        <v>0</v>
      </c>
      <c r="D552" s="286">
        <v>0</v>
      </c>
      <c r="E552" s="286">
        <v>0</v>
      </c>
      <c r="F552" s="286">
        <v>0</v>
      </c>
      <c r="G552" s="286">
        <v>0</v>
      </c>
      <c r="H552" s="286">
        <v>0</v>
      </c>
      <c r="I552" s="286">
        <v>2.02</v>
      </c>
      <c r="J552" s="286">
        <v>11</v>
      </c>
      <c r="K552" s="286">
        <v>0</v>
      </c>
      <c r="L552" s="286">
        <v>0</v>
      </c>
      <c r="M552" s="286" t="s">
        <v>60</v>
      </c>
    </row>
    <row r="553" spans="1:13" x14ac:dyDescent="0.25">
      <c r="A553" s="287" t="s">
        <v>1258</v>
      </c>
      <c r="B553" s="286">
        <v>8.24</v>
      </c>
      <c r="C553" s="286">
        <v>14.58</v>
      </c>
      <c r="D553" s="286">
        <v>14.77</v>
      </c>
      <c r="E553" s="286">
        <v>9.73</v>
      </c>
      <c r="F553" s="286">
        <v>1.1200000000000001</v>
      </c>
      <c r="G553" s="286">
        <v>1.73</v>
      </c>
      <c r="H553" s="286">
        <v>1.89</v>
      </c>
      <c r="I553" s="286">
        <v>1.66</v>
      </c>
      <c r="J553" s="286">
        <v>37</v>
      </c>
      <c r="K553" s="286">
        <v>0.6</v>
      </c>
      <c r="L553" s="286">
        <v>5.96</v>
      </c>
      <c r="M553" s="286" t="s">
        <v>89</v>
      </c>
    </row>
    <row r="554" spans="1:13" x14ac:dyDescent="0.25">
      <c r="A554" s="287" t="s">
        <v>871</v>
      </c>
      <c r="B554" s="286">
        <v>8.36</v>
      </c>
      <c r="C554" s="286">
        <v>24.64</v>
      </c>
      <c r="D554" s="286">
        <v>0</v>
      </c>
      <c r="E554" s="286">
        <v>0</v>
      </c>
      <c r="F554" s="286">
        <v>0.82</v>
      </c>
      <c r="G554" s="286">
        <v>1.1399999999999999</v>
      </c>
      <c r="H554" s="286">
        <v>-1.03</v>
      </c>
      <c r="I554" s="286">
        <v>1.86</v>
      </c>
      <c r="J554" s="286">
        <v>42</v>
      </c>
      <c r="K554" s="286">
        <v>0.83</v>
      </c>
      <c r="L554" s="286">
        <v>17.13</v>
      </c>
      <c r="M554" s="286" t="s">
        <v>71</v>
      </c>
    </row>
    <row r="555" spans="1:13" x14ac:dyDescent="0.25">
      <c r="A555" s="287" t="s">
        <v>872</v>
      </c>
      <c r="B555" s="286">
        <v>-2.33</v>
      </c>
      <c r="C555" s="286">
        <v>24.64</v>
      </c>
      <c r="D555" s="286">
        <v>27.71</v>
      </c>
      <c r="E555" s="286">
        <v>11.98</v>
      </c>
      <c r="F555" s="286">
        <v>0.95</v>
      </c>
      <c r="G555" s="286">
        <v>1.35</v>
      </c>
      <c r="H555" s="286">
        <v>4.3499999999999996</v>
      </c>
      <c r="I555" s="286">
        <v>1.94</v>
      </c>
      <c r="J555" s="286">
        <v>20</v>
      </c>
      <c r="K555" s="286">
        <v>0.98</v>
      </c>
      <c r="L555" s="286">
        <v>16.440000000000001</v>
      </c>
      <c r="M555" s="286" t="s">
        <v>71</v>
      </c>
    </row>
    <row r="556" spans="1:13" x14ac:dyDescent="0.25">
      <c r="A556" s="287" t="s">
        <v>873</v>
      </c>
      <c r="B556" s="286">
        <v>10.14</v>
      </c>
      <c r="C556" s="286">
        <v>11.12</v>
      </c>
      <c r="D556" s="286">
        <v>11.68</v>
      </c>
      <c r="E556" s="286">
        <v>8.17</v>
      </c>
      <c r="F556" s="286">
        <v>0.56000000000000005</v>
      </c>
      <c r="G556" s="286">
        <v>0.89</v>
      </c>
      <c r="H556" s="286">
        <v>-0.88</v>
      </c>
      <c r="I556" s="286">
        <v>1.64</v>
      </c>
      <c r="J556" s="286">
        <v>9</v>
      </c>
      <c r="K556" s="286">
        <v>0.55000000000000004</v>
      </c>
      <c r="L556" s="286">
        <v>6.23</v>
      </c>
      <c r="M556" s="286" t="s">
        <v>55</v>
      </c>
    </row>
    <row r="557" spans="1:13" x14ac:dyDescent="0.25">
      <c r="A557" s="287" t="s">
        <v>874</v>
      </c>
      <c r="B557" s="286">
        <v>10.54</v>
      </c>
      <c r="C557" s="286">
        <v>0</v>
      </c>
      <c r="D557" s="286">
        <v>0</v>
      </c>
      <c r="E557" s="286">
        <v>0</v>
      </c>
      <c r="F557" s="286">
        <v>0</v>
      </c>
      <c r="G557" s="286">
        <v>0</v>
      </c>
      <c r="H557" s="286">
        <v>0</v>
      </c>
      <c r="I557" s="286">
        <v>2.06</v>
      </c>
      <c r="J557" s="286">
        <v>369</v>
      </c>
      <c r="K557" s="286">
        <v>0</v>
      </c>
      <c r="L557" s="286">
        <v>0</v>
      </c>
      <c r="M557" s="286" t="s">
        <v>65</v>
      </c>
    </row>
    <row r="558" spans="1:13" x14ac:dyDescent="0.25">
      <c r="A558" s="287" t="s">
        <v>1259</v>
      </c>
      <c r="B558" s="286">
        <v>8.5</v>
      </c>
      <c r="C558" s="286">
        <v>0</v>
      </c>
      <c r="D558" s="286">
        <v>0</v>
      </c>
      <c r="E558" s="286">
        <v>0</v>
      </c>
      <c r="F558" s="286">
        <v>0</v>
      </c>
      <c r="G558" s="286">
        <v>0</v>
      </c>
      <c r="H558" s="286">
        <v>0</v>
      </c>
      <c r="I558" s="286">
        <v>2.14</v>
      </c>
      <c r="J558" s="286">
        <v>135</v>
      </c>
      <c r="K558" s="286">
        <v>0</v>
      </c>
      <c r="L558" s="286">
        <v>0</v>
      </c>
      <c r="M558" s="286" t="s">
        <v>65</v>
      </c>
    </row>
    <row r="559" spans="1:13" x14ac:dyDescent="0.25">
      <c r="A559" s="287" t="s">
        <v>875</v>
      </c>
      <c r="B559" s="286">
        <v>0</v>
      </c>
      <c r="C559" s="286">
        <v>0</v>
      </c>
      <c r="D559" s="286">
        <v>0</v>
      </c>
      <c r="E559" s="286">
        <v>0</v>
      </c>
      <c r="F559" s="286">
        <v>0</v>
      </c>
      <c r="G559" s="286">
        <v>0</v>
      </c>
      <c r="H559" s="286">
        <v>0</v>
      </c>
      <c r="I559" s="286">
        <v>2.35</v>
      </c>
      <c r="J559" s="286">
        <v>0</v>
      </c>
      <c r="K559" s="286">
        <v>0</v>
      </c>
      <c r="L559" s="286">
        <v>0</v>
      </c>
      <c r="M559" s="286" t="s">
        <v>84</v>
      </c>
    </row>
    <row r="560" spans="1:13" x14ac:dyDescent="0.25">
      <c r="A560" s="287" t="s">
        <v>876</v>
      </c>
      <c r="B560" s="286">
        <v>10.4</v>
      </c>
      <c r="C560" s="286">
        <v>0</v>
      </c>
      <c r="D560" s="286">
        <v>0</v>
      </c>
      <c r="E560" s="286">
        <v>0</v>
      </c>
      <c r="F560" s="286">
        <v>0</v>
      </c>
      <c r="G560" s="286">
        <v>0</v>
      </c>
      <c r="H560" s="286">
        <v>0</v>
      </c>
      <c r="I560" s="286">
        <v>1.82</v>
      </c>
      <c r="J560" s="286">
        <v>198</v>
      </c>
      <c r="K560" s="286">
        <v>0</v>
      </c>
      <c r="L560" s="286">
        <v>0</v>
      </c>
      <c r="M560" s="286" t="s">
        <v>65</v>
      </c>
    </row>
    <row r="561" spans="1:13" x14ac:dyDescent="0.25">
      <c r="A561" s="287" t="s">
        <v>877</v>
      </c>
      <c r="B561" s="286">
        <v>8.76</v>
      </c>
      <c r="C561" s="286">
        <v>0</v>
      </c>
      <c r="D561" s="286">
        <v>0</v>
      </c>
      <c r="E561" s="286">
        <v>0</v>
      </c>
      <c r="F561" s="286">
        <v>0</v>
      </c>
      <c r="G561" s="286">
        <v>0</v>
      </c>
      <c r="H561" s="286">
        <v>0</v>
      </c>
      <c r="I561" s="286">
        <v>2.2000000000000002</v>
      </c>
      <c r="J561" s="286">
        <v>204</v>
      </c>
      <c r="K561" s="286">
        <v>0</v>
      </c>
      <c r="L561" s="286">
        <v>0</v>
      </c>
      <c r="M561" s="286" t="s">
        <v>103</v>
      </c>
    </row>
    <row r="562" spans="1:13" x14ac:dyDescent="0.25">
      <c r="A562" s="287" t="s">
        <v>878</v>
      </c>
      <c r="B562" s="286">
        <v>9.33</v>
      </c>
      <c r="C562" s="286">
        <v>0</v>
      </c>
      <c r="D562" s="286">
        <v>0</v>
      </c>
      <c r="E562" s="286">
        <v>0</v>
      </c>
      <c r="F562" s="286">
        <v>0</v>
      </c>
      <c r="G562" s="286">
        <v>0</v>
      </c>
      <c r="H562" s="286">
        <v>0</v>
      </c>
      <c r="I562" s="286">
        <v>2.04</v>
      </c>
      <c r="J562" s="286">
        <v>220</v>
      </c>
      <c r="K562" s="286">
        <v>0</v>
      </c>
      <c r="L562" s="286">
        <v>0</v>
      </c>
      <c r="M562" s="286" t="s">
        <v>58</v>
      </c>
    </row>
    <row r="563" spans="1:13" x14ac:dyDescent="0.25">
      <c r="A563" s="287" t="s">
        <v>879</v>
      </c>
      <c r="B563" s="286">
        <v>12.11</v>
      </c>
      <c r="C563" s="286">
        <v>0</v>
      </c>
      <c r="D563" s="286">
        <v>0</v>
      </c>
      <c r="E563" s="286">
        <v>0</v>
      </c>
      <c r="F563" s="286">
        <v>0</v>
      </c>
      <c r="G563" s="286">
        <v>0</v>
      </c>
      <c r="H563" s="286">
        <v>0</v>
      </c>
      <c r="I563" s="286">
        <v>1.88</v>
      </c>
      <c r="J563" s="286">
        <v>236</v>
      </c>
      <c r="K563" s="286">
        <v>0</v>
      </c>
      <c r="L563" s="286">
        <v>0</v>
      </c>
      <c r="M563" s="286" t="s">
        <v>1168</v>
      </c>
    </row>
    <row r="564" spans="1:13" x14ac:dyDescent="0.25">
      <c r="A564" s="287" t="s">
        <v>880</v>
      </c>
      <c r="B564" s="286">
        <v>15.77</v>
      </c>
      <c r="C564" s="286">
        <v>0</v>
      </c>
      <c r="D564" s="286">
        <v>0</v>
      </c>
      <c r="E564" s="286">
        <v>0</v>
      </c>
      <c r="F564" s="286">
        <v>0</v>
      </c>
      <c r="G564" s="286">
        <v>0</v>
      </c>
      <c r="H564" s="286">
        <v>0</v>
      </c>
      <c r="I564" s="286">
        <v>1.73</v>
      </c>
      <c r="J564" s="286">
        <v>414</v>
      </c>
      <c r="K564" s="286">
        <v>0</v>
      </c>
      <c r="L564" s="286">
        <v>0</v>
      </c>
      <c r="M564" s="286" t="s">
        <v>55</v>
      </c>
    </row>
    <row r="565" spans="1:13" x14ac:dyDescent="0.25">
      <c r="A565" s="287" t="s">
        <v>881</v>
      </c>
      <c r="B565" s="286">
        <v>11.9</v>
      </c>
      <c r="C565" s="286">
        <v>0</v>
      </c>
      <c r="D565" s="286">
        <v>0</v>
      </c>
      <c r="E565" s="286">
        <v>0</v>
      </c>
      <c r="F565" s="286">
        <v>0</v>
      </c>
      <c r="G565" s="286">
        <v>0</v>
      </c>
      <c r="H565" s="286">
        <v>0</v>
      </c>
      <c r="I565" s="286">
        <v>2.0099999999999998</v>
      </c>
      <c r="J565" s="286">
        <v>185</v>
      </c>
      <c r="K565" s="286">
        <v>0</v>
      </c>
      <c r="L565" s="286">
        <v>0</v>
      </c>
      <c r="M565" s="286" t="s">
        <v>1169</v>
      </c>
    </row>
    <row r="566" spans="1:13" x14ac:dyDescent="0.25">
      <c r="A566" s="287" t="s">
        <v>882</v>
      </c>
      <c r="B566" s="286">
        <v>0</v>
      </c>
      <c r="C566" s="286">
        <v>0</v>
      </c>
      <c r="D566" s="286">
        <v>0</v>
      </c>
      <c r="E566" s="286">
        <v>0</v>
      </c>
      <c r="F566" s="286">
        <v>0</v>
      </c>
      <c r="G566" s="286">
        <v>0</v>
      </c>
      <c r="H566" s="286">
        <v>0</v>
      </c>
      <c r="I566" s="286">
        <v>2.36</v>
      </c>
      <c r="J566" s="286">
        <v>0</v>
      </c>
      <c r="K566" s="286">
        <v>0</v>
      </c>
      <c r="L566" s="286">
        <v>0</v>
      </c>
      <c r="M566" s="286" t="s">
        <v>1169</v>
      </c>
    </row>
    <row r="567" spans="1:13" x14ac:dyDescent="0.25">
      <c r="A567" s="287" t="s">
        <v>883</v>
      </c>
      <c r="B567" s="286">
        <v>17.11</v>
      </c>
      <c r="C567" s="286">
        <v>0</v>
      </c>
      <c r="D567" s="286">
        <v>0</v>
      </c>
      <c r="E567" s="286">
        <v>0</v>
      </c>
      <c r="F567" s="286">
        <v>0</v>
      </c>
      <c r="G567" s="286">
        <v>0</v>
      </c>
      <c r="H567" s="286">
        <v>0</v>
      </c>
      <c r="I567" s="286">
        <v>2.19</v>
      </c>
      <c r="J567" s="286">
        <v>0</v>
      </c>
      <c r="K567" s="286">
        <v>0</v>
      </c>
      <c r="L567" s="286">
        <v>0</v>
      </c>
      <c r="M567" s="286" t="s">
        <v>103</v>
      </c>
    </row>
    <row r="568" spans="1:13" x14ac:dyDescent="0.25">
      <c r="A568" s="287" t="s">
        <v>1246</v>
      </c>
      <c r="B568" s="286">
        <v>-3.31</v>
      </c>
      <c r="C568" s="286">
        <v>14.11</v>
      </c>
      <c r="D568" s="286">
        <v>14.06</v>
      </c>
      <c r="E568" s="286">
        <v>8.98</v>
      </c>
      <c r="F568" s="286">
        <v>0.51</v>
      </c>
      <c r="G568" s="286">
        <v>0.72</v>
      </c>
      <c r="H568" s="286">
        <v>-2.75</v>
      </c>
      <c r="I568" s="286">
        <v>2.41</v>
      </c>
      <c r="J568" s="286">
        <v>424</v>
      </c>
      <c r="K568" s="286">
        <v>0.87</v>
      </c>
      <c r="L568" s="286">
        <v>11.15</v>
      </c>
      <c r="M568" s="286" t="s">
        <v>1168</v>
      </c>
    </row>
    <row r="569" spans="1:13" x14ac:dyDescent="0.25">
      <c r="A569" s="287" t="s">
        <v>766</v>
      </c>
      <c r="B569" s="286">
        <v>-4.75</v>
      </c>
      <c r="C569" s="286">
        <v>10.46</v>
      </c>
      <c r="D569" s="286">
        <v>10.52</v>
      </c>
      <c r="E569" s="286">
        <v>0</v>
      </c>
      <c r="F569" s="286">
        <v>0.31</v>
      </c>
      <c r="G569" s="286">
        <v>0.39</v>
      </c>
      <c r="H569" s="286">
        <v>-3.5</v>
      </c>
      <c r="I569" s="286">
        <v>2.39</v>
      </c>
      <c r="J569" s="286">
        <v>372</v>
      </c>
      <c r="K569" s="286">
        <v>0.84</v>
      </c>
      <c r="L569" s="286">
        <v>9.9700000000000006</v>
      </c>
      <c r="M569" s="286" t="s">
        <v>62</v>
      </c>
    </row>
    <row r="570" spans="1:13" x14ac:dyDescent="0.25">
      <c r="A570" s="287" t="s">
        <v>767</v>
      </c>
      <c r="B570" s="286">
        <v>-11.72</v>
      </c>
      <c r="C570" s="286">
        <v>15.9</v>
      </c>
      <c r="D570" s="286">
        <v>15.91</v>
      </c>
      <c r="E570" s="286">
        <v>0</v>
      </c>
      <c r="F570" s="286">
        <v>0.44</v>
      </c>
      <c r="G570" s="286">
        <v>0.57999999999999996</v>
      </c>
      <c r="H570" s="286">
        <v>-4.33</v>
      </c>
      <c r="I570" s="286">
        <v>2.4</v>
      </c>
      <c r="J570" s="286">
        <v>615.1</v>
      </c>
      <c r="K570" s="286">
        <v>0.99</v>
      </c>
      <c r="L570" s="286">
        <v>16.010000000000002</v>
      </c>
      <c r="M570" s="286" t="s">
        <v>55</v>
      </c>
    </row>
    <row r="571" spans="1:13" x14ac:dyDescent="0.25">
      <c r="A571" s="287" t="s">
        <v>768</v>
      </c>
      <c r="B571" s="286">
        <v>-5.01</v>
      </c>
      <c r="C571" s="286">
        <v>0</v>
      </c>
      <c r="D571" s="286">
        <v>0</v>
      </c>
      <c r="E571" s="286">
        <v>0</v>
      </c>
      <c r="F571" s="286">
        <v>0</v>
      </c>
      <c r="G571" s="286">
        <v>0</v>
      </c>
      <c r="H571" s="286">
        <v>0</v>
      </c>
      <c r="I571" s="286">
        <v>2.35</v>
      </c>
      <c r="J571" s="286">
        <v>447.9</v>
      </c>
      <c r="K571" s="286">
        <v>0</v>
      </c>
      <c r="L571" s="286">
        <v>0</v>
      </c>
      <c r="M571" s="286" t="s">
        <v>60</v>
      </c>
    </row>
    <row r="572" spans="1:13" x14ac:dyDescent="0.25">
      <c r="A572" s="287" t="s">
        <v>769</v>
      </c>
      <c r="B572" s="286">
        <v>0</v>
      </c>
      <c r="C572" s="286">
        <v>0</v>
      </c>
      <c r="D572" s="286">
        <v>0</v>
      </c>
      <c r="E572" s="286">
        <v>0</v>
      </c>
      <c r="F572" s="286">
        <v>0</v>
      </c>
      <c r="G572" s="286">
        <v>0</v>
      </c>
      <c r="H572" s="286">
        <v>0</v>
      </c>
      <c r="I572" s="286">
        <v>2.35</v>
      </c>
      <c r="J572" s="286">
        <v>338.2</v>
      </c>
      <c r="K572" s="286">
        <v>0</v>
      </c>
      <c r="L572" s="286">
        <v>0</v>
      </c>
      <c r="M572" s="286" t="s">
        <v>58</v>
      </c>
    </row>
    <row r="573" spans="1:13" x14ac:dyDescent="0.25">
      <c r="A573" s="287" t="s">
        <v>1247</v>
      </c>
      <c r="B573" s="286">
        <v>5.44</v>
      </c>
      <c r="C573" s="286">
        <v>16.489999999999998</v>
      </c>
      <c r="D573" s="286">
        <v>17.420000000000002</v>
      </c>
      <c r="E573" s="286">
        <v>11.54</v>
      </c>
      <c r="F573" s="286">
        <v>0.76</v>
      </c>
      <c r="G573" s="286">
        <v>1.23</v>
      </c>
      <c r="H573" s="286">
        <v>-0.24</v>
      </c>
      <c r="I573" s="286">
        <v>1.81</v>
      </c>
      <c r="J573" s="286">
        <v>79.900000000000006</v>
      </c>
      <c r="K573" s="286">
        <v>0.85</v>
      </c>
      <c r="L573" s="286">
        <v>10.41</v>
      </c>
      <c r="M573" s="286" t="s">
        <v>1168</v>
      </c>
    </row>
    <row r="574" spans="1:13" x14ac:dyDescent="0.25">
      <c r="A574" s="287" t="s">
        <v>1260</v>
      </c>
      <c r="B574" s="286">
        <v>6.75</v>
      </c>
      <c r="C574" s="286">
        <v>6.5</v>
      </c>
      <c r="D574" s="286">
        <v>5.17</v>
      </c>
      <c r="E574" s="286">
        <v>0</v>
      </c>
      <c r="F574" s="286">
        <v>-0.16</v>
      </c>
      <c r="G574" s="286">
        <v>-0.16</v>
      </c>
      <c r="H574" s="286">
        <v>1.19</v>
      </c>
      <c r="I574" s="286">
        <v>1</v>
      </c>
      <c r="J574" s="286">
        <v>83.9</v>
      </c>
      <c r="K574" s="286">
        <v>0.67</v>
      </c>
      <c r="L574" s="286">
        <v>0.56000000000000005</v>
      </c>
      <c r="M574" s="286" t="s">
        <v>1166</v>
      </c>
    </row>
    <row r="575" spans="1:13" x14ac:dyDescent="0.25">
      <c r="A575" s="287" t="s">
        <v>770</v>
      </c>
      <c r="B575" s="286">
        <v>5.73</v>
      </c>
      <c r="C575" s="286">
        <v>13.85</v>
      </c>
      <c r="D575" s="286">
        <v>13.11</v>
      </c>
      <c r="E575" s="286">
        <v>9.27</v>
      </c>
      <c r="F575" s="286">
        <v>0.73</v>
      </c>
      <c r="G575" s="286">
        <v>1.1599999999999999</v>
      </c>
      <c r="H575" s="286">
        <v>-0.12</v>
      </c>
      <c r="I575" s="286">
        <v>2.08</v>
      </c>
      <c r="J575" s="286">
        <v>69.5</v>
      </c>
      <c r="K575" s="286">
        <v>0.75</v>
      </c>
      <c r="L575" s="286">
        <v>7.9</v>
      </c>
      <c r="M575" s="286" t="s">
        <v>62</v>
      </c>
    </row>
    <row r="576" spans="1:13" x14ac:dyDescent="0.25">
      <c r="A576" s="287" t="s">
        <v>771</v>
      </c>
      <c r="B576" s="286">
        <v>0</v>
      </c>
      <c r="C576" s="286">
        <v>0</v>
      </c>
      <c r="D576" s="286">
        <v>0</v>
      </c>
      <c r="E576" s="286">
        <v>0</v>
      </c>
      <c r="F576" s="286">
        <v>0</v>
      </c>
      <c r="G576" s="286">
        <v>0</v>
      </c>
      <c r="H576" s="286">
        <v>0</v>
      </c>
      <c r="I576" s="286">
        <v>2.0299999999999998</v>
      </c>
      <c r="J576" s="286">
        <v>28.5</v>
      </c>
      <c r="K576" s="286">
        <v>0</v>
      </c>
      <c r="L576" s="286">
        <v>0</v>
      </c>
      <c r="M576" s="286" t="s">
        <v>58</v>
      </c>
    </row>
    <row r="577" spans="1:13" x14ac:dyDescent="0.25">
      <c r="A577" s="287" t="s">
        <v>1248</v>
      </c>
      <c r="B577" s="286">
        <v>5.95</v>
      </c>
      <c r="C577" s="286">
        <v>8.75</v>
      </c>
      <c r="D577" s="286">
        <v>8.8699999999999992</v>
      </c>
      <c r="E577" s="286">
        <v>6.96</v>
      </c>
      <c r="F577" s="286">
        <v>0.55000000000000004</v>
      </c>
      <c r="G577" s="286">
        <v>1.06</v>
      </c>
      <c r="H577" s="286">
        <v>-1.21</v>
      </c>
      <c r="I577" s="286">
        <v>2.15</v>
      </c>
      <c r="J577" s="286">
        <v>0</v>
      </c>
      <c r="K577" s="286">
        <v>0.88</v>
      </c>
      <c r="L577" s="286">
        <v>3.66</v>
      </c>
      <c r="M577" s="286" t="s">
        <v>1169</v>
      </c>
    </row>
    <row r="578" spans="1:13" x14ac:dyDescent="0.25">
      <c r="A578" s="287" t="s">
        <v>774</v>
      </c>
      <c r="B578" s="286">
        <v>6.46</v>
      </c>
      <c r="C578" s="286">
        <v>0</v>
      </c>
      <c r="D578" s="286">
        <v>0</v>
      </c>
      <c r="E578" s="286">
        <v>0</v>
      </c>
      <c r="F578" s="286">
        <v>0</v>
      </c>
      <c r="G578" s="286">
        <v>0</v>
      </c>
      <c r="H578" s="286">
        <v>0</v>
      </c>
      <c r="I578" s="286">
        <v>2.0299999999999998</v>
      </c>
      <c r="J578" s="286">
        <v>32.5</v>
      </c>
      <c r="K578" s="286">
        <v>0</v>
      </c>
      <c r="L578" s="286">
        <v>0</v>
      </c>
      <c r="M578" s="286" t="s">
        <v>55</v>
      </c>
    </row>
    <row r="579" spans="1:13" x14ac:dyDescent="0.25">
      <c r="A579" s="287" t="s">
        <v>775</v>
      </c>
      <c r="B579" s="286">
        <v>0.95</v>
      </c>
      <c r="C579" s="286">
        <v>19.13</v>
      </c>
      <c r="D579" s="286">
        <v>20.5</v>
      </c>
      <c r="E579" s="286">
        <v>13.21</v>
      </c>
      <c r="F579" s="286">
        <v>0.7</v>
      </c>
      <c r="G579" s="286">
        <v>1.19</v>
      </c>
      <c r="H579" s="286">
        <v>-0.8</v>
      </c>
      <c r="I579" s="286">
        <v>2.27</v>
      </c>
      <c r="J579" s="286">
        <v>75.5</v>
      </c>
      <c r="K579" s="286">
        <v>0.87</v>
      </c>
      <c r="L579" s="286">
        <v>13.22</v>
      </c>
      <c r="M579" s="286" t="s">
        <v>55</v>
      </c>
    </row>
    <row r="580" spans="1:13" x14ac:dyDescent="0.25">
      <c r="A580" s="287" t="s">
        <v>776</v>
      </c>
      <c r="B580" s="286">
        <v>1.32</v>
      </c>
      <c r="C580" s="286">
        <v>20.78</v>
      </c>
      <c r="D580" s="286">
        <v>22.79</v>
      </c>
      <c r="E580" s="286">
        <v>14.37</v>
      </c>
      <c r="F580" s="286">
        <v>0.75</v>
      </c>
      <c r="G580" s="286">
        <v>1.1000000000000001</v>
      </c>
      <c r="H580" s="286">
        <v>0.21</v>
      </c>
      <c r="I580" s="286">
        <v>1.82</v>
      </c>
      <c r="J580" s="286">
        <v>40.299999999999997</v>
      </c>
      <c r="K580" s="286">
        <v>1</v>
      </c>
      <c r="L580" s="286">
        <v>14.95</v>
      </c>
      <c r="M580" s="286" t="s">
        <v>71</v>
      </c>
    </row>
    <row r="581" spans="1:13" x14ac:dyDescent="0.25">
      <c r="A581" s="287" t="s">
        <v>777</v>
      </c>
      <c r="B581" s="286">
        <v>3.27</v>
      </c>
      <c r="C581" s="286">
        <v>17.47</v>
      </c>
      <c r="D581" s="286">
        <v>18.05</v>
      </c>
      <c r="E581" s="286">
        <v>11.9</v>
      </c>
      <c r="F581" s="286">
        <v>0.64</v>
      </c>
      <c r="G581" s="286">
        <v>1.07</v>
      </c>
      <c r="H581" s="286">
        <v>-1.27</v>
      </c>
      <c r="I581" s="286">
        <v>1.91</v>
      </c>
      <c r="J581" s="286">
        <v>33.6</v>
      </c>
      <c r="K581" s="286">
        <v>0.9</v>
      </c>
      <c r="L581" s="286">
        <v>12.61</v>
      </c>
      <c r="M581" s="286" t="s">
        <v>65</v>
      </c>
    </row>
    <row r="582" spans="1:13" x14ac:dyDescent="0.25">
      <c r="A582" s="287" t="s">
        <v>778</v>
      </c>
      <c r="B582" s="286">
        <v>5.78</v>
      </c>
      <c r="C582" s="286">
        <v>29.63</v>
      </c>
      <c r="D582" s="286">
        <v>28.57</v>
      </c>
      <c r="E582" s="286">
        <v>15.13</v>
      </c>
      <c r="F582" s="286">
        <v>1.1599999999999999</v>
      </c>
      <c r="G582" s="286">
        <v>1.59</v>
      </c>
      <c r="H582" s="286">
        <v>2.02</v>
      </c>
      <c r="I582" s="286">
        <v>1.75</v>
      </c>
      <c r="J582" s="286">
        <v>43</v>
      </c>
      <c r="K582" s="286">
        <v>0.94</v>
      </c>
      <c r="L582" s="286">
        <v>16.399999999999999</v>
      </c>
      <c r="M582" s="286" t="s">
        <v>84</v>
      </c>
    </row>
    <row r="583" spans="1:13" x14ac:dyDescent="0.25">
      <c r="A583" s="287" t="s">
        <v>779</v>
      </c>
      <c r="B583" s="286">
        <v>10.5</v>
      </c>
      <c r="C583" s="286">
        <v>0</v>
      </c>
      <c r="D583" s="286">
        <v>0</v>
      </c>
      <c r="E583" s="286">
        <v>0</v>
      </c>
      <c r="F583" s="286">
        <v>0</v>
      </c>
      <c r="G583" s="286">
        <v>0</v>
      </c>
      <c r="H583" s="286">
        <v>0</v>
      </c>
      <c r="I583" s="286">
        <v>1.86</v>
      </c>
      <c r="J583" s="286">
        <v>48.4</v>
      </c>
      <c r="K583" s="286">
        <v>0</v>
      </c>
      <c r="L583" s="286">
        <v>0</v>
      </c>
      <c r="M583" s="286" t="s">
        <v>60</v>
      </c>
    </row>
    <row r="584" spans="1:13" x14ac:dyDescent="0.25">
      <c r="A584" s="287" t="s">
        <v>780</v>
      </c>
      <c r="B584" s="286">
        <v>3.5</v>
      </c>
      <c r="C584" s="286">
        <v>21.62</v>
      </c>
      <c r="D584" s="286">
        <v>23.56</v>
      </c>
      <c r="E584" s="286">
        <v>14.11</v>
      </c>
      <c r="F584" s="286">
        <v>0.84</v>
      </c>
      <c r="G584" s="286">
        <v>1.28</v>
      </c>
      <c r="H584" s="286">
        <v>-0.97</v>
      </c>
      <c r="I584" s="286">
        <v>2</v>
      </c>
      <c r="J584" s="286">
        <v>54.7</v>
      </c>
      <c r="K584" s="286">
        <v>0.9</v>
      </c>
      <c r="L584" s="286">
        <v>14.39</v>
      </c>
      <c r="M584" s="286" t="s">
        <v>89</v>
      </c>
    </row>
    <row r="585" spans="1:13" x14ac:dyDescent="0.25">
      <c r="A585" s="287" t="s">
        <v>781</v>
      </c>
      <c r="B585" s="286">
        <v>-1.36</v>
      </c>
      <c r="C585" s="286">
        <v>21.24</v>
      </c>
      <c r="D585" s="286">
        <v>22.14</v>
      </c>
      <c r="E585" s="286">
        <v>11.29</v>
      </c>
      <c r="F585" s="286">
        <v>0.73</v>
      </c>
      <c r="G585" s="286">
        <v>1.25</v>
      </c>
      <c r="H585" s="286">
        <v>0.16</v>
      </c>
      <c r="I585" s="286">
        <v>1.08</v>
      </c>
      <c r="J585" s="286">
        <v>27.6</v>
      </c>
      <c r="K585" s="286">
        <v>1.1200000000000001</v>
      </c>
      <c r="L585" s="286">
        <v>15.9</v>
      </c>
      <c r="M585" s="286" t="s">
        <v>65</v>
      </c>
    </row>
    <row r="586" spans="1:13" x14ac:dyDescent="0.25">
      <c r="A586" s="287" t="s">
        <v>782</v>
      </c>
      <c r="B586" s="286">
        <v>14.09</v>
      </c>
      <c r="C586" s="286">
        <v>23.64</v>
      </c>
      <c r="D586" s="286">
        <v>26.3</v>
      </c>
      <c r="E586" s="286">
        <v>0</v>
      </c>
      <c r="F586" s="286">
        <v>0.96</v>
      </c>
      <c r="G586" s="286">
        <v>1.63</v>
      </c>
      <c r="H586" s="286">
        <v>2.87</v>
      </c>
      <c r="I586" s="286">
        <v>1.89</v>
      </c>
      <c r="J586" s="286">
        <v>77.8</v>
      </c>
      <c r="K586" s="286">
        <v>0.87</v>
      </c>
      <c r="L586" s="286">
        <v>13.5</v>
      </c>
      <c r="M586" s="286" t="s">
        <v>58</v>
      </c>
    </row>
    <row r="587" spans="1:13" x14ac:dyDescent="0.25">
      <c r="A587" s="287" t="s">
        <v>783</v>
      </c>
      <c r="B587" s="286">
        <v>2.77</v>
      </c>
      <c r="C587" s="286">
        <v>26.42</v>
      </c>
      <c r="D587" s="286">
        <v>31.86</v>
      </c>
      <c r="E587" s="286">
        <v>14.68</v>
      </c>
      <c r="F587" s="286">
        <v>1.01</v>
      </c>
      <c r="G587" s="286">
        <v>1.39</v>
      </c>
      <c r="H587" s="286">
        <v>1.7</v>
      </c>
      <c r="I587" s="286">
        <v>1.94</v>
      </c>
      <c r="J587" s="286">
        <v>66</v>
      </c>
      <c r="K587" s="286">
        <v>0.8</v>
      </c>
      <c r="L587" s="286">
        <v>16.11</v>
      </c>
      <c r="M587" s="286" t="s">
        <v>103</v>
      </c>
    </row>
    <row r="588" spans="1:13" x14ac:dyDescent="0.25">
      <c r="A588" s="287" t="s">
        <v>1261</v>
      </c>
      <c r="B588" s="286">
        <v>6.94</v>
      </c>
      <c r="C588" s="286">
        <v>6.81</v>
      </c>
      <c r="D588" s="286">
        <v>5.5</v>
      </c>
      <c r="E588" s="286">
        <v>0</v>
      </c>
      <c r="F588" s="286">
        <v>0.41</v>
      </c>
      <c r="G588" s="286">
        <v>0.47</v>
      </c>
      <c r="H588" s="286">
        <v>1.39</v>
      </c>
      <c r="I588" s="286">
        <v>1.08</v>
      </c>
      <c r="J588" s="286">
        <v>485.29</v>
      </c>
      <c r="K588" s="286">
        <v>0.62</v>
      </c>
      <c r="L588" s="286">
        <v>0.51</v>
      </c>
      <c r="M588" s="286" t="s">
        <v>1166</v>
      </c>
    </row>
    <row r="589" spans="1:13" x14ac:dyDescent="0.25">
      <c r="A589" s="287" t="s">
        <v>784</v>
      </c>
      <c r="B589" s="286">
        <v>3.49</v>
      </c>
      <c r="C589" s="286">
        <v>13.56</v>
      </c>
      <c r="D589" s="286">
        <v>13.77</v>
      </c>
      <c r="E589" s="286">
        <v>0</v>
      </c>
      <c r="F589" s="286">
        <v>0.75</v>
      </c>
      <c r="G589" s="286">
        <v>1.2</v>
      </c>
      <c r="H589" s="286">
        <v>-0.03</v>
      </c>
      <c r="I589" s="286">
        <v>1.69</v>
      </c>
      <c r="J589" s="286">
        <v>29.31</v>
      </c>
      <c r="K589" s="286">
        <v>0.67</v>
      </c>
      <c r="L589" s="286">
        <v>7.07</v>
      </c>
      <c r="M589" s="286" t="s">
        <v>62</v>
      </c>
    </row>
    <row r="590" spans="1:13" x14ac:dyDescent="0.25">
      <c r="A590" s="287" t="s">
        <v>785</v>
      </c>
      <c r="B590" s="286">
        <v>0</v>
      </c>
      <c r="C590" s="286">
        <v>0</v>
      </c>
      <c r="D590" s="286">
        <v>0</v>
      </c>
      <c r="E590" s="286">
        <v>0</v>
      </c>
      <c r="F590" s="286">
        <v>0</v>
      </c>
      <c r="G590" s="286">
        <v>0</v>
      </c>
      <c r="H590" s="286">
        <v>0</v>
      </c>
      <c r="I590" s="286">
        <v>1.0900000000000001</v>
      </c>
      <c r="J590" s="286">
        <v>24.94</v>
      </c>
      <c r="K590" s="286">
        <v>0</v>
      </c>
      <c r="L590" s="286">
        <v>0</v>
      </c>
      <c r="M590" s="286" t="s">
        <v>71</v>
      </c>
    </row>
    <row r="591" spans="1:13" x14ac:dyDescent="0.25">
      <c r="A591" s="287" t="s">
        <v>786</v>
      </c>
      <c r="B591" s="286">
        <v>0</v>
      </c>
      <c r="C591" s="286">
        <v>0</v>
      </c>
      <c r="D591" s="286">
        <v>0</v>
      </c>
      <c r="E591" s="286">
        <v>0</v>
      </c>
      <c r="F591" s="286">
        <v>0</v>
      </c>
      <c r="G591" s="286">
        <v>0</v>
      </c>
      <c r="H591" s="286">
        <v>0</v>
      </c>
      <c r="I591" s="286">
        <v>1.08</v>
      </c>
      <c r="J591" s="286">
        <v>10.94</v>
      </c>
      <c r="K591" s="286">
        <v>0</v>
      </c>
      <c r="L591" s="286">
        <v>0</v>
      </c>
      <c r="M591" s="286" t="s">
        <v>58</v>
      </c>
    </row>
    <row r="592" spans="1:13" x14ac:dyDescent="0.25">
      <c r="A592" s="287" t="s">
        <v>787</v>
      </c>
      <c r="B592" s="286">
        <v>5.64</v>
      </c>
      <c r="C592" s="286">
        <v>17.079999999999998</v>
      </c>
      <c r="D592" s="286">
        <v>18.829999999999998</v>
      </c>
      <c r="E592" s="286">
        <v>11.91</v>
      </c>
      <c r="F592" s="286">
        <v>0.62</v>
      </c>
      <c r="G592" s="286">
        <v>1.02</v>
      </c>
      <c r="H592" s="286">
        <v>-1.55</v>
      </c>
      <c r="I592" s="286">
        <v>0.56999999999999995</v>
      </c>
      <c r="J592" s="286">
        <v>18.47</v>
      </c>
      <c r="K592" s="286">
        <v>0.91</v>
      </c>
      <c r="L592" s="286">
        <v>12.67</v>
      </c>
      <c r="M592" s="286" t="s">
        <v>65</v>
      </c>
    </row>
    <row r="593" spans="1:13" x14ac:dyDescent="0.25">
      <c r="A593" s="287" t="s">
        <v>788</v>
      </c>
      <c r="B593" s="286">
        <v>-2.95</v>
      </c>
      <c r="C593" s="286">
        <v>25.05</v>
      </c>
      <c r="D593" s="286">
        <v>0</v>
      </c>
      <c r="E593" s="286">
        <v>0</v>
      </c>
      <c r="F593" s="286">
        <v>1.03</v>
      </c>
      <c r="G593" s="286">
        <v>1.58</v>
      </c>
      <c r="H593" s="286">
        <v>3.75</v>
      </c>
      <c r="I593" s="286">
        <v>1.91</v>
      </c>
      <c r="J593" s="286">
        <v>56.39</v>
      </c>
      <c r="K593" s="286">
        <v>0.96</v>
      </c>
      <c r="L593" s="286">
        <v>14.41</v>
      </c>
      <c r="M593" s="286" t="s">
        <v>58</v>
      </c>
    </row>
    <row r="594" spans="1:13" x14ac:dyDescent="0.25">
      <c r="A594" s="287" t="s">
        <v>790</v>
      </c>
      <c r="B594" s="286">
        <v>-4.9400000000000004</v>
      </c>
      <c r="C594" s="286">
        <v>15.49</v>
      </c>
      <c r="D594" s="286">
        <v>20.059999999999999</v>
      </c>
      <c r="E594" s="286">
        <v>11.45</v>
      </c>
      <c r="F594" s="286">
        <v>0.45</v>
      </c>
      <c r="G594" s="286">
        <v>0.6</v>
      </c>
      <c r="H594" s="286">
        <v>-4.0199999999999996</v>
      </c>
      <c r="I594" s="286">
        <v>1.9</v>
      </c>
      <c r="J594" s="286">
        <v>28.68</v>
      </c>
      <c r="K594" s="286">
        <v>0.9</v>
      </c>
      <c r="L594" s="286">
        <v>14.08</v>
      </c>
      <c r="M594" s="286" t="s">
        <v>58</v>
      </c>
    </row>
    <row r="595" spans="1:13" x14ac:dyDescent="0.25">
      <c r="A595" s="287" t="s">
        <v>791</v>
      </c>
      <c r="B595" s="286">
        <v>7.74</v>
      </c>
      <c r="C595" s="286">
        <v>20.11</v>
      </c>
      <c r="D595" s="286">
        <v>19.38</v>
      </c>
      <c r="E595" s="286">
        <v>0</v>
      </c>
      <c r="F595" s="286">
        <v>0.85</v>
      </c>
      <c r="G595" s="286">
        <v>1.5</v>
      </c>
      <c r="H595" s="286">
        <v>1.19</v>
      </c>
      <c r="I595" s="286">
        <v>1.9</v>
      </c>
      <c r="J595" s="286">
        <v>37.840000000000003</v>
      </c>
      <c r="K595" s="286">
        <v>0.8</v>
      </c>
      <c r="L595" s="286">
        <v>12.22</v>
      </c>
      <c r="M595" s="286" t="s">
        <v>55</v>
      </c>
    </row>
    <row r="596" spans="1:13" x14ac:dyDescent="0.25">
      <c r="A596" s="287" t="s">
        <v>792</v>
      </c>
      <c r="B596" s="286">
        <v>0.74</v>
      </c>
      <c r="C596" s="286">
        <v>20.010000000000002</v>
      </c>
      <c r="D596" s="286">
        <v>22.08</v>
      </c>
      <c r="E596" s="286">
        <v>0</v>
      </c>
      <c r="F596" s="286">
        <v>0.73</v>
      </c>
      <c r="G596" s="286">
        <v>1.1100000000000001</v>
      </c>
      <c r="H596" s="286">
        <v>-0.4</v>
      </c>
      <c r="I596" s="286">
        <v>2.04</v>
      </c>
      <c r="J596" s="286">
        <v>40.42</v>
      </c>
      <c r="K596" s="286">
        <v>0.93</v>
      </c>
      <c r="L596" s="286">
        <v>14.17</v>
      </c>
      <c r="M596" s="286" t="s">
        <v>55</v>
      </c>
    </row>
    <row r="597" spans="1:13" x14ac:dyDescent="0.25">
      <c r="A597" s="287" t="s">
        <v>793</v>
      </c>
      <c r="B597" s="286">
        <v>-5.82</v>
      </c>
      <c r="C597" s="286">
        <v>0</v>
      </c>
      <c r="D597" s="286">
        <v>0</v>
      </c>
      <c r="E597" s="286">
        <v>0</v>
      </c>
      <c r="F597" s="286">
        <v>0</v>
      </c>
      <c r="G597" s="286">
        <v>0</v>
      </c>
      <c r="H597" s="286">
        <v>0</v>
      </c>
      <c r="I597" s="286">
        <v>2.36</v>
      </c>
      <c r="J597" s="286">
        <v>6.42</v>
      </c>
      <c r="K597" s="286">
        <v>0</v>
      </c>
      <c r="L597" s="286">
        <v>0</v>
      </c>
      <c r="M597" s="286" t="s">
        <v>58</v>
      </c>
    </row>
    <row r="598" spans="1:13" x14ac:dyDescent="0.25">
      <c r="A598" s="287" t="s">
        <v>1250</v>
      </c>
      <c r="B598" s="286">
        <v>2.8</v>
      </c>
      <c r="C598" s="286">
        <v>15.77</v>
      </c>
      <c r="D598" s="286">
        <v>17.16</v>
      </c>
      <c r="E598" s="286">
        <v>9.93</v>
      </c>
      <c r="F598" s="286">
        <v>0.71</v>
      </c>
      <c r="G598" s="286">
        <v>1.1000000000000001</v>
      </c>
      <c r="H598" s="286">
        <v>-0.75</v>
      </c>
      <c r="I598" s="286">
        <v>1.92</v>
      </c>
      <c r="J598" s="286">
        <v>27.99</v>
      </c>
      <c r="K598" s="286">
        <v>0.85</v>
      </c>
      <c r="L598" s="286">
        <v>10.4</v>
      </c>
      <c r="M598" s="286" t="s">
        <v>1168</v>
      </c>
    </row>
    <row r="599" spans="1:13" x14ac:dyDescent="0.25">
      <c r="A599" s="287" t="s">
        <v>795</v>
      </c>
      <c r="B599" s="286">
        <v>0</v>
      </c>
      <c r="C599" s="286">
        <v>0</v>
      </c>
      <c r="D599" s="286">
        <v>0</v>
      </c>
      <c r="E599" s="286">
        <v>0</v>
      </c>
      <c r="F599" s="286">
        <v>0</v>
      </c>
      <c r="G599" s="286">
        <v>0</v>
      </c>
      <c r="H599" s="286">
        <v>0</v>
      </c>
      <c r="I599" s="286">
        <v>2.0299999999999998</v>
      </c>
      <c r="J599" s="286">
        <v>10.08</v>
      </c>
      <c r="K599" s="286">
        <v>0</v>
      </c>
      <c r="L599" s="286">
        <v>0</v>
      </c>
      <c r="M599" s="286" t="s">
        <v>58</v>
      </c>
    </row>
    <row r="600" spans="1:13" x14ac:dyDescent="0.25">
      <c r="A600" s="287" t="s">
        <v>796</v>
      </c>
      <c r="B600" s="286">
        <v>1.58</v>
      </c>
      <c r="C600" s="286">
        <v>19.55</v>
      </c>
      <c r="D600" s="286">
        <v>20.98</v>
      </c>
      <c r="E600" s="286">
        <v>11.77</v>
      </c>
      <c r="F600" s="286">
        <v>0.74</v>
      </c>
      <c r="G600" s="286">
        <v>1.21</v>
      </c>
      <c r="H600" s="286">
        <v>-0.04</v>
      </c>
      <c r="I600" s="286">
        <v>2.0099999999999998</v>
      </c>
      <c r="J600" s="286">
        <v>40.67</v>
      </c>
      <c r="K600" s="286">
        <v>0.98</v>
      </c>
      <c r="L600" s="286">
        <v>13.6</v>
      </c>
      <c r="M600" s="286" t="s">
        <v>65</v>
      </c>
    </row>
    <row r="601" spans="1:13" x14ac:dyDescent="0.25">
      <c r="A601" s="287" t="s">
        <v>797</v>
      </c>
      <c r="B601" s="286">
        <v>1.46</v>
      </c>
      <c r="C601" s="286">
        <v>21.4</v>
      </c>
      <c r="D601" s="286">
        <v>22.03</v>
      </c>
      <c r="E601" s="286">
        <v>13.55</v>
      </c>
      <c r="F601" s="286">
        <v>0.89</v>
      </c>
      <c r="G601" s="286">
        <v>1.47</v>
      </c>
      <c r="H601" s="286">
        <v>1.96</v>
      </c>
      <c r="I601" s="286">
        <v>1.75</v>
      </c>
      <c r="J601" s="286">
        <v>12.1</v>
      </c>
      <c r="K601" s="286">
        <v>0.89</v>
      </c>
      <c r="L601" s="286">
        <v>13.26</v>
      </c>
      <c r="M601" s="286" t="s">
        <v>71</v>
      </c>
    </row>
    <row r="602" spans="1:13" x14ac:dyDescent="0.25">
      <c r="A602" s="287" t="s">
        <v>798</v>
      </c>
      <c r="B602" s="286">
        <v>-2.96</v>
      </c>
      <c r="C602" s="286">
        <v>25.6</v>
      </c>
      <c r="D602" s="286">
        <v>26.4</v>
      </c>
      <c r="E602" s="286">
        <v>15.37</v>
      </c>
      <c r="F602" s="286">
        <v>0.96</v>
      </c>
      <c r="G602" s="286">
        <v>1.38</v>
      </c>
      <c r="H602" s="286">
        <v>-1.44</v>
      </c>
      <c r="I602" s="286">
        <v>1.85</v>
      </c>
      <c r="J602" s="286">
        <v>31.34</v>
      </c>
      <c r="K602" s="286">
        <v>0.91</v>
      </c>
      <c r="L602" s="286">
        <v>15.64</v>
      </c>
      <c r="M602" s="286" t="s">
        <v>84</v>
      </c>
    </row>
    <row r="603" spans="1:13" x14ac:dyDescent="0.25">
      <c r="A603" s="287" t="s">
        <v>799</v>
      </c>
      <c r="B603" s="286">
        <v>5.89</v>
      </c>
      <c r="C603" s="286">
        <v>17.23</v>
      </c>
      <c r="D603" s="286">
        <v>18.059999999999999</v>
      </c>
      <c r="E603" s="286">
        <v>0</v>
      </c>
      <c r="F603" s="286">
        <v>0.96</v>
      </c>
      <c r="G603" s="286">
        <v>1.55</v>
      </c>
      <c r="H603" s="286">
        <v>0.55000000000000004</v>
      </c>
      <c r="I603" s="286">
        <v>1.84</v>
      </c>
      <c r="J603" s="286">
        <v>18.739999999999998</v>
      </c>
      <c r="K603" s="286">
        <v>0.86</v>
      </c>
      <c r="L603" s="286">
        <v>8.5399999999999991</v>
      </c>
      <c r="M603" s="286" t="s">
        <v>60</v>
      </c>
    </row>
    <row r="604" spans="1:13" x14ac:dyDescent="0.25">
      <c r="A604" s="287" t="s">
        <v>800</v>
      </c>
      <c r="B604" s="286">
        <v>-2.99</v>
      </c>
      <c r="C604" s="286">
        <v>0</v>
      </c>
      <c r="D604" s="286">
        <v>0</v>
      </c>
      <c r="E604" s="286">
        <v>0</v>
      </c>
      <c r="F604" s="286">
        <v>0</v>
      </c>
      <c r="G604" s="286">
        <v>0</v>
      </c>
      <c r="H604" s="286">
        <v>0</v>
      </c>
      <c r="I604" s="286">
        <v>1.88</v>
      </c>
      <c r="J604" s="286">
        <v>42.93</v>
      </c>
      <c r="K604" s="286">
        <v>0</v>
      </c>
      <c r="L604" s="286">
        <v>0</v>
      </c>
      <c r="M604" s="286" t="s">
        <v>89</v>
      </c>
    </row>
    <row r="605" spans="1:13" x14ac:dyDescent="0.25">
      <c r="A605" s="287" t="s">
        <v>801</v>
      </c>
      <c r="B605" s="286">
        <v>0</v>
      </c>
      <c r="C605" s="286">
        <v>0</v>
      </c>
      <c r="D605" s="286">
        <v>0</v>
      </c>
      <c r="E605" s="286">
        <v>0</v>
      </c>
      <c r="F605" s="286">
        <v>0</v>
      </c>
      <c r="G605" s="286">
        <v>0</v>
      </c>
      <c r="H605" s="286">
        <v>0</v>
      </c>
      <c r="I605" s="286">
        <v>1.1100000000000001</v>
      </c>
      <c r="J605" s="286">
        <v>142.84</v>
      </c>
      <c r="K605" s="286">
        <v>0</v>
      </c>
      <c r="L605" s="286">
        <v>0</v>
      </c>
      <c r="M605" s="286" t="s">
        <v>71</v>
      </c>
    </row>
    <row r="606" spans="1:13" x14ac:dyDescent="0.25">
      <c r="A606" s="287" t="s">
        <v>802</v>
      </c>
      <c r="B606" s="286">
        <v>-1.28</v>
      </c>
      <c r="C606" s="286">
        <v>0</v>
      </c>
      <c r="D606" s="286">
        <v>0</v>
      </c>
      <c r="E606" s="286">
        <v>0</v>
      </c>
      <c r="F606" s="286">
        <v>0</v>
      </c>
      <c r="G606" s="286">
        <v>0</v>
      </c>
      <c r="H606" s="286">
        <v>0</v>
      </c>
      <c r="I606" s="286">
        <v>1.1100000000000001</v>
      </c>
      <c r="J606" s="286">
        <v>37.229999999999997</v>
      </c>
      <c r="K606" s="286">
        <v>0</v>
      </c>
      <c r="L606" s="286">
        <v>0</v>
      </c>
      <c r="M606" s="286" t="s">
        <v>58</v>
      </c>
    </row>
    <row r="607" spans="1:13" x14ac:dyDescent="0.25">
      <c r="A607" s="287" t="s">
        <v>803</v>
      </c>
      <c r="B607" s="286">
        <v>6.44</v>
      </c>
      <c r="C607" s="286">
        <v>18.579999999999998</v>
      </c>
      <c r="D607" s="286">
        <v>20.64</v>
      </c>
      <c r="E607" s="286">
        <v>0</v>
      </c>
      <c r="F607" s="286">
        <v>0.69</v>
      </c>
      <c r="G607" s="286">
        <v>1.17</v>
      </c>
      <c r="H607" s="286">
        <v>-0.76</v>
      </c>
      <c r="I607" s="286">
        <v>0.06</v>
      </c>
      <c r="J607" s="286">
        <v>9.76</v>
      </c>
      <c r="K607" s="286">
        <v>0.95</v>
      </c>
      <c r="L607" s="286">
        <v>13.1</v>
      </c>
      <c r="M607" s="286" t="s">
        <v>65</v>
      </c>
    </row>
    <row r="608" spans="1:13" x14ac:dyDescent="0.25">
      <c r="A608" s="287" t="s">
        <v>804</v>
      </c>
      <c r="B608" s="286">
        <v>5.85</v>
      </c>
      <c r="C608" s="286">
        <v>17.96</v>
      </c>
      <c r="D608" s="286">
        <v>19.850000000000001</v>
      </c>
      <c r="E608" s="286">
        <v>12.12</v>
      </c>
      <c r="F608" s="286">
        <v>0.64</v>
      </c>
      <c r="G608" s="286">
        <v>1.1000000000000001</v>
      </c>
      <c r="H608" s="286">
        <v>-1.29</v>
      </c>
      <c r="I608" s="286">
        <v>0.51</v>
      </c>
      <c r="J608" s="286">
        <v>10.72</v>
      </c>
      <c r="K608" s="286">
        <v>0.95</v>
      </c>
      <c r="L608" s="286">
        <v>13.1</v>
      </c>
      <c r="M608" s="286" t="s">
        <v>65</v>
      </c>
    </row>
    <row r="609" spans="1:13" x14ac:dyDescent="0.25">
      <c r="A609" s="287" t="s">
        <v>805</v>
      </c>
      <c r="B609" s="286">
        <v>-7.99</v>
      </c>
      <c r="C609" s="286">
        <v>0</v>
      </c>
      <c r="D609" s="286">
        <v>0</v>
      </c>
      <c r="E609" s="286">
        <v>0</v>
      </c>
      <c r="F609" s="286">
        <v>0</v>
      </c>
      <c r="G609" s="286">
        <v>0</v>
      </c>
      <c r="H609" s="286">
        <v>0</v>
      </c>
      <c r="I609" s="286">
        <v>1.1100000000000001</v>
      </c>
      <c r="J609" s="286">
        <v>17.18</v>
      </c>
      <c r="K609" s="286">
        <v>0</v>
      </c>
      <c r="L609" s="286">
        <v>0</v>
      </c>
      <c r="M609" s="286" t="s">
        <v>58</v>
      </c>
    </row>
    <row r="610" spans="1:13" x14ac:dyDescent="0.25">
      <c r="A610" s="287" t="s">
        <v>806</v>
      </c>
      <c r="B610" s="286">
        <v>0</v>
      </c>
      <c r="C610" s="286">
        <v>0</v>
      </c>
      <c r="D610" s="286">
        <v>0</v>
      </c>
      <c r="E610" s="286">
        <v>0</v>
      </c>
      <c r="F610" s="286">
        <v>0</v>
      </c>
      <c r="G610" s="286">
        <v>0</v>
      </c>
      <c r="H610" s="286">
        <v>0</v>
      </c>
      <c r="I610" s="286">
        <v>1.1200000000000001</v>
      </c>
      <c r="J610" s="286">
        <v>20.149999999999999</v>
      </c>
      <c r="K610" s="286">
        <v>0</v>
      </c>
      <c r="L610" s="286">
        <v>0</v>
      </c>
      <c r="M610" s="286" t="s">
        <v>58</v>
      </c>
    </row>
    <row r="611" spans="1:13" x14ac:dyDescent="0.25">
      <c r="A611" s="287" t="s">
        <v>807</v>
      </c>
      <c r="B611" s="286">
        <v>0</v>
      </c>
      <c r="C611" s="286">
        <v>0</v>
      </c>
      <c r="D611" s="286">
        <v>0</v>
      </c>
      <c r="E611" s="286">
        <v>0</v>
      </c>
      <c r="F611" s="286">
        <v>0</v>
      </c>
      <c r="G611" s="286">
        <v>0</v>
      </c>
      <c r="H611" s="286">
        <v>0</v>
      </c>
      <c r="I611" s="286">
        <v>1.1100000000000001</v>
      </c>
      <c r="J611" s="286">
        <v>55.47</v>
      </c>
      <c r="K611" s="286">
        <v>0</v>
      </c>
      <c r="L611" s="286">
        <v>0</v>
      </c>
      <c r="M611" s="286" t="s">
        <v>58</v>
      </c>
    </row>
    <row r="612" spans="1:13" x14ac:dyDescent="0.25">
      <c r="A612" s="287" t="s">
        <v>808</v>
      </c>
      <c r="B612" s="286">
        <v>0</v>
      </c>
      <c r="C612" s="286">
        <v>0</v>
      </c>
      <c r="D612" s="286">
        <v>0</v>
      </c>
      <c r="E612" s="286">
        <v>0</v>
      </c>
      <c r="F612" s="286">
        <v>0</v>
      </c>
      <c r="G612" s="286">
        <v>0</v>
      </c>
      <c r="H612" s="286">
        <v>0</v>
      </c>
      <c r="I612" s="286">
        <v>0</v>
      </c>
      <c r="J612" s="286">
        <v>0</v>
      </c>
      <c r="K612" s="286">
        <v>0</v>
      </c>
      <c r="L612" s="286">
        <v>0</v>
      </c>
      <c r="M612" s="286" t="s">
        <v>84</v>
      </c>
    </row>
    <row r="613" spans="1:13" x14ac:dyDescent="0.25">
      <c r="A613" s="287" t="s">
        <v>809</v>
      </c>
      <c r="B613" s="286">
        <v>-3.9</v>
      </c>
      <c r="C613" s="286">
        <v>0</v>
      </c>
      <c r="D613" s="286">
        <v>0</v>
      </c>
      <c r="E613" s="286">
        <v>0</v>
      </c>
      <c r="F613" s="286">
        <v>0</v>
      </c>
      <c r="G613" s="286">
        <v>0</v>
      </c>
      <c r="H613" s="286">
        <v>0</v>
      </c>
      <c r="I613" s="286">
        <v>1.05</v>
      </c>
      <c r="J613" s="286">
        <v>87.08</v>
      </c>
      <c r="K613" s="286">
        <v>0</v>
      </c>
      <c r="L613" s="286">
        <v>0</v>
      </c>
      <c r="M613" s="286" t="s">
        <v>84</v>
      </c>
    </row>
    <row r="614" spans="1:13" x14ac:dyDescent="0.25">
      <c r="A614" s="287" t="s">
        <v>810</v>
      </c>
      <c r="B614" s="286">
        <v>-12.08</v>
      </c>
      <c r="C614" s="286">
        <v>0</v>
      </c>
      <c r="D614" s="286">
        <v>0</v>
      </c>
      <c r="E614" s="286">
        <v>0</v>
      </c>
      <c r="F614" s="286">
        <v>0</v>
      </c>
      <c r="G614" s="286">
        <v>0</v>
      </c>
      <c r="H614" s="286">
        <v>0</v>
      </c>
      <c r="I614" s="286">
        <v>1.1100000000000001</v>
      </c>
      <c r="J614" s="286">
        <v>97.24</v>
      </c>
      <c r="K614" s="286">
        <v>0</v>
      </c>
      <c r="L614" s="286">
        <v>0</v>
      </c>
      <c r="M614" s="286" t="s">
        <v>58</v>
      </c>
    </row>
    <row r="615" spans="1:13" x14ac:dyDescent="0.25">
      <c r="A615" s="287" t="s">
        <v>1251</v>
      </c>
      <c r="B615" s="286">
        <v>5.49</v>
      </c>
      <c r="C615" s="286">
        <v>10.01</v>
      </c>
      <c r="D615" s="286">
        <v>8.33</v>
      </c>
      <c r="E615" s="286">
        <v>7.84</v>
      </c>
      <c r="F615" s="286">
        <v>0.59</v>
      </c>
      <c r="G615" s="286">
        <v>0.84</v>
      </c>
      <c r="H615" s="286">
        <v>-1.1200000000000001</v>
      </c>
      <c r="I615" s="286">
        <v>2.17</v>
      </c>
      <c r="J615" s="286">
        <v>4</v>
      </c>
      <c r="K615" s="286">
        <v>1.03</v>
      </c>
      <c r="L615" s="286">
        <v>4.5</v>
      </c>
      <c r="M615" s="286" t="s">
        <v>1169</v>
      </c>
    </row>
    <row r="616" spans="1:13" x14ac:dyDescent="0.25">
      <c r="A616" s="287" t="s">
        <v>1252</v>
      </c>
      <c r="B616" s="286">
        <v>6.02</v>
      </c>
      <c r="C616" s="286">
        <v>19.12</v>
      </c>
      <c r="D616" s="286">
        <v>17.2</v>
      </c>
      <c r="E616" s="286">
        <v>12.21</v>
      </c>
      <c r="F616" s="286">
        <v>0.84</v>
      </c>
      <c r="G616" s="286">
        <v>1.1299999999999999</v>
      </c>
      <c r="H616" s="286">
        <v>1.03</v>
      </c>
      <c r="I616" s="286">
        <v>2</v>
      </c>
      <c r="J616" s="286">
        <v>41.18</v>
      </c>
      <c r="K616" s="286">
        <v>0.9</v>
      </c>
      <c r="L616" s="286">
        <v>11.59</v>
      </c>
      <c r="M616" s="286" t="s">
        <v>1168</v>
      </c>
    </row>
    <row r="617" spans="1:13" x14ac:dyDescent="0.25">
      <c r="A617" s="287" t="s">
        <v>812</v>
      </c>
      <c r="B617" s="286">
        <v>4.6100000000000003</v>
      </c>
      <c r="C617" s="286">
        <v>20.98</v>
      </c>
      <c r="D617" s="286">
        <v>18.7</v>
      </c>
      <c r="E617" s="286">
        <v>13.55</v>
      </c>
      <c r="F617" s="286">
        <v>0.81</v>
      </c>
      <c r="G617" s="286">
        <v>1.06</v>
      </c>
      <c r="H617" s="286">
        <v>0.99</v>
      </c>
      <c r="I617" s="286">
        <v>2</v>
      </c>
      <c r="J617" s="286">
        <v>52.69</v>
      </c>
      <c r="K617" s="286">
        <v>0.88</v>
      </c>
      <c r="L617" s="286">
        <v>13.75</v>
      </c>
      <c r="M617" s="286" t="s">
        <v>55</v>
      </c>
    </row>
    <row r="618" spans="1:13" x14ac:dyDescent="0.25">
      <c r="A618" s="287" t="s">
        <v>813</v>
      </c>
      <c r="B618" s="286">
        <v>2.5099999999999998</v>
      </c>
      <c r="C618" s="286">
        <v>27.38</v>
      </c>
      <c r="D618" s="286">
        <v>33.07</v>
      </c>
      <c r="E618" s="286">
        <v>0</v>
      </c>
      <c r="F618" s="286">
        <v>1.06</v>
      </c>
      <c r="G618" s="286">
        <v>1.47</v>
      </c>
      <c r="H618" s="286">
        <v>3.11</v>
      </c>
      <c r="I618" s="286">
        <v>1.68</v>
      </c>
      <c r="J618" s="286">
        <v>10.8</v>
      </c>
      <c r="K618" s="286">
        <v>0.78</v>
      </c>
      <c r="L618" s="286">
        <v>16.37</v>
      </c>
      <c r="M618" s="286" t="s">
        <v>103</v>
      </c>
    </row>
    <row r="619" spans="1:13" x14ac:dyDescent="0.25">
      <c r="A619" s="287" t="s">
        <v>814</v>
      </c>
      <c r="B619" s="286">
        <v>3.13</v>
      </c>
      <c r="C619" s="286">
        <v>19.7</v>
      </c>
      <c r="D619" s="286">
        <v>20.68</v>
      </c>
      <c r="E619" s="286">
        <v>11.37</v>
      </c>
      <c r="F619" s="286">
        <v>0.74</v>
      </c>
      <c r="G619" s="286">
        <v>1.1599999999999999</v>
      </c>
      <c r="H619" s="286">
        <v>-0.36</v>
      </c>
      <c r="I619" s="286">
        <v>2.58</v>
      </c>
      <c r="J619" s="286">
        <v>38.68</v>
      </c>
      <c r="K619" s="286">
        <v>0.9</v>
      </c>
      <c r="L619" s="286">
        <v>13.53</v>
      </c>
      <c r="M619" s="286" t="s">
        <v>55</v>
      </c>
    </row>
    <row r="620" spans="1:13" x14ac:dyDescent="0.25">
      <c r="A620" s="287" t="s">
        <v>815</v>
      </c>
      <c r="B620" s="286">
        <v>-0.92</v>
      </c>
      <c r="C620" s="286">
        <v>18.93</v>
      </c>
      <c r="D620" s="286">
        <v>19.829999999999998</v>
      </c>
      <c r="E620" s="286">
        <v>11.94</v>
      </c>
      <c r="F620" s="286">
        <v>0.66</v>
      </c>
      <c r="G620" s="286">
        <v>0.94</v>
      </c>
      <c r="H620" s="286">
        <v>-0.94</v>
      </c>
      <c r="I620" s="286">
        <v>2.39</v>
      </c>
      <c r="J620" s="286">
        <v>114</v>
      </c>
      <c r="K620" s="286">
        <v>0.93</v>
      </c>
      <c r="L620" s="286">
        <v>14.82</v>
      </c>
      <c r="M620" s="286" t="s">
        <v>58</v>
      </c>
    </row>
    <row r="621" spans="1:13" x14ac:dyDescent="0.25">
      <c r="A621" s="287" t="s">
        <v>816</v>
      </c>
      <c r="B621" s="286">
        <v>-2.2000000000000002</v>
      </c>
      <c r="C621" s="286">
        <v>19.62</v>
      </c>
      <c r="D621" s="286">
        <v>19.02</v>
      </c>
      <c r="E621" s="286">
        <v>9.09</v>
      </c>
      <c r="F621" s="286">
        <v>0.63</v>
      </c>
      <c r="G621" s="286">
        <v>0.95</v>
      </c>
      <c r="H621" s="286">
        <v>-1.88</v>
      </c>
      <c r="I621" s="286">
        <v>2.64</v>
      </c>
      <c r="J621" s="286">
        <v>72</v>
      </c>
      <c r="K621" s="286">
        <v>1.02</v>
      </c>
      <c r="L621" s="286">
        <v>15.7</v>
      </c>
      <c r="M621" s="286" t="s">
        <v>55</v>
      </c>
    </row>
    <row r="622" spans="1:13" x14ac:dyDescent="0.25">
      <c r="A622" s="287" t="s">
        <v>817</v>
      </c>
      <c r="B622" s="286">
        <v>1.1499999999999999</v>
      </c>
      <c r="C622" s="286">
        <v>20.29</v>
      </c>
      <c r="D622" s="286">
        <v>18.95</v>
      </c>
      <c r="E622" s="286">
        <v>9.3699999999999992</v>
      </c>
      <c r="F622" s="286">
        <v>0.63</v>
      </c>
      <c r="G622" s="286">
        <v>0.99</v>
      </c>
      <c r="H622" s="286">
        <v>-1</v>
      </c>
      <c r="I622" s="286">
        <v>2.59</v>
      </c>
      <c r="J622" s="286">
        <v>87</v>
      </c>
      <c r="K622" s="286">
        <v>1.1000000000000001</v>
      </c>
      <c r="L622" s="286">
        <v>16.489999999999998</v>
      </c>
      <c r="M622" s="286" t="s">
        <v>65</v>
      </c>
    </row>
    <row r="623" spans="1:13" x14ac:dyDescent="0.25">
      <c r="A623" s="287" t="s">
        <v>818</v>
      </c>
      <c r="B623" s="286">
        <v>-4.28</v>
      </c>
      <c r="C623" s="286">
        <v>23.41</v>
      </c>
      <c r="D623" s="286">
        <v>23.41</v>
      </c>
      <c r="E623" s="286">
        <v>14.62</v>
      </c>
      <c r="F623" s="286">
        <v>0.82</v>
      </c>
      <c r="G623" s="286">
        <v>1.44</v>
      </c>
      <c r="H623" s="286">
        <v>-3.52</v>
      </c>
      <c r="I623" s="286">
        <v>2.56</v>
      </c>
      <c r="J623" s="286">
        <v>81</v>
      </c>
      <c r="K623" s="286">
        <v>0.99</v>
      </c>
      <c r="L623" s="286">
        <v>17.48</v>
      </c>
      <c r="M623" s="286" t="s">
        <v>84</v>
      </c>
    </row>
    <row r="624" spans="1:13" x14ac:dyDescent="0.25">
      <c r="A624" s="287" t="s">
        <v>819</v>
      </c>
      <c r="B624" s="286">
        <v>5.31</v>
      </c>
      <c r="C624" s="286">
        <v>17.27</v>
      </c>
      <c r="D624" s="286">
        <v>19.600000000000001</v>
      </c>
      <c r="E624" s="286">
        <v>11.84</v>
      </c>
      <c r="F624" s="286">
        <v>0.61</v>
      </c>
      <c r="G624" s="286">
        <v>1.05</v>
      </c>
      <c r="H624" s="286">
        <v>-1.78</v>
      </c>
      <c r="I624" s="286">
        <v>1.07</v>
      </c>
      <c r="J624" s="286">
        <v>8</v>
      </c>
      <c r="K624" s="286">
        <v>0.94</v>
      </c>
      <c r="L624" s="286">
        <v>13.02</v>
      </c>
      <c r="M624" s="286" t="s">
        <v>65</v>
      </c>
    </row>
    <row r="625" spans="1:13" x14ac:dyDescent="0.25">
      <c r="A625" s="287" t="s">
        <v>821</v>
      </c>
      <c r="B625" s="286">
        <v>3.98</v>
      </c>
      <c r="C625" s="286">
        <v>0</v>
      </c>
      <c r="D625" s="286">
        <v>0</v>
      </c>
      <c r="E625" s="286">
        <v>0</v>
      </c>
      <c r="F625" s="286">
        <v>0</v>
      </c>
      <c r="G625" s="286">
        <v>0</v>
      </c>
      <c r="H625" s="286">
        <v>0</v>
      </c>
      <c r="I625" s="286">
        <v>2.12</v>
      </c>
      <c r="J625" s="286">
        <v>259</v>
      </c>
      <c r="K625" s="286">
        <v>0</v>
      </c>
      <c r="L625" s="286">
        <v>0</v>
      </c>
      <c r="M625" s="286" t="s">
        <v>55</v>
      </c>
    </row>
    <row r="626" spans="1:13" x14ac:dyDescent="0.25">
      <c r="A626" s="287" t="s">
        <v>822</v>
      </c>
      <c r="B626" s="286">
        <v>0</v>
      </c>
      <c r="C626" s="286">
        <v>0</v>
      </c>
      <c r="D626" s="286">
        <v>0</v>
      </c>
      <c r="E626" s="286">
        <v>0</v>
      </c>
      <c r="F626" s="286">
        <v>0</v>
      </c>
      <c r="G626" s="286">
        <v>0</v>
      </c>
      <c r="H626" s="286">
        <v>0</v>
      </c>
      <c r="I626" s="286">
        <v>2.17</v>
      </c>
      <c r="J626" s="286">
        <v>0</v>
      </c>
      <c r="K626" s="286">
        <v>0</v>
      </c>
      <c r="L626" s="286">
        <v>0</v>
      </c>
      <c r="M626" s="286" t="s">
        <v>103</v>
      </c>
    </row>
    <row r="627" spans="1:13" x14ac:dyDescent="0.25">
      <c r="A627" s="287" t="s">
        <v>823</v>
      </c>
      <c r="B627" s="286">
        <v>0</v>
      </c>
      <c r="C627" s="286">
        <v>0</v>
      </c>
      <c r="D627" s="286">
        <v>0</v>
      </c>
      <c r="E627" s="286">
        <v>0</v>
      </c>
      <c r="F627" s="286">
        <v>0</v>
      </c>
      <c r="G627" s="286">
        <v>0</v>
      </c>
      <c r="H627" s="286">
        <v>0</v>
      </c>
      <c r="I627" s="286">
        <v>1.52</v>
      </c>
      <c r="J627" s="286">
        <v>0</v>
      </c>
      <c r="K627" s="286">
        <v>0</v>
      </c>
      <c r="L627" s="286">
        <v>0</v>
      </c>
      <c r="M627" s="286" t="s">
        <v>62</v>
      </c>
    </row>
    <row r="628" spans="1:13" x14ac:dyDescent="0.25">
      <c r="A628" s="287" t="s">
        <v>824</v>
      </c>
      <c r="B628" s="286">
        <v>0</v>
      </c>
      <c r="C628" s="286">
        <v>0</v>
      </c>
      <c r="D628" s="286">
        <v>0</v>
      </c>
      <c r="E628" s="286">
        <v>0</v>
      </c>
      <c r="F628" s="286">
        <v>0</v>
      </c>
      <c r="G628" s="286">
        <v>0</v>
      </c>
      <c r="H628" s="286">
        <v>0</v>
      </c>
      <c r="I628" s="286">
        <v>0</v>
      </c>
      <c r="J628" s="286">
        <v>0</v>
      </c>
      <c r="K628" s="286">
        <v>0</v>
      </c>
      <c r="L628" s="286">
        <v>0</v>
      </c>
      <c r="M628" s="286" t="s">
        <v>55</v>
      </c>
    </row>
    <row r="629" spans="1:13" x14ac:dyDescent="0.25">
      <c r="A629" s="287" t="s">
        <v>825</v>
      </c>
      <c r="B629" s="286">
        <v>0</v>
      </c>
      <c r="C629" s="286">
        <v>0</v>
      </c>
      <c r="D629" s="286">
        <v>0</v>
      </c>
      <c r="E629" s="286">
        <v>0</v>
      </c>
      <c r="F629" s="286">
        <v>0</v>
      </c>
      <c r="G629" s="286">
        <v>0</v>
      </c>
      <c r="H629" s="286">
        <v>0</v>
      </c>
      <c r="I629" s="286">
        <v>2.44</v>
      </c>
      <c r="J629" s="286">
        <v>0</v>
      </c>
      <c r="K629" s="286">
        <v>0</v>
      </c>
      <c r="L629" s="286">
        <v>0</v>
      </c>
      <c r="M629" s="286" t="s">
        <v>58</v>
      </c>
    </row>
    <row r="630" spans="1:13" x14ac:dyDescent="0.25">
      <c r="A630" s="287" t="s">
        <v>1254</v>
      </c>
      <c r="B630" s="286">
        <v>5.6</v>
      </c>
      <c r="C630" s="286">
        <v>16.71</v>
      </c>
      <c r="D630" s="286">
        <v>0</v>
      </c>
      <c r="E630" s="286">
        <v>0</v>
      </c>
      <c r="F630" s="286">
        <v>0.74</v>
      </c>
      <c r="G630" s="286">
        <v>1.1399999999999999</v>
      </c>
      <c r="H630" s="286">
        <v>-0.46</v>
      </c>
      <c r="I630" s="286">
        <v>2.37</v>
      </c>
      <c r="J630" s="286">
        <v>65</v>
      </c>
      <c r="K630" s="286">
        <v>0.88</v>
      </c>
      <c r="L630" s="286">
        <v>10.76</v>
      </c>
      <c r="M630" s="286" t="s">
        <v>1168</v>
      </c>
    </row>
    <row r="631" spans="1:13" x14ac:dyDescent="0.25">
      <c r="A631" s="287" t="s">
        <v>1262</v>
      </c>
      <c r="B631" s="286">
        <v>6.69</v>
      </c>
      <c r="C631" s="286">
        <v>6.71</v>
      </c>
      <c r="D631" s="286">
        <v>5.31</v>
      </c>
      <c r="E631" s="286">
        <v>0</v>
      </c>
      <c r="F631" s="286">
        <v>0.23</v>
      </c>
      <c r="G631" s="286">
        <v>0.27</v>
      </c>
      <c r="H631" s="286">
        <v>1.1000000000000001</v>
      </c>
      <c r="I631" s="286">
        <v>1.07</v>
      </c>
      <c r="J631" s="286" t="s">
        <v>1263</v>
      </c>
      <c r="K631" s="286">
        <v>0.51</v>
      </c>
      <c r="L631" s="286">
        <v>0.56000000000000005</v>
      </c>
      <c r="M631" s="286" t="s">
        <v>1166</v>
      </c>
    </row>
    <row r="632" spans="1:13" x14ac:dyDescent="0.25">
      <c r="A632" s="287" t="s">
        <v>826</v>
      </c>
      <c r="B632" s="286">
        <v>3.87</v>
      </c>
      <c r="C632" s="286">
        <v>12.11</v>
      </c>
      <c r="D632" s="286">
        <v>12.34</v>
      </c>
      <c r="E632" s="286">
        <v>0</v>
      </c>
      <c r="F632" s="286">
        <v>0.61</v>
      </c>
      <c r="G632" s="286">
        <v>0.91</v>
      </c>
      <c r="H632" s="286">
        <v>-0.97</v>
      </c>
      <c r="I632" s="286">
        <v>2.15</v>
      </c>
      <c r="J632" s="286">
        <v>451</v>
      </c>
      <c r="K632" s="286">
        <v>0.67</v>
      </c>
      <c r="L632" s="286">
        <v>7.08</v>
      </c>
      <c r="M632" s="286" t="s">
        <v>62</v>
      </c>
    </row>
    <row r="633" spans="1:13" x14ac:dyDescent="0.25">
      <c r="A633" s="287" t="s">
        <v>827</v>
      </c>
      <c r="B633" s="286">
        <v>-2.33</v>
      </c>
      <c r="C633" s="286">
        <v>0</v>
      </c>
      <c r="D633" s="286">
        <v>0</v>
      </c>
      <c r="E633" s="286">
        <v>0</v>
      </c>
      <c r="F633" s="286">
        <v>0</v>
      </c>
      <c r="G633" s="286">
        <v>0</v>
      </c>
      <c r="H633" s="286">
        <v>0</v>
      </c>
      <c r="I633" s="286">
        <v>2.36</v>
      </c>
      <c r="J633" s="286">
        <v>194</v>
      </c>
      <c r="K633" s="286">
        <v>0</v>
      </c>
      <c r="L633" s="286">
        <v>0</v>
      </c>
      <c r="M633" s="286" t="s">
        <v>58</v>
      </c>
    </row>
    <row r="634" spans="1:13" x14ac:dyDescent="0.25">
      <c r="A634" s="287" t="s">
        <v>828</v>
      </c>
      <c r="B634" s="286">
        <v>6.05</v>
      </c>
      <c r="C634" s="286">
        <v>0</v>
      </c>
      <c r="D634" s="286">
        <v>0</v>
      </c>
      <c r="E634" s="286">
        <v>0</v>
      </c>
      <c r="F634" s="286">
        <v>0</v>
      </c>
      <c r="G634" s="286">
        <v>0</v>
      </c>
      <c r="H634" s="286">
        <v>0</v>
      </c>
      <c r="I634" s="286">
        <v>2.42</v>
      </c>
      <c r="J634" s="286">
        <v>82</v>
      </c>
      <c r="K634" s="286">
        <v>0</v>
      </c>
      <c r="L634" s="286">
        <v>0</v>
      </c>
      <c r="M634" s="286" t="s">
        <v>55</v>
      </c>
    </row>
    <row r="635" spans="1:13" x14ac:dyDescent="0.25">
      <c r="A635" s="287" t="s">
        <v>829</v>
      </c>
      <c r="B635" s="286">
        <v>3.24</v>
      </c>
      <c r="C635" s="286">
        <v>20.29</v>
      </c>
      <c r="D635" s="286">
        <v>22.09</v>
      </c>
      <c r="E635" s="286">
        <v>12.21</v>
      </c>
      <c r="F635" s="286">
        <v>0.78</v>
      </c>
      <c r="G635" s="286">
        <v>1.07</v>
      </c>
      <c r="H635" s="286">
        <v>0.25</v>
      </c>
      <c r="I635" s="286">
        <v>2.02</v>
      </c>
      <c r="J635" s="286">
        <v>106</v>
      </c>
      <c r="K635" s="286">
        <v>0.9</v>
      </c>
      <c r="L635" s="286">
        <v>13.52</v>
      </c>
      <c r="M635" s="286" t="s">
        <v>55</v>
      </c>
    </row>
    <row r="636" spans="1:13" x14ac:dyDescent="0.25">
      <c r="A636" s="287" t="s">
        <v>830</v>
      </c>
      <c r="B636" s="286">
        <v>0.49</v>
      </c>
      <c r="C636" s="286">
        <v>16.850000000000001</v>
      </c>
      <c r="D636" s="286">
        <v>19.43</v>
      </c>
      <c r="E636" s="286">
        <v>0</v>
      </c>
      <c r="F636" s="286">
        <v>0.6</v>
      </c>
      <c r="G636" s="286">
        <v>0.85</v>
      </c>
      <c r="H636" s="286">
        <v>-1.86</v>
      </c>
      <c r="I636" s="286">
        <v>2.4900000000000002</v>
      </c>
      <c r="J636" s="286">
        <v>126</v>
      </c>
      <c r="K636" s="286">
        <v>0.84</v>
      </c>
      <c r="L636" s="286">
        <v>12.93</v>
      </c>
      <c r="M636" s="286" t="s">
        <v>55</v>
      </c>
    </row>
    <row r="637" spans="1:13" x14ac:dyDescent="0.25">
      <c r="A637" s="287" t="s">
        <v>831</v>
      </c>
      <c r="B637" s="286">
        <v>5.27</v>
      </c>
      <c r="C637" s="286">
        <v>0</v>
      </c>
      <c r="D637" s="286">
        <v>0</v>
      </c>
      <c r="E637" s="286">
        <v>0</v>
      </c>
      <c r="F637" s="286">
        <v>0</v>
      </c>
      <c r="G637" s="286">
        <v>0</v>
      </c>
      <c r="H637" s="286">
        <v>0</v>
      </c>
      <c r="I637" s="286">
        <v>2.21</v>
      </c>
      <c r="J637" s="286">
        <v>55</v>
      </c>
      <c r="K637" s="286">
        <v>0</v>
      </c>
      <c r="L637" s="286">
        <v>0</v>
      </c>
      <c r="M637" s="286" t="s">
        <v>58</v>
      </c>
    </row>
    <row r="638" spans="1:13" x14ac:dyDescent="0.25">
      <c r="A638" s="287" t="s">
        <v>832</v>
      </c>
      <c r="B638" s="286">
        <v>0.09</v>
      </c>
      <c r="C638" s="286">
        <v>17.440000000000001</v>
      </c>
      <c r="D638" s="286">
        <v>18.78</v>
      </c>
      <c r="E638" s="286">
        <v>0</v>
      </c>
      <c r="F638" s="286">
        <v>0.62</v>
      </c>
      <c r="G638" s="286">
        <v>1.08</v>
      </c>
      <c r="H638" s="286">
        <v>-1.41</v>
      </c>
      <c r="I638" s="286">
        <v>2.4900000000000002</v>
      </c>
      <c r="J638" s="286">
        <v>130</v>
      </c>
      <c r="K638" s="286">
        <v>0.92</v>
      </c>
      <c r="L638" s="286">
        <v>12.93</v>
      </c>
      <c r="M638" s="286" t="s">
        <v>65</v>
      </c>
    </row>
    <row r="639" spans="1:13" x14ac:dyDescent="0.25">
      <c r="A639" s="287" t="s">
        <v>833</v>
      </c>
      <c r="B639" s="286">
        <v>1.3</v>
      </c>
      <c r="C639" s="286">
        <v>20.34</v>
      </c>
      <c r="D639" s="286">
        <v>22.06</v>
      </c>
      <c r="E639" s="286">
        <v>0</v>
      </c>
      <c r="F639" s="286">
        <v>0.73</v>
      </c>
      <c r="G639" s="286">
        <v>0.92</v>
      </c>
      <c r="H639" s="286">
        <v>0.42</v>
      </c>
      <c r="I639" s="286">
        <v>2.27</v>
      </c>
      <c r="J639" s="286">
        <v>164</v>
      </c>
      <c r="K639" s="286">
        <v>0.92</v>
      </c>
      <c r="L639" s="286">
        <v>14.43</v>
      </c>
      <c r="M639" s="286" t="s">
        <v>71</v>
      </c>
    </row>
    <row r="640" spans="1:13" x14ac:dyDescent="0.25">
      <c r="A640" s="287" t="s">
        <v>834</v>
      </c>
      <c r="B640" s="286">
        <v>2.5099999999999998</v>
      </c>
      <c r="C640" s="286">
        <v>24.33</v>
      </c>
      <c r="D640" s="286">
        <v>28.94</v>
      </c>
      <c r="E640" s="286">
        <v>0</v>
      </c>
      <c r="F640" s="286">
        <v>0.85</v>
      </c>
      <c r="G640" s="286">
        <v>1.1299999999999999</v>
      </c>
      <c r="H640" s="286">
        <v>-2.84</v>
      </c>
      <c r="I640" s="286">
        <v>2.1</v>
      </c>
      <c r="J640" s="286">
        <v>168</v>
      </c>
      <c r="K640" s="286">
        <v>0.94</v>
      </c>
      <c r="L640" s="286">
        <v>16.73</v>
      </c>
      <c r="M640" s="286" t="s">
        <v>84</v>
      </c>
    </row>
    <row r="641" spans="1:13" x14ac:dyDescent="0.25">
      <c r="A641" s="287" t="s">
        <v>835</v>
      </c>
      <c r="B641" s="286">
        <v>0</v>
      </c>
      <c r="C641" s="286">
        <v>0</v>
      </c>
      <c r="D641" s="286">
        <v>0</v>
      </c>
      <c r="E641" s="286">
        <v>0</v>
      </c>
      <c r="F641" s="286">
        <v>0</v>
      </c>
      <c r="G641" s="286">
        <v>0</v>
      </c>
      <c r="H641" s="286">
        <v>0</v>
      </c>
      <c r="I641" s="286">
        <v>2.2000000000000002</v>
      </c>
      <c r="J641" s="286">
        <v>0</v>
      </c>
      <c r="K641" s="286">
        <v>0</v>
      </c>
      <c r="L641" s="286">
        <v>0</v>
      </c>
      <c r="M641" s="286" t="s">
        <v>60</v>
      </c>
    </row>
    <row r="642" spans="1:13" x14ac:dyDescent="0.25">
      <c r="A642" s="287" t="s">
        <v>836</v>
      </c>
      <c r="B642" s="286">
        <v>2.2000000000000002</v>
      </c>
      <c r="C642" s="286">
        <v>0</v>
      </c>
      <c r="D642" s="286">
        <v>0</v>
      </c>
      <c r="E642" s="286">
        <v>0</v>
      </c>
      <c r="F642" s="286">
        <v>0</v>
      </c>
      <c r="G642" s="286">
        <v>0</v>
      </c>
      <c r="H642" s="286">
        <v>0</v>
      </c>
      <c r="I642" s="286">
        <v>2.19</v>
      </c>
      <c r="J642" s="286">
        <v>125</v>
      </c>
      <c r="K642" s="286">
        <v>0</v>
      </c>
      <c r="L642" s="286">
        <v>0</v>
      </c>
      <c r="M642" s="286" t="s">
        <v>89</v>
      </c>
    </row>
    <row r="643" spans="1:13" x14ac:dyDescent="0.25">
      <c r="A643" s="287" t="s">
        <v>837</v>
      </c>
      <c r="B643" s="286">
        <v>3.73</v>
      </c>
      <c r="C643" s="286">
        <v>0</v>
      </c>
      <c r="D643" s="286">
        <v>0</v>
      </c>
      <c r="E643" s="286">
        <v>0</v>
      </c>
      <c r="F643" s="286">
        <v>0</v>
      </c>
      <c r="G643" s="286">
        <v>0</v>
      </c>
      <c r="H643" s="286">
        <v>0</v>
      </c>
      <c r="I643" s="286">
        <v>2.37</v>
      </c>
      <c r="J643" s="286">
        <v>49</v>
      </c>
      <c r="K643" s="286">
        <v>0</v>
      </c>
      <c r="L643" s="286">
        <v>0</v>
      </c>
      <c r="M643" s="286" t="s">
        <v>55</v>
      </c>
    </row>
    <row r="644" spans="1:13" x14ac:dyDescent="0.25">
      <c r="A644" s="287" t="s">
        <v>838</v>
      </c>
      <c r="B644" s="286">
        <v>0.54</v>
      </c>
      <c r="C644" s="286">
        <v>22.39</v>
      </c>
      <c r="D644" s="286">
        <v>30.01</v>
      </c>
      <c r="E644" s="286">
        <v>14.31</v>
      </c>
      <c r="F644" s="286">
        <v>0.71</v>
      </c>
      <c r="G644" s="286">
        <v>0.95</v>
      </c>
      <c r="H644" s="286">
        <v>-2.5299999999999998</v>
      </c>
      <c r="I644" s="286">
        <v>2.12</v>
      </c>
      <c r="J644" s="286">
        <v>105</v>
      </c>
      <c r="K644" s="286">
        <v>0.85</v>
      </c>
      <c r="L644" s="286">
        <v>18.13</v>
      </c>
      <c r="M644" s="286" t="s">
        <v>103</v>
      </c>
    </row>
    <row r="645" spans="1:13" x14ac:dyDescent="0.25">
      <c r="A645" s="287" t="s">
        <v>1255</v>
      </c>
      <c r="B645" s="286">
        <v>6.92</v>
      </c>
      <c r="C645" s="286">
        <v>20.58</v>
      </c>
      <c r="D645" s="286">
        <v>21.76</v>
      </c>
      <c r="E645" s="286">
        <v>12.32</v>
      </c>
      <c r="F645" s="286">
        <v>1.1100000000000001</v>
      </c>
      <c r="G645" s="286">
        <v>1.7</v>
      </c>
      <c r="H645" s="286">
        <v>3.21</v>
      </c>
      <c r="I645" s="286">
        <v>1.88</v>
      </c>
      <c r="J645" s="286">
        <v>31</v>
      </c>
      <c r="K645" s="286">
        <v>0.83</v>
      </c>
      <c r="L645" s="286">
        <v>10.1</v>
      </c>
      <c r="M645" s="286" t="s">
        <v>1168</v>
      </c>
    </row>
    <row r="646" spans="1:13" x14ac:dyDescent="0.25">
      <c r="A646" s="287" t="s">
        <v>1264</v>
      </c>
      <c r="B646" s="286">
        <v>7.12</v>
      </c>
      <c r="C646" s="286">
        <v>6.89</v>
      </c>
      <c r="D646" s="286">
        <v>5.57</v>
      </c>
      <c r="E646" s="286">
        <v>5.83</v>
      </c>
      <c r="F646" s="286">
        <v>0.5</v>
      </c>
      <c r="G646" s="286">
        <v>0.54</v>
      </c>
      <c r="H646" s="286">
        <v>1.54</v>
      </c>
      <c r="I646" s="286">
        <v>0.76</v>
      </c>
      <c r="J646" s="286" t="s">
        <v>1265</v>
      </c>
      <c r="K646" s="286">
        <v>0.66</v>
      </c>
      <c r="L646" s="286">
        <v>0.56000000000000005</v>
      </c>
      <c r="M646" s="286" t="s">
        <v>1166</v>
      </c>
    </row>
    <row r="647" spans="1:13" x14ac:dyDescent="0.25">
      <c r="A647" s="287" t="s">
        <v>839</v>
      </c>
      <c r="B647" s="286">
        <v>8.23</v>
      </c>
      <c r="C647" s="286">
        <v>0</v>
      </c>
      <c r="D647" s="286">
        <v>0</v>
      </c>
      <c r="E647" s="286">
        <v>0</v>
      </c>
      <c r="F647" s="286">
        <v>0</v>
      </c>
      <c r="G647" s="286">
        <v>0</v>
      </c>
      <c r="H647" s="286">
        <v>0</v>
      </c>
      <c r="I647" s="286">
        <v>1.92</v>
      </c>
      <c r="J647" s="286">
        <v>223</v>
      </c>
      <c r="K647" s="286">
        <v>0</v>
      </c>
      <c r="L647" s="286">
        <v>0</v>
      </c>
      <c r="M647" s="286" t="s">
        <v>62</v>
      </c>
    </row>
    <row r="648" spans="1:13" x14ac:dyDescent="0.25">
      <c r="A648" s="287" t="s">
        <v>840</v>
      </c>
      <c r="B648" s="286">
        <v>-8.18</v>
      </c>
      <c r="C648" s="286">
        <v>0</v>
      </c>
      <c r="D648" s="286">
        <v>0</v>
      </c>
      <c r="E648" s="286">
        <v>0</v>
      </c>
      <c r="F648" s="286">
        <v>0</v>
      </c>
      <c r="G648" s="286">
        <v>0</v>
      </c>
      <c r="H648" s="286">
        <v>0</v>
      </c>
      <c r="I648" s="286">
        <v>0.98</v>
      </c>
      <c r="J648" s="286">
        <v>0</v>
      </c>
      <c r="K648" s="286">
        <v>0</v>
      </c>
      <c r="L648" s="286">
        <v>0</v>
      </c>
      <c r="M648" s="286" t="s">
        <v>58</v>
      </c>
    </row>
    <row r="649" spans="1:13" x14ac:dyDescent="0.25">
      <c r="A649" s="287" t="s">
        <v>841</v>
      </c>
      <c r="B649" s="286">
        <v>0.36</v>
      </c>
      <c r="C649" s="286">
        <v>19.57</v>
      </c>
      <c r="D649" s="286">
        <v>0</v>
      </c>
      <c r="E649" s="286">
        <v>0</v>
      </c>
      <c r="F649" s="286">
        <v>0.74</v>
      </c>
      <c r="G649" s="286">
        <v>1.1499999999999999</v>
      </c>
      <c r="H649" s="286">
        <v>0.16</v>
      </c>
      <c r="I649" s="286">
        <v>0.91</v>
      </c>
      <c r="J649" s="286">
        <v>0</v>
      </c>
      <c r="K649" s="286">
        <v>0.9</v>
      </c>
      <c r="L649" s="286">
        <v>13.58</v>
      </c>
      <c r="M649" s="286" t="s">
        <v>71</v>
      </c>
    </row>
    <row r="650" spans="1:13" x14ac:dyDescent="0.25">
      <c r="A650" s="287" t="s">
        <v>843</v>
      </c>
      <c r="B650" s="286">
        <v>5.98</v>
      </c>
      <c r="C650" s="286">
        <v>17.46</v>
      </c>
      <c r="D650" s="286">
        <v>0</v>
      </c>
      <c r="E650" s="286">
        <v>0</v>
      </c>
      <c r="F650" s="286">
        <v>0.64</v>
      </c>
      <c r="G650" s="286">
        <v>1.06</v>
      </c>
      <c r="H650" s="286">
        <v>-1.27</v>
      </c>
      <c r="I650" s="286">
        <v>0.3</v>
      </c>
      <c r="J650" s="286">
        <v>15</v>
      </c>
      <c r="K650" s="286">
        <v>0.91</v>
      </c>
      <c r="L650" s="286">
        <v>12.71</v>
      </c>
      <c r="M650" s="286" t="s">
        <v>65</v>
      </c>
    </row>
    <row r="651" spans="1:13" x14ac:dyDescent="0.25">
      <c r="A651" s="287" t="s">
        <v>845</v>
      </c>
      <c r="B651" s="286">
        <v>1.38</v>
      </c>
      <c r="C651" s="286">
        <v>18.309999999999999</v>
      </c>
      <c r="D651" s="286">
        <v>19.899999999999999</v>
      </c>
      <c r="E651" s="286">
        <v>12.25</v>
      </c>
      <c r="F651" s="286">
        <v>0.61</v>
      </c>
      <c r="G651" s="286">
        <v>0.99</v>
      </c>
      <c r="H651" s="286">
        <v>-2.16</v>
      </c>
      <c r="I651" s="286">
        <v>2.25</v>
      </c>
      <c r="J651" s="286">
        <v>28</v>
      </c>
      <c r="K651" s="286">
        <v>0.93</v>
      </c>
      <c r="L651" s="286">
        <v>14.08</v>
      </c>
      <c r="M651" s="286" t="s">
        <v>55</v>
      </c>
    </row>
    <row r="652" spans="1:13" x14ac:dyDescent="0.25">
      <c r="A652" s="287" t="s">
        <v>1256</v>
      </c>
      <c r="B652" s="286">
        <v>6.21</v>
      </c>
      <c r="C652" s="286">
        <v>12.14</v>
      </c>
      <c r="D652" s="286">
        <v>12.49</v>
      </c>
      <c r="E652" s="286">
        <v>8.77</v>
      </c>
      <c r="F652" s="286">
        <v>0.7</v>
      </c>
      <c r="G652" s="286">
        <v>1.0900000000000001</v>
      </c>
      <c r="H652" s="286">
        <v>-0.61</v>
      </c>
      <c r="I652" s="286">
        <v>1.73</v>
      </c>
      <c r="J652" s="286">
        <v>35</v>
      </c>
      <c r="K652" s="286">
        <v>0.62</v>
      </c>
      <c r="L652" s="286">
        <v>6.22</v>
      </c>
      <c r="M652" s="286" t="s">
        <v>1164</v>
      </c>
    </row>
    <row r="653" spans="1:13" x14ac:dyDescent="0.25">
      <c r="A653" s="287" t="s">
        <v>1257</v>
      </c>
      <c r="B653" s="286">
        <v>8.26</v>
      </c>
      <c r="C653" s="286">
        <v>11.58</v>
      </c>
      <c r="D653" s="286">
        <v>11.74</v>
      </c>
      <c r="E653" s="286">
        <v>8.3699999999999992</v>
      </c>
      <c r="F653" s="286">
        <v>1</v>
      </c>
      <c r="G653" s="286">
        <v>1.65</v>
      </c>
      <c r="H653" s="286">
        <v>0.44</v>
      </c>
      <c r="I653" s="286">
        <v>1.82</v>
      </c>
      <c r="J653" s="286">
        <v>31</v>
      </c>
      <c r="K653" s="286">
        <v>1.01</v>
      </c>
      <c r="L653" s="286">
        <v>4.12</v>
      </c>
      <c r="M653" s="286" t="s">
        <v>1169</v>
      </c>
    </row>
    <row r="654" spans="1:13" x14ac:dyDescent="0.25">
      <c r="A654" s="287" t="s">
        <v>847</v>
      </c>
      <c r="B654" s="286">
        <v>7.63</v>
      </c>
      <c r="C654" s="286">
        <v>15.63</v>
      </c>
      <c r="D654" s="286">
        <v>18.850000000000001</v>
      </c>
      <c r="E654" s="286">
        <v>12.29</v>
      </c>
      <c r="F654" s="286">
        <v>0.44</v>
      </c>
      <c r="G654" s="286">
        <v>0.71</v>
      </c>
      <c r="H654" s="286">
        <v>-3.97</v>
      </c>
      <c r="I654" s="286">
        <v>1.66</v>
      </c>
      <c r="J654" s="286">
        <v>10</v>
      </c>
      <c r="K654" s="286">
        <v>0.88</v>
      </c>
      <c r="L654" s="286">
        <v>13.97</v>
      </c>
      <c r="M654" s="286" t="s">
        <v>55</v>
      </c>
    </row>
    <row r="655" spans="1:13" x14ac:dyDescent="0.25">
      <c r="A655" s="287" t="s">
        <v>848</v>
      </c>
      <c r="B655" s="286">
        <v>1.4</v>
      </c>
      <c r="C655" s="286">
        <v>20.55</v>
      </c>
      <c r="D655" s="286">
        <v>0</v>
      </c>
      <c r="E655" s="286">
        <v>0</v>
      </c>
      <c r="F655" s="286">
        <v>0.73</v>
      </c>
      <c r="G655" s="286">
        <v>1.17</v>
      </c>
      <c r="H655" s="286">
        <v>-0.28999999999999998</v>
      </c>
      <c r="I655" s="286">
        <v>1.96</v>
      </c>
      <c r="J655" s="286">
        <v>23</v>
      </c>
      <c r="K655" s="286">
        <v>0.93</v>
      </c>
      <c r="L655" s="286">
        <v>14.3</v>
      </c>
      <c r="M655" s="286" t="s">
        <v>55</v>
      </c>
    </row>
    <row r="656" spans="1:13" x14ac:dyDescent="0.25">
      <c r="A656" s="287" t="s">
        <v>850</v>
      </c>
      <c r="B656" s="286">
        <v>1.1100000000000001</v>
      </c>
      <c r="C656" s="286">
        <v>0</v>
      </c>
      <c r="D656" s="286">
        <v>0</v>
      </c>
      <c r="E656" s="286">
        <v>0</v>
      </c>
      <c r="F656" s="286">
        <v>0</v>
      </c>
      <c r="G656" s="286">
        <v>0</v>
      </c>
      <c r="H656" s="286">
        <v>0</v>
      </c>
      <c r="I656" s="286">
        <v>2.29</v>
      </c>
      <c r="J656" s="286">
        <v>12</v>
      </c>
      <c r="K656" s="286">
        <v>0</v>
      </c>
      <c r="L656" s="286">
        <v>0</v>
      </c>
      <c r="M656" s="286" t="s">
        <v>58</v>
      </c>
    </row>
    <row r="657" spans="1:13" x14ac:dyDescent="0.25">
      <c r="A657" s="287" t="s">
        <v>851</v>
      </c>
      <c r="B657" s="286">
        <v>4.4000000000000004</v>
      </c>
      <c r="C657" s="286">
        <v>17.43</v>
      </c>
      <c r="D657" s="286">
        <v>19.29</v>
      </c>
      <c r="E657" s="286">
        <v>11.81</v>
      </c>
      <c r="F657" s="286">
        <v>0.6</v>
      </c>
      <c r="G657" s="286">
        <v>0.97</v>
      </c>
      <c r="H657" s="286">
        <v>-1.71</v>
      </c>
      <c r="I657" s="286">
        <v>1.75</v>
      </c>
      <c r="J657" s="286">
        <v>36</v>
      </c>
      <c r="K657" s="286">
        <v>0.91</v>
      </c>
      <c r="L657" s="286">
        <v>12.76</v>
      </c>
      <c r="M657" s="286" t="s">
        <v>65</v>
      </c>
    </row>
    <row r="658" spans="1:13" x14ac:dyDescent="0.25">
      <c r="A658" s="287" t="s">
        <v>852</v>
      </c>
      <c r="B658" s="286">
        <v>6.5</v>
      </c>
      <c r="C658" s="286">
        <v>26.81</v>
      </c>
      <c r="D658" s="286">
        <v>27.74</v>
      </c>
      <c r="E658" s="286">
        <v>13.81</v>
      </c>
      <c r="F658" s="286">
        <v>1.1499999999999999</v>
      </c>
      <c r="G658" s="286">
        <v>1.75</v>
      </c>
      <c r="H658" s="286">
        <v>5.69</v>
      </c>
      <c r="I658" s="286">
        <v>1.93</v>
      </c>
      <c r="J658" s="286">
        <v>33</v>
      </c>
      <c r="K658" s="286">
        <v>0.95</v>
      </c>
      <c r="L658" s="286">
        <v>14.07</v>
      </c>
      <c r="M658" s="286" t="s">
        <v>71</v>
      </c>
    </row>
    <row r="659" spans="1:13" x14ac:dyDescent="0.25">
      <c r="A659" s="287" t="s">
        <v>853</v>
      </c>
      <c r="B659" s="286">
        <v>0.45</v>
      </c>
      <c r="C659" s="286">
        <v>23</v>
      </c>
      <c r="D659" s="286">
        <v>26.44</v>
      </c>
      <c r="E659" s="286">
        <v>14.38</v>
      </c>
      <c r="F659" s="286">
        <v>0.81</v>
      </c>
      <c r="G659" s="286">
        <v>1.1599999999999999</v>
      </c>
      <c r="H659" s="286">
        <v>-3.74</v>
      </c>
      <c r="I659" s="286">
        <v>1.76</v>
      </c>
      <c r="J659" s="286">
        <v>34</v>
      </c>
      <c r="K659" s="286">
        <v>0.94</v>
      </c>
      <c r="L659" s="286">
        <v>16.37</v>
      </c>
      <c r="M659" s="286" t="s">
        <v>84</v>
      </c>
    </row>
    <row r="660" spans="1:13" x14ac:dyDescent="0.25">
      <c r="A660" s="287" t="s">
        <v>855</v>
      </c>
      <c r="B660" s="286">
        <v>6.98</v>
      </c>
      <c r="C660" s="286">
        <v>22.37</v>
      </c>
      <c r="D660" s="286">
        <v>17.21</v>
      </c>
      <c r="E660" s="286">
        <v>10.18</v>
      </c>
      <c r="F660" s="286">
        <v>1.41</v>
      </c>
      <c r="G660" s="286">
        <v>2.02</v>
      </c>
      <c r="H660" s="286">
        <v>4.95</v>
      </c>
      <c r="I660" s="286">
        <v>1.74</v>
      </c>
      <c r="J660" s="286">
        <v>239</v>
      </c>
      <c r="K660" s="286">
        <v>0.86</v>
      </c>
      <c r="L660" s="286">
        <v>8.9499999999999993</v>
      </c>
      <c r="M660" s="286" t="s">
        <v>60</v>
      </c>
    </row>
    <row r="661" spans="1:13" x14ac:dyDescent="0.25">
      <c r="A661" s="287" t="s">
        <v>856</v>
      </c>
      <c r="B661" s="286">
        <v>0</v>
      </c>
      <c r="C661" s="286">
        <v>0</v>
      </c>
      <c r="D661" s="286">
        <v>0</v>
      </c>
      <c r="E661" s="286">
        <v>0</v>
      </c>
      <c r="F661" s="286">
        <v>0</v>
      </c>
      <c r="G661" s="286">
        <v>0</v>
      </c>
      <c r="H661" s="286">
        <v>0</v>
      </c>
      <c r="I661" s="286">
        <v>2.16</v>
      </c>
      <c r="J661" s="286">
        <v>0</v>
      </c>
      <c r="K661" s="286">
        <v>0</v>
      </c>
      <c r="L661" s="286">
        <v>0</v>
      </c>
      <c r="M661" s="286" t="s">
        <v>89</v>
      </c>
    </row>
    <row r="662" spans="1:13" x14ac:dyDescent="0.25">
      <c r="A662" s="287" t="s">
        <v>857</v>
      </c>
      <c r="B662" s="286">
        <v>-12.85</v>
      </c>
      <c r="C662" s="286">
        <v>24.46</v>
      </c>
      <c r="D662" s="286">
        <v>0</v>
      </c>
      <c r="E662" s="286">
        <v>0</v>
      </c>
      <c r="F662" s="286">
        <v>0.7</v>
      </c>
      <c r="G662" s="286">
        <v>1.01</v>
      </c>
      <c r="H662" s="286">
        <v>0.09</v>
      </c>
      <c r="I662" s="286">
        <v>0.92</v>
      </c>
      <c r="J662" s="286">
        <v>114</v>
      </c>
      <c r="K662" s="286">
        <v>1.23</v>
      </c>
      <c r="L662" s="286">
        <v>19.28</v>
      </c>
      <c r="M662" s="286" t="s">
        <v>71</v>
      </c>
    </row>
    <row r="663" spans="1:13" x14ac:dyDescent="0.25">
      <c r="A663" s="287" t="s">
        <v>858</v>
      </c>
      <c r="B663" s="286">
        <v>0</v>
      </c>
      <c r="C663" s="286">
        <v>0</v>
      </c>
      <c r="D663" s="286">
        <v>0</v>
      </c>
      <c r="E663" s="286">
        <v>0</v>
      </c>
      <c r="F663" s="286">
        <v>0</v>
      </c>
      <c r="G663" s="286">
        <v>0</v>
      </c>
      <c r="H663" s="286">
        <v>0</v>
      </c>
      <c r="I663" s="286">
        <v>1.05</v>
      </c>
      <c r="J663" s="286">
        <v>0</v>
      </c>
      <c r="K663" s="286">
        <v>0</v>
      </c>
      <c r="L663" s="286">
        <v>0</v>
      </c>
      <c r="M663" s="286" t="s">
        <v>71</v>
      </c>
    </row>
    <row r="664" spans="1:13" x14ac:dyDescent="0.25">
      <c r="A664" s="287" t="s">
        <v>859</v>
      </c>
      <c r="B664" s="286">
        <v>3.88</v>
      </c>
      <c r="C664" s="286">
        <v>0</v>
      </c>
      <c r="D664" s="286">
        <v>0</v>
      </c>
      <c r="E664" s="286">
        <v>0</v>
      </c>
      <c r="F664" s="286">
        <v>0</v>
      </c>
      <c r="G664" s="286">
        <v>0</v>
      </c>
      <c r="H664" s="286">
        <v>0</v>
      </c>
      <c r="I664" s="286">
        <v>1.03</v>
      </c>
      <c r="J664" s="286">
        <v>0</v>
      </c>
      <c r="K664" s="286">
        <v>0</v>
      </c>
      <c r="L664" s="286">
        <v>0</v>
      </c>
      <c r="M664" s="286" t="s">
        <v>65</v>
      </c>
    </row>
    <row r="665" spans="1:13" x14ac:dyDescent="0.25">
      <c r="A665" s="287" t="s">
        <v>861</v>
      </c>
      <c r="B665" s="286">
        <v>6.23</v>
      </c>
      <c r="C665" s="286">
        <v>18.309999999999999</v>
      </c>
      <c r="D665" s="286">
        <v>20.329999999999998</v>
      </c>
      <c r="E665" s="286">
        <v>12.61</v>
      </c>
      <c r="F665" s="286">
        <v>0.67</v>
      </c>
      <c r="G665" s="286">
        <v>1.1399999999999999</v>
      </c>
      <c r="H665" s="286">
        <v>-1.02</v>
      </c>
      <c r="I665" s="286">
        <v>0.27</v>
      </c>
      <c r="J665" s="286">
        <v>7</v>
      </c>
      <c r="K665" s="286">
        <v>0.95</v>
      </c>
      <c r="L665" s="286">
        <v>13.13</v>
      </c>
      <c r="M665" s="286" t="s">
        <v>65</v>
      </c>
    </row>
    <row r="666" spans="1:13" x14ac:dyDescent="0.25">
      <c r="A666" s="287" t="s">
        <v>862</v>
      </c>
      <c r="B666" s="286">
        <v>0</v>
      </c>
      <c r="C666" s="286">
        <v>0</v>
      </c>
      <c r="D666" s="286">
        <v>0</v>
      </c>
      <c r="E666" s="286">
        <v>0</v>
      </c>
      <c r="F666" s="286">
        <v>0</v>
      </c>
      <c r="G666" s="286">
        <v>0</v>
      </c>
      <c r="H666" s="286">
        <v>0</v>
      </c>
      <c r="I666" s="286">
        <v>1.03</v>
      </c>
      <c r="J666" s="286">
        <v>0</v>
      </c>
      <c r="K666" s="286">
        <v>0</v>
      </c>
      <c r="L666" s="286">
        <v>0</v>
      </c>
      <c r="M666" s="286" t="s">
        <v>71</v>
      </c>
    </row>
    <row r="667" spans="1:13" x14ac:dyDescent="0.25">
      <c r="A667" s="287" t="s">
        <v>863</v>
      </c>
      <c r="B667" s="286">
        <v>0</v>
      </c>
      <c r="C667" s="286">
        <v>0</v>
      </c>
      <c r="D667" s="286">
        <v>0</v>
      </c>
      <c r="E667" s="286">
        <v>0</v>
      </c>
      <c r="F667" s="286">
        <v>0</v>
      </c>
      <c r="G667" s="286">
        <v>0</v>
      </c>
      <c r="H667" s="286">
        <v>0</v>
      </c>
      <c r="I667" s="286">
        <v>1.04</v>
      </c>
      <c r="J667" s="286">
        <v>0</v>
      </c>
      <c r="K667" s="286">
        <v>0</v>
      </c>
      <c r="L667" s="286">
        <v>0</v>
      </c>
      <c r="M667" s="286" t="s">
        <v>58</v>
      </c>
    </row>
    <row r="668" spans="1:13" x14ac:dyDescent="0.25">
      <c r="A668" s="287" t="s">
        <v>865</v>
      </c>
      <c r="B668" s="286">
        <v>0</v>
      </c>
      <c r="C668" s="286">
        <v>0</v>
      </c>
      <c r="D668" s="286">
        <v>0</v>
      </c>
      <c r="E668" s="286">
        <v>0</v>
      </c>
      <c r="F668" s="286">
        <v>0</v>
      </c>
      <c r="G668" s="286">
        <v>0</v>
      </c>
      <c r="H668" s="286">
        <v>0</v>
      </c>
      <c r="I668" s="286">
        <v>1.04</v>
      </c>
      <c r="J668" s="286">
        <v>0</v>
      </c>
      <c r="K668" s="286">
        <v>0</v>
      </c>
      <c r="L668" s="286">
        <v>0</v>
      </c>
      <c r="M668" s="286" t="s">
        <v>84</v>
      </c>
    </row>
    <row r="669" spans="1:13" x14ac:dyDescent="0.25">
      <c r="A669" s="287" t="s">
        <v>866</v>
      </c>
      <c r="B669" s="286">
        <v>-0.28000000000000003</v>
      </c>
      <c r="C669" s="286">
        <v>18.02</v>
      </c>
      <c r="D669" s="286">
        <v>0</v>
      </c>
      <c r="E669" s="286">
        <v>0</v>
      </c>
      <c r="F669" s="286">
        <v>0.62</v>
      </c>
      <c r="G669" s="286">
        <v>0.96</v>
      </c>
      <c r="H669" s="286">
        <v>-6.23</v>
      </c>
      <c r="I669" s="286">
        <v>0.88</v>
      </c>
      <c r="J669" s="286">
        <v>0</v>
      </c>
      <c r="K669" s="286">
        <v>0.87</v>
      </c>
      <c r="L669" s="286">
        <v>15.58</v>
      </c>
      <c r="M669" s="286" t="s">
        <v>84</v>
      </c>
    </row>
    <row r="670" spans="1:13" x14ac:dyDescent="0.25">
      <c r="A670" s="287" t="s">
        <v>867</v>
      </c>
      <c r="B670" s="286">
        <v>0</v>
      </c>
      <c r="C670" s="286">
        <v>0</v>
      </c>
      <c r="D670" s="286">
        <v>0</v>
      </c>
      <c r="E670" s="286">
        <v>0</v>
      </c>
      <c r="F670" s="286">
        <v>0</v>
      </c>
      <c r="G670" s="286">
        <v>0</v>
      </c>
      <c r="H670" s="286">
        <v>0</v>
      </c>
      <c r="I670" s="286">
        <v>1.03</v>
      </c>
      <c r="J670" s="286">
        <v>0</v>
      </c>
      <c r="K670" s="286">
        <v>0</v>
      </c>
      <c r="L670" s="286">
        <v>0</v>
      </c>
      <c r="M670" s="286" t="s">
        <v>84</v>
      </c>
    </row>
    <row r="671" spans="1:13" x14ac:dyDescent="0.25">
      <c r="A671" s="287" t="s">
        <v>868</v>
      </c>
      <c r="B671" s="286">
        <v>-7.28</v>
      </c>
      <c r="C671" s="286">
        <v>23.32</v>
      </c>
      <c r="D671" s="286">
        <v>21.93</v>
      </c>
      <c r="E671" s="286">
        <v>0</v>
      </c>
      <c r="F671" s="286">
        <v>0.73</v>
      </c>
      <c r="G671" s="286">
        <v>1.08</v>
      </c>
      <c r="H671" s="286">
        <v>0.85</v>
      </c>
      <c r="I671" s="286">
        <v>0.15</v>
      </c>
      <c r="J671" s="286">
        <v>35</v>
      </c>
      <c r="K671" s="286">
        <v>1.3</v>
      </c>
      <c r="L671" s="286">
        <v>19.55</v>
      </c>
      <c r="M671" s="286" t="s">
        <v>65</v>
      </c>
    </row>
    <row r="672" spans="1:13" x14ac:dyDescent="0.25">
      <c r="A672" s="287" t="s">
        <v>869</v>
      </c>
      <c r="B672" s="286">
        <v>-7.97</v>
      </c>
      <c r="C672" s="286">
        <v>22.45</v>
      </c>
      <c r="D672" s="286">
        <v>21.03</v>
      </c>
      <c r="E672" s="286">
        <v>0</v>
      </c>
      <c r="F672" s="286">
        <v>0.69</v>
      </c>
      <c r="G672" s="286">
        <v>1.03</v>
      </c>
      <c r="H672" s="286">
        <v>0.16</v>
      </c>
      <c r="I672" s="286">
        <v>0.79</v>
      </c>
      <c r="J672" s="286">
        <v>66</v>
      </c>
      <c r="K672" s="286">
        <v>1.3</v>
      </c>
      <c r="L672" s="286">
        <v>19.53</v>
      </c>
      <c r="M672" s="286" t="s">
        <v>65</v>
      </c>
    </row>
    <row r="673" spans="1:13" x14ac:dyDescent="0.25">
      <c r="A673" s="287" t="s">
        <v>870</v>
      </c>
      <c r="B673" s="286">
        <v>0</v>
      </c>
      <c r="C673" s="286">
        <v>0</v>
      </c>
      <c r="D673" s="286">
        <v>0</v>
      </c>
      <c r="E673" s="286">
        <v>0</v>
      </c>
      <c r="F673" s="286">
        <v>0</v>
      </c>
      <c r="G673" s="286">
        <v>0</v>
      </c>
      <c r="H673" s="286">
        <v>0</v>
      </c>
      <c r="I673" s="286">
        <v>2.02</v>
      </c>
      <c r="J673" s="286">
        <v>11</v>
      </c>
      <c r="K673" s="286">
        <v>0</v>
      </c>
      <c r="L673" s="286">
        <v>0</v>
      </c>
      <c r="M673" s="286" t="s">
        <v>58</v>
      </c>
    </row>
    <row r="674" spans="1:13" x14ac:dyDescent="0.25">
      <c r="A674" s="287" t="s">
        <v>1258</v>
      </c>
      <c r="B674" s="286">
        <v>7.9</v>
      </c>
      <c r="C674" s="286">
        <v>14.6</v>
      </c>
      <c r="D674" s="286">
        <v>14.75</v>
      </c>
      <c r="E674" s="286">
        <v>9.64</v>
      </c>
      <c r="F674" s="286">
        <v>1.1200000000000001</v>
      </c>
      <c r="G674" s="286">
        <v>1.73</v>
      </c>
      <c r="H674" s="286">
        <v>1.89</v>
      </c>
      <c r="I674" s="286">
        <v>1.66</v>
      </c>
      <c r="J674" s="286">
        <v>37</v>
      </c>
      <c r="K674" s="286">
        <v>0.6</v>
      </c>
      <c r="L674" s="286">
        <v>5.96</v>
      </c>
      <c r="M674" s="286" t="s">
        <v>1164</v>
      </c>
    </row>
    <row r="675" spans="1:13" x14ac:dyDescent="0.25">
      <c r="A675" s="287" t="s">
        <v>871</v>
      </c>
      <c r="B675" s="286">
        <v>6.7</v>
      </c>
      <c r="C675" s="286">
        <v>24.35</v>
      </c>
      <c r="D675" s="286">
        <v>0</v>
      </c>
      <c r="E675" s="286">
        <v>0</v>
      </c>
      <c r="F675" s="286">
        <v>0.82</v>
      </c>
      <c r="G675" s="286">
        <v>1.1399999999999999</v>
      </c>
      <c r="H675" s="286">
        <v>-1.03</v>
      </c>
      <c r="I675" s="286">
        <v>1.86</v>
      </c>
      <c r="J675" s="286">
        <v>42</v>
      </c>
      <c r="K675" s="286">
        <v>0.83</v>
      </c>
      <c r="L675" s="286">
        <v>17.13</v>
      </c>
      <c r="M675" s="286" t="s">
        <v>103</v>
      </c>
    </row>
    <row r="676" spans="1:13" x14ac:dyDescent="0.25">
      <c r="A676" s="287" t="s">
        <v>872</v>
      </c>
      <c r="B676" s="286">
        <v>-6.15</v>
      </c>
      <c r="C676" s="286">
        <v>25.87</v>
      </c>
      <c r="D676" s="286">
        <v>27.36</v>
      </c>
      <c r="E676" s="286">
        <v>11.78</v>
      </c>
      <c r="F676" s="286">
        <v>0.95</v>
      </c>
      <c r="G676" s="286">
        <v>1.35</v>
      </c>
      <c r="H676" s="286">
        <v>4.3499999999999996</v>
      </c>
      <c r="I676" s="286">
        <v>1.94</v>
      </c>
      <c r="J676" s="286">
        <v>20</v>
      </c>
      <c r="K676" s="286">
        <v>0.98</v>
      </c>
      <c r="L676" s="286">
        <v>16.440000000000001</v>
      </c>
      <c r="M676" s="286" t="s">
        <v>58</v>
      </c>
    </row>
    <row r="677" spans="1:13" x14ac:dyDescent="0.25">
      <c r="A677" s="287" t="s">
        <v>873</v>
      </c>
      <c r="B677" s="286">
        <v>9.52</v>
      </c>
      <c r="C677" s="286">
        <v>11.29</v>
      </c>
      <c r="D677" s="286">
        <v>11.66</v>
      </c>
      <c r="E677" s="286">
        <v>8.09</v>
      </c>
      <c r="F677" s="286">
        <v>0.56000000000000005</v>
      </c>
      <c r="G677" s="286">
        <v>0.89</v>
      </c>
      <c r="H677" s="286">
        <v>-0.88</v>
      </c>
      <c r="I677" s="286">
        <v>1.64</v>
      </c>
      <c r="J677" s="286">
        <v>9</v>
      </c>
      <c r="K677" s="286">
        <v>0.55000000000000004</v>
      </c>
      <c r="L677" s="286">
        <v>6.23</v>
      </c>
      <c r="M677" s="286" t="s">
        <v>62</v>
      </c>
    </row>
    <row r="678" spans="1:13" x14ac:dyDescent="0.25">
      <c r="A678" s="287" t="s">
        <v>1266</v>
      </c>
      <c r="B678" s="286">
        <v>0</v>
      </c>
      <c r="C678" s="286">
        <v>0</v>
      </c>
      <c r="D678" s="286">
        <v>0</v>
      </c>
      <c r="E678" s="286">
        <v>0</v>
      </c>
      <c r="F678" s="286">
        <v>0</v>
      </c>
      <c r="G678" s="286">
        <v>0</v>
      </c>
      <c r="H678" s="286">
        <v>0</v>
      </c>
      <c r="I678" s="286">
        <v>1.1200000000000001</v>
      </c>
      <c r="J678" s="286">
        <v>0</v>
      </c>
      <c r="K678" s="286">
        <v>0</v>
      </c>
      <c r="L678" s="286">
        <v>0</v>
      </c>
      <c r="M678" s="286" t="s">
        <v>1166</v>
      </c>
    </row>
    <row r="679" spans="1:13" x14ac:dyDescent="0.25">
      <c r="A679" s="287" t="s">
        <v>874</v>
      </c>
      <c r="B679" s="286">
        <v>8.93</v>
      </c>
      <c r="C679" s="286">
        <v>0</v>
      </c>
      <c r="D679" s="286">
        <v>0</v>
      </c>
      <c r="E679" s="286">
        <v>0</v>
      </c>
      <c r="F679" s="286">
        <v>0</v>
      </c>
      <c r="G679" s="286">
        <v>0</v>
      </c>
      <c r="H679" s="286">
        <v>0</v>
      </c>
      <c r="I679" s="286">
        <v>2.06</v>
      </c>
      <c r="J679" s="286">
        <v>369</v>
      </c>
      <c r="K679" s="286">
        <v>0</v>
      </c>
      <c r="L679" s="286">
        <v>0</v>
      </c>
      <c r="M679" s="286" t="s">
        <v>62</v>
      </c>
    </row>
    <row r="680" spans="1:13" x14ac:dyDescent="0.25">
      <c r="A680" s="287" t="s">
        <v>1259</v>
      </c>
      <c r="B680" s="286">
        <v>7.3</v>
      </c>
      <c r="C680" s="286">
        <v>0</v>
      </c>
      <c r="D680" s="286">
        <v>0</v>
      </c>
      <c r="E680" s="286">
        <v>0</v>
      </c>
      <c r="F680" s="286">
        <v>0</v>
      </c>
      <c r="G680" s="286">
        <v>0</v>
      </c>
      <c r="H680" s="286">
        <v>0</v>
      </c>
      <c r="I680" s="286">
        <v>2.14</v>
      </c>
      <c r="J680" s="286">
        <v>135</v>
      </c>
      <c r="K680" s="286">
        <v>0</v>
      </c>
      <c r="L680" s="286">
        <v>0</v>
      </c>
      <c r="M680" s="286" t="s">
        <v>1164</v>
      </c>
    </row>
    <row r="681" spans="1:13" x14ac:dyDescent="0.25">
      <c r="A681" s="287" t="s">
        <v>876</v>
      </c>
      <c r="B681" s="286">
        <v>8.31</v>
      </c>
      <c r="C681" s="286">
        <v>0</v>
      </c>
      <c r="D681" s="286">
        <v>0</v>
      </c>
      <c r="E681" s="286">
        <v>0</v>
      </c>
      <c r="F681" s="286">
        <v>0</v>
      </c>
      <c r="G681" s="286">
        <v>0</v>
      </c>
      <c r="H681" s="286">
        <v>0</v>
      </c>
      <c r="I681" s="286">
        <v>1.82</v>
      </c>
      <c r="J681" s="286">
        <v>198</v>
      </c>
      <c r="K681" s="286">
        <v>0</v>
      </c>
      <c r="L681" s="286">
        <v>0</v>
      </c>
      <c r="M681" s="286" t="s">
        <v>55</v>
      </c>
    </row>
    <row r="682" spans="1:13" x14ac:dyDescent="0.25">
      <c r="A682" s="287" t="s">
        <v>877</v>
      </c>
      <c r="B682" s="286">
        <v>6.22</v>
      </c>
      <c r="C682" s="286">
        <v>0</v>
      </c>
      <c r="D682" s="286">
        <v>0</v>
      </c>
      <c r="E682" s="286">
        <v>0</v>
      </c>
      <c r="F682" s="286">
        <v>0</v>
      </c>
      <c r="G682" s="286">
        <v>0</v>
      </c>
      <c r="H682" s="286">
        <v>0</v>
      </c>
      <c r="I682" s="286">
        <v>2.2000000000000002</v>
      </c>
      <c r="J682" s="286">
        <v>204</v>
      </c>
      <c r="K682" s="286">
        <v>0</v>
      </c>
      <c r="L682" s="286">
        <v>0</v>
      </c>
      <c r="M682" s="286" t="s">
        <v>65</v>
      </c>
    </row>
    <row r="683" spans="1:13" x14ac:dyDescent="0.25">
      <c r="A683" s="287" t="s">
        <v>878</v>
      </c>
      <c r="B683" s="286">
        <v>6.81</v>
      </c>
      <c r="C683" s="286">
        <v>0</v>
      </c>
      <c r="D683" s="286">
        <v>0</v>
      </c>
      <c r="E683" s="286">
        <v>0</v>
      </c>
      <c r="F683" s="286">
        <v>0</v>
      </c>
      <c r="G683" s="286">
        <v>0</v>
      </c>
      <c r="H683" s="286">
        <v>0</v>
      </c>
      <c r="I683" s="286">
        <v>2.04</v>
      </c>
      <c r="J683" s="286">
        <v>220</v>
      </c>
      <c r="K683" s="286">
        <v>0</v>
      </c>
      <c r="L683" s="286">
        <v>0</v>
      </c>
      <c r="M683" s="286" t="s">
        <v>71</v>
      </c>
    </row>
    <row r="684" spans="1:13" x14ac:dyDescent="0.25">
      <c r="A684" s="287" t="s">
        <v>879</v>
      </c>
      <c r="B684" s="286">
        <v>10.25</v>
      </c>
      <c r="C684" s="286">
        <v>0</v>
      </c>
      <c r="D684" s="286">
        <v>0</v>
      </c>
      <c r="E684" s="286">
        <v>0</v>
      </c>
      <c r="F684" s="286">
        <v>0</v>
      </c>
      <c r="G684" s="286">
        <v>0</v>
      </c>
      <c r="H684" s="286">
        <v>0</v>
      </c>
      <c r="I684" s="286">
        <v>1.88</v>
      </c>
      <c r="J684" s="286">
        <v>236</v>
      </c>
      <c r="K684" s="286">
        <v>0</v>
      </c>
      <c r="L684" s="286">
        <v>0</v>
      </c>
      <c r="M684" s="286" t="s">
        <v>84</v>
      </c>
    </row>
    <row r="685" spans="1:13" x14ac:dyDescent="0.25">
      <c r="A685" s="287" t="s">
        <v>880</v>
      </c>
      <c r="B685" s="286">
        <v>15.18</v>
      </c>
      <c r="C685" s="286">
        <v>0</v>
      </c>
      <c r="D685" s="286">
        <v>0</v>
      </c>
      <c r="E685" s="286">
        <v>0</v>
      </c>
      <c r="F685" s="286">
        <v>0</v>
      </c>
      <c r="G685" s="286">
        <v>0</v>
      </c>
      <c r="H685" s="286">
        <v>0</v>
      </c>
      <c r="I685" s="286">
        <v>1.73</v>
      </c>
      <c r="J685" s="286">
        <v>414</v>
      </c>
      <c r="K685" s="286">
        <v>0</v>
      </c>
      <c r="L685" s="286">
        <v>0</v>
      </c>
      <c r="M685" s="286" t="s">
        <v>60</v>
      </c>
    </row>
    <row r="686" spans="1:13" x14ac:dyDescent="0.25">
      <c r="A686" s="287" t="s">
        <v>881</v>
      </c>
      <c r="B686" s="286">
        <v>9.8000000000000007</v>
      </c>
      <c r="C686" s="286">
        <v>0</v>
      </c>
      <c r="D686" s="286">
        <v>0</v>
      </c>
      <c r="E686" s="286">
        <v>0</v>
      </c>
      <c r="F686" s="286">
        <v>0</v>
      </c>
      <c r="G686" s="286">
        <v>0</v>
      </c>
      <c r="H686" s="286">
        <v>0</v>
      </c>
      <c r="I686" s="286">
        <v>2.0099999999999998</v>
      </c>
      <c r="J686" s="286">
        <v>185</v>
      </c>
      <c r="K686" s="286">
        <v>0</v>
      </c>
      <c r="L686" s="286">
        <v>0</v>
      </c>
      <c r="M686" s="286" t="s">
        <v>89</v>
      </c>
    </row>
    <row r="687" spans="1:13" x14ac:dyDescent="0.25">
      <c r="A687" s="287" t="s">
        <v>882</v>
      </c>
      <c r="B687" s="286">
        <v>0</v>
      </c>
      <c r="C687" s="286">
        <v>0</v>
      </c>
      <c r="D687" s="286">
        <v>0</v>
      </c>
      <c r="E687" s="286">
        <v>0</v>
      </c>
      <c r="F687" s="286">
        <v>0</v>
      </c>
      <c r="G687" s="286">
        <v>0</v>
      </c>
      <c r="H687" s="286">
        <v>0</v>
      </c>
      <c r="I687" s="286">
        <v>2.36</v>
      </c>
      <c r="J687" s="286">
        <v>0</v>
      </c>
      <c r="K687" s="286">
        <v>0</v>
      </c>
      <c r="L687" s="286">
        <v>0</v>
      </c>
      <c r="M687" s="286" t="s">
        <v>58</v>
      </c>
    </row>
    <row r="688" spans="1:13" x14ac:dyDescent="0.25">
      <c r="A688" s="287" t="s">
        <v>883</v>
      </c>
      <c r="B688" s="286">
        <v>14.93</v>
      </c>
      <c r="C688" s="286">
        <v>0</v>
      </c>
      <c r="D688" s="286">
        <v>0</v>
      </c>
      <c r="E688" s="286">
        <v>0</v>
      </c>
      <c r="F688" s="286">
        <v>0</v>
      </c>
      <c r="G688" s="286">
        <v>0</v>
      </c>
      <c r="H688" s="286">
        <v>0</v>
      </c>
      <c r="I688" s="286">
        <v>2.19</v>
      </c>
      <c r="J688" s="286">
        <v>0</v>
      </c>
      <c r="K688" s="286">
        <v>0</v>
      </c>
      <c r="L688" s="286">
        <v>0</v>
      </c>
      <c r="M688" s="286" t="s">
        <v>58</v>
      </c>
    </row>
  </sheetData>
  <autoFilter ref="A1:M688" xr:uid="{00000000-0009-0000-0000-00000A000000}"/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AS59"/>
  <sheetViews>
    <sheetView zoomScale="61" zoomScaleNormal="90" workbookViewId="0"/>
  </sheetViews>
  <sheetFormatPr defaultColWidth="8.7109375" defaultRowHeight="15" x14ac:dyDescent="0.25"/>
  <cols>
    <col min="1" max="1" width="8.7109375" style="42" customWidth="1"/>
    <col min="2" max="2" width="51.42578125" style="1" customWidth="1"/>
    <col min="3" max="3" width="7.140625" style="42" customWidth="1"/>
    <col min="4" max="5" width="7.140625" style="42" hidden="1" customWidth="1"/>
    <col min="6" max="7" width="8.7109375" style="42" customWidth="1"/>
    <col min="8" max="8" width="11.140625" style="42" customWidth="1"/>
    <col min="9" max="23" width="8.7109375" style="42" customWidth="1"/>
    <col min="24" max="24" width="10.85546875" style="42" customWidth="1"/>
    <col min="25" max="25" width="10.7109375" style="42" customWidth="1"/>
    <col min="26" max="29" width="8.7109375" style="42" customWidth="1"/>
    <col min="30" max="30" width="8.7109375" style="146" customWidth="1"/>
    <col min="31" max="39" width="8.7109375" style="42" customWidth="1"/>
    <col min="40" max="40" width="14.140625" style="42" customWidth="1"/>
    <col min="41" max="47" width="8.7109375" style="42" customWidth="1"/>
    <col min="48" max="16384" width="8.7109375" style="42"/>
  </cols>
  <sheetData>
    <row r="2" spans="2:45" x14ac:dyDescent="0.25">
      <c r="F2" s="84"/>
      <c r="G2" s="84"/>
      <c r="H2" s="84"/>
      <c r="I2" s="84"/>
      <c r="J2" s="84"/>
      <c r="K2" s="84"/>
      <c r="L2" s="84"/>
      <c r="M2" s="84"/>
    </row>
    <row r="3" spans="2:45" ht="15" customHeight="1" thickBot="1" x14ac:dyDescent="0.3"/>
    <row r="4" spans="2:45" ht="15" customHeight="1" thickBot="1" x14ac:dyDescent="0.3">
      <c r="B4" s="429" t="s">
        <v>1267</v>
      </c>
      <c r="C4" s="426"/>
      <c r="D4" s="426"/>
      <c r="E4" s="426"/>
      <c r="F4" s="426"/>
      <c r="G4" s="426"/>
      <c r="H4" s="426"/>
      <c r="I4" s="426"/>
      <c r="J4" s="426"/>
      <c r="K4" s="426"/>
      <c r="L4" s="426"/>
      <c r="M4" s="426"/>
      <c r="N4" s="426"/>
      <c r="O4" s="426"/>
      <c r="P4" s="426"/>
      <c r="Q4" s="426"/>
      <c r="R4" s="426"/>
      <c r="S4" s="426"/>
      <c r="T4" s="426"/>
      <c r="U4" s="426"/>
      <c r="V4" s="426"/>
      <c r="W4" s="426"/>
      <c r="X4" s="426"/>
      <c r="Y4" s="426"/>
      <c r="Z4" s="426"/>
      <c r="AA4" s="426"/>
      <c r="AB4" s="426"/>
      <c r="AC4" s="426"/>
      <c r="AD4" s="426"/>
      <c r="AE4" s="426"/>
      <c r="AF4" s="426"/>
      <c r="AG4" s="426"/>
      <c r="AH4" s="426"/>
      <c r="AI4" s="426"/>
      <c r="AJ4" s="426"/>
      <c r="AK4" s="426"/>
      <c r="AL4" s="426"/>
      <c r="AM4" s="426"/>
      <c r="AN4" s="375"/>
    </row>
    <row r="5" spans="2:45" ht="15" customHeight="1" thickBot="1" x14ac:dyDescent="0.3">
      <c r="B5" s="262"/>
      <c r="C5" s="189"/>
      <c r="D5" s="189"/>
      <c r="E5" s="189"/>
      <c r="F5" s="444"/>
      <c r="G5" s="445"/>
      <c r="H5" s="445"/>
      <c r="I5" s="445"/>
      <c r="J5" s="445"/>
      <c r="K5" s="445"/>
      <c r="L5" s="445"/>
      <c r="M5" s="445"/>
      <c r="N5" s="445"/>
      <c r="O5" s="445"/>
      <c r="P5" s="445"/>
      <c r="Q5" s="445"/>
      <c r="R5" s="445"/>
      <c r="S5" s="445"/>
      <c r="T5" s="445"/>
      <c r="U5" s="445"/>
      <c r="V5" s="446"/>
      <c r="W5" s="444"/>
      <c r="X5" s="445"/>
      <c r="Y5" s="445"/>
      <c r="Z5" s="445"/>
      <c r="AA5" s="445"/>
      <c r="AB5" s="445"/>
      <c r="AC5" s="445"/>
      <c r="AD5" s="445"/>
      <c r="AE5" s="445"/>
      <c r="AF5" s="445"/>
      <c r="AG5" s="445"/>
      <c r="AH5" s="445"/>
      <c r="AI5" s="445"/>
      <c r="AJ5" s="445"/>
      <c r="AK5" s="445"/>
      <c r="AL5" s="445"/>
      <c r="AM5" s="446"/>
      <c r="AN5" s="442" t="s">
        <v>1048</v>
      </c>
    </row>
    <row r="6" spans="2:45" ht="43.5" customHeight="1" x14ac:dyDescent="0.25">
      <c r="B6" s="116" t="s">
        <v>44</v>
      </c>
      <c r="C6" s="282" t="s">
        <v>927</v>
      </c>
      <c r="D6" s="282"/>
      <c r="E6" s="281"/>
      <c r="F6" s="280" t="s">
        <v>1268</v>
      </c>
      <c r="G6" s="280" t="s">
        <v>1269</v>
      </c>
      <c r="H6" s="280" t="s">
        <v>1270</v>
      </c>
      <c r="I6" s="280" t="s">
        <v>1271</v>
      </c>
      <c r="J6" s="280" t="s">
        <v>1272</v>
      </c>
      <c r="K6" s="280" t="s">
        <v>1273</v>
      </c>
      <c r="L6" s="280" t="s">
        <v>1274</v>
      </c>
      <c r="M6" s="280" t="s">
        <v>1275</v>
      </c>
      <c r="N6" s="280" t="s">
        <v>1276</v>
      </c>
      <c r="O6" s="280" t="s">
        <v>1277</v>
      </c>
      <c r="P6" s="280" t="s">
        <v>1278</v>
      </c>
      <c r="Q6" s="280" t="s">
        <v>1279</v>
      </c>
      <c r="R6" s="280" t="s">
        <v>1280</v>
      </c>
      <c r="S6" s="280" t="s">
        <v>1281</v>
      </c>
      <c r="T6" s="280" t="s">
        <v>1282</v>
      </c>
      <c r="U6" s="280" t="s">
        <v>1283</v>
      </c>
      <c r="V6" s="280" t="s">
        <v>1284</v>
      </c>
      <c r="W6" s="198" t="str">
        <f t="shared" ref="W6:AM6" si="0">F6</f>
        <v>YTM</v>
      </c>
      <c r="X6" s="283" t="str">
        <f t="shared" si="0"/>
        <v>Modified Duration</v>
      </c>
      <c r="Y6" s="283" t="str">
        <f t="shared" si="0"/>
        <v>Macaulay Duration</v>
      </c>
      <c r="Z6" s="198" t="str">
        <f t="shared" si="0"/>
        <v>3 Months</v>
      </c>
      <c r="AA6" s="198" t="str">
        <f t="shared" si="0"/>
        <v>6 Months</v>
      </c>
      <c r="AB6" s="198" t="str">
        <f t="shared" si="0"/>
        <v>9 Months</v>
      </c>
      <c r="AC6" s="198" t="str">
        <f t="shared" si="0"/>
        <v>1 Year</v>
      </c>
      <c r="AD6" s="198" t="str">
        <f t="shared" si="0"/>
        <v>2 Years</v>
      </c>
      <c r="AE6" s="198" t="str">
        <f t="shared" si="0"/>
        <v>3 Years</v>
      </c>
      <c r="AF6" s="198" t="str">
        <f t="shared" si="0"/>
        <v>5 Years</v>
      </c>
      <c r="AG6" s="198" t="str">
        <f t="shared" si="0"/>
        <v>10 Years</v>
      </c>
      <c r="AH6" s="198" t="str">
        <f t="shared" si="0"/>
        <v>Sovereign</v>
      </c>
      <c r="AI6" s="198" t="str">
        <f t="shared" si="0"/>
        <v>AAA/A1+</v>
      </c>
      <c r="AJ6" s="198" t="str">
        <f t="shared" si="0"/>
        <v>AA+</v>
      </c>
      <c r="AK6" s="283" t="str">
        <f t="shared" si="0"/>
        <v>AA/AA-</v>
      </c>
      <c r="AL6" s="283" t="str">
        <f t="shared" si="0"/>
        <v>Below AA-</v>
      </c>
      <c r="AM6" s="198" t="str">
        <f t="shared" si="0"/>
        <v>Cash and Fixed Deposits</v>
      </c>
      <c r="AN6" s="443"/>
      <c r="AQ6" s="42">
        <v>1</v>
      </c>
      <c r="AR6" s="42">
        <v>2</v>
      </c>
      <c r="AS6" s="42">
        <v>3</v>
      </c>
    </row>
    <row r="7" spans="2:45" x14ac:dyDescent="0.25">
      <c r="B7" s="119" t="s">
        <v>1285</v>
      </c>
      <c r="C7" s="132">
        <f t="shared" ref="C7:C13" si="1">RANK(AN7,$AN$7:$AN$13,0)</f>
        <v>6</v>
      </c>
      <c r="D7" s="191"/>
      <c r="E7" s="191" t="str">
        <f t="shared" ref="E7:E13" si="2">B7</f>
        <v>Aditya Birla Sun Life Savings Fund - Reg - Growth</v>
      </c>
      <c r="F7" s="248">
        <v>7.98</v>
      </c>
      <c r="G7" s="248">
        <v>0.46</v>
      </c>
      <c r="H7" s="249">
        <v>0.49</v>
      </c>
      <c r="I7" s="249">
        <v>6.9</v>
      </c>
      <c r="J7" s="249">
        <v>5.96</v>
      </c>
      <c r="K7" s="249">
        <v>6.07</v>
      </c>
      <c r="L7" s="249">
        <v>6.19</v>
      </c>
      <c r="M7" s="249">
        <v>7.14</v>
      </c>
      <c r="N7" s="249">
        <v>7.23</v>
      </c>
      <c r="O7" s="249">
        <v>6.4</v>
      </c>
      <c r="P7" s="249">
        <v>6.89</v>
      </c>
      <c r="Q7" s="84">
        <v>12.05</v>
      </c>
      <c r="R7" s="84">
        <v>60.06</v>
      </c>
      <c r="S7" s="84">
        <v>19.84</v>
      </c>
      <c r="T7" s="84">
        <v>10.92</v>
      </c>
      <c r="U7" s="84">
        <v>0</v>
      </c>
      <c r="V7" s="84">
        <v>-2.87</v>
      </c>
      <c r="W7" s="150">
        <f t="shared" ref="W7:W13" si="3">(F7-MIN(F$7:F$13))/(MAX(F$7:F$13)-MIN(F$7:F$13))</f>
        <v>1</v>
      </c>
      <c r="X7" s="150">
        <f t="shared" ref="X7:Y13" si="4">(MAX(G$7:G$13)-G7)/(MAX(G$7:G$13)-MIN(G$7:G$13))</f>
        <v>0</v>
      </c>
      <c r="Y7" s="150">
        <f t="shared" si="4"/>
        <v>0</v>
      </c>
      <c r="Z7" s="150">
        <f t="shared" ref="Z7:AJ13" si="5">(I7-MIN(I$7:I$13))/(MAX(I$7:I$13)-MIN(I$7:I$13))</f>
        <v>0.67073170731707377</v>
      </c>
      <c r="AA7" s="150">
        <f t="shared" si="5"/>
        <v>0.13122171945701358</v>
      </c>
      <c r="AB7" s="150">
        <f t="shared" si="5"/>
        <v>0.16949152542372917</v>
      </c>
      <c r="AC7" s="150">
        <f t="shared" si="5"/>
        <v>0.23463687150838033</v>
      </c>
      <c r="AD7" s="150">
        <f t="shared" si="5"/>
        <v>0.71604938271604901</v>
      </c>
      <c r="AE7" s="150">
        <f t="shared" si="5"/>
        <v>1</v>
      </c>
      <c r="AF7" s="150">
        <f t="shared" si="5"/>
        <v>0.8241758241758248</v>
      </c>
      <c r="AG7" s="150">
        <f t="shared" si="5"/>
        <v>1</v>
      </c>
      <c r="AH7" s="150">
        <f t="shared" si="5"/>
        <v>0.60149672591206749</v>
      </c>
      <c r="AI7" s="150">
        <f t="shared" si="5"/>
        <v>0.15172735760971054</v>
      </c>
      <c r="AJ7" s="150">
        <f t="shared" si="5"/>
        <v>1</v>
      </c>
      <c r="AK7" s="150">
        <f t="shared" ref="AK7:AL13" si="6">(MAX(T$7:T$13)-T7)/(MAX(T$7:T$13)-MIN(T$7:T$13))</f>
        <v>0.42916884474647149</v>
      </c>
      <c r="AL7" s="150">
        <f t="shared" si="6"/>
        <v>2.8368794326241137E-3</v>
      </c>
      <c r="AM7" s="150">
        <f t="shared" ref="AM7:AM13" si="7">(V7-MIN(V$7:V$13))/(MAX(V$7:V$13)-MIN(V$7:V$13))</f>
        <v>0</v>
      </c>
      <c r="AN7" s="143">
        <f t="array" ref="AN7">SUMPRODUCT(W7:Y7, TRANSPOSE('Fund Ranking Criteria'!$C$39:$C$41))+SUMPRODUCT('Fund Ranking_Debt'!Z7:AG7, TRANSPOSE('Fund Ranking Criteria'!$C$30:$C$37))+SUMPRODUCT('Fund Ranking_Debt'!AH7:AM7, TRANSPOSE('Fund Ranking Criteria'!$C$43:$C$48))</f>
        <v>0.49088032938944426</v>
      </c>
      <c r="AQ7" s="42">
        <v>2</v>
      </c>
      <c r="AR7" s="42">
        <v>3</v>
      </c>
      <c r="AS7" s="42">
        <v>5</v>
      </c>
    </row>
    <row r="8" spans="2:45" x14ac:dyDescent="0.25">
      <c r="B8" s="119" t="s">
        <v>1286</v>
      </c>
      <c r="C8" s="132">
        <f t="shared" si="1"/>
        <v>7</v>
      </c>
      <c r="D8" s="191"/>
      <c r="E8" s="191" t="str">
        <f t="shared" si="2"/>
        <v>HDFC Ultra Short Term Fund - Reg - Growth</v>
      </c>
      <c r="F8" s="248">
        <v>7.61</v>
      </c>
      <c r="G8" s="248">
        <v>0.43</v>
      </c>
      <c r="H8" s="249">
        <v>0.47</v>
      </c>
      <c r="I8" s="249">
        <v>6.63</v>
      </c>
      <c r="J8" s="249">
        <v>5.67</v>
      </c>
      <c r="K8" s="249">
        <v>5.77</v>
      </c>
      <c r="L8" s="249">
        <v>5.85</v>
      </c>
      <c r="M8" s="249">
        <v>6.72</v>
      </c>
      <c r="N8" s="249">
        <v>6.86</v>
      </c>
      <c r="O8" s="249">
        <v>6.06</v>
      </c>
      <c r="P8" s="249">
        <v>0</v>
      </c>
      <c r="Q8" s="84">
        <v>8.81</v>
      </c>
      <c r="R8" s="84">
        <v>78.23</v>
      </c>
      <c r="S8" s="84">
        <v>2.31</v>
      </c>
      <c r="T8" s="84">
        <v>5.31</v>
      </c>
      <c r="U8" s="84">
        <v>0</v>
      </c>
      <c r="V8" s="84">
        <v>5.33</v>
      </c>
      <c r="W8" s="142">
        <f t="shared" si="3"/>
        <v>0.78488372093023262</v>
      </c>
      <c r="X8" s="142">
        <f t="shared" si="4"/>
        <v>0.25000000000000022</v>
      </c>
      <c r="Y8" s="142">
        <f t="shared" si="4"/>
        <v>0.25000000000000017</v>
      </c>
      <c r="Z8" s="142">
        <f t="shared" si="5"/>
        <v>0.34146341463414653</v>
      </c>
      <c r="AA8" s="142">
        <f t="shared" si="5"/>
        <v>0</v>
      </c>
      <c r="AB8" s="142">
        <f t="shared" si="5"/>
        <v>0</v>
      </c>
      <c r="AC8" s="142">
        <f t="shared" si="5"/>
        <v>4.4692737430167634E-2</v>
      </c>
      <c r="AD8" s="142">
        <f t="shared" si="5"/>
        <v>0.19753086419753091</v>
      </c>
      <c r="AE8" s="142">
        <f t="shared" si="5"/>
        <v>0.32727272727272794</v>
      </c>
      <c r="AF8" s="142">
        <f t="shared" si="5"/>
        <v>0.45054945054945011</v>
      </c>
      <c r="AG8" s="142">
        <f t="shared" si="5"/>
        <v>0</v>
      </c>
      <c r="AH8" s="142">
        <f t="shared" si="5"/>
        <v>0.29840972871842852</v>
      </c>
      <c r="AI8" s="142">
        <f t="shared" si="5"/>
        <v>1</v>
      </c>
      <c r="AJ8" s="142">
        <f t="shared" si="5"/>
        <v>0</v>
      </c>
      <c r="AK8" s="142">
        <f t="shared" si="6"/>
        <v>0.72242550967067443</v>
      </c>
      <c r="AL8" s="142">
        <f t="shared" si="6"/>
        <v>2.8368794326241137E-3</v>
      </c>
      <c r="AM8" s="142">
        <f t="shared" si="7"/>
        <v>0.42797494780793316</v>
      </c>
      <c r="AN8" s="143">
        <f t="array" ref="AN8">SUMPRODUCT(W8:Y8, TRANSPOSE('Fund Ranking Criteria'!$C$39:$C$41))+SUMPRODUCT('Fund Ranking_Debt'!Z8:AG8, TRANSPOSE('Fund Ranking Criteria'!$C$30:$C$37))+SUMPRODUCT('Fund Ranking_Debt'!AH8:AM8, TRANSPOSE('Fund Ranking Criteria'!$C$43:$C$48))</f>
        <v>0.41975614143152007</v>
      </c>
    </row>
    <row r="9" spans="2:45" x14ac:dyDescent="0.25">
      <c r="B9" s="119" t="s">
        <v>1287</v>
      </c>
      <c r="C9" s="132">
        <f t="shared" si="1"/>
        <v>2</v>
      </c>
      <c r="D9" s="191"/>
      <c r="E9" s="191" t="str">
        <f t="shared" si="2"/>
        <v>SBI Magnum Ultra Short Duration Fund - Growth</v>
      </c>
      <c r="F9" s="248">
        <v>6.26</v>
      </c>
      <c r="G9" s="248">
        <v>0.42</v>
      </c>
      <c r="H9" s="249">
        <v>0.45</v>
      </c>
      <c r="I9" s="249">
        <v>7.17</v>
      </c>
      <c r="J9" s="249">
        <v>7.88</v>
      </c>
      <c r="K9" s="249">
        <v>7.54</v>
      </c>
      <c r="L9" s="249">
        <v>7.56</v>
      </c>
      <c r="M9" s="249">
        <v>7.37</v>
      </c>
      <c r="N9" s="249">
        <v>7.06</v>
      </c>
      <c r="O9" s="249">
        <v>5.65</v>
      </c>
      <c r="P9" s="249">
        <v>6.6</v>
      </c>
      <c r="Q9" s="84">
        <v>16.309999999999999</v>
      </c>
      <c r="R9" s="84">
        <v>77.66</v>
      </c>
      <c r="S9" s="84">
        <v>3.09</v>
      </c>
      <c r="T9" s="84">
        <v>0</v>
      </c>
      <c r="U9" s="84">
        <v>-13.56</v>
      </c>
      <c r="V9" s="84">
        <v>16.29</v>
      </c>
      <c r="W9" s="142">
        <f t="shared" si="3"/>
        <v>0</v>
      </c>
      <c r="X9" s="142">
        <f t="shared" si="4"/>
        <v>0.33333333333333365</v>
      </c>
      <c r="Y9" s="142">
        <f t="shared" si="4"/>
        <v>0.49999999999999967</v>
      </c>
      <c r="Z9" s="142">
        <f t="shared" si="5"/>
        <v>1</v>
      </c>
      <c r="AA9" s="142">
        <f t="shared" si="5"/>
        <v>1</v>
      </c>
      <c r="AB9" s="142">
        <f t="shared" si="5"/>
        <v>1</v>
      </c>
      <c r="AC9" s="142">
        <f t="shared" si="5"/>
        <v>1</v>
      </c>
      <c r="AD9" s="142">
        <f t="shared" si="5"/>
        <v>1</v>
      </c>
      <c r="AE9" s="142">
        <f t="shared" si="5"/>
        <v>0.69090909090908981</v>
      </c>
      <c r="AF9" s="142">
        <f t="shared" si="5"/>
        <v>0</v>
      </c>
      <c r="AG9" s="142">
        <f t="shared" si="5"/>
        <v>0.9579100145137881</v>
      </c>
      <c r="AH9" s="142">
        <f t="shared" si="5"/>
        <v>1</v>
      </c>
      <c r="AI9" s="142">
        <f t="shared" si="5"/>
        <v>0.97338935574229657</v>
      </c>
      <c r="AJ9" s="142">
        <f t="shared" si="5"/>
        <v>4.4495151169423833E-2</v>
      </c>
      <c r="AK9" s="142">
        <f t="shared" si="6"/>
        <v>1</v>
      </c>
      <c r="AL9" s="142">
        <f t="shared" si="6"/>
        <v>0.96453900709219853</v>
      </c>
      <c r="AM9" s="142">
        <f t="shared" si="7"/>
        <v>1</v>
      </c>
      <c r="AN9" s="143">
        <f t="array" ref="AN9">SUMPRODUCT(W9:Y9, TRANSPOSE('Fund Ranking Criteria'!$C$39:$C$41))+SUMPRODUCT('Fund Ranking_Debt'!Z9:AG9, TRANSPOSE('Fund Ranking Criteria'!$C$30:$C$37))+SUMPRODUCT('Fund Ranking_Debt'!AH9:AM9, TRANSPOSE('Fund Ranking Criteria'!$C$43:$C$48))</f>
        <v>0.58023434671534624</v>
      </c>
      <c r="AQ9" s="42">
        <f>SUMPRODUCT(AQ6:AS6,AQ7:AS7)</f>
        <v>23</v>
      </c>
    </row>
    <row r="10" spans="2:45" x14ac:dyDescent="0.25">
      <c r="B10" s="119" t="s">
        <v>1288</v>
      </c>
      <c r="C10" s="132">
        <f t="shared" si="1"/>
        <v>1</v>
      </c>
      <c r="D10" s="191"/>
      <c r="E10" s="191" t="str">
        <f t="shared" si="2"/>
        <v>ICICI Prudential Ultra Short Term Fund - Growth</v>
      </c>
      <c r="F10" s="248">
        <v>7.79</v>
      </c>
      <c r="G10" s="248">
        <v>0.44</v>
      </c>
      <c r="H10" s="249">
        <v>0.48</v>
      </c>
      <c r="I10" s="249">
        <v>7.16</v>
      </c>
      <c r="J10" s="249">
        <v>6.07</v>
      </c>
      <c r="K10" s="249">
        <v>6.07</v>
      </c>
      <c r="L10" s="249">
        <v>6.13</v>
      </c>
      <c r="M10" s="249">
        <v>6.88</v>
      </c>
      <c r="N10" s="249">
        <v>6.97</v>
      </c>
      <c r="O10" s="249">
        <v>6.18</v>
      </c>
      <c r="P10" s="249">
        <v>6.76</v>
      </c>
      <c r="Q10" s="84">
        <v>9.7799999999999994</v>
      </c>
      <c r="R10" s="84">
        <v>68.430000000000007</v>
      </c>
      <c r="S10" s="84">
        <v>7.49</v>
      </c>
      <c r="T10" s="84">
        <v>9.6300000000000008</v>
      </c>
      <c r="U10" s="84">
        <v>-14.06</v>
      </c>
      <c r="V10" s="84">
        <v>4.67</v>
      </c>
      <c r="W10" s="142">
        <f t="shared" si="3"/>
        <v>0.88953488372093004</v>
      </c>
      <c r="X10" s="142">
        <f t="shared" si="4"/>
        <v>0.16666666666666682</v>
      </c>
      <c r="Y10" s="142">
        <f t="shared" si="4"/>
        <v>0.12500000000000008</v>
      </c>
      <c r="Z10" s="142">
        <f t="shared" si="5"/>
        <v>0.9878048780487807</v>
      </c>
      <c r="AA10" s="142">
        <f t="shared" si="5"/>
        <v>0.18099547511312233</v>
      </c>
      <c r="AB10" s="142">
        <f t="shared" si="5"/>
        <v>0.16949152542372917</v>
      </c>
      <c r="AC10" s="142">
        <f t="shared" si="5"/>
        <v>0.20111731843575437</v>
      </c>
      <c r="AD10" s="142">
        <f t="shared" si="5"/>
        <v>0.39506172839506182</v>
      </c>
      <c r="AE10" s="142">
        <f t="shared" si="5"/>
        <v>0.52727272727272667</v>
      </c>
      <c r="AF10" s="142">
        <f t="shared" si="5"/>
        <v>0.58241758241758224</v>
      </c>
      <c r="AG10" s="142">
        <f t="shared" si="5"/>
        <v>0.98113207547169812</v>
      </c>
      <c r="AH10" s="142">
        <f t="shared" si="5"/>
        <v>0.38914873713751169</v>
      </c>
      <c r="AI10" s="142">
        <f t="shared" si="5"/>
        <v>0.54248366013071914</v>
      </c>
      <c r="AJ10" s="142">
        <f t="shared" si="5"/>
        <v>0.29549343981745574</v>
      </c>
      <c r="AK10" s="142">
        <f t="shared" si="6"/>
        <v>0.49660219550444323</v>
      </c>
      <c r="AL10" s="142">
        <f t="shared" si="6"/>
        <v>1</v>
      </c>
      <c r="AM10" s="142">
        <f t="shared" si="7"/>
        <v>0.39352818371607518</v>
      </c>
      <c r="AN10" s="143">
        <f t="array" ref="AN10">SUMPRODUCT(W10:Y10, TRANSPOSE('Fund Ranking Criteria'!$C$39:$C$41))+SUMPRODUCT('Fund Ranking_Debt'!Z10:AG10, TRANSPOSE('Fund Ranking Criteria'!$C$30:$C$37))+SUMPRODUCT('Fund Ranking_Debt'!AH10:AM10, TRANSPOSE('Fund Ranking Criteria'!$C$43:$C$48))</f>
        <v>0.61102798727261742</v>
      </c>
    </row>
    <row r="11" spans="2:45" x14ac:dyDescent="0.25">
      <c r="B11" s="119" t="s">
        <v>1289</v>
      </c>
      <c r="C11" s="132">
        <f t="shared" si="1"/>
        <v>3</v>
      </c>
      <c r="D11" s="191"/>
      <c r="E11" s="191" t="str">
        <f t="shared" si="2"/>
        <v>Kotak Savings Fund - Reg - Growth</v>
      </c>
      <c r="F11" s="248">
        <v>7.9</v>
      </c>
      <c r="G11" s="248">
        <v>0.4</v>
      </c>
      <c r="H11" s="249">
        <v>0.41</v>
      </c>
      <c r="I11" s="249">
        <v>6.35</v>
      </c>
      <c r="J11" s="249">
        <v>5.75</v>
      </c>
      <c r="K11" s="249">
        <v>5.79</v>
      </c>
      <c r="L11" s="249">
        <v>5.82</v>
      </c>
      <c r="M11" s="249">
        <v>6.62</v>
      </c>
      <c r="N11" s="249">
        <v>6.73</v>
      </c>
      <c r="O11" s="249">
        <v>5.95</v>
      </c>
      <c r="P11" s="249">
        <v>6.32</v>
      </c>
      <c r="Q11" s="84">
        <v>13.33</v>
      </c>
      <c r="R11" s="84">
        <v>67.150000000000006</v>
      </c>
      <c r="S11" s="84">
        <v>10.130000000000001</v>
      </c>
      <c r="T11" s="84">
        <v>5.79</v>
      </c>
      <c r="U11" s="84">
        <v>0</v>
      </c>
      <c r="V11" s="84">
        <v>3.6</v>
      </c>
      <c r="W11" s="142">
        <f t="shared" si="3"/>
        <v>0.95348837209302328</v>
      </c>
      <c r="X11" s="142">
        <f t="shared" si="4"/>
        <v>0.5</v>
      </c>
      <c r="Y11" s="142">
        <f t="shared" si="4"/>
        <v>1</v>
      </c>
      <c r="Z11" s="142">
        <f t="shared" si="5"/>
        <v>0</v>
      </c>
      <c r="AA11" s="142">
        <f t="shared" si="5"/>
        <v>3.6199095022624465E-2</v>
      </c>
      <c r="AB11" s="142">
        <f t="shared" si="5"/>
        <v>1.1299435028248846E-2</v>
      </c>
      <c r="AC11" s="142">
        <f t="shared" si="5"/>
        <v>2.7932960893855146E-2</v>
      </c>
      <c r="AD11" s="142">
        <f t="shared" si="5"/>
        <v>7.4074074074074639E-2</v>
      </c>
      <c r="AE11" s="142">
        <f t="shared" si="5"/>
        <v>9.0909090909092077E-2</v>
      </c>
      <c r="AF11" s="142">
        <f t="shared" si="5"/>
        <v>0.32967032967032972</v>
      </c>
      <c r="AG11" s="142">
        <f t="shared" si="5"/>
        <v>0.91727140783744565</v>
      </c>
      <c r="AH11" s="142">
        <f t="shared" si="5"/>
        <v>0.72123479887745567</v>
      </c>
      <c r="AI11" s="142">
        <f t="shared" si="5"/>
        <v>0.48272642390289461</v>
      </c>
      <c r="AJ11" s="142">
        <f t="shared" si="5"/>
        <v>0.44609241300627495</v>
      </c>
      <c r="AK11" s="142">
        <f t="shared" si="6"/>
        <v>0.69733403031887087</v>
      </c>
      <c r="AL11" s="142">
        <f t="shared" si="6"/>
        <v>2.8368794326241137E-3</v>
      </c>
      <c r="AM11" s="142">
        <f t="shared" si="7"/>
        <v>0.33768267223382048</v>
      </c>
      <c r="AN11" s="143">
        <f t="array" ref="AN11">SUMPRODUCT(W11:Y11, TRANSPOSE('Fund Ranking Criteria'!$C$39:$C$41))+SUMPRODUCT('Fund Ranking_Debt'!Z11:AG11, TRANSPOSE('Fund Ranking Criteria'!$C$30:$C$37))+SUMPRODUCT('Fund Ranking_Debt'!AH11:AM11, TRANSPOSE('Fund Ranking Criteria'!$C$43:$C$48))</f>
        <v>0.53704489501154118</v>
      </c>
    </row>
    <row r="12" spans="2:45" x14ac:dyDescent="0.25">
      <c r="B12" s="119" t="s">
        <v>1290</v>
      </c>
      <c r="C12" s="132">
        <f t="shared" si="1"/>
        <v>5</v>
      </c>
      <c r="D12" s="191"/>
      <c r="E12" s="191" t="str">
        <f t="shared" si="2"/>
        <v>Nippon India Ultra Short Duration Fund - Reg - Growth</v>
      </c>
      <c r="F12" s="248">
        <v>7.83</v>
      </c>
      <c r="G12" s="248">
        <v>0.42</v>
      </c>
      <c r="H12" s="249">
        <v>0.45</v>
      </c>
      <c r="I12" s="249">
        <v>7.15</v>
      </c>
      <c r="J12" s="249">
        <v>6.14</v>
      </c>
      <c r="K12" s="249">
        <v>6.06</v>
      </c>
      <c r="L12" s="249">
        <v>6.05</v>
      </c>
      <c r="M12" s="249">
        <v>6.72</v>
      </c>
      <c r="N12" s="249">
        <v>6.78</v>
      </c>
      <c r="O12" s="249">
        <v>6.56</v>
      </c>
      <c r="P12" s="249">
        <v>5.79</v>
      </c>
      <c r="Q12" s="84">
        <v>9.0399999999999991</v>
      </c>
      <c r="R12" s="84">
        <v>56.81</v>
      </c>
      <c r="S12" s="84">
        <v>9.06</v>
      </c>
      <c r="T12" s="84">
        <v>19.13</v>
      </c>
      <c r="U12" s="84">
        <v>0.04</v>
      </c>
      <c r="V12" s="84">
        <v>5.93</v>
      </c>
      <c r="W12" s="142">
        <f t="shared" si="3"/>
        <v>0.91279069767441845</v>
      </c>
      <c r="X12" s="142">
        <f t="shared" si="4"/>
        <v>0.33333333333333365</v>
      </c>
      <c r="Y12" s="142">
        <f t="shared" si="4"/>
        <v>0.49999999999999967</v>
      </c>
      <c r="Z12" s="142">
        <f t="shared" si="5"/>
        <v>0.97560975609756151</v>
      </c>
      <c r="AA12" s="142">
        <f t="shared" si="5"/>
        <v>0.21266968325791843</v>
      </c>
      <c r="AB12" s="142">
        <f t="shared" si="5"/>
        <v>0.16384180790960451</v>
      </c>
      <c r="AC12" s="142">
        <f t="shared" si="5"/>
        <v>0.15642458100558673</v>
      </c>
      <c r="AD12" s="142">
        <f t="shared" si="5"/>
        <v>0.19753086419753091</v>
      </c>
      <c r="AE12" s="142">
        <f t="shared" si="5"/>
        <v>0.18181818181818254</v>
      </c>
      <c r="AF12" s="142">
        <f t="shared" si="5"/>
        <v>1</v>
      </c>
      <c r="AG12" s="142">
        <f t="shared" si="5"/>
        <v>0.84034833091436867</v>
      </c>
      <c r="AH12" s="142">
        <f t="shared" si="5"/>
        <v>0.31992516370439661</v>
      </c>
      <c r="AI12" s="142">
        <f t="shared" si="5"/>
        <v>0</v>
      </c>
      <c r="AJ12" s="142">
        <f t="shared" si="5"/>
        <v>0.38505419281232173</v>
      </c>
      <c r="AK12" s="142">
        <f t="shared" si="6"/>
        <v>0</v>
      </c>
      <c r="AL12" s="142">
        <f t="shared" si="6"/>
        <v>0</v>
      </c>
      <c r="AM12" s="142">
        <f t="shared" si="7"/>
        <v>0.45929018789144055</v>
      </c>
      <c r="AN12" s="143">
        <f t="array" ref="AN12">SUMPRODUCT(W12:Y12, TRANSPOSE('Fund Ranking Criteria'!$C$39:$C$41))+SUMPRODUCT('Fund Ranking_Debt'!Z12:AG12, TRANSPOSE('Fund Ranking Criteria'!$C$30:$C$37))+SUMPRODUCT('Fund Ranking_Debt'!AH12:AM12, TRANSPOSE('Fund Ranking Criteria'!$C$43:$C$48))</f>
        <v>0.51558186715652665</v>
      </c>
    </row>
    <row r="13" spans="2:45" ht="15" customHeight="1" thickBot="1" x14ac:dyDescent="0.3">
      <c r="B13" s="120" t="s">
        <v>1291</v>
      </c>
      <c r="C13" s="141">
        <f t="shared" si="1"/>
        <v>4</v>
      </c>
      <c r="D13" s="192"/>
      <c r="E13" s="192" t="str">
        <f t="shared" si="2"/>
        <v>UTI Ultra Short Duration Fund - Growth</v>
      </c>
      <c r="F13" s="251">
        <v>7.61</v>
      </c>
      <c r="G13" s="251">
        <v>0.34</v>
      </c>
      <c r="H13" s="250">
        <v>0.42</v>
      </c>
      <c r="I13" s="250">
        <v>6.88</v>
      </c>
      <c r="J13" s="250">
        <v>5.78</v>
      </c>
      <c r="K13" s="250">
        <v>5.77</v>
      </c>
      <c r="L13" s="250">
        <v>5.77</v>
      </c>
      <c r="M13" s="250">
        <v>6.56</v>
      </c>
      <c r="N13" s="250">
        <v>6.68</v>
      </c>
      <c r="O13" s="250">
        <v>6.42</v>
      </c>
      <c r="P13" s="250">
        <v>6.03</v>
      </c>
      <c r="Q13" s="92">
        <v>5.62</v>
      </c>
      <c r="R13" s="92">
        <v>62.96</v>
      </c>
      <c r="S13" s="92">
        <v>11.48</v>
      </c>
      <c r="T13" s="92">
        <v>8.59</v>
      </c>
      <c r="U13" s="92">
        <v>0</v>
      </c>
      <c r="V13" s="92">
        <v>11.35</v>
      </c>
      <c r="W13" s="144">
        <f t="shared" si="3"/>
        <v>0.78488372093023262</v>
      </c>
      <c r="X13" s="144">
        <f t="shared" si="4"/>
        <v>1</v>
      </c>
      <c r="Y13" s="144">
        <f t="shared" si="4"/>
        <v>0.87499999999999989</v>
      </c>
      <c r="Z13" s="144">
        <f t="shared" si="5"/>
        <v>0.64634146341463428</v>
      </c>
      <c r="AA13" s="144">
        <f t="shared" si="5"/>
        <v>4.977375565610874E-2</v>
      </c>
      <c r="AB13" s="144">
        <f t="shared" si="5"/>
        <v>0</v>
      </c>
      <c r="AC13" s="144">
        <f t="shared" si="5"/>
        <v>0</v>
      </c>
      <c r="AD13" s="144">
        <f t="shared" si="5"/>
        <v>0</v>
      </c>
      <c r="AE13" s="144">
        <f t="shared" si="5"/>
        <v>0</v>
      </c>
      <c r="AF13" s="144">
        <f t="shared" si="5"/>
        <v>0.84615384615384637</v>
      </c>
      <c r="AG13" s="144">
        <f t="shared" si="5"/>
        <v>0.87518142235123375</v>
      </c>
      <c r="AH13" s="144">
        <f t="shared" si="5"/>
        <v>0</v>
      </c>
      <c r="AI13" s="144">
        <f t="shared" si="5"/>
        <v>0.28711484593837527</v>
      </c>
      <c r="AJ13" s="144">
        <f t="shared" si="5"/>
        <v>0.52310325156873927</v>
      </c>
      <c r="AK13" s="144">
        <f t="shared" si="6"/>
        <v>0.55096706743335078</v>
      </c>
      <c r="AL13" s="144">
        <f t="shared" si="6"/>
        <v>2.8368794326241137E-3</v>
      </c>
      <c r="AM13" s="144">
        <f t="shared" si="7"/>
        <v>0.74217118997912312</v>
      </c>
      <c r="AN13" s="145">
        <f t="array" ref="AN13">SUMPRODUCT(W13:Y13, TRANSPOSE('Fund Ranking Criteria'!$C$39:$C$41))+SUMPRODUCT('Fund Ranking_Debt'!Z13:AG13, TRANSPOSE('Fund Ranking Criteria'!$C$30:$C$37))+SUMPRODUCT('Fund Ranking_Debt'!AH13:AM13, TRANSPOSE('Fund Ranking Criteria'!$C$43:$C$48))</f>
        <v>0.53402269143770809</v>
      </c>
    </row>
    <row r="15" spans="2:45" ht="15" customHeight="1" thickBot="1" x14ac:dyDescent="0.3"/>
    <row r="16" spans="2:45" ht="15" customHeight="1" thickBot="1" x14ac:dyDescent="0.3">
      <c r="B16" s="429" t="s">
        <v>1292</v>
      </c>
      <c r="C16" s="426"/>
      <c r="D16" s="426"/>
      <c r="E16" s="426"/>
      <c r="F16" s="426"/>
      <c r="G16" s="426"/>
      <c r="H16" s="426"/>
      <c r="I16" s="426"/>
      <c r="J16" s="426"/>
      <c r="K16" s="426"/>
      <c r="L16" s="426"/>
      <c r="M16" s="426"/>
      <c r="N16" s="426"/>
      <c r="O16" s="426"/>
      <c r="P16" s="426"/>
      <c r="Q16" s="426"/>
      <c r="R16" s="426"/>
      <c r="S16" s="426"/>
      <c r="T16" s="426"/>
      <c r="U16" s="426"/>
      <c r="V16" s="426"/>
      <c r="W16" s="426"/>
      <c r="X16" s="426"/>
      <c r="Y16" s="426"/>
      <c r="Z16" s="426"/>
      <c r="AA16" s="426"/>
      <c r="AB16" s="426"/>
      <c r="AC16" s="426"/>
      <c r="AD16" s="426"/>
      <c r="AE16" s="426"/>
      <c r="AF16" s="426"/>
      <c r="AG16" s="426"/>
      <c r="AH16" s="426"/>
      <c r="AI16" s="426"/>
      <c r="AJ16" s="426"/>
      <c r="AK16" s="426"/>
      <c r="AL16" s="426"/>
      <c r="AM16" s="426"/>
      <c r="AN16" s="375"/>
    </row>
    <row r="17" spans="2:40" ht="15" customHeight="1" thickBot="1" x14ac:dyDescent="0.3">
      <c r="B17" s="262"/>
      <c r="C17" s="189"/>
      <c r="D17" s="189"/>
      <c r="E17" s="189"/>
      <c r="F17" s="444"/>
      <c r="G17" s="445"/>
      <c r="H17" s="445"/>
      <c r="I17" s="445"/>
      <c r="J17" s="445"/>
      <c r="K17" s="445"/>
      <c r="L17" s="445"/>
      <c r="M17" s="445"/>
      <c r="N17" s="445"/>
      <c r="O17" s="445"/>
      <c r="P17" s="445"/>
      <c r="Q17" s="445"/>
      <c r="R17" s="445"/>
      <c r="S17" s="445"/>
      <c r="T17" s="445"/>
      <c r="U17" s="445"/>
      <c r="V17" s="446"/>
      <c r="W17" s="444"/>
      <c r="X17" s="445"/>
      <c r="Y17" s="445"/>
      <c r="Z17" s="445"/>
      <c r="AA17" s="445"/>
      <c r="AB17" s="445"/>
      <c r="AC17" s="445"/>
      <c r="AD17" s="445"/>
      <c r="AE17" s="445"/>
      <c r="AF17" s="445"/>
      <c r="AG17" s="445"/>
      <c r="AH17" s="445"/>
      <c r="AI17" s="445"/>
      <c r="AJ17" s="445"/>
      <c r="AK17" s="445"/>
      <c r="AL17" s="445"/>
      <c r="AM17" s="446"/>
      <c r="AN17" s="442" t="s">
        <v>1048</v>
      </c>
    </row>
    <row r="18" spans="2:40" ht="43.5" customHeight="1" x14ac:dyDescent="0.25">
      <c r="B18" s="116" t="s">
        <v>44</v>
      </c>
      <c r="C18" s="282" t="s">
        <v>927</v>
      </c>
      <c r="D18" s="282"/>
      <c r="E18" s="281"/>
      <c r="F18" s="280" t="s">
        <v>1268</v>
      </c>
      <c r="G18" s="280" t="s">
        <v>1269</v>
      </c>
      <c r="H18" s="280" t="s">
        <v>1270</v>
      </c>
      <c r="I18" s="280" t="s">
        <v>1271</v>
      </c>
      <c r="J18" s="280" t="s">
        <v>1272</v>
      </c>
      <c r="K18" s="280" t="s">
        <v>1273</v>
      </c>
      <c r="L18" s="280" t="s">
        <v>1274</v>
      </c>
      <c r="M18" s="280" t="s">
        <v>1275</v>
      </c>
      <c r="N18" s="280" t="s">
        <v>1276</v>
      </c>
      <c r="O18" s="280" t="s">
        <v>1277</v>
      </c>
      <c r="P18" s="280" t="s">
        <v>1278</v>
      </c>
      <c r="Q18" s="280" t="s">
        <v>1279</v>
      </c>
      <c r="R18" s="280" t="s">
        <v>1280</v>
      </c>
      <c r="S18" s="280" t="s">
        <v>1281</v>
      </c>
      <c r="T18" s="280" t="s">
        <v>1282</v>
      </c>
      <c r="U18" s="280" t="s">
        <v>1283</v>
      </c>
      <c r="V18" s="280" t="s">
        <v>1284</v>
      </c>
      <c r="W18" s="198" t="str">
        <f t="shared" ref="W18:AM18" si="8">F18</f>
        <v>YTM</v>
      </c>
      <c r="X18" s="283" t="str">
        <f t="shared" si="8"/>
        <v>Modified Duration</v>
      </c>
      <c r="Y18" s="283" t="str">
        <f t="shared" si="8"/>
        <v>Macaulay Duration</v>
      </c>
      <c r="Z18" s="198" t="str">
        <f t="shared" si="8"/>
        <v>3 Months</v>
      </c>
      <c r="AA18" s="198" t="str">
        <f t="shared" si="8"/>
        <v>6 Months</v>
      </c>
      <c r="AB18" s="198" t="str">
        <f t="shared" si="8"/>
        <v>9 Months</v>
      </c>
      <c r="AC18" s="198" t="str">
        <f t="shared" si="8"/>
        <v>1 Year</v>
      </c>
      <c r="AD18" s="198" t="str">
        <f t="shared" si="8"/>
        <v>2 Years</v>
      </c>
      <c r="AE18" s="198" t="str">
        <f t="shared" si="8"/>
        <v>3 Years</v>
      </c>
      <c r="AF18" s="198" t="str">
        <f t="shared" si="8"/>
        <v>5 Years</v>
      </c>
      <c r="AG18" s="198" t="str">
        <f t="shared" si="8"/>
        <v>10 Years</v>
      </c>
      <c r="AH18" s="198" t="str">
        <f t="shared" si="8"/>
        <v>Sovereign</v>
      </c>
      <c r="AI18" s="198" t="str">
        <f t="shared" si="8"/>
        <v>AAA/A1+</v>
      </c>
      <c r="AJ18" s="198" t="str">
        <f t="shared" si="8"/>
        <v>AA+</v>
      </c>
      <c r="AK18" s="283" t="str">
        <f t="shared" si="8"/>
        <v>AA/AA-</v>
      </c>
      <c r="AL18" s="283" t="str">
        <f t="shared" si="8"/>
        <v>Below AA-</v>
      </c>
      <c r="AM18" s="198" t="str">
        <f t="shared" si="8"/>
        <v>Cash and Fixed Deposits</v>
      </c>
      <c r="AN18" s="443"/>
    </row>
    <row r="19" spans="2:40" x14ac:dyDescent="0.25">
      <c r="B19" s="119" t="s">
        <v>1293</v>
      </c>
      <c r="C19" s="132">
        <f t="shared" ref="C19:C25" si="9">RANK(AN19,$AN$19:$AN$25,0)</f>
        <v>2</v>
      </c>
      <c r="D19" s="191"/>
      <c r="E19" s="191" t="str">
        <f t="shared" ref="E19:E25" si="10">B19</f>
        <v>ICICI Prudential Savings Fund - Reg - Growth</v>
      </c>
      <c r="F19" s="248">
        <v>7.95</v>
      </c>
      <c r="G19" s="248">
        <v>0.95</v>
      </c>
      <c r="H19" s="249">
        <v>1.01</v>
      </c>
      <c r="I19" s="248">
        <v>7.24</v>
      </c>
      <c r="J19" s="248">
        <v>5.91</v>
      </c>
      <c r="K19" s="248">
        <v>6.18</v>
      </c>
      <c r="L19" s="248">
        <v>6.2</v>
      </c>
      <c r="M19" s="248">
        <v>7.3</v>
      </c>
      <c r="N19" s="248">
        <v>7.45</v>
      </c>
      <c r="O19" s="248">
        <v>6.52</v>
      </c>
      <c r="P19" s="248">
        <v>7.07</v>
      </c>
      <c r="Q19" s="248">
        <v>8.9499999999999993</v>
      </c>
      <c r="R19" s="248">
        <v>73.290000000000006</v>
      </c>
      <c r="S19" s="248">
        <v>6.89</v>
      </c>
      <c r="T19" s="248">
        <v>7.01</v>
      </c>
      <c r="U19" s="248">
        <v>-5.6</v>
      </c>
      <c r="V19" s="248">
        <v>3.86</v>
      </c>
      <c r="W19" s="149">
        <f t="shared" ref="W19:W25" si="11">(F19-MIN(F$19:F$25))/(MAX(F$19:F$25)-MIN(F$19:F$25))</f>
        <v>0.88749999999999962</v>
      </c>
      <c r="X19" s="142">
        <f t="shared" ref="X19:Y25" si="12">(MAX(G$19:G$25)-G19)/(MAX(G$19:G$25)-MIN(G$19:G$25))</f>
        <v>0</v>
      </c>
      <c r="Y19" s="142">
        <f t="shared" si="12"/>
        <v>0</v>
      </c>
      <c r="Z19" s="149">
        <f t="shared" ref="Z19:AJ25" si="13">(I19-MIN(I$19:I$25))/(MAX(I$19:I$25)-MIN(I$19:I$25))</f>
        <v>0.7575757575757579</v>
      </c>
      <c r="AA19" s="149">
        <f t="shared" si="13"/>
        <v>0.26553672316384191</v>
      </c>
      <c r="AB19" s="149">
        <f t="shared" si="13"/>
        <v>0.35059760956175295</v>
      </c>
      <c r="AC19" s="149">
        <f t="shared" si="13"/>
        <v>0.34836065573770508</v>
      </c>
      <c r="AD19" s="149">
        <f t="shared" si="13"/>
        <v>0.92045454545454508</v>
      </c>
      <c r="AE19" s="149">
        <f t="shared" si="13"/>
        <v>1</v>
      </c>
      <c r="AF19" s="149">
        <f t="shared" si="13"/>
        <v>0.54444444444444429</v>
      </c>
      <c r="AG19" s="149">
        <f t="shared" si="13"/>
        <v>1</v>
      </c>
      <c r="AH19" s="149">
        <f t="shared" si="13"/>
        <v>0.38803894297635594</v>
      </c>
      <c r="AI19" s="149">
        <f t="shared" si="13"/>
        <v>0.57057057057057115</v>
      </c>
      <c r="AJ19" s="149">
        <f t="shared" si="13"/>
        <v>0.97735849056603774</v>
      </c>
      <c r="AK19" s="142">
        <f t="shared" ref="AK19:AL25" si="14">(MAX(T$7:T$13)-T19)/(MAX(T$7:T$13)-MIN(T$7:T$13))</f>
        <v>0.63355985363303713</v>
      </c>
      <c r="AL19" s="142">
        <f t="shared" si="14"/>
        <v>0.39999999999999997</v>
      </c>
      <c r="AM19" s="149">
        <f t="shared" ref="AM19:AM25" si="15">(V19-MIN(V$19:V$25))/(MAX(V$19:V$25)-MIN(V$19:V$25))</f>
        <v>0.27263374485596709</v>
      </c>
      <c r="AN19" s="143">
        <f t="array" ref="AN19">SUMPRODUCT(W19:Y19, TRANSPOSE('Fund Ranking Criteria'!$D$39:$D$41))+SUMPRODUCT('Fund Ranking_Debt'!Z19:AG19, TRANSPOSE('Fund Ranking Criteria'!$D$30:$D$37))+SUMPRODUCT('Fund Ranking_Debt'!AH19:AM19, TRANSPOSE('Fund Ranking Criteria'!$D$43:$D$48))</f>
        <v>0.49056338633185803</v>
      </c>
    </row>
    <row r="20" spans="2:40" x14ac:dyDescent="0.25">
      <c r="B20" s="119" t="s">
        <v>1294</v>
      </c>
      <c r="C20" s="132">
        <f t="shared" si="9"/>
        <v>6</v>
      </c>
      <c r="D20" s="191"/>
      <c r="E20" s="191" t="str">
        <f t="shared" si="10"/>
        <v>HDFC Low Duration Fund - Growth</v>
      </c>
      <c r="F20" s="248">
        <v>7.82</v>
      </c>
      <c r="G20" s="248">
        <v>0.88</v>
      </c>
      <c r="H20" s="249">
        <v>0.95</v>
      </c>
      <c r="I20" s="248">
        <v>6.6</v>
      </c>
      <c r="J20" s="248">
        <v>5.42</v>
      </c>
      <c r="K20" s="248">
        <v>5.6</v>
      </c>
      <c r="L20" s="248">
        <v>5.59</v>
      </c>
      <c r="M20" s="248">
        <v>6.79</v>
      </c>
      <c r="N20" s="248">
        <v>6.9</v>
      </c>
      <c r="O20" s="248">
        <v>6.03</v>
      </c>
      <c r="P20" s="248">
        <v>6.57</v>
      </c>
      <c r="Q20" s="248">
        <v>13.35</v>
      </c>
      <c r="R20" s="248">
        <v>67.59</v>
      </c>
      <c r="S20" s="248">
        <v>1.71</v>
      </c>
      <c r="T20" s="248">
        <v>14.47</v>
      </c>
      <c r="U20" s="248">
        <v>0</v>
      </c>
      <c r="V20" s="248">
        <v>2.88</v>
      </c>
      <c r="W20" s="149">
        <f t="shared" si="11"/>
        <v>0.8062499999999998</v>
      </c>
      <c r="X20" s="142">
        <f t="shared" si="12"/>
        <v>0.26923076923076905</v>
      </c>
      <c r="Y20" s="142">
        <f t="shared" si="12"/>
        <v>0.30000000000000032</v>
      </c>
      <c r="Z20" s="142">
        <f t="shared" si="13"/>
        <v>0.27272727272727243</v>
      </c>
      <c r="AA20" s="142">
        <f t="shared" si="13"/>
        <v>0.12711864406779666</v>
      </c>
      <c r="AB20" s="142">
        <f t="shared" si="13"/>
        <v>0.11952191235059755</v>
      </c>
      <c r="AC20" s="142">
        <f t="shared" si="13"/>
        <v>9.8360655737704986E-2</v>
      </c>
      <c r="AD20" s="142">
        <f t="shared" si="13"/>
        <v>0.34090909090909077</v>
      </c>
      <c r="AE20" s="142">
        <f t="shared" si="13"/>
        <v>0.36781609195402326</v>
      </c>
      <c r="AF20" s="142">
        <f t="shared" si="13"/>
        <v>0.27222222222222237</v>
      </c>
      <c r="AG20" s="142">
        <f t="shared" si="13"/>
        <v>0.53703703703703709</v>
      </c>
      <c r="AH20" s="142">
        <f t="shared" si="13"/>
        <v>1</v>
      </c>
      <c r="AI20" s="142">
        <f t="shared" si="13"/>
        <v>0</v>
      </c>
      <c r="AJ20" s="142">
        <f t="shared" si="13"/>
        <v>0</v>
      </c>
      <c r="AK20" s="142">
        <f t="shared" si="14"/>
        <v>0.24359644537375841</v>
      </c>
      <c r="AL20" s="142">
        <f t="shared" si="14"/>
        <v>2.8368794326241137E-3</v>
      </c>
      <c r="AM20" s="149">
        <f t="shared" si="15"/>
        <v>0.17181069958847739</v>
      </c>
      <c r="AN20" s="143">
        <f t="array" ref="AN20">SUMPRODUCT(W20:Y20, TRANSPOSE('Fund Ranking Criteria'!$D$39:$D$41))+SUMPRODUCT('Fund Ranking_Debt'!Z20:AG20, TRANSPOSE('Fund Ranking Criteria'!$D$30:$D$37))+SUMPRODUCT('Fund Ranking_Debt'!AH20:AM20, TRANSPOSE('Fund Ranking Criteria'!$D$43:$D$48))</f>
        <v>0.42845811492564589</v>
      </c>
    </row>
    <row r="21" spans="2:40" x14ac:dyDescent="0.25">
      <c r="B21" s="119" t="s">
        <v>1295</v>
      </c>
      <c r="C21" s="132">
        <f t="shared" si="9"/>
        <v>3</v>
      </c>
      <c r="D21" s="191"/>
      <c r="E21" s="191" t="str">
        <f t="shared" si="10"/>
        <v>SBI Magnum Low Duration Fund - Growth</v>
      </c>
      <c r="F21" s="248">
        <v>6.53</v>
      </c>
      <c r="G21" s="248">
        <v>0.86</v>
      </c>
      <c r="H21" s="249">
        <v>0.9</v>
      </c>
      <c r="I21" s="248">
        <v>7.56</v>
      </c>
      <c r="J21" s="248">
        <v>8.51</v>
      </c>
      <c r="K21" s="248">
        <v>7.81</v>
      </c>
      <c r="L21" s="248">
        <v>7.79</v>
      </c>
      <c r="M21" s="248">
        <v>7.37</v>
      </c>
      <c r="N21" s="248">
        <v>7</v>
      </c>
      <c r="O21" s="248">
        <v>5.54</v>
      </c>
      <c r="P21" s="248">
        <v>6.68</v>
      </c>
      <c r="Q21" s="248">
        <v>13.35</v>
      </c>
      <c r="R21" s="248">
        <v>77.58</v>
      </c>
      <c r="S21" s="248">
        <v>7.01</v>
      </c>
      <c r="T21" s="248">
        <v>0</v>
      </c>
      <c r="U21" s="248">
        <v>0</v>
      </c>
      <c r="V21" s="248">
        <v>1.84</v>
      </c>
      <c r="W21" s="149">
        <f t="shared" si="11"/>
        <v>0</v>
      </c>
      <c r="X21" s="142">
        <f t="shared" si="12"/>
        <v>0.34615384615384603</v>
      </c>
      <c r="Y21" s="142">
        <f t="shared" si="12"/>
        <v>0.55000000000000004</v>
      </c>
      <c r="Z21" s="142">
        <f t="shared" si="13"/>
        <v>1</v>
      </c>
      <c r="AA21" s="142">
        <f t="shared" si="13"/>
        <v>1</v>
      </c>
      <c r="AB21" s="142">
        <f t="shared" si="13"/>
        <v>1</v>
      </c>
      <c r="AC21" s="142">
        <f t="shared" si="13"/>
        <v>1</v>
      </c>
      <c r="AD21" s="142">
        <f t="shared" si="13"/>
        <v>1</v>
      </c>
      <c r="AE21" s="142">
        <f t="shared" si="13"/>
        <v>0.48275862068965503</v>
      </c>
      <c r="AF21" s="142">
        <f t="shared" si="13"/>
        <v>0</v>
      </c>
      <c r="AG21" s="142">
        <f t="shared" si="13"/>
        <v>0.6388888888888884</v>
      </c>
      <c r="AH21" s="142">
        <f t="shared" si="13"/>
        <v>1</v>
      </c>
      <c r="AI21" s="142">
        <f t="shared" si="13"/>
        <v>1</v>
      </c>
      <c r="AJ21" s="142">
        <f t="shared" si="13"/>
        <v>1</v>
      </c>
      <c r="AK21" s="142">
        <f t="shared" si="14"/>
        <v>1</v>
      </c>
      <c r="AL21" s="142">
        <f t="shared" si="14"/>
        <v>2.8368794326241137E-3</v>
      </c>
      <c r="AM21" s="149">
        <f t="shared" si="15"/>
        <v>6.4814814814814839E-2</v>
      </c>
      <c r="AN21" s="143">
        <f t="array" ref="AN21">SUMPRODUCT(W21:Y21, TRANSPOSE('Fund Ranking Criteria'!$D$39:$D$41))+SUMPRODUCT('Fund Ranking_Debt'!Z21:AG21, TRANSPOSE('Fund Ranking Criteria'!$D$30:$D$37))+SUMPRODUCT('Fund Ranking_Debt'!AH21:AM21, TRANSPOSE('Fund Ranking Criteria'!$D$43:$D$48))</f>
        <v>0.46563981329938781</v>
      </c>
    </row>
    <row r="22" spans="2:40" x14ac:dyDescent="0.25">
      <c r="B22" s="119" t="s">
        <v>1296</v>
      </c>
      <c r="C22" s="132">
        <f t="shared" si="9"/>
        <v>7</v>
      </c>
      <c r="D22" s="191"/>
      <c r="E22" s="191" t="str">
        <f t="shared" si="10"/>
        <v>Aditya Birla Sun Life Low Duration Fund - Reg - Growth</v>
      </c>
      <c r="F22" s="248">
        <v>7.7</v>
      </c>
      <c r="G22" s="248">
        <v>0.85</v>
      </c>
      <c r="H22" s="249">
        <v>0.91</v>
      </c>
      <c r="I22" s="248">
        <v>6.31</v>
      </c>
      <c r="J22" s="248">
        <v>4.97</v>
      </c>
      <c r="K22" s="248">
        <v>5.3</v>
      </c>
      <c r="L22" s="248">
        <v>5.35</v>
      </c>
      <c r="M22" s="248">
        <v>6.49</v>
      </c>
      <c r="N22" s="248">
        <v>6.58</v>
      </c>
      <c r="O22" s="248">
        <v>5.83</v>
      </c>
      <c r="P22" s="248">
        <v>6.47</v>
      </c>
      <c r="Q22" s="248">
        <v>12.03</v>
      </c>
      <c r="R22" s="248">
        <v>71.349999999999994</v>
      </c>
      <c r="S22" s="248">
        <v>4.3499999999999996</v>
      </c>
      <c r="T22" s="248">
        <v>9.81</v>
      </c>
      <c r="U22" s="248">
        <v>0</v>
      </c>
      <c r="V22" s="248">
        <v>2.46</v>
      </c>
      <c r="W22" s="149">
        <f t="shared" si="11"/>
        <v>0.73124999999999973</v>
      </c>
      <c r="X22" s="142">
        <f t="shared" si="12"/>
        <v>0.38461538461538453</v>
      </c>
      <c r="Y22" s="142">
        <f t="shared" si="12"/>
        <v>0.5</v>
      </c>
      <c r="Z22" s="142">
        <f t="shared" si="13"/>
        <v>5.3030303030302595E-2</v>
      </c>
      <c r="AA22" s="142">
        <f t="shared" si="13"/>
        <v>0</v>
      </c>
      <c r="AB22" s="142">
        <f t="shared" si="13"/>
        <v>0</v>
      </c>
      <c r="AC22" s="142">
        <f t="shared" si="13"/>
        <v>0</v>
      </c>
      <c r="AD22" s="142">
        <f t="shared" si="13"/>
        <v>0</v>
      </c>
      <c r="AE22" s="142">
        <f t="shared" si="13"/>
        <v>0</v>
      </c>
      <c r="AF22" s="142">
        <f t="shared" si="13"/>
        <v>0.16111111111111115</v>
      </c>
      <c r="AG22" s="142">
        <f t="shared" si="13"/>
        <v>0.44444444444444398</v>
      </c>
      <c r="AH22" s="142">
        <f t="shared" si="13"/>
        <v>0.81641168289290678</v>
      </c>
      <c r="AI22" s="142">
        <f t="shared" si="13"/>
        <v>0.37637637637637567</v>
      </c>
      <c r="AJ22" s="142">
        <f t="shared" si="13"/>
        <v>0.49811320754716976</v>
      </c>
      <c r="AK22" s="142">
        <f t="shared" si="14"/>
        <v>0.48719289074751693</v>
      </c>
      <c r="AL22" s="142">
        <f t="shared" si="14"/>
        <v>2.8368794326241137E-3</v>
      </c>
      <c r="AM22" s="149">
        <f t="shared" si="15"/>
        <v>0.12860082304526751</v>
      </c>
      <c r="AN22" s="143">
        <f t="array" ref="AN22">SUMPRODUCT(W22:Y22, TRANSPOSE('Fund Ranking Criteria'!$D$39:$D$41))+SUMPRODUCT('Fund Ranking_Debt'!Z22:AG22, TRANSPOSE('Fund Ranking Criteria'!$D$30:$D$37))+SUMPRODUCT('Fund Ranking_Debt'!AH22:AM22, TRANSPOSE('Fund Ranking Criteria'!$D$43:$D$48))</f>
        <v>0.41741331998181935</v>
      </c>
    </row>
    <row r="23" spans="2:40" x14ac:dyDescent="0.25">
      <c r="B23" s="119" t="s">
        <v>1297</v>
      </c>
      <c r="C23" s="132">
        <f t="shared" si="9"/>
        <v>4</v>
      </c>
      <c r="D23" s="191"/>
      <c r="E23" s="191" t="str">
        <f t="shared" si="10"/>
        <v>Kotak Low Duration Fund - Std - Growth</v>
      </c>
      <c r="F23" s="248">
        <v>8.1300000000000008</v>
      </c>
      <c r="G23" s="248">
        <v>0.93</v>
      </c>
      <c r="H23" s="249">
        <v>0.99</v>
      </c>
      <c r="I23" s="248">
        <v>6.24</v>
      </c>
      <c r="J23" s="248">
        <v>5.17</v>
      </c>
      <c r="K23" s="248">
        <v>5.35</v>
      </c>
      <c r="L23" s="248">
        <v>5.41</v>
      </c>
      <c r="M23" s="248">
        <v>6.65</v>
      </c>
      <c r="N23" s="248">
        <v>6.71</v>
      </c>
      <c r="O23" s="248">
        <v>5.84</v>
      </c>
      <c r="P23" s="248">
        <v>6.62</v>
      </c>
      <c r="Q23" s="248">
        <v>12.85</v>
      </c>
      <c r="R23" s="248">
        <v>68.36</v>
      </c>
      <c r="S23" s="248">
        <v>5.6</v>
      </c>
      <c r="T23" s="248">
        <v>11.98</v>
      </c>
      <c r="U23" s="248">
        <v>0</v>
      </c>
      <c r="V23" s="248">
        <v>1.21</v>
      </c>
      <c r="W23" s="149">
        <f t="shared" si="11"/>
        <v>1</v>
      </c>
      <c r="X23" s="142">
        <f t="shared" si="12"/>
        <v>7.6923076923076567E-2</v>
      </c>
      <c r="Y23" s="142">
        <f t="shared" si="12"/>
        <v>0.10000000000000012</v>
      </c>
      <c r="Z23" s="142">
        <f t="shared" si="13"/>
        <v>0</v>
      </c>
      <c r="AA23" s="142">
        <f t="shared" si="13"/>
        <v>5.6497175141242986E-2</v>
      </c>
      <c r="AB23" s="142">
        <f t="shared" si="13"/>
        <v>1.9920318725099532E-2</v>
      </c>
      <c r="AC23" s="142">
        <f t="shared" si="13"/>
        <v>2.459016393442643E-2</v>
      </c>
      <c r="AD23" s="142">
        <f t="shared" si="13"/>
        <v>0.18181818181818199</v>
      </c>
      <c r="AE23" s="142">
        <f t="shared" si="13"/>
        <v>0.14942528735632171</v>
      </c>
      <c r="AF23" s="142">
        <f t="shared" si="13"/>
        <v>0.16666666666666657</v>
      </c>
      <c r="AG23" s="142">
        <f t="shared" si="13"/>
        <v>0.58333333333333315</v>
      </c>
      <c r="AH23" s="142">
        <f t="shared" si="13"/>
        <v>0.93045897079276774</v>
      </c>
      <c r="AI23" s="142">
        <f t="shared" si="13"/>
        <v>7.7077077077076714E-2</v>
      </c>
      <c r="AJ23" s="142">
        <f t="shared" si="13"/>
        <v>0.73396226415094334</v>
      </c>
      <c r="AK23" s="142">
        <f t="shared" si="14"/>
        <v>0.37375849451123883</v>
      </c>
      <c r="AL23" s="142">
        <f t="shared" si="14"/>
        <v>2.8368794326241137E-3</v>
      </c>
      <c r="AM23" s="149">
        <f t="shared" si="15"/>
        <v>0</v>
      </c>
      <c r="AN23" s="143">
        <f t="array" ref="AN23">SUMPRODUCT(W23:Y23, TRANSPOSE('Fund Ranking Criteria'!$D$39:$D$41))+SUMPRODUCT('Fund Ranking_Debt'!Z23:AG23, TRANSPOSE('Fund Ranking Criteria'!$D$30:$D$37))+SUMPRODUCT('Fund Ranking_Debt'!AH23:AM23, TRANSPOSE('Fund Ranking Criteria'!$D$43:$D$48))</f>
        <v>0.45286104261820992</v>
      </c>
    </row>
    <row r="24" spans="2:40" x14ac:dyDescent="0.25">
      <c r="B24" s="119" t="s">
        <v>1298</v>
      </c>
      <c r="C24" s="132">
        <f t="shared" si="9"/>
        <v>5</v>
      </c>
      <c r="D24" s="191"/>
      <c r="E24" s="191" t="str">
        <f t="shared" si="10"/>
        <v>Nippon India Low Duration Fund - Reg - Growth</v>
      </c>
      <c r="F24" s="248">
        <v>7.88</v>
      </c>
      <c r="G24" s="248">
        <v>0.92</v>
      </c>
      <c r="H24" s="249">
        <v>0.98</v>
      </c>
      <c r="I24" s="248">
        <v>6.93</v>
      </c>
      <c r="J24" s="248">
        <v>5.48</v>
      </c>
      <c r="K24" s="248">
        <v>5.64</v>
      </c>
      <c r="L24" s="248">
        <v>5.73</v>
      </c>
      <c r="M24" s="248">
        <v>6.86</v>
      </c>
      <c r="N24" s="248">
        <v>6.86</v>
      </c>
      <c r="O24" s="248">
        <v>6.02</v>
      </c>
      <c r="P24" s="248">
        <v>6.48</v>
      </c>
      <c r="Q24" s="248">
        <v>10.98</v>
      </c>
      <c r="R24" s="248">
        <v>69.16</v>
      </c>
      <c r="S24" s="248">
        <v>6.37</v>
      </c>
      <c r="T24" s="248">
        <v>8.64</v>
      </c>
      <c r="U24" s="248">
        <v>7.0000000000000007E-2</v>
      </c>
      <c r="V24" s="248">
        <v>4.79</v>
      </c>
      <c r="W24" s="149">
        <f t="shared" si="11"/>
        <v>0.84374999999999944</v>
      </c>
      <c r="X24" s="142">
        <f t="shared" si="12"/>
        <v>0.11538461538461506</v>
      </c>
      <c r="Y24" s="142">
        <f t="shared" si="12"/>
        <v>0.15000000000000016</v>
      </c>
      <c r="Z24" s="142">
        <f t="shared" si="13"/>
        <v>0.5227272727272726</v>
      </c>
      <c r="AA24" s="142">
        <f t="shared" si="13"/>
        <v>0.14406779661016969</v>
      </c>
      <c r="AB24" s="142">
        <f t="shared" si="13"/>
        <v>0.13545816733067725</v>
      </c>
      <c r="AC24" s="142">
        <f t="shared" si="13"/>
        <v>0.15573770491803307</v>
      </c>
      <c r="AD24" s="142">
        <f t="shared" si="13"/>
        <v>0.42045454545454564</v>
      </c>
      <c r="AE24" s="142">
        <f t="shared" si="13"/>
        <v>0.32183908045977039</v>
      </c>
      <c r="AF24" s="142">
        <f t="shared" si="13"/>
        <v>0.26666666666666644</v>
      </c>
      <c r="AG24" s="142">
        <f t="shared" si="13"/>
        <v>0.45370370370370389</v>
      </c>
      <c r="AH24" s="142">
        <f t="shared" si="13"/>
        <v>0.67037552155771918</v>
      </c>
      <c r="AI24" s="142">
        <f t="shared" si="13"/>
        <v>0.15715715715715656</v>
      </c>
      <c r="AJ24" s="142">
        <f t="shared" si="13"/>
        <v>0.87924528301886795</v>
      </c>
      <c r="AK24" s="142">
        <f t="shared" si="14"/>
        <v>0.54835337166753784</v>
      </c>
      <c r="AL24" s="142">
        <f t="shared" si="14"/>
        <v>-2.1276595744680856E-3</v>
      </c>
      <c r="AM24" s="149">
        <f t="shared" si="15"/>
        <v>0.36831275720164613</v>
      </c>
      <c r="AN24" s="143">
        <f t="array" ref="AN24">SUMPRODUCT(W24:Y24, TRANSPOSE('Fund Ranking Criteria'!$D$39:$D$41))+SUMPRODUCT('Fund Ranking_Debt'!Z24:AG24, TRANSPOSE('Fund Ranking Criteria'!$D$30:$D$37))+SUMPRODUCT('Fund Ranking_Debt'!AH24:AM24, TRANSPOSE('Fund Ranking Criteria'!$D$43:$D$48))</f>
        <v>0.43969818845809872</v>
      </c>
    </row>
    <row r="25" spans="2:40" ht="15" customHeight="1" thickBot="1" x14ac:dyDescent="0.3">
      <c r="B25" s="120" t="s">
        <v>1299</v>
      </c>
      <c r="C25" s="141">
        <f t="shared" si="9"/>
        <v>1</v>
      </c>
      <c r="D25" s="192"/>
      <c r="E25" s="192" t="str">
        <f t="shared" si="10"/>
        <v>UTI Low Duration Fund - Reg - Growth</v>
      </c>
      <c r="F25" s="251">
        <v>7.77</v>
      </c>
      <c r="G25" s="251">
        <v>0.69</v>
      </c>
      <c r="H25" s="250">
        <v>0.81</v>
      </c>
      <c r="I25" s="251">
        <v>7.14</v>
      </c>
      <c r="J25" s="251">
        <v>5.82</v>
      </c>
      <c r="K25" s="251">
        <v>6</v>
      </c>
      <c r="L25" s="251">
        <v>6.03</v>
      </c>
      <c r="M25" s="251">
        <v>7.18</v>
      </c>
      <c r="N25" s="251">
        <v>7.17</v>
      </c>
      <c r="O25" s="251">
        <v>7.34</v>
      </c>
      <c r="P25" s="251">
        <v>5.99</v>
      </c>
      <c r="Q25" s="251">
        <v>6.16</v>
      </c>
      <c r="R25" s="251">
        <v>73.569999999999993</v>
      </c>
      <c r="S25" s="251">
        <v>2.37</v>
      </c>
      <c r="T25" s="251">
        <v>6.97</v>
      </c>
      <c r="U25" s="248">
        <v>0</v>
      </c>
      <c r="V25" s="251">
        <v>10.93</v>
      </c>
      <c r="W25" s="149">
        <f t="shared" si="11"/>
        <v>0.77499999999999936</v>
      </c>
      <c r="X25" s="144">
        <f t="shared" si="12"/>
        <v>1</v>
      </c>
      <c r="Y25" s="144">
        <f t="shared" si="12"/>
        <v>1</v>
      </c>
      <c r="Z25" s="144">
        <f t="shared" si="13"/>
        <v>0.68181818181818177</v>
      </c>
      <c r="AA25" s="144">
        <f t="shared" si="13"/>
        <v>0.24011299435028263</v>
      </c>
      <c r="AB25" s="144">
        <f t="shared" si="13"/>
        <v>0.27888446215139451</v>
      </c>
      <c r="AC25" s="144">
        <f t="shared" si="13"/>
        <v>0.27868852459016413</v>
      </c>
      <c r="AD25" s="144">
        <f t="shared" si="13"/>
        <v>0.78409090909090862</v>
      </c>
      <c r="AE25" s="144">
        <f t="shared" si="13"/>
        <v>0.67816091954022961</v>
      </c>
      <c r="AF25" s="144">
        <f t="shared" si="13"/>
        <v>1</v>
      </c>
      <c r="AG25" s="144">
        <f t="shared" si="13"/>
        <v>0</v>
      </c>
      <c r="AH25" s="144">
        <f t="shared" si="13"/>
        <v>0</v>
      </c>
      <c r="AI25" s="144">
        <f t="shared" si="13"/>
        <v>0.59859859859859788</v>
      </c>
      <c r="AJ25" s="144">
        <f t="shared" si="13"/>
        <v>0.12452830188679248</v>
      </c>
      <c r="AK25" s="144">
        <f t="shared" si="14"/>
        <v>0.63565081024568748</v>
      </c>
      <c r="AL25" s="144">
        <f t="shared" si="14"/>
        <v>2.8368794326241137E-3</v>
      </c>
      <c r="AM25" s="149">
        <f t="shared" si="15"/>
        <v>1</v>
      </c>
      <c r="AN25" s="145">
        <f t="array" ref="AN25">SUMPRODUCT(W25:Y25, TRANSPOSE('Fund Ranking Criteria'!$D$39:$D$41))+SUMPRODUCT('Fund Ranking_Debt'!Z25:AG25, TRANSPOSE('Fund Ranking Criteria'!$D$30:$D$37))+SUMPRODUCT('Fund Ranking_Debt'!AH25:AM25, TRANSPOSE('Fund Ranking Criteria'!$D$43:$D$48))</f>
        <v>0.53453434973978753</v>
      </c>
    </row>
    <row r="27" spans="2:40" ht="15" customHeight="1" thickBot="1" x14ac:dyDescent="0.3"/>
    <row r="28" spans="2:40" ht="15" customHeight="1" thickBot="1" x14ac:dyDescent="0.3">
      <c r="B28" s="429" t="s">
        <v>1300</v>
      </c>
      <c r="C28" s="426"/>
      <c r="D28" s="426"/>
      <c r="E28" s="426"/>
      <c r="F28" s="426"/>
      <c r="G28" s="426"/>
      <c r="H28" s="426"/>
      <c r="I28" s="426"/>
      <c r="J28" s="426"/>
      <c r="K28" s="426"/>
      <c r="L28" s="426"/>
      <c r="M28" s="426"/>
      <c r="N28" s="426"/>
      <c r="O28" s="426"/>
      <c r="P28" s="426"/>
      <c r="Q28" s="426"/>
      <c r="R28" s="426"/>
      <c r="S28" s="426"/>
      <c r="T28" s="426"/>
      <c r="U28" s="426"/>
      <c r="V28" s="426"/>
      <c r="W28" s="426"/>
      <c r="X28" s="426"/>
      <c r="Y28" s="426"/>
      <c r="Z28" s="426"/>
      <c r="AA28" s="426"/>
      <c r="AB28" s="426"/>
      <c r="AC28" s="426"/>
      <c r="AD28" s="426"/>
      <c r="AE28" s="426"/>
      <c r="AF28" s="426"/>
      <c r="AG28" s="426"/>
      <c r="AH28" s="426"/>
      <c r="AI28" s="426"/>
      <c r="AJ28" s="426"/>
      <c r="AK28" s="426"/>
      <c r="AL28" s="426"/>
      <c r="AM28" s="426"/>
      <c r="AN28" s="375"/>
    </row>
    <row r="29" spans="2:40" ht="15" customHeight="1" thickBot="1" x14ac:dyDescent="0.3">
      <c r="B29" s="262"/>
      <c r="C29" s="189"/>
      <c r="D29" s="189"/>
      <c r="E29" s="189"/>
      <c r="F29" s="444"/>
      <c r="G29" s="445"/>
      <c r="H29" s="445"/>
      <c r="I29" s="445"/>
      <c r="J29" s="445"/>
      <c r="K29" s="445"/>
      <c r="L29" s="445"/>
      <c r="M29" s="445"/>
      <c r="N29" s="445"/>
      <c r="O29" s="445"/>
      <c r="P29" s="445"/>
      <c r="Q29" s="445"/>
      <c r="R29" s="445"/>
      <c r="S29" s="445"/>
      <c r="T29" s="445"/>
      <c r="U29" s="445"/>
      <c r="V29" s="446"/>
      <c r="W29" s="444"/>
      <c r="X29" s="445"/>
      <c r="Y29" s="445"/>
      <c r="Z29" s="445"/>
      <c r="AA29" s="445"/>
      <c r="AB29" s="445"/>
      <c r="AC29" s="445"/>
      <c r="AD29" s="445"/>
      <c r="AE29" s="445"/>
      <c r="AF29" s="445"/>
      <c r="AG29" s="445"/>
      <c r="AH29" s="445"/>
      <c r="AI29" s="445"/>
      <c r="AJ29" s="445"/>
      <c r="AK29" s="445"/>
      <c r="AL29" s="445"/>
      <c r="AM29" s="446"/>
      <c r="AN29" s="442" t="s">
        <v>1048</v>
      </c>
    </row>
    <row r="30" spans="2:40" ht="43.5" customHeight="1" x14ac:dyDescent="0.25">
      <c r="B30" s="116" t="s">
        <v>44</v>
      </c>
      <c r="C30" s="282" t="s">
        <v>927</v>
      </c>
      <c r="D30" s="282"/>
      <c r="E30" s="281"/>
      <c r="F30" s="280" t="s">
        <v>1268</v>
      </c>
      <c r="G30" s="280" t="s">
        <v>1269</v>
      </c>
      <c r="H30" s="280" t="s">
        <v>1270</v>
      </c>
      <c r="I30" s="280" t="s">
        <v>1271</v>
      </c>
      <c r="J30" s="280" t="s">
        <v>1272</v>
      </c>
      <c r="K30" s="280" t="s">
        <v>1273</v>
      </c>
      <c r="L30" s="280" t="s">
        <v>1274</v>
      </c>
      <c r="M30" s="280" t="s">
        <v>1275</v>
      </c>
      <c r="N30" s="280" t="s">
        <v>1276</v>
      </c>
      <c r="O30" s="280" t="s">
        <v>1277</v>
      </c>
      <c r="P30" s="280" t="s">
        <v>1278</v>
      </c>
      <c r="Q30" s="280" t="s">
        <v>1279</v>
      </c>
      <c r="R30" s="280" t="s">
        <v>1280</v>
      </c>
      <c r="S30" s="280" t="s">
        <v>1281</v>
      </c>
      <c r="T30" s="280" t="s">
        <v>1282</v>
      </c>
      <c r="U30" s="280" t="s">
        <v>1283</v>
      </c>
      <c r="V30" s="280" t="s">
        <v>1284</v>
      </c>
      <c r="W30" s="198" t="str">
        <f t="shared" ref="W30:AM30" si="16">F30</f>
        <v>YTM</v>
      </c>
      <c r="X30" s="283" t="str">
        <f t="shared" si="16"/>
        <v>Modified Duration</v>
      </c>
      <c r="Y30" s="283" t="str">
        <f t="shared" si="16"/>
        <v>Macaulay Duration</v>
      </c>
      <c r="Z30" s="198" t="str">
        <f t="shared" si="16"/>
        <v>3 Months</v>
      </c>
      <c r="AA30" s="198" t="str">
        <f t="shared" si="16"/>
        <v>6 Months</v>
      </c>
      <c r="AB30" s="198" t="str">
        <f t="shared" si="16"/>
        <v>9 Months</v>
      </c>
      <c r="AC30" s="198" t="str">
        <f t="shared" si="16"/>
        <v>1 Year</v>
      </c>
      <c r="AD30" s="198" t="str">
        <f t="shared" si="16"/>
        <v>2 Years</v>
      </c>
      <c r="AE30" s="198" t="str">
        <f t="shared" si="16"/>
        <v>3 Years</v>
      </c>
      <c r="AF30" s="198" t="str">
        <f t="shared" si="16"/>
        <v>5 Years</v>
      </c>
      <c r="AG30" s="198" t="str">
        <f t="shared" si="16"/>
        <v>10 Years</v>
      </c>
      <c r="AH30" s="198" t="str">
        <f t="shared" si="16"/>
        <v>Sovereign</v>
      </c>
      <c r="AI30" s="198" t="str">
        <f t="shared" si="16"/>
        <v>AAA/A1+</v>
      </c>
      <c r="AJ30" s="198" t="str">
        <f t="shared" si="16"/>
        <v>AA+</v>
      </c>
      <c r="AK30" s="283" t="str">
        <f t="shared" si="16"/>
        <v>AA/AA-</v>
      </c>
      <c r="AL30" s="283" t="str">
        <f t="shared" si="16"/>
        <v>Below AA-</v>
      </c>
      <c r="AM30" s="198" t="str">
        <f t="shared" si="16"/>
        <v>Cash and Fixed Deposits</v>
      </c>
      <c r="AN30" s="443"/>
    </row>
    <row r="31" spans="2:40" x14ac:dyDescent="0.25">
      <c r="B31" s="119" t="s">
        <v>1301</v>
      </c>
      <c r="C31" s="132">
        <f t="shared" ref="C31:C37" si="17">RANK(AN31,$AN$31:$AN$37,0)</f>
        <v>2</v>
      </c>
      <c r="D31" s="191"/>
      <c r="E31" s="191" t="str">
        <f t="shared" ref="E31:E37" si="18">B31</f>
        <v>ICICI Prudential Short Term Fund - Growth</v>
      </c>
      <c r="F31" s="248">
        <v>8.14</v>
      </c>
      <c r="G31" s="248">
        <v>2.72</v>
      </c>
      <c r="H31" s="249">
        <v>2.86</v>
      </c>
      <c r="I31" s="248">
        <v>8.56</v>
      </c>
      <c r="J31" s="248">
        <v>5.59</v>
      </c>
      <c r="K31" s="248">
        <v>5.91</v>
      </c>
      <c r="L31" s="248">
        <v>5.75</v>
      </c>
      <c r="M31" s="248">
        <v>7.37</v>
      </c>
      <c r="N31" s="248">
        <v>7.38</v>
      </c>
      <c r="O31" s="248">
        <v>6.52</v>
      </c>
      <c r="P31" s="248">
        <v>7.28</v>
      </c>
      <c r="Q31" s="248">
        <v>17.87</v>
      </c>
      <c r="R31" s="248">
        <v>59.64</v>
      </c>
      <c r="S31" s="248">
        <v>9.2200000000000006</v>
      </c>
      <c r="T31" s="248">
        <v>10.48</v>
      </c>
      <c r="U31" s="248">
        <v>3.53</v>
      </c>
      <c r="V31" s="248">
        <v>2.79</v>
      </c>
      <c r="W31" s="149">
        <f t="shared" ref="W31:W37" si="19">(F31-MIN(F$31:F$37))/(MAX(F$31:F$37)-MIN(F$31:F$37))</f>
        <v>1</v>
      </c>
      <c r="X31" s="142">
        <f t="shared" ref="X31:Y37" si="20">(MAX(G$31:G$37)-G31)/(MAX(G$31:G$37)-MIN(G$31:G$37))</f>
        <v>0</v>
      </c>
      <c r="Y31" s="142">
        <f t="shared" si="20"/>
        <v>0</v>
      </c>
      <c r="Z31" s="149">
        <f t="shared" ref="Z31:AJ37" si="21">(I31-MIN(I$31:I$37))/(MAX(I$31:I$37)-MIN(I$31:I$37))</f>
        <v>1</v>
      </c>
      <c r="AA31" s="149">
        <f t="shared" si="21"/>
        <v>1</v>
      </c>
      <c r="AB31" s="149">
        <f t="shared" si="21"/>
        <v>1</v>
      </c>
      <c r="AC31" s="149">
        <f t="shared" si="21"/>
        <v>1</v>
      </c>
      <c r="AD31" s="149">
        <f t="shared" si="21"/>
        <v>1</v>
      </c>
      <c r="AE31" s="149">
        <f t="shared" si="21"/>
        <v>1</v>
      </c>
      <c r="AF31" s="149">
        <f t="shared" si="21"/>
        <v>0.61240310077519355</v>
      </c>
      <c r="AG31" s="149">
        <f t="shared" si="21"/>
        <v>1</v>
      </c>
      <c r="AH31" s="149">
        <f t="shared" si="21"/>
        <v>0.66854990583804152</v>
      </c>
      <c r="AI31" s="149">
        <f t="shared" si="21"/>
        <v>0</v>
      </c>
      <c r="AJ31" s="149">
        <f t="shared" si="21"/>
        <v>1</v>
      </c>
      <c r="AK31" s="142">
        <f t="shared" ref="AK31:AL37" si="22">(MAX(T$31:T$37)-T31)/(MAX(T$31:T$37)-MIN(T$31:T$37))</f>
        <v>0</v>
      </c>
      <c r="AL31" s="142">
        <f t="shared" si="22"/>
        <v>0</v>
      </c>
      <c r="AM31" s="149">
        <f t="shared" ref="AM31:AM37" si="23">(V31-MIN(V$31:V$37))/(MAX(V$31:V$37)-MIN(V$31:V$37))</f>
        <v>0</v>
      </c>
      <c r="AN31" s="143">
        <f t="array" ref="AN31">SUMPRODUCT(W31:Y31, TRANSPOSE('Fund Ranking Criteria'!$E$39:$E$41))+SUMPRODUCT('Fund Ranking_Debt'!Z31:AG31, TRANSPOSE('Fund Ranking Criteria'!$E$30:$E$37))+SUMPRODUCT('Fund Ranking_Debt'!AH31:AM31, TRANSPOSE('Fund Ranking Criteria'!$E$43:$E$48))</f>
        <v>0.5918549905838042</v>
      </c>
    </row>
    <row r="32" spans="2:40" x14ac:dyDescent="0.25">
      <c r="B32" s="119" t="s">
        <v>1302</v>
      </c>
      <c r="C32" s="132">
        <f t="shared" si="17"/>
        <v>6</v>
      </c>
      <c r="D32" s="191"/>
      <c r="E32" s="191" t="str">
        <f t="shared" si="18"/>
        <v>Kotak Bond Short Term Fund - Reg - Growth</v>
      </c>
      <c r="F32" s="248">
        <v>7.94</v>
      </c>
      <c r="G32" s="248">
        <v>2.0699999999999998</v>
      </c>
      <c r="H32" s="249">
        <v>2.19</v>
      </c>
      <c r="I32" s="248">
        <v>6.99</v>
      </c>
      <c r="J32" s="248">
        <v>4.57</v>
      </c>
      <c r="K32" s="248">
        <v>4.8600000000000003</v>
      </c>
      <c r="L32" s="248">
        <v>4.5599999999999996</v>
      </c>
      <c r="M32" s="248">
        <v>6.76</v>
      </c>
      <c r="N32" s="248">
        <v>6.77</v>
      </c>
      <c r="O32" s="248">
        <v>5.73</v>
      </c>
      <c r="P32" s="248">
        <v>6.65</v>
      </c>
      <c r="Q32" s="248">
        <v>15.67</v>
      </c>
      <c r="R32" s="248">
        <v>81.3</v>
      </c>
      <c r="S32" s="248">
        <v>0</v>
      </c>
      <c r="T32" s="248">
        <v>0</v>
      </c>
      <c r="U32" s="248">
        <v>0</v>
      </c>
      <c r="V32" s="248">
        <v>3.02</v>
      </c>
      <c r="W32" s="149">
        <f t="shared" si="19"/>
        <v>0.4117647058823537</v>
      </c>
      <c r="X32" s="142">
        <f t="shared" si="20"/>
        <v>0.68421052631578971</v>
      </c>
      <c r="Y32" s="142">
        <f t="shared" si="20"/>
        <v>0.90540540540540559</v>
      </c>
      <c r="Z32" s="142">
        <f t="shared" si="21"/>
        <v>0</v>
      </c>
      <c r="AA32" s="142">
        <f t="shared" si="21"/>
        <v>0</v>
      </c>
      <c r="AB32" s="142">
        <f t="shared" si="21"/>
        <v>0</v>
      </c>
      <c r="AC32" s="142">
        <f t="shared" si="21"/>
        <v>0</v>
      </c>
      <c r="AD32" s="142">
        <f t="shared" si="21"/>
        <v>0</v>
      </c>
      <c r="AE32" s="142">
        <f t="shared" si="21"/>
        <v>0</v>
      </c>
      <c r="AF32" s="142">
        <f t="shared" si="21"/>
        <v>0</v>
      </c>
      <c r="AG32" s="142">
        <f t="shared" si="21"/>
        <v>0.47500000000000014</v>
      </c>
      <c r="AH32" s="142">
        <f t="shared" si="21"/>
        <v>0.46139359698681731</v>
      </c>
      <c r="AI32" s="142">
        <f t="shared" si="21"/>
        <v>1</v>
      </c>
      <c r="AJ32" s="142">
        <f t="shared" si="21"/>
        <v>0</v>
      </c>
      <c r="AK32" s="142">
        <f t="shared" si="22"/>
        <v>1</v>
      </c>
      <c r="AL32" s="142">
        <f t="shared" si="22"/>
        <v>0.49439775910364148</v>
      </c>
      <c r="AM32" s="142">
        <f t="shared" si="23"/>
        <v>4.2279411764705878E-2</v>
      </c>
      <c r="AN32" s="143">
        <f t="array" ref="AN32">SUMPRODUCT(W32:Y32, TRANSPOSE('Fund Ranking Criteria'!$D$39:$D$41))+SUMPRODUCT('Fund Ranking_Debt'!Z32:AG32, TRANSPOSE('Fund Ranking Criteria'!$D$30:$D$37))+SUMPRODUCT('Fund Ranking_Debt'!AH32:AM32, TRANSPOSE('Fund Ranking Criteria'!$D$43:$D$48))</f>
        <v>0.40991384086383653</v>
      </c>
    </row>
    <row r="33" spans="2:40" x14ac:dyDescent="0.25">
      <c r="B33" s="119" t="s">
        <v>1303</v>
      </c>
      <c r="C33" s="132">
        <f t="shared" si="17"/>
        <v>4</v>
      </c>
      <c r="D33" s="191"/>
      <c r="E33" s="191" t="str">
        <f t="shared" si="18"/>
        <v>HDFC Short Term Debt Fund - Growth</v>
      </c>
      <c r="F33" s="248">
        <v>8.01</v>
      </c>
      <c r="G33" s="248">
        <v>2.41</v>
      </c>
      <c r="H33" s="249">
        <v>2.56</v>
      </c>
      <c r="I33" s="248">
        <v>8.0500000000000007</v>
      </c>
      <c r="J33" s="248">
        <v>5.33</v>
      </c>
      <c r="K33" s="248">
        <v>5.65</v>
      </c>
      <c r="L33" s="248">
        <v>5.41</v>
      </c>
      <c r="M33" s="248">
        <v>7.35</v>
      </c>
      <c r="N33" s="248">
        <v>7.36</v>
      </c>
      <c r="O33" s="248">
        <v>6.31</v>
      </c>
      <c r="P33" s="248">
        <v>7.22</v>
      </c>
      <c r="Q33" s="248">
        <v>10.77</v>
      </c>
      <c r="R33" s="248">
        <v>69.44</v>
      </c>
      <c r="S33" s="248">
        <v>6.93</v>
      </c>
      <c r="T33" s="248">
        <v>9.5399999999999991</v>
      </c>
      <c r="U33" s="248">
        <v>0</v>
      </c>
      <c r="V33" s="248">
        <v>3.33</v>
      </c>
      <c r="W33" s="149">
        <f t="shared" si="19"/>
        <v>0.61764705882352799</v>
      </c>
      <c r="X33" s="142">
        <f t="shared" si="20"/>
        <v>0.32631578947368423</v>
      </c>
      <c r="Y33" s="142">
        <f t="shared" si="20"/>
        <v>0.40540540540540532</v>
      </c>
      <c r="Z33" s="142">
        <f t="shared" si="21"/>
        <v>0.67515923566878999</v>
      </c>
      <c r="AA33" s="142">
        <f t="shared" si="21"/>
        <v>0.7450980392156864</v>
      </c>
      <c r="AB33" s="142">
        <f t="shared" si="21"/>
        <v>0.75238095238095259</v>
      </c>
      <c r="AC33" s="142">
        <f t="shared" si="21"/>
        <v>0.71428571428571452</v>
      </c>
      <c r="AD33" s="142">
        <f t="shared" si="21"/>
        <v>0.96721311475409766</v>
      </c>
      <c r="AE33" s="142">
        <f t="shared" si="21"/>
        <v>0.9672131147540991</v>
      </c>
      <c r="AF33" s="142">
        <f t="shared" si="21"/>
        <v>0.44961240310077488</v>
      </c>
      <c r="AG33" s="142">
        <f t="shared" si="21"/>
        <v>0.94999999999999962</v>
      </c>
      <c r="AH33" s="142">
        <f t="shared" si="21"/>
        <v>0</v>
      </c>
      <c r="AI33" s="142">
        <f t="shared" si="21"/>
        <v>0.4524469067405355</v>
      </c>
      <c r="AJ33" s="142">
        <f t="shared" si="21"/>
        <v>0.75162689804772231</v>
      </c>
      <c r="AK33" s="142">
        <f t="shared" si="22"/>
        <v>8.969465648854974E-2</v>
      </c>
      <c r="AL33" s="142">
        <f t="shared" si="22"/>
        <v>0.49439775910364148</v>
      </c>
      <c r="AM33" s="142">
        <f t="shared" si="23"/>
        <v>9.9264705882352935E-2</v>
      </c>
      <c r="AN33" s="143">
        <f t="array" ref="AN33">SUMPRODUCT(W33:Y33, TRANSPOSE('Fund Ranking Criteria'!$D$39:$D$41))+SUMPRODUCT('Fund Ranking_Debt'!Z33:AG33, TRANSPOSE('Fund Ranking Criteria'!$D$30:$D$37))+SUMPRODUCT('Fund Ranking_Debt'!AH33:AM33, TRANSPOSE('Fund Ranking Criteria'!$D$43:$D$48))</f>
        <v>0.47502869326821479</v>
      </c>
    </row>
    <row r="34" spans="2:40" x14ac:dyDescent="0.25">
      <c r="B34" s="119" t="s">
        <v>1304</v>
      </c>
      <c r="C34" s="132">
        <f t="shared" si="17"/>
        <v>3</v>
      </c>
      <c r="D34" s="191"/>
      <c r="E34" s="191" t="str">
        <f t="shared" si="18"/>
        <v>SBI Short Term Debt Fund - Growth</v>
      </c>
      <c r="F34" s="248">
        <v>7.94</v>
      </c>
      <c r="G34" s="248">
        <v>2.0099999999999998</v>
      </c>
      <c r="H34" s="249">
        <v>2.12</v>
      </c>
      <c r="I34" s="248">
        <v>7.27</v>
      </c>
      <c r="J34" s="248">
        <v>4.7</v>
      </c>
      <c r="K34" s="248">
        <v>4.99</v>
      </c>
      <c r="L34" s="248">
        <v>4.9800000000000004</v>
      </c>
      <c r="M34" s="248">
        <v>7.07</v>
      </c>
      <c r="N34" s="248">
        <v>6.98</v>
      </c>
      <c r="O34" s="248">
        <v>5.96</v>
      </c>
      <c r="P34" s="248">
        <v>6.72</v>
      </c>
      <c r="Q34" s="248">
        <v>14.62</v>
      </c>
      <c r="R34" s="248">
        <v>61.45</v>
      </c>
      <c r="S34" s="248">
        <v>8.31</v>
      </c>
      <c r="T34" s="248">
        <v>7.39</v>
      </c>
      <c r="U34" s="248">
        <v>-3.61</v>
      </c>
      <c r="V34" s="248">
        <v>8.23</v>
      </c>
      <c r="W34" s="149">
        <f t="shared" si="19"/>
        <v>0.4117647058823537</v>
      </c>
      <c r="X34" s="142">
        <f t="shared" si="20"/>
        <v>0.7473684210526319</v>
      </c>
      <c r="Y34" s="142">
        <f t="shared" si="20"/>
        <v>1</v>
      </c>
      <c r="Z34" s="142">
        <f t="shared" si="21"/>
        <v>0.17834394904458556</v>
      </c>
      <c r="AA34" s="142">
        <f t="shared" si="21"/>
        <v>0.1274509803921568</v>
      </c>
      <c r="AB34" s="142">
        <f t="shared" si="21"/>
        <v>0.12380952380952373</v>
      </c>
      <c r="AC34" s="142">
        <f t="shared" si="21"/>
        <v>0.35294117647058881</v>
      </c>
      <c r="AD34" s="142">
        <f t="shared" si="21"/>
        <v>0.50819672131147597</v>
      </c>
      <c r="AE34" s="142">
        <f t="shared" si="21"/>
        <v>0.34426229508196843</v>
      </c>
      <c r="AF34" s="142">
        <f t="shared" si="21"/>
        <v>0.17829457364341061</v>
      </c>
      <c r="AG34" s="142">
        <f t="shared" si="21"/>
        <v>0.53333333333333299</v>
      </c>
      <c r="AH34" s="142">
        <f t="shared" si="21"/>
        <v>0.36252354048964214</v>
      </c>
      <c r="AI34" s="142">
        <f t="shared" si="21"/>
        <v>8.3564173591874541E-2</v>
      </c>
      <c r="AJ34" s="142">
        <f t="shared" si="21"/>
        <v>0.90130151843817785</v>
      </c>
      <c r="AK34" s="142">
        <f t="shared" si="22"/>
        <v>0.29484732824427484</v>
      </c>
      <c r="AL34" s="142">
        <f t="shared" si="22"/>
        <v>1</v>
      </c>
      <c r="AM34" s="142">
        <f t="shared" si="23"/>
        <v>1</v>
      </c>
      <c r="AN34" s="143">
        <f t="array" ref="AN34">SUMPRODUCT(W34:Y34, TRANSPOSE('Fund Ranking Criteria'!$D$39:$D$41))+SUMPRODUCT('Fund Ranking_Debt'!Z34:AG34, TRANSPOSE('Fund Ranking Criteria'!$D$30:$D$37))+SUMPRODUCT('Fund Ranking_Debt'!AH34:AM34, TRANSPOSE('Fund Ranking Criteria'!$D$43:$D$48))</f>
        <v>0.51046524968511986</v>
      </c>
    </row>
    <row r="35" spans="2:40" x14ac:dyDescent="0.25">
      <c r="B35" s="119" t="s">
        <v>1305</v>
      </c>
      <c r="C35" s="132">
        <f t="shared" si="17"/>
        <v>7</v>
      </c>
      <c r="D35" s="191"/>
      <c r="E35" s="191" t="str">
        <f t="shared" si="18"/>
        <v>Aditya Birla Sun Life Short Term Fund - Reg - Growth</v>
      </c>
      <c r="F35" s="248">
        <v>7.8</v>
      </c>
      <c r="G35" s="248">
        <v>2.11</v>
      </c>
      <c r="H35" s="249">
        <v>2.2599999999999998</v>
      </c>
      <c r="I35" s="248">
        <v>7.62</v>
      </c>
      <c r="J35" s="248">
        <v>4.8</v>
      </c>
      <c r="K35" s="248">
        <v>5.4</v>
      </c>
      <c r="L35" s="248">
        <v>5.2</v>
      </c>
      <c r="M35" s="248">
        <v>7.12</v>
      </c>
      <c r="N35" s="248">
        <v>7.08</v>
      </c>
      <c r="O35" s="248">
        <v>6.23</v>
      </c>
      <c r="P35" s="248">
        <v>7.08</v>
      </c>
      <c r="Q35" s="248">
        <v>11.88</v>
      </c>
      <c r="R35" s="248">
        <v>65.64</v>
      </c>
      <c r="S35" s="248">
        <v>5.03</v>
      </c>
      <c r="T35" s="248">
        <v>10.29</v>
      </c>
      <c r="U35" s="248">
        <v>0</v>
      </c>
      <c r="V35" s="248">
        <v>7.16</v>
      </c>
      <c r="W35" s="149">
        <f t="shared" si="19"/>
        <v>0</v>
      </c>
      <c r="X35" s="142">
        <f t="shared" si="20"/>
        <v>0.64210526315789496</v>
      </c>
      <c r="Y35" s="142">
        <f t="shared" si="20"/>
        <v>0.81081081081081119</v>
      </c>
      <c r="Z35" s="142">
        <f t="shared" si="21"/>
        <v>0.40127388535031833</v>
      </c>
      <c r="AA35" s="142">
        <f t="shared" si="21"/>
        <v>0.22549019607843102</v>
      </c>
      <c r="AB35" s="142">
        <f t="shared" si="21"/>
        <v>0.51428571428571446</v>
      </c>
      <c r="AC35" s="142">
        <f t="shared" si="21"/>
        <v>0.53781512605042048</v>
      </c>
      <c r="AD35" s="142">
        <f t="shared" si="21"/>
        <v>0.59016393442622972</v>
      </c>
      <c r="AE35" s="142">
        <f t="shared" si="21"/>
        <v>0.50819672131147597</v>
      </c>
      <c r="AF35" s="142">
        <f t="shared" si="21"/>
        <v>0.38759689922480645</v>
      </c>
      <c r="AG35" s="142">
        <f t="shared" si="21"/>
        <v>0.83333333333333326</v>
      </c>
      <c r="AH35" s="142">
        <f t="shared" si="21"/>
        <v>0.10451977401129954</v>
      </c>
      <c r="AI35" s="142">
        <f t="shared" si="21"/>
        <v>0.2770083102493075</v>
      </c>
      <c r="AJ35" s="142">
        <f t="shared" si="21"/>
        <v>0.54555314533622556</v>
      </c>
      <c r="AK35" s="142">
        <f t="shared" si="22"/>
        <v>1.8129770992366533E-2</v>
      </c>
      <c r="AL35" s="142">
        <f t="shared" si="22"/>
        <v>0.49439775910364148</v>
      </c>
      <c r="AM35" s="142">
        <f t="shared" si="23"/>
        <v>0.80330882352941169</v>
      </c>
      <c r="AN35" s="143">
        <f t="array" ref="AN35">SUMPRODUCT(W35:Y35, TRANSPOSE('Fund Ranking Criteria'!$D$39:$D$41))+SUMPRODUCT('Fund Ranking_Debt'!Z35:AG35, TRANSPOSE('Fund Ranking Criteria'!$D$30:$D$37))+SUMPRODUCT('Fund Ranking_Debt'!AH35:AM35, TRANSPOSE('Fund Ranking Criteria'!$D$43:$D$48))</f>
        <v>0.30143284790820124</v>
      </c>
    </row>
    <row r="36" spans="2:40" x14ac:dyDescent="0.25">
      <c r="B36" s="119" t="s">
        <v>1306</v>
      </c>
      <c r="C36" s="132">
        <f t="shared" si="17"/>
        <v>1</v>
      </c>
      <c r="D36" s="191"/>
      <c r="E36" s="191" t="str">
        <f t="shared" si="18"/>
        <v>Nippon India Short Duration Fund - Reg - Growth</v>
      </c>
      <c r="F36" s="248">
        <v>8.0299999999999994</v>
      </c>
      <c r="G36" s="248">
        <v>2.2999999999999998</v>
      </c>
      <c r="H36" s="249">
        <v>2.4300000000000002</v>
      </c>
      <c r="I36" s="248">
        <v>7.85</v>
      </c>
      <c r="J36" s="248">
        <v>5.28</v>
      </c>
      <c r="K36" s="248">
        <v>5.46</v>
      </c>
      <c r="L36" s="248">
        <v>5.24</v>
      </c>
      <c r="M36" s="248">
        <v>7.35</v>
      </c>
      <c r="N36" s="248">
        <v>7.21</v>
      </c>
      <c r="O36" s="248">
        <v>6.12</v>
      </c>
      <c r="P36" s="248">
        <v>6.82</v>
      </c>
      <c r="Q36" s="248">
        <v>21.39</v>
      </c>
      <c r="R36" s="248">
        <v>60.82</v>
      </c>
      <c r="S36" s="248">
        <v>7.32</v>
      </c>
      <c r="T36" s="248">
        <v>6.57</v>
      </c>
      <c r="U36" s="248">
        <v>0</v>
      </c>
      <c r="V36" s="248">
        <v>3.9</v>
      </c>
      <c r="W36" s="149">
        <f t="shared" si="19"/>
        <v>0.67647058823529127</v>
      </c>
      <c r="X36" s="142">
        <f t="shared" si="20"/>
        <v>0.44210526315789506</v>
      </c>
      <c r="Y36" s="142">
        <f t="shared" si="20"/>
        <v>0.58108108108108092</v>
      </c>
      <c r="Z36" s="142">
        <f t="shared" si="21"/>
        <v>0.54777070063694222</v>
      </c>
      <c r="AA36" s="142">
        <f t="shared" si="21"/>
        <v>0.69607843137254932</v>
      </c>
      <c r="AB36" s="142">
        <f t="shared" si="21"/>
        <v>0.57142857142857117</v>
      </c>
      <c r="AC36" s="142">
        <f t="shared" si="21"/>
        <v>0.57142857142857173</v>
      </c>
      <c r="AD36" s="142">
        <f t="shared" si="21"/>
        <v>0.96721311475409766</v>
      </c>
      <c r="AE36" s="142">
        <f t="shared" si="21"/>
        <v>0.72131147540983631</v>
      </c>
      <c r="AF36" s="142">
        <f t="shared" si="21"/>
        <v>0.30232558139534876</v>
      </c>
      <c r="AG36" s="142">
        <f t="shared" si="21"/>
        <v>0.61666666666666681</v>
      </c>
      <c r="AH36" s="142">
        <f t="shared" si="21"/>
        <v>1</v>
      </c>
      <c r="AI36" s="142">
        <f t="shared" si="21"/>
        <v>5.4478301015697131E-2</v>
      </c>
      <c r="AJ36" s="142">
        <f t="shared" si="21"/>
        <v>0.79392624728850325</v>
      </c>
      <c r="AK36" s="142">
        <f t="shared" si="22"/>
        <v>0.37309160305343514</v>
      </c>
      <c r="AL36" s="142">
        <f t="shared" si="22"/>
        <v>0.49439775910364148</v>
      </c>
      <c r="AM36" s="142">
        <f t="shared" si="23"/>
        <v>0.20404411764705879</v>
      </c>
      <c r="AN36" s="143">
        <f t="array" ref="AN36">SUMPRODUCT(W36:Y36, TRANSPOSE('Fund Ranking Criteria'!$D$39:$D$41))+SUMPRODUCT('Fund Ranking_Debt'!Z36:AG36, TRANSPOSE('Fund Ranking Criteria'!$D$30:$D$37))+SUMPRODUCT('Fund Ranking_Debt'!AH36:AM36, TRANSPOSE('Fund Ranking Criteria'!$D$43:$D$48))</f>
        <v>0.6024631327735368</v>
      </c>
    </row>
    <row r="37" spans="2:40" ht="15" customHeight="1" thickBot="1" x14ac:dyDescent="0.3">
      <c r="B37" s="120" t="s">
        <v>1307</v>
      </c>
      <c r="C37" s="141">
        <f t="shared" si="17"/>
        <v>5</v>
      </c>
      <c r="D37" s="192"/>
      <c r="E37" s="192" t="str">
        <f t="shared" si="18"/>
        <v>UTI Short Duration Fund - Reg - Growth</v>
      </c>
      <c r="F37" s="251">
        <v>7.92</v>
      </c>
      <c r="G37" s="251">
        <v>1.77</v>
      </c>
      <c r="H37" s="250">
        <v>2.14</v>
      </c>
      <c r="I37" s="251">
        <v>7.79</v>
      </c>
      <c r="J37" s="251">
        <v>4.92</v>
      </c>
      <c r="K37" s="251">
        <v>5.03</v>
      </c>
      <c r="L37" s="251">
        <v>4.92</v>
      </c>
      <c r="M37" s="251">
        <v>6.9</v>
      </c>
      <c r="N37" s="251">
        <v>6.95</v>
      </c>
      <c r="O37" s="251">
        <v>7.02</v>
      </c>
      <c r="P37" s="251">
        <v>6.08</v>
      </c>
      <c r="Q37" s="251">
        <v>13.56</v>
      </c>
      <c r="R37" s="251">
        <v>66.849999999999994</v>
      </c>
      <c r="S37" s="251">
        <v>9.2100000000000009</v>
      </c>
      <c r="T37" s="251">
        <v>5.17</v>
      </c>
      <c r="U37" s="251">
        <v>0</v>
      </c>
      <c r="V37" s="251">
        <v>5.22</v>
      </c>
      <c r="W37" s="149">
        <f t="shared" si="19"/>
        <v>0.35294117647058776</v>
      </c>
      <c r="X37" s="144">
        <f t="shared" si="20"/>
        <v>1</v>
      </c>
      <c r="Y37" s="144">
        <f t="shared" si="20"/>
        <v>0.97297297297297292</v>
      </c>
      <c r="Z37" s="144">
        <f t="shared" si="21"/>
        <v>0.50955414012738831</v>
      </c>
      <c r="AA37" s="144">
        <f t="shared" si="21"/>
        <v>0.34313725490196056</v>
      </c>
      <c r="AB37" s="144">
        <f t="shared" si="21"/>
        <v>0.16190476190476186</v>
      </c>
      <c r="AC37" s="144">
        <f t="shared" si="21"/>
        <v>0.30252100840336149</v>
      </c>
      <c r="AD37" s="144">
        <f t="shared" si="21"/>
        <v>0.22950819672131229</v>
      </c>
      <c r="AE37" s="144">
        <f t="shared" si="21"/>
        <v>0.29508196721311558</v>
      </c>
      <c r="AF37" s="144">
        <f t="shared" si="21"/>
        <v>1</v>
      </c>
      <c r="AG37" s="144">
        <f t="shared" si="21"/>
        <v>0</v>
      </c>
      <c r="AH37" s="144">
        <f t="shared" si="21"/>
        <v>0.26271186440677974</v>
      </c>
      <c r="AI37" s="144">
        <f t="shared" si="21"/>
        <v>0.33287165281625092</v>
      </c>
      <c r="AJ37" s="144">
        <f t="shared" si="21"/>
        <v>0.99891540130151846</v>
      </c>
      <c r="AK37" s="144">
        <f t="shared" si="22"/>
        <v>0.50667938931297718</v>
      </c>
      <c r="AL37" s="144">
        <f t="shared" si="22"/>
        <v>0.49439775910364148</v>
      </c>
      <c r="AM37" s="144">
        <f t="shared" si="23"/>
        <v>0.44669117647058815</v>
      </c>
      <c r="AN37" s="145">
        <f t="array" ref="AN37">SUMPRODUCT(W37:Y37, TRANSPOSE('Fund Ranking Criteria'!$D$39:$D$41))+SUMPRODUCT('Fund Ranking_Debt'!Z37:AG37, TRANSPOSE('Fund Ranking Criteria'!$D$30:$D$37))+SUMPRODUCT('Fund Ranking_Debt'!AH37:AM37, TRANSPOSE('Fund Ranking Criteria'!$D$43:$D$48))</f>
        <v>0.46874018258859185</v>
      </c>
    </row>
    <row r="38" spans="2:40" ht="15" customHeight="1" thickBot="1" x14ac:dyDescent="0.3"/>
    <row r="39" spans="2:40" ht="15" customHeight="1" thickBot="1" x14ac:dyDescent="0.3">
      <c r="B39" s="429" t="s">
        <v>1308</v>
      </c>
      <c r="C39" s="426"/>
      <c r="D39" s="426"/>
      <c r="E39" s="426"/>
      <c r="F39" s="426"/>
      <c r="G39" s="426"/>
      <c r="H39" s="426"/>
      <c r="I39" s="426"/>
      <c r="J39" s="426"/>
      <c r="K39" s="426"/>
      <c r="L39" s="426"/>
      <c r="M39" s="426"/>
      <c r="N39" s="426"/>
      <c r="O39" s="426"/>
      <c r="P39" s="426"/>
      <c r="Q39" s="426"/>
      <c r="R39" s="426"/>
      <c r="S39" s="426"/>
      <c r="T39" s="426"/>
      <c r="U39" s="426"/>
      <c r="V39" s="426"/>
      <c r="W39" s="426"/>
      <c r="X39" s="426"/>
      <c r="Y39" s="426"/>
      <c r="Z39" s="426"/>
      <c r="AA39" s="426"/>
      <c r="AB39" s="426"/>
      <c r="AC39" s="426"/>
      <c r="AD39" s="426"/>
      <c r="AE39" s="426"/>
      <c r="AF39" s="426"/>
      <c r="AG39" s="426"/>
      <c r="AH39" s="426"/>
      <c r="AI39" s="426"/>
      <c r="AJ39" s="426"/>
      <c r="AK39" s="426"/>
      <c r="AL39" s="426"/>
      <c r="AM39" s="426"/>
      <c r="AN39" s="375"/>
    </row>
    <row r="40" spans="2:40" ht="15" customHeight="1" thickBot="1" x14ac:dyDescent="0.3">
      <c r="B40" s="262"/>
      <c r="C40" s="189"/>
      <c r="D40" s="189"/>
      <c r="E40" s="189"/>
      <c r="F40" s="444"/>
      <c r="G40" s="445"/>
      <c r="H40" s="445"/>
      <c r="I40" s="445"/>
      <c r="J40" s="445"/>
      <c r="K40" s="445"/>
      <c r="L40" s="445"/>
      <c r="M40" s="445"/>
      <c r="N40" s="445"/>
      <c r="O40" s="445"/>
      <c r="P40" s="445"/>
      <c r="Q40" s="445"/>
      <c r="R40" s="445"/>
      <c r="S40" s="445"/>
      <c r="T40" s="445"/>
      <c r="U40" s="445"/>
      <c r="V40" s="446"/>
      <c r="W40" s="444"/>
      <c r="X40" s="445"/>
      <c r="Y40" s="445"/>
      <c r="Z40" s="445"/>
      <c r="AA40" s="445"/>
      <c r="AB40" s="445"/>
      <c r="AC40" s="445"/>
      <c r="AD40" s="445"/>
      <c r="AE40" s="445"/>
      <c r="AF40" s="445"/>
      <c r="AG40" s="445"/>
      <c r="AH40" s="445"/>
      <c r="AI40" s="445"/>
      <c r="AJ40" s="445"/>
      <c r="AK40" s="445"/>
      <c r="AL40" s="445"/>
      <c r="AM40" s="446"/>
      <c r="AN40" s="442" t="s">
        <v>1048</v>
      </c>
    </row>
    <row r="41" spans="2:40" ht="43.5" customHeight="1" x14ac:dyDescent="0.25">
      <c r="B41" s="116" t="s">
        <v>44</v>
      </c>
      <c r="C41" s="282" t="s">
        <v>927</v>
      </c>
      <c r="D41" s="282"/>
      <c r="E41" s="281"/>
      <c r="F41" s="280" t="s">
        <v>1268</v>
      </c>
      <c r="G41" s="280" t="s">
        <v>1269</v>
      </c>
      <c r="H41" s="280" t="s">
        <v>1270</v>
      </c>
      <c r="I41" s="280" t="s">
        <v>1271</v>
      </c>
      <c r="J41" s="280" t="s">
        <v>1272</v>
      </c>
      <c r="K41" s="280" t="s">
        <v>1273</v>
      </c>
      <c r="L41" s="280" t="s">
        <v>1274</v>
      </c>
      <c r="M41" s="280" t="s">
        <v>1275</v>
      </c>
      <c r="N41" s="280" t="s">
        <v>1276</v>
      </c>
      <c r="O41" s="280" t="s">
        <v>1277</v>
      </c>
      <c r="P41" s="280" t="s">
        <v>1278</v>
      </c>
      <c r="Q41" s="280" t="s">
        <v>1279</v>
      </c>
      <c r="R41" s="280" t="s">
        <v>1280</v>
      </c>
      <c r="S41" s="280" t="s">
        <v>1281</v>
      </c>
      <c r="T41" s="280" t="s">
        <v>1282</v>
      </c>
      <c r="U41" s="280" t="s">
        <v>1283</v>
      </c>
      <c r="V41" s="280" t="s">
        <v>1284</v>
      </c>
      <c r="W41" s="198" t="str">
        <f t="shared" ref="W41:AM41" si="24">F41</f>
        <v>YTM</v>
      </c>
      <c r="X41" s="283" t="str">
        <f t="shared" si="24"/>
        <v>Modified Duration</v>
      </c>
      <c r="Y41" s="283" t="str">
        <f t="shared" si="24"/>
        <v>Macaulay Duration</v>
      </c>
      <c r="Z41" s="198" t="str">
        <f t="shared" si="24"/>
        <v>3 Months</v>
      </c>
      <c r="AA41" s="198" t="str">
        <f t="shared" si="24"/>
        <v>6 Months</v>
      </c>
      <c r="AB41" s="198" t="str">
        <f t="shared" si="24"/>
        <v>9 Months</v>
      </c>
      <c r="AC41" s="198" t="str">
        <f t="shared" si="24"/>
        <v>1 Year</v>
      </c>
      <c r="AD41" s="198" t="str">
        <f t="shared" si="24"/>
        <v>2 Years</v>
      </c>
      <c r="AE41" s="198" t="str">
        <f t="shared" si="24"/>
        <v>3 Years</v>
      </c>
      <c r="AF41" s="198" t="str">
        <f t="shared" si="24"/>
        <v>5 Years</v>
      </c>
      <c r="AG41" s="198" t="str">
        <f t="shared" si="24"/>
        <v>10 Years</v>
      </c>
      <c r="AH41" s="198" t="str">
        <f t="shared" si="24"/>
        <v>Sovereign</v>
      </c>
      <c r="AI41" s="198" t="str">
        <f t="shared" si="24"/>
        <v>AAA/A1+</v>
      </c>
      <c r="AJ41" s="198" t="str">
        <f t="shared" si="24"/>
        <v>AA+</v>
      </c>
      <c r="AK41" s="283" t="str">
        <f t="shared" si="24"/>
        <v>AA/AA-</v>
      </c>
      <c r="AL41" s="283" t="str">
        <f t="shared" si="24"/>
        <v>Below AA-</v>
      </c>
      <c r="AM41" s="198" t="str">
        <f t="shared" si="24"/>
        <v>Cash and Fixed Deposits</v>
      </c>
      <c r="AN41" s="443"/>
    </row>
    <row r="42" spans="2:40" x14ac:dyDescent="0.25">
      <c r="B42" s="119" t="s">
        <v>1309</v>
      </c>
      <c r="C42" s="132">
        <f t="shared" ref="C42:C48" si="25">RANK(AN42,$AN$42:$AN$48,0)</f>
        <v>7</v>
      </c>
      <c r="D42" s="191"/>
      <c r="E42" s="191" t="str">
        <f t="shared" ref="E42:E48" si="26">B42</f>
        <v>SBI Magnum Medium Duration Fund - Growth</v>
      </c>
      <c r="F42" s="248">
        <v>7.23</v>
      </c>
      <c r="G42" s="248">
        <v>3.78</v>
      </c>
      <c r="H42" s="249">
        <v>3.94</v>
      </c>
      <c r="I42" s="248">
        <v>6.62</v>
      </c>
      <c r="J42" s="248">
        <v>9.86</v>
      </c>
      <c r="K42" s="248">
        <v>8.69</v>
      </c>
      <c r="L42" s="248">
        <v>8.9600000000000009</v>
      </c>
      <c r="M42" s="248">
        <v>8.01</v>
      </c>
      <c r="N42" s="248">
        <v>7.84</v>
      </c>
      <c r="O42" s="248">
        <v>6.39</v>
      </c>
      <c r="P42" s="248">
        <v>7.92</v>
      </c>
      <c r="Q42" s="248">
        <v>40.450000000000003</v>
      </c>
      <c r="R42" s="248">
        <v>7.66</v>
      </c>
      <c r="S42" s="248">
        <v>16.45</v>
      </c>
      <c r="T42" s="248">
        <v>23.5</v>
      </c>
      <c r="U42" s="248">
        <v>6.89</v>
      </c>
      <c r="V42" s="248">
        <v>4.7300000000000004</v>
      </c>
      <c r="W42" s="149">
        <f t="shared" ref="W42:W48" si="27">(F42-MIN(F$42:F$48))/(MAX(F$42:F$48)-MIN(F$42:F$48))</f>
        <v>0</v>
      </c>
      <c r="X42" s="142">
        <f t="shared" ref="X42:Y48" si="28">(MAX(G$42:G$48)-G42)/(MAX(G$42:G$48)-MIN(G$42:G$48))</f>
        <v>0</v>
      </c>
      <c r="Y42" s="142">
        <f t="shared" si="28"/>
        <v>0</v>
      </c>
      <c r="Z42" s="149">
        <f t="shared" ref="Z42:AJ48" si="29">(I42-MIN(I$42:I$48))/(MAX(I$42:I$48)-MIN(I$42:I$48))</f>
        <v>0</v>
      </c>
      <c r="AA42" s="149">
        <f t="shared" si="29"/>
        <v>0.95421245421245415</v>
      </c>
      <c r="AB42" s="149">
        <f t="shared" si="29"/>
        <v>0.90604026845637586</v>
      </c>
      <c r="AC42" s="149">
        <f t="shared" si="29"/>
        <v>1</v>
      </c>
      <c r="AD42" s="149">
        <f t="shared" si="29"/>
        <v>0.34334763948497843</v>
      </c>
      <c r="AE42" s="149">
        <f t="shared" si="29"/>
        <v>0.42772861356932163</v>
      </c>
      <c r="AF42" s="149">
        <f t="shared" si="29"/>
        <v>4.6232876712328688E-2</v>
      </c>
      <c r="AG42" s="149">
        <f t="shared" si="29"/>
        <v>0.88212927756654003</v>
      </c>
      <c r="AH42" s="149">
        <f t="shared" si="29"/>
        <v>0.86790780141843982</v>
      </c>
      <c r="AI42" s="149">
        <f t="shared" si="29"/>
        <v>0</v>
      </c>
      <c r="AJ42" s="149">
        <f t="shared" si="29"/>
        <v>0.69472111553784865</v>
      </c>
      <c r="AK42" s="142">
        <f t="shared" ref="AK42:AL48" si="30">(MAX(T$42:T$48)-T42)/(MAX(T$42:T$48)-MIN(T$42:T$48))</f>
        <v>0.72075726842461119</v>
      </c>
      <c r="AL42" s="142">
        <f t="shared" si="30"/>
        <v>0.5134180790960452</v>
      </c>
      <c r="AM42" s="149">
        <f t="shared" ref="AM42:AM48" si="31">(V42-MIN(V$42:V$48))/(MAX(V$42:V$48)-MIN(V$42:V$48))</f>
        <v>0</v>
      </c>
      <c r="AN42" s="143">
        <f t="array" ref="AN42">SUMPRODUCT(W42:Y42, TRANSPOSE('Fund Ranking Criteria'!$F$39:$F$41))+SUMPRODUCT('Fund Ranking_Debt'!Z42:AG42, TRANSPOSE('Fund Ranking Criteria'!$F$30:$F$37))+SUMPRODUCT('Fund Ranking_Debt'!AH42:AM42, TRANSPOSE('Fund Ranking Criteria'!$F$43:$F$48))</f>
        <v>0.23471557968507317</v>
      </c>
    </row>
    <row r="43" spans="2:40" x14ac:dyDescent="0.25">
      <c r="B43" s="119" t="s">
        <v>1310</v>
      </c>
      <c r="C43" s="132">
        <f t="shared" si="25"/>
        <v>3</v>
      </c>
      <c r="D43" s="191"/>
      <c r="E43" s="191" t="str">
        <f t="shared" si="26"/>
        <v>ICICI Prudential Medium Term Bond Fund - Growth</v>
      </c>
      <c r="F43" s="248">
        <v>8.57</v>
      </c>
      <c r="G43" s="248">
        <v>3.24</v>
      </c>
      <c r="H43" s="249">
        <v>3.39</v>
      </c>
      <c r="I43" s="248">
        <v>10.029999999999999</v>
      </c>
      <c r="J43" s="248">
        <v>6.34</v>
      </c>
      <c r="K43" s="248">
        <v>6.92</v>
      </c>
      <c r="L43" s="248">
        <v>6.8</v>
      </c>
      <c r="M43" s="248">
        <v>8.1199999999999992</v>
      </c>
      <c r="N43" s="248">
        <v>7.75</v>
      </c>
      <c r="O43" s="248">
        <v>6.73</v>
      </c>
      <c r="P43" s="248">
        <v>7.39</v>
      </c>
      <c r="Q43" s="248">
        <v>18.440000000000001</v>
      </c>
      <c r="R43" s="248">
        <v>14.48</v>
      </c>
      <c r="S43" s="248">
        <v>22.58</v>
      </c>
      <c r="T43" s="248">
        <v>31.76</v>
      </c>
      <c r="U43" s="248">
        <v>1.38</v>
      </c>
      <c r="V43" s="248">
        <v>12.75</v>
      </c>
      <c r="W43" s="149">
        <f t="shared" si="27"/>
        <v>0.8993288590604025</v>
      </c>
      <c r="X43" s="142">
        <f t="shared" si="28"/>
        <v>0.49999999999999978</v>
      </c>
      <c r="Y43" s="142">
        <f t="shared" si="28"/>
        <v>0.49999999999999978</v>
      </c>
      <c r="Z43" s="142">
        <f t="shared" si="29"/>
        <v>0.88113695090439259</v>
      </c>
      <c r="AA43" s="142">
        <f t="shared" si="29"/>
        <v>0.30952380952380948</v>
      </c>
      <c r="AB43" s="142">
        <f t="shared" si="29"/>
        <v>0.51006711409395977</v>
      </c>
      <c r="AC43" s="142">
        <f t="shared" si="29"/>
        <v>0.5433403805496827</v>
      </c>
      <c r="AD43" s="142">
        <f t="shared" si="29"/>
        <v>0.36695278969957063</v>
      </c>
      <c r="AE43" s="142">
        <f t="shared" si="29"/>
        <v>0.40117994100294996</v>
      </c>
      <c r="AF43" s="142">
        <f t="shared" si="29"/>
        <v>0.10445205479452059</v>
      </c>
      <c r="AG43" s="142">
        <f t="shared" si="29"/>
        <v>0.78136882129277563</v>
      </c>
      <c r="AH43" s="142">
        <f t="shared" si="29"/>
        <v>0.21749408983451538</v>
      </c>
      <c r="AI43" s="142">
        <f t="shared" si="29"/>
        <v>0.42360248447204968</v>
      </c>
      <c r="AJ43" s="142">
        <f t="shared" si="29"/>
        <v>1</v>
      </c>
      <c r="AK43" s="142">
        <f t="shared" si="30"/>
        <v>0.16227180527383339</v>
      </c>
      <c r="AL43" s="142">
        <f t="shared" si="30"/>
        <v>0.90254237288135597</v>
      </c>
      <c r="AM43" s="142">
        <f t="shared" si="31"/>
        <v>0.65737704918032791</v>
      </c>
      <c r="AN43" s="143">
        <f t="array" ref="AN43">SUMPRODUCT(W43:Y43, TRANSPOSE('Fund Ranking Criteria'!$F$39:$F$41))+SUMPRODUCT('Fund Ranking_Debt'!Z43:AG43, TRANSPOSE('Fund Ranking Criteria'!$F$30:$F$37))+SUMPRODUCT('Fund Ranking_Debt'!AH43:AM43, TRANSPOSE('Fund Ranking Criteria'!$F$43:$F$48))</f>
        <v>0.58222665083879521</v>
      </c>
    </row>
    <row r="44" spans="2:40" x14ac:dyDescent="0.25">
      <c r="B44" s="119" t="s">
        <v>1311</v>
      </c>
      <c r="C44" s="132">
        <f t="shared" si="25"/>
        <v>5</v>
      </c>
      <c r="D44" s="191"/>
      <c r="E44" s="191" t="str">
        <f t="shared" si="26"/>
        <v>HDFC Medium Term Debt Fund - Growth</v>
      </c>
      <c r="F44" s="248">
        <v>8.59</v>
      </c>
      <c r="G44" s="248">
        <v>2.95</v>
      </c>
      <c r="H44" s="249">
        <v>3.1</v>
      </c>
      <c r="I44" s="248">
        <v>8.98</v>
      </c>
      <c r="J44" s="248">
        <v>6.04</v>
      </c>
      <c r="K44" s="248">
        <v>6.1</v>
      </c>
      <c r="L44" s="248">
        <v>5.7</v>
      </c>
      <c r="M44" s="248">
        <v>7.34</v>
      </c>
      <c r="N44" s="248">
        <v>7.18</v>
      </c>
      <c r="O44" s="248">
        <v>6.16</v>
      </c>
      <c r="P44" s="248">
        <v>7.02</v>
      </c>
      <c r="Q44" s="248">
        <v>16.14</v>
      </c>
      <c r="R44" s="248">
        <v>23.76</v>
      </c>
      <c r="S44" s="248">
        <v>16.61</v>
      </c>
      <c r="T44" s="248">
        <v>29.38</v>
      </c>
      <c r="U44" s="248">
        <v>6.87</v>
      </c>
      <c r="V44" s="248">
        <v>7.24</v>
      </c>
      <c r="W44" s="149">
        <f t="shared" si="27"/>
        <v>0.91275167785234845</v>
      </c>
      <c r="X44" s="142">
        <f t="shared" si="28"/>
        <v>0.76851851851851849</v>
      </c>
      <c r="Y44" s="142">
        <f t="shared" si="28"/>
        <v>0.76363636363636345</v>
      </c>
      <c r="Z44" s="142">
        <f t="shared" si="29"/>
        <v>0.60981912144702854</v>
      </c>
      <c r="AA44" s="142">
        <f t="shared" si="29"/>
        <v>0.25457875457875456</v>
      </c>
      <c r="AB44" s="142">
        <f t="shared" si="29"/>
        <v>0.32662192393736017</v>
      </c>
      <c r="AC44" s="142">
        <f t="shared" si="29"/>
        <v>0.31078224101479907</v>
      </c>
      <c r="AD44" s="142">
        <f t="shared" si="29"/>
        <v>0.1995708154506437</v>
      </c>
      <c r="AE44" s="142">
        <f t="shared" si="29"/>
        <v>0.23303834808259591</v>
      </c>
      <c r="AF44" s="142">
        <f t="shared" si="29"/>
        <v>6.8493150684931555E-3</v>
      </c>
      <c r="AG44" s="142">
        <f t="shared" si="29"/>
        <v>0.71102661596958172</v>
      </c>
      <c r="AH44" s="142">
        <f t="shared" si="29"/>
        <v>0.14952718676122931</v>
      </c>
      <c r="AI44" s="142">
        <f t="shared" si="29"/>
        <v>1</v>
      </c>
      <c r="AJ44" s="142">
        <f t="shared" si="29"/>
        <v>0.70268924302788849</v>
      </c>
      <c r="AK44" s="142">
        <f t="shared" si="30"/>
        <v>0.32319134550371864</v>
      </c>
      <c r="AL44" s="142">
        <f t="shared" si="30"/>
        <v>0.51483050847457623</v>
      </c>
      <c r="AM44" s="142">
        <f t="shared" si="31"/>
        <v>0.20573770491803278</v>
      </c>
      <c r="AN44" s="143">
        <f t="array" ref="AN44">SUMPRODUCT(W44:Y44, TRANSPOSE('Fund Ranking Criteria'!$F$39:$F$41))+SUMPRODUCT('Fund Ranking_Debt'!Z44:AG44, TRANSPOSE('Fund Ranking Criteria'!$F$30:$F$37))+SUMPRODUCT('Fund Ranking_Debt'!AH44:AM44, TRANSPOSE('Fund Ranking Criteria'!$F$43:$F$48))</f>
        <v>0.54662401619325118</v>
      </c>
    </row>
    <row r="45" spans="2:40" x14ac:dyDescent="0.25">
      <c r="B45" s="119" t="s">
        <v>1312</v>
      </c>
      <c r="C45" s="132">
        <f t="shared" si="25"/>
        <v>1</v>
      </c>
      <c r="D45" s="191"/>
      <c r="E45" s="191" t="str">
        <f t="shared" si="26"/>
        <v>Aditya Birla Sun Life Medium Term Plan - Reg - Growth</v>
      </c>
      <c r="F45" s="248">
        <v>8.49</v>
      </c>
      <c r="G45" s="248">
        <v>2.85</v>
      </c>
      <c r="H45" s="249">
        <v>3.01</v>
      </c>
      <c r="I45" s="248">
        <v>10.49</v>
      </c>
      <c r="J45" s="248">
        <v>10.11</v>
      </c>
      <c r="K45" s="248">
        <v>9.11</v>
      </c>
      <c r="L45" s="248">
        <v>8.33</v>
      </c>
      <c r="M45" s="248">
        <v>11.07</v>
      </c>
      <c r="N45" s="248">
        <v>9.7799999999999994</v>
      </c>
      <c r="O45" s="248">
        <v>11.96</v>
      </c>
      <c r="P45" s="248">
        <v>8.5399999999999991</v>
      </c>
      <c r="Q45" s="248">
        <v>21.84</v>
      </c>
      <c r="R45" s="248">
        <v>19.3</v>
      </c>
      <c r="S45" s="248">
        <v>11.74</v>
      </c>
      <c r="T45" s="248">
        <v>24.26</v>
      </c>
      <c r="U45" s="248">
        <v>14.16</v>
      </c>
      <c r="V45" s="248">
        <v>8.6999999999999993</v>
      </c>
      <c r="W45" s="149">
        <f t="shared" si="27"/>
        <v>0.84563758389261723</v>
      </c>
      <c r="X45" s="142">
        <f t="shared" si="28"/>
        <v>0.86111111111111116</v>
      </c>
      <c r="Y45" s="142">
        <f t="shared" si="28"/>
        <v>0.84545454545454557</v>
      </c>
      <c r="Z45" s="142">
        <f t="shared" si="29"/>
        <v>1</v>
      </c>
      <c r="AA45" s="142">
        <f t="shared" si="29"/>
        <v>1</v>
      </c>
      <c r="AB45" s="142">
        <f t="shared" si="29"/>
        <v>1</v>
      </c>
      <c r="AC45" s="142">
        <f t="shared" si="29"/>
        <v>0.86680761099365733</v>
      </c>
      <c r="AD45" s="142">
        <f t="shared" si="29"/>
        <v>1</v>
      </c>
      <c r="AE45" s="142">
        <f t="shared" si="29"/>
        <v>1</v>
      </c>
      <c r="AF45" s="142">
        <f t="shared" si="29"/>
        <v>1</v>
      </c>
      <c r="AG45" s="142">
        <f t="shared" si="29"/>
        <v>1</v>
      </c>
      <c r="AH45" s="142">
        <f t="shared" si="29"/>
        <v>0.31796690307328601</v>
      </c>
      <c r="AI45" s="142">
        <f t="shared" si="29"/>
        <v>0.72298136645962729</v>
      </c>
      <c r="AJ45" s="142">
        <f t="shared" si="29"/>
        <v>0.46015936254980083</v>
      </c>
      <c r="AK45" s="142">
        <f t="shared" si="30"/>
        <v>0.6693711967545638</v>
      </c>
      <c r="AL45" s="142">
        <f t="shared" si="30"/>
        <v>0</v>
      </c>
      <c r="AM45" s="142">
        <f t="shared" si="31"/>
        <v>0.32540983606557372</v>
      </c>
      <c r="AN45" s="143">
        <f t="array" ref="AN45">SUMPRODUCT(W45:Y45, TRANSPOSE('Fund Ranking Criteria'!$F$39:$F$41))+SUMPRODUCT('Fund Ranking_Debt'!Z45:AG45, TRANSPOSE('Fund Ranking Criteria'!$F$30:$F$37))+SUMPRODUCT('Fund Ranking_Debt'!AH45:AM45, TRANSPOSE('Fund Ranking Criteria'!$F$43:$F$48))</f>
        <v>0.69318937372519474</v>
      </c>
    </row>
    <row r="46" spans="2:40" x14ac:dyDescent="0.25">
      <c r="B46" s="119" t="s">
        <v>1313</v>
      </c>
      <c r="C46" s="132">
        <f t="shared" si="25"/>
        <v>2</v>
      </c>
      <c r="D46" s="191"/>
      <c r="E46" s="191" t="str">
        <f t="shared" si="26"/>
        <v>Kotak Medium Term Fund - Reg - Growth</v>
      </c>
      <c r="F46" s="248">
        <v>8.7200000000000006</v>
      </c>
      <c r="G46" s="248">
        <v>2.7</v>
      </c>
      <c r="H46" s="249">
        <v>2.84</v>
      </c>
      <c r="I46" s="248">
        <v>8.5399999999999991</v>
      </c>
      <c r="J46" s="248">
        <v>5.31</v>
      </c>
      <c r="K46" s="248">
        <v>6.17</v>
      </c>
      <c r="L46" s="248">
        <v>6.18</v>
      </c>
      <c r="M46" s="248">
        <v>7.92</v>
      </c>
      <c r="N46" s="248">
        <v>7.89</v>
      </c>
      <c r="O46" s="248">
        <v>6.48</v>
      </c>
      <c r="P46" s="248">
        <v>6.82</v>
      </c>
      <c r="Q46" s="248">
        <v>11.08</v>
      </c>
      <c r="R46" s="248">
        <v>20.79</v>
      </c>
      <c r="S46" s="248">
        <v>14.43</v>
      </c>
      <c r="T46" s="248">
        <v>32.9</v>
      </c>
      <c r="U46" s="248">
        <v>7.54</v>
      </c>
      <c r="V46" s="248">
        <v>13.27</v>
      </c>
      <c r="W46" s="149">
        <f t="shared" si="27"/>
        <v>1</v>
      </c>
      <c r="X46" s="142">
        <f t="shared" si="28"/>
        <v>1</v>
      </c>
      <c r="Y46" s="142">
        <f t="shared" si="28"/>
        <v>1</v>
      </c>
      <c r="Z46" s="142">
        <f t="shared" si="29"/>
        <v>0.49612403100775165</v>
      </c>
      <c r="AA46" s="142">
        <f t="shared" si="29"/>
        <v>0.12087912087912077</v>
      </c>
      <c r="AB46" s="142">
        <f t="shared" si="29"/>
        <v>0.34228187919463093</v>
      </c>
      <c r="AC46" s="142">
        <f t="shared" si="29"/>
        <v>0.4122621564482028</v>
      </c>
      <c r="AD46" s="142">
        <f t="shared" si="29"/>
        <v>0.32403433476394844</v>
      </c>
      <c r="AE46" s="142">
        <f t="shared" si="29"/>
        <v>0.44247787610619471</v>
      </c>
      <c r="AF46" s="142">
        <f t="shared" si="29"/>
        <v>6.1643835616438401E-2</v>
      </c>
      <c r="AG46" s="142">
        <f t="shared" si="29"/>
        <v>0.67300380228136891</v>
      </c>
      <c r="AH46" s="142">
        <f t="shared" si="29"/>
        <v>0</v>
      </c>
      <c r="AI46" s="142">
        <f t="shared" si="29"/>
        <v>0.81552795031055891</v>
      </c>
      <c r="AJ46" s="142">
        <f t="shared" si="29"/>
        <v>0.59412350597609564</v>
      </c>
      <c r="AK46" s="142">
        <f t="shared" si="30"/>
        <v>8.5192697768762565E-2</v>
      </c>
      <c r="AL46" s="142">
        <f t="shared" si="30"/>
        <v>0.4675141242937853</v>
      </c>
      <c r="AM46" s="142">
        <f t="shared" si="31"/>
        <v>0.7</v>
      </c>
      <c r="AN46" s="143">
        <f t="array" ref="AN46">SUMPRODUCT(W46:Y46, TRANSPOSE('Fund Ranking Criteria'!$F$39:$F$41))+SUMPRODUCT('Fund Ranking_Debt'!Z46:AG46, TRANSPOSE('Fund Ranking Criteria'!$F$30:$F$37))+SUMPRODUCT('Fund Ranking_Debt'!AH46:AM46, TRANSPOSE('Fund Ranking Criteria'!$F$43:$F$48))</f>
        <v>0.61574232783013405</v>
      </c>
    </row>
    <row r="47" spans="2:40" x14ac:dyDescent="0.25">
      <c r="B47" s="119" t="s">
        <v>1314</v>
      </c>
      <c r="C47" s="132">
        <f t="shared" si="25"/>
        <v>4</v>
      </c>
      <c r="D47" s="191"/>
      <c r="E47" s="191" t="str">
        <f t="shared" si="26"/>
        <v>Nippon India Medium Duration Fund - Reg - Growth</v>
      </c>
      <c r="F47" s="248">
        <v>8.08</v>
      </c>
      <c r="G47" s="248">
        <v>3.09</v>
      </c>
      <c r="H47" s="249">
        <v>3.23</v>
      </c>
      <c r="I47" s="248">
        <v>8.69</v>
      </c>
      <c r="J47" s="248">
        <v>6.08</v>
      </c>
      <c r="K47" s="248">
        <v>6.04</v>
      </c>
      <c r="L47" s="248">
        <v>7.96</v>
      </c>
      <c r="M47" s="248">
        <v>8.51</v>
      </c>
      <c r="N47" s="248">
        <v>7.86</v>
      </c>
      <c r="O47" s="248">
        <v>9.09</v>
      </c>
      <c r="P47" s="248">
        <v>3.28</v>
      </c>
      <c r="Q47" s="248">
        <v>23.42</v>
      </c>
      <c r="R47" s="248">
        <v>22.09</v>
      </c>
      <c r="S47" s="248">
        <v>5.48</v>
      </c>
      <c r="T47" s="248">
        <v>34.159999999999997</v>
      </c>
      <c r="U47" s="248">
        <v>0</v>
      </c>
      <c r="V47" s="248">
        <v>14.85</v>
      </c>
      <c r="W47" s="149">
        <f t="shared" si="27"/>
        <v>0.57046979865771785</v>
      </c>
      <c r="X47" s="142">
        <f t="shared" si="28"/>
        <v>0.63888888888888906</v>
      </c>
      <c r="Y47" s="142">
        <f t="shared" si="28"/>
        <v>0.64545454545454539</v>
      </c>
      <c r="Z47" s="142">
        <f t="shared" si="29"/>
        <v>0.5348837209302324</v>
      </c>
      <c r="AA47" s="142">
        <f t="shared" si="29"/>
        <v>0.26190476190476192</v>
      </c>
      <c r="AB47" s="142">
        <f t="shared" si="29"/>
        <v>0.31319910514541399</v>
      </c>
      <c r="AC47" s="142">
        <f t="shared" si="29"/>
        <v>0.7885835095137419</v>
      </c>
      <c r="AD47" s="142">
        <f t="shared" si="29"/>
        <v>0.45064377682403423</v>
      </c>
      <c r="AE47" s="142">
        <f t="shared" si="29"/>
        <v>0.43362831858407103</v>
      </c>
      <c r="AF47" s="142">
        <f t="shared" si="29"/>
        <v>0.50856164383561631</v>
      </c>
      <c r="AG47" s="142">
        <f t="shared" si="29"/>
        <v>0</v>
      </c>
      <c r="AH47" s="142">
        <f t="shared" si="29"/>
        <v>0.36465721040189125</v>
      </c>
      <c r="AI47" s="142">
        <f t="shared" si="29"/>
        <v>0.89627329192546579</v>
      </c>
      <c r="AJ47" s="142">
        <f t="shared" si="29"/>
        <v>0.14840637450199207</v>
      </c>
      <c r="AK47" s="142">
        <f t="shared" si="30"/>
        <v>0</v>
      </c>
      <c r="AL47" s="142">
        <f t="shared" si="30"/>
        <v>1</v>
      </c>
      <c r="AM47" s="142">
        <f t="shared" si="31"/>
        <v>0.82950819672131149</v>
      </c>
      <c r="AN47" s="143">
        <f t="array" ref="AN47">SUMPRODUCT(W47:Y47, TRANSPOSE('Fund Ranking Criteria'!$F$39:$F$41))+SUMPRODUCT('Fund Ranking_Debt'!Z47:AG47, TRANSPOSE('Fund Ranking Criteria'!$F$30:$F$37))+SUMPRODUCT('Fund Ranking_Debt'!AH47:AM47, TRANSPOSE('Fund Ranking Criteria'!$F$43:$F$48))</f>
        <v>0.56643044744983961</v>
      </c>
    </row>
    <row r="48" spans="2:40" ht="15" customHeight="1" thickBot="1" x14ac:dyDescent="0.3">
      <c r="B48" s="119" t="s">
        <v>1315</v>
      </c>
      <c r="C48" s="141">
        <f t="shared" si="25"/>
        <v>6</v>
      </c>
      <c r="D48" s="192"/>
      <c r="E48" s="192" t="str">
        <f t="shared" si="26"/>
        <v>UTI Medium Duration Fund - Reg - Growth</v>
      </c>
      <c r="F48" s="251">
        <v>7.55</v>
      </c>
      <c r="G48" s="251">
        <v>3.18</v>
      </c>
      <c r="H48" s="250">
        <v>3.31</v>
      </c>
      <c r="I48" s="251">
        <v>7.23</v>
      </c>
      <c r="J48" s="251">
        <v>4.6500000000000004</v>
      </c>
      <c r="K48" s="251">
        <v>4.6399999999999997</v>
      </c>
      <c r="L48" s="251">
        <v>4.2300000000000004</v>
      </c>
      <c r="M48" s="251">
        <v>6.41</v>
      </c>
      <c r="N48" s="251">
        <v>6.39</v>
      </c>
      <c r="O48" s="251">
        <v>6.12</v>
      </c>
      <c r="P48" s="251">
        <v>5.6</v>
      </c>
      <c r="Q48" s="251">
        <v>44.92</v>
      </c>
      <c r="R48" s="251">
        <v>16.28</v>
      </c>
      <c r="S48" s="251">
        <v>2.5</v>
      </c>
      <c r="T48" s="251">
        <v>19.37</v>
      </c>
      <c r="U48" s="251">
        <v>0</v>
      </c>
      <c r="V48" s="251">
        <v>16.93</v>
      </c>
      <c r="W48" s="149">
        <f t="shared" si="27"/>
        <v>0.21476510067114049</v>
      </c>
      <c r="X48" s="144">
        <f t="shared" si="28"/>
        <v>0.55555555555555547</v>
      </c>
      <c r="Y48" s="144">
        <f t="shared" si="28"/>
        <v>0.57272727272727253</v>
      </c>
      <c r="Z48" s="144">
        <f t="shared" si="29"/>
        <v>0.15762273901808793</v>
      </c>
      <c r="AA48" s="144">
        <f t="shared" si="29"/>
        <v>0</v>
      </c>
      <c r="AB48" s="144">
        <f t="shared" si="29"/>
        <v>0</v>
      </c>
      <c r="AC48" s="144">
        <f t="shared" si="29"/>
        <v>0</v>
      </c>
      <c r="AD48" s="144">
        <f t="shared" si="29"/>
        <v>0</v>
      </c>
      <c r="AE48" s="144">
        <f t="shared" si="29"/>
        <v>0</v>
      </c>
      <c r="AF48" s="144">
        <f t="shared" si="29"/>
        <v>0</v>
      </c>
      <c r="AG48" s="144">
        <f t="shared" si="29"/>
        <v>0.44106463878326996</v>
      </c>
      <c r="AH48" s="144">
        <f t="shared" si="29"/>
        <v>1</v>
      </c>
      <c r="AI48" s="144">
        <f t="shared" si="29"/>
        <v>0.53540372670807457</v>
      </c>
      <c r="AJ48" s="144">
        <f t="shared" si="29"/>
        <v>0</v>
      </c>
      <c r="AK48" s="144">
        <f t="shared" si="30"/>
        <v>1</v>
      </c>
      <c r="AL48" s="144">
        <f t="shared" si="30"/>
        <v>1</v>
      </c>
      <c r="AM48" s="144">
        <f t="shared" si="31"/>
        <v>1</v>
      </c>
      <c r="AN48" s="145">
        <f t="array" ref="AN48">SUMPRODUCT(W48:Y48, TRANSPOSE('Fund Ranking Criteria'!$F$39:$F$41))+SUMPRODUCT('Fund Ranking_Debt'!Z48:AG48, TRANSPOSE('Fund Ranking Criteria'!$F$30:$F$37))+SUMPRODUCT('Fund Ranking_Debt'!AH48:AM48, TRANSPOSE('Fund Ranking Criteria'!$F$43:$F$48))</f>
        <v>0.46200654256096318</v>
      </c>
    </row>
    <row r="49" spans="2:40" ht="15" customHeight="1" thickBot="1" x14ac:dyDescent="0.3"/>
    <row r="50" spans="2:40" ht="15" customHeight="1" thickBot="1" x14ac:dyDescent="0.3">
      <c r="B50" s="429" t="str">
        <f>'Fund Ranking Criteria'!G24</f>
        <v>Medium to Long Duration Fund</v>
      </c>
      <c r="C50" s="426"/>
      <c r="D50" s="426"/>
      <c r="E50" s="426"/>
      <c r="F50" s="426"/>
      <c r="G50" s="426"/>
      <c r="H50" s="426"/>
      <c r="I50" s="426"/>
      <c r="J50" s="426"/>
      <c r="K50" s="426"/>
      <c r="L50" s="426"/>
      <c r="M50" s="426"/>
      <c r="N50" s="426"/>
      <c r="O50" s="426"/>
      <c r="P50" s="426"/>
      <c r="Q50" s="426"/>
      <c r="R50" s="426"/>
      <c r="S50" s="426"/>
      <c r="T50" s="426"/>
      <c r="U50" s="426"/>
      <c r="V50" s="426"/>
      <c r="W50" s="426"/>
      <c r="X50" s="426"/>
      <c r="Y50" s="426"/>
      <c r="Z50" s="426"/>
      <c r="AA50" s="426"/>
      <c r="AB50" s="426"/>
      <c r="AC50" s="426"/>
      <c r="AD50" s="426"/>
      <c r="AE50" s="426"/>
      <c r="AF50" s="426"/>
      <c r="AG50" s="426"/>
      <c r="AH50" s="426"/>
      <c r="AI50" s="426"/>
      <c r="AJ50" s="426"/>
      <c r="AK50" s="426"/>
      <c r="AL50" s="426"/>
      <c r="AM50" s="426"/>
      <c r="AN50" s="375"/>
    </row>
    <row r="51" spans="2:40" ht="15" customHeight="1" thickBot="1" x14ac:dyDescent="0.3">
      <c r="B51" s="155"/>
      <c r="C51" s="156"/>
      <c r="D51" s="156"/>
      <c r="E51" s="156"/>
      <c r="F51" s="448"/>
      <c r="G51" s="401"/>
      <c r="H51" s="401"/>
      <c r="I51" s="401"/>
      <c r="J51" s="401"/>
      <c r="K51" s="401"/>
      <c r="L51" s="401"/>
      <c r="M51" s="401"/>
      <c r="N51" s="401"/>
      <c r="O51" s="401"/>
      <c r="P51" s="401"/>
      <c r="Q51" s="401"/>
      <c r="R51" s="401"/>
      <c r="S51" s="401"/>
      <c r="T51" s="401"/>
      <c r="U51" s="401"/>
      <c r="V51" s="449"/>
      <c r="W51" s="448"/>
      <c r="X51" s="401"/>
      <c r="Y51" s="401"/>
      <c r="Z51" s="401"/>
      <c r="AA51" s="401"/>
      <c r="AB51" s="401"/>
      <c r="AC51" s="401"/>
      <c r="AD51" s="401"/>
      <c r="AE51" s="401"/>
      <c r="AF51" s="401"/>
      <c r="AG51" s="401"/>
      <c r="AH51" s="401"/>
      <c r="AI51" s="401"/>
      <c r="AJ51" s="401"/>
      <c r="AK51" s="401"/>
      <c r="AL51" s="401"/>
      <c r="AM51" s="449"/>
      <c r="AN51" s="447" t="s">
        <v>1048</v>
      </c>
    </row>
    <row r="52" spans="2:40" ht="43.5" customHeight="1" x14ac:dyDescent="0.25">
      <c r="B52" s="116" t="s">
        <v>44</v>
      </c>
      <c r="C52" s="282" t="s">
        <v>927</v>
      </c>
      <c r="D52" s="282"/>
      <c r="E52" s="281"/>
      <c r="F52" s="280" t="s">
        <v>1268</v>
      </c>
      <c r="G52" s="280" t="s">
        <v>1269</v>
      </c>
      <c r="H52" s="280" t="s">
        <v>1270</v>
      </c>
      <c r="I52" s="280" t="s">
        <v>1271</v>
      </c>
      <c r="J52" s="280" t="s">
        <v>1272</v>
      </c>
      <c r="K52" s="280" t="s">
        <v>1273</v>
      </c>
      <c r="L52" s="280" t="s">
        <v>1274</v>
      </c>
      <c r="M52" s="280" t="s">
        <v>1275</v>
      </c>
      <c r="N52" s="280" t="s">
        <v>1276</v>
      </c>
      <c r="O52" s="280" t="s">
        <v>1277</v>
      </c>
      <c r="P52" s="280" t="s">
        <v>1278</v>
      </c>
      <c r="Q52" s="280" t="s">
        <v>1279</v>
      </c>
      <c r="R52" s="280" t="s">
        <v>1280</v>
      </c>
      <c r="S52" s="280" t="s">
        <v>1281</v>
      </c>
      <c r="T52" s="280" t="s">
        <v>1282</v>
      </c>
      <c r="U52" s="280" t="s">
        <v>1283</v>
      </c>
      <c r="V52" s="280" t="s">
        <v>1284</v>
      </c>
      <c r="W52" s="198" t="str">
        <f t="shared" ref="W52:AM52" si="32">F52</f>
        <v>YTM</v>
      </c>
      <c r="X52" s="283" t="str">
        <f t="shared" si="32"/>
        <v>Modified Duration</v>
      </c>
      <c r="Y52" s="283" t="str">
        <f t="shared" si="32"/>
        <v>Macaulay Duration</v>
      </c>
      <c r="Z52" s="198" t="str">
        <f t="shared" si="32"/>
        <v>3 Months</v>
      </c>
      <c r="AA52" s="198" t="str">
        <f t="shared" si="32"/>
        <v>6 Months</v>
      </c>
      <c r="AB52" s="198" t="str">
        <f t="shared" si="32"/>
        <v>9 Months</v>
      </c>
      <c r="AC52" s="198" t="str">
        <f t="shared" si="32"/>
        <v>1 Year</v>
      </c>
      <c r="AD52" s="198" t="str">
        <f t="shared" si="32"/>
        <v>2 Years</v>
      </c>
      <c r="AE52" s="198" t="str">
        <f t="shared" si="32"/>
        <v>3 Years</v>
      </c>
      <c r="AF52" s="198" t="str">
        <f t="shared" si="32"/>
        <v>5 Years</v>
      </c>
      <c r="AG52" s="198" t="str">
        <f t="shared" si="32"/>
        <v>10 Years</v>
      </c>
      <c r="AH52" s="198" t="str">
        <f t="shared" si="32"/>
        <v>Sovereign</v>
      </c>
      <c r="AI52" s="198" t="str">
        <f t="shared" si="32"/>
        <v>AAA/A1+</v>
      </c>
      <c r="AJ52" s="198" t="str">
        <f t="shared" si="32"/>
        <v>AA+</v>
      </c>
      <c r="AK52" s="283" t="str">
        <f t="shared" si="32"/>
        <v>AA/AA-</v>
      </c>
      <c r="AL52" s="283" t="str">
        <f t="shared" si="32"/>
        <v>Below AA-</v>
      </c>
      <c r="AM52" s="198" t="str">
        <f t="shared" si="32"/>
        <v>Cash and Fixed Deposits</v>
      </c>
      <c r="AN52" s="443"/>
    </row>
    <row r="53" spans="2:40" x14ac:dyDescent="0.25">
      <c r="B53" s="119" t="s">
        <v>1316</v>
      </c>
      <c r="C53" s="132">
        <f t="shared" ref="C53:C59" si="33">RANK(AN53,$AN$53:$AN$59,0)</f>
        <v>4</v>
      </c>
      <c r="D53" s="191"/>
      <c r="E53" s="191" t="str">
        <f t="shared" ref="E53:E59" si="34">B53</f>
        <v>ICICI Prudential Bond Fund - Growth</v>
      </c>
      <c r="F53" s="248">
        <v>7.85</v>
      </c>
      <c r="G53" s="248">
        <v>6.47</v>
      </c>
      <c r="H53" s="249">
        <v>6.74</v>
      </c>
      <c r="I53" s="248">
        <v>10.98</v>
      </c>
      <c r="J53" s="248">
        <v>4.96</v>
      </c>
      <c r="K53" s="248">
        <v>5.23</v>
      </c>
      <c r="L53" s="248">
        <v>4</v>
      </c>
      <c r="M53" s="248">
        <v>6.8</v>
      </c>
      <c r="N53" s="248">
        <v>7.04</v>
      </c>
      <c r="O53" s="248">
        <v>6.04</v>
      </c>
      <c r="P53" s="248">
        <v>7.05</v>
      </c>
      <c r="Q53" s="248">
        <v>56.18</v>
      </c>
      <c r="R53" s="248">
        <v>41.27</v>
      </c>
      <c r="S53" s="248">
        <v>0</v>
      </c>
      <c r="T53" s="248">
        <v>0</v>
      </c>
      <c r="U53" s="248">
        <v>0</v>
      </c>
      <c r="V53" s="248">
        <v>2.5499999999999998</v>
      </c>
      <c r="W53" s="149">
        <f t="shared" ref="W53:W59" si="35">(F53-MIN(F$53:F$59))/(MAX(F$53:F$59)-MIN(F$53:F$59))</f>
        <v>0.79487179487179471</v>
      </c>
      <c r="X53" s="142">
        <f t="shared" ref="X53:Y59" si="36">(MAX(G$53:G$59)-G53)/(MAX(G$53:G$59)-MIN(G$53:G$59))</f>
        <v>0</v>
      </c>
      <c r="Y53" s="142">
        <f t="shared" si="36"/>
        <v>0</v>
      </c>
      <c r="Z53" s="149">
        <f t="shared" ref="Z53:AJ59" si="37">(I53-MIN(I$53:I$59))/(MAX(I$53:I$59)-MIN(I$53:I$59))</f>
        <v>0.92582417582417598</v>
      </c>
      <c r="AA53" s="149">
        <f t="shared" si="37"/>
        <v>0.20454545454545453</v>
      </c>
      <c r="AB53" s="149">
        <f t="shared" si="37"/>
        <v>0.38366336633663384</v>
      </c>
      <c r="AC53" s="149">
        <f t="shared" si="37"/>
        <v>0.20108695652173914</v>
      </c>
      <c r="AD53" s="149">
        <f t="shared" si="37"/>
        <v>0.58035714285714268</v>
      </c>
      <c r="AE53" s="149">
        <f t="shared" si="37"/>
        <v>0.55851063829787229</v>
      </c>
      <c r="AF53" s="149">
        <f t="shared" si="37"/>
        <v>0.31446540880503138</v>
      </c>
      <c r="AG53" s="149">
        <f t="shared" si="37"/>
        <v>0.71610169491525422</v>
      </c>
      <c r="AH53" s="149">
        <f t="shared" si="37"/>
        <v>0.31335740072202178</v>
      </c>
      <c r="AI53" s="149">
        <f t="shared" si="37"/>
        <v>1</v>
      </c>
      <c r="AJ53" s="149">
        <f t="shared" si="37"/>
        <v>0</v>
      </c>
      <c r="AK53" s="142">
        <f t="shared" ref="AK53:AL59" si="38">(MAX(T$53:T$59)-T53)/(MAX(T$53:T$59)-MIN(T$53:T$59))</f>
        <v>1</v>
      </c>
      <c r="AL53" s="142">
        <f t="shared" si="38"/>
        <v>1</v>
      </c>
      <c r="AM53" s="149">
        <f t="shared" ref="AM53:AM59" si="39">(V53-MIN(V$53:V$59))/(MAX(V$53:V$59)-MIN(V$53:V$59))</f>
        <v>0</v>
      </c>
      <c r="AN53" s="143">
        <f t="array" ref="AN53">SUMPRODUCT(W53:Y53, TRANSPOSE('Fund Ranking Criteria'!$G$39:$G$41))+SUMPRODUCT('Fund Ranking_Debt'!Z53:AG53, TRANSPOSE('Fund Ranking Criteria'!$G$30:$G$37))+SUMPRODUCT('Fund Ranking_Debt'!AH53:AM53, TRANSPOSE('Fund Ranking Criteria'!$G$43:$G$48))</f>
        <v>0.49611241291742425</v>
      </c>
    </row>
    <row r="54" spans="2:40" x14ac:dyDescent="0.25">
      <c r="B54" s="119" t="s">
        <v>1317</v>
      </c>
      <c r="C54" s="132">
        <f t="shared" si="33"/>
        <v>5</v>
      </c>
      <c r="D54" s="191"/>
      <c r="E54" s="191" t="str">
        <f t="shared" si="34"/>
        <v>Aditya Birla Sun Life Income Fund - Reg - Growth</v>
      </c>
      <c r="F54" s="248">
        <v>7.74</v>
      </c>
      <c r="G54" s="248">
        <v>6.47</v>
      </c>
      <c r="H54" s="249">
        <v>6.74</v>
      </c>
      <c r="I54" s="248">
        <v>10.5</v>
      </c>
      <c r="J54" s="248">
        <v>3.99</v>
      </c>
      <c r="K54" s="248">
        <v>3.91</v>
      </c>
      <c r="L54" s="248">
        <v>2.93</v>
      </c>
      <c r="M54" s="248">
        <v>5.58</v>
      </c>
      <c r="N54" s="248">
        <v>6</v>
      </c>
      <c r="O54" s="248">
        <v>5.41</v>
      </c>
      <c r="P54" s="248">
        <v>6.74</v>
      </c>
      <c r="Q54" s="248">
        <v>65.14</v>
      </c>
      <c r="R54" s="248">
        <v>28.63</v>
      </c>
      <c r="S54" s="248">
        <v>0</v>
      </c>
      <c r="T54" s="248">
        <v>0</v>
      </c>
      <c r="U54" s="248">
        <v>0</v>
      </c>
      <c r="V54" s="248">
        <v>6.23</v>
      </c>
      <c r="W54" s="149">
        <f t="shared" si="35"/>
        <v>0.70085470085470114</v>
      </c>
      <c r="X54" s="142">
        <f t="shared" si="36"/>
        <v>0</v>
      </c>
      <c r="Y54" s="142">
        <f t="shared" si="36"/>
        <v>0</v>
      </c>
      <c r="Z54" s="142">
        <f t="shared" si="37"/>
        <v>0.85989010989010994</v>
      </c>
      <c r="AA54" s="142">
        <f t="shared" si="37"/>
        <v>3.4965034965034995E-2</v>
      </c>
      <c r="AB54" s="142">
        <f t="shared" si="37"/>
        <v>5.693069306930694E-2</v>
      </c>
      <c r="AC54" s="142">
        <f t="shared" si="37"/>
        <v>7.2463768115942099E-3</v>
      </c>
      <c r="AD54" s="142">
        <f t="shared" si="37"/>
        <v>3.571428571428574E-2</v>
      </c>
      <c r="AE54" s="142">
        <f t="shared" si="37"/>
        <v>5.3191489361700999E-3</v>
      </c>
      <c r="AF54" s="142">
        <f t="shared" si="37"/>
        <v>0.11635220125786165</v>
      </c>
      <c r="AG54" s="142">
        <f t="shared" si="37"/>
        <v>0.58474576271186451</v>
      </c>
      <c r="AH54" s="142">
        <f t="shared" si="37"/>
        <v>0.52900120336943457</v>
      </c>
      <c r="AI54" s="142">
        <f t="shared" si="37"/>
        <v>0.61568865916692006</v>
      </c>
      <c r="AJ54" s="142">
        <f t="shared" si="37"/>
        <v>0</v>
      </c>
      <c r="AK54" s="142">
        <f t="shared" si="38"/>
        <v>1</v>
      </c>
      <c r="AL54" s="142">
        <f t="shared" si="38"/>
        <v>1</v>
      </c>
      <c r="AM54" s="142">
        <f t="shared" si="39"/>
        <v>0.26686004350978976</v>
      </c>
      <c r="AN54" s="143">
        <f t="array" ref="AN54">SUMPRODUCT(W54:Y54, TRANSPOSE('Fund Ranking Criteria'!$G$39:$G$41))+SUMPRODUCT('Fund Ranking_Debt'!Z54:AG54, TRANSPOSE('Fund Ranking Criteria'!$G$30:$G$37))+SUMPRODUCT('Fund Ranking_Debt'!AH54:AM54, TRANSPOSE('Fund Ranking Criteria'!$G$43:$G$48))</f>
        <v>0.39655726746263298</v>
      </c>
    </row>
    <row r="55" spans="2:40" x14ac:dyDescent="0.25">
      <c r="B55" s="119" t="s">
        <v>1318</v>
      </c>
      <c r="C55" s="132">
        <f t="shared" si="33"/>
        <v>3</v>
      </c>
      <c r="D55" s="191"/>
      <c r="E55" s="191" t="str">
        <f t="shared" si="34"/>
        <v>Kotak Bond Fund - Reg - Growth</v>
      </c>
      <c r="F55" s="248">
        <v>7.59</v>
      </c>
      <c r="G55" s="248">
        <v>4.6399999999999997</v>
      </c>
      <c r="H55" s="249">
        <v>4.83</v>
      </c>
      <c r="I55" s="248">
        <v>11.52</v>
      </c>
      <c r="J55" s="248">
        <v>4.92</v>
      </c>
      <c r="K55" s="248">
        <v>4.54</v>
      </c>
      <c r="L55" s="248">
        <v>3.27</v>
      </c>
      <c r="M55" s="248">
        <v>5.74</v>
      </c>
      <c r="N55" s="248">
        <v>6.28</v>
      </c>
      <c r="O55" s="248">
        <v>5.35</v>
      </c>
      <c r="P55" s="248">
        <v>6.35</v>
      </c>
      <c r="Q55" s="248">
        <v>53.58</v>
      </c>
      <c r="R55" s="248">
        <v>30.07</v>
      </c>
      <c r="S55" s="248">
        <v>0</v>
      </c>
      <c r="T55" s="248">
        <v>0</v>
      </c>
      <c r="U55" s="248">
        <v>0</v>
      </c>
      <c r="V55" s="248">
        <v>16.34</v>
      </c>
      <c r="W55" s="149">
        <f t="shared" si="35"/>
        <v>0.57264957264957261</v>
      </c>
      <c r="X55" s="142">
        <f t="shared" si="36"/>
        <v>0.94329896907216526</v>
      </c>
      <c r="Y55" s="142">
        <f t="shared" si="36"/>
        <v>0.94088669950738912</v>
      </c>
      <c r="Z55" s="142">
        <f t="shared" si="37"/>
        <v>1</v>
      </c>
      <c r="AA55" s="142">
        <f t="shared" si="37"/>
        <v>0.19755244755244755</v>
      </c>
      <c r="AB55" s="142">
        <f t="shared" si="37"/>
        <v>0.21287128712871289</v>
      </c>
      <c r="AC55" s="142">
        <f t="shared" si="37"/>
        <v>6.8840579710144914E-2</v>
      </c>
      <c r="AD55" s="142">
        <f t="shared" si="37"/>
        <v>0.10714285714285723</v>
      </c>
      <c r="AE55" s="142">
        <f t="shared" si="37"/>
        <v>0.1542553191489362</v>
      </c>
      <c r="AF55" s="142">
        <f t="shared" si="37"/>
        <v>9.7484276729559602E-2</v>
      </c>
      <c r="AG55" s="142">
        <f t="shared" si="37"/>
        <v>0.41949152542372864</v>
      </c>
      <c r="AH55" s="142">
        <f t="shared" si="37"/>
        <v>0.25078219013237069</v>
      </c>
      <c r="AI55" s="142">
        <f t="shared" si="37"/>
        <v>0.65947096381878978</v>
      </c>
      <c r="AJ55" s="142">
        <f t="shared" si="37"/>
        <v>0</v>
      </c>
      <c r="AK55" s="142">
        <f t="shared" si="38"/>
        <v>1</v>
      </c>
      <c r="AL55" s="142">
        <f t="shared" si="38"/>
        <v>1</v>
      </c>
      <c r="AM55" s="142">
        <f t="shared" si="39"/>
        <v>1</v>
      </c>
      <c r="AN55" s="143">
        <f t="array" ref="AN55">SUMPRODUCT(W55:Y55, TRANSPOSE('Fund Ranking Criteria'!$G$39:$G$41))+SUMPRODUCT('Fund Ranking_Debt'!Z55:AG55, TRANSPOSE('Fund Ranking Criteria'!$G$30:$G$37))+SUMPRODUCT('Fund Ranking_Debt'!AH55:AM55, TRANSPOSE('Fund Ranking Criteria'!$G$43:$G$48))</f>
        <v>0.52685646904341676</v>
      </c>
    </row>
    <row r="56" spans="2:40" x14ac:dyDescent="0.25">
      <c r="B56" s="119" t="s">
        <v>1319</v>
      </c>
      <c r="C56" s="132">
        <f t="shared" si="33"/>
        <v>1</v>
      </c>
      <c r="D56" s="191"/>
      <c r="E56" s="191" t="str">
        <f t="shared" si="34"/>
        <v>SBI Magnum Income Fund - Growth</v>
      </c>
      <c r="F56" s="248">
        <v>6.92</v>
      </c>
      <c r="G56" s="248">
        <v>5.57</v>
      </c>
      <c r="H56" s="249">
        <v>5.79</v>
      </c>
      <c r="I56" s="248">
        <v>4.24</v>
      </c>
      <c r="J56" s="248">
        <v>9.51</v>
      </c>
      <c r="K56" s="248">
        <v>7.72</v>
      </c>
      <c r="L56" s="248">
        <v>8.41</v>
      </c>
      <c r="M56" s="248">
        <v>7.74</v>
      </c>
      <c r="N56" s="248">
        <v>7.87</v>
      </c>
      <c r="O56" s="248">
        <v>6.01</v>
      </c>
      <c r="P56" s="248">
        <v>7.72</v>
      </c>
      <c r="Q56" s="248">
        <v>60.4</v>
      </c>
      <c r="R56" s="248">
        <v>10.75</v>
      </c>
      <c r="S56" s="248">
        <v>7.83</v>
      </c>
      <c r="T56" s="248">
        <v>14.7</v>
      </c>
      <c r="U56" s="248">
        <v>0</v>
      </c>
      <c r="V56" s="248">
        <v>6.06</v>
      </c>
      <c r="W56" s="149">
        <f t="shared" si="35"/>
        <v>0</v>
      </c>
      <c r="X56" s="142">
        <f t="shared" si="36"/>
        <v>0.46391752577319573</v>
      </c>
      <c r="Y56" s="142">
        <f t="shared" si="36"/>
        <v>0.4679802955665025</v>
      </c>
      <c r="Z56" s="142">
        <f t="shared" si="37"/>
        <v>0</v>
      </c>
      <c r="AA56" s="142">
        <f t="shared" si="37"/>
        <v>1</v>
      </c>
      <c r="AB56" s="142">
        <f t="shared" si="37"/>
        <v>1</v>
      </c>
      <c r="AC56" s="142">
        <f t="shared" si="37"/>
        <v>1</v>
      </c>
      <c r="AD56" s="142">
        <f t="shared" si="37"/>
        <v>1</v>
      </c>
      <c r="AE56" s="142">
        <f t="shared" si="37"/>
        <v>1</v>
      </c>
      <c r="AF56" s="142">
        <f t="shared" si="37"/>
        <v>0.30503144654088038</v>
      </c>
      <c r="AG56" s="142">
        <f t="shared" si="37"/>
        <v>1</v>
      </c>
      <c r="AH56" s="142">
        <f t="shared" si="37"/>
        <v>0.41492178098676302</v>
      </c>
      <c r="AI56" s="142">
        <f t="shared" si="37"/>
        <v>7.2058376406202468E-2</v>
      </c>
      <c r="AJ56" s="142">
        <f t="shared" si="37"/>
        <v>0.45655976676384846</v>
      </c>
      <c r="AK56" s="142">
        <f t="shared" si="38"/>
        <v>0</v>
      </c>
      <c r="AL56" s="142">
        <f t="shared" si="38"/>
        <v>1</v>
      </c>
      <c r="AM56" s="142">
        <f t="shared" si="39"/>
        <v>0.25453226976069615</v>
      </c>
      <c r="AN56" s="143">
        <f t="array" ref="AN56">SUMPRODUCT(W56:Y56, TRANSPOSE('Fund Ranking Criteria'!$G$39:$G$41))+SUMPRODUCT('Fund Ranking_Debt'!Z56:AG56, TRANSPOSE('Fund Ranking Criteria'!$G$30:$G$37))+SUMPRODUCT('Fund Ranking_Debt'!AH56:AM56, TRANSPOSE('Fund Ranking Criteria'!$G$43:$G$48))</f>
        <v>0.55922033527437143</v>
      </c>
    </row>
    <row r="57" spans="2:40" x14ac:dyDescent="0.25">
      <c r="B57" s="119" t="s">
        <v>1320</v>
      </c>
      <c r="C57" s="132">
        <f t="shared" si="33"/>
        <v>6</v>
      </c>
      <c r="D57" s="191"/>
      <c r="E57" s="191" t="str">
        <f t="shared" si="34"/>
        <v>HDFC Income Fund - Growth</v>
      </c>
      <c r="F57" s="248">
        <v>7.34</v>
      </c>
      <c r="G57" s="248">
        <v>6.44</v>
      </c>
      <c r="H57" s="249">
        <v>6.7</v>
      </c>
      <c r="I57" s="248">
        <v>10.19</v>
      </c>
      <c r="J57" s="248">
        <v>4.7300000000000004</v>
      </c>
      <c r="K57" s="248">
        <v>4.24</v>
      </c>
      <c r="L57" s="248">
        <v>3.14</v>
      </c>
      <c r="M57" s="248">
        <v>5.91</v>
      </c>
      <c r="N57" s="248">
        <v>6.35</v>
      </c>
      <c r="O57" s="248">
        <v>5.04</v>
      </c>
      <c r="P57" s="248">
        <v>5.72</v>
      </c>
      <c r="Q57" s="248">
        <v>68.77</v>
      </c>
      <c r="R57" s="248">
        <v>25.02</v>
      </c>
      <c r="S57" s="248">
        <v>0</v>
      </c>
      <c r="T57" s="248">
        <v>0</v>
      </c>
      <c r="U57" s="248">
        <v>0</v>
      </c>
      <c r="V57" s="248">
        <v>6.21</v>
      </c>
      <c r="W57" s="149">
        <f t="shared" si="35"/>
        <v>0.35897435897435892</v>
      </c>
      <c r="X57" s="142">
        <f t="shared" si="36"/>
        <v>1.546391752577287E-2</v>
      </c>
      <c r="Y57" s="142">
        <f t="shared" si="36"/>
        <v>1.970443349753696E-2</v>
      </c>
      <c r="Z57" s="142">
        <f t="shared" si="37"/>
        <v>0.81730769230769229</v>
      </c>
      <c r="AA57" s="142">
        <f t="shared" si="37"/>
        <v>0.16433566433566441</v>
      </c>
      <c r="AB57" s="142">
        <f t="shared" si="37"/>
        <v>0.13861386138613865</v>
      </c>
      <c r="AC57" s="142">
        <f t="shared" si="37"/>
        <v>4.5289855072463775E-2</v>
      </c>
      <c r="AD57" s="142">
        <f t="shared" si="37"/>
        <v>0.18303571428571433</v>
      </c>
      <c r="AE57" s="142">
        <f t="shared" si="37"/>
        <v>0.19148936170212738</v>
      </c>
      <c r="AF57" s="142">
        <f t="shared" si="37"/>
        <v>0</v>
      </c>
      <c r="AG57" s="142">
        <f t="shared" si="37"/>
        <v>0.15254237288135572</v>
      </c>
      <c r="AH57" s="142">
        <f t="shared" si="37"/>
        <v>0.61636582430806264</v>
      </c>
      <c r="AI57" s="142">
        <f t="shared" si="37"/>
        <v>0.50592885375494068</v>
      </c>
      <c r="AJ57" s="142">
        <f t="shared" si="37"/>
        <v>0</v>
      </c>
      <c r="AK57" s="142">
        <f t="shared" si="38"/>
        <v>1</v>
      </c>
      <c r="AL57" s="142">
        <f t="shared" si="38"/>
        <v>1</v>
      </c>
      <c r="AM57" s="142">
        <f t="shared" si="39"/>
        <v>0.26540971718636697</v>
      </c>
      <c r="AN57" s="143">
        <f t="array" ref="AN57">SUMPRODUCT(W57:Y57, TRANSPOSE('Fund Ranking Criteria'!$G$39:$G$41))+SUMPRODUCT('Fund Ranking_Debt'!Z57:AG57, TRANSPOSE('Fund Ranking Criteria'!$G$30:$G$37))+SUMPRODUCT('Fund Ranking_Debt'!AH57:AM57, TRANSPOSE('Fund Ranking Criteria'!$G$43:$G$48))</f>
        <v>0.38354591237418767</v>
      </c>
    </row>
    <row r="58" spans="2:40" ht="29.1" customHeight="1" x14ac:dyDescent="0.25">
      <c r="B58" s="119" t="s">
        <v>1321</v>
      </c>
      <c r="C58" s="132">
        <f t="shared" si="33"/>
        <v>7</v>
      </c>
      <c r="D58" s="191"/>
      <c r="E58" s="191" t="str">
        <f t="shared" si="34"/>
        <v>Nippon India Medium to Long Duration Fund - Reg - G P - Growth</v>
      </c>
      <c r="F58" s="248">
        <v>7.41</v>
      </c>
      <c r="G58" s="248">
        <v>6.43</v>
      </c>
      <c r="H58" s="249">
        <v>6.69</v>
      </c>
      <c r="I58" s="248">
        <v>9.8699999999999992</v>
      </c>
      <c r="J58" s="248">
        <v>4.92</v>
      </c>
      <c r="K58" s="248">
        <v>4.49</v>
      </c>
      <c r="L58" s="248">
        <v>3.22</v>
      </c>
      <c r="M58" s="248">
        <v>5.5</v>
      </c>
      <c r="N58" s="248">
        <v>5.99</v>
      </c>
      <c r="O58" s="248">
        <v>5.37</v>
      </c>
      <c r="P58" s="248">
        <v>6.57</v>
      </c>
      <c r="Q58" s="248">
        <v>84.71</v>
      </c>
      <c r="R58" s="248">
        <v>8.3800000000000008</v>
      </c>
      <c r="S58" s="248">
        <v>0</v>
      </c>
      <c r="T58" s="248">
        <v>0</v>
      </c>
      <c r="U58" s="248">
        <v>0.24</v>
      </c>
      <c r="V58" s="248">
        <v>6.66</v>
      </c>
      <c r="W58" s="149">
        <f t="shared" si="35"/>
        <v>0.41880341880341904</v>
      </c>
      <c r="X58" s="142">
        <f t="shared" si="36"/>
        <v>2.0618556701030952E-2</v>
      </c>
      <c r="Y58" s="142">
        <f t="shared" si="36"/>
        <v>2.4630541871921093E-2</v>
      </c>
      <c r="Z58" s="142">
        <f t="shared" si="37"/>
        <v>0.77335164835164827</v>
      </c>
      <c r="AA58" s="142">
        <f t="shared" si="37"/>
        <v>0.19755244755244755</v>
      </c>
      <c r="AB58" s="142">
        <f t="shared" si="37"/>
        <v>0.20049504950495056</v>
      </c>
      <c r="AC58" s="142">
        <f t="shared" si="37"/>
        <v>5.978260869565219E-2</v>
      </c>
      <c r="AD58" s="142">
        <f t="shared" si="37"/>
        <v>0</v>
      </c>
      <c r="AE58" s="142">
        <f t="shared" si="37"/>
        <v>0</v>
      </c>
      <c r="AF58" s="142">
        <f t="shared" si="37"/>
        <v>0.10377358490566038</v>
      </c>
      <c r="AG58" s="142">
        <f t="shared" si="37"/>
        <v>0.51271186440677974</v>
      </c>
      <c r="AH58" s="142">
        <f t="shared" si="37"/>
        <v>1</v>
      </c>
      <c r="AI58" s="142">
        <f t="shared" si="37"/>
        <v>0</v>
      </c>
      <c r="AJ58" s="142">
        <f t="shared" si="37"/>
        <v>0</v>
      </c>
      <c r="AK58" s="142">
        <f t="shared" si="38"/>
        <v>1</v>
      </c>
      <c r="AL58" s="142">
        <f t="shared" si="38"/>
        <v>0</v>
      </c>
      <c r="AM58" s="142">
        <f t="shared" si="39"/>
        <v>0.29804205946337931</v>
      </c>
      <c r="AN58" s="143">
        <f t="array" ref="AN58">SUMPRODUCT(W58:Y58, TRANSPOSE('Fund Ranking Criteria'!$G$39:$G$41))+SUMPRODUCT('Fund Ranking_Debt'!Z58:AG58, TRANSPOSE('Fund Ranking Criteria'!$G$30:$G$37))+SUMPRODUCT('Fund Ranking_Debt'!AH58:AM58, TRANSPOSE('Fund Ranking Criteria'!$G$43:$G$48))</f>
        <v>0.34608877932811505</v>
      </c>
    </row>
    <row r="59" spans="2:40" ht="15" customHeight="1" thickBot="1" x14ac:dyDescent="0.3">
      <c r="B59" s="120" t="s">
        <v>1322</v>
      </c>
      <c r="C59" s="141">
        <f t="shared" si="33"/>
        <v>2</v>
      </c>
      <c r="D59" s="192"/>
      <c r="E59" s="192" t="str">
        <f t="shared" si="34"/>
        <v>UTI Medium to Long Duration Fund - Growth</v>
      </c>
      <c r="F59" s="251">
        <v>8.09</v>
      </c>
      <c r="G59" s="251">
        <v>4.53</v>
      </c>
      <c r="H59" s="250">
        <v>4.71</v>
      </c>
      <c r="I59" s="251">
        <v>8.16</v>
      </c>
      <c r="J59" s="251">
        <v>3.79</v>
      </c>
      <c r="K59" s="251">
        <v>3.68</v>
      </c>
      <c r="L59" s="251">
        <v>2.89</v>
      </c>
      <c r="M59" s="251">
        <v>5.8</v>
      </c>
      <c r="N59" s="251">
        <v>6</v>
      </c>
      <c r="O59" s="251">
        <v>8.2200000000000006</v>
      </c>
      <c r="P59" s="251">
        <v>5.36</v>
      </c>
      <c r="Q59" s="251">
        <v>43.16</v>
      </c>
      <c r="R59" s="251">
        <v>30.75</v>
      </c>
      <c r="S59" s="251">
        <v>17.149999999999999</v>
      </c>
      <c r="T59" s="251">
        <v>4.9800000000000004</v>
      </c>
      <c r="U59" s="251">
        <v>0</v>
      </c>
      <c r="V59" s="251">
        <v>3.97</v>
      </c>
      <c r="W59" s="151">
        <f t="shared" si="35"/>
        <v>1</v>
      </c>
      <c r="X59" s="144">
        <f t="shared" si="36"/>
        <v>1</v>
      </c>
      <c r="Y59" s="144">
        <f t="shared" si="36"/>
        <v>1</v>
      </c>
      <c r="Z59" s="144">
        <f t="shared" si="37"/>
        <v>0.53846153846153855</v>
      </c>
      <c r="AA59" s="144">
        <f t="shared" si="37"/>
        <v>0</v>
      </c>
      <c r="AB59" s="144">
        <f t="shared" si="37"/>
        <v>0</v>
      </c>
      <c r="AC59" s="144">
        <f t="shared" si="37"/>
        <v>0</v>
      </c>
      <c r="AD59" s="144">
        <f t="shared" si="37"/>
        <v>0.13392857142857134</v>
      </c>
      <c r="AE59" s="144">
        <f t="shared" si="37"/>
        <v>5.3191489361700999E-3</v>
      </c>
      <c r="AF59" s="144">
        <f t="shared" si="37"/>
        <v>1</v>
      </c>
      <c r="AG59" s="144">
        <f t="shared" si="37"/>
        <v>0</v>
      </c>
      <c r="AH59" s="144">
        <f t="shared" si="37"/>
        <v>0</v>
      </c>
      <c r="AI59" s="144">
        <f t="shared" si="37"/>
        <v>0.68014594101550618</v>
      </c>
      <c r="AJ59" s="144">
        <f t="shared" si="37"/>
        <v>1</v>
      </c>
      <c r="AK59" s="144">
        <f t="shared" si="38"/>
        <v>0.6612244897959183</v>
      </c>
      <c r="AL59" s="144">
        <f t="shared" si="38"/>
        <v>1</v>
      </c>
      <c r="AM59" s="144">
        <f t="shared" si="39"/>
        <v>0.10297316896301671</v>
      </c>
      <c r="AN59" s="145">
        <f t="array" ref="AN59">SUMPRODUCT(W59:Y59, TRANSPOSE('Fund Ranking Criteria'!$G$39:$G$41))+SUMPRODUCT('Fund Ranking_Debt'!Z59:AG59, TRANSPOSE('Fund Ranking Criteria'!$G$30:$G$37))+SUMPRODUCT('Fund Ranking_Debt'!AH59:AM59, TRANSPOSE('Fund Ranking Criteria'!$G$43:$G$48))</f>
        <v>0.53127736125056846</v>
      </c>
    </row>
  </sheetData>
  <mergeCells count="20">
    <mergeCell ref="B4:AN4"/>
    <mergeCell ref="B50:AN50"/>
    <mergeCell ref="W17:AM17"/>
    <mergeCell ref="B16:AN16"/>
    <mergeCell ref="W29:AM29"/>
    <mergeCell ref="AN51:AN52"/>
    <mergeCell ref="W5:AM5"/>
    <mergeCell ref="F40:V40"/>
    <mergeCell ref="W51:AM51"/>
    <mergeCell ref="F51:V51"/>
    <mergeCell ref="F5:V5"/>
    <mergeCell ref="B28:AN28"/>
    <mergeCell ref="F17:V17"/>
    <mergeCell ref="AN17:AN18"/>
    <mergeCell ref="AN40:AN41"/>
    <mergeCell ref="AN5:AN6"/>
    <mergeCell ref="W40:AM40"/>
    <mergeCell ref="F29:V29"/>
    <mergeCell ref="B39:AN39"/>
    <mergeCell ref="AN29:AN30"/>
  </mergeCells>
  <conditionalFormatting sqref="C7:C13 C19:C25 C31:C37">
    <cfRule type="cellIs" dxfId="6" priority="13" operator="lessThan">
      <formula>6</formula>
    </cfRule>
    <cfRule type="cellIs" dxfId="5" priority="14" operator="lessThan">
      <formula>5</formula>
    </cfRule>
  </conditionalFormatting>
  <conditionalFormatting sqref="C42:C48">
    <cfRule type="cellIs" dxfId="4" priority="7" operator="lessThan">
      <formula>6</formula>
    </cfRule>
    <cfRule type="cellIs" dxfId="3" priority="8" operator="lessThan">
      <formula>5</formula>
    </cfRule>
  </conditionalFormatting>
  <conditionalFormatting sqref="C53:C59">
    <cfRule type="cellIs" dxfId="2" priority="1" operator="lessThan">
      <formula>6</formula>
    </cfRule>
    <cfRule type="cellIs" dxfId="1" priority="2" operator="lessThan">
      <formula>5</formula>
    </cfRule>
  </conditionalFormatting>
  <conditionalFormatting sqref="W7:W13">
    <cfRule type="dataBar" priority="22">
      <dataBar>
        <cfvo type="min"/>
        <cfvo type="max"/>
        <color rgb="FF638EC6"/>
      </dataBar>
    </cfRule>
  </conditionalFormatting>
  <conditionalFormatting sqref="X7:AM13">
    <cfRule type="dataBar" priority="23">
      <dataBar>
        <cfvo type="min"/>
        <cfvo type="max"/>
        <color rgb="FF638EC6"/>
      </dataBar>
    </cfRule>
  </conditionalFormatting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6"/>
  <dimension ref="A1:N71"/>
  <sheetViews>
    <sheetView zoomScale="99" workbookViewId="0">
      <selection activeCell="B1" sqref="B1"/>
    </sheetView>
  </sheetViews>
  <sheetFormatPr defaultRowHeight="15" x14ac:dyDescent="0.25"/>
  <cols>
    <col min="2" max="2" width="27.28515625" customWidth="1"/>
    <col min="3" max="3" width="20.140625" customWidth="1"/>
    <col min="4" max="4" width="20.42578125" customWidth="1"/>
    <col min="5" max="7" width="20.140625" customWidth="1"/>
    <col min="8" max="8" width="27.42578125" customWidth="1"/>
    <col min="9" max="9" width="20.140625" customWidth="1"/>
    <col min="10" max="14" width="19.140625" style="115" customWidth="1"/>
  </cols>
  <sheetData>
    <row r="1" spans="1:11" ht="15" customHeight="1" thickBot="1" x14ac:dyDescent="0.3"/>
    <row r="2" spans="1:11" ht="15" hidden="1" customHeight="1" thickBot="1" x14ac:dyDescent="0.3"/>
    <row r="3" spans="1:11" ht="15" customHeight="1" thickBot="1" x14ac:dyDescent="0.3">
      <c r="B3" s="374" t="s">
        <v>1323</v>
      </c>
      <c r="C3" s="426"/>
      <c r="D3" s="426"/>
      <c r="E3" s="426"/>
      <c r="F3" s="426"/>
      <c r="G3" s="426"/>
      <c r="H3" s="426"/>
      <c r="I3" s="426"/>
      <c r="J3" s="426"/>
      <c r="K3" s="375"/>
    </row>
    <row r="4" spans="1:11" x14ac:dyDescent="0.25">
      <c r="B4" s="39"/>
      <c r="C4" s="41" t="s">
        <v>1324</v>
      </c>
      <c r="D4" s="41" t="s">
        <v>1325</v>
      </c>
      <c r="E4" s="41" t="s">
        <v>1326</v>
      </c>
      <c r="F4" s="41" t="s">
        <v>28</v>
      </c>
      <c r="G4" s="41" t="s">
        <v>1327</v>
      </c>
      <c r="H4" s="41" t="s">
        <v>1328</v>
      </c>
      <c r="I4" s="157" t="s">
        <v>934</v>
      </c>
      <c r="J4" s="157" t="s">
        <v>923</v>
      </c>
      <c r="K4" s="157" t="s">
        <v>1329</v>
      </c>
    </row>
    <row r="5" spans="1:11" ht="14.45" hidden="1" customHeight="1" x14ac:dyDescent="0.25">
      <c r="B5" s="79"/>
      <c r="C5" s="450" t="s">
        <v>1330</v>
      </c>
      <c r="D5" s="450"/>
      <c r="E5" s="450" t="s">
        <v>1331</v>
      </c>
      <c r="F5" s="450" t="s">
        <v>1332</v>
      </c>
      <c r="G5" s="450" t="s">
        <v>1333</v>
      </c>
      <c r="H5" s="450" t="s">
        <v>1334</v>
      </c>
      <c r="I5" s="451" t="s">
        <v>1335</v>
      </c>
      <c r="J5" s="451"/>
      <c r="K5" s="451"/>
    </row>
    <row r="6" spans="1:11" hidden="1" x14ac:dyDescent="0.25">
      <c r="B6" s="79"/>
      <c r="C6" s="445"/>
      <c r="D6" s="445"/>
      <c r="E6" s="445"/>
      <c r="F6" s="445"/>
      <c r="G6" s="445"/>
      <c r="H6" s="445"/>
      <c r="I6" s="443"/>
      <c r="J6" s="443"/>
      <c r="K6" s="443"/>
    </row>
    <row r="7" spans="1:11" hidden="1" x14ac:dyDescent="0.25">
      <c r="B7" s="79"/>
      <c r="C7" s="298" t="s">
        <v>1336</v>
      </c>
      <c r="D7" s="298"/>
      <c r="E7" s="298"/>
      <c r="F7" s="298" t="s">
        <v>1337</v>
      </c>
      <c r="G7" s="298"/>
      <c r="H7" s="298"/>
      <c r="I7" s="158"/>
      <c r="J7" s="158"/>
      <c r="K7" s="158"/>
    </row>
    <row r="8" spans="1:11" x14ac:dyDescent="0.25">
      <c r="A8" s="54"/>
      <c r="B8" s="40" t="s">
        <v>35</v>
      </c>
      <c r="C8" s="67">
        <f t="shared" ref="C8:I8" si="0">SUM(C9:C12)</f>
        <v>0.7</v>
      </c>
      <c r="D8" s="67">
        <f t="shared" si="0"/>
        <v>0.7</v>
      </c>
      <c r="E8" s="67">
        <f t="shared" si="0"/>
        <v>0.65</v>
      </c>
      <c r="F8" s="67">
        <f t="shared" si="0"/>
        <v>0.65</v>
      </c>
      <c r="G8" s="67">
        <f t="shared" si="0"/>
        <v>0.5</v>
      </c>
      <c r="H8" s="67">
        <f t="shared" si="0"/>
        <v>0.65</v>
      </c>
      <c r="I8" s="68">
        <f t="shared" si="0"/>
        <v>0.65</v>
      </c>
      <c r="J8" s="68">
        <v>0.5</v>
      </c>
      <c r="K8" s="68">
        <f>SUM(K9:K12)</f>
        <v>0.5</v>
      </c>
    </row>
    <row r="9" spans="1:11" x14ac:dyDescent="0.25">
      <c r="B9" s="317" t="s">
        <v>907</v>
      </c>
      <c r="C9" s="73">
        <v>0.1</v>
      </c>
      <c r="D9" s="73">
        <v>0.1</v>
      </c>
      <c r="E9" s="73">
        <v>0.05</v>
      </c>
      <c r="F9" s="73">
        <v>0.05</v>
      </c>
      <c r="G9" s="73">
        <v>0.05</v>
      </c>
      <c r="H9" s="73">
        <v>0.05</v>
      </c>
      <c r="I9" s="74">
        <v>0.05</v>
      </c>
      <c r="J9" s="70">
        <v>0.05</v>
      </c>
      <c r="K9" s="70">
        <v>0.1</v>
      </c>
    </row>
    <row r="10" spans="1:11" x14ac:dyDescent="0.25">
      <c r="B10" s="317" t="s">
        <v>1338</v>
      </c>
      <c r="C10" s="73">
        <v>0.15</v>
      </c>
      <c r="D10" s="73">
        <v>0.15</v>
      </c>
      <c r="E10" s="73">
        <v>0.1</v>
      </c>
      <c r="F10" s="73">
        <v>0.1</v>
      </c>
      <c r="G10" s="73">
        <v>7.4999999999999997E-2</v>
      </c>
      <c r="H10" s="73">
        <v>0.1</v>
      </c>
      <c r="I10" s="74">
        <v>0.1</v>
      </c>
      <c r="J10" s="70">
        <v>7.4999999999999997E-2</v>
      </c>
      <c r="K10" s="70">
        <v>0.15</v>
      </c>
    </row>
    <row r="11" spans="1:11" x14ac:dyDescent="0.25">
      <c r="B11" s="317" t="s">
        <v>1339</v>
      </c>
      <c r="C11" s="73">
        <v>0.2</v>
      </c>
      <c r="D11" s="73">
        <v>0.2</v>
      </c>
      <c r="E11" s="73">
        <v>0.15</v>
      </c>
      <c r="F11" s="73">
        <v>0.15</v>
      </c>
      <c r="G11" s="73">
        <v>0.1</v>
      </c>
      <c r="H11" s="73">
        <v>0.15</v>
      </c>
      <c r="I11" s="74">
        <v>0.15</v>
      </c>
      <c r="J11" s="70">
        <v>0.1</v>
      </c>
      <c r="K11" s="70">
        <v>0.05</v>
      </c>
    </row>
    <row r="12" spans="1:11" x14ac:dyDescent="0.25">
      <c r="B12" s="317" t="s">
        <v>40</v>
      </c>
      <c r="C12" s="73">
        <v>0.25</v>
      </c>
      <c r="D12" s="73">
        <v>0.25</v>
      </c>
      <c r="E12" s="73">
        <v>0.35</v>
      </c>
      <c r="F12" s="73">
        <v>0.35</v>
      </c>
      <c r="G12" s="73">
        <v>0.27500000000000002</v>
      </c>
      <c r="H12" s="73">
        <v>0.35</v>
      </c>
      <c r="I12" s="74">
        <v>0.35</v>
      </c>
      <c r="J12" s="70">
        <v>0.27500000000000002</v>
      </c>
      <c r="K12" s="70">
        <v>0.2</v>
      </c>
    </row>
    <row r="13" spans="1:11" x14ac:dyDescent="0.25">
      <c r="B13" s="40" t="s">
        <v>1340</v>
      </c>
      <c r="C13" s="67">
        <f t="shared" ref="C13:I13" si="1">SUM(C14:C16)</f>
        <v>0.3</v>
      </c>
      <c r="D13" s="159">
        <f t="shared" si="1"/>
        <v>0.3</v>
      </c>
      <c r="E13" s="67">
        <f t="shared" si="1"/>
        <v>0.35</v>
      </c>
      <c r="F13" s="67">
        <f t="shared" si="1"/>
        <v>0.35</v>
      </c>
      <c r="G13" s="67">
        <f t="shared" si="1"/>
        <v>0.5</v>
      </c>
      <c r="H13" s="67">
        <f t="shared" si="1"/>
        <v>0.35</v>
      </c>
      <c r="I13" s="68">
        <f t="shared" si="1"/>
        <v>0.35</v>
      </c>
      <c r="J13" s="68">
        <v>0.5</v>
      </c>
      <c r="K13" s="68">
        <f>SUM(K14:K19)</f>
        <v>0.5</v>
      </c>
    </row>
    <row r="14" spans="1:11" x14ac:dyDescent="0.25">
      <c r="B14" s="317" t="s">
        <v>52</v>
      </c>
      <c r="C14" s="73">
        <v>7.4999999999999997E-2</v>
      </c>
      <c r="D14" s="73">
        <v>7.4999999999999997E-2</v>
      </c>
      <c r="E14" s="73">
        <v>0.1</v>
      </c>
      <c r="F14" s="73">
        <v>0.1</v>
      </c>
      <c r="G14" s="73">
        <v>0.15</v>
      </c>
      <c r="H14" s="73">
        <v>7.4999999999999997E-2</v>
      </c>
      <c r="I14" s="74">
        <v>7.4999999999999997E-2</v>
      </c>
      <c r="J14" s="70">
        <v>0.15</v>
      </c>
      <c r="K14" s="70">
        <v>0.05</v>
      </c>
    </row>
    <row r="15" spans="1:11" x14ac:dyDescent="0.25">
      <c r="B15" s="317" t="s">
        <v>1047</v>
      </c>
      <c r="C15" s="73">
        <v>7.4999999999999997E-2</v>
      </c>
      <c r="D15" s="73">
        <v>7.4999999999999997E-2</v>
      </c>
      <c r="E15" s="73">
        <v>7.4999999999999997E-2</v>
      </c>
      <c r="F15" s="73">
        <v>7.4999999999999997E-2</v>
      </c>
      <c r="G15" s="73">
        <v>0.15</v>
      </c>
      <c r="H15" s="73">
        <v>7.4999999999999997E-2</v>
      </c>
      <c r="I15" s="74">
        <v>7.4999999999999997E-2</v>
      </c>
      <c r="J15" s="70">
        <v>0.15</v>
      </c>
      <c r="K15" s="70">
        <v>0.15</v>
      </c>
    </row>
    <row r="16" spans="1:11" ht="15" customHeight="1" thickBot="1" x14ac:dyDescent="0.3">
      <c r="B16" s="317" t="s">
        <v>38</v>
      </c>
      <c r="C16" s="69">
        <v>0.15</v>
      </c>
      <c r="D16" s="69">
        <v>0.15</v>
      </c>
      <c r="E16" s="73">
        <v>0.17499999999999999</v>
      </c>
      <c r="F16" s="73">
        <v>0.17499999999999999</v>
      </c>
      <c r="G16" s="69">
        <v>0.2</v>
      </c>
      <c r="H16" s="69">
        <v>0.2</v>
      </c>
      <c r="I16" s="70">
        <v>0.2</v>
      </c>
      <c r="J16" s="70">
        <v>0.2</v>
      </c>
      <c r="K16" s="70">
        <v>0.3</v>
      </c>
    </row>
    <row r="17" spans="2:11" hidden="1" x14ac:dyDescent="0.25">
      <c r="B17" s="40" t="s">
        <v>1341</v>
      </c>
      <c r="C17" s="67">
        <f>Assumptions!C8</f>
        <v>0.2</v>
      </c>
      <c r="D17" s="67">
        <f>Assumptions!D8</f>
        <v>0.2</v>
      </c>
      <c r="E17" s="67">
        <f>Assumptions!E8</f>
        <v>0.25</v>
      </c>
      <c r="F17" s="67">
        <f>Assumptions!F8</f>
        <v>0.3</v>
      </c>
      <c r="G17" s="67">
        <f>Assumptions!G8</f>
        <v>0.4</v>
      </c>
      <c r="H17" s="67">
        <f>Assumptions!H8</f>
        <v>0.25</v>
      </c>
      <c r="I17" s="68">
        <f>Assumptions!I8</f>
        <v>0.25</v>
      </c>
      <c r="J17" s="68"/>
      <c r="K17" s="68"/>
    </row>
    <row r="18" spans="2:11" hidden="1" x14ac:dyDescent="0.25">
      <c r="B18" s="317"/>
      <c r="I18" s="327"/>
      <c r="J18" s="327"/>
      <c r="K18" s="327"/>
    </row>
    <row r="19" spans="2:11" hidden="1" x14ac:dyDescent="0.25">
      <c r="B19" s="317" t="s">
        <v>1342</v>
      </c>
      <c r="C19" s="69"/>
      <c r="D19" s="69">
        <v>0.05</v>
      </c>
      <c r="E19" s="73">
        <v>7.4999999999999997E-2</v>
      </c>
      <c r="F19" s="69">
        <v>0.15</v>
      </c>
      <c r="G19" s="69">
        <v>0.2</v>
      </c>
      <c r="H19" s="73">
        <v>7.4999999999999997E-2</v>
      </c>
      <c r="I19" s="74">
        <v>7.4999999999999997E-2</v>
      </c>
      <c r="J19" s="74"/>
      <c r="K19" s="74"/>
    </row>
    <row r="20" spans="2:11" hidden="1" x14ac:dyDescent="0.25">
      <c r="B20" s="319" t="s">
        <v>1343</v>
      </c>
      <c r="C20" s="71"/>
      <c r="D20" s="71">
        <v>0.1</v>
      </c>
      <c r="E20" s="71">
        <v>0.1</v>
      </c>
      <c r="F20" s="71">
        <v>0.05</v>
      </c>
      <c r="G20" s="71">
        <v>0.05</v>
      </c>
      <c r="H20" s="75">
        <v>7.4999999999999997E-2</v>
      </c>
      <c r="I20" s="76">
        <v>7.4999999999999997E-2</v>
      </c>
      <c r="J20" s="76"/>
      <c r="K20" s="76"/>
    </row>
    <row r="21" spans="2:11" ht="15" customHeight="1" thickBot="1" x14ac:dyDescent="0.3">
      <c r="B21" s="56" t="s">
        <v>43</v>
      </c>
      <c r="C21" s="77">
        <f t="shared" ref="C21:K21" si="2">C13+C8</f>
        <v>1</v>
      </c>
      <c r="D21" s="77">
        <f t="shared" si="2"/>
        <v>1</v>
      </c>
      <c r="E21" s="77">
        <f t="shared" si="2"/>
        <v>1</v>
      </c>
      <c r="F21" s="77">
        <f t="shared" si="2"/>
        <v>1</v>
      </c>
      <c r="G21" s="77">
        <f t="shared" si="2"/>
        <v>1</v>
      </c>
      <c r="H21" s="77">
        <f t="shared" si="2"/>
        <v>1</v>
      </c>
      <c r="I21" s="78">
        <f t="shared" si="2"/>
        <v>1</v>
      </c>
      <c r="J21" s="78">
        <f t="shared" si="2"/>
        <v>1</v>
      </c>
      <c r="K21" s="78">
        <f t="shared" si="2"/>
        <v>1</v>
      </c>
    </row>
    <row r="22" spans="2:11" ht="15" customHeight="1" thickBot="1" x14ac:dyDescent="0.3">
      <c r="C22" s="54"/>
      <c r="D22" s="54"/>
      <c r="E22" s="54"/>
      <c r="F22" s="54"/>
      <c r="G22" s="54"/>
      <c r="H22" s="54"/>
      <c r="I22" s="54"/>
      <c r="J22" s="54"/>
      <c r="K22" s="54"/>
    </row>
    <row r="23" spans="2:11" ht="15" customHeight="1" thickBot="1" x14ac:dyDescent="0.3">
      <c r="B23" s="452" t="s">
        <v>1344</v>
      </c>
      <c r="C23" s="426"/>
      <c r="D23" s="426"/>
      <c r="E23" s="426"/>
      <c r="F23" s="426"/>
      <c r="G23" s="375"/>
    </row>
    <row r="24" spans="2:11" ht="29.1" customHeight="1" x14ac:dyDescent="0.25">
      <c r="B24" s="39"/>
      <c r="C24" s="135" t="s">
        <v>1267</v>
      </c>
      <c r="D24" s="204" t="s">
        <v>1292</v>
      </c>
      <c r="E24" s="135" t="s">
        <v>1300</v>
      </c>
      <c r="F24" s="135" t="s">
        <v>1308</v>
      </c>
      <c r="G24" s="205" t="s">
        <v>933</v>
      </c>
    </row>
    <row r="25" spans="2:11" hidden="1" x14ac:dyDescent="0.25">
      <c r="B25" s="79"/>
      <c r="C25" s="199"/>
      <c r="D25" s="115"/>
      <c r="E25" s="199"/>
      <c r="F25" s="199"/>
      <c r="G25" s="200"/>
    </row>
    <row r="26" spans="2:11" hidden="1" x14ac:dyDescent="0.25">
      <c r="B26" s="79"/>
      <c r="C26" s="199"/>
      <c r="D26" s="115"/>
      <c r="E26" s="199"/>
      <c r="F26" s="199"/>
      <c r="G26" s="200"/>
    </row>
    <row r="27" spans="2:11" hidden="1" x14ac:dyDescent="0.25">
      <c r="B27" s="79"/>
      <c r="C27" s="199"/>
      <c r="D27" s="115"/>
      <c r="E27" s="199"/>
      <c r="F27" s="199"/>
      <c r="G27" s="200"/>
    </row>
    <row r="28" spans="2:11" x14ac:dyDescent="0.25">
      <c r="B28" s="79"/>
      <c r="C28" s="195" t="s">
        <v>1345</v>
      </c>
      <c r="D28" s="55" t="s">
        <v>1346</v>
      </c>
      <c r="E28" s="195" t="s">
        <v>1347</v>
      </c>
      <c r="F28" s="195" t="s">
        <v>1348</v>
      </c>
      <c r="G28" s="210" t="s">
        <v>1349</v>
      </c>
    </row>
    <row r="29" spans="2:11" x14ac:dyDescent="0.25">
      <c r="B29" s="40" t="s">
        <v>1341</v>
      </c>
      <c r="C29" s="201">
        <f>SUM(C30:C36)</f>
        <v>0.2</v>
      </c>
      <c r="D29" s="202">
        <f>SUM(D30:D36)</f>
        <v>0.2</v>
      </c>
      <c r="E29" s="201">
        <f>SUM(E30:E36)</f>
        <v>0.2</v>
      </c>
      <c r="F29" s="201">
        <f>SUM(F30:F36)</f>
        <v>0.2</v>
      </c>
      <c r="G29" s="203">
        <f>SUM(G30:G36)</f>
        <v>0.30000000000000004</v>
      </c>
    </row>
    <row r="30" spans="2:11" x14ac:dyDescent="0.25">
      <c r="B30" s="317" t="s">
        <v>1271</v>
      </c>
      <c r="C30" s="214">
        <v>0.1</v>
      </c>
      <c r="D30" s="217">
        <v>0</v>
      </c>
      <c r="E30" s="214">
        <v>0</v>
      </c>
      <c r="F30" s="214">
        <v>0</v>
      </c>
      <c r="G30" s="236">
        <v>0</v>
      </c>
    </row>
    <row r="31" spans="2:11" x14ac:dyDescent="0.25">
      <c r="B31" s="317" t="s">
        <v>1272</v>
      </c>
      <c r="C31" s="214">
        <v>0.1</v>
      </c>
      <c r="D31" s="214">
        <v>0.1</v>
      </c>
      <c r="E31" s="214">
        <v>0</v>
      </c>
      <c r="F31" s="214">
        <v>0</v>
      </c>
      <c r="G31" s="236">
        <v>0</v>
      </c>
    </row>
    <row r="32" spans="2:11" x14ac:dyDescent="0.25">
      <c r="B32" s="317" t="s">
        <v>1350</v>
      </c>
      <c r="C32" s="218">
        <v>0</v>
      </c>
      <c r="D32" s="214">
        <v>0.05</v>
      </c>
      <c r="E32" s="214">
        <v>0</v>
      </c>
      <c r="F32" s="214">
        <v>0</v>
      </c>
      <c r="G32" s="236">
        <v>0</v>
      </c>
    </row>
    <row r="33" spans="2:7" x14ac:dyDescent="0.25">
      <c r="B33" s="317" t="s">
        <v>1351</v>
      </c>
      <c r="C33" s="218">
        <v>0</v>
      </c>
      <c r="D33" s="214">
        <v>0.05</v>
      </c>
      <c r="E33" s="214">
        <v>0.05</v>
      </c>
      <c r="F33" s="214">
        <v>0</v>
      </c>
      <c r="G33" s="236">
        <v>0</v>
      </c>
    </row>
    <row r="34" spans="2:7" x14ac:dyDescent="0.25">
      <c r="B34" s="99" t="s">
        <v>1352</v>
      </c>
      <c r="C34" s="218">
        <v>0</v>
      </c>
      <c r="D34" s="217">
        <v>0</v>
      </c>
      <c r="E34" s="214">
        <v>0.05</v>
      </c>
      <c r="F34" s="214">
        <v>0.05</v>
      </c>
      <c r="G34" s="236">
        <v>0</v>
      </c>
    </row>
    <row r="35" spans="2:7" x14ac:dyDescent="0.25">
      <c r="B35" s="99" t="s">
        <v>1353</v>
      </c>
      <c r="C35" s="218">
        <v>0</v>
      </c>
      <c r="D35" s="215">
        <v>0</v>
      </c>
      <c r="E35" s="214">
        <v>0.1</v>
      </c>
      <c r="F35" s="214">
        <v>0.05</v>
      </c>
      <c r="G35" s="236">
        <v>0.2</v>
      </c>
    </row>
    <row r="36" spans="2:7" x14ac:dyDescent="0.25">
      <c r="B36" s="317" t="s">
        <v>1354</v>
      </c>
      <c r="C36" s="214">
        <v>0</v>
      </c>
      <c r="D36" s="215">
        <v>0</v>
      </c>
      <c r="E36" s="214">
        <v>0</v>
      </c>
      <c r="F36" s="214">
        <v>0.1</v>
      </c>
      <c r="G36" s="216">
        <v>0.1</v>
      </c>
    </row>
    <row r="37" spans="2:7" x14ac:dyDescent="0.25">
      <c r="B37" s="317" t="s">
        <v>1278</v>
      </c>
      <c r="C37" s="220">
        <v>0</v>
      </c>
      <c r="D37" s="215">
        <v>0</v>
      </c>
      <c r="E37" s="220">
        <v>0</v>
      </c>
      <c r="F37" s="220">
        <v>0</v>
      </c>
      <c r="G37" s="216">
        <v>0.05</v>
      </c>
    </row>
    <row r="38" spans="2:7" x14ac:dyDescent="0.25">
      <c r="B38" s="40" t="s">
        <v>1355</v>
      </c>
      <c r="C38" s="221">
        <f>SUM(C39:C41)</f>
        <v>0.45</v>
      </c>
      <c r="D38" s="222">
        <f>SUM(D39:D41)</f>
        <v>0.45</v>
      </c>
      <c r="E38" s="221">
        <f>SUM(E39:E41)</f>
        <v>0.45</v>
      </c>
      <c r="F38" s="222">
        <f>SUM(F39:F41)</f>
        <v>0.45</v>
      </c>
      <c r="G38" s="223">
        <f>SUM(G39:G41)</f>
        <v>0.25</v>
      </c>
    </row>
    <row r="39" spans="2:7" x14ac:dyDescent="0.25">
      <c r="B39" s="317" t="s">
        <v>1268</v>
      </c>
      <c r="C39" s="214">
        <v>0.3</v>
      </c>
      <c r="D39" s="214">
        <v>0.3</v>
      </c>
      <c r="E39" s="214">
        <v>0.3</v>
      </c>
      <c r="F39" s="214">
        <v>0.3</v>
      </c>
      <c r="G39" s="216">
        <v>0.1</v>
      </c>
    </row>
    <row r="40" spans="2:7" x14ac:dyDescent="0.25">
      <c r="B40" s="317" t="s">
        <v>1269</v>
      </c>
      <c r="C40" s="214">
        <v>0.1</v>
      </c>
      <c r="D40" s="215">
        <f t="shared" ref="D40:F41" si="3">C40</f>
        <v>0.1</v>
      </c>
      <c r="E40" s="214">
        <f t="shared" si="3"/>
        <v>0.1</v>
      </c>
      <c r="F40" s="215">
        <f t="shared" si="3"/>
        <v>0.1</v>
      </c>
      <c r="G40" s="216">
        <v>0.1</v>
      </c>
    </row>
    <row r="41" spans="2:7" x14ac:dyDescent="0.25">
      <c r="B41" s="319" t="s">
        <v>1270</v>
      </c>
      <c r="C41" s="224">
        <v>0.05</v>
      </c>
      <c r="D41" s="225">
        <f t="shared" si="3"/>
        <v>0.05</v>
      </c>
      <c r="E41" s="224">
        <f t="shared" si="3"/>
        <v>0.05</v>
      </c>
      <c r="F41" s="225">
        <f t="shared" si="3"/>
        <v>0.05</v>
      </c>
      <c r="G41" s="226">
        <f>F41</f>
        <v>0.05</v>
      </c>
    </row>
    <row r="42" spans="2:7" x14ac:dyDescent="0.25">
      <c r="B42" s="38" t="s">
        <v>1356</v>
      </c>
      <c r="C42" s="228">
        <f>SUM(C43:C48)</f>
        <v>0.35000000000000003</v>
      </c>
      <c r="D42" s="228">
        <f>SUM(D43:D48)</f>
        <v>0.35000000000000003</v>
      </c>
      <c r="E42" s="227">
        <f>SUM(E43:E48)</f>
        <v>0.35000000000000003</v>
      </c>
      <c r="F42" s="228">
        <f>SUM(F43:F48)</f>
        <v>0.35000000000000003</v>
      </c>
      <c r="G42" s="229">
        <f>SUM(G43:G48)</f>
        <v>0.45</v>
      </c>
    </row>
    <row r="43" spans="2:7" x14ac:dyDescent="0.25">
      <c r="B43" s="317" t="str">
        <f t="array" ref="B43:B48">TRANSPOSE('[1]Low Duration'!$BA$6:$BF$6)</f>
        <v>Sovereign</v>
      </c>
      <c r="C43" s="230">
        <v>0.1</v>
      </c>
      <c r="D43" s="231">
        <f t="shared" ref="D43:F48" si="4">C43</f>
        <v>0.1</v>
      </c>
      <c r="E43" s="230">
        <f t="shared" si="4"/>
        <v>0.1</v>
      </c>
      <c r="F43" s="231">
        <f t="shared" si="4"/>
        <v>0.1</v>
      </c>
      <c r="G43" s="232">
        <v>0.2</v>
      </c>
    </row>
    <row r="44" spans="2:7" x14ac:dyDescent="0.25">
      <c r="B44" s="317" t="str">
        <v>AAA/A1+</v>
      </c>
      <c r="C44" s="230">
        <v>2.5000000000000001E-2</v>
      </c>
      <c r="D44" s="231">
        <f t="shared" si="4"/>
        <v>2.5000000000000001E-2</v>
      </c>
      <c r="E44" s="230">
        <f t="shared" si="4"/>
        <v>2.5000000000000001E-2</v>
      </c>
      <c r="F44" s="231">
        <f t="shared" si="4"/>
        <v>2.5000000000000001E-2</v>
      </c>
      <c r="G44" s="232">
        <f>F44</f>
        <v>2.5000000000000001E-2</v>
      </c>
    </row>
    <row r="45" spans="2:7" x14ac:dyDescent="0.25">
      <c r="B45" s="317" t="str">
        <v>AA+</v>
      </c>
      <c r="C45" s="230">
        <v>2.5000000000000001E-2</v>
      </c>
      <c r="D45" s="231">
        <f t="shared" si="4"/>
        <v>2.5000000000000001E-2</v>
      </c>
      <c r="E45" s="230">
        <f t="shared" si="4"/>
        <v>2.5000000000000001E-2</v>
      </c>
      <c r="F45" s="231">
        <f t="shared" si="4"/>
        <v>2.5000000000000001E-2</v>
      </c>
      <c r="G45" s="232">
        <f>F45</f>
        <v>2.5000000000000001E-2</v>
      </c>
    </row>
    <row r="46" spans="2:7" x14ac:dyDescent="0.25">
      <c r="B46" s="317" t="str">
        <v>AA/AA-</v>
      </c>
      <c r="C46" s="230">
        <v>0.05</v>
      </c>
      <c r="D46" s="231">
        <f t="shared" si="4"/>
        <v>0.05</v>
      </c>
      <c r="E46" s="230">
        <f t="shared" si="4"/>
        <v>0.05</v>
      </c>
      <c r="F46" s="231">
        <f t="shared" si="4"/>
        <v>0.05</v>
      </c>
      <c r="G46" s="232">
        <f>F46</f>
        <v>0.05</v>
      </c>
    </row>
    <row r="47" spans="2:7" x14ac:dyDescent="0.25">
      <c r="B47" s="317" t="str">
        <v>Below AA-</v>
      </c>
      <c r="C47" s="230">
        <v>0.1</v>
      </c>
      <c r="D47" s="231">
        <f t="shared" si="4"/>
        <v>0.1</v>
      </c>
      <c r="E47" s="230">
        <f t="shared" si="4"/>
        <v>0.1</v>
      </c>
      <c r="F47" s="231">
        <f t="shared" si="4"/>
        <v>0.1</v>
      </c>
      <c r="G47" s="232">
        <f>F47</f>
        <v>0.1</v>
      </c>
    </row>
    <row r="48" spans="2:7" ht="15" customHeight="1" thickBot="1" x14ac:dyDescent="0.3">
      <c r="B48" s="318" t="str">
        <v>Cash and Fixed Deposits</v>
      </c>
      <c r="C48" s="278">
        <v>0.05</v>
      </c>
      <c r="D48" s="72">
        <f t="shared" si="4"/>
        <v>0.05</v>
      </c>
      <c r="E48" s="278">
        <f t="shared" si="4"/>
        <v>0.05</v>
      </c>
      <c r="F48" s="72">
        <f t="shared" si="4"/>
        <v>0.05</v>
      </c>
      <c r="G48" s="279">
        <f>F48</f>
        <v>0.05</v>
      </c>
    </row>
    <row r="49" spans="2:9" x14ac:dyDescent="0.25">
      <c r="C49" s="69">
        <f>C42+C38+C29</f>
        <v>1</v>
      </c>
      <c r="D49" s="69">
        <f>D42+D38+D29</f>
        <v>1</v>
      </c>
      <c r="E49" s="69">
        <f>E42+E38+E29</f>
        <v>1</v>
      </c>
      <c r="F49" s="69">
        <f>F42+F38+F29</f>
        <v>1</v>
      </c>
      <c r="G49" s="69">
        <f>G42+G38+G29</f>
        <v>1</v>
      </c>
    </row>
    <row r="50" spans="2:9" ht="15" hidden="1" customHeight="1" thickBot="1" x14ac:dyDescent="0.3">
      <c r="B50" s="453" t="s">
        <v>1357</v>
      </c>
      <c r="C50" s="426"/>
      <c r="D50" s="426"/>
      <c r="E50" s="426"/>
      <c r="F50" s="375"/>
      <c r="I50" s="115"/>
    </row>
    <row r="51" spans="2:9" ht="29.1" hidden="1" customHeight="1" x14ac:dyDescent="0.25">
      <c r="B51" s="39"/>
      <c r="C51" s="135" t="s">
        <v>1358</v>
      </c>
      <c r="D51" s="204" t="s">
        <v>1359</v>
      </c>
      <c r="E51" s="135" t="s">
        <v>1360</v>
      </c>
      <c r="F51" s="234" t="s">
        <v>1361</v>
      </c>
      <c r="I51" s="115"/>
    </row>
    <row r="52" spans="2:9" hidden="1" x14ac:dyDescent="0.25">
      <c r="B52" s="40" t="s">
        <v>1341</v>
      </c>
      <c r="C52" s="201"/>
      <c r="D52" s="202"/>
      <c r="E52" s="201"/>
      <c r="F52" s="235"/>
      <c r="I52" s="115"/>
    </row>
    <row r="53" spans="2:9" hidden="1" x14ac:dyDescent="0.25">
      <c r="B53" s="99" t="s">
        <v>1353</v>
      </c>
      <c r="C53" s="218"/>
      <c r="D53" s="219"/>
      <c r="E53" s="218"/>
      <c r="F53" s="237"/>
      <c r="I53" s="115"/>
    </row>
    <row r="54" spans="2:9" hidden="1" x14ac:dyDescent="0.25">
      <c r="B54" s="317" t="s">
        <v>1354</v>
      </c>
      <c r="C54" s="214"/>
      <c r="D54" s="215"/>
      <c r="E54" s="214"/>
      <c r="F54" s="236"/>
      <c r="I54" s="115"/>
    </row>
    <row r="55" spans="2:9" hidden="1" x14ac:dyDescent="0.25">
      <c r="B55" s="317" t="s">
        <v>1278</v>
      </c>
      <c r="C55" s="220"/>
      <c r="D55" s="215"/>
      <c r="E55" s="220"/>
      <c r="F55" s="236"/>
      <c r="I55" s="115"/>
    </row>
    <row r="56" spans="2:9" hidden="1" x14ac:dyDescent="0.25">
      <c r="B56" s="40" t="s">
        <v>1355</v>
      </c>
      <c r="C56" s="221"/>
      <c r="D56" s="222"/>
      <c r="E56" s="221"/>
      <c r="F56" s="238"/>
      <c r="I56" s="115"/>
    </row>
    <row r="57" spans="2:9" hidden="1" x14ac:dyDescent="0.25">
      <c r="B57" s="317" t="s">
        <v>1268</v>
      </c>
      <c r="C57" s="214"/>
      <c r="D57" s="215"/>
      <c r="E57" s="214"/>
      <c r="F57" s="236"/>
      <c r="I57" s="115"/>
    </row>
    <row r="58" spans="2:9" hidden="1" x14ac:dyDescent="0.25">
      <c r="B58" s="317" t="s">
        <v>1269</v>
      </c>
      <c r="C58" s="214"/>
      <c r="D58" s="215"/>
      <c r="E58" s="214"/>
      <c r="F58" s="236"/>
      <c r="I58" s="115"/>
    </row>
    <row r="59" spans="2:9" hidden="1" x14ac:dyDescent="0.25">
      <c r="B59" s="319" t="s">
        <v>1270</v>
      </c>
      <c r="C59" s="224"/>
      <c r="D59" s="225"/>
      <c r="E59" s="224"/>
      <c r="F59" s="239"/>
      <c r="I59" s="115"/>
    </row>
    <row r="60" spans="2:9" hidden="1" x14ac:dyDescent="0.25">
      <c r="B60" s="40" t="s">
        <v>1340</v>
      </c>
      <c r="C60" s="227"/>
      <c r="D60" s="228"/>
      <c r="E60" s="227"/>
      <c r="F60" s="240"/>
      <c r="I60" s="115"/>
    </row>
    <row r="61" spans="2:9" hidden="1" x14ac:dyDescent="0.25">
      <c r="B61" s="317" t="s">
        <v>52</v>
      </c>
      <c r="C61" s="230"/>
      <c r="D61" s="231"/>
      <c r="E61" s="230"/>
      <c r="F61" s="241"/>
      <c r="I61" s="115"/>
    </row>
    <row r="62" spans="2:9" hidden="1" x14ac:dyDescent="0.25">
      <c r="B62" s="317" t="s">
        <v>1047</v>
      </c>
      <c r="C62" s="230"/>
      <c r="D62" s="231"/>
      <c r="E62" s="230"/>
      <c r="F62" s="241"/>
      <c r="I62" s="115"/>
    </row>
    <row r="63" spans="2:9" hidden="1" x14ac:dyDescent="0.25">
      <c r="B63" s="317" t="s">
        <v>38</v>
      </c>
      <c r="C63" s="230"/>
      <c r="D63" s="231"/>
      <c r="E63" s="230"/>
      <c r="F63" s="241"/>
      <c r="I63" s="115"/>
    </row>
    <row r="64" spans="2:9" hidden="1" x14ac:dyDescent="0.25">
      <c r="B64" s="319" t="s">
        <v>39</v>
      </c>
      <c r="C64" s="230"/>
      <c r="D64" s="231"/>
      <c r="E64" s="230"/>
      <c r="F64" s="241"/>
      <c r="I64" s="115"/>
    </row>
    <row r="65" spans="2:9" hidden="1" x14ac:dyDescent="0.25">
      <c r="B65" s="38" t="s">
        <v>1362</v>
      </c>
      <c r="C65" s="227"/>
      <c r="D65" s="228"/>
      <c r="E65" s="227"/>
      <c r="F65" s="240"/>
      <c r="I65" s="115"/>
    </row>
    <row r="66" spans="2:9" hidden="1" x14ac:dyDescent="0.25">
      <c r="B66" s="317" t="s">
        <v>1279</v>
      </c>
      <c r="C66" s="230"/>
      <c r="D66" s="231"/>
      <c r="E66" s="230"/>
      <c r="F66" s="241"/>
      <c r="I66" s="115"/>
    </row>
    <row r="67" spans="2:9" hidden="1" x14ac:dyDescent="0.25">
      <c r="B67" s="317" t="s">
        <v>1280</v>
      </c>
      <c r="C67" s="230"/>
      <c r="D67" s="231"/>
      <c r="E67" s="230"/>
      <c r="F67" s="241"/>
      <c r="I67" s="115"/>
    </row>
    <row r="68" spans="2:9" hidden="1" x14ac:dyDescent="0.25">
      <c r="B68" s="317" t="s">
        <v>1281</v>
      </c>
      <c r="C68" s="230"/>
      <c r="D68" s="231"/>
      <c r="E68" s="230"/>
      <c r="F68" s="241"/>
      <c r="I68" s="115"/>
    </row>
    <row r="69" spans="2:9" hidden="1" x14ac:dyDescent="0.25">
      <c r="B69" s="317" t="s">
        <v>1282</v>
      </c>
      <c r="C69" s="230"/>
      <c r="D69" s="231"/>
      <c r="E69" s="230"/>
      <c r="F69" s="241"/>
      <c r="I69" s="115"/>
    </row>
    <row r="70" spans="2:9" hidden="1" x14ac:dyDescent="0.25">
      <c r="B70" s="317" t="s">
        <v>1283</v>
      </c>
      <c r="C70" s="213"/>
      <c r="D70" s="211"/>
      <c r="E70" s="213"/>
      <c r="F70" s="212"/>
      <c r="I70" s="115"/>
    </row>
    <row r="71" spans="2:9" ht="15" hidden="1" customHeight="1" thickBot="1" x14ac:dyDescent="0.3">
      <c r="B71" s="318" t="s">
        <v>1284</v>
      </c>
      <c r="C71" s="321"/>
      <c r="D71" s="233"/>
      <c r="E71" s="321"/>
      <c r="F71" s="95"/>
      <c r="I71" s="115"/>
    </row>
  </sheetData>
  <mergeCells count="12">
    <mergeCell ref="B3:K3"/>
    <mergeCell ref="C5:C6"/>
    <mergeCell ref="F5:F6"/>
    <mergeCell ref="B50:F50"/>
    <mergeCell ref="K5:K6"/>
    <mergeCell ref="I5:I6"/>
    <mergeCell ref="D5:D6"/>
    <mergeCell ref="G5:G6"/>
    <mergeCell ref="E5:E6"/>
    <mergeCell ref="H5:H6"/>
    <mergeCell ref="J5:J6"/>
    <mergeCell ref="B23:G23"/>
  </mergeCells>
  <conditionalFormatting sqref="C30:G37">
    <cfRule type="cellIs" dxfId="0" priority="1" operator="greaterThan">
      <formula>0</formula>
    </cfRule>
  </conditionalFormatting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W157"/>
  <sheetViews>
    <sheetView showGridLines="0" showRuler="0" zoomScaleNormal="100" workbookViewId="0">
      <pane xSplit="1" ySplit="2" topLeftCell="B3" activePane="bottomRight" state="frozenSplit"/>
      <selection activeCell="U3" sqref="U3"/>
      <selection pane="topRight" activeCell="U3" sqref="U3"/>
      <selection pane="bottomLeft" activeCell="U3" sqref="U3"/>
      <selection pane="bottomRight" activeCell="C3" sqref="C3"/>
    </sheetView>
  </sheetViews>
  <sheetFormatPr defaultRowHeight="15" x14ac:dyDescent="0.25"/>
  <cols>
    <col min="1" max="1" width="63.42578125" style="261" customWidth="1"/>
    <col min="2" max="2" width="10.42578125" style="261" customWidth="1"/>
    <col min="3" max="7" width="8.7109375" style="261" customWidth="1"/>
    <col min="8" max="8" width="16.140625" style="261" customWidth="1"/>
    <col min="9" max="20" width="8.7109375" style="261" customWidth="1"/>
    <col min="21" max="21" width="13" style="261" hidden="1" customWidth="1"/>
    <col min="22" max="22" width="8.7109375" style="261" customWidth="1"/>
    <col min="23" max="23" width="58.42578125" style="261" bestFit="1" customWidth="1"/>
    <col min="24" max="253" width="8.7109375" style="261" customWidth="1"/>
    <col min="254" max="254" width="63.42578125" style="261" customWidth="1"/>
    <col min="255" max="255" width="10.42578125" style="261" customWidth="1"/>
    <col min="256" max="256" width="16.140625" style="261" customWidth="1"/>
    <col min="257" max="264" width="8.7109375" style="261" customWidth="1"/>
    <col min="265" max="265" width="15.140625" style="261" bestFit="1" customWidth="1"/>
    <col min="266" max="509" width="8.7109375" style="261" customWidth="1"/>
    <col min="510" max="510" width="63.42578125" style="261" customWidth="1"/>
    <col min="511" max="511" width="10.42578125" style="261" customWidth="1"/>
    <col min="512" max="512" width="16.140625" style="261" customWidth="1"/>
    <col min="513" max="520" width="8.7109375" style="261" customWidth="1"/>
    <col min="521" max="521" width="15.140625" style="261" bestFit="1" customWidth="1"/>
    <col min="522" max="765" width="8.7109375" style="261" customWidth="1"/>
    <col min="766" max="766" width="63.42578125" style="261" customWidth="1"/>
    <col min="767" max="767" width="10.42578125" style="261" customWidth="1"/>
    <col min="768" max="768" width="16.140625" style="261" customWidth="1"/>
    <col min="769" max="776" width="8.7109375" style="261" customWidth="1"/>
    <col min="777" max="777" width="15.140625" style="261" bestFit="1" customWidth="1"/>
    <col min="778" max="1021" width="8.7109375" style="261" customWidth="1"/>
    <col min="1022" max="1022" width="63.42578125" style="261" customWidth="1"/>
    <col min="1023" max="1023" width="10.42578125" style="261" customWidth="1"/>
    <col min="1024" max="1024" width="16.140625" style="261" customWidth="1"/>
    <col min="1025" max="1032" width="8.7109375" style="261" customWidth="1"/>
    <col min="1033" max="1033" width="15.140625" style="261" bestFit="1" customWidth="1"/>
    <col min="1034" max="1277" width="8.7109375" style="261" customWidth="1"/>
    <col min="1278" max="1278" width="63.42578125" style="261" customWidth="1"/>
    <col min="1279" max="1279" width="10.42578125" style="261" customWidth="1"/>
    <col min="1280" max="1280" width="16.140625" style="261" customWidth="1"/>
    <col min="1281" max="1288" width="8.7109375" style="261" customWidth="1"/>
    <col min="1289" max="1289" width="15.140625" style="261" bestFit="1" customWidth="1"/>
    <col min="1290" max="1533" width="8.7109375" style="261" customWidth="1"/>
    <col min="1534" max="1534" width="63.42578125" style="261" customWidth="1"/>
    <col min="1535" max="1535" width="10.42578125" style="261" customWidth="1"/>
    <col min="1536" max="1536" width="16.140625" style="261" customWidth="1"/>
    <col min="1537" max="1544" width="8.7109375" style="261" customWidth="1"/>
    <col min="1545" max="1545" width="15.140625" style="261" bestFit="1" customWidth="1"/>
    <col min="1546" max="1789" width="8.7109375" style="261" customWidth="1"/>
    <col min="1790" max="1790" width="63.42578125" style="261" customWidth="1"/>
    <col min="1791" max="1791" width="10.42578125" style="261" customWidth="1"/>
    <col min="1792" max="1792" width="16.140625" style="261" customWidth="1"/>
    <col min="1793" max="1800" width="8.7109375" style="261" customWidth="1"/>
    <col min="1801" max="1801" width="15.140625" style="261" bestFit="1" customWidth="1"/>
    <col min="1802" max="2045" width="8.7109375" style="261" customWidth="1"/>
    <col min="2046" max="2046" width="63.42578125" style="261" customWidth="1"/>
    <col min="2047" max="2047" width="10.42578125" style="261" customWidth="1"/>
    <col min="2048" max="2048" width="16.140625" style="261" customWidth="1"/>
    <col min="2049" max="2056" width="8.7109375" style="261" customWidth="1"/>
    <col min="2057" max="2057" width="15.140625" style="261" bestFit="1" customWidth="1"/>
    <col min="2058" max="2301" width="8.7109375" style="261" customWidth="1"/>
    <col min="2302" max="2302" width="63.42578125" style="261" customWidth="1"/>
    <col min="2303" max="2303" width="10.42578125" style="261" customWidth="1"/>
    <col min="2304" max="2304" width="16.140625" style="261" customWidth="1"/>
    <col min="2305" max="2312" width="8.7109375" style="261" customWidth="1"/>
    <col min="2313" max="2313" width="15.140625" style="261" bestFit="1" customWidth="1"/>
    <col min="2314" max="2557" width="8.7109375" style="261" customWidth="1"/>
    <col min="2558" max="2558" width="63.42578125" style="261" customWidth="1"/>
    <col min="2559" max="2559" width="10.42578125" style="261" customWidth="1"/>
    <col min="2560" max="2560" width="16.140625" style="261" customWidth="1"/>
    <col min="2561" max="2568" width="8.7109375" style="261" customWidth="1"/>
    <col min="2569" max="2569" width="15.140625" style="261" bestFit="1" customWidth="1"/>
    <col min="2570" max="2813" width="8.7109375" style="261" customWidth="1"/>
    <col min="2814" max="2814" width="63.42578125" style="261" customWidth="1"/>
    <col min="2815" max="2815" width="10.42578125" style="261" customWidth="1"/>
    <col min="2816" max="2816" width="16.140625" style="261" customWidth="1"/>
    <col min="2817" max="2824" width="8.7109375" style="261" customWidth="1"/>
    <col min="2825" max="2825" width="15.140625" style="261" bestFit="1" customWidth="1"/>
    <col min="2826" max="3069" width="8.7109375" style="261" customWidth="1"/>
    <col min="3070" max="3070" width="63.42578125" style="261" customWidth="1"/>
    <col min="3071" max="3071" width="10.42578125" style="261" customWidth="1"/>
    <col min="3072" max="3072" width="16.140625" style="261" customWidth="1"/>
    <col min="3073" max="3080" width="8.7109375" style="261" customWidth="1"/>
    <col min="3081" max="3081" width="15.140625" style="261" bestFit="1" customWidth="1"/>
    <col min="3082" max="3325" width="8.7109375" style="261" customWidth="1"/>
    <col min="3326" max="3326" width="63.42578125" style="261" customWidth="1"/>
    <col min="3327" max="3327" width="10.42578125" style="261" customWidth="1"/>
    <col min="3328" max="3328" width="16.140625" style="261" customWidth="1"/>
    <col min="3329" max="3336" width="8.7109375" style="261" customWidth="1"/>
    <col min="3337" max="3337" width="15.140625" style="261" bestFit="1" customWidth="1"/>
    <col min="3338" max="3581" width="8.7109375" style="261" customWidth="1"/>
    <col min="3582" max="3582" width="63.42578125" style="261" customWidth="1"/>
    <col min="3583" max="3583" width="10.42578125" style="261" customWidth="1"/>
    <col min="3584" max="3584" width="16.140625" style="261" customWidth="1"/>
    <col min="3585" max="3592" width="8.7109375" style="261" customWidth="1"/>
    <col min="3593" max="3593" width="15.140625" style="261" bestFit="1" customWidth="1"/>
    <col min="3594" max="3837" width="8.7109375" style="261" customWidth="1"/>
    <col min="3838" max="3838" width="63.42578125" style="261" customWidth="1"/>
    <col min="3839" max="3839" width="10.42578125" style="261" customWidth="1"/>
    <col min="3840" max="3840" width="16.140625" style="261" customWidth="1"/>
    <col min="3841" max="3848" width="8.7109375" style="261" customWidth="1"/>
    <col min="3849" max="3849" width="15.140625" style="261" bestFit="1" customWidth="1"/>
    <col min="3850" max="4093" width="8.7109375" style="261" customWidth="1"/>
    <col min="4094" max="4094" width="63.42578125" style="261" customWidth="1"/>
    <col min="4095" max="4095" width="10.42578125" style="261" customWidth="1"/>
    <col min="4096" max="4096" width="16.140625" style="261" customWidth="1"/>
    <col min="4097" max="4104" width="8.7109375" style="261" customWidth="1"/>
    <col min="4105" max="4105" width="15.140625" style="261" bestFit="1" customWidth="1"/>
    <col min="4106" max="4349" width="8.7109375" style="261" customWidth="1"/>
    <col min="4350" max="4350" width="63.42578125" style="261" customWidth="1"/>
    <col min="4351" max="4351" width="10.42578125" style="261" customWidth="1"/>
    <col min="4352" max="4352" width="16.140625" style="261" customWidth="1"/>
    <col min="4353" max="4360" width="8.7109375" style="261" customWidth="1"/>
    <col min="4361" max="4361" width="15.140625" style="261" bestFit="1" customWidth="1"/>
    <col min="4362" max="4605" width="8.7109375" style="261" customWidth="1"/>
    <col min="4606" max="4606" width="63.42578125" style="261" customWidth="1"/>
    <col min="4607" max="4607" width="10.42578125" style="261" customWidth="1"/>
    <col min="4608" max="4608" width="16.140625" style="261" customWidth="1"/>
    <col min="4609" max="4616" width="8.7109375" style="261" customWidth="1"/>
    <col min="4617" max="4617" width="15.140625" style="261" bestFit="1" customWidth="1"/>
    <col min="4618" max="4861" width="8.7109375" style="261" customWidth="1"/>
    <col min="4862" max="4862" width="63.42578125" style="261" customWidth="1"/>
    <col min="4863" max="4863" width="10.42578125" style="261" customWidth="1"/>
    <col min="4864" max="4864" width="16.140625" style="261" customWidth="1"/>
    <col min="4865" max="4872" width="8.7109375" style="261" customWidth="1"/>
    <col min="4873" max="4873" width="15.140625" style="261" bestFit="1" customWidth="1"/>
    <col min="4874" max="5117" width="8.7109375" style="261" customWidth="1"/>
    <col min="5118" max="5118" width="63.42578125" style="261" customWidth="1"/>
    <col min="5119" max="5119" width="10.42578125" style="261" customWidth="1"/>
    <col min="5120" max="5120" width="16.140625" style="261" customWidth="1"/>
    <col min="5121" max="5128" width="8.7109375" style="261" customWidth="1"/>
    <col min="5129" max="5129" width="15.140625" style="261" bestFit="1" customWidth="1"/>
    <col min="5130" max="5373" width="8.7109375" style="261" customWidth="1"/>
    <col min="5374" max="5374" width="63.42578125" style="261" customWidth="1"/>
    <col min="5375" max="5375" width="10.42578125" style="261" customWidth="1"/>
    <col min="5376" max="5376" width="16.140625" style="261" customWidth="1"/>
    <col min="5377" max="5384" width="8.7109375" style="261" customWidth="1"/>
    <col min="5385" max="5385" width="15.140625" style="261" bestFit="1" customWidth="1"/>
    <col min="5386" max="5629" width="8.7109375" style="261" customWidth="1"/>
    <col min="5630" max="5630" width="63.42578125" style="261" customWidth="1"/>
    <col min="5631" max="5631" width="10.42578125" style="261" customWidth="1"/>
    <col min="5632" max="5632" width="16.140625" style="261" customWidth="1"/>
    <col min="5633" max="5640" width="8.7109375" style="261" customWidth="1"/>
    <col min="5641" max="5641" width="15.140625" style="261" bestFit="1" customWidth="1"/>
    <col min="5642" max="5885" width="8.7109375" style="261" customWidth="1"/>
    <col min="5886" max="5886" width="63.42578125" style="261" customWidth="1"/>
    <col min="5887" max="5887" width="10.42578125" style="261" customWidth="1"/>
    <col min="5888" max="5888" width="16.140625" style="261" customWidth="1"/>
    <col min="5889" max="5896" width="8.7109375" style="261" customWidth="1"/>
    <col min="5897" max="5897" width="15.140625" style="261" bestFit="1" customWidth="1"/>
    <col min="5898" max="6141" width="8.7109375" style="261" customWidth="1"/>
    <col min="6142" max="6142" width="63.42578125" style="261" customWidth="1"/>
    <col min="6143" max="6143" width="10.42578125" style="261" customWidth="1"/>
    <col min="6144" max="6144" width="16.140625" style="261" customWidth="1"/>
    <col min="6145" max="6152" width="8.7109375" style="261" customWidth="1"/>
    <col min="6153" max="6153" width="15.140625" style="261" bestFit="1" customWidth="1"/>
    <col min="6154" max="6397" width="8.7109375" style="261" customWidth="1"/>
    <col min="6398" max="6398" width="63.42578125" style="261" customWidth="1"/>
    <col min="6399" max="6399" width="10.42578125" style="261" customWidth="1"/>
    <col min="6400" max="6400" width="16.140625" style="261" customWidth="1"/>
    <col min="6401" max="6408" width="8.7109375" style="261" customWidth="1"/>
    <col min="6409" max="6409" width="15.140625" style="261" bestFit="1" customWidth="1"/>
    <col min="6410" max="6653" width="8.7109375" style="261" customWidth="1"/>
    <col min="6654" max="6654" width="63.42578125" style="261" customWidth="1"/>
    <col min="6655" max="6655" width="10.42578125" style="261" customWidth="1"/>
    <col min="6656" max="6656" width="16.140625" style="261" customWidth="1"/>
    <col min="6657" max="6664" width="8.7109375" style="261" customWidth="1"/>
    <col min="6665" max="6665" width="15.140625" style="261" bestFit="1" customWidth="1"/>
    <col min="6666" max="6909" width="8.7109375" style="261" customWidth="1"/>
    <col min="6910" max="6910" width="63.42578125" style="261" customWidth="1"/>
    <col min="6911" max="6911" width="10.42578125" style="261" customWidth="1"/>
    <col min="6912" max="6912" width="16.140625" style="261" customWidth="1"/>
    <col min="6913" max="6920" width="8.7109375" style="261" customWidth="1"/>
    <col min="6921" max="6921" width="15.140625" style="261" bestFit="1" customWidth="1"/>
    <col min="6922" max="7165" width="8.7109375" style="261" customWidth="1"/>
    <col min="7166" max="7166" width="63.42578125" style="261" customWidth="1"/>
    <col min="7167" max="7167" width="10.42578125" style="261" customWidth="1"/>
    <col min="7168" max="7168" width="16.140625" style="261" customWidth="1"/>
    <col min="7169" max="7176" width="8.7109375" style="261" customWidth="1"/>
    <col min="7177" max="7177" width="15.140625" style="261" bestFit="1" customWidth="1"/>
    <col min="7178" max="7421" width="8.7109375" style="261" customWidth="1"/>
    <col min="7422" max="7422" width="63.42578125" style="261" customWidth="1"/>
    <col min="7423" max="7423" width="10.42578125" style="261" customWidth="1"/>
    <col min="7424" max="7424" width="16.140625" style="261" customWidth="1"/>
    <col min="7425" max="7432" width="8.7109375" style="261" customWidth="1"/>
    <col min="7433" max="7433" width="15.140625" style="261" bestFit="1" customWidth="1"/>
    <col min="7434" max="7677" width="8.7109375" style="261" customWidth="1"/>
    <col min="7678" max="7678" width="63.42578125" style="261" customWidth="1"/>
    <col min="7679" max="7679" width="10.42578125" style="261" customWidth="1"/>
    <col min="7680" max="7680" width="16.140625" style="261" customWidth="1"/>
    <col min="7681" max="7688" width="8.7109375" style="261" customWidth="1"/>
    <col min="7689" max="7689" width="15.140625" style="261" bestFit="1" customWidth="1"/>
    <col min="7690" max="7933" width="8.7109375" style="261" customWidth="1"/>
    <col min="7934" max="7934" width="63.42578125" style="261" customWidth="1"/>
    <col min="7935" max="7935" width="10.42578125" style="261" customWidth="1"/>
    <col min="7936" max="7936" width="16.140625" style="261" customWidth="1"/>
    <col min="7937" max="7944" width="8.7109375" style="261" customWidth="1"/>
    <col min="7945" max="7945" width="15.140625" style="261" bestFit="1" customWidth="1"/>
    <col min="7946" max="8189" width="8.7109375" style="261" customWidth="1"/>
    <col min="8190" max="8190" width="63.42578125" style="261" customWidth="1"/>
    <col min="8191" max="8191" width="10.42578125" style="261" customWidth="1"/>
    <col min="8192" max="8192" width="16.140625" style="261" customWidth="1"/>
    <col min="8193" max="8200" width="8.7109375" style="261" customWidth="1"/>
    <col min="8201" max="8201" width="15.140625" style="261" bestFit="1" customWidth="1"/>
    <col min="8202" max="8445" width="8.7109375" style="261" customWidth="1"/>
    <col min="8446" max="8446" width="63.42578125" style="261" customWidth="1"/>
    <col min="8447" max="8447" width="10.42578125" style="261" customWidth="1"/>
    <col min="8448" max="8448" width="16.140625" style="261" customWidth="1"/>
    <col min="8449" max="8456" width="8.7109375" style="261" customWidth="1"/>
    <col min="8457" max="8457" width="15.140625" style="261" bestFit="1" customWidth="1"/>
    <col min="8458" max="8701" width="8.7109375" style="261" customWidth="1"/>
    <col min="8702" max="8702" width="63.42578125" style="261" customWidth="1"/>
    <col min="8703" max="8703" width="10.42578125" style="261" customWidth="1"/>
    <col min="8704" max="8704" width="16.140625" style="261" customWidth="1"/>
    <col min="8705" max="8712" width="8.7109375" style="261" customWidth="1"/>
    <col min="8713" max="8713" width="15.140625" style="261" bestFit="1" customWidth="1"/>
    <col min="8714" max="8957" width="8.7109375" style="261" customWidth="1"/>
    <col min="8958" max="8958" width="63.42578125" style="261" customWidth="1"/>
    <col min="8959" max="8959" width="10.42578125" style="261" customWidth="1"/>
    <col min="8960" max="8960" width="16.140625" style="261" customWidth="1"/>
    <col min="8961" max="8968" width="8.7109375" style="261" customWidth="1"/>
    <col min="8969" max="8969" width="15.140625" style="261" bestFit="1" customWidth="1"/>
    <col min="8970" max="9213" width="8.7109375" style="261" customWidth="1"/>
    <col min="9214" max="9214" width="63.42578125" style="261" customWidth="1"/>
    <col min="9215" max="9215" width="10.42578125" style="261" customWidth="1"/>
    <col min="9216" max="9216" width="16.140625" style="261" customWidth="1"/>
    <col min="9217" max="9224" width="8.7109375" style="261" customWidth="1"/>
    <col min="9225" max="9225" width="15.140625" style="261" bestFit="1" customWidth="1"/>
    <col min="9226" max="9469" width="8.7109375" style="261" customWidth="1"/>
    <col min="9470" max="9470" width="63.42578125" style="261" customWidth="1"/>
    <col min="9471" max="9471" width="10.42578125" style="261" customWidth="1"/>
    <col min="9472" max="9472" width="16.140625" style="261" customWidth="1"/>
    <col min="9473" max="9480" width="8.7109375" style="261" customWidth="1"/>
    <col min="9481" max="9481" width="15.140625" style="261" bestFit="1" customWidth="1"/>
    <col min="9482" max="9725" width="8.7109375" style="261" customWidth="1"/>
    <col min="9726" max="9726" width="63.42578125" style="261" customWidth="1"/>
    <col min="9727" max="9727" width="10.42578125" style="261" customWidth="1"/>
    <col min="9728" max="9728" width="16.140625" style="261" customWidth="1"/>
    <col min="9729" max="9736" width="8.7109375" style="261" customWidth="1"/>
    <col min="9737" max="9737" width="15.140625" style="261" bestFit="1" customWidth="1"/>
    <col min="9738" max="9981" width="8.7109375" style="261" customWidth="1"/>
    <col min="9982" max="9982" width="63.42578125" style="261" customWidth="1"/>
    <col min="9983" max="9983" width="10.42578125" style="261" customWidth="1"/>
    <col min="9984" max="9984" width="16.140625" style="261" customWidth="1"/>
    <col min="9985" max="9992" width="8.7109375" style="261" customWidth="1"/>
    <col min="9993" max="9993" width="15.140625" style="261" bestFit="1" customWidth="1"/>
    <col min="9994" max="10237" width="8.7109375" style="261" customWidth="1"/>
    <col min="10238" max="10238" width="63.42578125" style="261" customWidth="1"/>
    <col min="10239" max="10239" width="10.42578125" style="261" customWidth="1"/>
    <col min="10240" max="10240" width="16.140625" style="261" customWidth="1"/>
    <col min="10241" max="10248" width="8.7109375" style="261" customWidth="1"/>
    <col min="10249" max="10249" width="15.140625" style="261" bestFit="1" customWidth="1"/>
    <col min="10250" max="10493" width="8.7109375" style="261" customWidth="1"/>
    <col min="10494" max="10494" width="63.42578125" style="261" customWidth="1"/>
    <col min="10495" max="10495" width="10.42578125" style="261" customWidth="1"/>
    <col min="10496" max="10496" width="16.140625" style="261" customWidth="1"/>
    <col min="10497" max="10504" width="8.7109375" style="261" customWidth="1"/>
    <col min="10505" max="10505" width="15.140625" style="261" bestFit="1" customWidth="1"/>
    <col min="10506" max="10749" width="8.7109375" style="261" customWidth="1"/>
    <col min="10750" max="10750" width="63.42578125" style="261" customWidth="1"/>
    <col min="10751" max="10751" width="10.42578125" style="261" customWidth="1"/>
    <col min="10752" max="10752" width="16.140625" style="261" customWidth="1"/>
    <col min="10753" max="10760" width="8.7109375" style="261" customWidth="1"/>
    <col min="10761" max="10761" width="15.140625" style="261" bestFit="1" customWidth="1"/>
    <col min="10762" max="11005" width="8.7109375" style="261" customWidth="1"/>
    <col min="11006" max="11006" width="63.42578125" style="261" customWidth="1"/>
    <col min="11007" max="11007" width="10.42578125" style="261" customWidth="1"/>
    <col min="11008" max="11008" width="16.140625" style="261" customWidth="1"/>
    <col min="11009" max="11016" width="8.7109375" style="261" customWidth="1"/>
    <col min="11017" max="11017" width="15.140625" style="261" bestFit="1" customWidth="1"/>
    <col min="11018" max="11261" width="8.7109375" style="261" customWidth="1"/>
    <col min="11262" max="11262" width="63.42578125" style="261" customWidth="1"/>
    <col min="11263" max="11263" width="10.42578125" style="261" customWidth="1"/>
    <col min="11264" max="11264" width="16.140625" style="261" customWidth="1"/>
    <col min="11265" max="11272" width="8.7109375" style="261" customWidth="1"/>
    <col min="11273" max="11273" width="15.140625" style="261" bestFit="1" customWidth="1"/>
    <col min="11274" max="11517" width="8.7109375" style="261" customWidth="1"/>
    <col min="11518" max="11518" width="63.42578125" style="261" customWidth="1"/>
    <col min="11519" max="11519" width="10.42578125" style="261" customWidth="1"/>
    <col min="11520" max="11520" width="16.140625" style="261" customWidth="1"/>
    <col min="11521" max="11528" width="8.7109375" style="261" customWidth="1"/>
    <col min="11529" max="11529" width="15.140625" style="261" bestFit="1" customWidth="1"/>
    <col min="11530" max="11773" width="8.7109375" style="261" customWidth="1"/>
    <col min="11774" max="11774" width="63.42578125" style="261" customWidth="1"/>
    <col min="11775" max="11775" width="10.42578125" style="261" customWidth="1"/>
    <col min="11776" max="11776" width="16.140625" style="261" customWidth="1"/>
    <col min="11777" max="11784" width="8.7109375" style="261" customWidth="1"/>
    <col min="11785" max="11785" width="15.140625" style="261" bestFit="1" customWidth="1"/>
    <col min="11786" max="12029" width="8.7109375" style="261" customWidth="1"/>
    <col min="12030" max="12030" width="63.42578125" style="261" customWidth="1"/>
    <col min="12031" max="12031" width="10.42578125" style="261" customWidth="1"/>
    <col min="12032" max="12032" width="16.140625" style="261" customWidth="1"/>
    <col min="12033" max="12040" width="8.7109375" style="261" customWidth="1"/>
    <col min="12041" max="12041" width="15.140625" style="261" bestFit="1" customWidth="1"/>
    <col min="12042" max="12285" width="8.7109375" style="261" customWidth="1"/>
    <col min="12286" max="12286" width="63.42578125" style="261" customWidth="1"/>
    <col min="12287" max="12287" width="10.42578125" style="261" customWidth="1"/>
    <col min="12288" max="12288" width="16.140625" style="261" customWidth="1"/>
    <col min="12289" max="12296" width="8.7109375" style="261" customWidth="1"/>
    <col min="12297" max="12297" width="15.140625" style="261" bestFit="1" customWidth="1"/>
    <col min="12298" max="12541" width="8.7109375" style="261" customWidth="1"/>
    <col min="12542" max="12542" width="63.42578125" style="261" customWidth="1"/>
    <col min="12543" max="12543" width="10.42578125" style="261" customWidth="1"/>
    <col min="12544" max="12544" width="16.140625" style="261" customWidth="1"/>
    <col min="12545" max="12552" width="8.7109375" style="261" customWidth="1"/>
    <col min="12553" max="12553" width="15.140625" style="261" bestFit="1" customWidth="1"/>
    <col min="12554" max="12797" width="8.7109375" style="261" customWidth="1"/>
    <col min="12798" max="12798" width="63.42578125" style="261" customWidth="1"/>
    <col min="12799" max="12799" width="10.42578125" style="261" customWidth="1"/>
    <col min="12800" max="12800" width="16.140625" style="261" customWidth="1"/>
    <col min="12801" max="12808" width="8.7109375" style="261" customWidth="1"/>
    <col min="12809" max="12809" width="15.140625" style="261" bestFit="1" customWidth="1"/>
    <col min="12810" max="13053" width="8.7109375" style="261" customWidth="1"/>
    <col min="13054" max="13054" width="63.42578125" style="261" customWidth="1"/>
    <col min="13055" max="13055" width="10.42578125" style="261" customWidth="1"/>
    <col min="13056" max="13056" width="16.140625" style="261" customWidth="1"/>
    <col min="13057" max="13064" width="8.7109375" style="261" customWidth="1"/>
    <col min="13065" max="13065" width="15.140625" style="261" bestFit="1" customWidth="1"/>
    <col min="13066" max="13309" width="8.7109375" style="261" customWidth="1"/>
    <col min="13310" max="13310" width="63.42578125" style="261" customWidth="1"/>
    <col min="13311" max="13311" width="10.42578125" style="261" customWidth="1"/>
    <col min="13312" max="13312" width="16.140625" style="261" customWidth="1"/>
    <col min="13313" max="13320" width="8.7109375" style="261" customWidth="1"/>
    <col min="13321" max="13321" width="15.140625" style="261" bestFit="1" customWidth="1"/>
    <col min="13322" max="13565" width="8.7109375" style="261" customWidth="1"/>
    <col min="13566" max="13566" width="63.42578125" style="261" customWidth="1"/>
    <col min="13567" max="13567" width="10.42578125" style="261" customWidth="1"/>
    <col min="13568" max="13568" width="16.140625" style="261" customWidth="1"/>
    <col min="13569" max="13576" width="8.7109375" style="261" customWidth="1"/>
    <col min="13577" max="13577" width="15.140625" style="261" bestFit="1" customWidth="1"/>
    <col min="13578" max="13821" width="8.7109375" style="261" customWidth="1"/>
    <col min="13822" max="13822" width="63.42578125" style="261" customWidth="1"/>
    <col min="13823" max="13823" width="10.42578125" style="261" customWidth="1"/>
    <col min="13824" max="13824" width="16.140625" style="261" customWidth="1"/>
    <col min="13825" max="13832" width="8.7109375" style="261" customWidth="1"/>
    <col min="13833" max="13833" width="15.140625" style="261" bestFit="1" customWidth="1"/>
    <col min="13834" max="14077" width="8.7109375" style="261" customWidth="1"/>
    <col min="14078" max="14078" width="63.42578125" style="261" customWidth="1"/>
    <col min="14079" max="14079" width="10.42578125" style="261" customWidth="1"/>
    <col min="14080" max="14080" width="16.140625" style="261" customWidth="1"/>
    <col min="14081" max="14088" width="8.7109375" style="261" customWidth="1"/>
    <col min="14089" max="14089" width="15.140625" style="261" bestFit="1" customWidth="1"/>
    <col min="14090" max="14333" width="8.7109375" style="261" customWidth="1"/>
    <col min="14334" max="14334" width="63.42578125" style="261" customWidth="1"/>
    <col min="14335" max="14335" width="10.42578125" style="261" customWidth="1"/>
    <col min="14336" max="14336" width="16.140625" style="261" customWidth="1"/>
    <col min="14337" max="14344" width="8.7109375" style="261" customWidth="1"/>
    <col min="14345" max="14345" width="15.140625" style="261" bestFit="1" customWidth="1"/>
    <col min="14346" max="14589" width="8.7109375" style="261" customWidth="1"/>
    <col min="14590" max="14590" width="63.42578125" style="261" customWidth="1"/>
    <col min="14591" max="14591" width="10.42578125" style="261" customWidth="1"/>
    <col min="14592" max="14592" width="16.140625" style="261" customWidth="1"/>
    <col min="14593" max="14600" width="8.7109375" style="261" customWidth="1"/>
    <col min="14601" max="14601" width="15.140625" style="261" bestFit="1" customWidth="1"/>
    <col min="14602" max="14845" width="8.7109375" style="261" customWidth="1"/>
    <col min="14846" max="14846" width="63.42578125" style="261" customWidth="1"/>
    <col min="14847" max="14847" width="10.42578125" style="261" customWidth="1"/>
    <col min="14848" max="14848" width="16.140625" style="261" customWidth="1"/>
    <col min="14849" max="14856" width="8.7109375" style="261" customWidth="1"/>
    <col min="14857" max="14857" width="15.140625" style="261" bestFit="1" customWidth="1"/>
    <col min="14858" max="15101" width="8.7109375" style="261" customWidth="1"/>
    <col min="15102" max="15102" width="63.42578125" style="261" customWidth="1"/>
    <col min="15103" max="15103" width="10.42578125" style="261" customWidth="1"/>
    <col min="15104" max="15104" width="16.140625" style="261" customWidth="1"/>
    <col min="15105" max="15112" width="8.7109375" style="261" customWidth="1"/>
    <col min="15113" max="15113" width="15.140625" style="261" bestFit="1" customWidth="1"/>
    <col min="15114" max="15357" width="8.7109375" style="261" customWidth="1"/>
    <col min="15358" max="15358" width="63.42578125" style="261" customWidth="1"/>
    <col min="15359" max="15359" width="10.42578125" style="261" customWidth="1"/>
    <col min="15360" max="15360" width="16.140625" style="261" customWidth="1"/>
    <col min="15361" max="15368" width="8.7109375" style="261" customWidth="1"/>
    <col min="15369" max="15369" width="15.140625" style="261" bestFit="1" customWidth="1"/>
    <col min="15370" max="15613" width="8.7109375" style="261" customWidth="1"/>
    <col min="15614" max="15614" width="63.42578125" style="261" customWidth="1"/>
    <col min="15615" max="15615" width="10.42578125" style="261" customWidth="1"/>
    <col min="15616" max="15616" width="16.140625" style="261" customWidth="1"/>
    <col min="15617" max="15624" width="8.7109375" style="261" customWidth="1"/>
    <col min="15625" max="15625" width="15.140625" style="261" bestFit="1" customWidth="1"/>
    <col min="15626" max="15869" width="8.7109375" style="261" customWidth="1"/>
    <col min="15870" max="15870" width="63.42578125" style="261" customWidth="1"/>
    <col min="15871" max="15871" width="10.42578125" style="261" customWidth="1"/>
    <col min="15872" max="15872" width="16.140625" style="261" customWidth="1"/>
    <col min="15873" max="15880" width="8.7109375" style="261" customWidth="1"/>
    <col min="15881" max="15881" width="15.140625" style="261" bestFit="1" customWidth="1"/>
    <col min="15882" max="16125" width="8.7109375" style="261" customWidth="1"/>
    <col min="16126" max="16126" width="63.42578125" style="261" customWidth="1"/>
    <col min="16127" max="16127" width="10.42578125" style="261" customWidth="1"/>
    <col min="16128" max="16128" width="16.140625" style="261" customWidth="1"/>
    <col min="16129" max="16136" width="8.7109375" style="261" customWidth="1"/>
    <col min="16137" max="16137" width="15.140625" style="261" bestFit="1" customWidth="1"/>
    <col min="16138" max="16384" width="8.7109375" style="261" customWidth="1"/>
  </cols>
  <sheetData>
    <row r="1" spans="1:23" x14ac:dyDescent="0.25">
      <c r="B1" s="261">
        <v>2</v>
      </c>
      <c r="C1" s="261">
        <v>3</v>
      </c>
      <c r="D1" s="261">
        <f>C1+1</f>
        <v>4</v>
      </c>
      <c r="E1" s="261">
        <f>D1+2</f>
        <v>6</v>
      </c>
      <c r="F1" s="261">
        <f>E1+1</f>
        <v>7</v>
      </c>
      <c r="G1" s="261">
        <f>F1+1</f>
        <v>8</v>
      </c>
      <c r="H1" s="261">
        <f>G1+1</f>
        <v>9</v>
      </c>
      <c r="I1" s="261">
        <f>H1+2</f>
        <v>11</v>
      </c>
      <c r="J1" s="261">
        <f>I1+1</f>
        <v>12</v>
      </c>
    </row>
    <row r="2" spans="1:23" s="258" customFormat="1" ht="27" customHeight="1" x14ac:dyDescent="0.25">
      <c r="A2" s="263" t="s">
        <v>44</v>
      </c>
      <c r="B2" s="263" t="s">
        <v>45</v>
      </c>
      <c r="C2" s="263" t="s">
        <v>47</v>
      </c>
      <c r="D2" s="263" t="s">
        <v>48</v>
      </c>
      <c r="E2" s="263" t="s">
        <v>50</v>
      </c>
      <c r="F2" s="263" t="s">
        <v>51</v>
      </c>
      <c r="G2" s="263" t="s">
        <v>40</v>
      </c>
      <c r="H2" s="263" t="s">
        <v>46</v>
      </c>
      <c r="I2" s="263" t="s">
        <v>52</v>
      </c>
      <c r="J2" s="263" t="s">
        <v>49</v>
      </c>
      <c r="K2" s="265" t="s">
        <v>45</v>
      </c>
      <c r="L2" s="265" t="s">
        <v>46</v>
      </c>
      <c r="M2" s="265" t="s">
        <v>47</v>
      </c>
      <c r="N2" s="265" t="s">
        <v>48</v>
      </c>
      <c r="O2" s="265" t="s">
        <v>49</v>
      </c>
      <c r="P2" s="265" t="s">
        <v>50</v>
      </c>
      <c r="Q2" s="265" t="s">
        <v>51</v>
      </c>
      <c r="R2" s="265" t="s">
        <v>52</v>
      </c>
      <c r="S2" s="265" t="s">
        <v>40</v>
      </c>
      <c r="T2" s="266" t="s">
        <v>1048</v>
      </c>
      <c r="U2" s="266"/>
      <c r="V2" s="258" t="s">
        <v>935</v>
      </c>
    </row>
    <row r="3" spans="1:23" x14ac:dyDescent="0.25">
      <c r="A3" s="259" t="s">
        <v>57</v>
      </c>
      <c r="B3" s="260">
        <f>VLOOKUP($A3, Sheet4!$A$2:$L$688, Consol_Thematic!B$1,FALSE)</f>
        <v>6.72</v>
      </c>
      <c r="C3" s="260">
        <f>VLOOKUP($A3, Sheet4!$A$2:$L$688, Consol_Thematic!C$1,FALSE)</f>
        <v>31.45</v>
      </c>
      <c r="D3" s="260">
        <f>VLOOKUP($A3, Sheet4!$A$2:$L$688, Consol_Thematic!D$1,FALSE)</f>
        <v>0</v>
      </c>
      <c r="E3" s="260">
        <f>VLOOKUP($A3, Sheet4!$A$2:$L$688, Consol_Thematic!E$1,FALSE)</f>
        <v>1.07</v>
      </c>
      <c r="F3" s="260">
        <f>VLOOKUP($A3, Sheet4!$A$2:$L$688, Consol_Thematic!F$1,FALSE)</f>
        <v>1.6</v>
      </c>
      <c r="G3" s="260">
        <f>VLOOKUP($A3, Sheet4!$A$2:$L$688, Consol_Thematic!G$1,FALSE)</f>
        <v>5.59</v>
      </c>
      <c r="H3" s="260">
        <f>VLOOKUP($A3, Sheet4!$A$2:$L$688, Consol_Thematic!H$1,FALSE)</f>
        <v>1.95</v>
      </c>
      <c r="I3" s="260">
        <f>VLOOKUP($A3, Sheet4!$A$2:$L$688, Consol_Thematic!I$1,FALSE)</f>
        <v>1.19</v>
      </c>
      <c r="J3" s="260">
        <f>VLOOKUP($A3, Sheet4!$A$2:$L$688, Consol_Thematic!J$1,FALSE)</f>
        <v>18.03</v>
      </c>
      <c r="K3" s="264">
        <f t="shared" ref="K3:K34" si="0">(B3-MIN(B$3:B$23))/(MAX(B$3:B$23)-MIN(B$3:B$23))</f>
        <v>0.86260102865540034</v>
      </c>
      <c r="L3" s="264">
        <f t="shared" ref="L3:L34" si="1">(MAX(H$3:H$23)-H3)/(MAX(H$3:H$23)-MIN(H$3:H$23))</f>
        <v>0.75384615384615394</v>
      </c>
      <c r="M3" s="264">
        <f t="shared" ref="M3:M34" si="2">(C3-MIN(C$3:C$23))/(MAX(C$3:C$23)-MIN(C$3:C$23))</f>
        <v>0.86686879823594265</v>
      </c>
      <c r="N3" s="264">
        <f t="shared" ref="N3:N34" si="3">(D3-MIN(D$3:D$23))/(MAX(D$3:D$23)-MIN(D$3:D$23))</f>
        <v>0</v>
      </c>
      <c r="O3" s="264">
        <f t="shared" ref="O3:O34" si="4">(MAX(J$3:J$23)-J3)/(MAX(J$3:J$23)-MIN(J$3:J$23))</f>
        <v>0.19364937388193196</v>
      </c>
      <c r="P3" s="264">
        <f t="shared" ref="P3:P34" si="5">(E3-MIN(E$3:E$23))/(MAX(E$3:E$23)-MIN(E$3:E$23))</f>
        <v>1</v>
      </c>
      <c r="Q3" s="264">
        <f t="shared" ref="Q3:Q34" si="6">(F3-MIN(F$3:F$23))/(MAX(F$3:F$23)-MIN(F$3:F$23))</f>
        <v>0.8205128205128206</v>
      </c>
      <c r="R3" s="264">
        <f t="shared" ref="R3:R34" si="7">(MAX(I$3:I$23)-I3)/(MAX(I$3:I$23)-MIN(I$3:I$23))</f>
        <v>0</v>
      </c>
      <c r="S3" s="264">
        <f t="shared" ref="S3:S34" si="8">(G3-MIN(G$3:G$23))/(MAX(G$3:G$23)-MIN(G$3:G$23))</f>
        <v>1</v>
      </c>
      <c r="T3" s="264" t="e">
        <f>(K3*'Fund Ranking Criteria'!$J$9)+('Fund Ranking Criteria'!$J$10*Consol_Thematic!M3)+('Fund Ranking Criteria'!$J$12*Consol_Thematic!S3)+('Fund Ranking Criteria'!$J$14*Consol_Thematic!R3)+('Fund Ranking Criteria'!$J$15*Consol_Thematic!O3)+('Fund Ranking Criteria'!$J$16*Consol_Thematic!P3)+('Fund Ranking Criteria'!#REF!*Consol_Thematic!Q3)+('Fund Ranking Criteria'!#REF!*Consol_Thematic!L3)</f>
        <v>#REF!</v>
      </c>
      <c r="U3" s="289" t="e">
        <f t="shared" ref="U3:U34" si="9">T3*1</f>
        <v>#REF!</v>
      </c>
      <c r="V3" s="261" t="e">
        <f t="shared" ref="V3:V34" si="10">RANK(U3,$U$3:$U$157,0)</f>
        <v>#REF!</v>
      </c>
      <c r="W3" s="261" t="str">
        <f t="shared" ref="W3:W34" si="11">A3</f>
        <v>360 ONE Quant Fund - Regular Plan</v>
      </c>
    </row>
    <row r="4" spans="1:23" x14ac:dyDescent="0.25">
      <c r="A4" s="259" t="s">
        <v>66</v>
      </c>
      <c r="B4" s="260">
        <f>VLOOKUP($A4, Sheet4!$A$2:$L$688, Consol_Thematic!B$1,FALSE)</f>
        <v>4.8</v>
      </c>
      <c r="C4" s="260">
        <f>VLOOKUP($A4, Sheet4!$A$2:$L$688, Consol_Thematic!C$1,FALSE)</f>
        <v>19.22</v>
      </c>
      <c r="D4" s="260">
        <f>VLOOKUP($A4, Sheet4!$A$2:$L$688, Consol_Thematic!D$1,FALSE)</f>
        <v>0</v>
      </c>
      <c r="E4" s="260">
        <f>VLOOKUP($A4, Sheet4!$A$2:$L$688, Consol_Thematic!E$1,FALSE)</f>
        <v>0.68</v>
      </c>
      <c r="F4" s="260">
        <f>VLOOKUP($A4, Sheet4!$A$2:$L$688, Consol_Thematic!F$1,FALSE)</f>
        <v>1.0900000000000001</v>
      </c>
      <c r="G4" s="260">
        <f>VLOOKUP($A4, Sheet4!$A$2:$L$688, Consol_Thematic!G$1,FALSE)</f>
        <v>-1.45</v>
      </c>
      <c r="H4" s="260">
        <f>VLOOKUP($A4, Sheet4!$A$2:$L$688, Consol_Thematic!H$1,FALSE)</f>
        <v>2.14</v>
      </c>
      <c r="I4" s="260">
        <f>VLOOKUP($A4, Sheet4!$A$2:$L$688, Consol_Thematic!I$1,FALSE)</f>
        <v>0.96</v>
      </c>
      <c r="J4" s="260">
        <f>VLOOKUP($A4, Sheet4!$A$2:$L$688, Consol_Thematic!J$1,FALSE)</f>
        <v>14.21</v>
      </c>
      <c r="K4" s="264">
        <f t="shared" si="0"/>
        <v>0.72152828802351221</v>
      </c>
      <c r="L4" s="264">
        <f t="shared" si="1"/>
        <v>0.46153846153846134</v>
      </c>
      <c r="M4" s="264">
        <f t="shared" si="2"/>
        <v>0.52976846747519291</v>
      </c>
      <c r="N4" s="264">
        <f t="shared" si="3"/>
        <v>0</v>
      </c>
      <c r="O4" s="264">
        <f t="shared" si="4"/>
        <v>0.36449016100178888</v>
      </c>
      <c r="P4" s="264">
        <f t="shared" si="5"/>
        <v>0.63551401869158874</v>
      </c>
      <c r="Q4" s="264">
        <f t="shared" si="6"/>
        <v>0.55897435897435899</v>
      </c>
      <c r="R4" s="264">
        <f t="shared" si="7"/>
        <v>0.19327731092436976</v>
      </c>
      <c r="S4" s="264">
        <f t="shared" si="8"/>
        <v>0.17948717948717952</v>
      </c>
      <c r="T4" s="264" t="e">
        <f>(K4*'Fund Ranking Criteria'!$J$9)+('Fund Ranking Criteria'!$J$10*Consol_Thematic!M4)+('Fund Ranking Criteria'!$J$12*Consol_Thematic!S4)+('Fund Ranking Criteria'!$J$14*Consol_Thematic!R4)+('Fund Ranking Criteria'!$J$15*Consol_Thematic!O4)+('Fund Ranking Criteria'!$J$16*Consol_Thematic!P4)+('Fund Ranking Criteria'!#REF!*Consol_Thematic!Q4)+('Fund Ranking Criteria'!#REF!*Consol_Thematic!L4)</f>
        <v>#REF!</v>
      </c>
      <c r="U4" s="289" t="e">
        <f t="shared" si="9"/>
        <v>#REF!</v>
      </c>
      <c r="V4" s="261" t="e">
        <f t="shared" si="10"/>
        <v>#REF!</v>
      </c>
      <c r="W4" s="261" t="str">
        <f t="shared" si="11"/>
        <v>Aditya Birla Sun Life Business Cycle Fund - Regular Plan</v>
      </c>
    </row>
    <row r="5" spans="1:23" x14ac:dyDescent="0.25">
      <c r="A5" s="259" t="s">
        <v>67</v>
      </c>
      <c r="B5" s="259">
        <f>VLOOKUP($A5, Sheet4!$A$2:$L$688, Consol_Thematic!B$1,FALSE)</f>
        <v>0</v>
      </c>
      <c r="C5" s="259">
        <f>VLOOKUP($A5, Sheet4!$A$2:$L$688, Consol_Thematic!C$1,FALSE)</f>
        <v>0</v>
      </c>
      <c r="D5" s="259">
        <f>VLOOKUP($A5, Sheet4!$A$2:$L$688, Consol_Thematic!D$1,FALSE)</f>
        <v>0</v>
      </c>
      <c r="E5" s="259">
        <f>VLOOKUP($A5, Sheet4!$A$2:$L$688, Consol_Thematic!E$1,FALSE)</f>
        <v>0</v>
      </c>
      <c r="F5" s="259">
        <f>VLOOKUP($A5, Sheet4!$A$2:$L$688, Consol_Thematic!F$1,FALSE)</f>
        <v>0</v>
      </c>
      <c r="G5" s="259">
        <f>VLOOKUP($A5, Sheet4!$A$2:$L$688, Consol_Thematic!G$1,FALSE)</f>
        <v>0</v>
      </c>
      <c r="H5" s="260">
        <f>VLOOKUP($A5, Sheet4!$A$2:$L$688, Consol_Thematic!H$1,FALSE)</f>
        <v>2.0699999999999998</v>
      </c>
      <c r="I5" s="259">
        <f>VLOOKUP($A5, Sheet4!$A$2:$L$688, Consol_Thematic!I$1,FALSE)</f>
        <v>0</v>
      </c>
      <c r="J5" s="259">
        <f>VLOOKUP($A5, Sheet4!$A$2:$L$688, Consol_Thematic!J$1,FALSE)</f>
        <v>0</v>
      </c>
      <c r="K5" s="264">
        <f t="shared" si="0"/>
        <v>0.36884643644379134</v>
      </c>
      <c r="L5" s="264">
        <f t="shared" si="1"/>
        <v>0.56923076923076943</v>
      </c>
      <c r="M5" s="264">
        <f t="shared" si="2"/>
        <v>0</v>
      </c>
      <c r="N5" s="264">
        <f t="shared" si="3"/>
        <v>0</v>
      </c>
      <c r="O5" s="264">
        <f t="shared" si="4"/>
        <v>1</v>
      </c>
      <c r="P5" s="264">
        <f t="shared" si="5"/>
        <v>0</v>
      </c>
      <c r="Q5" s="264">
        <f t="shared" si="6"/>
        <v>0</v>
      </c>
      <c r="R5" s="264">
        <f t="shared" si="7"/>
        <v>1</v>
      </c>
      <c r="S5" s="264">
        <f t="shared" si="8"/>
        <v>0.34848484848484851</v>
      </c>
      <c r="T5" s="264" t="e">
        <f>(K5*'Fund Ranking Criteria'!$J$9)+('Fund Ranking Criteria'!$J$10*Consol_Thematic!M5)+('Fund Ranking Criteria'!$J$12*Consol_Thematic!S5)+('Fund Ranking Criteria'!$J$14*Consol_Thematic!R5)+('Fund Ranking Criteria'!$J$15*Consol_Thematic!O5)+('Fund Ranking Criteria'!$J$16*Consol_Thematic!P5)+('Fund Ranking Criteria'!#REF!*Consol_Thematic!Q5)+('Fund Ranking Criteria'!#REF!*Consol_Thematic!L5)</f>
        <v>#REF!</v>
      </c>
      <c r="U5" s="289" t="e">
        <f t="shared" si="9"/>
        <v>#REF!</v>
      </c>
      <c r="V5" s="261" t="e">
        <f t="shared" si="10"/>
        <v>#REF!</v>
      </c>
      <c r="W5" s="261" t="str">
        <f t="shared" si="11"/>
        <v>Aditya Birla Sun Life Conglomerate - Regular Plan</v>
      </c>
    </row>
    <row r="6" spans="1:23" x14ac:dyDescent="0.25">
      <c r="A6" s="259" t="s">
        <v>68</v>
      </c>
      <c r="B6" s="260">
        <f>VLOOKUP($A6, Sheet4!$A$2:$L$688, Consol_Thematic!B$1,FALSE)</f>
        <v>1.73</v>
      </c>
      <c r="C6" s="260">
        <f>VLOOKUP($A6, Sheet4!$A$2:$L$688, Consol_Thematic!C$1,FALSE)</f>
        <v>26.52</v>
      </c>
      <c r="D6" s="259">
        <f>VLOOKUP($A6, Sheet4!$A$2:$L$688, Consol_Thematic!D$1,FALSE)</f>
        <v>25.08</v>
      </c>
      <c r="E6" s="260">
        <f>VLOOKUP($A6, Sheet4!$A$2:$L$688, Consol_Thematic!E$1,FALSE)</f>
        <v>1</v>
      </c>
      <c r="F6" s="260">
        <f>VLOOKUP($A6, Sheet4!$A$2:$L$688, Consol_Thematic!F$1,FALSE)</f>
        <v>1.56</v>
      </c>
      <c r="G6" s="260">
        <f>VLOOKUP($A6, Sheet4!$A$2:$L$688, Consol_Thematic!G$1,FALSE)</f>
        <v>4.0599999999999996</v>
      </c>
      <c r="H6" s="260">
        <f>VLOOKUP($A6, Sheet4!$A$2:$L$688, Consol_Thematic!H$1,FALSE)</f>
        <v>2.2200000000000002</v>
      </c>
      <c r="I6" s="260">
        <f>VLOOKUP($A6, Sheet4!$A$2:$L$688, Consol_Thematic!I$1,FALSE)</f>
        <v>0.97</v>
      </c>
      <c r="J6" s="260">
        <f>VLOOKUP($A6, Sheet4!$A$2:$L$688, Consol_Thematic!J$1,FALSE)</f>
        <v>15.2</v>
      </c>
      <c r="K6" s="264">
        <f t="shared" si="0"/>
        <v>0.49595885378398241</v>
      </c>
      <c r="L6" s="264">
        <f t="shared" si="1"/>
        <v>0.33846153846153815</v>
      </c>
      <c r="M6" s="264">
        <f t="shared" si="2"/>
        <v>0.73098125689084892</v>
      </c>
      <c r="N6" s="264">
        <f t="shared" si="3"/>
        <v>0.8079896907216495</v>
      </c>
      <c r="O6" s="264">
        <f t="shared" si="4"/>
        <v>0.32021466905187834</v>
      </c>
      <c r="P6" s="264">
        <f t="shared" si="5"/>
        <v>0.93457943925233644</v>
      </c>
      <c r="Q6" s="264">
        <f t="shared" si="6"/>
        <v>0.8</v>
      </c>
      <c r="R6" s="264">
        <f t="shared" si="7"/>
        <v>0.18487394957983191</v>
      </c>
      <c r="S6" s="264">
        <f t="shared" si="8"/>
        <v>0.82167832167832167</v>
      </c>
      <c r="T6" s="264" t="e">
        <f>(K6*'Fund Ranking Criteria'!$J$9)+('Fund Ranking Criteria'!$J$10*Consol_Thematic!M6)+('Fund Ranking Criteria'!$J$12*Consol_Thematic!S6)+('Fund Ranking Criteria'!$J$14*Consol_Thematic!R6)+('Fund Ranking Criteria'!$J$15*Consol_Thematic!O6)+('Fund Ranking Criteria'!$J$16*Consol_Thematic!P6)+('Fund Ranking Criteria'!#REF!*Consol_Thematic!Q6)+('Fund Ranking Criteria'!#REF!*Consol_Thematic!L6)</f>
        <v>#REF!</v>
      </c>
      <c r="U6" s="289" t="e">
        <f t="shared" si="9"/>
        <v>#REF!</v>
      </c>
      <c r="V6" s="261" t="e">
        <f t="shared" si="10"/>
        <v>#REF!</v>
      </c>
      <c r="W6" s="261" t="str">
        <f t="shared" si="11"/>
        <v>Aditya Birla Sun Life Dividend Yield Fund - Regular Plan</v>
      </c>
    </row>
    <row r="7" spans="1:23" x14ac:dyDescent="0.25">
      <c r="A7" s="259" t="s">
        <v>72</v>
      </c>
      <c r="B7" s="259">
        <f>VLOOKUP($A7, Sheet4!$A$2:$L$688, Consol_Thematic!B$1,FALSE)</f>
        <v>8.59</v>
      </c>
      <c r="C7" s="259">
        <f>VLOOKUP($A7, Sheet4!$A$2:$L$688, Consol_Thematic!C$1,FALSE)</f>
        <v>18.829999999999998</v>
      </c>
      <c r="D7" s="259">
        <f>VLOOKUP($A7, Sheet4!$A$2:$L$688, Consol_Thematic!D$1,FALSE)</f>
        <v>0</v>
      </c>
      <c r="E7" s="259">
        <f>VLOOKUP($A7, Sheet4!$A$2:$L$688, Consol_Thematic!E$1,FALSE)</f>
        <v>0.62</v>
      </c>
      <c r="F7" s="259">
        <f>VLOOKUP($A7, Sheet4!$A$2:$L$688, Consol_Thematic!F$1,FALSE)</f>
        <v>0.98</v>
      </c>
      <c r="G7" s="259">
        <f>VLOOKUP($A7, Sheet4!$A$2:$L$688, Consol_Thematic!G$1,FALSE)</f>
        <v>-1</v>
      </c>
      <c r="H7" s="260">
        <f>VLOOKUP($A7, Sheet4!$A$2:$L$688, Consol_Thematic!H$1,FALSE)</f>
        <v>2.44</v>
      </c>
      <c r="I7" s="259">
        <f>VLOOKUP($A7, Sheet4!$A$2:$L$688, Consol_Thematic!I$1,FALSE)</f>
        <v>0.98</v>
      </c>
      <c r="J7" s="259">
        <f>VLOOKUP($A7, Sheet4!$A$2:$L$688, Consol_Thematic!J$1,FALSE)</f>
        <v>14.57</v>
      </c>
      <c r="K7" s="264">
        <f t="shared" si="0"/>
        <v>1</v>
      </c>
      <c r="L7" s="264">
        <f t="shared" si="1"/>
        <v>0</v>
      </c>
      <c r="M7" s="264">
        <f t="shared" si="2"/>
        <v>0.51901874310915097</v>
      </c>
      <c r="N7" s="264">
        <f t="shared" si="3"/>
        <v>0</v>
      </c>
      <c r="O7" s="264">
        <f t="shared" si="4"/>
        <v>0.34838998211091232</v>
      </c>
      <c r="P7" s="264">
        <f t="shared" si="5"/>
        <v>0.57943925233644855</v>
      </c>
      <c r="Q7" s="264">
        <f t="shared" si="6"/>
        <v>0.50256410256410255</v>
      </c>
      <c r="R7" s="264">
        <f t="shared" si="7"/>
        <v>0.1764705882352941</v>
      </c>
      <c r="S7" s="264">
        <f t="shared" si="8"/>
        <v>0.23193473193473196</v>
      </c>
      <c r="T7" s="264" t="e">
        <f>(K7*'Fund Ranking Criteria'!$J$9)+('Fund Ranking Criteria'!$J$10*Consol_Thematic!M7)+('Fund Ranking Criteria'!$J$12*Consol_Thematic!S7)+('Fund Ranking Criteria'!$J$14*Consol_Thematic!R7)+('Fund Ranking Criteria'!$J$15*Consol_Thematic!O7)+('Fund Ranking Criteria'!$J$16*Consol_Thematic!P7)+('Fund Ranking Criteria'!#REF!*Consol_Thematic!Q7)+('Fund Ranking Criteria'!#REF!*Consol_Thematic!L7)</f>
        <v>#REF!</v>
      </c>
      <c r="U7" s="289" t="e">
        <f t="shared" si="9"/>
        <v>#REF!</v>
      </c>
      <c r="V7" s="261" t="e">
        <f t="shared" si="10"/>
        <v>#REF!</v>
      </c>
      <c r="W7" s="261" t="str">
        <f t="shared" si="11"/>
        <v>Aditya Birla Sun Life ESG Integration Strategy Fund - Regular Plan</v>
      </c>
    </row>
    <row r="8" spans="1:23" x14ac:dyDescent="0.25">
      <c r="A8" s="259" t="s">
        <v>80</v>
      </c>
      <c r="B8" s="260">
        <f>VLOOKUP($A8, Sheet4!$A$2:$L$688, Consol_Thematic!B$1,FALSE)</f>
        <v>6.07</v>
      </c>
      <c r="C8" s="260">
        <f>VLOOKUP($A8, Sheet4!$A$2:$L$688, Consol_Thematic!C$1,FALSE)</f>
        <v>20.38</v>
      </c>
      <c r="D8" s="260">
        <f>VLOOKUP($A8, Sheet4!$A$2:$L$688, Consol_Thematic!D$1,FALSE)</f>
        <v>22.07</v>
      </c>
      <c r="E8" s="260">
        <f>VLOOKUP($A8, Sheet4!$A$2:$L$688, Consol_Thematic!E$1,FALSE)</f>
        <v>0.75</v>
      </c>
      <c r="F8" s="260">
        <f>VLOOKUP($A8, Sheet4!$A$2:$L$688, Consol_Thematic!F$1,FALSE)</f>
        <v>1.1599999999999999</v>
      </c>
      <c r="G8" s="260">
        <f>VLOOKUP($A8, Sheet4!$A$2:$L$688, Consol_Thematic!G$1,FALSE)</f>
        <v>-0.37</v>
      </c>
      <c r="H8" s="260">
        <f>VLOOKUP($A8, Sheet4!$A$2:$L$688, Consol_Thematic!H$1,FALSE)</f>
        <v>1.85</v>
      </c>
      <c r="I8" s="260">
        <f>VLOOKUP($A8, Sheet4!$A$2:$L$688, Consol_Thematic!I$1,FALSE)</f>
        <v>0.79</v>
      </c>
      <c r="J8" s="260">
        <f>VLOOKUP($A8, Sheet4!$A$2:$L$688, Consol_Thematic!J$1,FALSE)</f>
        <v>14.6</v>
      </c>
      <c r="K8" s="264">
        <f t="shared" si="0"/>
        <v>0.81484202792064664</v>
      </c>
      <c r="L8" s="264">
        <f t="shared" si="1"/>
        <v>0.90769230769230758</v>
      </c>
      <c r="M8" s="264">
        <f t="shared" si="2"/>
        <v>0.56174200661521489</v>
      </c>
      <c r="N8" s="264">
        <f t="shared" si="3"/>
        <v>0.71101804123711343</v>
      </c>
      <c r="O8" s="264">
        <f t="shared" si="4"/>
        <v>0.34704830053667263</v>
      </c>
      <c r="P8" s="264">
        <f t="shared" si="5"/>
        <v>0.7009345794392523</v>
      </c>
      <c r="Q8" s="264">
        <f t="shared" si="6"/>
        <v>0.59487179487179487</v>
      </c>
      <c r="R8" s="264">
        <f t="shared" si="7"/>
        <v>0.33613445378151252</v>
      </c>
      <c r="S8" s="264">
        <f t="shared" si="8"/>
        <v>0.30536130536130535</v>
      </c>
      <c r="T8" s="264" t="e">
        <f>(K8*'Fund Ranking Criteria'!$J$9)+('Fund Ranking Criteria'!$J$10*Consol_Thematic!M8)+('Fund Ranking Criteria'!$J$12*Consol_Thematic!S8)+('Fund Ranking Criteria'!$J$14*Consol_Thematic!R8)+('Fund Ranking Criteria'!$J$15*Consol_Thematic!O8)+('Fund Ranking Criteria'!$J$16*Consol_Thematic!P8)+('Fund Ranking Criteria'!#REF!*Consol_Thematic!Q8)+('Fund Ranking Criteria'!#REF!*Consol_Thematic!L8)</f>
        <v>#REF!</v>
      </c>
      <c r="U8" s="289" t="e">
        <f t="shared" si="9"/>
        <v>#REF!</v>
      </c>
      <c r="V8" s="261" t="e">
        <f t="shared" si="10"/>
        <v>#REF!</v>
      </c>
      <c r="W8" s="261" t="str">
        <f t="shared" si="11"/>
        <v>Aditya Birla Sun Life India GenNext Fund - Regular Plan</v>
      </c>
    </row>
    <row r="9" spans="1:23" x14ac:dyDescent="0.25">
      <c r="A9" s="259" t="s">
        <v>82</v>
      </c>
      <c r="B9" s="260">
        <f>VLOOKUP($A9, Sheet4!$A$2:$L$688, Consol_Thematic!B$1,FALSE)</f>
        <v>1.1399999999999999</v>
      </c>
      <c r="C9" s="260">
        <f>VLOOKUP($A9, Sheet4!$A$2:$L$688, Consol_Thematic!C$1,FALSE)</f>
        <v>22.32</v>
      </c>
      <c r="D9" s="260">
        <f>VLOOKUP($A9, Sheet4!$A$2:$L$688, Consol_Thematic!D$1,FALSE)</f>
        <v>20.59</v>
      </c>
      <c r="E9" s="260">
        <f>VLOOKUP($A9, Sheet4!$A$2:$L$688, Consol_Thematic!E$1,FALSE)</f>
        <v>0.8</v>
      </c>
      <c r="F9" s="260">
        <f>VLOOKUP($A9, Sheet4!$A$2:$L$688, Consol_Thematic!F$1,FALSE)</f>
        <v>1.25</v>
      </c>
      <c r="G9" s="260">
        <f>VLOOKUP($A9, Sheet4!$A$2:$L$688, Consol_Thematic!G$1,FALSE)</f>
        <v>0.88</v>
      </c>
      <c r="H9" s="260">
        <f>VLOOKUP($A9, Sheet4!$A$2:$L$688, Consol_Thematic!H$1,FALSE)</f>
        <v>2.29</v>
      </c>
      <c r="I9" s="260">
        <f>VLOOKUP($A9, Sheet4!$A$2:$L$688, Consol_Thematic!I$1,FALSE)</f>
        <v>1.07</v>
      </c>
      <c r="J9" s="260">
        <f>VLOOKUP($A9, Sheet4!$A$2:$L$688, Consol_Thematic!J$1,FALSE)</f>
        <v>16.43</v>
      </c>
      <c r="K9" s="264">
        <f t="shared" si="0"/>
        <v>0.45260837619397498</v>
      </c>
      <c r="L9" s="264">
        <f t="shared" si="1"/>
        <v>0.23076923076923067</v>
      </c>
      <c r="M9" s="264">
        <f t="shared" si="2"/>
        <v>0.61521499448732087</v>
      </c>
      <c r="N9" s="264">
        <f t="shared" si="3"/>
        <v>0.66333762886597936</v>
      </c>
      <c r="O9" s="264">
        <f t="shared" si="4"/>
        <v>0.26520572450805008</v>
      </c>
      <c r="P9" s="264">
        <f t="shared" si="5"/>
        <v>0.74766355140186913</v>
      </c>
      <c r="Q9" s="264">
        <f t="shared" si="6"/>
        <v>0.64102564102564108</v>
      </c>
      <c r="R9" s="264">
        <f t="shared" si="7"/>
        <v>0.10084033613445369</v>
      </c>
      <c r="S9" s="264">
        <f t="shared" si="8"/>
        <v>0.45104895104895104</v>
      </c>
      <c r="T9" s="264" t="e">
        <f>(K9*'Fund Ranking Criteria'!$J$9)+('Fund Ranking Criteria'!$J$10*Consol_Thematic!M9)+('Fund Ranking Criteria'!$J$12*Consol_Thematic!S9)+('Fund Ranking Criteria'!$J$14*Consol_Thematic!R9)+('Fund Ranking Criteria'!$J$15*Consol_Thematic!O9)+('Fund Ranking Criteria'!$J$16*Consol_Thematic!P9)+('Fund Ranking Criteria'!#REF!*Consol_Thematic!Q9)+('Fund Ranking Criteria'!#REF!*Consol_Thematic!L9)</f>
        <v>#REF!</v>
      </c>
      <c r="U9" s="289" t="e">
        <f t="shared" si="9"/>
        <v>#REF!</v>
      </c>
      <c r="V9" s="261" t="e">
        <f t="shared" si="10"/>
        <v>#REF!</v>
      </c>
      <c r="W9" s="261" t="str">
        <f t="shared" si="11"/>
        <v>Aditya Birla Sun Life Manufacturing Equity Fund - Regular Plan</v>
      </c>
    </row>
    <row r="10" spans="1:23" x14ac:dyDescent="0.25">
      <c r="A10" s="259" t="s">
        <v>85</v>
      </c>
      <c r="B10" s="260">
        <f>VLOOKUP($A10, Sheet4!$A$2:$L$688, Consol_Thematic!B$1,FALSE)</f>
        <v>-1.1299999999999999</v>
      </c>
      <c r="C10" s="259">
        <f>VLOOKUP($A10, Sheet4!$A$2:$L$688, Consol_Thematic!C$1,FALSE)</f>
        <v>16.14</v>
      </c>
      <c r="D10" s="259">
        <f>VLOOKUP($A10, Sheet4!$A$2:$L$688, Consol_Thematic!D$1,FALSE)</f>
        <v>13.07</v>
      </c>
      <c r="E10" s="259">
        <f>VLOOKUP($A10, Sheet4!$A$2:$L$688, Consol_Thematic!E$1,FALSE)</f>
        <v>0.52</v>
      </c>
      <c r="F10" s="259">
        <f>VLOOKUP($A10, Sheet4!$A$2:$L$688, Consol_Thematic!F$1,FALSE)</f>
        <v>0.89</v>
      </c>
      <c r="G10" s="259">
        <f>VLOOKUP($A10, Sheet4!$A$2:$L$688, Consol_Thematic!G$1,FALSE)</f>
        <v>-2.66</v>
      </c>
      <c r="H10" s="260">
        <f>VLOOKUP($A10, Sheet4!$A$2:$L$688, Consol_Thematic!H$1,FALSE)</f>
        <v>2.0099999999999998</v>
      </c>
      <c r="I10" s="259">
        <f>VLOOKUP($A10, Sheet4!$A$2:$L$688, Consol_Thematic!I$1,FALSE)</f>
        <v>0.9</v>
      </c>
      <c r="J10" s="259">
        <f>VLOOKUP($A10, Sheet4!$A$2:$L$688, Consol_Thematic!J$1,FALSE)</f>
        <v>14.9</v>
      </c>
      <c r="K10" s="264">
        <f t="shared" si="0"/>
        <v>0.28581925055106538</v>
      </c>
      <c r="L10" s="264">
        <f t="shared" si="1"/>
        <v>0.66153846153846185</v>
      </c>
      <c r="M10" s="264">
        <f t="shared" si="2"/>
        <v>0.44487320837927236</v>
      </c>
      <c r="N10" s="264">
        <f t="shared" si="3"/>
        <v>0.42106958762886598</v>
      </c>
      <c r="O10" s="264">
        <f t="shared" si="4"/>
        <v>0.33363148479427546</v>
      </c>
      <c r="P10" s="264">
        <f t="shared" si="5"/>
        <v>0.48598130841121495</v>
      </c>
      <c r="Q10" s="264">
        <f t="shared" si="6"/>
        <v>0.45641025641025645</v>
      </c>
      <c r="R10" s="264">
        <f t="shared" si="7"/>
        <v>0.24369747899159658</v>
      </c>
      <c r="S10" s="264">
        <f t="shared" si="8"/>
        <v>3.8461538461538471E-2</v>
      </c>
      <c r="T10" s="264" t="e">
        <f>(K10*'Fund Ranking Criteria'!$J$9)+('Fund Ranking Criteria'!$J$10*Consol_Thematic!M10)+('Fund Ranking Criteria'!$J$12*Consol_Thematic!S10)+('Fund Ranking Criteria'!$J$14*Consol_Thematic!R10)+('Fund Ranking Criteria'!$J$15*Consol_Thematic!O10)+('Fund Ranking Criteria'!$J$16*Consol_Thematic!P10)+('Fund Ranking Criteria'!#REF!*Consol_Thematic!Q10)+('Fund Ranking Criteria'!#REF!*Consol_Thematic!L10)</f>
        <v>#REF!</v>
      </c>
      <c r="U10" s="289" t="e">
        <f t="shared" si="9"/>
        <v>#REF!</v>
      </c>
      <c r="V10" s="261" t="e">
        <f t="shared" si="10"/>
        <v>#REF!</v>
      </c>
      <c r="W10" s="261" t="str">
        <f t="shared" si="11"/>
        <v>Aditya Birla Sun Life MNC Fund - Regular Plan</v>
      </c>
    </row>
    <row r="11" spans="1:23" x14ac:dyDescent="0.25">
      <c r="A11" s="259" t="s">
        <v>104</v>
      </c>
      <c r="B11" s="260">
        <f>VLOOKUP($A11, Sheet4!$A$2:$L$688, Consol_Thematic!B$1,FALSE)</f>
        <v>-5.0199999999999996</v>
      </c>
      <c r="C11" s="260">
        <f>VLOOKUP($A11, Sheet4!$A$2:$L$688, Consol_Thematic!C$1,FALSE)</f>
        <v>36.28</v>
      </c>
      <c r="D11" s="259">
        <f>VLOOKUP($A11, Sheet4!$A$2:$L$688, Consol_Thematic!D$1,FALSE)</f>
        <v>31.04</v>
      </c>
      <c r="E11" s="260">
        <f>VLOOKUP($A11, Sheet4!$A$2:$L$688, Consol_Thematic!E$1,FALSE)</f>
        <v>1.07</v>
      </c>
      <c r="F11" s="260">
        <f>VLOOKUP($A11, Sheet4!$A$2:$L$688, Consol_Thematic!F$1,FALSE)</f>
        <v>1.95</v>
      </c>
      <c r="G11" s="260">
        <f>VLOOKUP($A11, Sheet4!$A$2:$L$688, Consol_Thematic!G$1,FALSE)</f>
        <v>-2.99</v>
      </c>
      <c r="H11" s="260">
        <f>VLOOKUP($A11, Sheet4!$A$2:$L$688, Consol_Thematic!H$1,FALSE)</f>
        <v>1.79</v>
      </c>
      <c r="I11" s="260">
        <f>VLOOKUP($A11, Sheet4!$A$2:$L$688, Consol_Thematic!I$1,FALSE)</f>
        <v>0.97</v>
      </c>
      <c r="J11" s="260">
        <f>VLOOKUP($A11, Sheet4!$A$2:$L$688, Consol_Thematic!J$1,FALSE)</f>
        <v>22.36</v>
      </c>
      <c r="K11" s="264">
        <f t="shared" si="0"/>
        <v>0</v>
      </c>
      <c r="L11" s="264">
        <f t="shared" si="1"/>
        <v>1</v>
      </c>
      <c r="M11" s="264">
        <f t="shared" si="2"/>
        <v>1</v>
      </c>
      <c r="N11" s="264">
        <f t="shared" si="3"/>
        <v>1</v>
      </c>
      <c r="O11" s="264">
        <f t="shared" si="4"/>
        <v>0</v>
      </c>
      <c r="P11" s="264">
        <f t="shared" si="5"/>
        <v>1</v>
      </c>
      <c r="Q11" s="264">
        <f t="shared" si="6"/>
        <v>1</v>
      </c>
      <c r="R11" s="264">
        <f t="shared" si="7"/>
        <v>0.18487394957983191</v>
      </c>
      <c r="S11" s="264">
        <f t="shared" si="8"/>
        <v>0</v>
      </c>
      <c r="T11" s="264" t="e">
        <f>(K11*'Fund Ranking Criteria'!$J$9)+('Fund Ranking Criteria'!$J$10*Consol_Thematic!M11)+('Fund Ranking Criteria'!$J$12*Consol_Thematic!S11)+('Fund Ranking Criteria'!$J$14*Consol_Thematic!R11)+('Fund Ranking Criteria'!$J$15*Consol_Thematic!O11)+('Fund Ranking Criteria'!$J$16*Consol_Thematic!P11)+('Fund Ranking Criteria'!#REF!*Consol_Thematic!Q11)+('Fund Ranking Criteria'!#REF!*Consol_Thematic!L11)</f>
        <v>#REF!</v>
      </c>
      <c r="U11" s="289" t="e">
        <f t="shared" si="9"/>
        <v>#REF!</v>
      </c>
      <c r="V11" s="261" t="e">
        <f t="shared" si="10"/>
        <v>#REF!</v>
      </c>
      <c r="W11" s="261" t="str">
        <f t="shared" si="11"/>
        <v>Aditya Birla Sun Life PSU Equity Fund - Regular Plan</v>
      </c>
    </row>
    <row r="12" spans="1:23" x14ac:dyDescent="0.25">
      <c r="A12" s="259" t="s">
        <v>105</v>
      </c>
      <c r="B12" s="260">
        <f>VLOOKUP($A12, Sheet4!$A$2:$L$688, Consol_Thematic!B$1,FALSE)</f>
        <v>0</v>
      </c>
      <c r="C12" s="260">
        <f>VLOOKUP($A12, Sheet4!$A$2:$L$688, Consol_Thematic!C$1,FALSE)</f>
        <v>0</v>
      </c>
      <c r="D12" s="260">
        <f>VLOOKUP($A12, Sheet4!$A$2:$L$688, Consol_Thematic!D$1,FALSE)</f>
        <v>0</v>
      </c>
      <c r="E12" s="260">
        <f>VLOOKUP($A12, Sheet4!$A$2:$L$688, Consol_Thematic!E$1,FALSE)</f>
        <v>0</v>
      </c>
      <c r="F12" s="260">
        <f>VLOOKUP($A12, Sheet4!$A$2:$L$688, Consol_Thematic!F$1,FALSE)</f>
        <v>0</v>
      </c>
      <c r="G12" s="260">
        <f>VLOOKUP($A12, Sheet4!$A$2:$L$688, Consol_Thematic!G$1,FALSE)</f>
        <v>0</v>
      </c>
      <c r="H12" s="260">
        <f>VLOOKUP($A12, Sheet4!$A$2:$L$688, Consol_Thematic!H$1,FALSE)</f>
        <v>1.97</v>
      </c>
      <c r="I12" s="260">
        <f>VLOOKUP($A12, Sheet4!$A$2:$L$688, Consol_Thematic!I$1,FALSE)</f>
        <v>0</v>
      </c>
      <c r="J12" s="260">
        <f>VLOOKUP($A12, Sheet4!$A$2:$L$688, Consol_Thematic!J$1,FALSE)</f>
        <v>0</v>
      </c>
      <c r="K12" s="264">
        <f t="shared" si="0"/>
        <v>0.36884643644379134</v>
      </c>
      <c r="L12" s="264">
        <f t="shared" si="1"/>
        <v>0.72307692307692317</v>
      </c>
      <c r="M12" s="264">
        <f t="shared" si="2"/>
        <v>0</v>
      </c>
      <c r="N12" s="264">
        <f t="shared" si="3"/>
        <v>0</v>
      </c>
      <c r="O12" s="264">
        <f t="shared" si="4"/>
        <v>1</v>
      </c>
      <c r="P12" s="264">
        <f t="shared" si="5"/>
        <v>0</v>
      </c>
      <c r="Q12" s="264">
        <f t="shared" si="6"/>
        <v>0</v>
      </c>
      <c r="R12" s="264">
        <f t="shared" si="7"/>
        <v>1</v>
      </c>
      <c r="S12" s="264">
        <f t="shared" si="8"/>
        <v>0.34848484848484851</v>
      </c>
      <c r="T12" s="264" t="e">
        <f>(K12*'Fund Ranking Criteria'!$J$9)+('Fund Ranking Criteria'!$J$10*Consol_Thematic!M12)+('Fund Ranking Criteria'!$J$12*Consol_Thematic!S12)+('Fund Ranking Criteria'!$J$14*Consol_Thematic!R12)+('Fund Ranking Criteria'!$J$15*Consol_Thematic!O12)+('Fund Ranking Criteria'!$J$16*Consol_Thematic!P12)+('Fund Ranking Criteria'!#REF!*Consol_Thematic!Q12)+('Fund Ranking Criteria'!#REF!*Consol_Thematic!L12)</f>
        <v>#REF!</v>
      </c>
      <c r="U12" s="289" t="e">
        <f t="shared" si="9"/>
        <v>#REF!</v>
      </c>
      <c r="V12" s="261" t="e">
        <f t="shared" si="10"/>
        <v>#REF!</v>
      </c>
      <c r="W12" s="261" t="str">
        <f t="shared" si="11"/>
        <v>Aditya Birla Sun Life Quant Fund - Regular Plan</v>
      </c>
    </row>
    <row r="13" spans="1:23" x14ac:dyDescent="0.25">
      <c r="A13" s="259" t="s">
        <v>108</v>
      </c>
      <c r="B13" s="260">
        <f>VLOOKUP($A13, Sheet4!$A$2:$L$688, Consol_Thematic!B$1,FALSE)</f>
        <v>7.75</v>
      </c>
      <c r="C13" s="260">
        <f>VLOOKUP($A13, Sheet4!$A$2:$L$688, Consol_Thematic!C$1,FALSE)</f>
        <v>22.11</v>
      </c>
      <c r="D13" s="259">
        <f>VLOOKUP($A13, Sheet4!$A$2:$L$688, Consol_Thematic!D$1,FALSE)</f>
        <v>0</v>
      </c>
      <c r="E13" s="260">
        <f>VLOOKUP($A13, Sheet4!$A$2:$L$688, Consol_Thematic!E$1,FALSE)</f>
        <v>0.79</v>
      </c>
      <c r="F13" s="260">
        <f>VLOOKUP($A13, Sheet4!$A$2:$L$688, Consol_Thematic!F$1,FALSE)</f>
        <v>1.39</v>
      </c>
      <c r="G13" s="260">
        <f>VLOOKUP($A13, Sheet4!$A$2:$L$688, Consol_Thematic!G$1,FALSE)</f>
        <v>0.3</v>
      </c>
      <c r="H13" s="260">
        <f>VLOOKUP($A13, Sheet4!$A$2:$L$688, Consol_Thematic!H$1,FALSE)</f>
        <v>2.39</v>
      </c>
      <c r="I13" s="260">
        <f>VLOOKUP($A13, Sheet4!$A$2:$L$688, Consol_Thematic!I$1,FALSE)</f>
        <v>0.99</v>
      </c>
      <c r="J13" s="260">
        <f>VLOOKUP($A13, Sheet4!$A$2:$L$688, Consol_Thematic!J$1,FALSE)</f>
        <v>14.79</v>
      </c>
      <c r="K13" s="264">
        <f t="shared" si="0"/>
        <v>0.93828067597354892</v>
      </c>
      <c r="L13" s="264">
        <f t="shared" si="1"/>
        <v>7.6923076923076664E-2</v>
      </c>
      <c r="M13" s="264">
        <f t="shared" si="2"/>
        <v>0.6094266813671444</v>
      </c>
      <c r="N13" s="264">
        <f t="shared" si="3"/>
        <v>0</v>
      </c>
      <c r="O13" s="264">
        <f t="shared" si="4"/>
        <v>0.33855098389982113</v>
      </c>
      <c r="P13" s="264">
        <f t="shared" si="5"/>
        <v>0.73831775700934577</v>
      </c>
      <c r="Q13" s="264">
        <f t="shared" si="6"/>
        <v>0.71282051282051284</v>
      </c>
      <c r="R13" s="264">
        <f t="shared" si="7"/>
        <v>0.16806722689075626</v>
      </c>
      <c r="S13" s="264">
        <f t="shared" si="8"/>
        <v>0.38344988344988346</v>
      </c>
      <c r="T13" s="264" t="e">
        <f>(K13*'Fund Ranking Criteria'!$J$9)+('Fund Ranking Criteria'!$J$10*Consol_Thematic!M13)+('Fund Ranking Criteria'!$J$12*Consol_Thematic!S13)+('Fund Ranking Criteria'!$J$14*Consol_Thematic!R13)+('Fund Ranking Criteria'!$J$15*Consol_Thematic!O13)+('Fund Ranking Criteria'!$J$16*Consol_Thematic!P13)+('Fund Ranking Criteria'!#REF!*Consol_Thematic!Q13)+('Fund Ranking Criteria'!#REF!*Consol_Thematic!L13)</f>
        <v>#REF!</v>
      </c>
      <c r="U13" s="289" t="e">
        <f t="shared" si="9"/>
        <v>#REF!</v>
      </c>
      <c r="V13" s="261" t="e">
        <f t="shared" si="10"/>
        <v>#REF!</v>
      </c>
      <c r="W13" s="261" t="str">
        <f t="shared" si="11"/>
        <v>Aditya Birla Sun Life Special Opportunities Fund - Regular Plan</v>
      </c>
    </row>
    <row r="14" spans="1:23" x14ac:dyDescent="0.25">
      <c r="A14" s="259" t="s">
        <v>109</v>
      </c>
      <c r="B14" s="260">
        <f>VLOOKUP($A14, Sheet4!$A$2:$L$688, Consol_Thematic!B$1,FALSE)</f>
        <v>-3.98</v>
      </c>
      <c r="C14" s="260">
        <f>VLOOKUP($A14, Sheet4!$A$2:$L$688, Consol_Thematic!C$1,FALSE)</f>
        <v>0</v>
      </c>
      <c r="D14" s="259">
        <f>VLOOKUP($A14, Sheet4!$A$2:$L$688, Consol_Thematic!D$1,FALSE)</f>
        <v>0</v>
      </c>
      <c r="E14" s="260">
        <f>VLOOKUP($A14, Sheet4!$A$2:$L$688, Consol_Thematic!E$1,FALSE)</f>
        <v>0</v>
      </c>
      <c r="F14" s="260">
        <f>VLOOKUP($A14, Sheet4!$A$2:$L$688, Consol_Thematic!F$1,FALSE)</f>
        <v>0</v>
      </c>
      <c r="G14" s="260">
        <f>VLOOKUP($A14, Sheet4!$A$2:$L$688, Consol_Thematic!G$1,FALSE)</f>
        <v>0</v>
      </c>
      <c r="H14" s="260">
        <f>VLOOKUP($A14, Sheet4!$A$2:$L$688, Consol_Thematic!H$1,FALSE)</f>
        <v>2.11</v>
      </c>
      <c r="I14" s="260">
        <f>VLOOKUP($A14, Sheet4!$A$2:$L$688, Consol_Thematic!I$1,FALSE)</f>
        <v>0</v>
      </c>
      <c r="J14" s="260">
        <f>VLOOKUP($A14, Sheet4!$A$2:$L$688, Consol_Thematic!J$1,FALSE)</f>
        <v>0</v>
      </c>
      <c r="K14" s="264">
        <f t="shared" si="0"/>
        <v>7.6414401175606148E-2</v>
      </c>
      <c r="L14" s="264">
        <f t="shared" si="1"/>
        <v>0.50769230769230789</v>
      </c>
      <c r="M14" s="264">
        <f t="shared" si="2"/>
        <v>0</v>
      </c>
      <c r="N14" s="264">
        <f t="shared" si="3"/>
        <v>0</v>
      </c>
      <c r="O14" s="264">
        <f t="shared" si="4"/>
        <v>1</v>
      </c>
      <c r="P14" s="264">
        <f t="shared" si="5"/>
        <v>0</v>
      </c>
      <c r="Q14" s="264">
        <f t="shared" si="6"/>
        <v>0</v>
      </c>
      <c r="R14" s="264">
        <f t="shared" si="7"/>
        <v>1</v>
      </c>
      <c r="S14" s="264">
        <f t="shared" si="8"/>
        <v>0.34848484848484851</v>
      </c>
      <c r="T14" s="264" t="e">
        <f>(K14*'Fund Ranking Criteria'!$J$9)+('Fund Ranking Criteria'!$J$10*Consol_Thematic!M14)+('Fund Ranking Criteria'!$J$12*Consol_Thematic!S14)+('Fund Ranking Criteria'!$J$14*Consol_Thematic!R14)+('Fund Ranking Criteria'!$J$15*Consol_Thematic!O14)+('Fund Ranking Criteria'!$J$16*Consol_Thematic!P14)+('Fund Ranking Criteria'!#REF!*Consol_Thematic!Q14)+('Fund Ranking Criteria'!#REF!*Consol_Thematic!L14)</f>
        <v>#REF!</v>
      </c>
      <c r="U14" s="289" t="e">
        <f t="shared" si="9"/>
        <v>#REF!</v>
      </c>
      <c r="V14" s="261" t="e">
        <f t="shared" si="10"/>
        <v>#REF!</v>
      </c>
      <c r="W14" s="261" t="str">
        <f t="shared" si="11"/>
        <v>Aditya Birla Sun Life Transportation and Logistics Fund - Regular Plan</v>
      </c>
    </row>
    <row r="15" spans="1:23" x14ac:dyDescent="0.25">
      <c r="A15" s="259" t="s">
        <v>117</v>
      </c>
      <c r="B15" s="259">
        <f>VLOOKUP($A15, Sheet4!$A$2:$L$688, Consol_Thematic!B$1,FALSE)</f>
        <v>4.74</v>
      </c>
      <c r="C15" s="259">
        <f>VLOOKUP($A15, Sheet4!$A$2:$L$688, Consol_Thematic!C$1,FALSE)</f>
        <v>0</v>
      </c>
      <c r="D15" s="259">
        <f>VLOOKUP($A15, Sheet4!$A$2:$L$688, Consol_Thematic!D$1,FALSE)</f>
        <v>0</v>
      </c>
      <c r="E15" s="259">
        <f>VLOOKUP($A15, Sheet4!$A$2:$L$688, Consol_Thematic!E$1,FALSE)</f>
        <v>0</v>
      </c>
      <c r="F15" s="259">
        <f>VLOOKUP($A15, Sheet4!$A$2:$L$688, Consol_Thematic!F$1,FALSE)</f>
        <v>0</v>
      </c>
      <c r="G15" s="259">
        <f>VLOOKUP($A15, Sheet4!$A$2:$L$688, Consol_Thematic!G$1,FALSE)</f>
        <v>0</v>
      </c>
      <c r="H15" s="260">
        <f>VLOOKUP($A15, Sheet4!$A$2:$L$688, Consol_Thematic!H$1,FALSE)</f>
        <v>1.99</v>
      </c>
      <c r="I15" s="259">
        <f>VLOOKUP($A15, Sheet4!$A$2:$L$688, Consol_Thematic!I$1,FALSE)</f>
        <v>0</v>
      </c>
      <c r="J15" s="259">
        <f>VLOOKUP($A15, Sheet4!$A$2:$L$688, Consol_Thematic!J$1,FALSE)</f>
        <v>0</v>
      </c>
      <c r="K15" s="264">
        <f t="shared" si="0"/>
        <v>0.71711976487876561</v>
      </c>
      <c r="L15" s="264">
        <f t="shared" si="1"/>
        <v>0.69230769230769229</v>
      </c>
      <c r="M15" s="264">
        <f t="shared" si="2"/>
        <v>0</v>
      </c>
      <c r="N15" s="264">
        <f t="shared" si="3"/>
        <v>0</v>
      </c>
      <c r="O15" s="264">
        <f t="shared" si="4"/>
        <v>1</v>
      </c>
      <c r="P15" s="264">
        <f t="shared" si="5"/>
        <v>0</v>
      </c>
      <c r="Q15" s="264">
        <f t="shared" si="6"/>
        <v>0</v>
      </c>
      <c r="R15" s="264">
        <f t="shared" si="7"/>
        <v>1</v>
      </c>
      <c r="S15" s="264">
        <f t="shared" si="8"/>
        <v>0.34848484848484851</v>
      </c>
      <c r="T15" s="264" t="e">
        <f>(K15*'Fund Ranking Criteria'!$J$9)+('Fund Ranking Criteria'!$J$10*Consol_Thematic!M15)+('Fund Ranking Criteria'!$J$12*Consol_Thematic!S15)+('Fund Ranking Criteria'!$J$14*Consol_Thematic!R15)+('Fund Ranking Criteria'!$J$15*Consol_Thematic!O15)+('Fund Ranking Criteria'!$J$16*Consol_Thematic!P15)+('Fund Ranking Criteria'!#REF!*Consol_Thematic!Q15)+('Fund Ranking Criteria'!#REF!*Consol_Thematic!L15)</f>
        <v>#REF!</v>
      </c>
      <c r="U15" s="289" t="e">
        <f t="shared" si="9"/>
        <v>#REF!</v>
      </c>
      <c r="V15" s="261" t="e">
        <f t="shared" si="10"/>
        <v>#REF!</v>
      </c>
      <c r="W15" s="261" t="str">
        <f t="shared" si="11"/>
        <v>Axis Business Cycles Fund - Regular Plan</v>
      </c>
    </row>
    <row r="16" spans="1:23" x14ac:dyDescent="0.25">
      <c r="A16" s="259" t="s">
        <v>118</v>
      </c>
      <c r="B16" s="260">
        <f>VLOOKUP($A16, Sheet4!$A$2:$L$688, Consol_Thematic!B$1,FALSE)</f>
        <v>0</v>
      </c>
      <c r="C16" s="260">
        <f>VLOOKUP($A16, Sheet4!$A$2:$L$688, Consol_Thematic!C$1,FALSE)</f>
        <v>0</v>
      </c>
      <c r="D16" s="260">
        <f>VLOOKUP($A16, Sheet4!$A$2:$L$688, Consol_Thematic!D$1,FALSE)</f>
        <v>0</v>
      </c>
      <c r="E16" s="260">
        <f>VLOOKUP($A16, Sheet4!$A$2:$L$688, Consol_Thematic!E$1,FALSE)</f>
        <v>0</v>
      </c>
      <c r="F16" s="260">
        <f>VLOOKUP($A16, Sheet4!$A$2:$L$688, Consol_Thematic!F$1,FALSE)</f>
        <v>0</v>
      </c>
      <c r="G16" s="260">
        <f>VLOOKUP($A16, Sheet4!$A$2:$L$688, Consol_Thematic!G$1,FALSE)</f>
        <v>0</v>
      </c>
      <c r="H16" s="260">
        <f>VLOOKUP($A16, Sheet4!$A$2:$L$688, Consol_Thematic!H$1,FALSE)</f>
        <v>1.86</v>
      </c>
      <c r="I16" s="260">
        <f>VLOOKUP($A16, Sheet4!$A$2:$L$688, Consol_Thematic!I$1,FALSE)</f>
        <v>0</v>
      </c>
      <c r="J16" s="260">
        <f>VLOOKUP($A16, Sheet4!$A$2:$L$688, Consol_Thematic!J$1,FALSE)</f>
        <v>0</v>
      </c>
      <c r="K16" s="264">
        <f t="shared" si="0"/>
        <v>0.36884643644379134</v>
      </c>
      <c r="L16" s="264">
        <f t="shared" si="1"/>
        <v>0.89230769230769225</v>
      </c>
      <c r="M16" s="264">
        <f t="shared" si="2"/>
        <v>0</v>
      </c>
      <c r="N16" s="264">
        <f t="shared" si="3"/>
        <v>0</v>
      </c>
      <c r="O16" s="264">
        <f t="shared" si="4"/>
        <v>1</v>
      </c>
      <c r="P16" s="264">
        <f t="shared" si="5"/>
        <v>0</v>
      </c>
      <c r="Q16" s="264">
        <f t="shared" si="6"/>
        <v>0</v>
      </c>
      <c r="R16" s="264">
        <f t="shared" si="7"/>
        <v>1</v>
      </c>
      <c r="S16" s="264">
        <f t="shared" si="8"/>
        <v>0.34848484848484851</v>
      </c>
      <c r="T16" s="264" t="e">
        <f>(K16*'Fund Ranking Criteria'!$J$9)+('Fund Ranking Criteria'!$J$10*Consol_Thematic!M16)+('Fund Ranking Criteria'!$J$12*Consol_Thematic!S16)+('Fund Ranking Criteria'!$J$14*Consol_Thematic!R16)+('Fund Ranking Criteria'!$J$15*Consol_Thematic!O16)+('Fund Ranking Criteria'!$J$16*Consol_Thematic!P16)+('Fund Ranking Criteria'!#REF!*Consol_Thematic!Q16)+('Fund Ranking Criteria'!#REF!*Consol_Thematic!L16)</f>
        <v>#REF!</v>
      </c>
      <c r="U16" s="289" t="e">
        <f t="shared" si="9"/>
        <v>#REF!</v>
      </c>
      <c r="V16" s="261" t="e">
        <f t="shared" si="10"/>
        <v>#REF!</v>
      </c>
      <c r="W16" s="261" t="str">
        <f t="shared" si="11"/>
        <v>Axis Consumption Fund - Regular Plan</v>
      </c>
    </row>
    <row r="17" spans="1:23" x14ac:dyDescent="0.25">
      <c r="A17" s="259" t="s">
        <v>120</v>
      </c>
      <c r="B17" s="260">
        <f>VLOOKUP($A17, Sheet4!$A$2:$L$688, Consol_Thematic!B$1,FALSE)</f>
        <v>5.35</v>
      </c>
      <c r="C17" s="260">
        <f>VLOOKUP($A17, Sheet4!$A$2:$L$688, Consol_Thematic!C$1,FALSE)</f>
        <v>17.329999999999998</v>
      </c>
      <c r="D17" s="259">
        <f>VLOOKUP($A17, Sheet4!$A$2:$L$688, Consol_Thematic!D$1,FALSE)</f>
        <v>16.46</v>
      </c>
      <c r="E17" s="260">
        <f>VLOOKUP($A17, Sheet4!$A$2:$L$688, Consol_Thematic!E$1,FALSE)</f>
        <v>0.52</v>
      </c>
      <c r="F17" s="260">
        <f>VLOOKUP($A17, Sheet4!$A$2:$L$688, Consol_Thematic!F$1,FALSE)</f>
        <v>0.79</v>
      </c>
      <c r="G17" s="260">
        <f>VLOOKUP($A17, Sheet4!$A$2:$L$688, Consol_Thematic!G$1,FALSE)</f>
        <v>-2.2400000000000002</v>
      </c>
      <c r="H17" s="260">
        <f>VLOOKUP($A17, Sheet4!$A$2:$L$688, Consol_Thematic!H$1,FALSE)</f>
        <v>2.2200000000000002</v>
      </c>
      <c r="I17" s="260">
        <f>VLOOKUP($A17, Sheet4!$A$2:$L$688, Consol_Thematic!I$1,FALSE)</f>
        <v>0.94</v>
      </c>
      <c r="J17" s="260">
        <f>VLOOKUP($A17, Sheet4!$A$2:$L$688, Consol_Thematic!J$1,FALSE)</f>
        <v>14.28</v>
      </c>
      <c r="K17" s="264">
        <f t="shared" si="0"/>
        <v>0.76193975018368842</v>
      </c>
      <c r="L17" s="264">
        <f t="shared" si="1"/>
        <v>0.33846153846153815</v>
      </c>
      <c r="M17" s="264">
        <f t="shared" si="2"/>
        <v>0.47767364939360524</v>
      </c>
      <c r="N17" s="264">
        <f t="shared" si="3"/>
        <v>0.53028350515463918</v>
      </c>
      <c r="O17" s="264">
        <f t="shared" si="4"/>
        <v>0.36135957066189628</v>
      </c>
      <c r="P17" s="264">
        <f t="shared" si="5"/>
        <v>0.48598130841121495</v>
      </c>
      <c r="Q17" s="264">
        <f t="shared" si="6"/>
        <v>0.40512820512820513</v>
      </c>
      <c r="R17" s="264">
        <f t="shared" si="7"/>
        <v>0.21008403361344538</v>
      </c>
      <c r="S17" s="264">
        <f t="shared" si="8"/>
        <v>8.7412587412587409E-2</v>
      </c>
      <c r="T17" s="264" t="e">
        <f>(K17*'Fund Ranking Criteria'!$J$9)+('Fund Ranking Criteria'!$J$10*Consol_Thematic!M17)+('Fund Ranking Criteria'!$J$12*Consol_Thematic!S17)+('Fund Ranking Criteria'!$J$14*Consol_Thematic!R17)+('Fund Ranking Criteria'!$J$15*Consol_Thematic!O17)+('Fund Ranking Criteria'!$J$16*Consol_Thematic!P17)+('Fund Ranking Criteria'!#REF!*Consol_Thematic!Q17)+('Fund Ranking Criteria'!#REF!*Consol_Thematic!L17)</f>
        <v>#REF!</v>
      </c>
      <c r="U17" s="289" t="e">
        <f t="shared" si="9"/>
        <v>#REF!</v>
      </c>
      <c r="V17" s="261" t="e">
        <f t="shared" si="10"/>
        <v>#REF!</v>
      </c>
      <c r="W17" s="261" t="str">
        <f t="shared" si="11"/>
        <v>Axis ESG Integration Strategy Fund - Regular Plan</v>
      </c>
    </row>
    <row r="18" spans="1:23" x14ac:dyDescent="0.25">
      <c r="A18" s="259" t="s">
        <v>123</v>
      </c>
      <c r="B18" s="260">
        <f>VLOOKUP($A18, Sheet4!$A$2:$L$688, Consol_Thematic!B$1,FALSE)</f>
        <v>-0.87</v>
      </c>
      <c r="C18" s="260">
        <f>VLOOKUP($A18, Sheet4!$A$2:$L$688, Consol_Thematic!C$1,FALSE)</f>
        <v>0</v>
      </c>
      <c r="D18" s="259">
        <f>VLOOKUP($A18, Sheet4!$A$2:$L$688, Consol_Thematic!D$1,FALSE)</f>
        <v>0</v>
      </c>
      <c r="E18" s="260">
        <f>VLOOKUP($A18, Sheet4!$A$2:$L$688, Consol_Thematic!E$1,FALSE)</f>
        <v>0</v>
      </c>
      <c r="F18" s="260">
        <f>VLOOKUP($A18, Sheet4!$A$2:$L$688, Consol_Thematic!F$1,FALSE)</f>
        <v>0</v>
      </c>
      <c r="G18" s="260">
        <f>VLOOKUP($A18, Sheet4!$A$2:$L$688, Consol_Thematic!G$1,FALSE)</f>
        <v>0</v>
      </c>
      <c r="H18" s="260">
        <f>VLOOKUP($A18, Sheet4!$A$2:$L$688, Consol_Thematic!H$1,FALSE)</f>
        <v>1.81</v>
      </c>
      <c r="I18" s="260">
        <f>VLOOKUP($A18, Sheet4!$A$2:$L$688, Consol_Thematic!I$1,FALSE)</f>
        <v>0</v>
      </c>
      <c r="J18" s="260">
        <f>VLOOKUP($A18, Sheet4!$A$2:$L$688, Consol_Thematic!J$1,FALSE)</f>
        <v>0</v>
      </c>
      <c r="K18" s="264">
        <f t="shared" si="0"/>
        <v>0.3049228508449669</v>
      </c>
      <c r="L18" s="264">
        <f t="shared" si="1"/>
        <v>0.96923076923076923</v>
      </c>
      <c r="M18" s="264">
        <f t="shared" si="2"/>
        <v>0</v>
      </c>
      <c r="N18" s="264">
        <f t="shared" si="3"/>
        <v>0</v>
      </c>
      <c r="O18" s="264">
        <f t="shared" si="4"/>
        <v>1</v>
      </c>
      <c r="P18" s="264">
        <f t="shared" si="5"/>
        <v>0</v>
      </c>
      <c r="Q18" s="264">
        <f t="shared" si="6"/>
        <v>0</v>
      </c>
      <c r="R18" s="264">
        <f t="shared" si="7"/>
        <v>1</v>
      </c>
      <c r="S18" s="264">
        <f t="shared" si="8"/>
        <v>0.34848484848484851</v>
      </c>
      <c r="T18" s="264" t="e">
        <f>(K18*'Fund Ranking Criteria'!$J$9)+('Fund Ranking Criteria'!$J$10*Consol_Thematic!M18)+('Fund Ranking Criteria'!$J$12*Consol_Thematic!S18)+('Fund Ranking Criteria'!$J$14*Consol_Thematic!R18)+('Fund Ranking Criteria'!$J$15*Consol_Thematic!O18)+('Fund Ranking Criteria'!$J$16*Consol_Thematic!P18)+('Fund Ranking Criteria'!#REF!*Consol_Thematic!Q18)+('Fund Ranking Criteria'!#REF!*Consol_Thematic!L18)</f>
        <v>#REF!</v>
      </c>
      <c r="U18" s="289" t="e">
        <f t="shared" si="9"/>
        <v>#REF!</v>
      </c>
      <c r="V18" s="261" t="e">
        <f t="shared" si="10"/>
        <v>#REF!</v>
      </c>
      <c r="W18" s="261" t="str">
        <f t="shared" si="11"/>
        <v>Axis India Manufacturing Fund - Regular Plan</v>
      </c>
    </row>
    <row r="19" spans="1:23" x14ac:dyDescent="0.25">
      <c r="A19" s="259" t="s">
        <v>124</v>
      </c>
      <c r="B19" s="259">
        <f>VLOOKUP($A19, Sheet4!$A$2:$L$688, Consol_Thematic!B$1,FALSE)</f>
        <v>5.51</v>
      </c>
      <c r="C19" s="259">
        <f>VLOOKUP($A19, Sheet4!$A$2:$L$688, Consol_Thematic!C$1,FALSE)</f>
        <v>19.350000000000001</v>
      </c>
      <c r="D19" s="259">
        <f>VLOOKUP($A19, Sheet4!$A$2:$L$688, Consol_Thematic!D$1,FALSE)</f>
        <v>0</v>
      </c>
      <c r="E19" s="259">
        <f>VLOOKUP($A19, Sheet4!$A$2:$L$688, Consol_Thematic!E$1,FALSE)</f>
        <v>0.68</v>
      </c>
      <c r="F19" s="259">
        <f>VLOOKUP($A19, Sheet4!$A$2:$L$688, Consol_Thematic!F$1,FALSE)</f>
        <v>0.93</v>
      </c>
      <c r="G19" s="259">
        <f>VLOOKUP($A19, Sheet4!$A$2:$L$688, Consol_Thematic!G$1,FALSE)</f>
        <v>-0.41</v>
      </c>
      <c r="H19" s="260">
        <f>VLOOKUP($A19, Sheet4!$A$2:$L$688, Consol_Thematic!H$1,FALSE)</f>
        <v>2.25</v>
      </c>
      <c r="I19" s="259">
        <f>VLOOKUP($A19, Sheet4!$A$2:$L$688, Consol_Thematic!I$1,FALSE)</f>
        <v>0.86</v>
      </c>
      <c r="J19" s="259">
        <f>VLOOKUP($A19, Sheet4!$A$2:$L$688, Consol_Thematic!J$1,FALSE)</f>
        <v>14.04</v>
      </c>
      <c r="K19" s="264">
        <f t="shared" si="0"/>
        <v>0.77369581190301251</v>
      </c>
      <c r="L19" s="264">
        <f t="shared" si="1"/>
        <v>0.29230769230769227</v>
      </c>
      <c r="M19" s="264">
        <f t="shared" si="2"/>
        <v>0.53335170893054029</v>
      </c>
      <c r="N19" s="264">
        <f t="shared" si="3"/>
        <v>0</v>
      </c>
      <c r="O19" s="264">
        <f t="shared" si="4"/>
        <v>0.37209302325581395</v>
      </c>
      <c r="P19" s="264">
        <f t="shared" si="5"/>
        <v>0.63551401869158874</v>
      </c>
      <c r="Q19" s="264">
        <f t="shared" si="6"/>
        <v>0.47692307692307695</v>
      </c>
      <c r="R19" s="264">
        <f t="shared" si="7"/>
        <v>0.27731092436974786</v>
      </c>
      <c r="S19" s="264">
        <f t="shared" si="8"/>
        <v>0.30069930069930073</v>
      </c>
      <c r="T19" s="264" t="e">
        <f>(K19*'Fund Ranking Criteria'!$J$9)+('Fund Ranking Criteria'!$J$10*Consol_Thematic!M19)+('Fund Ranking Criteria'!$J$12*Consol_Thematic!S19)+('Fund Ranking Criteria'!$J$14*Consol_Thematic!R19)+('Fund Ranking Criteria'!$J$15*Consol_Thematic!O19)+('Fund Ranking Criteria'!$J$16*Consol_Thematic!P19)+('Fund Ranking Criteria'!#REF!*Consol_Thematic!Q19)+('Fund Ranking Criteria'!#REF!*Consol_Thematic!L19)</f>
        <v>#REF!</v>
      </c>
      <c r="U19" s="289" t="e">
        <f t="shared" si="9"/>
        <v>#REF!</v>
      </c>
      <c r="V19" s="261" t="e">
        <f t="shared" si="10"/>
        <v>#REF!</v>
      </c>
      <c r="W19" s="261" t="str">
        <f t="shared" si="11"/>
        <v>Axis Innovation Fund - Regular Plan</v>
      </c>
    </row>
    <row r="20" spans="1:23" x14ac:dyDescent="0.25">
      <c r="A20" s="259" t="s">
        <v>128</v>
      </c>
      <c r="B20" s="259">
        <f>VLOOKUP($A20, Sheet4!$A$2:$L$688, Consol_Thematic!B$1,FALSE)</f>
        <v>0</v>
      </c>
      <c r="C20" s="259">
        <f>VLOOKUP($A20, Sheet4!$A$2:$L$688, Consol_Thematic!C$1,FALSE)</f>
        <v>0</v>
      </c>
      <c r="D20" s="259">
        <f>VLOOKUP($A20, Sheet4!$A$2:$L$688, Consol_Thematic!D$1,FALSE)</f>
        <v>0</v>
      </c>
      <c r="E20" s="259">
        <f>VLOOKUP($A20, Sheet4!$A$2:$L$688, Consol_Thematic!E$1,FALSE)</f>
        <v>0</v>
      </c>
      <c r="F20" s="259">
        <f>VLOOKUP($A20, Sheet4!$A$2:$L$688, Consol_Thematic!F$1,FALSE)</f>
        <v>0</v>
      </c>
      <c r="G20" s="259">
        <f>VLOOKUP($A20, Sheet4!$A$2:$L$688, Consol_Thematic!G$1,FALSE)</f>
        <v>0</v>
      </c>
      <c r="H20" s="260">
        <f>VLOOKUP($A20, Sheet4!$A$2:$L$688, Consol_Thematic!H$1,FALSE)</f>
        <v>2.11</v>
      </c>
      <c r="I20" s="259">
        <f>VLOOKUP($A20, Sheet4!$A$2:$L$688, Consol_Thematic!I$1,FALSE)</f>
        <v>0</v>
      </c>
      <c r="J20" s="259">
        <f>VLOOKUP($A20, Sheet4!$A$2:$L$688, Consol_Thematic!J$1,FALSE)</f>
        <v>0</v>
      </c>
      <c r="K20" s="264">
        <f t="shared" si="0"/>
        <v>0.36884643644379134</v>
      </c>
      <c r="L20" s="264">
        <f t="shared" si="1"/>
        <v>0.50769230769230789</v>
      </c>
      <c r="M20" s="264">
        <f t="shared" si="2"/>
        <v>0</v>
      </c>
      <c r="N20" s="264">
        <f t="shared" si="3"/>
        <v>0</v>
      </c>
      <c r="O20" s="264">
        <f t="shared" si="4"/>
        <v>1</v>
      </c>
      <c r="P20" s="264">
        <f t="shared" si="5"/>
        <v>0</v>
      </c>
      <c r="Q20" s="264">
        <f t="shared" si="6"/>
        <v>0</v>
      </c>
      <c r="R20" s="264">
        <f t="shared" si="7"/>
        <v>1</v>
      </c>
      <c r="S20" s="264">
        <f t="shared" si="8"/>
        <v>0.34848484848484851</v>
      </c>
      <c r="T20" s="264" t="e">
        <f>(K20*'Fund Ranking Criteria'!$J$9)+('Fund Ranking Criteria'!$J$10*Consol_Thematic!M20)+('Fund Ranking Criteria'!$J$12*Consol_Thematic!S20)+('Fund Ranking Criteria'!$J$14*Consol_Thematic!R20)+('Fund Ranking Criteria'!$J$15*Consol_Thematic!O20)+('Fund Ranking Criteria'!$J$16*Consol_Thematic!P20)+('Fund Ranking Criteria'!#REF!*Consol_Thematic!Q20)+('Fund Ranking Criteria'!#REF!*Consol_Thematic!L20)</f>
        <v>#REF!</v>
      </c>
      <c r="U20" s="289" t="e">
        <f t="shared" si="9"/>
        <v>#REF!</v>
      </c>
      <c r="V20" s="261" t="e">
        <f t="shared" si="10"/>
        <v>#REF!</v>
      </c>
      <c r="W20" s="261" t="str">
        <f t="shared" si="11"/>
        <v>Axis Momentum Fund - Regular Plan</v>
      </c>
    </row>
    <row r="21" spans="1:23" x14ac:dyDescent="0.25">
      <c r="A21" s="259" t="s">
        <v>140</v>
      </c>
      <c r="B21" s="260">
        <f>VLOOKUP($A21, Sheet4!$A$2:$L$688, Consol_Thematic!B$1,FALSE)</f>
        <v>-2.14</v>
      </c>
      <c r="C21" s="260">
        <f>VLOOKUP($A21, Sheet4!$A$2:$L$688, Consol_Thematic!C$1,FALSE)</f>
        <v>19.059999999999999</v>
      </c>
      <c r="D21" s="260">
        <f>VLOOKUP($A21, Sheet4!$A$2:$L$688, Consol_Thematic!D$1,FALSE)</f>
        <v>0</v>
      </c>
      <c r="E21" s="260">
        <f>VLOOKUP($A21, Sheet4!$A$2:$L$688, Consol_Thematic!E$1,FALSE)</f>
        <v>0.61</v>
      </c>
      <c r="F21" s="260">
        <f>VLOOKUP($A21, Sheet4!$A$2:$L$688, Consol_Thematic!F$1,FALSE)</f>
        <v>0.86</v>
      </c>
      <c r="G21" s="260">
        <f>VLOOKUP($A21, Sheet4!$A$2:$L$688, Consol_Thematic!G$1,FALSE)</f>
        <v>-2.21</v>
      </c>
      <c r="H21" s="260">
        <f>VLOOKUP($A21, Sheet4!$A$2:$L$688, Consol_Thematic!H$1,FALSE)</f>
        <v>2.2200000000000002</v>
      </c>
      <c r="I21" s="260">
        <f>VLOOKUP($A21, Sheet4!$A$2:$L$688, Consol_Thematic!I$1,FALSE)</f>
        <v>0.97</v>
      </c>
      <c r="J21" s="260">
        <f>VLOOKUP($A21, Sheet4!$A$2:$L$688, Consol_Thematic!J$1,FALSE)</f>
        <v>14.8</v>
      </c>
      <c r="K21" s="264">
        <f t="shared" si="0"/>
        <v>0.21160911094783244</v>
      </c>
      <c r="L21" s="264">
        <f t="shared" si="1"/>
        <v>0.33846153846153815</v>
      </c>
      <c r="M21" s="264">
        <f t="shared" si="2"/>
        <v>0.52535832414553463</v>
      </c>
      <c r="N21" s="264">
        <f t="shared" si="3"/>
        <v>0</v>
      </c>
      <c r="O21" s="264">
        <f t="shared" si="4"/>
        <v>0.33810375670840781</v>
      </c>
      <c r="P21" s="264">
        <f t="shared" si="5"/>
        <v>0.57009345794392519</v>
      </c>
      <c r="Q21" s="264">
        <f t="shared" si="6"/>
        <v>0.44102564102564101</v>
      </c>
      <c r="R21" s="264">
        <f t="shared" si="7"/>
        <v>0.18487394957983191</v>
      </c>
      <c r="S21" s="264">
        <f t="shared" si="8"/>
        <v>9.0909090909090939E-2</v>
      </c>
      <c r="T21" s="264" t="e">
        <f>(K21*'Fund Ranking Criteria'!$J$9)+('Fund Ranking Criteria'!$J$10*Consol_Thematic!M21)+('Fund Ranking Criteria'!$J$12*Consol_Thematic!S21)+('Fund Ranking Criteria'!$J$14*Consol_Thematic!R21)+('Fund Ranking Criteria'!$J$15*Consol_Thematic!O21)+('Fund Ranking Criteria'!$J$16*Consol_Thematic!P21)+('Fund Ranking Criteria'!#REF!*Consol_Thematic!Q21)+('Fund Ranking Criteria'!#REF!*Consol_Thematic!L21)</f>
        <v>#REF!</v>
      </c>
      <c r="U21" s="289" t="e">
        <f t="shared" si="9"/>
        <v>#REF!</v>
      </c>
      <c r="V21" s="261" t="e">
        <f t="shared" si="10"/>
        <v>#REF!</v>
      </c>
      <c r="W21" s="261" t="str">
        <f t="shared" si="11"/>
        <v>Axis Quant Fund - Regular Plan</v>
      </c>
    </row>
    <row r="22" spans="1:23" x14ac:dyDescent="0.25">
      <c r="A22" s="259" t="s">
        <v>144</v>
      </c>
      <c r="B22" s="259">
        <f>VLOOKUP($A22, Sheet4!$A$2:$L$688, Consol_Thematic!B$1,FALSE)</f>
        <v>0</v>
      </c>
      <c r="C22" s="259">
        <f>VLOOKUP($A22, Sheet4!$A$2:$L$688, Consol_Thematic!C$1,FALSE)</f>
        <v>0</v>
      </c>
      <c r="D22" s="259">
        <f>VLOOKUP($A22, Sheet4!$A$2:$L$688, Consol_Thematic!D$1,FALSE)</f>
        <v>0</v>
      </c>
      <c r="E22" s="259">
        <f>VLOOKUP($A22, Sheet4!$A$2:$L$688, Consol_Thematic!E$1,FALSE)</f>
        <v>0</v>
      </c>
      <c r="F22" s="259">
        <f>VLOOKUP($A22, Sheet4!$A$2:$L$688, Consol_Thematic!F$1,FALSE)</f>
        <v>0</v>
      </c>
      <c r="G22" s="259">
        <f>VLOOKUP($A22, Sheet4!$A$2:$L$688, Consol_Thematic!G$1,FALSE)</f>
        <v>0</v>
      </c>
      <c r="H22" s="260">
        <f>VLOOKUP($A22, Sheet4!$A$2:$L$688, Consol_Thematic!H$1,FALSE)</f>
        <v>2.33</v>
      </c>
      <c r="I22" s="259">
        <f>VLOOKUP($A22, Sheet4!$A$2:$L$688, Consol_Thematic!I$1,FALSE)</f>
        <v>0</v>
      </c>
      <c r="J22" s="259">
        <f>VLOOKUP($A22, Sheet4!$A$2:$L$688, Consol_Thematic!J$1,FALSE)</f>
        <v>0</v>
      </c>
      <c r="K22" s="264">
        <f t="shared" si="0"/>
        <v>0.36884643644379134</v>
      </c>
      <c r="L22" s="264">
        <f t="shared" si="1"/>
        <v>0.16923076923076907</v>
      </c>
      <c r="M22" s="264">
        <f t="shared" si="2"/>
        <v>0</v>
      </c>
      <c r="N22" s="264">
        <f t="shared" si="3"/>
        <v>0</v>
      </c>
      <c r="O22" s="264">
        <f t="shared" si="4"/>
        <v>1</v>
      </c>
      <c r="P22" s="264">
        <f t="shared" si="5"/>
        <v>0</v>
      </c>
      <c r="Q22" s="264">
        <f t="shared" si="6"/>
        <v>0</v>
      </c>
      <c r="R22" s="264">
        <f t="shared" si="7"/>
        <v>1</v>
      </c>
      <c r="S22" s="264">
        <f t="shared" si="8"/>
        <v>0.34848484848484851</v>
      </c>
      <c r="T22" s="264" t="e">
        <f>(K22*'Fund Ranking Criteria'!$J$9)+('Fund Ranking Criteria'!$J$10*Consol_Thematic!M22)+('Fund Ranking Criteria'!$J$12*Consol_Thematic!S22)+('Fund Ranking Criteria'!$J$14*Consol_Thematic!R22)+('Fund Ranking Criteria'!$J$15*Consol_Thematic!O22)+('Fund Ranking Criteria'!$J$16*Consol_Thematic!P22)+('Fund Ranking Criteria'!#REF!*Consol_Thematic!Q22)+('Fund Ranking Criteria'!#REF!*Consol_Thematic!L22)</f>
        <v>#REF!</v>
      </c>
      <c r="U22" s="289" t="e">
        <f t="shared" si="9"/>
        <v>#REF!</v>
      </c>
      <c r="V22" s="261" t="e">
        <f t="shared" si="10"/>
        <v>#REF!</v>
      </c>
      <c r="W22" s="261" t="str">
        <f t="shared" si="11"/>
        <v>Bajaj Finserv Consumption Fund - Regular Plan</v>
      </c>
    </row>
    <row r="23" spans="1:23" x14ac:dyDescent="0.25">
      <c r="A23" s="259" t="s">
        <v>155</v>
      </c>
      <c r="B23" s="260">
        <f>VLOOKUP($A23, Sheet4!$A$2:$L$688, Consol_Thematic!B$1,FALSE)</f>
        <v>0</v>
      </c>
      <c r="C23" s="260">
        <f>VLOOKUP($A23, Sheet4!$A$2:$L$688, Consol_Thematic!C$1,FALSE)</f>
        <v>0</v>
      </c>
      <c r="D23" s="260">
        <f>VLOOKUP($A23, Sheet4!$A$2:$L$688, Consol_Thematic!D$1,FALSE)</f>
        <v>0</v>
      </c>
      <c r="E23" s="260">
        <f>VLOOKUP($A23, Sheet4!$A$2:$L$688, Consol_Thematic!E$1,FALSE)</f>
        <v>0</v>
      </c>
      <c r="F23" s="260">
        <f>VLOOKUP($A23, Sheet4!$A$2:$L$688, Consol_Thematic!F$1,FALSE)</f>
        <v>0</v>
      </c>
      <c r="G23" s="260">
        <f>VLOOKUP($A23, Sheet4!$A$2:$L$688, Consol_Thematic!G$1,FALSE)</f>
        <v>0</v>
      </c>
      <c r="H23" s="260">
        <f>VLOOKUP($A23, Sheet4!$A$2:$L$688, Consol_Thematic!H$1,FALSE)</f>
        <v>2.0499999999999998</v>
      </c>
      <c r="I23" s="260">
        <f>VLOOKUP($A23, Sheet4!$A$2:$L$688, Consol_Thematic!I$1,FALSE)</f>
        <v>0</v>
      </c>
      <c r="J23" s="260">
        <f>VLOOKUP($A23, Sheet4!$A$2:$L$688, Consol_Thematic!J$1,FALSE)</f>
        <v>0</v>
      </c>
      <c r="K23" s="264">
        <f t="shared" si="0"/>
        <v>0.36884643644379134</v>
      </c>
      <c r="L23" s="264">
        <f t="shared" si="1"/>
        <v>0.60000000000000031</v>
      </c>
      <c r="M23" s="264">
        <f t="shared" si="2"/>
        <v>0</v>
      </c>
      <c r="N23" s="264">
        <f t="shared" si="3"/>
        <v>0</v>
      </c>
      <c r="O23" s="264">
        <f t="shared" si="4"/>
        <v>1</v>
      </c>
      <c r="P23" s="264">
        <f t="shared" si="5"/>
        <v>0</v>
      </c>
      <c r="Q23" s="264">
        <f t="shared" si="6"/>
        <v>0</v>
      </c>
      <c r="R23" s="264">
        <f t="shared" si="7"/>
        <v>1</v>
      </c>
      <c r="S23" s="264">
        <f t="shared" si="8"/>
        <v>0.34848484848484851</v>
      </c>
      <c r="T23" s="264" t="e">
        <f>(K23*'Fund Ranking Criteria'!$J$9)+('Fund Ranking Criteria'!$J$10*Consol_Thematic!M23)+('Fund Ranking Criteria'!$J$12*Consol_Thematic!S23)+('Fund Ranking Criteria'!$J$14*Consol_Thematic!R23)+('Fund Ranking Criteria'!$J$15*Consol_Thematic!O23)+('Fund Ranking Criteria'!$J$16*Consol_Thematic!P23)+('Fund Ranking Criteria'!#REF!*Consol_Thematic!Q23)+('Fund Ranking Criteria'!#REF!*Consol_Thematic!L23)</f>
        <v>#REF!</v>
      </c>
      <c r="U23" s="289" t="e">
        <f t="shared" si="9"/>
        <v>#REF!</v>
      </c>
      <c r="V23" s="261" t="e">
        <f t="shared" si="10"/>
        <v>#REF!</v>
      </c>
      <c r="W23" s="261" t="str">
        <f t="shared" si="11"/>
        <v>Bandhan Business Cycle Fund - Regular Plan</v>
      </c>
    </row>
    <row r="24" spans="1:23" x14ac:dyDescent="0.25">
      <c r="A24" s="261" t="s">
        <v>158</v>
      </c>
      <c r="B24" s="261">
        <f>VLOOKUP($A24, Sheet4!$A$2:$L$688, Consol_Thematic!B$1,FALSE)</f>
        <v>16.05</v>
      </c>
      <c r="C24" s="261">
        <f>VLOOKUP($A24, Sheet4!$A$2:$L$688, Consol_Thematic!C$1,FALSE)</f>
        <v>0</v>
      </c>
      <c r="D24" s="261">
        <f>VLOOKUP($A24, Sheet4!$A$2:$L$688, Consol_Thematic!D$1,FALSE)</f>
        <v>0</v>
      </c>
      <c r="E24" s="261">
        <f>VLOOKUP($A24, Sheet4!$A$2:$L$688, Consol_Thematic!E$1,FALSE)</f>
        <v>0</v>
      </c>
      <c r="F24" s="261">
        <f>VLOOKUP($A24, Sheet4!$A$2:$L$688, Consol_Thematic!F$1,FALSE)</f>
        <v>0</v>
      </c>
      <c r="G24" s="261">
        <f>VLOOKUP($A24, Sheet4!$A$2:$L$688, Consol_Thematic!G$1,FALSE)</f>
        <v>0</v>
      </c>
      <c r="H24" s="261">
        <f>VLOOKUP($A24, Sheet4!$A$2:$L$688, Consol_Thematic!H$1,FALSE)</f>
        <v>2.08</v>
      </c>
      <c r="I24" s="261">
        <f>VLOOKUP($A24, Sheet4!$A$2:$L$688, Consol_Thematic!I$1,FALSE)</f>
        <v>0</v>
      </c>
      <c r="J24" s="261">
        <f>VLOOKUP($A24, Sheet4!$A$2:$L$688, Consol_Thematic!J$1,FALSE)</f>
        <v>0</v>
      </c>
      <c r="K24" s="288">
        <f t="shared" si="0"/>
        <v>1.5481263776634828</v>
      </c>
      <c r="L24" s="288">
        <f t="shared" si="1"/>
        <v>0.55384615384615377</v>
      </c>
      <c r="M24" s="288">
        <f t="shared" si="2"/>
        <v>0</v>
      </c>
      <c r="N24" s="288">
        <f t="shared" si="3"/>
        <v>0</v>
      </c>
      <c r="O24" s="288">
        <f t="shared" si="4"/>
        <v>1</v>
      </c>
      <c r="P24" s="288">
        <f t="shared" si="5"/>
        <v>0</v>
      </c>
      <c r="Q24" s="288">
        <f t="shared" si="6"/>
        <v>0</v>
      </c>
      <c r="R24" s="288">
        <f t="shared" si="7"/>
        <v>1</v>
      </c>
      <c r="S24" s="288">
        <f t="shared" si="8"/>
        <v>0.34848484848484851</v>
      </c>
      <c r="T24" s="288" t="e">
        <f>(K24*'Fund Ranking Criteria'!$J$9)+('Fund Ranking Criteria'!$J$10*Consol_Thematic!M24)+('Fund Ranking Criteria'!$J$12*Consol_Thematic!S24)+('Fund Ranking Criteria'!$J$14*Consol_Thematic!R24)+('Fund Ranking Criteria'!$J$15*Consol_Thematic!O24)+('Fund Ranking Criteria'!$J$16*Consol_Thematic!P24)+('Fund Ranking Criteria'!#REF!*Consol_Thematic!Q24)+('Fund Ranking Criteria'!#REF!*Consol_Thematic!L24)</f>
        <v>#REF!</v>
      </c>
      <c r="U24" s="288" t="e">
        <f t="shared" si="9"/>
        <v>#REF!</v>
      </c>
      <c r="V24" s="261" t="e">
        <f t="shared" si="10"/>
        <v>#REF!</v>
      </c>
      <c r="W24" s="261" t="str">
        <f t="shared" si="11"/>
        <v>Bandhan Innovation Fund - Regular Plan</v>
      </c>
    </row>
    <row r="25" spans="1:23" x14ac:dyDescent="0.25">
      <c r="A25" s="261" t="s">
        <v>178</v>
      </c>
      <c r="B25" s="261">
        <f>VLOOKUP($A25, Sheet4!$A$2:$L$688, Consol_Thematic!B$1,FALSE)</f>
        <v>-4.1900000000000004</v>
      </c>
      <c r="C25" s="261">
        <f>VLOOKUP($A25, Sheet4!$A$2:$L$688, Consol_Thematic!C$1,FALSE)</f>
        <v>0</v>
      </c>
      <c r="D25" s="261">
        <f>VLOOKUP($A25, Sheet4!$A$2:$L$688, Consol_Thematic!D$1,FALSE)</f>
        <v>0</v>
      </c>
      <c r="E25" s="261">
        <f>VLOOKUP($A25, Sheet4!$A$2:$L$688, Consol_Thematic!E$1,FALSE)</f>
        <v>0</v>
      </c>
      <c r="F25" s="261">
        <f>VLOOKUP($A25, Sheet4!$A$2:$L$688, Consol_Thematic!F$1,FALSE)</f>
        <v>0</v>
      </c>
      <c r="G25" s="261">
        <f>VLOOKUP($A25, Sheet4!$A$2:$L$688, Consol_Thematic!G$1,FALSE)</f>
        <v>0</v>
      </c>
      <c r="H25" s="261">
        <f>VLOOKUP($A25, Sheet4!$A$2:$L$688, Consol_Thematic!H$1,FALSE)</f>
        <v>2.4</v>
      </c>
      <c r="I25" s="261">
        <f>VLOOKUP($A25, Sheet4!$A$2:$L$688, Consol_Thematic!I$1,FALSE)</f>
        <v>0</v>
      </c>
      <c r="J25" s="261">
        <f>VLOOKUP($A25, Sheet4!$A$2:$L$688, Consol_Thematic!J$1,FALSE)</f>
        <v>0</v>
      </c>
      <c r="K25" s="288">
        <f t="shared" si="0"/>
        <v>6.0984570168993328E-2</v>
      </c>
      <c r="L25" s="288">
        <f t="shared" si="1"/>
        <v>6.1538461538461604E-2</v>
      </c>
      <c r="M25" s="288">
        <f t="shared" si="2"/>
        <v>0</v>
      </c>
      <c r="N25" s="288">
        <f t="shared" si="3"/>
        <v>0</v>
      </c>
      <c r="O25" s="288">
        <f t="shared" si="4"/>
        <v>1</v>
      </c>
      <c r="P25" s="288">
        <f t="shared" si="5"/>
        <v>0</v>
      </c>
      <c r="Q25" s="288">
        <f t="shared" si="6"/>
        <v>0</v>
      </c>
      <c r="R25" s="288">
        <f t="shared" si="7"/>
        <v>1</v>
      </c>
      <c r="S25" s="288">
        <f t="shared" si="8"/>
        <v>0.34848484848484851</v>
      </c>
      <c r="T25" s="288" t="e">
        <f>(K25*'Fund Ranking Criteria'!$J$9)+('Fund Ranking Criteria'!$J$10*Consol_Thematic!M25)+('Fund Ranking Criteria'!$J$12*Consol_Thematic!S25)+('Fund Ranking Criteria'!$J$14*Consol_Thematic!R25)+('Fund Ranking Criteria'!$J$15*Consol_Thematic!O25)+('Fund Ranking Criteria'!$J$16*Consol_Thematic!P25)+('Fund Ranking Criteria'!#REF!*Consol_Thematic!Q25)+('Fund Ranking Criteria'!#REF!*Consol_Thematic!L25)</f>
        <v>#REF!</v>
      </c>
      <c r="U25" s="288" t="e">
        <f t="shared" si="9"/>
        <v>#REF!</v>
      </c>
      <c r="V25" s="261" t="e">
        <f t="shared" si="10"/>
        <v>#REF!</v>
      </c>
      <c r="W25" s="261" t="str">
        <f t="shared" si="11"/>
        <v>Bandhan Transportation and Logistics Fund - Regular Plan</v>
      </c>
    </row>
    <row r="26" spans="1:23" x14ac:dyDescent="0.25">
      <c r="A26" s="261" t="s">
        <v>181</v>
      </c>
      <c r="B26" s="261">
        <f>VLOOKUP($A26, Sheet4!$A$2:$L$688, Consol_Thematic!B$1,FALSE)</f>
        <v>0</v>
      </c>
      <c r="C26" s="261">
        <f>VLOOKUP($A26, Sheet4!$A$2:$L$688, Consol_Thematic!C$1,FALSE)</f>
        <v>0</v>
      </c>
      <c r="D26" s="261">
        <f>VLOOKUP($A26, Sheet4!$A$2:$L$688, Consol_Thematic!D$1,FALSE)</f>
        <v>0</v>
      </c>
      <c r="E26" s="261">
        <f>VLOOKUP($A26, Sheet4!$A$2:$L$688, Consol_Thematic!E$1,FALSE)</f>
        <v>0</v>
      </c>
      <c r="F26" s="261">
        <f>VLOOKUP($A26, Sheet4!$A$2:$L$688, Consol_Thematic!F$1,FALSE)</f>
        <v>0</v>
      </c>
      <c r="G26" s="261">
        <f>VLOOKUP($A26, Sheet4!$A$2:$L$688, Consol_Thematic!G$1,FALSE)</f>
        <v>0</v>
      </c>
      <c r="H26" s="261">
        <f>VLOOKUP($A26, Sheet4!$A$2:$L$688, Consol_Thematic!H$1,FALSE)</f>
        <v>2.4500000000000002</v>
      </c>
      <c r="I26" s="261">
        <f>VLOOKUP($A26, Sheet4!$A$2:$L$688, Consol_Thematic!I$1,FALSE)</f>
        <v>0</v>
      </c>
      <c r="J26" s="261">
        <f>VLOOKUP($A26, Sheet4!$A$2:$L$688, Consol_Thematic!J$1,FALSE)</f>
        <v>0</v>
      </c>
      <c r="K26" s="288">
        <f t="shared" si="0"/>
        <v>0.36884643644379134</v>
      </c>
      <c r="L26" s="288">
        <f t="shared" si="1"/>
        <v>-1.5384615384615743E-2</v>
      </c>
      <c r="M26" s="288">
        <f t="shared" si="2"/>
        <v>0</v>
      </c>
      <c r="N26" s="288">
        <f t="shared" si="3"/>
        <v>0</v>
      </c>
      <c r="O26" s="288">
        <f t="shared" si="4"/>
        <v>1</v>
      </c>
      <c r="P26" s="288">
        <f t="shared" si="5"/>
        <v>0</v>
      </c>
      <c r="Q26" s="288">
        <f t="shared" si="6"/>
        <v>0</v>
      </c>
      <c r="R26" s="288">
        <f t="shared" si="7"/>
        <v>1</v>
      </c>
      <c r="S26" s="288">
        <f t="shared" si="8"/>
        <v>0.34848484848484851</v>
      </c>
      <c r="T26" s="288" t="e">
        <f>(K26*'Fund Ranking Criteria'!$J$9)+('Fund Ranking Criteria'!$J$10*Consol_Thematic!M26)+('Fund Ranking Criteria'!$J$12*Consol_Thematic!S26)+('Fund Ranking Criteria'!$J$14*Consol_Thematic!R26)+('Fund Ranking Criteria'!$J$15*Consol_Thematic!O26)+('Fund Ranking Criteria'!$J$16*Consol_Thematic!P26)+('Fund Ranking Criteria'!#REF!*Consol_Thematic!Q26)+('Fund Ranking Criteria'!#REF!*Consol_Thematic!L26)</f>
        <v>#REF!</v>
      </c>
      <c r="U26" s="288" t="e">
        <f t="shared" si="9"/>
        <v>#REF!</v>
      </c>
      <c r="V26" s="261" t="e">
        <f t="shared" si="10"/>
        <v>#REF!</v>
      </c>
      <c r="W26" s="261" t="str">
        <f t="shared" si="11"/>
        <v>Bank of India Business Cycle Fund - Regular Plan</v>
      </c>
    </row>
    <row r="27" spans="1:23" x14ac:dyDescent="0.25">
      <c r="A27" s="261" t="s">
        <v>182</v>
      </c>
      <c r="B27" s="261">
        <f>VLOOKUP($A27, Sheet4!$A$2:$L$688, Consol_Thematic!B$1,FALSE)</f>
        <v>0</v>
      </c>
      <c r="C27" s="261">
        <f>VLOOKUP($A27, Sheet4!$A$2:$L$688, Consol_Thematic!C$1,FALSE)</f>
        <v>0</v>
      </c>
      <c r="D27" s="261">
        <f>VLOOKUP($A27, Sheet4!$A$2:$L$688, Consol_Thematic!D$1,FALSE)</f>
        <v>0</v>
      </c>
      <c r="E27" s="261">
        <f>VLOOKUP($A27, Sheet4!$A$2:$L$688, Consol_Thematic!E$1,FALSE)</f>
        <v>0</v>
      </c>
      <c r="F27" s="261">
        <f>VLOOKUP($A27, Sheet4!$A$2:$L$688, Consol_Thematic!F$1,FALSE)</f>
        <v>0</v>
      </c>
      <c r="G27" s="261">
        <f>VLOOKUP($A27, Sheet4!$A$2:$L$688, Consol_Thematic!G$1,FALSE)</f>
        <v>0</v>
      </c>
      <c r="H27" s="261">
        <f>VLOOKUP($A27, Sheet4!$A$2:$L$688, Consol_Thematic!H$1,FALSE)</f>
        <v>2.46</v>
      </c>
      <c r="I27" s="261">
        <f>VLOOKUP($A27, Sheet4!$A$2:$L$688, Consol_Thematic!I$1,FALSE)</f>
        <v>0</v>
      </c>
      <c r="J27" s="261">
        <f>VLOOKUP($A27, Sheet4!$A$2:$L$688, Consol_Thematic!J$1,FALSE)</f>
        <v>0</v>
      </c>
      <c r="K27" s="288">
        <f t="shared" si="0"/>
        <v>0.36884643644379134</v>
      </c>
      <c r="L27" s="288">
        <f t="shared" si="1"/>
        <v>-3.0769230769230802E-2</v>
      </c>
      <c r="M27" s="288">
        <f t="shared" si="2"/>
        <v>0</v>
      </c>
      <c r="N27" s="288">
        <f t="shared" si="3"/>
        <v>0</v>
      </c>
      <c r="O27" s="288">
        <f t="shared" si="4"/>
        <v>1</v>
      </c>
      <c r="P27" s="288">
        <f t="shared" si="5"/>
        <v>0</v>
      </c>
      <c r="Q27" s="288">
        <f t="shared" si="6"/>
        <v>0</v>
      </c>
      <c r="R27" s="288">
        <f t="shared" si="7"/>
        <v>1</v>
      </c>
      <c r="S27" s="288">
        <f t="shared" si="8"/>
        <v>0.34848484848484851</v>
      </c>
      <c r="T27" s="288" t="e">
        <f>(K27*'Fund Ranking Criteria'!$J$9)+('Fund Ranking Criteria'!$J$10*Consol_Thematic!M27)+('Fund Ranking Criteria'!$J$12*Consol_Thematic!S27)+('Fund Ranking Criteria'!$J$14*Consol_Thematic!R27)+('Fund Ranking Criteria'!$J$15*Consol_Thematic!O27)+('Fund Ranking Criteria'!$J$16*Consol_Thematic!P27)+('Fund Ranking Criteria'!#REF!*Consol_Thematic!Q27)+('Fund Ranking Criteria'!#REF!*Consol_Thematic!L27)</f>
        <v>#REF!</v>
      </c>
      <c r="U27" s="288" t="e">
        <f t="shared" si="9"/>
        <v>#REF!</v>
      </c>
      <c r="V27" s="261" t="e">
        <f t="shared" si="10"/>
        <v>#REF!</v>
      </c>
      <c r="W27" s="261" t="str">
        <f t="shared" si="11"/>
        <v>Bank of India Consumption Fund - Regular Plan</v>
      </c>
    </row>
    <row r="28" spans="1:23" x14ac:dyDescent="0.25">
      <c r="A28" s="261" t="s">
        <v>190</v>
      </c>
      <c r="B28" s="261">
        <f>VLOOKUP($A28, Sheet4!$A$2:$L$688, Consol_Thematic!B$1,FALSE)</f>
        <v>0.47</v>
      </c>
      <c r="C28" s="261">
        <f>VLOOKUP($A28, Sheet4!$A$2:$L$688, Consol_Thematic!C$1,FALSE)</f>
        <v>21.9</v>
      </c>
      <c r="D28" s="261">
        <f>VLOOKUP($A28, Sheet4!$A$2:$L$688, Consol_Thematic!D$1,FALSE)</f>
        <v>0</v>
      </c>
      <c r="E28" s="261">
        <f>VLOOKUP($A28, Sheet4!$A$2:$L$688, Consol_Thematic!E$1,FALSE)</f>
        <v>0.82</v>
      </c>
      <c r="F28" s="261">
        <f>VLOOKUP($A28, Sheet4!$A$2:$L$688, Consol_Thematic!F$1,FALSE)</f>
        <v>1.2</v>
      </c>
      <c r="G28" s="261">
        <f>VLOOKUP($A28, Sheet4!$A$2:$L$688, Consol_Thematic!G$1,FALSE)</f>
        <v>0.69</v>
      </c>
      <c r="H28" s="261">
        <f>VLOOKUP($A28, Sheet4!$A$2:$L$688, Consol_Thematic!H$1,FALSE)</f>
        <v>2.38</v>
      </c>
      <c r="I28" s="261">
        <f>VLOOKUP($A28, Sheet4!$A$2:$L$688, Consol_Thematic!I$1,FALSE)</f>
        <v>1.02</v>
      </c>
      <c r="J28" s="261">
        <f>VLOOKUP($A28, Sheet4!$A$2:$L$688, Consol_Thematic!J$1,FALSE)</f>
        <v>15.21</v>
      </c>
      <c r="K28" s="288">
        <f t="shared" si="0"/>
        <v>0.40337986774430562</v>
      </c>
      <c r="L28" s="288">
        <f t="shared" si="1"/>
        <v>9.2307692307692396E-2</v>
      </c>
      <c r="M28" s="288">
        <f t="shared" si="2"/>
        <v>0.60363836824696793</v>
      </c>
      <c r="N28" s="288">
        <f t="shared" si="3"/>
        <v>0</v>
      </c>
      <c r="O28" s="288">
        <f t="shared" si="4"/>
        <v>0.31976744186046507</v>
      </c>
      <c r="P28" s="288">
        <f t="shared" si="5"/>
        <v>0.76635514018691575</v>
      </c>
      <c r="Q28" s="288">
        <f t="shared" si="6"/>
        <v>0.61538461538461542</v>
      </c>
      <c r="R28" s="288">
        <f t="shared" si="7"/>
        <v>0.14285714285714279</v>
      </c>
      <c r="S28" s="288">
        <f t="shared" si="8"/>
        <v>0.42890442890442892</v>
      </c>
      <c r="T28" s="288" t="e">
        <f>(K28*'Fund Ranking Criteria'!$J$9)+('Fund Ranking Criteria'!$J$10*Consol_Thematic!M28)+('Fund Ranking Criteria'!$J$12*Consol_Thematic!S28)+('Fund Ranking Criteria'!$J$14*Consol_Thematic!R28)+('Fund Ranking Criteria'!$J$15*Consol_Thematic!O28)+('Fund Ranking Criteria'!$J$16*Consol_Thematic!P28)+('Fund Ranking Criteria'!#REF!*Consol_Thematic!Q28)+('Fund Ranking Criteria'!#REF!*Consol_Thematic!L28)</f>
        <v>#REF!</v>
      </c>
      <c r="U28" s="288" t="e">
        <f t="shared" si="9"/>
        <v>#REF!</v>
      </c>
      <c r="V28" s="261" t="e">
        <f t="shared" si="10"/>
        <v>#REF!</v>
      </c>
      <c r="W28" s="261" t="str">
        <f t="shared" si="11"/>
        <v>Baroda BNP Paribas Business Cycle Fund - Regular Plan</v>
      </c>
    </row>
    <row r="29" spans="1:23" x14ac:dyDescent="0.25">
      <c r="A29" s="261" t="s">
        <v>192</v>
      </c>
      <c r="B29" s="261">
        <f>VLOOKUP($A29, Sheet4!$A$2:$L$688, Consol_Thematic!B$1,FALSE)</f>
        <v>0</v>
      </c>
      <c r="C29" s="261">
        <f>VLOOKUP($A29, Sheet4!$A$2:$L$688, Consol_Thematic!C$1,FALSE)</f>
        <v>0</v>
      </c>
      <c r="D29" s="261">
        <f>VLOOKUP($A29, Sheet4!$A$2:$L$688, Consol_Thematic!D$1,FALSE)</f>
        <v>0</v>
      </c>
      <c r="E29" s="261">
        <f>VLOOKUP($A29, Sheet4!$A$2:$L$688, Consol_Thematic!E$1,FALSE)</f>
        <v>0</v>
      </c>
      <c r="F29" s="261">
        <f>VLOOKUP($A29, Sheet4!$A$2:$L$688, Consol_Thematic!F$1,FALSE)</f>
        <v>0</v>
      </c>
      <c r="G29" s="261">
        <f>VLOOKUP($A29, Sheet4!$A$2:$L$688, Consol_Thematic!G$1,FALSE)</f>
        <v>0</v>
      </c>
      <c r="H29" s="261">
        <f>VLOOKUP($A29, Sheet4!$A$2:$L$688, Consol_Thematic!H$1,FALSE)</f>
        <v>2.17</v>
      </c>
      <c r="I29" s="261">
        <f>VLOOKUP($A29, Sheet4!$A$2:$L$688, Consol_Thematic!I$1,FALSE)</f>
        <v>0</v>
      </c>
      <c r="J29" s="261">
        <f>VLOOKUP($A29, Sheet4!$A$2:$L$688, Consol_Thematic!J$1,FALSE)</f>
        <v>0</v>
      </c>
      <c r="K29" s="288">
        <f t="shared" si="0"/>
        <v>0.36884643644379134</v>
      </c>
      <c r="L29" s="288">
        <f t="shared" si="1"/>
        <v>0.41538461538461546</v>
      </c>
      <c r="M29" s="288">
        <f t="shared" si="2"/>
        <v>0</v>
      </c>
      <c r="N29" s="288">
        <f t="shared" si="3"/>
        <v>0</v>
      </c>
      <c r="O29" s="288">
        <f t="shared" si="4"/>
        <v>1</v>
      </c>
      <c r="P29" s="288">
        <f t="shared" si="5"/>
        <v>0</v>
      </c>
      <c r="Q29" s="288">
        <f t="shared" si="6"/>
        <v>0</v>
      </c>
      <c r="R29" s="288">
        <f t="shared" si="7"/>
        <v>1</v>
      </c>
      <c r="S29" s="288">
        <f t="shared" si="8"/>
        <v>0.34848484848484851</v>
      </c>
      <c r="T29" s="288" t="e">
        <f>(K29*'Fund Ranking Criteria'!$J$9)+('Fund Ranking Criteria'!$J$10*Consol_Thematic!M29)+('Fund Ranking Criteria'!$J$12*Consol_Thematic!S29)+('Fund Ranking Criteria'!$J$14*Consol_Thematic!R29)+('Fund Ranking Criteria'!$J$15*Consol_Thematic!O29)+('Fund Ranking Criteria'!$J$16*Consol_Thematic!P29)+('Fund Ranking Criteria'!#REF!*Consol_Thematic!Q29)+('Fund Ranking Criteria'!#REF!*Consol_Thematic!L29)</f>
        <v>#REF!</v>
      </c>
      <c r="U29" s="288" t="e">
        <f t="shared" si="9"/>
        <v>#REF!</v>
      </c>
      <c r="V29" s="261" t="e">
        <f t="shared" si="10"/>
        <v>#REF!</v>
      </c>
      <c r="W29" s="261" t="str">
        <f t="shared" si="11"/>
        <v>Baroda BNP Paribas Dividend Yield Fund - Regular Plan</v>
      </c>
    </row>
    <row r="30" spans="1:23" x14ac:dyDescent="0.25">
      <c r="A30" s="261" t="s">
        <v>193</v>
      </c>
      <c r="B30" s="261">
        <f>VLOOKUP($A30, Sheet4!$A$2:$L$688, Consol_Thematic!B$1,FALSE)</f>
        <v>0</v>
      </c>
      <c r="C30" s="261">
        <f>VLOOKUP($A30, Sheet4!$A$2:$L$688, Consol_Thematic!C$1,FALSE)</f>
        <v>0</v>
      </c>
      <c r="D30" s="261">
        <f>VLOOKUP($A30, Sheet4!$A$2:$L$688, Consol_Thematic!D$1,FALSE)</f>
        <v>0</v>
      </c>
      <c r="E30" s="261">
        <f>VLOOKUP($A30, Sheet4!$A$2:$L$688, Consol_Thematic!E$1,FALSE)</f>
        <v>0</v>
      </c>
      <c r="F30" s="261">
        <f>VLOOKUP($A30, Sheet4!$A$2:$L$688, Consol_Thematic!F$1,FALSE)</f>
        <v>0</v>
      </c>
      <c r="G30" s="261">
        <f>VLOOKUP($A30, Sheet4!$A$2:$L$688, Consol_Thematic!G$1,FALSE)</f>
        <v>0</v>
      </c>
      <c r="H30" s="261">
        <f>VLOOKUP($A30, Sheet4!$A$2:$L$688, Consol_Thematic!H$1,FALSE)</f>
        <v>2.2999999999999998</v>
      </c>
      <c r="I30" s="261">
        <f>VLOOKUP($A30, Sheet4!$A$2:$L$688, Consol_Thematic!I$1,FALSE)</f>
        <v>0</v>
      </c>
      <c r="J30" s="261">
        <f>VLOOKUP($A30, Sheet4!$A$2:$L$688, Consol_Thematic!J$1,FALSE)</f>
        <v>0</v>
      </c>
      <c r="K30" s="288">
        <f t="shared" si="0"/>
        <v>0.36884643644379134</v>
      </c>
      <c r="L30" s="288">
        <f t="shared" si="1"/>
        <v>0.21538461538461562</v>
      </c>
      <c r="M30" s="288">
        <f t="shared" si="2"/>
        <v>0</v>
      </c>
      <c r="N30" s="288">
        <f t="shared" si="3"/>
        <v>0</v>
      </c>
      <c r="O30" s="288">
        <f t="shared" si="4"/>
        <v>1</v>
      </c>
      <c r="P30" s="288">
        <f t="shared" si="5"/>
        <v>0</v>
      </c>
      <c r="Q30" s="288">
        <f t="shared" si="6"/>
        <v>0</v>
      </c>
      <c r="R30" s="288">
        <f t="shared" si="7"/>
        <v>1</v>
      </c>
      <c r="S30" s="288">
        <f t="shared" si="8"/>
        <v>0.34848484848484851</v>
      </c>
      <c r="T30" s="288" t="e">
        <f>(K30*'Fund Ranking Criteria'!$J$9)+('Fund Ranking Criteria'!$J$10*Consol_Thematic!M30)+('Fund Ranking Criteria'!$J$12*Consol_Thematic!S30)+('Fund Ranking Criteria'!$J$14*Consol_Thematic!R30)+('Fund Ranking Criteria'!$J$15*Consol_Thematic!O30)+('Fund Ranking Criteria'!$J$16*Consol_Thematic!P30)+('Fund Ranking Criteria'!#REF!*Consol_Thematic!Q30)+('Fund Ranking Criteria'!#REF!*Consol_Thematic!L30)</f>
        <v>#REF!</v>
      </c>
      <c r="U30" s="288" t="e">
        <f t="shared" si="9"/>
        <v>#REF!</v>
      </c>
      <c r="V30" s="261" t="e">
        <f t="shared" si="10"/>
        <v>#REF!</v>
      </c>
      <c r="W30" s="261" t="str">
        <f t="shared" si="11"/>
        <v>Baroda BNP Paribas Energy Opportunities Fund - Regular Plan</v>
      </c>
    </row>
    <row r="31" spans="1:23" x14ac:dyDescent="0.25">
      <c r="A31" s="261" t="s">
        <v>197</v>
      </c>
      <c r="B31" s="261">
        <f>VLOOKUP($A31, Sheet4!$A$2:$L$688, Consol_Thematic!B$1,FALSE)</f>
        <v>3.86</v>
      </c>
      <c r="C31" s="261">
        <f>VLOOKUP($A31, Sheet4!$A$2:$L$688, Consol_Thematic!C$1,FALSE)</f>
        <v>20.41</v>
      </c>
      <c r="D31" s="261">
        <f>VLOOKUP($A31, Sheet4!$A$2:$L$688, Consol_Thematic!D$1,FALSE)</f>
        <v>20.62</v>
      </c>
      <c r="E31" s="261">
        <f>VLOOKUP($A31, Sheet4!$A$2:$L$688, Consol_Thematic!E$1,FALSE)</f>
        <v>0.76</v>
      </c>
      <c r="F31" s="261">
        <f>VLOOKUP($A31, Sheet4!$A$2:$L$688, Consol_Thematic!F$1,FALSE)</f>
        <v>1.08</v>
      </c>
      <c r="G31" s="261">
        <f>VLOOKUP($A31, Sheet4!$A$2:$L$688, Consol_Thematic!G$1,FALSE)</f>
        <v>-0.31</v>
      </c>
      <c r="H31" s="261">
        <f>VLOOKUP($A31, Sheet4!$A$2:$L$688, Consol_Thematic!H$1,FALSE)</f>
        <v>2.09</v>
      </c>
      <c r="I31" s="261">
        <f>VLOOKUP($A31, Sheet4!$A$2:$L$688, Consol_Thematic!I$1,FALSE)</f>
        <v>0.8</v>
      </c>
      <c r="J31" s="261">
        <f>VLOOKUP($A31, Sheet4!$A$2:$L$688, Consol_Thematic!J$1,FALSE)</f>
        <v>14.79</v>
      </c>
      <c r="K31" s="288">
        <f t="shared" si="0"/>
        <v>0.65246142542248342</v>
      </c>
      <c r="L31" s="288">
        <f t="shared" si="1"/>
        <v>0.53846153846153866</v>
      </c>
      <c r="M31" s="288">
        <f t="shared" si="2"/>
        <v>0.5625689084895259</v>
      </c>
      <c r="N31" s="288">
        <f t="shared" si="3"/>
        <v>0.66430412371134029</v>
      </c>
      <c r="O31" s="288">
        <f t="shared" si="4"/>
        <v>0.33855098389982113</v>
      </c>
      <c r="P31" s="288">
        <f t="shared" si="5"/>
        <v>0.71028037383177567</v>
      </c>
      <c r="Q31" s="288">
        <f t="shared" si="6"/>
        <v>0.55384615384615388</v>
      </c>
      <c r="R31" s="288">
        <f t="shared" si="7"/>
        <v>0.32773109243697474</v>
      </c>
      <c r="S31" s="288">
        <f t="shared" si="8"/>
        <v>0.31235431235431238</v>
      </c>
      <c r="T31" s="288" t="e">
        <f>(K31*'Fund Ranking Criteria'!$J$9)+('Fund Ranking Criteria'!$J$10*Consol_Thematic!M31)+('Fund Ranking Criteria'!$J$12*Consol_Thematic!S31)+('Fund Ranking Criteria'!$J$14*Consol_Thematic!R31)+('Fund Ranking Criteria'!$J$15*Consol_Thematic!O31)+('Fund Ranking Criteria'!$J$16*Consol_Thematic!P31)+('Fund Ranking Criteria'!#REF!*Consol_Thematic!Q31)+('Fund Ranking Criteria'!#REF!*Consol_Thematic!L31)</f>
        <v>#REF!</v>
      </c>
      <c r="U31" s="288" t="e">
        <f t="shared" si="9"/>
        <v>#REF!</v>
      </c>
      <c r="V31" s="261" t="e">
        <f t="shared" si="10"/>
        <v>#REF!</v>
      </c>
      <c r="W31" s="261" t="str">
        <f t="shared" si="11"/>
        <v>Baroda BNP Paribas India Consumption Fund - Regular Plan</v>
      </c>
    </row>
    <row r="32" spans="1:23" x14ac:dyDescent="0.25">
      <c r="A32" s="261" t="s">
        <v>198</v>
      </c>
      <c r="B32" s="261">
        <f>VLOOKUP($A32, Sheet4!$A$2:$L$688, Consol_Thematic!B$1,FALSE)</f>
        <v>3.95</v>
      </c>
      <c r="C32" s="261">
        <f>VLOOKUP($A32, Sheet4!$A$2:$L$688, Consol_Thematic!C$1,FALSE)</f>
        <v>0</v>
      </c>
      <c r="D32" s="261">
        <f>VLOOKUP($A32, Sheet4!$A$2:$L$688, Consol_Thematic!D$1,FALSE)</f>
        <v>0</v>
      </c>
      <c r="E32" s="261">
        <f>VLOOKUP($A32, Sheet4!$A$2:$L$688, Consol_Thematic!E$1,FALSE)</f>
        <v>0</v>
      </c>
      <c r="F32" s="261">
        <f>VLOOKUP($A32, Sheet4!$A$2:$L$688, Consol_Thematic!F$1,FALSE)</f>
        <v>0</v>
      </c>
      <c r="G32" s="261">
        <f>VLOOKUP($A32, Sheet4!$A$2:$L$688, Consol_Thematic!G$1,FALSE)</f>
        <v>0</v>
      </c>
      <c r="H32" s="261">
        <f>VLOOKUP($A32, Sheet4!$A$2:$L$688, Consol_Thematic!H$1,FALSE)</f>
        <v>2.2599999999999998</v>
      </c>
      <c r="I32" s="261">
        <f>VLOOKUP($A32, Sheet4!$A$2:$L$688, Consol_Thematic!I$1,FALSE)</f>
        <v>0</v>
      </c>
      <c r="J32" s="261">
        <f>VLOOKUP($A32, Sheet4!$A$2:$L$688, Consol_Thematic!J$1,FALSE)</f>
        <v>0</v>
      </c>
      <c r="K32" s="288">
        <f t="shared" si="0"/>
        <v>0.65907421013960321</v>
      </c>
      <c r="L32" s="288">
        <f t="shared" si="1"/>
        <v>0.27692307692307722</v>
      </c>
      <c r="M32" s="288">
        <f t="shared" si="2"/>
        <v>0</v>
      </c>
      <c r="N32" s="288">
        <f t="shared" si="3"/>
        <v>0</v>
      </c>
      <c r="O32" s="288">
        <f t="shared" si="4"/>
        <v>1</v>
      </c>
      <c r="P32" s="288">
        <f t="shared" si="5"/>
        <v>0</v>
      </c>
      <c r="Q32" s="288">
        <f t="shared" si="6"/>
        <v>0</v>
      </c>
      <c r="R32" s="288">
        <f t="shared" si="7"/>
        <v>1</v>
      </c>
      <c r="S32" s="288">
        <f t="shared" si="8"/>
        <v>0.34848484848484851</v>
      </c>
      <c r="T32" s="288" t="e">
        <f>(K32*'Fund Ranking Criteria'!$J$9)+('Fund Ranking Criteria'!$J$10*Consol_Thematic!M32)+('Fund Ranking Criteria'!$J$12*Consol_Thematic!S32)+('Fund Ranking Criteria'!$J$14*Consol_Thematic!R32)+('Fund Ranking Criteria'!$J$15*Consol_Thematic!O32)+('Fund Ranking Criteria'!$J$16*Consol_Thematic!P32)+('Fund Ranking Criteria'!#REF!*Consol_Thematic!Q32)+('Fund Ranking Criteria'!#REF!*Consol_Thematic!L32)</f>
        <v>#REF!</v>
      </c>
      <c r="U32" s="288" t="e">
        <f t="shared" si="9"/>
        <v>#REF!</v>
      </c>
      <c r="V32" s="261" t="e">
        <f t="shared" si="10"/>
        <v>#REF!</v>
      </c>
      <c r="W32" s="261" t="str">
        <f t="shared" si="11"/>
        <v>Baroda BNP Paribas Innovation Fund - Regular Plan</v>
      </c>
    </row>
    <row r="33" spans="1:23" x14ac:dyDescent="0.25">
      <c r="A33" s="261" t="s">
        <v>201</v>
      </c>
      <c r="B33" s="261">
        <f>VLOOKUP($A33, Sheet4!$A$2:$L$688, Consol_Thematic!B$1,FALSE)</f>
        <v>0</v>
      </c>
      <c r="C33" s="261">
        <f>VLOOKUP($A33, Sheet4!$A$2:$L$688, Consol_Thematic!C$1,FALSE)</f>
        <v>0</v>
      </c>
      <c r="D33" s="261">
        <f>VLOOKUP($A33, Sheet4!$A$2:$L$688, Consol_Thematic!D$1,FALSE)</f>
        <v>0</v>
      </c>
      <c r="E33" s="261">
        <f>VLOOKUP($A33, Sheet4!$A$2:$L$688, Consol_Thematic!E$1,FALSE)</f>
        <v>0</v>
      </c>
      <c r="F33" s="261">
        <f>VLOOKUP($A33, Sheet4!$A$2:$L$688, Consol_Thematic!F$1,FALSE)</f>
        <v>0</v>
      </c>
      <c r="G33" s="261">
        <f>VLOOKUP($A33, Sheet4!$A$2:$L$688, Consol_Thematic!G$1,FALSE)</f>
        <v>0</v>
      </c>
      <c r="H33" s="261">
        <f>VLOOKUP($A33, Sheet4!$A$2:$L$688, Consol_Thematic!H$1,FALSE)</f>
        <v>2.12</v>
      </c>
      <c r="I33" s="261">
        <f>VLOOKUP($A33, Sheet4!$A$2:$L$688, Consol_Thematic!I$1,FALSE)</f>
        <v>0</v>
      </c>
      <c r="J33" s="261">
        <f>VLOOKUP($A33, Sheet4!$A$2:$L$688, Consol_Thematic!J$1,FALSE)</f>
        <v>0</v>
      </c>
      <c r="K33" s="288">
        <f t="shared" si="0"/>
        <v>0.36884643644379134</v>
      </c>
      <c r="L33" s="288">
        <f t="shared" si="1"/>
        <v>0.49230769230769211</v>
      </c>
      <c r="M33" s="288">
        <f t="shared" si="2"/>
        <v>0</v>
      </c>
      <c r="N33" s="288">
        <f t="shared" si="3"/>
        <v>0</v>
      </c>
      <c r="O33" s="288">
        <f t="shared" si="4"/>
        <v>1</v>
      </c>
      <c r="P33" s="288">
        <f t="shared" si="5"/>
        <v>0</v>
      </c>
      <c r="Q33" s="288">
        <f t="shared" si="6"/>
        <v>0</v>
      </c>
      <c r="R33" s="288">
        <f t="shared" si="7"/>
        <v>1</v>
      </c>
      <c r="S33" s="288">
        <f t="shared" si="8"/>
        <v>0.34848484848484851</v>
      </c>
      <c r="T33" s="288" t="e">
        <f>(K33*'Fund Ranking Criteria'!$J$9)+('Fund Ranking Criteria'!$J$10*Consol_Thematic!M33)+('Fund Ranking Criteria'!$J$12*Consol_Thematic!S33)+('Fund Ranking Criteria'!$J$14*Consol_Thematic!R33)+('Fund Ranking Criteria'!$J$15*Consol_Thematic!O33)+('Fund Ranking Criteria'!$J$16*Consol_Thematic!P33)+('Fund Ranking Criteria'!#REF!*Consol_Thematic!Q33)+('Fund Ranking Criteria'!#REF!*Consol_Thematic!L33)</f>
        <v>#REF!</v>
      </c>
      <c r="U33" s="288" t="e">
        <f t="shared" si="9"/>
        <v>#REF!</v>
      </c>
      <c r="V33" s="261" t="e">
        <f t="shared" si="10"/>
        <v>#REF!</v>
      </c>
      <c r="W33" s="261" t="str">
        <f t="shared" si="11"/>
        <v>Baroda BNP Paribas Manufacturing Fund - Regular Plan</v>
      </c>
    </row>
    <row r="34" spans="1:23" x14ac:dyDescent="0.25">
      <c r="A34" s="261" t="s">
        <v>213</v>
      </c>
      <c r="B34" s="261">
        <f>VLOOKUP($A34, Sheet4!$A$2:$L$688, Consol_Thematic!B$1,FALSE)</f>
        <v>6.96</v>
      </c>
      <c r="C34" s="261">
        <f>VLOOKUP($A34, Sheet4!$A$2:$L$688, Consol_Thematic!C$1,FALSE)</f>
        <v>22.68</v>
      </c>
      <c r="D34" s="261">
        <f>VLOOKUP($A34, Sheet4!$A$2:$L$688, Consol_Thematic!D$1,FALSE)</f>
        <v>23.81</v>
      </c>
      <c r="E34" s="261">
        <f>VLOOKUP($A34, Sheet4!$A$2:$L$688, Consol_Thematic!E$1,FALSE)</f>
        <v>0.88</v>
      </c>
      <c r="F34" s="261">
        <f>VLOOKUP($A34, Sheet4!$A$2:$L$688, Consol_Thematic!F$1,FALSE)</f>
        <v>1.52</v>
      </c>
      <c r="G34" s="261">
        <f>VLOOKUP($A34, Sheet4!$A$2:$L$688, Consol_Thematic!G$1,FALSE)</f>
        <v>1.49</v>
      </c>
      <c r="H34" s="261">
        <f>VLOOKUP($A34, Sheet4!$A$2:$L$688, Consol_Thematic!H$1,FALSE)</f>
        <v>2.0699999999999998</v>
      </c>
      <c r="I34" s="261">
        <f>VLOOKUP($A34, Sheet4!$A$2:$L$688, Consol_Thematic!I$1,FALSE)</f>
        <v>0.8</v>
      </c>
      <c r="J34" s="261">
        <f>VLOOKUP($A34, Sheet4!$A$2:$L$688, Consol_Thematic!J$1,FALSE)</f>
        <v>14.75</v>
      </c>
      <c r="K34" s="288">
        <f t="shared" si="0"/>
        <v>0.88023512123438652</v>
      </c>
      <c r="L34" s="288">
        <f t="shared" si="1"/>
        <v>0.56923076923076943</v>
      </c>
      <c r="M34" s="288">
        <f t="shared" si="2"/>
        <v>0.6251378169790518</v>
      </c>
      <c r="N34" s="288">
        <f t="shared" si="3"/>
        <v>0.76707474226804118</v>
      </c>
      <c r="O34" s="288">
        <f t="shared" si="4"/>
        <v>0.34033989266547404</v>
      </c>
      <c r="P34" s="288">
        <f t="shared" si="5"/>
        <v>0.82242990654205606</v>
      </c>
      <c r="Q34" s="288">
        <f t="shared" si="6"/>
        <v>0.77948717948717949</v>
      </c>
      <c r="R34" s="288">
        <f t="shared" si="7"/>
        <v>0.32773109243697474</v>
      </c>
      <c r="S34" s="288">
        <f t="shared" si="8"/>
        <v>0.52214452214452223</v>
      </c>
      <c r="T34" s="288" t="e">
        <f>(K34*'Fund Ranking Criteria'!$J$9)+('Fund Ranking Criteria'!$J$10*Consol_Thematic!M34)+('Fund Ranking Criteria'!$J$12*Consol_Thematic!S34)+('Fund Ranking Criteria'!$J$14*Consol_Thematic!R34)+('Fund Ranking Criteria'!$J$15*Consol_Thematic!O34)+('Fund Ranking Criteria'!$J$16*Consol_Thematic!P34)+('Fund Ranking Criteria'!#REF!*Consol_Thematic!Q34)+('Fund Ranking Criteria'!#REF!*Consol_Thematic!L34)</f>
        <v>#REF!</v>
      </c>
      <c r="U34" s="288" t="e">
        <f t="shared" si="9"/>
        <v>#REF!</v>
      </c>
      <c r="V34" s="261" t="e">
        <f t="shared" si="10"/>
        <v>#REF!</v>
      </c>
      <c r="W34" s="261" t="str">
        <f t="shared" si="11"/>
        <v>Canara Robeco Consumer Trends Fund - Regular Plan</v>
      </c>
    </row>
    <row r="35" spans="1:23" x14ac:dyDescent="0.25">
      <c r="A35" s="261" t="s">
        <v>217</v>
      </c>
      <c r="B35" s="261">
        <f>VLOOKUP($A35, Sheet4!$A$2:$L$688, Consol_Thematic!B$1,FALSE)</f>
        <v>-0.24</v>
      </c>
      <c r="C35" s="261">
        <f>VLOOKUP($A35, Sheet4!$A$2:$L$688, Consol_Thematic!C$1,FALSE)</f>
        <v>0</v>
      </c>
      <c r="D35" s="261">
        <f>VLOOKUP($A35, Sheet4!$A$2:$L$688, Consol_Thematic!D$1,FALSE)</f>
        <v>0</v>
      </c>
      <c r="E35" s="261">
        <f>VLOOKUP($A35, Sheet4!$A$2:$L$688, Consol_Thematic!E$1,FALSE)</f>
        <v>0</v>
      </c>
      <c r="F35" s="261">
        <f>VLOOKUP($A35, Sheet4!$A$2:$L$688, Consol_Thematic!F$1,FALSE)</f>
        <v>0</v>
      </c>
      <c r="G35" s="261">
        <f>VLOOKUP($A35, Sheet4!$A$2:$L$688, Consol_Thematic!G$1,FALSE)</f>
        <v>0</v>
      </c>
      <c r="H35" s="261">
        <f>VLOOKUP($A35, Sheet4!$A$2:$L$688, Consol_Thematic!H$1,FALSE)</f>
        <v>2.08</v>
      </c>
      <c r="I35" s="261">
        <f>VLOOKUP($A35, Sheet4!$A$2:$L$688, Consol_Thematic!I$1,FALSE)</f>
        <v>0</v>
      </c>
      <c r="J35" s="261">
        <f>VLOOKUP($A35, Sheet4!$A$2:$L$688, Consol_Thematic!J$1,FALSE)</f>
        <v>0</v>
      </c>
      <c r="K35" s="288">
        <f t="shared" ref="K35:K66" si="12">(B35-MIN(B$3:B$23))/(MAX(B$3:B$23)-MIN(B$3:B$23))</f>
        <v>0.35121234386480527</v>
      </c>
      <c r="L35" s="288">
        <f t="shared" ref="L35:L66" si="13">(MAX(H$3:H$23)-H35)/(MAX(H$3:H$23)-MIN(H$3:H$23))</f>
        <v>0.55384615384615377</v>
      </c>
      <c r="M35" s="288">
        <f t="shared" ref="M35:M66" si="14">(C35-MIN(C$3:C$23))/(MAX(C$3:C$23)-MIN(C$3:C$23))</f>
        <v>0</v>
      </c>
      <c r="N35" s="288">
        <f t="shared" ref="N35:N66" si="15">(D35-MIN(D$3:D$23))/(MAX(D$3:D$23)-MIN(D$3:D$23))</f>
        <v>0</v>
      </c>
      <c r="O35" s="288">
        <f t="shared" ref="O35:O66" si="16">(MAX(J$3:J$23)-J35)/(MAX(J$3:J$23)-MIN(J$3:J$23))</f>
        <v>1</v>
      </c>
      <c r="P35" s="288">
        <f t="shared" ref="P35:P66" si="17">(E35-MIN(E$3:E$23))/(MAX(E$3:E$23)-MIN(E$3:E$23))</f>
        <v>0</v>
      </c>
      <c r="Q35" s="288">
        <f t="shared" ref="Q35:Q66" si="18">(F35-MIN(F$3:F$23))/(MAX(F$3:F$23)-MIN(F$3:F$23))</f>
        <v>0</v>
      </c>
      <c r="R35" s="288">
        <f t="shared" ref="R35:R66" si="19">(MAX(I$3:I$23)-I35)/(MAX(I$3:I$23)-MIN(I$3:I$23))</f>
        <v>1</v>
      </c>
      <c r="S35" s="288">
        <f t="shared" ref="S35:S66" si="20">(G35-MIN(G$3:G$23))/(MAX(G$3:G$23)-MIN(G$3:G$23))</f>
        <v>0.34848484848484851</v>
      </c>
      <c r="T35" s="288" t="e">
        <f>(K35*'Fund Ranking Criteria'!$J$9)+('Fund Ranking Criteria'!$J$10*Consol_Thematic!M35)+('Fund Ranking Criteria'!$J$12*Consol_Thematic!S35)+('Fund Ranking Criteria'!$J$14*Consol_Thematic!R35)+('Fund Ranking Criteria'!$J$15*Consol_Thematic!O35)+('Fund Ranking Criteria'!$J$16*Consol_Thematic!P35)+('Fund Ranking Criteria'!#REF!*Consol_Thematic!Q35)+('Fund Ranking Criteria'!#REF!*Consol_Thematic!L35)</f>
        <v>#REF!</v>
      </c>
      <c r="U35" s="288" t="e">
        <f t="shared" ref="U35:U66" si="21">T35*1</f>
        <v>#REF!</v>
      </c>
      <c r="V35" s="261" t="e">
        <f t="shared" ref="V35:V66" si="22">RANK(U35,$U$3:$U$157,0)</f>
        <v>#REF!</v>
      </c>
      <c r="W35" s="261" t="str">
        <f t="shared" ref="W35:W66" si="23">A35</f>
        <v>Canara Robeco Manufacturing Fund - Regular Plan</v>
      </c>
    </row>
    <row r="36" spans="1:23" x14ac:dyDescent="0.25">
      <c r="A36" s="261" t="s">
        <v>226</v>
      </c>
      <c r="B36" s="261">
        <f>VLOOKUP($A36, Sheet4!$A$2:$L$688, Consol_Thematic!B$1,FALSE)</f>
        <v>0</v>
      </c>
      <c r="C36" s="261">
        <f>VLOOKUP($A36, Sheet4!$A$2:$L$688, Consol_Thematic!C$1,FALSE)</f>
        <v>0</v>
      </c>
      <c r="D36" s="261">
        <f>VLOOKUP($A36, Sheet4!$A$2:$L$688, Consol_Thematic!D$1,FALSE)</f>
        <v>0</v>
      </c>
      <c r="E36" s="261">
        <f>VLOOKUP($A36, Sheet4!$A$2:$L$688, Consol_Thematic!E$1,FALSE)</f>
        <v>0</v>
      </c>
      <c r="F36" s="261">
        <f>VLOOKUP($A36, Sheet4!$A$2:$L$688, Consol_Thematic!F$1,FALSE)</f>
        <v>0</v>
      </c>
      <c r="G36" s="261">
        <f>VLOOKUP($A36, Sheet4!$A$2:$L$688, Consol_Thematic!G$1,FALSE)</f>
        <v>0</v>
      </c>
      <c r="H36" s="261">
        <f>VLOOKUP($A36, Sheet4!$A$2:$L$688, Consol_Thematic!H$1,FALSE)</f>
        <v>2.1800000000000002</v>
      </c>
      <c r="I36" s="261">
        <f>VLOOKUP($A36, Sheet4!$A$2:$L$688, Consol_Thematic!I$1,FALSE)</f>
        <v>0</v>
      </c>
      <c r="J36" s="261">
        <f>VLOOKUP($A36, Sheet4!$A$2:$L$688, Consol_Thematic!J$1,FALSE)</f>
        <v>0</v>
      </c>
      <c r="K36" s="288">
        <f t="shared" si="12"/>
        <v>0.36884643644379134</v>
      </c>
      <c r="L36" s="288">
        <f t="shared" si="13"/>
        <v>0.39999999999999974</v>
      </c>
      <c r="M36" s="288">
        <f t="shared" si="14"/>
        <v>0</v>
      </c>
      <c r="N36" s="288">
        <f t="shared" si="15"/>
        <v>0</v>
      </c>
      <c r="O36" s="288">
        <f t="shared" si="16"/>
        <v>1</v>
      </c>
      <c r="P36" s="288">
        <f t="shared" si="17"/>
        <v>0</v>
      </c>
      <c r="Q36" s="288">
        <f t="shared" si="18"/>
        <v>0</v>
      </c>
      <c r="R36" s="288">
        <f t="shared" si="19"/>
        <v>1</v>
      </c>
      <c r="S36" s="288">
        <f t="shared" si="20"/>
        <v>0.34848484848484851</v>
      </c>
      <c r="T36" s="288" t="e">
        <f>(K36*'Fund Ranking Criteria'!$J$9)+('Fund Ranking Criteria'!$J$10*Consol_Thematic!M36)+('Fund Ranking Criteria'!$J$12*Consol_Thematic!S36)+('Fund Ranking Criteria'!$J$14*Consol_Thematic!R36)+('Fund Ranking Criteria'!$J$15*Consol_Thematic!O36)+('Fund Ranking Criteria'!$J$16*Consol_Thematic!P36)+('Fund Ranking Criteria'!#REF!*Consol_Thematic!Q36)+('Fund Ranking Criteria'!#REF!*Consol_Thematic!L36)</f>
        <v>#REF!</v>
      </c>
      <c r="U36" s="288" t="e">
        <f t="shared" si="21"/>
        <v>#REF!</v>
      </c>
      <c r="V36" s="261" t="e">
        <f t="shared" si="22"/>
        <v>#REF!</v>
      </c>
      <c r="W36" s="261" t="str">
        <f t="shared" si="23"/>
        <v>DSP Business Cycle Fund - Regular Plan</v>
      </c>
    </row>
    <row r="37" spans="1:23" x14ac:dyDescent="0.25">
      <c r="A37" s="261" t="s">
        <v>235</v>
      </c>
      <c r="B37" s="261">
        <f>VLOOKUP($A37, Sheet4!$A$2:$L$688, Consol_Thematic!B$1,FALSE)</f>
        <v>-2.0099999999999998</v>
      </c>
      <c r="C37" s="261">
        <f>VLOOKUP($A37, Sheet4!$A$2:$L$688, Consol_Thematic!C$1,FALSE)</f>
        <v>25.09</v>
      </c>
      <c r="D37" s="261">
        <f>VLOOKUP($A37, Sheet4!$A$2:$L$688, Consol_Thematic!D$1,FALSE)</f>
        <v>27.2</v>
      </c>
      <c r="E37" s="261">
        <f>VLOOKUP($A37, Sheet4!$A$2:$L$688, Consol_Thematic!E$1,FALSE)</f>
        <v>0.69</v>
      </c>
      <c r="F37" s="261">
        <f>VLOOKUP($A37, Sheet4!$A$2:$L$688, Consol_Thematic!F$1,FALSE)</f>
        <v>0.99</v>
      </c>
      <c r="G37" s="261">
        <f>VLOOKUP($A37, Sheet4!$A$2:$L$688, Consol_Thematic!G$1,FALSE)</f>
        <v>5.54</v>
      </c>
      <c r="H37" s="261">
        <f>VLOOKUP($A37, Sheet4!$A$2:$L$688, Consol_Thematic!H$1,FALSE)</f>
        <v>2.11</v>
      </c>
      <c r="I37" s="261">
        <f>VLOOKUP($A37, Sheet4!$A$2:$L$688, Consol_Thematic!I$1,FALSE)</f>
        <v>0.64</v>
      </c>
      <c r="J37" s="261">
        <f>VLOOKUP($A37, Sheet4!$A$2:$L$688, Consol_Thematic!J$1,FALSE)</f>
        <v>18.16</v>
      </c>
      <c r="K37" s="288">
        <f t="shared" si="12"/>
        <v>0.22116091109478325</v>
      </c>
      <c r="L37" s="288">
        <f t="shared" si="13"/>
        <v>0.50769230769230789</v>
      </c>
      <c r="M37" s="288">
        <f t="shared" si="14"/>
        <v>0.69156560088202867</v>
      </c>
      <c r="N37" s="288">
        <f t="shared" si="15"/>
        <v>0.87628865979381443</v>
      </c>
      <c r="O37" s="288">
        <f t="shared" si="16"/>
        <v>0.18783542039355991</v>
      </c>
      <c r="P37" s="288">
        <f t="shared" si="17"/>
        <v>0.64485981308411211</v>
      </c>
      <c r="Q37" s="288">
        <f t="shared" si="18"/>
        <v>0.50769230769230766</v>
      </c>
      <c r="R37" s="288">
        <f t="shared" si="19"/>
        <v>0.4621848739495798</v>
      </c>
      <c r="S37" s="288">
        <f t="shared" si="20"/>
        <v>0.99417249417249431</v>
      </c>
      <c r="T37" s="288" t="e">
        <f>(K37*'Fund Ranking Criteria'!$J$9)+('Fund Ranking Criteria'!$J$10*Consol_Thematic!M37)+('Fund Ranking Criteria'!$J$12*Consol_Thematic!S37)+('Fund Ranking Criteria'!$J$14*Consol_Thematic!R37)+('Fund Ranking Criteria'!$J$15*Consol_Thematic!O37)+('Fund Ranking Criteria'!$J$16*Consol_Thematic!P37)+('Fund Ranking Criteria'!#REF!*Consol_Thematic!Q37)+('Fund Ranking Criteria'!#REF!*Consol_Thematic!L37)</f>
        <v>#REF!</v>
      </c>
      <c r="U37" s="288" t="e">
        <f t="shared" si="21"/>
        <v>#REF!</v>
      </c>
      <c r="V37" s="261" t="e">
        <f t="shared" si="22"/>
        <v>#REF!</v>
      </c>
      <c r="W37" s="261" t="str">
        <f t="shared" si="23"/>
        <v>DSP Natural Resources and New Energy Fund - Regular Plan</v>
      </c>
    </row>
    <row r="38" spans="1:23" x14ac:dyDescent="0.25">
      <c r="A38" s="261" t="s">
        <v>246</v>
      </c>
      <c r="B38" s="261">
        <f>VLOOKUP($A38, Sheet4!$A$2:$L$688, Consol_Thematic!B$1,FALSE)</f>
        <v>4.42</v>
      </c>
      <c r="C38" s="261">
        <f>VLOOKUP($A38, Sheet4!$A$2:$L$688, Consol_Thematic!C$1,FALSE)</f>
        <v>15.14</v>
      </c>
      <c r="D38" s="261">
        <f>VLOOKUP($A38, Sheet4!$A$2:$L$688, Consol_Thematic!D$1,FALSE)</f>
        <v>16.64</v>
      </c>
      <c r="E38" s="261">
        <f>VLOOKUP($A38, Sheet4!$A$2:$L$688, Consol_Thematic!E$1,FALSE)</f>
        <v>0.39</v>
      </c>
      <c r="F38" s="261">
        <f>VLOOKUP($A38, Sheet4!$A$2:$L$688, Consol_Thematic!F$1,FALSE)</f>
        <v>0.67</v>
      </c>
      <c r="G38" s="261">
        <f>VLOOKUP($A38, Sheet4!$A$2:$L$688, Consol_Thematic!G$1,FALSE)</f>
        <v>-5.12</v>
      </c>
      <c r="H38" s="261">
        <f>VLOOKUP($A38, Sheet4!$A$2:$L$688, Consol_Thematic!H$1,FALSE)</f>
        <v>1.28</v>
      </c>
      <c r="I38" s="261">
        <f>VLOOKUP($A38, Sheet4!$A$2:$L$688, Consol_Thematic!I$1,FALSE)</f>
        <v>0.92</v>
      </c>
      <c r="J38" s="261">
        <f>VLOOKUP($A38, Sheet4!$A$2:$L$688, Consol_Thematic!J$1,FALSE)</f>
        <v>14.11</v>
      </c>
      <c r="K38" s="288">
        <f t="shared" si="12"/>
        <v>0.69360764144011755</v>
      </c>
      <c r="L38" s="288">
        <f t="shared" si="13"/>
        <v>1.7846153846153847</v>
      </c>
      <c r="M38" s="288">
        <f t="shared" si="14"/>
        <v>0.41730981256890848</v>
      </c>
      <c r="N38" s="288">
        <f t="shared" si="15"/>
        <v>0.53608247422680411</v>
      </c>
      <c r="O38" s="288">
        <f t="shared" si="16"/>
        <v>0.36896243291592129</v>
      </c>
      <c r="P38" s="288">
        <f t="shared" si="17"/>
        <v>0.3644859813084112</v>
      </c>
      <c r="Q38" s="288">
        <f t="shared" si="18"/>
        <v>0.34358974358974359</v>
      </c>
      <c r="R38" s="288">
        <f t="shared" si="19"/>
        <v>0.22689075630252095</v>
      </c>
      <c r="S38" s="288">
        <f t="shared" si="20"/>
        <v>-0.24825174825174823</v>
      </c>
      <c r="T38" s="288" t="e">
        <f>(K38*'Fund Ranking Criteria'!$J$9)+('Fund Ranking Criteria'!$J$10*Consol_Thematic!M38)+('Fund Ranking Criteria'!$J$12*Consol_Thematic!S38)+('Fund Ranking Criteria'!$J$14*Consol_Thematic!R38)+('Fund Ranking Criteria'!$J$15*Consol_Thematic!O38)+('Fund Ranking Criteria'!$J$16*Consol_Thematic!P38)+('Fund Ranking Criteria'!#REF!*Consol_Thematic!Q38)+('Fund Ranking Criteria'!#REF!*Consol_Thematic!L38)</f>
        <v>#REF!</v>
      </c>
      <c r="U38" s="288" t="e">
        <f t="shared" si="21"/>
        <v>#REF!</v>
      </c>
      <c r="V38" s="261" t="e">
        <f t="shared" si="22"/>
        <v>#REF!</v>
      </c>
      <c r="W38" s="261" t="str">
        <f t="shared" si="23"/>
        <v>DSP Quant Fund - Regular Plan</v>
      </c>
    </row>
    <row r="39" spans="1:23" x14ac:dyDescent="0.25">
      <c r="A39" s="261" t="s">
        <v>251</v>
      </c>
      <c r="B39" s="261">
        <f>VLOOKUP($A39, Sheet4!$A$2:$L$688, Consol_Thematic!B$1,FALSE)</f>
        <v>0</v>
      </c>
      <c r="C39" s="261">
        <f>VLOOKUP($A39, Sheet4!$A$2:$L$688, Consol_Thematic!C$1,FALSE)</f>
        <v>0</v>
      </c>
      <c r="D39" s="261">
        <f>VLOOKUP($A39, Sheet4!$A$2:$L$688, Consol_Thematic!D$1,FALSE)</f>
        <v>0</v>
      </c>
      <c r="E39" s="261">
        <f>VLOOKUP($A39, Sheet4!$A$2:$L$688, Consol_Thematic!E$1,FALSE)</f>
        <v>0</v>
      </c>
      <c r="F39" s="261">
        <f>VLOOKUP($A39, Sheet4!$A$2:$L$688, Consol_Thematic!F$1,FALSE)</f>
        <v>0</v>
      </c>
      <c r="G39" s="261">
        <f>VLOOKUP($A39, Sheet4!$A$2:$L$688, Consol_Thematic!G$1,FALSE)</f>
        <v>0</v>
      </c>
      <c r="H39" s="261">
        <f>VLOOKUP($A39, Sheet4!$A$2:$L$688, Consol_Thematic!H$1,FALSE)</f>
        <v>2.02</v>
      </c>
      <c r="I39" s="261">
        <f>VLOOKUP($A39, Sheet4!$A$2:$L$688, Consol_Thematic!I$1,FALSE)</f>
        <v>0</v>
      </c>
      <c r="J39" s="261">
        <f>VLOOKUP($A39, Sheet4!$A$2:$L$688, Consol_Thematic!J$1,FALSE)</f>
        <v>0</v>
      </c>
      <c r="K39" s="288">
        <f t="shared" si="12"/>
        <v>0.36884643644379134</v>
      </c>
      <c r="L39" s="288">
        <f t="shared" si="13"/>
        <v>0.64615384615384608</v>
      </c>
      <c r="M39" s="288">
        <f t="shared" si="14"/>
        <v>0</v>
      </c>
      <c r="N39" s="288">
        <f t="shared" si="15"/>
        <v>0</v>
      </c>
      <c r="O39" s="288">
        <f t="shared" si="16"/>
        <v>1</v>
      </c>
      <c r="P39" s="288">
        <f t="shared" si="17"/>
        <v>0</v>
      </c>
      <c r="Q39" s="288">
        <f t="shared" si="18"/>
        <v>0</v>
      </c>
      <c r="R39" s="288">
        <f t="shared" si="19"/>
        <v>1</v>
      </c>
      <c r="S39" s="288">
        <f t="shared" si="20"/>
        <v>0.34848484848484851</v>
      </c>
      <c r="T39" s="288" t="e">
        <f>(K39*'Fund Ranking Criteria'!$J$9)+('Fund Ranking Criteria'!$J$10*Consol_Thematic!M39)+('Fund Ranking Criteria'!$J$12*Consol_Thematic!S39)+('Fund Ranking Criteria'!$J$14*Consol_Thematic!R39)+('Fund Ranking Criteria'!$J$15*Consol_Thematic!O39)+('Fund Ranking Criteria'!$J$16*Consol_Thematic!P39)+('Fund Ranking Criteria'!#REF!*Consol_Thematic!Q39)+('Fund Ranking Criteria'!#REF!*Consol_Thematic!L39)</f>
        <v>#REF!</v>
      </c>
      <c r="U39" s="288" t="e">
        <f t="shared" si="21"/>
        <v>#REF!</v>
      </c>
      <c r="V39" s="261" t="e">
        <f t="shared" si="22"/>
        <v>#REF!</v>
      </c>
      <c r="W39" s="261" t="str">
        <f t="shared" si="23"/>
        <v>Edelweiss Business Cycle Fund - Regular Plan</v>
      </c>
    </row>
    <row r="40" spans="1:23" x14ac:dyDescent="0.25">
      <c r="A40" s="261" t="s">
        <v>252</v>
      </c>
      <c r="B40" s="261">
        <f>VLOOKUP($A40, Sheet4!$A$2:$L$688, Consol_Thematic!B$1,FALSE)</f>
        <v>0</v>
      </c>
      <c r="C40" s="261">
        <f>VLOOKUP($A40, Sheet4!$A$2:$L$688, Consol_Thematic!C$1,FALSE)</f>
        <v>0</v>
      </c>
      <c r="D40" s="261">
        <f>VLOOKUP($A40, Sheet4!$A$2:$L$688, Consol_Thematic!D$1,FALSE)</f>
        <v>0</v>
      </c>
      <c r="E40" s="261">
        <f>VLOOKUP($A40, Sheet4!$A$2:$L$688, Consol_Thematic!E$1,FALSE)</f>
        <v>0</v>
      </c>
      <c r="F40" s="261">
        <f>VLOOKUP($A40, Sheet4!$A$2:$L$688, Consol_Thematic!F$1,FALSE)</f>
        <v>0</v>
      </c>
      <c r="G40" s="261">
        <f>VLOOKUP($A40, Sheet4!$A$2:$L$688, Consol_Thematic!G$1,FALSE)</f>
        <v>0</v>
      </c>
      <c r="H40" s="261">
        <f>VLOOKUP($A40, Sheet4!$A$2:$L$688, Consol_Thematic!H$1,FALSE)</f>
        <v>2.38</v>
      </c>
      <c r="I40" s="261">
        <f>VLOOKUP($A40, Sheet4!$A$2:$L$688, Consol_Thematic!I$1,FALSE)</f>
        <v>0</v>
      </c>
      <c r="J40" s="261">
        <f>VLOOKUP($A40, Sheet4!$A$2:$L$688, Consol_Thematic!J$1,FALSE)</f>
        <v>0</v>
      </c>
      <c r="K40" s="288">
        <f t="shared" si="12"/>
        <v>0.36884643644379134</v>
      </c>
      <c r="L40" s="288">
        <f t="shared" si="13"/>
        <v>9.2307692307692396E-2</v>
      </c>
      <c r="M40" s="288">
        <f t="shared" si="14"/>
        <v>0</v>
      </c>
      <c r="N40" s="288">
        <f t="shared" si="15"/>
        <v>0</v>
      </c>
      <c r="O40" s="288">
        <f t="shared" si="16"/>
        <v>1</v>
      </c>
      <c r="P40" s="288">
        <f t="shared" si="17"/>
        <v>0</v>
      </c>
      <c r="Q40" s="288">
        <f t="shared" si="18"/>
        <v>0</v>
      </c>
      <c r="R40" s="288">
        <f t="shared" si="19"/>
        <v>1</v>
      </c>
      <c r="S40" s="288">
        <f t="shared" si="20"/>
        <v>0.34848484848484851</v>
      </c>
      <c r="T40" s="288" t="e">
        <f>(K40*'Fund Ranking Criteria'!$J$9)+('Fund Ranking Criteria'!$J$10*Consol_Thematic!M40)+('Fund Ranking Criteria'!$J$12*Consol_Thematic!S40)+('Fund Ranking Criteria'!$J$14*Consol_Thematic!R40)+('Fund Ranking Criteria'!$J$15*Consol_Thematic!O40)+('Fund Ranking Criteria'!$J$16*Consol_Thematic!P40)+('Fund Ranking Criteria'!#REF!*Consol_Thematic!Q40)+('Fund Ranking Criteria'!#REF!*Consol_Thematic!L40)</f>
        <v>#REF!</v>
      </c>
      <c r="U40" s="288" t="e">
        <f t="shared" si="21"/>
        <v>#REF!</v>
      </c>
      <c r="V40" s="261" t="e">
        <f t="shared" si="22"/>
        <v>#REF!</v>
      </c>
      <c r="W40" s="261" t="str">
        <f t="shared" si="23"/>
        <v>Edelweiss Consumption Fund - Regular Plan</v>
      </c>
    </row>
    <row r="41" spans="1:23" x14ac:dyDescent="0.25">
      <c r="A41" s="261" t="s">
        <v>271</v>
      </c>
      <c r="B41" s="261">
        <f>VLOOKUP($A41, Sheet4!$A$2:$L$688, Consol_Thematic!B$1,FALSE)</f>
        <v>0.54</v>
      </c>
      <c r="C41" s="261">
        <f>VLOOKUP($A41, Sheet4!$A$2:$L$688, Consol_Thematic!C$1,FALSE)</f>
        <v>18.07</v>
      </c>
      <c r="D41" s="261">
        <f>VLOOKUP($A41, Sheet4!$A$2:$L$688, Consol_Thematic!D$1,FALSE)</f>
        <v>21.87</v>
      </c>
      <c r="E41" s="261">
        <f>VLOOKUP($A41, Sheet4!$A$2:$L$688, Consol_Thematic!E$1,FALSE)</f>
        <v>0.5</v>
      </c>
      <c r="F41" s="261">
        <f>VLOOKUP($A41, Sheet4!$A$2:$L$688, Consol_Thematic!F$1,FALSE)</f>
        <v>0.69</v>
      </c>
      <c r="G41" s="261">
        <f>VLOOKUP($A41, Sheet4!$A$2:$L$688, Consol_Thematic!G$1,FALSE)</f>
        <v>-2.2200000000000002</v>
      </c>
      <c r="H41" s="261">
        <f>VLOOKUP($A41, Sheet4!$A$2:$L$688, Consol_Thematic!H$1,FALSE)</f>
        <v>2.29</v>
      </c>
      <c r="I41" s="261">
        <f>VLOOKUP($A41, Sheet4!$A$2:$L$688, Consol_Thematic!I$1,FALSE)</f>
        <v>0.99</v>
      </c>
      <c r="J41" s="261">
        <f>VLOOKUP($A41, Sheet4!$A$2:$L$688, Consol_Thematic!J$1,FALSE)</f>
        <v>18.53</v>
      </c>
      <c r="K41" s="288">
        <f t="shared" si="12"/>
        <v>0.40852314474650991</v>
      </c>
      <c r="L41" s="288">
        <f t="shared" si="13"/>
        <v>0.23076923076923067</v>
      </c>
      <c r="M41" s="288">
        <f t="shared" si="14"/>
        <v>0.49807056229327451</v>
      </c>
      <c r="N41" s="288">
        <f t="shared" si="15"/>
        <v>0.70457474226804129</v>
      </c>
      <c r="O41" s="288">
        <f t="shared" si="16"/>
        <v>0.17128801431127005</v>
      </c>
      <c r="P41" s="288">
        <f t="shared" si="17"/>
        <v>0.46728971962616822</v>
      </c>
      <c r="Q41" s="288">
        <f t="shared" si="18"/>
        <v>0.35384615384615381</v>
      </c>
      <c r="R41" s="288">
        <f t="shared" si="19"/>
        <v>0.16806722689075626</v>
      </c>
      <c r="S41" s="288">
        <f t="shared" si="20"/>
        <v>8.9743589743589744E-2</v>
      </c>
      <c r="T41" s="288" t="e">
        <f>(K41*'Fund Ranking Criteria'!$J$9)+('Fund Ranking Criteria'!$J$10*Consol_Thematic!M41)+('Fund Ranking Criteria'!$J$12*Consol_Thematic!S41)+('Fund Ranking Criteria'!$J$14*Consol_Thematic!R41)+('Fund Ranking Criteria'!$J$15*Consol_Thematic!O41)+('Fund Ranking Criteria'!$J$16*Consol_Thematic!P41)+('Fund Ranking Criteria'!#REF!*Consol_Thematic!Q41)+('Fund Ranking Criteria'!#REF!*Consol_Thematic!L41)</f>
        <v>#REF!</v>
      </c>
      <c r="U41" s="288" t="e">
        <f t="shared" si="21"/>
        <v>#REF!</v>
      </c>
      <c r="V41" s="261" t="e">
        <f t="shared" si="22"/>
        <v>#REF!</v>
      </c>
      <c r="W41" s="261" t="str">
        <f t="shared" si="23"/>
        <v>Edelweiss Recently Listed IPO Fund - Regular Plan</v>
      </c>
    </row>
    <row r="42" spans="1:23" x14ac:dyDescent="0.25">
      <c r="A42" s="261" t="s">
        <v>282</v>
      </c>
      <c r="B42" s="261">
        <f>VLOOKUP($A42, Sheet4!$A$2:$L$688, Consol_Thematic!B$1,FALSE)</f>
        <v>3.14</v>
      </c>
      <c r="C42" s="261">
        <f>VLOOKUP($A42, Sheet4!$A$2:$L$688, Consol_Thematic!C$1,FALSE)</f>
        <v>35.24</v>
      </c>
      <c r="D42" s="261">
        <f>VLOOKUP($A42, Sheet4!$A$2:$L$688, Consol_Thematic!D$1,FALSE)</f>
        <v>31.27</v>
      </c>
      <c r="E42" s="261">
        <f>VLOOKUP($A42, Sheet4!$A$2:$L$688, Consol_Thematic!E$1,FALSE)</f>
        <v>1.43</v>
      </c>
      <c r="F42" s="261">
        <f>VLOOKUP($A42, Sheet4!$A$2:$L$688, Consol_Thematic!F$1,FALSE)</f>
        <v>2.0299999999999998</v>
      </c>
      <c r="G42" s="261">
        <f>VLOOKUP($A42, Sheet4!$A$2:$L$688, Consol_Thematic!G$1,FALSE)</f>
        <v>12</v>
      </c>
      <c r="H42" s="261">
        <f>VLOOKUP($A42, Sheet4!$A$2:$L$688, Consol_Thematic!H$1,FALSE)</f>
        <v>1.77</v>
      </c>
      <c r="I42" s="261">
        <f>VLOOKUP($A42, Sheet4!$A$2:$L$688, Consol_Thematic!I$1,FALSE)</f>
        <v>1</v>
      </c>
      <c r="J42" s="261">
        <f>VLOOKUP($A42, Sheet4!$A$2:$L$688, Consol_Thematic!J$1,FALSE)</f>
        <v>16.41</v>
      </c>
      <c r="K42" s="288">
        <f t="shared" si="12"/>
        <v>0.59955914768552543</v>
      </c>
      <c r="L42" s="288">
        <f t="shared" si="13"/>
        <v>1.0307692307692309</v>
      </c>
      <c r="M42" s="288">
        <f t="shared" si="14"/>
        <v>0.97133406835722158</v>
      </c>
      <c r="N42" s="288">
        <f t="shared" si="15"/>
        <v>1.0074097938144331</v>
      </c>
      <c r="O42" s="288">
        <f t="shared" si="16"/>
        <v>0.26610017889087656</v>
      </c>
      <c r="P42" s="288">
        <f t="shared" si="17"/>
        <v>1.3364485981308409</v>
      </c>
      <c r="Q42" s="288">
        <f t="shared" si="18"/>
        <v>1.0410256410256409</v>
      </c>
      <c r="R42" s="288">
        <f t="shared" si="19"/>
        <v>0.15966386554621845</v>
      </c>
      <c r="S42" s="288">
        <f t="shared" si="20"/>
        <v>1.7470862470862472</v>
      </c>
      <c r="T42" s="288" t="e">
        <f>(K42*'Fund Ranking Criteria'!$J$9)+('Fund Ranking Criteria'!$J$10*Consol_Thematic!M42)+('Fund Ranking Criteria'!$J$12*Consol_Thematic!S42)+('Fund Ranking Criteria'!$J$14*Consol_Thematic!R42)+('Fund Ranking Criteria'!$J$15*Consol_Thematic!O42)+('Fund Ranking Criteria'!$J$16*Consol_Thematic!P42)+('Fund Ranking Criteria'!#REF!*Consol_Thematic!Q42)+('Fund Ranking Criteria'!#REF!*Consol_Thematic!L42)</f>
        <v>#REF!</v>
      </c>
      <c r="U42" s="288" t="e">
        <f t="shared" si="21"/>
        <v>#REF!</v>
      </c>
      <c r="V42" s="261" t="e">
        <f t="shared" si="22"/>
        <v>#REF!</v>
      </c>
      <c r="W42" s="261" t="str">
        <f t="shared" si="23"/>
        <v>Franklin India Opportunities Fund - Regular Plan</v>
      </c>
    </row>
    <row r="43" spans="1:23" x14ac:dyDescent="0.25">
      <c r="A43" s="261" t="s">
        <v>308</v>
      </c>
      <c r="B43" s="261">
        <f>VLOOKUP($A43, Sheet4!$A$2:$L$688, Consol_Thematic!B$1,FALSE)</f>
        <v>2.76</v>
      </c>
      <c r="C43" s="261">
        <f>VLOOKUP($A43, Sheet4!$A$2:$L$688, Consol_Thematic!C$1,FALSE)</f>
        <v>0</v>
      </c>
      <c r="D43" s="261">
        <f>VLOOKUP($A43, Sheet4!$A$2:$L$688, Consol_Thematic!D$1,FALSE)</f>
        <v>0</v>
      </c>
      <c r="E43" s="261">
        <f>VLOOKUP($A43, Sheet4!$A$2:$L$688, Consol_Thematic!E$1,FALSE)</f>
        <v>0</v>
      </c>
      <c r="F43" s="261">
        <f>VLOOKUP($A43, Sheet4!$A$2:$L$688, Consol_Thematic!F$1,FALSE)</f>
        <v>0</v>
      </c>
      <c r="G43" s="261">
        <f>VLOOKUP($A43, Sheet4!$A$2:$L$688, Consol_Thematic!G$1,FALSE)</f>
        <v>0</v>
      </c>
      <c r="H43" s="261">
        <f>VLOOKUP($A43, Sheet4!$A$2:$L$688, Consol_Thematic!H$1,FALSE)</f>
        <v>1.97</v>
      </c>
      <c r="I43" s="261">
        <f>VLOOKUP($A43, Sheet4!$A$2:$L$688, Consol_Thematic!I$1,FALSE)</f>
        <v>0</v>
      </c>
      <c r="J43" s="261">
        <f>VLOOKUP($A43, Sheet4!$A$2:$L$688, Consol_Thematic!J$1,FALSE)</f>
        <v>0</v>
      </c>
      <c r="K43" s="288">
        <f t="shared" si="12"/>
        <v>0.57163850110213077</v>
      </c>
      <c r="L43" s="288">
        <f t="shared" si="13"/>
        <v>0.72307692307692317</v>
      </c>
      <c r="M43" s="288">
        <f t="shared" si="14"/>
        <v>0</v>
      </c>
      <c r="N43" s="288">
        <f t="shared" si="15"/>
        <v>0</v>
      </c>
      <c r="O43" s="288">
        <f t="shared" si="16"/>
        <v>1</v>
      </c>
      <c r="P43" s="288">
        <f t="shared" si="17"/>
        <v>0</v>
      </c>
      <c r="Q43" s="288">
        <f t="shared" si="18"/>
        <v>0</v>
      </c>
      <c r="R43" s="288">
        <f t="shared" si="19"/>
        <v>1</v>
      </c>
      <c r="S43" s="288">
        <f t="shared" si="20"/>
        <v>0.34848484848484851</v>
      </c>
      <c r="T43" s="288" t="e">
        <f>(K43*'Fund Ranking Criteria'!$J$9)+('Fund Ranking Criteria'!$J$10*Consol_Thematic!M43)+('Fund Ranking Criteria'!$J$12*Consol_Thematic!S43)+('Fund Ranking Criteria'!$J$14*Consol_Thematic!R43)+('Fund Ranking Criteria'!$J$15*Consol_Thematic!O43)+('Fund Ranking Criteria'!$J$16*Consol_Thematic!P43)+('Fund Ranking Criteria'!#REF!*Consol_Thematic!Q43)+('Fund Ranking Criteria'!#REF!*Consol_Thematic!L43)</f>
        <v>#REF!</v>
      </c>
      <c r="U43" s="288" t="e">
        <f t="shared" si="21"/>
        <v>#REF!</v>
      </c>
      <c r="V43" s="261" t="e">
        <f t="shared" si="22"/>
        <v>#REF!</v>
      </c>
      <c r="W43" s="261" t="str">
        <f t="shared" si="23"/>
        <v>HDFC Business Cycle Fund - Regular Plan</v>
      </c>
    </row>
    <row r="44" spans="1:23" x14ac:dyDescent="0.25">
      <c r="A44" s="261" t="s">
        <v>309</v>
      </c>
      <c r="B44" s="261">
        <f>VLOOKUP($A44, Sheet4!$A$2:$L$688, Consol_Thematic!B$1,FALSE)</f>
        <v>6.89</v>
      </c>
      <c r="C44" s="261">
        <f>VLOOKUP($A44, Sheet4!$A$2:$L$688, Consol_Thematic!C$1,FALSE)</f>
        <v>0</v>
      </c>
      <c r="D44" s="261">
        <f>VLOOKUP($A44, Sheet4!$A$2:$L$688, Consol_Thematic!D$1,FALSE)</f>
        <v>0</v>
      </c>
      <c r="E44" s="261">
        <f>VLOOKUP($A44, Sheet4!$A$2:$L$688, Consol_Thematic!E$1,FALSE)</f>
        <v>0</v>
      </c>
      <c r="F44" s="261">
        <f>VLOOKUP($A44, Sheet4!$A$2:$L$688, Consol_Thematic!F$1,FALSE)</f>
        <v>0</v>
      </c>
      <c r="G44" s="261">
        <f>VLOOKUP($A44, Sheet4!$A$2:$L$688, Consol_Thematic!G$1,FALSE)</f>
        <v>0</v>
      </c>
      <c r="H44" s="261">
        <f>VLOOKUP($A44, Sheet4!$A$2:$L$688, Consol_Thematic!H$1,FALSE)</f>
        <v>1.77</v>
      </c>
      <c r="I44" s="261">
        <f>VLOOKUP($A44, Sheet4!$A$2:$L$688, Consol_Thematic!I$1,FALSE)</f>
        <v>0</v>
      </c>
      <c r="J44" s="261">
        <f>VLOOKUP($A44, Sheet4!$A$2:$L$688, Consol_Thematic!J$1,FALSE)</f>
        <v>0</v>
      </c>
      <c r="K44" s="288">
        <f t="shared" si="12"/>
        <v>0.87509184423218223</v>
      </c>
      <c r="L44" s="288">
        <f t="shared" si="13"/>
        <v>1.0307692307692309</v>
      </c>
      <c r="M44" s="288">
        <f t="shared" si="14"/>
        <v>0</v>
      </c>
      <c r="N44" s="288">
        <f t="shared" si="15"/>
        <v>0</v>
      </c>
      <c r="O44" s="288">
        <f t="shared" si="16"/>
        <v>1</v>
      </c>
      <c r="P44" s="288">
        <f t="shared" si="17"/>
        <v>0</v>
      </c>
      <c r="Q44" s="288">
        <f t="shared" si="18"/>
        <v>0</v>
      </c>
      <c r="R44" s="288">
        <f t="shared" si="19"/>
        <v>1</v>
      </c>
      <c r="S44" s="288">
        <f t="shared" si="20"/>
        <v>0.34848484848484851</v>
      </c>
      <c r="T44" s="288" t="e">
        <f>(K44*'Fund Ranking Criteria'!$J$9)+('Fund Ranking Criteria'!$J$10*Consol_Thematic!M44)+('Fund Ranking Criteria'!$J$12*Consol_Thematic!S44)+('Fund Ranking Criteria'!$J$14*Consol_Thematic!R44)+('Fund Ranking Criteria'!$J$15*Consol_Thematic!O44)+('Fund Ranking Criteria'!$J$16*Consol_Thematic!P44)+('Fund Ranking Criteria'!#REF!*Consol_Thematic!Q44)+('Fund Ranking Criteria'!#REF!*Consol_Thematic!L44)</f>
        <v>#REF!</v>
      </c>
      <c r="U44" s="288" t="e">
        <f t="shared" si="21"/>
        <v>#REF!</v>
      </c>
      <c r="V44" s="261" t="e">
        <f t="shared" si="22"/>
        <v>#REF!</v>
      </c>
      <c r="W44" s="261" t="str">
        <f t="shared" si="23"/>
        <v>HDFC Defence Fund - Regular Plan</v>
      </c>
    </row>
    <row r="45" spans="1:23" x14ac:dyDescent="0.25">
      <c r="A45" s="261" t="s">
        <v>310</v>
      </c>
      <c r="B45" s="261">
        <f>VLOOKUP($A45, Sheet4!$A$2:$L$688, Consol_Thematic!B$1,FALSE)</f>
        <v>2.17</v>
      </c>
      <c r="C45" s="261">
        <f>VLOOKUP($A45, Sheet4!$A$2:$L$688, Consol_Thematic!C$1,FALSE)</f>
        <v>24.68</v>
      </c>
      <c r="D45" s="261">
        <f>VLOOKUP($A45, Sheet4!$A$2:$L$688, Consol_Thematic!D$1,FALSE)</f>
        <v>0</v>
      </c>
      <c r="E45" s="261">
        <f>VLOOKUP($A45, Sheet4!$A$2:$L$688, Consol_Thematic!E$1,FALSE)</f>
        <v>0.95</v>
      </c>
      <c r="F45" s="261">
        <f>VLOOKUP($A45, Sheet4!$A$2:$L$688, Consol_Thematic!F$1,FALSE)</f>
        <v>1.44</v>
      </c>
      <c r="G45" s="261">
        <f>VLOOKUP($A45, Sheet4!$A$2:$L$688, Consol_Thematic!G$1,FALSE)</f>
        <v>2.65</v>
      </c>
      <c r="H45" s="261">
        <f>VLOOKUP($A45, Sheet4!$A$2:$L$688, Consol_Thematic!H$1,FALSE)</f>
        <v>1.81</v>
      </c>
      <c r="I45" s="261">
        <f>VLOOKUP($A45, Sheet4!$A$2:$L$688, Consol_Thematic!I$1,FALSE)</f>
        <v>0.98</v>
      </c>
      <c r="J45" s="261">
        <f>VLOOKUP($A45, Sheet4!$A$2:$L$688, Consol_Thematic!J$1,FALSE)</f>
        <v>14.66</v>
      </c>
      <c r="K45" s="288">
        <f t="shared" si="12"/>
        <v>0.52828802351212345</v>
      </c>
      <c r="L45" s="288">
        <f t="shared" si="13"/>
        <v>0.96923076923076923</v>
      </c>
      <c r="M45" s="288">
        <f t="shared" si="14"/>
        <v>0.68026460859977944</v>
      </c>
      <c r="N45" s="288">
        <f t="shared" si="15"/>
        <v>0</v>
      </c>
      <c r="O45" s="288">
        <f t="shared" si="16"/>
        <v>0.34436493738819318</v>
      </c>
      <c r="P45" s="288">
        <f t="shared" si="17"/>
        <v>0.8878504672897195</v>
      </c>
      <c r="Q45" s="288">
        <f t="shared" si="18"/>
        <v>0.7384615384615385</v>
      </c>
      <c r="R45" s="288">
        <f t="shared" si="19"/>
        <v>0.1764705882352941</v>
      </c>
      <c r="S45" s="288">
        <f t="shared" si="20"/>
        <v>0.6573426573426574</v>
      </c>
      <c r="T45" s="288" t="e">
        <f>(K45*'Fund Ranking Criteria'!$J$9)+('Fund Ranking Criteria'!$J$10*Consol_Thematic!M45)+('Fund Ranking Criteria'!$J$12*Consol_Thematic!S45)+('Fund Ranking Criteria'!$J$14*Consol_Thematic!R45)+('Fund Ranking Criteria'!$J$15*Consol_Thematic!O45)+('Fund Ranking Criteria'!$J$16*Consol_Thematic!P45)+('Fund Ranking Criteria'!#REF!*Consol_Thematic!Q45)+('Fund Ranking Criteria'!#REF!*Consol_Thematic!L45)</f>
        <v>#REF!</v>
      </c>
      <c r="U45" s="288" t="e">
        <f t="shared" si="21"/>
        <v>#REF!</v>
      </c>
      <c r="V45" s="261" t="e">
        <f t="shared" si="22"/>
        <v>#REF!</v>
      </c>
      <c r="W45" s="261" t="str">
        <f t="shared" si="23"/>
        <v>HDFC Dividend Yield Fund - Regular Plan</v>
      </c>
    </row>
    <row r="46" spans="1:23" x14ac:dyDescent="0.25">
      <c r="A46" s="261" t="s">
        <v>313</v>
      </c>
      <c r="B46" s="261">
        <f>VLOOKUP($A46, Sheet4!$A$2:$L$688, Consol_Thematic!B$1,FALSE)</f>
        <v>-5.41</v>
      </c>
      <c r="C46" s="261">
        <f>VLOOKUP($A46, Sheet4!$A$2:$L$688, Consol_Thematic!C$1,FALSE)</f>
        <v>26.92</v>
      </c>
      <c r="D46" s="261">
        <f>VLOOKUP($A46, Sheet4!$A$2:$L$688, Consol_Thematic!D$1,FALSE)</f>
        <v>25.32</v>
      </c>
      <c r="E46" s="261">
        <f>VLOOKUP($A46, Sheet4!$A$2:$L$688, Consol_Thematic!E$1,FALSE)</f>
        <v>0.92</v>
      </c>
      <c r="F46" s="261">
        <f>VLOOKUP($A46, Sheet4!$A$2:$L$688, Consol_Thematic!F$1,FALSE)</f>
        <v>1.43</v>
      </c>
      <c r="G46" s="261">
        <f>VLOOKUP($A46, Sheet4!$A$2:$L$688, Consol_Thematic!G$1,FALSE)</f>
        <v>3.08</v>
      </c>
      <c r="H46" s="261">
        <f>VLOOKUP($A46, Sheet4!$A$2:$L$688, Consol_Thematic!H$1,FALSE)</f>
        <v>2.21</v>
      </c>
      <c r="I46" s="261">
        <f>VLOOKUP($A46, Sheet4!$A$2:$L$688, Consol_Thematic!I$1,FALSE)</f>
        <v>1.0900000000000001</v>
      </c>
      <c r="J46" s="261">
        <f>VLOOKUP($A46, Sheet4!$A$2:$L$688, Consol_Thematic!J$1,FALSE)</f>
        <v>16.97</v>
      </c>
      <c r="K46" s="288">
        <f t="shared" si="12"/>
        <v>-2.8655400440852359E-2</v>
      </c>
      <c r="L46" s="288">
        <f t="shared" si="13"/>
        <v>0.35384615384615387</v>
      </c>
      <c r="M46" s="288">
        <f t="shared" si="14"/>
        <v>0.74200661521499456</v>
      </c>
      <c r="N46" s="288">
        <f t="shared" si="15"/>
        <v>0.81572164948453607</v>
      </c>
      <c r="O46" s="288">
        <f t="shared" si="16"/>
        <v>0.24105545617173527</v>
      </c>
      <c r="P46" s="288">
        <f t="shared" si="17"/>
        <v>0.85981308411214952</v>
      </c>
      <c r="Q46" s="288">
        <f t="shared" si="18"/>
        <v>0.73333333333333328</v>
      </c>
      <c r="R46" s="288">
        <f t="shared" si="19"/>
        <v>8.4033613445378047E-2</v>
      </c>
      <c r="S46" s="288">
        <f t="shared" si="20"/>
        <v>0.70745920745920754</v>
      </c>
      <c r="T46" s="288" t="e">
        <f>(K46*'Fund Ranking Criteria'!$J$9)+('Fund Ranking Criteria'!$J$10*Consol_Thematic!M46)+('Fund Ranking Criteria'!$J$12*Consol_Thematic!S46)+('Fund Ranking Criteria'!$J$14*Consol_Thematic!R46)+('Fund Ranking Criteria'!$J$15*Consol_Thematic!O46)+('Fund Ranking Criteria'!$J$16*Consol_Thematic!P46)+('Fund Ranking Criteria'!#REF!*Consol_Thematic!Q46)+('Fund Ranking Criteria'!#REF!*Consol_Thematic!L46)</f>
        <v>#REF!</v>
      </c>
      <c r="U46" s="288" t="e">
        <f t="shared" si="21"/>
        <v>#REF!</v>
      </c>
      <c r="V46" s="261" t="e">
        <f t="shared" si="22"/>
        <v>#REF!</v>
      </c>
      <c r="W46" s="261" t="str">
        <f t="shared" si="23"/>
        <v>HDFC Housing Opportunities Fund - Regular Plan</v>
      </c>
    </row>
    <row r="47" spans="1:23" x14ac:dyDescent="0.25">
      <c r="A47" s="261" t="s">
        <v>1206</v>
      </c>
      <c r="B47" s="261">
        <f>VLOOKUP($A47, Sheet4!$A$2:$L$688, Consol_Thematic!B$1,FALSE)</f>
        <v>0</v>
      </c>
      <c r="C47" s="261">
        <f>VLOOKUP($A47, Sheet4!$A$2:$L$688, Consol_Thematic!C$1,FALSE)</f>
        <v>0</v>
      </c>
      <c r="D47" s="261">
        <f>VLOOKUP($A47, Sheet4!$A$2:$L$688, Consol_Thematic!D$1,FALSE)</f>
        <v>0</v>
      </c>
      <c r="E47" s="261">
        <f>VLOOKUP($A47, Sheet4!$A$2:$L$688, Consol_Thematic!E$1,FALSE)</f>
        <v>0</v>
      </c>
      <c r="F47" s="261">
        <f>VLOOKUP($A47, Sheet4!$A$2:$L$688, Consol_Thematic!F$1,FALSE)</f>
        <v>0</v>
      </c>
      <c r="G47" s="261">
        <f>VLOOKUP($A47, Sheet4!$A$2:$L$688, Consol_Thematic!G$1,FALSE)</f>
        <v>0</v>
      </c>
      <c r="H47" s="261">
        <f>VLOOKUP($A47, Sheet4!$A$2:$L$688, Consol_Thematic!H$1,FALSE)</f>
        <v>0</v>
      </c>
      <c r="I47" s="261">
        <f>VLOOKUP($A47, Sheet4!$A$2:$L$688, Consol_Thematic!I$1,FALSE)</f>
        <v>0</v>
      </c>
      <c r="J47" s="261">
        <f>VLOOKUP($A47, Sheet4!$A$2:$L$688, Consol_Thematic!J$1,FALSE)</f>
        <v>0</v>
      </c>
      <c r="K47" s="288">
        <f t="shared" si="12"/>
        <v>0.36884643644379134</v>
      </c>
      <c r="L47" s="288">
        <f t="shared" si="13"/>
        <v>3.7538461538461543</v>
      </c>
      <c r="M47" s="288">
        <f t="shared" si="14"/>
        <v>0</v>
      </c>
      <c r="N47" s="288">
        <f t="shared" si="15"/>
        <v>0</v>
      </c>
      <c r="O47" s="288">
        <f t="shared" si="16"/>
        <v>1</v>
      </c>
      <c r="P47" s="288">
        <f t="shared" si="17"/>
        <v>0</v>
      </c>
      <c r="Q47" s="288">
        <f t="shared" si="18"/>
        <v>0</v>
      </c>
      <c r="R47" s="288">
        <f t="shared" si="19"/>
        <v>1</v>
      </c>
      <c r="S47" s="288">
        <f t="shared" si="20"/>
        <v>0.34848484848484851</v>
      </c>
      <c r="T47" s="288" t="e">
        <f>(K47*'Fund Ranking Criteria'!$J$9)+('Fund Ranking Criteria'!$J$10*Consol_Thematic!M47)+('Fund Ranking Criteria'!$J$12*Consol_Thematic!S47)+('Fund Ranking Criteria'!$J$14*Consol_Thematic!R47)+('Fund Ranking Criteria'!$J$15*Consol_Thematic!O47)+('Fund Ranking Criteria'!$J$16*Consol_Thematic!P47)+('Fund Ranking Criteria'!#REF!*Consol_Thematic!Q47)+('Fund Ranking Criteria'!#REF!*Consol_Thematic!L47)</f>
        <v>#REF!</v>
      </c>
      <c r="U47" s="288" t="e">
        <f t="shared" si="21"/>
        <v>#REF!</v>
      </c>
      <c r="V47" s="261" t="e">
        <f t="shared" si="22"/>
        <v>#REF!</v>
      </c>
      <c r="W47" s="261" t="str">
        <f t="shared" si="23"/>
        <v>HDFC Innovation Fund - Regular Plan</v>
      </c>
    </row>
    <row r="48" spans="1:23" x14ac:dyDescent="0.25">
      <c r="A48" s="261" t="s">
        <v>316</v>
      </c>
      <c r="B48" s="261">
        <f>VLOOKUP($A48, Sheet4!$A$2:$L$688, Consol_Thematic!B$1,FALSE)</f>
        <v>-0.62</v>
      </c>
      <c r="C48" s="261">
        <f>VLOOKUP($A48, Sheet4!$A$2:$L$688, Consol_Thematic!C$1,FALSE)</f>
        <v>0</v>
      </c>
      <c r="D48" s="261">
        <f>VLOOKUP($A48, Sheet4!$A$2:$L$688, Consol_Thematic!D$1,FALSE)</f>
        <v>0</v>
      </c>
      <c r="E48" s="261">
        <f>VLOOKUP($A48, Sheet4!$A$2:$L$688, Consol_Thematic!E$1,FALSE)</f>
        <v>0</v>
      </c>
      <c r="F48" s="261">
        <f>VLOOKUP($A48, Sheet4!$A$2:$L$688, Consol_Thematic!F$1,FALSE)</f>
        <v>0</v>
      </c>
      <c r="G48" s="261">
        <f>VLOOKUP($A48, Sheet4!$A$2:$L$688, Consol_Thematic!G$1,FALSE)</f>
        <v>0</v>
      </c>
      <c r="H48" s="261">
        <f>VLOOKUP($A48, Sheet4!$A$2:$L$688, Consol_Thematic!H$1,FALSE)</f>
        <v>1.69</v>
      </c>
      <c r="I48" s="261">
        <f>VLOOKUP($A48, Sheet4!$A$2:$L$688, Consol_Thematic!I$1,FALSE)</f>
        <v>0</v>
      </c>
      <c r="J48" s="261">
        <f>VLOOKUP($A48, Sheet4!$A$2:$L$688, Consol_Thematic!J$1,FALSE)</f>
        <v>0</v>
      </c>
      <c r="K48" s="288">
        <f t="shared" si="12"/>
        <v>0.32329169728141072</v>
      </c>
      <c r="L48" s="288">
        <f t="shared" si="13"/>
        <v>1.153846153846154</v>
      </c>
      <c r="M48" s="288">
        <f t="shared" si="14"/>
        <v>0</v>
      </c>
      <c r="N48" s="288">
        <f t="shared" si="15"/>
        <v>0</v>
      </c>
      <c r="O48" s="288">
        <f t="shared" si="16"/>
        <v>1</v>
      </c>
      <c r="P48" s="288">
        <f t="shared" si="17"/>
        <v>0</v>
      </c>
      <c r="Q48" s="288">
        <f t="shared" si="18"/>
        <v>0</v>
      </c>
      <c r="R48" s="288">
        <f t="shared" si="19"/>
        <v>1</v>
      </c>
      <c r="S48" s="288">
        <f t="shared" si="20"/>
        <v>0.34848484848484851</v>
      </c>
      <c r="T48" s="288" t="e">
        <f>(K48*'Fund Ranking Criteria'!$J$9)+('Fund Ranking Criteria'!$J$10*Consol_Thematic!M48)+('Fund Ranking Criteria'!$J$12*Consol_Thematic!S48)+('Fund Ranking Criteria'!$J$14*Consol_Thematic!R48)+('Fund Ranking Criteria'!$J$15*Consol_Thematic!O48)+('Fund Ranking Criteria'!$J$16*Consol_Thematic!P48)+('Fund Ranking Criteria'!#REF!*Consol_Thematic!Q48)+('Fund Ranking Criteria'!#REF!*Consol_Thematic!L48)</f>
        <v>#REF!</v>
      </c>
      <c r="U48" s="288" t="e">
        <f t="shared" si="21"/>
        <v>#REF!</v>
      </c>
      <c r="V48" s="261" t="e">
        <f t="shared" si="22"/>
        <v>#REF!</v>
      </c>
      <c r="W48" s="261" t="str">
        <f t="shared" si="23"/>
        <v>HDFC Manufacturing Fund - Regular Plan</v>
      </c>
    </row>
    <row r="49" spans="1:23" x14ac:dyDescent="0.25">
      <c r="A49" s="261" t="s">
        <v>318</v>
      </c>
      <c r="B49" s="261">
        <f>VLOOKUP($A49, Sheet4!$A$2:$L$688, Consol_Thematic!B$1,FALSE)</f>
        <v>-9.3699999999999992</v>
      </c>
      <c r="C49" s="261">
        <f>VLOOKUP($A49, Sheet4!$A$2:$L$688, Consol_Thematic!C$1,FALSE)</f>
        <v>0</v>
      </c>
      <c r="D49" s="261">
        <f>VLOOKUP($A49, Sheet4!$A$2:$L$688, Consol_Thematic!D$1,FALSE)</f>
        <v>0</v>
      </c>
      <c r="E49" s="261">
        <f>VLOOKUP($A49, Sheet4!$A$2:$L$688, Consol_Thematic!E$1,FALSE)</f>
        <v>0</v>
      </c>
      <c r="F49" s="261">
        <f>VLOOKUP($A49, Sheet4!$A$2:$L$688, Consol_Thematic!F$1,FALSE)</f>
        <v>0</v>
      </c>
      <c r="G49" s="261">
        <f>VLOOKUP($A49, Sheet4!$A$2:$L$688, Consol_Thematic!G$1,FALSE)</f>
        <v>0</v>
      </c>
      <c r="H49" s="261">
        <f>VLOOKUP($A49, Sheet4!$A$2:$L$688, Consol_Thematic!H$1,FALSE)</f>
        <v>2.4300000000000002</v>
      </c>
      <c r="I49" s="261">
        <f>VLOOKUP($A49, Sheet4!$A$2:$L$688, Consol_Thematic!I$1,FALSE)</f>
        <v>0</v>
      </c>
      <c r="J49" s="261">
        <f>VLOOKUP($A49, Sheet4!$A$2:$L$688, Consol_Thematic!J$1,FALSE)</f>
        <v>0</v>
      </c>
      <c r="K49" s="288">
        <f t="shared" si="12"/>
        <v>-0.31961792799412198</v>
      </c>
      <c r="L49" s="288">
        <f t="shared" si="13"/>
        <v>1.5384615384615059E-2</v>
      </c>
      <c r="M49" s="288">
        <f t="shared" si="14"/>
        <v>0</v>
      </c>
      <c r="N49" s="288">
        <f t="shared" si="15"/>
        <v>0</v>
      </c>
      <c r="O49" s="288">
        <f t="shared" si="16"/>
        <v>1</v>
      </c>
      <c r="P49" s="288">
        <f t="shared" si="17"/>
        <v>0</v>
      </c>
      <c r="Q49" s="288">
        <f t="shared" si="18"/>
        <v>0</v>
      </c>
      <c r="R49" s="288">
        <f t="shared" si="19"/>
        <v>1</v>
      </c>
      <c r="S49" s="288">
        <f t="shared" si="20"/>
        <v>0.34848484848484851</v>
      </c>
      <c r="T49" s="288" t="e">
        <f>(K49*'Fund Ranking Criteria'!$J$9)+('Fund Ranking Criteria'!$J$10*Consol_Thematic!M49)+('Fund Ranking Criteria'!$J$12*Consol_Thematic!S49)+('Fund Ranking Criteria'!$J$14*Consol_Thematic!R49)+('Fund Ranking Criteria'!$J$15*Consol_Thematic!O49)+('Fund Ranking Criteria'!$J$16*Consol_Thematic!P49)+('Fund Ranking Criteria'!#REF!*Consol_Thematic!Q49)+('Fund Ranking Criteria'!#REF!*Consol_Thematic!L49)</f>
        <v>#REF!</v>
      </c>
      <c r="U49" s="288" t="e">
        <f t="shared" si="21"/>
        <v>#REF!</v>
      </c>
      <c r="V49" s="261" t="e">
        <f t="shared" si="22"/>
        <v>#REF!</v>
      </c>
      <c r="W49" s="261" t="str">
        <f t="shared" si="23"/>
        <v>HDFC MNC Fund - Regular Plan</v>
      </c>
    </row>
    <row r="50" spans="1:23" x14ac:dyDescent="0.25">
      <c r="A50" s="261" t="s">
        <v>345</v>
      </c>
      <c r="B50" s="261">
        <f>VLOOKUP($A50, Sheet4!$A$2:$L$688, Consol_Thematic!B$1,FALSE)</f>
        <v>6.65</v>
      </c>
      <c r="C50" s="261">
        <f>VLOOKUP($A50, Sheet4!$A$2:$L$688, Consol_Thematic!C$1,FALSE)</f>
        <v>0</v>
      </c>
      <c r="D50" s="261">
        <f>VLOOKUP($A50, Sheet4!$A$2:$L$688, Consol_Thematic!D$1,FALSE)</f>
        <v>0</v>
      </c>
      <c r="E50" s="261">
        <f>VLOOKUP($A50, Sheet4!$A$2:$L$688, Consol_Thematic!E$1,FALSE)</f>
        <v>0</v>
      </c>
      <c r="F50" s="261">
        <f>VLOOKUP($A50, Sheet4!$A$2:$L$688, Consol_Thematic!F$1,FALSE)</f>
        <v>0</v>
      </c>
      <c r="G50" s="261">
        <f>VLOOKUP($A50, Sheet4!$A$2:$L$688, Consol_Thematic!G$1,FALSE)</f>
        <v>0</v>
      </c>
      <c r="H50" s="261">
        <f>VLOOKUP($A50, Sheet4!$A$2:$L$688, Consol_Thematic!H$1,FALSE)</f>
        <v>2.25</v>
      </c>
      <c r="I50" s="261">
        <f>VLOOKUP($A50, Sheet4!$A$2:$L$688, Consol_Thematic!I$1,FALSE)</f>
        <v>0</v>
      </c>
      <c r="J50" s="261">
        <f>VLOOKUP($A50, Sheet4!$A$2:$L$688, Consol_Thematic!J$1,FALSE)</f>
        <v>0</v>
      </c>
      <c r="K50" s="288">
        <f t="shared" si="12"/>
        <v>0.85745775165319627</v>
      </c>
      <c r="L50" s="288">
        <f t="shared" si="13"/>
        <v>0.29230769230769227</v>
      </c>
      <c r="M50" s="288">
        <f t="shared" si="14"/>
        <v>0</v>
      </c>
      <c r="N50" s="288">
        <f t="shared" si="15"/>
        <v>0</v>
      </c>
      <c r="O50" s="288">
        <f t="shared" si="16"/>
        <v>1</v>
      </c>
      <c r="P50" s="288">
        <f t="shared" si="17"/>
        <v>0</v>
      </c>
      <c r="Q50" s="288">
        <f t="shared" si="18"/>
        <v>0</v>
      </c>
      <c r="R50" s="288">
        <f t="shared" si="19"/>
        <v>1</v>
      </c>
      <c r="S50" s="288">
        <f t="shared" si="20"/>
        <v>0.34848484848484851</v>
      </c>
      <c r="T50" s="288" t="e">
        <f>(K50*'Fund Ranking Criteria'!$J$9)+('Fund Ranking Criteria'!$J$10*Consol_Thematic!M50)+('Fund Ranking Criteria'!$J$12*Consol_Thematic!S50)+('Fund Ranking Criteria'!$J$14*Consol_Thematic!R50)+('Fund Ranking Criteria'!$J$15*Consol_Thematic!O50)+('Fund Ranking Criteria'!$J$16*Consol_Thematic!P50)+('Fund Ranking Criteria'!#REF!*Consol_Thematic!Q50)+('Fund Ranking Criteria'!#REF!*Consol_Thematic!L50)</f>
        <v>#REF!</v>
      </c>
      <c r="U50" s="288" t="e">
        <f t="shared" si="21"/>
        <v>#REF!</v>
      </c>
      <c r="V50" s="261" t="e">
        <f t="shared" si="22"/>
        <v>#REF!</v>
      </c>
      <c r="W50" s="261" t="str">
        <f t="shared" si="23"/>
        <v>HDFC Non-Cyclical Consumer Fund - Regular Plan</v>
      </c>
    </row>
    <row r="51" spans="1:23" x14ac:dyDescent="0.25">
      <c r="A51" s="261" t="s">
        <v>348</v>
      </c>
      <c r="B51" s="261">
        <f>VLOOKUP($A51, Sheet4!$A$2:$L$688, Consol_Thematic!B$1,FALSE)</f>
        <v>-0.7</v>
      </c>
      <c r="C51" s="261">
        <f>VLOOKUP($A51, Sheet4!$A$2:$L$688, Consol_Thematic!C$1,FALSE)</f>
        <v>0</v>
      </c>
      <c r="D51" s="261">
        <f>VLOOKUP($A51, Sheet4!$A$2:$L$688, Consol_Thematic!D$1,FALSE)</f>
        <v>0</v>
      </c>
      <c r="E51" s="261">
        <f>VLOOKUP($A51, Sheet4!$A$2:$L$688, Consol_Thematic!E$1,FALSE)</f>
        <v>0</v>
      </c>
      <c r="F51" s="261">
        <f>VLOOKUP($A51, Sheet4!$A$2:$L$688, Consol_Thematic!F$1,FALSE)</f>
        <v>0</v>
      </c>
      <c r="G51" s="261">
        <f>VLOOKUP($A51, Sheet4!$A$2:$L$688, Consol_Thematic!G$1,FALSE)</f>
        <v>0</v>
      </c>
      <c r="H51" s="261">
        <f>VLOOKUP($A51, Sheet4!$A$2:$L$688, Consol_Thematic!H$1,FALSE)</f>
        <v>2.12</v>
      </c>
      <c r="I51" s="261">
        <f>VLOOKUP($A51, Sheet4!$A$2:$L$688, Consol_Thematic!I$1,FALSE)</f>
        <v>0</v>
      </c>
      <c r="J51" s="261">
        <f>VLOOKUP($A51, Sheet4!$A$2:$L$688, Consol_Thematic!J$1,FALSE)</f>
        <v>0</v>
      </c>
      <c r="K51" s="288">
        <f t="shared" si="12"/>
        <v>0.31741366642174867</v>
      </c>
      <c r="L51" s="288">
        <f t="shared" si="13"/>
        <v>0.49230769230769211</v>
      </c>
      <c r="M51" s="288">
        <f t="shared" si="14"/>
        <v>0</v>
      </c>
      <c r="N51" s="288">
        <f t="shared" si="15"/>
        <v>0</v>
      </c>
      <c r="O51" s="288">
        <f t="shared" si="16"/>
        <v>1</v>
      </c>
      <c r="P51" s="288">
        <f t="shared" si="17"/>
        <v>0</v>
      </c>
      <c r="Q51" s="288">
        <f t="shared" si="18"/>
        <v>0</v>
      </c>
      <c r="R51" s="288">
        <f t="shared" si="19"/>
        <v>1</v>
      </c>
      <c r="S51" s="288">
        <f t="shared" si="20"/>
        <v>0.34848484848484851</v>
      </c>
      <c r="T51" s="288" t="e">
        <f>(K51*'Fund Ranking Criteria'!$J$9)+('Fund Ranking Criteria'!$J$10*Consol_Thematic!M51)+('Fund Ranking Criteria'!$J$12*Consol_Thematic!S51)+('Fund Ranking Criteria'!$J$14*Consol_Thematic!R51)+('Fund Ranking Criteria'!$J$15*Consol_Thematic!O51)+('Fund Ranking Criteria'!$J$16*Consol_Thematic!P51)+('Fund Ranking Criteria'!#REF!*Consol_Thematic!Q51)+('Fund Ranking Criteria'!#REF!*Consol_Thematic!L51)</f>
        <v>#REF!</v>
      </c>
      <c r="U51" s="288" t="e">
        <f t="shared" si="21"/>
        <v>#REF!</v>
      </c>
      <c r="V51" s="261" t="e">
        <f t="shared" si="22"/>
        <v>#REF!</v>
      </c>
      <c r="W51" s="261" t="str">
        <f t="shared" si="23"/>
        <v>HDFC Transportation and Logistics Fund - Regular Plan</v>
      </c>
    </row>
    <row r="52" spans="1:23" x14ac:dyDescent="0.25">
      <c r="A52" s="261" t="s">
        <v>354</v>
      </c>
      <c r="B52" s="261">
        <f>VLOOKUP($A52, Sheet4!$A$2:$L$688, Consol_Thematic!B$1,FALSE)</f>
        <v>7.49</v>
      </c>
      <c r="C52" s="261">
        <f>VLOOKUP($A52, Sheet4!$A$2:$L$688, Consol_Thematic!C$1,FALSE)</f>
        <v>29.54</v>
      </c>
      <c r="D52" s="261">
        <f>VLOOKUP($A52, Sheet4!$A$2:$L$688, Consol_Thematic!D$1,FALSE)</f>
        <v>27.92</v>
      </c>
      <c r="E52" s="261">
        <f>VLOOKUP($A52, Sheet4!$A$2:$L$688, Consol_Thematic!E$1,FALSE)</f>
        <v>0.99</v>
      </c>
      <c r="F52" s="261">
        <f>VLOOKUP($A52, Sheet4!$A$2:$L$688, Consol_Thematic!F$1,FALSE)</f>
        <v>1.39</v>
      </c>
      <c r="G52" s="261">
        <f>VLOOKUP($A52, Sheet4!$A$2:$L$688, Consol_Thematic!G$1,FALSE)</f>
        <v>4.87</v>
      </c>
      <c r="H52" s="261">
        <f>VLOOKUP($A52, Sheet4!$A$2:$L$688, Consol_Thematic!H$1,FALSE)</f>
        <v>2.2400000000000002</v>
      </c>
      <c r="I52" s="261">
        <f>VLOOKUP($A52, Sheet4!$A$2:$L$688, Consol_Thematic!I$1,FALSE)</f>
        <v>1.1100000000000001</v>
      </c>
      <c r="J52" s="261">
        <f>VLOOKUP($A52, Sheet4!$A$2:$L$688, Consol_Thematic!J$1,FALSE)</f>
        <v>17.87</v>
      </c>
      <c r="K52" s="288">
        <f t="shared" si="12"/>
        <v>0.91917707567964735</v>
      </c>
      <c r="L52" s="288">
        <f t="shared" si="13"/>
        <v>0.30769230769230732</v>
      </c>
      <c r="M52" s="288">
        <f t="shared" si="14"/>
        <v>0.81422271223814768</v>
      </c>
      <c r="N52" s="288">
        <f t="shared" si="15"/>
        <v>0.89948453608247436</v>
      </c>
      <c r="O52" s="288">
        <f t="shared" si="16"/>
        <v>0.20080500894454376</v>
      </c>
      <c r="P52" s="288">
        <f t="shared" si="17"/>
        <v>0.92523364485981308</v>
      </c>
      <c r="Q52" s="288">
        <f t="shared" si="18"/>
        <v>0.71282051282051284</v>
      </c>
      <c r="R52" s="288">
        <f t="shared" si="19"/>
        <v>6.7226890756302393E-2</v>
      </c>
      <c r="S52" s="288">
        <f t="shared" si="20"/>
        <v>0.91608391608391615</v>
      </c>
      <c r="T52" s="288" t="e">
        <f>(K52*'Fund Ranking Criteria'!$J$9)+('Fund Ranking Criteria'!$J$10*Consol_Thematic!M52)+('Fund Ranking Criteria'!$J$12*Consol_Thematic!S52)+('Fund Ranking Criteria'!$J$14*Consol_Thematic!R52)+('Fund Ranking Criteria'!$J$15*Consol_Thematic!O52)+('Fund Ranking Criteria'!$J$16*Consol_Thematic!P52)+('Fund Ranking Criteria'!#REF!*Consol_Thematic!Q52)+('Fund Ranking Criteria'!#REF!*Consol_Thematic!L52)</f>
        <v>#REF!</v>
      </c>
      <c r="U52" s="288" t="e">
        <f t="shared" si="21"/>
        <v>#REF!</v>
      </c>
      <c r="V52" s="261" t="e">
        <f t="shared" si="22"/>
        <v>#REF!</v>
      </c>
      <c r="W52" s="261" t="str">
        <f t="shared" si="23"/>
        <v>HSBC Business Cycles Fund - Regular Plan</v>
      </c>
    </row>
    <row r="53" spans="1:23" x14ac:dyDescent="0.25">
      <c r="A53" s="261" t="s">
        <v>355</v>
      </c>
      <c r="B53" s="261">
        <f>VLOOKUP($A53, Sheet4!$A$2:$L$688, Consol_Thematic!B$1,FALSE)</f>
        <v>7.63</v>
      </c>
      <c r="C53" s="261">
        <f>VLOOKUP($A53, Sheet4!$A$2:$L$688, Consol_Thematic!C$1,FALSE)</f>
        <v>0</v>
      </c>
      <c r="D53" s="261">
        <f>VLOOKUP($A53, Sheet4!$A$2:$L$688, Consol_Thematic!D$1,FALSE)</f>
        <v>0</v>
      </c>
      <c r="E53" s="261">
        <f>VLOOKUP($A53, Sheet4!$A$2:$L$688, Consol_Thematic!E$1,FALSE)</f>
        <v>0</v>
      </c>
      <c r="F53" s="261">
        <f>VLOOKUP($A53, Sheet4!$A$2:$L$688, Consol_Thematic!F$1,FALSE)</f>
        <v>0</v>
      </c>
      <c r="G53" s="261">
        <f>VLOOKUP($A53, Sheet4!$A$2:$L$688, Consol_Thematic!G$1,FALSE)</f>
        <v>0</v>
      </c>
      <c r="H53" s="261">
        <f>VLOOKUP($A53, Sheet4!$A$2:$L$688, Consol_Thematic!H$1,FALSE)</f>
        <v>2.11</v>
      </c>
      <c r="I53" s="261">
        <f>VLOOKUP($A53, Sheet4!$A$2:$L$688, Consol_Thematic!I$1,FALSE)</f>
        <v>0</v>
      </c>
      <c r="J53" s="261">
        <f>VLOOKUP($A53, Sheet4!$A$2:$L$688, Consol_Thematic!J$1,FALSE)</f>
        <v>0</v>
      </c>
      <c r="K53" s="288">
        <f t="shared" si="12"/>
        <v>0.92946362968405583</v>
      </c>
      <c r="L53" s="288">
        <f t="shared" si="13"/>
        <v>0.50769230769230789</v>
      </c>
      <c r="M53" s="288">
        <f t="shared" si="14"/>
        <v>0</v>
      </c>
      <c r="N53" s="288">
        <f t="shared" si="15"/>
        <v>0</v>
      </c>
      <c r="O53" s="288">
        <f t="shared" si="16"/>
        <v>1</v>
      </c>
      <c r="P53" s="288">
        <f t="shared" si="17"/>
        <v>0</v>
      </c>
      <c r="Q53" s="288">
        <f t="shared" si="18"/>
        <v>0</v>
      </c>
      <c r="R53" s="288">
        <f t="shared" si="19"/>
        <v>1</v>
      </c>
      <c r="S53" s="288">
        <f t="shared" si="20"/>
        <v>0.34848484848484851</v>
      </c>
      <c r="T53" s="288" t="e">
        <f>(K53*'Fund Ranking Criteria'!$J$9)+('Fund Ranking Criteria'!$J$10*Consol_Thematic!M53)+('Fund Ranking Criteria'!$J$12*Consol_Thematic!S53)+('Fund Ranking Criteria'!$J$14*Consol_Thematic!R53)+('Fund Ranking Criteria'!$J$15*Consol_Thematic!O53)+('Fund Ranking Criteria'!$J$16*Consol_Thematic!P53)+('Fund Ranking Criteria'!#REF!*Consol_Thematic!Q53)+('Fund Ranking Criteria'!#REF!*Consol_Thematic!L53)</f>
        <v>#REF!</v>
      </c>
      <c r="U53" s="288" t="e">
        <f t="shared" si="21"/>
        <v>#REF!</v>
      </c>
      <c r="V53" s="261" t="e">
        <f t="shared" si="22"/>
        <v>#REF!</v>
      </c>
      <c r="W53" s="261" t="str">
        <f t="shared" si="23"/>
        <v>HSBC Consumption Fund - Regular Plan</v>
      </c>
    </row>
    <row r="54" spans="1:23" x14ac:dyDescent="0.25">
      <c r="A54" s="261" t="s">
        <v>358</v>
      </c>
      <c r="B54" s="261">
        <f>VLOOKUP($A54, Sheet4!$A$2:$L$688, Consol_Thematic!B$1,FALSE)</f>
        <v>0</v>
      </c>
      <c r="C54" s="261">
        <f>VLOOKUP($A54, Sheet4!$A$2:$L$688, Consol_Thematic!C$1,FALSE)</f>
        <v>0</v>
      </c>
      <c r="D54" s="261">
        <f>VLOOKUP($A54, Sheet4!$A$2:$L$688, Consol_Thematic!D$1,FALSE)</f>
        <v>0</v>
      </c>
      <c r="E54" s="261">
        <f>VLOOKUP($A54, Sheet4!$A$2:$L$688, Consol_Thematic!E$1,FALSE)</f>
        <v>0</v>
      </c>
      <c r="F54" s="261">
        <f>VLOOKUP($A54, Sheet4!$A$2:$L$688, Consol_Thematic!F$1,FALSE)</f>
        <v>0</v>
      </c>
      <c r="G54" s="261">
        <f>VLOOKUP($A54, Sheet4!$A$2:$L$688, Consol_Thematic!G$1,FALSE)</f>
        <v>0</v>
      </c>
      <c r="H54" s="261">
        <f>VLOOKUP($A54, Sheet4!$A$2:$L$688, Consol_Thematic!H$1,FALSE)</f>
        <v>2.0699999999999998</v>
      </c>
      <c r="I54" s="261">
        <f>VLOOKUP($A54, Sheet4!$A$2:$L$688, Consol_Thematic!I$1,FALSE)</f>
        <v>0</v>
      </c>
      <c r="J54" s="261">
        <f>VLOOKUP($A54, Sheet4!$A$2:$L$688, Consol_Thematic!J$1,FALSE)</f>
        <v>0</v>
      </c>
      <c r="K54" s="288">
        <f t="shared" si="12"/>
        <v>0.36884643644379134</v>
      </c>
      <c r="L54" s="288">
        <f t="shared" si="13"/>
        <v>0.56923076923076943</v>
      </c>
      <c r="M54" s="288">
        <f t="shared" si="14"/>
        <v>0</v>
      </c>
      <c r="N54" s="288">
        <f t="shared" si="15"/>
        <v>0</v>
      </c>
      <c r="O54" s="288">
        <f t="shared" si="16"/>
        <v>1</v>
      </c>
      <c r="P54" s="288">
        <f t="shared" si="17"/>
        <v>0</v>
      </c>
      <c r="Q54" s="288">
        <f t="shared" si="18"/>
        <v>0</v>
      </c>
      <c r="R54" s="288">
        <f t="shared" si="19"/>
        <v>1</v>
      </c>
      <c r="S54" s="288">
        <f t="shared" si="20"/>
        <v>0.34848484848484851</v>
      </c>
      <c r="T54" s="288" t="e">
        <f>(K54*'Fund Ranking Criteria'!$J$9)+('Fund Ranking Criteria'!$J$10*Consol_Thematic!M54)+('Fund Ranking Criteria'!$J$12*Consol_Thematic!S54)+('Fund Ranking Criteria'!$J$14*Consol_Thematic!R54)+('Fund Ranking Criteria'!$J$15*Consol_Thematic!O54)+('Fund Ranking Criteria'!$J$16*Consol_Thematic!P54)+('Fund Ranking Criteria'!#REF!*Consol_Thematic!Q54)+('Fund Ranking Criteria'!#REF!*Consol_Thematic!L54)</f>
        <v>#REF!</v>
      </c>
      <c r="U54" s="288" t="e">
        <f t="shared" si="21"/>
        <v>#REF!</v>
      </c>
      <c r="V54" s="261" t="e">
        <f t="shared" si="22"/>
        <v>#REF!</v>
      </c>
      <c r="W54" s="261" t="str">
        <f t="shared" si="23"/>
        <v>HSBC India Export Opportunities Fund - Regular Plan</v>
      </c>
    </row>
    <row r="55" spans="1:23" x14ac:dyDescent="0.25">
      <c r="A55" s="261" t="s">
        <v>371</v>
      </c>
      <c r="B55" s="261">
        <f>VLOOKUP($A55, Sheet4!$A$2:$L$688, Consol_Thematic!B$1,FALSE)</f>
        <v>4.3899999999999997</v>
      </c>
      <c r="C55" s="261">
        <f>VLOOKUP($A55, Sheet4!$A$2:$L$688, Consol_Thematic!C$1,FALSE)</f>
        <v>20.25</v>
      </c>
      <c r="D55" s="261">
        <f>VLOOKUP($A55, Sheet4!$A$2:$L$688, Consol_Thematic!D$1,FALSE)</f>
        <v>21.25</v>
      </c>
      <c r="E55" s="261">
        <f>VLOOKUP($A55, Sheet4!$A$2:$L$688, Consol_Thematic!E$1,FALSE)</f>
        <v>0.93</v>
      </c>
      <c r="F55" s="261">
        <f>VLOOKUP($A55, Sheet4!$A$2:$L$688, Consol_Thematic!F$1,FALSE)</f>
        <v>1.18</v>
      </c>
      <c r="G55" s="261">
        <f>VLOOKUP($A55, Sheet4!$A$2:$L$688, Consol_Thematic!G$1,FALSE)</f>
        <v>2.29</v>
      </c>
      <c r="H55" s="261">
        <f>VLOOKUP($A55, Sheet4!$A$2:$L$688, Consol_Thematic!H$1,FALSE)</f>
        <v>2</v>
      </c>
      <c r="I55" s="261">
        <f>VLOOKUP($A55, Sheet4!$A$2:$L$688, Consol_Thematic!I$1,FALSE)</f>
        <v>0.67</v>
      </c>
      <c r="J55" s="261">
        <f>VLOOKUP($A55, Sheet4!$A$2:$L$688, Consol_Thematic!J$1,FALSE)</f>
        <v>12.78</v>
      </c>
      <c r="K55" s="288">
        <f t="shared" si="12"/>
        <v>0.69140337986774436</v>
      </c>
      <c r="L55" s="288">
        <f t="shared" si="13"/>
        <v>0.67692307692307696</v>
      </c>
      <c r="M55" s="288">
        <f t="shared" si="14"/>
        <v>0.55815876515986773</v>
      </c>
      <c r="N55" s="288">
        <f t="shared" si="15"/>
        <v>0.68460051546391754</v>
      </c>
      <c r="O55" s="288">
        <f t="shared" si="16"/>
        <v>0.42844364937388196</v>
      </c>
      <c r="P55" s="288">
        <f t="shared" si="17"/>
        <v>0.86915887850467288</v>
      </c>
      <c r="Q55" s="288">
        <f t="shared" si="18"/>
        <v>0.60512820512820509</v>
      </c>
      <c r="R55" s="288">
        <f t="shared" si="19"/>
        <v>0.43697478991596633</v>
      </c>
      <c r="S55" s="288">
        <f t="shared" si="20"/>
        <v>0.61538461538461542</v>
      </c>
      <c r="T55" s="288" t="e">
        <f>(K55*'Fund Ranking Criteria'!$J$9)+('Fund Ranking Criteria'!$J$10*Consol_Thematic!M55)+('Fund Ranking Criteria'!$J$12*Consol_Thematic!S55)+('Fund Ranking Criteria'!$J$14*Consol_Thematic!R55)+('Fund Ranking Criteria'!$J$15*Consol_Thematic!O55)+('Fund Ranking Criteria'!$J$16*Consol_Thematic!P55)+('Fund Ranking Criteria'!#REF!*Consol_Thematic!Q55)+('Fund Ranking Criteria'!#REF!*Consol_Thematic!L55)</f>
        <v>#REF!</v>
      </c>
      <c r="U55" s="288" t="e">
        <f t="shared" si="21"/>
        <v>#REF!</v>
      </c>
      <c r="V55" s="261" t="e">
        <f t="shared" si="22"/>
        <v>#REF!</v>
      </c>
      <c r="W55" s="261" t="str">
        <f t="shared" si="23"/>
        <v>ICICI Prudential Bharat Consumption Fund</v>
      </c>
    </row>
    <row r="56" spans="1:23" x14ac:dyDescent="0.25">
      <c r="A56" s="261" t="s">
        <v>378</v>
      </c>
      <c r="B56" s="261">
        <f>VLOOKUP($A56, Sheet4!$A$2:$L$688, Consol_Thematic!B$1,FALSE)</f>
        <v>9.75</v>
      </c>
      <c r="C56" s="261">
        <f>VLOOKUP($A56, Sheet4!$A$2:$L$688, Consol_Thematic!C$1,FALSE)</f>
        <v>26.69</v>
      </c>
      <c r="D56" s="261">
        <f>VLOOKUP($A56, Sheet4!$A$2:$L$688, Consol_Thematic!D$1,FALSE)</f>
        <v>0</v>
      </c>
      <c r="E56" s="261">
        <f>VLOOKUP($A56, Sheet4!$A$2:$L$688, Consol_Thematic!E$1,FALSE)</f>
        <v>1.21</v>
      </c>
      <c r="F56" s="261">
        <f>VLOOKUP($A56, Sheet4!$A$2:$L$688, Consol_Thematic!F$1,FALSE)</f>
        <v>2.5299999999999998</v>
      </c>
      <c r="G56" s="261">
        <f>VLOOKUP($A56, Sheet4!$A$2:$L$688, Consol_Thematic!G$1,FALSE)</f>
        <v>6</v>
      </c>
      <c r="H56" s="261">
        <f>VLOOKUP($A56, Sheet4!$A$2:$L$688, Consol_Thematic!H$1,FALSE)</f>
        <v>1.7</v>
      </c>
      <c r="I56" s="261">
        <f>VLOOKUP($A56, Sheet4!$A$2:$L$688, Consol_Thematic!I$1,FALSE)</f>
        <v>0.85</v>
      </c>
      <c r="J56" s="261">
        <f>VLOOKUP($A56, Sheet4!$A$2:$L$688, Consol_Thematic!J$1,FALSE)</f>
        <v>12.98</v>
      </c>
      <c r="K56" s="288">
        <f t="shared" si="12"/>
        <v>1.0852314474650993</v>
      </c>
      <c r="L56" s="288">
        <f t="shared" si="13"/>
        <v>1.1384615384615386</v>
      </c>
      <c r="M56" s="288">
        <f t="shared" si="14"/>
        <v>0.73566703417861079</v>
      </c>
      <c r="N56" s="288">
        <f t="shared" si="15"/>
        <v>0</v>
      </c>
      <c r="O56" s="288">
        <f t="shared" si="16"/>
        <v>0.41949910554561715</v>
      </c>
      <c r="P56" s="288">
        <f t="shared" si="17"/>
        <v>1.1308411214953269</v>
      </c>
      <c r="Q56" s="288">
        <f t="shared" si="18"/>
        <v>1.2974358974358973</v>
      </c>
      <c r="R56" s="288">
        <f t="shared" si="19"/>
        <v>0.2857142857142857</v>
      </c>
      <c r="S56" s="288">
        <f t="shared" si="20"/>
        <v>1.0477855477855478</v>
      </c>
      <c r="T56" s="288" t="e">
        <f>(K56*'Fund Ranking Criteria'!$J$9)+('Fund Ranking Criteria'!$J$10*Consol_Thematic!M56)+('Fund Ranking Criteria'!$J$12*Consol_Thematic!S56)+('Fund Ranking Criteria'!$J$14*Consol_Thematic!R56)+('Fund Ranking Criteria'!$J$15*Consol_Thematic!O56)+('Fund Ranking Criteria'!$J$16*Consol_Thematic!P56)+('Fund Ranking Criteria'!#REF!*Consol_Thematic!Q56)+('Fund Ranking Criteria'!#REF!*Consol_Thematic!L56)</f>
        <v>#REF!</v>
      </c>
      <c r="U56" s="288" t="e">
        <f t="shared" si="21"/>
        <v>#REF!</v>
      </c>
      <c r="V56" s="261" t="e">
        <f t="shared" si="22"/>
        <v>#REF!</v>
      </c>
      <c r="W56" s="261" t="str">
        <f t="shared" si="23"/>
        <v>ICICI Prudential Business Cycle Fund</v>
      </c>
    </row>
    <row r="57" spans="1:23" x14ac:dyDescent="0.25">
      <c r="A57" s="261" t="s">
        <v>379</v>
      </c>
      <c r="B57" s="261">
        <f>VLOOKUP($A57, Sheet4!$A$2:$L$688, Consol_Thematic!B$1,FALSE)</f>
        <v>-0.69</v>
      </c>
      <c r="C57" s="261">
        <f>VLOOKUP($A57, Sheet4!$A$2:$L$688, Consol_Thematic!C$1,FALSE)</f>
        <v>24.97</v>
      </c>
      <c r="D57" s="261">
        <f>VLOOKUP($A57, Sheet4!$A$2:$L$688, Consol_Thematic!D$1,FALSE)</f>
        <v>35.31</v>
      </c>
      <c r="E57" s="261">
        <f>VLOOKUP($A57, Sheet4!$A$2:$L$688, Consol_Thematic!E$1,FALSE)</f>
        <v>0.76</v>
      </c>
      <c r="F57" s="261">
        <f>VLOOKUP($A57, Sheet4!$A$2:$L$688, Consol_Thematic!F$1,FALSE)</f>
        <v>1.17</v>
      </c>
      <c r="G57" s="261">
        <f>VLOOKUP($A57, Sheet4!$A$2:$L$688, Consol_Thematic!G$1,FALSE)</f>
        <v>0.88</v>
      </c>
      <c r="H57" s="261">
        <f>VLOOKUP($A57, Sheet4!$A$2:$L$688, Consol_Thematic!H$1,FALSE)</f>
        <v>2</v>
      </c>
      <c r="I57" s="261">
        <f>VLOOKUP($A57, Sheet4!$A$2:$L$688, Consol_Thematic!I$1,FALSE)</f>
        <v>1.03</v>
      </c>
      <c r="J57" s="261">
        <f>VLOOKUP($A57, Sheet4!$A$2:$L$688, Consol_Thematic!J$1,FALSE)</f>
        <v>16.79</v>
      </c>
      <c r="K57" s="288">
        <f t="shared" si="12"/>
        <v>0.31814842027920648</v>
      </c>
      <c r="L57" s="288">
        <f t="shared" si="13"/>
        <v>0.67692307692307696</v>
      </c>
      <c r="M57" s="288">
        <f t="shared" si="14"/>
        <v>0.68825799338478499</v>
      </c>
      <c r="N57" s="288">
        <f t="shared" si="15"/>
        <v>1.1375644329896908</v>
      </c>
      <c r="O57" s="288">
        <f t="shared" si="16"/>
        <v>0.24910554561717355</v>
      </c>
      <c r="P57" s="288">
        <f t="shared" si="17"/>
        <v>0.71028037383177567</v>
      </c>
      <c r="Q57" s="288">
        <f t="shared" si="18"/>
        <v>0.6</v>
      </c>
      <c r="R57" s="288">
        <f t="shared" si="19"/>
        <v>0.13445378151260498</v>
      </c>
      <c r="S57" s="288">
        <f t="shared" si="20"/>
        <v>0.45104895104895104</v>
      </c>
      <c r="T57" s="288" t="e">
        <f>(K57*'Fund Ranking Criteria'!$J$9)+('Fund Ranking Criteria'!$J$10*Consol_Thematic!M57)+('Fund Ranking Criteria'!$J$12*Consol_Thematic!S57)+('Fund Ranking Criteria'!$J$14*Consol_Thematic!R57)+('Fund Ranking Criteria'!$J$15*Consol_Thematic!O57)+('Fund Ranking Criteria'!$J$16*Consol_Thematic!P57)+('Fund Ranking Criteria'!#REF!*Consol_Thematic!Q57)+('Fund Ranking Criteria'!#REF!*Consol_Thematic!L57)</f>
        <v>#REF!</v>
      </c>
      <c r="U57" s="288" t="e">
        <f t="shared" si="21"/>
        <v>#REF!</v>
      </c>
      <c r="V57" s="261" t="e">
        <f t="shared" si="22"/>
        <v>#REF!</v>
      </c>
      <c r="W57" s="261" t="str">
        <f t="shared" si="23"/>
        <v>ICICI Prudential Commodities Fund</v>
      </c>
    </row>
    <row r="58" spans="1:23" x14ac:dyDescent="0.25">
      <c r="A58" s="261" t="s">
        <v>380</v>
      </c>
      <c r="B58" s="261">
        <f>VLOOKUP($A58, Sheet4!$A$2:$L$688, Consol_Thematic!B$1,FALSE)</f>
        <v>7.93</v>
      </c>
      <c r="C58" s="261">
        <f>VLOOKUP($A58, Sheet4!$A$2:$L$688, Consol_Thematic!C$1,FALSE)</f>
        <v>28.62</v>
      </c>
      <c r="D58" s="261">
        <f>VLOOKUP($A58, Sheet4!$A$2:$L$688, Consol_Thematic!D$1,FALSE)</f>
        <v>30.83</v>
      </c>
      <c r="E58" s="261">
        <f>VLOOKUP($A58, Sheet4!$A$2:$L$688, Consol_Thematic!E$1,FALSE)</f>
        <v>1.31</v>
      </c>
      <c r="F58" s="261">
        <f>VLOOKUP($A58, Sheet4!$A$2:$L$688, Consol_Thematic!F$1,FALSE)</f>
        <v>2.12</v>
      </c>
      <c r="G58" s="261">
        <f>VLOOKUP($A58, Sheet4!$A$2:$L$688, Consol_Thematic!G$1,FALSE)</f>
        <v>7.34</v>
      </c>
      <c r="H58" s="261">
        <f>VLOOKUP($A58, Sheet4!$A$2:$L$688, Consol_Thematic!H$1,FALSE)</f>
        <v>1.83</v>
      </c>
      <c r="I58" s="261">
        <f>VLOOKUP($A58, Sheet4!$A$2:$L$688, Consol_Thematic!I$1,FALSE)</f>
        <v>0.84</v>
      </c>
      <c r="J58" s="261">
        <f>VLOOKUP($A58, Sheet4!$A$2:$L$688, Consol_Thematic!J$1,FALSE)</f>
        <v>13.04</v>
      </c>
      <c r="K58" s="288">
        <f t="shared" si="12"/>
        <v>0.95150624540778839</v>
      </c>
      <c r="L58" s="288">
        <f t="shared" si="13"/>
        <v>0.93846153846153835</v>
      </c>
      <c r="M58" s="288">
        <f t="shared" si="14"/>
        <v>0.78886438809261306</v>
      </c>
      <c r="N58" s="288">
        <f t="shared" si="15"/>
        <v>0.99323453608247425</v>
      </c>
      <c r="O58" s="288">
        <f t="shared" si="16"/>
        <v>0.41681574239713776</v>
      </c>
      <c r="P58" s="288">
        <f t="shared" si="17"/>
        <v>1.2242990654205608</v>
      </c>
      <c r="Q58" s="288">
        <f t="shared" si="18"/>
        <v>1.0871794871794873</v>
      </c>
      <c r="R58" s="288">
        <f t="shared" si="19"/>
        <v>0.29411764705882354</v>
      </c>
      <c r="S58" s="288">
        <f t="shared" si="20"/>
        <v>1.2039627039627039</v>
      </c>
      <c r="T58" s="288" t="e">
        <f>(K58*'Fund Ranking Criteria'!$J$9)+('Fund Ranking Criteria'!$J$10*Consol_Thematic!M58)+('Fund Ranking Criteria'!$J$12*Consol_Thematic!S58)+('Fund Ranking Criteria'!$J$14*Consol_Thematic!R58)+('Fund Ranking Criteria'!$J$15*Consol_Thematic!O58)+('Fund Ranking Criteria'!$J$16*Consol_Thematic!P58)+('Fund Ranking Criteria'!#REF!*Consol_Thematic!Q58)+('Fund Ranking Criteria'!#REF!*Consol_Thematic!L58)</f>
        <v>#REF!</v>
      </c>
      <c r="U58" s="288" t="e">
        <f t="shared" si="21"/>
        <v>#REF!</v>
      </c>
      <c r="V58" s="261" t="e">
        <f t="shared" si="22"/>
        <v>#REF!</v>
      </c>
      <c r="W58" s="261" t="str">
        <f t="shared" si="23"/>
        <v>ICICI Prudential Dividend Yield Equity Fund</v>
      </c>
    </row>
    <row r="59" spans="1:23" x14ac:dyDescent="0.25">
      <c r="A59" s="261" t="s">
        <v>381</v>
      </c>
      <c r="B59" s="261">
        <f>VLOOKUP($A59, Sheet4!$A$2:$L$688, Consol_Thematic!B$1,FALSE)</f>
        <v>0</v>
      </c>
      <c r="C59" s="261">
        <f>VLOOKUP($A59, Sheet4!$A$2:$L$688, Consol_Thematic!C$1,FALSE)</f>
        <v>0</v>
      </c>
      <c r="D59" s="261">
        <f>VLOOKUP($A59, Sheet4!$A$2:$L$688, Consol_Thematic!D$1,FALSE)</f>
        <v>0</v>
      </c>
      <c r="E59" s="261">
        <f>VLOOKUP($A59, Sheet4!$A$2:$L$688, Consol_Thematic!E$1,FALSE)</f>
        <v>0</v>
      </c>
      <c r="F59" s="261">
        <f>VLOOKUP($A59, Sheet4!$A$2:$L$688, Consol_Thematic!F$1,FALSE)</f>
        <v>0</v>
      </c>
      <c r="G59" s="261">
        <f>VLOOKUP($A59, Sheet4!$A$2:$L$688, Consol_Thematic!G$1,FALSE)</f>
        <v>0</v>
      </c>
      <c r="H59" s="261">
        <f>VLOOKUP($A59, Sheet4!$A$2:$L$688, Consol_Thematic!H$1,FALSE)</f>
        <v>1.72</v>
      </c>
      <c r="I59" s="261">
        <f>VLOOKUP($A59, Sheet4!$A$2:$L$688, Consol_Thematic!I$1,FALSE)</f>
        <v>0</v>
      </c>
      <c r="J59" s="261">
        <f>VLOOKUP($A59, Sheet4!$A$2:$L$688, Consol_Thematic!J$1,FALSE)</f>
        <v>0</v>
      </c>
      <c r="K59" s="288">
        <f t="shared" si="12"/>
        <v>0.36884643644379134</v>
      </c>
      <c r="L59" s="288">
        <f t="shared" si="13"/>
        <v>1.1076923076923078</v>
      </c>
      <c r="M59" s="288">
        <f t="shared" si="14"/>
        <v>0</v>
      </c>
      <c r="N59" s="288">
        <f t="shared" si="15"/>
        <v>0</v>
      </c>
      <c r="O59" s="288">
        <f t="shared" si="16"/>
        <v>1</v>
      </c>
      <c r="P59" s="288">
        <f t="shared" si="17"/>
        <v>0</v>
      </c>
      <c r="Q59" s="288">
        <f t="shared" si="18"/>
        <v>0</v>
      </c>
      <c r="R59" s="288">
        <f t="shared" si="19"/>
        <v>1</v>
      </c>
      <c r="S59" s="288">
        <f t="shared" si="20"/>
        <v>0.34848484848484851</v>
      </c>
      <c r="T59" s="288" t="e">
        <f>(K59*'Fund Ranking Criteria'!$J$9)+('Fund Ranking Criteria'!$J$10*Consol_Thematic!M59)+('Fund Ranking Criteria'!$J$12*Consol_Thematic!S59)+('Fund Ranking Criteria'!$J$14*Consol_Thematic!R59)+('Fund Ranking Criteria'!$J$15*Consol_Thematic!O59)+('Fund Ranking Criteria'!$J$16*Consol_Thematic!P59)+('Fund Ranking Criteria'!#REF!*Consol_Thematic!Q59)+('Fund Ranking Criteria'!#REF!*Consol_Thematic!L59)</f>
        <v>#REF!</v>
      </c>
      <c r="U59" s="288" t="e">
        <f t="shared" si="21"/>
        <v>#REF!</v>
      </c>
      <c r="V59" s="261" t="e">
        <f t="shared" si="22"/>
        <v>#REF!</v>
      </c>
      <c r="W59" s="261" t="str">
        <f t="shared" si="23"/>
        <v>ICICI Prudential Energy Opportunities Fund - Regular Plan</v>
      </c>
    </row>
    <row r="60" spans="1:23" x14ac:dyDescent="0.25">
      <c r="A60" s="261" t="s">
        <v>382</v>
      </c>
      <c r="B60" s="261">
        <f>VLOOKUP($A60, Sheet4!$A$2:$L$688, Consol_Thematic!B$1,FALSE)</f>
        <v>0</v>
      </c>
      <c r="C60" s="261">
        <f>VLOOKUP($A60, Sheet4!$A$2:$L$688, Consol_Thematic!C$1,FALSE)</f>
        <v>0</v>
      </c>
      <c r="D60" s="261">
        <f>VLOOKUP($A60, Sheet4!$A$2:$L$688, Consol_Thematic!D$1,FALSE)</f>
        <v>0</v>
      </c>
      <c r="E60" s="261">
        <f>VLOOKUP($A60, Sheet4!$A$2:$L$688, Consol_Thematic!E$1,FALSE)</f>
        <v>0</v>
      </c>
      <c r="F60" s="261">
        <f>VLOOKUP($A60, Sheet4!$A$2:$L$688, Consol_Thematic!F$1,FALSE)</f>
        <v>0</v>
      </c>
      <c r="G60" s="261">
        <f>VLOOKUP($A60, Sheet4!$A$2:$L$688, Consol_Thematic!G$1,FALSE)</f>
        <v>0</v>
      </c>
      <c r="H60" s="261">
        <f>VLOOKUP($A60, Sheet4!$A$2:$L$688, Consol_Thematic!H$1,FALSE)</f>
        <v>1.91</v>
      </c>
      <c r="I60" s="261">
        <f>VLOOKUP($A60, Sheet4!$A$2:$L$688, Consol_Thematic!I$1,FALSE)</f>
        <v>0</v>
      </c>
      <c r="J60" s="261">
        <f>VLOOKUP($A60, Sheet4!$A$2:$L$688, Consol_Thematic!J$1,FALSE)</f>
        <v>0</v>
      </c>
      <c r="K60" s="288">
        <f t="shared" si="12"/>
        <v>0.36884643644379134</v>
      </c>
      <c r="L60" s="288">
        <f t="shared" si="13"/>
        <v>0.81538461538461549</v>
      </c>
      <c r="M60" s="288">
        <f t="shared" si="14"/>
        <v>0</v>
      </c>
      <c r="N60" s="288">
        <f t="shared" si="15"/>
        <v>0</v>
      </c>
      <c r="O60" s="288">
        <f t="shared" si="16"/>
        <v>1</v>
      </c>
      <c r="P60" s="288">
        <f t="shared" si="17"/>
        <v>0</v>
      </c>
      <c r="Q60" s="288">
        <f t="shared" si="18"/>
        <v>0</v>
      </c>
      <c r="R60" s="288">
        <f t="shared" si="19"/>
        <v>1</v>
      </c>
      <c r="S60" s="288">
        <f t="shared" si="20"/>
        <v>0.34848484848484851</v>
      </c>
      <c r="T60" s="288" t="e">
        <f>(K60*'Fund Ranking Criteria'!$J$9)+('Fund Ranking Criteria'!$J$10*Consol_Thematic!M60)+('Fund Ranking Criteria'!$J$12*Consol_Thematic!S60)+('Fund Ranking Criteria'!$J$14*Consol_Thematic!R60)+('Fund Ranking Criteria'!$J$15*Consol_Thematic!O60)+('Fund Ranking Criteria'!$J$16*Consol_Thematic!P60)+('Fund Ranking Criteria'!#REF!*Consol_Thematic!Q60)+('Fund Ranking Criteria'!#REF!*Consol_Thematic!L60)</f>
        <v>#REF!</v>
      </c>
      <c r="U60" s="288" t="e">
        <f t="shared" si="21"/>
        <v>#REF!</v>
      </c>
      <c r="V60" s="261" t="e">
        <f t="shared" si="22"/>
        <v>#REF!</v>
      </c>
      <c r="W60" s="261" t="str">
        <f t="shared" si="23"/>
        <v>ICICI Prudential Equity Minimum Variance Fund - Regular Plan</v>
      </c>
    </row>
    <row r="61" spans="1:23" x14ac:dyDescent="0.25">
      <c r="A61" s="261" t="s">
        <v>383</v>
      </c>
      <c r="B61" s="261">
        <f>VLOOKUP($A61, Sheet4!$A$2:$L$688, Consol_Thematic!B$1,FALSE)</f>
        <v>12.18</v>
      </c>
      <c r="C61" s="261">
        <f>VLOOKUP($A61, Sheet4!$A$2:$L$688, Consol_Thematic!C$1,FALSE)</f>
        <v>24.05</v>
      </c>
      <c r="D61" s="261">
        <f>VLOOKUP($A61, Sheet4!$A$2:$L$688, Consol_Thematic!D$1,FALSE)</f>
        <v>0</v>
      </c>
      <c r="E61" s="261">
        <f>VLOOKUP($A61, Sheet4!$A$2:$L$688, Consol_Thematic!E$1,FALSE)</f>
        <v>1.0900000000000001</v>
      </c>
      <c r="F61" s="261">
        <f>VLOOKUP($A61, Sheet4!$A$2:$L$688, Consol_Thematic!F$1,FALSE)</f>
        <v>1.76</v>
      </c>
      <c r="G61" s="261">
        <f>VLOOKUP($A61, Sheet4!$A$2:$L$688, Consol_Thematic!G$1,FALSE)</f>
        <v>5.21</v>
      </c>
      <c r="H61" s="261">
        <f>VLOOKUP($A61, Sheet4!$A$2:$L$688, Consol_Thematic!H$1,FALSE)</f>
        <v>2.14</v>
      </c>
      <c r="I61" s="261">
        <f>VLOOKUP($A61, Sheet4!$A$2:$L$688, Consol_Thematic!I$1,FALSE)</f>
        <v>0.86</v>
      </c>
      <c r="J61" s="261">
        <f>VLOOKUP($A61, Sheet4!$A$2:$L$688, Consol_Thematic!J$1,FALSE)</f>
        <v>12.84</v>
      </c>
      <c r="K61" s="288">
        <f t="shared" si="12"/>
        <v>1.2637766348273329</v>
      </c>
      <c r="L61" s="288">
        <f t="shared" si="13"/>
        <v>0.46153846153846134</v>
      </c>
      <c r="M61" s="288">
        <f t="shared" si="14"/>
        <v>0.66289966923925026</v>
      </c>
      <c r="N61" s="288">
        <f t="shared" si="15"/>
        <v>0</v>
      </c>
      <c r="O61" s="288">
        <f t="shared" si="16"/>
        <v>0.42576028622540252</v>
      </c>
      <c r="P61" s="288">
        <f t="shared" si="17"/>
        <v>1.0186915887850467</v>
      </c>
      <c r="Q61" s="288">
        <f t="shared" si="18"/>
        <v>0.90256410256410258</v>
      </c>
      <c r="R61" s="288">
        <f t="shared" si="19"/>
        <v>0.27731092436974786</v>
      </c>
      <c r="S61" s="288">
        <f t="shared" si="20"/>
        <v>0.95571095571095566</v>
      </c>
      <c r="T61" s="288" t="e">
        <f>(K61*'Fund Ranking Criteria'!$J$9)+('Fund Ranking Criteria'!$J$10*Consol_Thematic!M61)+('Fund Ranking Criteria'!$J$12*Consol_Thematic!S61)+('Fund Ranking Criteria'!$J$14*Consol_Thematic!R61)+('Fund Ranking Criteria'!$J$15*Consol_Thematic!O61)+('Fund Ranking Criteria'!$J$16*Consol_Thematic!P61)+('Fund Ranking Criteria'!#REF!*Consol_Thematic!Q61)+('Fund Ranking Criteria'!#REF!*Consol_Thematic!L61)</f>
        <v>#REF!</v>
      </c>
      <c r="U61" s="288" t="e">
        <f t="shared" si="21"/>
        <v>#REF!</v>
      </c>
      <c r="V61" s="261" t="e">
        <f t="shared" si="22"/>
        <v>#REF!</v>
      </c>
      <c r="W61" s="261" t="str">
        <f t="shared" si="23"/>
        <v>ICICI Prudential ESG Exclusionary Strategy Fund</v>
      </c>
    </row>
    <row r="62" spans="1:23" x14ac:dyDescent="0.25">
      <c r="A62" s="261" t="s">
        <v>384</v>
      </c>
      <c r="B62" s="261">
        <f>VLOOKUP($A62, Sheet4!$A$2:$L$688, Consol_Thematic!B$1,FALSE)</f>
        <v>10.82</v>
      </c>
      <c r="C62" s="261">
        <f>VLOOKUP($A62, Sheet4!$A$2:$L$688, Consol_Thematic!C$1,FALSE)</f>
        <v>24.69</v>
      </c>
      <c r="D62" s="261">
        <f>VLOOKUP($A62, Sheet4!$A$2:$L$688, Consol_Thematic!D$1,FALSE)</f>
        <v>26.44</v>
      </c>
      <c r="E62" s="261">
        <f>VLOOKUP($A62, Sheet4!$A$2:$L$688, Consol_Thematic!E$1,FALSE)</f>
        <v>1.23</v>
      </c>
      <c r="F62" s="261">
        <f>VLOOKUP($A62, Sheet4!$A$2:$L$688, Consol_Thematic!F$1,FALSE)</f>
        <v>2.4900000000000002</v>
      </c>
      <c r="G62" s="261">
        <f>VLOOKUP($A62, Sheet4!$A$2:$L$688, Consol_Thematic!G$1,FALSE)</f>
        <v>5.59</v>
      </c>
      <c r="H62" s="261">
        <f>VLOOKUP($A62, Sheet4!$A$2:$L$688, Consol_Thematic!H$1,FALSE)</f>
        <v>2.27</v>
      </c>
      <c r="I62" s="261">
        <f>VLOOKUP($A62, Sheet4!$A$2:$L$688, Consol_Thematic!I$1,FALSE)</f>
        <v>0.76</v>
      </c>
      <c r="J62" s="261">
        <f>VLOOKUP($A62, Sheet4!$A$2:$L$688, Consol_Thematic!J$1,FALSE)</f>
        <v>11.63</v>
      </c>
      <c r="K62" s="288">
        <f t="shared" si="12"/>
        <v>1.1638501102130787</v>
      </c>
      <c r="L62" s="288">
        <f t="shared" si="13"/>
        <v>0.26153846153846144</v>
      </c>
      <c r="M62" s="288">
        <f t="shared" si="14"/>
        <v>0.68054024255788315</v>
      </c>
      <c r="N62" s="288">
        <f t="shared" si="15"/>
        <v>0.85180412371134029</v>
      </c>
      <c r="O62" s="288">
        <f t="shared" si="16"/>
        <v>0.47987477638640424</v>
      </c>
      <c r="P62" s="288">
        <f t="shared" si="17"/>
        <v>1.1495327102803738</v>
      </c>
      <c r="Q62" s="288">
        <f t="shared" si="18"/>
        <v>1.276923076923077</v>
      </c>
      <c r="R62" s="288">
        <f t="shared" si="19"/>
        <v>0.36134453781512599</v>
      </c>
      <c r="S62" s="288">
        <f t="shared" si="20"/>
        <v>1</v>
      </c>
      <c r="T62" s="288" t="e">
        <f>(K62*'Fund Ranking Criteria'!$J$9)+('Fund Ranking Criteria'!$J$10*Consol_Thematic!M62)+('Fund Ranking Criteria'!$J$12*Consol_Thematic!S62)+('Fund Ranking Criteria'!$J$14*Consol_Thematic!R62)+('Fund Ranking Criteria'!$J$15*Consol_Thematic!O62)+('Fund Ranking Criteria'!$J$16*Consol_Thematic!P62)+('Fund Ranking Criteria'!#REF!*Consol_Thematic!Q62)+('Fund Ranking Criteria'!#REF!*Consol_Thematic!L62)</f>
        <v>#REF!</v>
      </c>
      <c r="U62" s="288" t="e">
        <f t="shared" si="21"/>
        <v>#REF!</v>
      </c>
      <c r="V62" s="261" t="e">
        <f t="shared" si="22"/>
        <v>#REF!</v>
      </c>
      <c r="W62" s="261" t="str">
        <f t="shared" si="23"/>
        <v>ICICI Prudential Exports and Services Fund</v>
      </c>
    </row>
    <row r="63" spans="1:23" x14ac:dyDescent="0.25">
      <c r="A63" s="261" t="s">
        <v>386</v>
      </c>
      <c r="B63" s="261">
        <f>VLOOKUP($A63, Sheet4!$A$2:$L$688, Consol_Thematic!B$1,FALSE)</f>
        <v>-0.56000000000000005</v>
      </c>
      <c r="C63" s="261">
        <f>VLOOKUP($A63, Sheet4!$A$2:$L$688, Consol_Thematic!C$1,FALSE)</f>
        <v>12.72</v>
      </c>
      <c r="D63" s="261">
        <f>VLOOKUP($A63, Sheet4!$A$2:$L$688, Consol_Thematic!D$1,FALSE)</f>
        <v>15.43</v>
      </c>
      <c r="E63" s="261">
        <f>VLOOKUP($A63, Sheet4!$A$2:$L$688, Consol_Thematic!E$1,FALSE)</f>
        <v>0.43</v>
      </c>
      <c r="F63" s="261">
        <f>VLOOKUP($A63, Sheet4!$A$2:$L$688, Consol_Thematic!F$1,FALSE)</f>
        <v>0.56000000000000005</v>
      </c>
      <c r="G63" s="261">
        <f>VLOOKUP($A63, Sheet4!$A$2:$L$688, Consol_Thematic!G$1,FALSE)</f>
        <v>-2.76</v>
      </c>
      <c r="H63" s="261">
        <f>VLOOKUP($A63, Sheet4!$A$2:$L$688, Consol_Thematic!H$1,FALSE)</f>
        <v>2.13</v>
      </c>
      <c r="I63" s="261">
        <f>VLOOKUP($A63, Sheet4!$A$2:$L$688, Consol_Thematic!I$1,FALSE)</f>
        <v>0.73</v>
      </c>
      <c r="J63" s="261">
        <f>VLOOKUP($A63, Sheet4!$A$2:$L$688, Consol_Thematic!J$1,FALSE)</f>
        <v>13.18</v>
      </c>
      <c r="K63" s="288">
        <f t="shared" si="12"/>
        <v>0.32770022042615721</v>
      </c>
      <c r="L63" s="288">
        <f t="shared" si="13"/>
        <v>0.47692307692307706</v>
      </c>
      <c r="M63" s="288">
        <f t="shared" si="14"/>
        <v>0.35060639470782801</v>
      </c>
      <c r="N63" s="288">
        <f t="shared" si="15"/>
        <v>0.49710051546391754</v>
      </c>
      <c r="O63" s="288">
        <f t="shared" si="16"/>
        <v>0.41055456171735244</v>
      </c>
      <c r="P63" s="288">
        <f t="shared" si="17"/>
        <v>0.40186915887850466</v>
      </c>
      <c r="Q63" s="288">
        <f t="shared" si="18"/>
        <v>0.28717948717948721</v>
      </c>
      <c r="R63" s="288">
        <f t="shared" si="19"/>
        <v>0.38655462184873951</v>
      </c>
      <c r="S63" s="288">
        <f t="shared" si="20"/>
        <v>2.6806526806526856E-2</v>
      </c>
      <c r="T63" s="288" t="e">
        <f>(K63*'Fund Ranking Criteria'!$J$9)+('Fund Ranking Criteria'!$J$10*Consol_Thematic!M63)+('Fund Ranking Criteria'!$J$12*Consol_Thematic!S63)+('Fund Ranking Criteria'!$J$14*Consol_Thematic!R63)+('Fund Ranking Criteria'!$J$15*Consol_Thematic!O63)+('Fund Ranking Criteria'!$J$16*Consol_Thematic!P63)+('Fund Ranking Criteria'!#REF!*Consol_Thematic!Q63)+('Fund Ranking Criteria'!#REF!*Consol_Thematic!L63)</f>
        <v>#REF!</v>
      </c>
      <c r="U63" s="288" t="e">
        <f t="shared" si="21"/>
        <v>#REF!</v>
      </c>
      <c r="V63" s="261" t="e">
        <f t="shared" si="22"/>
        <v>#REF!</v>
      </c>
      <c r="W63" s="261" t="str">
        <f t="shared" si="23"/>
        <v>ICICI Prudential FMCG Fund</v>
      </c>
    </row>
    <row r="64" spans="1:23" x14ac:dyDescent="0.25">
      <c r="A64" s="261" t="s">
        <v>388</v>
      </c>
      <c r="B64" s="261">
        <f>VLOOKUP($A64, Sheet4!$A$2:$L$688, Consol_Thematic!B$1,FALSE)</f>
        <v>4.07</v>
      </c>
      <c r="C64" s="261">
        <f>VLOOKUP($A64, Sheet4!$A$2:$L$688, Consol_Thematic!C$1,FALSE)</f>
        <v>22.6</v>
      </c>
      <c r="D64" s="261">
        <f>VLOOKUP($A64, Sheet4!$A$2:$L$688, Consol_Thematic!D$1,FALSE)</f>
        <v>0</v>
      </c>
      <c r="E64" s="261">
        <f>VLOOKUP($A64, Sheet4!$A$2:$L$688, Consol_Thematic!E$1,FALSE)</f>
        <v>1.01</v>
      </c>
      <c r="F64" s="261">
        <f>VLOOKUP($A64, Sheet4!$A$2:$L$688, Consol_Thematic!F$1,FALSE)</f>
        <v>1.74</v>
      </c>
      <c r="G64" s="261">
        <f>VLOOKUP($A64, Sheet4!$A$2:$L$688, Consol_Thematic!G$1,FALSE)</f>
        <v>3.35</v>
      </c>
      <c r="H64" s="261">
        <f>VLOOKUP($A64, Sheet4!$A$2:$L$688, Consol_Thematic!H$1,FALSE)</f>
        <v>2.0499999999999998</v>
      </c>
      <c r="I64" s="261">
        <f>VLOOKUP($A64, Sheet4!$A$2:$L$688, Consol_Thematic!I$1,FALSE)</f>
        <v>0.83</v>
      </c>
      <c r="J64" s="261">
        <f>VLOOKUP($A64, Sheet4!$A$2:$L$688, Consol_Thematic!J$1,FALSE)</f>
        <v>12.77</v>
      </c>
      <c r="K64" s="288">
        <f t="shared" si="12"/>
        <v>0.6678912564290963</v>
      </c>
      <c r="L64" s="288">
        <f t="shared" si="13"/>
        <v>0.60000000000000031</v>
      </c>
      <c r="M64" s="288">
        <f t="shared" si="14"/>
        <v>0.62293274531422271</v>
      </c>
      <c r="N64" s="288">
        <f t="shared" si="15"/>
        <v>0</v>
      </c>
      <c r="O64" s="288">
        <f t="shared" si="16"/>
        <v>0.42889087656529518</v>
      </c>
      <c r="P64" s="288">
        <f t="shared" si="17"/>
        <v>0.94392523364485981</v>
      </c>
      <c r="Q64" s="288">
        <f t="shared" si="18"/>
        <v>0.89230769230769236</v>
      </c>
      <c r="R64" s="288">
        <f t="shared" si="19"/>
        <v>0.30252100840336132</v>
      </c>
      <c r="S64" s="288">
        <f t="shared" si="20"/>
        <v>0.73892773892773889</v>
      </c>
      <c r="T64" s="288" t="e">
        <f>(K64*'Fund Ranking Criteria'!$J$9)+('Fund Ranking Criteria'!$J$10*Consol_Thematic!M64)+('Fund Ranking Criteria'!$J$12*Consol_Thematic!S64)+('Fund Ranking Criteria'!$J$14*Consol_Thematic!R64)+('Fund Ranking Criteria'!$J$15*Consol_Thematic!O64)+('Fund Ranking Criteria'!$J$16*Consol_Thematic!P64)+('Fund Ranking Criteria'!#REF!*Consol_Thematic!Q64)+('Fund Ranking Criteria'!#REF!*Consol_Thematic!L64)</f>
        <v>#REF!</v>
      </c>
      <c r="U64" s="288" t="e">
        <f t="shared" si="21"/>
        <v>#REF!</v>
      </c>
      <c r="V64" s="261" t="e">
        <f t="shared" si="22"/>
        <v>#REF!</v>
      </c>
      <c r="W64" s="261" t="str">
        <f t="shared" si="23"/>
        <v>ICICI Prudential Housing Opportunities Fund</v>
      </c>
    </row>
    <row r="65" spans="1:23" x14ac:dyDescent="0.25">
      <c r="A65" s="261" t="s">
        <v>390</v>
      </c>
      <c r="B65" s="261">
        <f>VLOOKUP($A65, Sheet4!$A$2:$L$688, Consol_Thematic!B$1,FALSE)</f>
        <v>11.86</v>
      </c>
      <c r="C65" s="261">
        <f>VLOOKUP($A65, Sheet4!$A$2:$L$688, Consol_Thematic!C$1,FALSE)</f>
        <v>29.06</v>
      </c>
      <c r="D65" s="261">
        <f>VLOOKUP($A65, Sheet4!$A$2:$L$688, Consol_Thematic!D$1,FALSE)</f>
        <v>31.83</v>
      </c>
      <c r="E65" s="261">
        <f>VLOOKUP($A65, Sheet4!$A$2:$L$688, Consol_Thematic!E$1,FALSE)</f>
        <v>1.43</v>
      </c>
      <c r="F65" s="261">
        <f>VLOOKUP($A65, Sheet4!$A$2:$L$688, Consol_Thematic!F$1,FALSE)</f>
        <v>2.83</v>
      </c>
      <c r="G65" s="261">
        <f>VLOOKUP($A65, Sheet4!$A$2:$L$688, Consol_Thematic!G$1,FALSE)</f>
        <v>8.41</v>
      </c>
      <c r="H65" s="261">
        <f>VLOOKUP($A65, Sheet4!$A$2:$L$688, Consol_Thematic!H$1,FALSE)</f>
        <v>1.6</v>
      </c>
      <c r="I65" s="261">
        <f>VLOOKUP($A65, Sheet4!$A$2:$L$688, Consol_Thematic!I$1,FALSE)</f>
        <v>0.8</v>
      </c>
      <c r="J65" s="261">
        <f>VLOOKUP($A65, Sheet4!$A$2:$L$688, Consol_Thematic!J$1,FALSE)</f>
        <v>12.31</v>
      </c>
      <c r="K65" s="288">
        <f t="shared" si="12"/>
        <v>1.2402645113886848</v>
      </c>
      <c r="L65" s="288">
        <f t="shared" si="13"/>
        <v>1.2923076923076922</v>
      </c>
      <c r="M65" s="288">
        <f t="shared" si="14"/>
        <v>0.80099228224917307</v>
      </c>
      <c r="N65" s="288">
        <f t="shared" si="15"/>
        <v>1.0254510309278351</v>
      </c>
      <c r="O65" s="288">
        <f t="shared" si="16"/>
        <v>0.44946332737030409</v>
      </c>
      <c r="P65" s="288">
        <f t="shared" si="17"/>
        <v>1.3364485981308409</v>
      </c>
      <c r="Q65" s="288">
        <f t="shared" si="18"/>
        <v>1.4512820512820515</v>
      </c>
      <c r="R65" s="288">
        <f t="shared" si="19"/>
        <v>0.32773109243697474</v>
      </c>
      <c r="S65" s="288">
        <f t="shared" si="20"/>
        <v>1.3286713286713288</v>
      </c>
      <c r="T65" s="288" t="e">
        <f>(K65*'Fund Ranking Criteria'!$J$9)+('Fund Ranking Criteria'!$J$10*Consol_Thematic!M65)+('Fund Ranking Criteria'!$J$12*Consol_Thematic!S65)+('Fund Ranking Criteria'!$J$14*Consol_Thematic!R65)+('Fund Ranking Criteria'!$J$15*Consol_Thematic!O65)+('Fund Ranking Criteria'!$J$16*Consol_Thematic!P65)+('Fund Ranking Criteria'!#REF!*Consol_Thematic!Q65)+('Fund Ranking Criteria'!#REF!*Consol_Thematic!L65)</f>
        <v>#REF!</v>
      </c>
      <c r="U65" s="288" t="e">
        <f t="shared" si="21"/>
        <v>#REF!</v>
      </c>
      <c r="V65" s="261" t="e">
        <f t="shared" si="22"/>
        <v>#REF!</v>
      </c>
      <c r="W65" s="261" t="str">
        <f t="shared" si="23"/>
        <v>ICICI Prudential India Opportunities Fund</v>
      </c>
    </row>
    <row r="66" spans="1:23" x14ac:dyDescent="0.25">
      <c r="A66" s="261" t="s">
        <v>391</v>
      </c>
      <c r="B66" s="261">
        <f>VLOOKUP($A66, Sheet4!$A$2:$L$688, Consol_Thematic!B$1,FALSE)</f>
        <v>7.82</v>
      </c>
      <c r="C66" s="261">
        <f>VLOOKUP($A66, Sheet4!$A$2:$L$688, Consol_Thematic!C$1,FALSE)</f>
        <v>0</v>
      </c>
      <c r="D66" s="261">
        <f>VLOOKUP($A66, Sheet4!$A$2:$L$688, Consol_Thematic!D$1,FALSE)</f>
        <v>0</v>
      </c>
      <c r="E66" s="261">
        <f>VLOOKUP($A66, Sheet4!$A$2:$L$688, Consol_Thematic!E$1,FALSE)</f>
        <v>0</v>
      </c>
      <c r="F66" s="261">
        <f>VLOOKUP($A66, Sheet4!$A$2:$L$688, Consol_Thematic!F$1,FALSE)</f>
        <v>0</v>
      </c>
      <c r="G66" s="261">
        <f>VLOOKUP($A66, Sheet4!$A$2:$L$688, Consol_Thematic!G$1,FALSE)</f>
        <v>0</v>
      </c>
      <c r="H66" s="261">
        <f>VLOOKUP($A66, Sheet4!$A$2:$L$688, Consol_Thematic!H$1,FALSE)</f>
        <v>1.81</v>
      </c>
      <c r="I66" s="261">
        <f>VLOOKUP($A66, Sheet4!$A$2:$L$688, Consol_Thematic!I$1,FALSE)</f>
        <v>0</v>
      </c>
      <c r="J66" s="261">
        <f>VLOOKUP($A66, Sheet4!$A$2:$L$688, Consol_Thematic!J$1,FALSE)</f>
        <v>0</v>
      </c>
      <c r="K66" s="288">
        <f t="shared" si="12"/>
        <v>0.9434239529757531</v>
      </c>
      <c r="L66" s="288">
        <f t="shared" si="13"/>
        <v>0.96923076923076923</v>
      </c>
      <c r="M66" s="288">
        <f t="shared" si="14"/>
        <v>0</v>
      </c>
      <c r="N66" s="288">
        <f t="shared" si="15"/>
        <v>0</v>
      </c>
      <c r="O66" s="288">
        <f t="shared" si="16"/>
        <v>1</v>
      </c>
      <c r="P66" s="288">
        <f t="shared" si="17"/>
        <v>0</v>
      </c>
      <c r="Q66" s="288">
        <f t="shared" si="18"/>
        <v>0</v>
      </c>
      <c r="R66" s="288">
        <f t="shared" si="19"/>
        <v>1</v>
      </c>
      <c r="S66" s="288">
        <f t="shared" si="20"/>
        <v>0.34848484848484851</v>
      </c>
      <c r="T66" s="288" t="e">
        <f>(K66*'Fund Ranking Criteria'!$J$9)+('Fund Ranking Criteria'!$J$10*Consol_Thematic!M66)+('Fund Ranking Criteria'!$J$12*Consol_Thematic!S66)+('Fund Ranking Criteria'!$J$14*Consol_Thematic!R66)+('Fund Ranking Criteria'!$J$15*Consol_Thematic!O66)+('Fund Ranking Criteria'!$J$16*Consol_Thematic!P66)+('Fund Ranking Criteria'!#REF!*Consol_Thematic!Q66)+('Fund Ranking Criteria'!#REF!*Consol_Thematic!L66)</f>
        <v>#REF!</v>
      </c>
      <c r="U66" s="288" t="e">
        <f t="shared" si="21"/>
        <v>#REF!</v>
      </c>
      <c r="V66" s="261" t="e">
        <f t="shared" si="22"/>
        <v>#REF!</v>
      </c>
      <c r="W66" s="261" t="str">
        <f t="shared" si="23"/>
        <v>ICICI Prudential Innovation Fund</v>
      </c>
    </row>
    <row r="67" spans="1:23" x14ac:dyDescent="0.25">
      <c r="A67" s="261" t="s">
        <v>393</v>
      </c>
      <c r="B67" s="261">
        <f>VLOOKUP($A67, Sheet4!$A$2:$L$688, Consol_Thematic!B$1,FALSE)</f>
        <v>-1.19</v>
      </c>
      <c r="C67" s="261">
        <f>VLOOKUP($A67, Sheet4!$A$2:$L$688, Consol_Thematic!C$1,FALSE)</f>
        <v>29.8</v>
      </c>
      <c r="D67" s="261">
        <f>VLOOKUP($A67, Sheet4!$A$2:$L$688, Consol_Thematic!D$1,FALSE)</f>
        <v>30.11</v>
      </c>
      <c r="E67" s="261">
        <f>VLOOKUP($A67, Sheet4!$A$2:$L$688, Consol_Thematic!E$1,FALSE)</f>
        <v>1.1100000000000001</v>
      </c>
      <c r="F67" s="261">
        <f>VLOOKUP($A67, Sheet4!$A$2:$L$688, Consol_Thematic!F$1,FALSE)</f>
        <v>1.63</v>
      </c>
      <c r="G67" s="261">
        <f>VLOOKUP($A67, Sheet4!$A$2:$L$688, Consol_Thematic!G$1,FALSE)</f>
        <v>6.38</v>
      </c>
      <c r="H67" s="261">
        <f>VLOOKUP($A67, Sheet4!$A$2:$L$688, Consol_Thematic!H$1,FALSE)</f>
        <v>1.82</v>
      </c>
      <c r="I67" s="261">
        <f>VLOOKUP($A67, Sheet4!$A$2:$L$688, Consol_Thematic!I$1,FALSE)</f>
        <v>1.08</v>
      </c>
      <c r="J67" s="261">
        <f>VLOOKUP($A67, Sheet4!$A$2:$L$688, Consol_Thematic!J$1,FALSE)</f>
        <v>16.920000000000002</v>
      </c>
      <c r="K67" s="288">
        <f t="shared" ref="K67:K98" si="24">(B67-MIN(B$3:B$23))/(MAX(B$3:B$23)-MIN(B$3:B$23))</f>
        <v>0.28141072740631889</v>
      </c>
      <c r="L67" s="288">
        <f t="shared" ref="L67:L98" si="25">(MAX(H$3:H$23)-H67)/(MAX(H$3:H$23)-MIN(H$3:H$23))</f>
        <v>0.95384615384615379</v>
      </c>
      <c r="M67" s="288">
        <f t="shared" ref="M67:M98" si="26">(C67-MIN(C$3:C$23))/(MAX(C$3:C$23)-MIN(C$3:C$23))</f>
        <v>0.82138919514884234</v>
      </c>
      <c r="N67" s="288">
        <f t="shared" ref="N67:N98" si="27">(D67-MIN(D$3:D$23))/(MAX(D$3:D$23)-MIN(D$3:D$23))</f>
        <v>0.97003865979381443</v>
      </c>
      <c r="O67" s="288">
        <f t="shared" ref="O67:O98" si="28">(MAX(J$3:J$23)-J67)/(MAX(J$3:J$23)-MIN(J$3:J$23))</f>
        <v>0.24329159212880133</v>
      </c>
      <c r="P67" s="288">
        <f t="shared" ref="P67:P98" si="29">(E67-MIN(E$3:E$23))/(MAX(E$3:E$23)-MIN(E$3:E$23))</f>
        <v>1.0373831775700935</v>
      </c>
      <c r="Q67" s="288">
        <f t="shared" ref="Q67:Q98" si="30">(F67-MIN(F$3:F$23))/(MAX(F$3:F$23)-MIN(F$3:F$23))</f>
        <v>0.83589743589743581</v>
      </c>
      <c r="R67" s="288">
        <f t="shared" ref="R67:R98" si="31">(MAX(I$3:I$23)-I67)/(MAX(I$3:I$23)-MIN(I$3:I$23))</f>
        <v>9.243697478991586E-2</v>
      </c>
      <c r="S67" s="288">
        <f t="shared" ref="S67:S98" si="32">(G67-MIN(G$3:G$23))/(MAX(G$3:G$23)-MIN(G$3:G$23))</f>
        <v>1.0920745920745922</v>
      </c>
      <c r="T67" s="288" t="e">
        <f>(K67*'Fund Ranking Criteria'!$J$9)+('Fund Ranking Criteria'!$J$10*Consol_Thematic!M67)+('Fund Ranking Criteria'!$J$12*Consol_Thematic!S67)+('Fund Ranking Criteria'!$J$14*Consol_Thematic!R67)+('Fund Ranking Criteria'!$J$15*Consol_Thematic!O67)+('Fund Ranking Criteria'!$J$16*Consol_Thematic!P67)+('Fund Ranking Criteria'!#REF!*Consol_Thematic!Q67)+('Fund Ranking Criteria'!#REF!*Consol_Thematic!L67)</f>
        <v>#REF!</v>
      </c>
      <c r="U67" s="288" t="e">
        <f t="shared" ref="U67:U98" si="33">T67*1</f>
        <v>#REF!</v>
      </c>
      <c r="V67" s="261" t="e">
        <f t="shared" ref="V67:V98" si="34">RANK(U67,$U$3:$U$157,0)</f>
        <v>#REF!</v>
      </c>
      <c r="W67" s="261" t="str">
        <f t="shared" ref="W67:W98" si="35">A67</f>
        <v>ICICI Prudential Manufacturing Fund</v>
      </c>
    </row>
    <row r="68" spans="1:23" x14ac:dyDescent="0.25">
      <c r="A68" s="261" t="s">
        <v>395</v>
      </c>
      <c r="B68" s="261">
        <f>VLOOKUP($A68, Sheet4!$A$2:$L$688, Consol_Thematic!B$1,FALSE)</f>
        <v>0.18</v>
      </c>
      <c r="C68" s="261">
        <f>VLOOKUP($A68, Sheet4!$A$2:$L$688, Consol_Thematic!C$1,FALSE)</f>
        <v>17.11</v>
      </c>
      <c r="D68" s="261">
        <f>VLOOKUP($A68, Sheet4!$A$2:$L$688, Consol_Thematic!D$1,FALSE)</f>
        <v>22.96</v>
      </c>
      <c r="E68" s="261">
        <f>VLOOKUP($A68, Sheet4!$A$2:$L$688, Consol_Thematic!E$1,FALSE)</f>
        <v>0.68</v>
      </c>
      <c r="F68" s="261">
        <f>VLOOKUP($A68, Sheet4!$A$2:$L$688, Consol_Thematic!F$1,FALSE)</f>
        <v>0.88</v>
      </c>
      <c r="G68" s="261">
        <f>VLOOKUP($A68, Sheet4!$A$2:$L$688, Consol_Thematic!G$1,FALSE)</f>
        <v>-0.63</v>
      </c>
      <c r="H68" s="261">
        <f>VLOOKUP($A68, Sheet4!$A$2:$L$688, Consol_Thematic!H$1,FALSE)</f>
        <v>2.14</v>
      </c>
      <c r="I68" s="261">
        <f>VLOOKUP($A68, Sheet4!$A$2:$L$688, Consol_Thematic!I$1,FALSE)</f>
        <v>0.79</v>
      </c>
      <c r="J68" s="261">
        <f>VLOOKUP($A68, Sheet4!$A$2:$L$688, Consol_Thematic!J$1,FALSE)</f>
        <v>12.47</v>
      </c>
      <c r="K68" s="288">
        <f t="shared" si="24"/>
        <v>0.38207200587803081</v>
      </c>
      <c r="L68" s="288">
        <f t="shared" si="25"/>
        <v>0.46153846153846134</v>
      </c>
      <c r="M68" s="288">
        <f t="shared" si="26"/>
        <v>0.47160970231532523</v>
      </c>
      <c r="N68" s="288">
        <f t="shared" si="27"/>
        <v>0.73969072164948457</v>
      </c>
      <c r="O68" s="288">
        <f t="shared" si="28"/>
        <v>0.44230769230769229</v>
      </c>
      <c r="P68" s="288">
        <f t="shared" si="29"/>
        <v>0.63551401869158874</v>
      </c>
      <c r="Q68" s="288">
        <f t="shared" si="30"/>
        <v>0.45128205128205129</v>
      </c>
      <c r="R68" s="288">
        <f t="shared" si="31"/>
        <v>0.33613445378151252</v>
      </c>
      <c r="S68" s="288">
        <f t="shared" si="32"/>
        <v>0.27505827505827507</v>
      </c>
      <c r="T68" s="288" t="e">
        <f>(K68*'Fund Ranking Criteria'!$J$9)+('Fund Ranking Criteria'!$J$10*Consol_Thematic!M68)+('Fund Ranking Criteria'!$J$12*Consol_Thematic!S68)+('Fund Ranking Criteria'!$J$14*Consol_Thematic!R68)+('Fund Ranking Criteria'!$J$15*Consol_Thematic!O68)+('Fund Ranking Criteria'!$J$16*Consol_Thematic!P68)+('Fund Ranking Criteria'!#REF!*Consol_Thematic!Q68)+('Fund Ranking Criteria'!#REF!*Consol_Thematic!L68)</f>
        <v>#REF!</v>
      </c>
      <c r="U68" s="288" t="e">
        <f t="shared" si="33"/>
        <v>#REF!</v>
      </c>
      <c r="V68" s="261" t="e">
        <f t="shared" si="34"/>
        <v>#REF!</v>
      </c>
      <c r="W68" s="261" t="str">
        <f t="shared" si="35"/>
        <v>ICICI Prudential MNC Fund</v>
      </c>
    </row>
    <row r="69" spans="1:23" x14ac:dyDescent="0.25">
      <c r="A69" s="261" t="s">
        <v>430</v>
      </c>
      <c r="B69" s="261">
        <f>VLOOKUP($A69, Sheet4!$A$2:$L$688, Consol_Thematic!B$1,FALSE)</f>
        <v>-1.01</v>
      </c>
      <c r="C69" s="261">
        <f>VLOOKUP($A69, Sheet4!$A$2:$L$688, Consol_Thematic!C$1,FALSE)</f>
        <v>0</v>
      </c>
      <c r="D69" s="261">
        <f>VLOOKUP($A69, Sheet4!$A$2:$L$688, Consol_Thematic!D$1,FALSE)</f>
        <v>0</v>
      </c>
      <c r="E69" s="261">
        <f>VLOOKUP($A69, Sheet4!$A$2:$L$688, Consol_Thematic!E$1,FALSE)</f>
        <v>0</v>
      </c>
      <c r="F69" s="261">
        <f>VLOOKUP($A69, Sheet4!$A$2:$L$688, Consol_Thematic!F$1,FALSE)</f>
        <v>0</v>
      </c>
      <c r="G69" s="261">
        <f>VLOOKUP($A69, Sheet4!$A$2:$L$688, Consol_Thematic!G$1,FALSE)</f>
        <v>0</v>
      </c>
      <c r="H69" s="261">
        <f>VLOOKUP($A69, Sheet4!$A$2:$L$688, Consol_Thematic!H$1,FALSE)</f>
        <v>2.0699999999999998</v>
      </c>
      <c r="I69" s="261">
        <f>VLOOKUP($A69, Sheet4!$A$2:$L$688, Consol_Thematic!I$1,FALSE)</f>
        <v>0</v>
      </c>
      <c r="J69" s="261">
        <f>VLOOKUP($A69, Sheet4!$A$2:$L$688, Consol_Thematic!J$1,FALSE)</f>
        <v>0</v>
      </c>
      <c r="K69" s="288">
        <f t="shared" si="24"/>
        <v>0.29463629684055842</v>
      </c>
      <c r="L69" s="288">
        <f t="shared" si="25"/>
        <v>0.56923076923076943</v>
      </c>
      <c r="M69" s="288">
        <f t="shared" si="26"/>
        <v>0</v>
      </c>
      <c r="N69" s="288">
        <f t="shared" si="27"/>
        <v>0</v>
      </c>
      <c r="O69" s="288">
        <f t="shared" si="28"/>
        <v>1</v>
      </c>
      <c r="P69" s="288">
        <f t="shared" si="29"/>
        <v>0</v>
      </c>
      <c r="Q69" s="288">
        <f t="shared" si="30"/>
        <v>0</v>
      </c>
      <c r="R69" s="288">
        <f t="shared" si="31"/>
        <v>1</v>
      </c>
      <c r="S69" s="288">
        <f t="shared" si="32"/>
        <v>0.34848484848484851</v>
      </c>
      <c r="T69" s="288" t="e">
        <f>(K69*'Fund Ranking Criteria'!$J$9)+('Fund Ranking Criteria'!$J$10*Consol_Thematic!M69)+('Fund Ranking Criteria'!$J$12*Consol_Thematic!S69)+('Fund Ranking Criteria'!$J$14*Consol_Thematic!R69)+('Fund Ranking Criteria'!$J$15*Consol_Thematic!O69)+('Fund Ranking Criteria'!$J$16*Consol_Thematic!P69)+('Fund Ranking Criteria'!#REF!*Consol_Thematic!Q69)+('Fund Ranking Criteria'!#REF!*Consol_Thematic!L69)</f>
        <v>#REF!</v>
      </c>
      <c r="U69" s="288" t="e">
        <f t="shared" si="33"/>
        <v>#REF!</v>
      </c>
      <c r="V69" s="261" t="e">
        <f t="shared" si="34"/>
        <v>#REF!</v>
      </c>
      <c r="W69" s="261" t="str">
        <f t="shared" si="35"/>
        <v>ICICI Prudential PSU Equity Fund</v>
      </c>
    </row>
    <row r="70" spans="1:23" x14ac:dyDescent="0.25">
      <c r="A70" s="261" t="s">
        <v>431</v>
      </c>
      <c r="B70" s="261">
        <f>VLOOKUP($A70, Sheet4!$A$2:$L$688, Consol_Thematic!B$1,FALSE)</f>
        <v>0</v>
      </c>
      <c r="C70" s="261">
        <f>VLOOKUP($A70, Sheet4!$A$2:$L$688, Consol_Thematic!C$1,FALSE)</f>
        <v>0</v>
      </c>
      <c r="D70" s="261">
        <f>VLOOKUP($A70, Sheet4!$A$2:$L$688, Consol_Thematic!D$1,FALSE)</f>
        <v>0</v>
      </c>
      <c r="E70" s="261">
        <f>VLOOKUP($A70, Sheet4!$A$2:$L$688, Consol_Thematic!E$1,FALSE)</f>
        <v>0</v>
      </c>
      <c r="F70" s="261">
        <f>VLOOKUP($A70, Sheet4!$A$2:$L$688, Consol_Thematic!F$1,FALSE)</f>
        <v>0</v>
      </c>
      <c r="G70" s="261">
        <f>VLOOKUP($A70, Sheet4!$A$2:$L$688, Consol_Thematic!G$1,FALSE)</f>
        <v>0</v>
      </c>
      <c r="H70" s="261">
        <f>VLOOKUP($A70, Sheet4!$A$2:$L$688, Consol_Thematic!H$1,FALSE)</f>
        <v>2.0699999999999998</v>
      </c>
      <c r="I70" s="261">
        <f>VLOOKUP($A70, Sheet4!$A$2:$L$688, Consol_Thematic!I$1,FALSE)</f>
        <v>0</v>
      </c>
      <c r="J70" s="261">
        <f>VLOOKUP($A70, Sheet4!$A$2:$L$688, Consol_Thematic!J$1,FALSE)</f>
        <v>0</v>
      </c>
      <c r="K70" s="288">
        <f t="shared" si="24"/>
        <v>0.36884643644379134</v>
      </c>
      <c r="L70" s="288">
        <f t="shared" si="25"/>
        <v>0.56923076923076943</v>
      </c>
      <c r="M70" s="288">
        <f t="shared" si="26"/>
        <v>0</v>
      </c>
      <c r="N70" s="288">
        <f t="shared" si="27"/>
        <v>0</v>
      </c>
      <c r="O70" s="288">
        <f t="shared" si="28"/>
        <v>1</v>
      </c>
      <c r="P70" s="288">
        <f t="shared" si="29"/>
        <v>0</v>
      </c>
      <c r="Q70" s="288">
        <f t="shared" si="30"/>
        <v>0</v>
      </c>
      <c r="R70" s="288">
        <f t="shared" si="31"/>
        <v>1</v>
      </c>
      <c r="S70" s="288">
        <f t="shared" si="32"/>
        <v>0.34848484848484851</v>
      </c>
      <c r="T70" s="288" t="e">
        <f>(K70*'Fund Ranking Criteria'!$J$9)+('Fund Ranking Criteria'!$J$10*Consol_Thematic!M70)+('Fund Ranking Criteria'!$J$12*Consol_Thematic!S70)+('Fund Ranking Criteria'!$J$14*Consol_Thematic!R70)+('Fund Ranking Criteria'!$J$15*Consol_Thematic!O70)+('Fund Ranking Criteria'!$J$16*Consol_Thematic!P70)+('Fund Ranking Criteria'!#REF!*Consol_Thematic!Q70)+('Fund Ranking Criteria'!#REF!*Consol_Thematic!L70)</f>
        <v>#REF!</v>
      </c>
      <c r="U70" s="288" t="e">
        <f t="shared" si="33"/>
        <v>#REF!</v>
      </c>
      <c r="V70" s="261" t="e">
        <f t="shared" si="34"/>
        <v>#REF!</v>
      </c>
      <c r="W70" s="261" t="str">
        <f t="shared" si="35"/>
        <v>ICICI Prudential Quality Fund</v>
      </c>
    </row>
    <row r="71" spans="1:23" x14ac:dyDescent="0.25">
      <c r="A71" s="261" t="s">
        <v>432</v>
      </c>
      <c r="B71" s="261">
        <f>VLOOKUP($A71, Sheet4!$A$2:$L$688, Consol_Thematic!B$1,FALSE)</f>
        <v>9.0299999999999994</v>
      </c>
      <c r="C71" s="261">
        <f>VLOOKUP($A71, Sheet4!$A$2:$L$688, Consol_Thematic!C$1,FALSE)</f>
        <v>21.21</v>
      </c>
      <c r="D71" s="261">
        <f>VLOOKUP($A71, Sheet4!$A$2:$L$688, Consol_Thematic!D$1,FALSE)</f>
        <v>0</v>
      </c>
      <c r="E71" s="261">
        <f>VLOOKUP($A71, Sheet4!$A$2:$L$688, Consol_Thematic!E$1,FALSE)</f>
        <v>0.94</v>
      </c>
      <c r="F71" s="261">
        <f>VLOOKUP($A71, Sheet4!$A$2:$L$688, Consol_Thematic!F$1,FALSE)</f>
        <v>1.42</v>
      </c>
      <c r="G71" s="261">
        <f>VLOOKUP($A71, Sheet4!$A$2:$L$688, Consol_Thematic!G$1,FALSE)</f>
        <v>2.11</v>
      </c>
      <c r="H71" s="261">
        <f>VLOOKUP($A71, Sheet4!$A$2:$L$688, Consol_Thematic!H$1,FALSE)</f>
        <v>2.3199999999999998</v>
      </c>
      <c r="I71" s="261">
        <f>VLOOKUP($A71, Sheet4!$A$2:$L$688, Consol_Thematic!I$1,FALSE)</f>
        <v>0.78</v>
      </c>
      <c r="J71" s="261">
        <f>VLOOKUP($A71, Sheet4!$A$2:$L$688, Consol_Thematic!J$1,FALSE)</f>
        <v>11.89</v>
      </c>
      <c r="K71" s="288">
        <f t="shared" si="24"/>
        <v>1.0323291697281409</v>
      </c>
      <c r="L71" s="288">
        <f t="shared" si="25"/>
        <v>0.18461538461538479</v>
      </c>
      <c r="M71" s="288">
        <f t="shared" si="26"/>
        <v>0.58461962513781696</v>
      </c>
      <c r="N71" s="288">
        <f t="shared" si="27"/>
        <v>0</v>
      </c>
      <c r="O71" s="288">
        <f t="shared" si="28"/>
        <v>0.46824686940966009</v>
      </c>
      <c r="P71" s="288">
        <f t="shared" si="29"/>
        <v>0.87850467289719614</v>
      </c>
      <c r="Q71" s="288">
        <f t="shared" si="30"/>
        <v>0.72820512820512817</v>
      </c>
      <c r="R71" s="288">
        <f t="shared" si="31"/>
        <v>0.34453781512605036</v>
      </c>
      <c r="S71" s="288">
        <f t="shared" si="32"/>
        <v>0.59440559440559437</v>
      </c>
      <c r="T71" s="288" t="e">
        <f>(K71*'Fund Ranking Criteria'!$J$9)+('Fund Ranking Criteria'!$J$10*Consol_Thematic!M71)+('Fund Ranking Criteria'!$J$12*Consol_Thematic!S71)+('Fund Ranking Criteria'!$J$14*Consol_Thematic!R71)+('Fund Ranking Criteria'!$J$15*Consol_Thematic!O71)+('Fund Ranking Criteria'!$J$16*Consol_Thematic!P71)+('Fund Ranking Criteria'!#REF!*Consol_Thematic!Q71)+('Fund Ranking Criteria'!#REF!*Consol_Thematic!L71)</f>
        <v>#REF!</v>
      </c>
      <c r="U71" s="288" t="e">
        <f t="shared" si="33"/>
        <v>#REF!</v>
      </c>
      <c r="V71" s="261" t="e">
        <f t="shared" si="34"/>
        <v>#REF!</v>
      </c>
      <c r="W71" s="261" t="str">
        <f t="shared" si="35"/>
        <v>ICICI Prudential Quant Fund</v>
      </c>
    </row>
    <row r="72" spans="1:23" x14ac:dyDescent="0.25">
      <c r="A72" s="261" t="s">
        <v>434</v>
      </c>
      <c r="B72" s="261">
        <f>VLOOKUP($A72, Sheet4!$A$2:$L$688, Consol_Thematic!B$1,FALSE)</f>
        <v>0</v>
      </c>
      <c r="C72" s="261">
        <f>VLOOKUP($A72, Sheet4!$A$2:$L$688, Consol_Thematic!C$1,FALSE)</f>
        <v>0</v>
      </c>
      <c r="D72" s="261">
        <f>VLOOKUP($A72, Sheet4!$A$2:$L$688, Consol_Thematic!D$1,FALSE)</f>
        <v>0</v>
      </c>
      <c r="E72" s="261">
        <f>VLOOKUP($A72, Sheet4!$A$2:$L$688, Consol_Thematic!E$1,FALSE)</f>
        <v>0</v>
      </c>
      <c r="F72" s="261">
        <f>VLOOKUP($A72, Sheet4!$A$2:$L$688, Consol_Thematic!F$1,FALSE)</f>
        <v>0</v>
      </c>
      <c r="G72" s="261">
        <f>VLOOKUP($A72, Sheet4!$A$2:$L$688, Consol_Thematic!G$1,FALSE)</f>
        <v>0</v>
      </c>
      <c r="H72" s="261">
        <f>VLOOKUP($A72, Sheet4!$A$2:$L$688, Consol_Thematic!H$1,FALSE)</f>
        <v>2.17</v>
      </c>
      <c r="I72" s="261">
        <f>VLOOKUP($A72, Sheet4!$A$2:$L$688, Consol_Thematic!I$1,FALSE)</f>
        <v>0</v>
      </c>
      <c r="J72" s="261">
        <f>VLOOKUP($A72, Sheet4!$A$2:$L$688, Consol_Thematic!J$1,FALSE)</f>
        <v>0</v>
      </c>
      <c r="K72" s="288">
        <f t="shared" si="24"/>
        <v>0.36884643644379134</v>
      </c>
      <c r="L72" s="288">
        <f t="shared" si="25"/>
        <v>0.41538461538461546</v>
      </c>
      <c r="M72" s="288">
        <f t="shared" si="26"/>
        <v>0</v>
      </c>
      <c r="N72" s="288">
        <f t="shared" si="27"/>
        <v>0</v>
      </c>
      <c r="O72" s="288">
        <f t="shared" si="28"/>
        <v>1</v>
      </c>
      <c r="P72" s="288">
        <f t="shared" si="29"/>
        <v>0</v>
      </c>
      <c r="Q72" s="288">
        <f t="shared" si="30"/>
        <v>0</v>
      </c>
      <c r="R72" s="288">
        <f t="shared" si="31"/>
        <v>1</v>
      </c>
      <c r="S72" s="288">
        <f t="shared" si="32"/>
        <v>0.34848484848484851</v>
      </c>
      <c r="T72" s="288" t="e">
        <f>(K72*'Fund Ranking Criteria'!$J$9)+('Fund Ranking Criteria'!$J$10*Consol_Thematic!M72)+('Fund Ranking Criteria'!$J$12*Consol_Thematic!S72)+('Fund Ranking Criteria'!$J$14*Consol_Thematic!R72)+('Fund Ranking Criteria'!$J$15*Consol_Thematic!O72)+('Fund Ranking Criteria'!$J$16*Consol_Thematic!P72)+('Fund Ranking Criteria'!#REF!*Consol_Thematic!Q72)+('Fund Ranking Criteria'!#REF!*Consol_Thematic!L72)</f>
        <v>#REF!</v>
      </c>
      <c r="U72" s="288" t="e">
        <f t="shared" si="33"/>
        <v>#REF!</v>
      </c>
      <c r="V72" s="261" t="e">
        <f t="shared" si="34"/>
        <v>#REF!</v>
      </c>
      <c r="W72" s="261" t="str">
        <f t="shared" si="35"/>
        <v>ICICI Prudential Rural Opportunities Fund - Regular Plan</v>
      </c>
    </row>
    <row r="73" spans="1:23" x14ac:dyDescent="0.25">
      <c r="A73" s="261" t="s">
        <v>436</v>
      </c>
      <c r="B73" s="261">
        <f>VLOOKUP($A73, Sheet4!$A$2:$L$688, Consol_Thematic!B$1,FALSE)</f>
        <v>16.3</v>
      </c>
      <c r="C73" s="261">
        <f>VLOOKUP($A73, Sheet4!$A$2:$L$688, Consol_Thematic!C$1,FALSE)</f>
        <v>23.96</v>
      </c>
      <c r="D73" s="261">
        <f>VLOOKUP($A73, Sheet4!$A$2:$L$688, Consol_Thematic!D$1,FALSE)</f>
        <v>27.21</v>
      </c>
      <c r="E73" s="261">
        <f>VLOOKUP($A73, Sheet4!$A$2:$L$688, Consol_Thematic!E$1,FALSE)</f>
        <v>1.25</v>
      </c>
      <c r="F73" s="261">
        <f>VLOOKUP($A73, Sheet4!$A$2:$L$688, Consol_Thematic!F$1,FALSE)</f>
        <v>2.36</v>
      </c>
      <c r="G73" s="261">
        <f>VLOOKUP($A73, Sheet4!$A$2:$L$688, Consol_Thematic!G$1,FALSE)</f>
        <v>5.41</v>
      </c>
      <c r="H73" s="261">
        <f>VLOOKUP($A73, Sheet4!$A$2:$L$688, Consol_Thematic!H$1,FALSE)</f>
        <v>1.52</v>
      </c>
      <c r="I73" s="261">
        <f>VLOOKUP($A73, Sheet4!$A$2:$L$688, Consol_Thematic!I$1,FALSE)</f>
        <v>0.73</v>
      </c>
      <c r="J73" s="261">
        <f>VLOOKUP($A73, Sheet4!$A$2:$L$688, Consol_Thematic!J$1,FALSE)</f>
        <v>11.07</v>
      </c>
      <c r="K73" s="288">
        <f t="shared" si="24"/>
        <v>1.5664952240999266</v>
      </c>
      <c r="L73" s="288">
        <f t="shared" si="25"/>
        <v>1.4153846153846155</v>
      </c>
      <c r="M73" s="288">
        <f t="shared" si="26"/>
        <v>0.66041896361631758</v>
      </c>
      <c r="N73" s="288">
        <f t="shared" si="27"/>
        <v>0.87661082474226815</v>
      </c>
      <c r="O73" s="288">
        <f t="shared" si="28"/>
        <v>0.50491949910554557</v>
      </c>
      <c r="P73" s="288">
        <f t="shared" si="29"/>
        <v>1.1682242990654206</v>
      </c>
      <c r="Q73" s="288">
        <f t="shared" si="30"/>
        <v>1.2102564102564102</v>
      </c>
      <c r="R73" s="288">
        <f t="shared" si="31"/>
        <v>0.38655462184873951</v>
      </c>
      <c r="S73" s="288">
        <f t="shared" si="32"/>
        <v>0.97902097902097907</v>
      </c>
      <c r="T73" s="288" t="e">
        <f>(K73*'Fund Ranking Criteria'!$J$9)+('Fund Ranking Criteria'!$J$10*Consol_Thematic!M73)+('Fund Ranking Criteria'!$J$12*Consol_Thematic!S73)+('Fund Ranking Criteria'!$J$14*Consol_Thematic!R73)+('Fund Ranking Criteria'!$J$15*Consol_Thematic!O73)+('Fund Ranking Criteria'!$J$16*Consol_Thematic!P73)+('Fund Ranking Criteria'!#REF!*Consol_Thematic!Q73)+('Fund Ranking Criteria'!#REF!*Consol_Thematic!L73)</f>
        <v>#REF!</v>
      </c>
      <c r="U73" s="288" t="e">
        <f t="shared" si="33"/>
        <v>#REF!</v>
      </c>
      <c r="V73" s="261" t="e">
        <f t="shared" si="34"/>
        <v>#REF!</v>
      </c>
      <c r="W73" s="261" t="str">
        <f t="shared" si="35"/>
        <v>ICICI Prudential Thematic Advantage Fund (FOF)</v>
      </c>
    </row>
    <row r="74" spans="1:23" x14ac:dyDescent="0.25">
      <c r="A74" s="261" t="s">
        <v>437</v>
      </c>
      <c r="B74" s="261">
        <f>VLOOKUP($A74, Sheet4!$A$2:$L$688, Consol_Thematic!B$1,FALSE)</f>
        <v>1.81</v>
      </c>
      <c r="C74" s="261">
        <f>VLOOKUP($A74, Sheet4!$A$2:$L$688, Consol_Thematic!C$1,FALSE)</f>
        <v>0</v>
      </c>
      <c r="D74" s="261">
        <f>VLOOKUP($A74, Sheet4!$A$2:$L$688, Consol_Thematic!D$1,FALSE)</f>
        <v>0</v>
      </c>
      <c r="E74" s="261">
        <f>VLOOKUP($A74, Sheet4!$A$2:$L$688, Consol_Thematic!E$1,FALSE)</f>
        <v>0</v>
      </c>
      <c r="F74" s="261">
        <f>VLOOKUP($A74, Sheet4!$A$2:$L$688, Consol_Thematic!F$1,FALSE)</f>
        <v>0</v>
      </c>
      <c r="G74" s="261">
        <f>VLOOKUP($A74, Sheet4!$A$2:$L$688, Consol_Thematic!G$1,FALSE)</f>
        <v>0</v>
      </c>
      <c r="H74" s="261">
        <f>VLOOKUP($A74, Sheet4!$A$2:$L$688, Consol_Thematic!H$1,FALSE)</f>
        <v>1.98</v>
      </c>
      <c r="I74" s="261">
        <f>VLOOKUP($A74, Sheet4!$A$2:$L$688, Consol_Thematic!I$1,FALSE)</f>
        <v>0</v>
      </c>
      <c r="J74" s="261">
        <f>VLOOKUP($A74, Sheet4!$A$2:$L$688, Consol_Thematic!J$1,FALSE)</f>
        <v>0</v>
      </c>
      <c r="K74" s="288">
        <f t="shared" si="24"/>
        <v>0.5018368846436444</v>
      </c>
      <c r="L74" s="288">
        <f t="shared" si="25"/>
        <v>0.70769230769230773</v>
      </c>
      <c r="M74" s="288">
        <f t="shared" si="26"/>
        <v>0</v>
      </c>
      <c r="N74" s="288">
        <f t="shared" si="27"/>
        <v>0</v>
      </c>
      <c r="O74" s="288">
        <f t="shared" si="28"/>
        <v>1</v>
      </c>
      <c r="P74" s="288">
        <f t="shared" si="29"/>
        <v>0</v>
      </c>
      <c r="Q74" s="288">
        <f t="shared" si="30"/>
        <v>0</v>
      </c>
      <c r="R74" s="288">
        <f t="shared" si="31"/>
        <v>1</v>
      </c>
      <c r="S74" s="288">
        <f t="shared" si="32"/>
        <v>0.34848484848484851</v>
      </c>
      <c r="T74" s="288" t="e">
        <f>(K74*'Fund Ranking Criteria'!$J$9)+('Fund Ranking Criteria'!$J$10*Consol_Thematic!M74)+('Fund Ranking Criteria'!$J$12*Consol_Thematic!S74)+('Fund Ranking Criteria'!$J$14*Consol_Thematic!R74)+('Fund Ranking Criteria'!$J$15*Consol_Thematic!O74)+('Fund Ranking Criteria'!$J$16*Consol_Thematic!P74)+('Fund Ranking Criteria'!#REF!*Consol_Thematic!Q74)+('Fund Ranking Criteria'!#REF!*Consol_Thematic!L74)</f>
        <v>#REF!</v>
      </c>
      <c r="U74" s="288" t="e">
        <f t="shared" si="33"/>
        <v>#REF!</v>
      </c>
      <c r="V74" s="261" t="e">
        <f t="shared" si="34"/>
        <v>#REF!</v>
      </c>
      <c r="W74" s="261" t="str">
        <f t="shared" si="35"/>
        <v>ICICI Prudential Transportation and Logistics Fund</v>
      </c>
    </row>
    <row r="75" spans="1:23" x14ac:dyDescent="0.25">
      <c r="A75" s="261" t="s">
        <v>439</v>
      </c>
      <c r="B75" s="261">
        <f>VLOOKUP($A75, Sheet4!$A$2:$L$688, Consol_Thematic!B$1,FALSE)</f>
        <v>0</v>
      </c>
      <c r="C75" s="261">
        <f>VLOOKUP($A75, Sheet4!$A$2:$L$688, Consol_Thematic!C$1,FALSE)</f>
        <v>0</v>
      </c>
      <c r="D75" s="261">
        <f>VLOOKUP($A75, Sheet4!$A$2:$L$688, Consol_Thematic!D$1,FALSE)</f>
        <v>0</v>
      </c>
      <c r="E75" s="261">
        <f>VLOOKUP($A75, Sheet4!$A$2:$L$688, Consol_Thematic!E$1,FALSE)</f>
        <v>0</v>
      </c>
      <c r="F75" s="261">
        <f>VLOOKUP($A75, Sheet4!$A$2:$L$688, Consol_Thematic!F$1,FALSE)</f>
        <v>0</v>
      </c>
      <c r="G75" s="261">
        <f>VLOOKUP($A75, Sheet4!$A$2:$L$688, Consol_Thematic!G$1,FALSE)</f>
        <v>0</v>
      </c>
      <c r="H75" s="261">
        <f>VLOOKUP($A75, Sheet4!$A$2:$L$688, Consol_Thematic!H$1,FALSE)</f>
        <v>2.38</v>
      </c>
      <c r="I75" s="261">
        <f>VLOOKUP($A75, Sheet4!$A$2:$L$688, Consol_Thematic!I$1,FALSE)</f>
        <v>0</v>
      </c>
      <c r="J75" s="261">
        <f>VLOOKUP($A75, Sheet4!$A$2:$L$688, Consol_Thematic!J$1,FALSE)</f>
        <v>0</v>
      </c>
      <c r="K75" s="288">
        <f t="shared" si="24"/>
        <v>0.36884643644379134</v>
      </c>
      <c r="L75" s="288">
        <f t="shared" si="25"/>
        <v>9.2307692307692396E-2</v>
      </c>
      <c r="M75" s="288">
        <f t="shared" si="26"/>
        <v>0</v>
      </c>
      <c r="N75" s="288">
        <f t="shared" si="27"/>
        <v>0</v>
      </c>
      <c r="O75" s="288">
        <f t="shared" si="28"/>
        <v>1</v>
      </c>
      <c r="P75" s="288">
        <f t="shared" si="29"/>
        <v>0</v>
      </c>
      <c r="Q75" s="288">
        <f t="shared" si="30"/>
        <v>0</v>
      </c>
      <c r="R75" s="288">
        <f t="shared" si="31"/>
        <v>1</v>
      </c>
      <c r="S75" s="288">
        <f t="shared" si="32"/>
        <v>0.34848484848484851</v>
      </c>
      <c r="T75" s="288" t="e">
        <f>(K75*'Fund Ranking Criteria'!$J$9)+('Fund Ranking Criteria'!$J$10*Consol_Thematic!M75)+('Fund Ranking Criteria'!$J$12*Consol_Thematic!S75)+('Fund Ranking Criteria'!$J$14*Consol_Thematic!R75)+('Fund Ranking Criteria'!$J$15*Consol_Thematic!O75)+('Fund Ranking Criteria'!$J$16*Consol_Thematic!P75)+('Fund Ranking Criteria'!#REF!*Consol_Thematic!Q75)+('Fund Ranking Criteria'!#REF!*Consol_Thematic!L75)</f>
        <v>#REF!</v>
      </c>
      <c r="U75" s="288" t="e">
        <f t="shared" si="33"/>
        <v>#REF!</v>
      </c>
      <c r="V75" s="261" t="e">
        <f t="shared" si="34"/>
        <v>#REF!</v>
      </c>
      <c r="W75" s="261" t="str">
        <f t="shared" si="35"/>
        <v>Invesco India Business Cycle Fund - Regular Plan</v>
      </c>
    </row>
    <row r="76" spans="1:23" x14ac:dyDescent="0.25">
      <c r="A76" s="261" t="s">
        <v>440</v>
      </c>
      <c r="B76" s="261">
        <f>VLOOKUP($A76, Sheet4!$A$2:$L$688, Consol_Thematic!B$1,FALSE)</f>
        <v>6.36</v>
      </c>
      <c r="C76" s="261">
        <f>VLOOKUP($A76, Sheet4!$A$2:$L$688, Consol_Thematic!C$1,FALSE)</f>
        <v>18.46</v>
      </c>
      <c r="D76" s="261">
        <f>VLOOKUP($A76, Sheet4!$A$2:$L$688, Consol_Thematic!D$1,FALSE)</f>
        <v>0</v>
      </c>
      <c r="E76" s="261">
        <f>VLOOKUP($A76, Sheet4!$A$2:$L$688, Consol_Thematic!E$1,FALSE)</f>
        <v>0.64</v>
      </c>
      <c r="F76" s="261">
        <f>VLOOKUP($A76, Sheet4!$A$2:$L$688, Consol_Thematic!F$1,FALSE)</f>
        <v>0.89</v>
      </c>
      <c r="G76" s="261">
        <f>VLOOKUP($A76, Sheet4!$A$2:$L$688, Consol_Thematic!G$1,FALSE)</f>
        <v>-0.77</v>
      </c>
      <c r="H76" s="261">
        <f>VLOOKUP($A76, Sheet4!$A$2:$L$688, Consol_Thematic!H$1,FALSE)</f>
        <v>2.4300000000000002</v>
      </c>
      <c r="I76" s="261">
        <f>VLOOKUP($A76, Sheet4!$A$2:$L$688, Consol_Thematic!I$1,FALSE)</f>
        <v>0.94</v>
      </c>
      <c r="J76" s="261">
        <f>VLOOKUP($A76, Sheet4!$A$2:$L$688, Consol_Thematic!J$1,FALSE)</f>
        <v>13.95</v>
      </c>
      <c r="K76" s="288">
        <f t="shared" si="24"/>
        <v>0.8361498897869214</v>
      </c>
      <c r="L76" s="288">
        <f t="shared" si="25"/>
        <v>1.5384615384615059E-2</v>
      </c>
      <c r="M76" s="288">
        <f t="shared" si="26"/>
        <v>0.50882028665931645</v>
      </c>
      <c r="N76" s="288">
        <f t="shared" si="27"/>
        <v>0</v>
      </c>
      <c r="O76" s="288">
        <f t="shared" si="28"/>
        <v>0.37611806797853309</v>
      </c>
      <c r="P76" s="288">
        <f t="shared" si="29"/>
        <v>0.59813084112149528</v>
      </c>
      <c r="Q76" s="288">
        <f t="shared" si="30"/>
        <v>0.45641025641025645</v>
      </c>
      <c r="R76" s="288">
        <f t="shared" si="31"/>
        <v>0.21008403361344538</v>
      </c>
      <c r="S76" s="288">
        <f t="shared" si="32"/>
        <v>0.25874125874125875</v>
      </c>
      <c r="T76" s="288" t="e">
        <f>(K76*'Fund Ranking Criteria'!$J$9)+('Fund Ranking Criteria'!$J$10*Consol_Thematic!M76)+('Fund Ranking Criteria'!$J$12*Consol_Thematic!S76)+('Fund Ranking Criteria'!$J$14*Consol_Thematic!R76)+('Fund Ranking Criteria'!$J$15*Consol_Thematic!O76)+('Fund Ranking Criteria'!$J$16*Consol_Thematic!P76)+('Fund Ranking Criteria'!#REF!*Consol_Thematic!Q76)+('Fund Ranking Criteria'!#REF!*Consol_Thematic!L76)</f>
        <v>#REF!</v>
      </c>
      <c r="U76" s="288" t="e">
        <f t="shared" si="33"/>
        <v>#REF!</v>
      </c>
      <c r="V76" s="261" t="e">
        <f t="shared" si="34"/>
        <v>#REF!</v>
      </c>
      <c r="W76" s="261" t="str">
        <f t="shared" si="35"/>
        <v>Invesco India ESG Integration Strategy Fund - Regular Plan</v>
      </c>
    </row>
    <row r="77" spans="1:23" x14ac:dyDescent="0.25">
      <c r="A77" s="261" t="s">
        <v>445</v>
      </c>
      <c r="B77" s="261">
        <f>VLOOKUP($A77, Sheet4!$A$2:$L$688, Consol_Thematic!B$1,FALSE)</f>
        <v>0</v>
      </c>
      <c r="C77" s="261">
        <f>VLOOKUP($A77, Sheet4!$A$2:$L$688, Consol_Thematic!C$1,FALSE)</f>
        <v>0</v>
      </c>
      <c r="D77" s="261">
        <f>VLOOKUP($A77, Sheet4!$A$2:$L$688, Consol_Thematic!D$1,FALSE)</f>
        <v>0</v>
      </c>
      <c r="E77" s="261">
        <f>VLOOKUP($A77, Sheet4!$A$2:$L$688, Consol_Thematic!E$1,FALSE)</f>
        <v>0</v>
      </c>
      <c r="F77" s="261">
        <f>VLOOKUP($A77, Sheet4!$A$2:$L$688, Consol_Thematic!F$1,FALSE)</f>
        <v>0</v>
      </c>
      <c r="G77" s="261">
        <f>VLOOKUP($A77, Sheet4!$A$2:$L$688, Consol_Thematic!G$1,FALSE)</f>
        <v>0</v>
      </c>
      <c r="H77" s="261">
        <f>VLOOKUP($A77, Sheet4!$A$2:$L$688, Consol_Thematic!H$1,FALSE)</f>
        <v>2.2799999999999998</v>
      </c>
      <c r="I77" s="261">
        <f>VLOOKUP($A77, Sheet4!$A$2:$L$688, Consol_Thematic!I$1,FALSE)</f>
        <v>0</v>
      </c>
      <c r="J77" s="261">
        <f>VLOOKUP($A77, Sheet4!$A$2:$L$688, Consol_Thematic!J$1,FALSE)</f>
        <v>0</v>
      </c>
      <c r="K77" s="288">
        <f t="shared" si="24"/>
        <v>0.36884643644379134</v>
      </c>
      <c r="L77" s="288">
        <f t="shared" si="25"/>
        <v>0.24615384615384642</v>
      </c>
      <c r="M77" s="288">
        <f t="shared" si="26"/>
        <v>0</v>
      </c>
      <c r="N77" s="288">
        <f t="shared" si="27"/>
        <v>0</v>
      </c>
      <c r="O77" s="288">
        <f t="shared" si="28"/>
        <v>1</v>
      </c>
      <c r="P77" s="288">
        <f t="shared" si="29"/>
        <v>0</v>
      </c>
      <c r="Q77" s="288">
        <f t="shared" si="30"/>
        <v>0</v>
      </c>
      <c r="R77" s="288">
        <f t="shared" si="31"/>
        <v>1</v>
      </c>
      <c r="S77" s="288">
        <f t="shared" si="32"/>
        <v>0.34848484848484851</v>
      </c>
      <c r="T77" s="288" t="e">
        <f>(K77*'Fund Ranking Criteria'!$J$9)+('Fund Ranking Criteria'!$J$10*Consol_Thematic!M77)+('Fund Ranking Criteria'!$J$12*Consol_Thematic!S77)+('Fund Ranking Criteria'!$J$14*Consol_Thematic!R77)+('Fund Ranking Criteria'!$J$15*Consol_Thematic!O77)+('Fund Ranking Criteria'!$J$16*Consol_Thematic!P77)+('Fund Ranking Criteria'!#REF!*Consol_Thematic!Q77)+('Fund Ranking Criteria'!#REF!*Consol_Thematic!L77)</f>
        <v>#REF!</v>
      </c>
      <c r="U77" s="288" t="e">
        <f t="shared" si="33"/>
        <v>#REF!</v>
      </c>
      <c r="V77" s="261" t="e">
        <f t="shared" si="34"/>
        <v>#REF!</v>
      </c>
      <c r="W77" s="261" t="str">
        <f t="shared" si="35"/>
        <v>Invesco India Manufacturing Fund - Regular Plan</v>
      </c>
    </row>
    <row r="78" spans="1:23" x14ac:dyDescent="0.25">
      <c r="A78" s="261" t="s">
        <v>450</v>
      </c>
      <c r="B78" s="261">
        <f>VLOOKUP($A78, Sheet4!$A$2:$L$688, Consol_Thematic!B$1,FALSE)</f>
        <v>-3.33</v>
      </c>
      <c r="C78" s="261">
        <f>VLOOKUP($A78, Sheet4!$A$2:$L$688, Consol_Thematic!C$1,FALSE)</f>
        <v>39.159999999999997</v>
      </c>
      <c r="D78" s="261">
        <f>VLOOKUP($A78, Sheet4!$A$2:$L$688, Consol_Thematic!D$1,FALSE)</f>
        <v>28.81</v>
      </c>
      <c r="E78" s="261">
        <f>VLOOKUP($A78, Sheet4!$A$2:$L$688, Consol_Thematic!E$1,FALSE)</f>
        <v>1.18</v>
      </c>
      <c r="F78" s="261">
        <f>VLOOKUP($A78, Sheet4!$A$2:$L$688, Consol_Thematic!F$1,FALSE)</f>
        <v>2.0499999999999998</v>
      </c>
      <c r="G78" s="261">
        <f>VLOOKUP($A78, Sheet4!$A$2:$L$688, Consol_Thematic!G$1,FALSE)</f>
        <v>0.03</v>
      </c>
      <c r="H78" s="261">
        <f>VLOOKUP($A78, Sheet4!$A$2:$L$688, Consol_Thematic!H$1,FALSE)</f>
        <v>2.14</v>
      </c>
      <c r="I78" s="261">
        <f>VLOOKUP($A78, Sheet4!$A$2:$L$688, Consol_Thematic!I$1,FALSE)</f>
        <v>0.97</v>
      </c>
      <c r="J78" s="261">
        <f>VLOOKUP($A78, Sheet4!$A$2:$L$688, Consol_Thematic!J$1,FALSE)</f>
        <v>22.95</v>
      </c>
      <c r="K78" s="288">
        <f t="shared" si="24"/>
        <v>0.12417340191036</v>
      </c>
      <c r="L78" s="288">
        <f t="shared" si="25"/>
        <v>0.46153846153846134</v>
      </c>
      <c r="M78" s="288">
        <f t="shared" si="26"/>
        <v>1.0793825799338477</v>
      </c>
      <c r="N78" s="288">
        <f t="shared" si="27"/>
        <v>0.92815721649484539</v>
      </c>
      <c r="O78" s="288">
        <f t="shared" si="28"/>
        <v>-2.6386404293381033E-2</v>
      </c>
      <c r="P78" s="288">
        <f t="shared" si="29"/>
        <v>1.1028037383177569</v>
      </c>
      <c r="Q78" s="288">
        <f t="shared" si="30"/>
        <v>1.0512820512820513</v>
      </c>
      <c r="R78" s="288">
        <f t="shared" si="31"/>
        <v>0.18487394957983191</v>
      </c>
      <c r="S78" s="288">
        <f t="shared" si="32"/>
        <v>0.351981351981352</v>
      </c>
      <c r="T78" s="288" t="e">
        <f>(K78*'Fund Ranking Criteria'!$J$9)+('Fund Ranking Criteria'!$J$10*Consol_Thematic!M78)+('Fund Ranking Criteria'!$J$12*Consol_Thematic!S78)+('Fund Ranking Criteria'!$J$14*Consol_Thematic!R78)+('Fund Ranking Criteria'!$J$15*Consol_Thematic!O78)+('Fund Ranking Criteria'!$J$16*Consol_Thematic!P78)+('Fund Ranking Criteria'!#REF!*Consol_Thematic!Q78)+('Fund Ranking Criteria'!#REF!*Consol_Thematic!L78)</f>
        <v>#REF!</v>
      </c>
      <c r="U78" s="288" t="e">
        <f t="shared" si="33"/>
        <v>#REF!</v>
      </c>
      <c r="V78" s="261" t="e">
        <f t="shared" si="34"/>
        <v>#REF!</v>
      </c>
      <c r="W78" s="261" t="str">
        <f t="shared" si="35"/>
        <v>Invesco India PSU Equity Fund</v>
      </c>
    </row>
    <row r="79" spans="1:23" x14ac:dyDescent="0.25">
      <c r="A79" s="261" t="s">
        <v>453</v>
      </c>
      <c r="B79" s="261">
        <f>VLOOKUP($A79, Sheet4!$A$2:$L$688, Consol_Thematic!B$1,FALSE)</f>
        <v>0</v>
      </c>
      <c r="C79" s="261">
        <f>VLOOKUP($A79, Sheet4!$A$2:$L$688, Consol_Thematic!C$1,FALSE)</f>
        <v>0</v>
      </c>
      <c r="D79" s="261">
        <f>VLOOKUP($A79, Sheet4!$A$2:$L$688, Consol_Thematic!D$1,FALSE)</f>
        <v>0</v>
      </c>
      <c r="E79" s="261">
        <f>VLOOKUP($A79, Sheet4!$A$2:$L$688, Consol_Thematic!E$1,FALSE)</f>
        <v>0</v>
      </c>
      <c r="F79" s="261">
        <f>VLOOKUP($A79, Sheet4!$A$2:$L$688, Consol_Thematic!F$1,FALSE)</f>
        <v>0</v>
      </c>
      <c r="G79" s="261">
        <f>VLOOKUP($A79, Sheet4!$A$2:$L$688, Consol_Thematic!G$1,FALSE)</f>
        <v>0</v>
      </c>
      <c r="H79" s="261">
        <f>VLOOKUP($A79, Sheet4!$A$2:$L$688, Consol_Thematic!H$1,FALSE)</f>
        <v>2.34</v>
      </c>
      <c r="I79" s="261">
        <f>VLOOKUP($A79, Sheet4!$A$2:$L$688, Consol_Thematic!I$1,FALSE)</f>
        <v>0</v>
      </c>
      <c r="J79" s="261">
        <f>VLOOKUP($A79, Sheet4!$A$2:$L$688, Consol_Thematic!J$1,FALSE)</f>
        <v>0</v>
      </c>
      <c r="K79" s="288">
        <f t="shared" si="24"/>
        <v>0.36884643644379134</v>
      </c>
      <c r="L79" s="288">
        <f t="shared" si="25"/>
        <v>0.15384615384615399</v>
      </c>
      <c r="M79" s="288">
        <f t="shared" si="26"/>
        <v>0</v>
      </c>
      <c r="N79" s="288">
        <f t="shared" si="27"/>
        <v>0</v>
      </c>
      <c r="O79" s="288">
        <f t="shared" si="28"/>
        <v>1</v>
      </c>
      <c r="P79" s="288">
        <f t="shared" si="29"/>
        <v>0</v>
      </c>
      <c r="Q79" s="288">
        <f t="shared" si="30"/>
        <v>0</v>
      </c>
      <c r="R79" s="288">
        <f t="shared" si="31"/>
        <v>1</v>
      </c>
      <c r="S79" s="288">
        <f t="shared" si="32"/>
        <v>0.34848484848484851</v>
      </c>
      <c r="T79" s="288" t="e">
        <f>(K79*'Fund Ranking Criteria'!$J$9)+('Fund Ranking Criteria'!$J$10*Consol_Thematic!M79)+('Fund Ranking Criteria'!$J$12*Consol_Thematic!S79)+('Fund Ranking Criteria'!$J$14*Consol_Thematic!R79)+('Fund Ranking Criteria'!$J$15*Consol_Thematic!O79)+('Fund Ranking Criteria'!$J$16*Consol_Thematic!P79)+('Fund Ranking Criteria'!#REF!*Consol_Thematic!Q79)+('Fund Ranking Criteria'!#REF!*Consol_Thematic!L79)</f>
        <v>#REF!</v>
      </c>
      <c r="U79" s="288" t="e">
        <f t="shared" si="33"/>
        <v>#REF!</v>
      </c>
      <c r="V79" s="261" t="e">
        <f t="shared" si="34"/>
        <v>#REF!</v>
      </c>
      <c r="W79" s="261" t="str">
        <f t="shared" si="35"/>
        <v>ITI Bharat Consumption Fund - Regular Plan</v>
      </c>
    </row>
    <row r="80" spans="1:23" x14ac:dyDescent="0.25">
      <c r="A80" s="261" t="s">
        <v>472</v>
      </c>
      <c r="B80" s="261">
        <f>VLOOKUP($A80, Sheet4!$A$2:$L$688, Consol_Thematic!B$1,FALSE)</f>
        <v>8.36</v>
      </c>
      <c r="C80" s="261">
        <f>VLOOKUP($A80, Sheet4!$A$2:$L$688, Consol_Thematic!C$1,FALSE)</f>
        <v>0</v>
      </c>
      <c r="D80" s="261">
        <f>VLOOKUP($A80, Sheet4!$A$2:$L$688, Consol_Thematic!D$1,FALSE)</f>
        <v>0</v>
      </c>
      <c r="E80" s="261">
        <f>VLOOKUP($A80, Sheet4!$A$2:$L$688, Consol_Thematic!E$1,FALSE)</f>
        <v>0</v>
      </c>
      <c r="F80" s="261">
        <f>VLOOKUP($A80, Sheet4!$A$2:$L$688, Consol_Thematic!F$1,FALSE)</f>
        <v>0</v>
      </c>
      <c r="G80" s="261">
        <f>VLOOKUP($A80, Sheet4!$A$2:$L$688, Consol_Thematic!G$1,FALSE)</f>
        <v>0</v>
      </c>
      <c r="H80" s="261">
        <f>VLOOKUP($A80, Sheet4!$A$2:$L$688, Consol_Thematic!H$1,FALSE)</f>
        <v>1.95</v>
      </c>
      <c r="I80" s="261">
        <f>VLOOKUP($A80, Sheet4!$A$2:$L$688, Consol_Thematic!I$1,FALSE)</f>
        <v>0</v>
      </c>
      <c r="J80" s="261">
        <f>VLOOKUP($A80, Sheet4!$A$2:$L$688, Consol_Thematic!J$1,FALSE)</f>
        <v>0</v>
      </c>
      <c r="K80" s="288">
        <f t="shared" si="24"/>
        <v>0.98310066127847173</v>
      </c>
      <c r="L80" s="288">
        <f t="shared" si="25"/>
        <v>0.75384615384615394</v>
      </c>
      <c r="M80" s="288">
        <f t="shared" si="26"/>
        <v>0</v>
      </c>
      <c r="N80" s="288">
        <f t="shared" si="27"/>
        <v>0</v>
      </c>
      <c r="O80" s="288">
        <f t="shared" si="28"/>
        <v>1</v>
      </c>
      <c r="P80" s="288">
        <f t="shared" si="29"/>
        <v>0</v>
      </c>
      <c r="Q80" s="288">
        <f t="shared" si="30"/>
        <v>0</v>
      </c>
      <c r="R80" s="288">
        <f t="shared" si="31"/>
        <v>1</v>
      </c>
      <c r="S80" s="288">
        <f t="shared" si="32"/>
        <v>0.34848484848484851</v>
      </c>
      <c r="T80" s="288" t="e">
        <f>(K80*'Fund Ranking Criteria'!$J$9)+('Fund Ranking Criteria'!$J$10*Consol_Thematic!M80)+('Fund Ranking Criteria'!$J$12*Consol_Thematic!S80)+('Fund Ranking Criteria'!$J$14*Consol_Thematic!R80)+('Fund Ranking Criteria'!$J$15*Consol_Thematic!O80)+('Fund Ranking Criteria'!$J$16*Consol_Thematic!P80)+('Fund Ranking Criteria'!#REF!*Consol_Thematic!Q80)+('Fund Ranking Criteria'!#REF!*Consol_Thematic!L80)</f>
        <v>#REF!</v>
      </c>
      <c r="U80" s="288" t="e">
        <f t="shared" si="33"/>
        <v>#REF!</v>
      </c>
      <c r="V80" s="261" t="e">
        <f t="shared" si="34"/>
        <v>#REF!</v>
      </c>
      <c r="W80" s="261" t="str">
        <f t="shared" si="35"/>
        <v>Kotak Business Cycle Fund - Regular Plan</v>
      </c>
    </row>
    <row r="81" spans="1:23" x14ac:dyDescent="0.25">
      <c r="A81" s="261" t="s">
        <v>473</v>
      </c>
      <c r="B81" s="261">
        <f>VLOOKUP($A81, Sheet4!$A$2:$L$688, Consol_Thematic!B$1,FALSE)</f>
        <v>9.09</v>
      </c>
      <c r="C81" s="261">
        <f>VLOOKUP($A81, Sheet4!$A$2:$L$688, Consol_Thematic!C$1,FALSE)</f>
        <v>0</v>
      </c>
      <c r="D81" s="261">
        <f>VLOOKUP($A81, Sheet4!$A$2:$L$688, Consol_Thematic!D$1,FALSE)</f>
        <v>0</v>
      </c>
      <c r="E81" s="261">
        <f>VLOOKUP($A81, Sheet4!$A$2:$L$688, Consol_Thematic!E$1,FALSE)</f>
        <v>0</v>
      </c>
      <c r="F81" s="261">
        <f>VLOOKUP($A81, Sheet4!$A$2:$L$688, Consol_Thematic!F$1,FALSE)</f>
        <v>0</v>
      </c>
      <c r="G81" s="261">
        <f>VLOOKUP($A81, Sheet4!$A$2:$L$688, Consol_Thematic!G$1,FALSE)</f>
        <v>0</v>
      </c>
      <c r="H81" s="261">
        <f>VLOOKUP($A81, Sheet4!$A$2:$L$688, Consol_Thematic!H$1,FALSE)</f>
        <v>2.12</v>
      </c>
      <c r="I81" s="261">
        <f>VLOOKUP($A81, Sheet4!$A$2:$L$688, Consol_Thematic!I$1,FALSE)</f>
        <v>0</v>
      </c>
      <c r="J81" s="261">
        <f>VLOOKUP($A81, Sheet4!$A$2:$L$688, Consol_Thematic!J$1,FALSE)</f>
        <v>0</v>
      </c>
      <c r="K81" s="288">
        <f t="shared" si="24"/>
        <v>1.0367376928728875</v>
      </c>
      <c r="L81" s="288">
        <f t="shared" si="25"/>
        <v>0.49230769230769211</v>
      </c>
      <c r="M81" s="288">
        <f t="shared" si="26"/>
        <v>0</v>
      </c>
      <c r="N81" s="288">
        <f t="shared" si="27"/>
        <v>0</v>
      </c>
      <c r="O81" s="288">
        <f t="shared" si="28"/>
        <v>1</v>
      </c>
      <c r="P81" s="288">
        <f t="shared" si="29"/>
        <v>0</v>
      </c>
      <c r="Q81" s="288">
        <f t="shared" si="30"/>
        <v>0</v>
      </c>
      <c r="R81" s="288">
        <f t="shared" si="31"/>
        <v>1</v>
      </c>
      <c r="S81" s="288">
        <f t="shared" si="32"/>
        <v>0.34848484848484851</v>
      </c>
      <c r="T81" s="288" t="e">
        <f>(K81*'Fund Ranking Criteria'!$J$9)+('Fund Ranking Criteria'!$J$10*Consol_Thematic!M81)+('Fund Ranking Criteria'!$J$12*Consol_Thematic!S81)+('Fund Ranking Criteria'!$J$14*Consol_Thematic!R81)+('Fund Ranking Criteria'!$J$15*Consol_Thematic!O81)+('Fund Ranking Criteria'!$J$16*Consol_Thematic!P81)+('Fund Ranking Criteria'!#REF!*Consol_Thematic!Q81)+('Fund Ranking Criteria'!#REF!*Consol_Thematic!L81)</f>
        <v>#REF!</v>
      </c>
      <c r="U81" s="288" t="e">
        <f t="shared" si="33"/>
        <v>#REF!</v>
      </c>
      <c r="V81" s="261" t="e">
        <f t="shared" si="34"/>
        <v>#REF!</v>
      </c>
      <c r="W81" s="261" t="str">
        <f t="shared" si="35"/>
        <v>Kotak Consumption Fund - Regular Plan</v>
      </c>
    </row>
    <row r="82" spans="1:23" x14ac:dyDescent="0.25">
      <c r="A82" s="261" t="s">
        <v>475</v>
      </c>
      <c r="B82" s="261">
        <f>VLOOKUP($A82, Sheet4!$A$2:$L$688, Consol_Thematic!B$1,FALSE)</f>
        <v>0</v>
      </c>
      <c r="C82" s="261">
        <f>VLOOKUP($A82, Sheet4!$A$2:$L$688, Consol_Thematic!C$1,FALSE)</f>
        <v>0</v>
      </c>
      <c r="D82" s="261">
        <f>VLOOKUP($A82, Sheet4!$A$2:$L$688, Consol_Thematic!D$1,FALSE)</f>
        <v>0</v>
      </c>
      <c r="E82" s="261">
        <f>VLOOKUP($A82, Sheet4!$A$2:$L$688, Consol_Thematic!E$1,FALSE)</f>
        <v>0</v>
      </c>
      <c r="F82" s="261">
        <f>VLOOKUP($A82, Sheet4!$A$2:$L$688, Consol_Thematic!F$1,FALSE)</f>
        <v>0</v>
      </c>
      <c r="G82" s="261">
        <f>VLOOKUP($A82, Sheet4!$A$2:$L$688, Consol_Thematic!G$1,FALSE)</f>
        <v>0</v>
      </c>
      <c r="H82" s="261">
        <f>VLOOKUP($A82, Sheet4!$A$2:$L$688, Consol_Thematic!H$1,FALSE)</f>
        <v>2.42</v>
      </c>
      <c r="I82" s="261">
        <f>VLOOKUP($A82, Sheet4!$A$2:$L$688, Consol_Thematic!I$1,FALSE)</f>
        <v>0</v>
      </c>
      <c r="J82" s="261">
        <f>VLOOKUP($A82, Sheet4!$A$2:$L$688, Consol_Thematic!J$1,FALSE)</f>
        <v>0</v>
      </c>
      <c r="K82" s="288">
        <f t="shared" si="24"/>
        <v>0.36884643644379134</v>
      </c>
      <c r="L82" s="288">
        <f t="shared" si="25"/>
        <v>3.0769230769230802E-2</v>
      </c>
      <c r="M82" s="288">
        <f t="shared" si="26"/>
        <v>0</v>
      </c>
      <c r="N82" s="288">
        <f t="shared" si="27"/>
        <v>0</v>
      </c>
      <c r="O82" s="288">
        <f t="shared" si="28"/>
        <v>1</v>
      </c>
      <c r="P82" s="288">
        <f t="shared" si="29"/>
        <v>0</v>
      </c>
      <c r="Q82" s="288">
        <f t="shared" si="30"/>
        <v>0</v>
      </c>
      <c r="R82" s="288">
        <f t="shared" si="31"/>
        <v>1</v>
      </c>
      <c r="S82" s="288">
        <f t="shared" si="32"/>
        <v>0.34848484848484851</v>
      </c>
      <c r="T82" s="288" t="e">
        <f>(K82*'Fund Ranking Criteria'!$J$9)+('Fund Ranking Criteria'!$J$10*Consol_Thematic!M82)+('Fund Ranking Criteria'!$J$12*Consol_Thematic!S82)+('Fund Ranking Criteria'!$J$14*Consol_Thematic!R82)+('Fund Ranking Criteria'!$J$15*Consol_Thematic!O82)+('Fund Ranking Criteria'!$J$16*Consol_Thematic!P82)+('Fund Ranking Criteria'!#REF!*Consol_Thematic!Q82)+('Fund Ranking Criteria'!#REF!*Consol_Thematic!L82)</f>
        <v>#REF!</v>
      </c>
      <c r="U82" s="288" t="e">
        <f t="shared" si="33"/>
        <v>#REF!</v>
      </c>
      <c r="V82" s="261" t="e">
        <f t="shared" si="34"/>
        <v>#REF!</v>
      </c>
      <c r="W82" s="261" t="str">
        <f t="shared" si="35"/>
        <v>Kotak Energy Opportunities Fund - Regular Plan</v>
      </c>
    </row>
    <row r="83" spans="1:23" x14ac:dyDescent="0.25">
      <c r="A83" s="261" t="s">
        <v>477</v>
      </c>
      <c r="B83" s="261">
        <f>VLOOKUP($A83, Sheet4!$A$2:$L$688, Consol_Thematic!B$1,FALSE)</f>
        <v>2.73</v>
      </c>
      <c r="C83" s="261">
        <f>VLOOKUP($A83, Sheet4!$A$2:$L$688, Consol_Thematic!C$1,FALSE)</f>
        <v>18.73</v>
      </c>
      <c r="D83" s="261">
        <f>VLOOKUP($A83, Sheet4!$A$2:$L$688, Consol_Thematic!D$1,FALSE)</f>
        <v>0</v>
      </c>
      <c r="E83" s="261">
        <f>VLOOKUP($A83, Sheet4!$A$2:$L$688, Consol_Thematic!E$1,FALSE)</f>
        <v>0.65</v>
      </c>
      <c r="F83" s="261">
        <f>VLOOKUP($A83, Sheet4!$A$2:$L$688, Consol_Thematic!F$1,FALSE)</f>
        <v>1.03</v>
      </c>
      <c r="G83" s="261">
        <f>VLOOKUP($A83, Sheet4!$A$2:$L$688, Consol_Thematic!G$1,FALSE)</f>
        <v>-1.03</v>
      </c>
      <c r="H83" s="261">
        <f>VLOOKUP($A83, Sheet4!$A$2:$L$688, Consol_Thematic!H$1,FALSE)</f>
        <v>2.2799999999999998</v>
      </c>
      <c r="I83" s="261">
        <f>VLOOKUP($A83, Sheet4!$A$2:$L$688, Consol_Thematic!I$1,FALSE)</f>
        <v>0.96</v>
      </c>
      <c r="J83" s="261">
        <f>VLOOKUP($A83, Sheet4!$A$2:$L$688, Consol_Thematic!J$1,FALSE)</f>
        <v>13.58</v>
      </c>
      <c r="K83" s="288">
        <f t="shared" si="24"/>
        <v>0.56943423952975758</v>
      </c>
      <c r="L83" s="288">
        <f t="shared" si="25"/>
        <v>0.24615384615384642</v>
      </c>
      <c r="M83" s="288">
        <f t="shared" si="26"/>
        <v>0.5162624035281147</v>
      </c>
      <c r="N83" s="288">
        <f t="shared" si="27"/>
        <v>0</v>
      </c>
      <c r="O83" s="288">
        <f t="shared" si="28"/>
        <v>0.39266547406082286</v>
      </c>
      <c r="P83" s="288">
        <f t="shared" si="29"/>
        <v>0.60747663551401865</v>
      </c>
      <c r="Q83" s="288">
        <f t="shared" si="30"/>
        <v>0.52820512820512822</v>
      </c>
      <c r="R83" s="288">
        <f t="shared" si="31"/>
        <v>0.19327731092436976</v>
      </c>
      <c r="S83" s="288">
        <f t="shared" si="32"/>
        <v>0.22843822843822845</v>
      </c>
      <c r="T83" s="288" t="e">
        <f>(K83*'Fund Ranking Criteria'!$J$9)+('Fund Ranking Criteria'!$J$10*Consol_Thematic!M83)+('Fund Ranking Criteria'!$J$12*Consol_Thematic!S83)+('Fund Ranking Criteria'!$J$14*Consol_Thematic!R83)+('Fund Ranking Criteria'!$J$15*Consol_Thematic!O83)+('Fund Ranking Criteria'!$J$16*Consol_Thematic!P83)+('Fund Ranking Criteria'!#REF!*Consol_Thematic!Q83)+('Fund Ranking Criteria'!#REF!*Consol_Thematic!L83)</f>
        <v>#REF!</v>
      </c>
      <c r="U83" s="288" t="e">
        <f t="shared" si="33"/>
        <v>#REF!</v>
      </c>
      <c r="V83" s="261" t="e">
        <f t="shared" si="34"/>
        <v>#REF!</v>
      </c>
      <c r="W83" s="261" t="str">
        <f t="shared" si="35"/>
        <v>Kotak ESG Exclusionary Strategy Fund - Regular Plan</v>
      </c>
    </row>
    <row r="84" spans="1:23" x14ac:dyDescent="0.25">
      <c r="A84" s="261" t="s">
        <v>480</v>
      </c>
      <c r="B84" s="261">
        <f>VLOOKUP($A84, Sheet4!$A$2:$L$688, Consol_Thematic!B$1,FALSE)</f>
        <v>-0.21</v>
      </c>
      <c r="C84" s="261">
        <f>VLOOKUP($A84, Sheet4!$A$2:$L$688, Consol_Thematic!C$1,FALSE)</f>
        <v>23.46</v>
      </c>
      <c r="D84" s="261">
        <f>VLOOKUP($A84, Sheet4!$A$2:$L$688, Consol_Thematic!D$1,FALSE)</f>
        <v>0</v>
      </c>
      <c r="E84" s="261">
        <f>VLOOKUP($A84, Sheet4!$A$2:$L$688, Consol_Thematic!E$1,FALSE)</f>
        <v>0.88</v>
      </c>
      <c r="F84" s="261">
        <f>VLOOKUP($A84, Sheet4!$A$2:$L$688, Consol_Thematic!F$1,FALSE)</f>
        <v>1.17</v>
      </c>
      <c r="G84" s="261">
        <f>VLOOKUP($A84, Sheet4!$A$2:$L$688, Consol_Thematic!G$1,FALSE)</f>
        <v>2.38</v>
      </c>
      <c r="H84" s="261">
        <f>VLOOKUP($A84, Sheet4!$A$2:$L$688, Consol_Thematic!H$1,FALSE)</f>
        <v>1.97</v>
      </c>
      <c r="I84" s="261">
        <f>VLOOKUP($A84, Sheet4!$A$2:$L$688, Consol_Thematic!I$1,FALSE)</f>
        <v>1</v>
      </c>
      <c r="J84" s="261">
        <f>VLOOKUP($A84, Sheet4!$A$2:$L$688, Consol_Thematic!J$1,FALSE)</f>
        <v>15.85</v>
      </c>
      <c r="K84" s="288">
        <f t="shared" si="24"/>
        <v>0.35341660543717851</v>
      </c>
      <c r="L84" s="288">
        <f t="shared" si="25"/>
        <v>0.72307692307692317</v>
      </c>
      <c r="M84" s="288">
        <f t="shared" si="26"/>
        <v>0.64663726571113567</v>
      </c>
      <c r="N84" s="288">
        <f t="shared" si="27"/>
        <v>0</v>
      </c>
      <c r="O84" s="288">
        <f t="shared" si="28"/>
        <v>0.29114490161001788</v>
      </c>
      <c r="P84" s="288">
        <f t="shared" si="29"/>
        <v>0.82242990654205606</v>
      </c>
      <c r="Q84" s="288">
        <f t="shared" si="30"/>
        <v>0.6</v>
      </c>
      <c r="R84" s="288">
        <f t="shared" si="31"/>
        <v>0.15966386554621845</v>
      </c>
      <c r="S84" s="288">
        <f t="shared" si="32"/>
        <v>0.62587412587412583</v>
      </c>
      <c r="T84" s="288" t="e">
        <f>(K84*'Fund Ranking Criteria'!$J$9)+('Fund Ranking Criteria'!$J$10*Consol_Thematic!M84)+('Fund Ranking Criteria'!$J$12*Consol_Thematic!S84)+('Fund Ranking Criteria'!$J$14*Consol_Thematic!R84)+('Fund Ranking Criteria'!$J$15*Consol_Thematic!O84)+('Fund Ranking Criteria'!$J$16*Consol_Thematic!P84)+('Fund Ranking Criteria'!#REF!*Consol_Thematic!Q84)+('Fund Ranking Criteria'!#REF!*Consol_Thematic!L84)</f>
        <v>#REF!</v>
      </c>
      <c r="U84" s="288" t="e">
        <f t="shared" si="33"/>
        <v>#REF!</v>
      </c>
      <c r="V84" s="261" t="e">
        <f t="shared" si="34"/>
        <v>#REF!</v>
      </c>
      <c r="W84" s="261" t="str">
        <f t="shared" si="35"/>
        <v>Kotak Manufacture in India Fund - Regular Plan</v>
      </c>
    </row>
    <row r="85" spans="1:23" x14ac:dyDescent="0.25">
      <c r="A85" s="261" t="s">
        <v>481</v>
      </c>
      <c r="B85" s="261">
        <f>VLOOKUP($A85, Sheet4!$A$2:$L$688, Consol_Thematic!B$1,FALSE)</f>
        <v>0</v>
      </c>
      <c r="C85" s="261">
        <f>VLOOKUP($A85, Sheet4!$A$2:$L$688, Consol_Thematic!C$1,FALSE)</f>
        <v>0</v>
      </c>
      <c r="D85" s="261">
        <f>VLOOKUP($A85, Sheet4!$A$2:$L$688, Consol_Thematic!D$1,FALSE)</f>
        <v>0</v>
      </c>
      <c r="E85" s="261">
        <f>VLOOKUP($A85, Sheet4!$A$2:$L$688, Consol_Thematic!E$1,FALSE)</f>
        <v>0</v>
      </c>
      <c r="F85" s="261">
        <f>VLOOKUP($A85, Sheet4!$A$2:$L$688, Consol_Thematic!F$1,FALSE)</f>
        <v>0</v>
      </c>
      <c r="G85" s="261">
        <f>VLOOKUP($A85, Sheet4!$A$2:$L$688, Consol_Thematic!G$1,FALSE)</f>
        <v>0</v>
      </c>
      <c r="H85" s="261">
        <f>VLOOKUP($A85, Sheet4!$A$2:$L$688, Consol_Thematic!H$1,FALSE)</f>
        <v>1.99</v>
      </c>
      <c r="I85" s="261">
        <f>VLOOKUP($A85, Sheet4!$A$2:$L$688, Consol_Thematic!I$1,FALSE)</f>
        <v>0</v>
      </c>
      <c r="J85" s="261">
        <f>VLOOKUP($A85, Sheet4!$A$2:$L$688, Consol_Thematic!J$1,FALSE)</f>
        <v>0</v>
      </c>
      <c r="K85" s="288">
        <f t="shared" si="24"/>
        <v>0.36884643644379134</v>
      </c>
      <c r="L85" s="288">
        <f t="shared" si="25"/>
        <v>0.69230769230769229</v>
      </c>
      <c r="M85" s="288">
        <f t="shared" si="26"/>
        <v>0</v>
      </c>
      <c r="N85" s="288">
        <f t="shared" si="27"/>
        <v>0</v>
      </c>
      <c r="O85" s="288">
        <f t="shared" si="28"/>
        <v>1</v>
      </c>
      <c r="P85" s="288">
        <f t="shared" si="29"/>
        <v>0</v>
      </c>
      <c r="Q85" s="288">
        <f t="shared" si="30"/>
        <v>0</v>
      </c>
      <c r="R85" s="288">
        <f t="shared" si="31"/>
        <v>1</v>
      </c>
      <c r="S85" s="288">
        <f t="shared" si="32"/>
        <v>0.34848484848484851</v>
      </c>
      <c r="T85" s="288" t="e">
        <f>(K85*'Fund Ranking Criteria'!$J$9)+('Fund Ranking Criteria'!$J$10*Consol_Thematic!M85)+('Fund Ranking Criteria'!$J$12*Consol_Thematic!S85)+('Fund Ranking Criteria'!$J$14*Consol_Thematic!R85)+('Fund Ranking Criteria'!$J$15*Consol_Thematic!O85)+('Fund Ranking Criteria'!$J$16*Consol_Thematic!P85)+('Fund Ranking Criteria'!#REF!*Consol_Thematic!Q85)+('Fund Ranking Criteria'!#REF!*Consol_Thematic!L85)</f>
        <v>#REF!</v>
      </c>
      <c r="U85" s="288" t="e">
        <f t="shared" si="33"/>
        <v>#REF!</v>
      </c>
      <c r="V85" s="261" t="e">
        <f t="shared" si="34"/>
        <v>#REF!</v>
      </c>
      <c r="W85" s="261" t="str">
        <f t="shared" si="35"/>
        <v>Kotak MNC Fund - Regular Plan</v>
      </c>
    </row>
    <row r="86" spans="1:23" x14ac:dyDescent="0.25">
      <c r="A86" s="261" t="s">
        <v>508</v>
      </c>
      <c r="B86" s="261">
        <f>VLOOKUP($A86, Sheet4!$A$2:$L$688, Consol_Thematic!B$1,FALSE)</f>
        <v>7.71</v>
      </c>
      <c r="C86" s="261">
        <f>VLOOKUP($A86, Sheet4!$A$2:$L$688, Consol_Thematic!C$1,FALSE)</f>
        <v>25.1</v>
      </c>
      <c r="D86" s="261">
        <f>VLOOKUP($A86, Sheet4!$A$2:$L$688, Consol_Thematic!D$1,FALSE)</f>
        <v>26.15</v>
      </c>
      <c r="E86" s="261">
        <f>VLOOKUP($A86, Sheet4!$A$2:$L$688, Consol_Thematic!E$1,FALSE)</f>
        <v>1</v>
      </c>
      <c r="F86" s="261">
        <f>VLOOKUP($A86, Sheet4!$A$2:$L$688, Consol_Thematic!F$1,FALSE)</f>
        <v>1.26</v>
      </c>
      <c r="G86" s="261">
        <f>VLOOKUP($A86, Sheet4!$A$2:$L$688, Consol_Thematic!G$1,FALSE)</f>
        <v>4.1900000000000004</v>
      </c>
      <c r="H86" s="261">
        <f>VLOOKUP($A86, Sheet4!$A$2:$L$688, Consol_Thematic!H$1,FALSE)</f>
        <v>1.88</v>
      </c>
      <c r="I86" s="261">
        <f>VLOOKUP($A86, Sheet4!$A$2:$L$688, Consol_Thematic!I$1,FALSE)</f>
        <v>0.88</v>
      </c>
      <c r="J86" s="261">
        <f>VLOOKUP($A86, Sheet4!$A$2:$L$688, Consol_Thematic!J$1,FALSE)</f>
        <v>14.37</v>
      </c>
      <c r="K86" s="288">
        <f t="shared" si="24"/>
        <v>0.93534166054371792</v>
      </c>
      <c r="L86" s="288">
        <f t="shared" si="25"/>
        <v>0.8615384615384617</v>
      </c>
      <c r="M86" s="288">
        <f t="shared" si="26"/>
        <v>0.69184123484013227</v>
      </c>
      <c r="N86" s="288">
        <f t="shared" si="27"/>
        <v>0.84246134020618557</v>
      </c>
      <c r="O86" s="288">
        <f t="shared" si="28"/>
        <v>0.35733452593917714</v>
      </c>
      <c r="P86" s="288">
        <f t="shared" si="29"/>
        <v>0.93457943925233644</v>
      </c>
      <c r="Q86" s="288">
        <f t="shared" si="30"/>
        <v>0.64615384615384619</v>
      </c>
      <c r="R86" s="288">
        <f t="shared" si="31"/>
        <v>0.26050420168067223</v>
      </c>
      <c r="S86" s="288">
        <f t="shared" si="32"/>
        <v>0.83682983682983691</v>
      </c>
      <c r="T86" s="288" t="e">
        <f>(K86*'Fund Ranking Criteria'!$J$9)+('Fund Ranking Criteria'!$J$10*Consol_Thematic!M86)+('Fund Ranking Criteria'!$J$12*Consol_Thematic!S86)+('Fund Ranking Criteria'!$J$14*Consol_Thematic!R86)+('Fund Ranking Criteria'!$J$15*Consol_Thematic!O86)+('Fund Ranking Criteria'!$J$16*Consol_Thematic!P86)+('Fund Ranking Criteria'!#REF!*Consol_Thematic!Q86)+('Fund Ranking Criteria'!#REF!*Consol_Thematic!L86)</f>
        <v>#REF!</v>
      </c>
      <c r="U86" s="288" t="e">
        <f t="shared" si="33"/>
        <v>#REF!</v>
      </c>
      <c r="V86" s="261" t="e">
        <f t="shared" si="34"/>
        <v>#REF!</v>
      </c>
      <c r="W86" s="261" t="str">
        <f t="shared" si="35"/>
        <v>Kotak Pioneer Fund - Regular Plan</v>
      </c>
    </row>
    <row r="87" spans="1:23" x14ac:dyDescent="0.25">
      <c r="A87" s="261" t="s">
        <v>509</v>
      </c>
      <c r="B87" s="261">
        <f>VLOOKUP($A87, Sheet4!$A$2:$L$688, Consol_Thematic!B$1,FALSE)</f>
        <v>-3.49</v>
      </c>
      <c r="C87" s="261">
        <f>VLOOKUP($A87, Sheet4!$A$2:$L$688, Consol_Thematic!C$1,FALSE)</f>
        <v>0</v>
      </c>
      <c r="D87" s="261">
        <f>VLOOKUP($A87, Sheet4!$A$2:$L$688, Consol_Thematic!D$1,FALSE)</f>
        <v>0</v>
      </c>
      <c r="E87" s="261">
        <f>VLOOKUP($A87, Sheet4!$A$2:$L$688, Consol_Thematic!E$1,FALSE)</f>
        <v>0</v>
      </c>
      <c r="F87" s="261">
        <f>VLOOKUP($A87, Sheet4!$A$2:$L$688, Consol_Thematic!F$1,FALSE)</f>
        <v>0</v>
      </c>
      <c r="G87" s="261">
        <f>VLOOKUP($A87, Sheet4!$A$2:$L$688, Consol_Thematic!G$1,FALSE)</f>
        <v>0</v>
      </c>
      <c r="H87" s="261">
        <f>VLOOKUP($A87, Sheet4!$A$2:$L$688, Consol_Thematic!H$1,FALSE)</f>
        <v>1.66</v>
      </c>
      <c r="I87" s="261">
        <f>VLOOKUP($A87, Sheet4!$A$2:$L$688, Consol_Thematic!I$1,FALSE)</f>
        <v>0</v>
      </c>
      <c r="J87" s="261">
        <f>VLOOKUP($A87, Sheet4!$A$2:$L$688, Consol_Thematic!J$1,FALSE)</f>
        <v>0</v>
      </c>
      <c r="K87" s="288">
        <f t="shared" si="24"/>
        <v>0.11241734019103596</v>
      </c>
      <c r="L87" s="288">
        <f t="shared" si="25"/>
        <v>1.2000000000000002</v>
      </c>
      <c r="M87" s="288">
        <f t="shared" si="26"/>
        <v>0</v>
      </c>
      <c r="N87" s="288">
        <f t="shared" si="27"/>
        <v>0</v>
      </c>
      <c r="O87" s="288">
        <f t="shared" si="28"/>
        <v>1</v>
      </c>
      <c r="P87" s="288">
        <f t="shared" si="29"/>
        <v>0</v>
      </c>
      <c r="Q87" s="288">
        <f t="shared" si="30"/>
        <v>0</v>
      </c>
      <c r="R87" s="288">
        <f t="shared" si="31"/>
        <v>1</v>
      </c>
      <c r="S87" s="288">
        <f t="shared" si="32"/>
        <v>0.34848484848484851</v>
      </c>
      <c r="T87" s="288" t="e">
        <f>(K87*'Fund Ranking Criteria'!$J$9)+('Fund Ranking Criteria'!$J$10*Consol_Thematic!M87)+('Fund Ranking Criteria'!$J$12*Consol_Thematic!S87)+('Fund Ranking Criteria'!$J$14*Consol_Thematic!R87)+('Fund Ranking Criteria'!$J$15*Consol_Thematic!O87)+('Fund Ranking Criteria'!$J$16*Consol_Thematic!P87)+('Fund Ranking Criteria'!#REF!*Consol_Thematic!Q87)+('Fund Ranking Criteria'!#REF!*Consol_Thematic!L87)</f>
        <v>#REF!</v>
      </c>
      <c r="U87" s="288" t="e">
        <f t="shared" si="33"/>
        <v>#REF!</v>
      </c>
      <c r="V87" s="261" t="e">
        <f t="shared" si="34"/>
        <v>#REF!</v>
      </c>
      <c r="W87" s="261" t="str">
        <f t="shared" si="35"/>
        <v>Kotak Quant Fund - Regular Plan</v>
      </c>
    </row>
    <row r="88" spans="1:23" x14ac:dyDescent="0.25">
      <c r="A88" s="261" t="s">
        <v>511</v>
      </c>
      <c r="B88" s="261">
        <f>VLOOKUP($A88, Sheet4!$A$2:$L$688, Consol_Thematic!B$1,FALSE)</f>
        <v>0</v>
      </c>
      <c r="C88" s="261">
        <f>VLOOKUP($A88, Sheet4!$A$2:$L$688, Consol_Thematic!C$1,FALSE)</f>
        <v>0</v>
      </c>
      <c r="D88" s="261">
        <f>VLOOKUP($A88, Sheet4!$A$2:$L$688, Consol_Thematic!D$1,FALSE)</f>
        <v>0</v>
      </c>
      <c r="E88" s="261">
        <f>VLOOKUP($A88, Sheet4!$A$2:$L$688, Consol_Thematic!E$1,FALSE)</f>
        <v>0</v>
      </c>
      <c r="F88" s="261">
        <f>VLOOKUP($A88, Sheet4!$A$2:$L$688, Consol_Thematic!F$1,FALSE)</f>
        <v>0</v>
      </c>
      <c r="G88" s="261">
        <f>VLOOKUP($A88, Sheet4!$A$2:$L$688, Consol_Thematic!G$1,FALSE)</f>
        <v>0</v>
      </c>
      <c r="H88" s="261">
        <f>VLOOKUP($A88, Sheet4!$A$2:$L$688, Consol_Thematic!H$1,FALSE)</f>
        <v>2.02</v>
      </c>
      <c r="I88" s="261">
        <f>VLOOKUP($A88, Sheet4!$A$2:$L$688, Consol_Thematic!I$1,FALSE)</f>
        <v>0</v>
      </c>
      <c r="J88" s="261">
        <f>VLOOKUP($A88, Sheet4!$A$2:$L$688, Consol_Thematic!J$1,FALSE)</f>
        <v>0</v>
      </c>
      <c r="K88" s="288">
        <f t="shared" si="24"/>
        <v>0.36884643644379134</v>
      </c>
      <c r="L88" s="288">
        <f t="shared" si="25"/>
        <v>0.64615384615384608</v>
      </c>
      <c r="M88" s="288">
        <f t="shared" si="26"/>
        <v>0</v>
      </c>
      <c r="N88" s="288">
        <f t="shared" si="27"/>
        <v>0</v>
      </c>
      <c r="O88" s="288">
        <f t="shared" si="28"/>
        <v>1</v>
      </c>
      <c r="P88" s="288">
        <f t="shared" si="29"/>
        <v>0</v>
      </c>
      <c r="Q88" s="288">
        <f t="shared" si="30"/>
        <v>0</v>
      </c>
      <c r="R88" s="288">
        <f t="shared" si="31"/>
        <v>1</v>
      </c>
      <c r="S88" s="288">
        <f t="shared" si="32"/>
        <v>0.34848484848484851</v>
      </c>
      <c r="T88" s="288" t="e">
        <f>(K88*'Fund Ranking Criteria'!$J$9)+('Fund Ranking Criteria'!$J$10*Consol_Thematic!M88)+('Fund Ranking Criteria'!$J$12*Consol_Thematic!S88)+('Fund Ranking Criteria'!$J$14*Consol_Thematic!R88)+('Fund Ranking Criteria'!$J$15*Consol_Thematic!O88)+('Fund Ranking Criteria'!$J$16*Consol_Thematic!P88)+('Fund Ranking Criteria'!#REF!*Consol_Thematic!Q88)+('Fund Ranking Criteria'!#REF!*Consol_Thematic!L88)</f>
        <v>#REF!</v>
      </c>
      <c r="U88" s="288" t="e">
        <f t="shared" si="33"/>
        <v>#REF!</v>
      </c>
      <c r="V88" s="261" t="e">
        <f t="shared" si="34"/>
        <v>#REF!</v>
      </c>
      <c r="W88" s="261" t="str">
        <f t="shared" si="35"/>
        <v>Kotak Special Opportunities Fund - Regular Plan</v>
      </c>
    </row>
    <row r="89" spans="1:23" x14ac:dyDescent="0.25">
      <c r="A89" s="261" t="s">
        <v>512</v>
      </c>
      <c r="B89" s="261">
        <f>VLOOKUP($A89, Sheet4!$A$2:$L$688, Consol_Thematic!B$1,FALSE)</f>
        <v>0</v>
      </c>
      <c r="C89" s="261">
        <f>VLOOKUP($A89, Sheet4!$A$2:$L$688, Consol_Thematic!C$1,FALSE)</f>
        <v>0</v>
      </c>
      <c r="D89" s="261">
        <f>VLOOKUP($A89, Sheet4!$A$2:$L$688, Consol_Thematic!D$1,FALSE)</f>
        <v>0</v>
      </c>
      <c r="E89" s="261">
        <f>VLOOKUP($A89, Sheet4!$A$2:$L$688, Consol_Thematic!E$1,FALSE)</f>
        <v>0</v>
      </c>
      <c r="F89" s="261">
        <f>VLOOKUP($A89, Sheet4!$A$2:$L$688, Consol_Thematic!F$1,FALSE)</f>
        <v>0</v>
      </c>
      <c r="G89" s="261">
        <f>VLOOKUP($A89, Sheet4!$A$2:$L$688, Consol_Thematic!G$1,FALSE)</f>
        <v>0</v>
      </c>
      <c r="H89" s="261">
        <f>VLOOKUP($A89, Sheet4!$A$2:$L$688, Consol_Thematic!H$1,FALSE)</f>
        <v>2.41</v>
      </c>
      <c r="I89" s="261">
        <f>VLOOKUP($A89, Sheet4!$A$2:$L$688, Consol_Thematic!I$1,FALSE)</f>
        <v>0</v>
      </c>
      <c r="J89" s="261">
        <f>VLOOKUP($A89, Sheet4!$A$2:$L$688, Consol_Thematic!J$1,FALSE)</f>
        <v>0</v>
      </c>
      <c r="K89" s="288">
        <f t="shared" si="24"/>
        <v>0.36884643644379134</v>
      </c>
      <c r="L89" s="288">
        <f t="shared" si="25"/>
        <v>4.6153846153845858E-2</v>
      </c>
      <c r="M89" s="288">
        <f t="shared" si="26"/>
        <v>0</v>
      </c>
      <c r="N89" s="288">
        <f t="shared" si="27"/>
        <v>0</v>
      </c>
      <c r="O89" s="288">
        <f t="shared" si="28"/>
        <v>1</v>
      </c>
      <c r="P89" s="288">
        <f t="shared" si="29"/>
        <v>0</v>
      </c>
      <c r="Q89" s="288">
        <f t="shared" si="30"/>
        <v>0</v>
      </c>
      <c r="R89" s="288">
        <f t="shared" si="31"/>
        <v>1</v>
      </c>
      <c r="S89" s="288">
        <f t="shared" si="32"/>
        <v>0.34848484848484851</v>
      </c>
      <c r="T89" s="288" t="e">
        <f>(K89*'Fund Ranking Criteria'!$J$9)+('Fund Ranking Criteria'!$J$10*Consol_Thematic!M89)+('Fund Ranking Criteria'!$J$12*Consol_Thematic!S89)+('Fund Ranking Criteria'!$J$14*Consol_Thematic!R89)+('Fund Ranking Criteria'!$J$15*Consol_Thematic!O89)+('Fund Ranking Criteria'!$J$16*Consol_Thematic!P89)+('Fund Ranking Criteria'!#REF!*Consol_Thematic!Q89)+('Fund Ranking Criteria'!#REF!*Consol_Thematic!L89)</f>
        <v>#REF!</v>
      </c>
      <c r="U89" s="288" t="e">
        <f t="shared" si="33"/>
        <v>#REF!</v>
      </c>
      <c r="V89" s="261" t="e">
        <f t="shared" si="34"/>
        <v>#REF!</v>
      </c>
      <c r="W89" s="261" t="str">
        <f t="shared" si="35"/>
        <v>Kotak Transportation &amp; Logistics Fund - Regular Plan</v>
      </c>
    </row>
    <row r="90" spans="1:23" x14ac:dyDescent="0.25">
      <c r="A90" s="261" t="s">
        <v>517</v>
      </c>
      <c r="B90" s="261">
        <f>VLOOKUP($A90, Sheet4!$A$2:$L$688, Consol_Thematic!B$1,FALSE)</f>
        <v>5.87</v>
      </c>
      <c r="C90" s="261">
        <f>VLOOKUP($A90, Sheet4!$A$2:$L$688, Consol_Thematic!C$1,FALSE)</f>
        <v>27.51</v>
      </c>
      <c r="D90" s="261">
        <f>VLOOKUP($A90, Sheet4!$A$2:$L$688, Consol_Thematic!D$1,FALSE)</f>
        <v>24.83</v>
      </c>
      <c r="E90" s="261">
        <f>VLOOKUP($A90, Sheet4!$A$2:$L$688, Consol_Thematic!E$1,FALSE)</f>
        <v>1.06</v>
      </c>
      <c r="F90" s="261">
        <f>VLOOKUP($A90, Sheet4!$A$2:$L$688, Consol_Thematic!F$1,FALSE)</f>
        <v>1.58</v>
      </c>
      <c r="G90" s="261">
        <f>VLOOKUP($A90, Sheet4!$A$2:$L$688, Consol_Thematic!G$1,FALSE)</f>
        <v>4.9000000000000004</v>
      </c>
      <c r="H90" s="261">
        <f>VLOOKUP($A90, Sheet4!$A$2:$L$688, Consol_Thematic!H$1,FALSE)</f>
        <v>2.35</v>
      </c>
      <c r="I90" s="261">
        <f>VLOOKUP($A90, Sheet4!$A$2:$L$688, Consol_Thematic!I$1,FALSE)</f>
        <v>1.04</v>
      </c>
      <c r="J90" s="261">
        <f>VLOOKUP($A90, Sheet4!$A$2:$L$688, Consol_Thematic!J$1,FALSE)</f>
        <v>15.86</v>
      </c>
      <c r="K90" s="288">
        <f t="shared" si="24"/>
        <v>0.80014695077149167</v>
      </c>
      <c r="L90" s="288">
        <f t="shared" si="25"/>
        <v>0.13846153846153827</v>
      </c>
      <c r="M90" s="288">
        <f t="shared" si="26"/>
        <v>0.75826901874310915</v>
      </c>
      <c r="N90" s="288">
        <f t="shared" si="27"/>
        <v>0.79993556701030921</v>
      </c>
      <c r="O90" s="288">
        <f t="shared" si="28"/>
        <v>0.29069767441860467</v>
      </c>
      <c r="P90" s="288">
        <f t="shared" si="29"/>
        <v>0.99065420560747663</v>
      </c>
      <c r="Q90" s="288">
        <f t="shared" si="30"/>
        <v>0.81025641025641026</v>
      </c>
      <c r="R90" s="288">
        <f t="shared" si="31"/>
        <v>0.12605042016806717</v>
      </c>
      <c r="S90" s="288">
        <f t="shared" si="32"/>
        <v>0.91958041958041958</v>
      </c>
      <c r="T90" s="288" t="e">
        <f>(K90*'Fund Ranking Criteria'!$J$9)+('Fund Ranking Criteria'!$J$10*Consol_Thematic!M90)+('Fund Ranking Criteria'!$J$12*Consol_Thematic!S90)+('Fund Ranking Criteria'!$J$14*Consol_Thematic!R90)+('Fund Ranking Criteria'!$J$15*Consol_Thematic!O90)+('Fund Ranking Criteria'!$J$16*Consol_Thematic!P90)+('Fund Ranking Criteria'!#REF!*Consol_Thematic!Q90)+('Fund Ranking Criteria'!#REF!*Consol_Thematic!L90)</f>
        <v>#REF!</v>
      </c>
      <c r="U90" s="288" t="e">
        <f t="shared" si="33"/>
        <v>#REF!</v>
      </c>
      <c r="V90" s="261" t="e">
        <f t="shared" si="34"/>
        <v>#REF!</v>
      </c>
      <c r="W90" s="261" t="str">
        <f t="shared" si="35"/>
        <v>LIC MF Dividend Yield Fund - Regular Plan</v>
      </c>
    </row>
    <row r="91" spans="1:23" x14ac:dyDescent="0.25">
      <c r="A91" s="261" t="s">
        <v>522</v>
      </c>
      <c r="B91" s="261">
        <f>VLOOKUP($A91, Sheet4!$A$2:$L$688, Consol_Thematic!B$1,FALSE)</f>
        <v>0</v>
      </c>
      <c r="C91" s="261">
        <f>VLOOKUP($A91, Sheet4!$A$2:$L$688, Consol_Thematic!C$1,FALSE)</f>
        <v>0</v>
      </c>
      <c r="D91" s="261">
        <f>VLOOKUP($A91, Sheet4!$A$2:$L$688, Consol_Thematic!D$1,FALSE)</f>
        <v>0</v>
      </c>
      <c r="E91" s="261">
        <f>VLOOKUP($A91, Sheet4!$A$2:$L$688, Consol_Thematic!E$1,FALSE)</f>
        <v>0</v>
      </c>
      <c r="F91" s="261">
        <f>VLOOKUP($A91, Sheet4!$A$2:$L$688, Consol_Thematic!F$1,FALSE)</f>
        <v>0</v>
      </c>
      <c r="G91" s="261">
        <f>VLOOKUP($A91, Sheet4!$A$2:$L$688, Consol_Thematic!G$1,FALSE)</f>
        <v>0</v>
      </c>
      <c r="H91" s="261">
        <f>VLOOKUP($A91, Sheet4!$A$2:$L$688, Consol_Thematic!H$1,FALSE)</f>
        <v>2.21</v>
      </c>
      <c r="I91" s="261">
        <f>VLOOKUP($A91, Sheet4!$A$2:$L$688, Consol_Thematic!I$1,FALSE)</f>
        <v>0</v>
      </c>
      <c r="J91" s="261">
        <f>VLOOKUP($A91, Sheet4!$A$2:$L$688, Consol_Thematic!J$1,FALSE)</f>
        <v>0</v>
      </c>
      <c r="K91" s="288">
        <f t="shared" si="24"/>
        <v>0.36884643644379134</v>
      </c>
      <c r="L91" s="288">
        <f t="shared" si="25"/>
        <v>0.35384615384615387</v>
      </c>
      <c r="M91" s="288">
        <f t="shared" si="26"/>
        <v>0</v>
      </c>
      <c r="N91" s="288">
        <f t="shared" si="27"/>
        <v>0</v>
      </c>
      <c r="O91" s="288">
        <f t="shared" si="28"/>
        <v>1</v>
      </c>
      <c r="P91" s="288">
        <f t="shared" si="29"/>
        <v>0</v>
      </c>
      <c r="Q91" s="288">
        <f t="shared" si="30"/>
        <v>0</v>
      </c>
      <c r="R91" s="288">
        <f t="shared" si="31"/>
        <v>1</v>
      </c>
      <c r="S91" s="288">
        <f t="shared" si="32"/>
        <v>0.34848484848484851</v>
      </c>
      <c r="T91" s="288" t="e">
        <f>(K91*'Fund Ranking Criteria'!$J$9)+('Fund Ranking Criteria'!$J$10*Consol_Thematic!M91)+('Fund Ranking Criteria'!$J$12*Consol_Thematic!S91)+('Fund Ranking Criteria'!$J$14*Consol_Thematic!R91)+('Fund Ranking Criteria'!$J$15*Consol_Thematic!O91)+('Fund Ranking Criteria'!$J$16*Consol_Thematic!P91)+('Fund Ranking Criteria'!#REF!*Consol_Thematic!Q91)+('Fund Ranking Criteria'!#REF!*Consol_Thematic!L91)</f>
        <v>#REF!</v>
      </c>
      <c r="U91" s="288" t="e">
        <f t="shared" si="33"/>
        <v>#REF!</v>
      </c>
      <c r="V91" s="261" t="e">
        <f t="shared" si="34"/>
        <v>#REF!</v>
      </c>
      <c r="W91" s="261" t="str">
        <f t="shared" si="35"/>
        <v>LIC MF Manufacturing Fund - Regular Plan</v>
      </c>
    </row>
    <row r="92" spans="1:23" x14ac:dyDescent="0.25">
      <c r="A92" s="261" t="s">
        <v>533</v>
      </c>
      <c r="B92" s="261">
        <f>VLOOKUP($A92, Sheet4!$A$2:$L$688, Consol_Thematic!B$1,FALSE)</f>
        <v>2.17</v>
      </c>
      <c r="C92" s="261">
        <f>VLOOKUP($A92, Sheet4!$A$2:$L$688, Consol_Thematic!C$1,FALSE)</f>
        <v>0</v>
      </c>
      <c r="D92" s="261">
        <f>VLOOKUP($A92, Sheet4!$A$2:$L$688, Consol_Thematic!D$1,FALSE)</f>
        <v>0</v>
      </c>
      <c r="E92" s="261">
        <f>VLOOKUP($A92, Sheet4!$A$2:$L$688, Consol_Thematic!E$1,FALSE)</f>
        <v>0</v>
      </c>
      <c r="F92" s="261">
        <f>VLOOKUP($A92, Sheet4!$A$2:$L$688, Consol_Thematic!F$1,FALSE)</f>
        <v>0</v>
      </c>
      <c r="G92" s="261">
        <f>VLOOKUP($A92, Sheet4!$A$2:$L$688, Consol_Thematic!G$1,FALSE)</f>
        <v>0</v>
      </c>
      <c r="H92" s="261">
        <f>VLOOKUP($A92, Sheet4!$A$2:$L$688, Consol_Thematic!H$1,FALSE)</f>
        <v>2.11</v>
      </c>
      <c r="I92" s="261">
        <f>VLOOKUP($A92, Sheet4!$A$2:$L$688, Consol_Thematic!I$1,FALSE)</f>
        <v>0</v>
      </c>
      <c r="J92" s="261">
        <f>VLOOKUP($A92, Sheet4!$A$2:$L$688, Consol_Thematic!J$1,FALSE)</f>
        <v>0</v>
      </c>
      <c r="K92" s="288">
        <f t="shared" si="24"/>
        <v>0.52828802351212345</v>
      </c>
      <c r="L92" s="288">
        <f t="shared" si="25"/>
        <v>0.50769230769230789</v>
      </c>
      <c r="M92" s="288">
        <f t="shared" si="26"/>
        <v>0</v>
      </c>
      <c r="N92" s="288">
        <f t="shared" si="27"/>
        <v>0</v>
      </c>
      <c r="O92" s="288">
        <f t="shared" si="28"/>
        <v>1</v>
      </c>
      <c r="P92" s="288">
        <f t="shared" si="29"/>
        <v>0</v>
      </c>
      <c r="Q92" s="288">
        <f t="shared" si="30"/>
        <v>0</v>
      </c>
      <c r="R92" s="288">
        <f t="shared" si="31"/>
        <v>1</v>
      </c>
      <c r="S92" s="288">
        <f t="shared" si="32"/>
        <v>0.34848484848484851</v>
      </c>
      <c r="T92" s="288" t="e">
        <f>(K92*'Fund Ranking Criteria'!$J$9)+('Fund Ranking Criteria'!$J$10*Consol_Thematic!M92)+('Fund Ranking Criteria'!$J$12*Consol_Thematic!S92)+('Fund Ranking Criteria'!$J$14*Consol_Thematic!R92)+('Fund Ranking Criteria'!$J$15*Consol_Thematic!O92)+('Fund Ranking Criteria'!$J$16*Consol_Thematic!P92)+('Fund Ranking Criteria'!#REF!*Consol_Thematic!Q92)+('Fund Ranking Criteria'!#REF!*Consol_Thematic!L92)</f>
        <v>#REF!</v>
      </c>
      <c r="U92" s="288" t="e">
        <f t="shared" si="33"/>
        <v>#REF!</v>
      </c>
      <c r="V92" s="261" t="e">
        <f t="shared" si="34"/>
        <v>#REF!</v>
      </c>
      <c r="W92" s="261" t="str">
        <f t="shared" si="35"/>
        <v>Mahindra Manulife Business Cycle Fund - Regular Plan</v>
      </c>
    </row>
    <row r="93" spans="1:23" x14ac:dyDescent="0.25">
      <c r="A93" s="261" t="s">
        <v>534</v>
      </c>
      <c r="B93" s="261">
        <f>VLOOKUP($A93, Sheet4!$A$2:$L$688, Consol_Thematic!B$1,FALSE)</f>
        <v>0.35</v>
      </c>
      <c r="C93" s="261">
        <f>VLOOKUP($A93, Sheet4!$A$2:$L$688, Consol_Thematic!C$1,FALSE)</f>
        <v>19.88</v>
      </c>
      <c r="D93" s="261">
        <f>VLOOKUP($A93, Sheet4!$A$2:$L$688, Consol_Thematic!D$1,FALSE)</f>
        <v>20.12</v>
      </c>
      <c r="E93" s="261">
        <f>VLOOKUP($A93, Sheet4!$A$2:$L$688, Consol_Thematic!E$1,FALSE)</f>
        <v>0.74</v>
      </c>
      <c r="F93" s="261">
        <f>VLOOKUP($A93, Sheet4!$A$2:$L$688, Consol_Thematic!F$1,FALSE)</f>
        <v>0.98</v>
      </c>
      <c r="G93" s="261">
        <f>VLOOKUP($A93, Sheet4!$A$2:$L$688, Consol_Thematic!G$1,FALSE)</f>
        <v>-0.7</v>
      </c>
      <c r="H93" s="261">
        <f>VLOOKUP($A93, Sheet4!$A$2:$L$688, Consol_Thematic!H$1,FALSE)</f>
        <v>2.38</v>
      </c>
      <c r="I93" s="261">
        <f>VLOOKUP($A93, Sheet4!$A$2:$L$688, Consol_Thematic!I$1,FALSE)</f>
        <v>0.82</v>
      </c>
      <c r="J93" s="261">
        <f>VLOOKUP($A93, Sheet4!$A$2:$L$688, Consol_Thematic!J$1,FALSE)</f>
        <v>14.96</v>
      </c>
      <c r="K93" s="288">
        <f t="shared" si="24"/>
        <v>0.39456282145481258</v>
      </c>
      <c r="L93" s="288">
        <f t="shared" si="25"/>
        <v>9.2307692307692396E-2</v>
      </c>
      <c r="M93" s="288">
        <f t="shared" si="26"/>
        <v>0.54796030871003298</v>
      </c>
      <c r="N93" s="288">
        <f t="shared" si="27"/>
        <v>0.64819587628865982</v>
      </c>
      <c r="O93" s="288">
        <f t="shared" si="28"/>
        <v>0.33094812164579601</v>
      </c>
      <c r="P93" s="288">
        <f t="shared" si="29"/>
        <v>0.69158878504672894</v>
      </c>
      <c r="Q93" s="288">
        <f t="shared" si="30"/>
        <v>0.50256410256410255</v>
      </c>
      <c r="R93" s="288">
        <f t="shared" si="31"/>
        <v>0.31092436974789917</v>
      </c>
      <c r="S93" s="288">
        <f t="shared" si="32"/>
        <v>0.26689976689976691</v>
      </c>
      <c r="T93" s="288" t="e">
        <f>(K93*'Fund Ranking Criteria'!$J$9)+('Fund Ranking Criteria'!$J$10*Consol_Thematic!M93)+('Fund Ranking Criteria'!$J$12*Consol_Thematic!S93)+('Fund Ranking Criteria'!$J$14*Consol_Thematic!R93)+('Fund Ranking Criteria'!$J$15*Consol_Thematic!O93)+('Fund Ranking Criteria'!$J$16*Consol_Thematic!P93)+('Fund Ranking Criteria'!#REF!*Consol_Thematic!Q93)+('Fund Ranking Criteria'!#REF!*Consol_Thematic!L93)</f>
        <v>#REF!</v>
      </c>
      <c r="U93" s="288" t="e">
        <f t="shared" si="33"/>
        <v>#REF!</v>
      </c>
      <c r="V93" s="261" t="e">
        <f t="shared" si="34"/>
        <v>#REF!</v>
      </c>
      <c r="W93" s="261" t="str">
        <f t="shared" si="35"/>
        <v>Mahindra Manulife Consumption Fund - Regular Plan</v>
      </c>
    </row>
    <row r="94" spans="1:23" x14ac:dyDescent="0.25">
      <c r="A94" s="261" t="s">
        <v>539</v>
      </c>
      <c r="B94" s="261">
        <f>VLOOKUP($A94, Sheet4!$A$2:$L$688, Consol_Thematic!B$1,FALSE)</f>
        <v>-3.32</v>
      </c>
      <c r="C94" s="261">
        <f>VLOOKUP($A94, Sheet4!$A$2:$L$688, Consol_Thematic!C$1,FALSE)</f>
        <v>0</v>
      </c>
      <c r="D94" s="261">
        <f>VLOOKUP($A94, Sheet4!$A$2:$L$688, Consol_Thematic!D$1,FALSE)</f>
        <v>0</v>
      </c>
      <c r="E94" s="261">
        <f>VLOOKUP($A94, Sheet4!$A$2:$L$688, Consol_Thematic!E$1,FALSE)</f>
        <v>0</v>
      </c>
      <c r="F94" s="261">
        <f>VLOOKUP($A94, Sheet4!$A$2:$L$688, Consol_Thematic!F$1,FALSE)</f>
        <v>0</v>
      </c>
      <c r="G94" s="261">
        <f>VLOOKUP($A94, Sheet4!$A$2:$L$688, Consol_Thematic!G$1,FALSE)</f>
        <v>0</v>
      </c>
      <c r="H94" s="261">
        <f>VLOOKUP($A94, Sheet4!$A$2:$L$688, Consol_Thematic!H$1,FALSE)</f>
        <v>2.2400000000000002</v>
      </c>
      <c r="I94" s="261">
        <f>VLOOKUP($A94, Sheet4!$A$2:$L$688, Consol_Thematic!I$1,FALSE)</f>
        <v>0</v>
      </c>
      <c r="J94" s="261">
        <f>VLOOKUP($A94, Sheet4!$A$2:$L$688, Consol_Thematic!J$1,FALSE)</f>
        <v>0</v>
      </c>
      <c r="K94" s="288">
        <f t="shared" si="24"/>
        <v>0.12490815576781776</v>
      </c>
      <c r="L94" s="288">
        <f t="shared" si="25"/>
        <v>0.30769230769230732</v>
      </c>
      <c r="M94" s="288">
        <f t="shared" si="26"/>
        <v>0</v>
      </c>
      <c r="N94" s="288">
        <f t="shared" si="27"/>
        <v>0</v>
      </c>
      <c r="O94" s="288">
        <f t="shared" si="28"/>
        <v>1</v>
      </c>
      <c r="P94" s="288">
        <f t="shared" si="29"/>
        <v>0</v>
      </c>
      <c r="Q94" s="288">
        <f t="shared" si="30"/>
        <v>0</v>
      </c>
      <c r="R94" s="288">
        <f t="shared" si="31"/>
        <v>1</v>
      </c>
      <c r="S94" s="288">
        <f t="shared" si="32"/>
        <v>0.34848484848484851</v>
      </c>
      <c r="T94" s="288" t="e">
        <f>(K94*'Fund Ranking Criteria'!$J$9)+('Fund Ranking Criteria'!$J$10*Consol_Thematic!M94)+('Fund Ranking Criteria'!$J$12*Consol_Thematic!S94)+('Fund Ranking Criteria'!$J$14*Consol_Thematic!R94)+('Fund Ranking Criteria'!$J$15*Consol_Thematic!O94)+('Fund Ranking Criteria'!$J$16*Consol_Thematic!P94)+('Fund Ranking Criteria'!#REF!*Consol_Thematic!Q94)+('Fund Ranking Criteria'!#REF!*Consol_Thematic!L94)</f>
        <v>#REF!</v>
      </c>
      <c r="U94" s="288" t="e">
        <f t="shared" si="33"/>
        <v>#REF!</v>
      </c>
      <c r="V94" s="261" t="e">
        <f t="shared" si="34"/>
        <v>#REF!</v>
      </c>
      <c r="W94" s="261" t="str">
        <f t="shared" si="35"/>
        <v>Mahindra Manulife Manufacturing Fund - Regular Plan</v>
      </c>
    </row>
    <row r="95" spans="1:23" x14ac:dyDescent="0.25">
      <c r="A95" s="261" t="s">
        <v>553</v>
      </c>
      <c r="B95" s="261">
        <f>VLOOKUP($A95, Sheet4!$A$2:$L$688, Consol_Thematic!B$1,FALSE)</f>
        <v>4.32</v>
      </c>
      <c r="C95" s="261">
        <f>VLOOKUP($A95, Sheet4!$A$2:$L$688, Consol_Thematic!C$1,FALSE)</f>
        <v>22.31</v>
      </c>
      <c r="D95" s="261">
        <f>VLOOKUP($A95, Sheet4!$A$2:$L$688, Consol_Thematic!D$1,FALSE)</f>
        <v>23.23</v>
      </c>
      <c r="E95" s="261">
        <f>VLOOKUP($A95, Sheet4!$A$2:$L$688, Consol_Thematic!E$1,FALSE)</f>
        <v>0.81</v>
      </c>
      <c r="F95" s="261">
        <f>VLOOKUP($A95, Sheet4!$A$2:$L$688, Consol_Thematic!F$1,FALSE)</f>
        <v>1.1299999999999999</v>
      </c>
      <c r="G95" s="261">
        <f>VLOOKUP($A95, Sheet4!$A$2:$L$688, Consol_Thematic!G$1,FALSE)</f>
        <v>0.5</v>
      </c>
      <c r="H95" s="261">
        <f>VLOOKUP($A95, Sheet4!$A$2:$L$688, Consol_Thematic!H$1,FALSE)</f>
        <v>1.85</v>
      </c>
      <c r="I95" s="261">
        <f>VLOOKUP($A95, Sheet4!$A$2:$L$688, Consol_Thematic!I$1,FALSE)</f>
        <v>0.86</v>
      </c>
      <c r="J95" s="261">
        <f>VLOOKUP($A95, Sheet4!$A$2:$L$688, Consol_Thematic!J$1,FALSE)</f>
        <v>15.84</v>
      </c>
      <c r="K95" s="288">
        <f t="shared" si="24"/>
        <v>0.68626010286554007</v>
      </c>
      <c r="L95" s="288">
        <f t="shared" si="25"/>
        <v>0.90769230769230758</v>
      </c>
      <c r="M95" s="288">
        <f t="shared" si="26"/>
        <v>0.61493936052921716</v>
      </c>
      <c r="N95" s="288">
        <f t="shared" si="27"/>
        <v>0.74838917525773196</v>
      </c>
      <c r="O95" s="288">
        <f t="shared" si="28"/>
        <v>0.29159212880143109</v>
      </c>
      <c r="P95" s="288">
        <f t="shared" si="29"/>
        <v>0.7570093457943925</v>
      </c>
      <c r="Q95" s="288">
        <f t="shared" si="30"/>
        <v>0.57948717948717943</v>
      </c>
      <c r="R95" s="288">
        <f t="shared" si="31"/>
        <v>0.27731092436974786</v>
      </c>
      <c r="S95" s="288">
        <f t="shared" si="32"/>
        <v>0.40675990675990681</v>
      </c>
      <c r="T95" s="288" t="e">
        <f>(K95*'Fund Ranking Criteria'!$J$9)+('Fund Ranking Criteria'!$J$10*Consol_Thematic!M95)+('Fund Ranking Criteria'!$J$12*Consol_Thematic!S95)+('Fund Ranking Criteria'!$J$14*Consol_Thematic!R95)+('Fund Ranking Criteria'!$J$15*Consol_Thematic!O95)+('Fund Ranking Criteria'!$J$16*Consol_Thematic!P95)+('Fund Ranking Criteria'!#REF!*Consol_Thematic!Q95)+('Fund Ranking Criteria'!#REF!*Consol_Thematic!L95)</f>
        <v>#REF!</v>
      </c>
      <c r="U95" s="288" t="e">
        <f t="shared" si="33"/>
        <v>#REF!</v>
      </c>
      <c r="V95" s="261" t="e">
        <f t="shared" si="34"/>
        <v>#REF!</v>
      </c>
      <c r="W95" s="261" t="str">
        <f t="shared" si="35"/>
        <v>Mirae Asset Great Consumer Fund - Regular Plan</v>
      </c>
    </row>
    <row r="96" spans="1:23" x14ac:dyDescent="0.25">
      <c r="A96" s="261" t="s">
        <v>560</v>
      </c>
      <c r="B96" s="261">
        <f>VLOOKUP($A96, Sheet4!$A$2:$L$688, Consol_Thematic!B$1,FALSE)</f>
        <v>7.44</v>
      </c>
      <c r="C96" s="261">
        <f>VLOOKUP($A96, Sheet4!$A$2:$L$688, Consol_Thematic!C$1,FALSE)</f>
        <v>17.32</v>
      </c>
      <c r="D96" s="261">
        <f>VLOOKUP($A96, Sheet4!$A$2:$L$688, Consol_Thematic!D$1,FALSE)</f>
        <v>0</v>
      </c>
      <c r="E96" s="261">
        <f>VLOOKUP($A96, Sheet4!$A$2:$L$688, Consol_Thematic!E$1,FALSE)</f>
        <v>0.59</v>
      </c>
      <c r="F96" s="261">
        <f>VLOOKUP($A96, Sheet4!$A$2:$L$688, Consol_Thematic!F$1,FALSE)</f>
        <v>0.96</v>
      </c>
      <c r="G96" s="261">
        <f>VLOOKUP($A96, Sheet4!$A$2:$L$688, Consol_Thematic!G$1,FALSE)</f>
        <v>-2.02</v>
      </c>
      <c r="H96" s="261">
        <f>VLOOKUP($A96, Sheet4!$A$2:$L$688, Consol_Thematic!H$1,FALSE)</f>
        <v>0.43</v>
      </c>
      <c r="I96" s="261">
        <f>VLOOKUP($A96, Sheet4!$A$2:$L$688, Consol_Thematic!I$1,FALSE)</f>
        <v>0.96</v>
      </c>
      <c r="J96" s="261">
        <f>VLOOKUP($A96, Sheet4!$A$2:$L$688, Consol_Thematic!J$1,FALSE)</f>
        <v>13.38</v>
      </c>
      <c r="K96" s="288">
        <f t="shared" si="24"/>
        <v>0.91550330639235866</v>
      </c>
      <c r="L96" s="288">
        <f t="shared" si="25"/>
        <v>3.0923076923076924</v>
      </c>
      <c r="M96" s="288">
        <f t="shared" si="26"/>
        <v>0.47739801543550164</v>
      </c>
      <c r="N96" s="288">
        <f t="shared" si="27"/>
        <v>0</v>
      </c>
      <c r="O96" s="288">
        <f t="shared" si="28"/>
        <v>0.40161001788908762</v>
      </c>
      <c r="P96" s="288">
        <f t="shared" si="29"/>
        <v>0.55140186915887845</v>
      </c>
      <c r="Q96" s="288">
        <f t="shared" si="30"/>
        <v>0.49230769230769228</v>
      </c>
      <c r="R96" s="288">
        <f t="shared" si="31"/>
        <v>0.19327731092436976</v>
      </c>
      <c r="S96" s="288">
        <f t="shared" si="32"/>
        <v>0.11305361305361307</v>
      </c>
      <c r="T96" s="288" t="e">
        <f>(K96*'Fund Ranking Criteria'!$J$9)+('Fund Ranking Criteria'!$J$10*Consol_Thematic!M96)+('Fund Ranking Criteria'!$J$12*Consol_Thematic!S96)+('Fund Ranking Criteria'!$J$14*Consol_Thematic!R96)+('Fund Ranking Criteria'!$J$15*Consol_Thematic!O96)+('Fund Ranking Criteria'!$J$16*Consol_Thematic!P96)+('Fund Ranking Criteria'!#REF!*Consol_Thematic!Q96)+('Fund Ranking Criteria'!#REF!*Consol_Thematic!L96)</f>
        <v>#REF!</v>
      </c>
      <c r="U96" s="288" t="e">
        <f t="shared" si="33"/>
        <v>#REF!</v>
      </c>
      <c r="V96" s="261" t="e">
        <f t="shared" si="34"/>
        <v>#REF!</v>
      </c>
      <c r="W96" s="261" t="str">
        <f t="shared" si="35"/>
        <v>Mirae Asset Nifty 100 ESG Sector Leaders FoF - Regular Plan</v>
      </c>
    </row>
    <row r="97" spans="1:23" x14ac:dyDescent="0.25">
      <c r="A97" s="261" t="s">
        <v>584</v>
      </c>
      <c r="B97" s="261">
        <f>VLOOKUP($A97, Sheet4!$A$2:$L$688, Consol_Thematic!B$1,FALSE)</f>
        <v>0</v>
      </c>
      <c r="C97" s="261">
        <f>VLOOKUP($A97, Sheet4!$A$2:$L$688, Consol_Thematic!C$1,FALSE)</f>
        <v>0</v>
      </c>
      <c r="D97" s="261">
        <f>VLOOKUP($A97, Sheet4!$A$2:$L$688, Consol_Thematic!D$1,FALSE)</f>
        <v>0</v>
      </c>
      <c r="E97" s="261">
        <f>VLOOKUP($A97, Sheet4!$A$2:$L$688, Consol_Thematic!E$1,FALSE)</f>
        <v>0</v>
      </c>
      <c r="F97" s="261">
        <f>VLOOKUP($A97, Sheet4!$A$2:$L$688, Consol_Thematic!F$1,FALSE)</f>
        <v>0</v>
      </c>
      <c r="G97" s="261">
        <f>VLOOKUP($A97, Sheet4!$A$2:$L$688, Consol_Thematic!G$1,FALSE)</f>
        <v>0</v>
      </c>
      <c r="H97" s="261">
        <f>VLOOKUP($A97, Sheet4!$A$2:$L$688, Consol_Thematic!H$1,FALSE)</f>
        <v>2.68</v>
      </c>
      <c r="I97" s="261">
        <f>VLOOKUP($A97, Sheet4!$A$2:$L$688, Consol_Thematic!I$1,FALSE)</f>
        <v>0</v>
      </c>
      <c r="J97" s="261">
        <f>VLOOKUP($A97, Sheet4!$A$2:$L$688, Consol_Thematic!J$1,FALSE)</f>
        <v>0</v>
      </c>
      <c r="K97" s="261">
        <f t="shared" si="24"/>
        <v>0.36884643644379134</v>
      </c>
      <c r="L97" s="261">
        <f t="shared" si="25"/>
        <v>-0.36923076923076958</v>
      </c>
      <c r="M97" s="261">
        <f t="shared" si="26"/>
        <v>0</v>
      </c>
      <c r="N97" s="261">
        <f t="shared" si="27"/>
        <v>0</v>
      </c>
      <c r="O97" s="261">
        <f t="shared" si="28"/>
        <v>1</v>
      </c>
      <c r="P97" s="261">
        <f t="shared" si="29"/>
        <v>0</v>
      </c>
      <c r="Q97" s="261">
        <f t="shared" si="30"/>
        <v>0</v>
      </c>
      <c r="R97" s="261">
        <f t="shared" si="31"/>
        <v>1</v>
      </c>
      <c r="S97" s="261">
        <f t="shared" si="32"/>
        <v>0.34848484848484851</v>
      </c>
      <c r="T97" s="261" t="e">
        <f>(K97*'Fund Ranking Criteria'!$J$9)+('Fund Ranking Criteria'!$J$10*Consol_Thematic!M97)+('Fund Ranking Criteria'!$J$12*Consol_Thematic!S97)+('Fund Ranking Criteria'!$J$14*Consol_Thematic!R97)+('Fund Ranking Criteria'!$J$15*Consol_Thematic!O97)+('Fund Ranking Criteria'!$J$16*Consol_Thematic!P97)+('Fund Ranking Criteria'!#REF!*Consol_Thematic!Q97)+('Fund Ranking Criteria'!#REF!*Consol_Thematic!L97)</f>
        <v>#REF!</v>
      </c>
      <c r="U97" s="261" t="e">
        <f t="shared" si="33"/>
        <v>#REF!</v>
      </c>
      <c r="V97" s="261" t="e">
        <f t="shared" si="34"/>
        <v>#REF!</v>
      </c>
      <c r="W97" s="261" t="str">
        <f t="shared" si="35"/>
        <v>Motilal Oswal Active Momentum Fund - Regular Plan</v>
      </c>
    </row>
    <row r="98" spans="1:23" x14ac:dyDescent="0.25">
      <c r="A98" s="261" t="s">
        <v>593</v>
      </c>
      <c r="B98" s="261">
        <f>VLOOKUP($A98, Sheet4!$A$2:$L$688, Consol_Thematic!B$1,FALSE)</f>
        <v>0</v>
      </c>
      <c r="C98" s="261">
        <f>VLOOKUP($A98, Sheet4!$A$2:$L$688, Consol_Thematic!C$1,FALSE)</f>
        <v>0</v>
      </c>
      <c r="D98" s="261">
        <f>VLOOKUP($A98, Sheet4!$A$2:$L$688, Consol_Thematic!D$1,FALSE)</f>
        <v>0</v>
      </c>
      <c r="E98" s="261">
        <f>VLOOKUP($A98, Sheet4!$A$2:$L$688, Consol_Thematic!E$1,FALSE)</f>
        <v>0</v>
      </c>
      <c r="F98" s="261">
        <f>VLOOKUP($A98, Sheet4!$A$2:$L$688, Consol_Thematic!F$1,FALSE)</f>
        <v>0</v>
      </c>
      <c r="G98" s="261">
        <f>VLOOKUP($A98, Sheet4!$A$2:$L$688, Consol_Thematic!G$1,FALSE)</f>
        <v>0</v>
      </c>
      <c r="H98" s="261">
        <f>VLOOKUP($A98, Sheet4!$A$2:$L$688, Consol_Thematic!H$1,FALSE)</f>
        <v>2.02</v>
      </c>
      <c r="I98" s="261">
        <f>VLOOKUP($A98, Sheet4!$A$2:$L$688, Consol_Thematic!I$1,FALSE)</f>
        <v>0</v>
      </c>
      <c r="J98" s="261">
        <f>VLOOKUP($A98, Sheet4!$A$2:$L$688, Consol_Thematic!J$1,FALSE)</f>
        <v>0</v>
      </c>
      <c r="K98" s="261">
        <f t="shared" si="24"/>
        <v>0.36884643644379134</v>
      </c>
      <c r="L98" s="261">
        <f t="shared" si="25"/>
        <v>0.64615384615384608</v>
      </c>
      <c r="M98" s="261">
        <f t="shared" si="26"/>
        <v>0</v>
      </c>
      <c r="N98" s="261">
        <f t="shared" si="27"/>
        <v>0</v>
      </c>
      <c r="O98" s="261">
        <f t="shared" si="28"/>
        <v>1</v>
      </c>
      <c r="P98" s="261">
        <f t="shared" si="29"/>
        <v>0</v>
      </c>
      <c r="Q98" s="261">
        <f t="shared" si="30"/>
        <v>0</v>
      </c>
      <c r="R98" s="261">
        <f t="shared" si="31"/>
        <v>1</v>
      </c>
      <c r="S98" s="261">
        <f t="shared" si="32"/>
        <v>0.34848484848484851</v>
      </c>
      <c r="T98" s="261" t="e">
        <f>(K98*'Fund Ranking Criteria'!$J$9)+('Fund Ranking Criteria'!$J$10*Consol_Thematic!M98)+('Fund Ranking Criteria'!$J$12*Consol_Thematic!S98)+('Fund Ranking Criteria'!$J$14*Consol_Thematic!R98)+('Fund Ranking Criteria'!$J$15*Consol_Thematic!O98)+('Fund Ranking Criteria'!$J$16*Consol_Thematic!P98)+('Fund Ranking Criteria'!#REF!*Consol_Thematic!Q98)+('Fund Ranking Criteria'!#REF!*Consol_Thematic!L98)</f>
        <v>#REF!</v>
      </c>
      <c r="U98" s="261" t="e">
        <f t="shared" si="33"/>
        <v>#REF!</v>
      </c>
      <c r="V98" s="261" t="e">
        <f t="shared" si="34"/>
        <v>#REF!</v>
      </c>
      <c r="W98" s="261" t="str">
        <f t="shared" si="35"/>
        <v>Motilal Oswal Business Cycle Fund - Regular Plan</v>
      </c>
    </row>
    <row r="99" spans="1:23" x14ac:dyDescent="0.25">
      <c r="A99" s="261" t="s">
        <v>596</v>
      </c>
      <c r="B99" s="261">
        <f>VLOOKUP($A99, Sheet4!$A$2:$L$688, Consol_Thematic!B$1,FALSE)</f>
        <v>0</v>
      </c>
      <c r="C99" s="261">
        <f>VLOOKUP($A99, Sheet4!$A$2:$L$688, Consol_Thematic!C$1,FALSE)</f>
        <v>0</v>
      </c>
      <c r="D99" s="261">
        <f>VLOOKUP($A99, Sheet4!$A$2:$L$688, Consol_Thematic!D$1,FALSE)</f>
        <v>0</v>
      </c>
      <c r="E99" s="261">
        <f>VLOOKUP($A99, Sheet4!$A$2:$L$688, Consol_Thematic!E$1,FALSE)</f>
        <v>0</v>
      </c>
      <c r="F99" s="261">
        <f>VLOOKUP($A99, Sheet4!$A$2:$L$688, Consol_Thematic!F$1,FALSE)</f>
        <v>0</v>
      </c>
      <c r="G99" s="261">
        <f>VLOOKUP($A99, Sheet4!$A$2:$L$688, Consol_Thematic!G$1,FALSE)</f>
        <v>0</v>
      </c>
      <c r="H99" s="261">
        <f>VLOOKUP($A99, Sheet4!$A$2:$L$688, Consol_Thematic!H$1,FALSE)</f>
        <v>2.4300000000000002</v>
      </c>
      <c r="I99" s="261">
        <f>VLOOKUP($A99, Sheet4!$A$2:$L$688, Consol_Thematic!I$1,FALSE)</f>
        <v>0</v>
      </c>
      <c r="J99" s="261">
        <f>VLOOKUP($A99, Sheet4!$A$2:$L$688, Consol_Thematic!J$1,FALSE)</f>
        <v>0</v>
      </c>
      <c r="K99" s="261">
        <f t="shared" ref="K99:K130" si="36">(B99-MIN(B$3:B$23))/(MAX(B$3:B$23)-MIN(B$3:B$23))</f>
        <v>0.36884643644379134</v>
      </c>
      <c r="L99" s="261">
        <f t="shared" ref="L99:L130" si="37">(MAX(H$3:H$23)-H99)/(MAX(H$3:H$23)-MIN(H$3:H$23))</f>
        <v>1.5384615384615059E-2</v>
      </c>
      <c r="M99" s="261">
        <f t="shared" ref="M99:M130" si="38">(C99-MIN(C$3:C$23))/(MAX(C$3:C$23)-MIN(C$3:C$23))</f>
        <v>0</v>
      </c>
      <c r="N99" s="261">
        <f t="shared" ref="N99:N130" si="39">(D99-MIN(D$3:D$23))/(MAX(D$3:D$23)-MIN(D$3:D$23))</f>
        <v>0</v>
      </c>
      <c r="O99" s="261">
        <f t="shared" ref="O99:O130" si="40">(MAX(J$3:J$23)-J99)/(MAX(J$3:J$23)-MIN(J$3:J$23))</f>
        <v>1</v>
      </c>
      <c r="P99" s="261">
        <f t="shared" ref="P99:P130" si="41">(E99-MIN(E$3:E$23))/(MAX(E$3:E$23)-MIN(E$3:E$23))</f>
        <v>0</v>
      </c>
      <c r="Q99" s="261">
        <f t="shared" ref="Q99:Q130" si="42">(F99-MIN(F$3:F$23))/(MAX(F$3:F$23)-MIN(F$3:F$23))</f>
        <v>0</v>
      </c>
      <c r="R99" s="261">
        <f t="shared" ref="R99:R130" si="43">(MAX(I$3:I$23)-I99)/(MAX(I$3:I$23)-MIN(I$3:I$23))</f>
        <v>1</v>
      </c>
      <c r="S99" s="261">
        <f t="shared" ref="S99:S130" si="44">(G99-MIN(G$3:G$23))/(MAX(G$3:G$23)-MIN(G$3:G$23))</f>
        <v>0.34848484848484851</v>
      </c>
      <c r="T99" s="261" t="e">
        <f>(K99*'Fund Ranking Criteria'!$J$9)+('Fund Ranking Criteria'!$J$10*Consol_Thematic!M99)+('Fund Ranking Criteria'!$J$12*Consol_Thematic!S99)+('Fund Ranking Criteria'!$J$14*Consol_Thematic!R99)+('Fund Ranking Criteria'!$J$15*Consol_Thematic!O99)+('Fund Ranking Criteria'!$J$16*Consol_Thematic!P99)+('Fund Ranking Criteria'!#REF!*Consol_Thematic!Q99)+('Fund Ranking Criteria'!#REF!*Consol_Thematic!L99)</f>
        <v>#REF!</v>
      </c>
      <c r="U99" s="261" t="e">
        <f t="shared" ref="U99:U130" si="45">T99*1</f>
        <v>#REF!</v>
      </c>
      <c r="V99" s="261" t="e">
        <f t="shared" ref="V99:V130" si="46">RANK(U99,$U$3:$U$157,0)</f>
        <v>#REF!</v>
      </c>
      <c r="W99" s="261" t="str">
        <f t="shared" ref="W99:W130" si="47">A99</f>
        <v>Motilal Oswal Innovation Opportunities Fund - Regular Plan</v>
      </c>
    </row>
    <row r="100" spans="1:23" x14ac:dyDescent="0.25">
      <c r="A100" s="261" t="s">
        <v>599</v>
      </c>
      <c r="B100" s="261">
        <f>VLOOKUP($A100, Sheet4!$A$2:$L$688, Consol_Thematic!B$1,FALSE)</f>
        <v>0</v>
      </c>
      <c r="C100" s="261">
        <f>VLOOKUP($A100, Sheet4!$A$2:$L$688, Consol_Thematic!C$1,FALSE)</f>
        <v>0</v>
      </c>
      <c r="D100" s="261">
        <f>VLOOKUP($A100, Sheet4!$A$2:$L$688, Consol_Thematic!D$1,FALSE)</f>
        <v>0</v>
      </c>
      <c r="E100" s="261">
        <f>VLOOKUP($A100, Sheet4!$A$2:$L$688, Consol_Thematic!E$1,FALSE)</f>
        <v>0</v>
      </c>
      <c r="F100" s="261">
        <f>VLOOKUP($A100, Sheet4!$A$2:$L$688, Consol_Thematic!F$1,FALSE)</f>
        <v>0</v>
      </c>
      <c r="G100" s="261">
        <f>VLOOKUP($A100, Sheet4!$A$2:$L$688, Consol_Thematic!G$1,FALSE)</f>
        <v>0</v>
      </c>
      <c r="H100" s="261">
        <f>VLOOKUP($A100, Sheet4!$A$2:$L$688, Consol_Thematic!H$1,FALSE)</f>
        <v>2.2999999999999998</v>
      </c>
      <c r="I100" s="261">
        <f>VLOOKUP($A100, Sheet4!$A$2:$L$688, Consol_Thematic!I$1,FALSE)</f>
        <v>0</v>
      </c>
      <c r="J100" s="261">
        <f>VLOOKUP($A100, Sheet4!$A$2:$L$688, Consol_Thematic!J$1,FALSE)</f>
        <v>0</v>
      </c>
      <c r="K100" s="261">
        <f t="shared" si="36"/>
        <v>0.36884643644379134</v>
      </c>
      <c r="L100" s="261">
        <f t="shared" si="37"/>
        <v>0.21538461538461562</v>
      </c>
      <c r="M100" s="261">
        <f t="shared" si="38"/>
        <v>0</v>
      </c>
      <c r="N100" s="261">
        <f t="shared" si="39"/>
        <v>0</v>
      </c>
      <c r="O100" s="261">
        <f t="shared" si="40"/>
        <v>1</v>
      </c>
      <c r="P100" s="261">
        <f t="shared" si="41"/>
        <v>0</v>
      </c>
      <c r="Q100" s="261">
        <f t="shared" si="42"/>
        <v>0</v>
      </c>
      <c r="R100" s="261">
        <f t="shared" si="43"/>
        <v>1</v>
      </c>
      <c r="S100" s="261">
        <f t="shared" si="44"/>
        <v>0.34848484848484851</v>
      </c>
      <c r="T100" s="261" t="e">
        <f>(K100*'Fund Ranking Criteria'!$J$9)+('Fund Ranking Criteria'!$J$10*Consol_Thematic!M100)+('Fund Ranking Criteria'!$J$12*Consol_Thematic!S100)+('Fund Ranking Criteria'!$J$14*Consol_Thematic!R100)+('Fund Ranking Criteria'!$J$15*Consol_Thematic!O100)+('Fund Ranking Criteria'!$J$16*Consol_Thematic!P100)+('Fund Ranking Criteria'!#REF!*Consol_Thematic!Q100)+('Fund Ranking Criteria'!#REF!*Consol_Thematic!L100)</f>
        <v>#REF!</v>
      </c>
      <c r="U100" s="261" t="e">
        <f t="shared" si="45"/>
        <v>#REF!</v>
      </c>
      <c r="V100" s="261" t="e">
        <f t="shared" si="46"/>
        <v>#REF!</v>
      </c>
      <c r="W100" s="261" t="str">
        <f t="shared" si="47"/>
        <v>Motilal Oswal Manufacturing Fund - Regular Plan</v>
      </c>
    </row>
    <row r="101" spans="1:23" x14ac:dyDescent="0.25">
      <c r="A101" s="261" t="s">
        <v>629</v>
      </c>
      <c r="B101" s="261">
        <f>VLOOKUP($A101, Sheet4!$A$2:$L$688, Consol_Thematic!B$1,FALSE)</f>
        <v>-1.6</v>
      </c>
      <c r="C101" s="261">
        <f>VLOOKUP($A101, Sheet4!$A$2:$L$688, Consol_Thematic!C$1,FALSE)</f>
        <v>0</v>
      </c>
      <c r="D101" s="261">
        <f>VLOOKUP($A101, Sheet4!$A$2:$L$688, Consol_Thematic!D$1,FALSE)</f>
        <v>0</v>
      </c>
      <c r="E101" s="261">
        <f>VLOOKUP($A101, Sheet4!$A$2:$L$688, Consol_Thematic!E$1,FALSE)</f>
        <v>0</v>
      </c>
      <c r="F101" s="261">
        <f>VLOOKUP($A101, Sheet4!$A$2:$L$688, Consol_Thematic!F$1,FALSE)</f>
        <v>0</v>
      </c>
      <c r="G101" s="261">
        <f>VLOOKUP($A101, Sheet4!$A$2:$L$688, Consol_Thematic!G$1,FALSE)</f>
        <v>0</v>
      </c>
      <c r="H101" s="261">
        <f>VLOOKUP($A101, Sheet4!$A$2:$L$688, Consol_Thematic!H$1,FALSE)</f>
        <v>0.96</v>
      </c>
      <c r="I101" s="261">
        <f>VLOOKUP($A101, Sheet4!$A$2:$L$688, Consol_Thematic!I$1,FALSE)</f>
        <v>0</v>
      </c>
      <c r="J101" s="261">
        <f>VLOOKUP($A101, Sheet4!$A$2:$L$688, Consol_Thematic!J$1,FALSE)</f>
        <v>0</v>
      </c>
      <c r="K101" s="261">
        <f t="shared" si="36"/>
        <v>0.25128581925055105</v>
      </c>
      <c r="L101" s="261">
        <f t="shared" si="37"/>
        <v>2.2769230769230773</v>
      </c>
      <c r="M101" s="261">
        <f t="shared" si="38"/>
        <v>0</v>
      </c>
      <c r="N101" s="261">
        <f t="shared" si="39"/>
        <v>0</v>
      </c>
      <c r="O101" s="261">
        <f t="shared" si="40"/>
        <v>1</v>
      </c>
      <c r="P101" s="261">
        <f t="shared" si="41"/>
        <v>0</v>
      </c>
      <c r="Q101" s="261">
        <f t="shared" si="42"/>
        <v>0</v>
      </c>
      <c r="R101" s="261">
        <f t="shared" si="43"/>
        <v>1</v>
      </c>
      <c r="S101" s="261">
        <f t="shared" si="44"/>
        <v>0.34848484848484851</v>
      </c>
      <c r="T101" s="261" t="e">
        <f>(K101*'Fund Ranking Criteria'!$J$9)+('Fund Ranking Criteria'!$J$10*Consol_Thematic!M101)+('Fund Ranking Criteria'!$J$12*Consol_Thematic!S101)+('Fund Ranking Criteria'!$J$14*Consol_Thematic!R101)+('Fund Ranking Criteria'!$J$15*Consol_Thematic!O101)+('Fund Ranking Criteria'!$J$16*Consol_Thematic!P101)+('Fund Ranking Criteria'!#REF!*Consol_Thematic!Q101)+('Fund Ranking Criteria'!#REF!*Consol_Thematic!L101)</f>
        <v>#REF!</v>
      </c>
      <c r="U101" s="261" t="e">
        <f t="shared" si="45"/>
        <v>#REF!</v>
      </c>
      <c r="V101" s="261" t="e">
        <f t="shared" si="46"/>
        <v>#REF!</v>
      </c>
      <c r="W101" s="261" t="str">
        <f t="shared" si="47"/>
        <v>Motilal Oswal Quant Fund - Regular Plan</v>
      </c>
    </row>
    <row r="102" spans="1:23" x14ac:dyDescent="0.25">
      <c r="A102" s="261" t="s">
        <v>630</v>
      </c>
      <c r="B102" s="261">
        <f>VLOOKUP($A102, Sheet4!$A$2:$L$688, Consol_Thematic!B$1,FALSE)</f>
        <v>0</v>
      </c>
      <c r="C102" s="261">
        <f>VLOOKUP($A102, Sheet4!$A$2:$L$688, Consol_Thematic!C$1,FALSE)</f>
        <v>0</v>
      </c>
      <c r="D102" s="261">
        <f>VLOOKUP($A102, Sheet4!$A$2:$L$688, Consol_Thematic!D$1,FALSE)</f>
        <v>0</v>
      </c>
      <c r="E102" s="261">
        <f>VLOOKUP($A102, Sheet4!$A$2:$L$688, Consol_Thematic!E$1,FALSE)</f>
        <v>0</v>
      </c>
      <c r="F102" s="261">
        <f>VLOOKUP($A102, Sheet4!$A$2:$L$688, Consol_Thematic!F$1,FALSE)</f>
        <v>0</v>
      </c>
      <c r="G102" s="261">
        <f>VLOOKUP($A102, Sheet4!$A$2:$L$688, Consol_Thematic!G$1,FALSE)</f>
        <v>0</v>
      </c>
      <c r="H102" s="261">
        <f>VLOOKUP($A102, Sheet4!$A$2:$L$688, Consol_Thematic!H$1,FALSE)</f>
        <v>0</v>
      </c>
      <c r="I102" s="261">
        <f>VLOOKUP($A102, Sheet4!$A$2:$L$688, Consol_Thematic!I$1,FALSE)</f>
        <v>0</v>
      </c>
      <c r="J102" s="261">
        <f>VLOOKUP($A102, Sheet4!$A$2:$L$688, Consol_Thematic!J$1,FALSE)</f>
        <v>0</v>
      </c>
      <c r="K102" s="261">
        <f t="shared" si="36"/>
        <v>0.36884643644379134</v>
      </c>
      <c r="L102" s="261">
        <f t="shared" si="37"/>
        <v>3.7538461538461543</v>
      </c>
      <c r="M102" s="261">
        <f t="shared" si="38"/>
        <v>0</v>
      </c>
      <c r="N102" s="261">
        <f t="shared" si="39"/>
        <v>0</v>
      </c>
      <c r="O102" s="261">
        <f t="shared" si="40"/>
        <v>1</v>
      </c>
      <c r="P102" s="261">
        <f t="shared" si="41"/>
        <v>0</v>
      </c>
      <c r="Q102" s="261">
        <f t="shared" si="42"/>
        <v>0</v>
      </c>
      <c r="R102" s="261">
        <f t="shared" si="43"/>
        <v>1</v>
      </c>
      <c r="S102" s="261">
        <f t="shared" si="44"/>
        <v>0.34848484848484851</v>
      </c>
      <c r="T102" s="261" t="e">
        <f>(K102*'Fund Ranking Criteria'!$J$9)+('Fund Ranking Criteria'!$J$10*Consol_Thematic!M102)+('Fund Ranking Criteria'!$J$12*Consol_Thematic!S102)+('Fund Ranking Criteria'!$J$14*Consol_Thematic!R102)+('Fund Ranking Criteria'!$J$15*Consol_Thematic!O102)+('Fund Ranking Criteria'!$J$16*Consol_Thematic!P102)+('Fund Ranking Criteria'!#REF!*Consol_Thematic!Q102)+('Fund Ranking Criteria'!#REF!*Consol_Thematic!L102)</f>
        <v>#REF!</v>
      </c>
      <c r="U102" s="261" t="e">
        <f t="shared" si="45"/>
        <v>#REF!</v>
      </c>
      <c r="V102" s="261" t="e">
        <f t="shared" si="46"/>
        <v>#REF!</v>
      </c>
      <c r="W102" s="261" t="str">
        <f t="shared" si="47"/>
        <v>Motilal Oswal Services Fund - Regular Plan</v>
      </c>
    </row>
    <row r="103" spans="1:23" x14ac:dyDescent="0.25">
      <c r="A103" s="261" t="s">
        <v>641</v>
      </c>
      <c r="B103" s="261">
        <f>VLOOKUP($A103, Sheet4!$A$2:$L$688, Consol_Thematic!B$1,FALSE)</f>
        <v>0</v>
      </c>
      <c r="C103" s="261">
        <f>VLOOKUP($A103, Sheet4!$A$2:$L$688, Consol_Thematic!C$1,FALSE)</f>
        <v>0</v>
      </c>
      <c r="D103" s="261">
        <f>VLOOKUP($A103, Sheet4!$A$2:$L$688, Consol_Thematic!D$1,FALSE)</f>
        <v>0</v>
      </c>
      <c r="E103" s="261">
        <f>VLOOKUP($A103, Sheet4!$A$2:$L$688, Consol_Thematic!E$1,FALSE)</f>
        <v>0</v>
      </c>
      <c r="F103" s="261">
        <f>VLOOKUP($A103, Sheet4!$A$2:$L$688, Consol_Thematic!F$1,FALSE)</f>
        <v>0</v>
      </c>
      <c r="G103" s="261">
        <f>VLOOKUP($A103, Sheet4!$A$2:$L$688, Consol_Thematic!G$1,FALSE)</f>
        <v>0</v>
      </c>
      <c r="H103" s="261">
        <f>VLOOKUP($A103, Sheet4!$A$2:$L$688, Consol_Thematic!H$1,FALSE)</f>
        <v>1.66</v>
      </c>
      <c r="I103" s="261">
        <f>VLOOKUP($A103, Sheet4!$A$2:$L$688, Consol_Thematic!I$1,FALSE)</f>
        <v>0</v>
      </c>
      <c r="J103" s="261">
        <f>VLOOKUP($A103, Sheet4!$A$2:$L$688, Consol_Thematic!J$1,FALSE)</f>
        <v>0</v>
      </c>
      <c r="K103" s="261">
        <f t="shared" si="36"/>
        <v>0.36884643644379134</v>
      </c>
      <c r="L103" s="261">
        <f t="shared" si="37"/>
        <v>1.2000000000000002</v>
      </c>
      <c r="M103" s="261">
        <f t="shared" si="38"/>
        <v>0</v>
      </c>
      <c r="N103" s="261">
        <f t="shared" si="39"/>
        <v>0</v>
      </c>
      <c r="O103" s="261">
        <f t="shared" si="40"/>
        <v>1</v>
      </c>
      <c r="P103" s="261">
        <f t="shared" si="41"/>
        <v>0</v>
      </c>
      <c r="Q103" s="261">
        <f t="shared" si="42"/>
        <v>0</v>
      </c>
      <c r="R103" s="261">
        <f t="shared" si="43"/>
        <v>1</v>
      </c>
      <c r="S103" s="261">
        <f t="shared" si="44"/>
        <v>0.34848484848484851</v>
      </c>
      <c r="T103" s="261" t="e">
        <f>(K103*'Fund Ranking Criteria'!$J$9)+('Fund Ranking Criteria'!$J$10*Consol_Thematic!M103)+('Fund Ranking Criteria'!$J$12*Consol_Thematic!S103)+('Fund Ranking Criteria'!$J$14*Consol_Thematic!R103)+('Fund Ranking Criteria'!$J$15*Consol_Thematic!O103)+('Fund Ranking Criteria'!$J$16*Consol_Thematic!P103)+('Fund Ranking Criteria'!#REF!*Consol_Thematic!Q103)+('Fund Ranking Criteria'!#REF!*Consol_Thematic!L103)</f>
        <v>#REF!</v>
      </c>
      <c r="U103" s="261" t="e">
        <f t="shared" si="45"/>
        <v>#REF!</v>
      </c>
      <c r="V103" s="261" t="e">
        <f t="shared" si="46"/>
        <v>#REF!</v>
      </c>
      <c r="W103" s="261" t="str">
        <f t="shared" si="47"/>
        <v>Nippon India Active Momentum Fund - Regular Plan</v>
      </c>
    </row>
    <row r="104" spans="1:23" x14ac:dyDescent="0.25">
      <c r="A104" s="261" t="s">
        <v>645</v>
      </c>
      <c r="B104" s="261">
        <f>VLOOKUP($A104, Sheet4!$A$2:$L$688, Consol_Thematic!B$1,FALSE)</f>
        <v>3.23</v>
      </c>
      <c r="C104" s="261">
        <f>VLOOKUP($A104, Sheet4!$A$2:$L$688, Consol_Thematic!C$1,FALSE)</f>
        <v>22.5</v>
      </c>
      <c r="D104" s="261">
        <f>VLOOKUP($A104, Sheet4!$A$2:$L$688, Consol_Thematic!D$1,FALSE)</f>
        <v>25.2</v>
      </c>
      <c r="E104" s="261">
        <f>VLOOKUP($A104, Sheet4!$A$2:$L$688, Consol_Thematic!E$1,FALSE)</f>
        <v>0.89</v>
      </c>
      <c r="F104" s="261">
        <f>VLOOKUP($A104, Sheet4!$A$2:$L$688, Consol_Thematic!F$1,FALSE)</f>
        <v>1.19</v>
      </c>
      <c r="G104" s="261">
        <f>VLOOKUP($A104, Sheet4!$A$2:$L$688, Consol_Thematic!G$1,FALSE)</f>
        <v>1.98</v>
      </c>
      <c r="H104" s="261">
        <f>VLOOKUP($A104, Sheet4!$A$2:$L$688, Consol_Thematic!H$1,FALSE)</f>
        <v>1.97</v>
      </c>
      <c r="I104" s="261">
        <f>VLOOKUP($A104, Sheet4!$A$2:$L$688, Consol_Thematic!I$1,FALSE)</f>
        <v>0.78</v>
      </c>
      <c r="J104" s="261">
        <f>VLOOKUP($A104, Sheet4!$A$2:$L$688, Consol_Thematic!J$1,FALSE)</f>
        <v>14.88</v>
      </c>
      <c r="K104" s="261">
        <f t="shared" si="36"/>
        <v>0.60617193240264511</v>
      </c>
      <c r="L104" s="261">
        <f t="shared" si="37"/>
        <v>0.72307692307692317</v>
      </c>
      <c r="M104" s="261">
        <f t="shared" si="38"/>
        <v>0.62017640573318633</v>
      </c>
      <c r="N104" s="261">
        <f t="shared" si="39"/>
        <v>0.81185567010309279</v>
      </c>
      <c r="O104" s="261">
        <f t="shared" si="40"/>
        <v>0.33452593917710194</v>
      </c>
      <c r="P104" s="261">
        <f t="shared" si="41"/>
        <v>0.83177570093457942</v>
      </c>
      <c r="Q104" s="261">
        <f t="shared" si="42"/>
        <v>0.6102564102564102</v>
      </c>
      <c r="R104" s="261">
        <f t="shared" si="43"/>
        <v>0.34453781512605036</v>
      </c>
      <c r="S104" s="261">
        <f t="shared" si="44"/>
        <v>0.57925407925407935</v>
      </c>
      <c r="T104" s="261" t="e">
        <f>(K104*'Fund Ranking Criteria'!$J$9)+('Fund Ranking Criteria'!$J$10*Consol_Thematic!M104)+('Fund Ranking Criteria'!$J$12*Consol_Thematic!S104)+('Fund Ranking Criteria'!$J$14*Consol_Thematic!R104)+('Fund Ranking Criteria'!$J$15*Consol_Thematic!O104)+('Fund Ranking Criteria'!$J$16*Consol_Thematic!P104)+('Fund Ranking Criteria'!#REF!*Consol_Thematic!Q104)+('Fund Ranking Criteria'!#REF!*Consol_Thematic!L104)</f>
        <v>#REF!</v>
      </c>
      <c r="U104" s="261" t="e">
        <f t="shared" si="45"/>
        <v>#REF!</v>
      </c>
      <c r="V104" s="261" t="e">
        <f t="shared" si="46"/>
        <v>#REF!</v>
      </c>
      <c r="W104" s="261" t="str">
        <f t="shared" si="47"/>
        <v>Nippon India Consumption Fund</v>
      </c>
    </row>
    <row r="105" spans="1:23" x14ac:dyDescent="0.25">
      <c r="A105" s="261" t="s">
        <v>662</v>
      </c>
      <c r="B105" s="261">
        <f>VLOOKUP($A105, Sheet4!$A$2:$L$688, Consol_Thematic!B$1,FALSE)</f>
        <v>1.1200000000000001</v>
      </c>
      <c r="C105" s="261">
        <f>VLOOKUP($A105, Sheet4!$A$2:$L$688, Consol_Thematic!C$1,FALSE)</f>
        <v>0</v>
      </c>
      <c r="D105" s="261">
        <f>VLOOKUP($A105, Sheet4!$A$2:$L$688, Consol_Thematic!D$1,FALSE)</f>
        <v>0</v>
      </c>
      <c r="E105" s="261">
        <f>VLOOKUP($A105, Sheet4!$A$2:$L$688, Consol_Thematic!E$1,FALSE)</f>
        <v>0</v>
      </c>
      <c r="F105" s="261">
        <f>VLOOKUP($A105, Sheet4!$A$2:$L$688, Consol_Thematic!F$1,FALSE)</f>
        <v>0</v>
      </c>
      <c r="G105" s="261">
        <f>VLOOKUP($A105, Sheet4!$A$2:$L$688, Consol_Thematic!G$1,FALSE)</f>
        <v>0</v>
      </c>
      <c r="H105" s="261">
        <f>VLOOKUP($A105, Sheet4!$A$2:$L$688, Consol_Thematic!H$1,FALSE)</f>
        <v>1.97</v>
      </c>
      <c r="I105" s="261">
        <f>VLOOKUP($A105, Sheet4!$A$2:$L$688, Consol_Thematic!I$1,FALSE)</f>
        <v>0</v>
      </c>
      <c r="J105" s="261">
        <f>VLOOKUP($A105, Sheet4!$A$2:$L$688, Consol_Thematic!J$1,FALSE)</f>
        <v>0</v>
      </c>
      <c r="K105" s="261">
        <f t="shared" si="36"/>
        <v>0.45113886847905948</v>
      </c>
      <c r="L105" s="261">
        <f t="shared" si="37"/>
        <v>0.72307692307692317</v>
      </c>
      <c r="M105" s="261">
        <f t="shared" si="38"/>
        <v>0</v>
      </c>
      <c r="N105" s="261">
        <f t="shared" si="39"/>
        <v>0</v>
      </c>
      <c r="O105" s="261">
        <f t="shared" si="40"/>
        <v>1</v>
      </c>
      <c r="P105" s="261">
        <f t="shared" si="41"/>
        <v>0</v>
      </c>
      <c r="Q105" s="261">
        <f t="shared" si="42"/>
        <v>0</v>
      </c>
      <c r="R105" s="261">
        <f t="shared" si="43"/>
        <v>1</v>
      </c>
      <c r="S105" s="261">
        <f t="shared" si="44"/>
        <v>0.34848484848484851</v>
      </c>
      <c r="T105" s="261" t="e">
        <f>(K105*'Fund Ranking Criteria'!$J$9)+('Fund Ranking Criteria'!$J$10*Consol_Thematic!M105)+('Fund Ranking Criteria'!$J$12*Consol_Thematic!S105)+('Fund Ranking Criteria'!$J$14*Consol_Thematic!R105)+('Fund Ranking Criteria'!$J$15*Consol_Thematic!O105)+('Fund Ranking Criteria'!$J$16*Consol_Thematic!P105)+('Fund Ranking Criteria'!#REF!*Consol_Thematic!Q105)+('Fund Ranking Criteria'!#REF!*Consol_Thematic!L105)</f>
        <v>#REF!</v>
      </c>
      <c r="U105" s="261" t="e">
        <f t="shared" si="45"/>
        <v>#REF!</v>
      </c>
      <c r="V105" s="261" t="e">
        <f t="shared" si="46"/>
        <v>#REF!</v>
      </c>
      <c r="W105" s="261" t="str">
        <f t="shared" si="47"/>
        <v>Nippon India Innovation Fund - Regular Plan</v>
      </c>
    </row>
    <row r="106" spans="1:23" x14ac:dyDescent="0.25">
      <c r="A106" s="261" t="s">
        <v>1231</v>
      </c>
      <c r="B106" s="261">
        <f>VLOOKUP($A106, Sheet4!$A$2:$L$688, Consol_Thematic!B$1,FALSE)</f>
        <v>0</v>
      </c>
      <c r="C106" s="261">
        <f>VLOOKUP($A106, Sheet4!$A$2:$L$688, Consol_Thematic!C$1,FALSE)</f>
        <v>0</v>
      </c>
      <c r="D106" s="261">
        <f>VLOOKUP($A106, Sheet4!$A$2:$L$688, Consol_Thematic!D$1,FALSE)</f>
        <v>0</v>
      </c>
      <c r="E106" s="261">
        <f>VLOOKUP($A106, Sheet4!$A$2:$L$688, Consol_Thematic!E$1,FALSE)</f>
        <v>0</v>
      </c>
      <c r="F106" s="261">
        <f>VLOOKUP($A106, Sheet4!$A$2:$L$688, Consol_Thematic!F$1,FALSE)</f>
        <v>0</v>
      </c>
      <c r="G106" s="261">
        <f>VLOOKUP($A106, Sheet4!$A$2:$L$688, Consol_Thematic!G$1,FALSE)</f>
        <v>0</v>
      </c>
      <c r="H106" s="261">
        <f>VLOOKUP($A106, Sheet4!$A$2:$L$688, Consol_Thematic!H$1,FALSE)</f>
        <v>0</v>
      </c>
      <c r="I106" s="261">
        <f>VLOOKUP($A106, Sheet4!$A$2:$L$688, Consol_Thematic!I$1,FALSE)</f>
        <v>0</v>
      </c>
      <c r="J106" s="261">
        <f>VLOOKUP($A106, Sheet4!$A$2:$L$688, Consol_Thematic!J$1,FALSE)</f>
        <v>0</v>
      </c>
      <c r="K106" s="261">
        <f t="shared" si="36"/>
        <v>0.36884643644379134</v>
      </c>
      <c r="L106" s="261">
        <f t="shared" si="37"/>
        <v>3.7538461538461543</v>
      </c>
      <c r="M106" s="261">
        <f t="shared" si="38"/>
        <v>0</v>
      </c>
      <c r="N106" s="261">
        <f t="shared" si="39"/>
        <v>0</v>
      </c>
      <c r="O106" s="261">
        <f t="shared" si="40"/>
        <v>1</v>
      </c>
      <c r="P106" s="261">
        <f t="shared" si="41"/>
        <v>0</v>
      </c>
      <c r="Q106" s="261">
        <f t="shared" si="42"/>
        <v>0</v>
      </c>
      <c r="R106" s="261">
        <f t="shared" si="43"/>
        <v>1</v>
      </c>
      <c r="S106" s="261">
        <f t="shared" si="44"/>
        <v>0.34848484848484851</v>
      </c>
      <c r="T106" s="261" t="e">
        <f>(K106*'Fund Ranking Criteria'!$J$9)+('Fund Ranking Criteria'!$J$10*Consol_Thematic!M106)+('Fund Ranking Criteria'!$J$12*Consol_Thematic!S106)+('Fund Ranking Criteria'!$J$14*Consol_Thematic!R106)+('Fund Ranking Criteria'!$J$15*Consol_Thematic!O106)+('Fund Ranking Criteria'!$J$16*Consol_Thematic!P106)+('Fund Ranking Criteria'!#REF!*Consol_Thematic!Q106)+('Fund Ranking Criteria'!#REF!*Consol_Thematic!L106)</f>
        <v>#REF!</v>
      </c>
      <c r="U106" s="261" t="e">
        <f t="shared" si="45"/>
        <v>#REF!</v>
      </c>
      <c r="V106" s="261" t="e">
        <f t="shared" si="46"/>
        <v>#REF!</v>
      </c>
      <c r="W106" s="261" t="str">
        <f t="shared" si="47"/>
        <v>Nippon India MNC Fund - Regular Plan</v>
      </c>
    </row>
    <row r="107" spans="1:23" x14ac:dyDescent="0.25">
      <c r="A107" s="261" t="s">
        <v>678</v>
      </c>
      <c r="B107" s="261">
        <f>VLOOKUP($A107, Sheet4!$A$2:$L$688, Consol_Thematic!B$1,FALSE)</f>
        <v>7.87</v>
      </c>
      <c r="C107" s="261">
        <f>VLOOKUP($A107, Sheet4!$A$2:$L$688, Consol_Thematic!C$1,FALSE)</f>
        <v>26.17</v>
      </c>
      <c r="D107" s="261">
        <f>VLOOKUP($A107, Sheet4!$A$2:$L$688, Consol_Thematic!D$1,FALSE)</f>
        <v>24.61</v>
      </c>
      <c r="E107" s="261">
        <f>VLOOKUP($A107, Sheet4!$A$2:$L$688, Consol_Thematic!E$1,FALSE)</f>
        <v>1.05</v>
      </c>
      <c r="F107" s="261">
        <f>VLOOKUP($A107, Sheet4!$A$2:$L$688, Consol_Thematic!F$1,FALSE)</f>
        <v>1.69</v>
      </c>
      <c r="G107" s="261">
        <f>VLOOKUP($A107, Sheet4!$A$2:$L$688, Consol_Thematic!G$1,FALSE)</f>
        <v>4.08</v>
      </c>
      <c r="H107" s="261">
        <f>VLOOKUP($A107, Sheet4!$A$2:$L$688, Consol_Thematic!H$1,FALSE)</f>
        <v>0.94</v>
      </c>
      <c r="I107" s="261">
        <f>VLOOKUP($A107, Sheet4!$A$2:$L$688, Consol_Thematic!I$1,FALSE)</f>
        <v>0.96</v>
      </c>
      <c r="J107" s="261">
        <f>VLOOKUP($A107, Sheet4!$A$2:$L$688, Consol_Thematic!J$1,FALSE)</f>
        <v>14.43</v>
      </c>
      <c r="K107" s="261">
        <f t="shared" si="36"/>
        <v>0.94709772226304201</v>
      </c>
      <c r="L107" s="261">
        <f t="shared" si="37"/>
        <v>2.3076923076923079</v>
      </c>
      <c r="M107" s="261">
        <f t="shared" si="38"/>
        <v>0.72133406835722158</v>
      </c>
      <c r="N107" s="261">
        <f t="shared" si="39"/>
        <v>0.79284793814432986</v>
      </c>
      <c r="O107" s="261">
        <f t="shared" si="40"/>
        <v>0.35465116279069769</v>
      </c>
      <c r="P107" s="261">
        <f t="shared" si="41"/>
        <v>0.98130841121495327</v>
      </c>
      <c r="Q107" s="261">
        <f t="shared" si="42"/>
        <v>0.8666666666666667</v>
      </c>
      <c r="R107" s="261">
        <f t="shared" si="43"/>
        <v>0.19327731092436976</v>
      </c>
      <c r="S107" s="261">
        <f t="shared" si="44"/>
        <v>0.82400932400932403</v>
      </c>
      <c r="T107" s="261" t="e">
        <f>(K107*'Fund Ranking Criteria'!$J$9)+('Fund Ranking Criteria'!$J$10*Consol_Thematic!M107)+('Fund Ranking Criteria'!$J$12*Consol_Thematic!S107)+('Fund Ranking Criteria'!$J$14*Consol_Thematic!R107)+('Fund Ranking Criteria'!$J$15*Consol_Thematic!O107)+('Fund Ranking Criteria'!$J$16*Consol_Thematic!P107)+('Fund Ranking Criteria'!#REF!*Consol_Thematic!Q107)+('Fund Ranking Criteria'!#REF!*Consol_Thematic!L107)</f>
        <v>#REF!</v>
      </c>
      <c r="U107" s="261" t="e">
        <f t="shared" si="45"/>
        <v>#REF!</v>
      </c>
      <c r="V107" s="261" t="e">
        <f t="shared" si="46"/>
        <v>#REF!</v>
      </c>
      <c r="W107" s="261" t="str">
        <f t="shared" si="47"/>
        <v>Nippon India Quant Fund - Retail Plan</v>
      </c>
    </row>
    <row r="108" spans="1:23" x14ac:dyDescent="0.25">
      <c r="A108" s="261" t="s">
        <v>696</v>
      </c>
      <c r="B108" s="261">
        <f>VLOOKUP($A108, Sheet4!$A$2:$L$688, Consol_Thematic!B$1,FALSE)</f>
        <v>-4.97</v>
      </c>
      <c r="C108" s="261">
        <f>VLOOKUP($A108, Sheet4!$A$2:$L$688, Consol_Thematic!C$1,FALSE)</f>
        <v>0</v>
      </c>
      <c r="D108" s="261">
        <f>VLOOKUP($A108, Sheet4!$A$2:$L$688, Consol_Thematic!D$1,FALSE)</f>
        <v>0</v>
      </c>
      <c r="E108" s="261">
        <f>VLOOKUP($A108, Sheet4!$A$2:$L$688, Consol_Thematic!E$1,FALSE)</f>
        <v>0</v>
      </c>
      <c r="F108" s="261">
        <f>VLOOKUP($A108, Sheet4!$A$2:$L$688, Consol_Thematic!F$1,FALSE)</f>
        <v>0</v>
      </c>
      <c r="G108" s="261">
        <f>VLOOKUP($A108, Sheet4!$A$2:$L$688, Consol_Thematic!G$1,FALSE)</f>
        <v>0</v>
      </c>
      <c r="H108" s="261">
        <f>VLOOKUP($A108, Sheet4!$A$2:$L$688, Consol_Thematic!H$1,FALSE)</f>
        <v>2.09</v>
      </c>
      <c r="I108" s="261">
        <f>VLOOKUP($A108, Sheet4!$A$2:$L$688, Consol_Thematic!I$1,FALSE)</f>
        <v>0</v>
      </c>
      <c r="J108" s="261">
        <f>VLOOKUP($A108, Sheet4!$A$2:$L$688, Consol_Thematic!J$1,FALSE)</f>
        <v>0</v>
      </c>
      <c r="K108" s="261">
        <f t="shared" si="36"/>
        <v>3.6737692872887452E-3</v>
      </c>
      <c r="L108" s="261">
        <f t="shared" si="37"/>
        <v>0.53846153846153866</v>
      </c>
      <c r="M108" s="261">
        <f t="shared" si="38"/>
        <v>0</v>
      </c>
      <c r="N108" s="261">
        <f t="shared" si="39"/>
        <v>0</v>
      </c>
      <c r="O108" s="261">
        <f t="shared" si="40"/>
        <v>1</v>
      </c>
      <c r="P108" s="261">
        <f t="shared" si="41"/>
        <v>0</v>
      </c>
      <c r="Q108" s="261">
        <f t="shared" si="42"/>
        <v>0</v>
      </c>
      <c r="R108" s="261">
        <f t="shared" si="43"/>
        <v>1</v>
      </c>
      <c r="S108" s="261">
        <f t="shared" si="44"/>
        <v>0.34848484848484851</v>
      </c>
      <c r="T108" s="261" t="e">
        <f>(K108*'Fund Ranking Criteria'!$J$9)+('Fund Ranking Criteria'!$J$10*Consol_Thematic!M108)+('Fund Ranking Criteria'!$J$12*Consol_Thematic!S108)+('Fund Ranking Criteria'!$J$14*Consol_Thematic!R108)+('Fund Ranking Criteria'!$J$15*Consol_Thematic!O108)+('Fund Ranking Criteria'!$J$16*Consol_Thematic!P108)+('Fund Ranking Criteria'!#REF!*Consol_Thematic!Q108)+('Fund Ranking Criteria'!#REF!*Consol_Thematic!L108)</f>
        <v>#REF!</v>
      </c>
      <c r="U108" s="261" t="e">
        <f t="shared" si="45"/>
        <v>#REF!</v>
      </c>
      <c r="V108" s="261" t="e">
        <f t="shared" si="46"/>
        <v>#REF!</v>
      </c>
      <c r="W108" s="261" t="str">
        <f t="shared" si="47"/>
        <v>Quant Business Cycle Fund - Regular Plan</v>
      </c>
    </row>
    <row r="109" spans="1:23" x14ac:dyDescent="0.25">
      <c r="A109" s="261" t="s">
        <v>697</v>
      </c>
      <c r="B109" s="261">
        <f>VLOOKUP($A109, Sheet4!$A$2:$L$688, Consol_Thematic!B$1,FALSE)</f>
        <v>0.56999999999999995</v>
      </c>
      <c r="C109" s="261">
        <f>VLOOKUP($A109, Sheet4!$A$2:$L$688, Consol_Thematic!C$1,FALSE)</f>
        <v>0</v>
      </c>
      <c r="D109" s="261">
        <f>VLOOKUP($A109, Sheet4!$A$2:$L$688, Consol_Thematic!D$1,FALSE)</f>
        <v>0</v>
      </c>
      <c r="E109" s="261">
        <f>VLOOKUP($A109, Sheet4!$A$2:$L$688, Consol_Thematic!E$1,FALSE)</f>
        <v>0</v>
      </c>
      <c r="F109" s="261">
        <f>VLOOKUP($A109, Sheet4!$A$2:$L$688, Consol_Thematic!F$1,FALSE)</f>
        <v>0</v>
      </c>
      <c r="G109" s="261">
        <f>VLOOKUP($A109, Sheet4!$A$2:$L$688, Consol_Thematic!G$1,FALSE)</f>
        <v>0</v>
      </c>
      <c r="H109" s="261">
        <f>VLOOKUP($A109, Sheet4!$A$2:$L$688, Consol_Thematic!H$1,FALSE)</f>
        <v>2.42</v>
      </c>
      <c r="I109" s="261">
        <f>VLOOKUP($A109, Sheet4!$A$2:$L$688, Consol_Thematic!I$1,FALSE)</f>
        <v>0</v>
      </c>
      <c r="J109" s="261">
        <f>VLOOKUP($A109, Sheet4!$A$2:$L$688, Consol_Thematic!J$1,FALSE)</f>
        <v>0</v>
      </c>
      <c r="K109" s="261">
        <f t="shared" si="36"/>
        <v>0.41072740631888316</v>
      </c>
      <c r="L109" s="261">
        <f t="shared" si="37"/>
        <v>3.0769230769230802E-2</v>
      </c>
      <c r="M109" s="261">
        <f t="shared" si="38"/>
        <v>0</v>
      </c>
      <c r="N109" s="261">
        <f t="shared" si="39"/>
        <v>0</v>
      </c>
      <c r="O109" s="261">
        <f t="shared" si="40"/>
        <v>1</v>
      </c>
      <c r="P109" s="261">
        <f t="shared" si="41"/>
        <v>0</v>
      </c>
      <c r="Q109" s="261">
        <f t="shared" si="42"/>
        <v>0</v>
      </c>
      <c r="R109" s="261">
        <f t="shared" si="43"/>
        <v>1</v>
      </c>
      <c r="S109" s="261">
        <f t="shared" si="44"/>
        <v>0.34848484848484851</v>
      </c>
      <c r="T109" s="261" t="e">
        <f>(K109*'Fund Ranking Criteria'!$J$9)+('Fund Ranking Criteria'!$J$10*Consol_Thematic!M109)+('Fund Ranking Criteria'!$J$12*Consol_Thematic!S109)+('Fund Ranking Criteria'!$J$14*Consol_Thematic!R109)+('Fund Ranking Criteria'!$J$15*Consol_Thematic!O109)+('Fund Ranking Criteria'!$J$16*Consol_Thematic!P109)+('Fund Ranking Criteria'!#REF!*Consol_Thematic!Q109)+('Fund Ranking Criteria'!#REF!*Consol_Thematic!L109)</f>
        <v>#REF!</v>
      </c>
      <c r="U109" s="261" t="e">
        <f t="shared" si="45"/>
        <v>#REF!</v>
      </c>
      <c r="V109" s="261" t="e">
        <f t="shared" si="46"/>
        <v>#REF!</v>
      </c>
      <c r="W109" s="261" t="str">
        <f t="shared" si="47"/>
        <v>Quant Commodities Fund - Regular Plan</v>
      </c>
    </row>
    <row r="110" spans="1:23" x14ac:dyDescent="0.25">
      <c r="A110" s="261" t="s">
        <v>698</v>
      </c>
      <c r="B110" s="261">
        <f>VLOOKUP($A110, Sheet4!$A$2:$L$688, Consol_Thematic!B$1,FALSE)</f>
        <v>-5.31</v>
      </c>
      <c r="C110" s="261">
        <f>VLOOKUP($A110, Sheet4!$A$2:$L$688, Consol_Thematic!C$1,FALSE)</f>
        <v>0</v>
      </c>
      <c r="D110" s="261">
        <f>VLOOKUP($A110, Sheet4!$A$2:$L$688, Consol_Thematic!D$1,FALSE)</f>
        <v>0</v>
      </c>
      <c r="E110" s="261">
        <f>VLOOKUP($A110, Sheet4!$A$2:$L$688, Consol_Thematic!E$1,FALSE)</f>
        <v>0</v>
      </c>
      <c r="F110" s="261">
        <f>VLOOKUP($A110, Sheet4!$A$2:$L$688, Consol_Thematic!F$1,FALSE)</f>
        <v>0</v>
      </c>
      <c r="G110" s="261">
        <f>VLOOKUP($A110, Sheet4!$A$2:$L$688, Consol_Thematic!G$1,FALSE)</f>
        <v>0</v>
      </c>
      <c r="H110" s="261">
        <f>VLOOKUP($A110, Sheet4!$A$2:$L$688, Consol_Thematic!H$1,FALSE)</f>
        <v>2.42</v>
      </c>
      <c r="I110" s="261">
        <f>VLOOKUP($A110, Sheet4!$A$2:$L$688, Consol_Thematic!I$1,FALSE)</f>
        <v>0</v>
      </c>
      <c r="J110" s="261">
        <f>VLOOKUP($A110, Sheet4!$A$2:$L$688, Consol_Thematic!J$1,FALSE)</f>
        <v>0</v>
      </c>
      <c r="K110" s="261">
        <f t="shared" si="36"/>
        <v>-2.1307861866274803E-2</v>
      </c>
      <c r="L110" s="261">
        <f t="shared" si="37"/>
        <v>3.0769230769230802E-2</v>
      </c>
      <c r="M110" s="261">
        <f t="shared" si="38"/>
        <v>0</v>
      </c>
      <c r="N110" s="261">
        <f t="shared" si="39"/>
        <v>0</v>
      </c>
      <c r="O110" s="261">
        <f t="shared" si="40"/>
        <v>1</v>
      </c>
      <c r="P110" s="261">
        <f t="shared" si="41"/>
        <v>0</v>
      </c>
      <c r="Q110" s="261">
        <f t="shared" si="42"/>
        <v>0</v>
      </c>
      <c r="R110" s="261">
        <f t="shared" si="43"/>
        <v>1</v>
      </c>
      <c r="S110" s="261">
        <f t="shared" si="44"/>
        <v>0.34848484848484851</v>
      </c>
      <c r="T110" s="261" t="e">
        <f>(K110*'Fund Ranking Criteria'!$J$9)+('Fund Ranking Criteria'!$J$10*Consol_Thematic!M110)+('Fund Ranking Criteria'!$J$12*Consol_Thematic!S110)+('Fund Ranking Criteria'!$J$14*Consol_Thematic!R110)+('Fund Ranking Criteria'!$J$15*Consol_Thematic!O110)+('Fund Ranking Criteria'!$J$16*Consol_Thematic!P110)+('Fund Ranking Criteria'!#REF!*Consol_Thematic!Q110)+('Fund Ranking Criteria'!#REF!*Consol_Thematic!L110)</f>
        <v>#REF!</v>
      </c>
      <c r="U110" s="261" t="e">
        <f t="shared" si="45"/>
        <v>#REF!</v>
      </c>
      <c r="V110" s="261" t="e">
        <f t="shared" si="46"/>
        <v>#REF!</v>
      </c>
      <c r="W110" s="261" t="str">
        <f t="shared" si="47"/>
        <v>Quant Consumption Fund - Regular Plan</v>
      </c>
    </row>
    <row r="111" spans="1:23" x14ac:dyDescent="0.25">
      <c r="A111" s="261" t="s">
        <v>700</v>
      </c>
      <c r="B111" s="261">
        <f>VLOOKUP($A111, Sheet4!$A$2:$L$688, Consol_Thematic!B$1,FALSE)</f>
        <v>-0.75</v>
      </c>
      <c r="C111" s="261">
        <f>VLOOKUP($A111, Sheet4!$A$2:$L$688, Consol_Thematic!C$1,FALSE)</f>
        <v>22.79</v>
      </c>
      <c r="D111" s="261">
        <f>VLOOKUP($A111, Sheet4!$A$2:$L$688, Consol_Thematic!D$1,FALSE)</f>
        <v>0</v>
      </c>
      <c r="E111" s="261">
        <f>VLOOKUP($A111, Sheet4!$A$2:$L$688, Consol_Thematic!E$1,FALSE)</f>
        <v>0.79</v>
      </c>
      <c r="F111" s="261">
        <f>VLOOKUP($A111, Sheet4!$A$2:$L$688, Consol_Thematic!F$1,FALSE)</f>
        <v>1.29</v>
      </c>
      <c r="G111" s="261">
        <f>VLOOKUP($A111, Sheet4!$A$2:$L$688, Consol_Thematic!G$1,FALSE)</f>
        <v>2.5099999999999998</v>
      </c>
      <c r="H111" s="261">
        <f>VLOOKUP($A111, Sheet4!$A$2:$L$688, Consol_Thematic!H$1,FALSE)</f>
        <v>2.41</v>
      </c>
      <c r="I111" s="261">
        <f>VLOOKUP($A111, Sheet4!$A$2:$L$688, Consol_Thematic!I$1,FALSE)</f>
        <v>1.07</v>
      </c>
      <c r="J111" s="261">
        <f>VLOOKUP($A111, Sheet4!$A$2:$L$688, Consol_Thematic!J$1,FALSE)</f>
        <v>17.2</v>
      </c>
      <c r="K111" s="261">
        <f t="shared" si="36"/>
        <v>0.31373989713445993</v>
      </c>
      <c r="L111" s="261">
        <f t="shared" si="37"/>
        <v>4.6153846153845858E-2</v>
      </c>
      <c r="M111" s="261">
        <f t="shared" si="38"/>
        <v>0.62816979051819177</v>
      </c>
      <c r="N111" s="261">
        <f t="shared" si="39"/>
        <v>0</v>
      </c>
      <c r="O111" s="261">
        <f t="shared" si="40"/>
        <v>0.23076923076923078</v>
      </c>
      <c r="P111" s="261">
        <f t="shared" si="41"/>
        <v>0.73831775700934577</v>
      </c>
      <c r="Q111" s="261">
        <f t="shared" si="42"/>
        <v>0.66153846153846152</v>
      </c>
      <c r="R111" s="261">
        <f t="shared" si="43"/>
        <v>0.10084033613445369</v>
      </c>
      <c r="S111" s="261">
        <f t="shared" si="44"/>
        <v>0.64102564102564097</v>
      </c>
      <c r="T111" s="261" t="e">
        <f>(K111*'Fund Ranking Criteria'!$J$9)+('Fund Ranking Criteria'!$J$10*Consol_Thematic!M111)+('Fund Ranking Criteria'!$J$12*Consol_Thematic!S111)+('Fund Ranking Criteria'!$J$14*Consol_Thematic!R111)+('Fund Ranking Criteria'!$J$15*Consol_Thematic!O111)+('Fund Ranking Criteria'!$J$16*Consol_Thematic!P111)+('Fund Ranking Criteria'!#REF!*Consol_Thematic!Q111)+('Fund Ranking Criteria'!#REF!*Consol_Thematic!L111)</f>
        <v>#REF!</v>
      </c>
      <c r="U111" s="261" t="e">
        <f t="shared" si="45"/>
        <v>#REF!</v>
      </c>
      <c r="V111" s="261" t="e">
        <f t="shared" si="46"/>
        <v>#REF!</v>
      </c>
      <c r="W111" s="261" t="str">
        <f t="shared" si="47"/>
        <v>Quant ESG Equity Fund - Regular Plan</v>
      </c>
    </row>
    <row r="112" spans="1:23" x14ac:dyDescent="0.25">
      <c r="A112" s="261" t="s">
        <v>705</v>
      </c>
      <c r="B112" s="261">
        <f>VLOOKUP($A112, Sheet4!$A$2:$L$688, Consol_Thematic!B$1,FALSE)</f>
        <v>-9.06</v>
      </c>
      <c r="C112" s="261">
        <f>VLOOKUP($A112, Sheet4!$A$2:$L$688, Consol_Thematic!C$1,FALSE)</f>
        <v>0</v>
      </c>
      <c r="D112" s="261">
        <f>VLOOKUP($A112, Sheet4!$A$2:$L$688, Consol_Thematic!D$1,FALSE)</f>
        <v>0</v>
      </c>
      <c r="E112" s="261">
        <f>VLOOKUP($A112, Sheet4!$A$2:$L$688, Consol_Thematic!E$1,FALSE)</f>
        <v>0</v>
      </c>
      <c r="F112" s="261">
        <f>VLOOKUP($A112, Sheet4!$A$2:$L$688, Consol_Thematic!F$1,FALSE)</f>
        <v>0</v>
      </c>
      <c r="G112" s="261">
        <f>VLOOKUP($A112, Sheet4!$A$2:$L$688, Consol_Thematic!G$1,FALSE)</f>
        <v>0</v>
      </c>
      <c r="H112" s="261">
        <f>VLOOKUP($A112, Sheet4!$A$2:$L$688, Consol_Thematic!H$1,FALSE)</f>
        <v>2.25</v>
      </c>
      <c r="I112" s="261">
        <f>VLOOKUP($A112, Sheet4!$A$2:$L$688, Consol_Thematic!I$1,FALSE)</f>
        <v>0</v>
      </c>
      <c r="J112" s="261">
        <f>VLOOKUP($A112, Sheet4!$A$2:$L$688, Consol_Thematic!J$1,FALSE)</f>
        <v>0</v>
      </c>
      <c r="K112" s="261">
        <f t="shared" si="36"/>
        <v>-0.29684055841293172</v>
      </c>
      <c r="L112" s="261">
        <f t="shared" si="37"/>
        <v>0.29230769230769227</v>
      </c>
      <c r="M112" s="261">
        <f t="shared" si="38"/>
        <v>0</v>
      </c>
      <c r="N112" s="261">
        <f t="shared" si="39"/>
        <v>0</v>
      </c>
      <c r="O112" s="261">
        <f t="shared" si="40"/>
        <v>1</v>
      </c>
      <c r="P112" s="261">
        <f t="shared" si="41"/>
        <v>0</v>
      </c>
      <c r="Q112" s="261">
        <f t="shared" si="42"/>
        <v>0</v>
      </c>
      <c r="R112" s="261">
        <f t="shared" si="43"/>
        <v>1</v>
      </c>
      <c r="S112" s="261">
        <f t="shared" si="44"/>
        <v>0.34848484848484851</v>
      </c>
      <c r="T112" s="261" t="e">
        <f>(K112*'Fund Ranking Criteria'!$J$9)+('Fund Ranking Criteria'!$J$10*Consol_Thematic!M112)+('Fund Ranking Criteria'!$J$12*Consol_Thematic!S112)+('Fund Ranking Criteria'!$J$14*Consol_Thematic!R112)+('Fund Ranking Criteria'!$J$15*Consol_Thematic!O112)+('Fund Ranking Criteria'!$J$16*Consol_Thematic!P112)+('Fund Ranking Criteria'!#REF!*Consol_Thematic!Q112)+('Fund Ranking Criteria'!#REF!*Consol_Thematic!L112)</f>
        <v>#REF!</v>
      </c>
      <c r="U112" s="261" t="e">
        <f t="shared" si="45"/>
        <v>#REF!</v>
      </c>
      <c r="V112" s="261" t="e">
        <f t="shared" si="46"/>
        <v>#REF!</v>
      </c>
      <c r="W112" s="261" t="str">
        <f t="shared" si="47"/>
        <v>Quant Manufacturing Fund - Regular Plan</v>
      </c>
    </row>
    <row r="113" spans="1:23" x14ac:dyDescent="0.25">
      <c r="A113" s="261" t="s">
        <v>707</v>
      </c>
      <c r="B113" s="261">
        <f>VLOOKUP($A113, Sheet4!$A$2:$L$688, Consol_Thematic!B$1,FALSE)</f>
        <v>-4.95</v>
      </c>
      <c r="C113" s="261">
        <f>VLOOKUP($A113, Sheet4!$A$2:$L$688, Consol_Thematic!C$1,FALSE)</f>
        <v>0</v>
      </c>
      <c r="D113" s="261">
        <f>VLOOKUP($A113, Sheet4!$A$2:$L$688, Consol_Thematic!D$1,FALSE)</f>
        <v>0</v>
      </c>
      <c r="E113" s="261">
        <f>VLOOKUP($A113, Sheet4!$A$2:$L$688, Consol_Thematic!E$1,FALSE)</f>
        <v>0</v>
      </c>
      <c r="F113" s="261">
        <f>VLOOKUP($A113, Sheet4!$A$2:$L$688, Consol_Thematic!F$1,FALSE)</f>
        <v>0</v>
      </c>
      <c r="G113" s="261">
        <f>VLOOKUP($A113, Sheet4!$A$2:$L$688, Consol_Thematic!G$1,FALSE)</f>
        <v>0</v>
      </c>
      <c r="H113" s="261">
        <f>VLOOKUP($A113, Sheet4!$A$2:$L$688, Consol_Thematic!H$1,FALSE)</f>
        <v>2.09</v>
      </c>
      <c r="I113" s="261">
        <f>VLOOKUP($A113, Sheet4!$A$2:$L$688, Consol_Thematic!I$1,FALSE)</f>
        <v>0</v>
      </c>
      <c r="J113" s="261">
        <f>VLOOKUP($A113, Sheet4!$A$2:$L$688, Consol_Thematic!J$1,FALSE)</f>
        <v>0</v>
      </c>
      <c r="K113" s="261">
        <f t="shared" si="36"/>
        <v>5.1432770022042176E-3</v>
      </c>
      <c r="L113" s="261">
        <f t="shared" si="37"/>
        <v>0.53846153846153866</v>
      </c>
      <c r="M113" s="261">
        <f t="shared" si="38"/>
        <v>0</v>
      </c>
      <c r="N113" s="261">
        <f t="shared" si="39"/>
        <v>0</v>
      </c>
      <c r="O113" s="261">
        <f t="shared" si="40"/>
        <v>1</v>
      </c>
      <c r="P113" s="261">
        <f t="shared" si="41"/>
        <v>0</v>
      </c>
      <c r="Q113" s="261">
        <f t="shared" si="42"/>
        <v>0</v>
      </c>
      <c r="R113" s="261">
        <f t="shared" si="43"/>
        <v>1</v>
      </c>
      <c r="S113" s="261">
        <f t="shared" si="44"/>
        <v>0.34848484848484851</v>
      </c>
      <c r="T113" s="261" t="e">
        <f>(K113*'Fund Ranking Criteria'!$J$9)+('Fund Ranking Criteria'!$J$10*Consol_Thematic!M113)+('Fund Ranking Criteria'!$J$12*Consol_Thematic!S113)+('Fund Ranking Criteria'!$J$14*Consol_Thematic!R113)+('Fund Ranking Criteria'!$J$15*Consol_Thematic!O113)+('Fund Ranking Criteria'!$J$16*Consol_Thematic!P113)+('Fund Ranking Criteria'!#REF!*Consol_Thematic!Q113)+('Fund Ranking Criteria'!#REF!*Consol_Thematic!L113)</f>
        <v>#REF!</v>
      </c>
      <c r="U113" s="261" t="e">
        <f t="shared" si="45"/>
        <v>#REF!</v>
      </c>
      <c r="V113" s="261" t="e">
        <f t="shared" si="46"/>
        <v>#REF!</v>
      </c>
      <c r="W113" s="261" t="str">
        <f t="shared" si="47"/>
        <v>Quant Momentum Fund - Regular Plan</v>
      </c>
    </row>
    <row r="114" spans="1:23" x14ac:dyDescent="0.25">
      <c r="A114" s="261" t="s">
        <v>709</v>
      </c>
      <c r="B114" s="261">
        <f>VLOOKUP($A114, Sheet4!$A$2:$L$688, Consol_Thematic!B$1,FALSE)</f>
        <v>-8.86</v>
      </c>
      <c r="C114" s="261">
        <f>VLOOKUP($A114, Sheet4!$A$2:$L$688, Consol_Thematic!C$1,FALSE)</f>
        <v>0</v>
      </c>
      <c r="D114" s="261">
        <f>VLOOKUP($A114, Sheet4!$A$2:$L$688, Consol_Thematic!D$1,FALSE)</f>
        <v>0</v>
      </c>
      <c r="E114" s="261">
        <f>VLOOKUP($A114, Sheet4!$A$2:$L$688, Consol_Thematic!E$1,FALSE)</f>
        <v>0</v>
      </c>
      <c r="F114" s="261">
        <f>VLOOKUP($A114, Sheet4!$A$2:$L$688, Consol_Thematic!F$1,FALSE)</f>
        <v>0</v>
      </c>
      <c r="G114" s="261">
        <f>VLOOKUP($A114, Sheet4!$A$2:$L$688, Consol_Thematic!G$1,FALSE)</f>
        <v>0</v>
      </c>
      <c r="H114" s="261">
        <f>VLOOKUP($A114, Sheet4!$A$2:$L$688, Consol_Thematic!H$1,FALSE)</f>
        <v>2.34</v>
      </c>
      <c r="I114" s="261">
        <f>VLOOKUP($A114, Sheet4!$A$2:$L$688, Consol_Thematic!I$1,FALSE)</f>
        <v>0</v>
      </c>
      <c r="J114" s="261">
        <f>VLOOKUP($A114, Sheet4!$A$2:$L$688, Consol_Thematic!J$1,FALSE)</f>
        <v>0</v>
      </c>
      <c r="K114" s="261">
        <f t="shared" si="36"/>
        <v>-0.28214548126377664</v>
      </c>
      <c r="L114" s="261">
        <f t="shared" si="37"/>
        <v>0.15384615384615399</v>
      </c>
      <c r="M114" s="261">
        <f t="shared" si="38"/>
        <v>0</v>
      </c>
      <c r="N114" s="261">
        <f t="shared" si="39"/>
        <v>0</v>
      </c>
      <c r="O114" s="261">
        <f t="shared" si="40"/>
        <v>1</v>
      </c>
      <c r="P114" s="261">
        <f t="shared" si="41"/>
        <v>0</v>
      </c>
      <c r="Q114" s="261">
        <f t="shared" si="42"/>
        <v>0</v>
      </c>
      <c r="R114" s="261">
        <f t="shared" si="43"/>
        <v>1</v>
      </c>
      <c r="S114" s="261">
        <f t="shared" si="44"/>
        <v>0.34848484848484851</v>
      </c>
      <c r="T114" s="261" t="e">
        <f>(K114*'Fund Ranking Criteria'!$J$9)+('Fund Ranking Criteria'!$J$10*Consol_Thematic!M114)+('Fund Ranking Criteria'!$J$12*Consol_Thematic!S114)+('Fund Ranking Criteria'!$J$14*Consol_Thematic!R114)+('Fund Ranking Criteria'!$J$15*Consol_Thematic!O114)+('Fund Ranking Criteria'!$J$16*Consol_Thematic!P114)+('Fund Ranking Criteria'!#REF!*Consol_Thematic!Q114)+('Fund Ranking Criteria'!#REF!*Consol_Thematic!L114)</f>
        <v>#REF!</v>
      </c>
      <c r="U114" s="261" t="e">
        <f t="shared" si="45"/>
        <v>#REF!</v>
      </c>
      <c r="V114" s="261" t="e">
        <f t="shared" si="46"/>
        <v>#REF!</v>
      </c>
      <c r="W114" s="261" t="str">
        <f t="shared" si="47"/>
        <v>Quant PSU Fund - Regular Plan</v>
      </c>
    </row>
    <row r="115" spans="1:23" x14ac:dyDescent="0.25">
      <c r="A115" s="261" t="s">
        <v>710</v>
      </c>
      <c r="B115" s="261">
        <f>VLOOKUP($A115, Sheet4!$A$2:$L$688, Consol_Thematic!B$1,FALSE)</f>
        <v>-6.45</v>
      </c>
      <c r="C115" s="261">
        <f>VLOOKUP($A115, Sheet4!$A$2:$L$688, Consol_Thematic!C$1,FALSE)</f>
        <v>28.66</v>
      </c>
      <c r="D115" s="261">
        <f>VLOOKUP($A115, Sheet4!$A$2:$L$688, Consol_Thematic!D$1,FALSE)</f>
        <v>0</v>
      </c>
      <c r="E115" s="261">
        <f>VLOOKUP($A115, Sheet4!$A$2:$L$688, Consol_Thematic!E$1,FALSE)</f>
        <v>1.07</v>
      </c>
      <c r="F115" s="261">
        <f>VLOOKUP($A115, Sheet4!$A$2:$L$688, Consol_Thematic!F$1,FALSE)</f>
        <v>1.54</v>
      </c>
      <c r="G115" s="261">
        <f>VLOOKUP($A115, Sheet4!$A$2:$L$688, Consol_Thematic!G$1,FALSE)</f>
        <v>5.86</v>
      </c>
      <c r="H115" s="261">
        <f>VLOOKUP($A115, Sheet4!$A$2:$L$688, Consol_Thematic!H$1,FALSE)</f>
        <v>2.04</v>
      </c>
      <c r="I115" s="261">
        <f>VLOOKUP($A115, Sheet4!$A$2:$L$688, Consol_Thematic!I$1,FALSE)</f>
        <v>1.02</v>
      </c>
      <c r="J115" s="261">
        <f>VLOOKUP($A115, Sheet4!$A$2:$L$688, Consol_Thematic!J$1,FALSE)</f>
        <v>16.420000000000002</v>
      </c>
      <c r="K115" s="261">
        <f t="shared" si="36"/>
        <v>-0.10506980161645854</v>
      </c>
      <c r="L115" s="261">
        <f t="shared" si="37"/>
        <v>0.61538461538461531</v>
      </c>
      <c r="M115" s="261">
        <f t="shared" si="38"/>
        <v>0.78996692392502754</v>
      </c>
      <c r="N115" s="261">
        <f t="shared" si="39"/>
        <v>0</v>
      </c>
      <c r="O115" s="261">
        <f t="shared" si="40"/>
        <v>0.26565295169946324</v>
      </c>
      <c r="P115" s="261">
        <f t="shared" si="41"/>
        <v>1</v>
      </c>
      <c r="Q115" s="261">
        <f t="shared" si="42"/>
        <v>0.78974358974358982</v>
      </c>
      <c r="R115" s="261">
        <f t="shared" si="43"/>
        <v>0.14285714285714279</v>
      </c>
      <c r="S115" s="261">
        <f t="shared" si="44"/>
        <v>1.0314685314685317</v>
      </c>
      <c r="T115" s="261" t="e">
        <f>(K115*'Fund Ranking Criteria'!$J$9)+('Fund Ranking Criteria'!$J$10*Consol_Thematic!M115)+('Fund Ranking Criteria'!$J$12*Consol_Thematic!S115)+('Fund Ranking Criteria'!$J$14*Consol_Thematic!R115)+('Fund Ranking Criteria'!$J$15*Consol_Thematic!O115)+('Fund Ranking Criteria'!$J$16*Consol_Thematic!P115)+('Fund Ranking Criteria'!#REF!*Consol_Thematic!Q115)+('Fund Ranking Criteria'!#REF!*Consol_Thematic!L115)</f>
        <v>#REF!</v>
      </c>
      <c r="U115" s="261" t="e">
        <f t="shared" si="45"/>
        <v>#REF!</v>
      </c>
      <c r="V115" s="261" t="e">
        <f t="shared" si="46"/>
        <v>#REF!</v>
      </c>
      <c r="W115" s="261" t="str">
        <f t="shared" si="47"/>
        <v>Quant Quantamental Fund - Regular Plan</v>
      </c>
    </row>
    <row r="116" spans="1:23" x14ac:dyDescent="0.25">
      <c r="A116" s="261" t="s">
        <v>713</v>
      </c>
      <c r="B116" s="261">
        <f>VLOOKUP($A116, Sheet4!$A$2:$L$688, Consol_Thematic!B$1,FALSE)</f>
        <v>6.78</v>
      </c>
      <c r="C116" s="261">
        <f>VLOOKUP($A116, Sheet4!$A$2:$L$688, Consol_Thematic!C$1,FALSE)</f>
        <v>17.940000000000001</v>
      </c>
      <c r="D116" s="261">
        <f>VLOOKUP($A116, Sheet4!$A$2:$L$688, Consol_Thematic!D$1,FALSE)</f>
        <v>20.309999999999999</v>
      </c>
      <c r="E116" s="261">
        <f>VLOOKUP($A116, Sheet4!$A$2:$L$688, Consol_Thematic!E$1,FALSE)</f>
        <v>0.64</v>
      </c>
      <c r="F116" s="261">
        <f>VLOOKUP($A116, Sheet4!$A$2:$L$688, Consol_Thematic!F$1,FALSE)</f>
        <v>0.96</v>
      </c>
      <c r="G116" s="261">
        <f>VLOOKUP($A116, Sheet4!$A$2:$L$688, Consol_Thematic!G$1,FALSE)</f>
        <v>-1.02</v>
      </c>
      <c r="H116" s="261">
        <f>VLOOKUP($A116, Sheet4!$A$2:$L$688, Consol_Thematic!H$1,FALSE)</f>
        <v>2.1</v>
      </c>
      <c r="I116" s="261">
        <f>VLOOKUP($A116, Sheet4!$A$2:$L$688, Consol_Thematic!I$1,FALSE)</f>
        <v>0.94</v>
      </c>
      <c r="J116" s="261">
        <f>VLOOKUP($A116, Sheet4!$A$2:$L$688, Consol_Thematic!J$1,FALSE)</f>
        <v>13.58</v>
      </c>
      <c r="K116" s="261">
        <f t="shared" si="36"/>
        <v>0.86700955180014705</v>
      </c>
      <c r="L116" s="261">
        <f t="shared" si="37"/>
        <v>0.52307692307692288</v>
      </c>
      <c r="M116" s="261">
        <f t="shared" si="38"/>
        <v>0.49448732083792724</v>
      </c>
      <c r="N116" s="261">
        <f t="shared" si="39"/>
        <v>0.65431701030927836</v>
      </c>
      <c r="O116" s="261">
        <f t="shared" si="40"/>
        <v>0.39266547406082286</v>
      </c>
      <c r="P116" s="261">
        <f t="shared" si="41"/>
        <v>0.59813084112149528</v>
      </c>
      <c r="Q116" s="261">
        <f t="shared" si="42"/>
        <v>0.49230769230769228</v>
      </c>
      <c r="R116" s="261">
        <f t="shared" si="43"/>
        <v>0.21008403361344538</v>
      </c>
      <c r="S116" s="261">
        <f t="shared" si="44"/>
        <v>0.22960372960372963</v>
      </c>
      <c r="T116" s="261" t="e">
        <f>(K116*'Fund Ranking Criteria'!$J$9)+('Fund Ranking Criteria'!$J$10*Consol_Thematic!M116)+('Fund Ranking Criteria'!$J$12*Consol_Thematic!S116)+('Fund Ranking Criteria'!$J$14*Consol_Thematic!R116)+('Fund Ranking Criteria'!$J$15*Consol_Thematic!O116)+('Fund Ranking Criteria'!$J$16*Consol_Thematic!P116)+('Fund Ranking Criteria'!#REF!*Consol_Thematic!Q116)+('Fund Ranking Criteria'!#REF!*Consol_Thematic!L116)</f>
        <v>#REF!</v>
      </c>
      <c r="U116" s="261" t="e">
        <f t="shared" si="45"/>
        <v>#REF!</v>
      </c>
      <c r="V116" s="261" t="e">
        <f t="shared" si="46"/>
        <v>#REF!</v>
      </c>
      <c r="W116" s="261" t="str">
        <f t="shared" si="47"/>
        <v>Quantum ESG Best In Class Strategy Fund - Regular Plan</v>
      </c>
    </row>
    <row r="117" spans="1:23" x14ac:dyDescent="0.25">
      <c r="A117" s="261" t="s">
        <v>714</v>
      </c>
      <c r="B117" s="261">
        <f>VLOOKUP($A117, Sheet4!$A$2:$L$688, Consol_Thematic!B$1,FALSE)</f>
        <v>0</v>
      </c>
      <c r="C117" s="261">
        <f>VLOOKUP($A117, Sheet4!$A$2:$L$688, Consol_Thematic!C$1,FALSE)</f>
        <v>0</v>
      </c>
      <c r="D117" s="261">
        <f>VLOOKUP($A117, Sheet4!$A$2:$L$688, Consol_Thematic!D$1,FALSE)</f>
        <v>0</v>
      </c>
      <c r="E117" s="261">
        <f>VLOOKUP($A117, Sheet4!$A$2:$L$688, Consol_Thematic!E$1,FALSE)</f>
        <v>0</v>
      </c>
      <c r="F117" s="261">
        <f>VLOOKUP($A117, Sheet4!$A$2:$L$688, Consol_Thematic!F$1,FALSE)</f>
        <v>0</v>
      </c>
      <c r="G117" s="261">
        <f>VLOOKUP($A117, Sheet4!$A$2:$L$688, Consol_Thematic!G$1,FALSE)</f>
        <v>0</v>
      </c>
      <c r="H117" s="261">
        <f>VLOOKUP($A117, Sheet4!$A$2:$L$688, Consol_Thematic!H$1,FALSE)</f>
        <v>2.1</v>
      </c>
      <c r="I117" s="261">
        <f>VLOOKUP($A117, Sheet4!$A$2:$L$688, Consol_Thematic!I$1,FALSE)</f>
        <v>0</v>
      </c>
      <c r="J117" s="261">
        <f>VLOOKUP($A117, Sheet4!$A$2:$L$688, Consol_Thematic!J$1,FALSE)</f>
        <v>0</v>
      </c>
      <c r="K117" s="261">
        <f t="shared" si="36"/>
        <v>0.36884643644379134</v>
      </c>
      <c r="L117" s="261">
        <f t="shared" si="37"/>
        <v>0.52307692307692288</v>
      </c>
      <c r="M117" s="261">
        <f t="shared" si="38"/>
        <v>0</v>
      </c>
      <c r="N117" s="261">
        <f t="shared" si="39"/>
        <v>0</v>
      </c>
      <c r="O117" s="261">
        <f t="shared" si="40"/>
        <v>1</v>
      </c>
      <c r="P117" s="261">
        <f t="shared" si="41"/>
        <v>0</v>
      </c>
      <c r="Q117" s="261">
        <f t="shared" si="42"/>
        <v>0</v>
      </c>
      <c r="R117" s="261">
        <f t="shared" si="43"/>
        <v>1</v>
      </c>
      <c r="S117" s="261">
        <f t="shared" si="44"/>
        <v>0.34848484848484851</v>
      </c>
      <c r="T117" s="261" t="e">
        <f>(K117*'Fund Ranking Criteria'!$J$9)+('Fund Ranking Criteria'!$J$10*Consol_Thematic!M117)+('Fund Ranking Criteria'!$J$12*Consol_Thematic!S117)+('Fund Ranking Criteria'!$J$14*Consol_Thematic!R117)+('Fund Ranking Criteria'!$J$15*Consol_Thematic!O117)+('Fund Ranking Criteria'!$J$16*Consol_Thematic!P117)+('Fund Ranking Criteria'!#REF!*Consol_Thematic!Q117)+('Fund Ranking Criteria'!#REF!*Consol_Thematic!L117)</f>
        <v>#REF!</v>
      </c>
      <c r="U117" s="261" t="e">
        <f t="shared" si="45"/>
        <v>#REF!</v>
      </c>
      <c r="V117" s="261" t="e">
        <f t="shared" si="46"/>
        <v>#REF!</v>
      </c>
      <c r="W117" s="261" t="str">
        <f t="shared" si="47"/>
        <v>Quantum Ethical Fund - Regular Plan</v>
      </c>
    </row>
    <row r="118" spans="1:23" x14ac:dyDescent="0.25">
      <c r="A118" s="261" t="s">
        <v>720</v>
      </c>
      <c r="B118" s="261">
        <f>VLOOKUP($A118, Sheet4!$A$2:$L$688, Consol_Thematic!B$1,FALSE)</f>
        <v>0.71</v>
      </c>
      <c r="C118" s="261">
        <f>VLOOKUP($A118, Sheet4!$A$2:$L$688, Consol_Thematic!C$1,FALSE)</f>
        <v>0</v>
      </c>
      <c r="D118" s="261">
        <f>VLOOKUP($A118, Sheet4!$A$2:$L$688, Consol_Thematic!D$1,FALSE)</f>
        <v>0</v>
      </c>
      <c r="E118" s="261">
        <f>VLOOKUP($A118, Sheet4!$A$2:$L$688, Consol_Thematic!E$1,FALSE)</f>
        <v>0</v>
      </c>
      <c r="F118" s="261">
        <f>VLOOKUP($A118, Sheet4!$A$2:$L$688, Consol_Thematic!F$1,FALSE)</f>
        <v>0</v>
      </c>
      <c r="G118" s="261">
        <f>VLOOKUP($A118, Sheet4!$A$2:$L$688, Consol_Thematic!G$1,FALSE)</f>
        <v>0</v>
      </c>
      <c r="H118" s="261">
        <f>VLOOKUP($A118, Sheet4!$A$2:$L$688, Consol_Thematic!H$1,FALSE)</f>
        <v>2.25</v>
      </c>
      <c r="I118" s="261">
        <f>VLOOKUP($A118, Sheet4!$A$2:$L$688, Consol_Thematic!I$1,FALSE)</f>
        <v>0</v>
      </c>
      <c r="J118" s="261">
        <f>VLOOKUP($A118, Sheet4!$A$2:$L$688, Consol_Thematic!J$1,FALSE)</f>
        <v>0</v>
      </c>
      <c r="K118" s="261">
        <f t="shared" si="36"/>
        <v>0.42101396032329169</v>
      </c>
      <c r="L118" s="261">
        <f t="shared" si="37"/>
        <v>0.29230769230769227</v>
      </c>
      <c r="M118" s="261">
        <f t="shared" si="38"/>
        <v>0</v>
      </c>
      <c r="N118" s="261">
        <f t="shared" si="39"/>
        <v>0</v>
      </c>
      <c r="O118" s="261">
        <f t="shared" si="40"/>
        <v>1</v>
      </c>
      <c r="P118" s="261">
        <f t="shared" si="41"/>
        <v>0</v>
      </c>
      <c r="Q118" s="261">
        <f t="shared" si="42"/>
        <v>0</v>
      </c>
      <c r="R118" s="261">
        <f t="shared" si="43"/>
        <v>1</v>
      </c>
      <c r="S118" s="261">
        <f t="shared" si="44"/>
        <v>0.34848484848484851</v>
      </c>
      <c r="T118" s="261" t="e">
        <f>(K118*'Fund Ranking Criteria'!$J$9)+('Fund Ranking Criteria'!$J$10*Consol_Thematic!M118)+('Fund Ranking Criteria'!$J$12*Consol_Thematic!S118)+('Fund Ranking Criteria'!$J$14*Consol_Thematic!R118)+('Fund Ranking Criteria'!$J$15*Consol_Thematic!O118)+('Fund Ranking Criteria'!$J$16*Consol_Thematic!P118)+('Fund Ranking Criteria'!#REF!*Consol_Thematic!Q118)+('Fund Ranking Criteria'!#REF!*Consol_Thematic!L118)</f>
        <v>#REF!</v>
      </c>
      <c r="U118" s="261" t="e">
        <f t="shared" si="45"/>
        <v>#REF!</v>
      </c>
      <c r="V118" s="261" t="e">
        <f t="shared" si="46"/>
        <v>#REF!</v>
      </c>
      <c r="W118" s="261" t="str">
        <f t="shared" si="47"/>
        <v>Samco Active Momentum Fund - Regular Plan</v>
      </c>
    </row>
    <row r="119" spans="1:23" x14ac:dyDescent="0.25">
      <c r="A119" s="261" t="s">
        <v>727</v>
      </c>
      <c r="B119" s="261">
        <f>VLOOKUP($A119, Sheet4!$A$2:$L$688, Consol_Thematic!B$1,FALSE)</f>
        <v>-16.78</v>
      </c>
      <c r="C119" s="261">
        <f>VLOOKUP($A119, Sheet4!$A$2:$L$688, Consol_Thematic!C$1,FALSE)</f>
        <v>0</v>
      </c>
      <c r="D119" s="261">
        <f>VLOOKUP($A119, Sheet4!$A$2:$L$688, Consol_Thematic!D$1,FALSE)</f>
        <v>0</v>
      </c>
      <c r="E119" s="261">
        <f>VLOOKUP($A119, Sheet4!$A$2:$L$688, Consol_Thematic!E$1,FALSE)</f>
        <v>0</v>
      </c>
      <c r="F119" s="261">
        <f>VLOOKUP($A119, Sheet4!$A$2:$L$688, Consol_Thematic!F$1,FALSE)</f>
        <v>0</v>
      </c>
      <c r="G119" s="261">
        <f>VLOOKUP($A119, Sheet4!$A$2:$L$688, Consol_Thematic!G$1,FALSE)</f>
        <v>0</v>
      </c>
      <c r="H119" s="261">
        <f>VLOOKUP($A119, Sheet4!$A$2:$L$688, Consol_Thematic!H$1,FALSE)</f>
        <v>2.41</v>
      </c>
      <c r="I119" s="261">
        <f>VLOOKUP($A119, Sheet4!$A$2:$L$688, Consol_Thematic!I$1,FALSE)</f>
        <v>0</v>
      </c>
      <c r="J119" s="261">
        <f>VLOOKUP($A119, Sheet4!$A$2:$L$688, Consol_Thematic!J$1,FALSE)</f>
        <v>0</v>
      </c>
      <c r="K119" s="261">
        <f t="shared" si="36"/>
        <v>-0.86407053637031606</v>
      </c>
      <c r="L119" s="261">
        <f t="shared" si="37"/>
        <v>4.6153846153845858E-2</v>
      </c>
      <c r="M119" s="261">
        <f t="shared" si="38"/>
        <v>0</v>
      </c>
      <c r="N119" s="261">
        <f t="shared" si="39"/>
        <v>0</v>
      </c>
      <c r="O119" s="261">
        <f t="shared" si="40"/>
        <v>1</v>
      </c>
      <c r="P119" s="261">
        <f t="shared" si="41"/>
        <v>0</v>
      </c>
      <c r="Q119" s="261">
        <f t="shared" si="42"/>
        <v>0</v>
      </c>
      <c r="R119" s="261">
        <f t="shared" si="43"/>
        <v>1</v>
      </c>
      <c r="S119" s="261">
        <f t="shared" si="44"/>
        <v>0.34848484848484851</v>
      </c>
      <c r="T119" s="261" t="e">
        <f>(K119*'Fund Ranking Criteria'!$J$9)+('Fund Ranking Criteria'!$J$10*Consol_Thematic!M119)+('Fund Ranking Criteria'!$J$12*Consol_Thematic!S119)+('Fund Ranking Criteria'!$J$14*Consol_Thematic!R119)+('Fund Ranking Criteria'!$J$15*Consol_Thematic!O119)+('Fund Ranking Criteria'!$J$16*Consol_Thematic!P119)+('Fund Ranking Criteria'!#REF!*Consol_Thematic!Q119)+('Fund Ranking Criteria'!#REF!*Consol_Thematic!L119)</f>
        <v>#REF!</v>
      </c>
      <c r="U119" s="261" t="e">
        <f t="shared" si="45"/>
        <v>#REF!</v>
      </c>
      <c r="V119" s="261" t="e">
        <f t="shared" si="46"/>
        <v>#REF!</v>
      </c>
      <c r="W119" s="261" t="str">
        <f t="shared" si="47"/>
        <v>Samco Special Opportunities Fund - Regular Plan</v>
      </c>
    </row>
    <row r="120" spans="1:23" x14ac:dyDescent="0.25">
      <c r="A120" s="261" t="s">
        <v>728</v>
      </c>
      <c r="B120" s="261">
        <f>VLOOKUP($A120, Sheet4!$A$2:$L$688, Consol_Thematic!B$1,FALSE)</f>
        <v>-6.16</v>
      </c>
      <c r="C120" s="261">
        <f>VLOOKUP($A120, Sheet4!$A$2:$L$688, Consol_Thematic!C$1,FALSE)</f>
        <v>0</v>
      </c>
      <c r="D120" s="261">
        <f>VLOOKUP($A120, Sheet4!$A$2:$L$688, Consol_Thematic!D$1,FALSE)</f>
        <v>0</v>
      </c>
      <c r="E120" s="261">
        <f>VLOOKUP($A120, Sheet4!$A$2:$L$688, Consol_Thematic!E$1,FALSE)</f>
        <v>0</v>
      </c>
      <c r="F120" s="261">
        <f>VLOOKUP($A120, Sheet4!$A$2:$L$688, Consol_Thematic!F$1,FALSE)</f>
        <v>0</v>
      </c>
      <c r="G120" s="261">
        <f>VLOOKUP($A120, Sheet4!$A$2:$L$688, Consol_Thematic!G$1,FALSE)</f>
        <v>0</v>
      </c>
      <c r="H120" s="261">
        <f>VLOOKUP($A120, Sheet4!$A$2:$L$688, Consol_Thematic!H$1,FALSE)</f>
        <v>1.84</v>
      </c>
      <c r="I120" s="261">
        <f>VLOOKUP($A120, Sheet4!$A$2:$L$688, Consol_Thematic!I$1,FALSE)</f>
        <v>0</v>
      </c>
      <c r="J120" s="261">
        <f>VLOOKUP($A120, Sheet4!$A$2:$L$688, Consol_Thematic!J$1,FALSE)</f>
        <v>0</v>
      </c>
      <c r="K120" s="261">
        <f t="shared" si="36"/>
        <v>-8.3761939750183728E-2</v>
      </c>
      <c r="L120" s="261">
        <f t="shared" si="37"/>
        <v>0.92307692307692302</v>
      </c>
      <c r="M120" s="261">
        <f t="shared" si="38"/>
        <v>0</v>
      </c>
      <c r="N120" s="261">
        <f t="shared" si="39"/>
        <v>0</v>
      </c>
      <c r="O120" s="261">
        <f t="shared" si="40"/>
        <v>1</v>
      </c>
      <c r="P120" s="261">
        <f t="shared" si="41"/>
        <v>0</v>
      </c>
      <c r="Q120" s="261">
        <f t="shared" si="42"/>
        <v>0</v>
      </c>
      <c r="R120" s="261">
        <f t="shared" si="43"/>
        <v>1</v>
      </c>
      <c r="S120" s="261">
        <f t="shared" si="44"/>
        <v>0.34848484848484851</v>
      </c>
      <c r="T120" s="261" t="e">
        <f>(K120*'Fund Ranking Criteria'!$J$9)+('Fund Ranking Criteria'!$J$10*Consol_Thematic!M120)+('Fund Ranking Criteria'!$J$12*Consol_Thematic!S120)+('Fund Ranking Criteria'!$J$14*Consol_Thematic!R120)+('Fund Ranking Criteria'!$J$15*Consol_Thematic!O120)+('Fund Ranking Criteria'!$J$16*Consol_Thematic!P120)+('Fund Ranking Criteria'!#REF!*Consol_Thematic!Q120)+('Fund Ranking Criteria'!#REF!*Consol_Thematic!L120)</f>
        <v>#REF!</v>
      </c>
      <c r="U120" s="261" t="e">
        <f t="shared" si="45"/>
        <v>#REF!</v>
      </c>
      <c r="V120" s="261" t="e">
        <f t="shared" si="46"/>
        <v>#REF!</v>
      </c>
      <c r="W120" s="261" t="str">
        <f t="shared" si="47"/>
        <v>SBI Automotive Opportunities Fund - Regular Plan</v>
      </c>
    </row>
    <row r="121" spans="1:23" x14ac:dyDescent="0.25">
      <c r="A121" s="261" t="s">
        <v>735</v>
      </c>
      <c r="B121" s="261">
        <f>VLOOKUP($A121, Sheet4!$A$2:$L$688, Consol_Thematic!B$1,FALSE)</f>
        <v>2.1800000000000002</v>
      </c>
      <c r="C121" s="261">
        <f>VLOOKUP($A121, Sheet4!$A$2:$L$688, Consol_Thematic!C$1,FALSE)</f>
        <v>20.9</v>
      </c>
      <c r="D121" s="261">
        <f>VLOOKUP($A121, Sheet4!$A$2:$L$688, Consol_Thematic!D$1,FALSE)</f>
        <v>26.75</v>
      </c>
      <c r="E121" s="261">
        <f>VLOOKUP($A121, Sheet4!$A$2:$L$688, Consol_Thematic!E$1,FALSE)</f>
        <v>0.8</v>
      </c>
      <c r="F121" s="261">
        <f>VLOOKUP($A121, Sheet4!$A$2:$L$688, Consol_Thematic!F$1,FALSE)</f>
        <v>1.07</v>
      </c>
      <c r="G121" s="261">
        <f>VLOOKUP($A121, Sheet4!$A$2:$L$688, Consol_Thematic!G$1,FALSE)</f>
        <v>0.66</v>
      </c>
      <c r="H121" s="261">
        <f>VLOOKUP($A121, Sheet4!$A$2:$L$688, Consol_Thematic!H$1,FALSE)</f>
        <v>1.98</v>
      </c>
      <c r="I121" s="261">
        <f>VLOOKUP($A121, Sheet4!$A$2:$L$688, Consol_Thematic!I$1,FALSE)</f>
        <v>0.76</v>
      </c>
      <c r="J121" s="261">
        <f>VLOOKUP($A121, Sheet4!$A$2:$L$688, Consol_Thematic!J$1,FALSE)</f>
        <v>14.56</v>
      </c>
      <c r="K121" s="261">
        <f t="shared" si="36"/>
        <v>0.52902277736958114</v>
      </c>
      <c r="L121" s="261">
        <f t="shared" si="37"/>
        <v>0.70769230769230773</v>
      </c>
      <c r="M121" s="261">
        <f t="shared" si="38"/>
        <v>0.5760749724366041</v>
      </c>
      <c r="N121" s="261">
        <f t="shared" si="39"/>
        <v>0.86179123711340211</v>
      </c>
      <c r="O121" s="261">
        <f t="shared" si="40"/>
        <v>0.34883720930232553</v>
      </c>
      <c r="P121" s="261">
        <f t="shared" si="41"/>
        <v>0.74766355140186913</v>
      </c>
      <c r="Q121" s="261">
        <f t="shared" si="42"/>
        <v>0.54871794871794877</v>
      </c>
      <c r="R121" s="261">
        <f t="shared" si="43"/>
        <v>0.36134453781512599</v>
      </c>
      <c r="S121" s="261">
        <f t="shared" si="44"/>
        <v>0.42540792540792544</v>
      </c>
      <c r="T121" s="261" t="e">
        <f>(K121*'Fund Ranking Criteria'!$J$9)+('Fund Ranking Criteria'!$J$10*Consol_Thematic!M121)+('Fund Ranking Criteria'!$J$12*Consol_Thematic!S121)+('Fund Ranking Criteria'!$J$14*Consol_Thematic!R121)+('Fund Ranking Criteria'!$J$15*Consol_Thematic!O121)+('Fund Ranking Criteria'!$J$16*Consol_Thematic!P121)+('Fund Ranking Criteria'!#REF!*Consol_Thematic!Q121)+('Fund Ranking Criteria'!#REF!*Consol_Thematic!L121)</f>
        <v>#REF!</v>
      </c>
      <c r="U121" s="261" t="e">
        <f t="shared" si="45"/>
        <v>#REF!</v>
      </c>
      <c r="V121" s="261" t="e">
        <f t="shared" si="46"/>
        <v>#REF!</v>
      </c>
      <c r="W121" s="261" t="str">
        <f t="shared" si="47"/>
        <v>SBI Consumption Opportunities Fund</v>
      </c>
    </row>
    <row r="122" spans="1:23" x14ac:dyDescent="0.25">
      <c r="A122" s="261" t="s">
        <v>736</v>
      </c>
      <c r="B122" s="261">
        <f>VLOOKUP($A122, Sheet4!$A$2:$L$688, Consol_Thematic!B$1,FALSE)</f>
        <v>-7.0000000000000007E-2</v>
      </c>
      <c r="C122" s="261">
        <f>VLOOKUP($A122, Sheet4!$A$2:$L$688, Consol_Thematic!C$1,FALSE)</f>
        <v>0</v>
      </c>
      <c r="D122" s="261">
        <f>VLOOKUP($A122, Sheet4!$A$2:$L$688, Consol_Thematic!D$1,FALSE)</f>
        <v>0</v>
      </c>
      <c r="E122" s="261">
        <f>VLOOKUP($A122, Sheet4!$A$2:$L$688, Consol_Thematic!E$1,FALSE)</f>
        <v>0</v>
      </c>
      <c r="F122" s="261">
        <f>VLOOKUP($A122, Sheet4!$A$2:$L$688, Consol_Thematic!F$1,FALSE)</f>
        <v>0</v>
      </c>
      <c r="G122" s="261">
        <f>VLOOKUP($A122, Sheet4!$A$2:$L$688, Consol_Thematic!G$1,FALSE)</f>
        <v>0</v>
      </c>
      <c r="H122" s="261">
        <f>VLOOKUP($A122, Sheet4!$A$2:$L$688, Consol_Thematic!H$1,FALSE)</f>
        <v>1.78</v>
      </c>
      <c r="I122" s="261">
        <f>VLOOKUP($A122, Sheet4!$A$2:$L$688, Consol_Thematic!I$1,FALSE)</f>
        <v>0</v>
      </c>
      <c r="J122" s="261">
        <f>VLOOKUP($A122, Sheet4!$A$2:$L$688, Consol_Thematic!J$1,FALSE)</f>
        <v>0</v>
      </c>
      <c r="K122" s="261">
        <f t="shared" si="36"/>
        <v>0.36370315944158704</v>
      </c>
      <c r="L122" s="261">
        <f t="shared" si="37"/>
        <v>1.0153846153846153</v>
      </c>
      <c r="M122" s="261">
        <f t="shared" si="38"/>
        <v>0</v>
      </c>
      <c r="N122" s="261">
        <f t="shared" si="39"/>
        <v>0</v>
      </c>
      <c r="O122" s="261">
        <f t="shared" si="40"/>
        <v>1</v>
      </c>
      <c r="P122" s="261">
        <f t="shared" si="41"/>
        <v>0</v>
      </c>
      <c r="Q122" s="261">
        <f t="shared" si="42"/>
        <v>0</v>
      </c>
      <c r="R122" s="261">
        <f t="shared" si="43"/>
        <v>1</v>
      </c>
      <c r="S122" s="261">
        <f t="shared" si="44"/>
        <v>0.34848484848484851</v>
      </c>
      <c r="T122" s="261" t="e">
        <f>(K122*'Fund Ranking Criteria'!$J$9)+('Fund Ranking Criteria'!$J$10*Consol_Thematic!M122)+('Fund Ranking Criteria'!$J$12*Consol_Thematic!S122)+('Fund Ranking Criteria'!$J$14*Consol_Thematic!R122)+('Fund Ranking Criteria'!$J$15*Consol_Thematic!O122)+('Fund Ranking Criteria'!$J$16*Consol_Thematic!P122)+('Fund Ranking Criteria'!#REF!*Consol_Thematic!Q122)+('Fund Ranking Criteria'!#REF!*Consol_Thematic!L122)</f>
        <v>#REF!</v>
      </c>
      <c r="U122" s="261" t="e">
        <f t="shared" si="45"/>
        <v>#REF!</v>
      </c>
      <c r="V122" s="261" t="e">
        <f t="shared" si="46"/>
        <v>#REF!</v>
      </c>
      <c r="W122" s="261" t="str">
        <f t="shared" si="47"/>
        <v>SBI Dividend Yield Fund - Regular Plan</v>
      </c>
    </row>
    <row r="123" spans="1:23" x14ac:dyDescent="0.25">
      <c r="A123" s="261" t="s">
        <v>737</v>
      </c>
      <c r="B123" s="261">
        <f>VLOOKUP($A123, Sheet4!$A$2:$L$688, Consol_Thematic!B$1,FALSE)</f>
        <v>-2.8</v>
      </c>
      <c r="C123" s="261">
        <f>VLOOKUP($A123, Sheet4!$A$2:$L$688, Consol_Thematic!C$1,FALSE)</f>
        <v>0</v>
      </c>
      <c r="D123" s="261">
        <f>VLOOKUP($A123, Sheet4!$A$2:$L$688, Consol_Thematic!D$1,FALSE)</f>
        <v>0</v>
      </c>
      <c r="E123" s="261">
        <f>VLOOKUP($A123, Sheet4!$A$2:$L$688, Consol_Thematic!E$1,FALSE)</f>
        <v>0</v>
      </c>
      <c r="F123" s="261">
        <f>VLOOKUP($A123, Sheet4!$A$2:$L$688, Consol_Thematic!F$1,FALSE)</f>
        <v>0</v>
      </c>
      <c r="G123" s="261">
        <f>VLOOKUP($A123, Sheet4!$A$2:$L$688, Consol_Thematic!G$1,FALSE)</f>
        <v>0</v>
      </c>
      <c r="H123" s="261">
        <f>VLOOKUP($A123, Sheet4!$A$2:$L$688, Consol_Thematic!H$1,FALSE)</f>
        <v>1.75</v>
      </c>
      <c r="I123" s="261">
        <f>VLOOKUP($A123, Sheet4!$A$2:$L$688, Consol_Thematic!I$1,FALSE)</f>
        <v>0</v>
      </c>
      <c r="J123" s="261">
        <f>VLOOKUP($A123, Sheet4!$A$2:$L$688, Consol_Thematic!J$1,FALSE)</f>
        <v>0</v>
      </c>
      <c r="K123" s="261">
        <f t="shared" si="36"/>
        <v>0.16311535635562086</v>
      </c>
      <c r="L123" s="261">
        <f t="shared" si="37"/>
        <v>1.0615384615384615</v>
      </c>
      <c r="M123" s="261">
        <f t="shared" si="38"/>
        <v>0</v>
      </c>
      <c r="N123" s="261">
        <f t="shared" si="39"/>
        <v>0</v>
      </c>
      <c r="O123" s="261">
        <f t="shared" si="40"/>
        <v>1</v>
      </c>
      <c r="P123" s="261">
        <f t="shared" si="41"/>
        <v>0</v>
      </c>
      <c r="Q123" s="261">
        <f t="shared" si="42"/>
        <v>0</v>
      </c>
      <c r="R123" s="261">
        <f t="shared" si="43"/>
        <v>1</v>
      </c>
      <c r="S123" s="261">
        <f t="shared" si="44"/>
        <v>0.34848484848484851</v>
      </c>
      <c r="T123" s="261" t="e">
        <f>(K123*'Fund Ranking Criteria'!$J$9)+('Fund Ranking Criteria'!$J$10*Consol_Thematic!M123)+('Fund Ranking Criteria'!$J$12*Consol_Thematic!S123)+('Fund Ranking Criteria'!$J$14*Consol_Thematic!R123)+('Fund Ranking Criteria'!$J$15*Consol_Thematic!O123)+('Fund Ranking Criteria'!$J$16*Consol_Thematic!P123)+('Fund Ranking Criteria'!#REF!*Consol_Thematic!Q123)+('Fund Ranking Criteria'!#REF!*Consol_Thematic!L123)</f>
        <v>#REF!</v>
      </c>
      <c r="U123" s="261" t="e">
        <f t="shared" si="45"/>
        <v>#REF!</v>
      </c>
      <c r="V123" s="261" t="e">
        <f t="shared" si="46"/>
        <v>#REF!</v>
      </c>
      <c r="W123" s="261" t="str">
        <f t="shared" si="47"/>
        <v>SBI Energy Opportunities Fund - Regular Plan</v>
      </c>
    </row>
    <row r="124" spans="1:23" x14ac:dyDescent="0.25">
      <c r="A124" s="261" t="s">
        <v>738</v>
      </c>
      <c r="B124" s="261">
        <f>VLOOKUP($A124, Sheet4!$A$2:$L$688, Consol_Thematic!B$1,FALSE)</f>
        <v>3.3</v>
      </c>
      <c r="C124" s="261">
        <f>VLOOKUP($A124, Sheet4!$A$2:$L$688, Consol_Thematic!C$1,FALSE)</f>
        <v>18.059999999999999</v>
      </c>
      <c r="D124" s="261">
        <f>VLOOKUP($A124, Sheet4!$A$2:$L$688, Consol_Thematic!D$1,FALSE)</f>
        <v>20</v>
      </c>
      <c r="E124" s="261">
        <f>VLOOKUP($A124, Sheet4!$A$2:$L$688, Consol_Thematic!E$1,FALSE)</f>
        <v>0.62</v>
      </c>
      <c r="F124" s="261">
        <f>VLOOKUP($A124, Sheet4!$A$2:$L$688, Consol_Thematic!F$1,FALSE)</f>
        <v>0.91</v>
      </c>
      <c r="G124" s="261">
        <f>VLOOKUP($A124, Sheet4!$A$2:$L$688, Consol_Thematic!G$1,FALSE)</f>
        <v>-1.65</v>
      </c>
      <c r="H124" s="261">
        <f>VLOOKUP($A124, Sheet4!$A$2:$L$688, Consol_Thematic!H$1,FALSE)</f>
        <v>0.75</v>
      </c>
      <c r="I124" s="261">
        <f>VLOOKUP($A124, Sheet4!$A$2:$L$688, Consol_Thematic!I$1,FALSE)</f>
        <v>0.91</v>
      </c>
      <c r="J124" s="261">
        <f>VLOOKUP($A124, Sheet4!$A$2:$L$688, Consol_Thematic!J$1,FALSE)</f>
        <v>14.22</v>
      </c>
      <c r="K124" s="261">
        <f t="shared" si="36"/>
        <v>0.6113152094048494</v>
      </c>
      <c r="L124" s="261">
        <f t="shared" si="37"/>
        <v>2.6</v>
      </c>
      <c r="M124" s="261">
        <f t="shared" si="38"/>
        <v>0.49779492833517086</v>
      </c>
      <c r="N124" s="261">
        <f t="shared" si="39"/>
        <v>0.64432989690721654</v>
      </c>
      <c r="O124" s="261">
        <f t="shared" si="40"/>
        <v>0.36404293381037561</v>
      </c>
      <c r="P124" s="261">
        <f t="shared" si="41"/>
        <v>0.57943925233644855</v>
      </c>
      <c r="Q124" s="261">
        <f t="shared" si="42"/>
        <v>0.46666666666666667</v>
      </c>
      <c r="R124" s="261">
        <f t="shared" si="43"/>
        <v>0.23529411764705876</v>
      </c>
      <c r="S124" s="261">
        <f t="shared" si="44"/>
        <v>0.15617715617715622</v>
      </c>
      <c r="T124" s="261" t="e">
        <f>(K124*'Fund Ranking Criteria'!$J$9)+('Fund Ranking Criteria'!$J$10*Consol_Thematic!M124)+('Fund Ranking Criteria'!$J$12*Consol_Thematic!S124)+('Fund Ranking Criteria'!$J$14*Consol_Thematic!R124)+('Fund Ranking Criteria'!$J$15*Consol_Thematic!O124)+('Fund Ranking Criteria'!$J$16*Consol_Thematic!P124)+('Fund Ranking Criteria'!#REF!*Consol_Thematic!Q124)+('Fund Ranking Criteria'!#REF!*Consol_Thematic!L124)</f>
        <v>#REF!</v>
      </c>
      <c r="U124" s="261" t="e">
        <f t="shared" si="45"/>
        <v>#REF!</v>
      </c>
      <c r="V124" s="261" t="e">
        <f t="shared" si="46"/>
        <v>#REF!</v>
      </c>
      <c r="W124" s="261" t="str">
        <f t="shared" si="47"/>
        <v>SBI Equity Minimum Variance Fund - Regular Plan</v>
      </c>
    </row>
    <row r="125" spans="1:23" x14ac:dyDescent="0.25">
      <c r="A125" s="261" t="s">
        <v>739</v>
      </c>
      <c r="B125" s="261">
        <f>VLOOKUP($A125, Sheet4!$A$2:$L$688, Consol_Thematic!B$1,FALSE)</f>
        <v>3.85</v>
      </c>
      <c r="C125" s="261">
        <f>VLOOKUP($A125, Sheet4!$A$2:$L$688, Consol_Thematic!C$1,FALSE)</f>
        <v>18.329999999999998</v>
      </c>
      <c r="D125" s="261">
        <f>VLOOKUP($A125, Sheet4!$A$2:$L$688, Consol_Thematic!D$1,FALSE)</f>
        <v>20.13</v>
      </c>
      <c r="E125" s="261">
        <f>VLOOKUP($A125, Sheet4!$A$2:$L$688, Consol_Thematic!E$1,FALSE)</f>
        <v>0.7</v>
      </c>
      <c r="F125" s="261">
        <f>VLOOKUP($A125, Sheet4!$A$2:$L$688, Consol_Thematic!F$1,FALSE)</f>
        <v>1.1100000000000001</v>
      </c>
      <c r="G125" s="261">
        <f>VLOOKUP($A125, Sheet4!$A$2:$L$688, Consol_Thematic!G$1,FALSE)</f>
        <v>-0.35</v>
      </c>
      <c r="H125" s="261">
        <f>VLOOKUP($A125, Sheet4!$A$2:$L$688, Consol_Thematic!H$1,FALSE)</f>
        <v>1.93</v>
      </c>
      <c r="I125" s="261">
        <f>VLOOKUP($A125, Sheet4!$A$2:$L$688, Consol_Thematic!I$1,FALSE)</f>
        <v>0.93</v>
      </c>
      <c r="J125" s="261">
        <f>VLOOKUP($A125, Sheet4!$A$2:$L$688, Consol_Thematic!J$1,FALSE)</f>
        <v>13.16</v>
      </c>
      <c r="K125" s="261">
        <f t="shared" si="36"/>
        <v>0.65172667156502573</v>
      </c>
      <c r="L125" s="261">
        <f t="shared" si="37"/>
        <v>0.78461538461538471</v>
      </c>
      <c r="M125" s="261">
        <f t="shared" si="38"/>
        <v>0.50523704520396906</v>
      </c>
      <c r="N125" s="261">
        <f t="shared" si="39"/>
        <v>0.64851804123711343</v>
      </c>
      <c r="O125" s="261">
        <f t="shared" si="40"/>
        <v>0.41144901610017887</v>
      </c>
      <c r="P125" s="261">
        <f t="shared" si="41"/>
        <v>0.65420560747663548</v>
      </c>
      <c r="Q125" s="261">
        <f t="shared" si="42"/>
        <v>0.56923076923076932</v>
      </c>
      <c r="R125" s="261">
        <f t="shared" si="43"/>
        <v>0.21848739495798311</v>
      </c>
      <c r="S125" s="261">
        <f t="shared" si="44"/>
        <v>0.30769230769230771</v>
      </c>
      <c r="T125" s="261" t="e">
        <f>(K125*'Fund Ranking Criteria'!$J$9)+('Fund Ranking Criteria'!$J$10*Consol_Thematic!M125)+('Fund Ranking Criteria'!$J$12*Consol_Thematic!S125)+('Fund Ranking Criteria'!$J$14*Consol_Thematic!R125)+('Fund Ranking Criteria'!$J$15*Consol_Thematic!O125)+('Fund Ranking Criteria'!$J$16*Consol_Thematic!P125)+('Fund Ranking Criteria'!#REF!*Consol_Thematic!Q125)+('Fund Ranking Criteria'!#REF!*Consol_Thematic!L125)</f>
        <v>#REF!</v>
      </c>
      <c r="U125" s="261" t="e">
        <f t="shared" si="45"/>
        <v>#REF!</v>
      </c>
      <c r="V125" s="261" t="e">
        <f t="shared" si="46"/>
        <v>#REF!</v>
      </c>
      <c r="W125" s="261" t="str">
        <f t="shared" si="47"/>
        <v>SBI ESG Exclusionary Strategy Fund</v>
      </c>
    </row>
    <row r="126" spans="1:23" x14ac:dyDescent="0.25">
      <c r="A126" s="261" t="s">
        <v>742</v>
      </c>
      <c r="B126" s="261">
        <f>VLOOKUP($A126, Sheet4!$A$2:$L$688, Consol_Thematic!B$1,FALSE)</f>
        <v>0</v>
      </c>
      <c r="C126" s="261">
        <f>VLOOKUP($A126, Sheet4!$A$2:$L$688, Consol_Thematic!C$1,FALSE)</f>
        <v>0</v>
      </c>
      <c r="D126" s="261">
        <f>VLOOKUP($A126, Sheet4!$A$2:$L$688, Consol_Thematic!D$1,FALSE)</f>
        <v>0</v>
      </c>
      <c r="E126" s="261">
        <f>VLOOKUP($A126, Sheet4!$A$2:$L$688, Consol_Thematic!E$1,FALSE)</f>
        <v>0</v>
      </c>
      <c r="F126" s="261">
        <f>VLOOKUP($A126, Sheet4!$A$2:$L$688, Consol_Thematic!F$1,FALSE)</f>
        <v>0</v>
      </c>
      <c r="G126" s="261">
        <f>VLOOKUP($A126, Sheet4!$A$2:$L$688, Consol_Thematic!G$1,FALSE)</f>
        <v>0</v>
      </c>
      <c r="H126" s="261">
        <f>VLOOKUP($A126, Sheet4!$A$2:$L$688, Consol_Thematic!H$1,FALSE)</f>
        <v>1.78</v>
      </c>
      <c r="I126" s="261">
        <f>VLOOKUP($A126, Sheet4!$A$2:$L$688, Consol_Thematic!I$1,FALSE)</f>
        <v>0</v>
      </c>
      <c r="J126" s="261">
        <f>VLOOKUP($A126, Sheet4!$A$2:$L$688, Consol_Thematic!J$1,FALSE)</f>
        <v>0</v>
      </c>
      <c r="K126" s="261">
        <f t="shared" si="36"/>
        <v>0.36884643644379134</v>
      </c>
      <c r="L126" s="261">
        <f t="shared" si="37"/>
        <v>1.0153846153846153</v>
      </c>
      <c r="M126" s="261">
        <f t="shared" si="38"/>
        <v>0</v>
      </c>
      <c r="N126" s="261">
        <f t="shared" si="39"/>
        <v>0</v>
      </c>
      <c r="O126" s="261">
        <f t="shared" si="40"/>
        <v>1</v>
      </c>
      <c r="P126" s="261">
        <f t="shared" si="41"/>
        <v>0</v>
      </c>
      <c r="Q126" s="261">
        <f t="shared" si="42"/>
        <v>0</v>
      </c>
      <c r="R126" s="261">
        <f t="shared" si="43"/>
        <v>1</v>
      </c>
      <c r="S126" s="261">
        <f t="shared" si="44"/>
        <v>0.34848484848484851</v>
      </c>
      <c r="T126" s="261" t="e">
        <f>(K126*'Fund Ranking Criteria'!$J$9)+('Fund Ranking Criteria'!$J$10*Consol_Thematic!M126)+('Fund Ranking Criteria'!$J$12*Consol_Thematic!S126)+('Fund Ranking Criteria'!$J$14*Consol_Thematic!R126)+('Fund Ranking Criteria'!$J$15*Consol_Thematic!O126)+('Fund Ranking Criteria'!$J$16*Consol_Thematic!P126)+('Fund Ranking Criteria'!#REF!*Consol_Thematic!Q126)+('Fund Ranking Criteria'!#REF!*Consol_Thematic!L126)</f>
        <v>#REF!</v>
      </c>
      <c r="U126" s="261" t="e">
        <f t="shared" si="45"/>
        <v>#REF!</v>
      </c>
      <c r="V126" s="261" t="e">
        <f t="shared" si="46"/>
        <v>#REF!</v>
      </c>
      <c r="W126" s="261" t="str">
        <f t="shared" si="47"/>
        <v>SBI Innovative Opportunities Fund - Regular Plan</v>
      </c>
    </row>
    <row r="127" spans="1:23" x14ac:dyDescent="0.25">
      <c r="A127" s="261" t="s">
        <v>744</v>
      </c>
      <c r="B127" s="261">
        <f>VLOOKUP($A127, Sheet4!$A$2:$L$688, Consol_Thematic!B$1,FALSE)</f>
        <v>5.52</v>
      </c>
      <c r="C127" s="261">
        <f>VLOOKUP($A127, Sheet4!$A$2:$L$688, Consol_Thematic!C$1,FALSE)</f>
        <v>21.54</v>
      </c>
      <c r="D127" s="261">
        <f>VLOOKUP($A127, Sheet4!$A$2:$L$688, Consol_Thematic!D$1,FALSE)</f>
        <v>24.01</v>
      </c>
      <c r="E127" s="261">
        <f>VLOOKUP($A127, Sheet4!$A$2:$L$688, Consol_Thematic!E$1,FALSE)</f>
        <v>0.56999999999999995</v>
      </c>
      <c r="F127" s="261">
        <f>VLOOKUP($A127, Sheet4!$A$2:$L$688, Consol_Thematic!F$1,FALSE)</f>
        <v>0.89</v>
      </c>
      <c r="G127" s="261">
        <f>VLOOKUP($A127, Sheet4!$A$2:$L$688, Consol_Thematic!G$1,FALSE)</f>
        <v>-2.73</v>
      </c>
      <c r="H127" s="261">
        <f>VLOOKUP($A127, Sheet4!$A$2:$L$688, Consol_Thematic!H$1,FALSE)</f>
        <v>2.5</v>
      </c>
      <c r="I127" s="261">
        <f>VLOOKUP($A127, Sheet4!$A$2:$L$688, Consol_Thematic!I$1,FALSE)</f>
        <v>1.08</v>
      </c>
      <c r="J127" s="261">
        <f>VLOOKUP($A127, Sheet4!$A$2:$L$688, Consol_Thematic!J$1,FALSE)</f>
        <v>17.07</v>
      </c>
      <c r="K127" s="261">
        <f t="shared" si="36"/>
        <v>0.7744305657604702</v>
      </c>
      <c r="L127" s="261">
        <f t="shared" si="37"/>
        <v>-9.2307692307692396E-2</v>
      </c>
      <c r="M127" s="261">
        <f t="shared" si="38"/>
        <v>0.593715545755237</v>
      </c>
      <c r="N127" s="261">
        <f t="shared" si="39"/>
        <v>0.77351804123711343</v>
      </c>
      <c r="O127" s="261">
        <f t="shared" si="40"/>
        <v>0.23658318425760283</v>
      </c>
      <c r="P127" s="261">
        <f t="shared" si="41"/>
        <v>0.53271028037383172</v>
      </c>
      <c r="Q127" s="261">
        <f t="shared" si="42"/>
        <v>0.45641025641025645</v>
      </c>
      <c r="R127" s="261">
        <f t="shared" si="43"/>
        <v>9.243697478991586E-2</v>
      </c>
      <c r="S127" s="261">
        <f t="shared" si="44"/>
        <v>3.0303030303030328E-2</v>
      </c>
      <c r="T127" s="261" t="e">
        <f>(K127*'Fund Ranking Criteria'!$J$9)+('Fund Ranking Criteria'!$J$10*Consol_Thematic!M127)+('Fund Ranking Criteria'!$J$12*Consol_Thematic!S127)+('Fund Ranking Criteria'!$J$14*Consol_Thematic!R127)+('Fund Ranking Criteria'!$J$15*Consol_Thematic!O127)+('Fund Ranking Criteria'!$J$16*Consol_Thematic!P127)+('Fund Ranking Criteria'!#REF!*Consol_Thematic!Q127)+('Fund Ranking Criteria'!#REF!*Consol_Thematic!L127)</f>
        <v>#REF!</v>
      </c>
      <c r="U127" s="261" t="e">
        <f t="shared" si="45"/>
        <v>#REF!</v>
      </c>
      <c r="V127" s="261" t="e">
        <f t="shared" si="46"/>
        <v>#REF!</v>
      </c>
      <c r="W127" s="261" t="str">
        <f t="shared" si="47"/>
        <v>SBI Magnum COMMA Fund</v>
      </c>
    </row>
    <row r="128" spans="1:23" x14ac:dyDescent="0.25">
      <c r="A128" s="261" t="s">
        <v>745</v>
      </c>
      <c r="B128" s="261">
        <f>VLOOKUP($A128, Sheet4!$A$2:$L$688, Consol_Thematic!B$1,FALSE)</f>
        <v>-0.39</v>
      </c>
      <c r="C128" s="261">
        <f>VLOOKUP($A128, Sheet4!$A$2:$L$688, Consol_Thematic!C$1,FALSE)</f>
        <v>13.44</v>
      </c>
      <c r="D128" s="261">
        <f>VLOOKUP($A128, Sheet4!$A$2:$L$688, Consol_Thematic!D$1,FALSE)</f>
        <v>16.48</v>
      </c>
      <c r="E128" s="261">
        <f>VLOOKUP($A128, Sheet4!$A$2:$L$688, Consol_Thematic!E$1,FALSE)</f>
        <v>0.53</v>
      </c>
      <c r="F128" s="261">
        <f>VLOOKUP($A128, Sheet4!$A$2:$L$688, Consol_Thematic!F$1,FALSE)</f>
        <v>0.74</v>
      </c>
      <c r="G128" s="261">
        <f>VLOOKUP($A128, Sheet4!$A$2:$L$688, Consol_Thematic!G$1,FALSE)</f>
        <v>-1.51</v>
      </c>
      <c r="H128" s="261">
        <f>VLOOKUP($A128, Sheet4!$A$2:$L$688, Consol_Thematic!H$1,FALSE)</f>
        <v>1.89</v>
      </c>
      <c r="I128" s="261">
        <f>VLOOKUP($A128, Sheet4!$A$2:$L$688, Consol_Thematic!I$1,FALSE)</f>
        <v>0.66</v>
      </c>
      <c r="J128" s="261">
        <f>VLOOKUP($A128, Sheet4!$A$2:$L$688, Consol_Thematic!J$1,FALSE)</f>
        <v>11.45</v>
      </c>
      <c r="K128" s="261">
        <f t="shared" si="36"/>
        <v>0.34019103600293904</v>
      </c>
      <c r="L128" s="261">
        <f t="shared" si="37"/>
        <v>0.84615384615384637</v>
      </c>
      <c r="M128" s="261">
        <f t="shared" si="38"/>
        <v>0.37045203969128992</v>
      </c>
      <c r="N128" s="261">
        <f t="shared" si="39"/>
        <v>0.53092783505154639</v>
      </c>
      <c r="O128" s="261">
        <f t="shared" si="40"/>
        <v>0.48792486583184258</v>
      </c>
      <c r="P128" s="261">
        <f t="shared" si="41"/>
        <v>0.49532710280373832</v>
      </c>
      <c r="Q128" s="261">
        <f t="shared" si="42"/>
        <v>0.37948717948717947</v>
      </c>
      <c r="R128" s="261">
        <f t="shared" si="43"/>
        <v>0.44537815126050417</v>
      </c>
      <c r="S128" s="261">
        <f t="shared" si="44"/>
        <v>0.17249417249417251</v>
      </c>
      <c r="T128" s="261" t="e">
        <f>(K128*'Fund Ranking Criteria'!$J$9)+('Fund Ranking Criteria'!$J$10*Consol_Thematic!M128)+('Fund Ranking Criteria'!$J$12*Consol_Thematic!S128)+('Fund Ranking Criteria'!$J$14*Consol_Thematic!R128)+('Fund Ranking Criteria'!$J$15*Consol_Thematic!O128)+('Fund Ranking Criteria'!$J$16*Consol_Thematic!P128)+('Fund Ranking Criteria'!#REF!*Consol_Thematic!Q128)+('Fund Ranking Criteria'!#REF!*Consol_Thematic!L128)</f>
        <v>#REF!</v>
      </c>
      <c r="U128" s="261" t="e">
        <f t="shared" si="45"/>
        <v>#REF!</v>
      </c>
      <c r="V128" s="261" t="e">
        <f t="shared" si="46"/>
        <v>#REF!</v>
      </c>
      <c r="W128" s="261" t="str">
        <f t="shared" si="47"/>
        <v>SBI Magnum Global Fund</v>
      </c>
    </row>
    <row r="129" spans="1:23" x14ac:dyDescent="0.25">
      <c r="A129" s="261" t="s">
        <v>762</v>
      </c>
      <c r="B129" s="261">
        <f>VLOOKUP($A129, Sheet4!$A$2:$L$688, Consol_Thematic!B$1,FALSE)</f>
        <v>-0.98</v>
      </c>
      <c r="C129" s="261">
        <f>VLOOKUP($A129, Sheet4!$A$2:$L$688, Consol_Thematic!C$1,FALSE)</f>
        <v>38.369999999999997</v>
      </c>
      <c r="D129" s="261">
        <f>VLOOKUP($A129, Sheet4!$A$2:$L$688, Consol_Thematic!D$1,FALSE)</f>
        <v>30.28</v>
      </c>
      <c r="E129" s="261">
        <f>VLOOKUP($A129, Sheet4!$A$2:$L$688, Consol_Thematic!E$1,FALSE)</f>
        <v>1.1599999999999999</v>
      </c>
      <c r="F129" s="261">
        <f>VLOOKUP($A129, Sheet4!$A$2:$L$688, Consol_Thematic!F$1,FALSE)</f>
        <v>2.13</v>
      </c>
      <c r="G129" s="261">
        <f>VLOOKUP($A129, Sheet4!$A$2:$L$688, Consol_Thematic!G$1,FALSE)</f>
        <v>-0.73</v>
      </c>
      <c r="H129" s="261">
        <f>VLOOKUP($A129, Sheet4!$A$2:$L$688, Consol_Thematic!H$1,FALSE)</f>
        <v>1.86</v>
      </c>
      <c r="I129" s="261">
        <f>VLOOKUP($A129, Sheet4!$A$2:$L$688, Consol_Thematic!I$1,FALSE)</f>
        <v>0.97</v>
      </c>
      <c r="J129" s="261">
        <f>VLOOKUP($A129, Sheet4!$A$2:$L$688, Consol_Thematic!J$1,FALSE)</f>
        <v>22.74</v>
      </c>
      <c r="K129" s="261">
        <f t="shared" si="36"/>
        <v>0.29684055841293161</v>
      </c>
      <c r="L129" s="261">
        <f t="shared" si="37"/>
        <v>0.89230769230769225</v>
      </c>
      <c r="M129" s="261">
        <f t="shared" si="38"/>
        <v>1.0576074972436602</v>
      </c>
      <c r="N129" s="261">
        <f t="shared" si="39"/>
        <v>0.97551546391752586</v>
      </c>
      <c r="O129" s="261">
        <f t="shared" si="40"/>
        <v>-1.6994633273702996E-2</v>
      </c>
      <c r="P129" s="261">
        <f t="shared" si="41"/>
        <v>1.0841121495327102</v>
      </c>
      <c r="Q129" s="261">
        <f t="shared" si="42"/>
        <v>1.0923076923076922</v>
      </c>
      <c r="R129" s="261">
        <f t="shared" si="43"/>
        <v>0.18487394957983191</v>
      </c>
      <c r="S129" s="261">
        <f t="shared" si="44"/>
        <v>0.26340326340326342</v>
      </c>
      <c r="T129" s="261" t="e">
        <f>(K129*'Fund Ranking Criteria'!$J$9)+('Fund Ranking Criteria'!$J$10*Consol_Thematic!M129)+('Fund Ranking Criteria'!$J$12*Consol_Thematic!S129)+('Fund Ranking Criteria'!$J$14*Consol_Thematic!R129)+('Fund Ranking Criteria'!$J$15*Consol_Thematic!O129)+('Fund Ranking Criteria'!$J$16*Consol_Thematic!P129)+('Fund Ranking Criteria'!#REF!*Consol_Thematic!Q129)+('Fund Ranking Criteria'!#REF!*Consol_Thematic!L129)</f>
        <v>#REF!</v>
      </c>
      <c r="U129" s="261" t="e">
        <f t="shared" si="45"/>
        <v>#REF!</v>
      </c>
      <c r="V129" s="261" t="e">
        <f t="shared" si="46"/>
        <v>#REF!</v>
      </c>
      <c r="W129" s="261" t="str">
        <f t="shared" si="47"/>
        <v>SBI PSU Fund</v>
      </c>
    </row>
    <row r="130" spans="1:23" x14ac:dyDescent="0.25">
      <c r="A130" s="261" t="s">
        <v>763</v>
      </c>
      <c r="B130" s="261">
        <f>VLOOKUP($A130, Sheet4!$A$2:$L$688, Consol_Thematic!B$1,FALSE)</f>
        <v>0</v>
      </c>
      <c r="C130" s="261">
        <f>VLOOKUP($A130, Sheet4!$A$2:$L$688, Consol_Thematic!C$1,FALSE)</f>
        <v>0</v>
      </c>
      <c r="D130" s="261">
        <f>VLOOKUP($A130, Sheet4!$A$2:$L$688, Consol_Thematic!D$1,FALSE)</f>
        <v>0</v>
      </c>
      <c r="E130" s="261">
        <f>VLOOKUP($A130, Sheet4!$A$2:$L$688, Consol_Thematic!E$1,FALSE)</f>
        <v>0</v>
      </c>
      <c r="F130" s="261">
        <f>VLOOKUP($A130, Sheet4!$A$2:$L$688, Consol_Thematic!F$1,FALSE)</f>
        <v>0</v>
      </c>
      <c r="G130" s="261">
        <f>VLOOKUP($A130, Sheet4!$A$2:$L$688, Consol_Thematic!G$1,FALSE)</f>
        <v>0</v>
      </c>
      <c r="H130" s="261">
        <f>VLOOKUP($A130, Sheet4!$A$2:$L$688, Consol_Thematic!H$1,FALSE)</f>
        <v>1.9</v>
      </c>
      <c r="I130" s="261">
        <f>VLOOKUP($A130, Sheet4!$A$2:$L$688, Consol_Thematic!I$1,FALSE)</f>
        <v>0</v>
      </c>
      <c r="J130" s="261">
        <f>VLOOKUP($A130, Sheet4!$A$2:$L$688, Consol_Thematic!J$1,FALSE)</f>
        <v>0</v>
      </c>
      <c r="K130" s="261">
        <f t="shared" si="36"/>
        <v>0.36884643644379134</v>
      </c>
      <c r="L130" s="261">
        <f t="shared" si="37"/>
        <v>0.83076923076923093</v>
      </c>
      <c r="M130" s="261">
        <f t="shared" si="38"/>
        <v>0</v>
      </c>
      <c r="N130" s="261">
        <f t="shared" si="39"/>
        <v>0</v>
      </c>
      <c r="O130" s="261">
        <f t="shared" si="40"/>
        <v>1</v>
      </c>
      <c r="P130" s="261">
        <f t="shared" si="41"/>
        <v>0</v>
      </c>
      <c r="Q130" s="261">
        <f t="shared" si="42"/>
        <v>0</v>
      </c>
      <c r="R130" s="261">
        <f t="shared" si="43"/>
        <v>1</v>
      </c>
      <c r="S130" s="261">
        <f t="shared" si="44"/>
        <v>0.34848484848484851</v>
      </c>
      <c r="T130" s="261" t="e">
        <f>(K130*'Fund Ranking Criteria'!$J$9)+('Fund Ranking Criteria'!$J$10*Consol_Thematic!M130)+('Fund Ranking Criteria'!$J$12*Consol_Thematic!S130)+('Fund Ranking Criteria'!$J$14*Consol_Thematic!R130)+('Fund Ranking Criteria'!$J$15*Consol_Thematic!O130)+('Fund Ranking Criteria'!$J$16*Consol_Thematic!P130)+('Fund Ranking Criteria'!#REF!*Consol_Thematic!Q130)+('Fund Ranking Criteria'!#REF!*Consol_Thematic!L130)</f>
        <v>#REF!</v>
      </c>
      <c r="U130" s="261" t="e">
        <f t="shared" si="45"/>
        <v>#REF!</v>
      </c>
      <c r="V130" s="261" t="e">
        <f t="shared" si="46"/>
        <v>#REF!</v>
      </c>
      <c r="W130" s="261" t="str">
        <f t="shared" si="47"/>
        <v>SBI Quant Fund - Regular Plan</v>
      </c>
    </row>
    <row r="131" spans="1:23" x14ac:dyDescent="0.25">
      <c r="A131" s="261" t="s">
        <v>769</v>
      </c>
      <c r="B131" s="261">
        <f>VLOOKUP($A131, Sheet4!$A$2:$L$688, Consol_Thematic!B$1,FALSE)</f>
        <v>0</v>
      </c>
      <c r="C131" s="261">
        <f>VLOOKUP($A131, Sheet4!$A$2:$L$688, Consol_Thematic!C$1,FALSE)</f>
        <v>0</v>
      </c>
      <c r="D131" s="261">
        <f>VLOOKUP($A131, Sheet4!$A$2:$L$688, Consol_Thematic!D$1,FALSE)</f>
        <v>0</v>
      </c>
      <c r="E131" s="261">
        <f>VLOOKUP($A131, Sheet4!$A$2:$L$688, Consol_Thematic!E$1,FALSE)</f>
        <v>0</v>
      </c>
      <c r="F131" s="261">
        <f>VLOOKUP($A131, Sheet4!$A$2:$L$688, Consol_Thematic!F$1,FALSE)</f>
        <v>0</v>
      </c>
      <c r="G131" s="261">
        <f>VLOOKUP($A131, Sheet4!$A$2:$L$688, Consol_Thematic!G$1,FALSE)</f>
        <v>0</v>
      </c>
      <c r="H131" s="261">
        <f>VLOOKUP($A131, Sheet4!$A$2:$L$688, Consol_Thematic!H$1,FALSE)</f>
        <v>2.35</v>
      </c>
      <c r="I131" s="261">
        <f>VLOOKUP($A131, Sheet4!$A$2:$L$688, Consol_Thematic!I$1,FALSE)</f>
        <v>0</v>
      </c>
      <c r="J131" s="261">
        <f>VLOOKUP($A131, Sheet4!$A$2:$L$688, Consol_Thematic!J$1,FALSE)</f>
        <v>0</v>
      </c>
      <c r="K131" s="261">
        <f t="shared" ref="K131:K157" si="48">(B131-MIN(B$3:B$23))/(MAX(B$3:B$23)-MIN(B$3:B$23))</f>
        <v>0.36884643644379134</v>
      </c>
      <c r="L131" s="261">
        <f t="shared" ref="L131:L157" si="49">(MAX(H$3:H$23)-H131)/(MAX(H$3:H$23)-MIN(H$3:H$23))</f>
        <v>0.13846153846153827</v>
      </c>
      <c r="M131" s="261">
        <f t="shared" ref="M131:M157" si="50">(C131-MIN(C$3:C$23))/(MAX(C$3:C$23)-MIN(C$3:C$23))</f>
        <v>0</v>
      </c>
      <c r="N131" s="261">
        <f t="shared" ref="N131:N157" si="51">(D131-MIN(D$3:D$23))/(MAX(D$3:D$23)-MIN(D$3:D$23))</f>
        <v>0</v>
      </c>
      <c r="O131" s="261">
        <f t="shared" ref="O131:O157" si="52">(MAX(J$3:J$23)-J131)/(MAX(J$3:J$23)-MIN(J$3:J$23))</f>
        <v>1</v>
      </c>
      <c r="P131" s="261">
        <f t="shared" ref="P131:P157" si="53">(E131-MIN(E$3:E$23))/(MAX(E$3:E$23)-MIN(E$3:E$23))</f>
        <v>0</v>
      </c>
      <c r="Q131" s="261">
        <f t="shared" ref="Q131:Q157" si="54">(F131-MIN(F$3:F$23))/(MAX(F$3:F$23)-MIN(F$3:F$23))</f>
        <v>0</v>
      </c>
      <c r="R131" s="261">
        <f t="shared" ref="R131:R157" si="55">(MAX(I$3:I$23)-I131)/(MAX(I$3:I$23)-MIN(I$3:I$23))</f>
        <v>1</v>
      </c>
      <c r="S131" s="261">
        <f t="shared" ref="S131:S157" si="56">(G131-MIN(G$3:G$23))/(MAX(G$3:G$23)-MIN(G$3:G$23))</f>
        <v>0.34848484848484851</v>
      </c>
      <c r="T131" s="261" t="e">
        <f>(K131*'Fund Ranking Criteria'!$J$9)+('Fund Ranking Criteria'!$J$10*Consol_Thematic!M131)+('Fund Ranking Criteria'!$J$12*Consol_Thematic!S131)+('Fund Ranking Criteria'!$J$14*Consol_Thematic!R131)+('Fund Ranking Criteria'!$J$15*Consol_Thematic!O131)+('Fund Ranking Criteria'!$J$16*Consol_Thematic!P131)+('Fund Ranking Criteria'!#REF!*Consol_Thematic!Q131)+('Fund Ranking Criteria'!#REF!*Consol_Thematic!L131)</f>
        <v>#REF!</v>
      </c>
      <c r="U131" s="261" t="e">
        <f t="shared" ref="U131:U162" si="57">T131*1</f>
        <v>#REF!</v>
      </c>
      <c r="V131" s="261" t="e">
        <f t="shared" ref="V131:V162" si="58">RANK(U131,$U$3:$U$157,0)</f>
        <v>#REF!</v>
      </c>
      <c r="W131" s="261" t="str">
        <f t="shared" ref="W131:W157" si="59">A131</f>
        <v>Shriram Multi Sector Rotation Fund - Regular Plan</v>
      </c>
    </row>
    <row r="132" spans="1:23" x14ac:dyDescent="0.25">
      <c r="A132" s="261" t="s">
        <v>771</v>
      </c>
      <c r="B132" s="261">
        <f>VLOOKUP($A132, Sheet4!$A$2:$L$688, Consol_Thematic!B$1,FALSE)</f>
        <v>10.130000000000001</v>
      </c>
      <c r="C132" s="261">
        <f>VLOOKUP($A132, Sheet4!$A$2:$L$688, Consol_Thematic!C$1,FALSE)</f>
        <v>0</v>
      </c>
      <c r="D132" s="261">
        <f>VLOOKUP($A132, Sheet4!$A$2:$L$688, Consol_Thematic!D$1,FALSE)</f>
        <v>0</v>
      </c>
      <c r="E132" s="261">
        <f>VLOOKUP($A132, Sheet4!$A$2:$L$688, Consol_Thematic!E$1,FALSE)</f>
        <v>0</v>
      </c>
      <c r="F132" s="261">
        <f>VLOOKUP($A132, Sheet4!$A$2:$L$688, Consol_Thematic!F$1,FALSE)</f>
        <v>0</v>
      </c>
      <c r="G132" s="261">
        <f>VLOOKUP($A132, Sheet4!$A$2:$L$688, Consol_Thematic!G$1,FALSE)</f>
        <v>0</v>
      </c>
      <c r="H132" s="261">
        <f>VLOOKUP($A132, Sheet4!$A$2:$L$688, Consol_Thematic!H$1,FALSE)</f>
        <v>2.0299999999999998</v>
      </c>
      <c r="I132" s="261">
        <f>VLOOKUP($A132, Sheet4!$A$2:$L$688, Consol_Thematic!I$1,FALSE)</f>
        <v>0</v>
      </c>
      <c r="J132" s="261">
        <f>VLOOKUP($A132, Sheet4!$A$2:$L$688, Consol_Thematic!J$1,FALSE)</f>
        <v>0</v>
      </c>
      <c r="K132" s="261">
        <f t="shared" si="48"/>
        <v>1.1131520940484938</v>
      </c>
      <c r="L132" s="261">
        <f t="shared" si="49"/>
        <v>0.63076923076923108</v>
      </c>
      <c r="M132" s="261">
        <f t="shared" si="50"/>
        <v>0</v>
      </c>
      <c r="N132" s="261">
        <f t="shared" si="51"/>
        <v>0</v>
      </c>
      <c r="O132" s="261">
        <f t="shared" si="52"/>
        <v>1</v>
      </c>
      <c r="P132" s="261">
        <f t="shared" si="53"/>
        <v>0</v>
      </c>
      <c r="Q132" s="261">
        <f t="shared" si="54"/>
        <v>0</v>
      </c>
      <c r="R132" s="261">
        <f t="shared" si="55"/>
        <v>1</v>
      </c>
      <c r="S132" s="261">
        <f t="shared" si="56"/>
        <v>0.34848484848484851</v>
      </c>
      <c r="T132" s="261" t="e">
        <f>(K132*'Fund Ranking Criteria'!$J$9)+('Fund Ranking Criteria'!$J$10*Consol_Thematic!M132)+('Fund Ranking Criteria'!$J$12*Consol_Thematic!S132)+('Fund Ranking Criteria'!$J$14*Consol_Thematic!R132)+('Fund Ranking Criteria'!$J$15*Consol_Thematic!O132)+('Fund Ranking Criteria'!$J$16*Consol_Thematic!P132)+('Fund Ranking Criteria'!#REF!*Consol_Thematic!Q132)+('Fund Ranking Criteria'!#REF!*Consol_Thematic!L132)</f>
        <v>#REF!</v>
      </c>
      <c r="U132" s="261" t="e">
        <f t="shared" si="57"/>
        <v>#REF!</v>
      </c>
      <c r="V132" s="261" t="e">
        <f t="shared" si="58"/>
        <v>#REF!</v>
      </c>
      <c r="W132" s="261" t="str">
        <f t="shared" si="59"/>
        <v>Sundaram Business Cycle Fund - Regular Plan</v>
      </c>
    </row>
    <row r="133" spans="1:23" x14ac:dyDescent="0.25">
      <c r="A133" s="261" t="s">
        <v>772</v>
      </c>
      <c r="B133" s="261">
        <f>VLOOKUP($A133, Sheet4!$A$2:$L$688, Consol_Thematic!B$1,FALSE)</f>
        <v>9.27</v>
      </c>
      <c r="C133" s="261">
        <f>VLOOKUP($A133, Sheet4!$A$2:$L$688, Consol_Thematic!C$1,FALSE)</f>
        <v>22.13</v>
      </c>
      <c r="D133" s="261">
        <f>VLOOKUP($A133, Sheet4!$A$2:$L$688, Consol_Thematic!D$1,FALSE)</f>
        <v>21.31</v>
      </c>
      <c r="E133" s="261">
        <f>VLOOKUP($A133, Sheet4!$A$2:$L$688, Consol_Thematic!E$1,FALSE)</f>
        <v>0.85</v>
      </c>
      <c r="F133" s="261">
        <f>VLOOKUP($A133, Sheet4!$A$2:$L$688, Consol_Thematic!F$1,FALSE)</f>
        <v>1.24</v>
      </c>
      <c r="G133" s="261">
        <f>VLOOKUP($A133, Sheet4!$A$2:$L$688, Consol_Thematic!G$1,FALSE)</f>
        <v>1.32</v>
      </c>
      <c r="H133" s="261">
        <f>VLOOKUP($A133, Sheet4!$A$2:$L$688, Consol_Thematic!H$1,FALSE)</f>
        <v>2.19</v>
      </c>
      <c r="I133" s="261">
        <f>VLOOKUP($A133, Sheet4!$A$2:$L$688, Consol_Thematic!I$1,FALSE)</f>
        <v>0.81</v>
      </c>
      <c r="J133" s="261">
        <f>VLOOKUP($A133, Sheet4!$A$2:$L$688, Consol_Thematic!J$1,FALSE)</f>
        <v>15.23</v>
      </c>
      <c r="K133" s="261">
        <f t="shared" si="48"/>
        <v>1.0499632623071271</v>
      </c>
      <c r="L133" s="261">
        <f t="shared" si="49"/>
        <v>0.38461538461538469</v>
      </c>
      <c r="M133" s="261">
        <f t="shared" si="50"/>
        <v>0.60997794928335169</v>
      </c>
      <c r="N133" s="261">
        <f t="shared" si="51"/>
        <v>0.68653350515463918</v>
      </c>
      <c r="O133" s="261">
        <f t="shared" si="52"/>
        <v>0.31887298747763859</v>
      </c>
      <c r="P133" s="261">
        <f t="shared" si="53"/>
        <v>0.79439252336448596</v>
      </c>
      <c r="Q133" s="261">
        <f t="shared" si="54"/>
        <v>0.63589743589743586</v>
      </c>
      <c r="R133" s="261">
        <f t="shared" si="55"/>
        <v>0.3193277310924369</v>
      </c>
      <c r="S133" s="261">
        <f t="shared" si="56"/>
        <v>0.50233100233100236</v>
      </c>
      <c r="T133" s="261" t="e">
        <f>(K133*'Fund Ranking Criteria'!$J$9)+('Fund Ranking Criteria'!$J$10*Consol_Thematic!M133)+('Fund Ranking Criteria'!$J$12*Consol_Thematic!S133)+('Fund Ranking Criteria'!$J$14*Consol_Thematic!R133)+('Fund Ranking Criteria'!$J$15*Consol_Thematic!O133)+('Fund Ranking Criteria'!$J$16*Consol_Thematic!P133)+('Fund Ranking Criteria'!#REF!*Consol_Thematic!Q133)+('Fund Ranking Criteria'!#REF!*Consol_Thematic!L133)</f>
        <v>#REF!</v>
      </c>
      <c r="U133" s="261" t="e">
        <f t="shared" si="57"/>
        <v>#REF!</v>
      </c>
      <c r="V133" s="261" t="e">
        <f t="shared" si="58"/>
        <v>#REF!</v>
      </c>
      <c r="W133" s="261" t="str">
        <f t="shared" si="59"/>
        <v>Sundaram Consumption Fund - Regular Plan</v>
      </c>
    </row>
    <row r="134" spans="1:23" x14ac:dyDescent="0.25">
      <c r="A134" s="261" t="s">
        <v>773</v>
      </c>
      <c r="B134" s="261">
        <f>VLOOKUP($A134, Sheet4!$A$2:$L$688, Consol_Thematic!B$1,FALSE)</f>
        <v>0.57999999999999996</v>
      </c>
      <c r="C134" s="261">
        <f>VLOOKUP($A134, Sheet4!$A$2:$L$688, Consol_Thematic!C$1,FALSE)</f>
        <v>20.41</v>
      </c>
      <c r="D134" s="261">
        <f>VLOOKUP($A134, Sheet4!$A$2:$L$688, Consol_Thematic!D$1,FALSE)</f>
        <v>21.96</v>
      </c>
      <c r="E134" s="261">
        <f>VLOOKUP($A134, Sheet4!$A$2:$L$688, Consol_Thematic!E$1,FALSE)</f>
        <v>0.8</v>
      </c>
      <c r="F134" s="261">
        <f>VLOOKUP($A134, Sheet4!$A$2:$L$688, Consol_Thematic!F$1,FALSE)</f>
        <v>1.19</v>
      </c>
      <c r="G134" s="261">
        <f>VLOOKUP($A134, Sheet4!$A$2:$L$688, Consol_Thematic!G$1,FALSE)</f>
        <v>0.51</v>
      </c>
      <c r="H134" s="261">
        <f>VLOOKUP($A134, Sheet4!$A$2:$L$688, Consol_Thematic!H$1,FALSE)</f>
        <v>2.29</v>
      </c>
      <c r="I134" s="261">
        <f>VLOOKUP($A134, Sheet4!$A$2:$L$688, Consol_Thematic!I$1,FALSE)</f>
        <v>0.91</v>
      </c>
      <c r="J134" s="261">
        <f>VLOOKUP($A134, Sheet4!$A$2:$L$688, Consol_Thematic!J$1,FALSE)</f>
        <v>13.68</v>
      </c>
      <c r="K134" s="261">
        <f t="shared" si="48"/>
        <v>0.41146216017634091</v>
      </c>
      <c r="L134" s="261">
        <f t="shared" si="49"/>
        <v>0.23076923076923067</v>
      </c>
      <c r="M134" s="261">
        <f t="shared" si="50"/>
        <v>0.5625689084895259</v>
      </c>
      <c r="N134" s="261">
        <f t="shared" si="51"/>
        <v>0.70747422680412375</v>
      </c>
      <c r="O134" s="261">
        <f t="shared" si="52"/>
        <v>0.38819320214669051</v>
      </c>
      <c r="P134" s="261">
        <f t="shared" si="53"/>
        <v>0.74766355140186913</v>
      </c>
      <c r="Q134" s="261">
        <f t="shared" si="54"/>
        <v>0.6102564102564102</v>
      </c>
      <c r="R134" s="261">
        <f t="shared" si="55"/>
        <v>0.23529411764705876</v>
      </c>
      <c r="S134" s="261">
        <f t="shared" si="56"/>
        <v>0.40792540792540793</v>
      </c>
      <c r="T134" s="261" t="e">
        <f>(K134*'Fund Ranking Criteria'!$J$9)+('Fund Ranking Criteria'!$J$10*Consol_Thematic!M134)+('Fund Ranking Criteria'!$J$12*Consol_Thematic!S134)+('Fund Ranking Criteria'!$J$14*Consol_Thematic!R134)+('Fund Ranking Criteria'!$J$15*Consol_Thematic!O134)+('Fund Ranking Criteria'!$J$16*Consol_Thematic!P134)+('Fund Ranking Criteria'!#REF!*Consol_Thematic!Q134)+('Fund Ranking Criteria'!#REF!*Consol_Thematic!L134)</f>
        <v>#REF!</v>
      </c>
      <c r="U134" s="261" t="e">
        <f t="shared" si="57"/>
        <v>#REF!</v>
      </c>
      <c r="V134" s="261" t="e">
        <f t="shared" si="58"/>
        <v>#REF!</v>
      </c>
      <c r="W134" s="261" t="str">
        <f t="shared" si="59"/>
        <v>Sundaram Dividend Yield Fund</v>
      </c>
    </row>
    <row r="135" spans="1:23" x14ac:dyDescent="0.25">
      <c r="A135" s="261" t="s">
        <v>1249</v>
      </c>
      <c r="B135" s="261">
        <f>VLOOKUP($A135, Sheet4!$A$2:$L$688, Consol_Thematic!B$1,FALSE)</f>
        <v>0</v>
      </c>
      <c r="C135" s="261">
        <f>VLOOKUP($A135, Sheet4!$A$2:$L$688, Consol_Thematic!C$1,FALSE)</f>
        <v>0</v>
      </c>
      <c r="D135" s="261">
        <f>VLOOKUP($A135, Sheet4!$A$2:$L$688, Consol_Thematic!D$1,FALSE)</f>
        <v>0</v>
      </c>
      <c r="E135" s="261">
        <f>VLOOKUP($A135, Sheet4!$A$2:$L$688, Consol_Thematic!E$1,FALSE)</f>
        <v>0</v>
      </c>
      <c r="F135" s="261">
        <f>VLOOKUP($A135, Sheet4!$A$2:$L$688, Consol_Thematic!F$1,FALSE)</f>
        <v>0</v>
      </c>
      <c r="G135" s="261">
        <f>VLOOKUP($A135, Sheet4!$A$2:$L$688, Consol_Thematic!G$1,FALSE)</f>
        <v>0</v>
      </c>
      <c r="H135" s="261">
        <f>VLOOKUP($A135, Sheet4!$A$2:$L$688, Consol_Thematic!H$1,FALSE)</f>
        <v>0</v>
      </c>
      <c r="I135" s="261">
        <f>VLOOKUP($A135, Sheet4!$A$2:$L$688, Consol_Thematic!I$1,FALSE)</f>
        <v>0</v>
      </c>
      <c r="J135" s="261">
        <f>VLOOKUP($A135, Sheet4!$A$2:$L$688, Consol_Thematic!J$1,FALSE)</f>
        <v>0</v>
      </c>
      <c r="K135" s="261">
        <f t="shared" si="48"/>
        <v>0.36884643644379134</v>
      </c>
      <c r="L135" s="261">
        <f t="shared" si="49"/>
        <v>3.7538461538461543</v>
      </c>
      <c r="M135" s="261">
        <f t="shared" si="50"/>
        <v>0</v>
      </c>
      <c r="N135" s="261">
        <f t="shared" si="51"/>
        <v>0</v>
      </c>
      <c r="O135" s="261">
        <f t="shared" si="52"/>
        <v>1</v>
      </c>
      <c r="P135" s="261">
        <f t="shared" si="53"/>
        <v>0</v>
      </c>
      <c r="Q135" s="261">
        <f t="shared" si="54"/>
        <v>0</v>
      </c>
      <c r="R135" s="261">
        <f t="shared" si="55"/>
        <v>1</v>
      </c>
      <c r="S135" s="261">
        <f t="shared" si="56"/>
        <v>0.34848484848484851</v>
      </c>
      <c r="T135" s="261" t="e">
        <f>(K135*'Fund Ranking Criteria'!$J$9)+('Fund Ranking Criteria'!$J$10*Consol_Thematic!M135)+('Fund Ranking Criteria'!$J$12*Consol_Thematic!S135)+('Fund Ranking Criteria'!$J$14*Consol_Thematic!R135)+('Fund Ranking Criteria'!$J$15*Consol_Thematic!O135)+('Fund Ranking Criteria'!$J$16*Consol_Thematic!P135)+('Fund Ranking Criteria'!#REF!*Consol_Thematic!Q135)+('Fund Ranking Criteria'!#REF!*Consol_Thematic!L135)</f>
        <v>#REF!</v>
      </c>
      <c r="U135" s="261" t="e">
        <f t="shared" si="57"/>
        <v>#REF!</v>
      </c>
      <c r="V135" s="261" t="e">
        <f t="shared" si="58"/>
        <v>#REF!</v>
      </c>
      <c r="W135" s="261" t="str">
        <f t="shared" si="59"/>
        <v>Sundaram Multi-Factor Fund - Regular Plan</v>
      </c>
    </row>
    <row r="136" spans="1:23" x14ac:dyDescent="0.25">
      <c r="A136" s="261" t="s">
        <v>782</v>
      </c>
      <c r="B136" s="261">
        <f>VLOOKUP($A136, Sheet4!$A$2:$L$688, Consol_Thematic!B$1,FALSE)</f>
        <v>17.11</v>
      </c>
      <c r="C136" s="261">
        <f>VLOOKUP($A136, Sheet4!$A$2:$L$688, Consol_Thematic!C$1,FALSE)</f>
        <v>24.13</v>
      </c>
      <c r="D136" s="261">
        <f>VLOOKUP($A136, Sheet4!$A$2:$L$688, Consol_Thematic!D$1,FALSE)</f>
        <v>26.94</v>
      </c>
      <c r="E136" s="261">
        <f>VLOOKUP($A136, Sheet4!$A$2:$L$688, Consol_Thematic!E$1,FALSE)</f>
        <v>0.96</v>
      </c>
      <c r="F136" s="261">
        <f>VLOOKUP($A136, Sheet4!$A$2:$L$688, Consol_Thematic!F$1,FALSE)</f>
        <v>1.63</v>
      </c>
      <c r="G136" s="261">
        <f>VLOOKUP($A136, Sheet4!$A$2:$L$688, Consol_Thematic!G$1,FALSE)</f>
        <v>2.87</v>
      </c>
      <c r="H136" s="261">
        <f>VLOOKUP($A136, Sheet4!$A$2:$L$688, Consol_Thematic!H$1,FALSE)</f>
        <v>1.89</v>
      </c>
      <c r="I136" s="261">
        <f>VLOOKUP($A136, Sheet4!$A$2:$L$688, Consol_Thematic!I$1,FALSE)</f>
        <v>0.87</v>
      </c>
      <c r="J136" s="261">
        <f>VLOOKUP($A136, Sheet4!$A$2:$L$688, Consol_Thematic!J$1,FALSE)</f>
        <v>13.5</v>
      </c>
      <c r="K136" s="261">
        <f t="shared" si="48"/>
        <v>1.6260102865540045</v>
      </c>
      <c r="L136" s="261">
        <f t="shared" si="49"/>
        <v>0.84615384615384637</v>
      </c>
      <c r="M136" s="261">
        <f t="shared" si="50"/>
        <v>0.66510474090407934</v>
      </c>
      <c r="N136" s="261">
        <f t="shared" si="51"/>
        <v>0.86791237113402064</v>
      </c>
      <c r="O136" s="261">
        <f t="shared" si="52"/>
        <v>0.39624329159212879</v>
      </c>
      <c r="P136" s="261">
        <f t="shared" si="53"/>
        <v>0.89719626168224287</v>
      </c>
      <c r="Q136" s="261">
        <f t="shared" si="54"/>
        <v>0.83589743589743581</v>
      </c>
      <c r="R136" s="261">
        <f t="shared" si="55"/>
        <v>0.26890756302521007</v>
      </c>
      <c r="S136" s="261">
        <f t="shared" si="56"/>
        <v>0.68298368298368306</v>
      </c>
      <c r="T136" s="261" t="e">
        <f>(K136*'Fund Ranking Criteria'!$J$9)+('Fund Ranking Criteria'!$J$10*Consol_Thematic!M136)+('Fund Ranking Criteria'!$J$12*Consol_Thematic!S136)+('Fund Ranking Criteria'!$J$14*Consol_Thematic!R136)+('Fund Ranking Criteria'!$J$15*Consol_Thematic!O136)+('Fund Ranking Criteria'!$J$16*Consol_Thematic!P136)+('Fund Ranking Criteria'!#REF!*Consol_Thematic!Q136)+('Fund Ranking Criteria'!#REF!*Consol_Thematic!L136)</f>
        <v>#REF!</v>
      </c>
      <c r="U136" s="261" t="e">
        <f t="shared" si="57"/>
        <v>#REF!</v>
      </c>
      <c r="V136" s="261" t="e">
        <f t="shared" si="58"/>
        <v>#REF!</v>
      </c>
      <c r="W136" s="261" t="str">
        <f t="shared" si="59"/>
        <v>Sundaram Services Fund - Regular Plan</v>
      </c>
    </row>
    <row r="137" spans="1:23" x14ac:dyDescent="0.25">
      <c r="A137" s="261" t="s">
        <v>788</v>
      </c>
      <c r="B137" s="261">
        <f>VLOOKUP($A137, Sheet4!$A$2:$L$688, Consol_Thematic!B$1,FALSE)</f>
        <v>-0.61</v>
      </c>
      <c r="C137" s="261">
        <f>VLOOKUP($A137, Sheet4!$A$2:$L$688, Consol_Thematic!C$1,FALSE)</f>
        <v>25.49</v>
      </c>
      <c r="D137" s="261">
        <f>VLOOKUP($A137, Sheet4!$A$2:$L$688, Consol_Thematic!D$1,FALSE)</f>
        <v>0</v>
      </c>
      <c r="E137" s="261">
        <f>VLOOKUP($A137, Sheet4!$A$2:$L$688, Consol_Thematic!E$1,FALSE)</f>
        <v>1.03</v>
      </c>
      <c r="F137" s="261">
        <f>VLOOKUP($A137, Sheet4!$A$2:$L$688, Consol_Thematic!F$1,FALSE)</f>
        <v>1.58</v>
      </c>
      <c r="G137" s="261">
        <f>VLOOKUP($A137, Sheet4!$A$2:$L$688, Consol_Thematic!G$1,FALSE)</f>
        <v>3.75</v>
      </c>
      <c r="H137" s="261">
        <f>VLOOKUP($A137, Sheet4!$A$2:$L$688, Consol_Thematic!H$1,FALSE)</f>
        <v>1.91</v>
      </c>
      <c r="I137" s="261">
        <f>VLOOKUP($A137, Sheet4!$A$2:$L$688, Consol_Thematic!I$1,FALSE)</f>
        <v>0.96</v>
      </c>
      <c r="J137" s="261">
        <f>VLOOKUP($A137, Sheet4!$A$2:$L$688, Consol_Thematic!J$1,FALSE)</f>
        <v>14.41</v>
      </c>
      <c r="K137" s="261">
        <f t="shared" si="48"/>
        <v>0.32402645113886847</v>
      </c>
      <c r="L137" s="261">
        <f t="shared" si="49"/>
        <v>0.81538461538461549</v>
      </c>
      <c r="M137" s="261">
        <f t="shared" si="50"/>
        <v>0.70259095920617409</v>
      </c>
      <c r="N137" s="261">
        <f t="shared" si="51"/>
        <v>0</v>
      </c>
      <c r="O137" s="261">
        <f t="shared" si="52"/>
        <v>0.35554561717352412</v>
      </c>
      <c r="P137" s="261">
        <f t="shared" si="53"/>
        <v>0.96261682242990654</v>
      </c>
      <c r="Q137" s="261">
        <f t="shared" si="54"/>
        <v>0.81025641025641026</v>
      </c>
      <c r="R137" s="261">
        <f t="shared" si="55"/>
        <v>0.19327731092436976</v>
      </c>
      <c r="S137" s="261">
        <f t="shared" si="56"/>
        <v>0.78554778554778559</v>
      </c>
      <c r="T137" s="261" t="e">
        <f>(K137*'Fund Ranking Criteria'!$J$9)+('Fund Ranking Criteria'!$J$10*Consol_Thematic!M137)+('Fund Ranking Criteria'!$J$12*Consol_Thematic!S137)+('Fund Ranking Criteria'!$J$14*Consol_Thematic!R137)+('Fund Ranking Criteria'!$J$15*Consol_Thematic!O137)+('Fund Ranking Criteria'!$J$16*Consol_Thematic!P137)+('Fund Ranking Criteria'!#REF!*Consol_Thematic!Q137)+('Fund Ranking Criteria'!#REF!*Consol_Thematic!L137)</f>
        <v>#REF!</v>
      </c>
      <c r="U137" s="261" t="e">
        <f t="shared" si="57"/>
        <v>#REF!</v>
      </c>
      <c r="V137" s="261" t="e">
        <f t="shared" si="58"/>
        <v>#REF!</v>
      </c>
      <c r="W137" s="261" t="str">
        <f t="shared" si="59"/>
        <v>Tata Business Cycle Fund - Regular Plan</v>
      </c>
    </row>
    <row r="138" spans="1:23" x14ac:dyDescent="0.25">
      <c r="A138" s="261" t="s">
        <v>789</v>
      </c>
      <c r="B138" s="261">
        <f>VLOOKUP($A138, Sheet4!$A$2:$L$688, Consol_Thematic!B$1,FALSE)</f>
        <v>-0.26</v>
      </c>
      <c r="C138" s="261">
        <f>VLOOKUP($A138, Sheet4!$A$2:$L$688, Consol_Thematic!C$1,FALSE)</f>
        <v>22.23</v>
      </c>
      <c r="D138" s="261">
        <f>VLOOKUP($A138, Sheet4!$A$2:$L$688, Consol_Thematic!D$1,FALSE)</f>
        <v>0</v>
      </c>
      <c r="E138" s="261">
        <f>VLOOKUP($A138, Sheet4!$A$2:$L$688, Consol_Thematic!E$1,FALSE)</f>
        <v>0.77</v>
      </c>
      <c r="F138" s="261">
        <f>VLOOKUP($A138, Sheet4!$A$2:$L$688, Consol_Thematic!F$1,FALSE)</f>
        <v>1.18</v>
      </c>
      <c r="G138" s="261">
        <f>VLOOKUP($A138, Sheet4!$A$2:$L$688, Consol_Thematic!G$1,FALSE)</f>
        <v>0.03</v>
      </c>
      <c r="H138" s="261">
        <f>VLOOKUP($A138, Sheet4!$A$2:$L$688, Consol_Thematic!H$1,FALSE)</f>
        <v>2.1800000000000002</v>
      </c>
      <c r="I138" s="261">
        <f>VLOOKUP($A138, Sheet4!$A$2:$L$688, Consol_Thematic!I$1,FALSE)</f>
        <v>1.01</v>
      </c>
      <c r="J138" s="261">
        <f>VLOOKUP($A138, Sheet4!$A$2:$L$688, Consol_Thematic!J$1,FALSE)</f>
        <v>15.25</v>
      </c>
      <c r="K138" s="261">
        <f t="shared" si="48"/>
        <v>0.34974283614988977</v>
      </c>
      <c r="L138" s="261">
        <f t="shared" si="49"/>
        <v>0.39999999999999974</v>
      </c>
      <c r="M138" s="261">
        <f t="shared" si="50"/>
        <v>0.61273428886438808</v>
      </c>
      <c r="N138" s="261">
        <f t="shared" si="51"/>
        <v>0</v>
      </c>
      <c r="O138" s="261">
        <f t="shared" si="52"/>
        <v>0.31797853309481217</v>
      </c>
      <c r="P138" s="261">
        <f t="shared" si="53"/>
        <v>0.71962616822429903</v>
      </c>
      <c r="Q138" s="261">
        <f t="shared" si="54"/>
        <v>0.60512820512820509</v>
      </c>
      <c r="R138" s="261">
        <f t="shared" si="55"/>
        <v>0.15126050420168063</v>
      </c>
      <c r="S138" s="261">
        <f t="shared" si="56"/>
        <v>0.351981351981352</v>
      </c>
      <c r="T138" s="261" t="e">
        <f>(K138*'Fund Ranking Criteria'!$J$9)+('Fund Ranking Criteria'!$J$10*Consol_Thematic!M138)+('Fund Ranking Criteria'!$J$12*Consol_Thematic!S138)+('Fund Ranking Criteria'!$J$14*Consol_Thematic!R138)+('Fund Ranking Criteria'!$J$15*Consol_Thematic!O138)+('Fund Ranking Criteria'!$J$16*Consol_Thematic!P138)+('Fund Ranking Criteria'!#REF!*Consol_Thematic!Q138)+('Fund Ranking Criteria'!#REF!*Consol_Thematic!L138)</f>
        <v>#REF!</v>
      </c>
      <c r="U138" s="261" t="e">
        <f t="shared" si="57"/>
        <v>#REF!</v>
      </c>
      <c r="V138" s="261" t="e">
        <f t="shared" si="58"/>
        <v>#REF!</v>
      </c>
      <c r="W138" s="261" t="str">
        <f t="shared" si="59"/>
        <v>Tata Dividend Yield Fund - Regular Plan</v>
      </c>
    </row>
    <row r="139" spans="1:23" x14ac:dyDescent="0.25">
      <c r="A139" s="261" t="s">
        <v>790</v>
      </c>
      <c r="B139" s="261">
        <f>VLOOKUP($A139, Sheet4!$A$2:$L$688, Consol_Thematic!B$1,FALSE)</f>
        <v>-3.32</v>
      </c>
      <c r="C139" s="261">
        <f>VLOOKUP($A139, Sheet4!$A$2:$L$688, Consol_Thematic!C$1,FALSE)</f>
        <v>15.26</v>
      </c>
      <c r="D139" s="261">
        <f>VLOOKUP($A139, Sheet4!$A$2:$L$688, Consol_Thematic!D$1,FALSE)</f>
        <v>19.95</v>
      </c>
      <c r="E139" s="261">
        <f>VLOOKUP($A139, Sheet4!$A$2:$L$688, Consol_Thematic!E$1,FALSE)</f>
        <v>0.45</v>
      </c>
      <c r="F139" s="261">
        <f>VLOOKUP($A139, Sheet4!$A$2:$L$688, Consol_Thematic!F$1,FALSE)</f>
        <v>0.6</v>
      </c>
      <c r="G139" s="261">
        <f>VLOOKUP($A139, Sheet4!$A$2:$L$688, Consol_Thematic!G$1,FALSE)</f>
        <v>-4.0199999999999996</v>
      </c>
      <c r="H139" s="261">
        <f>VLOOKUP($A139, Sheet4!$A$2:$L$688, Consol_Thematic!H$1,FALSE)</f>
        <v>1.9</v>
      </c>
      <c r="I139" s="261">
        <f>VLOOKUP($A139, Sheet4!$A$2:$L$688, Consol_Thematic!I$1,FALSE)</f>
        <v>0.9</v>
      </c>
      <c r="J139" s="261">
        <f>VLOOKUP($A139, Sheet4!$A$2:$L$688, Consol_Thematic!J$1,FALSE)</f>
        <v>14.08</v>
      </c>
      <c r="K139" s="261">
        <f t="shared" si="48"/>
        <v>0.12490815576781776</v>
      </c>
      <c r="L139" s="261">
        <f t="shared" si="49"/>
        <v>0.83076923076923093</v>
      </c>
      <c r="M139" s="261">
        <f t="shared" si="50"/>
        <v>0.4206174200661521</v>
      </c>
      <c r="N139" s="261">
        <f t="shared" si="51"/>
        <v>0.6427190721649485</v>
      </c>
      <c r="O139" s="261">
        <f t="shared" si="52"/>
        <v>0.37030411449016098</v>
      </c>
      <c r="P139" s="261">
        <f t="shared" si="53"/>
        <v>0.42056074766355139</v>
      </c>
      <c r="Q139" s="261">
        <f t="shared" si="54"/>
        <v>0.30769230769230771</v>
      </c>
      <c r="R139" s="261">
        <f t="shared" si="55"/>
        <v>0.24369747899159658</v>
      </c>
      <c r="S139" s="261">
        <f t="shared" si="56"/>
        <v>-0.12004662004661996</v>
      </c>
      <c r="T139" s="261" t="e">
        <f>(K139*'Fund Ranking Criteria'!$J$9)+('Fund Ranking Criteria'!$J$10*Consol_Thematic!M139)+('Fund Ranking Criteria'!$J$12*Consol_Thematic!S139)+('Fund Ranking Criteria'!$J$14*Consol_Thematic!R139)+('Fund Ranking Criteria'!$J$15*Consol_Thematic!O139)+('Fund Ranking Criteria'!$J$16*Consol_Thematic!P139)+('Fund Ranking Criteria'!#REF!*Consol_Thematic!Q139)+('Fund Ranking Criteria'!#REF!*Consol_Thematic!L139)</f>
        <v>#REF!</v>
      </c>
      <c r="U139" s="261" t="e">
        <f t="shared" si="57"/>
        <v>#REF!</v>
      </c>
      <c r="V139" s="261" t="e">
        <f t="shared" si="58"/>
        <v>#REF!</v>
      </c>
      <c r="W139" s="261" t="str">
        <f t="shared" si="59"/>
        <v>Tata Ethical Fund - Regular Plan</v>
      </c>
    </row>
    <row r="140" spans="1:23" x14ac:dyDescent="0.25">
      <c r="A140" s="261" t="s">
        <v>793</v>
      </c>
      <c r="B140" s="261">
        <f>VLOOKUP($A140, Sheet4!$A$2:$L$688, Consol_Thematic!B$1,FALSE)</f>
        <v>-4.91</v>
      </c>
      <c r="C140" s="261">
        <f>VLOOKUP($A140, Sheet4!$A$2:$L$688, Consol_Thematic!C$1,FALSE)</f>
        <v>0</v>
      </c>
      <c r="D140" s="261">
        <f>VLOOKUP($A140, Sheet4!$A$2:$L$688, Consol_Thematic!D$1,FALSE)</f>
        <v>0</v>
      </c>
      <c r="E140" s="261">
        <f>VLOOKUP($A140, Sheet4!$A$2:$L$688, Consol_Thematic!E$1,FALSE)</f>
        <v>0</v>
      </c>
      <c r="F140" s="261">
        <f>VLOOKUP($A140, Sheet4!$A$2:$L$688, Consol_Thematic!F$1,FALSE)</f>
        <v>0</v>
      </c>
      <c r="G140" s="261">
        <f>VLOOKUP($A140, Sheet4!$A$2:$L$688, Consol_Thematic!G$1,FALSE)</f>
        <v>0</v>
      </c>
      <c r="H140" s="261">
        <f>VLOOKUP($A140, Sheet4!$A$2:$L$688, Consol_Thematic!H$1,FALSE)</f>
        <v>2.36</v>
      </c>
      <c r="I140" s="261">
        <f>VLOOKUP($A140, Sheet4!$A$2:$L$688, Consol_Thematic!I$1,FALSE)</f>
        <v>0</v>
      </c>
      <c r="J140" s="261">
        <f>VLOOKUP($A140, Sheet4!$A$2:$L$688, Consol_Thematic!J$1,FALSE)</f>
        <v>0</v>
      </c>
      <c r="K140" s="261">
        <f t="shared" si="48"/>
        <v>8.0822924320352266E-3</v>
      </c>
      <c r="L140" s="261">
        <f t="shared" si="49"/>
        <v>0.12307692307692321</v>
      </c>
      <c r="M140" s="261">
        <f t="shared" si="50"/>
        <v>0</v>
      </c>
      <c r="N140" s="261">
        <f t="shared" si="51"/>
        <v>0</v>
      </c>
      <c r="O140" s="261">
        <f t="shared" si="52"/>
        <v>1</v>
      </c>
      <c r="P140" s="261">
        <f t="shared" si="53"/>
        <v>0</v>
      </c>
      <c r="Q140" s="261">
        <f t="shared" si="54"/>
        <v>0</v>
      </c>
      <c r="R140" s="261">
        <f t="shared" si="55"/>
        <v>1</v>
      </c>
      <c r="S140" s="261">
        <f t="shared" si="56"/>
        <v>0.34848484848484851</v>
      </c>
      <c r="T140" s="261" t="e">
        <f>(K140*'Fund Ranking Criteria'!$J$9)+('Fund Ranking Criteria'!$J$10*Consol_Thematic!M140)+('Fund Ranking Criteria'!$J$12*Consol_Thematic!S140)+('Fund Ranking Criteria'!$J$14*Consol_Thematic!R140)+('Fund Ranking Criteria'!$J$15*Consol_Thematic!O140)+('Fund Ranking Criteria'!$J$16*Consol_Thematic!P140)+('Fund Ranking Criteria'!#REF!*Consol_Thematic!Q140)+('Fund Ranking Criteria'!#REF!*Consol_Thematic!L140)</f>
        <v>#REF!</v>
      </c>
      <c r="U140" s="261" t="e">
        <f t="shared" si="57"/>
        <v>#REF!</v>
      </c>
      <c r="V140" s="261" t="e">
        <f t="shared" si="58"/>
        <v>#REF!</v>
      </c>
      <c r="W140" s="261" t="str">
        <f t="shared" si="59"/>
        <v>Tata Housing Opportunities Fund - Regular Plan</v>
      </c>
    </row>
    <row r="141" spans="1:23" x14ac:dyDescent="0.25">
      <c r="A141" s="261" t="s">
        <v>794</v>
      </c>
      <c r="B141" s="261">
        <f>VLOOKUP($A141, Sheet4!$A$2:$L$688, Consol_Thematic!B$1,FALSE)</f>
        <v>6.94</v>
      </c>
      <c r="C141" s="261">
        <f>VLOOKUP($A141, Sheet4!$A$2:$L$688, Consol_Thematic!C$1,FALSE)</f>
        <v>23.19</v>
      </c>
      <c r="D141" s="261">
        <f>VLOOKUP($A141, Sheet4!$A$2:$L$688, Consol_Thematic!D$1,FALSE)</f>
        <v>21.79</v>
      </c>
      <c r="E141" s="261">
        <f>VLOOKUP($A141, Sheet4!$A$2:$L$688, Consol_Thematic!E$1,FALSE)</f>
        <v>0.86</v>
      </c>
      <c r="F141" s="261">
        <f>VLOOKUP($A141, Sheet4!$A$2:$L$688, Consol_Thematic!F$1,FALSE)</f>
        <v>1.18</v>
      </c>
      <c r="G141" s="261">
        <f>VLOOKUP($A141, Sheet4!$A$2:$L$688, Consol_Thematic!G$1,FALSE)</f>
        <v>1.52</v>
      </c>
      <c r="H141" s="261">
        <f>VLOOKUP($A141, Sheet4!$A$2:$L$688, Consol_Thematic!H$1,FALSE)</f>
        <v>1.99</v>
      </c>
      <c r="I141" s="261">
        <f>VLOOKUP($A141, Sheet4!$A$2:$L$688, Consol_Thematic!I$1,FALSE)</f>
        <v>0.84</v>
      </c>
      <c r="J141" s="261">
        <f>VLOOKUP($A141, Sheet4!$A$2:$L$688, Consol_Thematic!J$1,FALSE)</f>
        <v>15.81</v>
      </c>
      <c r="K141" s="261">
        <f t="shared" si="48"/>
        <v>0.87876561351947102</v>
      </c>
      <c r="L141" s="261">
        <f t="shared" si="49"/>
        <v>0.69230769230769229</v>
      </c>
      <c r="M141" s="261">
        <f t="shared" si="50"/>
        <v>0.63919514884233741</v>
      </c>
      <c r="N141" s="261">
        <f t="shared" si="51"/>
        <v>0.70199742268041232</v>
      </c>
      <c r="O141" s="261">
        <f t="shared" si="52"/>
        <v>0.29293381037567079</v>
      </c>
      <c r="P141" s="261">
        <f t="shared" si="53"/>
        <v>0.80373831775700932</v>
      </c>
      <c r="Q141" s="261">
        <f t="shared" si="54"/>
        <v>0.60512820512820509</v>
      </c>
      <c r="R141" s="261">
        <f t="shared" si="55"/>
        <v>0.29411764705882354</v>
      </c>
      <c r="S141" s="261">
        <f t="shared" si="56"/>
        <v>0.52564102564102566</v>
      </c>
      <c r="T141" s="261" t="e">
        <f>(K141*'Fund Ranking Criteria'!$J$9)+('Fund Ranking Criteria'!$J$10*Consol_Thematic!M141)+('Fund Ranking Criteria'!$J$12*Consol_Thematic!S141)+('Fund Ranking Criteria'!$J$14*Consol_Thematic!R141)+('Fund Ranking Criteria'!$J$15*Consol_Thematic!O141)+('Fund Ranking Criteria'!$J$16*Consol_Thematic!P141)+('Fund Ranking Criteria'!#REF!*Consol_Thematic!Q141)+('Fund Ranking Criteria'!#REF!*Consol_Thematic!L141)</f>
        <v>#REF!</v>
      </c>
      <c r="U141" s="261" t="e">
        <f t="shared" si="57"/>
        <v>#REF!</v>
      </c>
      <c r="V141" s="261" t="e">
        <f t="shared" si="58"/>
        <v>#REF!</v>
      </c>
      <c r="W141" s="261" t="str">
        <f t="shared" si="59"/>
        <v>Tata India Consumer Fund - Regular Plan</v>
      </c>
    </row>
    <row r="142" spans="1:23" x14ac:dyDescent="0.25">
      <c r="A142" s="261" t="s">
        <v>795</v>
      </c>
      <c r="B142" s="261">
        <f>VLOOKUP($A142, Sheet4!$A$2:$L$688, Consol_Thematic!B$1,FALSE)</f>
        <v>0</v>
      </c>
      <c r="C142" s="261">
        <f>VLOOKUP($A142, Sheet4!$A$2:$L$688, Consol_Thematic!C$1,FALSE)</f>
        <v>0</v>
      </c>
      <c r="D142" s="261">
        <f>VLOOKUP($A142, Sheet4!$A$2:$L$688, Consol_Thematic!D$1,FALSE)</f>
        <v>0</v>
      </c>
      <c r="E142" s="261">
        <f>VLOOKUP($A142, Sheet4!$A$2:$L$688, Consol_Thematic!E$1,FALSE)</f>
        <v>0</v>
      </c>
      <c r="F142" s="261">
        <f>VLOOKUP($A142, Sheet4!$A$2:$L$688, Consol_Thematic!F$1,FALSE)</f>
        <v>0</v>
      </c>
      <c r="G142" s="261">
        <f>VLOOKUP($A142, Sheet4!$A$2:$L$688, Consol_Thematic!G$1,FALSE)</f>
        <v>0</v>
      </c>
      <c r="H142" s="261">
        <f>VLOOKUP($A142, Sheet4!$A$2:$L$688, Consol_Thematic!H$1,FALSE)</f>
        <v>2.0299999999999998</v>
      </c>
      <c r="I142" s="261">
        <f>VLOOKUP($A142, Sheet4!$A$2:$L$688, Consol_Thematic!I$1,FALSE)</f>
        <v>0</v>
      </c>
      <c r="J142" s="261">
        <f>VLOOKUP($A142, Sheet4!$A$2:$L$688, Consol_Thematic!J$1,FALSE)</f>
        <v>0</v>
      </c>
      <c r="K142" s="261">
        <f t="shared" si="48"/>
        <v>0.36884643644379134</v>
      </c>
      <c r="L142" s="261">
        <f t="shared" si="49"/>
        <v>0.63076923076923108</v>
      </c>
      <c r="M142" s="261">
        <f t="shared" si="50"/>
        <v>0</v>
      </c>
      <c r="N142" s="261">
        <f t="shared" si="51"/>
        <v>0</v>
      </c>
      <c r="O142" s="261">
        <f t="shared" si="52"/>
        <v>1</v>
      </c>
      <c r="P142" s="261">
        <f t="shared" si="53"/>
        <v>0</v>
      </c>
      <c r="Q142" s="261">
        <f t="shared" si="54"/>
        <v>0</v>
      </c>
      <c r="R142" s="261">
        <f t="shared" si="55"/>
        <v>1</v>
      </c>
      <c r="S142" s="261">
        <f t="shared" si="56"/>
        <v>0.34848484848484851</v>
      </c>
      <c r="T142" s="261" t="e">
        <f>(K142*'Fund Ranking Criteria'!$J$9)+('Fund Ranking Criteria'!$J$10*Consol_Thematic!M142)+('Fund Ranking Criteria'!$J$12*Consol_Thematic!S142)+('Fund Ranking Criteria'!$J$14*Consol_Thematic!R142)+('Fund Ranking Criteria'!$J$15*Consol_Thematic!O142)+('Fund Ranking Criteria'!$J$16*Consol_Thematic!P142)+('Fund Ranking Criteria'!#REF!*Consol_Thematic!Q142)+('Fund Ranking Criteria'!#REF!*Consol_Thematic!L142)</f>
        <v>#REF!</v>
      </c>
      <c r="U142" s="261" t="e">
        <f t="shared" si="57"/>
        <v>#REF!</v>
      </c>
      <c r="V142" s="261" t="e">
        <f t="shared" si="58"/>
        <v>#REF!</v>
      </c>
      <c r="W142" s="261" t="str">
        <f t="shared" si="59"/>
        <v>Tata India Innovation Fund - Regular Plan</v>
      </c>
    </row>
    <row r="143" spans="1:23" x14ac:dyDescent="0.25">
      <c r="A143" s="261" t="s">
        <v>811</v>
      </c>
      <c r="B143" s="261">
        <f>VLOOKUP($A143, Sheet4!$A$2:$L$688, Consol_Thematic!B$1,FALSE)</f>
        <v>3.45</v>
      </c>
      <c r="C143" s="261">
        <f>VLOOKUP($A143, Sheet4!$A$2:$L$688, Consol_Thematic!C$1,FALSE)</f>
        <v>23.1</v>
      </c>
      <c r="D143" s="261">
        <f>VLOOKUP($A143, Sheet4!$A$2:$L$688, Consol_Thematic!D$1,FALSE)</f>
        <v>24.88</v>
      </c>
      <c r="E143" s="261">
        <f>VLOOKUP($A143, Sheet4!$A$2:$L$688, Consol_Thematic!E$1,FALSE)</f>
        <v>0.67</v>
      </c>
      <c r="F143" s="261">
        <f>VLOOKUP($A143, Sheet4!$A$2:$L$688, Consol_Thematic!F$1,FALSE)</f>
        <v>1.04</v>
      </c>
      <c r="G143" s="261">
        <f>VLOOKUP($A143, Sheet4!$A$2:$L$688, Consol_Thematic!G$1,FALSE)</f>
        <v>4.51</v>
      </c>
      <c r="H143" s="261">
        <f>VLOOKUP($A143, Sheet4!$A$2:$L$688, Consol_Thematic!H$1,FALSE)</f>
        <v>2.13</v>
      </c>
      <c r="I143" s="261">
        <f>VLOOKUP($A143, Sheet4!$A$2:$L$688, Consol_Thematic!I$1,FALSE)</f>
        <v>0.62</v>
      </c>
      <c r="J143" s="261">
        <f>VLOOKUP($A143, Sheet4!$A$2:$L$688, Consol_Thematic!J$1,FALSE)</f>
        <v>17.11</v>
      </c>
      <c r="K143" s="261">
        <f t="shared" si="48"/>
        <v>0.62233651726671557</v>
      </c>
      <c r="L143" s="261">
        <f t="shared" si="49"/>
        <v>0.47692307692307706</v>
      </c>
      <c r="M143" s="261">
        <f t="shared" si="50"/>
        <v>0.63671444321940462</v>
      </c>
      <c r="N143" s="261">
        <f t="shared" si="51"/>
        <v>0.80154639175257736</v>
      </c>
      <c r="O143" s="261">
        <f t="shared" si="52"/>
        <v>0.23479427549194992</v>
      </c>
      <c r="P143" s="261">
        <f t="shared" si="53"/>
        <v>0.62616822429906538</v>
      </c>
      <c r="Q143" s="261">
        <f t="shared" si="54"/>
        <v>0.53333333333333333</v>
      </c>
      <c r="R143" s="261">
        <f t="shared" si="55"/>
        <v>0.47899159663865543</v>
      </c>
      <c r="S143" s="261">
        <f t="shared" si="56"/>
        <v>0.87412587412587417</v>
      </c>
      <c r="T143" s="261" t="e">
        <f>(K143*'Fund Ranking Criteria'!$J$9)+('Fund Ranking Criteria'!$J$10*Consol_Thematic!M143)+('Fund Ranking Criteria'!$J$12*Consol_Thematic!S143)+('Fund Ranking Criteria'!$J$14*Consol_Thematic!R143)+('Fund Ranking Criteria'!$J$15*Consol_Thematic!O143)+('Fund Ranking Criteria'!$J$16*Consol_Thematic!P143)+('Fund Ranking Criteria'!#REF!*Consol_Thematic!Q143)+('Fund Ranking Criteria'!#REF!*Consol_Thematic!L143)</f>
        <v>#REF!</v>
      </c>
      <c r="U143" s="261" t="e">
        <f t="shared" si="57"/>
        <v>#REF!</v>
      </c>
      <c r="V143" s="261" t="e">
        <f t="shared" si="58"/>
        <v>#REF!</v>
      </c>
      <c r="W143" s="261" t="str">
        <f t="shared" si="59"/>
        <v>Tata Resources &amp; Energy Fund - Regular Plan</v>
      </c>
    </row>
    <row r="144" spans="1:23" x14ac:dyDescent="0.25">
      <c r="A144" s="261" t="s">
        <v>815</v>
      </c>
      <c r="B144" s="261">
        <f>VLOOKUP($A144, Sheet4!$A$2:$L$688, Consol_Thematic!B$1,FALSE)</f>
        <v>1.63</v>
      </c>
      <c r="C144" s="261">
        <f>VLOOKUP($A144, Sheet4!$A$2:$L$688, Consol_Thematic!C$1,FALSE)</f>
        <v>19.52</v>
      </c>
      <c r="D144" s="261">
        <f>VLOOKUP($A144, Sheet4!$A$2:$L$688, Consol_Thematic!D$1,FALSE)</f>
        <v>20.04</v>
      </c>
      <c r="E144" s="261">
        <f>VLOOKUP($A144, Sheet4!$A$2:$L$688, Consol_Thematic!E$1,FALSE)</f>
        <v>0.66</v>
      </c>
      <c r="F144" s="261">
        <f>VLOOKUP($A144, Sheet4!$A$2:$L$688, Consol_Thematic!F$1,FALSE)</f>
        <v>0.94</v>
      </c>
      <c r="G144" s="261">
        <f>VLOOKUP($A144, Sheet4!$A$2:$L$688, Consol_Thematic!G$1,FALSE)</f>
        <v>-0.94</v>
      </c>
      <c r="H144" s="261">
        <f>VLOOKUP($A144, Sheet4!$A$2:$L$688, Consol_Thematic!H$1,FALSE)</f>
        <v>2.39</v>
      </c>
      <c r="I144" s="261">
        <f>VLOOKUP($A144, Sheet4!$A$2:$L$688, Consol_Thematic!I$1,FALSE)</f>
        <v>0.93</v>
      </c>
      <c r="J144" s="261">
        <f>VLOOKUP($A144, Sheet4!$A$2:$L$688, Consol_Thematic!J$1,FALSE)</f>
        <v>14.82</v>
      </c>
      <c r="K144" s="261">
        <f t="shared" si="48"/>
        <v>0.48861131520940482</v>
      </c>
      <c r="L144" s="261">
        <f t="shared" si="49"/>
        <v>7.6923076923076664E-2</v>
      </c>
      <c r="M144" s="261">
        <f t="shared" si="50"/>
        <v>0.53803748621830205</v>
      </c>
      <c r="N144" s="261">
        <f t="shared" si="51"/>
        <v>0.64561855670103097</v>
      </c>
      <c r="O144" s="261">
        <f t="shared" si="52"/>
        <v>0.33720930232558138</v>
      </c>
      <c r="P144" s="261">
        <f t="shared" si="53"/>
        <v>0.61682242990654201</v>
      </c>
      <c r="Q144" s="261">
        <f t="shared" si="54"/>
        <v>0.48205128205128206</v>
      </c>
      <c r="R144" s="261">
        <f t="shared" si="55"/>
        <v>0.21848739495798311</v>
      </c>
      <c r="S144" s="261">
        <f t="shared" si="56"/>
        <v>0.23892773892773897</v>
      </c>
      <c r="T144" s="261" t="e">
        <f>(K144*'Fund Ranking Criteria'!$J$9)+('Fund Ranking Criteria'!$J$10*Consol_Thematic!M144)+('Fund Ranking Criteria'!$J$12*Consol_Thematic!S144)+('Fund Ranking Criteria'!$J$14*Consol_Thematic!R144)+('Fund Ranking Criteria'!$J$15*Consol_Thematic!O144)+('Fund Ranking Criteria'!$J$16*Consol_Thematic!P144)+('Fund Ranking Criteria'!#REF!*Consol_Thematic!Q144)+('Fund Ranking Criteria'!#REF!*Consol_Thematic!L144)</f>
        <v>#REF!</v>
      </c>
      <c r="U144" s="261" t="e">
        <f t="shared" si="57"/>
        <v>#REF!</v>
      </c>
      <c r="V144" s="261" t="e">
        <f t="shared" si="58"/>
        <v>#REF!</v>
      </c>
      <c r="W144" s="261" t="str">
        <f t="shared" si="59"/>
        <v>Taurus Ethical Fund - Regular Plan</v>
      </c>
    </row>
    <row r="145" spans="1:23" x14ac:dyDescent="0.25">
      <c r="A145" s="261" t="s">
        <v>820</v>
      </c>
      <c r="B145" s="261">
        <f>VLOOKUP($A145, Sheet4!$A$2:$L$688, Consol_Thematic!B$1,FALSE)</f>
        <v>2.02</v>
      </c>
      <c r="C145" s="261">
        <f>VLOOKUP($A145, Sheet4!$A$2:$L$688, Consol_Thematic!C$1,FALSE)</f>
        <v>20.84</v>
      </c>
      <c r="D145" s="261">
        <f>VLOOKUP($A145, Sheet4!$A$2:$L$688, Consol_Thematic!D$1,FALSE)</f>
        <v>27.19</v>
      </c>
      <c r="E145" s="261">
        <f>VLOOKUP($A145, Sheet4!$A$2:$L$688, Consol_Thematic!E$1,FALSE)</f>
        <v>0.84</v>
      </c>
      <c r="F145" s="261">
        <f>VLOOKUP($A145, Sheet4!$A$2:$L$688, Consol_Thematic!F$1,FALSE)</f>
        <v>1.33</v>
      </c>
      <c r="G145" s="261">
        <f>VLOOKUP($A145, Sheet4!$A$2:$L$688, Consol_Thematic!G$1,FALSE)</f>
        <v>2.11</v>
      </c>
      <c r="H145" s="261">
        <f>VLOOKUP($A145, Sheet4!$A$2:$L$688, Consol_Thematic!H$1,FALSE)</f>
        <v>2.09</v>
      </c>
      <c r="I145" s="261">
        <f>VLOOKUP($A145, Sheet4!$A$2:$L$688, Consol_Thematic!I$1,FALSE)</f>
        <v>0.79</v>
      </c>
      <c r="J145" s="261">
        <f>VLOOKUP($A145, Sheet4!$A$2:$L$688, Consol_Thematic!J$1,FALSE)</f>
        <v>13.28</v>
      </c>
      <c r="K145" s="261">
        <f t="shared" si="48"/>
        <v>0.51726671565025717</v>
      </c>
      <c r="L145" s="261">
        <f t="shared" si="49"/>
        <v>0.53846153846153866</v>
      </c>
      <c r="M145" s="261">
        <f t="shared" si="50"/>
        <v>0.57442116868798232</v>
      </c>
      <c r="N145" s="261">
        <f t="shared" si="51"/>
        <v>0.87596649484536093</v>
      </c>
      <c r="O145" s="261">
        <f t="shared" si="52"/>
        <v>0.40608228980322003</v>
      </c>
      <c r="P145" s="261">
        <f t="shared" si="53"/>
        <v>0.78504672897196259</v>
      </c>
      <c r="Q145" s="261">
        <f t="shared" si="54"/>
        <v>0.68205128205128207</v>
      </c>
      <c r="R145" s="261">
        <f t="shared" si="55"/>
        <v>0.33613445378151252</v>
      </c>
      <c r="S145" s="261">
        <f t="shared" si="56"/>
        <v>0.59440559440559437</v>
      </c>
      <c r="T145" s="261" t="e">
        <f>(K145*'Fund Ranking Criteria'!$J$9)+('Fund Ranking Criteria'!$J$10*Consol_Thematic!M145)+('Fund Ranking Criteria'!$J$12*Consol_Thematic!S145)+('Fund Ranking Criteria'!$J$14*Consol_Thematic!R145)+('Fund Ranking Criteria'!$J$15*Consol_Thematic!O145)+('Fund Ranking Criteria'!$J$16*Consol_Thematic!P145)+('Fund Ranking Criteria'!#REF!*Consol_Thematic!Q145)+('Fund Ranking Criteria'!#REF!*Consol_Thematic!L145)</f>
        <v>#REF!</v>
      </c>
      <c r="U145" s="261" t="e">
        <f t="shared" si="57"/>
        <v>#REF!</v>
      </c>
      <c r="V145" s="261" t="e">
        <f t="shared" si="58"/>
        <v>#REF!</v>
      </c>
      <c r="W145" s="261" t="str">
        <f t="shared" si="59"/>
        <v>Templeton India Equity Income Fund</v>
      </c>
    </row>
    <row r="146" spans="1:23" x14ac:dyDescent="0.25">
      <c r="A146" s="261" t="s">
        <v>825</v>
      </c>
      <c r="B146" s="261">
        <f>VLOOKUP($A146, Sheet4!$A$2:$L$688, Consol_Thematic!B$1,FALSE)</f>
        <v>0</v>
      </c>
      <c r="C146" s="261">
        <f>VLOOKUP($A146, Sheet4!$A$2:$L$688, Consol_Thematic!C$1,FALSE)</f>
        <v>0</v>
      </c>
      <c r="D146" s="261">
        <f>VLOOKUP($A146, Sheet4!$A$2:$L$688, Consol_Thematic!D$1,FALSE)</f>
        <v>0</v>
      </c>
      <c r="E146" s="261">
        <f>VLOOKUP($A146, Sheet4!$A$2:$L$688, Consol_Thematic!E$1,FALSE)</f>
        <v>0</v>
      </c>
      <c r="F146" s="261">
        <f>VLOOKUP($A146, Sheet4!$A$2:$L$688, Consol_Thematic!F$1,FALSE)</f>
        <v>0</v>
      </c>
      <c r="G146" s="261">
        <f>VLOOKUP($A146, Sheet4!$A$2:$L$688, Consol_Thematic!G$1,FALSE)</f>
        <v>0</v>
      </c>
      <c r="H146" s="261">
        <f>VLOOKUP($A146, Sheet4!$A$2:$L$688, Consol_Thematic!H$1,FALSE)</f>
        <v>2.44</v>
      </c>
      <c r="I146" s="261">
        <f>VLOOKUP($A146, Sheet4!$A$2:$L$688, Consol_Thematic!I$1,FALSE)</f>
        <v>0</v>
      </c>
      <c r="J146" s="261">
        <f>VLOOKUP($A146, Sheet4!$A$2:$L$688, Consol_Thematic!J$1,FALSE)</f>
        <v>0</v>
      </c>
      <c r="K146" s="261">
        <f t="shared" si="48"/>
        <v>0.36884643644379134</v>
      </c>
      <c r="L146" s="261">
        <f t="shared" si="49"/>
        <v>0</v>
      </c>
      <c r="M146" s="261">
        <f t="shared" si="50"/>
        <v>0</v>
      </c>
      <c r="N146" s="261">
        <f t="shared" si="51"/>
        <v>0</v>
      </c>
      <c r="O146" s="261">
        <f t="shared" si="52"/>
        <v>1</v>
      </c>
      <c r="P146" s="261">
        <f t="shared" si="53"/>
        <v>0</v>
      </c>
      <c r="Q146" s="261">
        <f t="shared" si="54"/>
        <v>0</v>
      </c>
      <c r="R146" s="261">
        <f t="shared" si="55"/>
        <v>1</v>
      </c>
      <c r="S146" s="261">
        <f t="shared" si="56"/>
        <v>0.34848484848484851</v>
      </c>
      <c r="T146" s="261" t="e">
        <f>(K146*'Fund Ranking Criteria'!$J$9)+('Fund Ranking Criteria'!$J$10*Consol_Thematic!M146)+('Fund Ranking Criteria'!$J$12*Consol_Thematic!S146)+('Fund Ranking Criteria'!$J$14*Consol_Thematic!R146)+('Fund Ranking Criteria'!$J$15*Consol_Thematic!O146)+('Fund Ranking Criteria'!$J$16*Consol_Thematic!P146)+('Fund Ranking Criteria'!#REF!*Consol_Thematic!Q146)+('Fund Ranking Criteria'!#REF!*Consol_Thematic!L146)</f>
        <v>#REF!</v>
      </c>
      <c r="U146" s="261" t="e">
        <f t="shared" si="57"/>
        <v>#REF!</v>
      </c>
      <c r="V146" s="261" t="e">
        <f t="shared" si="58"/>
        <v>#REF!</v>
      </c>
      <c r="W146" s="261" t="str">
        <f t="shared" si="59"/>
        <v>Union Active Momentum Fund - Regular Plan</v>
      </c>
    </row>
    <row r="147" spans="1:23" x14ac:dyDescent="0.25">
      <c r="A147" s="261" t="s">
        <v>827</v>
      </c>
      <c r="B147" s="261">
        <f>VLOOKUP($A147, Sheet4!$A$2:$L$688, Consol_Thematic!B$1,FALSE)</f>
        <v>-0.62</v>
      </c>
      <c r="C147" s="261">
        <f>VLOOKUP($A147, Sheet4!$A$2:$L$688, Consol_Thematic!C$1,FALSE)</f>
        <v>0</v>
      </c>
      <c r="D147" s="261">
        <f>VLOOKUP($A147, Sheet4!$A$2:$L$688, Consol_Thematic!D$1,FALSE)</f>
        <v>0</v>
      </c>
      <c r="E147" s="261">
        <f>VLOOKUP($A147, Sheet4!$A$2:$L$688, Consol_Thematic!E$1,FALSE)</f>
        <v>0</v>
      </c>
      <c r="F147" s="261">
        <f>VLOOKUP($A147, Sheet4!$A$2:$L$688, Consol_Thematic!F$1,FALSE)</f>
        <v>0</v>
      </c>
      <c r="G147" s="261">
        <f>VLOOKUP($A147, Sheet4!$A$2:$L$688, Consol_Thematic!G$1,FALSE)</f>
        <v>0</v>
      </c>
      <c r="H147" s="261">
        <f>VLOOKUP($A147, Sheet4!$A$2:$L$688, Consol_Thematic!H$1,FALSE)</f>
        <v>2.36</v>
      </c>
      <c r="I147" s="261">
        <f>VLOOKUP($A147, Sheet4!$A$2:$L$688, Consol_Thematic!I$1,FALSE)</f>
        <v>0</v>
      </c>
      <c r="J147" s="261">
        <f>VLOOKUP($A147, Sheet4!$A$2:$L$688, Consol_Thematic!J$1,FALSE)</f>
        <v>0</v>
      </c>
      <c r="K147" s="261">
        <f t="shared" si="48"/>
        <v>0.32329169728141072</v>
      </c>
      <c r="L147" s="261">
        <f t="shared" si="49"/>
        <v>0.12307692307692321</v>
      </c>
      <c r="M147" s="261">
        <f t="shared" si="50"/>
        <v>0</v>
      </c>
      <c r="N147" s="261">
        <f t="shared" si="51"/>
        <v>0</v>
      </c>
      <c r="O147" s="261">
        <f t="shared" si="52"/>
        <v>1</v>
      </c>
      <c r="P147" s="261">
        <f t="shared" si="53"/>
        <v>0</v>
      </c>
      <c r="Q147" s="261">
        <f t="shared" si="54"/>
        <v>0</v>
      </c>
      <c r="R147" s="261">
        <f t="shared" si="55"/>
        <v>1</v>
      </c>
      <c r="S147" s="261">
        <f t="shared" si="56"/>
        <v>0.34848484848484851</v>
      </c>
      <c r="T147" s="261" t="e">
        <f>(K147*'Fund Ranking Criteria'!$J$9)+('Fund Ranking Criteria'!$J$10*Consol_Thematic!M147)+('Fund Ranking Criteria'!$J$12*Consol_Thematic!S147)+('Fund Ranking Criteria'!$J$14*Consol_Thematic!R147)+('Fund Ranking Criteria'!$J$15*Consol_Thematic!O147)+('Fund Ranking Criteria'!$J$16*Consol_Thematic!P147)+('Fund Ranking Criteria'!#REF!*Consol_Thematic!Q147)+('Fund Ranking Criteria'!#REF!*Consol_Thematic!L147)</f>
        <v>#REF!</v>
      </c>
      <c r="U147" s="261" t="e">
        <f t="shared" si="57"/>
        <v>#REF!</v>
      </c>
      <c r="V147" s="261" t="e">
        <f t="shared" si="58"/>
        <v>#REF!</v>
      </c>
      <c r="W147" s="261" t="str">
        <f t="shared" si="59"/>
        <v>Union Business Cycle Fund - Regular Plan</v>
      </c>
    </row>
    <row r="148" spans="1:23" x14ac:dyDescent="0.25">
      <c r="A148" s="261" t="s">
        <v>831</v>
      </c>
      <c r="B148" s="261">
        <f>VLOOKUP($A148, Sheet4!$A$2:$L$688, Consol_Thematic!B$1,FALSE)</f>
        <v>7.49</v>
      </c>
      <c r="C148" s="261">
        <f>VLOOKUP($A148, Sheet4!$A$2:$L$688, Consol_Thematic!C$1,FALSE)</f>
        <v>0</v>
      </c>
      <c r="D148" s="261">
        <f>VLOOKUP($A148, Sheet4!$A$2:$L$688, Consol_Thematic!D$1,FALSE)</f>
        <v>0</v>
      </c>
      <c r="E148" s="261">
        <f>VLOOKUP($A148, Sheet4!$A$2:$L$688, Consol_Thematic!E$1,FALSE)</f>
        <v>0</v>
      </c>
      <c r="F148" s="261">
        <f>VLOOKUP($A148, Sheet4!$A$2:$L$688, Consol_Thematic!F$1,FALSE)</f>
        <v>0</v>
      </c>
      <c r="G148" s="261">
        <f>VLOOKUP($A148, Sheet4!$A$2:$L$688, Consol_Thematic!G$1,FALSE)</f>
        <v>0</v>
      </c>
      <c r="H148" s="261">
        <f>VLOOKUP($A148, Sheet4!$A$2:$L$688, Consol_Thematic!H$1,FALSE)</f>
        <v>2.21</v>
      </c>
      <c r="I148" s="261">
        <f>VLOOKUP($A148, Sheet4!$A$2:$L$688, Consol_Thematic!I$1,FALSE)</f>
        <v>0</v>
      </c>
      <c r="J148" s="261">
        <f>VLOOKUP($A148, Sheet4!$A$2:$L$688, Consol_Thematic!J$1,FALSE)</f>
        <v>0</v>
      </c>
      <c r="K148" s="261">
        <f t="shared" si="48"/>
        <v>0.91917707567964735</v>
      </c>
      <c r="L148" s="261">
        <f t="shared" si="49"/>
        <v>0.35384615384615387</v>
      </c>
      <c r="M148" s="261">
        <f t="shared" si="50"/>
        <v>0</v>
      </c>
      <c r="N148" s="261">
        <f t="shared" si="51"/>
        <v>0</v>
      </c>
      <c r="O148" s="261">
        <f t="shared" si="52"/>
        <v>1</v>
      </c>
      <c r="P148" s="261">
        <f t="shared" si="53"/>
        <v>0</v>
      </c>
      <c r="Q148" s="261">
        <f t="shared" si="54"/>
        <v>0</v>
      </c>
      <c r="R148" s="261">
        <f t="shared" si="55"/>
        <v>1</v>
      </c>
      <c r="S148" s="261">
        <f t="shared" si="56"/>
        <v>0.34848484848484851</v>
      </c>
      <c r="T148" s="261" t="e">
        <f>(K148*'Fund Ranking Criteria'!$J$9)+('Fund Ranking Criteria'!$J$10*Consol_Thematic!M148)+('Fund Ranking Criteria'!$J$12*Consol_Thematic!S148)+('Fund Ranking Criteria'!$J$14*Consol_Thematic!R148)+('Fund Ranking Criteria'!$J$15*Consol_Thematic!O148)+('Fund Ranking Criteria'!$J$16*Consol_Thematic!P148)+('Fund Ranking Criteria'!#REF!*Consol_Thematic!Q148)+('Fund Ranking Criteria'!#REF!*Consol_Thematic!L148)</f>
        <v>#REF!</v>
      </c>
      <c r="U148" s="261" t="e">
        <f t="shared" si="57"/>
        <v>#REF!</v>
      </c>
      <c r="V148" s="261" t="e">
        <f t="shared" si="58"/>
        <v>#REF!</v>
      </c>
      <c r="W148" s="261" t="str">
        <f t="shared" si="59"/>
        <v>Union Innovation &amp; Opportunities Fund - Regular Plan</v>
      </c>
    </row>
    <row r="149" spans="1:23" x14ac:dyDescent="0.25">
      <c r="A149" s="261" t="s">
        <v>846</v>
      </c>
      <c r="B149" s="261">
        <f>VLOOKUP($A149, Sheet4!$A$2:$L$688, Consol_Thematic!B$1,FALSE)</f>
        <v>5.95</v>
      </c>
      <c r="C149" s="261">
        <f>VLOOKUP($A149, Sheet4!$A$2:$L$688, Consol_Thematic!C$1,FALSE)</f>
        <v>24.25</v>
      </c>
      <c r="D149" s="261">
        <f>VLOOKUP($A149, Sheet4!$A$2:$L$688, Consol_Thematic!D$1,FALSE)</f>
        <v>23.83</v>
      </c>
      <c r="E149" s="261">
        <f>VLOOKUP($A149, Sheet4!$A$2:$L$688, Consol_Thematic!E$1,FALSE)</f>
        <v>0.94</v>
      </c>
      <c r="F149" s="261">
        <f>VLOOKUP($A149, Sheet4!$A$2:$L$688, Consol_Thematic!F$1,FALSE)</f>
        <v>1.43</v>
      </c>
      <c r="G149" s="261">
        <f>VLOOKUP($A149, Sheet4!$A$2:$L$688, Consol_Thematic!G$1,FALSE)</f>
        <v>2.82</v>
      </c>
      <c r="H149" s="261">
        <f>VLOOKUP($A149, Sheet4!$A$2:$L$688, Consol_Thematic!H$1,FALSE)</f>
        <v>2</v>
      </c>
      <c r="I149" s="261">
        <f>VLOOKUP($A149, Sheet4!$A$2:$L$688, Consol_Thematic!I$1,FALSE)</f>
        <v>0.93</v>
      </c>
      <c r="J149" s="261">
        <f>VLOOKUP($A149, Sheet4!$A$2:$L$688, Consol_Thematic!J$1,FALSE)</f>
        <v>14.45</v>
      </c>
      <c r="K149" s="261">
        <f t="shared" si="48"/>
        <v>0.80602498163115355</v>
      </c>
      <c r="L149" s="261">
        <f t="shared" si="49"/>
        <v>0.67692307692307696</v>
      </c>
      <c r="M149" s="261">
        <f t="shared" si="50"/>
        <v>0.66841234840132302</v>
      </c>
      <c r="N149" s="261">
        <f t="shared" si="51"/>
        <v>0.76771907216494839</v>
      </c>
      <c r="O149" s="261">
        <f t="shared" si="52"/>
        <v>0.35375670840787121</v>
      </c>
      <c r="P149" s="261">
        <f t="shared" si="53"/>
        <v>0.87850467289719614</v>
      </c>
      <c r="Q149" s="261">
        <f t="shared" si="54"/>
        <v>0.73333333333333328</v>
      </c>
      <c r="R149" s="261">
        <f t="shared" si="55"/>
        <v>0.21848739495798311</v>
      </c>
      <c r="S149" s="261">
        <f t="shared" si="56"/>
        <v>0.67715617715617726</v>
      </c>
      <c r="T149" s="261" t="e">
        <f>(K149*'Fund Ranking Criteria'!$J$9)+('Fund Ranking Criteria'!$J$10*Consol_Thematic!M149)+('Fund Ranking Criteria'!$J$12*Consol_Thematic!S149)+('Fund Ranking Criteria'!$J$14*Consol_Thematic!R149)+('Fund Ranking Criteria'!$J$15*Consol_Thematic!O149)+('Fund Ranking Criteria'!$J$16*Consol_Thematic!P149)+('Fund Ranking Criteria'!#REF!*Consol_Thematic!Q149)+('Fund Ranking Criteria'!#REF!*Consol_Thematic!L149)</f>
        <v>#REF!</v>
      </c>
      <c r="U149" s="261" t="e">
        <f t="shared" si="57"/>
        <v>#REF!</v>
      </c>
      <c r="V149" s="261" t="e">
        <f t="shared" si="58"/>
        <v>#REF!</v>
      </c>
      <c r="W149" s="261" t="str">
        <f t="shared" si="59"/>
        <v>UTI Dividend Yield Fund - Regular Plan</v>
      </c>
    </row>
    <row r="150" spans="1:23" x14ac:dyDescent="0.25">
      <c r="A150" s="261" t="s">
        <v>849</v>
      </c>
      <c r="B150" s="261">
        <f>VLOOKUP($A150, Sheet4!$A$2:$L$688, Consol_Thematic!B$1,FALSE)</f>
        <v>2.69</v>
      </c>
      <c r="C150" s="261">
        <f>VLOOKUP($A150, Sheet4!$A$2:$L$688, Consol_Thematic!C$1,FALSE)</f>
        <v>18.11</v>
      </c>
      <c r="D150" s="261">
        <f>VLOOKUP($A150, Sheet4!$A$2:$L$688, Consol_Thematic!D$1,FALSE)</f>
        <v>18.39</v>
      </c>
      <c r="E150" s="261">
        <f>VLOOKUP($A150, Sheet4!$A$2:$L$688, Consol_Thematic!E$1,FALSE)</f>
        <v>0.56999999999999995</v>
      </c>
      <c r="F150" s="261">
        <f>VLOOKUP($A150, Sheet4!$A$2:$L$688, Consol_Thematic!F$1,FALSE)</f>
        <v>0.83</v>
      </c>
      <c r="G150" s="261">
        <f>VLOOKUP($A150, Sheet4!$A$2:$L$688, Consol_Thematic!G$1,FALSE)</f>
        <v>-3.17</v>
      </c>
      <c r="H150" s="261">
        <f>VLOOKUP($A150, Sheet4!$A$2:$L$688, Consol_Thematic!H$1,FALSE)</f>
        <v>2.4500000000000002</v>
      </c>
      <c r="I150" s="261">
        <f>VLOOKUP($A150, Sheet4!$A$2:$L$688, Consol_Thematic!I$1,FALSE)</f>
        <v>0.84</v>
      </c>
      <c r="J150" s="261">
        <f>VLOOKUP($A150, Sheet4!$A$2:$L$688, Consol_Thematic!J$1,FALSE)</f>
        <v>15.53</v>
      </c>
      <c r="K150" s="261">
        <f t="shared" si="48"/>
        <v>0.56649522409992648</v>
      </c>
      <c r="L150" s="261">
        <f t="shared" si="49"/>
        <v>-1.5384615384615743E-2</v>
      </c>
      <c r="M150" s="261">
        <f t="shared" si="50"/>
        <v>0.49917309812568905</v>
      </c>
      <c r="N150" s="261">
        <f t="shared" si="51"/>
        <v>0.59246134020618557</v>
      </c>
      <c r="O150" s="261">
        <f t="shared" si="52"/>
        <v>0.30545617173524153</v>
      </c>
      <c r="P150" s="261">
        <f t="shared" si="53"/>
        <v>0.53271028037383172</v>
      </c>
      <c r="Q150" s="261">
        <f t="shared" si="54"/>
        <v>0.42564102564102563</v>
      </c>
      <c r="R150" s="261">
        <f t="shared" si="55"/>
        <v>0.29411764705882354</v>
      </c>
      <c r="S150" s="261">
        <f t="shared" si="56"/>
        <v>-2.0979020979020945E-2</v>
      </c>
      <c r="T150" s="261" t="e">
        <f>(K150*'Fund Ranking Criteria'!$J$9)+('Fund Ranking Criteria'!$J$10*Consol_Thematic!M150)+('Fund Ranking Criteria'!$J$12*Consol_Thematic!S150)+('Fund Ranking Criteria'!$J$14*Consol_Thematic!R150)+('Fund Ranking Criteria'!$J$15*Consol_Thematic!O150)+('Fund Ranking Criteria'!$J$16*Consol_Thematic!P150)+('Fund Ranking Criteria'!#REF!*Consol_Thematic!Q150)+('Fund Ranking Criteria'!#REF!*Consol_Thematic!L150)</f>
        <v>#REF!</v>
      </c>
      <c r="U150" s="261" t="e">
        <f t="shared" si="57"/>
        <v>#REF!</v>
      </c>
      <c r="V150" s="261" t="e">
        <f t="shared" si="58"/>
        <v>#REF!</v>
      </c>
      <c r="W150" s="261" t="str">
        <f t="shared" si="59"/>
        <v>UTI India Consumer Fund - Regular Plan</v>
      </c>
    </row>
    <row r="151" spans="1:23" x14ac:dyDescent="0.25">
      <c r="A151" s="261" t="s">
        <v>850</v>
      </c>
      <c r="B151" s="261">
        <f>VLOOKUP($A151, Sheet4!$A$2:$L$688, Consol_Thematic!B$1,FALSE)</f>
        <v>1.72</v>
      </c>
      <c r="C151" s="261">
        <f>VLOOKUP($A151, Sheet4!$A$2:$L$688, Consol_Thematic!C$1,FALSE)</f>
        <v>0</v>
      </c>
      <c r="D151" s="261">
        <f>VLOOKUP($A151, Sheet4!$A$2:$L$688, Consol_Thematic!D$1,FALSE)</f>
        <v>0</v>
      </c>
      <c r="E151" s="261">
        <f>VLOOKUP($A151, Sheet4!$A$2:$L$688, Consol_Thematic!E$1,FALSE)</f>
        <v>0</v>
      </c>
      <c r="F151" s="261">
        <f>VLOOKUP($A151, Sheet4!$A$2:$L$688, Consol_Thematic!F$1,FALSE)</f>
        <v>0</v>
      </c>
      <c r="G151" s="261">
        <f>VLOOKUP($A151, Sheet4!$A$2:$L$688, Consol_Thematic!G$1,FALSE)</f>
        <v>0</v>
      </c>
      <c r="H151" s="261">
        <f>VLOOKUP($A151, Sheet4!$A$2:$L$688, Consol_Thematic!H$1,FALSE)</f>
        <v>2.29</v>
      </c>
      <c r="I151" s="261">
        <f>VLOOKUP($A151, Sheet4!$A$2:$L$688, Consol_Thematic!I$1,FALSE)</f>
        <v>0</v>
      </c>
      <c r="J151" s="261">
        <f>VLOOKUP($A151, Sheet4!$A$2:$L$688, Consol_Thematic!J$1,FALSE)</f>
        <v>0</v>
      </c>
      <c r="K151" s="261">
        <f t="shared" si="48"/>
        <v>0.49522409992652461</v>
      </c>
      <c r="L151" s="261">
        <f t="shared" si="49"/>
        <v>0.23076923076923067</v>
      </c>
      <c r="M151" s="261">
        <f t="shared" si="50"/>
        <v>0</v>
      </c>
      <c r="N151" s="261">
        <f t="shared" si="51"/>
        <v>0</v>
      </c>
      <c r="O151" s="261">
        <f t="shared" si="52"/>
        <v>1</v>
      </c>
      <c r="P151" s="261">
        <f t="shared" si="53"/>
        <v>0</v>
      </c>
      <c r="Q151" s="261">
        <f t="shared" si="54"/>
        <v>0</v>
      </c>
      <c r="R151" s="261">
        <f t="shared" si="55"/>
        <v>1</v>
      </c>
      <c r="S151" s="261">
        <f t="shared" si="56"/>
        <v>0.34848484848484851</v>
      </c>
      <c r="T151" s="261" t="e">
        <f>(K151*'Fund Ranking Criteria'!$J$9)+('Fund Ranking Criteria'!$J$10*Consol_Thematic!M151)+('Fund Ranking Criteria'!$J$12*Consol_Thematic!S151)+('Fund Ranking Criteria'!$J$14*Consol_Thematic!R151)+('Fund Ranking Criteria'!$J$15*Consol_Thematic!O151)+('Fund Ranking Criteria'!$J$16*Consol_Thematic!P151)+('Fund Ranking Criteria'!#REF!*Consol_Thematic!Q151)+('Fund Ranking Criteria'!#REF!*Consol_Thematic!L151)</f>
        <v>#REF!</v>
      </c>
      <c r="U151" s="261" t="e">
        <f t="shared" si="57"/>
        <v>#REF!</v>
      </c>
      <c r="V151" s="261" t="e">
        <f t="shared" si="58"/>
        <v>#REF!</v>
      </c>
      <c r="W151" s="261" t="str">
        <f t="shared" si="59"/>
        <v>UTI Innovation Fund - Regular Plan</v>
      </c>
    </row>
    <row r="152" spans="1:23" x14ac:dyDescent="0.25">
      <c r="A152" s="261" t="s">
        <v>854</v>
      </c>
      <c r="B152" s="261">
        <f>VLOOKUP($A152, Sheet4!$A$2:$L$688, Consol_Thematic!B$1,FALSE)</f>
        <v>-2.13</v>
      </c>
      <c r="C152" s="261">
        <f>VLOOKUP($A152, Sheet4!$A$2:$L$688, Consol_Thematic!C$1,FALSE)</f>
        <v>16.05</v>
      </c>
      <c r="D152" s="261">
        <f>VLOOKUP($A152, Sheet4!$A$2:$L$688, Consol_Thematic!D$1,FALSE)</f>
        <v>15.38</v>
      </c>
      <c r="E152" s="261">
        <f>VLOOKUP($A152, Sheet4!$A$2:$L$688, Consol_Thematic!E$1,FALSE)</f>
        <v>0.56999999999999995</v>
      </c>
      <c r="F152" s="261">
        <f>VLOOKUP($A152, Sheet4!$A$2:$L$688, Consol_Thematic!F$1,FALSE)</f>
        <v>0.82</v>
      </c>
      <c r="G152" s="261">
        <f>VLOOKUP($A152, Sheet4!$A$2:$L$688, Consol_Thematic!G$1,FALSE)</f>
        <v>-2.11</v>
      </c>
      <c r="H152" s="261">
        <f>VLOOKUP($A152, Sheet4!$A$2:$L$688, Consol_Thematic!H$1,FALSE)</f>
        <v>2.04</v>
      </c>
      <c r="I152" s="261">
        <f>VLOOKUP($A152, Sheet4!$A$2:$L$688, Consol_Thematic!I$1,FALSE)</f>
        <v>0.84</v>
      </c>
      <c r="J152" s="261">
        <f>VLOOKUP($A152, Sheet4!$A$2:$L$688, Consol_Thematic!J$1,FALSE)</f>
        <v>13.35</v>
      </c>
      <c r="K152" s="261">
        <f t="shared" si="48"/>
        <v>0.21234386480529022</v>
      </c>
      <c r="L152" s="261">
        <f t="shared" si="49"/>
        <v>0.61538461538461531</v>
      </c>
      <c r="M152" s="261">
        <f t="shared" si="50"/>
        <v>0.44239250275633957</v>
      </c>
      <c r="N152" s="261">
        <f t="shared" si="51"/>
        <v>0.4954896907216495</v>
      </c>
      <c r="O152" s="261">
        <f t="shared" si="52"/>
        <v>0.40295169946332737</v>
      </c>
      <c r="P152" s="261">
        <f t="shared" si="53"/>
        <v>0.53271028037383172</v>
      </c>
      <c r="Q152" s="261">
        <f t="shared" si="54"/>
        <v>0.42051282051282052</v>
      </c>
      <c r="R152" s="261">
        <f t="shared" si="55"/>
        <v>0.29411764705882354</v>
      </c>
      <c r="S152" s="261">
        <f t="shared" si="56"/>
        <v>0.1025641025641026</v>
      </c>
      <c r="T152" s="261" t="e">
        <f>(K152*'Fund Ranking Criteria'!$J$9)+('Fund Ranking Criteria'!$J$10*Consol_Thematic!M152)+('Fund Ranking Criteria'!$J$12*Consol_Thematic!S152)+('Fund Ranking Criteria'!$J$14*Consol_Thematic!R152)+('Fund Ranking Criteria'!$J$15*Consol_Thematic!O152)+('Fund Ranking Criteria'!$J$16*Consol_Thematic!P152)+('Fund Ranking Criteria'!#REF!*Consol_Thematic!Q152)+('Fund Ranking Criteria'!#REF!*Consol_Thematic!L152)</f>
        <v>#REF!</v>
      </c>
      <c r="U152" s="261" t="e">
        <f t="shared" si="57"/>
        <v>#REF!</v>
      </c>
      <c r="V152" s="261" t="e">
        <f t="shared" si="58"/>
        <v>#REF!</v>
      </c>
      <c r="W152" s="261" t="str">
        <f t="shared" si="59"/>
        <v>UTI MNC Fund - Regular Plan</v>
      </c>
    </row>
    <row r="153" spans="1:23" x14ac:dyDescent="0.25">
      <c r="A153" s="261" t="s">
        <v>870</v>
      </c>
      <c r="B153" s="261">
        <f>VLOOKUP($A153, Sheet4!$A$2:$L$688, Consol_Thematic!B$1,FALSE)</f>
        <v>0</v>
      </c>
      <c r="C153" s="261">
        <f>VLOOKUP($A153, Sheet4!$A$2:$L$688, Consol_Thematic!C$1,FALSE)</f>
        <v>0</v>
      </c>
      <c r="D153" s="261">
        <f>VLOOKUP($A153, Sheet4!$A$2:$L$688, Consol_Thematic!D$1,FALSE)</f>
        <v>0</v>
      </c>
      <c r="E153" s="261">
        <f>VLOOKUP($A153, Sheet4!$A$2:$L$688, Consol_Thematic!E$1,FALSE)</f>
        <v>0</v>
      </c>
      <c r="F153" s="261">
        <f>VLOOKUP($A153, Sheet4!$A$2:$L$688, Consol_Thematic!F$1,FALSE)</f>
        <v>0</v>
      </c>
      <c r="G153" s="261">
        <f>VLOOKUP($A153, Sheet4!$A$2:$L$688, Consol_Thematic!G$1,FALSE)</f>
        <v>0</v>
      </c>
      <c r="H153" s="261">
        <f>VLOOKUP($A153, Sheet4!$A$2:$L$688, Consol_Thematic!H$1,FALSE)</f>
        <v>2.02</v>
      </c>
      <c r="I153" s="261">
        <f>VLOOKUP($A153, Sheet4!$A$2:$L$688, Consol_Thematic!I$1,FALSE)</f>
        <v>0</v>
      </c>
      <c r="J153" s="261">
        <f>VLOOKUP($A153, Sheet4!$A$2:$L$688, Consol_Thematic!J$1,FALSE)</f>
        <v>0</v>
      </c>
      <c r="K153" s="261">
        <f t="shared" si="48"/>
        <v>0.36884643644379134</v>
      </c>
      <c r="L153" s="261">
        <f t="shared" si="49"/>
        <v>0.64615384615384608</v>
      </c>
      <c r="M153" s="261">
        <f t="shared" si="50"/>
        <v>0</v>
      </c>
      <c r="N153" s="261">
        <f t="shared" si="51"/>
        <v>0</v>
      </c>
      <c r="O153" s="261">
        <f t="shared" si="52"/>
        <v>1</v>
      </c>
      <c r="P153" s="261">
        <f t="shared" si="53"/>
        <v>0</v>
      </c>
      <c r="Q153" s="261">
        <f t="shared" si="54"/>
        <v>0</v>
      </c>
      <c r="R153" s="261">
        <f t="shared" si="55"/>
        <v>1</v>
      </c>
      <c r="S153" s="261">
        <f t="shared" si="56"/>
        <v>0.34848484848484851</v>
      </c>
      <c r="T153" s="261" t="e">
        <f>(K153*'Fund Ranking Criteria'!$J$9)+('Fund Ranking Criteria'!$J$10*Consol_Thematic!M153)+('Fund Ranking Criteria'!$J$12*Consol_Thematic!S153)+('Fund Ranking Criteria'!$J$14*Consol_Thematic!R153)+('Fund Ranking Criteria'!$J$15*Consol_Thematic!O153)+('Fund Ranking Criteria'!$J$16*Consol_Thematic!P153)+('Fund Ranking Criteria'!#REF!*Consol_Thematic!Q153)+('Fund Ranking Criteria'!#REF!*Consol_Thematic!L153)</f>
        <v>#REF!</v>
      </c>
      <c r="U153" s="261" t="e">
        <f t="shared" si="57"/>
        <v>#REF!</v>
      </c>
      <c r="V153" s="261" t="e">
        <f t="shared" si="58"/>
        <v>#REF!</v>
      </c>
      <c r="W153" s="261" t="str">
        <f t="shared" si="59"/>
        <v>UTI Quant Fund - Regular Plan</v>
      </c>
    </row>
    <row r="154" spans="1:23" x14ac:dyDescent="0.25">
      <c r="A154" s="261" t="s">
        <v>872</v>
      </c>
      <c r="B154" s="261">
        <f>VLOOKUP($A154, Sheet4!$A$2:$L$688, Consol_Thematic!B$1,FALSE)</f>
        <v>-2.33</v>
      </c>
      <c r="C154" s="261">
        <f>VLOOKUP($A154, Sheet4!$A$2:$L$688, Consol_Thematic!C$1,FALSE)</f>
        <v>24.64</v>
      </c>
      <c r="D154" s="261">
        <f>VLOOKUP($A154, Sheet4!$A$2:$L$688, Consol_Thematic!D$1,FALSE)</f>
        <v>27.71</v>
      </c>
      <c r="E154" s="261">
        <f>VLOOKUP($A154, Sheet4!$A$2:$L$688, Consol_Thematic!E$1,FALSE)</f>
        <v>0.95</v>
      </c>
      <c r="F154" s="261">
        <f>VLOOKUP($A154, Sheet4!$A$2:$L$688, Consol_Thematic!F$1,FALSE)</f>
        <v>1.35</v>
      </c>
      <c r="G154" s="261">
        <f>VLOOKUP($A154, Sheet4!$A$2:$L$688, Consol_Thematic!G$1,FALSE)</f>
        <v>4.3499999999999996</v>
      </c>
      <c r="H154" s="261">
        <f>VLOOKUP($A154, Sheet4!$A$2:$L$688, Consol_Thematic!H$1,FALSE)</f>
        <v>1.94</v>
      </c>
      <c r="I154" s="261">
        <f>VLOOKUP($A154, Sheet4!$A$2:$L$688, Consol_Thematic!I$1,FALSE)</f>
        <v>0.98</v>
      </c>
      <c r="J154" s="261">
        <f>VLOOKUP($A154, Sheet4!$A$2:$L$688, Consol_Thematic!J$1,FALSE)</f>
        <v>16.440000000000001</v>
      </c>
      <c r="K154" s="261">
        <f t="shared" si="48"/>
        <v>0.19764878765613517</v>
      </c>
      <c r="L154" s="261">
        <f t="shared" si="49"/>
        <v>0.76923076923076938</v>
      </c>
      <c r="M154" s="261">
        <f t="shared" si="50"/>
        <v>0.67916207276736495</v>
      </c>
      <c r="N154" s="261">
        <f t="shared" si="51"/>
        <v>0.8927190721649485</v>
      </c>
      <c r="O154" s="261">
        <f t="shared" si="52"/>
        <v>0.26475849731663675</v>
      </c>
      <c r="P154" s="261">
        <f t="shared" si="53"/>
        <v>0.8878504672897195</v>
      </c>
      <c r="Q154" s="261">
        <f t="shared" si="54"/>
        <v>0.6923076923076924</v>
      </c>
      <c r="R154" s="261">
        <f t="shared" si="55"/>
        <v>0.1764705882352941</v>
      </c>
      <c r="S154" s="261">
        <f t="shared" si="56"/>
        <v>0.85547785547785549</v>
      </c>
      <c r="T154" s="261" t="e">
        <f>(K154*'Fund Ranking Criteria'!$J$9)+('Fund Ranking Criteria'!$J$10*Consol_Thematic!M154)+('Fund Ranking Criteria'!$J$12*Consol_Thematic!S154)+('Fund Ranking Criteria'!$J$14*Consol_Thematic!R154)+('Fund Ranking Criteria'!$J$15*Consol_Thematic!O154)+('Fund Ranking Criteria'!$J$16*Consol_Thematic!P154)+('Fund Ranking Criteria'!#REF!*Consol_Thematic!Q154)+('Fund Ranking Criteria'!#REF!*Consol_Thematic!L154)</f>
        <v>#REF!</v>
      </c>
      <c r="U154" s="261" t="e">
        <f t="shared" si="57"/>
        <v>#REF!</v>
      </c>
      <c r="V154" s="261" t="e">
        <f t="shared" si="58"/>
        <v>#REF!</v>
      </c>
      <c r="W154" s="261" t="str">
        <f t="shared" si="59"/>
        <v>UTI Transportation and Logistics Fund - Regular Plan</v>
      </c>
    </row>
    <row r="155" spans="1:23" x14ac:dyDescent="0.25">
      <c r="A155" s="261" t="s">
        <v>875</v>
      </c>
      <c r="B155" s="261">
        <f>VLOOKUP($A155, Sheet4!$A$2:$L$688, Consol_Thematic!B$1,FALSE)</f>
        <v>0</v>
      </c>
      <c r="C155" s="261">
        <f>VLOOKUP($A155, Sheet4!$A$2:$L$688, Consol_Thematic!C$1,FALSE)</f>
        <v>0</v>
      </c>
      <c r="D155" s="261">
        <f>VLOOKUP($A155, Sheet4!$A$2:$L$688, Consol_Thematic!D$1,FALSE)</f>
        <v>0</v>
      </c>
      <c r="E155" s="261">
        <f>VLOOKUP($A155, Sheet4!$A$2:$L$688, Consol_Thematic!E$1,FALSE)</f>
        <v>0</v>
      </c>
      <c r="F155" s="261">
        <f>VLOOKUP($A155, Sheet4!$A$2:$L$688, Consol_Thematic!F$1,FALSE)</f>
        <v>0</v>
      </c>
      <c r="G155" s="261">
        <f>VLOOKUP($A155, Sheet4!$A$2:$L$688, Consol_Thematic!G$1,FALSE)</f>
        <v>0</v>
      </c>
      <c r="H155" s="261">
        <f>VLOOKUP($A155, Sheet4!$A$2:$L$688, Consol_Thematic!H$1,FALSE)</f>
        <v>2.35</v>
      </c>
      <c r="I155" s="261">
        <f>VLOOKUP($A155, Sheet4!$A$2:$L$688, Consol_Thematic!I$1,FALSE)</f>
        <v>0</v>
      </c>
      <c r="J155" s="261">
        <f>VLOOKUP($A155, Sheet4!$A$2:$L$688, Consol_Thematic!J$1,FALSE)</f>
        <v>0</v>
      </c>
      <c r="K155" s="261">
        <f t="shared" si="48"/>
        <v>0.36884643644379134</v>
      </c>
      <c r="L155" s="261">
        <f t="shared" si="49"/>
        <v>0.13846153846153827</v>
      </c>
      <c r="M155" s="261">
        <f t="shared" si="50"/>
        <v>0</v>
      </c>
      <c r="N155" s="261">
        <f t="shared" si="51"/>
        <v>0</v>
      </c>
      <c r="O155" s="261">
        <f t="shared" si="52"/>
        <v>1</v>
      </c>
      <c r="P155" s="261">
        <f t="shared" si="53"/>
        <v>0</v>
      </c>
      <c r="Q155" s="261">
        <f t="shared" si="54"/>
        <v>0</v>
      </c>
      <c r="R155" s="261">
        <f t="shared" si="55"/>
        <v>1</v>
      </c>
      <c r="S155" s="261">
        <f t="shared" si="56"/>
        <v>0.34848484848484851</v>
      </c>
      <c r="T155" s="261" t="e">
        <f>(K155*'Fund Ranking Criteria'!$J$9)+('Fund Ranking Criteria'!$J$10*Consol_Thematic!M155)+('Fund Ranking Criteria'!$J$12*Consol_Thematic!S155)+('Fund Ranking Criteria'!$J$14*Consol_Thematic!R155)+('Fund Ranking Criteria'!$J$15*Consol_Thematic!O155)+('Fund Ranking Criteria'!$J$16*Consol_Thematic!P155)+('Fund Ranking Criteria'!#REF!*Consol_Thematic!Q155)+('Fund Ranking Criteria'!#REF!*Consol_Thematic!L155)</f>
        <v>#REF!</v>
      </c>
      <c r="U155" s="261" t="e">
        <f t="shared" si="57"/>
        <v>#REF!</v>
      </c>
      <c r="V155" s="261" t="e">
        <f t="shared" si="58"/>
        <v>#REF!</v>
      </c>
      <c r="W155" s="261" t="str">
        <f t="shared" si="59"/>
        <v>WhiteOak Capital ESG Best-In-Class Strategy Fund - Regular Plan</v>
      </c>
    </row>
    <row r="156" spans="1:23" x14ac:dyDescent="0.25">
      <c r="A156" s="261" t="s">
        <v>882</v>
      </c>
      <c r="B156" s="261">
        <f>VLOOKUP($A156, Sheet4!$A$2:$L$688, Consol_Thematic!B$1,FALSE)</f>
        <v>0</v>
      </c>
      <c r="C156" s="261">
        <f>VLOOKUP($A156, Sheet4!$A$2:$L$688, Consol_Thematic!C$1,FALSE)</f>
        <v>0</v>
      </c>
      <c r="D156" s="261">
        <f>VLOOKUP($A156, Sheet4!$A$2:$L$688, Consol_Thematic!D$1,FALSE)</f>
        <v>0</v>
      </c>
      <c r="E156" s="261">
        <f>VLOOKUP($A156, Sheet4!$A$2:$L$688, Consol_Thematic!E$1,FALSE)</f>
        <v>0</v>
      </c>
      <c r="F156" s="261">
        <f>VLOOKUP($A156, Sheet4!$A$2:$L$688, Consol_Thematic!F$1,FALSE)</f>
        <v>0</v>
      </c>
      <c r="G156" s="261">
        <f>VLOOKUP($A156, Sheet4!$A$2:$L$688, Consol_Thematic!G$1,FALSE)</f>
        <v>0</v>
      </c>
      <c r="H156" s="261">
        <f>VLOOKUP($A156, Sheet4!$A$2:$L$688, Consol_Thematic!H$1,FALSE)</f>
        <v>2.36</v>
      </c>
      <c r="I156" s="261">
        <f>VLOOKUP($A156, Sheet4!$A$2:$L$688, Consol_Thematic!I$1,FALSE)</f>
        <v>0</v>
      </c>
      <c r="J156" s="261">
        <f>VLOOKUP($A156, Sheet4!$A$2:$L$688, Consol_Thematic!J$1,FALSE)</f>
        <v>0</v>
      </c>
      <c r="K156" s="261">
        <f t="shared" si="48"/>
        <v>0.36884643644379134</v>
      </c>
      <c r="L156" s="261">
        <f t="shared" si="49"/>
        <v>0.12307692307692321</v>
      </c>
      <c r="M156" s="261">
        <f t="shared" si="50"/>
        <v>0</v>
      </c>
      <c r="N156" s="261">
        <f t="shared" si="51"/>
        <v>0</v>
      </c>
      <c r="O156" s="261">
        <f t="shared" si="52"/>
        <v>1</v>
      </c>
      <c r="P156" s="261">
        <f t="shared" si="53"/>
        <v>0</v>
      </c>
      <c r="Q156" s="261">
        <f t="shared" si="54"/>
        <v>0</v>
      </c>
      <c r="R156" s="261">
        <f t="shared" si="55"/>
        <v>1</v>
      </c>
      <c r="S156" s="261">
        <f t="shared" si="56"/>
        <v>0.34848484848484851</v>
      </c>
      <c r="T156" s="261" t="e">
        <f>(K156*'Fund Ranking Criteria'!$J$9)+('Fund Ranking Criteria'!$J$10*Consol_Thematic!M156)+('Fund Ranking Criteria'!$J$12*Consol_Thematic!S156)+('Fund Ranking Criteria'!$J$14*Consol_Thematic!R156)+('Fund Ranking Criteria'!$J$15*Consol_Thematic!O156)+('Fund Ranking Criteria'!$J$16*Consol_Thematic!P156)+('Fund Ranking Criteria'!#REF!*Consol_Thematic!Q156)+('Fund Ranking Criteria'!#REF!*Consol_Thematic!L156)</f>
        <v>#REF!</v>
      </c>
      <c r="U156" s="261" t="e">
        <f t="shared" si="57"/>
        <v>#REF!</v>
      </c>
      <c r="V156" s="261" t="e">
        <f t="shared" si="58"/>
        <v>#REF!</v>
      </c>
      <c r="W156" s="261" t="str">
        <f t="shared" si="59"/>
        <v>WhiteOak Capital Quality Equity Fund - Regular Plan</v>
      </c>
    </row>
    <row r="157" spans="1:23" x14ac:dyDescent="0.25">
      <c r="A157" s="261" t="s">
        <v>883</v>
      </c>
      <c r="B157" s="261">
        <f>VLOOKUP($A157, Sheet4!$A$2:$L$688, Consol_Thematic!B$1,FALSE)</f>
        <v>17.11</v>
      </c>
      <c r="C157" s="261">
        <f>VLOOKUP($A157, Sheet4!$A$2:$L$688, Consol_Thematic!C$1,FALSE)</f>
        <v>0</v>
      </c>
      <c r="D157" s="261">
        <f>VLOOKUP($A157, Sheet4!$A$2:$L$688, Consol_Thematic!D$1,FALSE)</f>
        <v>0</v>
      </c>
      <c r="E157" s="261">
        <f>VLOOKUP($A157, Sheet4!$A$2:$L$688, Consol_Thematic!E$1,FALSE)</f>
        <v>0</v>
      </c>
      <c r="F157" s="261">
        <f>VLOOKUP($A157, Sheet4!$A$2:$L$688, Consol_Thematic!F$1,FALSE)</f>
        <v>0</v>
      </c>
      <c r="G157" s="261">
        <f>VLOOKUP($A157, Sheet4!$A$2:$L$688, Consol_Thematic!G$1,FALSE)</f>
        <v>0</v>
      </c>
      <c r="H157" s="261">
        <f>VLOOKUP($A157, Sheet4!$A$2:$L$688, Consol_Thematic!H$1,FALSE)</f>
        <v>2.19</v>
      </c>
      <c r="I157" s="261">
        <f>VLOOKUP($A157, Sheet4!$A$2:$L$688, Consol_Thematic!I$1,FALSE)</f>
        <v>0</v>
      </c>
      <c r="J157" s="261">
        <f>VLOOKUP($A157, Sheet4!$A$2:$L$688, Consol_Thematic!J$1,FALSE)</f>
        <v>0</v>
      </c>
      <c r="K157" s="261">
        <f t="shared" si="48"/>
        <v>1.6260102865540045</v>
      </c>
      <c r="L157" s="261">
        <f t="shared" si="49"/>
        <v>0.38461538461538469</v>
      </c>
      <c r="M157" s="261">
        <f t="shared" si="50"/>
        <v>0</v>
      </c>
      <c r="N157" s="261">
        <f t="shared" si="51"/>
        <v>0</v>
      </c>
      <c r="O157" s="261">
        <f t="shared" si="52"/>
        <v>1</v>
      </c>
      <c r="P157" s="261">
        <f t="shared" si="53"/>
        <v>0</v>
      </c>
      <c r="Q157" s="261">
        <f t="shared" si="54"/>
        <v>0</v>
      </c>
      <c r="R157" s="261">
        <f t="shared" si="55"/>
        <v>1</v>
      </c>
      <c r="S157" s="261">
        <f t="shared" si="56"/>
        <v>0.34848484848484851</v>
      </c>
      <c r="T157" s="261" t="e">
        <f>(K157*'Fund Ranking Criteria'!$J$9)+('Fund Ranking Criteria'!$J$10*Consol_Thematic!M157)+('Fund Ranking Criteria'!$J$12*Consol_Thematic!S157)+('Fund Ranking Criteria'!$J$14*Consol_Thematic!R157)+('Fund Ranking Criteria'!$J$15*Consol_Thematic!O157)+('Fund Ranking Criteria'!$J$16*Consol_Thematic!P157)+('Fund Ranking Criteria'!#REF!*Consol_Thematic!Q157)+('Fund Ranking Criteria'!#REF!*Consol_Thematic!L157)</f>
        <v>#REF!</v>
      </c>
      <c r="U157" s="261" t="e">
        <f t="shared" si="57"/>
        <v>#REF!</v>
      </c>
      <c r="V157" s="261" t="e">
        <f t="shared" si="58"/>
        <v>#REF!</v>
      </c>
      <c r="W157" s="261" t="str">
        <f t="shared" si="59"/>
        <v>WhiteOak Capital Special Opportunities Fund - Regular Plan</v>
      </c>
    </row>
  </sheetData>
  <autoFilter ref="A2:W96" xr:uid="{00000000-0009-0000-0000-00000D000000}"/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filterMode="1"/>
  <dimension ref="A1:L853"/>
  <sheetViews>
    <sheetView workbookViewId="0">
      <selection activeCell="C1" sqref="C1"/>
    </sheetView>
  </sheetViews>
  <sheetFormatPr defaultColWidth="8.7109375" defaultRowHeight="15" x14ac:dyDescent="0.25"/>
  <cols>
    <col min="1" max="1" width="69.140625" style="261" bestFit="1" customWidth="1"/>
    <col min="2" max="2" width="31.42578125" style="261" hidden="1" customWidth="1"/>
    <col min="3" max="3" width="15.42578125" style="258" customWidth="1"/>
    <col min="4" max="12" width="20" style="261" customWidth="1"/>
    <col min="13" max="19" width="8.7109375" style="261" customWidth="1"/>
    <col min="20" max="16384" width="8.7109375" style="261"/>
  </cols>
  <sheetData>
    <row r="1" spans="1:12" ht="32.1" customHeight="1" x14ac:dyDescent="0.25">
      <c r="C1" s="257" t="s">
        <v>45</v>
      </c>
      <c r="D1" s="257" t="s">
        <v>46</v>
      </c>
      <c r="E1" s="257" t="s">
        <v>47</v>
      </c>
      <c r="F1" s="257" t="s">
        <v>48</v>
      </c>
      <c r="G1" s="257" t="s">
        <v>46</v>
      </c>
      <c r="H1" s="257" t="s">
        <v>49</v>
      </c>
      <c r="I1" s="257" t="s">
        <v>50</v>
      </c>
      <c r="J1" s="257" t="s">
        <v>51</v>
      </c>
      <c r="K1" s="257" t="s">
        <v>52</v>
      </c>
      <c r="L1" s="257" t="s">
        <v>40</v>
      </c>
    </row>
    <row r="2" spans="1:12" hidden="1" x14ac:dyDescent="0.25">
      <c r="A2" s="259" t="s">
        <v>1163</v>
      </c>
      <c r="B2" s="261" t="str">
        <f>VLOOKUP(A2, '[2]fund-selector'!$A$2:$F$853,6,FALSE)</f>
        <v>HY-BH</v>
      </c>
      <c r="C2" s="258">
        <v>4.8</v>
      </c>
      <c r="D2" s="260">
        <v>1.95</v>
      </c>
      <c r="E2" s="259">
        <v>0</v>
      </c>
      <c r="F2" s="259">
        <v>0</v>
      </c>
      <c r="G2" s="260">
        <v>1.95</v>
      </c>
      <c r="H2" s="259">
        <v>0</v>
      </c>
      <c r="I2" s="259">
        <v>0</v>
      </c>
      <c r="J2" s="259">
        <v>0</v>
      </c>
      <c r="K2" s="259">
        <v>0</v>
      </c>
      <c r="L2" s="259">
        <v>0</v>
      </c>
    </row>
    <row r="3" spans="1:12" hidden="1" x14ac:dyDescent="0.25">
      <c r="A3" s="259" t="s">
        <v>53</v>
      </c>
      <c r="B3" s="261" t="str">
        <f>VLOOKUP(A3, '[2]fund-selector'!$A$2:$F$853,6,FALSE)</f>
        <v>EQ-FLX</v>
      </c>
      <c r="C3" s="258">
        <v>0.34</v>
      </c>
      <c r="D3" s="260">
        <v>2.0299999999999998</v>
      </c>
      <c r="E3" s="259">
        <v>0</v>
      </c>
      <c r="F3" s="259">
        <v>0</v>
      </c>
      <c r="G3" s="260">
        <v>2.0299999999999998</v>
      </c>
      <c r="H3" s="259">
        <v>0</v>
      </c>
      <c r="I3" s="259">
        <v>0</v>
      </c>
      <c r="J3" s="259">
        <v>0</v>
      </c>
      <c r="K3" s="259">
        <v>0</v>
      </c>
      <c r="L3" s="259">
        <v>0</v>
      </c>
    </row>
    <row r="4" spans="1:12" hidden="1" x14ac:dyDescent="0.25">
      <c r="A4" s="259" t="s">
        <v>56</v>
      </c>
      <c r="B4" s="261" t="str">
        <f>VLOOKUP(A4, '[2]fund-selector'!$A$2:$F$853,6,FALSE)</f>
        <v>EQ-FLX</v>
      </c>
      <c r="C4" s="258">
        <v>-0.77</v>
      </c>
      <c r="D4" s="260">
        <v>1.8</v>
      </c>
      <c r="E4" s="260">
        <v>21.91</v>
      </c>
      <c r="F4" s="260">
        <v>23.23</v>
      </c>
      <c r="G4" s="260">
        <v>1.8</v>
      </c>
      <c r="H4" s="260">
        <v>13.28</v>
      </c>
      <c r="I4" s="260">
        <v>0.94</v>
      </c>
      <c r="J4" s="260">
        <v>1.58</v>
      </c>
      <c r="K4" s="260">
        <v>0.88</v>
      </c>
      <c r="L4" s="260">
        <v>2.4</v>
      </c>
    </row>
    <row r="5" spans="1:12" hidden="1" x14ac:dyDescent="0.25">
      <c r="A5" s="259" t="s">
        <v>57</v>
      </c>
      <c r="B5" s="261" t="str">
        <f>VLOOKUP(A5, '[2]fund-selector'!$A$2:$F$853,6,FALSE)</f>
        <v>EQ-THEMATIC</v>
      </c>
      <c r="C5" s="258">
        <v>2.85</v>
      </c>
      <c r="D5" s="260">
        <v>1.95</v>
      </c>
      <c r="E5" s="260">
        <v>30.6</v>
      </c>
      <c r="F5" s="259">
        <v>0</v>
      </c>
      <c r="G5" s="260">
        <v>1.95</v>
      </c>
      <c r="H5" s="260">
        <v>18.03</v>
      </c>
      <c r="I5" s="260">
        <v>1.07</v>
      </c>
      <c r="J5" s="260">
        <v>1.6</v>
      </c>
      <c r="K5" s="260">
        <v>1.19</v>
      </c>
      <c r="L5" s="260">
        <v>5.59</v>
      </c>
    </row>
    <row r="6" spans="1:12" hidden="1" x14ac:dyDescent="0.25">
      <c r="A6" s="259" t="s">
        <v>1363</v>
      </c>
      <c r="B6" s="261" t="str">
        <f>VLOOKUP(A6, '[2]fund-selector'!$A$2:$F$853,6,FALSE)</f>
        <v>HY-AR</v>
      </c>
      <c r="C6" s="258">
        <v>6.99</v>
      </c>
      <c r="D6" s="260">
        <v>1.03</v>
      </c>
      <c r="E6" s="260">
        <v>6.83</v>
      </c>
      <c r="F6" s="260">
        <v>5.48</v>
      </c>
      <c r="G6" s="260">
        <v>1.03</v>
      </c>
      <c r="H6" s="260">
        <v>0.53</v>
      </c>
      <c r="I6" s="260">
        <v>0.41</v>
      </c>
      <c r="J6" s="260">
        <v>0.45</v>
      </c>
      <c r="K6" s="260">
        <v>0.61</v>
      </c>
      <c r="L6" s="260">
        <v>1.39</v>
      </c>
    </row>
    <row r="7" spans="1:12" hidden="1" x14ac:dyDescent="0.25">
      <c r="A7" s="259" t="s">
        <v>59</v>
      </c>
      <c r="B7" s="261" t="str">
        <f>VLOOKUP(A7, '[2]fund-selector'!$A$2:$F$853,6,FALSE)</f>
        <v>HY-MAA</v>
      </c>
      <c r="C7" s="258">
        <v>8.1199999999999992</v>
      </c>
      <c r="D7" s="260">
        <v>1.27</v>
      </c>
      <c r="E7" s="260">
        <v>18.02</v>
      </c>
      <c r="F7" s="260">
        <v>17.7</v>
      </c>
      <c r="G7" s="260">
        <v>1.27</v>
      </c>
      <c r="H7" s="260">
        <v>8.4499999999999993</v>
      </c>
      <c r="I7" s="260">
        <v>1.1200000000000001</v>
      </c>
      <c r="J7" s="260">
        <v>1.9</v>
      </c>
      <c r="K7" s="260">
        <v>0.84</v>
      </c>
      <c r="L7" s="260">
        <v>1.96</v>
      </c>
    </row>
    <row r="8" spans="1:12" hidden="1" x14ac:dyDescent="0.25">
      <c r="A8" s="259" t="s">
        <v>61</v>
      </c>
      <c r="B8" s="261" t="str">
        <f>VLOOKUP(A8, '[2]fund-selector'!$A$2:$F$853,6,FALSE)</f>
        <v>HY-DAA</v>
      </c>
      <c r="C8" s="258">
        <v>7.95</v>
      </c>
      <c r="D8" s="260">
        <v>1.79</v>
      </c>
      <c r="E8" s="260">
        <v>15.33</v>
      </c>
      <c r="F8" s="260">
        <v>15.03</v>
      </c>
      <c r="G8" s="260">
        <v>1.79</v>
      </c>
      <c r="H8" s="260">
        <v>7.75</v>
      </c>
      <c r="I8" s="260">
        <v>0.91</v>
      </c>
      <c r="J8" s="260">
        <v>1.39</v>
      </c>
      <c r="K8" s="260">
        <v>0.74</v>
      </c>
      <c r="L8" s="260">
        <v>1.17</v>
      </c>
    </row>
    <row r="9" spans="1:12" hidden="1" x14ac:dyDescent="0.25">
      <c r="A9" s="259" t="s">
        <v>63</v>
      </c>
      <c r="B9" s="261" t="str">
        <f>VLOOKUP(A9, '[2]fund-selector'!$A$2:$F$853,6,FALSE)</f>
        <v>EQ-FLX</v>
      </c>
      <c r="C9" s="258">
        <v>1.83</v>
      </c>
      <c r="D9" s="260">
        <v>2.16</v>
      </c>
      <c r="E9" s="260">
        <v>18.03</v>
      </c>
      <c r="F9" s="260">
        <v>14.85</v>
      </c>
      <c r="G9" s="260">
        <v>2.16</v>
      </c>
      <c r="H9" s="260">
        <v>13.97</v>
      </c>
      <c r="I9" s="260">
        <v>0.65</v>
      </c>
      <c r="J9" s="260">
        <v>0.98</v>
      </c>
      <c r="K9" s="260">
        <v>0.94</v>
      </c>
      <c r="L9" s="260">
        <v>-1.75</v>
      </c>
    </row>
    <row r="10" spans="1:12" hidden="1" x14ac:dyDescent="0.25">
      <c r="A10" s="259" t="s">
        <v>64</v>
      </c>
      <c r="B10" s="261" t="str">
        <f>VLOOKUP(A10, '[2]fund-selector'!$A$2:$F$853,6,FALSE)</f>
        <v>EQ-LC</v>
      </c>
      <c r="C10" s="258">
        <v>6.25</v>
      </c>
      <c r="D10" s="260">
        <v>0.04</v>
      </c>
      <c r="E10" s="260">
        <v>17.809999999999999</v>
      </c>
      <c r="F10" s="260">
        <v>19.88</v>
      </c>
      <c r="G10" s="260">
        <v>0.04</v>
      </c>
      <c r="H10" s="260">
        <v>12.69</v>
      </c>
      <c r="I10" s="260">
        <v>0.66</v>
      </c>
      <c r="J10" s="260">
        <v>1.1000000000000001</v>
      </c>
      <c r="K10" s="260">
        <v>0.91</v>
      </c>
      <c r="L10" s="260">
        <v>-0.96</v>
      </c>
    </row>
    <row r="11" spans="1:12" hidden="1" x14ac:dyDescent="0.25">
      <c r="A11" s="259" t="s">
        <v>66</v>
      </c>
      <c r="B11" s="261" t="str">
        <f>VLOOKUP(A11, '[2]fund-selector'!$A$2:$F$853,6,FALSE)</f>
        <v>EQ-THEMATIC</v>
      </c>
      <c r="C11" s="258">
        <v>3.91</v>
      </c>
      <c r="D11" s="260">
        <v>2.14</v>
      </c>
      <c r="E11" s="260">
        <v>19.23</v>
      </c>
      <c r="F11" s="259">
        <v>0</v>
      </c>
      <c r="G11" s="260">
        <v>2.14</v>
      </c>
      <c r="H11" s="260">
        <v>14.21</v>
      </c>
      <c r="I11" s="260">
        <v>0.68</v>
      </c>
      <c r="J11" s="260">
        <v>1.0900000000000001</v>
      </c>
      <c r="K11" s="260">
        <v>0.96</v>
      </c>
      <c r="L11" s="260">
        <v>-1.45</v>
      </c>
    </row>
    <row r="12" spans="1:12" hidden="1" x14ac:dyDescent="0.25">
      <c r="A12" s="259" t="s">
        <v>67</v>
      </c>
      <c r="B12" s="261" t="str">
        <f>VLOOKUP(A12, '[2]fund-selector'!$A$2:$F$853,6,FALSE)</f>
        <v>EQ-THEMATIC</v>
      </c>
      <c r="C12" s="258" t="s">
        <v>54</v>
      </c>
      <c r="D12" s="260">
        <v>2.0699999999999998</v>
      </c>
      <c r="E12" s="259">
        <v>0</v>
      </c>
      <c r="F12" s="259">
        <v>0</v>
      </c>
      <c r="G12" s="260">
        <v>2.0699999999999998</v>
      </c>
      <c r="H12" s="259">
        <v>0</v>
      </c>
      <c r="I12" s="259">
        <v>0</v>
      </c>
      <c r="J12" s="259">
        <v>0</v>
      </c>
      <c r="K12" s="259">
        <v>0</v>
      </c>
      <c r="L12" s="259">
        <v>0</v>
      </c>
    </row>
    <row r="13" spans="1:12" hidden="1" x14ac:dyDescent="0.25">
      <c r="A13" s="259" t="s">
        <v>70</v>
      </c>
      <c r="B13" s="261" t="str">
        <f>VLOOKUP(A13, '[2]fund-selector'!$A$2:$F$853,6,FALSE)</f>
        <v>EQ-L&amp;MC</v>
      </c>
      <c r="C13" s="258">
        <v>1.1299999999999999</v>
      </c>
      <c r="D13" s="260">
        <v>1.9</v>
      </c>
      <c r="E13" s="260">
        <v>19</v>
      </c>
      <c r="F13" s="260">
        <v>19.95</v>
      </c>
      <c r="G13" s="260">
        <v>1.9</v>
      </c>
      <c r="H13" s="260">
        <v>15.21</v>
      </c>
      <c r="I13" s="260">
        <v>0.62</v>
      </c>
      <c r="J13" s="260">
        <v>0.86</v>
      </c>
      <c r="K13" s="260">
        <v>1.01</v>
      </c>
      <c r="L13" s="260">
        <v>-1.71</v>
      </c>
    </row>
    <row r="14" spans="1:12" hidden="1" x14ac:dyDescent="0.25">
      <c r="A14" s="259" t="s">
        <v>1167</v>
      </c>
      <c r="B14" s="261" t="str">
        <f>VLOOKUP(A14, '[2]fund-selector'!$A$2:$F$853,6,FALSE)</f>
        <v>HY-AH</v>
      </c>
      <c r="C14" s="258">
        <v>4.88</v>
      </c>
      <c r="D14" s="260">
        <v>1.84</v>
      </c>
      <c r="E14" s="260">
        <v>16.489999999999998</v>
      </c>
      <c r="F14" s="260">
        <v>18.25</v>
      </c>
      <c r="G14" s="260">
        <v>1.84</v>
      </c>
      <c r="H14" s="260">
        <v>10.28</v>
      </c>
      <c r="I14" s="260">
        <v>0.72</v>
      </c>
      <c r="J14" s="260">
        <v>1.04</v>
      </c>
      <c r="K14" s="260">
        <v>0.85</v>
      </c>
      <c r="L14" s="260">
        <v>-0.69</v>
      </c>
    </row>
    <row r="15" spans="1:12" hidden="1" x14ac:dyDescent="0.25">
      <c r="A15" s="259" t="s">
        <v>74</v>
      </c>
      <c r="B15" s="261" t="str">
        <f>VLOOKUP(A15, '[2]fund-selector'!$A$2:$F$853,6,FALSE)</f>
        <v>HY-MAA</v>
      </c>
      <c r="C15" s="258">
        <v>6.07</v>
      </c>
      <c r="D15" s="260">
        <v>1.1299999999999999</v>
      </c>
      <c r="E15" s="260">
        <v>19.73</v>
      </c>
      <c r="F15" s="260">
        <v>18.920000000000002</v>
      </c>
      <c r="G15" s="260">
        <v>1.1299999999999999</v>
      </c>
      <c r="H15" s="260">
        <v>10.49</v>
      </c>
      <c r="I15" s="260">
        <v>1</v>
      </c>
      <c r="J15" s="260">
        <v>1.44</v>
      </c>
      <c r="K15" s="260">
        <v>1.07</v>
      </c>
      <c r="L15" s="260">
        <v>1.02</v>
      </c>
    </row>
    <row r="16" spans="1:12" hidden="1" x14ac:dyDescent="0.25">
      <c r="A16" s="259" t="s">
        <v>75</v>
      </c>
      <c r="B16" s="261" t="str">
        <f>VLOOKUP(A16, '[2]fund-selector'!$A$2:$F$853,6,FALSE)</f>
        <v>HY-MAA</v>
      </c>
      <c r="C16" s="258">
        <v>7.92</v>
      </c>
      <c r="D16" s="260">
        <v>0.94</v>
      </c>
      <c r="E16" s="260">
        <v>13.19</v>
      </c>
      <c r="F16" s="260">
        <v>12.11</v>
      </c>
      <c r="G16" s="260">
        <v>0.94</v>
      </c>
      <c r="H16" s="260">
        <v>4.72</v>
      </c>
      <c r="I16" s="260">
        <v>1.21</v>
      </c>
      <c r="J16" s="260">
        <v>1.84</v>
      </c>
      <c r="K16" s="260">
        <v>0.47</v>
      </c>
      <c r="L16" s="260">
        <v>1.49</v>
      </c>
    </row>
    <row r="17" spans="1:12" hidden="1" x14ac:dyDescent="0.25">
      <c r="A17" s="259" t="s">
        <v>76</v>
      </c>
      <c r="B17" s="261" t="str">
        <f>VLOOKUP(A17, '[2]fund-selector'!$A$2:$F$853,6,FALSE)</f>
        <v>HY-MAA</v>
      </c>
      <c r="C17" s="258">
        <v>7.29</v>
      </c>
      <c r="D17" s="260">
        <v>1.0900000000000001</v>
      </c>
      <c r="E17" s="260">
        <v>16.36</v>
      </c>
      <c r="F17" s="260">
        <v>15.53</v>
      </c>
      <c r="G17" s="260">
        <v>1.0900000000000001</v>
      </c>
      <c r="H17" s="260">
        <v>7.64</v>
      </c>
      <c r="I17" s="260">
        <v>1.06</v>
      </c>
      <c r="J17" s="260">
        <v>1.54</v>
      </c>
      <c r="K17" s="260">
        <v>0.77</v>
      </c>
      <c r="L17" s="260">
        <v>1.24</v>
      </c>
    </row>
    <row r="18" spans="1:12" hidden="1" x14ac:dyDescent="0.25">
      <c r="A18" s="259" t="s">
        <v>77</v>
      </c>
      <c r="B18" s="261" t="str">
        <f>VLOOKUP(A18, '[2]fund-selector'!$A$2:$F$853,6,FALSE)</f>
        <v>EQ-FLX</v>
      </c>
      <c r="C18" s="258">
        <v>7.34</v>
      </c>
      <c r="D18" s="260">
        <v>1.67</v>
      </c>
      <c r="E18" s="260">
        <v>22.02</v>
      </c>
      <c r="F18" s="260">
        <v>22.44</v>
      </c>
      <c r="G18" s="260">
        <v>1.67</v>
      </c>
      <c r="H18" s="260">
        <v>13.82</v>
      </c>
      <c r="I18" s="260">
        <v>0.87</v>
      </c>
      <c r="J18" s="260">
        <v>1.43</v>
      </c>
      <c r="K18" s="260">
        <v>0.94</v>
      </c>
      <c r="L18" s="260">
        <v>1.1499999999999999</v>
      </c>
    </row>
    <row r="19" spans="1:12" hidden="1" x14ac:dyDescent="0.25">
      <c r="A19" s="259" t="s">
        <v>78</v>
      </c>
      <c r="B19" s="261" t="str">
        <f>VLOOKUP(A19, '[2]fund-selector'!$A$2:$F$853,6,FALSE)</f>
        <v>EQ-FLX</v>
      </c>
      <c r="C19" s="258">
        <v>7.43</v>
      </c>
      <c r="D19" s="260">
        <v>1.81</v>
      </c>
      <c r="E19" s="260">
        <v>20.76</v>
      </c>
      <c r="F19" s="260">
        <v>21.03</v>
      </c>
      <c r="G19" s="260">
        <v>1.81</v>
      </c>
      <c r="H19" s="260">
        <v>13.24</v>
      </c>
      <c r="I19" s="260">
        <v>0.8</v>
      </c>
      <c r="J19" s="260">
        <v>1.57</v>
      </c>
      <c r="K19" s="260">
        <v>0.9</v>
      </c>
      <c r="L19" s="260">
        <v>0.3</v>
      </c>
    </row>
    <row r="20" spans="1:12" hidden="1" x14ac:dyDescent="0.25">
      <c r="A20" s="259" t="s">
        <v>79</v>
      </c>
      <c r="B20" s="261" t="str">
        <f>VLOOKUP(A20, '[2]fund-selector'!$A$2:$F$853,6,FALSE)</f>
        <v>EQ-LC</v>
      </c>
      <c r="C20" s="258">
        <v>5.71</v>
      </c>
      <c r="D20" s="260">
        <v>1.64</v>
      </c>
      <c r="E20" s="260">
        <v>20.48</v>
      </c>
      <c r="F20" s="260">
        <v>21.61</v>
      </c>
      <c r="G20" s="260">
        <v>1.64</v>
      </c>
      <c r="H20" s="260">
        <v>13.13</v>
      </c>
      <c r="I20" s="260">
        <v>0.81</v>
      </c>
      <c r="J20" s="260">
        <v>1.3</v>
      </c>
      <c r="K20" s="260">
        <v>0.95</v>
      </c>
      <c r="L20" s="260">
        <v>0.83</v>
      </c>
    </row>
    <row r="21" spans="1:12" hidden="1" x14ac:dyDescent="0.25">
      <c r="A21" s="259" t="s">
        <v>82</v>
      </c>
      <c r="B21" s="261" t="str">
        <f>VLOOKUP(A21, '[2]fund-selector'!$A$2:$F$853,6,FALSE)</f>
        <v>EQ-THEMATIC</v>
      </c>
      <c r="C21" s="258">
        <v>-1.62</v>
      </c>
      <c r="D21" s="260">
        <v>2.29</v>
      </c>
      <c r="E21" s="260">
        <v>21.81</v>
      </c>
      <c r="F21" s="260">
        <v>20.329999999999998</v>
      </c>
      <c r="G21" s="260">
        <v>2.29</v>
      </c>
      <c r="H21" s="260">
        <v>16.43</v>
      </c>
      <c r="I21" s="260">
        <v>0.8</v>
      </c>
      <c r="J21" s="260">
        <v>1.25</v>
      </c>
      <c r="K21" s="260">
        <v>1.07</v>
      </c>
      <c r="L21" s="260">
        <v>0.88</v>
      </c>
    </row>
    <row r="22" spans="1:12" hidden="1" x14ac:dyDescent="0.25">
      <c r="A22" s="259" t="s">
        <v>83</v>
      </c>
      <c r="B22" s="261" t="str">
        <f>VLOOKUP(A22, '[2]fund-selector'!$A$2:$F$853,6,FALSE)</f>
        <v>EQ-MC</v>
      </c>
      <c r="C22" s="258">
        <v>2.95</v>
      </c>
      <c r="D22" s="260">
        <v>1.89</v>
      </c>
      <c r="E22" s="260">
        <v>23.81</v>
      </c>
      <c r="F22" s="260">
        <v>27.55</v>
      </c>
      <c r="G22" s="260">
        <v>1.89</v>
      </c>
      <c r="H22" s="260">
        <v>16.239999999999998</v>
      </c>
      <c r="I22" s="260">
        <v>0.85</v>
      </c>
      <c r="J22" s="260">
        <v>1.39</v>
      </c>
      <c r="K22" s="260">
        <v>0.92</v>
      </c>
      <c r="L22" s="260">
        <v>-2.87</v>
      </c>
    </row>
    <row r="23" spans="1:12" hidden="1" x14ac:dyDescent="0.25">
      <c r="A23" s="259" t="s">
        <v>87</v>
      </c>
      <c r="B23" s="261" t="str">
        <f>VLOOKUP(A23, '[2]fund-selector'!$A$2:$F$853,6,FALSE)</f>
        <v>HY-MAA</v>
      </c>
      <c r="C23" s="258">
        <v>9.16</v>
      </c>
      <c r="D23" s="260">
        <v>1.83</v>
      </c>
      <c r="E23" s="259">
        <v>0</v>
      </c>
      <c r="F23" s="259">
        <v>0</v>
      </c>
      <c r="G23" s="260">
        <v>1.83</v>
      </c>
      <c r="H23" s="259">
        <v>0</v>
      </c>
      <c r="I23" s="259">
        <v>0</v>
      </c>
      <c r="J23" s="259">
        <v>0</v>
      </c>
      <c r="K23" s="259">
        <v>0</v>
      </c>
      <c r="L23" s="259">
        <v>0</v>
      </c>
    </row>
    <row r="24" spans="1:12" x14ac:dyDescent="0.25">
      <c r="A24" s="296" t="s">
        <v>88</v>
      </c>
      <c r="B24" s="261" t="str">
        <f>VLOOKUP(A24, '[2]fund-selector'!$A$2:$F$853,6,FALSE)</f>
        <v>EQ-MLC</v>
      </c>
      <c r="C24" s="258">
        <v>2.14</v>
      </c>
      <c r="D24" s="260">
        <v>1.84</v>
      </c>
      <c r="E24" s="260">
        <v>21.1</v>
      </c>
      <c r="F24" s="259">
        <v>0</v>
      </c>
      <c r="G24" s="260">
        <v>1.84</v>
      </c>
      <c r="H24" s="260">
        <v>14.3</v>
      </c>
      <c r="I24" s="260">
        <v>0.8</v>
      </c>
      <c r="J24" s="260">
        <v>1.06</v>
      </c>
      <c r="K24" s="260">
        <v>0.88</v>
      </c>
      <c r="L24" s="260">
        <v>-1.43</v>
      </c>
    </row>
    <row r="25" spans="1:12" hidden="1" x14ac:dyDescent="0.25">
      <c r="A25" s="259" t="s">
        <v>90</v>
      </c>
      <c r="B25" s="261" t="str">
        <f>VLOOKUP(A25, '[2]fund-selector'!$A$2:$F$853,6,FALSE)</f>
        <v>HY-MAA</v>
      </c>
      <c r="C25" s="258">
        <v>4.49</v>
      </c>
      <c r="D25" s="260">
        <v>0.61</v>
      </c>
      <c r="E25" s="259">
        <v>0</v>
      </c>
      <c r="F25" s="259">
        <v>0</v>
      </c>
      <c r="G25" s="260">
        <v>0.61</v>
      </c>
      <c r="H25" s="259">
        <v>0</v>
      </c>
      <c r="I25" s="259">
        <v>0</v>
      </c>
      <c r="J25" s="259">
        <v>0</v>
      </c>
      <c r="K25" s="259">
        <v>0</v>
      </c>
      <c r="L25" s="259">
        <v>0</v>
      </c>
    </row>
    <row r="26" spans="1:12" hidden="1" x14ac:dyDescent="0.25">
      <c r="A26" s="259" t="s">
        <v>91</v>
      </c>
      <c r="B26" s="261" t="str">
        <f>VLOOKUP(A26, '[2]fund-selector'!$A$2:$F$853,6,FALSE)</f>
        <v>EQ-L&amp;MC</v>
      </c>
      <c r="C26" s="258">
        <v>-12.89</v>
      </c>
      <c r="D26" s="260">
        <v>0.28999999999999998</v>
      </c>
      <c r="E26" s="259">
        <v>0</v>
      </c>
      <c r="F26" s="259">
        <v>0</v>
      </c>
      <c r="G26" s="260">
        <v>0.28999999999999998</v>
      </c>
      <c r="H26" s="259">
        <v>0</v>
      </c>
      <c r="I26" s="259">
        <v>0</v>
      </c>
      <c r="J26" s="259">
        <v>0</v>
      </c>
      <c r="K26" s="259">
        <v>0</v>
      </c>
      <c r="L26" s="259">
        <v>0</v>
      </c>
    </row>
    <row r="27" spans="1:12" hidden="1" x14ac:dyDescent="0.25">
      <c r="A27" s="259" t="s">
        <v>92</v>
      </c>
      <c r="B27" s="261" t="str">
        <f>VLOOKUP(A27, '[2]fund-selector'!$A$2:$F$853,6,FALSE)</f>
        <v>EQ-L&amp;MC</v>
      </c>
      <c r="C27" s="258">
        <v>1.23</v>
      </c>
      <c r="D27" s="260">
        <v>0.28999999999999998</v>
      </c>
      <c r="E27" s="259">
        <v>0</v>
      </c>
      <c r="F27" s="259">
        <v>0</v>
      </c>
      <c r="G27" s="260">
        <v>0.28999999999999998</v>
      </c>
      <c r="H27" s="259">
        <v>0</v>
      </c>
      <c r="I27" s="259">
        <v>0</v>
      </c>
      <c r="J27" s="259">
        <v>0</v>
      </c>
      <c r="K27" s="259">
        <v>0</v>
      </c>
      <c r="L27" s="259">
        <v>0</v>
      </c>
    </row>
    <row r="28" spans="1:12" hidden="1" x14ac:dyDescent="0.25">
      <c r="A28" s="259" t="s">
        <v>93</v>
      </c>
      <c r="B28" s="261" t="str">
        <f>VLOOKUP(A28, '[2]fund-selector'!$A$2:$F$853,6,FALSE)</f>
        <v>EQ-LC</v>
      </c>
      <c r="C28" s="258">
        <v>3.92</v>
      </c>
      <c r="D28" s="260">
        <v>1.02</v>
      </c>
      <c r="E28" s="260">
        <v>21.61</v>
      </c>
      <c r="F28" s="259">
        <v>0</v>
      </c>
      <c r="G28" s="260">
        <v>1.02</v>
      </c>
      <c r="H28" s="260">
        <v>14.76</v>
      </c>
      <c r="I28" s="260">
        <v>0.77</v>
      </c>
      <c r="J28" s="260">
        <v>1.17</v>
      </c>
      <c r="K28" s="260">
        <v>1.04</v>
      </c>
      <c r="L28" s="260">
        <v>0.56999999999999995</v>
      </c>
    </row>
    <row r="29" spans="1:12" hidden="1" x14ac:dyDescent="0.25">
      <c r="A29" s="259" t="s">
        <v>94</v>
      </c>
      <c r="B29" s="261" t="str">
        <f>VLOOKUP(A29, '[2]fund-selector'!$A$2:$F$853,6,FALSE)</f>
        <v>EQ-LC</v>
      </c>
      <c r="C29" s="258">
        <v>6.49</v>
      </c>
      <c r="D29" s="260">
        <v>0.04</v>
      </c>
      <c r="E29" s="260">
        <v>18.66</v>
      </c>
      <c r="F29" s="260">
        <v>20.66</v>
      </c>
      <c r="G29" s="260">
        <v>0.04</v>
      </c>
      <c r="H29" s="260">
        <v>13.14</v>
      </c>
      <c r="I29" s="260">
        <v>0.69</v>
      </c>
      <c r="J29" s="260">
        <v>1.18</v>
      </c>
      <c r="K29" s="260">
        <v>0.95</v>
      </c>
      <c r="L29" s="260">
        <v>-0.72</v>
      </c>
    </row>
    <row r="30" spans="1:12" hidden="1" x14ac:dyDescent="0.25">
      <c r="A30" s="259" t="s">
        <v>95</v>
      </c>
      <c r="B30" s="261" t="str">
        <f>VLOOKUP(A30, '[2]fund-selector'!$A$2:$F$853,6,FALSE)</f>
        <v>EQ-LC</v>
      </c>
      <c r="C30" s="258">
        <v>6.02</v>
      </c>
      <c r="D30" s="260">
        <v>0.47</v>
      </c>
      <c r="E30" s="260">
        <v>18.03</v>
      </c>
      <c r="F30" s="260">
        <v>19.89</v>
      </c>
      <c r="G30" s="260">
        <v>0.47</v>
      </c>
      <c r="H30" s="260">
        <v>13.12</v>
      </c>
      <c r="I30" s="260">
        <v>0.65</v>
      </c>
      <c r="J30" s="260">
        <v>1.1100000000000001</v>
      </c>
      <c r="K30" s="260">
        <v>0.95</v>
      </c>
      <c r="L30" s="260">
        <v>-1.25</v>
      </c>
    </row>
    <row r="31" spans="1:12" hidden="1" x14ac:dyDescent="0.25">
      <c r="A31" s="259" t="s">
        <v>96</v>
      </c>
      <c r="B31" s="261" t="str">
        <f>VLOOKUP(A31, '[2]fund-selector'!$A$2:$F$853,6,FALSE)</f>
        <v>EQ-THEMATIC</v>
      </c>
      <c r="C31" s="258" t="s">
        <v>54</v>
      </c>
      <c r="D31" s="260">
        <v>1.06</v>
      </c>
      <c r="E31" s="259">
        <v>0</v>
      </c>
      <c r="F31" s="259">
        <v>0</v>
      </c>
      <c r="G31" s="260">
        <v>1.06</v>
      </c>
      <c r="H31" s="259">
        <v>0</v>
      </c>
      <c r="I31" s="259">
        <v>0</v>
      </c>
      <c r="J31" s="259">
        <v>0</v>
      </c>
      <c r="K31" s="259">
        <v>0</v>
      </c>
      <c r="L31" s="259">
        <v>0</v>
      </c>
    </row>
    <row r="32" spans="1:12" hidden="1" x14ac:dyDescent="0.25">
      <c r="A32" s="259" t="s">
        <v>97</v>
      </c>
      <c r="B32" s="261" t="str">
        <f>VLOOKUP(A32, '[2]fund-selector'!$A$2:$F$853,6,FALSE)</f>
        <v>EQ-MC</v>
      </c>
      <c r="C32" s="258">
        <v>1.58</v>
      </c>
      <c r="D32" s="260">
        <v>1.01</v>
      </c>
      <c r="E32" s="260">
        <v>28.63</v>
      </c>
      <c r="F32" s="259">
        <v>0</v>
      </c>
      <c r="G32" s="260">
        <v>1.01</v>
      </c>
      <c r="H32" s="260">
        <v>17.010000000000002</v>
      </c>
      <c r="I32" s="260">
        <v>1.06</v>
      </c>
      <c r="J32" s="260">
        <v>1.53</v>
      </c>
      <c r="K32" s="260">
        <v>1</v>
      </c>
      <c r="L32" s="260">
        <v>-0.09</v>
      </c>
    </row>
    <row r="33" spans="1:12" hidden="1" x14ac:dyDescent="0.25">
      <c r="A33" s="259" t="s">
        <v>98</v>
      </c>
      <c r="B33" s="261" t="str">
        <f>VLOOKUP(A33, '[2]fund-selector'!$A$2:$F$853,6,FALSE)</f>
        <v>EQ-LC</v>
      </c>
      <c r="C33" s="258">
        <v>-7.34</v>
      </c>
      <c r="D33" s="260">
        <v>0.09</v>
      </c>
      <c r="E33" s="260">
        <v>23.29</v>
      </c>
      <c r="F33" s="260">
        <v>21.86</v>
      </c>
      <c r="G33" s="260">
        <v>0.09</v>
      </c>
      <c r="H33" s="260">
        <v>19.54</v>
      </c>
      <c r="I33" s="260">
        <v>0.73</v>
      </c>
      <c r="J33" s="260">
        <v>1.0900000000000001</v>
      </c>
      <c r="K33" s="260">
        <v>1.3</v>
      </c>
      <c r="L33" s="260">
        <v>0.85</v>
      </c>
    </row>
    <row r="34" spans="1:12" hidden="1" x14ac:dyDescent="0.25">
      <c r="A34" s="259" t="s">
        <v>99</v>
      </c>
      <c r="B34" s="261" t="str">
        <f>VLOOKUP(A34, '[2]fund-selector'!$A$2:$F$853,6,FALSE)</f>
        <v>EQ-LC</v>
      </c>
      <c r="C34" s="258">
        <v>-8.44</v>
      </c>
      <c r="D34" s="260">
        <v>0.88</v>
      </c>
      <c r="E34" s="260">
        <v>21.93</v>
      </c>
      <c r="F34" s="259">
        <v>0</v>
      </c>
      <c r="G34" s="260">
        <v>0.88</v>
      </c>
      <c r="H34" s="260">
        <v>19.52</v>
      </c>
      <c r="I34" s="260">
        <v>0.67</v>
      </c>
      <c r="J34" s="260">
        <v>1</v>
      </c>
      <c r="K34" s="260">
        <v>1.3</v>
      </c>
      <c r="L34" s="260">
        <v>-0.25</v>
      </c>
    </row>
    <row r="35" spans="1:12" hidden="1" x14ac:dyDescent="0.25">
      <c r="A35" s="259" t="s">
        <v>102</v>
      </c>
      <c r="B35" s="261" t="str">
        <f>VLOOKUP(A35, '[2]fund-selector'!$A$2:$F$853,6,FALSE)</f>
        <v>EQ-SC</v>
      </c>
      <c r="C35" s="258">
        <v>1.81</v>
      </c>
      <c r="D35" s="260">
        <v>1.01</v>
      </c>
      <c r="E35" s="260">
        <v>31.37</v>
      </c>
      <c r="F35" s="259">
        <v>0</v>
      </c>
      <c r="G35" s="260">
        <v>1.01</v>
      </c>
      <c r="H35" s="260">
        <v>20.71</v>
      </c>
      <c r="I35" s="260">
        <v>0.92</v>
      </c>
      <c r="J35" s="260">
        <v>1.48</v>
      </c>
      <c r="K35" s="260">
        <v>1.03</v>
      </c>
      <c r="L35" s="260">
        <v>0.22</v>
      </c>
    </row>
    <row r="36" spans="1:12" hidden="1" x14ac:dyDescent="0.25">
      <c r="A36" s="259" t="s">
        <v>105</v>
      </c>
      <c r="B36" s="261" t="str">
        <f>VLOOKUP(A36, '[2]fund-selector'!$A$2:$F$853,6,FALSE)</f>
        <v>EQ-THEMATIC</v>
      </c>
      <c r="C36" s="258" t="s">
        <v>54</v>
      </c>
      <c r="D36" s="260">
        <v>1.97</v>
      </c>
      <c r="E36" s="259">
        <v>0</v>
      </c>
      <c r="F36" s="259">
        <v>0</v>
      </c>
      <c r="G36" s="260">
        <v>1.97</v>
      </c>
      <c r="H36" s="259">
        <v>0</v>
      </c>
      <c r="I36" s="259">
        <v>0</v>
      </c>
      <c r="J36" s="259">
        <v>0</v>
      </c>
      <c r="K36" s="259">
        <v>0</v>
      </c>
      <c r="L36" s="259">
        <v>0</v>
      </c>
    </row>
    <row r="37" spans="1:12" hidden="1" x14ac:dyDescent="0.25">
      <c r="A37" s="259" t="s">
        <v>1170</v>
      </c>
      <c r="B37" s="261" t="str">
        <f>VLOOKUP(A37, '[2]fund-selector'!$A$2:$F$853,6,FALSE)</f>
        <v>HY-CH</v>
      </c>
      <c r="C37" s="258">
        <v>8.7899999999999991</v>
      </c>
      <c r="D37" s="260">
        <v>1.92</v>
      </c>
      <c r="E37" s="260">
        <v>10.46</v>
      </c>
      <c r="F37" s="260">
        <v>11.88</v>
      </c>
      <c r="G37" s="260">
        <v>1.92</v>
      </c>
      <c r="H37" s="260">
        <v>3.55</v>
      </c>
      <c r="I37" s="260">
        <v>0.86</v>
      </c>
      <c r="J37" s="260">
        <v>1.66</v>
      </c>
      <c r="K37" s="260">
        <v>0.82</v>
      </c>
      <c r="L37" s="260">
        <v>0.04</v>
      </c>
    </row>
    <row r="38" spans="1:12" hidden="1" x14ac:dyDescent="0.25">
      <c r="A38" s="259" t="s">
        <v>106</v>
      </c>
      <c r="B38" s="261" t="str">
        <f>VLOOKUP(A38, '[2]fund-selector'!$A$2:$F$853,6,FALSE)</f>
        <v>EQ-FLX</v>
      </c>
      <c r="C38" s="258">
        <v>5.12</v>
      </c>
      <c r="D38" s="260">
        <v>2.41</v>
      </c>
      <c r="E38" s="260">
        <v>19.100000000000001</v>
      </c>
      <c r="F38" s="260">
        <v>15.74</v>
      </c>
      <c r="G38" s="260">
        <v>2.41</v>
      </c>
      <c r="H38" s="260">
        <v>14.35</v>
      </c>
      <c r="I38" s="260">
        <v>0.69</v>
      </c>
      <c r="J38" s="260">
        <v>1.1000000000000001</v>
      </c>
      <c r="K38" s="260">
        <v>0.94</v>
      </c>
      <c r="L38" s="260">
        <v>-0.98</v>
      </c>
    </row>
    <row r="39" spans="1:12" hidden="1" x14ac:dyDescent="0.25">
      <c r="A39" s="259" t="s">
        <v>1171</v>
      </c>
      <c r="B39" s="261" t="str">
        <f>VLOOKUP(A39, '[2]fund-selector'!$A$2:$F$853,6,FALSE)</f>
        <v>HY-AH</v>
      </c>
      <c r="C39" s="258">
        <v>7.45</v>
      </c>
      <c r="D39" s="260">
        <v>2.38</v>
      </c>
      <c r="E39" s="260">
        <v>16.95</v>
      </c>
      <c r="F39" s="260">
        <v>13.73</v>
      </c>
      <c r="G39" s="260">
        <v>2.38</v>
      </c>
      <c r="H39" s="260">
        <v>10.97</v>
      </c>
      <c r="I39" s="260">
        <v>0.74</v>
      </c>
      <c r="J39" s="260">
        <v>1.2</v>
      </c>
      <c r="K39" s="260">
        <v>0.87</v>
      </c>
      <c r="L39" s="260">
        <v>-0.3</v>
      </c>
    </row>
    <row r="40" spans="1:12" hidden="1" x14ac:dyDescent="0.25">
      <c r="A40" s="259" t="s">
        <v>1172</v>
      </c>
      <c r="B40" s="261" t="str">
        <f>VLOOKUP(A40, '[2]fund-selector'!$A$2:$F$853,6,FALSE)</f>
        <v>HY-CH</v>
      </c>
      <c r="C40" s="258">
        <v>6.57</v>
      </c>
      <c r="D40" s="260">
        <v>1.93</v>
      </c>
      <c r="E40" s="260">
        <v>9.52</v>
      </c>
      <c r="F40" s="260">
        <v>5.49</v>
      </c>
      <c r="G40" s="260">
        <v>1.93</v>
      </c>
      <c r="H40" s="260">
        <v>3.71</v>
      </c>
      <c r="I40" s="260">
        <v>0.62</v>
      </c>
      <c r="J40" s="260">
        <v>0.99</v>
      </c>
      <c r="K40" s="260">
        <v>0.88</v>
      </c>
      <c r="L40" s="260">
        <v>-0.92</v>
      </c>
    </row>
    <row r="41" spans="1:12" hidden="1" x14ac:dyDescent="0.25">
      <c r="A41" s="259" t="s">
        <v>107</v>
      </c>
      <c r="B41" s="261" t="str">
        <f>VLOOKUP(A41, '[2]fund-selector'!$A$2:$F$853,6,FALSE)</f>
        <v>EQ-SC</v>
      </c>
      <c r="C41" s="258">
        <v>-0.93</v>
      </c>
      <c r="D41" s="260">
        <v>1.92</v>
      </c>
      <c r="E41" s="260">
        <v>23.42</v>
      </c>
      <c r="F41" s="260">
        <v>27.93</v>
      </c>
      <c r="G41" s="260">
        <v>1.92</v>
      </c>
      <c r="H41" s="260">
        <v>17.91</v>
      </c>
      <c r="I41" s="260">
        <v>0.78</v>
      </c>
      <c r="J41" s="260">
        <v>1.18</v>
      </c>
      <c r="K41" s="260">
        <v>0.89</v>
      </c>
      <c r="L41" s="260">
        <v>-2.19</v>
      </c>
    </row>
    <row r="42" spans="1:12" hidden="1" x14ac:dyDescent="0.25">
      <c r="A42" s="259" t="s">
        <v>108</v>
      </c>
      <c r="B42" s="261" t="str">
        <f>VLOOKUP(A42, '[2]fund-selector'!$A$2:$F$853,6,FALSE)</f>
        <v>EQ-THEMATIC</v>
      </c>
      <c r="C42" s="258">
        <v>5.43</v>
      </c>
      <c r="D42" s="260">
        <v>2.39</v>
      </c>
      <c r="E42" s="260">
        <v>21.86</v>
      </c>
      <c r="F42" s="259">
        <v>0</v>
      </c>
      <c r="G42" s="260">
        <v>2.39</v>
      </c>
      <c r="H42" s="260">
        <v>14.79</v>
      </c>
      <c r="I42" s="260">
        <v>0.79</v>
      </c>
      <c r="J42" s="260">
        <v>1.39</v>
      </c>
      <c r="K42" s="260">
        <v>0.99</v>
      </c>
      <c r="L42" s="260">
        <v>0.3</v>
      </c>
    </row>
    <row r="43" spans="1:12" hidden="1" x14ac:dyDescent="0.25">
      <c r="A43" s="259" t="s">
        <v>109</v>
      </c>
      <c r="B43" s="261" t="str">
        <f>VLOOKUP(A43, '[2]fund-selector'!$A$2:$F$853,6,FALSE)</f>
        <v>EQ-THEMATIC</v>
      </c>
      <c r="C43" s="258">
        <v>-7.4</v>
      </c>
      <c r="D43" s="260">
        <v>2.11</v>
      </c>
      <c r="E43" s="259">
        <v>0</v>
      </c>
      <c r="F43" s="259">
        <v>0</v>
      </c>
      <c r="G43" s="260">
        <v>2.11</v>
      </c>
      <c r="H43" s="259">
        <v>0</v>
      </c>
      <c r="I43" s="259">
        <v>0</v>
      </c>
      <c r="J43" s="259">
        <v>0</v>
      </c>
      <c r="K43" s="259">
        <v>0</v>
      </c>
      <c r="L43" s="259">
        <v>0</v>
      </c>
    </row>
    <row r="44" spans="1:12" hidden="1" x14ac:dyDescent="0.25">
      <c r="A44" s="259" t="s">
        <v>110</v>
      </c>
      <c r="B44" s="261" t="str">
        <f>VLOOKUP(A44, '[2]fund-selector'!$A$2:$F$853,6,FALSE)</f>
        <v>EQ-LC</v>
      </c>
      <c r="C44" s="258" t="s">
        <v>54</v>
      </c>
      <c r="D44" s="260">
        <v>0.09</v>
      </c>
      <c r="E44" s="259">
        <v>0</v>
      </c>
      <c r="F44" s="259">
        <v>0</v>
      </c>
      <c r="G44" s="260">
        <v>0.09</v>
      </c>
      <c r="H44" s="259">
        <v>0</v>
      </c>
      <c r="I44" s="259">
        <v>0</v>
      </c>
      <c r="J44" s="259">
        <v>0</v>
      </c>
      <c r="K44" s="259">
        <v>0</v>
      </c>
      <c r="L44" s="259">
        <v>0</v>
      </c>
    </row>
    <row r="45" spans="1:12" hidden="1" x14ac:dyDescent="0.25">
      <c r="A45" s="259" t="s">
        <v>111</v>
      </c>
      <c r="B45" s="261" t="str">
        <f>VLOOKUP(A45, '[2]fund-selector'!$A$2:$F$853,6,FALSE)</f>
        <v>EQ-LC</v>
      </c>
      <c r="C45" s="258" t="s">
        <v>54</v>
      </c>
      <c r="D45" s="260">
        <v>0.7</v>
      </c>
      <c r="E45" s="259">
        <v>0</v>
      </c>
      <c r="F45" s="259">
        <v>0</v>
      </c>
      <c r="G45" s="260">
        <v>0.7</v>
      </c>
      <c r="H45" s="259">
        <v>0</v>
      </c>
      <c r="I45" s="259">
        <v>0</v>
      </c>
      <c r="J45" s="259">
        <v>0</v>
      </c>
      <c r="K45" s="259">
        <v>0</v>
      </c>
      <c r="L45" s="259">
        <v>0</v>
      </c>
    </row>
    <row r="46" spans="1:12" hidden="1" x14ac:dyDescent="0.25">
      <c r="A46" s="259" t="s">
        <v>112</v>
      </c>
      <c r="B46" s="261" t="str">
        <f>VLOOKUP(A46, '[2]fund-selector'!$A$2:$F$853,6,FALSE)</f>
        <v>EQ-FLX</v>
      </c>
      <c r="C46" s="258" t="s">
        <v>54</v>
      </c>
      <c r="D46" s="260">
        <v>0.28000000000000003</v>
      </c>
      <c r="E46" s="259">
        <v>0</v>
      </c>
      <c r="F46" s="259">
        <v>0</v>
      </c>
      <c r="G46" s="260">
        <v>0.28000000000000003</v>
      </c>
      <c r="H46" s="259">
        <v>0</v>
      </c>
      <c r="I46" s="259">
        <v>0</v>
      </c>
      <c r="J46" s="259">
        <v>0</v>
      </c>
      <c r="K46" s="259">
        <v>0</v>
      </c>
      <c r="L46" s="259">
        <v>0</v>
      </c>
    </row>
    <row r="47" spans="1:12" hidden="1" x14ac:dyDescent="0.25">
      <c r="A47" s="259" t="s">
        <v>113</v>
      </c>
      <c r="B47" s="261" t="str">
        <f>VLOOKUP(A47, '[2]fund-selector'!$A$2:$F$853,6,FALSE)</f>
        <v>EQ-FLX</v>
      </c>
      <c r="C47" s="258" t="s">
        <v>54</v>
      </c>
      <c r="D47" s="260">
        <v>1.03</v>
      </c>
      <c r="E47" s="259">
        <v>0</v>
      </c>
      <c r="F47" s="259">
        <v>0</v>
      </c>
      <c r="G47" s="260">
        <v>1.03</v>
      </c>
      <c r="H47" s="259">
        <v>0</v>
      </c>
      <c r="I47" s="259">
        <v>0</v>
      </c>
      <c r="J47" s="259">
        <v>0</v>
      </c>
      <c r="K47" s="259">
        <v>0</v>
      </c>
      <c r="L47" s="259">
        <v>0</v>
      </c>
    </row>
    <row r="48" spans="1:12" hidden="1" x14ac:dyDescent="0.25">
      <c r="A48" s="259" t="s">
        <v>1173</v>
      </c>
      <c r="B48" s="261" t="str">
        <f>VLOOKUP(A48, '[2]fund-selector'!$A$2:$F$853,6,FALSE)</f>
        <v>HY-AH</v>
      </c>
      <c r="C48" s="258">
        <v>6.5</v>
      </c>
      <c r="D48" s="260">
        <v>2.15</v>
      </c>
      <c r="E48" s="260">
        <v>14.18</v>
      </c>
      <c r="F48" s="260">
        <v>14.9</v>
      </c>
      <c r="G48" s="260">
        <v>2.15</v>
      </c>
      <c r="H48" s="260">
        <v>11.35</v>
      </c>
      <c r="I48" s="260">
        <v>0.51</v>
      </c>
      <c r="J48" s="260">
        <v>0.9</v>
      </c>
      <c r="K48" s="260">
        <v>0.92</v>
      </c>
      <c r="L48" s="260">
        <v>-3.07</v>
      </c>
    </row>
    <row r="49" spans="1:12" hidden="1" x14ac:dyDescent="0.25">
      <c r="A49" s="259" t="s">
        <v>1364</v>
      </c>
      <c r="B49" s="261" t="str">
        <f>VLOOKUP(A49, '[2]fund-selector'!$A$2:$F$853,6,FALSE)</f>
        <v>HY-AR</v>
      </c>
      <c r="C49" s="258">
        <v>6.89</v>
      </c>
      <c r="D49" s="260">
        <v>1.02</v>
      </c>
      <c r="E49" s="260">
        <v>6.7</v>
      </c>
      <c r="F49" s="260">
        <v>5.44</v>
      </c>
      <c r="G49" s="260">
        <v>1.02</v>
      </c>
      <c r="H49" s="260">
        <v>0.56000000000000005</v>
      </c>
      <c r="I49" s="260">
        <v>0.17</v>
      </c>
      <c r="J49" s="260">
        <v>0.18</v>
      </c>
      <c r="K49" s="260">
        <v>0.65</v>
      </c>
      <c r="L49" s="260">
        <v>1.33</v>
      </c>
    </row>
    <row r="50" spans="1:12" hidden="1" x14ac:dyDescent="0.25">
      <c r="A50" s="259" t="s">
        <v>114</v>
      </c>
      <c r="B50" s="261" t="str">
        <f>VLOOKUP(A50, '[2]fund-selector'!$A$2:$F$853,6,FALSE)</f>
        <v>HY-DAA</v>
      </c>
      <c r="C50" s="258">
        <v>7.96</v>
      </c>
      <c r="D50" s="260">
        <v>1.94</v>
      </c>
      <c r="E50" s="260">
        <v>16.239999999999998</v>
      </c>
      <c r="F50" s="260">
        <v>13.83</v>
      </c>
      <c r="G50" s="260">
        <v>1.94</v>
      </c>
      <c r="H50" s="260">
        <v>8.06</v>
      </c>
      <c r="I50" s="260">
        <v>1.01</v>
      </c>
      <c r="J50" s="260">
        <v>1.7</v>
      </c>
      <c r="K50" s="260">
        <v>0.75</v>
      </c>
      <c r="L50" s="260">
        <v>2.2200000000000002</v>
      </c>
    </row>
    <row r="51" spans="1:12" hidden="1" x14ac:dyDescent="0.25">
      <c r="A51" s="259" t="s">
        <v>115</v>
      </c>
      <c r="B51" s="261" t="str">
        <f>VLOOKUP(A51, '[2]fund-selector'!$A$2:$F$853,6,FALSE)</f>
        <v>EQ-LC</v>
      </c>
      <c r="C51" s="258">
        <v>6.27</v>
      </c>
      <c r="D51" s="260">
        <v>0.04</v>
      </c>
      <c r="E51" s="259">
        <v>0</v>
      </c>
      <c r="F51" s="259">
        <v>0</v>
      </c>
      <c r="G51" s="260">
        <v>0.04</v>
      </c>
      <c r="H51" s="259">
        <v>0</v>
      </c>
      <c r="I51" s="259">
        <v>0</v>
      </c>
      <c r="J51" s="259">
        <v>0</v>
      </c>
      <c r="K51" s="259">
        <v>0</v>
      </c>
      <c r="L51" s="259">
        <v>0</v>
      </c>
    </row>
    <row r="52" spans="1:12" hidden="1" x14ac:dyDescent="0.25">
      <c r="A52" s="259" t="s">
        <v>116</v>
      </c>
      <c r="B52" s="261" t="str">
        <f>VLOOKUP(A52, '[2]fund-selector'!$A$2:$F$853,6,FALSE)</f>
        <v>EQ-LC</v>
      </c>
      <c r="C52" s="258">
        <v>5.54</v>
      </c>
      <c r="D52" s="260">
        <v>0.7</v>
      </c>
      <c r="E52" s="259">
        <v>0</v>
      </c>
      <c r="F52" s="259">
        <v>0</v>
      </c>
      <c r="G52" s="260">
        <v>0.7</v>
      </c>
      <c r="H52" s="259">
        <v>0</v>
      </c>
      <c r="I52" s="259">
        <v>0</v>
      </c>
      <c r="J52" s="259">
        <v>0</v>
      </c>
      <c r="K52" s="259">
        <v>0</v>
      </c>
      <c r="L52" s="259">
        <v>0</v>
      </c>
    </row>
    <row r="53" spans="1:12" hidden="1" x14ac:dyDescent="0.25">
      <c r="A53" s="259" t="s">
        <v>117</v>
      </c>
      <c r="B53" s="261" t="str">
        <f>VLOOKUP(A53, '[2]fund-selector'!$A$2:$F$853,6,FALSE)</f>
        <v>EQ-THEMATIC</v>
      </c>
      <c r="C53" s="258">
        <v>2.5499999999999998</v>
      </c>
      <c r="D53" s="260">
        <v>1.99</v>
      </c>
      <c r="E53" s="259">
        <v>0</v>
      </c>
      <c r="F53" s="259">
        <v>0</v>
      </c>
      <c r="G53" s="260">
        <v>1.99</v>
      </c>
      <c r="H53" s="259">
        <v>0</v>
      </c>
      <c r="I53" s="259">
        <v>0</v>
      </c>
      <c r="J53" s="259">
        <v>0</v>
      </c>
      <c r="K53" s="259">
        <v>0</v>
      </c>
      <c r="L53" s="259">
        <v>0</v>
      </c>
    </row>
    <row r="54" spans="1:12" hidden="1" x14ac:dyDescent="0.25">
      <c r="A54" s="259" t="s">
        <v>1174</v>
      </c>
      <c r="B54" s="261" t="str">
        <f>VLOOKUP(A54, '[2]fund-selector'!$A$2:$F$853,6,FALSE)</f>
        <v>HY-AH</v>
      </c>
      <c r="C54" s="258">
        <v>6.76</v>
      </c>
      <c r="D54" s="260">
        <v>2.29</v>
      </c>
      <c r="E54" s="260">
        <v>13.21</v>
      </c>
      <c r="F54" s="260">
        <v>14.42</v>
      </c>
      <c r="G54" s="260">
        <v>2.29</v>
      </c>
      <c r="H54" s="260">
        <v>10.78</v>
      </c>
      <c r="I54" s="260">
        <v>0.44</v>
      </c>
      <c r="J54" s="260">
        <v>0.74</v>
      </c>
      <c r="K54" s="260">
        <v>0.86</v>
      </c>
      <c r="L54" s="260">
        <v>-3.53</v>
      </c>
    </row>
    <row r="55" spans="1:12" hidden="1" x14ac:dyDescent="0.25">
      <c r="A55" s="259" t="s">
        <v>1175</v>
      </c>
      <c r="B55" s="261" t="str">
        <f>VLOOKUP(A55, '[2]fund-selector'!$A$2:$F$853,6,FALSE)</f>
        <v>HY-CH</v>
      </c>
      <c r="C55" s="258">
        <v>7.14</v>
      </c>
      <c r="D55" s="260">
        <v>2.19</v>
      </c>
      <c r="E55" s="260">
        <v>8.82</v>
      </c>
      <c r="F55" s="260">
        <v>8.56</v>
      </c>
      <c r="G55" s="260">
        <v>2.19</v>
      </c>
      <c r="H55" s="260">
        <v>4.1100000000000003</v>
      </c>
      <c r="I55" s="260">
        <v>0.4</v>
      </c>
      <c r="J55" s="260">
        <v>0.72</v>
      </c>
      <c r="K55" s="260">
        <v>0.99</v>
      </c>
      <c r="L55" s="260">
        <v>-1.98</v>
      </c>
    </row>
    <row r="56" spans="1:12" hidden="1" x14ac:dyDescent="0.25">
      <c r="A56" s="259" t="s">
        <v>119</v>
      </c>
      <c r="B56" s="261" t="str">
        <f>VLOOKUP(A56, '[2]fund-selector'!$A$2:$F$853,6,FALSE)</f>
        <v>EQ-FLX</v>
      </c>
      <c r="C56" s="258">
        <v>-5.1100000000000003</v>
      </c>
      <c r="D56" s="260">
        <v>0.7</v>
      </c>
      <c r="E56" s="260">
        <v>17.62</v>
      </c>
      <c r="F56" s="259">
        <v>0</v>
      </c>
      <c r="G56" s="260">
        <v>0.7</v>
      </c>
      <c r="H56" s="260">
        <v>14.4</v>
      </c>
      <c r="I56" s="260">
        <v>0.6</v>
      </c>
      <c r="J56" s="260">
        <v>0.89</v>
      </c>
      <c r="K56" s="260">
        <v>0.98</v>
      </c>
      <c r="L56" s="260">
        <v>-2.69</v>
      </c>
    </row>
    <row r="57" spans="1:12" hidden="1" x14ac:dyDescent="0.25">
      <c r="A57" s="259" t="s">
        <v>121</v>
      </c>
      <c r="B57" s="261" t="str">
        <f>VLOOKUP(A57, '[2]fund-selector'!$A$2:$F$853,6,FALSE)</f>
        <v>EQ-FLX</v>
      </c>
      <c r="C57" s="258">
        <v>4.3099999999999996</v>
      </c>
      <c r="D57" s="260">
        <v>1.71</v>
      </c>
      <c r="E57" s="260">
        <v>18.68</v>
      </c>
      <c r="F57" s="260">
        <v>18.260000000000002</v>
      </c>
      <c r="G57" s="260">
        <v>1.71</v>
      </c>
      <c r="H57" s="260">
        <v>14.62</v>
      </c>
      <c r="I57" s="260">
        <v>0.64</v>
      </c>
      <c r="J57" s="260">
        <v>0.9</v>
      </c>
      <c r="K57" s="260">
        <v>0.96</v>
      </c>
      <c r="L57" s="260">
        <v>-1.74</v>
      </c>
    </row>
    <row r="58" spans="1:12" hidden="1" x14ac:dyDescent="0.25">
      <c r="A58" s="259" t="s">
        <v>122</v>
      </c>
      <c r="B58" s="261" t="str">
        <f>VLOOKUP(A58, '[2]fund-selector'!$A$2:$F$853,6,FALSE)</f>
        <v>EQ-FLX</v>
      </c>
      <c r="C58" s="258">
        <v>4.41</v>
      </c>
      <c r="D58" s="260">
        <v>1.74</v>
      </c>
      <c r="E58" s="260">
        <v>14.79</v>
      </c>
      <c r="F58" s="260">
        <v>15.11</v>
      </c>
      <c r="G58" s="260">
        <v>1.74</v>
      </c>
      <c r="H58" s="260">
        <v>15.7</v>
      </c>
      <c r="I58" s="260">
        <v>0.36</v>
      </c>
      <c r="J58" s="260">
        <v>0.61</v>
      </c>
      <c r="K58" s="260">
        <v>0.99</v>
      </c>
      <c r="L58" s="260">
        <v>-5.72</v>
      </c>
    </row>
    <row r="59" spans="1:12" hidden="1" x14ac:dyDescent="0.25">
      <c r="A59" s="259" t="s">
        <v>123</v>
      </c>
      <c r="B59" s="261" t="str">
        <f>VLOOKUP(A59, '[2]fund-selector'!$A$2:$F$853,6,FALSE)</f>
        <v>EQ-THEMATIC</v>
      </c>
      <c r="C59" s="258">
        <v>-3.34</v>
      </c>
      <c r="D59" s="260">
        <v>1.81</v>
      </c>
      <c r="E59" s="259">
        <v>0</v>
      </c>
      <c r="F59" s="259">
        <v>0</v>
      </c>
      <c r="G59" s="260">
        <v>1.81</v>
      </c>
      <c r="H59" s="259">
        <v>0</v>
      </c>
      <c r="I59" s="259">
        <v>0</v>
      </c>
      <c r="J59" s="259">
        <v>0</v>
      </c>
      <c r="K59" s="259">
        <v>0</v>
      </c>
      <c r="L59" s="259">
        <v>0</v>
      </c>
    </row>
    <row r="60" spans="1:12" hidden="1" x14ac:dyDescent="0.25">
      <c r="A60" s="259" t="s">
        <v>124</v>
      </c>
      <c r="B60" s="261" t="str">
        <f>VLOOKUP(A60, '[2]fund-selector'!$A$2:$F$853,6,FALSE)</f>
        <v>EQ-THEMATIC</v>
      </c>
      <c r="C60" s="258">
        <v>3.26</v>
      </c>
      <c r="D60" s="260">
        <v>2.25</v>
      </c>
      <c r="E60" s="260">
        <v>19.41</v>
      </c>
      <c r="F60" s="259">
        <v>0</v>
      </c>
      <c r="G60" s="260">
        <v>2.25</v>
      </c>
      <c r="H60" s="260">
        <v>14.04</v>
      </c>
      <c r="I60" s="260">
        <v>0.68</v>
      </c>
      <c r="J60" s="260">
        <v>0.93</v>
      </c>
      <c r="K60" s="260">
        <v>0.86</v>
      </c>
      <c r="L60" s="260">
        <v>-0.41</v>
      </c>
    </row>
    <row r="61" spans="1:12" hidden="1" x14ac:dyDescent="0.25">
      <c r="A61" s="259" t="s">
        <v>125</v>
      </c>
      <c r="B61" s="261" t="str">
        <f>VLOOKUP(A61, '[2]fund-selector'!$A$2:$F$853,6,FALSE)</f>
        <v>EQ-LC</v>
      </c>
      <c r="C61" s="258">
        <v>3.08</v>
      </c>
      <c r="D61" s="260">
        <v>1.57</v>
      </c>
      <c r="E61" s="260">
        <v>15.96</v>
      </c>
      <c r="F61" s="260">
        <v>15.91</v>
      </c>
      <c r="G61" s="260">
        <v>1.57</v>
      </c>
      <c r="H61" s="260">
        <v>13.3</v>
      </c>
      <c r="I61" s="260">
        <v>0.51</v>
      </c>
      <c r="J61" s="260">
        <v>0.85</v>
      </c>
      <c r="K61" s="260">
        <v>0.93</v>
      </c>
      <c r="L61" s="260">
        <v>-2.78</v>
      </c>
    </row>
    <row r="62" spans="1:12" hidden="1" x14ac:dyDescent="0.25">
      <c r="A62" s="259" t="s">
        <v>126</v>
      </c>
      <c r="B62" s="261" t="str">
        <f>VLOOKUP(A62, '[2]fund-selector'!$A$2:$F$853,6,FALSE)</f>
        <v>EQ-L&amp;MC</v>
      </c>
      <c r="C62" s="258">
        <v>3.22</v>
      </c>
      <c r="D62" s="260">
        <v>1.68</v>
      </c>
      <c r="E62" s="260">
        <v>22.44</v>
      </c>
      <c r="F62" s="260">
        <v>23.36</v>
      </c>
      <c r="G62" s="260">
        <v>1.68</v>
      </c>
      <c r="H62" s="260">
        <v>14.14</v>
      </c>
      <c r="I62" s="260">
        <v>0.88</v>
      </c>
      <c r="J62" s="260">
        <v>1.32</v>
      </c>
      <c r="K62" s="260">
        <v>0.88</v>
      </c>
      <c r="L62" s="260">
        <v>2.71</v>
      </c>
    </row>
    <row r="63" spans="1:12" hidden="1" x14ac:dyDescent="0.25">
      <c r="A63" s="259" t="s">
        <v>127</v>
      </c>
      <c r="B63" s="261" t="str">
        <f>VLOOKUP(A63, '[2]fund-selector'!$A$2:$F$853,6,FALSE)</f>
        <v>EQ-MC</v>
      </c>
      <c r="C63" s="258">
        <v>2.2999999999999998</v>
      </c>
      <c r="D63" s="260">
        <v>1.57</v>
      </c>
      <c r="E63" s="260">
        <v>23.64</v>
      </c>
      <c r="F63" s="260">
        <v>24.2</v>
      </c>
      <c r="G63" s="260">
        <v>1.57</v>
      </c>
      <c r="H63" s="260">
        <v>15.55</v>
      </c>
      <c r="I63" s="260">
        <v>0.88</v>
      </c>
      <c r="J63" s="260">
        <v>1.23</v>
      </c>
      <c r="K63" s="260">
        <v>0.85</v>
      </c>
      <c r="L63" s="260">
        <v>-1.78</v>
      </c>
    </row>
    <row r="64" spans="1:12" hidden="1" x14ac:dyDescent="0.25">
      <c r="A64" s="259" t="s">
        <v>128</v>
      </c>
      <c r="B64" s="261" t="str">
        <f>VLOOKUP(A64, '[2]fund-selector'!$A$2:$F$853,6,FALSE)</f>
        <v>EQ-THEMATIC</v>
      </c>
      <c r="C64" s="258" t="s">
        <v>54</v>
      </c>
      <c r="D64" s="260">
        <v>2.11</v>
      </c>
      <c r="E64" s="259">
        <v>0</v>
      </c>
      <c r="F64" s="259">
        <v>0</v>
      </c>
      <c r="G64" s="260">
        <v>2.11</v>
      </c>
      <c r="H64" s="259">
        <v>0</v>
      </c>
      <c r="I64" s="259">
        <v>0</v>
      </c>
      <c r="J64" s="259">
        <v>0</v>
      </c>
      <c r="K64" s="259">
        <v>0</v>
      </c>
      <c r="L64" s="259">
        <v>0</v>
      </c>
    </row>
    <row r="65" spans="1:12" hidden="1" x14ac:dyDescent="0.25">
      <c r="A65" s="259" t="s">
        <v>129</v>
      </c>
      <c r="B65" s="261" t="str">
        <f>VLOOKUP(A65, '[2]fund-selector'!$A$2:$F$853,6,FALSE)</f>
        <v>HY-MAA</v>
      </c>
      <c r="C65" s="258">
        <v>7.74</v>
      </c>
      <c r="D65" s="260">
        <v>2.08</v>
      </c>
      <c r="E65" s="260">
        <v>14.18</v>
      </c>
      <c r="F65" s="260">
        <v>14.67</v>
      </c>
      <c r="G65" s="260">
        <v>2.08</v>
      </c>
      <c r="H65" s="260">
        <v>10</v>
      </c>
      <c r="I65" s="260">
        <v>0.52</v>
      </c>
      <c r="J65" s="260">
        <v>0.99</v>
      </c>
      <c r="K65" s="260">
        <v>0.98</v>
      </c>
      <c r="L65" s="260">
        <v>-3.51</v>
      </c>
    </row>
    <row r="66" spans="1:12" hidden="1" x14ac:dyDescent="0.25">
      <c r="A66" s="259" t="s">
        <v>130</v>
      </c>
      <c r="B66" s="261" t="str">
        <f>VLOOKUP(A66, '[2]fund-selector'!$A$2:$F$853,6,FALSE)</f>
        <v>EQ-MLC</v>
      </c>
      <c r="C66" s="258">
        <v>5.68</v>
      </c>
      <c r="D66" s="260">
        <v>1.79</v>
      </c>
      <c r="E66" s="260">
        <v>27.3</v>
      </c>
      <c r="F66" s="259">
        <v>0</v>
      </c>
      <c r="G66" s="260">
        <v>1.79</v>
      </c>
      <c r="H66" s="260">
        <v>14.9</v>
      </c>
      <c r="I66" s="260">
        <v>1.1200000000000001</v>
      </c>
      <c r="J66" s="260">
        <v>1.49</v>
      </c>
      <c r="K66" s="260">
        <v>0.91</v>
      </c>
      <c r="L66" s="260">
        <v>3.3</v>
      </c>
    </row>
    <row r="67" spans="1:12" hidden="1" x14ac:dyDescent="0.25">
      <c r="A67" s="259" t="s">
        <v>131</v>
      </c>
      <c r="B67" s="261" t="str">
        <f>VLOOKUP(A67, '[2]fund-selector'!$A$2:$F$853,6,FALSE)</f>
        <v>EQ-LC</v>
      </c>
      <c r="C67" s="258">
        <v>3.02</v>
      </c>
      <c r="D67" s="260">
        <v>0.92</v>
      </c>
      <c r="E67" s="260">
        <v>17.920000000000002</v>
      </c>
      <c r="F67" s="260">
        <v>19.440000000000001</v>
      </c>
      <c r="G67" s="260">
        <v>0.92</v>
      </c>
      <c r="H67" s="260">
        <v>13.94</v>
      </c>
      <c r="I67" s="260">
        <v>0.61</v>
      </c>
      <c r="J67" s="260">
        <v>1</v>
      </c>
      <c r="K67" s="260">
        <v>1.01</v>
      </c>
      <c r="L67" s="260">
        <v>-1.81</v>
      </c>
    </row>
    <row r="68" spans="1:12" hidden="1" x14ac:dyDescent="0.25">
      <c r="A68" s="259" t="s">
        <v>132</v>
      </c>
      <c r="B68" s="261" t="str">
        <f>VLOOKUP(A68, '[2]fund-selector'!$A$2:$F$853,6,FALSE)</f>
        <v>EQ-FLX</v>
      </c>
      <c r="C68" s="258" t="s">
        <v>54</v>
      </c>
      <c r="D68" s="260">
        <v>1</v>
      </c>
      <c r="E68" s="259">
        <v>0</v>
      </c>
      <c r="F68" s="259">
        <v>0</v>
      </c>
      <c r="G68" s="260">
        <v>1</v>
      </c>
      <c r="H68" s="259">
        <v>0</v>
      </c>
      <c r="I68" s="259">
        <v>0</v>
      </c>
      <c r="J68" s="259">
        <v>0</v>
      </c>
      <c r="K68" s="259">
        <v>0</v>
      </c>
      <c r="L68" s="259">
        <v>0</v>
      </c>
    </row>
    <row r="69" spans="1:12" hidden="1" x14ac:dyDescent="0.25">
      <c r="A69" s="259" t="s">
        <v>133</v>
      </c>
      <c r="B69" s="261" t="str">
        <f>VLOOKUP(A69, '[2]fund-selector'!$A$2:$F$853,6,FALSE)</f>
        <v>EQ-FLX</v>
      </c>
      <c r="C69" s="258" t="s">
        <v>54</v>
      </c>
      <c r="D69" s="260">
        <v>1.06</v>
      </c>
      <c r="E69" s="259">
        <v>0</v>
      </c>
      <c r="F69" s="259">
        <v>0</v>
      </c>
      <c r="G69" s="260">
        <v>1.06</v>
      </c>
      <c r="H69" s="259">
        <v>0</v>
      </c>
      <c r="I69" s="259">
        <v>0</v>
      </c>
      <c r="J69" s="259">
        <v>0</v>
      </c>
      <c r="K69" s="259">
        <v>0</v>
      </c>
      <c r="L69" s="259">
        <v>0</v>
      </c>
    </row>
    <row r="70" spans="1:12" hidden="1" x14ac:dyDescent="0.25">
      <c r="A70" s="259" t="s">
        <v>134</v>
      </c>
      <c r="B70" s="261" t="str">
        <f>VLOOKUP(A70, '[2]fund-selector'!$A$2:$F$853,6,FALSE)</f>
        <v>EQ-LC</v>
      </c>
      <c r="C70" s="258">
        <v>6.49</v>
      </c>
      <c r="D70" s="260">
        <v>0.04</v>
      </c>
      <c r="E70" s="260">
        <v>18.649999999999999</v>
      </c>
      <c r="F70" s="260">
        <v>20.63</v>
      </c>
      <c r="G70" s="260">
        <v>0.04</v>
      </c>
      <c r="H70" s="260">
        <v>13.12</v>
      </c>
      <c r="I70" s="260">
        <v>0.69</v>
      </c>
      <c r="J70" s="260">
        <v>1.18</v>
      </c>
      <c r="K70" s="260">
        <v>0.95</v>
      </c>
      <c r="L70" s="260">
        <v>-0.72</v>
      </c>
    </row>
    <row r="71" spans="1:12" hidden="1" x14ac:dyDescent="0.25">
      <c r="A71" s="259" t="s">
        <v>135</v>
      </c>
      <c r="B71" s="261" t="str">
        <f>VLOOKUP(A71, '[2]fund-selector'!$A$2:$F$853,6,FALSE)</f>
        <v>EQ-LC</v>
      </c>
      <c r="C71" s="258">
        <v>6.11</v>
      </c>
      <c r="D71" s="260">
        <v>0.42</v>
      </c>
      <c r="E71" s="260">
        <v>18.100000000000001</v>
      </c>
      <c r="F71" s="259">
        <v>0</v>
      </c>
      <c r="G71" s="260">
        <v>0.42</v>
      </c>
      <c r="H71" s="260">
        <v>13.08</v>
      </c>
      <c r="I71" s="260">
        <v>0.65</v>
      </c>
      <c r="J71" s="260">
        <v>1.1200000000000001</v>
      </c>
      <c r="K71" s="260">
        <v>0.94</v>
      </c>
      <c r="L71" s="260">
        <v>-1.1499999999999999</v>
      </c>
    </row>
    <row r="72" spans="1:12" hidden="1" x14ac:dyDescent="0.25">
      <c r="A72" s="259" t="s">
        <v>137</v>
      </c>
      <c r="B72" s="261" t="str">
        <f>VLOOKUP(A72, '[2]fund-selector'!$A$2:$F$853,6,FALSE)</f>
        <v>EQ-MC</v>
      </c>
      <c r="C72" s="258">
        <v>3.67</v>
      </c>
      <c r="D72" s="260">
        <v>1.03</v>
      </c>
      <c r="E72" s="260">
        <v>29.95</v>
      </c>
      <c r="F72" s="259">
        <v>0</v>
      </c>
      <c r="G72" s="260">
        <v>1.03</v>
      </c>
      <c r="H72" s="260">
        <v>17.57</v>
      </c>
      <c r="I72" s="260">
        <v>1.07</v>
      </c>
      <c r="J72" s="260">
        <v>1.52</v>
      </c>
      <c r="K72" s="260">
        <v>1.01</v>
      </c>
      <c r="L72" s="260">
        <v>0.41</v>
      </c>
    </row>
    <row r="73" spans="1:12" hidden="1" x14ac:dyDescent="0.25">
      <c r="A73" s="259" t="s">
        <v>138</v>
      </c>
      <c r="B73" s="261" t="str">
        <f>VLOOKUP(A73, '[2]fund-selector'!$A$2:$F$853,6,FALSE)</f>
        <v>EQ-LC</v>
      </c>
      <c r="C73" s="258">
        <v>-8.19</v>
      </c>
      <c r="D73" s="260">
        <v>1.01</v>
      </c>
      <c r="E73" s="260">
        <v>22.22</v>
      </c>
      <c r="F73" s="259">
        <v>0</v>
      </c>
      <c r="G73" s="260">
        <v>1.01</v>
      </c>
      <c r="H73" s="260">
        <v>19.43</v>
      </c>
      <c r="I73" s="260">
        <v>0.69</v>
      </c>
      <c r="J73" s="260">
        <v>1.03</v>
      </c>
      <c r="K73" s="260">
        <v>1.29</v>
      </c>
      <c r="L73" s="260">
        <v>0.08</v>
      </c>
    </row>
    <row r="74" spans="1:12" hidden="1" x14ac:dyDescent="0.25">
      <c r="A74" s="259" t="s">
        <v>139</v>
      </c>
      <c r="B74" s="261" t="str">
        <f>VLOOKUP(A74, '[2]fund-selector'!$A$2:$F$853,6,FALSE)</f>
        <v>EQ-SC</v>
      </c>
      <c r="C74" s="258">
        <v>1.26</v>
      </c>
      <c r="D74" s="260">
        <v>1.02</v>
      </c>
      <c r="E74" s="260">
        <v>30.96</v>
      </c>
      <c r="F74" s="259">
        <v>0</v>
      </c>
      <c r="G74" s="260">
        <v>1.02</v>
      </c>
      <c r="H74" s="260">
        <v>20.53</v>
      </c>
      <c r="I74" s="260">
        <v>0.91</v>
      </c>
      <c r="J74" s="260">
        <v>1.48</v>
      </c>
      <c r="K74" s="260">
        <v>1.02</v>
      </c>
      <c r="L74" s="260">
        <v>0.09</v>
      </c>
    </row>
    <row r="75" spans="1:12" hidden="1" x14ac:dyDescent="0.25">
      <c r="A75" s="259" t="s">
        <v>140</v>
      </c>
      <c r="B75" s="261" t="str">
        <f>VLOOKUP(A75, '[2]fund-selector'!$A$2:$F$853,6,FALSE)</f>
        <v>EQ-THEMATIC</v>
      </c>
      <c r="C75" s="258">
        <v>-4.5</v>
      </c>
      <c r="D75" s="260">
        <v>2.2200000000000002</v>
      </c>
      <c r="E75" s="260">
        <v>18.28</v>
      </c>
      <c r="F75" s="259">
        <v>0</v>
      </c>
      <c r="G75" s="260">
        <v>2.2200000000000002</v>
      </c>
      <c r="H75" s="260">
        <v>14.8</v>
      </c>
      <c r="I75" s="260">
        <v>0.61</v>
      </c>
      <c r="J75" s="260">
        <v>0.86</v>
      </c>
      <c r="K75" s="260">
        <v>0.97</v>
      </c>
      <c r="L75" s="260">
        <v>-2.21</v>
      </c>
    </row>
    <row r="76" spans="1:12" hidden="1" x14ac:dyDescent="0.25">
      <c r="A76" s="259" t="s">
        <v>1176</v>
      </c>
      <c r="B76" s="261" t="str">
        <f>VLOOKUP(A76, '[2]fund-selector'!$A$2:$F$853,6,FALSE)</f>
        <v>HY-AH</v>
      </c>
      <c r="C76" s="258">
        <v>5.77</v>
      </c>
      <c r="D76" s="260">
        <v>2.29</v>
      </c>
      <c r="E76" s="260">
        <v>17.48</v>
      </c>
      <c r="F76" s="260">
        <v>14.75</v>
      </c>
      <c r="G76" s="260">
        <v>2.29</v>
      </c>
      <c r="H76" s="260">
        <v>11.85</v>
      </c>
      <c r="I76" s="260">
        <v>0.74</v>
      </c>
      <c r="J76" s="260">
        <v>1.1599999999999999</v>
      </c>
      <c r="K76" s="260">
        <v>0.93</v>
      </c>
      <c r="L76" s="260">
        <v>-0.23</v>
      </c>
    </row>
    <row r="77" spans="1:12" hidden="1" x14ac:dyDescent="0.25">
      <c r="A77" s="259" t="s">
        <v>1177</v>
      </c>
      <c r="B77" s="261" t="str">
        <f>VLOOKUP(A77, '[2]fund-selector'!$A$2:$F$853,6,FALSE)</f>
        <v>HY-CH</v>
      </c>
      <c r="C77" s="258">
        <v>5.43</v>
      </c>
      <c r="D77" s="260">
        <v>2.15</v>
      </c>
      <c r="E77" s="260">
        <v>10.52</v>
      </c>
      <c r="F77" s="260">
        <v>9.5299999999999994</v>
      </c>
      <c r="G77" s="260">
        <v>2.15</v>
      </c>
      <c r="H77" s="260">
        <v>6.17</v>
      </c>
      <c r="I77" s="260">
        <v>0.52</v>
      </c>
      <c r="J77" s="260">
        <v>0.84</v>
      </c>
      <c r="K77" s="260">
        <v>1.44</v>
      </c>
      <c r="L77" s="260">
        <v>-2.1</v>
      </c>
    </row>
    <row r="78" spans="1:12" hidden="1" x14ac:dyDescent="0.25">
      <c r="A78" s="259" t="s">
        <v>141</v>
      </c>
      <c r="B78" s="261" t="str">
        <f>VLOOKUP(A78, '[2]fund-selector'!$A$2:$F$853,6,FALSE)</f>
        <v>HY-DAA</v>
      </c>
      <c r="C78" s="258">
        <v>5.23</v>
      </c>
      <c r="D78" s="260">
        <v>2.4300000000000002</v>
      </c>
      <c r="E78" s="260">
        <v>17.27</v>
      </c>
      <c r="F78" s="260">
        <v>15.28</v>
      </c>
      <c r="G78" s="260">
        <v>2.4300000000000002</v>
      </c>
      <c r="H78" s="260">
        <v>12.64</v>
      </c>
      <c r="I78" s="260">
        <v>0.75</v>
      </c>
      <c r="J78" s="260">
        <v>1.08</v>
      </c>
      <c r="K78" s="260">
        <v>1.1499999999999999</v>
      </c>
      <c r="L78" s="260">
        <v>0.41</v>
      </c>
    </row>
    <row r="79" spans="1:12" hidden="1" x14ac:dyDescent="0.25">
      <c r="A79" s="259" t="s">
        <v>142</v>
      </c>
      <c r="B79" s="261" t="str">
        <f>VLOOKUP(A79, '[2]fund-selector'!$A$2:$F$853,6,FALSE)</f>
        <v>EQ-SC</v>
      </c>
      <c r="C79" s="258">
        <v>5.09</v>
      </c>
      <c r="D79" s="260">
        <v>1.6</v>
      </c>
      <c r="E79" s="260">
        <v>24.05</v>
      </c>
      <c r="F79" s="260">
        <v>29.96</v>
      </c>
      <c r="G79" s="260">
        <v>1.6</v>
      </c>
      <c r="H79" s="260">
        <v>14.41</v>
      </c>
      <c r="I79" s="260">
        <v>1.01</v>
      </c>
      <c r="J79" s="260">
        <v>1.36</v>
      </c>
      <c r="K79" s="260">
        <v>0.71</v>
      </c>
      <c r="L79" s="260">
        <v>1.64</v>
      </c>
    </row>
    <row r="80" spans="1:12" hidden="1" x14ac:dyDescent="0.25">
      <c r="A80" s="259" t="s">
        <v>1365</v>
      </c>
      <c r="B80" s="261" t="str">
        <f>VLOOKUP(A80, '[2]fund-selector'!$A$2:$F$853,6,FALSE)</f>
        <v>HY-AR</v>
      </c>
      <c r="C80" s="258">
        <v>6.4</v>
      </c>
      <c r="D80" s="260">
        <v>1.03</v>
      </c>
      <c r="E80" s="259">
        <v>0</v>
      </c>
      <c r="F80" s="259">
        <v>0</v>
      </c>
      <c r="G80" s="260">
        <v>1.03</v>
      </c>
      <c r="H80" s="259">
        <v>0</v>
      </c>
      <c r="I80" s="259">
        <v>0</v>
      </c>
      <c r="J80" s="259">
        <v>0</v>
      </c>
      <c r="K80" s="259">
        <v>0</v>
      </c>
      <c r="L80" s="259">
        <v>0</v>
      </c>
    </row>
    <row r="81" spans="1:12" hidden="1" x14ac:dyDescent="0.25">
      <c r="A81" s="259" t="s">
        <v>143</v>
      </c>
      <c r="B81" s="261" t="str">
        <f>VLOOKUP(A81, '[2]fund-selector'!$A$2:$F$853,6,FALSE)</f>
        <v>HY-DAA</v>
      </c>
      <c r="C81" s="258">
        <v>2.36</v>
      </c>
      <c r="D81" s="260">
        <v>2.0499999999999998</v>
      </c>
      <c r="E81" s="259">
        <v>0</v>
      </c>
      <c r="F81" s="259">
        <v>0</v>
      </c>
      <c r="G81" s="260">
        <v>2.0499999999999998</v>
      </c>
      <c r="H81" s="259">
        <v>0</v>
      </c>
      <c r="I81" s="259">
        <v>0</v>
      </c>
      <c r="J81" s="259">
        <v>0</v>
      </c>
      <c r="K81" s="259">
        <v>0</v>
      </c>
      <c r="L81" s="259">
        <v>0</v>
      </c>
    </row>
    <row r="82" spans="1:12" hidden="1" x14ac:dyDescent="0.25">
      <c r="A82" s="259" t="s">
        <v>145</v>
      </c>
      <c r="B82" s="261" t="str">
        <f>VLOOKUP(A82, '[2]fund-selector'!$A$2:$F$853,6,FALSE)</f>
        <v>EQ-FLX</v>
      </c>
      <c r="C82" s="258">
        <v>5.51</v>
      </c>
      <c r="D82" s="260">
        <v>1.83</v>
      </c>
      <c r="E82" s="259">
        <v>0</v>
      </c>
      <c r="F82" s="259">
        <v>0</v>
      </c>
      <c r="G82" s="260">
        <v>1.83</v>
      </c>
      <c r="H82" s="259">
        <v>0</v>
      </c>
      <c r="I82" s="259">
        <v>0</v>
      </c>
      <c r="J82" s="259">
        <v>0</v>
      </c>
      <c r="K82" s="259">
        <v>0</v>
      </c>
      <c r="L82" s="259">
        <v>0</v>
      </c>
    </row>
    <row r="83" spans="1:12" hidden="1" x14ac:dyDescent="0.25">
      <c r="A83" s="259" t="s">
        <v>146</v>
      </c>
      <c r="B83" s="261" t="str">
        <f>VLOOKUP(A83, '[2]fund-selector'!$A$2:$F$853,6,FALSE)</f>
        <v>EQ-L&amp;MC</v>
      </c>
      <c r="C83" s="258">
        <v>3.69</v>
      </c>
      <c r="D83" s="260">
        <v>2.02</v>
      </c>
      <c r="E83" s="259">
        <v>0</v>
      </c>
      <c r="F83" s="259">
        <v>0</v>
      </c>
      <c r="G83" s="260">
        <v>2.02</v>
      </c>
      <c r="H83" s="259">
        <v>0</v>
      </c>
      <c r="I83" s="259">
        <v>0</v>
      </c>
      <c r="J83" s="259">
        <v>0</v>
      </c>
      <c r="K83" s="259">
        <v>0</v>
      </c>
      <c r="L83" s="259">
        <v>0</v>
      </c>
    </row>
    <row r="84" spans="1:12" hidden="1" x14ac:dyDescent="0.25">
      <c r="A84" s="259" t="s">
        <v>147</v>
      </c>
      <c r="B84" s="261" t="str">
        <f>VLOOKUP(A84, '[2]fund-selector'!$A$2:$F$853,6,FALSE)</f>
        <v>EQ-LC</v>
      </c>
      <c r="C84" s="258" t="s">
        <v>54</v>
      </c>
      <c r="D84" s="260">
        <v>2.0699999999999998</v>
      </c>
      <c r="E84" s="259">
        <v>0</v>
      </c>
      <c r="F84" s="259">
        <v>0</v>
      </c>
      <c r="G84" s="260">
        <v>2.0699999999999998</v>
      </c>
      <c r="H84" s="259">
        <v>0</v>
      </c>
      <c r="I84" s="259">
        <v>0</v>
      </c>
      <c r="J84" s="259">
        <v>0</v>
      </c>
      <c r="K84" s="259">
        <v>0</v>
      </c>
      <c r="L84" s="259">
        <v>0</v>
      </c>
    </row>
    <row r="85" spans="1:12" hidden="1" x14ac:dyDescent="0.25">
      <c r="A85" s="259" t="s">
        <v>148</v>
      </c>
      <c r="B85" s="261" t="str">
        <f>VLOOKUP(A85, '[2]fund-selector'!$A$2:$F$853,6,FALSE)</f>
        <v>HY-MAA</v>
      </c>
      <c r="C85" s="258">
        <v>5.84</v>
      </c>
      <c r="D85" s="260">
        <v>2.0299999999999998</v>
      </c>
      <c r="E85" s="259">
        <v>0</v>
      </c>
      <c r="F85" s="259">
        <v>0</v>
      </c>
      <c r="G85" s="260">
        <v>2.0299999999999998</v>
      </c>
      <c r="H85" s="259">
        <v>0</v>
      </c>
      <c r="I85" s="259">
        <v>0</v>
      </c>
      <c r="J85" s="259">
        <v>0</v>
      </c>
      <c r="K85" s="259">
        <v>0</v>
      </c>
      <c r="L85" s="259">
        <v>0</v>
      </c>
    </row>
    <row r="86" spans="1:12" hidden="1" x14ac:dyDescent="0.25">
      <c r="A86" s="259" t="s">
        <v>149</v>
      </c>
      <c r="B86" s="261" t="str">
        <f>VLOOKUP(A86, '[2]fund-selector'!$A$2:$F$853,6,FALSE)</f>
        <v>EQ-MLC</v>
      </c>
      <c r="C86" s="258" t="s">
        <v>54</v>
      </c>
      <c r="D86" s="260">
        <v>2.2999999999999998</v>
      </c>
      <c r="E86" s="259">
        <v>0</v>
      </c>
      <c r="F86" s="259">
        <v>0</v>
      </c>
      <c r="G86" s="260">
        <v>2.2999999999999998</v>
      </c>
      <c r="H86" s="259">
        <v>0</v>
      </c>
      <c r="I86" s="259">
        <v>0</v>
      </c>
      <c r="J86" s="259">
        <v>0</v>
      </c>
      <c r="K86" s="259">
        <v>0</v>
      </c>
      <c r="L86" s="259">
        <v>0</v>
      </c>
    </row>
    <row r="87" spans="1:12" hidden="1" x14ac:dyDescent="0.25">
      <c r="A87" s="259" t="s">
        <v>150</v>
      </c>
      <c r="B87" s="261" t="str">
        <f>VLOOKUP(A87, '[2]fund-selector'!$A$2:$F$853,6,FALSE)</f>
        <v>EQ-LC</v>
      </c>
      <c r="C87" s="258">
        <v>6.47</v>
      </c>
      <c r="D87" s="260">
        <v>7.0000000000000007E-2</v>
      </c>
      <c r="E87" s="259">
        <v>0</v>
      </c>
      <c r="F87" s="259">
        <v>0</v>
      </c>
      <c r="G87" s="260">
        <v>7.0000000000000007E-2</v>
      </c>
      <c r="H87" s="259">
        <v>0</v>
      </c>
      <c r="I87" s="259">
        <v>0</v>
      </c>
      <c r="J87" s="259">
        <v>0</v>
      </c>
      <c r="K87" s="259">
        <v>0</v>
      </c>
      <c r="L87" s="259">
        <v>0</v>
      </c>
    </row>
    <row r="88" spans="1:12" hidden="1" x14ac:dyDescent="0.25">
      <c r="A88" s="259" t="s">
        <v>151</v>
      </c>
      <c r="B88" s="261" t="str">
        <f>VLOOKUP(A88, '[2]fund-selector'!$A$2:$F$853,6,FALSE)</f>
        <v>EQ-LC</v>
      </c>
      <c r="C88" s="258" t="s">
        <v>54</v>
      </c>
      <c r="D88" s="260">
        <v>0.9</v>
      </c>
      <c r="E88" s="259">
        <v>0</v>
      </c>
      <c r="F88" s="259">
        <v>0</v>
      </c>
      <c r="G88" s="260">
        <v>0.9</v>
      </c>
      <c r="H88" s="259">
        <v>0</v>
      </c>
      <c r="I88" s="259">
        <v>0</v>
      </c>
      <c r="J88" s="259">
        <v>0</v>
      </c>
      <c r="K88" s="259">
        <v>0</v>
      </c>
      <c r="L88" s="259">
        <v>0</v>
      </c>
    </row>
    <row r="89" spans="1:12" hidden="1" x14ac:dyDescent="0.25">
      <c r="A89" s="259" t="s">
        <v>152</v>
      </c>
      <c r="B89" s="261" t="str">
        <f>VLOOKUP(A89, '[2]fund-selector'!$A$2:$F$853,6,FALSE)</f>
        <v>EQ-LC</v>
      </c>
      <c r="C89" s="258" t="s">
        <v>54</v>
      </c>
      <c r="D89" s="260">
        <v>0.95</v>
      </c>
      <c r="E89" s="259">
        <v>0</v>
      </c>
      <c r="F89" s="259">
        <v>0</v>
      </c>
      <c r="G89" s="260">
        <v>0.95</v>
      </c>
      <c r="H89" s="259">
        <v>0</v>
      </c>
      <c r="I89" s="259">
        <v>0</v>
      </c>
      <c r="J89" s="259">
        <v>0</v>
      </c>
      <c r="K89" s="259">
        <v>0</v>
      </c>
      <c r="L89" s="259">
        <v>0</v>
      </c>
    </row>
    <row r="90" spans="1:12" hidden="1" x14ac:dyDescent="0.25">
      <c r="A90" s="259" t="s">
        <v>1178</v>
      </c>
      <c r="B90" s="261" t="str">
        <f>VLOOKUP(A90, '[2]fund-selector'!$A$2:$F$853,6,FALSE)</f>
        <v>EQ-SC</v>
      </c>
      <c r="C90" s="258" t="s">
        <v>54</v>
      </c>
      <c r="D90" s="259">
        <v>0</v>
      </c>
      <c r="E90" s="259">
        <v>0</v>
      </c>
      <c r="F90" s="259">
        <v>0</v>
      </c>
      <c r="G90" s="259">
        <v>0</v>
      </c>
      <c r="H90" s="259">
        <v>0</v>
      </c>
      <c r="I90" s="259">
        <v>0</v>
      </c>
      <c r="J90" s="259">
        <v>0</v>
      </c>
      <c r="K90" s="259">
        <v>0</v>
      </c>
      <c r="L90" s="259">
        <v>0</v>
      </c>
    </row>
    <row r="91" spans="1:12" hidden="1" x14ac:dyDescent="0.25">
      <c r="A91" s="259" t="s">
        <v>1179</v>
      </c>
      <c r="B91" s="261" t="str">
        <f>VLOOKUP(A91, '[2]fund-selector'!$A$2:$F$853,6,FALSE)</f>
        <v>HY-AH</v>
      </c>
      <c r="C91" s="258">
        <v>10.72</v>
      </c>
      <c r="D91" s="260">
        <v>2.29</v>
      </c>
      <c r="E91" s="260">
        <v>18.48</v>
      </c>
      <c r="F91" s="260">
        <v>19.91</v>
      </c>
      <c r="G91" s="260">
        <v>2.29</v>
      </c>
      <c r="H91" s="260">
        <v>11.65</v>
      </c>
      <c r="I91" s="260">
        <v>0.79</v>
      </c>
      <c r="J91" s="260">
        <v>1.1000000000000001</v>
      </c>
      <c r="K91" s="260">
        <v>0.91</v>
      </c>
      <c r="L91" s="260">
        <v>0.42</v>
      </c>
    </row>
    <row r="92" spans="1:12" hidden="1" x14ac:dyDescent="0.25">
      <c r="A92" s="259" t="s">
        <v>1366</v>
      </c>
      <c r="B92" s="261" t="str">
        <f>VLOOKUP(A92, '[2]fund-selector'!$A$2:$F$853,6,FALSE)</f>
        <v>HY-AR</v>
      </c>
      <c r="C92" s="258">
        <v>6.93</v>
      </c>
      <c r="D92" s="260">
        <v>1.08</v>
      </c>
      <c r="E92" s="260">
        <v>6.83</v>
      </c>
      <c r="F92" s="260">
        <v>5.42</v>
      </c>
      <c r="G92" s="260">
        <v>1.08</v>
      </c>
      <c r="H92" s="260">
        <v>0.53</v>
      </c>
      <c r="I92" s="260">
        <v>0.43</v>
      </c>
      <c r="J92" s="260">
        <v>0.46</v>
      </c>
      <c r="K92" s="260">
        <v>0.64</v>
      </c>
      <c r="L92" s="260">
        <v>1.45</v>
      </c>
    </row>
    <row r="93" spans="1:12" hidden="1" x14ac:dyDescent="0.25">
      <c r="A93" s="259" t="s">
        <v>1180</v>
      </c>
      <c r="B93" s="261" t="str">
        <f>VLOOKUP(A93, '[2]fund-selector'!$A$2:$F$853,6,FALSE)</f>
        <v>HY-AH</v>
      </c>
      <c r="C93" s="258">
        <v>5.58</v>
      </c>
      <c r="D93" s="260">
        <v>1.22</v>
      </c>
      <c r="E93" s="260">
        <v>16.84</v>
      </c>
      <c r="F93" s="260">
        <v>16.329999999999998</v>
      </c>
      <c r="G93" s="260">
        <v>1.22</v>
      </c>
      <c r="H93" s="260">
        <v>9.48</v>
      </c>
      <c r="I93" s="260">
        <v>0.85</v>
      </c>
      <c r="J93" s="260">
        <v>1.35</v>
      </c>
      <c r="K93" s="260">
        <v>0.77</v>
      </c>
      <c r="L93" s="260">
        <v>0.63</v>
      </c>
    </row>
    <row r="94" spans="1:12" hidden="1" x14ac:dyDescent="0.25">
      <c r="A94" s="259" t="s">
        <v>1181</v>
      </c>
      <c r="B94" s="261" t="str">
        <f>VLOOKUP(A94, '[2]fund-selector'!$A$2:$F$853,6,FALSE)</f>
        <v>HY-CH</v>
      </c>
      <c r="C94" s="258">
        <v>7.04</v>
      </c>
      <c r="D94" s="260">
        <v>0.76</v>
      </c>
      <c r="E94" s="260">
        <v>10.029999999999999</v>
      </c>
      <c r="F94" s="260">
        <v>8.3699999999999992</v>
      </c>
      <c r="G94" s="260">
        <v>0.76</v>
      </c>
      <c r="H94" s="260">
        <v>3.63</v>
      </c>
      <c r="I94" s="260">
        <v>0.74</v>
      </c>
      <c r="J94" s="260">
        <v>1.26</v>
      </c>
      <c r="K94" s="260">
        <v>0.88</v>
      </c>
      <c r="L94" s="260">
        <v>-0.55000000000000004</v>
      </c>
    </row>
    <row r="95" spans="1:12" hidden="1" x14ac:dyDescent="0.25">
      <c r="A95" s="259" t="s">
        <v>1182</v>
      </c>
      <c r="B95" s="261" t="str">
        <f>VLOOKUP(A95, '[2]fund-selector'!$A$2:$F$853,6,FALSE)</f>
        <v>HY-BH</v>
      </c>
      <c r="C95" s="258">
        <v>6.54</v>
      </c>
      <c r="D95" s="260">
        <v>1.03</v>
      </c>
      <c r="E95" s="260">
        <v>13.78</v>
      </c>
      <c r="F95" s="260">
        <v>12.35</v>
      </c>
      <c r="G95" s="260">
        <v>1.03</v>
      </c>
      <c r="H95" s="260">
        <v>6.81</v>
      </c>
      <c r="I95" s="260">
        <v>0.84</v>
      </c>
      <c r="J95" s="260">
        <v>1.28</v>
      </c>
      <c r="K95" s="260">
        <v>0.68</v>
      </c>
      <c r="L95" s="260">
        <v>0.3</v>
      </c>
    </row>
    <row r="96" spans="1:12" hidden="1" x14ac:dyDescent="0.25">
      <c r="A96" s="259" t="s">
        <v>153</v>
      </c>
      <c r="B96" s="261" t="str">
        <f>VLOOKUP(A96, '[2]fund-selector'!$A$2:$F$853,6,FALSE)</f>
        <v>HY-DAA</v>
      </c>
      <c r="C96" s="258">
        <v>5.74</v>
      </c>
      <c r="D96" s="260">
        <v>2.02</v>
      </c>
      <c r="E96" s="260">
        <v>13.45</v>
      </c>
      <c r="F96" s="260">
        <v>11.63</v>
      </c>
      <c r="G96" s="260">
        <v>2.02</v>
      </c>
      <c r="H96" s="260">
        <v>7.5</v>
      </c>
      <c r="I96" s="260">
        <v>0.69</v>
      </c>
      <c r="J96" s="260">
        <v>0.99</v>
      </c>
      <c r="K96" s="260">
        <v>0.69</v>
      </c>
      <c r="L96" s="260">
        <v>-0.25</v>
      </c>
    </row>
    <row r="97" spans="1:12" hidden="1" x14ac:dyDescent="0.25">
      <c r="A97" s="259" t="s">
        <v>154</v>
      </c>
      <c r="B97" s="261" t="str">
        <f>VLOOKUP(A97, '[2]fund-selector'!$A$2:$F$853,6,FALSE)</f>
        <v>EQ-LC</v>
      </c>
      <c r="C97" s="258">
        <v>5.93</v>
      </c>
      <c r="D97" s="260">
        <v>0.38</v>
      </c>
      <c r="E97" s="260">
        <v>17.440000000000001</v>
      </c>
      <c r="F97" s="260">
        <v>19.37</v>
      </c>
      <c r="G97" s="260">
        <v>0.38</v>
      </c>
      <c r="H97" s="260">
        <v>12.69</v>
      </c>
      <c r="I97" s="260">
        <v>0.64</v>
      </c>
      <c r="J97" s="260">
        <v>1.06</v>
      </c>
      <c r="K97" s="260">
        <v>0.91</v>
      </c>
      <c r="L97" s="260">
        <v>-1.29</v>
      </c>
    </row>
    <row r="98" spans="1:12" hidden="1" x14ac:dyDescent="0.25">
      <c r="A98" s="259" t="s">
        <v>155</v>
      </c>
      <c r="B98" s="261" t="str">
        <f>VLOOKUP(A98, '[2]fund-selector'!$A$2:$F$853,6,FALSE)</f>
        <v>EQ-THEMATIC</v>
      </c>
      <c r="C98" s="258" t="s">
        <v>54</v>
      </c>
      <c r="D98" s="260">
        <v>2.0499999999999998</v>
      </c>
      <c r="E98" s="259">
        <v>0</v>
      </c>
      <c r="F98" s="259">
        <v>0</v>
      </c>
      <c r="G98" s="260">
        <v>2.0499999999999998</v>
      </c>
      <c r="H98" s="259">
        <v>0</v>
      </c>
      <c r="I98" s="259">
        <v>0</v>
      </c>
      <c r="J98" s="259">
        <v>0</v>
      </c>
      <c r="K98" s="259">
        <v>0</v>
      </c>
      <c r="L98" s="259">
        <v>0</v>
      </c>
    </row>
    <row r="99" spans="1:12" hidden="1" x14ac:dyDescent="0.25">
      <c r="A99" s="259" t="s">
        <v>1183</v>
      </c>
      <c r="B99" s="261" t="str">
        <f>VLOOKUP(A99, '[2]fund-selector'!$A$2:$F$853,6,FALSE)</f>
        <v>HY-CH</v>
      </c>
      <c r="C99" s="258">
        <v>5.82</v>
      </c>
      <c r="D99" s="260">
        <v>2.0099999999999998</v>
      </c>
      <c r="E99" s="260">
        <v>8.4600000000000009</v>
      </c>
      <c r="F99" s="260">
        <v>7.15</v>
      </c>
      <c r="G99" s="260">
        <v>2.0099999999999998</v>
      </c>
      <c r="H99" s="260">
        <v>3.89</v>
      </c>
      <c r="I99" s="260">
        <v>0.42</v>
      </c>
      <c r="J99" s="260">
        <v>0.66</v>
      </c>
      <c r="K99" s="260">
        <v>0.94</v>
      </c>
      <c r="L99" s="260">
        <v>-1.8</v>
      </c>
    </row>
    <row r="100" spans="1:12" hidden="1" x14ac:dyDescent="0.25">
      <c r="A100" s="259" t="s">
        <v>156</v>
      </c>
      <c r="B100" s="261" t="str">
        <f>VLOOKUP(A100, '[2]fund-selector'!$A$2:$F$853,6,FALSE)</f>
        <v>EQ-FLX</v>
      </c>
      <c r="C100" s="258">
        <v>5.18</v>
      </c>
      <c r="D100" s="260">
        <v>1.86</v>
      </c>
      <c r="E100" s="260">
        <v>21.04</v>
      </c>
      <c r="F100" s="260">
        <v>20.93</v>
      </c>
      <c r="G100" s="260">
        <v>1.86</v>
      </c>
      <c r="H100" s="260">
        <v>13.24</v>
      </c>
      <c r="I100" s="260">
        <v>0.82</v>
      </c>
      <c r="J100" s="260">
        <v>1.33</v>
      </c>
      <c r="K100" s="260">
        <v>0.88</v>
      </c>
      <c r="L100" s="260">
        <v>0.73</v>
      </c>
    </row>
    <row r="101" spans="1:12" hidden="1" x14ac:dyDescent="0.25">
      <c r="A101" s="259" t="s">
        <v>157</v>
      </c>
      <c r="B101" s="261" t="str">
        <f>VLOOKUP(A101, '[2]fund-selector'!$A$2:$F$853,6,FALSE)</f>
        <v>EQ-FLX</v>
      </c>
      <c r="C101" s="258">
        <v>8.43</v>
      </c>
      <c r="D101" s="260">
        <v>2.09</v>
      </c>
      <c r="E101" s="260">
        <v>22.95</v>
      </c>
      <c r="F101" s="260">
        <v>20.399999999999999</v>
      </c>
      <c r="G101" s="260">
        <v>2.09</v>
      </c>
      <c r="H101" s="260">
        <v>14.89</v>
      </c>
      <c r="I101" s="260">
        <v>0.87</v>
      </c>
      <c r="J101" s="260">
        <v>1.27</v>
      </c>
      <c r="K101" s="260">
        <v>0.9</v>
      </c>
      <c r="L101" s="260">
        <v>2.48</v>
      </c>
    </row>
    <row r="102" spans="1:12" hidden="1" x14ac:dyDescent="0.25">
      <c r="A102" s="259" t="s">
        <v>158</v>
      </c>
      <c r="B102" s="261" t="str">
        <f>VLOOKUP(A102, '[2]fund-selector'!$A$2:$F$853,6,FALSE)</f>
        <v>EQ-THEMATIC</v>
      </c>
      <c r="C102" s="258">
        <v>14.38</v>
      </c>
      <c r="D102" s="260">
        <v>2.08</v>
      </c>
      <c r="E102" s="259">
        <v>0</v>
      </c>
      <c r="F102" s="259">
        <v>0</v>
      </c>
      <c r="G102" s="260">
        <v>2.08</v>
      </c>
      <c r="H102" s="259">
        <v>0</v>
      </c>
      <c r="I102" s="259">
        <v>0</v>
      </c>
      <c r="J102" s="259">
        <v>0</v>
      </c>
      <c r="K102" s="259">
        <v>0</v>
      </c>
      <c r="L102" s="259">
        <v>0</v>
      </c>
    </row>
    <row r="103" spans="1:12" hidden="1" x14ac:dyDescent="0.25">
      <c r="A103" s="259" t="s">
        <v>159</v>
      </c>
      <c r="B103" s="261" t="str">
        <f>VLOOKUP(A103, '[2]fund-selector'!$A$2:$F$853,6,FALSE)</f>
        <v>EQ-LC</v>
      </c>
      <c r="C103" s="258">
        <v>4.57</v>
      </c>
      <c r="D103" s="260">
        <v>2.04</v>
      </c>
      <c r="E103" s="260">
        <v>21.02</v>
      </c>
      <c r="F103" s="260">
        <v>20.010000000000002</v>
      </c>
      <c r="G103" s="260">
        <v>2.04</v>
      </c>
      <c r="H103" s="260">
        <v>14.13</v>
      </c>
      <c r="I103" s="260">
        <v>0.79</v>
      </c>
      <c r="J103" s="260">
        <v>1.32</v>
      </c>
      <c r="K103" s="260">
        <v>1</v>
      </c>
      <c r="L103" s="260">
        <v>0.94</v>
      </c>
    </row>
    <row r="104" spans="1:12" hidden="1" x14ac:dyDescent="0.25">
      <c r="A104" s="259" t="s">
        <v>160</v>
      </c>
      <c r="B104" s="261" t="str">
        <f>VLOOKUP(A104, '[2]fund-selector'!$A$2:$F$853,6,FALSE)</f>
        <v>EQ-L&amp;MC</v>
      </c>
      <c r="C104" s="258">
        <v>5.59</v>
      </c>
      <c r="D104" s="260">
        <v>1.74</v>
      </c>
      <c r="E104" s="260">
        <v>29.24</v>
      </c>
      <c r="F104" s="260">
        <v>27.93</v>
      </c>
      <c r="G104" s="260">
        <v>1.74</v>
      </c>
      <c r="H104" s="260">
        <v>14.42</v>
      </c>
      <c r="I104" s="260">
        <v>1.26</v>
      </c>
      <c r="J104" s="260">
        <v>1.82</v>
      </c>
      <c r="K104" s="260">
        <v>0.95</v>
      </c>
      <c r="L104" s="260">
        <v>7.63</v>
      </c>
    </row>
    <row r="105" spans="1:12" hidden="1" x14ac:dyDescent="0.25">
      <c r="A105" s="259" t="s">
        <v>161</v>
      </c>
      <c r="B105" s="261" t="str">
        <f>VLOOKUP(A105, '[2]fund-selector'!$A$2:$F$853,6,FALSE)</f>
        <v>EQ-MC</v>
      </c>
      <c r="C105" s="258">
        <v>1.4</v>
      </c>
      <c r="D105" s="260">
        <v>2.0699999999999998</v>
      </c>
      <c r="E105" s="259">
        <v>0</v>
      </c>
      <c r="F105" s="259">
        <v>0</v>
      </c>
      <c r="G105" s="260">
        <v>2.0699999999999998</v>
      </c>
      <c r="H105" s="259">
        <v>0</v>
      </c>
      <c r="I105" s="259">
        <v>0</v>
      </c>
      <c r="J105" s="259">
        <v>0</v>
      </c>
      <c r="K105" s="259">
        <v>0</v>
      </c>
      <c r="L105" s="259">
        <v>0</v>
      </c>
    </row>
    <row r="106" spans="1:12" hidden="1" x14ac:dyDescent="0.25">
      <c r="A106" s="259" t="s">
        <v>162</v>
      </c>
      <c r="B106" s="261" t="str">
        <f>VLOOKUP(A106, '[2]fund-selector'!$A$2:$F$853,6,FALSE)</f>
        <v>HY-MAA</v>
      </c>
      <c r="C106" s="258">
        <v>8.65</v>
      </c>
      <c r="D106" s="260">
        <v>1.98</v>
      </c>
      <c r="E106" s="259">
        <v>0</v>
      </c>
      <c r="F106" s="259">
        <v>0</v>
      </c>
      <c r="G106" s="260">
        <v>1.98</v>
      </c>
      <c r="H106" s="259">
        <v>0</v>
      </c>
      <c r="I106" s="259">
        <v>0</v>
      </c>
      <c r="J106" s="259">
        <v>0</v>
      </c>
      <c r="K106" s="259">
        <v>0</v>
      </c>
      <c r="L106" s="259">
        <v>0</v>
      </c>
    </row>
    <row r="107" spans="1:12" hidden="1" x14ac:dyDescent="0.25">
      <c r="A107" s="259" t="s">
        <v>163</v>
      </c>
      <c r="B107" s="261" t="str">
        <f>VLOOKUP(A107, '[2]fund-selector'!$A$2:$F$853,6,FALSE)</f>
        <v>EQ-MLC</v>
      </c>
      <c r="C107" s="258">
        <v>2.79</v>
      </c>
      <c r="D107" s="260">
        <v>1.95</v>
      </c>
      <c r="E107" s="260">
        <v>23.92</v>
      </c>
      <c r="F107" s="259">
        <v>0</v>
      </c>
      <c r="G107" s="260">
        <v>1.95</v>
      </c>
      <c r="H107" s="260">
        <v>13.66</v>
      </c>
      <c r="I107" s="260">
        <v>0.99</v>
      </c>
      <c r="J107" s="260">
        <v>1.49</v>
      </c>
      <c r="K107" s="260">
        <v>0.86</v>
      </c>
      <c r="L107" s="260">
        <v>1.05</v>
      </c>
    </row>
    <row r="108" spans="1:12" hidden="1" x14ac:dyDescent="0.25">
      <c r="A108" s="259" t="s">
        <v>164</v>
      </c>
      <c r="B108" s="261" t="str">
        <f>VLOOKUP(A108, '[2]fund-selector'!$A$2:$F$853,6,FALSE)</f>
        <v>EQ-LC</v>
      </c>
      <c r="C108" s="258">
        <v>3.26</v>
      </c>
      <c r="D108" s="260">
        <v>0.61</v>
      </c>
      <c r="E108" s="260">
        <v>18.25</v>
      </c>
      <c r="F108" s="259">
        <v>0</v>
      </c>
      <c r="G108" s="260">
        <v>0.61</v>
      </c>
      <c r="H108" s="260">
        <v>13.96</v>
      </c>
      <c r="I108" s="260">
        <v>0.63</v>
      </c>
      <c r="J108" s="260">
        <v>1.03</v>
      </c>
      <c r="K108" s="260">
        <v>1.01</v>
      </c>
      <c r="L108" s="260">
        <v>-1.55</v>
      </c>
    </row>
    <row r="109" spans="1:12" hidden="1" x14ac:dyDescent="0.25">
      <c r="A109" s="259" t="s">
        <v>165</v>
      </c>
      <c r="B109" s="261" t="str">
        <f>VLOOKUP(A109, '[2]fund-selector'!$A$2:$F$853,6,FALSE)</f>
        <v>EQ-LC</v>
      </c>
      <c r="C109" s="258">
        <v>4.58</v>
      </c>
      <c r="D109" s="260">
        <v>1.04</v>
      </c>
      <c r="E109" s="259">
        <v>0</v>
      </c>
      <c r="F109" s="259">
        <v>0</v>
      </c>
      <c r="G109" s="260">
        <v>1.04</v>
      </c>
      <c r="H109" s="259">
        <v>0</v>
      </c>
      <c r="I109" s="259">
        <v>0</v>
      </c>
      <c r="J109" s="259">
        <v>0</v>
      </c>
      <c r="K109" s="259">
        <v>0</v>
      </c>
      <c r="L109" s="259">
        <v>0</v>
      </c>
    </row>
    <row r="110" spans="1:12" hidden="1" x14ac:dyDescent="0.25">
      <c r="A110" s="259" t="s">
        <v>166</v>
      </c>
      <c r="B110" s="261" t="str">
        <f>VLOOKUP(A110, '[2]fund-selector'!$A$2:$F$853,6,FALSE)</f>
        <v>EQ-L&amp;MC</v>
      </c>
      <c r="C110" s="258">
        <v>-13.72</v>
      </c>
      <c r="D110" s="260">
        <v>1.07</v>
      </c>
      <c r="E110" s="259">
        <v>0</v>
      </c>
      <c r="F110" s="259">
        <v>0</v>
      </c>
      <c r="G110" s="260">
        <v>1.07</v>
      </c>
      <c r="H110" s="259">
        <v>0</v>
      </c>
      <c r="I110" s="259">
        <v>0</v>
      </c>
      <c r="J110" s="259">
        <v>0</v>
      </c>
      <c r="K110" s="259">
        <v>0</v>
      </c>
      <c r="L110" s="259">
        <v>0</v>
      </c>
    </row>
    <row r="111" spans="1:12" hidden="1" x14ac:dyDescent="0.25">
      <c r="A111" s="259" t="s">
        <v>167</v>
      </c>
      <c r="B111" s="261" t="str">
        <f>VLOOKUP(A111, '[2]fund-selector'!$A$2:$F$853,6,FALSE)</f>
        <v>EQ-L&amp;MC</v>
      </c>
      <c r="C111" s="258" t="s">
        <v>54</v>
      </c>
      <c r="D111" s="260">
        <v>0.98</v>
      </c>
      <c r="E111" s="259">
        <v>0</v>
      </c>
      <c r="F111" s="259">
        <v>0</v>
      </c>
      <c r="G111" s="260">
        <v>0.98</v>
      </c>
      <c r="H111" s="259">
        <v>0</v>
      </c>
      <c r="I111" s="259">
        <v>0</v>
      </c>
      <c r="J111" s="259">
        <v>0</v>
      </c>
      <c r="K111" s="259">
        <v>0</v>
      </c>
      <c r="L111" s="259">
        <v>0</v>
      </c>
    </row>
    <row r="112" spans="1:12" hidden="1" x14ac:dyDescent="0.25">
      <c r="A112" s="259" t="s">
        <v>168</v>
      </c>
      <c r="B112" s="261" t="str">
        <f>VLOOKUP(A112, '[2]fund-selector'!$A$2:$F$853,6,FALSE)</f>
        <v>EQ-FLX</v>
      </c>
      <c r="C112" s="258" t="s">
        <v>54</v>
      </c>
      <c r="D112" s="260">
        <v>1.01</v>
      </c>
      <c r="E112" s="259">
        <v>0</v>
      </c>
      <c r="F112" s="259">
        <v>0</v>
      </c>
      <c r="G112" s="260">
        <v>1.01</v>
      </c>
      <c r="H112" s="259">
        <v>0</v>
      </c>
      <c r="I112" s="259">
        <v>0</v>
      </c>
      <c r="J112" s="259">
        <v>0</v>
      </c>
      <c r="K112" s="259">
        <v>0</v>
      </c>
      <c r="L112" s="259">
        <v>0</v>
      </c>
    </row>
    <row r="113" spans="1:12" hidden="1" x14ac:dyDescent="0.25">
      <c r="A113" s="259" t="s">
        <v>169</v>
      </c>
      <c r="B113" s="261" t="str">
        <f>VLOOKUP(A113, '[2]fund-selector'!$A$2:$F$853,6,FALSE)</f>
        <v>EQ-LC</v>
      </c>
      <c r="C113" s="258">
        <v>6.45</v>
      </c>
      <c r="D113" s="260">
        <v>0.09</v>
      </c>
      <c r="E113" s="260">
        <v>18.62</v>
      </c>
      <c r="F113" s="260">
        <v>20.41</v>
      </c>
      <c r="G113" s="260">
        <v>0.09</v>
      </c>
      <c r="H113" s="260">
        <v>13.12</v>
      </c>
      <c r="I113" s="260">
        <v>0.69</v>
      </c>
      <c r="J113" s="260">
        <v>1.17</v>
      </c>
      <c r="K113" s="260">
        <v>0.95</v>
      </c>
      <c r="L113" s="260">
        <v>-0.74</v>
      </c>
    </row>
    <row r="114" spans="1:12" hidden="1" x14ac:dyDescent="0.25">
      <c r="A114" s="259" t="s">
        <v>170</v>
      </c>
      <c r="B114" s="261" t="str">
        <f>VLOOKUP(A114, '[2]fund-selector'!$A$2:$F$853,6,FALSE)</f>
        <v>EQ-LC</v>
      </c>
      <c r="C114" s="258">
        <v>5.75</v>
      </c>
      <c r="D114" s="260">
        <v>0.6</v>
      </c>
      <c r="E114" s="260">
        <v>17.93</v>
      </c>
      <c r="F114" s="260">
        <v>19.940000000000001</v>
      </c>
      <c r="G114" s="260">
        <v>0.6</v>
      </c>
      <c r="H114" s="260">
        <v>13.13</v>
      </c>
      <c r="I114" s="260">
        <v>0.64</v>
      </c>
      <c r="J114" s="260">
        <v>1.1000000000000001</v>
      </c>
      <c r="K114" s="260">
        <v>0.95</v>
      </c>
      <c r="L114" s="260">
        <v>-1.34</v>
      </c>
    </row>
    <row r="115" spans="1:12" hidden="1" x14ac:dyDescent="0.25">
      <c r="A115" s="259" t="s">
        <v>171</v>
      </c>
      <c r="B115" s="261" t="str">
        <f>VLOOKUP(A115, '[2]fund-selector'!$A$2:$F$853,6,FALSE)</f>
        <v>EQ-FLX</v>
      </c>
      <c r="C115" s="258">
        <v>-9.31</v>
      </c>
      <c r="D115" s="260">
        <v>1.02</v>
      </c>
      <c r="E115" s="259">
        <v>0</v>
      </c>
      <c r="F115" s="259">
        <v>0</v>
      </c>
      <c r="G115" s="260">
        <v>1.02</v>
      </c>
      <c r="H115" s="259">
        <v>0</v>
      </c>
      <c r="I115" s="259">
        <v>0</v>
      </c>
      <c r="J115" s="259">
        <v>0</v>
      </c>
      <c r="K115" s="259">
        <v>0</v>
      </c>
      <c r="L115" s="259">
        <v>0</v>
      </c>
    </row>
    <row r="116" spans="1:12" hidden="1" x14ac:dyDescent="0.25">
      <c r="A116" s="259" t="s">
        <v>172</v>
      </c>
      <c r="B116" s="261" t="str">
        <f>VLOOKUP(A116, '[2]fund-selector'!$A$2:$F$853,6,FALSE)</f>
        <v>EQ-L&amp;MC</v>
      </c>
      <c r="C116" s="258" t="s">
        <v>54</v>
      </c>
      <c r="D116" s="260">
        <v>1</v>
      </c>
      <c r="E116" s="259">
        <v>0</v>
      </c>
      <c r="F116" s="259">
        <v>0</v>
      </c>
      <c r="G116" s="260">
        <v>1</v>
      </c>
      <c r="H116" s="259">
        <v>0</v>
      </c>
      <c r="I116" s="259">
        <v>0</v>
      </c>
      <c r="J116" s="259">
        <v>0</v>
      </c>
      <c r="K116" s="259">
        <v>0</v>
      </c>
      <c r="L116" s="259">
        <v>0</v>
      </c>
    </row>
    <row r="117" spans="1:12" hidden="1" x14ac:dyDescent="0.25">
      <c r="A117" s="259" t="s">
        <v>173</v>
      </c>
      <c r="B117" s="261" t="str">
        <f>VLOOKUP(A117, '[2]fund-selector'!$A$2:$F$853,6,FALSE)</f>
        <v>EQ-MC</v>
      </c>
      <c r="C117" s="258" t="s">
        <v>54</v>
      </c>
      <c r="D117" s="260">
        <v>0.85</v>
      </c>
      <c r="E117" s="259">
        <v>0</v>
      </c>
      <c r="F117" s="259">
        <v>0</v>
      </c>
      <c r="G117" s="260">
        <v>0.85</v>
      </c>
      <c r="H117" s="259">
        <v>0</v>
      </c>
      <c r="I117" s="259">
        <v>0</v>
      </c>
      <c r="J117" s="259">
        <v>0</v>
      </c>
      <c r="K117" s="259">
        <v>0</v>
      </c>
      <c r="L117" s="259">
        <v>0</v>
      </c>
    </row>
    <row r="118" spans="1:12" hidden="1" x14ac:dyDescent="0.25">
      <c r="A118" s="259" t="s">
        <v>174</v>
      </c>
      <c r="B118" s="261" t="str">
        <f>VLOOKUP(A118, '[2]fund-selector'!$A$2:$F$853,6,FALSE)</f>
        <v>EQ-LC</v>
      </c>
      <c r="C118" s="258" t="s">
        <v>54</v>
      </c>
      <c r="D118" s="260">
        <v>1</v>
      </c>
      <c r="E118" s="259">
        <v>0</v>
      </c>
      <c r="F118" s="259">
        <v>0</v>
      </c>
      <c r="G118" s="260">
        <v>1</v>
      </c>
      <c r="H118" s="259">
        <v>0</v>
      </c>
      <c r="I118" s="259">
        <v>0</v>
      </c>
      <c r="J118" s="259">
        <v>0</v>
      </c>
      <c r="K118" s="259">
        <v>0</v>
      </c>
      <c r="L118" s="259">
        <v>0</v>
      </c>
    </row>
    <row r="119" spans="1:12" hidden="1" x14ac:dyDescent="0.25">
      <c r="A119" s="259" t="s">
        <v>175</v>
      </c>
      <c r="B119" s="261" t="str">
        <f>VLOOKUP(A119, '[2]fund-selector'!$A$2:$F$853,6,FALSE)</f>
        <v>EQ-SC</v>
      </c>
      <c r="C119" s="258">
        <v>-1.61</v>
      </c>
      <c r="D119" s="260">
        <v>0.89</v>
      </c>
      <c r="E119" s="259">
        <v>0</v>
      </c>
      <c r="F119" s="259">
        <v>0</v>
      </c>
      <c r="G119" s="260">
        <v>0.89</v>
      </c>
      <c r="H119" s="259">
        <v>0</v>
      </c>
      <c r="I119" s="259">
        <v>0</v>
      </c>
      <c r="J119" s="259">
        <v>0</v>
      </c>
      <c r="K119" s="259">
        <v>0</v>
      </c>
      <c r="L119" s="259">
        <v>0</v>
      </c>
    </row>
    <row r="120" spans="1:12" hidden="1" x14ac:dyDescent="0.25">
      <c r="A120" s="259" t="s">
        <v>176</v>
      </c>
      <c r="B120" s="261" t="str">
        <f>VLOOKUP(A120, '[2]fund-selector'!$A$2:$F$853,6,FALSE)</f>
        <v>EQ-FLX</v>
      </c>
      <c r="C120" s="258" t="s">
        <v>54</v>
      </c>
      <c r="D120" s="260">
        <v>1.05</v>
      </c>
      <c r="E120" s="259">
        <v>0</v>
      </c>
      <c r="F120" s="259">
        <v>0</v>
      </c>
      <c r="G120" s="260">
        <v>1.05</v>
      </c>
      <c r="H120" s="259">
        <v>0</v>
      </c>
      <c r="I120" s="259">
        <v>0</v>
      </c>
      <c r="J120" s="259">
        <v>0</v>
      </c>
      <c r="K120" s="259">
        <v>0</v>
      </c>
      <c r="L120" s="259">
        <v>0</v>
      </c>
    </row>
    <row r="121" spans="1:12" hidden="1" x14ac:dyDescent="0.25">
      <c r="A121" s="259" t="s">
        <v>1184</v>
      </c>
      <c r="B121" s="261" t="str">
        <f>VLOOKUP(A121, '[2]fund-selector'!$A$2:$F$853,6,FALSE)</f>
        <v>HY-AH</v>
      </c>
      <c r="C121" s="258">
        <v>3.71</v>
      </c>
      <c r="D121" s="260">
        <v>2.34</v>
      </c>
      <c r="E121" s="259">
        <v>0</v>
      </c>
      <c r="F121" s="259">
        <v>0</v>
      </c>
      <c r="G121" s="260">
        <v>2.34</v>
      </c>
      <c r="H121" s="259">
        <v>0</v>
      </c>
      <c r="I121" s="259">
        <v>0</v>
      </c>
      <c r="J121" s="259">
        <v>0</v>
      </c>
      <c r="K121" s="259">
        <v>0</v>
      </c>
      <c r="L121" s="259">
        <v>0</v>
      </c>
    </row>
    <row r="122" spans="1:12" hidden="1" x14ac:dyDescent="0.25">
      <c r="A122" s="259" t="s">
        <v>177</v>
      </c>
      <c r="B122" s="261" t="str">
        <f>VLOOKUP(A122, '[2]fund-selector'!$A$2:$F$853,6,FALSE)</f>
        <v>EQ-SC</v>
      </c>
      <c r="C122" s="258">
        <v>12.78</v>
      </c>
      <c r="D122" s="260">
        <v>1.68</v>
      </c>
      <c r="E122" s="260">
        <v>35.18</v>
      </c>
      <c r="F122" s="260">
        <v>35.590000000000003</v>
      </c>
      <c r="G122" s="260">
        <v>1.68</v>
      </c>
      <c r="H122" s="260">
        <v>18.170000000000002</v>
      </c>
      <c r="I122" s="260">
        <v>1.29</v>
      </c>
      <c r="J122" s="260">
        <v>2.02</v>
      </c>
      <c r="K122" s="260">
        <v>0.9</v>
      </c>
      <c r="L122" s="260">
        <v>7.06</v>
      </c>
    </row>
    <row r="123" spans="1:12" hidden="1" x14ac:dyDescent="0.25">
      <c r="A123" s="259" t="s">
        <v>178</v>
      </c>
      <c r="B123" s="261" t="str">
        <f>VLOOKUP(A123, '[2]fund-selector'!$A$2:$F$853,6,FALSE)</f>
        <v>EQ-THEMATIC</v>
      </c>
      <c r="C123" s="258">
        <v>-6.88</v>
      </c>
      <c r="D123" s="260">
        <v>2.4</v>
      </c>
      <c r="E123" s="259">
        <v>0</v>
      </c>
      <c r="F123" s="259">
        <v>0</v>
      </c>
      <c r="G123" s="260">
        <v>2.4</v>
      </c>
      <c r="H123" s="259">
        <v>0</v>
      </c>
      <c r="I123" s="259">
        <v>0</v>
      </c>
      <c r="J123" s="259">
        <v>0</v>
      </c>
      <c r="K123" s="259">
        <v>0</v>
      </c>
      <c r="L123" s="259">
        <v>0</v>
      </c>
    </row>
    <row r="124" spans="1:12" hidden="1" x14ac:dyDescent="0.25">
      <c r="A124" s="259" t="s">
        <v>1367</v>
      </c>
      <c r="B124" s="261" t="str">
        <f>VLOOKUP(A124, '[2]fund-selector'!$A$2:$F$853,6,FALSE)</f>
        <v>HY-AR</v>
      </c>
      <c r="C124" s="258">
        <v>6.53</v>
      </c>
      <c r="D124" s="260">
        <v>0.94</v>
      </c>
      <c r="E124" s="260">
        <v>6.04</v>
      </c>
      <c r="F124" s="260">
        <v>4.53</v>
      </c>
      <c r="G124" s="260">
        <v>0.94</v>
      </c>
      <c r="H124" s="260">
        <v>0.55000000000000004</v>
      </c>
      <c r="I124" s="260">
        <v>-0.96</v>
      </c>
      <c r="J124" s="260">
        <v>-0.97</v>
      </c>
      <c r="K124" s="260">
        <v>0.7</v>
      </c>
      <c r="L124" s="260">
        <v>0.82</v>
      </c>
    </row>
    <row r="125" spans="1:12" hidden="1" x14ac:dyDescent="0.25">
      <c r="A125" s="259" t="s">
        <v>179</v>
      </c>
      <c r="B125" s="261" t="str">
        <f>VLOOKUP(A125, '[2]fund-selector'!$A$2:$F$853,6,FALSE)</f>
        <v>HY-DAA</v>
      </c>
      <c r="C125" s="258">
        <v>-0.13</v>
      </c>
      <c r="D125" s="260">
        <v>2.5099999999999998</v>
      </c>
      <c r="E125" s="260">
        <v>13.51</v>
      </c>
      <c r="F125" s="260">
        <v>11.86</v>
      </c>
      <c r="G125" s="260">
        <v>2.5099999999999998</v>
      </c>
      <c r="H125" s="260">
        <v>10.19</v>
      </c>
      <c r="I125" s="260">
        <v>0.52</v>
      </c>
      <c r="J125" s="260">
        <v>1.02</v>
      </c>
      <c r="K125" s="260">
        <v>0.95</v>
      </c>
      <c r="L125" s="260">
        <v>-2.16</v>
      </c>
    </row>
    <row r="126" spans="1:12" hidden="1" x14ac:dyDescent="0.25">
      <c r="A126" s="259" t="s">
        <v>180</v>
      </c>
      <c r="B126" s="261" t="str">
        <f>VLOOKUP(A126, '[2]fund-selector'!$A$2:$F$853,6,FALSE)</f>
        <v>EQ-LC</v>
      </c>
      <c r="C126" s="258">
        <v>-4.07</v>
      </c>
      <c r="D126" s="260">
        <v>2.44</v>
      </c>
      <c r="E126" s="260">
        <v>19.78</v>
      </c>
      <c r="F126" s="259">
        <v>0</v>
      </c>
      <c r="G126" s="260">
        <v>2.44</v>
      </c>
      <c r="H126" s="260">
        <v>15.33</v>
      </c>
      <c r="I126" s="260">
        <v>0.69</v>
      </c>
      <c r="J126" s="260">
        <v>1.1299999999999999</v>
      </c>
      <c r="K126" s="260">
        <v>1.06</v>
      </c>
      <c r="L126" s="260">
        <v>-0.3</v>
      </c>
    </row>
    <row r="127" spans="1:12" hidden="1" x14ac:dyDescent="0.25">
      <c r="A127" s="259" t="s">
        <v>181</v>
      </c>
      <c r="B127" s="261" t="str">
        <f>VLOOKUP(A127, '[2]fund-selector'!$A$2:$F$853,6,FALSE)</f>
        <v>EQ-THEMATIC</v>
      </c>
      <c r="C127" s="258" t="s">
        <v>54</v>
      </c>
      <c r="D127" s="260">
        <v>2.4500000000000002</v>
      </c>
      <c r="E127" s="259">
        <v>0</v>
      </c>
      <c r="F127" s="259">
        <v>0</v>
      </c>
      <c r="G127" s="260">
        <v>2.4500000000000002</v>
      </c>
      <c r="H127" s="259">
        <v>0</v>
      </c>
      <c r="I127" s="259">
        <v>0</v>
      </c>
      <c r="J127" s="259">
        <v>0</v>
      </c>
      <c r="K127" s="259">
        <v>0</v>
      </c>
      <c r="L127" s="259">
        <v>0</v>
      </c>
    </row>
    <row r="128" spans="1:12" hidden="1" x14ac:dyDescent="0.25">
      <c r="A128" s="259" t="s">
        <v>1185</v>
      </c>
      <c r="B128" s="261" t="str">
        <f>VLOOKUP(A128, '[2]fund-selector'!$A$2:$F$853,6,FALSE)</f>
        <v>HY-CH</v>
      </c>
      <c r="C128" s="258">
        <v>3.54</v>
      </c>
      <c r="D128" s="260">
        <v>2.23</v>
      </c>
      <c r="E128" s="260">
        <v>8.8000000000000007</v>
      </c>
      <c r="F128" s="260">
        <v>12.24</v>
      </c>
      <c r="G128" s="260">
        <v>2.23</v>
      </c>
      <c r="H128" s="260">
        <v>3.93</v>
      </c>
      <c r="I128" s="260">
        <v>0.47</v>
      </c>
      <c r="J128" s="260">
        <v>0.74</v>
      </c>
      <c r="K128" s="260">
        <v>0.85</v>
      </c>
      <c r="L128" s="260">
        <v>-1.29</v>
      </c>
    </row>
    <row r="129" spans="1:12" hidden="1" x14ac:dyDescent="0.25">
      <c r="A129" s="259" t="s">
        <v>183</v>
      </c>
      <c r="B129" s="261" t="str">
        <f>VLOOKUP(A129, '[2]fund-selector'!$A$2:$F$853,6,FALSE)</f>
        <v>EQ-FLX</v>
      </c>
      <c r="C129" s="258">
        <v>-4.55</v>
      </c>
      <c r="D129" s="260">
        <v>1.99</v>
      </c>
      <c r="E129" s="260">
        <v>26</v>
      </c>
      <c r="F129" s="259">
        <v>0</v>
      </c>
      <c r="G129" s="260">
        <v>1.99</v>
      </c>
      <c r="H129" s="260">
        <v>18.12</v>
      </c>
      <c r="I129" s="260">
        <v>0.91</v>
      </c>
      <c r="J129" s="260">
        <v>1.35</v>
      </c>
      <c r="K129" s="260">
        <v>1.1299999999999999</v>
      </c>
      <c r="L129" s="260">
        <v>3.39</v>
      </c>
    </row>
    <row r="130" spans="1:12" hidden="1" x14ac:dyDescent="0.25">
      <c r="A130" s="259" t="s">
        <v>185</v>
      </c>
      <c r="B130" s="261" t="str">
        <f>VLOOKUP(A130, '[2]fund-selector'!$A$2:$F$853,6,FALSE)</f>
        <v>EQ-L&amp;MC</v>
      </c>
      <c r="C130" s="258">
        <v>-0.94</v>
      </c>
      <c r="D130" s="260">
        <v>2.48</v>
      </c>
      <c r="E130" s="260">
        <v>22.38</v>
      </c>
      <c r="F130" s="260">
        <v>22.67</v>
      </c>
      <c r="G130" s="260">
        <v>2.48</v>
      </c>
      <c r="H130" s="260">
        <v>15.43</v>
      </c>
      <c r="I130" s="260">
        <v>0.83</v>
      </c>
      <c r="J130" s="260">
        <v>1.26</v>
      </c>
      <c r="K130" s="260">
        <v>1.03</v>
      </c>
      <c r="L130" s="260">
        <v>1.51</v>
      </c>
    </row>
    <row r="131" spans="1:12" hidden="1" x14ac:dyDescent="0.25">
      <c r="A131" s="259" t="s">
        <v>1186</v>
      </c>
      <c r="B131" s="261" t="str">
        <f>VLOOKUP(A131, '[2]fund-selector'!$A$2:$F$853,6,FALSE)</f>
        <v>HY-AH</v>
      </c>
      <c r="C131" s="258">
        <v>1.21</v>
      </c>
      <c r="D131" s="260">
        <v>2.1800000000000002</v>
      </c>
      <c r="E131" s="260">
        <v>23.46</v>
      </c>
      <c r="F131" s="260">
        <v>26.95</v>
      </c>
      <c r="G131" s="260">
        <v>2.1800000000000002</v>
      </c>
      <c r="H131" s="260">
        <v>14.76</v>
      </c>
      <c r="I131" s="260">
        <v>0.98</v>
      </c>
      <c r="J131" s="260">
        <v>1.26</v>
      </c>
      <c r="K131" s="260">
        <v>1.04</v>
      </c>
      <c r="L131" s="260">
        <v>4.3899999999999997</v>
      </c>
    </row>
    <row r="132" spans="1:12" hidden="1" x14ac:dyDescent="0.25">
      <c r="A132" s="259" t="s">
        <v>186</v>
      </c>
      <c r="B132" s="261" t="str">
        <f>VLOOKUP(A132, '[2]fund-selector'!$A$2:$F$853,6,FALSE)</f>
        <v>HY-MAA</v>
      </c>
      <c r="C132" s="258">
        <v>4.47</v>
      </c>
      <c r="D132" s="260">
        <v>2.04</v>
      </c>
      <c r="E132" s="259">
        <v>0</v>
      </c>
      <c r="F132" s="259">
        <v>0</v>
      </c>
      <c r="G132" s="260">
        <v>2.04</v>
      </c>
      <c r="H132" s="259">
        <v>0</v>
      </c>
      <c r="I132" s="259">
        <v>0</v>
      </c>
      <c r="J132" s="259">
        <v>0</v>
      </c>
      <c r="K132" s="259">
        <v>0</v>
      </c>
      <c r="L132" s="259">
        <v>0</v>
      </c>
    </row>
    <row r="133" spans="1:12" hidden="1" x14ac:dyDescent="0.25">
      <c r="A133" s="259" t="s">
        <v>187</v>
      </c>
      <c r="B133" s="261" t="str">
        <f>VLOOKUP(A133, '[2]fund-selector'!$A$2:$F$853,6,FALSE)</f>
        <v>EQ-MLC</v>
      </c>
      <c r="C133" s="258">
        <v>1.76</v>
      </c>
      <c r="D133" s="260">
        <v>2.31</v>
      </c>
      <c r="E133" s="259">
        <v>0</v>
      </c>
      <c r="F133" s="259">
        <v>0</v>
      </c>
      <c r="G133" s="260">
        <v>2.31</v>
      </c>
      <c r="H133" s="259">
        <v>0</v>
      </c>
      <c r="I133" s="259">
        <v>0</v>
      </c>
      <c r="J133" s="259">
        <v>0</v>
      </c>
      <c r="K133" s="259">
        <v>0</v>
      </c>
      <c r="L133" s="259">
        <v>0</v>
      </c>
    </row>
    <row r="134" spans="1:12" hidden="1" x14ac:dyDescent="0.25">
      <c r="A134" s="259" t="s">
        <v>188</v>
      </c>
      <c r="B134" s="261" t="str">
        <f>VLOOKUP(A134, '[2]fund-selector'!$A$2:$F$853,6,FALSE)</f>
        <v>EQ-SC</v>
      </c>
      <c r="C134" s="258">
        <v>-0.55000000000000004</v>
      </c>
      <c r="D134" s="260">
        <v>2.0299999999999998</v>
      </c>
      <c r="E134" s="260">
        <v>26.5</v>
      </c>
      <c r="F134" s="260">
        <v>33.74</v>
      </c>
      <c r="G134" s="260">
        <v>2.0299999999999998</v>
      </c>
      <c r="H134" s="260">
        <v>18.22</v>
      </c>
      <c r="I134" s="260">
        <v>0.95</v>
      </c>
      <c r="J134" s="260">
        <v>1.27</v>
      </c>
      <c r="K134" s="260">
        <v>0.89</v>
      </c>
      <c r="L134" s="260">
        <v>1.1599999999999999</v>
      </c>
    </row>
    <row r="135" spans="1:12" hidden="1" x14ac:dyDescent="0.25">
      <c r="A135" s="259" t="s">
        <v>1187</v>
      </c>
      <c r="B135" s="261" t="str">
        <f>VLOOKUP(A135, '[2]fund-selector'!$A$2:$F$853,6,FALSE)</f>
        <v>HY-AH</v>
      </c>
      <c r="C135" s="258">
        <v>3.99</v>
      </c>
      <c r="D135" s="260">
        <v>2.13</v>
      </c>
      <c r="E135" s="260">
        <v>18.3</v>
      </c>
      <c r="F135" s="260">
        <v>17.97</v>
      </c>
      <c r="G135" s="260">
        <v>2.13</v>
      </c>
      <c r="H135" s="260">
        <v>10.15</v>
      </c>
      <c r="I135" s="260">
        <v>0.94</v>
      </c>
      <c r="J135" s="260">
        <v>1.38</v>
      </c>
      <c r="K135" s="260">
        <v>0.83</v>
      </c>
      <c r="L135" s="260">
        <v>1.6</v>
      </c>
    </row>
    <row r="136" spans="1:12" hidden="1" x14ac:dyDescent="0.25">
      <c r="A136" s="259" t="s">
        <v>1368</v>
      </c>
      <c r="B136" s="261" t="str">
        <f>VLOOKUP(A136, '[2]fund-selector'!$A$2:$F$853,6,FALSE)</f>
        <v>HY-AR</v>
      </c>
      <c r="C136" s="258">
        <v>6.65</v>
      </c>
      <c r="D136" s="260">
        <v>1.1200000000000001</v>
      </c>
      <c r="E136" s="260">
        <v>6.7</v>
      </c>
      <c r="F136" s="260">
        <v>5.36</v>
      </c>
      <c r="G136" s="260">
        <v>1.1200000000000001</v>
      </c>
      <c r="H136" s="260">
        <v>0.56999999999999995</v>
      </c>
      <c r="I136" s="260">
        <v>0.17</v>
      </c>
      <c r="J136" s="260">
        <v>0.18</v>
      </c>
      <c r="K136" s="260">
        <v>0.66</v>
      </c>
      <c r="L136" s="260">
        <v>1.35</v>
      </c>
    </row>
    <row r="137" spans="1:12" hidden="1" x14ac:dyDescent="0.25">
      <c r="A137" s="259" t="s">
        <v>189</v>
      </c>
      <c r="B137" s="261" t="str">
        <f>VLOOKUP(A137, '[2]fund-selector'!$A$2:$F$853,6,FALSE)</f>
        <v>HY-DAA</v>
      </c>
      <c r="C137" s="258">
        <v>6.78</v>
      </c>
      <c r="D137" s="260">
        <v>1.89</v>
      </c>
      <c r="E137" s="260">
        <v>18.07</v>
      </c>
      <c r="F137" s="260">
        <v>16.72</v>
      </c>
      <c r="G137" s="260">
        <v>1.89</v>
      </c>
      <c r="H137" s="260">
        <v>10.14</v>
      </c>
      <c r="I137" s="260">
        <v>0.9</v>
      </c>
      <c r="J137" s="260">
        <v>1.3</v>
      </c>
      <c r="K137" s="260">
        <v>0.94</v>
      </c>
      <c r="L137" s="260">
        <v>1.68</v>
      </c>
    </row>
    <row r="138" spans="1:12" hidden="1" x14ac:dyDescent="0.25">
      <c r="A138" s="259" t="s">
        <v>190</v>
      </c>
      <c r="B138" s="261" t="str">
        <f>VLOOKUP(A138, '[2]fund-selector'!$A$2:$F$853,6,FALSE)</f>
        <v>EQ-THEMATIC</v>
      </c>
      <c r="C138" s="258">
        <v>-1.56</v>
      </c>
      <c r="D138" s="260">
        <v>2.38</v>
      </c>
      <c r="E138" s="260">
        <v>22.07</v>
      </c>
      <c r="F138" s="259">
        <v>0</v>
      </c>
      <c r="G138" s="260">
        <v>2.38</v>
      </c>
      <c r="H138" s="260">
        <v>15.21</v>
      </c>
      <c r="I138" s="260">
        <v>0.82</v>
      </c>
      <c r="J138" s="260">
        <v>1.2</v>
      </c>
      <c r="K138" s="260">
        <v>1.02</v>
      </c>
      <c r="L138" s="260">
        <v>0.69</v>
      </c>
    </row>
    <row r="139" spans="1:12" hidden="1" x14ac:dyDescent="0.25">
      <c r="A139" s="259" t="s">
        <v>191</v>
      </c>
      <c r="B139" s="261" t="str">
        <f>VLOOKUP(A139, '[2]fund-selector'!$A$2:$F$853,6,FALSE)</f>
        <v>EQ-FLX</v>
      </c>
      <c r="C139" s="258" t="s">
        <v>54</v>
      </c>
      <c r="D139" s="260">
        <v>2.34</v>
      </c>
      <c r="E139" s="259">
        <v>0</v>
      </c>
      <c r="F139" s="259">
        <v>0</v>
      </c>
      <c r="G139" s="260">
        <v>2.34</v>
      </c>
      <c r="H139" s="259">
        <v>0</v>
      </c>
      <c r="I139" s="259">
        <v>0</v>
      </c>
      <c r="J139" s="259">
        <v>0</v>
      </c>
      <c r="K139" s="259">
        <v>0</v>
      </c>
      <c r="L139" s="259">
        <v>0</v>
      </c>
    </row>
    <row r="140" spans="1:12" hidden="1" x14ac:dyDescent="0.25">
      <c r="A140" s="259" t="s">
        <v>1188</v>
      </c>
      <c r="B140" s="261" t="str">
        <f>VLOOKUP(A140, '[2]fund-selector'!$A$2:$F$853,6,FALSE)</f>
        <v>HY-CH</v>
      </c>
      <c r="C140" s="258">
        <v>6.33</v>
      </c>
      <c r="D140" s="260">
        <v>2</v>
      </c>
      <c r="E140" s="260">
        <v>9.82</v>
      </c>
      <c r="F140" s="260">
        <v>8.0500000000000007</v>
      </c>
      <c r="G140" s="260">
        <v>2</v>
      </c>
      <c r="H140" s="260">
        <v>3.56</v>
      </c>
      <c r="I140" s="260">
        <v>0.79</v>
      </c>
      <c r="J140" s="260">
        <v>1.0900000000000001</v>
      </c>
      <c r="K140" s="260">
        <v>0.84</v>
      </c>
      <c r="L140" s="260">
        <v>-0.27</v>
      </c>
    </row>
    <row r="141" spans="1:12" hidden="1" x14ac:dyDescent="0.25">
      <c r="A141" s="259" t="s">
        <v>195</v>
      </c>
      <c r="B141" s="261" t="str">
        <f>VLOOKUP(A141, '[2]fund-selector'!$A$2:$F$853,6,FALSE)</f>
        <v>EQ-FLX</v>
      </c>
      <c r="C141" s="258">
        <v>1.39</v>
      </c>
      <c r="D141" s="260">
        <v>2.17</v>
      </c>
      <c r="E141" s="259">
        <v>0</v>
      </c>
      <c r="F141" s="259">
        <v>0</v>
      </c>
      <c r="G141" s="260">
        <v>2.17</v>
      </c>
      <c r="H141" s="259">
        <v>0</v>
      </c>
      <c r="I141" s="259">
        <v>0</v>
      </c>
      <c r="J141" s="259">
        <v>0</v>
      </c>
      <c r="K141" s="259">
        <v>0</v>
      </c>
      <c r="L141" s="259">
        <v>0</v>
      </c>
    </row>
    <row r="142" spans="1:12" hidden="1" x14ac:dyDescent="0.25">
      <c r="A142" s="259" t="s">
        <v>196</v>
      </c>
      <c r="B142" s="261" t="str">
        <f>VLOOKUP(A142, '[2]fund-selector'!$A$2:$F$853,6,FALSE)</f>
        <v>EQ-FLX</v>
      </c>
      <c r="C142" s="258">
        <v>-4.72</v>
      </c>
      <c r="D142" s="260">
        <v>2.29</v>
      </c>
      <c r="E142" s="260">
        <v>18.55</v>
      </c>
      <c r="F142" s="260">
        <v>19.09</v>
      </c>
      <c r="G142" s="260">
        <v>2.29</v>
      </c>
      <c r="H142" s="260">
        <v>15.32</v>
      </c>
      <c r="I142" s="260">
        <v>0.66</v>
      </c>
      <c r="J142" s="260">
        <v>0.86</v>
      </c>
      <c r="K142" s="260">
        <v>0.99</v>
      </c>
      <c r="L142" s="260">
        <v>-1.35</v>
      </c>
    </row>
    <row r="143" spans="1:12" hidden="1" x14ac:dyDescent="0.25">
      <c r="A143" s="259" t="s">
        <v>198</v>
      </c>
      <c r="B143" s="261" t="str">
        <f>VLOOKUP(A143, '[2]fund-selector'!$A$2:$F$853,6,FALSE)</f>
        <v>EQ-THEMATIC</v>
      </c>
      <c r="C143" s="258">
        <v>1.85</v>
      </c>
      <c r="D143" s="260">
        <v>2.2599999999999998</v>
      </c>
      <c r="E143" s="259">
        <v>0</v>
      </c>
      <c r="F143" s="259">
        <v>0</v>
      </c>
      <c r="G143" s="260">
        <v>2.2599999999999998</v>
      </c>
      <c r="H143" s="259">
        <v>0</v>
      </c>
      <c r="I143" s="259">
        <v>0</v>
      </c>
      <c r="J143" s="259">
        <v>0</v>
      </c>
      <c r="K143" s="259">
        <v>0</v>
      </c>
      <c r="L143" s="259">
        <v>0</v>
      </c>
    </row>
    <row r="144" spans="1:12" hidden="1" x14ac:dyDescent="0.25">
      <c r="A144" s="259" t="s">
        <v>199</v>
      </c>
      <c r="B144" s="261" t="str">
        <f>VLOOKUP(A144, '[2]fund-selector'!$A$2:$F$853,6,FALSE)</f>
        <v>EQ-LC</v>
      </c>
      <c r="C144" s="258">
        <v>1.52</v>
      </c>
      <c r="D144" s="260">
        <v>1.98</v>
      </c>
      <c r="E144" s="260">
        <v>20.75</v>
      </c>
      <c r="F144" s="260">
        <v>20.27</v>
      </c>
      <c r="G144" s="260">
        <v>1.98</v>
      </c>
      <c r="H144" s="260">
        <v>13.37</v>
      </c>
      <c r="I144" s="260">
        <v>0.85</v>
      </c>
      <c r="J144" s="260">
        <v>1.31</v>
      </c>
      <c r="K144" s="260">
        <v>0.95</v>
      </c>
      <c r="L144" s="260">
        <v>1.58</v>
      </c>
    </row>
    <row r="145" spans="1:12" hidden="1" x14ac:dyDescent="0.25">
      <c r="A145" s="259" t="s">
        <v>200</v>
      </c>
      <c r="B145" s="261" t="str">
        <f>VLOOKUP(A145, '[2]fund-selector'!$A$2:$F$853,6,FALSE)</f>
        <v>EQ-L&amp;MC</v>
      </c>
      <c r="C145" s="258">
        <v>1.98</v>
      </c>
      <c r="D145" s="260">
        <v>2.11</v>
      </c>
      <c r="E145" s="260">
        <v>23.78</v>
      </c>
      <c r="F145" s="259">
        <v>0</v>
      </c>
      <c r="G145" s="260">
        <v>2.11</v>
      </c>
      <c r="H145" s="260">
        <v>14.99</v>
      </c>
      <c r="I145" s="260">
        <v>0.93</v>
      </c>
      <c r="J145" s="260">
        <v>1.22</v>
      </c>
      <c r="K145" s="260">
        <v>0.98</v>
      </c>
      <c r="L145" s="260">
        <v>3.16</v>
      </c>
    </row>
    <row r="146" spans="1:12" hidden="1" x14ac:dyDescent="0.25">
      <c r="A146" s="259" t="s">
        <v>201</v>
      </c>
      <c r="B146" s="261" t="str">
        <f>VLOOKUP(A146, '[2]fund-selector'!$A$2:$F$853,6,FALSE)</f>
        <v>EQ-THEMATIC</v>
      </c>
      <c r="C146" s="258" t="s">
        <v>54</v>
      </c>
      <c r="D146" s="260">
        <v>2.12</v>
      </c>
      <c r="E146" s="259">
        <v>0</v>
      </c>
      <c r="F146" s="259">
        <v>0</v>
      </c>
      <c r="G146" s="260">
        <v>2.12</v>
      </c>
      <c r="H146" s="259">
        <v>0</v>
      </c>
      <c r="I146" s="259">
        <v>0</v>
      </c>
      <c r="J146" s="259">
        <v>0</v>
      </c>
      <c r="K146" s="259">
        <v>0</v>
      </c>
      <c r="L146" s="259">
        <v>0</v>
      </c>
    </row>
    <row r="147" spans="1:12" hidden="1" x14ac:dyDescent="0.25">
      <c r="A147" s="259" t="s">
        <v>202</v>
      </c>
      <c r="B147" s="261" t="str">
        <f>VLOOKUP(A147, '[2]fund-selector'!$A$2:$F$853,6,FALSE)</f>
        <v>EQ-MC</v>
      </c>
      <c r="C147" s="258">
        <v>0.34</v>
      </c>
      <c r="D147" s="260">
        <v>2.0099999999999998</v>
      </c>
      <c r="E147" s="260">
        <v>24.6</v>
      </c>
      <c r="F147" s="260">
        <v>27.11</v>
      </c>
      <c r="G147" s="260">
        <v>2.0099999999999998</v>
      </c>
      <c r="H147" s="260">
        <v>14.39</v>
      </c>
      <c r="I147" s="260">
        <v>1.03</v>
      </c>
      <c r="J147" s="260">
        <v>1.45</v>
      </c>
      <c r="K147" s="260">
        <v>0.83</v>
      </c>
      <c r="L147" s="260">
        <v>-0.12</v>
      </c>
    </row>
    <row r="148" spans="1:12" hidden="1" x14ac:dyDescent="0.25">
      <c r="A148" s="259" t="s">
        <v>203</v>
      </c>
      <c r="B148" s="261" t="str">
        <f>VLOOKUP(A148, '[2]fund-selector'!$A$2:$F$853,6,FALSE)</f>
        <v>HY-MAA</v>
      </c>
      <c r="C148" s="258" t="s">
        <v>54</v>
      </c>
      <c r="D148" s="259">
        <v>0</v>
      </c>
      <c r="E148" s="259">
        <v>0</v>
      </c>
      <c r="F148" s="259">
        <v>0</v>
      </c>
      <c r="G148" s="259">
        <v>0</v>
      </c>
      <c r="H148" s="259">
        <v>0</v>
      </c>
      <c r="I148" s="259">
        <v>0</v>
      </c>
      <c r="J148" s="259">
        <v>0</v>
      </c>
      <c r="K148" s="259">
        <v>0</v>
      </c>
      <c r="L148" s="259">
        <v>0</v>
      </c>
    </row>
    <row r="149" spans="1:12" hidden="1" x14ac:dyDescent="0.25">
      <c r="A149" s="259" t="s">
        <v>204</v>
      </c>
      <c r="B149" s="261" t="str">
        <f>VLOOKUP(A149, '[2]fund-selector'!$A$2:$F$853,6,FALSE)</f>
        <v>HY-MAA</v>
      </c>
      <c r="C149" s="258">
        <v>6.87</v>
      </c>
      <c r="D149" s="260">
        <v>2.11</v>
      </c>
      <c r="E149" s="259">
        <v>0</v>
      </c>
      <c r="F149" s="259">
        <v>0</v>
      </c>
      <c r="G149" s="260">
        <v>2.11</v>
      </c>
      <c r="H149" s="259">
        <v>0</v>
      </c>
      <c r="I149" s="259">
        <v>0</v>
      </c>
      <c r="J149" s="259">
        <v>0</v>
      </c>
      <c r="K149" s="259">
        <v>0</v>
      </c>
      <c r="L149" s="259">
        <v>0</v>
      </c>
    </row>
    <row r="150" spans="1:12" hidden="1" x14ac:dyDescent="0.25">
      <c r="A150" s="259" t="s">
        <v>205</v>
      </c>
      <c r="B150" s="261" t="str">
        <f>VLOOKUP(A150, '[2]fund-selector'!$A$2:$F$853,6,FALSE)</f>
        <v>EQ-MLC</v>
      </c>
      <c r="C150" s="258">
        <v>0.72</v>
      </c>
      <c r="D150" s="260">
        <v>1.99</v>
      </c>
      <c r="E150" s="260">
        <v>23.98</v>
      </c>
      <c r="F150" s="260">
        <v>25.14</v>
      </c>
      <c r="G150" s="260">
        <v>1.99</v>
      </c>
      <c r="H150" s="260">
        <v>14.5</v>
      </c>
      <c r="I150" s="260">
        <v>0.97</v>
      </c>
      <c r="J150" s="260">
        <v>1.2</v>
      </c>
      <c r="K150" s="260">
        <v>0.88</v>
      </c>
      <c r="L150" s="260">
        <v>1.18</v>
      </c>
    </row>
    <row r="151" spans="1:12" hidden="1" x14ac:dyDescent="0.25">
      <c r="A151" s="259" t="s">
        <v>206</v>
      </c>
      <c r="B151" s="261" t="str">
        <f>VLOOKUP(A151, '[2]fund-selector'!$A$2:$F$853,6,FALSE)</f>
        <v>EQ-L&amp;MC</v>
      </c>
      <c r="C151" s="258" t="s">
        <v>54</v>
      </c>
      <c r="D151" s="260">
        <v>1.1000000000000001</v>
      </c>
      <c r="E151" s="259">
        <v>0</v>
      </c>
      <c r="F151" s="259">
        <v>0</v>
      </c>
      <c r="G151" s="260">
        <v>1.1000000000000001</v>
      </c>
      <c r="H151" s="259">
        <v>0</v>
      </c>
      <c r="I151" s="259">
        <v>0</v>
      </c>
      <c r="J151" s="259">
        <v>0</v>
      </c>
      <c r="K151" s="259">
        <v>0</v>
      </c>
      <c r="L151" s="259">
        <v>0</v>
      </c>
    </row>
    <row r="152" spans="1:12" hidden="1" x14ac:dyDescent="0.25">
      <c r="A152" s="259" t="s">
        <v>207</v>
      </c>
      <c r="B152" s="261" t="str">
        <f>VLOOKUP(A152, '[2]fund-selector'!$A$2:$F$853,6,FALSE)</f>
        <v>EQ-LC</v>
      </c>
      <c r="C152" s="258">
        <v>5.75</v>
      </c>
      <c r="D152" s="260">
        <v>0.56000000000000005</v>
      </c>
      <c r="E152" s="259">
        <v>0</v>
      </c>
      <c r="F152" s="259">
        <v>0</v>
      </c>
      <c r="G152" s="260">
        <v>0.56000000000000005</v>
      </c>
      <c r="H152" s="259">
        <v>0</v>
      </c>
      <c r="I152" s="259">
        <v>0</v>
      </c>
      <c r="J152" s="259">
        <v>0</v>
      </c>
      <c r="K152" s="259">
        <v>0</v>
      </c>
      <c r="L152" s="259">
        <v>0</v>
      </c>
    </row>
    <row r="153" spans="1:12" hidden="1" x14ac:dyDescent="0.25">
      <c r="A153" s="259" t="s">
        <v>208</v>
      </c>
      <c r="B153" s="261" t="str">
        <f>VLOOKUP(A153, '[2]fund-selector'!$A$2:$F$853,6,FALSE)</f>
        <v>EQ-MC</v>
      </c>
      <c r="C153" s="258" t="s">
        <v>54</v>
      </c>
      <c r="D153" s="260">
        <v>1.08</v>
      </c>
      <c r="E153" s="259">
        <v>0</v>
      </c>
      <c r="F153" s="259">
        <v>0</v>
      </c>
      <c r="G153" s="260">
        <v>1.08</v>
      </c>
      <c r="H153" s="259">
        <v>0</v>
      </c>
      <c r="I153" s="259">
        <v>0</v>
      </c>
      <c r="J153" s="259">
        <v>0</v>
      </c>
      <c r="K153" s="259">
        <v>0</v>
      </c>
      <c r="L153" s="259">
        <v>0</v>
      </c>
    </row>
    <row r="154" spans="1:12" hidden="1" x14ac:dyDescent="0.25">
      <c r="A154" s="259" t="s">
        <v>1189</v>
      </c>
      <c r="B154" s="261" t="str">
        <f>VLOOKUP(A154, '[2]fund-selector'!$A$2:$F$853,6,FALSE)</f>
        <v>HY-AH</v>
      </c>
      <c r="C154" s="258">
        <v>5.64</v>
      </c>
      <c r="D154" s="260">
        <v>2.2999999999999998</v>
      </c>
      <c r="E154" s="259">
        <v>0</v>
      </c>
      <c r="F154" s="259">
        <v>0</v>
      </c>
      <c r="G154" s="260">
        <v>2.2999999999999998</v>
      </c>
      <c r="H154" s="259">
        <v>0</v>
      </c>
      <c r="I154" s="259">
        <v>0</v>
      </c>
      <c r="J154" s="259">
        <v>0</v>
      </c>
      <c r="K154" s="259">
        <v>0</v>
      </c>
      <c r="L154" s="259">
        <v>0</v>
      </c>
    </row>
    <row r="155" spans="1:12" hidden="1" x14ac:dyDescent="0.25">
      <c r="A155" s="259" t="s">
        <v>209</v>
      </c>
      <c r="B155" s="261" t="str">
        <f>VLOOKUP(A155, '[2]fund-selector'!$A$2:$F$853,6,FALSE)</f>
        <v>EQ-SC</v>
      </c>
      <c r="C155" s="258">
        <v>-2.4700000000000002</v>
      </c>
      <c r="D155" s="260">
        <v>2.16</v>
      </c>
      <c r="E155" s="259">
        <v>0</v>
      </c>
      <c r="F155" s="259">
        <v>0</v>
      </c>
      <c r="G155" s="260">
        <v>2.16</v>
      </c>
      <c r="H155" s="259">
        <v>0</v>
      </c>
      <c r="I155" s="259">
        <v>0</v>
      </c>
      <c r="J155" s="259">
        <v>0</v>
      </c>
      <c r="K155" s="259">
        <v>0</v>
      </c>
      <c r="L155" s="259">
        <v>0</v>
      </c>
    </row>
    <row r="156" spans="1:12" hidden="1" x14ac:dyDescent="0.25">
      <c r="A156" s="259" t="s">
        <v>210</v>
      </c>
      <c r="B156" s="261" t="str">
        <f>VLOOKUP(A156, '[2]fund-selector'!$A$2:$F$853,6,FALSE)</f>
        <v>EQ-LC</v>
      </c>
      <c r="C156" s="258">
        <v>-1.93</v>
      </c>
      <c r="D156" s="260">
        <v>7.0000000000000007E-2</v>
      </c>
      <c r="E156" s="260">
        <v>34.08</v>
      </c>
      <c r="F156" s="260">
        <v>34.18</v>
      </c>
      <c r="G156" s="260">
        <v>7.0000000000000007E-2</v>
      </c>
      <c r="H156" s="260">
        <v>17.89</v>
      </c>
      <c r="I156" s="260">
        <v>1.27</v>
      </c>
      <c r="J156" s="260">
        <v>2.06</v>
      </c>
      <c r="K156" s="260">
        <v>1.1200000000000001</v>
      </c>
      <c r="L156" s="260">
        <v>11.19</v>
      </c>
    </row>
    <row r="157" spans="1:12" hidden="1" x14ac:dyDescent="0.25">
      <c r="A157" s="259" t="s">
        <v>211</v>
      </c>
      <c r="B157" s="261" t="str">
        <f>VLOOKUP(A157, '[2]fund-selector'!$A$2:$F$853,6,FALSE)</f>
        <v>HY-DAA</v>
      </c>
      <c r="C157" s="258" t="s">
        <v>54</v>
      </c>
      <c r="D157" s="260">
        <v>2.09</v>
      </c>
      <c r="E157" s="259">
        <v>0</v>
      </c>
      <c r="F157" s="259">
        <v>0</v>
      </c>
      <c r="G157" s="260">
        <v>2.09</v>
      </c>
      <c r="H157" s="259">
        <v>0</v>
      </c>
      <c r="I157" s="259">
        <v>0</v>
      </c>
      <c r="J157" s="259">
        <v>0</v>
      </c>
      <c r="K157" s="259">
        <v>0</v>
      </c>
      <c r="L157" s="259">
        <v>0</v>
      </c>
    </row>
    <row r="158" spans="1:12" hidden="1" x14ac:dyDescent="0.25">
      <c r="A158" s="259" t="s">
        <v>1190</v>
      </c>
      <c r="B158" s="261" t="str">
        <f>VLOOKUP(A158, '[2]fund-selector'!$A$2:$F$853,6,FALSE)</f>
        <v>HY-CH</v>
      </c>
      <c r="C158" s="258">
        <v>7.72</v>
      </c>
      <c r="D158" s="260">
        <v>1.84</v>
      </c>
      <c r="E158" s="260">
        <v>9.7200000000000006</v>
      </c>
      <c r="F158" s="260">
        <v>9.25</v>
      </c>
      <c r="G158" s="260">
        <v>1.84</v>
      </c>
      <c r="H158" s="260">
        <v>3.77</v>
      </c>
      <c r="I158" s="260">
        <v>0.73</v>
      </c>
      <c r="J158" s="260">
        <v>1.23</v>
      </c>
      <c r="K158" s="260">
        <v>0.9</v>
      </c>
      <c r="L158" s="260">
        <v>-0.55000000000000004</v>
      </c>
    </row>
    <row r="159" spans="1:12" hidden="1" x14ac:dyDescent="0.25">
      <c r="A159" s="259" t="s">
        <v>1191</v>
      </c>
      <c r="B159" s="261" t="str">
        <f>VLOOKUP(A159, '[2]fund-selector'!$A$2:$F$853,6,FALSE)</f>
        <v>HY-AH</v>
      </c>
      <c r="C159" s="258">
        <v>6.57</v>
      </c>
      <c r="D159" s="260">
        <v>1.72</v>
      </c>
      <c r="E159" s="260">
        <v>17.53</v>
      </c>
      <c r="F159" s="260">
        <v>17.329999999999998</v>
      </c>
      <c r="G159" s="260">
        <v>1.72</v>
      </c>
      <c r="H159" s="260">
        <v>10.36</v>
      </c>
      <c r="I159" s="260">
        <v>0.82</v>
      </c>
      <c r="J159" s="260">
        <v>1.26</v>
      </c>
      <c r="K159" s="260">
        <v>0.86</v>
      </c>
      <c r="L159" s="260">
        <v>0.32</v>
      </c>
    </row>
    <row r="160" spans="1:12" hidden="1" x14ac:dyDescent="0.25">
      <c r="A160" s="259" t="s">
        <v>215</v>
      </c>
      <c r="B160" s="261" t="str">
        <f>VLOOKUP(A160, '[2]fund-selector'!$A$2:$F$853,6,FALSE)</f>
        <v>EQ-FLX</v>
      </c>
      <c r="C160" s="258">
        <v>5.19</v>
      </c>
      <c r="D160" s="260">
        <v>1.68</v>
      </c>
      <c r="E160" s="260">
        <v>19.96</v>
      </c>
      <c r="F160" s="260">
        <v>20.94</v>
      </c>
      <c r="G160" s="260">
        <v>1.68</v>
      </c>
      <c r="H160" s="260">
        <v>13.46</v>
      </c>
      <c r="I160" s="260">
        <v>0.75</v>
      </c>
      <c r="J160" s="260">
        <v>1.1499999999999999</v>
      </c>
      <c r="K160" s="260">
        <v>0.91</v>
      </c>
      <c r="L160" s="260">
        <v>-0.37</v>
      </c>
    </row>
    <row r="161" spans="1:12" hidden="1" x14ac:dyDescent="0.25">
      <c r="A161" s="259" t="s">
        <v>1192</v>
      </c>
      <c r="B161" s="261" t="str">
        <f>VLOOKUP(A161, '[2]fund-selector'!$A$2:$F$853,6,FALSE)</f>
        <v>EQ-FLX</v>
      </c>
      <c r="C161" s="258">
        <v>9.57</v>
      </c>
      <c r="D161" s="260">
        <v>1.93</v>
      </c>
      <c r="E161" s="260">
        <v>23.05</v>
      </c>
      <c r="F161" s="259">
        <v>0</v>
      </c>
      <c r="G161" s="260">
        <v>1.93</v>
      </c>
      <c r="H161" s="260">
        <v>13.44</v>
      </c>
      <c r="I161" s="260">
        <v>0.94</v>
      </c>
      <c r="J161" s="260">
        <v>1.45</v>
      </c>
      <c r="K161" s="260">
        <v>0.89</v>
      </c>
      <c r="L161" s="260">
        <v>2.37</v>
      </c>
    </row>
    <row r="162" spans="1:12" hidden="1" x14ac:dyDescent="0.25">
      <c r="A162" s="259" t="s">
        <v>1193</v>
      </c>
      <c r="B162" s="261" t="str">
        <f>VLOOKUP(A162, '[2]fund-selector'!$A$2:$F$853,6,FALSE)</f>
        <v>EQ-L&amp;MC</v>
      </c>
      <c r="C162" s="258">
        <v>4.25</v>
      </c>
      <c r="D162" s="260">
        <v>1.6</v>
      </c>
      <c r="E162" s="260">
        <v>21.64</v>
      </c>
      <c r="F162" s="260">
        <v>23.62</v>
      </c>
      <c r="G162" s="260">
        <v>1.6</v>
      </c>
      <c r="H162" s="260">
        <v>14.62</v>
      </c>
      <c r="I162" s="260">
        <v>0.82</v>
      </c>
      <c r="J162" s="260">
        <v>1.17</v>
      </c>
      <c r="K162" s="260">
        <v>0.97</v>
      </c>
      <c r="L162" s="260">
        <v>1.31</v>
      </c>
    </row>
    <row r="163" spans="1:12" hidden="1" x14ac:dyDescent="0.25">
      <c r="A163" s="259" t="s">
        <v>1194</v>
      </c>
      <c r="B163" s="261" t="str">
        <f>VLOOKUP(A163, '[2]fund-selector'!$A$2:$F$853,6,FALSE)</f>
        <v>EQ-LC</v>
      </c>
      <c r="C163" s="258">
        <v>6.94</v>
      </c>
      <c r="D163" s="260">
        <v>1.65</v>
      </c>
      <c r="E163" s="260">
        <v>20.14</v>
      </c>
      <c r="F163" s="260">
        <v>20.13</v>
      </c>
      <c r="G163" s="260">
        <v>1.65</v>
      </c>
      <c r="H163" s="260">
        <v>12.49</v>
      </c>
      <c r="I163" s="260">
        <v>0.83</v>
      </c>
      <c r="J163" s="260">
        <v>1.33</v>
      </c>
      <c r="K163" s="260">
        <v>0.9</v>
      </c>
      <c r="L163" s="260">
        <v>1.05</v>
      </c>
    </row>
    <row r="164" spans="1:12" hidden="1" x14ac:dyDescent="0.25">
      <c r="A164" s="259" t="s">
        <v>217</v>
      </c>
      <c r="B164" s="261" t="str">
        <f>VLOOKUP(A164, '[2]fund-selector'!$A$2:$F$853,6,FALSE)</f>
        <v>EQ-THEMATIC</v>
      </c>
      <c r="C164" s="258">
        <v>-1.95</v>
      </c>
      <c r="D164" s="260">
        <v>2.08</v>
      </c>
      <c r="E164" s="259">
        <v>0</v>
      </c>
      <c r="F164" s="259">
        <v>0</v>
      </c>
      <c r="G164" s="260">
        <v>2.08</v>
      </c>
      <c r="H164" s="259">
        <v>0</v>
      </c>
      <c r="I164" s="259">
        <v>0</v>
      </c>
      <c r="J164" s="259">
        <v>0</v>
      </c>
      <c r="K164" s="259">
        <v>0</v>
      </c>
      <c r="L164" s="259">
        <v>0</v>
      </c>
    </row>
    <row r="165" spans="1:12" hidden="1" x14ac:dyDescent="0.25">
      <c r="A165" s="259" t="s">
        <v>218</v>
      </c>
      <c r="B165" s="261" t="str">
        <f>VLOOKUP(A165, '[2]fund-selector'!$A$2:$F$853,6,FALSE)</f>
        <v>EQ-MC</v>
      </c>
      <c r="C165" s="258">
        <v>4.4400000000000004</v>
      </c>
      <c r="D165" s="260">
        <v>1.93</v>
      </c>
      <c r="E165" s="259">
        <v>0</v>
      </c>
      <c r="F165" s="259">
        <v>0</v>
      </c>
      <c r="G165" s="260">
        <v>1.93</v>
      </c>
      <c r="H165" s="259">
        <v>0</v>
      </c>
      <c r="I165" s="259">
        <v>0</v>
      </c>
      <c r="J165" s="259">
        <v>0</v>
      </c>
      <c r="K165" s="259">
        <v>0</v>
      </c>
      <c r="L165" s="259">
        <v>0</v>
      </c>
    </row>
    <row r="166" spans="1:12" hidden="1" x14ac:dyDescent="0.25">
      <c r="A166" s="259" t="s">
        <v>219</v>
      </c>
      <c r="B166" s="261" t="str">
        <f>VLOOKUP(A166, '[2]fund-selector'!$A$2:$F$853,6,FALSE)</f>
        <v>HY-MAA</v>
      </c>
      <c r="C166" s="258" t="s">
        <v>54</v>
      </c>
      <c r="D166" s="259">
        <v>0</v>
      </c>
      <c r="E166" s="259">
        <v>0</v>
      </c>
      <c r="F166" s="259">
        <v>0</v>
      </c>
      <c r="G166" s="259">
        <v>0</v>
      </c>
      <c r="H166" s="259">
        <v>0</v>
      </c>
      <c r="I166" s="259">
        <v>0</v>
      </c>
      <c r="J166" s="259">
        <v>0</v>
      </c>
      <c r="K166" s="259">
        <v>0</v>
      </c>
      <c r="L166" s="259">
        <v>0</v>
      </c>
    </row>
    <row r="167" spans="1:12" hidden="1" x14ac:dyDescent="0.25">
      <c r="A167" s="259" t="s">
        <v>220</v>
      </c>
      <c r="B167" s="261" t="str">
        <f>VLOOKUP(A167, '[2]fund-selector'!$A$2:$F$853,6,FALSE)</f>
        <v>EQ-MLC</v>
      </c>
      <c r="C167" s="258">
        <v>4.6500000000000004</v>
      </c>
      <c r="D167" s="260">
        <v>1.84</v>
      </c>
      <c r="E167" s="259">
        <v>0</v>
      </c>
      <c r="F167" s="259">
        <v>0</v>
      </c>
      <c r="G167" s="260">
        <v>1.84</v>
      </c>
      <c r="H167" s="259">
        <v>0</v>
      </c>
      <c r="I167" s="259">
        <v>0</v>
      </c>
      <c r="J167" s="259">
        <v>0</v>
      </c>
      <c r="K167" s="259">
        <v>0</v>
      </c>
      <c r="L167" s="259">
        <v>0</v>
      </c>
    </row>
    <row r="168" spans="1:12" hidden="1" x14ac:dyDescent="0.25">
      <c r="A168" s="259" t="s">
        <v>221</v>
      </c>
      <c r="B168" s="261" t="str">
        <f>VLOOKUP(A168, '[2]fund-selector'!$A$2:$F$853,6,FALSE)</f>
        <v>EQ-SC</v>
      </c>
      <c r="C168" s="258">
        <v>-1.17</v>
      </c>
      <c r="D168" s="260">
        <v>1.68</v>
      </c>
      <c r="E168" s="260">
        <v>21.64</v>
      </c>
      <c r="F168" s="260">
        <v>32.909999999999997</v>
      </c>
      <c r="G168" s="260">
        <v>1.68</v>
      </c>
      <c r="H168" s="260">
        <v>16.23</v>
      </c>
      <c r="I168" s="260">
        <v>0.74</v>
      </c>
      <c r="J168" s="260">
        <v>0.98</v>
      </c>
      <c r="K168" s="260">
        <v>0.8</v>
      </c>
      <c r="L168" s="260">
        <v>-2.66</v>
      </c>
    </row>
    <row r="169" spans="1:12" hidden="1" x14ac:dyDescent="0.25">
      <c r="A169" s="259" t="s">
        <v>1195</v>
      </c>
      <c r="B169" s="261" t="str">
        <f>VLOOKUP(A169, '[2]fund-selector'!$A$2:$F$853,6,FALSE)</f>
        <v>HY-AH</v>
      </c>
      <c r="C169" s="258">
        <v>10.119999999999999</v>
      </c>
      <c r="D169" s="260">
        <v>1.71</v>
      </c>
      <c r="E169" s="260">
        <v>20.52</v>
      </c>
      <c r="F169" s="260">
        <v>18.57</v>
      </c>
      <c r="G169" s="260">
        <v>1.71</v>
      </c>
      <c r="H169" s="260">
        <v>10.84</v>
      </c>
      <c r="I169" s="260">
        <v>1.02</v>
      </c>
      <c r="J169" s="260">
        <v>1.83</v>
      </c>
      <c r="K169" s="260">
        <v>0.85</v>
      </c>
      <c r="L169" s="260">
        <v>2.82</v>
      </c>
    </row>
    <row r="170" spans="1:12" hidden="1" x14ac:dyDescent="0.25">
      <c r="A170" s="259" t="s">
        <v>1369</v>
      </c>
      <c r="B170" s="261" t="str">
        <f>VLOOKUP(A170, '[2]fund-selector'!$A$2:$F$853,6,FALSE)</f>
        <v>HY-AR</v>
      </c>
      <c r="C170" s="258">
        <v>6.85</v>
      </c>
      <c r="D170" s="260">
        <v>0.99</v>
      </c>
      <c r="E170" s="260">
        <v>6.78</v>
      </c>
      <c r="F170" s="260">
        <v>5.36</v>
      </c>
      <c r="G170" s="260">
        <v>0.99</v>
      </c>
      <c r="H170" s="260">
        <v>0.52</v>
      </c>
      <c r="I170" s="260">
        <v>0.37</v>
      </c>
      <c r="J170" s="260">
        <v>0.38</v>
      </c>
      <c r="K170" s="260">
        <v>0.55000000000000004</v>
      </c>
      <c r="L170" s="260">
        <v>1.23</v>
      </c>
    </row>
    <row r="171" spans="1:12" hidden="1" x14ac:dyDescent="0.25">
      <c r="A171" s="259" t="s">
        <v>223</v>
      </c>
      <c r="B171" s="261" t="str">
        <f>VLOOKUP(A171, '[2]fund-selector'!$A$2:$F$853,6,FALSE)</f>
        <v>EQ-LC</v>
      </c>
      <c r="C171" s="258">
        <v>6.12</v>
      </c>
      <c r="D171" s="260">
        <v>7.0000000000000007E-2</v>
      </c>
      <c r="E171" s="259">
        <v>0</v>
      </c>
      <c r="F171" s="259">
        <v>0</v>
      </c>
      <c r="G171" s="260">
        <v>7.0000000000000007E-2</v>
      </c>
      <c r="H171" s="259">
        <v>0</v>
      </c>
      <c r="I171" s="259">
        <v>0</v>
      </c>
      <c r="J171" s="259">
        <v>0</v>
      </c>
      <c r="K171" s="259">
        <v>0</v>
      </c>
      <c r="L171" s="259">
        <v>0</v>
      </c>
    </row>
    <row r="172" spans="1:12" hidden="1" x14ac:dyDescent="0.25">
      <c r="A172" s="259" t="s">
        <v>224</v>
      </c>
      <c r="B172" s="261" t="str">
        <f>VLOOKUP(A172, '[2]fund-selector'!$A$2:$F$853,6,FALSE)</f>
        <v>EQ-LC</v>
      </c>
      <c r="C172" s="258" t="s">
        <v>54</v>
      </c>
      <c r="D172" s="260">
        <v>0.15</v>
      </c>
      <c r="E172" s="259">
        <v>0</v>
      </c>
      <c r="F172" s="259">
        <v>0</v>
      </c>
      <c r="G172" s="260">
        <v>0.15</v>
      </c>
      <c r="H172" s="259">
        <v>0</v>
      </c>
      <c r="I172" s="259">
        <v>0</v>
      </c>
      <c r="J172" s="259">
        <v>0</v>
      </c>
      <c r="K172" s="259">
        <v>0</v>
      </c>
      <c r="L172" s="259">
        <v>0</v>
      </c>
    </row>
    <row r="173" spans="1:12" hidden="1" x14ac:dyDescent="0.25">
      <c r="A173" s="259" t="s">
        <v>225</v>
      </c>
      <c r="B173" s="261" t="str">
        <f>VLOOKUP(A173, '[2]fund-selector'!$A$2:$F$853,6,FALSE)</f>
        <v>EQ-LC</v>
      </c>
      <c r="C173" s="258" t="s">
        <v>54</v>
      </c>
      <c r="D173" s="260">
        <v>0.83</v>
      </c>
      <c r="E173" s="259">
        <v>0</v>
      </c>
      <c r="F173" s="259">
        <v>0</v>
      </c>
      <c r="G173" s="260">
        <v>0.83</v>
      </c>
      <c r="H173" s="259">
        <v>0</v>
      </c>
      <c r="I173" s="259">
        <v>0</v>
      </c>
      <c r="J173" s="259">
        <v>0</v>
      </c>
      <c r="K173" s="259">
        <v>0</v>
      </c>
      <c r="L173" s="259">
        <v>0</v>
      </c>
    </row>
    <row r="174" spans="1:12" hidden="1" x14ac:dyDescent="0.25">
      <c r="A174" s="259" t="s">
        <v>226</v>
      </c>
      <c r="B174" s="261" t="str">
        <f>VLOOKUP(A174, '[2]fund-selector'!$A$2:$F$853,6,FALSE)</f>
        <v>EQ-THEMATIC</v>
      </c>
      <c r="C174" s="258" t="s">
        <v>54</v>
      </c>
      <c r="D174" s="260">
        <v>2.1800000000000002</v>
      </c>
      <c r="E174" s="259">
        <v>0</v>
      </c>
      <c r="F174" s="259">
        <v>0</v>
      </c>
      <c r="G174" s="260">
        <v>2.1800000000000002</v>
      </c>
      <c r="H174" s="259">
        <v>0</v>
      </c>
      <c r="I174" s="259">
        <v>0</v>
      </c>
      <c r="J174" s="259">
        <v>0</v>
      </c>
      <c r="K174" s="259">
        <v>0</v>
      </c>
      <c r="L174" s="259">
        <v>0</v>
      </c>
    </row>
    <row r="175" spans="1:12" hidden="1" x14ac:dyDescent="0.25">
      <c r="A175" s="259" t="s">
        <v>227</v>
      </c>
      <c r="B175" s="261" t="str">
        <f>VLOOKUP(A175, '[2]fund-selector'!$A$2:$F$853,6,FALSE)</f>
        <v>HY-DAA</v>
      </c>
      <c r="C175" s="258">
        <v>7.4</v>
      </c>
      <c r="D175" s="260">
        <v>1.9</v>
      </c>
      <c r="E175" s="260">
        <v>13.85</v>
      </c>
      <c r="F175" s="260">
        <v>11.42</v>
      </c>
      <c r="G175" s="260">
        <v>1.9</v>
      </c>
      <c r="H175" s="260">
        <v>6.77</v>
      </c>
      <c r="I175" s="260">
        <v>0.86</v>
      </c>
      <c r="J175" s="260">
        <v>1.73</v>
      </c>
      <c r="K175" s="260">
        <v>0.6</v>
      </c>
      <c r="L175" s="260">
        <v>1.1499999999999999</v>
      </c>
    </row>
    <row r="176" spans="1:12" hidden="1" x14ac:dyDescent="0.25">
      <c r="A176" s="259" t="s">
        <v>228</v>
      </c>
      <c r="B176" s="261" t="str">
        <f>VLOOKUP(A176, '[2]fund-selector'!$A$2:$F$853,6,FALSE)</f>
        <v>EQ-FLX</v>
      </c>
      <c r="C176" s="258">
        <v>4.3899999999999997</v>
      </c>
      <c r="D176" s="260">
        <v>1.74</v>
      </c>
      <c r="E176" s="260">
        <v>23</v>
      </c>
      <c r="F176" s="260">
        <v>21.74</v>
      </c>
      <c r="G176" s="260">
        <v>1.74</v>
      </c>
      <c r="H176" s="260">
        <v>14.97</v>
      </c>
      <c r="I176" s="260">
        <v>0.86</v>
      </c>
      <c r="J176" s="260">
        <v>1.58</v>
      </c>
      <c r="K176" s="260">
        <v>0.98</v>
      </c>
      <c r="L176" s="260">
        <v>1.67</v>
      </c>
    </row>
    <row r="177" spans="1:12" hidden="1" x14ac:dyDescent="0.25">
      <c r="A177" s="259" t="s">
        <v>229</v>
      </c>
      <c r="B177" s="261" t="str">
        <f>VLOOKUP(A177, '[2]fund-selector'!$A$2:$F$853,6,FALSE)</f>
        <v>EQ-FLX</v>
      </c>
      <c r="C177" s="258">
        <v>5.33</v>
      </c>
      <c r="D177" s="260">
        <v>2.0299999999999998</v>
      </c>
      <c r="E177" s="260">
        <v>23.53</v>
      </c>
      <c r="F177" s="260">
        <v>20.53</v>
      </c>
      <c r="G177" s="260">
        <v>2.0299999999999998</v>
      </c>
      <c r="H177" s="260">
        <v>15.24</v>
      </c>
      <c r="I177" s="260">
        <v>0.88</v>
      </c>
      <c r="J177" s="260">
        <v>1.56</v>
      </c>
      <c r="K177" s="260">
        <v>0.97</v>
      </c>
      <c r="L177" s="260">
        <v>2.21</v>
      </c>
    </row>
    <row r="178" spans="1:12" hidden="1" x14ac:dyDescent="0.25">
      <c r="A178" s="259" t="s">
        <v>230</v>
      </c>
      <c r="B178" s="261" t="str">
        <f>VLOOKUP(A178, '[2]fund-selector'!$A$2:$F$853,6,FALSE)</f>
        <v>EQ-LC</v>
      </c>
      <c r="C178" s="258">
        <v>9.32</v>
      </c>
      <c r="D178" s="260">
        <v>1.87</v>
      </c>
      <c r="E178" s="260">
        <v>23.82</v>
      </c>
      <c r="F178" s="260">
        <v>20.74</v>
      </c>
      <c r="G178" s="260">
        <v>1.87</v>
      </c>
      <c r="H178" s="260">
        <v>12.85</v>
      </c>
      <c r="I178" s="260">
        <v>1.03</v>
      </c>
      <c r="J178" s="260">
        <v>1.96</v>
      </c>
      <c r="K178" s="260">
        <v>0.9</v>
      </c>
      <c r="L178" s="260">
        <v>3.96</v>
      </c>
    </row>
    <row r="179" spans="1:12" hidden="1" x14ac:dyDescent="0.25">
      <c r="A179" s="259" t="s">
        <v>231</v>
      </c>
      <c r="B179" s="261" t="str">
        <f>VLOOKUP(A179, '[2]fund-selector'!$A$2:$F$853,6,FALSE)</f>
        <v>EQ-L&amp;MC</v>
      </c>
      <c r="C179" s="258">
        <v>4.09</v>
      </c>
      <c r="D179" s="260">
        <v>1.7</v>
      </c>
      <c r="E179" s="260">
        <v>25.75</v>
      </c>
      <c r="F179" s="260">
        <v>24.54</v>
      </c>
      <c r="G179" s="260">
        <v>1.7</v>
      </c>
      <c r="H179" s="260">
        <v>14.57</v>
      </c>
      <c r="I179" s="260">
        <v>1.06</v>
      </c>
      <c r="J179" s="260">
        <v>1.79</v>
      </c>
      <c r="K179" s="260">
        <v>0.97</v>
      </c>
      <c r="L179" s="260">
        <v>4.76</v>
      </c>
    </row>
    <row r="180" spans="1:12" hidden="1" x14ac:dyDescent="0.25">
      <c r="A180" s="259" t="s">
        <v>232</v>
      </c>
      <c r="B180" s="261" t="str">
        <f>VLOOKUP(A180, '[2]fund-selector'!$A$2:$F$853,6,FALSE)</f>
        <v>EQ-MC</v>
      </c>
      <c r="C180" s="258">
        <v>0.73</v>
      </c>
      <c r="D180" s="260">
        <v>1.68</v>
      </c>
      <c r="E180" s="260">
        <v>23.2</v>
      </c>
      <c r="F180" s="260">
        <v>21.79</v>
      </c>
      <c r="G180" s="260">
        <v>1.68</v>
      </c>
      <c r="H180" s="260">
        <v>17.329999999999998</v>
      </c>
      <c r="I180" s="260">
        <v>0.79</v>
      </c>
      <c r="J180" s="260">
        <v>1.21</v>
      </c>
      <c r="K180" s="260">
        <v>0.98</v>
      </c>
      <c r="L180" s="260">
        <v>-4.17</v>
      </c>
    </row>
    <row r="181" spans="1:12" hidden="1" x14ac:dyDescent="0.25">
      <c r="A181" s="259" t="s">
        <v>233</v>
      </c>
      <c r="B181" s="261" t="str">
        <f>VLOOKUP(A181, '[2]fund-selector'!$A$2:$F$853,6,FALSE)</f>
        <v>HY-MAA</v>
      </c>
      <c r="C181" s="258">
        <v>13.14</v>
      </c>
      <c r="D181" s="260">
        <v>1.58</v>
      </c>
      <c r="E181" s="259">
        <v>0</v>
      </c>
      <c r="F181" s="259">
        <v>0</v>
      </c>
      <c r="G181" s="260">
        <v>1.58</v>
      </c>
      <c r="H181" s="259">
        <v>0</v>
      </c>
      <c r="I181" s="259">
        <v>0</v>
      </c>
      <c r="J181" s="259">
        <v>0</v>
      </c>
      <c r="K181" s="259">
        <v>0</v>
      </c>
      <c r="L181" s="259">
        <v>0</v>
      </c>
    </row>
    <row r="182" spans="1:12" hidden="1" x14ac:dyDescent="0.25">
      <c r="A182" s="259" t="s">
        <v>234</v>
      </c>
      <c r="B182" s="261" t="str">
        <f>VLOOKUP(A182, '[2]fund-selector'!$A$2:$F$853,6,FALSE)</f>
        <v>EQ-MLC</v>
      </c>
      <c r="C182" s="258">
        <v>1.02</v>
      </c>
      <c r="D182" s="260">
        <v>1.99</v>
      </c>
      <c r="E182" s="259">
        <v>0</v>
      </c>
      <c r="F182" s="259">
        <v>0</v>
      </c>
      <c r="G182" s="260">
        <v>1.99</v>
      </c>
      <c r="H182" s="259">
        <v>0</v>
      </c>
      <c r="I182" s="259">
        <v>0</v>
      </c>
      <c r="J182" s="259">
        <v>0</v>
      </c>
      <c r="K182" s="259">
        <v>0</v>
      </c>
      <c r="L182" s="259">
        <v>0</v>
      </c>
    </row>
    <row r="183" spans="1:12" hidden="1" x14ac:dyDescent="0.25">
      <c r="A183" s="259" t="s">
        <v>236</v>
      </c>
      <c r="B183" s="261" t="str">
        <f>VLOOKUP(A183, '[2]fund-selector'!$A$2:$F$853,6,FALSE)</f>
        <v>EQ-LC</v>
      </c>
      <c r="C183" s="258">
        <v>4.76</v>
      </c>
      <c r="D183" s="260">
        <v>0.2</v>
      </c>
      <c r="E183" s="260">
        <v>22.75</v>
      </c>
      <c r="F183" s="259">
        <v>0</v>
      </c>
      <c r="G183" s="260">
        <v>0.2</v>
      </c>
      <c r="H183" s="260">
        <v>14.78</v>
      </c>
      <c r="I183" s="260">
        <v>0.83</v>
      </c>
      <c r="J183" s="260">
        <v>1.26</v>
      </c>
      <c r="K183" s="260">
        <v>1.05</v>
      </c>
      <c r="L183" s="260">
        <v>1.5</v>
      </c>
    </row>
    <row r="184" spans="1:12" hidden="1" x14ac:dyDescent="0.25">
      <c r="A184" s="259" t="s">
        <v>237</v>
      </c>
      <c r="B184" s="261" t="str">
        <f>VLOOKUP(A184, '[2]fund-selector'!$A$2:$F$853,6,FALSE)</f>
        <v>EQ-LC</v>
      </c>
      <c r="C184" s="258">
        <v>4.0199999999999996</v>
      </c>
      <c r="D184" s="260">
        <v>0.92</v>
      </c>
      <c r="E184" s="260">
        <v>21.92</v>
      </c>
      <c r="F184" s="260">
        <v>24.45</v>
      </c>
      <c r="G184" s="260">
        <v>0.92</v>
      </c>
      <c r="H184" s="260">
        <v>14.77</v>
      </c>
      <c r="I184" s="260">
        <v>0.78</v>
      </c>
      <c r="J184" s="260">
        <v>1.19</v>
      </c>
      <c r="K184" s="260">
        <v>1.05</v>
      </c>
      <c r="L184" s="260">
        <v>0.82</v>
      </c>
    </row>
    <row r="185" spans="1:12" hidden="1" x14ac:dyDescent="0.25">
      <c r="A185" s="259" t="s">
        <v>238</v>
      </c>
      <c r="B185" s="261" t="str">
        <f>VLOOKUP(A185, '[2]fund-selector'!$A$2:$F$853,6,FALSE)</f>
        <v>EQ-LC</v>
      </c>
      <c r="C185" s="258">
        <v>6.47</v>
      </c>
      <c r="D185" s="260">
        <v>0.06</v>
      </c>
      <c r="E185" s="260">
        <v>18.62</v>
      </c>
      <c r="F185" s="259">
        <v>0</v>
      </c>
      <c r="G185" s="260">
        <v>0.06</v>
      </c>
      <c r="H185" s="260">
        <v>13.11</v>
      </c>
      <c r="I185" s="260">
        <v>0.69</v>
      </c>
      <c r="J185" s="260">
        <v>1.17</v>
      </c>
      <c r="K185" s="260">
        <v>0.95</v>
      </c>
      <c r="L185" s="260">
        <v>-0.74</v>
      </c>
    </row>
    <row r="186" spans="1:12" hidden="1" x14ac:dyDescent="0.25">
      <c r="A186" s="259" t="s">
        <v>239</v>
      </c>
      <c r="B186" s="261" t="str">
        <f>VLOOKUP(A186, '[2]fund-selector'!$A$2:$F$853,6,FALSE)</f>
        <v>EQ-LC</v>
      </c>
      <c r="C186" s="258">
        <v>6.11</v>
      </c>
      <c r="D186" s="260">
        <v>0.36</v>
      </c>
      <c r="E186" s="260">
        <v>18.190000000000001</v>
      </c>
      <c r="F186" s="260">
        <v>20.14</v>
      </c>
      <c r="G186" s="260">
        <v>0.36</v>
      </c>
      <c r="H186" s="260">
        <v>13.13</v>
      </c>
      <c r="I186" s="260">
        <v>0.66</v>
      </c>
      <c r="J186" s="260">
        <v>1.1299999999999999</v>
      </c>
      <c r="K186" s="260">
        <v>0.95</v>
      </c>
      <c r="L186" s="260">
        <v>-1.1100000000000001</v>
      </c>
    </row>
    <row r="187" spans="1:12" hidden="1" x14ac:dyDescent="0.25">
      <c r="A187" s="259" t="s">
        <v>240</v>
      </c>
      <c r="B187" s="261" t="str">
        <f>VLOOKUP(A187, '[2]fund-selector'!$A$2:$F$853,6,FALSE)</f>
        <v>EQ-MC</v>
      </c>
      <c r="C187" s="258">
        <v>0.16</v>
      </c>
      <c r="D187" s="260">
        <v>0.3</v>
      </c>
      <c r="E187" s="260">
        <v>18.61</v>
      </c>
      <c r="F187" s="259">
        <v>0</v>
      </c>
      <c r="G187" s="260">
        <v>0.3</v>
      </c>
      <c r="H187" s="260">
        <v>15.59</v>
      </c>
      <c r="I187" s="260">
        <v>0.65</v>
      </c>
      <c r="J187" s="260">
        <v>1</v>
      </c>
      <c r="K187" s="260">
        <v>0.87</v>
      </c>
      <c r="L187" s="260">
        <v>-5.73</v>
      </c>
    </row>
    <row r="188" spans="1:12" hidden="1" x14ac:dyDescent="0.25">
      <c r="A188" s="259" t="s">
        <v>241</v>
      </c>
      <c r="B188" s="261" t="str">
        <f>VLOOKUP(A188, '[2]fund-selector'!$A$2:$F$853,6,FALSE)</f>
        <v>EQ-MC</v>
      </c>
      <c r="C188" s="258">
        <v>-0.44</v>
      </c>
      <c r="D188" s="260">
        <v>0.86</v>
      </c>
      <c r="E188" s="259">
        <v>0</v>
      </c>
      <c r="F188" s="259">
        <v>0</v>
      </c>
      <c r="G188" s="260">
        <v>0.86</v>
      </c>
      <c r="H188" s="259">
        <v>0</v>
      </c>
      <c r="I188" s="259">
        <v>0</v>
      </c>
      <c r="J188" s="259">
        <v>0</v>
      </c>
      <c r="K188" s="259">
        <v>0</v>
      </c>
      <c r="L188" s="259">
        <v>0</v>
      </c>
    </row>
    <row r="189" spans="1:12" hidden="1" x14ac:dyDescent="0.25">
      <c r="A189" s="259" t="s">
        <v>242</v>
      </c>
      <c r="B189" s="261" t="str">
        <f>VLOOKUP(A189, '[2]fund-selector'!$A$2:$F$853,6,FALSE)</f>
        <v>EQ-LC</v>
      </c>
      <c r="C189" s="258">
        <v>-8</v>
      </c>
      <c r="D189" s="260">
        <v>0.61</v>
      </c>
      <c r="E189" s="260">
        <v>22.6</v>
      </c>
      <c r="F189" s="260">
        <v>21.19</v>
      </c>
      <c r="G189" s="260">
        <v>0.61</v>
      </c>
      <c r="H189" s="260">
        <v>19.54</v>
      </c>
      <c r="I189" s="260">
        <v>0.7</v>
      </c>
      <c r="J189" s="260">
        <v>1.04</v>
      </c>
      <c r="K189" s="260">
        <v>1.3</v>
      </c>
      <c r="L189" s="260">
        <v>0.28000000000000003</v>
      </c>
    </row>
    <row r="190" spans="1:12" hidden="1" x14ac:dyDescent="0.25">
      <c r="A190" s="259" t="s">
        <v>243</v>
      </c>
      <c r="B190" s="261" t="str">
        <f>VLOOKUP(A190, '[2]fund-selector'!$A$2:$F$853,6,FALSE)</f>
        <v>EQ-SC</v>
      </c>
      <c r="C190" s="258">
        <v>-1.0900000000000001</v>
      </c>
      <c r="D190" s="260">
        <v>0.98</v>
      </c>
      <c r="E190" s="259">
        <v>0</v>
      </c>
      <c r="F190" s="259">
        <v>0</v>
      </c>
      <c r="G190" s="260">
        <v>0.98</v>
      </c>
      <c r="H190" s="259">
        <v>0</v>
      </c>
      <c r="I190" s="259">
        <v>0</v>
      </c>
      <c r="J190" s="259">
        <v>0</v>
      </c>
      <c r="K190" s="259">
        <v>0</v>
      </c>
      <c r="L190" s="259">
        <v>0</v>
      </c>
    </row>
    <row r="191" spans="1:12" hidden="1" x14ac:dyDescent="0.25">
      <c r="A191" s="259" t="s">
        <v>244</v>
      </c>
      <c r="B191" s="261" t="str">
        <f>VLOOKUP(A191, '[2]fund-selector'!$A$2:$F$853,6,FALSE)</f>
        <v>EQ-LC</v>
      </c>
      <c r="C191" s="258" t="s">
        <v>54</v>
      </c>
      <c r="D191" s="260">
        <v>0.15</v>
      </c>
      <c r="E191" s="259">
        <v>0</v>
      </c>
      <c r="F191" s="259">
        <v>0</v>
      </c>
      <c r="G191" s="260">
        <v>0.15</v>
      </c>
      <c r="H191" s="259">
        <v>0</v>
      </c>
      <c r="I191" s="259">
        <v>0</v>
      </c>
      <c r="J191" s="259">
        <v>0</v>
      </c>
      <c r="K191" s="259">
        <v>0</v>
      </c>
      <c r="L191" s="259">
        <v>0</v>
      </c>
    </row>
    <row r="192" spans="1:12" hidden="1" x14ac:dyDescent="0.25">
      <c r="A192" s="259" t="s">
        <v>245</v>
      </c>
      <c r="B192" s="261" t="str">
        <f>VLOOKUP(A192, '[2]fund-selector'!$A$2:$F$853,6,FALSE)</f>
        <v>EQ-LC</v>
      </c>
      <c r="C192" s="258" t="s">
        <v>54</v>
      </c>
      <c r="D192" s="260">
        <v>0.94</v>
      </c>
      <c r="E192" s="259">
        <v>0</v>
      </c>
      <c r="F192" s="259">
        <v>0</v>
      </c>
      <c r="G192" s="260">
        <v>0.94</v>
      </c>
      <c r="H192" s="259">
        <v>0</v>
      </c>
      <c r="I192" s="259">
        <v>0</v>
      </c>
      <c r="J192" s="259">
        <v>0</v>
      </c>
      <c r="K192" s="259">
        <v>0</v>
      </c>
      <c r="L192" s="259">
        <v>0</v>
      </c>
    </row>
    <row r="193" spans="1:12" hidden="1" x14ac:dyDescent="0.25">
      <c r="A193" s="259" t="s">
        <v>246</v>
      </c>
      <c r="B193" s="261" t="str">
        <f>VLOOKUP(A193, '[2]fund-selector'!$A$2:$F$853,6,FALSE)</f>
        <v>EQ-THEMATIC</v>
      </c>
      <c r="C193" s="258">
        <v>2.76</v>
      </c>
      <c r="D193" s="260">
        <v>1.28</v>
      </c>
      <c r="E193" s="260">
        <v>15.3</v>
      </c>
      <c r="F193" s="260">
        <v>16.61</v>
      </c>
      <c r="G193" s="260">
        <v>1.28</v>
      </c>
      <c r="H193" s="260">
        <v>14.11</v>
      </c>
      <c r="I193" s="260">
        <v>0.39</v>
      </c>
      <c r="J193" s="260">
        <v>0.67</v>
      </c>
      <c r="K193" s="260">
        <v>0.92</v>
      </c>
      <c r="L193" s="260">
        <v>-5.12</v>
      </c>
    </row>
    <row r="194" spans="1:12" hidden="1" x14ac:dyDescent="0.25">
      <c r="A194" s="259" t="s">
        <v>1196</v>
      </c>
      <c r="B194" s="261" t="str">
        <f>VLOOKUP(A194, '[2]fund-selector'!$A$2:$F$853,6,FALSE)</f>
        <v>HY-CH</v>
      </c>
      <c r="C194" s="258">
        <v>9.66</v>
      </c>
      <c r="D194" s="260">
        <v>1.1599999999999999</v>
      </c>
      <c r="E194" s="260">
        <v>11.31</v>
      </c>
      <c r="F194" s="260">
        <v>9.8000000000000007</v>
      </c>
      <c r="G194" s="260">
        <v>1.1599999999999999</v>
      </c>
      <c r="H194" s="260">
        <v>3.62</v>
      </c>
      <c r="I194" s="260">
        <v>1.07</v>
      </c>
      <c r="J194" s="260">
        <v>1.83</v>
      </c>
      <c r="K194" s="260">
        <v>0.85</v>
      </c>
      <c r="L194" s="260">
        <v>0.74</v>
      </c>
    </row>
    <row r="195" spans="1:12" hidden="1" x14ac:dyDescent="0.25">
      <c r="A195" s="259" t="s">
        <v>247</v>
      </c>
      <c r="B195" s="261" t="str">
        <f>VLOOKUP(A195, '[2]fund-selector'!$A$2:$F$853,6,FALSE)</f>
        <v>EQ-SC</v>
      </c>
      <c r="C195" s="258">
        <v>6.94</v>
      </c>
      <c r="D195" s="260">
        <v>1.71</v>
      </c>
      <c r="E195" s="260">
        <v>25.93</v>
      </c>
      <c r="F195" s="260">
        <v>32.07</v>
      </c>
      <c r="G195" s="260">
        <v>1.71</v>
      </c>
      <c r="H195" s="260">
        <v>19.32</v>
      </c>
      <c r="I195" s="260">
        <v>0.83</v>
      </c>
      <c r="J195" s="260">
        <v>1.29</v>
      </c>
      <c r="K195" s="260">
        <v>0.94</v>
      </c>
      <c r="L195" s="260">
        <v>-1.1499999999999999</v>
      </c>
    </row>
    <row r="196" spans="1:12" hidden="1" x14ac:dyDescent="0.25">
      <c r="A196" s="259" t="s">
        <v>1197</v>
      </c>
      <c r="B196" s="261" t="str">
        <f>VLOOKUP(A196, '[2]fund-selector'!$A$2:$F$853,6,FALSE)</f>
        <v>HY-AH</v>
      </c>
      <c r="C196" s="258">
        <v>7.55</v>
      </c>
      <c r="D196" s="260">
        <v>1.9</v>
      </c>
      <c r="E196" s="260">
        <v>21.1</v>
      </c>
      <c r="F196" s="260">
        <v>21.14</v>
      </c>
      <c r="G196" s="260">
        <v>1.9</v>
      </c>
      <c r="H196" s="260">
        <v>10.35</v>
      </c>
      <c r="I196" s="260">
        <v>1.1200000000000001</v>
      </c>
      <c r="J196" s="260">
        <v>1.64</v>
      </c>
      <c r="K196" s="260">
        <v>0.85</v>
      </c>
      <c r="L196" s="260">
        <v>3.47</v>
      </c>
    </row>
    <row r="197" spans="1:12" hidden="1" x14ac:dyDescent="0.25">
      <c r="A197" s="259" t="s">
        <v>1370</v>
      </c>
      <c r="B197" s="261" t="str">
        <f>VLOOKUP(A197, '[2]fund-selector'!$A$2:$F$853,6,FALSE)</f>
        <v>HY-AR</v>
      </c>
      <c r="C197" s="258">
        <v>6.96</v>
      </c>
      <c r="D197" s="260">
        <v>1.06</v>
      </c>
      <c r="E197" s="260">
        <v>6.9</v>
      </c>
      <c r="F197" s="260">
        <v>5.57</v>
      </c>
      <c r="G197" s="260">
        <v>1.06</v>
      </c>
      <c r="H197" s="260">
        <v>0.55000000000000004</v>
      </c>
      <c r="I197" s="260">
        <v>0.53</v>
      </c>
      <c r="J197" s="260">
        <v>0.59</v>
      </c>
      <c r="K197" s="260">
        <v>0.55000000000000004</v>
      </c>
      <c r="L197" s="260">
        <v>1.34</v>
      </c>
    </row>
    <row r="198" spans="1:12" hidden="1" x14ac:dyDescent="0.25">
      <c r="A198" s="259" t="s">
        <v>248</v>
      </c>
      <c r="B198" s="261" t="str">
        <f>VLOOKUP(A198, '[2]fund-selector'!$A$2:$F$853,6,FALSE)</f>
        <v>HY-DAA</v>
      </c>
      <c r="C198" s="258">
        <v>3.33</v>
      </c>
      <c r="D198" s="260">
        <v>1.68</v>
      </c>
      <c r="E198" s="260">
        <v>14.61</v>
      </c>
      <c r="F198" s="260">
        <v>15.14</v>
      </c>
      <c r="G198" s="260">
        <v>1.68</v>
      </c>
      <c r="H198" s="260">
        <v>8.56</v>
      </c>
      <c r="I198" s="260">
        <v>0.76</v>
      </c>
      <c r="J198" s="260">
        <v>1.1399999999999999</v>
      </c>
      <c r="K198" s="260">
        <v>0.81</v>
      </c>
      <c r="L198" s="260">
        <v>0.09</v>
      </c>
    </row>
    <row r="199" spans="1:12" hidden="1" x14ac:dyDescent="0.25">
      <c r="A199" s="259" t="s">
        <v>249</v>
      </c>
      <c r="B199" s="261" t="str">
        <f>VLOOKUP(A199, '[2]fund-selector'!$A$2:$F$853,6,FALSE)</f>
        <v>EQ-THEMATIC</v>
      </c>
      <c r="C199" s="258" t="s">
        <v>54</v>
      </c>
      <c r="D199" s="260">
        <v>0.25</v>
      </c>
      <c r="E199" s="259">
        <v>0</v>
      </c>
      <c r="F199" s="259">
        <v>0</v>
      </c>
      <c r="G199" s="260">
        <v>0.25</v>
      </c>
      <c r="H199" s="259">
        <v>0</v>
      </c>
      <c r="I199" s="259">
        <v>0</v>
      </c>
      <c r="J199" s="259">
        <v>0</v>
      </c>
      <c r="K199" s="259">
        <v>0</v>
      </c>
      <c r="L199" s="259">
        <v>0</v>
      </c>
    </row>
    <row r="200" spans="1:12" hidden="1" x14ac:dyDescent="0.25">
      <c r="A200" s="259" t="s">
        <v>250</v>
      </c>
      <c r="B200" s="261" t="str">
        <f>VLOOKUP(A200, '[2]fund-selector'!$A$2:$F$853,6,FALSE)</f>
        <v>EQ-THEMATIC</v>
      </c>
      <c r="C200" s="258" t="s">
        <v>54</v>
      </c>
      <c r="D200" s="260">
        <v>1.0900000000000001</v>
      </c>
      <c r="E200" s="259">
        <v>0</v>
      </c>
      <c r="F200" s="259">
        <v>0</v>
      </c>
      <c r="G200" s="260">
        <v>1.0900000000000001</v>
      </c>
      <c r="H200" s="259">
        <v>0</v>
      </c>
      <c r="I200" s="259">
        <v>0</v>
      </c>
      <c r="J200" s="259">
        <v>0</v>
      </c>
      <c r="K200" s="259">
        <v>0</v>
      </c>
      <c r="L200" s="259">
        <v>0</v>
      </c>
    </row>
    <row r="201" spans="1:12" hidden="1" x14ac:dyDescent="0.25">
      <c r="A201" s="259" t="s">
        <v>251</v>
      </c>
      <c r="B201" s="261" t="str">
        <f>VLOOKUP(A201, '[2]fund-selector'!$A$2:$F$853,6,FALSE)</f>
        <v>EQ-THEMATIC</v>
      </c>
      <c r="C201" s="258" t="s">
        <v>54</v>
      </c>
      <c r="D201" s="260">
        <v>2.02</v>
      </c>
      <c r="E201" s="259">
        <v>0</v>
      </c>
      <c r="F201" s="259">
        <v>0</v>
      </c>
      <c r="G201" s="260">
        <v>2.02</v>
      </c>
      <c r="H201" s="259">
        <v>0</v>
      </c>
      <c r="I201" s="259">
        <v>0</v>
      </c>
      <c r="J201" s="259">
        <v>0</v>
      </c>
      <c r="K201" s="259">
        <v>0</v>
      </c>
      <c r="L201" s="259">
        <v>0</v>
      </c>
    </row>
    <row r="202" spans="1:12" hidden="1" x14ac:dyDescent="0.25">
      <c r="A202" s="259" t="s">
        <v>253</v>
      </c>
      <c r="B202" s="261" t="str">
        <f>VLOOKUP(A202, '[2]fund-selector'!$A$2:$F$853,6,FALSE)</f>
        <v>EQ-FLX</v>
      </c>
      <c r="C202" s="258">
        <v>2.6</v>
      </c>
      <c r="D202" s="260">
        <v>1.93</v>
      </c>
      <c r="E202" s="260">
        <v>23.6</v>
      </c>
      <c r="F202" s="260">
        <v>24.1</v>
      </c>
      <c r="G202" s="260">
        <v>1.93</v>
      </c>
      <c r="H202" s="260">
        <v>14.47</v>
      </c>
      <c r="I202" s="260">
        <v>0.91</v>
      </c>
      <c r="J202" s="260">
        <v>1.32</v>
      </c>
      <c r="K202" s="260">
        <v>0.97</v>
      </c>
      <c r="L202" s="260">
        <v>1.92</v>
      </c>
    </row>
    <row r="203" spans="1:12" hidden="1" x14ac:dyDescent="0.25">
      <c r="A203" s="259" t="s">
        <v>254</v>
      </c>
      <c r="B203" s="261" t="str">
        <f>VLOOKUP(A203, '[2]fund-selector'!$A$2:$F$853,6,FALSE)</f>
        <v>EQ-FLX</v>
      </c>
      <c r="C203" s="258">
        <v>2.95</v>
      </c>
      <c r="D203" s="260">
        <v>2.21</v>
      </c>
      <c r="E203" s="259">
        <v>0</v>
      </c>
      <c r="F203" s="259">
        <v>0</v>
      </c>
      <c r="G203" s="260">
        <v>2.21</v>
      </c>
      <c r="H203" s="259">
        <v>0</v>
      </c>
      <c r="I203" s="259">
        <v>0</v>
      </c>
      <c r="J203" s="259">
        <v>0</v>
      </c>
      <c r="K203" s="259">
        <v>0</v>
      </c>
      <c r="L203" s="259">
        <v>0</v>
      </c>
    </row>
    <row r="204" spans="1:12" hidden="1" x14ac:dyDescent="0.25">
      <c r="A204" s="259" t="s">
        <v>257</v>
      </c>
      <c r="B204" s="261" t="str">
        <f>VLOOKUP(A204, '[2]fund-selector'!$A$2:$F$853,6,FALSE)</f>
        <v>EQ-LC</v>
      </c>
      <c r="C204" s="258">
        <v>2.94</v>
      </c>
      <c r="D204" s="260">
        <v>2.12</v>
      </c>
      <c r="E204" s="260">
        <v>20.53</v>
      </c>
      <c r="F204" s="260">
        <v>20.55</v>
      </c>
      <c r="G204" s="260">
        <v>2.12</v>
      </c>
      <c r="H204" s="260">
        <v>13.04</v>
      </c>
      <c r="I204" s="260">
        <v>0.83</v>
      </c>
      <c r="J204" s="260">
        <v>1.34</v>
      </c>
      <c r="K204" s="260">
        <v>0.94</v>
      </c>
      <c r="L204" s="260">
        <v>1.1000000000000001</v>
      </c>
    </row>
    <row r="205" spans="1:12" hidden="1" x14ac:dyDescent="0.25">
      <c r="A205" s="259" t="s">
        <v>258</v>
      </c>
      <c r="B205" s="261" t="str">
        <f>VLOOKUP(A205, '[2]fund-selector'!$A$2:$F$853,6,FALSE)</f>
        <v>EQ-L&amp;MC</v>
      </c>
      <c r="C205" s="258">
        <v>4.34</v>
      </c>
      <c r="D205" s="260">
        <v>1.86</v>
      </c>
      <c r="E205" s="260">
        <v>23.4</v>
      </c>
      <c r="F205" s="260">
        <v>24.47</v>
      </c>
      <c r="G205" s="260">
        <v>1.86</v>
      </c>
      <c r="H205" s="260">
        <v>14.81</v>
      </c>
      <c r="I205" s="260">
        <v>0.88</v>
      </c>
      <c r="J205" s="260">
        <v>1.23</v>
      </c>
      <c r="K205" s="260">
        <v>0.99</v>
      </c>
      <c r="L205" s="260">
        <v>2.12</v>
      </c>
    </row>
    <row r="206" spans="1:12" hidden="1" x14ac:dyDescent="0.25">
      <c r="A206" s="259" t="s">
        <v>259</v>
      </c>
      <c r="B206" s="261" t="str">
        <f>VLOOKUP(A206, '[2]fund-selector'!$A$2:$F$853,6,FALSE)</f>
        <v>EQ-MC</v>
      </c>
      <c r="C206" s="258">
        <v>8.73</v>
      </c>
      <c r="D206" s="260">
        <v>1.7</v>
      </c>
      <c r="E206" s="260">
        <v>31.44</v>
      </c>
      <c r="F206" s="260">
        <v>32.83</v>
      </c>
      <c r="G206" s="260">
        <v>1.7</v>
      </c>
      <c r="H206" s="260">
        <v>16.63</v>
      </c>
      <c r="I206" s="260">
        <v>1.17</v>
      </c>
      <c r="J206" s="260">
        <v>1.58</v>
      </c>
      <c r="K206" s="260">
        <v>0.95</v>
      </c>
      <c r="L206" s="260">
        <v>2.35</v>
      </c>
    </row>
    <row r="207" spans="1:12" hidden="1" x14ac:dyDescent="0.25">
      <c r="A207" s="259" t="s">
        <v>260</v>
      </c>
      <c r="B207" s="261" t="str">
        <f>VLOOKUP(A207, '[2]fund-selector'!$A$2:$F$853,6,FALSE)</f>
        <v>HY-MAA</v>
      </c>
      <c r="C207" s="258">
        <v>8.61</v>
      </c>
      <c r="D207" s="260">
        <v>0.72</v>
      </c>
      <c r="E207" s="259">
        <v>0</v>
      </c>
      <c r="F207" s="259">
        <v>0</v>
      </c>
      <c r="G207" s="260">
        <v>0.72</v>
      </c>
      <c r="H207" s="259">
        <v>0</v>
      </c>
      <c r="I207" s="259">
        <v>0</v>
      </c>
      <c r="J207" s="259">
        <v>0</v>
      </c>
      <c r="K207" s="259">
        <v>0</v>
      </c>
      <c r="L207" s="259">
        <v>0</v>
      </c>
    </row>
    <row r="208" spans="1:12" hidden="1" x14ac:dyDescent="0.25">
      <c r="A208" s="259" t="s">
        <v>261</v>
      </c>
      <c r="B208" s="261" t="str">
        <f>VLOOKUP(A208, '[2]fund-selector'!$A$2:$F$853,6,FALSE)</f>
        <v>EQ-MLC</v>
      </c>
      <c r="C208" s="258">
        <v>3.62</v>
      </c>
      <c r="D208" s="260">
        <v>1.92</v>
      </c>
      <c r="E208" s="259">
        <v>0</v>
      </c>
      <c r="F208" s="259">
        <v>0</v>
      </c>
      <c r="G208" s="260">
        <v>1.92</v>
      </c>
      <c r="H208" s="259">
        <v>0</v>
      </c>
      <c r="I208" s="259">
        <v>0</v>
      </c>
      <c r="J208" s="259">
        <v>0</v>
      </c>
      <c r="K208" s="259">
        <v>0</v>
      </c>
      <c r="L208" s="259">
        <v>0</v>
      </c>
    </row>
    <row r="209" spans="1:12" hidden="1" x14ac:dyDescent="0.25">
      <c r="A209" s="259" t="s">
        <v>262</v>
      </c>
      <c r="B209" s="261" t="str">
        <f>VLOOKUP(A209, '[2]fund-selector'!$A$2:$F$853,6,FALSE)</f>
        <v>EQ-LC</v>
      </c>
      <c r="C209" s="258">
        <v>-0.27</v>
      </c>
      <c r="D209" s="260">
        <v>0.85</v>
      </c>
      <c r="E209" s="260">
        <v>18.899999999999999</v>
      </c>
      <c r="F209" s="259">
        <v>0</v>
      </c>
      <c r="G209" s="260">
        <v>0.85</v>
      </c>
      <c r="H209" s="260">
        <v>14.51</v>
      </c>
      <c r="I209" s="260">
        <v>0.64</v>
      </c>
      <c r="J209" s="260">
        <v>0.86</v>
      </c>
      <c r="K209" s="260">
        <v>0.98</v>
      </c>
      <c r="L209" s="260">
        <v>-0.88</v>
      </c>
    </row>
    <row r="210" spans="1:12" hidden="1" x14ac:dyDescent="0.25">
      <c r="A210" s="259" t="s">
        <v>263</v>
      </c>
      <c r="B210" s="261" t="str">
        <f>VLOOKUP(A210, '[2]fund-selector'!$A$2:$F$853,6,FALSE)</f>
        <v>EQ-MLC</v>
      </c>
      <c r="C210" s="258" t="s">
        <v>54</v>
      </c>
      <c r="D210" s="260">
        <v>0.3</v>
      </c>
      <c r="E210" s="259">
        <v>0</v>
      </c>
      <c r="F210" s="259">
        <v>0</v>
      </c>
      <c r="G210" s="260">
        <v>0.3</v>
      </c>
      <c r="H210" s="259">
        <v>0</v>
      </c>
      <c r="I210" s="259">
        <v>0</v>
      </c>
      <c r="J210" s="259">
        <v>0</v>
      </c>
      <c r="K210" s="259">
        <v>0</v>
      </c>
      <c r="L210" s="259">
        <v>0</v>
      </c>
    </row>
    <row r="211" spans="1:12" hidden="1" x14ac:dyDescent="0.25">
      <c r="A211" s="259" t="s">
        <v>264</v>
      </c>
      <c r="B211" s="261" t="str">
        <f>VLOOKUP(A211, '[2]fund-selector'!$A$2:$F$853,6,FALSE)</f>
        <v>EQ-MLC</v>
      </c>
      <c r="C211" s="258" t="s">
        <v>54</v>
      </c>
      <c r="D211" s="260">
        <v>1.02</v>
      </c>
      <c r="E211" s="259">
        <v>0</v>
      </c>
      <c r="F211" s="259">
        <v>0</v>
      </c>
      <c r="G211" s="260">
        <v>1.02</v>
      </c>
      <c r="H211" s="259">
        <v>0</v>
      </c>
      <c r="I211" s="259">
        <v>0</v>
      </c>
      <c r="J211" s="259">
        <v>0</v>
      </c>
      <c r="K211" s="259">
        <v>0</v>
      </c>
      <c r="L211" s="259">
        <v>0</v>
      </c>
    </row>
    <row r="212" spans="1:12" hidden="1" x14ac:dyDescent="0.25">
      <c r="A212" s="259" t="s">
        <v>265</v>
      </c>
      <c r="B212" s="261" t="str">
        <f>VLOOKUP(A212, '[2]fund-selector'!$A$2:$F$853,6,FALSE)</f>
        <v>EQ-LC</v>
      </c>
      <c r="C212" s="258">
        <v>5.85</v>
      </c>
      <c r="D212" s="260">
        <v>0.5</v>
      </c>
      <c r="E212" s="260">
        <v>17.79</v>
      </c>
      <c r="F212" s="259">
        <v>0</v>
      </c>
      <c r="G212" s="260">
        <v>0.5</v>
      </c>
      <c r="H212" s="260">
        <v>13.09</v>
      </c>
      <c r="I212" s="260">
        <v>0.63</v>
      </c>
      <c r="J212" s="260">
        <v>1.08</v>
      </c>
      <c r="K212" s="260">
        <v>0.94</v>
      </c>
      <c r="L212" s="260">
        <v>-1.43</v>
      </c>
    </row>
    <row r="213" spans="1:12" hidden="1" x14ac:dyDescent="0.25">
      <c r="A213" s="259" t="s">
        <v>266</v>
      </c>
      <c r="B213" s="261" t="str">
        <f>VLOOKUP(A213, '[2]fund-selector'!$A$2:$F$853,6,FALSE)</f>
        <v>EQ-L&amp;MC</v>
      </c>
      <c r="C213" s="258">
        <v>-4.3</v>
      </c>
      <c r="D213" s="260">
        <v>1.1000000000000001</v>
      </c>
      <c r="E213" s="259">
        <v>0</v>
      </c>
      <c r="F213" s="259">
        <v>0</v>
      </c>
      <c r="G213" s="260">
        <v>1.1000000000000001</v>
      </c>
      <c r="H213" s="259">
        <v>0</v>
      </c>
      <c r="I213" s="259">
        <v>0</v>
      </c>
      <c r="J213" s="259">
        <v>0</v>
      </c>
      <c r="K213" s="259">
        <v>0</v>
      </c>
      <c r="L213" s="259">
        <v>0</v>
      </c>
    </row>
    <row r="214" spans="1:12" hidden="1" x14ac:dyDescent="0.25">
      <c r="A214" s="259" t="s">
        <v>267</v>
      </c>
      <c r="B214" s="261" t="str">
        <f>VLOOKUP(A214, '[2]fund-selector'!$A$2:$F$853,6,FALSE)</f>
        <v>EQ-L&amp;MC</v>
      </c>
      <c r="C214" s="258">
        <v>2.4900000000000002</v>
      </c>
      <c r="D214" s="260">
        <v>0.9</v>
      </c>
      <c r="E214" s="260">
        <v>23.22</v>
      </c>
      <c r="F214" s="259">
        <v>0</v>
      </c>
      <c r="G214" s="260">
        <v>0.9</v>
      </c>
      <c r="H214" s="260">
        <v>14.9</v>
      </c>
      <c r="I214" s="260">
        <v>0.89</v>
      </c>
      <c r="J214" s="260">
        <v>1.33</v>
      </c>
      <c r="K214" s="260">
        <v>1.03</v>
      </c>
      <c r="L214" s="260">
        <v>1.94</v>
      </c>
    </row>
    <row r="215" spans="1:12" hidden="1" x14ac:dyDescent="0.25">
      <c r="A215" s="259" t="s">
        <v>268</v>
      </c>
      <c r="B215" s="261" t="str">
        <f>VLOOKUP(A215, '[2]fund-selector'!$A$2:$F$853,6,FALSE)</f>
        <v>EQ-MC</v>
      </c>
      <c r="C215" s="258">
        <v>-3.25</v>
      </c>
      <c r="D215" s="260">
        <v>1.1000000000000001</v>
      </c>
      <c r="E215" s="259">
        <v>0</v>
      </c>
      <c r="F215" s="259">
        <v>0</v>
      </c>
      <c r="G215" s="260">
        <v>1.1000000000000001</v>
      </c>
      <c r="H215" s="259">
        <v>0</v>
      </c>
      <c r="I215" s="259">
        <v>0</v>
      </c>
      <c r="J215" s="259">
        <v>0</v>
      </c>
      <c r="K215" s="259">
        <v>0</v>
      </c>
      <c r="L215" s="259">
        <v>0</v>
      </c>
    </row>
    <row r="216" spans="1:12" hidden="1" x14ac:dyDescent="0.25">
      <c r="A216" s="259" t="s">
        <v>269</v>
      </c>
      <c r="B216" s="261" t="str">
        <f>VLOOKUP(A216, '[2]fund-selector'!$A$2:$F$853,6,FALSE)</f>
        <v>EQ-LC</v>
      </c>
      <c r="C216" s="258">
        <v>-8.2200000000000006</v>
      </c>
      <c r="D216" s="260">
        <v>0.75</v>
      </c>
      <c r="E216" s="259">
        <v>0</v>
      </c>
      <c r="F216" s="259">
        <v>0</v>
      </c>
      <c r="G216" s="260">
        <v>0.75</v>
      </c>
      <c r="H216" s="259">
        <v>0</v>
      </c>
      <c r="I216" s="259">
        <v>0</v>
      </c>
      <c r="J216" s="259">
        <v>0</v>
      </c>
      <c r="K216" s="259">
        <v>0</v>
      </c>
      <c r="L216" s="259">
        <v>0</v>
      </c>
    </row>
    <row r="217" spans="1:12" hidden="1" x14ac:dyDescent="0.25">
      <c r="A217" s="259" t="s">
        <v>270</v>
      </c>
      <c r="B217" s="261" t="str">
        <f>VLOOKUP(A217, '[2]fund-selector'!$A$2:$F$853,6,FALSE)</f>
        <v>EQ-SC</v>
      </c>
      <c r="C217" s="258">
        <v>-1.38</v>
      </c>
      <c r="D217" s="260">
        <v>0.78</v>
      </c>
      <c r="E217" s="259">
        <v>0</v>
      </c>
      <c r="F217" s="259">
        <v>0</v>
      </c>
      <c r="G217" s="260">
        <v>0.78</v>
      </c>
      <c r="H217" s="259">
        <v>0</v>
      </c>
      <c r="I217" s="259">
        <v>0</v>
      </c>
      <c r="J217" s="259">
        <v>0</v>
      </c>
      <c r="K217" s="259">
        <v>0</v>
      </c>
      <c r="L217" s="259">
        <v>0</v>
      </c>
    </row>
    <row r="218" spans="1:12" hidden="1" x14ac:dyDescent="0.25">
      <c r="A218" s="259" t="s">
        <v>271</v>
      </c>
      <c r="B218" s="261" t="str">
        <f>VLOOKUP(A218, '[2]fund-selector'!$A$2:$F$853,6,FALSE)</f>
        <v>EQ-THEMATIC</v>
      </c>
      <c r="C218" s="258">
        <v>-2.56</v>
      </c>
      <c r="D218" s="260">
        <v>2.29</v>
      </c>
      <c r="E218" s="260">
        <v>17.34</v>
      </c>
      <c r="F218" s="260">
        <v>21.24</v>
      </c>
      <c r="G218" s="260">
        <v>2.29</v>
      </c>
      <c r="H218" s="260">
        <v>18.53</v>
      </c>
      <c r="I218" s="260">
        <v>0.5</v>
      </c>
      <c r="J218" s="260">
        <v>0.69</v>
      </c>
      <c r="K218" s="260">
        <v>0.99</v>
      </c>
      <c r="L218" s="260">
        <v>-2.2200000000000002</v>
      </c>
    </row>
    <row r="219" spans="1:12" hidden="1" x14ac:dyDescent="0.25">
      <c r="A219" s="259" t="s">
        <v>272</v>
      </c>
      <c r="B219" s="261" t="str">
        <f>VLOOKUP(A219, '[2]fund-selector'!$A$2:$F$853,6,FALSE)</f>
        <v>EQ-SC</v>
      </c>
      <c r="C219" s="258">
        <v>1.24</v>
      </c>
      <c r="D219" s="260">
        <v>1.83</v>
      </c>
      <c r="E219" s="260">
        <v>26.62</v>
      </c>
      <c r="F219" s="260">
        <v>33.4</v>
      </c>
      <c r="G219" s="260">
        <v>1.83</v>
      </c>
      <c r="H219" s="260">
        <v>16.79</v>
      </c>
      <c r="I219" s="260">
        <v>0.95</v>
      </c>
      <c r="J219" s="260">
        <v>1.34</v>
      </c>
      <c r="K219" s="260">
        <v>0.83</v>
      </c>
      <c r="L219" s="260">
        <v>0.76</v>
      </c>
    </row>
    <row r="220" spans="1:12" hidden="1" x14ac:dyDescent="0.25">
      <c r="A220" s="259" t="s">
        <v>1371</v>
      </c>
      <c r="B220" s="261" t="str">
        <f>VLOOKUP(A220, '[2]fund-selector'!$A$2:$F$853,6,FALSE)</f>
        <v>HY-AR</v>
      </c>
      <c r="C220" s="258" t="s">
        <v>54</v>
      </c>
      <c r="D220" s="260">
        <v>1.01</v>
      </c>
      <c r="E220" s="259">
        <v>0</v>
      </c>
      <c r="F220" s="259">
        <v>0</v>
      </c>
      <c r="G220" s="260">
        <v>1.01</v>
      </c>
      <c r="H220" s="259">
        <v>0</v>
      </c>
      <c r="I220" s="259">
        <v>0</v>
      </c>
      <c r="J220" s="259">
        <v>0</v>
      </c>
      <c r="K220" s="259">
        <v>0</v>
      </c>
      <c r="L220" s="259">
        <v>0</v>
      </c>
    </row>
    <row r="221" spans="1:12" hidden="1" x14ac:dyDescent="0.25">
      <c r="A221" s="259" t="s">
        <v>273</v>
      </c>
      <c r="B221" s="261" t="str">
        <f>VLOOKUP(A221, '[2]fund-selector'!$A$2:$F$853,6,FALSE)</f>
        <v>HY-DAA</v>
      </c>
      <c r="C221" s="258">
        <v>6.21</v>
      </c>
      <c r="D221" s="260">
        <v>1.94</v>
      </c>
      <c r="E221" s="259">
        <v>0</v>
      </c>
      <c r="F221" s="259">
        <v>0</v>
      </c>
      <c r="G221" s="260">
        <v>1.94</v>
      </c>
      <c r="H221" s="259">
        <v>0</v>
      </c>
      <c r="I221" s="259">
        <v>0</v>
      </c>
      <c r="J221" s="259">
        <v>0</v>
      </c>
      <c r="K221" s="259">
        <v>0</v>
      </c>
      <c r="L221" s="259">
        <v>0</v>
      </c>
    </row>
    <row r="222" spans="1:12" hidden="1" x14ac:dyDescent="0.25">
      <c r="A222" s="259" t="s">
        <v>274</v>
      </c>
      <c r="B222" s="261" t="str">
        <f>VLOOKUP(A222, '[2]fund-selector'!$A$2:$F$853,6,FALSE)</f>
        <v>EQ-LC</v>
      </c>
      <c r="C222" s="258">
        <v>5.97</v>
      </c>
      <c r="D222" s="260">
        <v>1.84</v>
      </c>
      <c r="E222" s="260">
        <v>18.27</v>
      </c>
      <c r="F222" s="260">
        <v>19.829999999999998</v>
      </c>
      <c r="G222" s="260">
        <v>1.84</v>
      </c>
      <c r="H222" s="260">
        <v>12.8</v>
      </c>
      <c r="I222" s="260">
        <v>0.65</v>
      </c>
      <c r="J222" s="260">
        <v>1</v>
      </c>
      <c r="K222" s="260">
        <v>0.91</v>
      </c>
      <c r="L222" s="260">
        <v>-1.03</v>
      </c>
    </row>
    <row r="223" spans="1:12" hidden="1" x14ac:dyDescent="0.25">
      <c r="A223" s="259" t="s">
        <v>1198</v>
      </c>
      <c r="B223" s="261" t="str">
        <f>VLOOKUP(A223, '[2]fund-selector'!$A$2:$F$853,6,FALSE)</f>
        <v>HY-CH</v>
      </c>
      <c r="C223" s="258">
        <v>8.14</v>
      </c>
      <c r="D223" s="260">
        <v>1.41</v>
      </c>
      <c r="E223" s="260">
        <v>11.15</v>
      </c>
      <c r="F223" s="260">
        <v>9.51</v>
      </c>
      <c r="G223" s="260">
        <v>1.41</v>
      </c>
      <c r="H223" s="260">
        <v>3.71</v>
      </c>
      <c r="I223" s="260">
        <v>1.02</v>
      </c>
      <c r="J223" s="260">
        <v>1.61</v>
      </c>
      <c r="K223" s="260">
        <v>0.89</v>
      </c>
      <c r="L223" s="260">
        <v>0.52</v>
      </c>
    </row>
    <row r="224" spans="1:12" hidden="1" x14ac:dyDescent="0.25">
      <c r="A224" s="259" t="s">
        <v>275</v>
      </c>
      <c r="B224" s="261" t="str">
        <f>VLOOKUP(A224, '[2]fund-selector'!$A$2:$F$853,6,FALSE)</f>
        <v>HY-DAA</v>
      </c>
      <c r="C224" s="258">
        <v>7.09</v>
      </c>
      <c r="D224" s="260">
        <v>2.0099999999999998</v>
      </c>
      <c r="E224" s="260">
        <v>16.75</v>
      </c>
      <c r="F224" s="260">
        <v>19.600000000000001</v>
      </c>
      <c r="G224" s="260">
        <v>2.0099999999999998</v>
      </c>
      <c r="H224" s="260">
        <v>7.14</v>
      </c>
      <c r="I224" s="260">
        <v>1.1200000000000001</v>
      </c>
      <c r="J224" s="260">
        <v>1.64</v>
      </c>
      <c r="K224" s="260">
        <v>0.66</v>
      </c>
      <c r="L224" s="260">
        <v>2.84</v>
      </c>
    </row>
    <row r="225" spans="1:12" hidden="1" x14ac:dyDescent="0.25">
      <c r="A225" s="259" t="s">
        <v>276</v>
      </c>
      <c r="B225" s="261" t="str">
        <f>VLOOKUP(A225, '[2]fund-selector'!$A$2:$F$853,6,FALSE)</f>
        <v>EQ-L&amp;MC</v>
      </c>
      <c r="C225" s="258">
        <v>7.27</v>
      </c>
      <c r="D225" s="260">
        <v>2.02</v>
      </c>
      <c r="E225" s="260">
        <v>20.83</v>
      </c>
      <c r="F225" s="260">
        <v>24.25</v>
      </c>
      <c r="G225" s="260">
        <v>2.02</v>
      </c>
      <c r="H225" s="260">
        <v>14.1</v>
      </c>
      <c r="I225" s="260">
        <v>0.74</v>
      </c>
      <c r="J225" s="260">
        <v>1.1100000000000001</v>
      </c>
      <c r="K225" s="260">
        <v>0.95</v>
      </c>
      <c r="L225" s="260">
        <v>-0.01</v>
      </c>
    </row>
    <row r="226" spans="1:12" hidden="1" x14ac:dyDescent="0.25">
      <c r="A226" s="259" t="s">
        <v>1199</v>
      </c>
      <c r="B226" s="261" t="str">
        <f>VLOOKUP(A226, '[2]fund-selector'!$A$2:$F$853,6,FALSE)</f>
        <v>HY-AH</v>
      </c>
      <c r="C226" s="258">
        <v>6.3</v>
      </c>
      <c r="D226" s="260">
        <v>2.0699999999999998</v>
      </c>
      <c r="E226" s="260">
        <v>19.190000000000001</v>
      </c>
      <c r="F226" s="260">
        <v>19.440000000000001</v>
      </c>
      <c r="G226" s="260">
        <v>2.0699999999999998</v>
      </c>
      <c r="H226" s="260">
        <v>9.73</v>
      </c>
      <c r="I226" s="260">
        <v>1.02</v>
      </c>
      <c r="J226" s="260">
        <v>1.48</v>
      </c>
      <c r="K226" s="260">
        <v>0.79</v>
      </c>
      <c r="L226" s="260">
        <v>2.34</v>
      </c>
    </row>
    <row r="227" spans="1:12" hidden="1" x14ac:dyDescent="0.25">
      <c r="A227" s="259" t="s">
        <v>277</v>
      </c>
      <c r="B227" s="261" t="str">
        <f>VLOOKUP(A227, '[2]fund-selector'!$A$2:$F$853,6,FALSE)</f>
        <v>EQ-FLX</v>
      </c>
      <c r="C227" s="258">
        <v>6.13</v>
      </c>
      <c r="D227" s="260">
        <v>1.7</v>
      </c>
      <c r="E227" s="260">
        <v>24.67</v>
      </c>
      <c r="F227" s="260">
        <v>26.36</v>
      </c>
      <c r="G227" s="260">
        <v>1.7</v>
      </c>
      <c r="H227" s="260">
        <v>13.6</v>
      </c>
      <c r="I227" s="260">
        <v>1.03</v>
      </c>
      <c r="J227" s="260">
        <v>1.52</v>
      </c>
      <c r="K227" s="260">
        <v>0.92</v>
      </c>
      <c r="L227" s="260">
        <v>3.47</v>
      </c>
    </row>
    <row r="228" spans="1:12" hidden="1" x14ac:dyDescent="0.25">
      <c r="A228" s="259" t="s">
        <v>278</v>
      </c>
      <c r="B228" s="261" t="str">
        <f>VLOOKUP(A228, '[2]fund-selector'!$A$2:$F$853,6,FALSE)</f>
        <v>EQ-FLX</v>
      </c>
      <c r="C228" s="258">
        <v>1.93</v>
      </c>
      <c r="D228" s="260">
        <v>1.76</v>
      </c>
      <c r="E228" s="260">
        <v>22.02</v>
      </c>
      <c r="F228" s="260">
        <v>24.21</v>
      </c>
      <c r="G228" s="260">
        <v>1.76</v>
      </c>
      <c r="H228" s="260">
        <v>13.24</v>
      </c>
      <c r="I228" s="260">
        <v>0.92</v>
      </c>
      <c r="J228" s="260">
        <v>1.43</v>
      </c>
      <c r="K228" s="260">
        <v>0.87</v>
      </c>
      <c r="L228" s="260">
        <v>2.09</v>
      </c>
    </row>
    <row r="229" spans="1:12" hidden="1" x14ac:dyDescent="0.25">
      <c r="A229" s="259" t="s">
        <v>279</v>
      </c>
      <c r="B229" s="261" t="str">
        <f>VLOOKUP(A229, '[2]fund-selector'!$A$2:$F$853,6,FALSE)</f>
        <v>HY-MAA</v>
      </c>
      <c r="C229" s="258">
        <v>14.01</v>
      </c>
      <c r="D229" s="260">
        <v>2.13</v>
      </c>
      <c r="E229" s="260">
        <v>14.73</v>
      </c>
      <c r="F229" s="260">
        <v>15.64</v>
      </c>
      <c r="G229" s="260">
        <v>2.13</v>
      </c>
      <c r="H229" s="260">
        <v>5.15</v>
      </c>
      <c r="I229" s="260">
        <v>1.25</v>
      </c>
      <c r="J229" s="260">
        <v>2.04</v>
      </c>
      <c r="K229" s="260">
        <v>0.43</v>
      </c>
      <c r="L229" s="260">
        <v>2.56</v>
      </c>
    </row>
    <row r="230" spans="1:12" hidden="1" x14ac:dyDescent="0.25">
      <c r="A230" s="259" t="s">
        <v>280</v>
      </c>
      <c r="B230" s="261" t="str">
        <f>VLOOKUP(A230, '[2]fund-selector'!$A$2:$F$853,6,FALSE)</f>
        <v>EQ-MLC</v>
      </c>
      <c r="C230" s="258" t="s">
        <v>54</v>
      </c>
      <c r="D230" s="260">
        <v>1.81</v>
      </c>
      <c r="E230" s="259">
        <v>0</v>
      </c>
      <c r="F230" s="259">
        <v>0</v>
      </c>
      <c r="G230" s="260">
        <v>1.81</v>
      </c>
      <c r="H230" s="259">
        <v>0</v>
      </c>
      <c r="I230" s="259">
        <v>0</v>
      </c>
      <c r="J230" s="259">
        <v>0</v>
      </c>
      <c r="K230" s="259">
        <v>0</v>
      </c>
      <c r="L230" s="259">
        <v>0</v>
      </c>
    </row>
    <row r="231" spans="1:12" hidden="1" x14ac:dyDescent="0.25">
      <c r="A231" s="259" t="s">
        <v>281</v>
      </c>
      <c r="B231" s="261" t="str">
        <f>VLOOKUP(A231, '[2]fund-selector'!$A$2:$F$853,6,FALSE)</f>
        <v>EQ-LC</v>
      </c>
      <c r="C231" s="258">
        <v>5.99</v>
      </c>
      <c r="D231" s="260">
        <v>0.63</v>
      </c>
      <c r="E231" s="260">
        <v>17.850000000000001</v>
      </c>
      <c r="F231" s="260">
        <v>19.77</v>
      </c>
      <c r="G231" s="260">
        <v>0.63</v>
      </c>
      <c r="H231" s="260">
        <v>13.03</v>
      </c>
      <c r="I231" s="260">
        <v>0.64</v>
      </c>
      <c r="J231" s="260">
        <v>1.1000000000000001</v>
      </c>
      <c r="K231" s="260">
        <v>0.94</v>
      </c>
      <c r="L231" s="260">
        <v>-1.3</v>
      </c>
    </row>
    <row r="232" spans="1:12" hidden="1" x14ac:dyDescent="0.25">
      <c r="A232" s="259" t="s">
        <v>282</v>
      </c>
      <c r="B232" s="261" t="str">
        <f>VLOOKUP(A232, '[2]fund-selector'!$A$2:$F$853,6,FALSE)</f>
        <v>EQ-THEMATIC</v>
      </c>
      <c r="C232" s="258">
        <v>2.72</v>
      </c>
      <c r="D232" s="260">
        <v>1.77</v>
      </c>
      <c r="E232" s="260">
        <v>35.520000000000003</v>
      </c>
      <c r="F232" s="260">
        <v>31.08</v>
      </c>
      <c r="G232" s="260">
        <v>1.77</v>
      </c>
      <c r="H232" s="260">
        <v>16.41</v>
      </c>
      <c r="I232" s="260">
        <v>1.43</v>
      </c>
      <c r="J232" s="260">
        <v>2.0299999999999998</v>
      </c>
      <c r="K232" s="260">
        <v>1</v>
      </c>
      <c r="L232" s="260">
        <v>12</v>
      </c>
    </row>
    <row r="233" spans="1:12" hidden="1" x14ac:dyDescent="0.25">
      <c r="A233" s="259" t="s">
        <v>1200</v>
      </c>
      <c r="B233" s="261" t="str">
        <f>VLOOKUP(A233, '[2]fund-selector'!$A$2:$F$853,6,FALSE)</f>
        <v>HY-BH</v>
      </c>
      <c r="C233" s="258">
        <v>6.96</v>
      </c>
      <c r="D233" s="260">
        <v>2.2599999999999998</v>
      </c>
      <c r="E233" s="260">
        <v>13.1</v>
      </c>
      <c r="F233" s="260">
        <v>10.78</v>
      </c>
      <c r="G233" s="260">
        <v>2.2599999999999998</v>
      </c>
      <c r="H233" s="260">
        <v>5.7</v>
      </c>
      <c r="I233" s="260">
        <v>0.91</v>
      </c>
      <c r="J233" s="260">
        <v>1.33</v>
      </c>
      <c r="K233" s="260">
        <v>0.56999999999999995</v>
      </c>
      <c r="L233" s="260">
        <v>0.6</v>
      </c>
    </row>
    <row r="234" spans="1:12" hidden="1" x14ac:dyDescent="0.25">
      <c r="A234" s="259" t="s">
        <v>283</v>
      </c>
      <c r="B234" s="261" t="str">
        <f>VLOOKUP(A234, '[2]fund-selector'!$A$2:$F$853,6,FALSE)</f>
        <v>EQ-MC</v>
      </c>
      <c r="C234" s="258">
        <v>3.79</v>
      </c>
      <c r="D234" s="260">
        <v>1.76</v>
      </c>
      <c r="E234" s="260">
        <v>29.26</v>
      </c>
      <c r="F234" s="260">
        <v>26.84</v>
      </c>
      <c r="G234" s="260">
        <v>1.76</v>
      </c>
      <c r="H234" s="260">
        <v>15.83</v>
      </c>
      <c r="I234" s="260">
        <v>1.1499999999999999</v>
      </c>
      <c r="J234" s="260">
        <v>1.64</v>
      </c>
      <c r="K234" s="260">
        <v>0.91</v>
      </c>
      <c r="L234" s="260">
        <v>1.78</v>
      </c>
    </row>
    <row r="235" spans="1:12" hidden="1" x14ac:dyDescent="0.25">
      <c r="A235" s="259" t="s">
        <v>284</v>
      </c>
      <c r="B235" s="261" t="str">
        <f>VLOOKUP(A235, '[2]fund-selector'!$A$2:$F$853,6,FALSE)</f>
        <v>EQ-SC</v>
      </c>
      <c r="C235" s="258">
        <v>-4.18</v>
      </c>
      <c r="D235" s="260">
        <v>1.74</v>
      </c>
      <c r="E235" s="260">
        <v>29.96</v>
      </c>
      <c r="F235" s="260">
        <v>33.86</v>
      </c>
      <c r="G235" s="260">
        <v>1.74</v>
      </c>
      <c r="H235" s="260">
        <v>17.059999999999999</v>
      </c>
      <c r="I235" s="260">
        <v>1.1399999999999999</v>
      </c>
      <c r="J235" s="260">
        <v>1.49</v>
      </c>
      <c r="K235" s="260">
        <v>0.83</v>
      </c>
      <c r="L235" s="260">
        <v>4.29</v>
      </c>
    </row>
    <row r="236" spans="1:12" hidden="1" x14ac:dyDescent="0.25">
      <c r="A236" s="259" t="s">
        <v>1201</v>
      </c>
      <c r="B236" s="261" t="str">
        <f>VLOOKUP(A236, '[2]fund-selector'!$A$2:$F$853,6,FALSE)</f>
        <v>HY-AH</v>
      </c>
      <c r="C236" s="258">
        <v>0.09</v>
      </c>
      <c r="D236" s="260">
        <v>2.38</v>
      </c>
      <c r="E236" s="260">
        <v>15.69</v>
      </c>
      <c r="F236" s="260">
        <v>16.18</v>
      </c>
      <c r="G236" s="260">
        <v>2.38</v>
      </c>
      <c r="H236" s="260">
        <v>10.6</v>
      </c>
      <c r="I236" s="260">
        <v>0.66</v>
      </c>
      <c r="J236" s="260">
        <v>1.17</v>
      </c>
      <c r="K236" s="260">
        <v>0.86</v>
      </c>
      <c r="L236" s="260">
        <v>-1.29</v>
      </c>
    </row>
    <row r="237" spans="1:12" hidden="1" x14ac:dyDescent="0.25">
      <c r="A237" s="259" t="s">
        <v>285</v>
      </c>
      <c r="B237" s="261" t="str">
        <f>VLOOKUP(A237, '[2]fund-selector'!$A$2:$F$853,6,FALSE)</f>
        <v>EQ-LC</v>
      </c>
      <c r="C237" s="258">
        <v>-0.26</v>
      </c>
      <c r="D237" s="260">
        <v>2.46</v>
      </c>
      <c r="E237" s="260">
        <v>18.53</v>
      </c>
      <c r="F237" s="260">
        <v>17.89</v>
      </c>
      <c r="G237" s="260">
        <v>2.46</v>
      </c>
      <c r="H237" s="260">
        <v>13.83</v>
      </c>
      <c r="I237" s="260">
        <v>0.64</v>
      </c>
      <c r="J237" s="260">
        <v>1.1200000000000001</v>
      </c>
      <c r="K237" s="260">
        <v>0.98</v>
      </c>
      <c r="L237" s="260">
        <v>-1.2</v>
      </c>
    </row>
    <row r="238" spans="1:12" hidden="1" x14ac:dyDescent="0.25">
      <c r="A238" s="259" t="s">
        <v>286</v>
      </c>
      <c r="B238" s="261" t="str">
        <f>VLOOKUP(A238, '[2]fund-selector'!$A$2:$F$853,6,FALSE)</f>
        <v>EQ-MLC</v>
      </c>
      <c r="C238" s="258" t="s">
        <v>54</v>
      </c>
      <c r="D238" s="260">
        <v>2.2999999999999998</v>
      </c>
      <c r="E238" s="259">
        <v>0</v>
      </c>
      <c r="F238" s="259">
        <v>0</v>
      </c>
      <c r="G238" s="260">
        <v>2.2999999999999998</v>
      </c>
      <c r="H238" s="259">
        <v>0</v>
      </c>
      <c r="I238" s="259">
        <v>0</v>
      </c>
      <c r="J238" s="259">
        <v>0</v>
      </c>
      <c r="K238" s="259">
        <v>0</v>
      </c>
      <c r="L238" s="259">
        <v>0</v>
      </c>
    </row>
    <row r="239" spans="1:12" hidden="1" x14ac:dyDescent="0.25">
      <c r="A239" s="259" t="s">
        <v>287</v>
      </c>
      <c r="B239" s="261" t="str">
        <f>VLOOKUP(A239, '[2]fund-selector'!$A$2:$F$853,6,FALSE)</f>
        <v>EQ-L&amp;MC</v>
      </c>
      <c r="C239" s="258" t="s">
        <v>54</v>
      </c>
      <c r="D239" s="260">
        <v>0.35</v>
      </c>
      <c r="E239" s="259">
        <v>0</v>
      </c>
      <c r="F239" s="259">
        <v>0</v>
      </c>
      <c r="G239" s="260">
        <v>0.35</v>
      </c>
      <c r="H239" s="259">
        <v>0</v>
      </c>
      <c r="I239" s="259">
        <v>0</v>
      </c>
      <c r="J239" s="259">
        <v>0</v>
      </c>
      <c r="K239" s="259">
        <v>0</v>
      </c>
      <c r="L239" s="259">
        <v>0</v>
      </c>
    </row>
    <row r="240" spans="1:12" hidden="1" x14ac:dyDescent="0.25">
      <c r="A240" s="259" t="s">
        <v>288</v>
      </c>
      <c r="B240" s="261" t="str">
        <f>VLOOKUP(A240, '[2]fund-selector'!$A$2:$F$853,6,FALSE)</f>
        <v>EQ-L&amp;MC</v>
      </c>
      <c r="C240" s="258" t="s">
        <v>54</v>
      </c>
      <c r="D240" s="260">
        <v>0.7</v>
      </c>
      <c r="E240" s="259">
        <v>0</v>
      </c>
      <c r="F240" s="259">
        <v>0</v>
      </c>
      <c r="G240" s="260">
        <v>0.7</v>
      </c>
      <c r="H240" s="259">
        <v>0</v>
      </c>
      <c r="I240" s="259">
        <v>0</v>
      </c>
      <c r="J240" s="259">
        <v>0</v>
      </c>
      <c r="K240" s="259">
        <v>0</v>
      </c>
      <c r="L240" s="259">
        <v>0</v>
      </c>
    </row>
    <row r="241" spans="1:12" hidden="1" x14ac:dyDescent="0.25">
      <c r="A241" s="259" t="s">
        <v>289</v>
      </c>
      <c r="B241" s="261" t="str">
        <f>VLOOKUP(A241, '[2]fund-selector'!$A$2:$F$853,6,FALSE)</f>
        <v>EQ-FLX</v>
      </c>
      <c r="C241" s="258" t="s">
        <v>54</v>
      </c>
      <c r="D241" s="259">
        <v>0</v>
      </c>
      <c r="E241" s="259">
        <v>0</v>
      </c>
      <c r="F241" s="259">
        <v>0</v>
      </c>
      <c r="G241" s="259">
        <v>0</v>
      </c>
      <c r="H241" s="259">
        <v>0</v>
      </c>
      <c r="I241" s="259">
        <v>0</v>
      </c>
      <c r="J241" s="259">
        <v>0</v>
      </c>
      <c r="K241" s="259">
        <v>0</v>
      </c>
      <c r="L241" s="259">
        <v>0</v>
      </c>
    </row>
    <row r="242" spans="1:12" hidden="1" x14ac:dyDescent="0.25">
      <c r="A242" s="259" t="s">
        <v>290</v>
      </c>
      <c r="B242" s="261" t="str">
        <f>VLOOKUP(A242, '[2]fund-selector'!$A$2:$F$853,6,FALSE)</f>
        <v>EQ-FLX</v>
      </c>
      <c r="C242" s="258" t="s">
        <v>54</v>
      </c>
      <c r="D242" s="260">
        <v>0.44</v>
      </c>
      <c r="E242" s="259">
        <v>0</v>
      </c>
      <c r="F242" s="259">
        <v>0</v>
      </c>
      <c r="G242" s="260">
        <v>0.44</v>
      </c>
      <c r="H242" s="259">
        <v>0</v>
      </c>
      <c r="I242" s="259">
        <v>0</v>
      </c>
      <c r="J242" s="259">
        <v>0</v>
      </c>
      <c r="K242" s="259">
        <v>0</v>
      </c>
      <c r="L242" s="259">
        <v>0</v>
      </c>
    </row>
    <row r="243" spans="1:12" hidden="1" x14ac:dyDescent="0.25">
      <c r="A243" s="259" t="s">
        <v>291</v>
      </c>
      <c r="B243" s="261" t="str">
        <f>VLOOKUP(A243, '[2]fund-selector'!$A$2:$F$853,6,FALSE)</f>
        <v>EQ-FLX</v>
      </c>
      <c r="C243" s="258" t="s">
        <v>54</v>
      </c>
      <c r="D243" s="260">
        <v>0.65</v>
      </c>
      <c r="E243" s="259">
        <v>0</v>
      </c>
      <c r="F243" s="259">
        <v>0</v>
      </c>
      <c r="G243" s="260">
        <v>0.65</v>
      </c>
      <c r="H243" s="259">
        <v>0</v>
      </c>
      <c r="I243" s="259">
        <v>0</v>
      </c>
      <c r="J243" s="259">
        <v>0</v>
      </c>
      <c r="K243" s="259">
        <v>0</v>
      </c>
      <c r="L243" s="259">
        <v>0</v>
      </c>
    </row>
    <row r="244" spans="1:12" hidden="1" x14ac:dyDescent="0.25">
      <c r="A244" s="259" t="s">
        <v>292</v>
      </c>
      <c r="B244" s="261" t="str">
        <f>VLOOKUP(A244, '[2]fund-selector'!$A$2:$F$853,6,FALSE)</f>
        <v>EQ-THEMATIC</v>
      </c>
      <c r="C244" s="258" t="s">
        <v>54</v>
      </c>
      <c r="D244" s="260">
        <v>0.47</v>
      </c>
      <c r="E244" s="259">
        <v>0</v>
      </c>
      <c r="F244" s="259">
        <v>0</v>
      </c>
      <c r="G244" s="260">
        <v>0.47</v>
      </c>
      <c r="H244" s="259">
        <v>0</v>
      </c>
      <c r="I244" s="259">
        <v>0</v>
      </c>
      <c r="J244" s="259">
        <v>0</v>
      </c>
      <c r="K244" s="259">
        <v>0</v>
      </c>
      <c r="L244" s="259">
        <v>0</v>
      </c>
    </row>
    <row r="245" spans="1:12" hidden="1" x14ac:dyDescent="0.25">
      <c r="A245" s="259" t="s">
        <v>293</v>
      </c>
      <c r="B245" s="261" t="str">
        <f>VLOOKUP(A245, '[2]fund-selector'!$A$2:$F$853,6,FALSE)</f>
        <v>EQ-THEMATIC</v>
      </c>
      <c r="C245" s="258" t="s">
        <v>54</v>
      </c>
      <c r="D245" s="260">
        <v>0.62</v>
      </c>
      <c r="E245" s="259">
        <v>0</v>
      </c>
      <c r="F245" s="259">
        <v>0</v>
      </c>
      <c r="G245" s="260">
        <v>0.62</v>
      </c>
      <c r="H245" s="259">
        <v>0</v>
      </c>
      <c r="I245" s="259">
        <v>0</v>
      </c>
      <c r="J245" s="259">
        <v>0</v>
      </c>
      <c r="K245" s="259">
        <v>0</v>
      </c>
      <c r="L245" s="259">
        <v>0</v>
      </c>
    </row>
    <row r="246" spans="1:12" hidden="1" x14ac:dyDescent="0.25">
      <c r="A246" s="259" t="s">
        <v>294</v>
      </c>
      <c r="B246" s="261" t="str">
        <f>VLOOKUP(A246, '[2]fund-selector'!$A$2:$F$853,6,FALSE)</f>
        <v>EQ-THEMATIC</v>
      </c>
      <c r="C246" s="258" t="s">
        <v>54</v>
      </c>
      <c r="D246" s="260">
        <v>0.43</v>
      </c>
      <c r="E246" s="259">
        <v>0</v>
      </c>
      <c r="F246" s="259">
        <v>0</v>
      </c>
      <c r="G246" s="260">
        <v>0.43</v>
      </c>
      <c r="H246" s="259">
        <v>0</v>
      </c>
      <c r="I246" s="259">
        <v>0</v>
      </c>
      <c r="J246" s="259">
        <v>0</v>
      </c>
      <c r="K246" s="259">
        <v>0</v>
      </c>
      <c r="L246" s="259">
        <v>0</v>
      </c>
    </row>
    <row r="247" spans="1:12" hidden="1" x14ac:dyDescent="0.25">
      <c r="A247" s="259" t="s">
        <v>295</v>
      </c>
      <c r="B247" s="261" t="str">
        <f>VLOOKUP(A247, '[2]fund-selector'!$A$2:$F$853,6,FALSE)</f>
        <v>EQ-THEMATIC</v>
      </c>
      <c r="C247" s="258" t="s">
        <v>54</v>
      </c>
      <c r="D247" s="260">
        <v>0.63</v>
      </c>
      <c r="E247" s="259">
        <v>0</v>
      </c>
      <c r="F247" s="259">
        <v>0</v>
      </c>
      <c r="G247" s="260">
        <v>0.63</v>
      </c>
      <c r="H247" s="259">
        <v>0</v>
      </c>
      <c r="I247" s="259">
        <v>0</v>
      </c>
      <c r="J247" s="259">
        <v>0</v>
      </c>
      <c r="K247" s="259">
        <v>0</v>
      </c>
      <c r="L247" s="259">
        <v>0</v>
      </c>
    </row>
    <row r="248" spans="1:12" hidden="1" x14ac:dyDescent="0.25">
      <c r="A248" s="259" t="s">
        <v>296</v>
      </c>
      <c r="B248" s="261" t="str">
        <f>VLOOKUP(A248, '[2]fund-selector'!$A$2:$F$853,6,FALSE)</f>
        <v>EQ-THEMATIC</v>
      </c>
      <c r="C248" s="258" t="s">
        <v>54</v>
      </c>
      <c r="D248" s="259">
        <v>0</v>
      </c>
      <c r="E248" s="259">
        <v>0</v>
      </c>
      <c r="F248" s="259">
        <v>0</v>
      </c>
      <c r="G248" s="259">
        <v>0</v>
      </c>
      <c r="H248" s="259">
        <v>0</v>
      </c>
      <c r="I248" s="259">
        <v>0</v>
      </c>
      <c r="J248" s="259">
        <v>0</v>
      </c>
      <c r="K248" s="259">
        <v>0</v>
      </c>
      <c r="L248" s="259">
        <v>0</v>
      </c>
    </row>
    <row r="249" spans="1:12" hidden="1" x14ac:dyDescent="0.25">
      <c r="A249" s="259" t="s">
        <v>297</v>
      </c>
      <c r="B249" s="261" t="str">
        <f>VLOOKUP(A249, '[2]fund-selector'!$A$2:$F$853,6,FALSE)</f>
        <v>EQ-THEMATIC</v>
      </c>
      <c r="C249" s="258" t="s">
        <v>54</v>
      </c>
      <c r="D249" s="259">
        <v>0</v>
      </c>
      <c r="E249" s="259">
        <v>0</v>
      </c>
      <c r="F249" s="259">
        <v>0</v>
      </c>
      <c r="G249" s="259">
        <v>0</v>
      </c>
      <c r="H249" s="259">
        <v>0</v>
      </c>
      <c r="I249" s="259">
        <v>0</v>
      </c>
      <c r="J249" s="259">
        <v>0</v>
      </c>
      <c r="K249" s="259">
        <v>0</v>
      </c>
      <c r="L249" s="259">
        <v>0</v>
      </c>
    </row>
    <row r="250" spans="1:12" hidden="1" x14ac:dyDescent="0.25">
      <c r="A250" s="259" t="s">
        <v>301</v>
      </c>
      <c r="B250" s="261" t="str">
        <f>VLOOKUP(A250, '[2]fund-selector'!$A$2:$F$853,6,FALSE)</f>
        <v>EQ-SC</v>
      </c>
      <c r="C250" s="258">
        <v>-1.42</v>
      </c>
      <c r="D250" s="260">
        <v>1.05</v>
      </c>
      <c r="E250" s="259">
        <v>0</v>
      </c>
      <c r="F250" s="259">
        <v>0</v>
      </c>
      <c r="G250" s="260">
        <v>1.05</v>
      </c>
      <c r="H250" s="259">
        <v>0</v>
      </c>
      <c r="I250" s="259">
        <v>0</v>
      </c>
      <c r="J250" s="259">
        <v>0</v>
      </c>
      <c r="K250" s="259">
        <v>0</v>
      </c>
      <c r="L250" s="259">
        <v>0</v>
      </c>
    </row>
    <row r="251" spans="1:12" hidden="1" x14ac:dyDescent="0.25">
      <c r="A251" s="259" t="s">
        <v>302</v>
      </c>
      <c r="B251" s="261" t="str">
        <f>VLOOKUP(A251, '[2]fund-selector'!$A$2:$F$853,6,FALSE)</f>
        <v>EQ-FLX</v>
      </c>
      <c r="C251" s="258">
        <v>2.1800000000000002</v>
      </c>
      <c r="D251" s="260">
        <v>1.05</v>
      </c>
      <c r="E251" s="259">
        <v>0</v>
      </c>
      <c r="F251" s="259">
        <v>0</v>
      </c>
      <c r="G251" s="260">
        <v>1.05</v>
      </c>
      <c r="H251" s="259">
        <v>0</v>
      </c>
      <c r="I251" s="259">
        <v>0</v>
      </c>
      <c r="J251" s="259">
        <v>0</v>
      </c>
      <c r="K251" s="259">
        <v>0</v>
      </c>
      <c r="L251" s="259">
        <v>0</v>
      </c>
    </row>
    <row r="252" spans="1:12" hidden="1" x14ac:dyDescent="0.25">
      <c r="A252" s="259" t="s">
        <v>1372</v>
      </c>
      <c r="B252" s="261" t="str">
        <f>VLOOKUP(A252, '[2]fund-selector'!$A$2:$F$853,6,FALSE)</f>
        <v>HY-AR</v>
      </c>
      <c r="C252" s="258">
        <v>6.95</v>
      </c>
      <c r="D252" s="260">
        <v>0.97</v>
      </c>
      <c r="E252" s="260">
        <v>6.89</v>
      </c>
      <c r="F252" s="260">
        <v>5.49</v>
      </c>
      <c r="G252" s="260">
        <v>0.97</v>
      </c>
      <c r="H252" s="260">
        <v>0.54</v>
      </c>
      <c r="I252" s="260">
        <v>0.54</v>
      </c>
      <c r="J252" s="260">
        <v>0.59</v>
      </c>
      <c r="K252" s="260">
        <v>0.52</v>
      </c>
      <c r="L252" s="260">
        <v>1.27</v>
      </c>
    </row>
    <row r="253" spans="1:12" hidden="1" x14ac:dyDescent="0.25">
      <c r="A253" s="259" t="s">
        <v>303</v>
      </c>
      <c r="B253" s="261" t="str">
        <f>VLOOKUP(A253, '[2]fund-selector'!$A$2:$F$853,6,FALSE)</f>
        <v>HY-DAA</v>
      </c>
      <c r="C253" s="258">
        <v>5.04</v>
      </c>
      <c r="D253" s="260">
        <v>1.37</v>
      </c>
      <c r="E253" s="260">
        <v>23.25</v>
      </c>
      <c r="F253" s="260">
        <v>24.77</v>
      </c>
      <c r="G253" s="260">
        <v>1.37</v>
      </c>
      <c r="H253" s="260">
        <v>9.74</v>
      </c>
      <c r="I253" s="260">
        <v>1.42</v>
      </c>
      <c r="J253" s="260">
        <v>2.5099999999999998</v>
      </c>
      <c r="K253" s="260">
        <v>0.88</v>
      </c>
      <c r="L253" s="260">
        <v>6.9</v>
      </c>
    </row>
    <row r="254" spans="1:12" hidden="1" x14ac:dyDescent="0.25">
      <c r="A254" s="259" t="s">
        <v>304</v>
      </c>
      <c r="B254" s="261" t="str">
        <f>VLOOKUP(A254, '[2]fund-selector'!$A$2:$F$853,6,FALSE)</f>
        <v>EQ-FLX</v>
      </c>
      <c r="C254" s="258">
        <v>2.4500000000000002</v>
      </c>
      <c r="D254" s="260">
        <v>0.3</v>
      </c>
      <c r="E254" s="259">
        <v>0</v>
      </c>
      <c r="F254" s="259">
        <v>0</v>
      </c>
      <c r="G254" s="260">
        <v>0.3</v>
      </c>
      <c r="H254" s="259">
        <v>0</v>
      </c>
      <c r="I254" s="259">
        <v>0</v>
      </c>
      <c r="J254" s="259">
        <v>0</v>
      </c>
      <c r="K254" s="259">
        <v>0</v>
      </c>
      <c r="L254" s="259">
        <v>0</v>
      </c>
    </row>
    <row r="255" spans="1:12" hidden="1" x14ac:dyDescent="0.25">
      <c r="A255" s="259" t="s">
        <v>305</v>
      </c>
      <c r="B255" s="261" t="str">
        <f>VLOOKUP(A255, '[2]fund-selector'!$A$2:$F$853,6,FALSE)</f>
        <v>EQ-FLX</v>
      </c>
      <c r="C255" s="258">
        <v>1.77</v>
      </c>
      <c r="D255" s="260">
        <v>0.81</v>
      </c>
      <c r="E255" s="259">
        <v>0</v>
      </c>
      <c r="F255" s="259">
        <v>0</v>
      </c>
      <c r="G255" s="260">
        <v>0.81</v>
      </c>
      <c r="H255" s="259">
        <v>0</v>
      </c>
      <c r="I255" s="259">
        <v>0</v>
      </c>
      <c r="J255" s="259">
        <v>0</v>
      </c>
      <c r="K255" s="259">
        <v>0</v>
      </c>
      <c r="L255" s="259">
        <v>0</v>
      </c>
    </row>
    <row r="256" spans="1:12" hidden="1" x14ac:dyDescent="0.25">
      <c r="A256" s="259" t="s">
        <v>306</v>
      </c>
      <c r="B256" s="261" t="str">
        <f>VLOOKUP(A256, '[2]fund-selector'!$A$2:$F$853,6,FALSE)</f>
        <v>EQ-LC</v>
      </c>
      <c r="C256" s="258">
        <v>6.28</v>
      </c>
      <c r="D256" s="260">
        <v>0.05</v>
      </c>
      <c r="E256" s="260">
        <v>17.829999999999998</v>
      </c>
      <c r="F256" s="260">
        <v>19.91</v>
      </c>
      <c r="G256" s="260">
        <v>0.05</v>
      </c>
      <c r="H256" s="260">
        <v>12.7</v>
      </c>
      <c r="I256" s="260">
        <v>0.66</v>
      </c>
      <c r="J256" s="260">
        <v>1.1100000000000001</v>
      </c>
      <c r="K256" s="260">
        <v>0.91</v>
      </c>
      <c r="L256" s="260">
        <v>-0.93</v>
      </c>
    </row>
    <row r="257" spans="1:12" hidden="1" x14ac:dyDescent="0.25">
      <c r="A257" s="259" t="s">
        <v>307</v>
      </c>
      <c r="B257" s="261" t="str">
        <f>VLOOKUP(A257, '[2]fund-selector'!$A$2:$F$853,6,FALSE)</f>
        <v>EQ-LC</v>
      </c>
      <c r="C257" s="258">
        <v>5.92</v>
      </c>
      <c r="D257" s="260">
        <v>0.36</v>
      </c>
      <c r="E257" s="260">
        <v>17.41</v>
      </c>
      <c r="F257" s="260">
        <v>19.47</v>
      </c>
      <c r="G257" s="260">
        <v>0.36</v>
      </c>
      <c r="H257" s="260">
        <v>12.71</v>
      </c>
      <c r="I257" s="260">
        <v>0.63</v>
      </c>
      <c r="J257" s="260">
        <v>1.06</v>
      </c>
      <c r="K257" s="260">
        <v>0.91</v>
      </c>
      <c r="L257" s="260">
        <v>-1.31</v>
      </c>
    </row>
    <row r="258" spans="1:12" hidden="1" x14ac:dyDescent="0.25">
      <c r="A258" s="259" t="s">
        <v>308</v>
      </c>
      <c r="B258" s="261" t="str">
        <f>VLOOKUP(A258, '[2]fund-selector'!$A$2:$F$853,6,FALSE)</f>
        <v>EQ-THEMATIC</v>
      </c>
      <c r="C258" s="258">
        <v>0.93</v>
      </c>
      <c r="D258" s="260">
        <v>1.97</v>
      </c>
      <c r="E258" s="259">
        <v>0</v>
      </c>
      <c r="F258" s="259">
        <v>0</v>
      </c>
      <c r="G258" s="260">
        <v>1.97</v>
      </c>
      <c r="H258" s="259">
        <v>0</v>
      </c>
      <c r="I258" s="259">
        <v>0</v>
      </c>
      <c r="J258" s="259">
        <v>0</v>
      </c>
      <c r="K258" s="259">
        <v>0</v>
      </c>
      <c r="L258" s="259">
        <v>0</v>
      </c>
    </row>
    <row r="259" spans="1:12" hidden="1" x14ac:dyDescent="0.25">
      <c r="A259" s="259" t="s">
        <v>1202</v>
      </c>
      <c r="B259" s="261" t="str">
        <f>VLOOKUP(A259, '[2]fund-selector'!$A$2:$F$853,6,FALSE)</f>
        <v>HY-AH</v>
      </c>
      <c r="C259" s="258">
        <v>3.92</v>
      </c>
      <c r="D259" s="260">
        <v>1.73</v>
      </c>
      <c r="E259" s="260">
        <v>19.309999999999999</v>
      </c>
      <c r="F259" s="260">
        <v>20.67</v>
      </c>
      <c r="G259" s="260">
        <v>1.73</v>
      </c>
      <c r="H259" s="260">
        <v>9.81</v>
      </c>
      <c r="I259" s="260">
        <v>1.0900000000000001</v>
      </c>
      <c r="J259" s="260">
        <v>1.61</v>
      </c>
      <c r="K259" s="260">
        <v>0.78</v>
      </c>
      <c r="L259" s="260">
        <v>3.23</v>
      </c>
    </row>
    <row r="260" spans="1:12" hidden="1" x14ac:dyDescent="0.25">
      <c r="A260" s="259" t="s">
        <v>309</v>
      </c>
      <c r="B260" s="261" t="str">
        <f>VLOOKUP(A260, '[2]fund-selector'!$A$2:$F$853,6,FALSE)</f>
        <v>EQ-THEMATIC</v>
      </c>
      <c r="C260" s="258">
        <v>5.93</v>
      </c>
      <c r="D260" s="260">
        <v>1.77</v>
      </c>
      <c r="E260" s="259">
        <v>0</v>
      </c>
      <c r="F260" s="259">
        <v>0</v>
      </c>
      <c r="G260" s="260">
        <v>1.77</v>
      </c>
      <c r="H260" s="259">
        <v>0</v>
      </c>
      <c r="I260" s="259">
        <v>0</v>
      </c>
      <c r="J260" s="259">
        <v>0</v>
      </c>
      <c r="K260" s="259">
        <v>0</v>
      </c>
      <c r="L260" s="259">
        <v>0</v>
      </c>
    </row>
    <row r="261" spans="1:12" hidden="1" x14ac:dyDescent="0.25">
      <c r="A261" s="259" t="s">
        <v>311</v>
      </c>
      <c r="B261" s="261" t="str">
        <f>VLOOKUP(A261, '[2]fund-selector'!$A$2:$F$853,6,FALSE)</f>
        <v>EQ-FLX</v>
      </c>
      <c r="C261" s="258">
        <v>9.67</v>
      </c>
      <c r="D261" s="260">
        <v>1.39</v>
      </c>
      <c r="E261" s="260">
        <v>27.86</v>
      </c>
      <c r="F261" s="260">
        <v>29.65</v>
      </c>
      <c r="G261" s="260">
        <v>1.39</v>
      </c>
      <c r="H261" s="260">
        <v>12.4</v>
      </c>
      <c r="I261" s="260">
        <v>1.37</v>
      </c>
      <c r="J261" s="260">
        <v>2.36</v>
      </c>
      <c r="K261" s="260">
        <v>0.83</v>
      </c>
      <c r="L261" s="260">
        <v>7.35</v>
      </c>
    </row>
    <row r="262" spans="1:12" hidden="1" x14ac:dyDescent="0.25">
      <c r="A262" s="259" t="s">
        <v>312</v>
      </c>
      <c r="B262" s="261" t="str">
        <f>VLOOKUP(A262, '[2]fund-selector'!$A$2:$F$853,6,FALSE)</f>
        <v>EQ-FLX</v>
      </c>
      <c r="C262" s="258">
        <v>9.4499999999999993</v>
      </c>
      <c r="D262" s="260">
        <v>1.66</v>
      </c>
      <c r="E262" s="260">
        <v>27.52</v>
      </c>
      <c r="F262" s="260">
        <v>29.24</v>
      </c>
      <c r="G262" s="260">
        <v>1.66</v>
      </c>
      <c r="H262" s="260">
        <v>11.27</v>
      </c>
      <c r="I262" s="260">
        <v>1.48</v>
      </c>
      <c r="J262" s="260">
        <v>2.41</v>
      </c>
      <c r="K262" s="260">
        <v>0.75</v>
      </c>
      <c r="L262" s="260">
        <v>8.0399999999999991</v>
      </c>
    </row>
    <row r="263" spans="1:12" hidden="1" x14ac:dyDescent="0.25">
      <c r="A263" s="259" t="s">
        <v>313</v>
      </c>
      <c r="B263" s="261" t="str">
        <f>VLOOKUP(A263, '[2]fund-selector'!$A$2:$F$853,6,FALSE)</f>
        <v>EQ-THEMATIC</v>
      </c>
      <c r="C263" s="258">
        <v>-6.7</v>
      </c>
      <c r="D263" s="260">
        <v>2.21</v>
      </c>
      <c r="E263" s="260">
        <v>26.3</v>
      </c>
      <c r="F263" s="260">
        <v>24.92</v>
      </c>
      <c r="G263" s="260">
        <v>2.21</v>
      </c>
      <c r="H263" s="260">
        <v>16.97</v>
      </c>
      <c r="I263" s="260">
        <v>0.92</v>
      </c>
      <c r="J263" s="260">
        <v>1.43</v>
      </c>
      <c r="K263" s="260">
        <v>1.0900000000000001</v>
      </c>
      <c r="L263" s="260">
        <v>3.08</v>
      </c>
    </row>
    <row r="264" spans="1:12" hidden="1" x14ac:dyDescent="0.25">
      <c r="A264" s="259" t="s">
        <v>1204</v>
      </c>
      <c r="B264" s="261" t="str">
        <f>VLOOKUP(A264, '[2]fund-selector'!$A$2:$F$853,6,FALSE)</f>
        <v>HY-CH</v>
      </c>
      <c r="C264" s="258">
        <v>6.76</v>
      </c>
      <c r="D264" s="260">
        <v>1.72</v>
      </c>
      <c r="E264" s="260">
        <v>12.17</v>
      </c>
      <c r="F264" s="260">
        <v>12.26</v>
      </c>
      <c r="G264" s="260">
        <v>1.72</v>
      </c>
      <c r="H264" s="260">
        <v>4.09</v>
      </c>
      <c r="I264" s="260">
        <v>1.22</v>
      </c>
      <c r="J264" s="260">
        <v>2.0099999999999998</v>
      </c>
      <c r="K264" s="260">
        <v>0.97</v>
      </c>
      <c r="L264" s="260">
        <v>1.43</v>
      </c>
    </row>
    <row r="265" spans="1:12" hidden="1" x14ac:dyDescent="0.25">
      <c r="A265" s="259" t="s">
        <v>1205</v>
      </c>
      <c r="B265" s="261" t="str">
        <f>VLOOKUP(A265, '[2]fund-selector'!$A$2:$F$853,6,FALSE)</f>
        <v>HY-AH</v>
      </c>
      <c r="C265" s="258">
        <v>5.94</v>
      </c>
      <c r="D265" s="260">
        <v>1.69</v>
      </c>
      <c r="E265" s="260">
        <v>17.29</v>
      </c>
      <c r="F265" s="260">
        <v>19.46</v>
      </c>
      <c r="G265" s="260">
        <v>1.69</v>
      </c>
      <c r="H265" s="260">
        <v>9.4600000000000009</v>
      </c>
      <c r="I265" s="260">
        <v>0.9</v>
      </c>
      <c r="J265" s="260">
        <v>1.39</v>
      </c>
      <c r="K265" s="260">
        <v>0.77</v>
      </c>
      <c r="L265" s="260">
        <v>1.07</v>
      </c>
    </row>
    <row r="266" spans="1:12" hidden="1" x14ac:dyDescent="0.25">
      <c r="A266" s="259" t="s">
        <v>314</v>
      </c>
      <c r="B266" s="261" t="str">
        <f>VLOOKUP(A266, '[2]fund-selector'!$A$2:$F$853,6,FALSE)</f>
        <v>EQ-L&amp;MC</v>
      </c>
      <c r="C266" s="258">
        <v>2.44</v>
      </c>
      <c r="D266" s="260">
        <v>1.65</v>
      </c>
      <c r="E266" s="260">
        <v>25.97</v>
      </c>
      <c r="F266" s="260">
        <v>28.23</v>
      </c>
      <c r="G266" s="260">
        <v>1.65</v>
      </c>
      <c r="H266" s="260">
        <v>14.9</v>
      </c>
      <c r="I266" s="260">
        <v>1.03</v>
      </c>
      <c r="J266" s="260">
        <v>1.57</v>
      </c>
      <c r="K266" s="260">
        <v>1.01</v>
      </c>
      <c r="L266" s="260">
        <v>4.28</v>
      </c>
    </row>
    <row r="267" spans="1:12" hidden="1" x14ac:dyDescent="0.25">
      <c r="A267" s="259" t="s">
        <v>315</v>
      </c>
      <c r="B267" s="261" t="str">
        <f>VLOOKUP(A267, '[2]fund-selector'!$A$2:$F$853,6,FALSE)</f>
        <v>EQ-LC</v>
      </c>
      <c r="C267" s="258">
        <v>2.94</v>
      </c>
      <c r="D267" s="260">
        <v>1.61</v>
      </c>
      <c r="E267" s="260">
        <v>21.14</v>
      </c>
      <c r="F267" s="260">
        <v>22.62</v>
      </c>
      <c r="G267" s="260">
        <v>1.61</v>
      </c>
      <c r="H267" s="260">
        <v>13.01</v>
      </c>
      <c r="I267" s="260">
        <v>0.88</v>
      </c>
      <c r="J267" s="260">
        <v>1.44</v>
      </c>
      <c r="K267" s="260">
        <v>0.92</v>
      </c>
      <c r="L267" s="260">
        <v>1.97</v>
      </c>
    </row>
    <row r="268" spans="1:12" hidden="1" x14ac:dyDescent="0.25">
      <c r="A268" s="259" t="s">
        <v>316</v>
      </c>
      <c r="B268" s="261" t="str">
        <f>VLOOKUP(A268, '[2]fund-selector'!$A$2:$F$853,6,FALSE)</f>
        <v>EQ-THEMATIC</v>
      </c>
      <c r="C268" s="258">
        <v>-3.17</v>
      </c>
      <c r="D268" s="260">
        <v>1.69</v>
      </c>
      <c r="E268" s="259">
        <v>0</v>
      </c>
      <c r="F268" s="259">
        <v>0</v>
      </c>
      <c r="G268" s="260">
        <v>1.69</v>
      </c>
      <c r="H268" s="259">
        <v>0</v>
      </c>
      <c r="I268" s="259">
        <v>0</v>
      </c>
      <c r="J268" s="259">
        <v>0</v>
      </c>
      <c r="K268" s="259">
        <v>0</v>
      </c>
      <c r="L268" s="259">
        <v>0</v>
      </c>
    </row>
    <row r="269" spans="1:12" hidden="1" x14ac:dyDescent="0.25">
      <c r="A269" s="259" t="s">
        <v>317</v>
      </c>
      <c r="B269" s="261" t="str">
        <f>VLOOKUP(A269, '[2]fund-selector'!$A$2:$F$853,6,FALSE)</f>
        <v>EQ-MC</v>
      </c>
      <c r="C269" s="258">
        <v>5.5</v>
      </c>
      <c r="D269" s="260">
        <v>1.4</v>
      </c>
      <c r="E269" s="260">
        <v>32.15</v>
      </c>
      <c r="F269" s="260">
        <v>32.15</v>
      </c>
      <c r="G269" s="260">
        <v>1.4</v>
      </c>
      <c r="H269" s="260">
        <v>15.1</v>
      </c>
      <c r="I269" s="260">
        <v>1.36</v>
      </c>
      <c r="J269" s="260">
        <v>2.02</v>
      </c>
      <c r="K269" s="260">
        <v>0.87</v>
      </c>
      <c r="L269" s="260">
        <v>4.83</v>
      </c>
    </row>
    <row r="270" spans="1:12" hidden="1" x14ac:dyDescent="0.25">
      <c r="A270" s="259" t="s">
        <v>319</v>
      </c>
      <c r="B270" s="261" t="str">
        <f>VLOOKUP(A270, '[2]fund-selector'!$A$2:$F$853,6,FALSE)</f>
        <v>HY-MAA</v>
      </c>
      <c r="C270" s="258">
        <v>10.32</v>
      </c>
      <c r="D270" s="260">
        <v>1.1599999999999999</v>
      </c>
      <c r="E270" s="260">
        <v>18.489999999999998</v>
      </c>
      <c r="F270" s="259">
        <v>0</v>
      </c>
      <c r="G270" s="260">
        <v>1.1599999999999999</v>
      </c>
      <c r="H270" s="260">
        <v>6.67</v>
      </c>
      <c r="I270" s="260">
        <v>1.45</v>
      </c>
      <c r="J270" s="260">
        <v>2.4</v>
      </c>
      <c r="K270" s="260">
        <v>0.67</v>
      </c>
      <c r="L270" s="260">
        <v>3.68</v>
      </c>
    </row>
    <row r="271" spans="1:12" hidden="1" x14ac:dyDescent="0.25">
      <c r="A271" s="259" t="s">
        <v>320</v>
      </c>
      <c r="B271" s="261" t="str">
        <f>VLOOKUP(A271, '[2]fund-selector'!$A$2:$F$853,6,FALSE)</f>
        <v>HY-MAA</v>
      </c>
      <c r="C271" s="258">
        <v>8.89</v>
      </c>
      <c r="D271" s="260">
        <v>1.89</v>
      </c>
      <c r="E271" s="260">
        <v>16.37</v>
      </c>
      <c r="F271" s="260">
        <v>17.260000000000002</v>
      </c>
      <c r="G271" s="260">
        <v>1.89</v>
      </c>
      <c r="H271" s="260">
        <v>6.67</v>
      </c>
      <c r="I271" s="260">
        <v>1.1599999999999999</v>
      </c>
      <c r="J271" s="260">
        <v>2.3199999999999998</v>
      </c>
      <c r="K271" s="260">
        <v>0.68</v>
      </c>
      <c r="L271" s="260">
        <v>1.7</v>
      </c>
    </row>
    <row r="272" spans="1:12" x14ac:dyDescent="0.25">
      <c r="A272" s="296" t="s">
        <v>321</v>
      </c>
      <c r="B272" s="261" t="str">
        <f>VLOOKUP(A272, '[2]fund-selector'!$A$2:$F$853,6,FALSE)</f>
        <v>EQ-MLC</v>
      </c>
      <c r="C272" s="258">
        <v>0.93</v>
      </c>
      <c r="D272" s="260">
        <v>1.68</v>
      </c>
      <c r="E272" s="260">
        <v>27.7</v>
      </c>
      <c r="F272" s="259">
        <v>0</v>
      </c>
      <c r="G272" s="260">
        <v>1.68</v>
      </c>
      <c r="H272" s="260">
        <v>15.11</v>
      </c>
      <c r="I272" s="260">
        <v>1.1399999999999999</v>
      </c>
      <c r="J272" s="260">
        <v>1.7</v>
      </c>
      <c r="K272" s="260">
        <v>0.95</v>
      </c>
      <c r="L272" s="260">
        <v>3.31</v>
      </c>
    </row>
    <row r="273" spans="1:12" hidden="1" x14ac:dyDescent="0.25">
      <c r="A273" s="259" t="s">
        <v>322</v>
      </c>
      <c r="B273" s="261" t="str">
        <f>VLOOKUP(A273, '[2]fund-selector'!$A$2:$F$853,6,FALSE)</f>
        <v>EQ-LC</v>
      </c>
      <c r="C273" s="258">
        <v>-1.32</v>
      </c>
      <c r="D273" s="260">
        <v>0.83</v>
      </c>
      <c r="E273" s="260">
        <v>21.25</v>
      </c>
      <c r="F273" s="259">
        <v>0</v>
      </c>
      <c r="G273" s="260">
        <v>0.83</v>
      </c>
      <c r="H273" s="260">
        <v>16.09</v>
      </c>
      <c r="I273" s="260">
        <v>0.72</v>
      </c>
      <c r="J273" s="260">
        <v>1.24</v>
      </c>
      <c r="K273" s="260">
        <v>1.1299999999999999</v>
      </c>
      <c r="L273" s="260">
        <v>0.01</v>
      </c>
    </row>
    <row r="274" spans="1:12" hidden="1" x14ac:dyDescent="0.25">
      <c r="A274" s="259" t="s">
        <v>323</v>
      </c>
      <c r="B274" s="261" t="str">
        <f>VLOOKUP(A274, '[2]fund-selector'!$A$2:$F$853,6,FALSE)</f>
        <v>EQ-LC</v>
      </c>
      <c r="C274" s="258">
        <v>3.62</v>
      </c>
      <c r="D274" s="260">
        <v>0.3</v>
      </c>
      <c r="E274" s="259">
        <v>0</v>
      </c>
      <c r="F274" s="259">
        <v>0</v>
      </c>
      <c r="G274" s="260">
        <v>0.3</v>
      </c>
      <c r="H274" s="259">
        <v>0</v>
      </c>
      <c r="I274" s="259">
        <v>0</v>
      </c>
      <c r="J274" s="259">
        <v>0</v>
      </c>
      <c r="K274" s="259">
        <v>0</v>
      </c>
      <c r="L274" s="259">
        <v>0</v>
      </c>
    </row>
    <row r="275" spans="1:12" hidden="1" x14ac:dyDescent="0.25">
      <c r="A275" s="259" t="s">
        <v>324</v>
      </c>
      <c r="B275" s="261" t="str">
        <f>VLOOKUP(A275, '[2]fund-selector'!$A$2:$F$853,6,FALSE)</f>
        <v>EQ-LC</v>
      </c>
      <c r="C275" s="258">
        <v>3.1</v>
      </c>
      <c r="D275" s="260">
        <v>0.75</v>
      </c>
      <c r="E275" s="260">
        <v>17.940000000000001</v>
      </c>
      <c r="F275" s="259">
        <v>0</v>
      </c>
      <c r="G275" s="260">
        <v>0.75</v>
      </c>
      <c r="H275" s="260">
        <v>13.91</v>
      </c>
      <c r="I275" s="260">
        <v>0.62</v>
      </c>
      <c r="J275" s="260">
        <v>1.01</v>
      </c>
      <c r="K275" s="260">
        <v>1.01</v>
      </c>
      <c r="L275" s="260">
        <v>-1.76</v>
      </c>
    </row>
    <row r="276" spans="1:12" hidden="1" x14ac:dyDescent="0.25">
      <c r="A276" s="259" t="s">
        <v>325</v>
      </c>
      <c r="B276" s="261" t="str">
        <f>VLOOKUP(A276, '[2]fund-selector'!$A$2:$F$853,6,FALSE)</f>
        <v>EQ-LC</v>
      </c>
      <c r="C276" s="258">
        <v>5.48</v>
      </c>
      <c r="D276" s="260">
        <v>0.3</v>
      </c>
      <c r="E276" s="259">
        <v>0</v>
      </c>
      <c r="F276" s="259">
        <v>0</v>
      </c>
      <c r="G276" s="260">
        <v>0.3</v>
      </c>
      <c r="H276" s="259">
        <v>0</v>
      </c>
      <c r="I276" s="259">
        <v>0</v>
      </c>
      <c r="J276" s="259">
        <v>0</v>
      </c>
      <c r="K276" s="259">
        <v>0</v>
      </c>
      <c r="L276" s="259">
        <v>0</v>
      </c>
    </row>
    <row r="277" spans="1:12" hidden="1" x14ac:dyDescent="0.25">
      <c r="A277" s="259" t="s">
        <v>326</v>
      </c>
      <c r="B277" s="261" t="str">
        <f>VLOOKUP(A277, '[2]fund-selector'!$A$2:$F$853,6,FALSE)</f>
        <v>EQ-LC</v>
      </c>
      <c r="C277" s="258" t="s">
        <v>54</v>
      </c>
      <c r="D277" s="260">
        <v>0.9</v>
      </c>
      <c r="E277" s="259">
        <v>0</v>
      </c>
      <c r="F277" s="259">
        <v>0</v>
      </c>
      <c r="G277" s="260">
        <v>0.9</v>
      </c>
      <c r="H277" s="259">
        <v>0</v>
      </c>
      <c r="I277" s="259">
        <v>0</v>
      </c>
      <c r="J277" s="259">
        <v>0</v>
      </c>
      <c r="K277" s="259">
        <v>0</v>
      </c>
      <c r="L277" s="259">
        <v>0</v>
      </c>
    </row>
    <row r="278" spans="1:12" hidden="1" x14ac:dyDescent="0.25">
      <c r="A278" s="259" t="s">
        <v>327</v>
      </c>
      <c r="B278" s="261" t="str">
        <f>VLOOKUP(A278, '[2]fund-selector'!$A$2:$F$853,6,FALSE)</f>
        <v>EQ-LC</v>
      </c>
      <c r="C278" s="258">
        <v>0.34</v>
      </c>
      <c r="D278" s="260">
        <v>0.3</v>
      </c>
      <c r="E278" s="259">
        <v>0</v>
      </c>
      <c r="F278" s="259">
        <v>0</v>
      </c>
      <c r="G278" s="260">
        <v>0.3</v>
      </c>
      <c r="H278" s="259">
        <v>0</v>
      </c>
      <c r="I278" s="259">
        <v>0</v>
      </c>
      <c r="J278" s="259">
        <v>0</v>
      </c>
      <c r="K278" s="259">
        <v>0</v>
      </c>
      <c r="L278" s="259">
        <v>0</v>
      </c>
    </row>
    <row r="279" spans="1:12" hidden="1" x14ac:dyDescent="0.25">
      <c r="A279" s="259" t="s">
        <v>328</v>
      </c>
      <c r="B279" s="261" t="str">
        <f>VLOOKUP(A279, '[2]fund-selector'!$A$2:$F$853,6,FALSE)</f>
        <v>EQ-LC</v>
      </c>
      <c r="C279" s="258" t="s">
        <v>54</v>
      </c>
      <c r="D279" s="260">
        <v>0.89</v>
      </c>
      <c r="E279" s="259">
        <v>0</v>
      </c>
      <c r="F279" s="259">
        <v>0</v>
      </c>
      <c r="G279" s="260">
        <v>0.89</v>
      </c>
      <c r="H279" s="259">
        <v>0</v>
      </c>
      <c r="I279" s="259">
        <v>0</v>
      </c>
      <c r="J279" s="259">
        <v>0</v>
      </c>
      <c r="K279" s="259">
        <v>0</v>
      </c>
      <c r="L279" s="259">
        <v>0</v>
      </c>
    </row>
    <row r="280" spans="1:12" hidden="1" x14ac:dyDescent="0.25">
      <c r="A280" s="259" t="s">
        <v>329</v>
      </c>
      <c r="B280" s="261" t="str">
        <f>VLOOKUP(A280, '[2]fund-selector'!$A$2:$F$853,6,FALSE)</f>
        <v>EQ-L&amp;MC</v>
      </c>
      <c r="C280" s="258">
        <v>-12.93</v>
      </c>
      <c r="D280" s="260">
        <v>0.3</v>
      </c>
      <c r="E280" s="259">
        <v>0</v>
      </c>
      <c r="F280" s="259">
        <v>0</v>
      </c>
      <c r="G280" s="260">
        <v>0.3</v>
      </c>
      <c r="H280" s="259">
        <v>0</v>
      </c>
      <c r="I280" s="259">
        <v>0</v>
      </c>
      <c r="J280" s="259">
        <v>0</v>
      </c>
      <c r="K280" s="259">
        <v>0</v>
      </c>
      <c r="L280" s="259">
        <v>0</v>
      </c>
    </row>
    <row r="281" spans="1:12" hidden="1" x14ac:dyDescent="0.25">
      <c r="A281" s="259" t="s">
        <v>330</v>
      </c>
      <c r="B281" s="261" t="str">
        <f>VLOOKUP(A281, '[2]fund-selector'!$A$2:$F$853,6,FALSE)</f>
        <v>EQ-L&amp;MC</v>
      </c>
      <c r="C281" s="258">
        <v>-13.49</v>
      </c>
      <c r="D281" s="260">
        <v>0.89</v>
      </c>
      <c r="E281" s="259">
        <v>0</v>
      </c>
      <c r="F281" s="259">
        <v>0</v>
      </c>
      <c r="G281" s="260">
        <v>0.89</v>
      </c>
      <c r="H281" s="259">
        <v>0</v>
      </c>
      <c r="I281" s="259">
        <v>0</v>
      </c>
      <c r="J281" s="259">
        <v>0</v>
      </c>
      <c r="K281" s="259">
        <v>0</v>
      </c>
      <c r="L281" s="259">
        <v>0</v>
      </c>
    </row>
    <row r="282" spans="1:12" hidden="1" x14ac:dyDescent="0.25">
      <c r="A282" s="259" t="s">
        <v>331</v>
      </c>
      <c r="B282" s="261" t="str">
        <f>VLOOKUP(A282, '[2]fund-selector'!$A$2:$F$853,6,FALSE)</f>
        <v>EQ-MLC</v>
      </c>
      <c r="C282" s="258" t="s">
        <v>54</v>
      </c>
      <c r="D282" s="260">
        <v>0.8</v>
      </c>
      <c r="E282" s="259">
        <v>0</v>
      </c>
      <c r="F282" s="259">
        <v>0</v>
      </c>
      <c r="G282" s="260">
        <v>0.8</v>
      </c>
      <c r="H282" s="259">
        <v>0</v>
      </c>
      <c r="I282" s="259">
        <v>0</v>
      </c>
      <c r="J282" s="259">
        <v>0</v>
      </c>
      <c r="K282" s="259">
        <v>0</v>
      </c>
      <c r="L282" s="259">
        <v>0</v>
      </c>
    </row>
    <row r="283" spans="1:12" hidden="1" x14ac:dyDescent="0.25">
      <c r="A283" s="259" t="s">
        <v>332</v>
      </c>
      <c r="B283" s="261" t="str">
        <f>VLOOKUP(A283, '[2]fund-selector'!$A$2:$F$853,6,FALSE)</f>
        <v>EQ-LC</v>
      </c>
      <c r="C283" s="258">
        <v>4.09</v>
      </c>
      <c r="D283" s="260">
        <v>0.86</v>
      </c>
      <c r="E283" s="260">
        <v>21.91</v>
      </c>
      <c r="F283" s="259">
        <v>0</v>
      </c>
      <c r="G283" s="260">
        <v>0.86</v>
      </c>
      <c r="H283" s="260">
        <v>14.77</v>
      </c>
      <c r="I283" s="260">
        <v>0.78</v>
      </c>
      <c r="J283" s="260">
        <v>1.22</v>
      </c>
      <c r="K283" s="260">
        <v>1.05</v>
      </c>
      <c r="L283" s="260">
        <v>0.81</v>
      </c>
    </row>
    <row r="284" spans="1:12" hidden="1" x14ac:dyDescent="0.25">
      <c r="A284" s="259" t="s">
        <v>333</v>
      </c>
      <c r="B284" s="261" t="str">
        <f>VLOOKUP(A284, '[2]fund-selector'!$A$2:$F$853,6,FALSE)</f>
        <v>EQ-LC</v>
      </c>
      <c r="C284" s="258">
        <v>6.49</v>
      </c>
      <c r="D284" s="260">
        <v>0.05</v>
      </c>
      <c r="E284" s="260">
        <v>18.64</v>
      </c>
      <c r="F284" s="260">
        <v>20.64</v>
      </c>
      <c r="G284" s="260">
        <v>0.05</v>
      </c>
      <c r="H284" s="260">
        <v>13.13</v>
      </c>
      <c r="I284" s="260">
        <v>0.69</v>
      </c>
      <c r="J284" s="260">
        <v>1.17</v>
      </c>
      <c r="K284" s="260">
        <v>0.95</v>
      </c>
      <c r="L284" s="260">
        <v>-0.73</v>
      </c>
    </row>
    <row r="285" spans="1:12" hidden="1" x14ac:dyDescent="0.25">
      <c r="A285" s="259" t="s">
        <v>334</v>
      </c>
      <c r="B285" s="261" t="str">
        <f>VLOOKUP(A285, '[2]fund-selector'!$A$2:$F$853,6,FALSE)</f>
        <v>EQ-LC</v>
      </c>
      <c r="C285" s="258">
        <v>6.11</v>
      </c>
      <c r="D285" s="260">
        <v>0.35</v>
      </c>
      <c r="E285" s="260">
        <v>18.21</v>
      </c>
      <c r="F285" s="260">
        <v>20.18</v>
      </c>
      <c r="G285" s="260">
        <v>0.35</v>
      </c>
      <c r="H285" s="260">
        <v>13.12</v>
      </c>
      <c r="I285" s="260">
        <v>0.66</v>
      </c>
      <c r="J285" s="260">
        <v>1.1299999999999999</v>
      </c>
      <c r="K285" s="260">
        <v>0.95</v>
      </c>
      <c r="L285" s="260">
        <v>-1.1000000000000001</v>
      </c>
    </row>
    <row r="286" spans="1:12" hidden="1" x14ac:dyDescent="0.25">
      <c r="A286" s="259" t="s">
        <v>335</v>
      </c>
      <c r="B286" s="261" t="str">
        <f>VLOOKUP(A286, '[2]fund-selector'!$A$2:$F$853,6,FALSE)</f>
        <v>EQ-THEMATIC</v>
      </c>
      <c r="C286" s="258">
        <v>4.24</v>
      </c>
      <c r="D286" s="260">
        <v>0.3</v>
      </c>
      <c r="E286" s="259">
        <v>0</v>
      </c>
      <c r="F286" s="259">
        <v>0</v>
      </c>
      <c r="G286" s="260">
        <v>0.3</v>
      </c>
      <c r="H286" s="259">
        <v>0</v>
      </c>
      <c r="I286" s="259">
        <v>0</v>
      </c>
      <c r="J286" s="259">
        <v>0</v>
      </c>
      <c r="K286" s="259">
        <v>0</v>
      </c>
      <c r="L286" s="259">
        <v>0</v>
      </c>
    </row>
    <row r="287" spans="1:12" hidden="1" x14ac:dyDescent="0.25">
      <c r="A287" s="259" t="s">
        <v>336</v>
      </c>
      <c r="B287" s="261" t="str">
        <f>VLOOKUP(A287, '[2]fund-selector'!$A$2:$F$853,6,FALSE)</f>
        <v>EQ-L&amp;MC</v>
      </c>
      <c r="C287" s="258" t="s">
        <v>54</v>
      </c>
      <c r="D287" s="260">
        <v>0.75</v>
      </c>
      <c r="E287" s="259">
        <v>0</v>
      </c>
      <c r="F287" s="259">
        <v>0</v>
      </c>
      <c r="G287" s="260">
        <v>0.75</v>
      </c>
      <c r="H287" s="259">
        <v>0</v>
      </c>
      <c r="I287" s="259">
        <v>0</v>
      </c>
      <c r="J287" s="259">
        <v>0</v>
      </c>
      <c r="K287" s="259">
        <v>0</v>
      </c>
      <c r="L287" s="259">
        <v>0</v>
      </c>
    </row>
    <row r="288" spans="1:12" hidden="1" x14ac:dyDescent="0.25">
      <c r="A288" s="259" t="s">
        <v>337</v>
      </c>
      <c r="B288" s="261" t="str">
        <f>VLOOKUP(A288, '[2]fund-selector'!$A$2:$F$853,6,FALSE)</f>
        <v>EQ-MC</v>
      </c>
      <c r="C288" s="258">
        <v>2.44</v>
      </c>
      <c r="D288" s="260">
        <v>0.2</v>
      </c>
      <c r="E288" s="259">
        <v>0</v>
      </c>
      <c r="F288" s="259">
        <v>0</v>
      </c>
      <c r="G288" s="260">
        <v>0.2</v>
      </c>
      <c r="H288" s="259">
        <v>0</v>
      </c>
      <c r="I288" s="259">
        <v>0</v>
      </c>
      <c r="J288" s="259">
        <v>0</v>
      </c>
      <c r="K288" s="259">
        <v>0</v>
      </c>
      <c r="L288" s="259">
        <v>0</v>
      </c>
    </row>
    <row r="289" spans="1:12" hidden="1" x14ac:dyDescent="0.25">
      <c r="A289" s="259" t="s">
        <v>338</v>
      </c>
      <c r="B289" s="261" t="str">
        <f>VLOOKUP(A289, '[2]fund-selector'!$A$2:$F$853,6,FALSE)</f>
        <v>EQ-MC</v>
      </c>
      <c r="C289" s="258">
        <v>1.64</v>
      </c>
      <c r="D289" s="260">
        <v>0.83</v>
      </c>
      <c r="E289" s="259">
        <v>0</v>
      </c>
      <c r="F289" s="259">
        <v>0</v>
      </c>
      <c r="G289" s="260">
        <v>0.83</v>
      </c>
      <c r="H289" s="259">
        <v>0</v>
      </c>
      <c r="I289" s="259">
        <v>0</v>
      </c>
      <c r="J289" s="259">
        <v>0</v>
      </c>
      <c r="K289" s="259">
        <v>0</v>
      </c>
      <c r="L289" s="259">
        <v>0</v>
      </c>
    </row>
    <row r="290" spans="1:12" hidden="1" x14ac:dyDescent="0.25">
      <c r="A290" s="259" t="s">
        <v>339</v>
      </c>
      <c r="B290" s="261" t="str">
        <f>VLOOKUP(A290, '[2]fund-selector'!$A$2:$F$853,6,FALSE)</f>
        <v>EQ-LC</v>
      </c>
      <c r="C290" s="258">
        <v>-7.47</v>
      </c>
      <c r="D290" s="260">
        <v>0.25</v>
      </c>
      <c r="E290" s="259">
        <v>0</v>
      </c>
      <c r="F290" s="259">
        <v>0</v>
      </c>
      <c r="G290" s="260">
        <v>0.25</v>
      </c>
      <c r="H290" s="259">
        <v>0</v>
      </c>
      <c r="I290" s="259">
        <v>0</v>
      </c>
      <c r="J290" s="259">
        <v>0</v>
      </c>
      <c r="K290" s="259">
        <v>0</v>
      </c>
      <c r="L290" s="259">
        <v>0</v>
      </c>
    </row>
    <row r="291" spans="1:12" hidden="1" x14ac:dyDescent="0.25">
      <c r="A291" s="259" t="s">
        <v>340</v>
      </c>
      <c r="B291" s="261" t="str">
        <f>VLOOKUP(A291, '[2]fund-selector'!$A$2:$F$853,6,FALSE)</f>
        <v>EQ-LC</v>
      </c>
      <c r="C291" s="258">
        <v>-8.1999999999999993</v>
      </c>
      <c r="D291" s="260">
        <v>0.66</v>
      </c>
      <c r="E291" s="260">
        <v>22.19</v>
      </c>
      <c r="F291" s="259">
        <v>0</v>
      </c>
      <c r="G291" s="260">
        <v>0.66</v>
      </c>
      <c r="H291" s="260">
        <v>19.53</v>
      </c>
      <c r="I291" s="260">
        <v>0.68</v>
      </c>
      <c r="J291" s="260">
        <v>1.02</v>
      </c>
      <c r="K291" s="260">
        <v>1.3</v>
      </c>
      <c r="L291" s="260">
        <v>-0.04</v>
      </c>
    </row>
    <row r="292" spans="1:12" hidden="1" x14ac:dyDescent="0.25">
      <c r="A292" s="259" t="s">
        <v>341</v>
      </c>
      <c r="B292" s="261" t="str">
        <f>VLOOKUP(A292, '[2]fund-selector'!$A$2:$F$853,6,FALSE)</f>
        <v>EQ-THEMATIC</v>
      </c>
      <c r="C292" s="258">
        <v>-11.74</v>
      </c>
      <c r="D292" s="260">
        <v>0.89</v>
      </c>
      <c r="E292" s="259">
        <v>0</v>
      </c>
      <c r="F292" s="259">
        <v>0</v>
      </c>
      <c r="G292" s="260">
        <v>0.89</v>
      </c>
      <c r="H292" s="259">
        <v>0</v>
      </c>
      <c r="I292" s="259">
        <v>0</v>
      </c>
      <c r="J292" s="259">
        <v>0</v>
      </c>
      <c r="K292" s="259">
        <v>0</v>
      </c>
      <c r="L292" s="259">
        <v>0</v>
      </c>
    </row>
    <row r="293" spans="1:12" hidden="1" x14ac:dyDescent="0.25">
      <c r="A293" s="259" t="s">
        <v>342</v>
      </c>
      <c r="B293" s="261" t="str">
        <f>VLOOKUP(A293, '[2]fund-selector'!$A$2:$F$853,6,FALSE)</f>
        <v>EQ-SC</v>
      </c>
      <c r="C293" s="258">
        <v>-0.64</v>
      </c>
      <c r="D293" s="260">
        <v>0.2</v>
      </c>
      <c r="E293" s="259">
        <v>0</v>
      </c>
      <c r="F293" s="259">
        <v>0</v>
      </c>
      <c r="G293" s="260">
        <v>0.2</v>
      </c>
      <c r="H293" s="259">
        <v>0</v>
      </c>
      <c r="I293" s="259">
        <v>0</v>
      </c>
      <c r="J293" s="259">
        <v>0</v>
      </c>
      <c r="K293" s="259">
        <v>0</v>
      </c>
      <c r="L293" s="259">
        <v>0</v>
      </c>
    </row>
    <row r="294" spans="1:12" hidden="1" x14ac:dyDescent="0.25">
      <c r="A294" s="259" t="s">
        <v>343</v>
      </c>
      <c r="B294" s="261" t="str">
        <f>VLOOKUP(A294, '[2]fund-selector'!$A$2:$F$853,6,FALSE)</f>
        <v>EQ-SC</v>
      </c>
      <c r="C294" s="258">
        <v>-1.34</v>
      </c>
      <c r="D294" s="260">
        <v>0.81</v>
      </c>
      <c r="E294" s="259">
        <v>0</v>
      </c>
      <c r="F294" s="259">
        <v>0</v>
      </c>
      <c r="G294" s="260">
        <v>0.81</v>
      </c>
      <c r="H294" s="259">
        <v>0</v>
      </c>
      <c r="I294" s="259">
        <v>0</v>
      </c>
      <c r="J294" s="259">
        <v>0</v>
      </c>
      <c r="K294" s="259">
        <v>0</v>
      </c>
      <c r="L294" s="259">
        <v>0</v>
      </c>
    </row>
    <row r="295" spans="1:12" hidden="1" x14ac:dyDescent="0.25">
      <c r="A295" s="259" t="s">
        <v>344</v>
      </c>
      <c r="B295" s="261" t="str">
        <f>VLOOKUP(A295, '[2]fund-selector'!$A$2:$F$853,6,FALSE)</f>
        <v>EQ-LC</v>
      </c>
      <c r="C295" s="258" t="s">
        <v>54</v>
      </c>
      <c r="D295" s="260">
        <v>0.9</v>
      </c>
      <c r="E295" s="259">
        <v>0</v>
      </c>
      <c r="F295" s="259">
        <v>0</v>
      </c>
      <c r="G295" s="260">
        <v>0.9</v>
      </c>
      <c r="H295" s="259">
        <v>0</v>
      </c>
      <c r="I295" s="259">
        <v>0</v>
      </c>
      <c r="J295" s="259">
        <v>0</v>
      </c>
      <c r="K295" s="259">
        <v>0</v>
      </c>
      <c r="L295" s="259">
        <v>0</v>
      </c>
    </row>
    <row r="296" spans="1:12" hidden="1" x14ac:dyDescent="0.25">
      <c r="A296" s="259" t="s">
        <v>346</v>
      </c>
      <c r="B296" s="261" t="str">
        <f>VLOOKUP(A296, '[2]fund-selector'!$A$2:$F$853,6,FALSE)</f>
        <v>EQ-FLX</v>
      </c>
      <c r="C296" s="258">
        <v>3.36</v>
      </c>
      <c r="D296" s="260">
        <v>1.77</v>
      </c>
      <c r="E296" s="260">
        <v>23.9</v>
      </c>
      <c r="F296" s="260">
        <v>27.05</v>
      </c>
      <c r="G296" s="260">
        <v>1.77</v>
      </c>
      <c r="H296" s="260">
        <v>11.86</v>
      </c>
      <c r="I296" s="260">
        <v>1.18</v>
      </c>
      <c r="J296" s="260">
        <v>1.8</v>
      </c>
      <c r="K296" s="260">
        <v>0.8</v>
      </c>
      <c r="L296" s="260">
        <v>4.8099999999999996</v>
      </c>
    </row>
    <row r="297" spans="1:12" hidden="1" x14ac:dyDescent="0.25">
      <c r="A297" s="259" t="s">
        <v>1208</v>
      </c>
      <c r="B297" s="261" t="str">
        <f>VLOOKUP(A297, '[2]fund-selector'!$A$2:$F$853,6,FALSE)</f>
        <v>HY-CH</v>
      </c>
      <c r="C297" s="258">
        <v>6.22</v>
      </c>
      <c r="D297" s="260">
        <v>2.14</v>
      </c>
      <c r="E297" s="260">
        <v>10.55</v>
      </c>
      <c r="F297" s="260">
        <v>9.33</v>
      </c>
      <c r="G297" s="260">
        <v>2.14</v>
      </c>
      <c r="H297" s="260">
        <v>3.63</v>
      </c>
      <c r="I297" s="260">
        <v>0.95</v>
      </c>
      <c r="J297" s="260">
        <v>1.63</v>
      </c>
      <c r="K297" s="260">
        <v>0.85</v>
      </c>
      <c r="L297" s="260">
        <v>0.33</v>
      </c>
    </row>
    <row r="298" spans="1:12" hidden="1" x14ac:dyDescent="0.25">
      <c r="A298" s="259" t="s">
        <v>1209</v>
      </c>
      <c r="B298" s="261" t="str">
        <f>VLOOKUP(A298, '[2]fund-selector'!$A$2:$F$853,6,FALSE)</f>
        <v>HY-AH</v>
      </c>
      <c r="C298" s="258">
        <v>4.24</v>
      </c>
      <c r="D298" s="260">
        <v>2.0299999999999998</v>
      </c>
      <c r="E298" s="260">
        <v>18.739999999999998</v>
      </c>
      <c r="F298" s="260">
        <v>19.72</v>
      </c>
      <c r="G298" s="260">
        <v>2.0299999999999998</v>
      </c>
      <c r="H298" s="260">
        <v>9.1</v>
      </c>
      <c r="I298" s="260">
        <v>1.1100000000000001</v>
      </c>
      <c r="J298" s="260">
        <v>1.75</v>
      </c>
      <c r="K298" s="260">
        <v>0.74</v>
      </c>
      <c r="L298" s="260">
        <v>2.99</v>
      </c>
    </row>
    <row r="299" spans="1:12" hidden="1" x14ac:dyDescent="0.25">
      <c r="A299" s="259" t="s">
        <v>347</v>
      </c>
      <c r="B299" s="261" t="str">
        <f>VLOOKUP(A299, '[2]fund-selector'!$A$2:$F$853,6,FALSE)</f>
        <v>EQ-SC</v>
      </c>
      <c r="C299" s="258">
        <v>2.39</v>
      </c>
      <c r="D299" s="260">
        <v>1.59</v>
      </c>
      <c r="E299" s="260">
        <v>29.03</v>
      </c>
      <c r="F299" s="260">
        <v>33.75</v>
      </c>
      <c r="G299" s="260">
        <v>1.59</v>
      </c>
      <c r="H299" s="260">
        <v>16.329999999999998</v>
      </c>
      <c r="I299" s="260">
        <v>1.1299999999999999</v>
      </c>
      <c r="J299" s="260">
        <v>1.67</v>
      </c>
      <c r="K299" s="260">
        <v>0.81</v>
      </c>
      <c r="L299" s="260">
        <v>3.63</v>
      </c>
    </row>
    <row r="300" spans="1:12" hidden="1" x14ac:dyDescent="0.25">
      <c r="A300" s="259" t="s">
        <v>348</v>
      </c>
      <c r="B300" s="261" t="str">
        <f>VLOOKUP(A300, '[2]fund-selector'!$A$2:$F$853,6,FALSE)</f>
        <v>EQ-THEMATIC</v>
      </c>
      <c r="C300" s="258">
        <v>-4.53</v>
      </c>
      <c r="D300" s="260">
        <v>2.12</v>
      </c>
      <c r="E300" s="259">
        <v>0</v>
      </c>
      <c r="F300" s="259">
        <v>0</v>
      </c>
      <c r="G300" s="260">
        <v>2.12</v>
      </c>
      <c r="H300" s="259">
        <v>0</v>
      </c>
      <c r="I300" s="259">
        <v>0</v>
      </c>
      <c r="J300" s="259">
        <v>0</v>
      </c>
      <c r="K300" s="259">
        <v>0</v>
      </c>
      <c r="L300" s="259">
        <v>0</v>
      </c>
    </row>
    <row r="301" spans="1:12" hidden="1" x14ac:dyDescent="0.25">
      <c r="A301" s="259" t="s">
        <v>349</v>
      </c>
      <c r="B301" s="261" t="str">
        <f>VLOOKUP(A301, '[2]fund-selector'!$A$2:$F$853,6,FALSE)</f>
        <v>HY-DAA</v>
      </c>
      <c r="C301" s="258">
        <v>1.01</v>
      </c>
      <c r="D301" s="260">
        <v>2.4</v>
      </c>
      <c r="E301" s="259">
        <v>0</v>
      </c>
      <c r="F301" s="259">
        <v>0</v>
      </c>
      <c r="G301" s="260">
        <v>2.4</v>
      </c>
      <c r="H301" s="259">
        <v>0</v>
      </c>
      <c r="I301" s="259">
        <v>0</v>
      </c>
      <c r="J301" s="259">
        <v>0</v>
      </c>
      <c r="K301" s="259">
        <v>0</v>
      </c>
      <c r="L301" s="259">
        <v>0</v>
      </c>
    </row>
    <row r="302" spans="1:12" hidden="1" x14ac:dyDescent="0.25">
      <c r="A302" s="259" t="s">
        <v>350</v>
      </c>
      <c r="B302" s="261" t="str">
        <f>VLOOKUP(A302, '[2]fund-selector'!$A$2:$F$853,6,FALSE)</f>
        <v>EQ-FLX</v>
      </c>
      <c r="C302" s="258">
        <v>2.83</v>
      </c>
      <c r="D302" s="260">
        <v>1.9</v>
      </c>
      <c r="E302" s="259">
        <v>0</v>
      </c>
      <c r="F302" s="259">
        <v>0</v>
      </c>
      <c r="G302" s="260">
        <v>1.9</v>
      </c>
      <c r="H302" s="259">
        <v>0</v>
      </c>
      <c r="I302" s="259">
        <v>0</v>
      </c>
      <c r="J302" s="259">
        <v>0</v>
      </c>
      <c r="K302" s="259">
        <v>0</v>
      </c>
      <c r="L302" s="259">
        <v>0</v>
      </c>
    </row>
    <row r="303" spans="1:12" hidden="1" x14ac:dyDescent="0.25">
      <c r="A303" s="259" t="s">
        <v>351</v>
      </c>
      <c r="B303" s="261" t="str">
        <f>VLOOKUP(A303, '[2]fund-selector'!$A$2:$F$853,6,FALSE)</f>
        <v>EQ-L&amp;MC</v>
      </c>
      <c r="C303" s="258" t="s">
        <v>54</v>
      </c>
      <c r="D303" s="260">
        <v>2.38</v>
      </c>
      <c r="E303" s="259">
        <v>0</v>
      </c>
      <c r="F303" s="259">
        <v>0</v>
      </c>
      <c r="G303" s="260">
        <v>2.38</v>
      </c>
      <c r="H303" s="259">
        <v>0</v>
      </c>
      <c r="I303" s="259">
        <v>0</v>
      </c>
      <c r="J303" s="259">
        <v>0</v>
      </c>
      <c r="K303" s="259">
        <v>0</v>
      </c>
      <c r="L303" s="259">
        <v>0</v>
      </c>
    </row>
    <row r="304" spans="1:12" hidden="1" x14ac:dyDescent="0.25">
      <c r="A304" s="259" t="s">
        <v>352</v>
      </c>
      <c r="B304" s="261" t="str">
        <f>VLOOKUP(A304, '[2]fund-selector'!$A$2:$F$853,6,FALSE)</f>
        <v>EQ-MC</v>
      </c>
      <c r="C304" s="258" t="s">
        <v>54</v>
      </c>
      <c r="D304" s="260">
        <v>2.39</v>
      </c>
      <c r="E304" s="259">
        <v>0</v>
      </c>
      <c r="F304" s="259">
        <v>0</v>
      </c>
      <c r="G304" s="260">
        <v>2.39</v>
      </c>
      <c r="H304" s="259">
        <v>0</v>
      </c>
      <c r="I304" s="259">
        <v>0</v>
      </c>
      <c r="J304" s="259">
        <v>0</v>
      </c>
      <c r="K304" s="259">
        <v>0</v>
      </c>
      <c r="L304" s="259">
        <v>0</v>
      </c>
    </row>
    <row r="305" spans="1:12" hidden="1" x14ac:dyDescent="0.25">
      <c r="A305" s="259" t="s">
        <v>1210</v>
      </c>
      <c r="B305" s="261" t="str">
        <f>VLOOKUP(A305, '[2]fund-selector'!$A$2:$F$853,6,FALSE)</f>
        <v>HY-AH</v>
      </c>
      <c r="C305" s="258">
        <v>3.62</v>
      </c>
      <c r="D305" s="260">
        <v>1.35</v>
      </c>
      <c r="E305" s="260">
        <v>19.21</v>
      </c>
      <c r="F305" s="260">
        <v>19.21</v>
      </c>
      <c r="G305" s="260">
        <v>1.35</v>
      </c>
      <c r="H305" s="260">
        <v>11.62</v>
      </c>
      <c r="I305" s="260">
        <v>0.82</v>
      </c>
      <c r="J305" s="260">
        <v>1.1499999999999999</v>
      </c>
      <c r="K305" s="260">
        <v>0.94</v>
      </c>
      <c r="L305" s="260">
        <v>0.53</v>
      </c>
    </row>
    <row r="306" spans="1:12" hidden="1" x14ac:dyDescent="0.25">
      <c r="A306" s="259" t="s">
        <v>1211</v>
      </c>
      <c r="B306" s="261" t="str">
        <f>VLOOKUP(A306, '[2]fund-selector'!$A$2:$F$853,6,FALSE)</f>
        <v>HY-AH</v>
      </c>
      <c r="C306" s="258">
        <v>2.15</v>
      </c>
      <c r="D306" s="260">
        <v>1.86</v>
      </c>
      <c r="E306" s="260">
        <v>18.54</v>
      </c>
      <c r="F306" s="260">
        <v>17.239999999999998</v>
      </c>
      <c r="G306" s="260">
        <v>1.86</v>
      </c>
      <c r="H306" s="260">
        <v>13.28</v>
      </c>
      <c r="I306" s="260">
        <v>0.7</v>
      </c>
      <c r="J306" s="260">
        <v>0.83</v>
      </c>
      <c r="K306" s="260">
        <v>1.01</v>
      </c>
      <c r="L306" s="260">
        <v>-0.36</v>
      </c>
    </row>
    <row r="307" spans="1:12" hidden="1" x14ac:dyDescent="0.25">
      <c r="A307" s="259" t="s">
        <v>1373</v>
      </c>
      <c r="B307" s="261" t="str">
        <f>VLOOKUP(A307, '[2]fund-selector'!$A$2:$F$853,6,FALSE)</f>
        <v>HY-AR</v>
      </c>
      <c r="C307" s="258">
        <v>6.69</v>
      </c>
      <c r="D307" s="260">
        <v>0.91</v>
      </c>
      <c r="E307" s="260">
        <v>6.65</v>
      </c>
      <c r="F307" s="260">
        <v>5.4</v>
      </c>
      <c r="G307" s="260">
        <v>0.91</v>
      </c>
      <c r="H307" s="260">
        <v>0.53</v>
      </c>
      <c r="I307" s="260">
        <v>0.12</v>
      </c>
      <c r="J307" s="260">
        <v>0.13</v>
      </c>
      <c r="K307" s="260">
        <v>0.55000000000000004</v>
      </c>
      <c r="L307" s="260">
        <v>1.1200000000000001</v>
      </c>
    </row>
    <row r="308" spans="1:12" hidden="1" x14ac:dyDescent="0.25">
      <c r="A308" s="259" t="s">
        <v>353</v>
      </c>
      <c r="B308" s="261" t="str">
        <f>VLOOKUP(A308, '[2]fund-selector'!$A$2:$F$853,6,FALSE)</f>
        <v>HY-DAA</v>
      </c>
      <c r="C308" s="258">
        <v>6.26</v>
      </c>
      <c r="D308" s="260">
        <v>2.11</v>
      </c>
      <c r="E308" s="260">
        <v>13.68</v>
      </c>
      <c r="F308" s="260">
        <v>11.33</v>
      </c>
      <c r="G308" s="260">
        <v>2.11</v>
      </c>
      <c r="H308" s="260">
        <v>6.95</v>
      </c>
      <c r="I308" s="260">
        <v>0.8</v>
      </c>
      <c r="J308" s="260">
        <v>1.18</v>
      </c>
      <c r="K308" s="260">
        <v>0.61</v>
      </c>
      <c r="L308" s="260">
        <v>0.74</v>
      </c>
    </row>
    <row r="309" spans="1:12" hidden="1" x14ac:dyDescent="0.25">
      <c r="A309" s="259" t="s">
        <v>354</v>
      </c>
      <c r="B309" s="261" t="str">
        <f>VLOOKUP(A309, '[2]fund-selector'!$A$2:$F$853,6,FALSE)</f>
        <v>EQ-THEMATIC</v>
      </c>
      <c r="C309" s="258">
        <v>4.59</v>
      </c>
      <c r="D309" s="260">
        <v>2.2400000000000002</v>
      </c>
      <c r="E309" s="260">
        <v>28.58</v>
      </c>
      <c r="F309" s="260">
        <v>27.4</v>
      </c>
      <c r="G309" s="260">
        <v>2.2400000000000002</v>
      </c>
      <c r="H309" s="260">
        <v>17.87</v>
      </c>
      <c r="I309" s="260">
        <v>0.99</v>
      </c>
      <c r="J309" s="260">
        <v>1.39</v>
      </c>
      <c r="K309" s="260">
        <v>1.1100000000000001</v>
      </c>
      <c r="L309" s="260">
        <v>4.87</v>
      </c>
    </row>
    <row r="310" spans="1:12" hidden="1" x14ac:dyDescent="0.25">
      <c r="A310" s="259" t="s">
        <v>1212</v>
      </c>
      <c r="B310" s="261" t="str">
        <f>VLOOKUP(A310, '[2]fund-selector'!$A$2:$F$853,6,FALSE)</f>
        <v>HY-CH</v>
      </c>
      <c r="C310" s="258">
        <v>6.99</v>
      </c>
      <c r="D310" s="260">
        <v>2.17</v>
      </c>
      <c r="E310" s="260">
        <v>11.55</v>
      </c>
      <c r="F310" s="260">
        <v>9.3800000000000008</v>
      </c>
      <c r="G310" s="260">
        <v>2.17</v>
      </c>
      <c r="H310" s="260">
        <v>4.99</v>
      </c>
      <c r="I310" s="260">
        <v>0.88</v>
      </c>
      <c r="J310" s="260">
        <v>1.06</v>
      </c>
      <c r="K310" s="260">
        <v>1.05</v>
      </c>
      <c r="L310" s="260">
        <v>0.55000000000000004</v>
      </c>
    </row>
    <row r="311" spans="1:12" hidden="1" x14ac:dyDescent="0.25">
      <c r="A311" s="259" t="s">
        <v>356</v>
      </c>
      <c r="B311" s="261" t="str">
        <f>VLOOKUP(A311, '[2]fund-selector'!$A$2:$F$853,6,FALSE)</f>
        <v>EQ-FLX</v>
      </c>
      <c r="C311" s="258">
        <v>4.0599999999999996</v>
      </c>
      <c r="D311" s="260">
        <v>1.93</v>
      </c>
      <c r="E311" s="260">
        <v>24.82</v>
      </c>
      <c r="F311" s="260">
        <v>23.04</v>
      </c>
      <c r="G311" s="260">
        <v>1.93</v>
      </c>
      <c r="H311" s="260">
        <v>14.83</v>
      </c>
      <c r="I311" s="260">
        <v>0.98</v>
      </c>
      <c r="J311" s="260">
        <v>1.27</v>
      </c>
      <c r="K311" s="260">
        <v>0.97</v>
      </c>
      <c r="L311" s="260">
        <v>3.32</v>
      </c>
    </row>
    <row r="312" spans="1:12" hidden="1" x14ac:dyDescent="0.25">
      <c r="A312" s="259" t="s">
        <v>357</v>
      </c>
      <c r="B312" s="261" t="str">
        <f>VLOOKUP(A312, '[2]fund-selector'!$A$2:$F$853,6,FALSE)</f>
        <v>EQ-FLX</v>
      </c>
      <c r="C312" s="258">
        <v>4.49</v>
      </c>
      <c r="D312" s="260">
        <v>2.12</v>
      </c>
      <c r="E312" s="260">
        <v>20.27</v>
      </c>
      <c r="F312" s="259">
        <v>0</v>
      </c>
      <c r="G312" s="260">
        <v>2.12</v>
      </c>
      <c r="H312" s="260">
        <v>15.13</v>
      </c>
      <c r="I312" s="260">
        <v>0.69</v>
      </c>
      <c r="J312" s="260">
        <v>0.96</v>
      </c>
      <c r="K312" s="260">
        <v>0.96</v>
      </c>
      <c r="L312" s="260">
        <v>-0.64</v>
      </c>
    </row>
    <row r="313" spans="1:12" hidden="1" x14ac:dyDescent="0.25">
      <c r="A313" s="259" t="s">
        <v>358</v>
      </c>
      <c r="B313" s="261" t="str">
        <f>VLOOKUP(A313, '[2]fund-selector'!$A$2:$F$853,6,FALSE)</f>
        <v>EQ-THEMATIC</v>
      </c>
      <c r="C313" s="258" t="s">
        <v>54</v>
      </c>
      <c r="D313" s="260">
        <v>2.0699999999999998</v>
      </c>
      <c r="E313" s="259">
        <v>0</v>
      </c>
      <c r="F313" s="259">
        <v>0</v>
      </c>
      <c r="G313" s="260">
        <v>2.0699999999999998</v>
      </c>
      <c r="H313" s="259">
        <v>0</v>
      </c>
      <c r="I313" s="259">
        <v>0</v>
      </c>
      <c r="J313" s="259">
        <v>0</v>
      </c>
      <c r="K313" s="259">
        <v>0</v>
      </c>
      <c r="L313" s="259">
        <v>0</v>
      </c>
    </row>
    <row r="314" spans="1:12" hidden="1" x14ac:dyDescent="0.25">
      <c r="A314" s="259" t="s">
        <v>359</v>
      </c>
      <c r="B314" s="261" t="str">
        <f>VLOOKUP(A314, '[2]fund-selector'!$A$2:$F$853,6,FALSE)</f>
        <v>EQ-L&amp;MC</v>
      </c>
      <c r="C314" s="258">
        <v>-0.41</v>
      </c>
      <c r="D314" s="260">
        <v>1.91</v>
      </c>
      <c r="E314" s="260">
        <v>25.19</v>
      </c>
      <c r="F314" s="260">
        <v>23.29</v>
      </c>
      <c r="G314" s="260">
        <v>1.91</v>
      </c>
      <c r="H314" s="260">
        <v>16.95</v>
      </c>
      <c r="I314" s="260">
        <v>0.88</v>
      </c>
      <c r="J314" s="260">
        <v>0.98</v>
      </c>
      <c r="K314" s="260">
        <v>0.99</v>
      </c>
      <c r="L314" s="260">
        <v>4.0199999999999996</v>
      </c>
    </row>
    <row r="315" spans="1:12" hidden="1" x14ac:dyDescent="0.25">
      <c r="A315" s="259" t="s">
        <v>360</v>
      </c>
      <c r="B315" s="261" t="str">
        <f>VLOOKUP(A315, '[2]fund-selector'!$A$2:$F$853,6,FALSE)</f>
        <v>EQ-LC</v>
      </c>
      <c r="C315" s="258">
        <v>2.2000000000000002</v>
      </c>
      <c r="D315" s="260">
        <v>2.14</v>
      </c>
      <c r="E315" s="260">
        <v>19.489999999999998</v>
      </c>
      <c r="F315" s="260">
        <v>19.16</v>
      </c>
      <c r="G315" s="260">
        <v>2.14</v>
      </c>
      <c r="H315" s="260">
        <v>13.9</v>
      </c>
      <c r="I315" s="260">
        <v>0.7</v>
      </c>
      <c r="J315" s="260">
        <v>1.07</v>
      </c>
      <c r="K315" s="260">
        <v>0.98</v>
      </c>
      <c r="L315" s="260">
        <v>-0.36</v>
      </c>
    </row>
    <row r="316" spans="1:12" hidden="1" x14ac:dyDescent="0.25">
      <c r="A316" s="259" t="s">
        <v>361</v>
      </c>
      <c r="B316" s="261" t="str">
        <f>VLOOKUP(A316, '[2]fund-selector'!$A$2:$F$853,6,FALSE)</f>
        <v>EQ-MC</v>
      </c>
      <c r="C316" s="258">
        <v>2.65</v>
      </c>
      <c r="D316" s="260">
        <v>1.73</v>
      </c>
      <c r="E316" s="260">
        <v>28.02</v>
      </c>
      <c r="F316" s="260">
        <v>26.15</v>
      </c>
      <c r="G316" s="260">
        <v>1.73</v>
      </c>
      <c r="H316" s="260">
        <v>17.34</v>
      </c>
      <c r="I316" s="260">
        <v>1.01</v>
      </c>
      <c r="J316" s="260">
        <v>1.1200000000000001</v>
      </c>
      <c r="K316" s="260">
        <v>0.95</v>
      </c>
      <c r="L316" s="260">
        <v>0.36</v>
      </c>
    </row>
    <row r="317" spans="1:12" hidden="1" x14ac:dyDescent="0.25">
      <c r="A317" s="259" t="s">
        <v>362</v>
      </c>
      <c r="B317" s="261" t="str">
        <f>VLOOKUP(A317, '[2]fund-selector'!$A$2:$F$853,6,FALSE)</f>
        <v>HY-MAA</v>
      </c>
      <c r="C317" s="258">
        <v>6.75</v>
      </c>
      <c r="D317" s="260">
        <v>1.45</v>
      </c>
      <c r="E317" s="260">
        <v>17.59</v>
      </c>
      <c r="F317" s="260">
        <v>17.03</v>
      </c>
      <c r="G317" s="260">
        <v>1.45</v>
      </c>
      <c r="H317" s="260">
        <v>9.6300000000000008</v>
      </c>
      <c r="I317" s="260">
        <v>0.85</v>
      </c>
      <c r="J317" s="260">
        <v>1.21</v>
      </c>
      <c r="K317" s="260">
        <v>0.95</v>
      </c>
      <c r="L317" s="260">
        <v>-0.26</v>
      </c>
    </row>
    <row r="318" spans="1:12" hidden="1" x14ac:dyDescent="0.25">
      <c r="A318" s="259" t="s">
        <v>363</v>
      </c>
      <c r="B318" s="261" t="str">
        <f>VLOOKUP(A318, '[2]fund-selector'!$A$2:$F$853,6,FALSE)</f>
        <v>HY-MAA</v>
      </c>
      <c r="C318" s="258">
        <v>2.42</v>
      </c>
      <c r="D318" s="260">
        <v>1.87</v>
      </c>
      <c r="E318" s="259">
        <v>0</v>
      </c>
      <c r="F318" s="259">
        <v>0</v>
      </c>
      <c r="G318" s="260">
        <v>1.87</v>
      </c>
      <c r="H318" s="259">
        <v>0</v>
      </c>
      <c r="I318" s="259">
        <v>0</v>
      </c>
      <c r="J318" s="259">
        <v>0</v>
      </c>
      <c r="K318" s="259">
        <v>0</v>
      </c>
      <c r="L318" s="259">
        <v>0</v>
      </c>
    </row>
    <row r="319" spans="1:12" hidden="1" x14ac:dyDescent="0.25">
      <c r="A319" s="259" t="s">
        <v>364</v>
      </c>
      <c r="B319" s="261" t="str">
        <f>VLOOKUP(A319, '[2]fund-selector'!$A$2:$F$853,6,FALSE)</f>
        <v>EQ-MLC</v>
      </c>
      <c r="C319" s="258">
        <v>0.99</v>
      </c>
      <c r="D319" s="260">
        <v>1.85</v>
      </c>
      <c r="E319" s="259">
        <v>0</v>
      </c>
      <c r="F319" s="259">
        <v>0</v>
      </c>
      <c r="G319" s="260">
        <v>1.85</v>
      </c>
      <c r="H319" s="259">
        <v>0</v>
      </c>
      <c r="I319" s="259">
        <v>0</v>
      </c>
      <c r="J319" s="259">
        <v>0</v>
      </c>
      <c r="K319" s="259">
        <v>0</v>
      </c>
      <c r="L319" s="259">
        <v>0</v>
      </c>
    </row>
    <row r="320" spans="1:12" hidden="1" x14ac:dyDescent="0.25">
      <c r="A320" s="259" t="s">
        <v>365</v>
      </c>
      <c r="B320" s="261" t="str">
        <f>VLOOKUP(A320, '[2]fund-selector'!$A$2:$F$853,6,FALSE)</f>
        <v>EQ-LC</v>
      </c>
      <c r="C320" s="258">
        <v>5.99</v>
      </c>
      <c r="D320" s="260">
        <v>0.44</v>
      </c>
      <c r="E320" s="260">
        <v>18.09</v>
      </c>
      <c r="F320" s="260">
        <v>19.97</v>
      </c>
      <c r="G320" s="260">
        <v>0.44</v>
      </c>
      <c r="H320" s="260">
        <v>13.1</v>
      </c>
      <c r="I320" s="260">
        <v>0.65</v>
      </c>
      <c r="J320" s="260">
        <v>1.1200000000000001</v>
      </c>
      <c r="K320" s="260">
        <v>0.95</v>
      </c>
      <c r="L320" s="260">
        <v>-1.18</v>
      </c>
    </row>
    <row r="321" spans="1:12" hidden="1" x14ac:dyDescent="0.25">
      <c r="A321" s="259" t="s">
        <v>366</v>
      </c>
      <c r="B321" s="261" t="str">
        <f>VLOOKUP(A321, '[2]fund-selector'!$A$2:$F$853,6,FALSE)</f>
        <v>EQ-LC</v>
      </c>
      <c r="C321" s="258">
        <v>-8.26</v>
      </c>
      <c r="D321" s="260">
        <v>0.72</v>
      </c>
      <c r="E321" s="260">
        <v>22.1</v>
      </c>
      <c r="F321" s="260">
        <v>20.78</v>
      </c>
      <c r="G321" s="260">
        <v>0.72</v>
      </c>
      <c r="H321" s="260">
        <v>19.489999999999998</v>
      </c>
      <c r="I321" s="260">
        <v>0.68</v>
      </c>
      <c r="J321" s="260">
        <v>1.01</v>
      </c>
      <c r="K321" s="260">
        <v>1.3</v>
      </c>
      <c r="L321" s="260">
        <v>-0.14000000000000001</v>
      </c>
    </row>
    <row r="322" spans="1:12" hidden="1" x14ac:dyDescent="0.25">
      <c r="A322" s="259" t="s">
        <v>367</v>
      </c>
      <c r="B322" s="261" t="str">
        <f>VLOOKUP(A322, '[2]fund-selector'!$A$2:$F$853,6,FALSE)</f>
        <v>EQ-SC</v>
      </c>
      <c r="C322" s="258">
        <v>-3.65</v>
      </c>
      <c r="D322" s="260">
        <v>1.68</v>
      </c>
      <c r="E322" s="260">
        <v>26.44</v>
      </c>
      <c r="F322" s="260">
        <v>34.31</v>
      </c>
      <c r="G322" s="260">
        <v>1.68</v>
      </c>
      <c r="H322" s="260">
        <v>18.41</v>
      </c>
      <c r="I322" s="260">
        <v>0.9</v>
      </c>
      <c r="J322" s="260">
        <v>1.1599999999999999</v>
      </c>
      <c r="K322" s="260">
        <v>0.9</v>
      </c>
      <c r="L322" s="260">
        <v>0.12</v>
      </c>
    </row>
    <row r="323" spans="1:12" hidden="1" x14ac:dyDescent="0.25">
      <c r="A323" s="259" t="s">
        <v>368</v>
      </c>
      <c r="B323" s="261" t="str">
        <f>VLOOKUP(A323, '[2]fund-selector'!$A$2:$F$853,6,FALSE)</f>
        <v>HY-MAA</v>
      </c>
      <c r="C323" s="258">
        <v>10.09</v>
      </c>
      <c r="D323" s="260">
        <v>1.27</v>
      </c>
      <c r="E323" s="260">
        <v>15.68</v>
      </c>
      <c r="F323" s="260">
        <v>16.600000000000001</v>
      </c>
      <c r="G323" s="260">
        <v>1.27</v>
      </c>
      <c r="H323" s="260">
        <v>5.27</v>
      </c>
      <c r="I323" s="260">
        <v>1.45</v>
      </c>
      <c r="J323" s="260">
        <v>1.94</v>
      </c>
      <c r="K323" s="260">
        <v>0.52</v>
      </c>
      <c r="L323" s="260">
        <v>3.02</v>
      </c>
    </row>
    <row r="324" spans="1:12" hidden="1" x14ac:dyDescent="0.25">
      <c r="A324" s="259" t="s">
        <v>369</v>
      </c>
      <c r="B324" s="261" t="str">
        <f>VLOOKUP(A324, '[2]fund-selector'!$A$2:$F$853,6,FALSE)</f>
        <v>HY-DAA</v>
      </c>
      <c r="C324" s="258">
        <v>9.09</v>
      </c>
      <c r="D324" s="260">
        <v>1.45</v>
      </c>
      <c r="E324" s="260">
        <v>15.12</v>
      </c>
      <c r="F324" s="260">
        <v>15.77</v>
      </c>
      <c r="G324" s="260">
        <v>1.45</v>
      </c>
      <c r="H324" s="260">
        <v>5.76</v>
      </c>
      <c r="I324" s="260">
        <v>1.18</v>
      </c>
      <c r="J324" s="260">
        <v>1.86</v>
      </c>
      <c r="K324" s="260">
        <v>0.54</v>
      </c>
      <c r="L324" s="260">
        <v>2.57</v>
      </c>
    </row>
    <row r="325" spans="1:12" hidden="1" x14ac:dyDescent="0.25">
      <c r="A325" s="259" t="s">
        <v>370</v>
      </c>
      <c r="B325" s="261" t="str">
        <f>VLOOKUP(A325, '[2]fund-selector'!$A$2:$F$853,6,FALSE)</f>
        <v>EQ-LC</v>
      </c>
      <c r="C325" s="258">
        <v>-2.33</v>
      </c>
      <c r="D325" s="260">
        <v>0.13</v>
      </c>
      <c r="E325" s="260">
        <v>33.43</v>
      </c>
      <c r="F325" s="260">
        <v>33.86</v>
      </c>
      <c r="G325" s="260">
        <v>0.13</v>
      </c>
      <c r="H325" s="260">
        <v>17.7</v>
      </c>
      <c r="I325" s="260">
        <v>1.27</v>
      </c>
      <c r="J325" s="260">
        <v>2.0699999999999998</v>
      </c>
      <c r="K325" s="260">
        <v>1.1000000000000001</v>
      </c>
      <c r="L325" s="260">
        <v>11.14</v>
      </c>
    </row>
    <row r="326" spans="1:12" hidden="1" x14ac:dyDescent="0.25">
      <c r="A326" s="259" t="s">
        <v>373</v>
      </c>
      <c r="B326" s="261" t="str">
        <f>VLOOKUP(A326, '[2]fund-selector'!$A$2:$F$853,6,FALSE)</f>
        <v>EQ-FLX</v>
      </c>
      <c r="C326" s="258">
        <v>2.5</v>
      </c>
      <c r="D326" s="260">
        <v>0.32</v>
      </c>
      <c r="E326" s="260">
        <v>20.91</v>
      </c>
      <c r="F326" s="260">
        <v>22.9</v>
      </c>
      <c r="G326" s="260">
        <v>0.32</v>
      </c>
      <c r="H326" s="260">
        <v>14.5</v>
      </c>
      <c r="I326" s="260">
        <v>0.77</v>
      </c>
      <c r="J326" s="260">
        <v>1.22</v>
      </c>
      <c r="K326" s="260">
        <v>1</v>
      </c>
      <c r="L326" s="260">
        <v>-0.32</v>
      </c>
    </row>
    <row r="327" spans="1:12" hidden="1" x14ac:dyDescent="0.25">
      <c r="A327" s="259" t="s">
        <v>374</v>
      </c>
      <c r="B327" s="261" t="str">
        <f>VLOOKUP(A327, '[2]fund-selector'!$A$2:$F$853,6,FALSE)</f>
        <v>EQ-FLX</v>
      </c>
      <c r="C327" s="258">
        <v>1.77</v>
      </c>
      <c r="D327" s="260">
        <v>0.57999999999999996</v>
      </c>
      <c r="E327" s="260">
        <v>19.73</v>
      </c>
      <c r="F327" s="259">
        <v>0</v>
      </c>
      <c r="G327" s="260">
        <v>0.57999999999999996</v>
      </c>
      <c r="H327" s="260">
        <v>14.05</v>
      </c>
      <c r="I327" s="260">
        <v>0.74</v>
      </c>
      <c r="J327" s="260">
        <v>1.1200000000000001</v>
      </c>
      <c r="K327" s="260">
        <v>0.96</v>
      </c>
      <c r="L327" s="260">
        <v>-0.66</v>
      </c>
    </row>
    <row r="328" spans="1:12" hidden="1" x14ac:dyDescent="0.25">
      <c r="A328" s="259" t="s">
        <v>375</v>
      </c>
      <c r="B328" s="261" t="str">
        <f>VLOOKUP(A328, '[2]fund-selector'!$A$2:$F$853,6,FALSE)</f>
        <v>EQ-MC</v>
      </c>
      <c r="C328" s="258">
        <v>0.22</v>
      </c>
      <c r="D328" s="260">
        <v>0.15</v>
      </c>
      <c r="E328" s="260">
        <v>24.19</v>
      </c>
      <c r="F328" s="260">
        <v>25.54</v>
      </c>
      <c r="G328" s="260">
        <v>0.15</v>
      </c>
      <c r="H328" s="260">
        <v>18.079999999999998</v>
      </c>
      <c r="I328" s="260">
        <v>0.8</v>
      </c>
      <c r="J328" s="260">
        <v>1.1100000000000001</v>
      </c>
      <c r="K328" s="260">
        <v>1.02</v>
      </c>
      <c r="L328" s="260">
        <v>-4.03</v>
      </c>
    </row>
    <row r="329" spans="1:12" hidden="1" x14ac:dyDescent="0.25">
      <c r="A329" s="259" t="s">
        <v>376</v>
      </c>
      <c r="B329" s="261" t="str">
        <f>VLOOKUP(A329, '[2]fund-selector'!$A$2:$F$853,6,FALSE)</f>
        <v>EQ-LC</v>
      </c>
      <c r="C329" s="258">
        <v>6.31</v>
      </c>
      <c r="D329" s="260">
        <v>0.03</v>
      </c>
      <c r="E329" s="260">
        <v>17.88</v>
      </c>
      <c r="F329" s="260">
        <v>19.920000000000002</v>
      </c>
      <c r="G329" s="260">
        <v>0.03</v>
      </c>
      <c r="H329" s="260">
        <v>12.71</v>
      </c>
      <c r="I329" s="260">
        <v>0.67</v>
      </c>
      <c r="J329" s="260">
        <v>1.1100000000000001</v>
      </c>
      <c r="K329" s="260">
        <v>0.91</v>
      </c>
      <c r="L329" s="260">
        <v>-0.91</v>
      </c>
    </row>
    <row r="330" spans="1:12" hidden="1" x14ac:dyDescent="0.25">
      <c r="A330" s="259" t="s">
        <v>377</v>
      </c>
      <c r="B330" s="261" t="str">
        <f>VLOOKUP(A330, '[2]fund-selector'!$A$2:$F$853,6,FALSE)</f>
        <v>EQ-LC</v>
      </c>
      <c r="C330" s="258">
        <v>6</v>
      </c>
      <c r="D330" s="260">
        <v>0.28000000000000003</v>
      </c>
      <c r="E330" s="260">
        <v>17.489999999999998</v>
      </c>
      <c r="F330" s="260">
        <v>19.45</v>
      </c>
      <c r="G330" s="260">
        <v>0.28000000000000003</v>
      </c>
      <c r="H330" s="260">
        <v>12.71</v>
      </c>
      <c r="I330" s="260">
        <v>0.64</v>
      </c>
      <c r="J330" s="260">
        <v>1.07</v>
      </c>
      <c r="K330" s="260">
        <v>0.91</v>
      </c>
      <c r="L330" s="260">
        <v>-1.24</v>
      </c>
    </row>
    <row r="331" spans="1:12" hidden="1" x14ac:dyDescent="0.25">
      <c r="A331" s="259" t="s">
        <v>378</v>
      </c>
      <c r="B331" s="261" t="str">
        <f>VLOOKUP(A331, '[2]fund-selector'!$A$2:$F$853,6,FALSE)</f>
        <v>EQ-THEMATIC</v>
      </c>
      <c r="C331" s="258">
        <v>8.01</v>
      </c>
      <c r="D331" s="260">
        <v>1.7</v>
      </c>
      <c r="E331" s="260">
        <v>26.39</v>
      </c>
      <c r="F331" s="259">
        <v>0</v>
      </c>
      <c r="G331" s="260">
        <v>1.7</v>
      </c>
      <c r="H331" s="260">
        <v>12.98</v>
      </c>
      <c r="I331" s="260">
        <v>1.21</v>
      </c>
      <c r="J331" s="260">
        <v>2.5299999999999998</v>
      </c>
      <c r="K331" s="260">
        <v>0.85</v>
      </c>
      <c r="L331" s="260">
        <v>6</v>
      </c>
    </row>
    <row r="332" spans="1:12" hidden="1" x14ac:dyDescent="0.25">
      <c r="A332" s="259" t="s">
        <v>1213</v>
      </c>
      <c r="B332" s="261" t="str">
        <f>VLOOKUP(A332, '[2]fund-selector'!$A$2:$F$853,6,FALSE)</f>
        <v>HY-AH</v>
      </c>
      <c r="C332" s="258">
        <v>5.07</v>
      </c>
      <c r="D332" s="260">
        <v>2.19</v>
      </c>
      <c r="E332" s="260">
        <v>22.06</v>
      </c>
      <c r="F332" s="260">
        <v>20.46</v>
      </c>
      <c r="G332" s="260">
        <v>2.19</v>
      </c>
      <c r="H332" s="260">
        <v>12.45</v>
      </c>
      <c r="I332" s="260">
        <v>0.96</v>
      </c>
      <c r="J332" s="260">
        <v>1.33</v>
      </c>
      <c r="K332" s="260">
        <v>1</v>
      </c>
      <c r="L332" s="260">
        <v>2.35</v>
      </c>
    </row>
    <row r="333" spans="1:12" hidden="1" x14ac:dyDescent="0.25">
      <c r="A333" s="259" t="s">
        <v>379</v>
      </c>
      <c r="B333" s="261" t="str">
        <f>VLOOKUP(A333, '[2]fund-selector'!$A$2:$F$853,6,FALSE)</f>
        <v>EQ-THEMATIC</v>
      </c>
      <c r="C333" s="258">
        <v>-5.0199999999999996</v>
      </c>
      <c r="D333" s="260">
        <v>2</v>
      </c>
      <c r="E333" s="260">
        <v>23.07</v>
      </c>
      <c r="F333" s="260">
        <v>34.549999999999997</v>
      </c>
      <c r="G333" s="260">
        <v>2</v>
      </c>
      <c r="H333" s="260">
        <v>16.79</v>
      </c>
      <c r="I333" s="260">
        <v>0.76</v>
      </c>
      <c r="J333" s="260">
        <v>1.17</v>
      </c>
      <c r="K333" s="260">
        <v>1.03</v>
      </c>
      <c r="L333" s="260">
        <v>0.88</v>
      </c>
    </row>
    <row r="334" spans="1:12" hidden="1" x14ac:dyDescent="0.25">
      <c r="A334" s="259" t="s">
        <v>1374</v>
      </c>
      <c r="B334" s="261" t="str">
        <f>VLOOKUP(A334, '[2]fund-selector'!$A$2:$F$853,6,FALSE)</f>
        <v>HY-AR</v>
      </c>
      <c r="C334" s="258">
        <v>7.08</v>
      </c>
      <c r="D334" s="260">
        <v>0.95</v>
      </c>
      <c r="E334" s="260">
        <v>6.91</v>
      </c>
      <c r="F334" s="260">
        <v>5.55</v>
      </c>
      <c r="G334" s="260">
        <v>0.95</v>
      </c>
      <c r="H334" s="260">
        <v>0.53</v>
      </c>
      <c r="I334" s="260">
        <v>0.55000000000000004</v>
      </c>
      <c r="J334" s="260">
        <v>0.61</v>
      </c>
      <c r="K334" s="260">
        <v>0.6</v>
      </c>
      <c r="L334" s="260">
        <v>1.43</v>
      </c>
    </row>
    <row r="335" spans="1:12" hidden="1" x14ac:dyDescent="0.25">
      <c r="A335" s="259" t="s">
        <v>1214</v>
      </c>
      <c r="B335" s="261" t="str">
        <f>VLOOKUP(A335, '[2]fund-selector'!$A$2:$F$853,6,FALSE)</f>
        <v>HY-AH</v>
      </c>
      <c r="C335" s="258">
        <v>9.25</v>
      </c>
      <c r="D335" s="260">
        <v>1.57</v>
      </c>
      <c r="E335" s="260">
        <v>22.83</v>
      </c>
      <c r="F335" s="260">
        <v>25.83</v>
      </c>
      <c r="G335" s="260">
        <v>1.57</v>
      </c>
      <c r="H335" s="260">
        <v>9.8699999999999992</v>
      </c>
      <c r="I335" s="260">
        <v>1.29</v>
      </c>
      <c r="J335" s="260">
        <v>2.23</v>
      </c>
      <c r="K335" s="260">
        <v>0.77</v>
      </c>
      <c r="L335" s="260">
        <v>5.3</v>
      </c>
    </row>
    <row r="336" spans="1:12" hidden="1" x14ac:dyDescent="0.25">
      <c r="A336" s="259" t="s">
        <v>382</v>
      </c>
      <c r="B336" s="261" t="str">
        <f>VLOOKUP(A336, '[2]fund-selector'!$A$2:$F$853,6,FALSE)</f>
        <v>EQ-THEMATIC</v>
      </c>
      <c r="C336" s="258" t="s">
        <v>54</v>
      </c>
      <c r="D336" s="260">
        <v>1.91</v>
      </c>
      <c r="E336" s="259">
        <v>0</v>
      </c>
      <c r="F336" s="259">
        <v>0</v>
      </c>
      <c r="G336" s="260">
        <v>1.91</v>
      </c>
      <c r="H336" s="259">
        <v>0</v>
      </c>
      <c r="I336" s="259">
        <v>0</v>
      </c>
      <c r="J336" s="259">
        <v>0</v>
      </c>
      <c r="K336" s="259">
        <v>0</v>
      </c>
      <c r="L336" s="259">
        <v>0</v>
      </c>
    </row>
    <row r="337" spans="1:12" hidden="1" x14ac:dyDescent="0.25">
      <c r="A337" s="259" t="s">
        <v>384</v>
      </c>
      <c r="B337" s="261" t="str">
        <f>VLOOKUP(A337, '[2]fund-selector'!$A$2:$F$853,6,FALSE)</f>
        <v>EQ-THEMATIC</v>
      </c>
      <c r="C337" s="258">
        <v>10.23</v>
      </c>
      <c r="D337" s="260">
        <v>2.27</v>
      </c>
      <c r="E337" s="260">
        <v>24.47</v>
      </c>
      <c r="F337" s="260">
        <v>26.33</v>
      </c>
      <c r="G337" s="260">
        <v>2.27</v>
      </c>
      <c r="H337" s="260">
        <v>11.63</v>
      </c>
      <c r="I337" s="260">
        <v>1.23</v>
      </c>
      <c r="J337" s="260">
        <v>2.4900000000000002</v>
      </c>
      <c r="K337" s="260">
        <v>0.76</v>
      </c>
      <c r="L337" s="260">
        <v>5.59</v>
      </c>
    </row>
    <row r="338" spans="1:12" hidden="1" x14ac:dyDescent="0.25">
      <c r="A338" s="259" t="s">
        <v>385</v>
      </c>
      <c r="B338" s="261" t="str">
        <f>VLOOKUP(A338, '[2]fund-selector'!$A$2:$F$853,6,FALSE)</f>
        <v>EQ-FLX</v>
      </c>
      <c r="C338" s="258">
        <v>3.59</v>
      </c>
      <c r="D338" s="260">
        <v>1.69</v>
      </c>
      <c r="E338" s="260">
        <v>22.95</v>
      </c>
      <c r="F338" s="259">
        <v>0</v>
      </c>
      <c r="G338" s="260">
        <v>1.69</v>
      </c>
      <c r="H338" s="260">
        <v>13.5</v>
      </c>
      <c r="I338" s="260">
        <v>0.97</v>
      </c>
      <c r="J338" s="260">
        <v>1.48</v>
      </c>
      <c r="K338" s="260">
        <v>0.89</v>
      </c>
      <c r="L338" s="260">
        <v>2.95</v>
      </c>
    </row>
    <row r="339" spans="1:12" hidden="1" x14ac:dyDescent="0.25">
      <c r="A339" s="259" t="s">
        <v>386</v>
      </c>
      <c r="B339" s="261" t="str">
        <f>VLOOKUP(A339, '[2]fund-selector'!$A$2:$F$853,6,FALSE)</f>
        <v>EQ-THEMATIC</v>
      </c>
      <c r="C339" s="258">
        <v>-2.48</v>
      </c>
      <c r="D339" s="260">
        <v>2.13</v>
      </c>
      <c r="E339" s="260">
        <v>13.28</v>
      </c>
      <c r="F339" s="260">
        <v>15.7</v>
      </c>
      <c r="G339" s="260">
        <v>2.13</v>
      </c>
      <c r="H339" s="260">
        <v>13.18</v>
      </c>
      <c r="I339" s="260">
        <v>0.43</v>
      </c>
      <c r="J339" s="260">
        <v>0.56000000000000005</v>
      </c>
      <c r="K339" s="260">
        <v>0.73</v>
      </c>
      <c r="L339" s="260">
        <v>-2.76</v>
      </c>
    </row>
    <row r="340" spans="1:12" hidden="1" x14ac:dyDescent="0.25">
      <c r="A340" s="259" t="s">
        <v>387</v>
      </c>
      <c r="B340" s="261" t="str">
        <f>VLOOKUP(A340, '[2]fund-selector'!$A$2:$F$853,6,FALSE)</f>
        <v>EQ-FLX</v>
      </c>
      <c r="C340" s="258">
        <v>10.18</v>
      </c>
      <c r="D340" s="260">
        <v>1.72</v>
      </c>
      <c r="E340" s="260">
        <v>27.16</v>
      </c>
      <c r="F340" s="260">
        <v>26.21</v>
      </c>
      <c r="G340" s="260">
        <v>1.72</v>
      </c>
      <c r="H340" s="260">
        <v>13.93</v>
      </c>
      <c r="I340" s="260">
        <v>1.1599999999999999</v>
      </c>
      <c r="J340" s="260">
        <v>2.08</v>
      </c>
      <c r="K340" s="260">
        <v>0.92</v>
      </c>
      <c r="L340" s="260">
        <v>5.61</v>
      </c>
    </row>
    <row r="341" spans="1:12" hidden="1" x14ac:dyDescent="0.25">
      <c r="A341" s="259" t="s">
        <v>388</v>
      </c>
      <c r="B341" s="261" t="str">
        <f>VLOOKUP(A341, '[2]fund-selector'!$A$2:$F$853,6,FALSE)</f>
        <v>EQ-THEMATIC</v>
      </c>
      <c r="C341" s="258">
        <v>2.8</v>
      </c>
      <c r="D341" s="260">
        <v>2.0499999999999998</v>
      </c>
      <c r="E341" s="260">
        <v>21.96</v>
      </c>
      <c r="F341" s="259">
        <v>0</v>
      </c>
      <c r="G341" s="260">
        <v>2.0499999999999998</v>
      </c>
      <c r="H341" s="260">
        <v>12.77</v>
      </c>
      <c r="I341" s="260">
        <v>1.01</v>
      </c>
      <c r="J341" s="260">
        <v>1.74</v>
      </c>
      <c r="K341" s="260">
        <v>0.83</v>
      </c>
      <c r="L341" s="260">
        <v>3.35</v>
      </c>
    </row>
    <row r="342" spans="1:12" hidden="1" x14ac:dyDescent="0.25">
      <c r="A342" s="259" t="s">
        <v>389</v>
      </c>
      <c r="B342" s="261" t="str">
        <f>VLOOKUP(A342, '[2]fund-selector'!$A$2:$F$853,6,FALSE)</f>
        <v>EQ-FLX</v>
      </c>
      <c r="C342" s="258">
        <v>7.17</v>
      </c>
      <c r="D342" s="260">
        <v>1.24</v>
      </c>
      <c r="E342" s="260">
        <v>25.3</v>
      </c>
      <c r="F342" s="260">
        <v>27.98</v>
      </c>
      <c r="G342" s="260">
        <v>1.24</v>
      </c>
      <c r="H342" s="260">
        <v>12.57</v>
      </c>
      <c r="I342" s="260">
        <v>1.17</v>
      </c>
      <c r="J342" s="260">
        <v>1.93</v>
      </c>
      <c r="K342" s="260">
        <v>0.84</v>
      </c>
      <c r="L342" s="260">
        <v>4.99</v>
      </c>
    </row>
    <row r="343" spans="1:12" hidden="1" x14ac:dyDescent="0.25">
      <c r="A343" s="259" t="s">
        <v>390</v>
      </c>
      <c r="B343" s="261" t="str">
        <f>VLOOKUP(A343, '[2]fund-selector'!$A$2:$F$853,6,FALSE)</f>
        <v>EQ-THEMATIC</v>
      </c>
      <c r="C343" s="258">
        <v>10.41</v>
      </c>
      <c r="D343" s="260">
        <v>1.6</v>
      </c>
      <c r="E343" s="260">
        <v>28.84</v>
      </c>
      <c r="F343" s="260">
        <v>31.85</v>
      </c>
      <c r="G343" s="260">
        <v>1.6</v>
      </c>
      <c r="H343" s="260">
        <v>12.31</v>
      </c>
      <c r="I343" s="260">
        <v>1.43</v>
      </c>
      <c r="J343" s="260">
        <v>2.83</v>
      </c>
      <c r="K343" s="260">
        <v>0.8</v>
      </c>
      <c r="L343" s="260">
        <v>8.41</v>
      </c>
    </row>
    <row r="344" spans="1:12" hidden="1" x14ac:dyDescent="0.25">
      <c r="A344" s="259" t="s">
        <v>391</v>
      </c>
      <c r="B344" s="261" t="str">
        <f>VLOOKUP(A344, '[2]fund-selector'!$A$2:$F$853,6,FALSE)</f>
        <v>EQ-THEMATIC</v>
      </c>
      <c r="C344" s="258">
        <v>6.26</v>
      </c>
      <c r="D344" s="260">
        <v>1.81</v>
      </c>
      <c r="E344" s="259">
        <v>0</v>
      </c>
      <c r="F344" s="259">
        <v>0</v>
      </c>
      <c r="G344" s="260">
        <v>1.81</v>
      </c>
      <c r="H344" s="259">
        <v>0</v>
      </c>
      <c r="I344" s="259">
        <v>0</v>
      </c>
      <c r="J344" s="259">
        <v>0</v>
      </c>
      <c r="K344" s="259">
        <v>0</v>
      </c>
      <c r="L344" s="259">
        <v>0</v>
      </c>
    </row>
    <row r="345" spans="1:12" hidden="1" x14ac:dyDescent="0.25">
      <c r="A345" s="259" t="s">
        <v>1160</v>
      </c>
      <c r="B345" s="261" t="str">
        <f>VLOOKUP(A345, '[2]fund-selector'!$A$2:$F$853,6,FALSE)</f>
        <v>EQ-LC</v>
      </c>
      <c r="C345" s="258">
        <v>7.19</v>
      </c>
      <c r="D345" s="260">
        <v>1.42</v>
      </c>
      <c r="E345" s="260">
        <v>22.84</v>
      </c>
      <c r="F345" s="260">
        <v>23.5</v>
      </c>
      <c r="G345" s="260">
        <v>1.42</v>
      </c>
      <c r="H345" s="260">
        <v>12.53</v>
      </c>
      <c r="I345" s="260">
        <v>1.01</v>
      </c>
      <c r="J345" s="260">
        <v>1.79</v>
      </c>
      <c r="K345" s="260">
        <v>0.89</v>
      </c>
      <c r="L345" s="260">
        <v>3.56</v>
      </c>
    </row>
    <row r="346" spans="1:12" hidden="1" x14ac:dyDescent="0.25">
      <c r="A346" s="259" t="s">
        <v>392</v>
      </c>
      <c r="B346" s="261" t="str">
        <f>VLOOKUP(A346, '[2]fund-selector'!$A$2:$F$853,6,FALSE)</f>
        <v>EQ-L&amp;MC</v>
      </c>
      <c r="C346" s="258">
        <v>7.7</v>
      </c>
      <c r="D346" s="260">
        <v>1.66</v>
      </c>
      <c r="E346" s="260">
        <v>26.33</v>
      </c>
      <c r="F346" s="260">
        <v>28.76</v>
      </c>
      <c r="G346" s="260">
        <v>1.66</v>
      </c>
      <c r="H346" s="260">
        <v>12.58</v>
      </c>
      <c r="I346" s="260">
        <v>1.26</v>
      </c>
      <c r="J346" s="260">
        <v>2.04</v>
      </c>
      <c r="K346" s="260">
        <v>0.84</v>
      </c>
      <c r="L346" s="260">
        <v>6.58</v>
      </c>
    </row>
    <row r="347" spans="1:12" hidden="1" x14ac:dyDescent="0.25">
      <c r="A347" s="259" t="s">
        <v>393</v>
      </c>
      <c r="B347" s="261" t="str">
        <f>VLOOKUP(A347, '[2]fund-selector'!$A$2:$F$853,6,FALSE)</f>
        <v>EQ-THEMATIC</v>
      </c>
      <c r="C347" s="258">
        <v>-3.84</v>
      </c>
      <c r="D347" s="260">
        <v>1.82</v>
      </c>
      <c r="E347" s="260">
        <v>29.32</v>
      </c>
      <c r="F347" s="260">
        <v>29.9</v>
      </c>
      <c r="G347" s="260">
        <v>1.82</v>
      </c>
      <c r="H347" s="260">
        <v>16.920000000000002</v>
      </c>
      <c r="I347" s="260">
        <v>1.1100000000000001</v>
      </c>
      <c r="J347" s="260">
        <v>1.63</v>
      </c>
      <c r="K347" s="260">
        <v>1.08</v>
      </c>
      <c r="L347" s="260">
        <v>6.38</v>
      </c>
    </row>
    <row r="348" spans="1:12" hidden="1" x14ac:dyDescent="0.25">
      <c r="A348" s="259" t="s">
        <v>394</v>
      </c>
      <c r="B348" s="261" t="str">
        <f>VLOOKUP(A348, '[2]fund-selector'!$A$2:$F$853,6,FALSE)</f>
        <v>EQ-MC</v>
      </c>
      <c r="C348" s="258">
        <v>2.2599999999999998</v>
      </c>
      <c r="D348" s="260">
        <v>1.87</v>
      </c>
      <c r="E348" s="260">
        <v>27.32</v>
      </c>
      <c r="F348" s="260">
        <v>30.16</v>
      </c>
      <c r="G348" s="260">
        <v>1.87</v>
      </c>
      <c r="H348" s="260">
        <v>16.600000000000001</v>
      </c>
      <c r="I348" s="260">
        <v>1</v>
      </c>
      <c r="J348" s="260">
        <v>1.45</v>
      </c>
      <c r="K348" s="260">
        <v>0.93</v>
      </c>
      <c r="L348" s="260">
        <v>-0.31</v>
      </c>
    </row>
    <row r="349" spans="1:12" hidden="1" x14ac:dyDescent="0.25">
      <c r="A349" s="259" t="s">
        <v>396</v>
      </c>
      <c r="B349" s="261" t="str">
        <f>VLOOKUP(A349, '[2]fund-selector'!$A$2:$F$853,6,FALSE)</f>
        <v>HY-MAA</v>
      </c>
      <c r="C349" s="258">
        <v>11.49</v>
      </c>
      <c r="D349" s="260">
        <v>1.4</v>
      </c>
      <c r="E349" s="260">
        <v>22.26</v>
      </c>
      <c r="F349" s="260">
        <v>24.62</v>
      </c>
      <c r="G349" s="260">
        <v>1.4</v>
      </c>
      <c r="H349" s="260">
        <v>7.57</v>
      </c>
      <c r="I349" s="260">
        <v>1.61</v>
      </c>
      <c r="J349" s="260">
        <v>2.76</v>
      </c>
      <c r="K349" s="260">
        <v>0.72</v>
      </c>
      <c r="L349" s="260">
        <v>5.85</v>
      </c>
    </row>
    <row r="350" spans="1:12" x14ac:dyDescent="0.25">
      <c r="A350" s="296" t="s">
        <v>397</v>
      </c>
      <c r="B350" s="261" t="str">
        <f>VLOOKUP(A350, '[2]fund-selector'!$A$2:$F$853,6,FALSE)</f>
        <v>EQ-MLC</v>
      </c>
      <c r="C350" s="258">
        <v>5.46</v>
      </c>
      <c r="D350" s="260">
        <v>1.74</v>
      </c>
      <c r="E350" s="260">
        <v>26.04</v>
      </c>
      <c r="F350" s="260">
        <v>26.12</v>
      </c>
      <c r="G350" s="260">
        <v>1.74</v>
      </c>
      <c r="H350" s="260">
        <v>13.41</v>
      </c>
      <c r="I350" s="260">
        <v>1.18</v>
      </c>
      <c r="J350" s="260">
        <v>1.95</v>
      </c>
      <c r="K350" s="260">
        <v>0.83</v>
      </c>
      <c r="L350" s="260">
        <v>3.71</v>
      </c>
    </row>
    <row r="351" spans="1:12" hidden="1" x14ac:dyDescent="0.25">
      <c r="A351" s="259" t="s">
        <v>398</v>
      </c>
      <c r="B351" s="261" t="str">
        <f>VLOOKUP(A351, '[2]fund-selector'!$A$2:$F$853,6,FALSE)</f>
        <v>EQ-LC</v>
      </c>
      <c r="C351" s="258">
        <v>3.45</v>
      </c>
      <c r="D351" s="260">
        <v>0.48</v>
      </c>
      <c r="E351" s="260">
        <v>18.48</v>
      </c>
      <c r="F351" s="260">
        <v>20.170000000000002</v>
      </c>
      <c r="G351" s="260">
        <v>0.48</v>
      </c>
      <c r="H351" s="260">
        <v>13.96</v>
      </c>
      <c r="I351" s="260">
        <v>0.65</v>
      </c>
      <c r="J351" s="260">
        <v>1.05</v>
      </c>
      <c r="K351" s="260">
        <v>1.01</v>
      </c>
      <c r="L351" s="260">
        <v>-1.36</v>
      </c>
    </row>
    <row r="352" spans="1:12" hidden="1" x14ac:dyDescent="0.25">
      <c r="A352" s="259" t="s">
        <v>399</v>
      </c>
      <c r="B352" s="261" t="str">
        <f>VLOOKUP(A352, '[2]fund-selector'!$A$2:$F$853,6,FALSE)</f>
        <v>EQ-LC</v>
      </c>
      <c r="C352" s="258">
        <v>5.37</v>
      </c>
      <c r="D352" s="260">
        <v>0.41</v>
      </c>
      <c r="E352" s="260">
        <v>20.149999999999999</v>
      </c>
      <c r="F352" s="260">
        <v>20.56</v>
      </c>
      <c r="G352" s="260">
        <v>0.41</v>
      </c>
      <c r="H352" s="260">
        <v>13.91</v>
      </c>
      <c r="I352" s="260">
        <v>0.72</v>
      </c>
      <c r="J352" s="260">
        <v>1.06</v>
      </c>
      <c r="K352" s="260">
        <v>0.96</v>
      </c>
      <c r="L352" s="260">
        <v>0.16</v>
      </c>
    </row>
    <row r="353" spans="1:12" hidden="1" x14ac:dyDescent="0.25">
      <c r="A353" s="259" t="s">
        <v>400</v>
      </c>
      <c r="B353" s="261" t="str">
        <f>VLOOKUP(A353, '[2]fund-selector'!$A$2:$F$853,6,FALSE)</f>
        <v>EQ-LC</v>
      </c>
      <c r="C353" s="258">
        <v>4.3600000000000003</v>
      </c>
      <c r="D353" s="260">
        <v>0.54</v>
      </c>
      <c r="E353" s="260">
        <v>19.43</v>
      </c>
      <c r="F353" s="259">
        <v>0</v>
      </c>
      <c r="G353" s="260">
        <v>0.54</v>
      </c>
      <c r="H353" s="260">
        <v>13.46</v>
      </c>
      <c r="I353" s="260">
        <v>0.69</v>
      </c>
      <c r="J353" s="260">
        <v>1.04</v>
      </c>
      <c r="K353" s="260">
        <v>0.92</v>
      </c>
      <c r="L353" s="260">
        <v>-0.11</v>
      </c>
    </row>
    <row r="354" spans="1:12" hidden="1" x14ac:dyDescent="0.25">
      <c r="A354" s="259" t="s">
        <v>401</v>
      </c>
      <c r="B354" s="261" t="str">
        <f>VLOOKUP(A354, '[2]fund-selector'!$A$2:$F$853,6,FALSE)</f>
        <v>EQ-L&amp;MC</v>
      </c>
      <c r="C354" s="258">
        <v>-13.02</v>
      </c>
      <c r="D354" s="260">
        <v>0.3</v>
      </c>
      <c r="E354" s="259">
        <v>0</v>
      </c>
      <c r="F354" s="259">
        <v>0</v>
      </c>
      <c r="G354" s="260">
        <v>0.3</v>
      </c>
      <c r="H354" s="259">
        <v>0</v>
      </c>
      <c r="I354" s="259">
        <v>0</v>
      </c>
      <c r="J354" s="259">
        <v>0</v>
      </c>
      <c r="K354" s="259">
        <v>0</v>
      </c>
      <c r="L354" s="259">
        <v>0</v>
      </c>
    </row>
    <row r="355" spans="1:12" hidden="1" x14ac:dyDescent="0.25">
      <c r="A355" s="259" t="s">
        <v>402</v>
      </c>
      <c r="B355" s="261" t="str">
        <f>VLOOKUP(A355, '[2]fund-selector'!$A$2:$F$853,6,FALSE)</f>
        <v>EQ-L&amp;MC</v>
      </c>
      <c r="C355" s="258">
        <v>-13.63</v>
      </c>
      <c r="D355" s="260">
        <v>1</v>
      </c>
      <c r="E355" s="259">
        <v>0</v>
      </c>
      <c r="F355" s="259">
        <v>0</v>
      </c>
      <c r="G355" s="260">
        <v>1</v>
      </c>
      <c r="H355" s="259">
        <v>0</v>
      </c>
      <c r="I355" s="259">
        <v>0</v>
      </c>
      <c r="J355" s="259">
        <v>0</v>
      </c>
      <c r="K355" s="259">
        <v>0</v>
      </c>
      <c r="L355" s="259">
        <v>0</v>
      </c>
    </row>
    <row r="356" spans="1:12" hidden="1" x14ac:dyDescent="0.25">
      <c r="A356" s="259" t="s">
        <v>403</v>
      </c>
      <c r="B356" s="261" t="str">
        <f>VLOOKUP(A356, '[2]fund-selector'!$A$2:$F$853,6,FALSE)</f>
        <v>EQ-L&amp;MC</v>
      </c>
      <c r="C356" s="258">
        <v>1.25</v>
      </c>
      <c r="D356" s="260">
        <v>0.3</v>
      </c>
      <c r="E356" s="259">
        <v>0</v>
      </c>
      <c r="F356" s="259">
        <v>0</v>
      </c>
      <c r="G356" s="260">
        <v>0.3</v>
      </c>
      <c r="H356" s="259">
        <v>0</v>
      </c>
      <c r="I356" s="259">
        <v>0</v>
      </c>
      <c r="J356" s="259">
        <v>0</v>
      </c>
      <c r="K356" s="259">
        <v>0</v>
      </c>
      <c r="L356" s="259">
        <v>0</v>
      </c>
    </row>
    <row r="357" spans="1:12" hidden="1" x14ac:dyDescent="0.25">
      <c r="A357" s="259" t="s">
        <v>404</v>
      </c>
      <c r="B357" s="261" t="str">
        <f>VLOOKUP(A357, '[2]fund-selector'!$A$2:$F$853,6,FALSE)</f>
        <v>EQ-L&amp;MC</v>
      </c>
      <c r="C357" s="258" t="s">
        <v>54</v>
      </c>
      <c r="D357" s="259">
        <v>0</v>
      </c>
      <c r="E357" s="259">
        <v>0</v>
      </c>
      <c r="F357" s="259">
        <v>0</v>
      </c>
      <c r="G357" s="259">
        <v>0</v>
      </c>
      <c r="H357" s="259">
        <v>0</v>
      </c>
      <c r="I357" s="259">
        <v>0</v>
      </c>
      <c r="J357" s="259">
        <v>0</v>
      </c>
      <c r="K357" s="259">
        <v>0</v>
      </c>
      <c r="L357" s="259">
        <v>0</v>
      </c>
    </row>
    <row r="358" spans="1:12" hidden="1" x14ac:dyDescent="0.25">
      <c r="A358" s="259" t="s">
        <v>405</v>
      </c>
      <c r="B358" s="261" t="str">
        <f>VLOOKUP(A358, '[2]fund-selector'!$A$2:$F$853,6,FALSE)</f>
        <v>EQ-FLX</v>
      </c>
      <c r="C358" s="258" t="s">
        <v>54</v>
      </c>
      <c r="D358" s="260">
        <v>0.88</v>
      </c>
      <c r="E358" s="259">
        <v>0</v>
      </c>
      <c r="F358" s="259">
        <v>0</v>
      </c>
      <c r="G358" s="260">
        <v>0.88</v>
      </c>
      <c r="H358" s="259">
        <v>0</v>
      </c>
      <c r="I358" s="259">
        <v>0</v>
      </c>
      <c r="J358" s="259">
        <v>0</v>
      </c>
      <c r="K358" s="259">
        <v>0</v>
      </c>
      <c r="L358" s="259">
        <v>0</v>
      </c>
    </row>
    <row r="359" spans="1:12" hidden="1" x14ac:dyDescent="0.25">
      <c r="A359" s="259" t="s">
        <v>406</v>
      </c>
      <c r="B359" s="261" t="str">
        <f>VLOOKUP(A359, '[2]fund-selector'!$A$2:$F$853,6,FALSE)</f>
        <v>EQ-LC</v>
      </c>
      <c r="C359" s="258">
        <v>4.0199999999999996</v>
      </c>
      <c r="D359" s="260">
        <v>0.99</v>
      </c>
      <c r="E359" s="259">
        <v>0</v>
      </c>
      <c r="F359" s="259">
        <v>0</v>
      </c>
      <c r="G359" s="260">
        <v>0.99</v>
      </c>
      <c r="H359" s="259">
        <v>0</v>
      </c>
      <c r="I359" s="259">
        <v>0</v>
      </c>
      <c r="J359" s="259">
        <v>0</v>
      </c>
      <c r="K359" s="259">
        <v>0</v>
      </c>
      <c r="L359" s="259">
        <v>0</v>
      </c>
    </row>
    <row r="360" spans="1:12" hidden="1" x14ac:dyDescent="0.25">
      <c r="A360" s="259" t="s">
        <v>407</v>
      </c>
      <c r="B360" s="261" t="str">
        <f>VLOOKUP(A360, '[2]fund-selector'!$A$2:$F$853,6,FALSE)</f>
        <v>EQ-LC</v>
      </c>
      <c r="C360" s="258">
        <v>6.51</v>
      </c>
      <c r="D360" s="260">
        <v>0.03</v>
      </c>
      <c r="E360" s="260">
        <v>18.68</v>
      </c>
      <c r="F360" s="260">
        <v>20.66</v>
      </c>
      <c r="G360" s="260">
        <v>0.03</v>
      </c>
      <c r="H360" s="260">
        <v>13.13</v>
      </c>
      <c r="I360" s="260">
        <v>0.69</v>
      </c>
      <c r="J360" s="260">
        <v>1.18</v>
      </c>
      <c r="K360" s="260">
        <v>0.95</v>
      </c>
      <c r="L360" s="260">
        <v>-0.7</v>
      </c>
    </row>
    <row r="361" spans="1:12" hidden="1" x14ac:dyDescent="0.25">
      <c r="A361" s="259" t="s">
        <v>408</v>
      </c>
      <c r="B361" s="261" t="str">
        <f>VLOOKUP(A361, '[2]fund-selector'!$A$2:$F$853,6,FALSE)</f>
        <v>EQ-LC</v>
      </c>
      <c r="C361" s="258">
        <v>6.07</v>
      </c>
      <c r="D361" s="260">
        <v>0.36</v>
      </c>
      <c r="E361" s="260">
        <v>18.190000000000001</v>
      </c>
      <c r="F361" s="260">
        <v>20.11</v>
      </c>
      <c r="G361" s="260">
        <v>0.36</v>
      </c>
      <c r="H361" s="260">
        <v>13.12</v>
      </c>
      <c r="I361" s="260">
        <v>0.66</v>
      </c>
      <c r="J361" s="260">
        <v>1.1200000000000001</v>
      </c>
      <c r="K361" s="260">
        <v>0.95</v>
      </c>
      <c r="L361" s="260">
        <v>-1.1100000000000001</v>
      </c>
    </row>
    <row r="362" spans="1:12" hidden="1" x14ac:dyDescent="0.25">
      <c r="A362" s="259" t="s">
        <v>409</v>
      </c>
      <c r="B362" s="261" t="str">
        <f>VLOOKUP(A362, '[2]fund-selector'!$A$2:$F$853,6,FALSE)</f>
        <v>EQ-L&amp;MC</v>
      </c>
      <c r="C362" s="258">
        <v>-3.71</v>
      </c>
      <c r="D362" s="260">
        <v>0.41</v>
      </c>
      <c r="E362" s="260">
        <v>22.75</v>
      </c>
      <c r="F362" s="259">
        <v>0</v>
      </c>
      <c r="G362" s="260">
        <v>0.41</v>
      </c>
      <c r="H362" s="260">
        <v>16.07</v>
      </c>
      <c r="I362" s="260">
        <v>0.79</v>
      </c>
      <c r="J362" s="260">
        <v>1.1399999999999999</v>
      </c>
      <c r="K362" s="260">
        <v>1.05</v>
      </c>
      <c r="L362" s="260">
        <v>1.01</v>
      </c>
    </row>
    <row r="363" spans="1:12" hidden="1" x14ac:dyDescent="0.25">
      <c r="A363" s="259" t="s">
        <v>410</v>
      </c>
      <c r="B363" s="261" t="str">
        <f>VLOOKUP(A363, '[2]fund-selector'!$A$2:$F$853,6,FALSE)</f>
        <v>EQ-L&amp;MC</v>
      </c>
      <c r="C363" s="258">
        <v>-4.12</v>
      </c>
      <c r="D363" s="260">
        <v>0.53</v>
      </c>
      <c r="E363" s="260">
        <v>21.95</v>
      </c>
      <c r="F363" s="259">
        <v>0</v>
      </c>
      <c r="G363" s="260">
        <v>0.53</v>
      </c>
      <c r="H363" s="260">
        <v>15.96</v>
      </c>
      <c r="I363" s="260">
        <v>0.76</v>
      </c>
      <c r="J363" s="260">
        <v>1.03</v>
      </c>
      <c r="K363" s="260">
        <v>1.03</v>
      </c>
      <c r="L363" s="260">
        <v>0.66</v>
      </c>
    </row>
    <row r="364" spans="1:12" hidden="1" x14ac:dyDescent="0.25">
      <c r="A364" s="259" t="s">
        <v>411</v>
      </c>
      <c r="B364" s="261" t="str">
        <f>VLOOKUP(A364, '[2]fund-selector'!$A$2:$F$853,6,FALSE)</f>
        <v>EQ-THEMATIC</v>
      </c>
      <c r="C364" s="258">
        <v>-7.14</v>
      </c>
      <c r="D364" s="260">
        <v>0.2</v>
      </c>
      <c r="E364" s="260">
        <v>30.11</v>
      </c>
      <c r="F364" s="259">
        <v>0</v>
      </c>
      <c r="G364" s="260">
        <v>0.2</v>
      </c>
      <c r="H364" s="260">
        <v>18.11</v>
      </c>
      <c r="I364" s="260">
        <v>1.08</v>
      </c>
      <c r="J364" s="260">
        <v>1.4</v>
      </c>
      <c r="K364" s="260">
        <v>1</v>
      </c>
      <c r="L364" s="260">
        <v>8.0299999999999994</v>
      </c>
    </row>
    <row r="365" spans="1:12" hidden="1" x14ac:dyDescent="0.25">
      <c r="A365" s="259" t="s">
        <v>412</v>
      </c>
      <c r="B365" s="261" t="str">
        <f>VLOOKUP(A365, '[2]fund-selector'!$A$2:$F$853,6,FALSE)</f>
        <v>EQ-THEMATIC</v>
      </c>
      <c r="C365" s="258">
        <v>-7.79</v>
      </c>
      <c r="D365" s="260">
        <v>0.94</v>
      </c>
      <c r="E365" s="259">
        <v>0</v>
      </c>
      <c r="F365" s="259">
        <v>0</v>
      </c>
      <c r="G365" s="260">
        <v>0.94</v>
      </c>
      <c r="H365" s="259">
        <v>0</v>
      </c>
      <c r="I365" s="259">
        <v>0</v>
      </c>
      <c r="J365" s="259">
        <v>0</v>
      </c>
      <c r="K365" s="259">
        <v>0</v>
      </c>
      <c r="L365" s="259">
        <v>0</v>
      </c>
    </row>
    <row r="366" spans="1:12" hidden="1" x14ac:dyDescent="0.25">
      <c r="A366" s="259" t="s">
        <v>413</v>
      </c>
      <c r="B366" s="261" t="str">
        <f>VLOOKUP(A366, '[2]fund-selector'!$A$2:$F$853,6,FALSE)</f>
        <v>EQ-THEMATIC</v>
      </c>
      <c r="C366" s="258">
        <v>-5.3</v>
      </c>
      <c r="D366" s="260">
        <v>0.3</v>
      </c>
      <c r="E366" s="259">
        <v>0</v>
      </c>
      <c r="F366" s="259">
        <v>0</v>
      </c>
      <c r="G366" s="260">
        <v>0.3</v>
      </c>
      <c r="H366" s="259">
        <v>0</v>
      </c>
      <c r="I366" s="259">
        <v>0</v>
      </c>
      <c r="J366" s="259">
        <v>0</v>
      </c>
      <c r="K366" s="259">
        <v>0</v>
      </c>
      <c r="L366" s="259">
        <v>0</v>
      </c>
    </row>
    <row r="367" spans="1:12" hidden="1" x14ac:dyDescent="0.25">
      <c r="A367" s="259" t="s">
        <v>414</v>
      </c>
      <c r="B367" s="261" t="str">
        <f>VLOOKUP(A367, '[2]fund-selector'!$A$2:$F$853,6,FALSE)</f>
        <v>EQ-THEMATIC</v>
      </c>
      <c r="C367" s="258" t="s">
        <v>54</v>
      </c>
      <c r="D367" s="260">
        <v>0.44</v>
      </c>
      <c r="E367" s="259">
        <v>0</v>
      </c>
      <c r="F367" s="259">
        <v>0</v>
      </c>
      <c r="G367" s="260">
        <v>0.44</v>
      </c>
      <c r="H367" s="259">
        <v>0</v>
      </c>
      <c r="I367" s="259">
        <v>0</v>
      </c>
      <c r="J367" s="259">
        <v>0</v>
      </c>
      <c r="K367" s="259">
        <v>0</v>
      </c>
      <c r="L367" s="259">
        <v>0</v>
      </c>
    </row>
    <row r="368" spans="1:12" hidden="1" x14ac:dyDescent="0.25">
      <c r="A368" s="259" t="s">
        <v>415</v>
      </c>
      <c r="B368" s="261" t="str">
        <f>VLOOKUP(A368, '[2]fund-selector'!$A$2:$F$853,6,FALSE)</f>
        <v>EQ-THEMATIC</v>
      </c>
      <c r="C368" s="258" t="s">
        <v>54</v>
      </c>
      <c r="D368" s="260">
        <v>0.61</v>
      </c>
      <c r="E368" s="259">
        <v>0</v>
      </c>
      <c r="F368" s="259">
        <v>0</v>
      </c>
      <c r="G368" s="260">
        <v>0.61</v>
      </c>
      <c r="H368" s="259">
        <v>0</v>
      </c>
      <c r="I368" s="259">
        <v>0</v>
      </c>
      <c r="J368" s="259">
        <v>0</v>
      </c>
      <c r="K368" s="259">
        <v>0</v>
      </c>
      <c r="L368" s="259">
        <v>0</v>
      </c>
    </row>
    <row r="369" spans="1:12" hidden="1" x14ac:dyDescent="0.25">
      <c r="A369" s="259" t="s">
        <v>416</v>
      </c>
      <c r="B369" s="261" t="str">
        <f>VLOOKUP(A369, '[2]fund-selector'!$A$2:$F$853,6,FALSE)</f>
        <v>EQ-THEMATIC</v>
      </c>
      <c r="C369" s="258">
        <v>-2.68</v>
      </c>
      <c r="D369" s="260">
        <v>0.2</v>
      </c>
      <c r="E369" s="260">
        <v>15.94</v>
      </c>
      <c r="F369" s="259">
        <v>0</v>
      </c>
      <c r="G369" s="260">
        <v>0.2</v>
      </c>
      <c r="H369" s="260">
        <v>15.7</v>
      </c>
      <c r="I369" s="260">
        <v>0.53</v>
      </c>
      <c r="J369" s="260">
        <v>0.77</v>
      </c>
      <c r="K369" s="260">
        <v>0.86</v>
      </c>
      <c r="L369" s="260">
        <v>-1.55</v>
      </c>
    </row>
    <row r="370" spans="1:12" hidden="1" x14ac:dyDescent="0.25">
      <c r="A370" s="259" t="s">
        <v>418</v>
      </c>
      <c r="B370" s="261" t="str">
        <f>VLOOKUP(A370, '[2]fund-selector'!$A$2:$F$853,6,FALSE)</f>
        <v>EQ-L&amp;MC</v>
      </c>
      <c r="C370" s="258">
        <v>2.44</v>
      </c>
      <c r="D370" s="260">
        <v>0.8</v>
      </c>
      <c r="E370" s="259">
        <v>0</v>
      </c>
      <c r="F370" s="259">
        <v>0</v>
      </c>
      <c r="G370" s="260">
        <v>0.8</v>
      </c>
      <c r="H370" s="259">
        <v>0</v>
      </c>
      <c r="I370" s="259">
        <v>0</v>
      </c>
      <c r="J370" s="259">
        <v>0</v>
      </c>
      <c r="K370" s="259">
        <v>0</v>
      </c>
      <c r="L370" s="259">
        <v>0</v>
      </c>
    </row>
    <row r="371" spans="1:12" hidden="1" x14ac:dyDescent="0.25">
      <c r="A371" s="259" t="s">
        <v>419</v>
      </c>
      <c r="B371" s="261" t="str">
        <f>VLOOKUP(A371, '[2]fund-selector'!$A$2:$F$853,6,FALSE)</f>
        <v>EQ-THEMATIC</v>
      </c>
      <c r="C371" s="258" t="s">
        <v>54</v>
      </c>
      <c r="D371" s="260">
        <v>0.4</v>
      </c>
      <c r="E371" s="259">
        <v>0</v>
      </c>
      <c r="F371" s="259">
        <v>0</v>
      </c>
      <c r="G371" s="260">
        <v>0.4</v>
      </c>
      <c r="H371" s="259">
        <v>0</v>
      </c>
      <c r="I371" s="259">
        <v>0</v>
      </c>
      <c r="J371" s="259">
        <v>0</v>
      </c>
      <c r="K371" s="259">
        <v>0</v>
      </c>
      <c r="L371" s="259">
        <v>0</v>
      </c>
    </row>
    <row r="372" spans="1:12" hidden="1" x14ac:dyDescent="0.25">
      <c r="A372" s="259" t="s">
        <v>420</v>
      </c>
      <c r="B372" s="261" t="str">
        <f>VLOOKUP(A372, '[2]fund-selector'!$A$2:$F$853,6,FALSE)</f>
        <v>EQ-MC</v>
      </c>
      <c r="C372" s="258">
        <v>2.4900000000000002</v>
      </c>
      <c r="D372" s="260">
        <v>0.15</v>
      </c>
      <c r="E372" s="260">
        <v>29.57</v>
      </c>
      <c r="F372" s="260">
        <v>30.96</v>
      </c>
      <c r="G372" s="260">
        <v>0.15</v>
      </c>
      <c r="H372" s="260">
        <v>16.989999999999998</v>
      </c>
      <c r="I372" s="260">
        <v>1.1000000000000001</v>
      </c>
      <c r="J372" s="260">
        <v>1.6</v>
      </c>
      <c r="K372" s="260">
        <v>1</v>
      </c>
      <c r="L372" s="260">
        <v>0.69</v>
      </c>
    </row>
    <row r="373" spans="1:12" hidden="1" x14ac:dyDescent="0.25">
      <c r="A373" s="259" t="s">
        <v>421</v>
      </c>
      <c r="B373" s="261" t="str">
        <f>VLOOKUP(A373, '[2]fund-selector'!$A$2:$F$853,6,FALSE)</f>
        <v>EQ-MC</v>
      </c>
      <c r="C373" s="258">
        <v>1.54</v>
      </c>
      <c r="D373" s="260">
        <v>0.92</v>
      </c>
      <c r="E373" s="260">
        <v>28.27</v>
      </c>
      <c r="F373" s="259">
        <v>0</v>
      </c>
      <c r="G373" s="260">
        <v>0.92</v>
      </c>
      <c r="H373" s="260">
        <v>16.940000000000001</v>
      </c>
      <c r="I373" s="260">
        <v>1.05</v>
      </c>
      <c r="J373" s="260">
        <v>1.51</v>
      </c>
      <c r="K373" s="260">
        <v>0.99</v>
      </c>
      <c r="L373" s="260">
        <v>-0.28999999999999998</v>
      </c>
    </row>
    <row r="374" spans="1:12" hidden="1" x14ac:dyDescent="0.25">
      <c r="A374" s="259" t="s">
        <v>422</v>
      </c>
      <c r="B374" s="261" t="str">
        <f>VLOOKUP(A374, '[2]fund-selector'!$A$2:$F$853,6,FALSE)</f>
        <v>EQ-LC</v>
      </c>
      <c r="C374" s="258">
        <v>-7.34</v>
      </c>
      <c r="D374" s="260">
        <v>0.1</v>
      </c>
      <c r="E374" s="260">
        <v>23.27</v>
      </c>
      <c r="F374" s="260">
        <v>21.97</v>
      </c>
      <c r="G374" s="260">
        <v>0.1</v>
      </c>
      <c r="H374" s="260">
        <v>19.54</v>
      </c>
      <c r="I374" s="260">
        <v>0.73</v>
      </c>
      <c r="J374" s="260">
        <v>1.08</v>
      </c>
      <c r="K374" s="260">
        <v>1.3</v>
      </c>
      <c r="L374" s="260">
        <v>0.83</v>
      </c>
    </row>
    <row r="375" spans="1:12" hidden="1" x14ac:dyDescent="0.25">
      <c r="A375" s="259" t="s">
        <v>423</v>
      </c>
      <c r="B375" s="261" t="str">
        <f>VLOOKUP(A375, '[2]fund-selector'!$A$2:$F$853,6,FALSE)</f>
        <v>EQ-LC</v>
      </c>
      <c r="C375" s="258">
        <v>-8.1999999999999993</v>
      </c>
      <c r="D375" s="260">
        <v>0.68</v>
      </c>
      <c r="E375" s="260">
        <v>22.42</v>
      </c>
      <c r="F375" s="260">
        <v>20.97</v>
      </c>
      <c r="G375" s="260">
        <v>0.68</v>
      </c>
      <c r="H375" s="260">
        <v>19.55</v>
      </c>
      <c r="I375" s="260">
        <v>0.69</v>
      </c>
      <c r="J375" s="260">
        <v>1.03</v>
      </c>
      <c r="K375" s="260">
        <v>1.3</v>
      </c>
      <c r="L375" s="260">
        <v>0.13</v>
      </c>
    </row>
    <row r="376" spans="1:12" hidden="1" x14ac:dyDescent="0.25">
      <c r="A376" s="259" t="s">
        <v>424</v>
      </c>
      <c r="B376" s="261" t="str">
        <f>VLOOKUP(A376, '[2]fund-selector'!$A$2:$F$853,6,FALSE)</f>
        <v>EQ-THEMATIC</v>
      </c>
      <c r="C376" s="258" t="s">
        <v>54</v>
      </c>
      <c r="D376" s="260">
        <v>0.4</v>
      </c>
      <c r="E376" s="259">
        <v>0</v>
      </c>
      <c r="F376" s="259">
        <v>0</v>
      </c>
      <c r="G376" s="260">
        <v>0.4</v>
      </c>
      <c r="H376" s="259">
        <v>0</v>
      </c>
      <c r="I376" s="259">
        <v>0</v>
      </c>
      <c r="J376" s="259">
        <v>0</v>
      </c>
      <c r="K376" s="259">
        <v>0</v>
      </c>
      <c r="L376" s="259">
        <v>0</v>
      </c>
    </row>
    <row r="377" spans="1:12" hidden="1" x14ac:dyDescent="0.25">
      <c r="A377" s="259" t="s">
        <v>425</v>
      </c>
      <c r="B377" s="261" t="str">
        <f>VLOOKUP(A377, '[2]fund-selector'!$A$2:$F$853,6,FALSE)</f>
        <v>EQ-SC</v>
      </c>
      <c r="C377" s="258">
        <v>-1.45</v>
      </c>
      <c r="D377" s="260">
        <v>0.84</v>
      </c>
      <c r="E377" s="260">
        <v>27.83</v>
      </c>
      <c r="F377" s="259">
        <v>0</v>
      </c>
      <c r="G377" s="260">
        <v>0.84</v>
      </c>
      <c r="H377" s="260">
        <v>19.89</v>
      </c>
      <c r="I377" s="260">
        <v>0.88</v>
      </c>
      <c r="J377" s="260">
        <v>1.28</v>
      </c>
      <c r="K377" s="260">
        <v>1.01</v>
      </c>
      <c r="L377" s="260">
        <v>-1.03</v>
      </c>
    </row>
    <row r="378" spans="1:12" hidden="1" x14ac:dyDescent="0.25">
      <c r="A378" s="259" t="s">
        <v>426</v>
      </c>
      <c r="B378" s="261" t="str">
        <f>VLOOKUP(A378, '[2]fund-selector'!$A$2:$F$853,6,FALSE)</f>
        <v>EQ-LC</v>
      </c>
      <c r="C378" s="258" t="s">
        <v>54</v>
      </c>
      <c r="D378" s="259">
        <v>0</v>
      </c>
      <c r="E378" s="259">
        <v>0</v>
      </c>
      <c r="F378" s="259">
        <v>0</v>
      </c>
      <c r="G378" s="259">
        <v>0</v>
      </c>
      <c r="H378" s="259">
        <v>0</v>
      </c>
      <c r="I378" s="259">
        <v>0</v>
      </c>
      <c r="J378" s="259">
        <v>0</v>
      </c>
      <c r="K378" s="259">
        <v>0</v>
      </c>
      <c r="L378" s="259">
        <v>0</v>
      </c>
    </row>
    <row r="379" spans="1:12" hidden="1" x14ac:dyDescent="0.25">
      <c r="A379" s="259" t="s">
        <v>427</v>
      </c>
      <c r="B379" s="261" t="str">
        <f>VLOOKUP(A379, '[2]fund-selector'!$A$2:$F$853,6,FALSE)</f>
        <v>EQ-LC</v>
      </c>
      <c r="C379" s="258" t="s">
        <v>54</v>
      </c>
      <c r="D379" s="259">
        <v>0</v>
      </c>
      <c r="E379" s="259">
        <v>0</v>
      </c>
      <c r="F379" s="259">
        <v>0</v>
      </c>
      <c r="G379" s="259">
        <v>0</v>
      </c>
      <c r="H379" s="259">
        <v>0</v>
      </c>
      <c r="I379" s="259">
        <v>0</v>
      </c>
      <c r="J379" s="259">
        <v>0</v>
      </c>
      <c r="K379" s="259">
        <v>0</v>
      </c>
      <c r="L379" s="259">
        <v>0</v>
      </c>
    </row>
    <row r="380" spans="1:12" hidden="1" x14ac:dyDescent="0.25">
      <c r="A380" s="259" t="s">
        <v>428</v>
      </c>
      <c r="B380" s="261" t="str">
        <f>VLOOKUP(A380, '[2]fund-selector'!$A$2:$F$853,6,FALSE)</f>
        <v>HY-MAA</v>
      </c>
      <c r="C380" s="258">
        <v>12.97</v>
      </c>
      <c r="D380" s="260">
        <v>0.59</v>
      </c>
      <c r="E380" s="260">
        <v>16.2</v>
      </c>
      <c r="F380" s="259">
        <v>0</v>
      </c>
      <c r="G380" s="260">
        <v>0.59</v>
      </c>
      <c r="H380" s="260">
        <v>6.62</v>
      </c>
      <c r="I380" s="260">
        <v>1.1000000000000001</v>
      </c>
      <c r="J380" s="260">
        <v>1.87</v>
      </c>
      <c r="K380" s="260">
        <v>0.54</v>
      </c>
      <c r="L380" s="260">
        <v>2.52</v>
      </c>
    </row>
    <row r="381" spans="1:12" hidden="1" x14ac:dyDescent="0.25">
      <c r="A381" s="259" t="s">
        <v>429</v>
      </c>
      <c r="B381" s="261" t="str">
        <f>VLOOKUP(A381, '[2]fund-selector'!$A$2:$F$853,6,FALSE)</f>
        <v>EQ-FLX</v>
      </c>
      <c r="C381" s="258">
        <v>8.0500000000000007</v>
      </c>
      <c r="D381" s="260">
        <v>0.44</v>
      </c>
      <c r="E381" s="260">
        <v>22.93</v>
      </c>
      <c r="F381" s="260">
        <v>23.62</v>
      </c>
      <c r="G381" s="260">
        <v>0.44</v>
      </c>
      <c r="H381" s="260">
        <v>12.54</v>
      </c>
      <c r="I381" s="260">
        <v>1.01</v>
      </c>
      <c r="J381" s="260">
        <v>1.7</v>
      </c>
      <c r="K381" s="260">
        <v>0.84</v>
      </c>
      <c r="L381" s="260">
        <v>2.98</v>
      </c>
    </row>
    <row r="382" spans="1:12" hidden="1" x14ac:dyDescent="0.25">
      <c r="A382" s="259" t="s">
        <v>431</v>
      </c>
      <c r="B382" s="261" t="str">
        <f>VLOOKUP(A382, '[2]fund-selector'!$A$2:$F$853,6,FALSE)</f>
        <v>EQ-THEMATIC</v>
      </c>
      <c r="C382" s="258" t="s">
        <v>54</v>
      </c>
      <c r="D382" s="260">
        <v>2.0699999999999998</v>
      </c>
      <c r="E382" s="259">
        <v>0</v>
      </c>
      <c r="F382" s="259">
        <v>0</v>
      </c>
      <c r="G382" s="260">
        <v>2.0699999999999998</v>
      </c>
      <c r="H382" s="259">
        <v>0</v>
      </c>
      <c r="I382" s="259">
        <v>0</v>
      </c>
      <c r="J382" s="259">
        <v>0</v>
      </c>
      <c r="K382" s="259">
        <v>0</v>
      </c>
      <c r="L382" s="259">
        <v>0</v>
      </c>
    </row>
    <row r="383" spans="1:12" hidden="1" x14ac:dyDescent="0.25">
      <c r="A383" s="259" t="s">
        <v>432</v>
      </c>
      <c r="B383" s="261" t="str">
        <f>VLOOKUP(A383, '[2]fund-selector'!$A$2:$F$853,6,FALSE)</f>
        <v>EQ-THEMATIC</v>
      </c>
      <c r="C383" s="258">
        <v>6.91</v>
      </c>
      <c r="D383" s="260">
        <v>2.3199999999999998</v>
      </c>
      <c r="E383" s="260">
        <v>20.93</v>
      </c>
      <c r="F383" s="259">
        <v>0</v>
      </c>
      <c r="G383" s="260">
        <v>2.3199999999999998</v>
      </c>
      <c r="H383" s="260">
        <v>11.89</v>
      </c>
      <c r="I383" s="260">
        <v>0.94</v>
      </c>
      <c r="J383" s="260">
        <v>1.42</v>
      </c>
      <c r="K383" s="260">
        <v>0.78</v>
      </c>
      <c r="L383" s="260">
        <v>2.11</v>
      </c>
    </row>
    <row r="384" spans="1:12" hidden="1" x14ac:dyDescent="0.25">
      <c r="A384" s="259" t="s">
        <v>1215</v>
      </c>
      <c r="B384" s="261" t="str">
        <f>VLOOKUP(A384, '[2]fund-selector'!$A$2:$F$853,6,FALSE)</f>
        <v>HY-CH</v>
      </c>
      <c r="C384" s="258">
        <v>8.84</v>
      </c>
      <c r="D384" s="260">
        <v>1.72</v>
      </c>
      <c r="E384" s="260">
        <v>11.3</v>
      </c>
      <c r="F384" s="260">
        <v>10.56</v>
      </c>
      <c r="G384" s="260">
        <v>1.72</v>
      </c>
      <c r="H384" s="260">
        <v>3.23</v>
      </c>
      <c r="I384" s="260">
        <v>1.2</v>
      </c>
      <c r="J384" s="260">
        <v>1.91</v>
      </c>
      <c r="K384" s="260">
        <v>0.77</v>
      </c>
      <c r="L384" s="260">
        <v>1.05</v>
      </c>
    </row>
    <row r="385" spans="1:12" hidden="1" x14ac:dyDescent="0.25">
      <c r="A385" s="259" t="s">
        <v>1216</v>
      </c>
      <c r="B385" s="261" t="str">
        <f>VLOOKUP(A385, '[2]fund-selector'!$A$2:$F$853,6,FALSE)</f>
        <v>HY-AH</v>
      </c>
      <c r="C385" s="258">
        <v>4.1500000000000004</v>
      </c>
      <c r="D385" s="260">
        <v>2.2400000000000002</v>
      </c>
      <c r="E385" s="260">
        <v>23.26</v>
      </c>
      <c r="F385" s="260">
        <v>21.67</v>
      </c>
      <c r="G385" s="260">
        <v>2.2400000000000002</v>
      </c>
      <c r="H385" s="260">
        <v>12.78</v>
      </c>
      <c r="I385" s="260">
        <v>1</v>
      </c>
      <c r="J385" s="260">
        <v>1.51</v>
      </c>
      <c r="K385" s="260">
        <v>1.02</v>
      </c>
      <c r="L385" s="260">
        <v>3.04</v>
      </c>
    </row>
    <row r="386" spans="1:12" hidden="1" x14ac:dyDescent="0.25">
      <c r="A386" s="259" t="s">
        <v>1217</v>
      </c>
      <c r="B386" s="261" t="str">
        <f>VLOOKUP(A386, '[2]fund-selector'!$A$2:$F$853,6,FALSE)</f>
        <v>HY-CH</v>
      </c>
      <c r="C386" s="258">
        <v>6.77</v>
      </c>
      <c r="D386" s="260">
        <v>2.1</v>
      </c>
      <c r="E386" s="260">
        <v>11.64</v>
      </c>
      <c r="F386" s="260">
        <v>9.51</v>
      </c>
      <c r="G386" s="260">
        <v>2.1</v>
      </c>
      <c r="H386" s="260">
        <v>4.47</v>
      </c>
      <c r="I386" s="260">
        <v>0.87</v>
      </c>
      <c r="J386" s="260">
        <v>1.21</v>
      </c>
      <c r="K386" s="260">
        <v>1.01</v>
      </c>
      <c r="L386" s="260">
        <v>0.19</v>
      </c>
    </row>
    <row r="387" spans="1:12" hidden="1" x14ac:dyDescent="0.25">
      <c r="A387" s="259" t="s">
        <v>433</v>
      </c>
      <c r="B387" s="261" t="str">
        <f>VLOOKUP(A387, '[2]fund-selector'!$A$2:$F$853,6,FALSE)</f>
        <v>EQ-FLX</v>
      </c>
      <c r="C387" s="258">
        <v>6.84</v>
      </c>
      <c r="D387" s="260">
        <v>2.11</v>
      </c>
      <c r="E387" s="260">
        <v>27.56</v>
      </c>
      <c r="F387" s="260">
        <v>29.1</v>
      </c>
      <c r="G387" s="260">
        <v>2.11</v>
      </c>
      <c r="H387" s="260">
        <v>14.67</v>
      </c>
      <c r="I387" s="260">
        <v>1.08</v>
      </c>
      <c r="J387" s="260">
        <v>1.6</v>
      </c>
      <c r="K387" s="260">
        <v>0.95</v>
      </c>
      <c r="L387" s="260">
        <v>4.91</v>
      </c>
    </row>
    <row r="388" spans="1:12" hidden="1" x14ac:dyDescent="0.25">
      <c r="A388" s="259" t="s">
        <v>434</v>
      </c>
      <c r="B388" s="261" t="str">
        <f>VLOOKUP(A388, '[2]fund-selector'!$A$2:$F$853,6,FALSE)</f>
        <v>EQ-THEMATIC</v>
      </c>
      <c r="C388" s="258" t="s">
        <v>54</v>
      </c>
      <c r="D388" s="260">
        <v>2.17</v>
      </c>
      <c r="E388" s="259">
        <v>0</v>
      </c>
      <c r="F388" s="259">
        <v>0</v>
      </c>
      <c r="G388" s="260">
        <v>2.17</v>
      </c>
      <c r="H388" s="259">
        <v>0</v>
      </c>
      <c r="I388" s="259">
        <v>0</v>
      </c>
      <c r="J388" s="259">
        <v>0</v>
      </c>
      <c r="K388" s="259">
        <v>0</v>
      </c>
      <c r="L388" s="259">
        <v>0</v>
      </c>
    </row>
    <row r="389" spans="1:12" hidden="1" x14ac:dyDescent="0.25">
      <c r="A389" s="259" t="s">
        <v>435</v>
      </c>
      <c r="B389" s="261" t="str">
        <f>VLOOKUP(A389, '[2]fund-selector'!$A$2:$F$853,6,FALSE)</f>
        <v>EQ-SC</v>
      </c>
      <c r="C389" s="258">
        <v>-1.38</v>
      </c>
      <c r="D389" s="260">
        <v>1.78</v>
      </c>
      <c r="E389" s="260">
        <v>22.49</v>
      </c>
      <c r="F389" s="260">
        <v>32.36</v>
      </c>
      <c r="G389" s="260">
        <v>1.78</v>
      </c>
      <c r="H389" s="260">
        <v>15.46</v>
      </c>
      <c r="I389" s="260">
        <v>0.87</v>
      </c>
      <c r="J389" s="260">
        <v>1.27</v>
      </c>
      <c r="K389" s="260">
        <v>0.75</v>
      </c>
      <c r="L389" s="260">
        <v>-0.14000000000000001</v>
      </c>
    </row>
    <row r="390" spans="1:12" hidden="1" x14ac:dyDescent="0.25">
      <c r="A390" s="259" t="s">
        <v>436</v>
      </c>
      <c r="B390" s="261" t="str">
        <f>VLOOKUP(A390, '[2]fund-selector'!$A$2:$F$853,6,FALSE)</f>
        <v>EQ-THEMATIC</v>
      </c>
      <c r="C390" s="258">
        <v>14.93</v>
      </c>
      <c r="D390" s="260">
        <v>1.52</v>
      </c>
      <c r="E390" s="260">
        <v>24.09</v>
      </c>
      <c r="F390" s="260">
        <v>27.15</v>
      </c>
      <c r="G390" s="260">
        <v>1.52</v>
      </c>
      <c r="H390" s="260">
        <v>11.07</v>
      </c>
      <c r="I390" s="260">
        <v>1.25</v>
      </c>
      <c r="J390" s="260">
        <v>2.36</v>
      </c>
      <c r="K390" s="260">
        <v>0.73</v>
      </c>
      <c r="L390" s="260">
        <v>5.41</v>
      </c>
    </row>
    <row r="391" spans="1:12" hidden="1" x14ac:dyDescent="0.25">
      <c r="A391" s="259" t="s">
        <v>437</v>
      </c>
      <c r="B391" s="261" t="str">
        <f>VLOOKUP(A391, '[2]fund-selector'!$A$2:$F$853,6,FALSE)</f>
        <v>EQ-THEMATIC</v>
      </c>
      <c r="C391" s="258">
        <v>-1.91</v>
      </c>
      <c r="D391" s="260">
        <v>1.98</v>
      </c>
      <c r="E391" s="259">
        <v>0</v>
      </c>
      <c r="F391" s="259">
        <v>0</v>
      </c>
      <c r="G391" s="260">
        <v>1.98</v>
      </c>
      <c r="H391" s="259">
        <v>0</v>
      </c>
      <c r="I391" s="259">
        <v>0</v>
      </c>
      <c r="J391" s="259">
        <v>0</v>
      </c>
      <c r="K391" s="259">
        <v>0</v>
      </c>
      <c r="L391" s="259">
        <v>0</v>
      </c>
    </row>
    <row r="392" spans="1:12" hidden="1" x14ac:dyDescent="0.25">
      <c r="A392" s="259" t="s">
        <v>1218</v>
      </c>
      <c r="B392" s="261" t="str">
        <f>VLOOKUP(A392, '[2]fund-selector'!$A$2:$F$853,6,FALSE)</f>
        <v>HY-AH</v>
      </c>
      <c r="C392" s="258">
        <v>5.99</v>
      </c>
      <c r="D392" s="260">
        <v>2.33</v>
      </c>
      <c r="E392" s="260">
        <v>20.57</v>
      </c>
      <c r="F392" s="260">
        <v>17.72</v>
      </c>
      <c r="G392" s="260">
        <v>2.33</v>
      </c>
      <c r="H392" s="260">
        <v>11.25</v>
      </c>
      <c r="I392" s="260">
        <v>1</v>
      </c>
      <c r="J392" s="260">
        <v>1.31</v>
      </c>
      <c r="K392" s="260">
        <v>0.9</v>
      </c>
      <c r="L392" s="260">
        <v>2.67</v>
      </c>
    </row>
    <row r="393" spans="1:12" hidden="1" x14ac:dyDescent="0.25">
      <c r="A393" s="259" t="s">
        <v>1375</v>
      </c>
      <c r="B393" s="261" t="str">
        <f>VLOOKUP(A393, '[2]fund-selector'!$A$2:$F$853,6,FALSE)</f>
        <v>HY-AR</v>
      </c>
      <c r="C393" s="258">
        <v>6.98</v>
      </c>
      <c r="D393" s="260">
        <v>1.06</v>
      </c>
      <c r="E393" s="260">
        <v>7.07</v>
      </c>
      <c r="F393" s="260">
        <v>5.68</v>
      </c>
      <c r="G393" s="260">
        <v>1.06</v>
      </c>
      <c r="H393" s="260">
        <v>0.48</v>
      </c>
      <c r="I393" s="260">
        <v>0.98</v>
      </c>
      <c r="J393" s="260">
        <v>1.1100000000000001</v>
      </c>
      <c r="K393" s="260">
        <v>0.41</v>
      </c>
      <c r="L393" s="260">
        <v>1.25</v>
      </c>
    </row>
    <row r="394" spans="1:12" hidden="1" x14ac:dyDescent="0.25">
      <c r="A394" s="259" t="s">
        <v>438</v>
      </c>
      <c r="B394" s="261" t="str">
        <f>VLOOKUP(A394, '[2]fund-selector'!$A$2:$F$853,6,FALSE)</f>
        <v>HY-DAA</v>
      </c>
      <c r="C394" s="258">
        <v>5.51</v>
      </c>
      <c r="D394" s="260">
        <v>2.13</v>
      </c>
      <c r="E394" s="260">
        <v>16.260000000000002</v>
      </c>
      <c r="F394" s="260">
        <v>13.62</v>
      </c>
      <c r="G394" s="260">
        <v>2.13</v>
      </c>
      <c r="H394" s="260">
        <v>8.39</v>
      </c>
      <c r="I394" s="260">
        <v>0.89</v>
      </c>
      <c r="J394" s="260">
        <v>1.27</v>
      </c>
      <c r="K394" s="260">
        <v>0.79</v>
      </c>
      <c r="L394" s="260">
        <v>1.24</v>
      </c>
    </row>
    <row r="395" spans="1:12" hidden="1" x14ac:dyDescent="0.25">
      <c r="A395" s="259" t="s">
        <v>439</v>
      </c>
      <c r="B395" s="261" t="str">
        <f>VLOOKUP(A395, '[2]fund-selector'!$A$2:$F$853,6,FALSE)</f>
        <v>EQ-THEMATIC</v>
      </c>
      <c r="C395" s="258" t="s">
        <v>54</v>
      </c>
      <c r="D395" s="260">
        <v>2.38</v>
      </c>
      <c r="E395" s="259">
        <v>0</v>
      </c>
      <c r="F395" s="259">
        <v>0</v>
      </c>
      <c r="G395" s="260">
        <v>2.38</v>
      </c>
      <c r="H395" s="259">
        <v>0</v>
      </c>
      <c r="I395" s="259">
        <v>0</v>
      </c>
      <c r="J395" s="259">
        <v>0</v>
      </c>
      <c r="K395" s="259">
        <v>0</v>
      </c>
      <c r="L395" s="259">
        <v>0</v>
      </c>
    </row>
    <row r="396" spans="1:12" hidden="1" x14ac:dyDescent="0.25">
      <c r="A396" s="259" t="s">
        <v>441</v>
      </c>
      <c r="B396" s="261" t="str">
        <f>VLOOKUP(A396, '[2]fund-selector'!$A$2:$F$853,6,FALSE)</f>
        <v>EQ-FLX</v>
      </c>
      <c r="C396" s="258">
        <v>7.54</v>
      </c>
      <c r="D396" s="260">
        <v>1.94</v>
      </c>
      <c r="E396" s="260">
        <v>27.38</v>
      </c>
      <c r="F396" s="259">
        <v>0</v>
      </c>
      <c r="G396" s="260">
        <v>1.94</v>
      </c>
      <c r="H396" s="260">
        <v>14.81</v>
      </c>
      <c r="I396" s="260">
        <v>1.1100000000000001</v>
      </c>
      <c r="J396" s="260">
        <v>1.33</v>
      </c>
      <c r="K396" s="260">
        <v>0.94</v>
      </c>
      <c r="L396" s="260">
        <v>5.55</v>
      </c>
    </row>
    <row r="397" spans="1:12" hidden="1" x14ac:dyDescent="0.25">
      <c r="A397" s="259" t="s">
        <v>442</v>
      </c>
      <c r="B397" s="261" t="str">
        <f>VLOOKUP(A397, '[2]fund-selector'!$A$2:$F$853,6,FALSE)</f>
        <v>EQ-FLX</v>
      </c>
      <c r="C397" s="258">
        <v>7.53</v>
      </c>
      <c r="D397" s="260">
        <v>1.88</v>
      </c>
      <c r="E397" s="260">
        <v>28.45</v>
      </c>
      <c r="F397" s="259">
        <v>0</v>
      </c>
      <c r="G397" s="260">
        <v>1.88</v>
      </c>
      <c r="H397" s="260">
        <v>15.57</v>
      </c>
      <c r="I397" s="260">
        <v>1.1599999999999999</v>
      </c>
      <c r="J397" s="260">
        <v>1.61</v>
      </c>
      <c r="K397" s="260">
        <v>0.96</v>
      </c>
      <c r="L397" s="260">
        <v>6.93</v>
      </c>
    </row>
    <row r="398" spans="1:12" hidden="1" x14ac:dyDescent="0.25">
      <c r="A398" s="259" t="s">
        <v>443</v>
      </c>
      <c r="B398" s="261" t="str">
        <f>VLOOKUP(A398, '[2]fund-selector'!$A$2:$F$853,6,FALSE)</f>
        <v>EQ-LC</v>
      </c>
      <c r="C398" s="258">
        <v>5.18</v>
      </c>
      <c r="D398" s="260">
        <v>2.06</v>
      </c>
      <c r="E398" s="260">
        <v>21.71</v>
      </c>
      <c r="F398" s="260">
        <v>20.96</v>
      </c>
      <c r="G398" s="260">
        <v>2.06</v>
      </c>
      <c r="H398" s="260">
        <v>14.58</v>
      </c>
      <c r="I398" s="260">
        <v>0.81</v>
      </c>
      <c r="J398" s="260">
        <v>1.17</v>
      </c>
      <c r="K398" s="260">
        <v>1.02</v>
      </c>
      <c r="L398" s="260">
        <v>1.24</v>
      </c>
    </row>
    <row r="399" spans="1:12" hidden="1" x14ac:dyDescent="0.25">
      <c r="A399" s="259" t="s">
        <v>444</v>
      </c>
      <c r="B399" s="261" t="str">
        <f>VLOOKUP(A399, '[2]fund-selector'!$A$2:$F$853,6,FALSE)</f>
        <v>EQ-L&amp;MC</v>
      </c>
      <c r="C399" s="258">
        <v>11.08</v>
      </c>
      <c r="D399" s="260">
        <v>1.79</v>
      </c>
      <c r="E399" s="260">
        <v>29.61</v>
      </c>
      <c r="F399" s="260">
        <v>25.29</v>
      </c>
      <c r="G399" s="260">
        <v>1.79</v>
      </c>
      <c r="H399" s="260">
        <v>15.45</v>
      </c>
      <c r="I399" s="260">
        <v>1.1599999999999999</v>
      </c>
      <c r="J399" s="260">
        <v>1.49</v>
      </c>
      <c r="K399" s="260">
        <v>0.99</v>
      </c>
      <c r="L399" s="260">
        <v>7.08</v>
      </c>
    </row>
    <row r="400" spans="1:12" hidden="1" x14ac:dyDescent="0.25">
      <c r="A400" s="259" t="s">
        <v>445</v>
      </c>
      <c r="B400" s="261" t="str">
        <f>VLOOKUP(A400, '[2]fund-selector'!$A$2:$F$853,6,FALSE)</f>
        <v>EQ-THEMATIC</v>
      </c>
      <c r="C400" s="258" t="s">
        <v>54</v>
      </c>
      <c r="D400" s="260">
        <v>2.2799999999999998</v>
      </c>
      <c r="E400" s="259">
        <v>0</v>
      </c>
      <c r="F400" s="259">
        <v>0</v>
      </c>
      <c r="G400" s="260">
        <v>2.2799999999999998</v>
      </c>
      <c r="H400" s="259">
        <v>0</v>
      </c>
      <c r="I400" s="259">
        <v>0</v>
      </c>
      <c r="J400" s="259">
        <v>0</v>
      </c>
      <c r="K400" s="259">
        <v>0</v>
      </c>
      <c r="L400" s="259">
        <v>0</v>
      </c>
    </row>
    <row r="401" spans="1:12" hidden="1" x14ac:dyDescent="0.25">
      <c r="A401" s="259" t="s">
        <v>446</v>
      </c>
      <c r="B401" s="261" t="str">
        <f>VLOOKUP(A401, '[2]fund-selector'!$A$2:$F$853,6,FALSE)</f>
        <v>EQ-MC</v>
      </c>
      <c r="C401" s="258">
        <v>13.5</v>
      </c>
      <c r="D401" s="260">
        <v>1.8</v>
      </c>
      <c r="E401" s="260">
        <v>32.06</v>
      </c>
      <c r="F401" s="260">
        <v>29.84</v>
      </c>
      <c r="G401" s="260">
        <v>1.8</v>
      </c>
      <c r="H401" s="260">
        <v>16.829999999999998</v>
      </c>
      <c r="I401" s="260">
        <v>1.18</v>
      </c>
      <c r="J401" s="260">
        <v>1.51</v>
      </c>
      <c r="K401" s="260">
        <v>0.94</v>
      </c>
      <c r="L401" s="260">
        <v>2.9</v>
      </c>
    </row>
    <row r="402" spans="1:12" hidden="1" x14ac:dyDescent="0.25">
      <c r="A402" s="259" t="s">
        <v>447</v>
      </c>
      <c r="B402" s="261" t="str">
        <f>VLOOKUP(A402, '[2]fund-selector'!$A$2:$F$853,6,FALSE)</f>
        <v>HY-MAA</v>
      </c>
      <c r="C402" s="258" t="s">
        <v>54</v>
      </c>
      <c r="D402" s="260">
        <v>1.86</v>
      </c>
      <c r="E402" s="259">
        <v>0</v>
      </c>
      <c r="F402" s="259">
        <v>0</v>
      </c>
      <c r="G402" s="260">
        <v>1.86</v>
      </c>
      <c r="H402" s="259">
        <v>0</v>
      </c>
      <c r="I402" s="259">
        <v>0</v>
      </c>
      <c r="J402" s="259">
        <v>0</v>
      </c>
      <c r="K402" s="259">
        <v>0</v>
      </c>
      <c r="L402" s="259">
        <v>0</v>
      </c>
    </row>
    <row r="403" spans="1:12" hidden="1" x14ac:dyDescent="0.25">
      <c r="A403" s="259" t="s">
        <v>448</v>
      </c>
      <c r="B403" s="261" t="str">
        <f>VLOOKUP(A403, '[2]fund-selector'!$A$2:$F$853,6,FALSE)</f>
        <v>EQ-MLC</v>
      </c>
      <c r="C403" s="258">
        <v>4.84</v>
      </c>
      <c r="D403" s="260">
        <v>1.89</v>
      </c>
      <c r="E403" s="260">
        <v>24.58</v>
      </c>
      <c r="F403" s="260">
        <v>24.54</v>
      </c>
      <c r="G403" s="260">
        <v>1.89</v>
      </c>
      <c r="H403" s="260">
        <v>15.02</v>
      </c>
      <c r="I403" s="260">
        <v>0.97</v>
      </c>
      <c r="J403" s="260">
        <v>1.23</v>
      </c>
      <c r="K403" s="260">
        <v>0.93</v>
      </c>
      <c r="L403" s="260">
        <v>1.05</v>
      </c>
    </row>
    <row r="404" spans="1:12" hidden="1" x14ac:dyDescent="0.25">
      <c r="A404" s="259" t="s">
        <v>449</v>
      </c>
      <c r="B404" s="261" t="str">
        <f>VLOOKUP(A404, '[2]fund-selector'!$A$2:$F$853,6,FALSE)</f>
        <v>EQ-LC</v>
      </c>
      <c r="C404" s="258">
        <v>6.42</v>
      </c>
      <c r="D404" s="260">
        <v>0.1</v>
      </c>
      <c r="E404" s="260">
        <v>18.57</v>
      </c>
      <c r="F404" s="260">
        <v>20.57</v>
      </c>
      <c r="G404" s="260">
        <v>0.1</v>
      </c>
      <c r="H404" s="260">
        <v>13.13</v>
      </c>
      <c r="I404" s="260">
        <v>0.68</v>
      </c>
      <c r="J404" s="260">
        <v>1.17</v>
      </c>
      <c r="K404" s="260">
        <v>0.95</v>
      </c>
      <c r="L404" s="260">
        <v>-0.79</v>
      </c>
    </row>
    <row r="405" spans="1:12" hidden="1" x14ac:dyDescent="0.25">
      <c r="A405" s="259" t="s">
        <v>451</v>
      </c>
      <c r="B405" s="261" t="str">
        <f>VLOOKUP(A405, '[2]fund-selector'!$A$2:$F$853,6,FALSE)</f>
        <v>EQ-SC</v>
      </c>
      <c r="C405" s="258">
        <v>7.71</v>
      </c>
      <c r="D405" s="260">
        <v>1.76</v>
      </c>
      <c r="E405" s="260">
        <v>31.3</v>
      </c>
      <c r="F405" s="260">
        <v>33</v>
      </c>
      <c r="G405" s="260">
        <v>1.76</v>
      </c>
      <c r="H405" s="260">
        <v>16.670000000000002</v>
      </c>
      <c r="I405" s="260">
        <v>1.19</v>
      </c>
      <c r="J405" s="260">
        <v>1.43</v>
      </c>
      <c r="K405" s="260">
        <v>0.8</v>
      </c>
      <c r="L405" s="260">
        <v>5.17</v>
      </c>
    </row>
    <row r="406" spans="1:12" hidden="1" x14ac:dyDescent="0.25">
      <c r="A406" s="259" t="s">
        <v>1376</v>
      </c>
      <c r="B406" s="261" t="str">
        <f>VLOOKUP(A406, '[2]fund-selector'!$A$2:$F$853,6,FALSE)</f>
        <v>HY-AR</v>
      </c>
      <c r="C406" s="258">
        <v>6.84</v>
      </c>
      <c r="D406" s="260">
        <v>0.93</v>
      </c>
      <c r="E406" s="260">
        <v>6.15</v>
      </c>
      <c r="F406" s="260">
        <v>4.5999999999999996</v>
      </c>
      <c r="G406" s="260">
        <v>0.93</v>
      </c>
      <c r="H406" s="260">
        <v>0.66</v>
      </c>
      <c r="I406" s="260">
        <v>-0.69</v>
      </c>
      <c r="J406" s="260">
        <v>-0.77</v>
      </c>
      <c r="K406" s="260">
        <v>1.01</v>
      </c>
      <c r="L406" s="260">
        <v>1.46</v>
      </c>
    </row>
    <row r="407" spans="1:12" hidden="1" x14ac:dyDescent="0.25">
      <c r="A407" s="259" t="s">
        <v>452</v>
      </c>
      <c r="B407" s="261" t="str">
        <f>VLOOKUP(A407, '[2]fund-selector'!$A$2:$F$853,6,FALSE)</f>
        <v>HY-DAA</v>
      </c>
      <c r="C407" s="258">
        <v>5.72</v>
      </c>
      <c r="D407" s="260">
        <v>2.37</v>
      </c>
      <c r="E407" s="260">
        <v>12.89</v>
      </c>
      <c r="F407" s="260">
        <v>11.03</v>
      </c>
      <c r="G407" s="260">
        <v>2.37</v>
      </c>
      <c r="H407" s="260">
        <v>7.31</v>
      </c>
      <c r="I407" s="260">
        <v>0.7</v>
      </c>
      <c r="J407" s="260">
        <v>1.19</v>
      </c>
      <c r="K407" s="260">
        <v>0.64</v>
      </c>
      <c r="L407" s="260">
        <v>0.05</v>
      </c>
    </row>
    <row r="408" spans="1:12" hidden="1" x14ac:dyDescent="0.25">
      <c r="A408" s="259" t="s">
        <v>454</v>
      </c>
      <c r="B408" s="261" t="str">
        <f>VLOOKUP(A408, '[2]fund-selector'!$A$2:$F$853,6,FALSE)</f>
        <v>EQ-FLX</v>
      </c>
      <c r="C408" s="258">
        <v>0.96</v>
      </c>
      <c r="D408" s="260">
        <v>2.0499999999999998</v>
      </c>
      <c r="E408" s="259">
        <v>0</v>
      </c>
      <c r="F408" s="259">
        <v>0</v>
      </c>
      <c r="G408" s="260">
        <v>2.0499999999999998</v>
      </c>
      <c r="H408" s="259">
        <v>0</v>
      </c>
      <c r="I408" s="259">
        <v>0</v>
      </c>
      <c r="J408" s="259">
        <v>0</v>
      </c>
      <c r="K408" s="259">
        <v>0</v>
      </c>
      <c r="L408" s="259">
        <v>0</v>
      </c>
    </row>
    <row r="409" spans="1:12" hidden="1" x14ac:dyDescent="0.25">
      <c r="A409" s="259" t="s">
        <v>455</v>
      </c>
      <c r="B409" s="261" t="str">
        <f>VLOOKUP(A409, '[2]fund-selector'!$A$2:$F$853,6,FALSE)</f>
        <v>EQ-FLX</v>
      </c>
      <c r="C409" s="258">
        <v>4.7699999999999996</v>
      </c>
      <c r="D409" s="260">
        <v>2.37</v>
      </c>
      <c r="E409" s="259">
        <v>0</v>
      </c>
      <c r="F409" s="259">
        <v>0</v>
      </c>
      <c r="G409" s="260">
        <v>2.37</v>
      </c>
      <c r="H409" s="259">
        <v>0</v>
      </c>
      <c r="I409" s="259">
        <v>0</v>
      </c>
      <c r="J409" s="259">
        <v>0</v>
      </c>
      <c r="K409" s="259">
        <v>0</v>
      </c>
      <c r="L409" s="259">
        <v>0</v>
      </c>
    </row>
    <row r="410" spans="1:12" hidden="1" x14ac:dyDescent="0.25">
      <c r="A410" s="259" t="s">
        <v>456</v>
      </c>
      <c r="B410" s="261" t="str">
        <f>VLOOKUP(A410, '[2]fund-selector'!$A$2:$F$853,6,FALSE)</f>
        <v>EQ-LC</v>
      </c>
      <c r="C410" s="258">
        <v>-1.1399999999999999</v>
      </c>
      <c r="D410" s="260">
        <v>2.35</v>
      </c>
      <c r="E410" s="260">
        <v>19.010000000000002</v>
      </c>
      <c r="F410" s="259">
        <v>0</v>
      </c>
      <c r="G410" s="260">
        <v>2.35</v>
      </c>
      <c r="H410" s="260">
        <v>14.44</v>
      </c>
      <c r="I410" s="260">
        <v>0.68</v>
      </c>
      <c r="J410" s="260">
        <v>1.1000000000000001</v>
      </c>
      <c r="K410" s="260">
        <v>1.01</v>
      </c>
      <c r="L410" s="260">
        <v>-0.57999999999999996</v>
      </c>
    </row>
    <row r="411" spans="1:12" hidden="1" x14ac:dyDescent="0.25">
      <c r="A411" s="259" t="s">
        <v>457</v>
      </c>
      <c r="B411" s="261" t="str">
        <f>VLOOKUP(A411, '[2]fund-selector'!$A$2:$F$853,6,FALSE)</f>
        <v>EQ-L&amp;MC</v>
      </c>
      <c r="C411" s="258" t="s">
        <v>54</v>
      </c>
      <c r="D411" s="260">
        <v>2.15</v>
      </c>
      <c r="E411" s="259">
        <v>0</v>
      </c>
      <c r="F411" s="259">
        <v>0</v>
      </c>
      <c r="G411" s="260">
        <v>2.15</v>
      </c>
      <c r="H411" s="259">
        <v>0</v>
      </c>
      <c r="I411" s="259">
        <v>0</v>
      </c>
      <c r="J411" s="259">
        <v>0</v>
      </c>
      <c r="K411" s="259">
        <v>0</v>
      </c>
      <c r="L411" s="259">
        <v>0</v>
      </c>
    </row>
    <row r="412" spans="1:12" hidden="1" x14ac:dyDescent="0.25">
      <c r="A412" s="259" t="s">
        <v>458</v>
      </c>
      <c r="B412" s="261" t="str">
        <f>VLOOKUP(A412, '[2]fund-selector'!$A$2:$F$853,6,FALSE)</f>
        <v>EQ-MC</v>
      </c>
      <c r="C412" s="258">
        <v>-3.44</v>
      </c>
      <c r="D412" s="260">
        <v>2.06</v>
      </c>
      <c r="E412" s="260">
        <v>28.37</v>
      </c>
      <c r="F412" s="259">
        <v>0</v>
      </c>
      <c r="G412" s="260">
        <v>2.06</v>
      </c>
      <c r="H412" s="260">
        <v>16.920000000000002</v>
      </c>
      <c r="I412" s="260">
        <v>1.1100000000000001</v>
      </c>
      <c r="J412" s="260">
        <v>1.59</v>
      </c>
      <c r="K412" s="260">
        <v>0.96</v>
      </c>
      <c r="L412" s="260">
        <v>1.39</v>
      </c>
    </row>
    <row r="413" spans="1:12" hidden="1" x14ac:dyDescent="0.25">
      <c r="A413" s="259" t="s">
        <v>459</v>
      </c>
      <c r="B413" s="261" t="str">
        <f>VLOOKUP(A413, '[2]fund-selector'!$A$2:$F$853,6,FALSE)</f>
        <v>EQ-MLC</v>
      </c>
      <c r="C413" s="258">
        <v>-1.94</v>
      </c>
      <c r="D413" s="260">
        <v>2.02</v>
      </c>
      <c r="E413" s="260">
        <v>25.02</v>
      </c>
      <c r="F413" s="260">
        <v>20.53</v>
      </c>
      <c r="G413" s="260">
        <v>2.02</v>
      </c>
      <c r="H413" s="260">
        <v>15.61</v>
      </c>
      <c r="I413" s="260">
        <v>0.98</v>
      </c>
      <c r="J413" s="260">
        <v>1.26</v>
      </c>
      <c r="K413" s="260">
        <v>0.97</v>
      </c>
      <c r="L413" s="260">
        <v>1.1599999999999999</v>
      </c>
    </row>
    <row r="414" spans="1:12" hidden="1" x14ac:dyDescent="0.25">
      <c r="A414" s="259" t="s">
        <v>460</v>
      </c>
      <c r="B414" s="261" t="str">
        <f>VLOOKUP(A414, '[2]fund-selector'!$A$2:$F$853,6,FALSE)</f>
        <v>EQ-SC</v>
      </c>
      <c r="C414" s="258">
        <v>1.93</v>
      </c>
      <c r="D414" s="260">
        <v>1.93</v>
      </c>
      <c r="E414" s="260">
        <v>32.36</v>
      </c>
      <c r="F414" s="260">
        <v>27.99</v>
      </c>
      <c r="G414" s="260">
        <v>1.93</v>
      </c>
      <c r="H414" s="260">
        <v>17.190000000000001</v>
      </c>
      <c r="I414" s="260">
        <v>1.24</v>
      </c>
      <c r="J414" s="260">
        <v>1.55</v>
      </c>
      <c r="K414" s="260">
        <v>0.84</v>
      </c>
      <c r="L414" s="260">
        <v>6.01</v>
      </c>
    </row>
    <row r="415" spans="1:12" hidden="1" x14ac:dyDescent="0.25">
      <c r="A415" s="259" t="s">
        <v>1219</v>
      </c>
      <c r="B415" s="261" t="str">
        <f>VLOOKUP(A415, '[2]fund-selector'!$A$2:$F$853,6,FALSE)</f>
        <v>HY-AH</v>
      </c>
      <c r="C415" s="258">
        <v>-2.4</v>
      </c>
      <c r="D415" s="260">
        <v>2.2200000000000002</v>
      </c>
      <c r="E415" s="260">
        <v>25.1</v>
      </c>
      <c r="F415" s="260">
        <v>26.65</v>
      </c>
      <c r="G415" s="260">
        <v>2.2200000000000002</v>
      </c>
      <c r="H415" s="260">
        <v>12.16</v>
      </c>
      <c r="I415" s="260">
        <v>1.22</v>
      </c>
      <c r="J415" s="260">
        <v>1.87</v>
      </c>
      <c r="K415" s="260">
        <v>0.86</v>
      </c>
      <c r="L415" s="260">
        <v>6.55</v>
      </c>
    </row>
    <row r="416" spans="1:12" hidden="1" x14ac:dyDescent="0.25">
      <c r="A416" s="259" t="s">
        <v>1377</v>
      </c>
      <c r="B416" s="261" t="str">
        <f>VLOOKUP(A416, '[2]fund-selector'!$A$2:$F$853,6,FALSE)</f>
        <v>HY-AR</v>
      </c>
      <c r="C416" s="258">
        <v>6.37</v>
      </c>
      <c r="D416" s="260">
        <v>1.06</v>
      </c>
      <c r="E416" s="260">
        <v>6.4</v>
      </c>
      <c r="F416" s="260">
        <v>4.88</v>
      </c>
      <c r="G416" s="260">
        <v>1.06</v>
      </c>
      <c r="H416" s="260">
        <v>0.52</v>
      </c>
      <c r="I416" s="260">
        <v>-0.34</v>
      </c>
      <c r="J416" s="260">
        <v>-0.39</v>
      </c>
      <c r="K416" s="260">
        <v>0.48</v>
      </c>
      <c r="L416" s="260">
        <v>0.73</v>
      </c>
    </row>
    <row r="417" spans="1:12" hidden="1" x14ac:dyDescent="0.25">
      <c r="A417" s="259" t="s">
        <v>461</v>
      </c>
      <c r="B417" s="261" t="str">
        <f>VLOOKUP(A417, '[2]fund-selector'!$A$2:$F$853,6,FALSE)</f>
        <v>EQ-FLX</v>
      </c>
      <c r="C417" s="258">
        <v>-5.26</v>
      </c>
      <c r="D417" s="260">
        <v>1.77</v>
      </c>
      <c r="E417" s="260">
        <v>28.34</v>
      </c>
      <c r="F417" s="260">
        <v>26.65</v>
      </c>
      <c r="G417" s="260">
        <v>1.77</v>
      </c>
      <c r="H417" s="260">
        <v>15.55</v>
      </c>
      <c r="I417" s="260">
        <v>1.1599999999999999</v>
      </c>
      <c r="J417" s="260">
        <v>1.66</v>
      </c>
      <c r="K417" s="260">
        <v>0.98</v>
      </c>
      <c r="L417" s="260">
        <v>6.73</v>
      </c>
    </row>
    <row r="418" spans="1:12" hidden="1" x14ac:dyDescent="0.25">
      <c r="A418" s="259" t="s">
        <v>462</v>
      </c>
      <c r="B418" s="261" t="str">
        <f>VLOOKUP(A418, '[2]fund-selector'!$A$2:$F$853,6,FALSE)</f>
        <v>EQ-FLX</v>
      </c>
      <c r="C418" s="258">
        <v>-2.16</v>
      </c>
      <c r="D418" s="260">
        <v>2.37</v>
      </c>
      <c r="E418" s="260">
        <v>23.61</v>
      </c>
      <c r="F418" s="260">
        <v>20.68</v>
      </c>
      <c r="G418" s="260">
        <v>2.37</v>
      </c>
      <c r="H418" s="260">
        <v>14.92</v>
      </c>
      <c r="I418" s="260">
        <v>0.93</v>
      </c>
      <c r="J418" s="260">
        <v>1.41</v>
      </c>
      <c r="K418" s="260">
        <v>0.94</v>
      </c>
      <c r="L418" s="260">
        <v>3.02</v>
      </c>
    </row>
    <row r="419" spans="1:12" hidden="1" x14ac:dyDescent="0.25">
      <c r="A419" s="259" t="s">
        <v>463</v>
      </c>
      <c r="B419" s="261" t="str">
        <f>VLOOKUP(A419, '[2]fund-selector'!$A$2:$F$853,6,FALSE)</f>
        <v>EQ-LC</v>
      </c>
      <c r="C419" s="258">
        <v>-4.3499999999999996</v>
      </c>
      <c r="D419" s="260">
        <v>2.36</v>
      </c>
      <c r="E419" s="260">
        <v>20.48</v>
      </c>
      <c r="F419" s="260">
        <v>18.05</v>
      </c>
      <c r="G419" s="260">
        <v>2.36</v>
      </c>
      <c r="H419" s="260">
        <v>13.89</v>
      </c>
      <c r="I419" s="260">
        <v>0.78</v>
      </c>
      <c r="J419" s="260">
        <v>1.32</v>
      </c>
      <c r="K419" s="260">
        <v>0.95</v>
      </c>
      <c r="L419" s="260">
        <v>1.03</v>
      </c>
    </row>
    <row r="420" spans="1:12" hidden="1" x14ac:dyDescent="0.25">
      <c r="A420" s="259" t="s">
        <v>464</v>
      </c>
      <c r="B420" s="261" t="str">
        <f>VLOOKUP(A420, '[2]fund-selector'!$A$2:$F$853,6,FALSE)</f>
        <v>EQ-MC</v>
      </c>
      <c r="C420" s="258">
        <v>-2.59</v>
      </c>
      <c r="D420" s="260">
        <v>2.0499999999999998</v>
      </c>
      <c r="E420" s="259">
        <v>0</v>
      </c>
      <c r="F420" s="259">
        <v>0</v>
      </c>
      <c r="G420" s="260">
        <v>2.0499999999999998</v>
      </c>
      <c r="H420" s="259">
        <v>0</v>
      </c>
      <c r="I420" s="259">
        <v>0</v>
      </c>
      <c r="J420" s="259">
        <v>0</v>
      </c>
      <c r="K420" s="259">
        <v>0</v>
      </c>
      <c r="L420" s="259">
        <v>0</v>
      </c>
    </row>
    <row r="421" spans="1:12" hidden="1" x14ac:dyDescent="0.25">
      <c r="A421" s="259" t="s">
        <v>465</v>
      </c>
      <c r="B421" s="261" t="str">
        <f>VLOOKUP(A421, '[2]fund-selector'!$A$2:$F$853,6,FALSE)</f>
        <v>EQ-SC</v>
      </c>
      <c r="C421" s="258" t="s">
        <v>54</v>
      </c>
      <c r="D421" s="260">
        <v>2.27</v>
      </c>
      <c r="E421" s="259">
        <v>0</v>
      </c>
      <c r="F421" s="259">
        <v>0</v>
      </c>
      <c r="G421" s="260">
        <v>2.27</v>
      </c>
      <c r="H421" s="259">
        <v>0</v>
      </c>
      <c r="I421" s="259">
        <v>0</v>
      </c>
      <c r="J421" s="259">
        <v>0</v>
      </c>
      <c r="K421" s="259">
        <v>0</v>
      </c>
      <c r="L421" s="259">
        <v>0</v>
      </c>
    </row>
    <row r="422" spans="1:12" hidden="1" x14ac:dyDescent="0.25">
      <c r="A422" s="259" t="s">
        <v>466</v>
      </c>
      <c r="B422" s="261" t="str">
        <f>VLOOKUP(A422, '[2]fund-selector'!$A$2:$F$853,6,FALSE)</f>
        <v>HY-DAA</v>
      </c>
      <c r="C422" s="258">
        <v>7.24</v>
      </c>
      <c r="D422" s="260">
        <v>1.66</v>
      </c>
      <c r="E422" s="260">
        <v>14.48</v>
      </c>
      <c r="F422" s="260">
        <v>13.7</v>
      </c>
      <c r="G422" s="260">
        <v>1.66</v>
      </c>
      <c r="H422" s="260">
        <v>7.54</v>
      </c>
      <c r="I422" s="260">
        <v>0.82</v>
      </c>
      <c r="J422" s="260">
        <v>1.07</v>
      </c>
      <c r="K422" s="260">
        <v>0.71</v>
      </c>
      <c r="L422" s="260">
        <v>0.62</v>
      </c>
    </row>
    <row r="423" spans="1:12" hidden="1" x14ac:dyDescent="0.25">
      <c r="A423" s="259" t="s">
        <v>467</v>
      </c>
      <c r="B423" s="261" t="str">
        <f>VLOOKUP(A423, '[2]fund-selector'!$A$2:$F$853,6,FALSE)</f>
        <v>EQ-LC</v>
      </c>
      <c r="C423" s="258">
        <v>4.75</v>
      </c>
      <c r="D423" s="260">
        <v>1.73</v>
      </c>
      <c r="E423" s="260">
        <v>20.05</v>
      </c>
      <c r="F423" s="260">
        <v>21.14</v>
      </c>
      <c r="G423" s="260">
        <v>1.73</v>
      </c>
      <c r="H423" s="260">
        <v>13.04</v>
      </c>
      <c r="I423" s="260">
        <v>0.78</v>
      </c>
      <c r="J423" s="260">
        <v>1.21</v>
      </c>
      <c r="K423" s="260">
        <v>0.94</v>
      </c>
      <c r="L423" s="260">
        <v>0.53</v>
      </c>
    </row>
    <row r="424" spans="1:12" hidden="1" x14ac:dyDescent="0.25">
      <c r="A424" s="259" t="s">
        <v>468</v>
      </c>
      <c r="B424" s="261" t="str">
        <f>VLOOKUP(A424, '[2]fund-selector'!$A$2:$F$853,6,FALSE)</f>
        <v>EQ-THEMATIC</v>
      </c>
      <c r="C424" s="258">
        <v>-8.1999999999999993</v>
      </c>
      <c r="D424" s="260">
        <v>0.72</v>
      </c>
      <c r="E424" s="259">
        <v>0</v>
      </c>
      <c r="F424" s="259">
        <v>0</v>
      </c>
      <c r="G424" s="260">
        <v>0.72</v>
      </c>
      <c r="H424" s="259">
        <v>0</v>
      </c>
      <c r="I424" s="259">
        <v>0</v>
      </c>
      <c r="J424" s="259">
        <v>0</v>
      </c>
      <c r="K424" s="259">
        <v>0</v>
      </c>
      <c r="L424" s="259">
        <v>0</v>
      </c>
    </row>
    <row r="425" spans="1:12" hidden="1" x14ac:dyDescent="0.25">
      <c r="A425" s="259" t="s">
        <v>470</v>
      </c>
      <c r="B425" s="261" t="str">
        <f>VLOOKUP(A425, '[2]fund-selector'!$A$2:$F$853,6,FALSE)</f>
        <v>EQ-LC</v>
      </c>
      <c r="C425" s="258">
        <v>6.12</v>
      </c>
      <c r="D425" s="260">
        <v>0.18</v>
      </c>
      <c r="E425" s="260">
        <v>17.59</v>
      </c>
      <c r="F425" s="260">
        <v>19.670000000000002</v>
      </c>
      <c r="G425" s="260">
        <v>0.18</v>
      </c>
      <c r="H425" s="260">
        <v>12.69</v>
      </c>
      <c r="I425" s="260">
        <v>0.65</v>
      </c>
      <c r="J425" s="260">
        <v>1.08</v>
      </c>
      <c r="K425" s="260">
        <v>0.91</v>
      </c>
      <c r="L425" s="260">
        <v>-1.1499999999999999</v>
      </c>
    </row>
    <row r="426" spans="1:12" hidden="1" x14ac:dyDescent="0.25">
      <c r="A426" s="259" t="s">
        <v>471</v>
      </c>
      <c r="B426" s="261" t="str">
        <f>VLOOKUP(A426, '[2]fund-selector'!$A$2:$F$853,6,FALSE)</f>
        <v>EQ-LC</v>
      </c>
      <c r="C426" s="258" t="s">
        <v>54</v>
      </c>
      <c r="D426" s="260">
        <v>0.31</v>
      </c>
      <c r="E426" s="259">
        <v>0</v>
      </c>
      <c r="F426" s="259">
        <v>0</v>
      </c>
      <c r="G426" s="260">
        <v>0.31</v>
      </c>
      <c r="H426" s="259">
        <v>0</v>
      </c>
      <c r="I426" s="259">
        <v>0</v>
      </c>
      <c r="J426" s="259">
        <v>0</v>
      </c>
      <c r="K426" s="259">
        <v>0</v>
      </c>
      <c r="L426" s="259">
        <v>0</v>
      </c>
    </row>
    <row r="427" spans="1:12" hidden="1" x14ac:dyDescent="0.25">
      <c r="A427" s="259" t="s">
        <v>472</v>
      </c>
      <c r="B427" s="261" t="str">
        <f>VLOOKUP(A427, '[2]fund-selector'!$A$2:$F$853,6,FALSE)</f>
        <v>EQ-THEMATIC</v>
      </c>
      <c r="C427" s="258">
        <v>6.56</v>
      </c>
      <c r="D427" s="260">
        <v>1.95</v>
      </c>
      <c r="E427" s="259">
        <v>0</v>
      </c>
      <c r="F427" s="259">
        <v>0</v>
      </c>
      <c r="G427" s="260">
        <v>1.95</v>
      </c>
      <c r="H427" s="259">
        <v>0</v>
      </c>
      <c r="I427" s="259">
        <v>0</v>
      </c>
      <c r="J427" s="259">
        <v>0</v>
      </c>
      <c r="K427" s="259">
        <v>0</v>
      </c>
      <c r="L427" s="259">
        <v>0</v>
      </c>
    </row>
    <row r="428" spans="1:12" hidden="1" x14ac:dyDescent="0.25">
      <c r="A428" s="259" t="s">
        <v>1221</v>
      </c>
      <c r="B428" s="261" t="str">
        <f>VLOOKUP(A428, '[2]fund-selector'!$A$2:$F$853,6,FALSE)</f>
        <v>HY-CH</v>
      </c>
      <c r="C428" s="258">
        <v>6.19</v>
      </c>
      <c r="D428" s="260">
        <v>1.66</v>
      </c>
      <c r="E428" s="260">
        <v>12.05</v>
      </c>
      <c r="F428" s="260">
        <v>11.77</v>
      </c>
      <c r="G428" s="260">
        <v>1.66</v>
      </c>
      <c r="H428" s="260">
        <v>4.6100000000000003</v>
      </c>
      <c r="I428" s="260">
        <v>1.07</v>
      </c>
      <c r="J428" s="260">
        <v>1.51</v>
      </c>
      <c r="K428" s="260">
        <v>1.1000000000000001</v>
      </c>
      <c r="L428" s="260">
        <v>0.92</v>
      </c>
    </row>
    <row r="429" spans="1:12" hidden="1" x14ac:dyDescent="0.25">
      <c r="A429" s="259" t="s">
        <v>474</v>
      </c>
      <c r="B429" s="261" t="str">
        <f>VLOOKUP(A429, '[2]fund-selector'!$A$2:$F$853,6,FALSE)</f>
        <v>EQ-MC</v>
      </c>
      <c r="C429" s="258">
        <v>4.3099999999999996</v>
      </c>
      <c r="D429" s="260">
        <v>1.42</v>
      </c>
      <c r="E429" s="260">
        <v>26.94</v>
      </c>
      <c r="F429" s="260">
        <v>30.22</v>
      </c>
      <c r="G429" s="260">
        <v>1.42</v>
      </c>
      <c r="H429" s="260">
        <v>16.23</v>
      </c>
      <c r="I429" s="260">
        <v>1</v>
      </c>
      <c r="J429" s="260">
        <v>1.31</v>
      </c>
      <c r="K429" s="260">
        <v>0.91</v>
      </c>
      <c r="L429" s="260">
        <v>-0.12</v>
      </c>
    </row>
    <row r="430" spans="1:12" hidden="1" x14ac:dyDescent="0.25">
      <c r="A430" s="259" t="s">
        <v>1378</v>
      </c>
      <c r="B430" s="261" t="str">
        <f>VLOOKUP(A430, '[2]fund-selector'!$A$2:$F$853,6,FALSE)</f>
        <v>HY-AR</v>
      </c>
      <c r="C430" s="258">
        <v>7.08</v>
      </c>
      <c r="D430" s="260">
        <v>1.05</v>
      </c>
      <c r="E430" s="260">
        <v>7.08</v>
      </c>
      <c r="F430" s="260">
        <v>5.74</v>
      </c>
      <c r="G430" s="260">
        <v>1.05</v>
      </c>
      <c r="H430" s="260">
        <v>0.56000000000000005</v>
      </c>
      <c r="I430" s="260">
        <v>0.82</v>
      </c>
      <c r="J430" s="260">
        <v>0.92</v>
      </c>
      <c r="K430" s="260">
        <v>0.56000000000000005</v>
      </c>
      <c r="L430" s="260">
        <v>1.52</v>
      </c>
    </row>
    <row r="431" spans="1:12" hidden="1" x14ac:dyDescent="0.25">
      <c r="A431" s="259" t="s">
        <v>1222</v>
      </c>
      <c r="B431" s="261" t="str">
        <f>VLOOKUP(A431, '[2]fund-selector'!$A$2:$F$853,6,FALSE)</f>
        <v>HY-AH</v>
      </c>
      <c r="C431" s="258">
        <v>5.16</v>
      </c>
      <c r="D431" s="260">
        <v>1.76</v>
      </c>
      <c r="E431" s="260">
        <v>18.63</v>
      </c>
      <c r="F431" s="260">
        <v>21.02</v>
      </c>
      <c r="G431" s="260">
        <v>1.76</v>
      </c>
      <c r="H431" s="260">
        <v>11.01</v>
      </c>
      <c r="I431" s="260">
        <v>0.86</v>
      </c>
      <c r="J431" s="260">
        <v>1.1000000000000001</v>
      </c>
      <c r="K431" s="260">
        <v>0.88</v>
      </c>
      <c r="L431" s="260">
        <v>0.94</v>
      </c>
    </row>
    <row r="432" spans="1:12" hidden="1" x14ac:dyDescent="0.25">
      <c r="A432" s="259" t="s">
        <v>476</v>
      </c>
      <c r="B432" s="261" t="str">
        <f>VLOOKUP(A432, '[2]fund-selector'!$A$2:$F$853,6,FALSE)</f>
        <v>EQ-L&amp;MC</v>
      </c>
      <c r="C432" s="258">
        <v>0.38</v>
      </c>
      <c r="D432" s="260">
        <v>1.59</v>
      </c>
      <c r="E432" s="260">
        <v>24.2</v>
      </c>
      <c r="F432" s="260">
        <v>24.16</v>
      </c>
      <c r="G432" s="260">
        <v>1.59</v>
      </c>
      <c r="H432" s="260">
        <v>14.06</v>
      </c>
      <c r="I432" s="260">
        <v>1</v>
      </c>
      <c r="J432" s="260">
        <v>1.4</v>
      </c>
      <c r="K432" s="260">
        <v>0.93</v>
      </c>
      <c r="L432" s="260">
        <v>3.75</v>
      </c>
    </row>
    <row r="433" spans="1:12" hidden="1" x14ac:dyDescent="0.25">
      <c r="A433" s="259" t="s">
        <v>478</v>
      </c>
      <c r="B433" s="261" t="str">
        <f>VLOOKUP(A433, '[2]fund-selector'!$A$2:$F$853,6,FALSE)</f>
        <v>EQ-FLX</v>
      </c>
      <c r="C433" s="258">
        <v>4.6900000000000004</v>
      </c>
      <c r="D433" s="260">
        <v>1.46</v>
      </c>
      <c r="E433" s="260">
        <v>22.43</v>
      </c>
      <c r="F433" s="260">
        <v>21.38</v>
      </c>
      <c r="G433" s="260">
        <v>1.46</v>
      </c>
      <c r="H433" s="260">
        <v>13.86</v>
      </c>
      <c r="I433" s="260">
        <v>0.87</v>
      </c>
      <c r="J433" s="260">
        <v>1.38</v>
      </c>
      <c r="K433" s="260">
        <v>0.93</v>
      </c>
      <c r="L433" s="260">
        <v>1.31</v>
      </c>
    </row>
    <row r="434" spans="1:12" hidden="1" x14ac:dyDescent="0.25">
      <c r="A434" s="259" t="s">
        <v>479</v>
      </c>
      <c r="B434" s="261" t="str">
        <f>VLOOKUP(A434, '[2]fund-selector'!$A$2:$F$853,6,FALSE)</f>
        <v>EQ-FLX</v>
      </c>
      <c r="C434" s="258">
        <v>2.68</v>
      </c>
      <c r="D434" s="260">
        <v>1.89</v>
      </c>
      <c r="E434" s="260">
        <v>19.899999999999999</v>
      </c>
      <c r="F434" s="260">
        <v>21.34</v>
      </c>
      <c r="G434" s="260">
        <v>1.89</v>
      </c>
      <c r="H434" s="260">
        <v>13.28</v>
      </c>
      <c r="I434" s="260">
        <v>0.75</v>
      </c>
      <c r="J434" s="260">
        <v>1.1499999999999999</v>
      </c>
      <c r="K434" s="260">
        <v>0.9</v>
      </c>
      <c r="L434" s="260">
        <v>-0.33</v>
      </c>
    </row>
    <row r="435" spans="1:12" hidden="1" x14ac:dyDescent="0.25">
      <c r="A435" s="259" t="s">
        <v>480</v>
      </c>
      <c r="B435" s="261" t="str">
        <f>VLOOKUP(A435, '[2]fund-selector'!$A$2:$F$853,6,FALSE)</f>
        <v>EQ-THEMATIC</v>
      </c>
      <c r="C435" s="258">
        <v>-2.86</v>
      </c>
      <c r="D435" s="260">
        <v>1.97</v>
      </c>
      <c r="E435" s="260">
        <v>23.21</v>
      </c>
      <c r="F435" s="259">
        <v>0</v>
      </c>
      <c r="G435" s="260">
        <v>1.97</v>
      </c>
      <c r="H435" s="260">
        <v>15.85</v>
      </c>
      <c r="I435" s="260">
        <v>0.88</v>
      </c>
      <c r="J435" s="260">
        <v>1.17</v>
      </c>
      <c r="K435" s="260">
        <v>1</v>
      </c>
      <c r="L435" s="260">
        <v>2.38</v>
      </c>
    </row>
    <row r="436" spans="1:12" hidden="1" x14ac:dyDescent="0.25">
      <c r="A436" s="259" t="s">
        <v>482</v>
      </c>
      <c r="B436" s="261" t="str">
        <f>VLOOKUP(A436, '[2]fund-selector'!$A$2:$F$853,6,FALSE)</f>
        <v>EQ-L&amp;MC</v>
      </c>
      <c r="C436" s="258" t="s">
        <v>54</v>
      </c>
      <c r="D436" s="260">
        <v>0.4</v>
      </c>
      <c r="E436" s="259">
        <v>0</v>
      </c>
      <c r="F436" s="259">
        <v>0</v>
      </c>
      <c r="G436" s="260">
        <v>0.4</v>
      </c>
      <c r="H436" s="259">
        <v>0</v>
      </c>
      <c r="I436" s="259">
        <v>0</v>
      </c>
      <c r="J436" s="259">
        <v>0</v>
      </c>
      <c r="K436" s="259">
        <v>0</v>
      </c>
      <c r="L436" s="259">
        <v>0</v>
      </c>
    </row>
    <row r="437" spans="1:12" hidden="1" x14ac:dyDescent="0.25">
      <c r="A437" s="259" t="s">
        <v>483</v>
      </c>
      <c r="B437" s="261" t="str">
        <f>VLOOKUP(A437, '[2]fund-selector'!$A$2:$F$853,6,FALSE)</f>
        <v>HY-MAA</v>
      </c>
      <c r="C437" s="258">
        <v>3.57</v>
      </c>
      <c r="D437" s="260">
        <v>1.74</v>
      </c>
      <c r="E437" s="259">
        <v>0</v>
      </c>
      <c r="F437" s="259">
        <v>0</v>
      </c>
      <c r="G437" s="260">
        <v>1.74</v>
      </c>
      <c r="H437" s="259">
        <v>0</v>
      </c>
      <c r="I437" s="259">
        <v>0</v>
      </c>
      <c r="J437" s="259">
        <v>0</v>
      </c>
      <c r="K437" s="259">
        <v>0</v>
      </c>
      <c r="L437" s="259">
        <v>0</v>
      </c>
    </row>
    <row r="438" spans="1:12" hidden="1" x14ac:dyDescent="0.25">
      <c r="A438" s="259" t="s">
        <v>484</v>
      </c>
      <c r="B438" s="261" t="str">
        <f>VLOOKUP(A438, '[2]fund-selector'!$A$2:$F$853,6,FALSE)</f>
        <v>HY-MAA</v>
      </c>
      <c r="C438" s="258">
        <v>7.07</v>
      </c>
      <c r="D438" s="260">
        <v>0.99</v>
      </c>
      <c r="E438" s="260">
        <v>22.47</v>
      </c>
      <c r="F438" s="260">
        <v>21.39</v>
      </c>
      <c r="G438" s="260">
        <v>0.99</v>
      </c>
      <c r="H438" s="260">
        <v>9.16</v>
      </c>
      <c r="I438" s="260">
        <v>1.38</v>
      </c>
      <c r="J438" s="260">
        <v>1.9</v>
      </c>
      <c r="K438" s="260">
        <v>0.91</v>
      </c>
      <c r="L438" s="260">
        <v>4.5599999999999996</v>
      </c>
    </row>
    <row r="439" spans="1:12" x14ac:dyDescent="0.25">
      <c r="A439" s="296" t="s">
        <v>485</v>
      </c>
      <c r="B439" s="261" t="str">
        <f>VLOOKUP(A439, '[2]fund-selector'!$A$2:$F$853,6,FALSE)</f>
        <v>EQ-MLC</v>
      </c>
      <c r="C439" s="258">
        <v>0.67</v>
      </c>
      <c r="D439" s="260">
        <v>1.63</v>
      </c>
      <c r="E439" s="260">
        <v>29.06</v>
      </c>
      <c r="F439" s="259">
        <v>0</v>
      </c>
      <c r="G439" s="260">
        <v>1.63</v>
      </c>
      <c r="H439" s="260">
        <v>16.12</v>
      </c>
      <c r="I439" s="260">
        <v>1.1499999999999999</v>
      </c>
      <c r="J439" s="260">
        <v>1.58</v>
      </c>
      <c r="K439" s="260">
        <v>1</v>
      </c>
      <c r="L439" s="260">
        <v>4.0199999999999996</v>
      </c>
    </row>
    <row r="440" spans="1:12" hidden="1" x14ac:dyDescent="0.25">
      <c r="A440" s="259" t="s">
        <v>486</v>
      </c>
      <c r="B440" s="261" t="str">
        <f>VLOOKUP(A440, '[2]fund-selector'!$A$2:$F$853,6,FALSE)</f>
        <v>EQ-LC</v>
      </c>
      <c r="C440" s="258" t="s">
        <v>54</v>
      </c>
      <c r="D440" s="260">
        <v>0.25</v>
      </c>
      <c r="E440" s="259">
        <v>0</v>
      </c>
      <c r="F440" s="259">
        <v>0</v>
      </c>
      <c r="G440" s="260">
        <v>0.25</v>
      </c>
      <c r="H440" s="259">
        <v>0</v>
      </c>
      <c r="I440" s="259">
        <v>0</v>
      </c>
      <c r="J440" s="259">
        <v>0</v>
      </c>
      <c r="K440" s="259">
        <v>0</v>
      </c>
      <c r="L440" s="259">
        <v>0</v>
      </c>
    </row>
    <row r="441" spans="1:12" hidden="1" x14ac:dyDescent="0.25">
      <c r="A441" s="259" t="s">
        <v>487</v>
      </c>
      <c r="B441" s="261" t="str">
        <f>VLOOKUP(A441, '[2]fund-selector'!$A$2:$F$853,6,FALSE)</f>
        <v>EQ-LC</v>
      </c>
      <c r="C441" s="258" t="s">
        <v>54</v>
      </c>
      <c r="D441" s="260">
        <v>0.72</v>
      </c>
      <c r="E441" s="259">
        <v>0</v>
      </c>
      <c r="F441" s="259">
        <v>0</v>
      </c>
      <c r="G441" s="260">
        <v>0.72</v>
      </c>
      <c r="H441" s="259">
        <v>0</v>
      </c>
      <c r="I441" s="259">
        <v>0</v>
      </c>
      <c r="J441" s="259">
        <v>0</v>
      </c>
      <c r="K441" s="259">
        <v>0</v>
      </c>
      <c r="L441" s="259">
        <v>0</v>
      </c>
    </row>
    <row r="442" spans="1:12" hidden="1" x14ac:dyDescent="0.25">
      <c r="A442" s="259" t="s">
        <v>488</v>
      </c>
      <c r="B442" s="261" t="str">
        <f>VLOOKUP(A442, '[2]fund-selector'!$A$2:$F$853,6,FALSE)</f>
        <v>EQ-LC</v>
      </c>
      <c r="C442" s="258">
        <v>5.66</v>
      </c>
      <c r="D442" s="260">
        <v>0.09</v>
      </c>
      <c r="E442" s="260">
        <v>20.53</v>
      </c>
      <c r="F442" s="259">
        <v>0</v>
      </c>
      <c r="G442" s="260">
        <v>0.09</v>
      </c>
      <c r="H442" s="260">
        <v>13.86</v>
      </c>
      <c r="I442" s="260">
        <v>0.75</v>
      </c>
      <c r="J442" s="260">
        <v>1.1000000000000001</v>
      </c>
      <c r="K442" s="260">
        <v>0.95</v>
      </c>
      <c r="L442" s="260">
        <v>0.52</v>
      </c>
    </row>
    <row r="443" spans="1:12" hidden="1" x14ac:dyDescent="0.25">
      <c r="A443" s="259" t="s">
        <v>489</v>
      </c>
      <c r="B443" s="261" t="str">
        <f>VLOOKUP(A443, '[2]fund-selector'!$A$2:$F$853,6,FALSE)</f>
        <v>EQ-LC</v>
      </c>
      <c r="C443" s="258">
        <v>4.4400000000000004</v>
      </c>
      <c r="D443" s="260">
        <v>0.94</v>
      </c>
      <c r="E443" s="259">
        <v>0</v>
      </c>
      <c r="F443" s="259">
        <v>0</v>
      </c>
      <c r="G443" s="260">
        <v>0.94</v>
      </c>
      <c r="H443" s="259">
        <v>0</v>
      </c>
      <c r="I443" s="259">
        <v>0</v>
      </c>
      <c r="J443" s="259">
        <v>0</v>
      </c>
      <c r="K443" s="259">
        <v>0</v>
      </c>
      <c r="L443" s="259">
        <v>0</v>
      </c>
    </row>
    <row r="444" spans="1:12" hidden="1" x14ac:dyDescent="0.25">
      <c r="A444" s="259" t="s">
        <v>490</v>
      </c>
      <c r="B444" s="261" t="str">
        <f>VLOOKUP(A444, '[2]fund-selector'!$A$2:$F$853,6,FALSE)</f>
        <v>EQ-L&amp;MC</v>
      </c>
      <c r="C444" s="258">
        <v>-12.42</v>
      </c>
      <c r="D444" s="260">
        <v>0.79</v>
      </c>
      <c r="E444" s="259">
        <v>0</v>
      </c>
      <c r="F444" s="259">
        <v>0</v>
      </c>
      <c r="G444" s="260">
        <v>0.79</v>
      </c>
      <c r="H444" s="259">
        <v>0</v>
      </c>
      <c r="I444" s="259">
        <v>0</v>
      </c>
      <c r="J444" s="259">
        <v>0</v>
      </c>
      <c r="K444" s="259">
        <v>0</v>
      </c>
      <c r="L444" s="259">
        <v>0</v>
      </c>
    </row>
    <row r="445" spans="1:12" hidden="1" x14ac:dyDescent="0.25">
      <c r="A445" s="259" t="s">
        <v>1379</v>
      </c>
      <c r="B445" s="261" t="str">
        <f>VLOOKUP(A445, '[2]fund-selector'!$A$2:$F$853,6,FALSE)</f>
        <v>EQ-L&amp;MC</v>
      </c>
      <c r="C445" s="258" t="s">
        <v>54</v>
      </c>
      <c r="D445" s="259">
        <v>0</v>
      </c>
      <c r="E445" s="259">
        <v>0</v>
      </c>
      <c r="F445" s="259">
        <v>0</v>
      </c>
      <c r="G445" s="259">
        <v>0</v>
      </c>
      <c r="H445" s="259">
        <v>0</v>
      </c>
      <c r="I445" s="259">
        <v>0</v>
      </c>
      <c r="J445" s="259">
        <v>0</v>
      </c>
      <c r="K445" s="259">
        <v>0</v>
      </c>
      <c r="L445" s="259">
        <v>0</v>
      </c>
    </row>
    <row r="446" spans="1:12" hidden="1" x14ac:dyDescent="0.25">
      <c r="A446" s="259" t="s">
        <v>1380</v>
      </c>
      <c r="B446" s="261" t="str">
        <f>VLOOKUP(A446, '[2]fund-selector'!$A$2:$F$853,6,FALSE)</f>
        <v>EQ-L&amp;MC</v>
      </c>
      <c r="C446" s="258" t="s">
        <v>54</v>
      </c>
      <c r="D446" s="259">
        <v>0</v>
      </c>
      <c r="E446" s="259">
        <v>0</v>
      </c>
      <c r="F446" s="259">
        <v>0</v>
      </c>
      <c r="G446" s="259">
        <v>0</v>
      </c>
      <c r="H446" s="259">
        <v>0</v>
      </c>
      <c r="I446" s="259">
        <v>0</v>
      </c>
      <c r="J446" s="259">
        <v>0</v>
      </c>
      <c r="K446" s="259">
        <v>0</v>
      </c>
      <c r="L446" s="259">
        <v>0</v>
      </c>
    </row>
    <row r="447" spans="1:12" hidden="1" x14ac:dyDescent="0.25">
      <c r="A447" s="259" t="s">
        <v>491</v>
      </c>
      <c r="B447" s="261" t="str">
        <f>VLOOKUP(A447, '[2]fund-selector'!$A$2:$F$853,6,FALSE)</f>
        <v>EQ-LC</v>
      </c>
      <c r="C447" s="258" t="s">
        <v>54</v>
      </c>
      <c r="D447" s="260">
        <v>0.72</v>
      </c>
      <c r="E447" s="259">
        <v>0</v>
      </c>
      <c r="F447" s="259">
        <v>0</v>
      </c>
      <c r="G447" s="260">
        <v>0.72</v>
      </c>
      <c r="H447" s="259">
        <v>0</v>
      </c>
      <c r="I447" s="259">
        <v>0</v>
      </c>
      <c r="J447" s="259">
        <v>0</v>
      </c>
      <c r="K447" s="259">
        <v>0</v>
      </c>
      <c r="L447" s="259">
        <v>0</v>
      </c>
    </row>
    <row r="448" spans="1:12" hidden="1" x14ac:dyDescent="0.25">
      <c r="A448" s="259" t="s">
        <v>492</v>
      </c>
      <c r="B448" s="261" t="str">
        <f>VLOOKUP(A448, '[2]fund-selector'!$A$2:$F$853,6,FALSE)</f>
        <v>EQ-LC</v>
      </c>
      <c r="C448" s="258">
        <v>6.49</v>
      </c>
      <c r="D448" s="260">
        <v>0.04</v>
      </c>
      <c r="E448" s="260">
        <v>18.579999999999998</v>
      </c>
      <c r="F448" s="260">
        <v>20.56</v>
      </c>
      <c r="G448" s="260">
        <v>0.04</v>
      </c>
      <c r="H448" s="260">
        <v>13.13</v>
      </c>
      <c r="I448" s="260">
        <v>0.68</v>
      </c>
      <c r="J448" s="260">
        <v>1.17</v>
      </c>
      <c r="K448" s="260">
        <v>0.95</v>
      </c>
      <c r="L448" s="260">
        <v>-0.78</v>
      </c>
    </row>
    <row r="449" spans="1:12" hidden="1" x14ac:dyDescent="0.25">
      <c r="A449" s="259" t="s">
        <v>493</v>
      </c>
      <c r="B449" s="261" t="str">
        <f>VLOOKUP(A449, '[2]fund-selector'!$A$2:$F$853,6,FALSE)</f>
        <v>EQ-LC</v>
      </c>
      <c r="C449" s="258">
        <v>5.85</v>
      </c>
      <c r="D449" s="260">
        <v>0.35</v>
      </c>
      <c r="E449" s="260">
        <v>17.91</v>
      </c>
      <c r="F449" s="259">
        <v>0</v>
      </c>
      <c r="G449" s="260">
        <v>0.35</v>
      </c>
      <c r="H449" s="260">
        <v>13.11</v>
      </c>
      <c r="I449" s="260">
        <v>0.64</v>
      </c>
      <c r="J449" s="260">
        <v>1.1000000000000001</v>
      </c>
      <c r="K449" s="260">
        <v>0.95</v>
      </c>
      <c r="L449" s="260">
        <v>-1.34</v>
      </c>
    </row>
    <row r="450" spans="1:12" hidden="1" x14ac:dyDescent="0.25">
      <c r="A450" s="259" t="s">
        <v>494</v>
      </c>
      <c r="B450" s="261" t="str">
        <f>VLOOKUP(A450, '[2]fund-selector'!$A$2:$F$853,6,FALSE)</f>
        <v>EQ-FLX</v>
      </c>
      <c r="C450" s="258">
        <v>-7.96</v>
      </c>
      <c r="D450" s="260">
        <v>0.3</v>
      </c>
      <c r="E450" s="260">
        <v>24.35</v>
      </c>
      <c r="F450" s="259">
        <v>0</v>
      </c>
      <c r="G450" s="260">
        <v>0.3</v>
      </c>
      <c r="H450" s="260">
        <v>23.27</v>
      </c>
      <c r="I450" s="260">
        <v>0.59</v>
      </c>
      <c r="J450" s="260">
        <v>0.74</v>
      </c>
      <c r="K450" s="260">
        <v>1.4</v>
      </c>
      <c r="L450" s="260">
        <v>-2.5099999999999998</v>
      </c>
    </row>
    <row r="451" spans="1:12" hidden="1" x14ac:dyDescent="0.25">
      <c r="A451" s="259" t="s">
        <v>495</v>
      </c>
      <c r="B451" s="261" t="str">
        <f>VLOOKUP(A451, '[2]fund-selector'!$A$2:$F$853,6,FALSE)</f>
        <v>EQ-THEMATIC</v>
      </c>
      <c r="C451" s="258" t="s">
        <v>54</v>
      </c>
      <c r="D451" s="260">
        <v>0.48</v>
      </c>
      <c r="E451" s="259">
        <v>0</v>
      </c>
      <c r="F451" s="259">
        <v>0</v>
      </c>
      <c r="G451" s="260">
        <v>0.48</v>
      </c>
      <c r="H451" s="259">
        <v>0</v>
      </c>
      <c r="I451" s="259">
        <v>0</v>
      </c>
      <c r="J451" s="259">
        <v>0</v>
      </c>
      <c r="K451" s="259">
        <v>0</v>
      </c>
      <c r="L451" s="259">
        <v>0</v>
      </c>
    </row>
    <row r="452" spans="1:12" hidden="1" x14ac:dyDescent="0.25">
      <c r="A452" s="259" t="s">
        <v>497</v>
      </c>
      <c r="B452" s="261" t="str">
        <f>VLOOKUP(A452, '[2]fund-selector'!$A$2:$F$853,6,FALSE)</f>
        <v>EQ-THEMATIC</v>
      </c>
      <c r="C452" s="258" t="s">
        <v>54</v>
      </c>
      <c r="D452" s="260">
        <v>0.96</v>
      </c>
      <c r="E452" s="259">
        <v>0</v>
      </c>
      <c r="F452" s="259">
        <v>0</v>
      </c>
      <c r="G452" s="260">
        <v>0.96</v>
      </c>
      <c r="H452" s="259">
        <v>0</v>
      </c>
      <c r="I452" s="259">
        <v>0</v>
      </c>
      <c r="J452" s="259">
        <v>0</v>
      </c>
      <c r="K452" s="259">
        <v>0</v>
      </c>
      <c r="L452" s="259">
        <v>0</v>
      </c>
    </row>
    <row r="453" spans="1:12" hidden="1" x14ac:dyDescent="0.25">
      <c r="A453" s="259" t="s">
        <v>498</v>
      </c>
      <c r="B453" s="261" t="str">
        <f>VLOOKUP(A453, '[2]fund-selector'!$A$2:$F$853,6,FALSE)</f>
        <v>EQ-MC</v>
      </c>
      <c r="C453" s="258" t="s">
        <v>54</v>
      </c>
      <c r="D453" s="260">
        <v>0.1</v>
      </c>
      <c r="E453" s="259">
        <v>0</v>
      </c>
      <c r="F453" s="259">
        <v>0</v>
      </c>
      <c r="G453" s="260">
        <v>0.1</v>
      </c>
      <c r="H453" s="259">
        <v>0</v>
      </c>
      <c r="I453" s="259">
        <v>0</v>
      </c>
      <c r="J453" s="259">
        <v>0</v>
      </c>
      <c r="K453" s="259">
        <v>0</v>
      </c>
      <c r="L453" s="259">
        <v>0</v>
      </c>
    </row>
    <row r="454" spans="1:12" hidden="1" x14ac:dyDescent="0.25">
      <c r="A454" s="259" t="s">
        <v>499</v>
      </c>
      <c r="B454" s="261" t="str">
        <f>VLOOKUP(A454, '[2]fund-selector'!$A$2:$F$853,6,FALSE)</f>
        <v>EQ-MC</v>
      </c>
      <c r="C454" s="258" t="s">
        <v>54</v>
      </c>
      <c r="D454" s="260">
        <v>0.78</v>
      </c>
      <c r="E454" s="259">
        <v>0</v>
      </c>
      <c r="F454" s="259">
        <v>0</v>
      </c>
      <c r="G454" s="260">
        <v>0.78</v>
      </c>
      <c r="H454" s="259">
        <v>0</v>
      </c>
      <c r="I454" s="259">
        <v>0</v>
      </c>
      <c r="J454" s="259">
        <v>0</v>
      </c>
      <c r="K454" s="259">
        <v>0</v>
      </c>
      <c r="L454" s="259">
        <v>0</v>
      </c>
    </row>
    <row r="455" spans="1:12" hidden="1" x14ac:dyDescent="0.25">
      <c r="A455" s="259" t="s">
        <v>500</v>
      </c>
      <c r="B455" s="261" t="str">
        <f>VLOOKUP(A455, '[2]fund-selector'!$A$2:$F$853,6,FALSE)</f>
        <v>EQ-MC</v>
      </c>
      <c r="C455" s="258" t="s">
        <v>54</v>
      </c>
      <c r="D455" s="260">
        <v>0.93</v>
      </c>
      <c r="E455" s="259">
        <v>0</v>
      </c>
      <c r="F455" s="259">
        <v>0</v>
      </c>
      <c r="G455" s="260">
        <v>0.93</v>
      </c>
      <c r="H455" s="259">
        <v>0</v>
      </c>
      <c r="I455" s="259">
        <v>0</v>
      </c>
      <c r="J455" s="259">
        <v>0</v>
      </c>
      <c r="K455" s="259">
        <v>0</v>
      </c>
      <c r="L455" s="259">
        <v>0</v>
      </c>
    </row>
    <row r="456" spans="1:12" hidden="1" x14ac:dyDescent="0.25">
      <c r="A456" s="259" t="s">
        <v>501</v>
      </c>
      <c r="B456" s="261" t="str">
        <f>VLOOKUP(A456, '[2]fund-selector'!$A$2:$F$853,6,FALSE)</f>
        <v>EQ-MC</v>
      </c>
      <c r="C456" s="258">
        <v>4.5599999999999996</v>
      </c>
      <c r="D456" s="260">
        <v>0.05</v>
      </c>
      <c r="E456" s="260">
        <v>31.4</v>
      </c>
      <c r="F456" s="259">
        <v>0</v>
      </c>
      <c r="G456" s="260">
        <v>0.05</v>
      </c>
      <c r="H456" s="260">
        <v>17.7</v>
      </c>
      <c r="I456" s="260">
        <v>1.1299999999999999</v>
      </c>
      <c r="J456" s="260">
        <v>1.6</v>
      </c>
      <c r="K456" s="260">
        <v>1.02</v>
      </c>
      <c r="L456" s="260">
        <v>1.41</v>
      </c>
    </row>
    <row r="457" spans="1:12" hidden="1" x14ac:dyDescent="0.25">
      <c r="A457" s="259" t="s">
        <v>502</v>
      </c>
      <c r="B457" s="261" t="str">
        <f>VLOOKUP(A457, '[2]fund-selector'!$A$2:$F$853,6,FALSE)</f>
        <v>EQ-MC</v>
      </c>
      <c r="C457" s="258" t="s">
        <v>54</v>
      </c>
      <c r="D457" s="260">
        <v>0.86</v>
      </c>
      <c r="E457" s="259">
        <v>0</v>
      </c>
      <c r="F457" s="259">
        <v>0</v>
      </c>
      <c r="G457" s="260">
        <v>0.86</v>
      </c>
      <c r="H457" s="259">
        <v>0</v>
      </c>
      <c r="I457" s="259">
        <v>0</v>
      </c>
      <c r="J457" s="259">
        <v>0</v>
      </c>
      <c r="K457" s="259">
        <v>0</v>
      </c>
      <c r="L457" s="259">
        <v>0</v>
      </c>
    </row>
    <row r="458" spans="1:12" hidden="1" x14ac:dyDescent="0.25">
      <c r="A458" s="259" t="s">
        <v>504</v>
      </c>
      <c r="B458" s="261" t="str">
        <f>VLOOKUP(A458, '[2]fund-selector'!$A$2:$F$853,6,FALSE)</f>
        <v>EQ-LC</v>
      </c>
      <c r="C458" s="258">
        <v>-7.89</v>
      </c>
      <c r="D458" s="260">
        <v>0.56999999999999995</v>
      </c>
      <c r="E458" s="260">
        <v>22.54</v>
      </c>
      <c r="F458" s="259">
        <v>0</v>
      </c>
      <c r="G458" s="260">
        <v>0.56999999999999995</v>
      </c>
      <c r="H458" s="260">
        <v>19.43</v>
      </c>
      <c r="I458" s="260">
        <v>0.7</v>
      </c>
      <c r="J458" s="260">
        <v>1.04</v>
      </c>
      <c r="K458" s="260">
        <v>1.29</v>
      </c>
      <c r="L458" s="260">
        <v>0.31</v>
      </c>
    </row>
    <row r="459" spans="1:12" hidden="1" x14ac:dyDescent="0.25">
      <c r="A459" s="259" t="s">
        <v>505</v>
      </c>
      <c r="B459" s="261" t="str">
        <f>VLOOKUP(A459, '[2]fund-selector'!$A$2:$F$853,6,FALSE)</f>
        <v>EQ-SC</v>
      </c>
      <c r="C459" s="258" t="s">
        <v>54</v>
      </c>
      <c r="D459" s="260">
        <v>0.73</v>
      </c>
      <c r="E459" s="259">
        <v>0</v>
      </c>
      <c r="F459" s="259">
        <v>0</v>
      </c>
      <c r="G459" s="260">
        <v>0.73</v>
      </c>
      <c r="H459" s="259">
        <v>0</v>
      </c>
      <c r="I459" s="259">
        <v>0</v>
      </c>
      <c r="J459" s="259">
        <v>0</v>
      </c>
      <c r="K459" s="259">
        <v>0</v>
      </c>
      <c r="L459" s="259">
        <v>0</v>
      </c>
    </row>
    <row r="460" spans="1:12" hidden="1" x14ac:dyDescent="0.25">
      <c r="A460" s="259" t="s">
        <v>506</v>
      </c>
      <c r="B460" s="261" t="str">
        <f>VLOOKUP(A460, '[2]fund-selector'!$A$2:$F$853,6,FALSE)</f>
        <v>EQ-SC</v>
      </c>
      <c r="C460" s="258">
        <v>1.78</v>
      </c>
      <c r="D460" s="260">
        <v>0.9</v>
      </c>
      <c r="E460" s="259">
        <v>0</v>
      </c>
      <c r="F460" s="259">
        <v>0</v>
      </c>
      <c r="G460" s="260">
        <v>0.9</v>
      </c>
      <c r="H460" s="259">
        <v>0</v>
      </c>
      <c r="I460" s="259">
        <v>0</v>
      </c>
      <c r="J460" s="259">
        <v>0</v>
      </c>
      <c r="K460" s="259">
        <v>0</v>
      </c>
      <c r="L460" s="259">
        <v>0</v>
      </c>
    </row>
    <row r="461" spans="1:12" hidden="1" x14ac:dyDescent="0.25">
      <c r="A461" s="259" t="s">
        <v>507</v>
      </c>
      <c r="B461" s="261" t="str">
        <f>VLOOKUP(A461, '[2]fund-selector'!$A$2:$F$853,6,FALSE)</f>
        <v>EQ-LC</v>
      </c>
      <c r="C461" s="258" t="s">
        <v>54</v>
      </c>
      <c r="D461" s="260">
        <v>0.92</v>
      </c>
      <c r="E461" s="259">
        <v>0</v>
      </c>
      <c r="F461" s="259">
        <v>0</v>
      </c>
      <c r="G461" s="260">
        <v>0.92</v>
      </c>
      <c r="H461" s="259">
        <v>0</v>
      </c>
      <c r="I461" s="259">
        <v>0</v>
      </c>
      <c r="J461" s="259">
        <v>0</v>
      </c>
      <c r="K461" s="259">
        <v>0</v>
      </c>
      <c r="L461" s="259">
        <v>0</v>
      </c>
    </row>
    <row r="462" spans="1:12" hidden="1" x14ac:dyDescent="0.25">
      <c r="A462" s="259" t="s">
        <v>508</v>
      </c>
      <c r="B462" s="261" t="str">
        <f>VLOOKUP(A462, '[2]fund-selector'!$A$2:$F$853,6,FALSE)</f>
        <v>EQ-THEMATIC</v>
      </c>
      <c r="C462" s="258">
        <v>5.01</v>
      </c>
      <c r="D462" s="260">
        <v>1.88</v>
      </c>
      <c r="E462" s="260">
        <v>25.04</v>
      </c>
      <c r="F462" s="260">
        <v>25.7</v>
      </c>
      <c r="G462" s="260">
        <v>1.88</v>
      </c>
      <c r="H462" s="260">
        <v>14.37</v>
      </c>
      <c r="I462" s="260">
        <v>1</v>
      </c>
      <c r="J462" s="260">
        <v>1.26</v>
      </c>
      <c r="K462" s="260">
        <v>0.88</v>
      </c>
      <c r="L462" s="260">
        <v>4.1900000000000004</v>
      </c>
    </row>
    <row r="463" spans="1:12" hidden="1" x14ac:dyDescent="0.25">
      <c r="A463" s="259" t="s">
        <v>509</v>
      </c>
      <c r="B463" s="261" t="str">
        <f>VLOOKUP(A463, '[2]fund-selector'!$A$2:$F$853,6,FALSE)</f>
        <v>EQ-THEMATIC</v>
      </c>
      <c r="C463" s="258">
        <v>-6.81</v>
      </c>
      <c r="D463" s="260">
        <v>1.66</v>
      </c>
      <c r="E463" s="259">
        <v>0</v>
      </c>
      <c r="F463" s="259">
        <v>0</v>
      </c>
      <c r="G463" s="260">
        <v>1.66</v>
      </c>
      <c r="H463" s="259">
        <v>0</v>
      </c>
      <c r="I463" s="259">
        <v>0</v>
      </c>
      <c r="J463" s="259">
        <v>0</v>
      </c>
      <c r="K463" s="259">
        <v>0</v>
      </c>
      <c r="L463" s="259">
        <v>0</v>
      </c>
    </row>
    <row r="464" spans="1:12" hidden="1" x14ac:dyDescent="0.25">
      <c r="A464" s="259" t="s">
        <v>510</v>
      </c>
      <c r="B464" s="261" t="str">
        <f>VLOOKUP(A464, '[2]fund-selector'!$A$2:$F$853,6,FALSE)</f>
        <v>EQ-SC</v>
      </c>
      <c r="C464" s="258">
        <v>-1.57</v>
      </c>
      <c r="D464" s="260">
        <v>1.66</v>
      </c>
      <c r="E464" s="260">
        <v>21.45</v>
      </c>
      <c r="F464" s="260">
        <v>32.299999999999997</v>
      </c>
      <c r="G464" s="260">
        <v>1.66</v>
      </c>
      <c r="H464" s="260">
        <v>17.11</v>
      </c>
      <c r="I464" s="260">
        <v>0.73</v>
      </c>
      <c r="J464" s="260">
        <v>1.06</v>
      </c>
      <c r="K464" s="260">
        <v>0.83</v>
      </c>
      <c r="L464" s="260">
        <v>-2.64</v>
      </c>
    </row>
    <row r="465" spans="1:12" hidden="1" x14ac:dyDescent="0.25">
      <c r="A465" s="259" t="s">
        <v>511</v>
      </c>
      <c r="B465" s="261" t="str">
        <f>VLOOKUP(A465, '[2]fund-selector'!$A$2:$F$853,6,FALSE)</f>
        <v>EQ-THEMATIC</v>
      </c>
      <c r="C465" s="258" t="s">
        <v>54</v>
      </c>
      <c r="D465" s="260">
        <v>2.02</v>
      </c>
      <c r="E465" s="259">
        <v>0</v>
      </c>
      <c r="F465" s="259">
        <v>0</v>
      </c>
      <c r="G465" s="260">
        <v>2.02</v>
      </c>
      <c r="H465" s="259">
        <v>0</v>
      </c>
      <c r="I465" s="259">
        <v>0</v>
      </c>
      <c r="J465" s="259">
        <v>0</v>
      </c>
      <c r="K465" s="259">
        <v>0</v>
      </c>
      <c r="L465" s="259">
        <v>0</v>
      </c>
    </row>
    <row r="466" spans="1:12" hidden="1" x14ac:dyDescent="0.25">
      <c r="A466" s="259" t="s">
        <v>512</v>
      </c>
      <c r="B466" s="261" t="str">
        <f>VLOOKUP(A466, '[2]fund-selector'!$A$2:$F$853,6,FALSE)</f>
        <v>EQ-THEMATIC</v>
      </c>
      <c r="C466" s="258" t="s">
        <v>54</v>
      </c>
      <c r="D466" s="260">
        <v>2.41</v>
      </c>
      <c r="E466" s="259">
        <v>0</v>
      </c>
      <c r="F466" s="259">
        <v>0</v>
      </c>
      <c r="G466" s="260">
        <v>2.41</v>
      </c>
      <c r="H466" s="259">
        <v>0</v>
      </c>
      <c r="I466" s="259">
        <v>0</v>
      </c>
      <c r="J466" s="259">
        <v>0</v>
      </c>
      <c r="K466" s="259">
        <v>0</v>
      </c>
      <c r="L466" s="259">
        <v>0</v>
      </c>
    </row>
    <row r="467" spans="1:12" hidden="1" x14ac:dyDescent="0.25">
      <c r="A467" s="259" t="s">
        <v>1223</v>
      </c>
      <c r="B467" s="261" t="str">
        <f>VLOOKUP(A467, '[2]fund-selector'!$A$2:$F$853,6,FALSE)</f>
        <v>HY-AH</v>
      </c>
      <c r="C467" s="258">
        <v>4.6399999999999997</v>
      </c>
      <c r="D467" s="260">
        <v>2.48</v>
      </c>
      <c r="E467" s="260">
        <v>16.93</v>
      </c>
      <c r="F467" s="260">
        <v>15.24</v>
      </c>
      <c r="G467" s="260">
        <v>2.48</v>
      </c>
      <c r="H467" s="260">
        <v>11.01</v>
      </c>
      <c r="I467" s="260">
        <v>0.73</v>
      </c>
      <c r="J467" s="260">
        <v>1.0900000000000001</v>
      </c>
      <c r="K467" s="260">
        <v>0.89</v>
      </c>
      <c r="L467" s="260">
        <v>-0.56999999999999995</v>
      </c>
    </row>
    <row r="468" spans="1:12" hidden="1" x14ac:dyDescent="0.25">
      <c r="A468" s="259" t="s">
        <v>1381</v>
      </c>
      <c r="B468" s="261" t="str">
        <f>VLOOKUP(A468, '[2]fund-selector'!$A$2:$F$853,6,FALSE)</f>
        <v>HY-AR</v>
      </c>
      <c r="C468" s="258">
        <v>6.66</v>
      </c>
      <c r="D468" s="260">
        <v>0.99</v>
      </c>
      <c r="E468" s="260">
        <v>6.45</v>
      </c>
      <c r="F468" s="260">
        <v>5.09</v>
      </c>
      <c r="G468" s="260">
        <v>0.99</v>
      </c>
      <c r="H468" s="260">
        <v>0.52</v>
      </c>
      <c r="I468" s="260">
        <v>-0.2</v>
      </c>
      <c r="J468" s="260">
        <v>-0.19</v>
      </c>
      <c r="K468" s="260">
        <v>0.6</v>
      </c>
      <c r="L468" s="260">
        <v>1.03</v>
      </c>
    </row>
    <row r="469" spans="1:12" hidden="1" x14ac:dyDescent="0.25">
      <c r="A469" s="259" t="s">
        <v>513</v>
      </c>
      <c r="B469" s="261" t="str">
        <f>VLOOKUP(A469, '[2]fund-selector'!$A$2:$F$853,6,FALSE)</f>
        <v>HY-DAA</v>
      </c>
      <c r="C469" s="258">
        <v>8.8000000000000007</v>
      </c>
      <c r="D469" s="260">
        <v>2.27</v>
      </c>
      <c r="E469" s="260">
        <v>13.35</v>
      </c>
      <c r="F469" s="259">
        <v>0</v>
      </c>
      <c r="G469" s="260">
        <v>2.27</v>
      </c>
      <c r="H469" s="260">
        <v>8.0500000000000007</v>
      </c>
      <c r="I469" s="260">
        <v>0.66</v>
      </c>
      <c r="J469" s="260">
        <v>1.02</v>
      </c>
      <c r="K469" s="260">
        <v>0.74</v>
      </c>
      <c r="L469" s="260">
        <v>-0.5</v>
      </c>
    </row>
    <row r="470" spans="1:12" hidden="1" x14ac:dyDescent="0.25">
      <c r="A470" s="259" t="s">
        <v>514</v>
      </c>
      <c r="B470" s="261" t="str">
        <f>VLOOKUP(A470, '[2]fund-selector'!$A$2:$F$853,6,FALSE)</f>
        <v>EQ-LC</v>
      </c>
      <c r="C470" s="258">
        <v>6.21</v>
      </c>
      <c r="D470" s="260">
        <v>0.1</v>
      </c>
      <c r="E470" s="260">
        <v>17.78</v>
      </c>
      <c r="F470" s="260">
        <v>19.850000000000001</v>
      </c>
      <c r="G470" s="260">
        <v>0.1</v>
      </c>
      <c r="H470" s="260">
        <v>12.7</v>
      </c>
      <c r="I470" s="260">
        <v>0.66</v>
      </c>
      <c r="J470" s="260">
        <v>1.1000000000000001</v>
      </c>
      <c r="K470" s="260">
        <v>0.91</v>
      </c>
      <c r="L470" s="260">
        <v>-0.99</v>
      </c>
    </row>
    <row r="471" spans="1:12" hidden="1" x14ac:dyDescent="0.25">
      <c r="A471" s="259" t="s">
        <v>515</v>
      </c>
      <c r="B471" s="261" t="str">
        <f>VLOOKUP(A471, '[2]fund-selector'!$A$2:$F$853,6,FALSE)</f>
        <v>EQ-LC</v>
      </c>
      <c r="C471" s="258">
        <v>5.17</v>
      </c>
      <c r="D471" s="260">
        <v>1.08</v>
      </c>
      <c r="E471" s="260">
        <v>16.64</v>
      </c>
      <c r="F471" s="260">
        <v>18.64</v>
      </c>
      <c r="G471" s="260">
        <v>1.08</v>
      </c>
      <c r="H471" s="260">
        <v>12.66</v>
      </c>
      <c r="I471" s="260">
        <v>0.59</v>
      </c>
      <c r="J471" s="260">
        <v>0.97</v>
      </c>
      <c r="K471" s="260">
        <v>0.91</v>
      </c>
      <c r="L471" s="260">
        <v>-1.94</v>
      </c>
    </row>
    <row r="472" spans="1:12" hidden="1" x14ac:dyDescent="0.25">
      <c r="A472" s="259" t="s">
        <v>516</v>
      </c>
      <c r="B472" s="261" t="str">
        <f>VLOOKUP(A472, '[2]fund-selector'!$A$2:$F$853,6,FALSE)</f>
        <v>EQ-FLX</v>
      </c>
      <c r="C472" s="258">
        <v>-2.2000000000000002</v>
      </c>
      <c r="D472" s="260">
        <v>2.4500000000000002</v>
      </c>
      <c r="E472" s="260">
        <v>14.67</v>
      </c>
      <c r="F472" s="260">
        <v>14.48</v>
      </c>
      <c r="G472" s="260">
        <v>2.4500000000000002</v>
      </c>
      <c r="H472" s="260">
        <v>13.96</v>
      </c>
      <c r="I472" s="260">
        <v>0.45</v>
      </c>
      <c r="J472" s="260">
        <v>0.54</v>
      </c>
      <c r="K472" s="260">
        <v>0.88</v>
      </c>
      <c r="L472" s="260">
        <v>-3.89</v>
      </c>
    </row>
    <row r="473" spans="1:12" hidden="1" x14ac:dyDescent="0.25">
      <c r="A473" s="259" t="s">
        <v>1224</v>
      </c>
      <c r="B473" s="261" t="str">
        <f>VLOOKUP(A473, '[2]fund-selector'!$A$2:$F$853,6,FALSE)</f>
        <v>HY-CH</v>
      </c>
      <c r="C473" s="258">
        <v>7.08</v>
      </c>
      <c r="D473" s="260">
        <v>2.25</v>
      </c>
      <c r="E473" s="260">
        <v>7.93</v>
      </c>
      <c r="F473" s="260">
        <v>6.92</v>
      </c>
      <c r="G473" s="260">
        <v>2.25</v>
      </c>
      <c r="H473" s="260">
        <v>3.54</v>
      </c>
      <c r="I473" s="260">
        <v>0.26</v>
      </c>
      <c r="J473" s="260">
        <v>0.4</v>
      </c>
      <c r="K473" s="260">
        <v>0.83</v>
      </c>
      <c r="L473" s="260">
        <v>-2.16</v>
      </c>
    </row>
    <row r="474" spans="1:12" hidden="1" x14ac:dyDescent="0.25">
      <c r="A474" s="259" t="s">
        <v>518</v>
      </c>
      <c r="B474" s="261" t="str">
        <f>VLOOKUP(A474, '[2]fund-selector'!$A$2:$F$853,6,FALSE)</f>
        <v>EQ-FLX</v>
      </c>
      <c r="C474" s="258">
        <v>-4.63</v>
      </c>
      <c r="D474" s="260">
        <v>2.2799999999999998</v>
      </c>
      <c r="E474" s="260">
        <v>17.52</v>
      </c>
      <c r="F474" s="260">
        <v>18.149999999999999</v>
      </c>
      <c r="G474" s="260">
        <v>2.2799999999999998</v>
      </c>
      <c r="H474" s="260">
        <v>15.52</v>
      </c>
      <c r="I474" s="260">
        <v>0.52</v>
      </c>
      <c r="J474" s="260">
        <v>0.68</v>
      </c>
      <c r="K474" s="260">
        <v>1.01</v>
      </c>
      <c r="L474" s="260">
        <v>-3.62</v>
      </c>
    </row>
    <row r="475" spans="1:12" hidden="1" x14ac:dyDescent="0.25">
      <c r="A475" s="259" t="s">
        <v>519</v>
      </c>
      <c r="B475" s="261" t="str">
        <f>VLOOKUP(A475, '[2]fund-selector'!$A$2:$F$853,6,FALSE)</f>
        <v>EQ-FLX</v>
      </c>
      <c r="C475" s="258">
        <v>4.5599999999999996</v>
      </c>
      <c r="D475" s="260">
        <v>2.52</v>
      </c>
      <c r="E475" s="260">
        <v>17.55</v>
      </c>
      <c r="F475" s="260">
        <v>18.78</v>
      </c>
      <c r="G475" s="260">
        <v>2.52</v>
      </c>
      <c r="H475" s="260">
        <v>14.48</v>
      </c>
      <c r="I475" s="260">
        <v>0.57999999999999996</v>
      </c>
      <c r="J475" s="260">
        <v>0.84</v>
      </c>
      <c r="K475" s="260">
        <v>0.94</v>
      </c>
      <c r="L475" s="260">
        <v>-2.5099999999999998</v>
      </c>
    </row>
    <row r="476" spans="1:12" hidden="1" x14ac:dyDescent="0.25">
      <c r="A476" s="259" t="s">
        <v>520</v>
      </c>
      <c r="B476" s="261" t="str">
        <f>VLOOKUP(A476, '[2]fund-selector'!$A$2:$F$853,6,FALSE)</f>
        <v>EQ-LC</v>
      </c>
      <c r="C476" s="258">
        <v>4.24</v>
      </c>
      <c r="D476" s="260">
        <v>2.12</v>
      </c>
      <c r="E476" s="260">
        <v>17.62</v>
      </c>
      <c r="F476" s="260">
        <v>18.84</v>
      </c>
      <c r="G476" s="260">
        <v>2.12</v>
      </c>
      <c r="H476" s="260">
        <v>14.26</v>
      </c>
      <c r="I476" s="260">
        <v>0.57999999999999996</v>
      </c>
      <c r="J476" s="260">
        <v>0.88</v>
      </c>
      <c r="K476" s="260">
        <v>1.02</v>
      </c>
      <c r="L476" s="260">
        <v>-2.31</v>
      </c>
    </row>
    <row r="477" spans="1:12" hidden="1" x14ac:dyDescent="0.25">
      <c r="A477" s="259" t="s">
        <v>521</v>
      </c>
      <c r="B477" s="261" t="str">
        <f>VLOOKUP(A477, '[2]fund-selector'!$A$2:$F$853,6,FALSE)</f>
        <v>EQ-L&amp;MC</v>
      </c>
      <c r="C477" s="258">
        <v>2.67</v>
      </c>
      <c r="D477" s="260">
        <v>1.91</v>
      </c>
      <c r="E477" s="260">
        <v>21.53</v>
      </c>
      <c r="F477" s="260">
        <v>22.93</v>
      </c>
      <c r="G477" s="260">
        <v>1.91</v>
      </c>
      <c r="H477" s="260">
        <v>15.78</v>
      </c>
      <c r="I477" s="260">
        <v>0.76</v>
      </c>
      <c r="J477" s="260">
        <v>1.1499999999999999</v>
      </c>
      <c r="K477" s="260">
        <v>0.99</v>
      </c>
      <c r="L477" s="260">
        <v>1.1100000000000001</v>
      </c>
    </row>
    <row r="478" spans="1:12" hidden="1" x14ac:dyDescent="0.25">
      <c r="A478" s="259" t="s">
        <v>522</v>
      </c>
      <c r="B478" s="261" t="str">
        <f>VLOOKUP(A478, '[2]fund-selector'!$A$2:$F$853,6,FALSE)</f>
        <v>EQ-THEMATIC</v>
      </c>
      <c r="C478" s="258" t="s">
        <v>54</v>
      </c>
      <c r="D478" s="260">
        <v>2.21</v>
      </c>
      <c r="E478" s="259">
        <v>0</v>
      </c>
      <c r="F478" s="259">
        <v>0</v>
      </c>
      <c r="G478" s="260">
        <v>2.21</v>
      </c>
      <c r="H478" s="259">
        <v>0</v>
      </c>
      <c r="I478" s="259">
        <v>0</v>
      </c>
      <c r="J478" s="259">
        <v>0</v>
      </c>
      <c r="K478" s="259">
        <v>0</v>
      </c>
      <c r="L478" s="259">
        <v>0</v>
      </c>
    </row>
    <row r="479" spans="1:12" hidden="1" x14ac:dyDescent="0.25">
      <c r="A479" s="259" t="s">
        <v>523</v>
      </c>
      <c r="B479" s="261" t="str">
        <f>VLOOKUP(A479, '[2]fund-selector'!$A$2:$F$853,6,FALSE)</f>
        <v>EQ-MC</v>
      </c>
      <c r="C479" s="258">
        <v>0.69</v>
      </c>
      <c r="D479" s="260">
        <v>2.48</v>
      </c>
      <c r="E479" s="260">
        <v>26.16</v>
      </c>
      <c r="F479" s="260">
        <v>25.27</v>
      </c>
      <c r="G479" s="260">
        <v>2.48</v>
      </c>
      <c r="H479" s="260">
        <v>17.55</v>
      </c>
      <c r="I479" s="260">
        <v>0.9</v>
      </c>
      <c r="J479" s="260">
        <v>1.33</v>
      </c>
      <c r="K479" s="260">
        <v>1</v>
      </c>
      <c r="L479" s="260">
        <v>-2.33</v>
      </c>
    </row>
    <row r="480" spans="1:12" hidden="1" x14ac:dyDescent="0.25">
      <c r="A480" s="259" t="s">
        <v>524</v>
      </c>
      <c r="B480" s="261" t="str">
        <f>VLOOKUP(A480, '[2]fund-selector'!$A$2:$F$853,6,FALSE)</f>
        <v>HY-MAA</v>
      </c>
      <c r="C480" s="258" t="s">
        <v>54</v>
      </c>
      <c r="D480" s="260">
        <v>2.25</v>
      </c>
      <c r="E480" s="259">
        <v>0</v>
      </c>
      <c r="F480" s="259">
        <v>0</v>
      </c>
      <c r="G480" s="260">
        <v>2.25</v>
      </c>
      <c r="H480" s="259">
        <v>0</v>
      </c>
      <c r="I480" s="259">
        <v>0</v>
      </c>
      <c r="J480" s="259">
        <v>0</v>
      </c>
      <c r="K480" s="259">
        <v>0</v>
      </c>
      <c r="L480" s="259">
        <v>0</v>
      </c>
    </row>
    <row r="481" spans="1:12" hidden="1" x14ac:dyDescent="0.25">
      <c r="A481" s="259" t="s">
        <v>525</v>
      </c>
      <c r="B481" s="261" t="str">
        <f>VLOOKUP(A481, '[2]fund-selector'!$A$2:$F$853,6,FALSE)</f>
        <v>EQ-MLC</v>
      </c>
      <c r="C481" s="258">
        <v>4.09</v>
      </c>
      <c r="D481" s="260">
        <v>2.04</v>
      </c>
      <c r="E481" s="259">
        <v>0</v>
      </c>
      <c r="F481" s="259">
        <v>0</v>
      </c>
      <c r="G481" s="260">
        <v>2.04</v>
      </c>
      <c r="H481" s="259">
        <v>0</v>
      </c>
      <c r="I481" s="259">
        <v>0</v>
      </c>
      <c r="J481" s="259">
        <v>0</v>
      </c>
      <c r="K481" s="259">
        <v>0</v>
      </c>
      <c r="L481" s="259">
        <v>0</v>
      </c>
    </row>
    <row r="482" spans="1:12" hidden="1" x14ac:dyDescent="0.25">
      <c r="A482" s="259" t="s">
        <v>526</v>
      </c>
      <c r="B482" s="261" t="str">
        <f>VLOOKUP(A482, '[2]fund-selector'!$A$2:$F$853,6,FALSE)</f>
        <v>EQ-LC</v>
      </c>
      <c r="C482" s="258">
        <v>3.68</v>
      </c>
      <c r="D482" s="260">
        <v>0.28000000000000003</v>
      </c>
      <c r="E482" s="260">
        <v>18.71</v>
      </c>
      <c r="F482" s="260">
        <v>20.41</v>
      </c>
      <c r="G482" s="260">
        <v>0.28000000000000003</v>
      </c>
      <c r="H482" s="260">
        <v>13.97</v>
      </c>
      <c r="I482" s="260">
        <v>0.66</v>
      </c>
      <c r="J482" s="260">
        <v>1.08</v>
      </c>
      <c r="K482" s="260">
        <v>1.01</v>
      </c>
      <c r="L482" s="260">
        <v>-1.17</v>
      </c>
    </row>
    <row r="483" spans="1:12" hidden="1" x14ac:dyDescent="0.25">
      <c r="A483" s="259" t="s">
        <v>527</v>
      </c>
      <c r="B483" s="261" t="str">
        <f>VLOOKUP(A483, '[2]fund-selector'!$A$2:$F$853,6,FALSE)</f>
        <v>EQ-LC</v>
      </c>
      <c r="C483" s="258">
        <v>6.46</v>
      </c>
      <c r="D483" s="260">
        <v>0.06</v>
      </c>
      <c r="E483" s="260">
        <v>18.579999999999998</v>
      </c>
      <c r="F483" s="260">
        <v>20.58</v>
      </c>
      <c r="G483" s="260">
        <v>0.06</v>
      </c>
      <c r="H483" s="260">
        <v>13.14</v>
      </c>
      <c r="I483" s="260">
        <v>0.68</v>
      </c>
      <c r="J483" s="260">
        <v>1.17</v>
      </c>
      <c r="K483" s="260">
        <v>0.95</v>
      </c>
      <c r="L483" s="260">
        <v>-0.79</v>
      </c>
    </row>
    <row r="484" spans="1:12" hidden="1" x14ac:dyDescent="0.25">
      <c r="A484" s="259" t="s">
        <v>528</v>
      </c>
      <c r="B484" s="261" t="str">
        <f>VLOOKUP(A484, '[2]fund-selector'!$A$2:$F$853,6,FALSE)</f>
        <v>EQ-LC</v>
      </c>
      <c r="C484" s="258">
        <v>5.42</v>
      </c>
      <c r="D484" s="260">
        <v>1.01</v>
      </c>
      <c r="E484" s="260">
        <v>17.47</v>
      </c>
      <c r="F484" s="260">
        <v>19.34</v>
      </c>
      <c r="G484" s="260">
        <v>1.01</v>
      </c>
      <c r="H484" s="260">
        <v>13.12</v>
      </c>
      <c r="I484" s="260">
        <v>0.61</v>
      </c>
      <c r="J484" s="260">
        <v>1.04</v>
      </c>
      <c r="K484" s="260">
        <v>0.95</v>
      </c>
      <c r="L484" s="260">
        <v>-1.73</v>
      </c>
    </row>
    <row r="485" spans="1:12" hidden="1" x14ac:dyDescent="0.25">
      <c r="A485" s="259" t="s">
        <v>529</v>
      </c>
      <c r="B485" s="261" t="str">
        <f>VLOOKUP(A485, '[2]fund-selector'!$A$2:$F$853,6,FALSE)</f>
        <v>EQ-MC</v>
      </c>
      <c r="C485" s="258">
        <v>4.25</v>
      </c>
      <c r="D485" s="260">
        <v>0.16</v>
      </c>
      <c r="E485" s="259">
        <v>0</v>
      </c>
      <c r="F485" s="259">
        <v>0</v>
      </c>
      <c r="G485" s="260">
        <v>0.16</v>
      </c>
      <c r="H485" s="259">
        <v>0</v>
      </c>
      <c r="I485" s="259">
        <v>0</v>
      </c>
      <c r="J485" s="259">
        <v>0</v>
      </c>
      <c r="K485" s="259">
        <v>0</v>
      </c>
      <c r="L485" s="259">
        <v>0</v>
      </c>
    </row>
    <row r="486" spans="1:12" hidden="1" x14ac:dyDescent="0.25">
      <c r="A486" s="259" t="s">
        <v>530</v>
      </c>
      <c r="B486" s="261" t="str">
        <f>VLOOKUP(A486, '[2]fund-selector'!$A$2:$F$853,6,FALSE)</f>
        <v>EQ-LC</v>
      </c>
      <c r="C486" s="258">
        <v>-8.06</v>
      </c>
      <c r="D486" s="260">
        <v>0.9</v>
      </c>
      <c r="E486" s="260">
        <v>22.23</v>
      </c>
      <c r="F486" s="260">
        <v>20.66</v>
      </c>
      <c r="G486" s="260">
        <v>0.9</v>
      </c>
      <c r="H486" s="260">
        <v>19.440000000000001</v>
      </c>
      <c r="I486" s="260">
        <v>0.68</v>
      </c>
      <c r="J486" s="260">
        <v>1.02</v>
      </c>
      <c r="K486" s="260">
        <v>1.29</v>
      </c>
      <c r="L486" s="260">
        <v>-0.02</v>
      </c>
    </row>
    <row r="487" spans="1:12" hidden="1" x14ac:dyDescent="0.25">
      <c r="A487" s="259" t="s">
        <v>531</v>
      </c>
      <c r="B487" s="261" t="str">
        <f>VLOOKUP(A487, '[2]fund-selector'!$A$2:$F$853,6,FALSE)</f>
        <v>EQ-SC</v>
      </c>
      <c r="C487" s="258">
        <v>-4.7300000000000004</v>
      </c>
      <c r="D487" s="260">
        <v>2.38</v>
      </c>
      <c r="E487" s="260">
        <v>23.38</v>
      </c>
      <c r="F487" s="260">
        <v>31.41</v>
      </c>
      <c r="G487" s="260">
        <v>2.38</v>
      </c>
      <c r="H487" s="260">
        <v>19.309999999999999</v>
      </c>
      <c r="I487" s="260">
        <v>0.78</v>
      </c>
      <c r="J487" s="260">
        <v>0.97</v>
      </c>
      <c r="K487" s="260">
        <v>0.93</v>
      </c>
      <c r="L487" s="260">
        <v>-1.83</v>
      </c>
    </row>
    <row r="488" spans="1:12" hidden="1" x14ac:dyDescent="0.25">
      <c r="A488" s="259" t="s">
        <v>1225</v>
      </c>
      <c r="B488" s="261" t="str">
        <f>VLOOKUP(A488, '[2]fund-selector'!$A$2:$F$853,6,FALSE)</f>
        <v>HY-AH</v>
      </c>
      <c r="C488" s="258">
        <v>5.9</v>
      </c>
      <c r="D488" s="260">
        <v>2.37</v>
      </c>
      <c r="E488" s="260">
        <v>15.16</v>
      </c>
      <c r="F488" s="260">
        <v>17.11</v>
      </c>
      <c r="G488" s="260">
        <v>2.37</v>
      </c>
      <c r="H488" s="260">
        <v>10.81</v>
      </c>
      <c r="I488" s="260">
        <v>0.61</v>
      </c>
      <c r="J488" s="260">
        <v>0.99</v>
      </c>
      <c r="K488" s="260">
        <v>0.85</v>
      </c>
      <c r="L488" s="260">
        <v>-1.66</v>
      </c>
    </row>
    <row r="489" spans="1:12" hidden="1" x14ac:dyDescent="0.25">
      <c r="A489" s="259" t="s">
        <v>1226</v>
      </c>
      <c r="B489" s="261" t="str">
        <f>VLOOKUP(A489, '[2]fund-selector'!$A$2:$F$853,6,FALSE)</f>
        <v>HY-AH</v>
      </c>
      <c r="C489" s="258">
        <v>7.46</v>
      </c>
      <c r="D489" s="260">
        <v>2.0299999999999998</v>
      </c>
      <c r="E489" s="260">
        <v>20.89</v>
      </c>
      <c r="F489" s="260">
        <v>21.32</v>
      </c>
      <c r="G489" s="260">
        <v>2.0299999999999998</v>
      </c>
      <c r="H489" s="260">
        <v>11.15</v>
      </c>
      <c r="I489" s="260">
        <v>1.03</v>
      </c>
      <c r="J489" s="260">
        <v>1.63</v>
      </c>
      <c r="K489" s="260">
        <v>0.91</v>
      </c>
      <c r="L489" s="260">
        <v>2.67</v>
      </c>
    </row>
    <row r="490" spans="1:12" hidden="1" x14ac:dyDescent="0.25">
      <c r="A490" s="259" t="s">
        <v>1382</v>
      </c>
      <c r="B490" s="261" t="str">
        <f>VLOOKUP(A490, '[2]fund-selector'!$A$2:$F$853,6,FALSE)</f>
        <v>HY-AR</v>
      </c>
      <c r="C490" s="258">
        <v>5.52</v>
      </c>
      <c r="D490" s="260">
        <v>1.22</v>
      </c>
      <c r="E490" s="260">
        <v>5.46</v>
      </c>
      <c r="F490" s="259">
        <v>0</v>
      </c>
      <c r="G490" s="260">
        <v>1.22</v>
      </c>
      <c r="H490" s="260">
        <v>0.52</v>
      </c>
      <c r="I490" s="260">
        <v>-2.0699999999999998</v>
      </c>
      <c r="J490" s="260">
        <v>-2.31</v>
      </c>
      <c r="K490" s="260">
        <v>0.39</v>
      </c>
      <c r="L490" s="260">
        <v>-0.33</v>
      </c>
    </row>
    <row r="491" spans="1:12" hidden="1" x14ac:dyDescent="0.25">
      <c r="A491" s="259" t="s">
        <v>532</v>
      </c>
      <c r="B491" s="261" t="str">
        <f>VLOOKUP(A491, '[2]fund-selector'!$A$2:$F$853,6,FALSE)</f>
        <v>HY-DAA</v>
      </c>
      <c r="C491" s="258">
        <v>4.3899999999999997</v>
      </c>
      <c r="D491" s="260">
        <v>2.2200000000000002</v>
      </c>
      <c r="E491" s="260">
        <v>15.09</v>
      </c>
      <c r="F491" s="259">
        <v>0</v>
      </c>
      <c r="G491" s="260">
        <v>2.2200000000000002</v>
      </c>
      <c r="H491" s="260">
        <v>8.69</v>
      </c>
      <c r="I491" s="260">
        <v>0.79</v>
      </c>
      <c r="J491" s="260">
        <v>1.22</v>
      </c>
      <c r="K491" s="260">
        <v>0.79</v>
      </c>
      <c r="L491" s="260">
        <v>0.62</v>
      </c>
    </row>
    <row r="492" spans="1:12" hidden="1" x14ac:dyDescent="0.25">
      <c r="A492" s="259" t="s">
        <v>533</v>
      </c>
      <c r="B492" s="261" t="str">
        <f>VLOOKUP(A492, '[2]fund-selector'!$A$2:$F$853,6,FALSE)</f>
        <v>EQ-THEMATIC</v>
      </c>
      <c r="C492" s="258">
        <v>0.34</v>
      </c>
      <c r="D492" s="260">
        <v>2.11</v>
      </c>
      <c r="E492" s="259">
        <v>0</v>
      </c>
      <c r="F492" s="259">
        <v>0</v>
      </c>
      <c r="G492" s="260">
        <v>2.11</v>
      </c>
      <c r="H492" s="259">
        <v>0</v>
      </c>
      <c r="I492" s="259">
        <v>0</v>
      </c>
      <c r="J492" s="259">
        <v>0</v>
      </c>
      <c r="K492" s="259">
        <v>0</v>
      </c>
      <c r="L492" s="259">
        <v>0</v>
      </c>
    </row>
    <row r="493" spans="1:12" hidden="1" x14ac:dyDescent="0.25">
      <c r="A493" s="259" t="s">
        <v>535</v>
      </c>
      <c r="B493" s="261" t="str">
        <f>VLOOKUP(A493, '[2]fund-selector'!$A$2:$F$853,6,FALSE)</f>
        <v>EQ-FLX</v>
      </c>
      <c r="C493" s="258">
        <v>3.35</v>
      </c>
      <c r="D493" s="260">
        <v>2.0499999999999998</v>
      </c>
      <c r="E493" s="260">
        <v>21.82</v>
      </c>
      <c r="F493" s="259">
        <v>0</v>
      </c>
      <c r="G493" s="260">
        <v>2.0499999999999998</v>
      </c>
      <c r="H493" s="260">
        <v>13.82</v>
      </c>
      <c r="I493" s="260">
        <v>0.84</v>
      </c>
      <c r="J493" s="260">
        <v>1.24</v>
      </c>
      <c r="K493" s="260">
        <v>0.93</v>
      </c>
      <c r="L493" s="260">
        <v>0.84</v>
      </c>
    </row>
    <row r="494" spans="1:12" hidden="1" x14ac:dyDescent="0.25">
      <c r="A494" s="259" t="s">
        <v>536</v>
      </c>
      <c r="B494" s="261" t="str">
        <f>VLOOKUP(A494, '[2]fund-selector'!$A$2:$F$853,6,FALSE)</f>
        <v>EQ-FLX</v>
      </c>
      <c r="C494" s="258">
        <v>2.5499999999999998</v>
      </c>
      <c r="D494" s="260">
        <v>1.98</v>
      </c>
      <c r="E494" s="260">
        <v>24.77</v>
      </c>
      <c r="F494" s="259">
        <v>0</v>
      </c>
      <c r="G494" s="260">
        <v>1.98</v>
      </c>
      <c r="H494" s="260">
        <v>13.72</v>
      </c>
      <c r="I494" s="260">
        <v>1.04</v>
      </c>
      <c r="J494" s="260">
        <v>1.58</v>
      </c>
      <c r="K494" s="260">
        <v>0.9</v>
      </c>
      <c r="L494" s="260">
        <v>3.94</v>
      </c>
    </row>
    <row r="495" spans="1:12" hidden="1" x14ac:dyDescent="0.25">
      <c r="A495" s="259" t="s">
        <v>537</v>
      </c>
      <c r="B495" s="261" t="str">
        <f>VLOOKUP(A495, '[2]fund-selector'!$A$2:$F$853,6,FALSE)</f>
        <v>EQ-LC</v>
      </c>
      <c r="C495" s="258">
        <v>4.2300000000000004</v>
      </c>
      <c r="D495" s="260">
        <v>2.31</v>
      </c>
      <c r="E495" s="260">
        <v>18.739999999999998</v>
      </c>
      <c r="F495" s="260">
        <v>20.09</v>
      </c>
      <c r="G495" s="260">
        <v>2.31</v>
      </c>
      <c r="H495" s="260">
        <v>13.09</v>
      </c>
      <c r="I495" s="260">
        <v>0.69</v>
      </c>
      <c r="J495" s="260">
        <v>1.0900000000000001</v>
      </c>
      <c r="K495" s="260">
        <v>0.93</v>
      </c>
      <c r="L495" s="260">
        <v>-0.59</v>
      </c>
    </row>
    <row r="496" spans="1:12" hidden="1" x14ac:dyDescent="0.25">
      <c r="A496" s="259" t="s">
        <v>538</v>
      </c>
      <c r="B496" s="261" t="str">
        <f>VLOOKUP(A496, '[2]fund-selector'!$A$2:$F$853,6,FALSE)</f>
        <v>EQ-L&amp;MC</v>
      </c>
      <c r="C496" s="258">
        <v>-0.5</v>
      </c>
      <c r="D496" s="260">
        <v>1.93</v>
      </c>
      <c r="E496" s="260">
        <v>21.1</v>
      </c>
      <c r="F496" s="260">
        <v>24.52</v>
      </c>
      <c r="G496" s="260">
        <v>1.93</v>
      </c>
      <c r="H496" s="260">
        <v>14.59</v>
      </c>
      <c r="I496" s="260">
        <v>0.79</v>
      </c>
      <c r="J496" s="260">
        <v>1.17</v>
      </c>
      <c r="K496" s="260">
        <v>0.95</v>
      </c>
      <c r="L496" s="260">
        <v>1.03</v>
      </c>
    </row>
    <row r="497" spans="1:12" hidden="1" x14ac:dyDescent="0.25">
      <c r="A497" s="259" t="s">
        <v>539</v>
      </c>
      <c r="B497" s="261" t="str">
        <f>VLOOKUP(A497, '[2]fund-selector'!$A$2:$F$853,6,FALSE)</f>
        <v>EQ-THEMATIC</v>
      </c>
      <c r="C497" s="258" t="s">
        <v>54</v>
      </c>
      <c r="D497" s="260">
        <v>2.2400000000000002</v>
      </c>
      <c r="E497" s="259">
        <v>0</v>
      </c>
      <c r="F497" s="259">
        <v>0</v>
      </c>
      <c r="G497" s="260">
        <v>2.2400000000000002</v>
      </c>
      <c r="H497" s="259">
        <v>0</v>
      </c>
      <c r="I497" s="259">
        <v>0</v>
      </c>
      <c r="J497" s="259">
        <v>0</v>
      </c>
      <c r="K497" s="259">
        <v>0</v>
      </c>
      <c r="L497" s="259">
        <v>0</v>
      </c>
    </row>
    <row r="498" spans="1:12" hidden="1" x14ac:dyDescent="0.25">
      <c r="A498" s="259" t="s">
        <v>540</v>
      </c>
      <c r="B498" s="261" t="str">
        <f>VLOOKUP(A498, '[2]fund-selector'!$A$2:$F$853,6,FALSE)</f>
        <v>EQ-MC</v>
      </c>
      <c r="C498" s="258">
        <v>0.13</v>
      </c>
      <c r="D498" s="260">
        <v>1.86</v>
      </c>
      <c r="E498" s="260">
        <v>29.09</v>
      </c>
      <c r="F498" s="260">
        <v>29.21</v>
      </c>
      <c r="G498" s="260">
        <v>1.86</v>
      </c>
      <c r="H498" s="260">
        <v>16.48</v>
      </c>
      <c r="I498" s="260">
        <v>1.1200000000000001</v>
      </c>
      <c r="J498" s="260">
        <v>1.58</v>
      </c>
      <c r="K498" s="260">
        <v>0.96</v>
      </c>
      <c r="L498" s="260">
        <v>1.01</v>
      </c>
    </row>
    <row r="499" spans="1:12" hidden="1" x14ac:dyDescent="0.25">
      <c r="A499" s="259" t="s">
        <v>541</v>
      </c>
      <c r="B499" s="261" t="str">
        <f>VLOOKUP(A499, '[2]fund-selector'!$A$2:$F$853,6,FALSE)</f>
        <v>HY-MAA</v>
      </c>
      <c r="C499" s="258">
        <v>9</v>
      </c>
      <c r="D499" s="260">
        <v>2.04</v>
      </c>
      <c r="E499" s="259">
        <v>0</v>
      </c>
      <c r="F499" s="259">
        <v>0</v>
      </c>
      <c r="G499" s="260">
        <v>2.04</v>
      </c>
      <c r="H499" s="259">
        <v>0</v>
      </c>
      <c r="I499" s="259">
        <v>0</v>
      </c>
      <c r="J499" s="259">
        <v>0</v>
      </c>
      <c r="K499" s="259">
        <v>0</v>
      </c>
      <c r="L499" s="259">
        <v>0</v>
      </c>
    </row>
    <row r="500" spans="1:12" hidden="1" x14ac:dyDescent="0.25">
      <c r="A500" s="259" t="s">
        <v>542</v>
      </c>
      <c r="B500" s="261" t="str">
        <f>VLOOKUP(A500, '[2]fund-selector'!$A$2:$F$853,6,FALSE)</f>
        <v>EQ-MLC</v>
      </c>
      <c r="C500" s="258">
        <v>2.68</v>
      </c>
      <c r="D500" s="260">
        <v>1.8</v>
      </c>
      <c r="E500" s="260">
        <v>24.74</v>
      </c>
      <c r="F500" s="260">
        <v>27.02</v>
      </c>
      <c r="G500" s="260">
        <v>1.8</v>
      </c>
      <c r="H500" s="260">
        <v>15.64</v>
      </c>
      <c r="I500" s="260">
        <v>0.91</v>
      </c>
      <c r="J500" s="260">
        <v>1.25</v>
      </c>
      <c r="K500" s="260">
        <v>0.96</v>
      </c>
      <c r="L500" s="260">
        <v>0.24</v>
      </c>
    </row>
    <row r="501" spans="1:12" hidden="1" x14ac:dyDescent="0.25">
      <c r="A501" s="259" t="s">
        <v>543</v>
      </c>
      <c r="B501" s="261" t="str">
        <f>VLOOKUP(A501, '[2]fund-selector'!$A$2:$F$853,6,FALSE)</f>
        <v>EQ-SC</v>
      </c>
      <c r="C501" s="258">
        <v>-1.49</v>
      </c>
      <c r="D501" s="260">
        <v>1.85</v>
      </c>
      <c r="E501" s="259">
        <v>0</v>
      </c>
      <c r="F501" s="259">
        <v>0</v>
      </c>
      <c r="G501" s="260">
        <v>1.85</v>
      </c>
      <c r="H501" s="259">
        <v>0</v>
      </c>
      <c r="I501" s="259">
        <v>0</v>
      </c>
      <c r="J501" s="259">
        <v>0</v>
      </c>
      <c r="K501" s="259">
        <v>0</v>
      </c>
      <c r="L501" s="259">
        <v>0</v>
      </c>
    </row>
    <row r="502" spans="1:12" hidden="1" x14ac:dyDescent="0.25">
      <c r="A502" s="259" t="s">
        <v>1227</v>
      </c>
      <c r="B502" s="261" t="str">
        <f>VLOOKUP(A502, '[2]fund-selector'!$A$2:$F$853,6,FALSE)</f>
        <v>HY-AH</v>
      </c>
      <c r="C502" s="258">
        <v>5.97</v>
      </c>
      <c r="D502" s="260">
        <v>1.72</v>
      </c>
      <c r="E502" s="260">
        <v>16.91</v>
      </c>
      <c r="F502" s="260">
        <v>17.34</v>
      </c>
      <c r="G502" s="260">
        <v>1.72</v>
      </c>
      <c r="H502" s="260">
        <v>10.52</v>
      </c>
      <c r="I502" s="260">
        <v>0.76</v>
      </c>
      <c r="J502" s="260">
        <v>1.19</v>
      </c>
      <c r="K502" s="260">
        <v>0.87</v>
      </c>
      <c r="L502" s="260">
        <v>-0.31</v>
      </c>
    </row>
    <row r="503" spans="1:12" hidden="1" x14ac:dyDescent="0.25">
      <c r="A503" s="259" t="s">
        <v>1383</v>
      </c>
      <c r="B503" s="261" t="str">
        <f>VLOOKUP(A503, '[2]fund-selector'!$A$2:$F$853,6,FALSE)</f>
        <v>HY-AR</v>
      </c>
      <c r="C503" s="258">
        <v>6.71</v>
      </c>
      <c r="D503" s="260">
        <v>0.93</v>
      </c>
      <c r="E503" s="260">
        <v>6.74</v>
      </c>
      <c r="F503" s="260">
        <v>5.39</v>
      </c>
      <c r="G503" s="260">
        <v>0.93</v>
      </c>
      <c r="H503" s="260">
        <v>0.55000000000000004</v>
      </c>
      <c r="I503" s="260">
        <v>0.21</v>
      </c>
      <c r="J503" s="260">
        <v>0.25</v>
      </c>
      <c r="K503" s="260">
        <v>0.56000000000000005</v>
      </c>
      <c r="L503" s="260">
        <v>1.18</v>
      </c>
    </row>
    <row r="504" spans="1:12" hidden="1" x14ac:dyDescent="0.25">
      <c r="A504" s="259" t="s">
        <v>544</v>
      </c>
      <c r="B504" s="261" t="str">
        <f>VLOOKUP(A504, '[2]fund-selector'!$A$2:$F$853,6,FALSE)</f>
        <v>HY-DAA</v>
      </c>
      <c r="C504" s="258">
        <v>6.65</v>
      </c>
      <c r="D504" s="260">
        <v>2.06</v>
      </c>
      <c r="E504" s="259">
        <v>0</v>
      </c>
      <c r="F504" s="259">
        <v>0</v>
      </c>
      <c r="G504" s="260">
        <v>2.06</v>
      </c>
      <c r="H504" s="259">
        <v>0</v>
      </c>
      <c r="I504" s="259">
        <v>0</v>
      </c>
      <c r="J504" s="259">
        <v>0</v>
      </c>
      <c r="K504" s="259">
        <v>0</v>
      </c>
      <c r="L504" s="259">
        <v>0</v>
      </c>
    </row>
    <row r="505" spans="1:12" hidden="1" x14ac:dyDescent="0.25">
      <c r="A505" s="259" t="s">
        <v>545</v>
      </c>
      <c r="B505" s="261" t="str">
        <f>VLOOKUP(A505, '[2]fund-selector'!$A$2:$F$853,6,FALSE)</f>
        <v>EQ-L&amp;MC</v>
      </c>
      <c r="C505" s="258" t="s">
        <v>54</v>
      </c>
      <c r="D505" s="260">
        <v>0.36</v>
      </c>
      <c r="E505" s="259">
        <v>0</v>
      </c>
      <c r="F505" s="259">
        <v>0</v>
      </c>
      <c r="G505" s="260">
        <v>0.36</v>
      </c>
      <c r="H505" s="259">
        <v>0</v>
      </c>
      <c r="I505" s="259">
        <v>0</v>
      </c>
      <c r="J505" s="259">
        <v>0</v>
      </c>
      <c r="K505" s="259">
        <v>0</v>
      </c>
      <c r="L505" s="259">
        <v>0</v>
      </c>
    </row>
    <row r="506" spans="1:12" hidden="1" x14ac:dyDescent="0.25">
      <c r="A506" s="259" t="s">
        <v>546</v>
      </c>
      <c r="B506" s="261" t="str">
        <f>VLOOKUP(A506, '[2]fund-selector'!$A$2:$F$853,6,FALSE)</f>
        <v>EQ-L&amp;MC</v>
      </c>
      <c r="C506" s="258" t="s">
        <v>54</v>
      </c>
      <c r="D506" s="260">
        <v>0.64</v>
      </c>
      <c r="E506" s="259">
        <v>0</v>
      </c>
      <c r="F506" s="259">
        <v>0</v>
      </c>
      <c r="G506" s="260">
        <v>0.64</v>
      </c>
      <c r="H506" s="259">
        <v>0</v>
      </c>
      <c r="I506" s="259">
        <v>0</v>
      </c>
      <c r="J506" s="259">
        <v>0</v>
      </c>
      <c r="K506" s="259">
        <v>0</v>
      </c>
      <c r="L506" s="259">
        <v>0</v>
      </c>
    </row>
    <row r="507" spans="1:12" hidden="1" x14ac:dyDescent="0.25">
      <c r="A507" s="259" t="s">
        <v>547</v>
      </c>
      <c r="B507" s="261" t="str">
        <f>VLOOKUP(A507, '[2]fund-selector'!$A$2:$F$853,6,FALSE)</f>
        <v>EQ-THEMATIC</v>
      </c>
      <c r="C507" s="258" t="s">
        <v>54</v>
      </c>
      <c r="D507" s="260">
        <v>0.36</v>
      </c>
      <c r="E507" s="259">
        <v>0</v>
      </c>
      <c r="F507" s="259">
        <v>0</v>
      </c>
      <c r="G507" s="260">
        <v>0.36</v>
      </c>
      <c r="H507" s="259">
        <v>0</v>
      </c>
      <c r="I507" s="259">
        <v>0</v>
      </c>
      <c r="J507" s="259">
        <v>0</v>
      </c>
      <c r="K507" s="259">
        <v>0</v>
      </c>
      <c r="L507" s="259">
        <v>0</v>
      </c>
    </row>
    <row r="508" spans="1:12" hidden="1" x14ac:dyDescent="0.25">
      <c r="A508" s="259" t="s">
        <v>548</v>
      </c>
      <c r="B508" s="261" t="str">
        <f>VLOOKUP(A508, '[2]fund-selector'!$A$2:$F$853,6,FALSE)</f>
        <v>EQ-THEMATIC</v>
      </c>
      <c r="C508" s="258" t="s">
        <v>54</v>
      </c>
      <c r="D508" s="260">
        <v>0.64</v>
      </c>
      <c r="E508" s="259">
        <v>0</v>
      </c>
      <c r="F508" s="259">
        <v>0</v>
      </c>
      <c r="G508" s="260">
        <v>0.64</v>
      </c>
      <c r="H508" s="259">
        <v>0</v>
      </c>
      <c r="I508" s="259">
        <v>0</v>
      </c>
      <c r="J508" s="259">
        <v>0</v>
      </c>
      <c r="K508" s="259">
        <v>0</v>
      </c>
      <c r="L508" s="259">
        <v>0</v>
      </c>
    </row>
    <row r="509" spans="1:12" hidden="1" x14ac:dyDescent="0.25">
      <c r="A509" s="259" t="s">
        <v>549</v>
      </c>
      <c r="B509" s="261" t="str">
        <f>VLOOKUP(A509, '[2]fund-selector'!$A$2:$F$853,6,FALSE)</f>
        <v>EQ-LC</v>
      </c>
      <c r="C509" s="258">
        <v>6.28</v>
      </c>
      <c r="D509" s="260">
        <v>0.05</v>
      </c>
      <c r="E509" s="259">
        <v>0</v>
      </c>
      <c r="F509" s="259">
        <v>0</v>
      </c>
      <c r="G509" s="260">
        <v>0.05</v>
      </c>
      <c r="H509" s="259">
        <v>0</v>
      </c>
      <c r="I509" s="259">
        <v>0</v>
      </c>
      <c r="J509" s="259">
        <v>0</v>
      </c>
      <c r="K509" s="259">
        <v>0</v>
      </c>
      <c r="L509" s="259">
        <v>0</v>
      </c>
    </row>
    <row r="510" spans="1:12" hidden="1" x14ac:dyDescent="0.25">
      <c r="A510" s="259" t="s">
        <v>550</v>
      </c>
      <c r="B510" s="261" t="str">
        <f>VLOOKUP(A510, '[2]fund-selector'!$A$2:$F$853,6,FALSE)</f>
        <v>EQ-LC</v>
      </c>
      <c r="C510" s="258">
        <v>2.88</v>
      </c>
      <c r="D510" s="260">
        <v>0.11</v>
      </c>
      <c r="E510" s="260">
        <v>20.74</v>
      </c>
      <c r="F510" s="259">
        <v>0</v>
      </c>
      <c r="G510" s="260">
        <v>0.11</v>
      </c>
      <c r="H510" s="260">
        <v>14.05</v>
      </c>
      <c r="I510" s="260">
        <v>0.79</v>
      </c>
      <c r="J510" s="260">
        <v>1.22</v>
      </c>
      <c r="K510" s="260">
        <v>1.01</v>
      </c>
      <c r="L510" s="260">
        <v>0.73</v>
      </c>
    </row>
    <row r="511" spans="1:12" hidden="1" x14ac:dyDescent="0.25">
      <c r="A511" s="259" t="s">
        <v>551</v>
      </c>
      <c r="B511" s="261" t="str">
        <f>VLOOKUP(A511, '[2]fund-selector'!$A$2:$F$853,6,FALSE)</f>
        <v>EQ-FLX</v>
      </c>
      <c r="C511" s="258">
        <v>5.03</v>
      </c>
      <c r="D511" s="260">
        <v>1.93</v>
      </c>
      <c r="E511" s="259">
        <v>0</v>
      </c>
      <c r="F511" s="259">
        <v>0</v>
      </c>
      <c r="G511" s="260">
        <v>1.93</v>
      </c>
      <c r="H511" s="259">
        <v>0</v>
      </c>
      <c r="I511" s="259">
        <v>0</v>
      </c>
      <c r="J511" s="259">
        <v>0</v>
      </c>
      <c r="K511" s="259">
        <v>0</v>
      </c>
      <c r="L511" s="259">
        <v>0</v>
      </c>
    </row>
    <row r="512" spans="1:12" hidden="1" x14ac:dyDescent="0.25">
      <c r="A512" s="259" t="s">
        <v>552</v>
      </c>
      <c r="B512" s="261" t="str">
        <f>VLOOKUP(A512, '[2]fund-selector'!$A$2:$F$853,6,FALSE)</f>
        <v>EQ-FLX</v>
      </c>
      <c r="C512" s="258">
        <v>8.89</v>
      </c>
      <c r="D512" s="260">
        <v>1.77</v>
      </c>
      <c r="E512" s="260">
        <v>14.95</v>
      </c>
      <c r="F512" s="260">
        <v>19.73</v>
      </c>
      <c r="G512" s="260">
        <v>1.77</v>
      </c>
      <c r="H512" s="260">
        <v>12.75</v>
      </c>
      <c r="I512" s="260">
        <v>0.47</v>
      </c>
      <c r="J512" s="260">
        <v>0.74</v>
      </c>
      <c r="K512" s="260">
        <v>0.81</v>
      </c>
      <c r="L512" s="260">
        <v>-3.36</v>
      </c>
    </row>
    <row r="513" spans="1:12" hidden="1" x14ac:dyDescent="0.25">
      <c r="A513" s="259" t="s">
        <v>554</v>
      </c>
      <c r="B513" s="261" t="str">
        <f>VLOOKUP(A513, '[2]fund-selector'!$A$2:$F$853,6,FALSE)</f>
        <v>EQ-LC</v>
      </c>
      <c r="C513" s="258">
        <v>6.13</v>
      </c>
      <c r="D513" s="260">
        <v>1.52</v>
      </c>
      <c r="E513" s="260">
        <v>17.149999999999999</v>
      </c>
      <c r="F513" s="260">
        <v>19.2</v>
      </c>
      <c r="G513" s="260">
        <v>1.52</v>
      </c>
      <c r="H513" s="260">
        <v>12.52</v>
      </c>
      <c r="I513" s="260">
        <v>0.63</v>
      </c>
      <c r="J513" s="260">
        <v>1.01</v>
      </c>
      <c r="K513" s="260">
        <v>0.9</v>
      </c>
      <c r="L513" s="260">
        <v>-1.36</v>
      </c>
    </row>
    <row r="514" spans="1:12" hidden="1" x14ac:dyDescent="0.25">
      <c r="A514" s="259" t="s">
        <v>555</v>
      </c>
      <c r="B514" s="261" t="str">
        <f>VLOOKUP(A514, '[2]fund-selector'!$A$2:$F$853,6,FALSE)</f>
        <v>EQ-L&amp;MC</v>
      </c>
      <c r="C514" s="258">
        <v>2.37</v>
      </c>
      <c r="D514" s="260">
        <v>1.53</v>
      </c>
      <c r="E514" s="260">
        <v>20.53</v>
      </c>
      <c r="F514" s="260">
        <v>23.46</v>
      </c>
      <c r="G514" s="260">
        <v>1.53</v>
      </c>
      <c r="H514" s="260">
        <v>14.51</v>
      </c>
      <c r="I514" s="260">
        <v>0.73</v>
      </c>
      <c r="J514" s="260">
        <v>1.08</v>
      </c>
      <c r="K514" s="260">
        <v>0.98</v>
      </c>
      <c r="L514" s="260">
        <v>-0.19</v>
      </c>
    </row>
    <row r="515" spans="1:12" hidden="1" x14ac:dyDescent="0.25">
      <c r="A515" s="259" t="s">
        <v>556</v>
      </c>
      <c r="B515" s="261" t="str">
        <f>VLOOKUP(A515, '[2]fund-selector'!$A$2:$F$853,6,FALSE)</f>
        <v>EQ-MC</v>
      </c>
      <c r="C515" s="258">
        <v>1.68</v>
      </c>
      <c r="D515" s="260">
        <v>1.67</v>
      </c>
      <c r="E515" s="260">
        <v>24.34</v>
      </c>
      <c r="F515" s="260">
        <v>29.05</v>
      </c>
      <c r="G515" s="260">
        <v>1.67</v>
      </c>
      <c r="H515" s="260">
        <v>16.88</v>
      </c>
      <c r="I515" s="260">
        <v>0.84</v>
      </c>
      <c r="J515" s="260">
        <v>1.21</v>
      </c>
      <c r="K515" s="260">
        <v>0.97</v>
      </c>
      <c r="L515" s="260">
        <v>-3.37</v>
      </c>
    </row>
    <row r="516" spans="1:12" hidden="1" x14ac:dyDescent="0.25">
      <c r="A516" s="259" t="s">
        <v>557</v>
      </c>
      <c r="B516" s="261" t="str">
        <f>VLOOKUP(A516, '[2]fund-selector'!$A$2:$F$853,6,FALSE)</f>
        <v>HY-MAA</v>
      </c>
      <c r="C516" s="258">
        <v>10.58</v>
      </c>
      <c r="D516" s="260">
        <v>1.98</v>
      </c>
      <c r="E516" s="259">
        <v>0</v>
      </c>
      <c r="F516" s="259">
        <v>0</v>
      </c>
      <c r="G516" s="260">
        <v>1.98</v>
      </c>
      <c r="H516" s="259">
        <v>0</v>
      </c>
      <c r="I516" s="259">
        <v>0</v>
      </c>
      <c r="J516" s="259">
        <v>0</v>
      </c>
      <c r="K516" s="259">
        <v>0</v>
      </c>
      <c r="L516" s="259">
        <v>0</v>
      </c>
    </row>
    <row r="517" spans="1:12" hidden="1" x14ac:dyDescent="0.25">
      <c r="A517" s="259" t="s">
        <v>558</v>
      </c>
      <c r="B517" s="261" t="str">
        <f>VLOOKUP(A517, '[2]fund-selector'!$A$2:$F$853,6,FALSE)</f>
        <v>EQ-MLC</v>
      </c>
      <c r="C517" s="258">
        <v>5.94</v>
      </c>
      <c r="D517" s="260">
        <v>1.87</v>
      </c>
      <c r="E517" s="259">
        <v>0</v>
      </c>
      <c r="F517" s="259">
        <v>0</v>
      </c>
      <c r="G517" s="260">
        <v>1.87</v>
      </c>
      <c r="H517" s="259">
        <v>0</v>
      </c>
      <c r="I517" s="259">
        <v>0</v>
      </c>
      <c r="J517" s="259">
        <v>0</v>
      </c>
      <c r="K517" s="259">
        <v>0</v>
      </c>
      <c r="L517" s="259">
        <v>0</v>
      </c>
    </row>
    <row r="518" spans="1:12" hidden="1" x14ac:dyDescent="0.25">
      <c r="A518" s="259" t="s">
        <v>561</v>
      </c>
      <c r="B518" s="261" t="str">
        <f>VLOOKUP(A518, '[2]fund-selector'!$A$2:$F$853,6,FALSE)</f>
        <v>EQ-LC</v>
      </c>
      <c r="C518" s="258">
        <v>5.59</v>
      </c>
      <c r="D518" s="260">
        <v>0.33</v>
      </c>
      <c r="E518" s="259">
        <v>0</v>
      </c>
      <c r="F518" s="259">
        <v>0</v>
      </c>
      <c r="G518" s="260">
        <v>0.33</v>
      </c>
      <c r="H518" s="259">
        <v>0</v>
      </c>
      <c r="I518" s="259">
        <v>0</v>
      </c>
      <c r="J518" s="259">
        <v>0</v>
      </c>
      <c r="K518" s="259">
        <v>0</v>
      </c>
      <c r="L518" s="259">
        <v>0</v>
      </c>
    </row>
    <row r="519" spans="1:12" hidden="1" x14ac:dyDescent="0.25">
      <c r="A519" s="259" t="s">
        <v>562</v>
      </c>
      <c r="B519" s="261" t="str">
        <f>VLOOKUP(A519, '[2]fund-selector'!$A$2:$F$853,6,FALSE)</f>
        <v>EQ-L&amp;MC</v>
      </c>
      <c r="C519" s="258">
        <v>-9.7899999999999991</v>
      </c>
      <c r="D519" s="260">
        <v>0.47</v>
      </c>
      <c r="E519" s="259">
        <v>0</v>
      </c>
      <c r="F519" s="259">
        <v>0</v>
      </c>
      <c r="G519" s="260">
        <v>0.47</v>
      </c>
      <c r="H519" s="259">
        <v>0</v>
      </c>
      <c r="I519" s="259">
        <v>0</v>
      </c>
      <c r="J519" s="259">
        <v>0</v>
      </c>
      <c r="K519" s="259">
        <v>0</v>
      </c>
      <c r="L519" s="259">
        <v>0</v>
      </c>
    </row>
    <row r="520" spans="1:12" hidden="1" x14ac:dyDescent="0.25">
      <c r="A520" s="259" t="s">
        <v>563</v>
      </c>
      <c r="B520" s="261" t="str">
        <f>VLOOKUP(A520, '[2]fund-selector'!$A$2:$F$853,6,FALSE)</f>
        <v>EQ-L&amp;MC</v>
      </c>
      <c r="C520" s="258" t="s">
        <v>54</v>
      </c>
      <c r="D520" s="260">
        <v>0.63</v>
      </c>
      <c r="E520" s="259">
        <v>0</v>
      </c>
      <c r="F520" s="259">
        <v>0</v>
      </c>
      <c r="G520" s="260">
        <v>0.63</v>
      </c>
      <c r="H520" s="259">
        <v>0</v>
      </c>
      <c r="I520" s="259">
        <v>0</v>
      </c>
      <c r="J520" s="259">
        <v>0</v>
      </c>
      <c r="K520" s="259">
        <v>0</v>
      </c>
      <c r="L520" s="259">
        <v>0</v>
      </c>
    </row>
    <row r="521" spans="1:12" hidden="1" x14ac:dyDescent="0.25">
      <c r="A521" s="259" t="s">
        <v>564</v>
      </c>
      <c r="B521" s="261" t="str">
        <f>VLOOKUP(A521, '[2]fund-selector'!$A$2:$F$853,6,FALSE)</f>
        <v>EQ-MLC</v>
      </c>
      <c r="C521" s="258" t="s">
        <v>54</v>
      </c>
      <c r="D521" s="260">
        <v>0.16</v>
      </c>
      <c r="E521" s="259">
        <v>0</v>
      </c>
      <c r="F521" s="259">
        <v>0</v>
      </c>
      <c r="G521" s="260">
        <v>0.16</v>
      </c>
      <c r="H521" s="259">
        <v>0</v>
      </c>
      <c r="I521" s="259">
        <v>0</v>
      </c>
      <c r="J521" s="259">
        <v>0</v>
      </c>
      <c r="K521" s="259">
        <v>0</v>
      </c>
      <c r="L521" s="259">
        <v>0</v>
      </c>
    </row>
    <row r="522" spans="1:12" hidden="1" x14ac:dyDescent="0.25">
      <c r="A522" s="259" t="s">
        <v>565</v>
      </c>
      <c r="B522" s="261" t="str">
        <f>VLOOKUP(A522, '[2]fund-selector'!$A$2:$F$853,6,FALSE)</f>
        <v>EQ-LC</v>
      </c>
      <c r="C522" s="258" t="s">
        <v>54</v>
      </c>
      <c r="D522" s="260">
        <v>7.0000000000000007E-2</v>
      </c>
      <c r="E522" s="259">
        <v>0</v>
      </c>
      <c r="F522" s="259">
        <v>0</v>
      </c>
      <c r="G522" s="260">
        <v>7.0000000000000007E-2</v>
      </c>
      <c r="H522" s="259">
        <v>0</v>
      </c>
      <c r="I522" s="259">
        <v>0</v>
      </c>
      <c r="J522" s="259">
        <v>0</v>
      </c>
      <c r="K522" s="259">
        <v>0</v>
      </c>
      <c r="L522" s="259">
        <v>0</v>
      </c>
    </row>
    <row r="523" spans="1:12" hidden="1" x14ac:dyDescent="0.25">
      <c r="A523" s="259" t="s">
        <v>566</v>
      </c>
      <c r="B523" s="261" t="str">
        <f>VLOOKUP(A523, '[2]fund-selector'!$A$2:$F$853,6,FALSE)</f>
        <v>EQ-LC</v>
      </c>
      <c r="C523" s="258">
        <v>6.49</v>
      </c>
      <c r="D523" s="260">
        <v>0.04</v>
      </c>
      <c r="E523" s="260">
        <v>18.649999999999999</v>
      </c>
      <c r="F523" s="260">
        <v>20.66</v>
      </c>
      <c r="G523" s="260">
        <v>0.04</v>
      </c>
      <c r="H523" s="260">
        <v>13.13</v>
      </c>
      <c r="I523" s="260">
        <v>0.69</v>
      </c>
      <c r="J523" s="260">
        <v>1.17</v>
      </c>
      <c r="K523" s="260">
        <v>0.95</v>
      </c>
      <c r="L523" s="260">
        <v>-0.73</v>
      </c>
    </row>
    <row r="524" spans="1:12" hidden="1" x14ac:dyDescent="0.25">
      <c r="A524" s="259" t="s">
        <v>567</v>
      </c>
      <c r="B524" s="261" t="str">
        <f>VLOOKUP(A524, '[2]fund-selector'!$A$2:$F$853,6,FALSE)</f>
        <v>EQ-LC</v>
      </c>
      <c r="C524" s="258" t="s">
        <v>54</v>
      </c>
      <c r="D524" s="260">
        <v>0.75</v>
      </c>
      <c r="E524" s="259">
        <v>0</v>
      </c>
      <c r="F524" s="259">
        <v>0</v>
      </c>
      <c r="G524" s="260">
        <v>0.75</v>
      </c>
      <c r="H524" s="259">
        <v>0</v>
      </c>
      <c r="I524" s="259">
        <v>0</v>
      </c>
      <c r="J524" s="259">
        <v>0</v>
      </c>
      <c r="K524" s="259">
        <v>0</v>
      </c>
      <c r="L524" s="259">
        <v>0</v>
      </c>
    </row>
    <row r="525" spans="1:12" hidden="1" x14ac:dyDescent="0.25">
      <c r="A525" s="259" t="s">
        <v>568</v>
      </c>
      <c r="B525" s="261" t="str">
        <f>VLOOKUP(A525, '[2]fund-selector'!$A$2:$F$853,6,FALSE)</f>
        <v>EQ-THEMATIC</v>
      </c>
      <c r="C525" s="258" t="s">
        <v>54</v>
      </c>
      <c r="D525" s="260">
        <v>0.44</v>
      </c>
      <c r="E525" s="259">
        <v>0</v>
      </c>
      <c r="F525" s="259">
        <v>0</v>
      </c>
      <c r="G525" s="260">
        <v>0.44</v>
      </c>
      <c r="H525" s="259">
        <v>0</v>
      </c>
      <c r="I525" s="259">
        <v>0</v>
      </c>
      <c r="J525" s="259">
        <v>0</v>
      </c>
      <c r="K525" s="259">
        <v>0</v>
      </c>
      <c r="L525" s="259">
        <v>0</v>
      </c>
    </row>
    <row r="526" spans="1:12" hidden="1" x14ac:dyDescent="0.25">
      <c r="A526" s="259" t="s">
        <v>569</v>
      </c>
      <c r="B526" s="261" t="str">
        <f>VLOOKUP(A526, '[2]fund-selector'!$A$2:$F$853,6,FALSE)</f>
        <v>EQ-THEMATIC</v>
      </c>
      <c r="C526" s="258" t="s">
        <v>54</v>
      </c>
      <c r="D526" s="259">
        <v>0</v>
      </c>
      <c r="E526" s="259">
        <v>0</v>
      </c>
      <c r="F526" s="259">
        <v>0</v>
      </c>
      <c r="G526" s="259">
        <v>0</v>
      </c>
      <c r="H526" s="259">
        <v>0</v>
      </c>
      <c r="I526" s="259">
        <v>0</v>
      </c>
      <c r="J526" s="259">
        <v>0</v>
      </c>
      <c r="K526" s="259">
        <v>0</v>
      </c>
      <c r="L526" s="259">
        <v>0</v>
      </c>
    </row>
    <row r="527" spans="1:12" hidden="1" x14ac:dyDescent="0.25">
      <c r="A527" s="259" t="s">
        <v>570</v>
      </c>
      <c r="B527" s="261" t="str">
        <f>VLOOKUP(A527, '[2]fund-selector'!$A$2:$F$853,6,FALSE)</f>
        <v>EQ-THEMATIC</v>
      </c>
      <c r="C527" s="258">
        <v>-3.09</v>
      </c>
      <c r="D527" s="260">
        <v>0.5</v>
      </c>
      <c r="E527" s="260">
        <v>26</v>
      </c>
      <c r="F527" s="259">
        <v>0</v>
      </c>
      <c r="G527" s="260">
        <v>0.5</v>
      </c>
      <c r="H527" s="260">
        <v>16.420000000000002</v>
      </c>
      <c r="I527" s="260">
        <v>0.97</v>
      </c>
      <c r="J527" s="260">
        <v>1.41</v>
      </c>
      <c r="K527" s="260">
        <v>1.07</v>
      </c>
      <c r="L527" s="260">
        <v>3.62</v>
      </c>
    </row>
    <row r="528" spans="1:12" hidden="1" x14ac:dyDescent="0.25">
      <c r="A528" s="259" t="s">
        <v>571</v>
      </c>
      <c r="B528" s="261" t="str">
        <f>VLOOKUP(A528, '[2]fund-selector'!$A$2:$F$853,6,FALSE)</f>
        <v>EQ-THEMATIC</v>
      </c>
      <c r="C528" s="258">
        <v>-3.74</v>
      </c>
      <c r="D528" s="260">
        <v>0.46</v>
      </c>
      <c r="E528" s="260">
        <v>25.02</v>
      </c>
      <c r="F528" s="259">
        <v>0</v>
      </c>
      <c r="G528" s="260">
        <v>0.46</v>
      </c>
      <c r="H528" s="260">
        <v>16.350000000000001</v>
      </c>
      <c r="I528" s="260">
        <v>0.93</v>
      </c>
      <c r="J528" s="260">
        <v>1.35</v>
      </c>
      <c r="K528" s="260">
        <v>1.06</v>
      </c>
      <c r="L528" s="260">
        <v>2.96</v>
      </c>
    </row>
    <row r="529" spans="1:12" hidden="1" x14ac:dyDescent="0.25">
      <c r="A529" s="259" t="s">
        <v>574</v>
      </c>
      <c r="B529" s="261" t="str">
        <f>VLOOKUP(A529, '[2]fund-selector'!$A$2:$F$853,6,FALSE)</f>
        <v>EQ-L&amp;MC</v>
      </c>
      <c r="C529" s="258" t="s">
        <v>54</v>
      </c>
      <c r="D529" s="260">
        <v>0.86</v>
      </c>
      <c r="E529" s="259">
        <v>0</v>
      </c>
      <c r="F529" s="259">
        <v>0</v>
      </c>
      <c r="G529" s="260">
        <v>0.86</v>
      </c>
      <c r="H529" s="259">
        <v>0</v>
      </c>
      <c r="I529" s="259">
        <v>0</v>
      </c>
      <c r="J529" s="259">
        <v>0</v>
      </c>
      <c r="K529" s="259">
        <v>0</v>
      </c>
      <c r="L529" s="259">
        <v>0</v>
      </c>
    </row>
    <row r="530" spans="1:12" hidden="1" x14ac:dyDescent="0.25">
      <c r="A530" s="259" t="s">
        <v>575</v>
      </c>
      <c r="B530" s="261" t="str">
        <f>VLOOKUP(A530, '[2]fund-selector'!$A$2:$F$853,6,FALSE)</f>
        <v>EQ-THEMATIC</v>
      </c>
      <c r="C530" s="258" t="s">
        <v>54</v>
      </c>
      <c r="D530" s="260">
        <v>0.27</v>
      </c>
      <c r="E530" s="259">
        <v>0</v>
      </c>
      <c r="F530" s="259">
        <v>0</v>
      </c>
      <c r="G530" s="260">
        <v>0.27</v>
      </c>
      <c r="H530" s="259">
        <v>0</v>
      </c>
      <c r="I530" s="259">
        <v>0</v>
      </c>
      <c r="J530" s="259">
        <v>0</v>
      </c>
      <c r="K530" s="259">
        <v>0</v>
      </c>
      <c r="L530" s="259">
        <v>0</v>
      </c>
    </row>
    <row r="531" spans="1:12" hidden="1" x14ac:dyDescent="0.25">
      <c r="A531" s="259" t="s">
        <v>576</v>
      </c>
      <c r="B531" s="261" t="str">
        <f>VLOOKUP(A531, '[2]fund-selector'!$A$2:$F$853,6,FALSE)</f>
        <v>EQ-MC</v>
      </c>
      <c r="C531" s="258">
        <v>2.5499999999999998</v>
      </c>
      <c r="D531" s="260">
        <v>0.05</v>
      </c>
      <c r="E531" s="260">
        <v>29.65</v>
      </c>
      <c r="F531" s="259">
        <v>0</v>
      </c>
      <c r="G531" s="260">
        <v>0.05</v>
      </c>
      <c r="H531" s="260">
        <v>16.989999999999998</v>
      </c>
      <c r="I531" s="260">
        <v>1.1100000000000001</v>
      </c>
      <c r="J531" s="260">
        <v>1.6</v>
      </c>
      <c r="K531" s="260">
        <v>1</v>
      </c>
      <c r="L531" s="260">
        <v>0.75</v>
      </c>
    </row>
    <row r="532" spans="1:12" hidden="1" x14ac:dyDescent="0.25">
      <c r="A532" s="259" t="s">
        <v>577</v>
      </c>
      <c r="B532" s="261" t="str">
        <f>VLOOKUP(A532, '[2]fund-selector'!$A$2:$F$853,6,FALSE)</f>
        <v>EQ-MC</v>
      </c>
      <c r="C532" s="258">
        <v>-4.8499999999999996</v>
      </c>
      <c r="D532" s="260">
        <v>0.46</v>
      </c>
      <c r="E532" s="259">
        <v>0</v>
      </c>
      <c r="F532" s="259">
        <v>0</v>
      </c>
      <c r="G532" s="260">
        <v>0.46</v>
      </c>
      <c r="H532" s="259">
        <v>0</v>
      </c>
      <c r="I532" s="259">
        <v>0</v>
      </c>
      <c r="J532" s="259">
        <v>0</v>
      </c>
      <c r="K532" s="259">
        <v>0</v>
      </c>
      <c r="L532" s="259">
        <v>0</v>
      </c>
    </row>
    <row r="533" spans="1:12" hidden="1" x14ac:dyDescent="0.25">
      <c r="A533" s="259" t="s">
        <v>578</v>
      </c>
      <c r="B533" s="261" t="str">
        <f>VLOOKUP(A533, '[2]fund-selector'!$A$2:$F$853,6,FALSE)</f>
        <v>EQ-MC</v>
      </c>
      <c r="C533" s="258">
        <v>-6.2</v>
      </c>
      <c r="D533" s="260">
        <v>0.66</v>
      </c>
      <c r="E533" s="259">
        <v>0</v>
      </c>
      <c r="F533" s="259">
        <v>0</v>
      </c>
      <c r="G533" s="260">
        <v>0.66</v>
      </c>
      <c r="H533" s="259">
        <v>0</v>
      </c>
      <c r="I533" s="259">
        <v>0</v>
      </c>
      <c r="J533" s="259">
        <v>0</v>
      </c>
      <c r="K533" s="259">
        <v>0</v>
      </c>
      <c r="L533" s="259">
        <v>0</v>
      </c>
    </row>
    <row r="534" spans="1:12" hidden="1" x14ac:dyDescent="0.25">
      <c r="A534" s="259" t="s">
        <v>579</v>
      </c>
      <c r="B534" s="261" t="str">
        <f>VLOOKUP(A534, '[2]fund-selector'!$A$2:$F$853,6,FALSE)</f>
        <v>EQ-LC</v>
      </c>
      <c r="C534" s="258">
        <v>-7.35</v>
      </c>
      <c r="D534" s="260">
        <v>0.05</v>
      </c>
      <c r="E534" s="260">
        <v>23.14</v>
      </c>
      <c r="F534" s="260">
        <v>21.56</v>
      </c>
      <c r="G534" s="260">
        <v>0.05</v>
      </c>
      <c r="H534" s="260">
        <v>19.55</v>
      </c>
      <c r="I534" s="260">
        <v>0.72</v>
      </c>
      <c r="J534" s="260">
        <v>1.08</v>
      </c>
      <c r="K534" s="260">
        <v>1.3</v>
      </c>
      <c r="L534" s="260">
        <v>0.73</v>
      </c>
    </row>
    <row r="535" spans="1:12" hidden="1" x14ac:dyDescent="0.25">
      <c r="A535" s="259" t="s">
        <v>580</v>
      </c>
      <c r="B535" s="261" t="str">
        <f>VLOOKUP(A535, '[2]fund-selector'!$A$2:$F$853,6,FALSE)</f>
        <v>EQ-SC</v>
      </c>
      <c r="C535" s="258">
        <v>-8.6999999999999993</v>
      </c>
      <c r="D535" s="260">
        <v>0.47</v>
      </c>
      <c r="E535" s="259">
        <v>0</v>
      </c>
      <c r="F535" s="259">
        <v>0</v>
      </c>
      <c r="G535" s="260">
        <v>0.47</v>
      </c>
      <c r="H535" s="259">
        <v>0</v>
      </c>
      <c r="I535" s="259">
        <v>0</v>
      </c>
      <c r="J535" s="259">
        <v>0</v>
      </c>
      <c r="K535" s="259">
        <v>0</v>
      </c>
      <c r="L535" s="259">
        <v>0</v>
      </c>
    </row>
    <row r="536" spans="1:12" hidden="1" x14ac:dyDescent="0.25">
      <c r="A536" s="259" t="s">
        <v>581</v>
      </c>
      <c r="B536" s="261" t="str">
        <f>VLOOKUP(A536, '[2]fund-selector'!$A$2:$F$853,6,FALSE)</f>
        <v>EQ-SC</v>
      </c>
      <c r="C536" s="258">
        <v>-9.7799999999999994</v>
      </c>
      <c r="D536" s="260">
        <v>0.64</v>
      </c>
      <c r="E536" s="259">
        <v>0</v>
      </c>
      <c r="F536" s="259">
        <v>0</v>
      </c>
      <c r="G536" s="260">
        <v>0.64</v>
      </c>
      <c r="H536" s="259">
        <v>0</v>
      </c>
      <c r="I536" s="259">
        <v>0</v>
      </c>
      <c r="J536" s="259">
        <v>0</v>
      </c>
      <c r="K536" s="259">
        <v>0</v>
      </c>
      <c r="L536" s="259">
        <v>0</v>
      </c>
    </row>
    <row r="537" spans="1:12" hidden="1" x14ac:dyDescent="0.25">
      <c r="A537" s="259" t="s">
        <v>582</v>
      </c>
      <c r="B537" s="261" t="str">
        <f>VLOOKUP(A537, '[2]fund-selector'!$A$2:$F$853,6,FALSE)</f>
        <v>EQ-FLX</v>
      </c>
      <c r="C537" s="258" t="s">
        <v>54</v>
      </c>
      <c r="D537" s="260">
        <v>0.91</v>
      </c>
      <c r="E537" s="259">
        <v>0</v>
      </c>
      <c r="F537" s="259">
        <v>0</v>
      </c>
      <c r="G537" s="260">
        <v>0.91</v>
      </c>
      <c r="H537" s="259">
        <v>0</v>
      </c>
      <c r="I537" s="259">
        <v>0</v>
      </c>
      <c r="J537" s="259">
        <v>0</v>
      </c>
      <c r="K537" s="259">
        <v>0</v>
      </c>
      <c r="L537" s="259">
        <v>0</v>
      </c>
    </row>
    <row r="538" spans="1:12" hidden="1" x14ac:dyDescent="0.25">
      <c r="A538" s="259" t="s">
        <v>583</v>
      </c>
      <c r="B538" s="261" t="str">
        <f>VLOOKUP(A538, '[2]fund-selector'!$A$2:$F$853,6,FALSE)</f>
        <v>EQ-SC</v>
      </c>
      <c r="C538" s="258" t="s">
        <v>54</v>
      </c>
      <c r="D538" s="260">
        <v>2.0499999999999998</v>
      </c>
      <c r="E538" s="259">
        <v>0</v>
      </c>
      <c r="F538" s="259">
        <v>0</v>
      </c>
      <c r="G538" s="260">
        <v>2.0499999999999998</v>
      </c>
      <c r="H538" s="259">
        <v>0</v>
      </c>
      <c r="I538" s="259">
        <v>0</v>
      </c>
      <c r="J538" s="259">
        <v>0</v>
      </c>
      <c r="K538" s="259">
        <v>0</v>
      </c>
      <c r="L538" s="259">
        <v>0</v>
      </c>
    </row>
    <row r="539" spans="1:12" hidden="1" x14ac:dyDescent="0.25">
      <c r="A539" s="259" t="s">
        <v>584</v>
      </c>
      <c r="B539" s="261" t="str">
        <f>VLOOKUP(A539, '[2]fund-selector'!$A$2:$F$853,6,FALSE)</f>
        <v>EQ-THEMATIC</v>
      </c>
      <c r="C539" s="258" t="s">
        <v>54</v>
      </c>
      <c r="D539" s="260">
        <v>2.68</v>
      </c>
      <c r="E539" s="259">
        <v>0</v>
      </c>
      <c r="F539" s="259">
        <v>0</v>
      </c>
      <c r="G539" s="260">
        <v>2.68</v>
      </c>
      <c r="H539" s="259">
        <v>0</v>
      </c>
      <c r="I539" s="259">
        <v>0</v>
      </c>
      <c r="J539" s="259">
        <v>0</v>
      </c>
      <c r="K539" s="259">
        <v>0</v>
      </c>
      <c r="L539" s="259">
        <v>0</v>
      </c>
    </row>
    <row r="540" spans="1:12" hidden="1" x14ac:dyDescent="0.25">
      <c r="A540" s="259" t="s">
        <v>1384</v>
      </c>
      <c r="B540" s="261" t="str">
        <f>VLOOKUP(A540, '[2]fund-selector'!$A$2:$F$853,6,FALSE)</f>
        <v>HY-AR</v>
      </c>
      <c r="C540" s="258" t="s">
        <v>54</v>
      </c>
      <c r="D540" s="260">
        <v>1</v>
      </c>
      <c r="E540" s="259">
        <v>0</v>
      </c>
      <c r="F540" s="259">
        <v>0</v>
      </c>
      <c r="G540" s="260">
        <v>1</v>
      </c>
      <c r="H540" s="259">
        <v>0</v>
      </c>
      <c r="I540" s="259">
        <v>0</v>
      </c>
      <c r="J540" s="259">
        <v>0</v>
      </c>
      <c r="K540" s="259">
        <v>0</v>
      </c>
      <c r="L540" s="259">
        <v>0</v>
      </c>
    </row>
    <row r="541" spans="1:12" hidden="1" x14ac:dyDescent="0.25">
      <c r="A541" s="259" t="s">
        <v>585</v>
      </c>
      <c r="B541" s="261" t="str">
        <f>VLOOKUP(A541, '[2]fund-selector'!$A$2:$F$853,6,FALSE)</f>
        <v>HY-MAA</v>
      </c>
      <c r="C541" s="258">
        <v>9.66</v>
      </c>
      <c r="D541" s="260">
        <v>0.51</v>
      </c>
      <c r="E541" s="260">
        <v>18.940000000000001</v>
      </c>
      <c r="F541" s="259">
        <v>0</v>
      </c>
      <c r="G541" s="260">
        <v>0.51</v>
      </c>
      <c r="H541" s="260">
        <v>8.8699999999999992</v>
      </c>
      <c r="I541" s="260">
        <v>1.02</v>
      </c>
      <c r="J541" s="260">
        <v>1.74</v>
      </c>
      <c r="K541" s="260">
        <v>0.84</v>
      </c>
      <c r="L541" s="260">
        <v>1.53</v>
      </c>
    </row>
    <row r="542" spans="1:12" hidden="1" x14ac:dyDescent="0.25">
      <c r="A542" s="259" t="s">
        <v>586</v>
      </c>
      <c r="B542" s="261" t="str">
        <f>VLOOKUP(A542, '[2]fund-selector'!$A$2:$F$853,6,FALSE)</f>
        <v>HY-MAA</v>
      </c>
      <c r="C542" s="258">
        <v>10.78</v>
      </c>
      <c r="D542" s="260">
        <v>0.49</v>
      </c>
      <c r="E542" s="260">
        <v>14.98</v>
      </c>
      <c r="F542" s="259">
        <v>0</v>
      </c>
      <c r="G542" s="260">
        <v>0.49</v>
      </c>
      <c r="H542" s="260">
        <v>5.5</v>
      </c>
      <c r="I542" s="260">
        <v>1.17</v>
      </c>
      <c r="J542" s="260">
        <v>1.87</v>
      </c>
      <c r="K542" s="260">
        <v>0.48</v>
      </c>
      <c r="L542" s="260">
        <v>2.16</v>
      </c>
    </row>
    <row r="543" spans="1:12" hidden="1" x14ac:dyDescent="0.25">
      <c r="A543" s="259" t="s">
        <v>587</v>
      </c>
      <c r="B543" s="261" t="str">
        <f>VLOOKUP(A543, '[2]fund-selector'!$A$2:$F$853,6,FALSE)</f>
        <v>HY-DAA</v>
      </c>
      <c r="C543" s="258">
        <v>-9.5</v>
      </c>
      <c r="D543" s="260">
        <v>2.27</v>
      </c>
      <c r="E543" s="260">
        <v>11.18</v>
      </c>
      <c r="F543" s="260">
        <v>8.4600000000000009</v>
      </c>
      <c r="G543" s="260">
        <v>2.27</v>
      </c>
      <c r="H543" s="260">
        <v>14.27</v>
      </c>
      <c r="I543" s="260">
        <v>0.28000000000000003</v>
      </c>
      <c r="J543" s="260">
        <v>0.39</v>
      </c>
      <c r="K543" s="260">
        <v>1.04</v>
      </c>
      <c r="L543" s="260">
        <v>-4.1900000000000004</v>
      </c>
    </row>
    <row r="544" spans="1:12" hidden="1" x14ac:dyDescent="0.25">
      <c r="A544" s="259" t="s">
        <v>588</v>
      </c>
      <c r="B544" s="261" t="str">
        <f>VLOOKUP(A544, '[2]fund-selector'!$A$2:$F$853,6,FALSE)</f>
        <v>EQ-FLX</v>
      </c>
      <c r="C544" s="258" t="s">
        <v>54</v>
      </c>
      <c r="D544" s="259">
        <v>0</v>
      </c>
      <c r="E544" s="259">
        <v>0</v>
      </c>
      <c r="F544" s="259">
        <v>0</v>
      </c>
      <c r="G544" s="259">
        <v>0</v>
      </c>
      <c r="H544" s="259">
        <v>0</v>
      </c>
      <c r="I544" s="259">
        <v>0</v>
      </c>
      <c r="J544" s="259">
        <v>0</v>
      </c>
      <c r="K544" s="259">
        <v>0</v>
      </c>
      <c r="L544" s="259">
        <v>0</v>
      </c>
    </row>
    <row r="545" spans="1:12" hidden="1" x14ac:dyDescent="0.25">
      <c r="A545" s="259" t="s">
        <v>589</v>
      </c>
      <c r="B545" s="261" t="str">
        <f>VLOOKUP(A545, '[2]fund-selector'!$A$2:$F$853,6,FALSE)</f>
        <v>EQ-L&amp;MC</v>
      </c>
      <c r="C545" s="258">
        <v>1.03</v>
      </c>
      <c r="D545" s="260">
        <v>0.37</v>
      </c>
      <c r="E545" s="260">
        <v>20.28</v>
      </c>
      <c r="F545" s="259">
        <v>0</v>
      </c>
      <c r="G545" s="260">
        <v>0.37</v>
      </c>
      <c r="H545" s="260">
        <v>13.56</v>
      </c>
      <c r="I545" s="260">
        <v>0.79</v>
      </c>
      <c r="J545" s="260">
        <v>1.21</v>
      </c>
      <c r="K545" s="260">
        <v>0.9</v>
      </c>
      <c r="L545" s="260">
        <v>0.78</v>
      </c>
    </row>
    <row r="546" spans="1:12" hidden="1" x14ac:dyDescent="0.25">
      <c r="A546" s="259" t="s">
        <v>590</v>
      </c>
      <c r="B546" s="261" t="str">
        <f>VLOOKUP(A546, '[2]fund-selector'!$A$2:$F$853,6,FALSE)</f>
        <v>EQ-L&amp;MC</v>
      </c>
      <c r="C546" s="258">
        <v>0.12</v>
      </c>
      <c r="D546" s="260">
        <v>1.05</v>
      </c>
      <c r="E546" s="260">
        <v>19.079999999999998</v>
      </c>
      <c r="F546" s="259">
        <v>0</v>
      </c>
      <c r="G546" s="260">
        <v>1.05</v>
      </c>
      <c r="H546" s="260">
        <v>13.56</v>
      </c>
      <c r="I546" s="260">
        <v>0.71</v>
      </c>
      <c r="J546" s="260">
        <v>1.08</v>
      </c>
      <c r="K546" s="260">
        <v>0.9</v>
      </c>
      <c r="L546" s="260">
        <v>-0.24</v>
      </c>
    </row>
    <row r="547" spans="1:12" hidden="1" x14ac:dyDescent="0.25">
      <c r="A547" s="259" t="s">
        <v>591</v>
      </c>
      <c r="B547" s="261" t="str">
        <f>VLOOKUP(A547, '[2]fund-selector'!$A$2:$F$853,6,FALSE)</f>
        <v>EQ-L&amp;MC</v>
      </c>
      <c r="C547" s="258">
        <v>-4.32</v>
      </c>
      <c r="D547" s="260">
        <v>0.31</v>
      </c>
      <c r="E547" s="259">
        <v>0</v>
      </c>
      <c r="F547" s="259">
        <v>0</v>
      </c>
      <c r="G547" s="260">
        <v>0.31</v>
      </c>
      <c r="H547" s="259">
        <v>0</v>
      </c>
      <c r="I547" s="259">
        <v>0</v>
      </c>
      <c r="J547" s="259">
        <v>0</v>
      </c>
      <c r="K547" s="259">
        <v>0</v>
      </c>
      <c r="L547" s="259">
        <v>0</v>
      </c>
    </row>
    <row r="548" spans="1:12" hidden="1" x14ac:dyDescent="0.25">
      <c r="A548" s="259" t="s">
        <v>592</v>
      </c>
      <c r="B548" s="261" t="str">
        <f>VLOOKUP(A548, '[2]fund-selector'!$A$2:$F$853,6,FALSE)</f>
        <v>EQ-L&amp;MC</v>
      </c>
      <c r="C548" s="258">
        <v>-4.8899999999999997</v>
      </c>
      <c r="D548" s="260">
        <v>1.05</v>
      </c>
      <c r="E548" s="259">
        <v>0</v>
      </c>
      <c r="F548" s="259">
        <v>0</v>
      </c>
      <c r="G548" s="260">
        <v>1.05</v>
      </c>
      <c r="H548" s="259">
        <v>0</v>
      </c>
      <c r="I548" s="259">
        <v>0</v>
      </c>
      <c r="J548" s="259">
        <v>0</v>
      </c>
      <c r="K548" s="259">
        <v>0</v>
      </c>
      <c r="L548" s="259">
        <v>0</v>
      </c>
    </row>
    <row r="549" spans="1:12" hidden="1" x14ac:dyDescent="0.25">
      <c r="A549" s="259" t="s">
        <v>593</v>
      </c>
      <c r="B549" s="261" t="str">
        <f>VLOOKUP(A549, '[2]fund-selector'!$A$2:$F$853,6,FALSE)</f>
        <v>EQ-THEMATIC</v>
      </c>
      <c r="C549" s="258" t="s">
        <v>54</v>
      </c>
      <c r="D549" s="260">
        <v>2.02</v>
      </c>
      <c r="E549" s="259">
        <v>0</v>
      </c>
      <c r="F549" s="259">
        <v>0</v>
      </c>
      <c r="G549" s="260">
        <v>2.02</v>
      </c>
      <c r="H549" s="259">
        <v>0</v>
      </c>
      <c r="I549" s="259">
        <v>0</v>
      </c>
      <c r="J549" s="259">
        <v>0</v>
      </c>
      <c r="K549" s="259">
        <v>0</v>
      </c>
      <c r="L549" s="259">
        <v>0</v>
      </c>
    </row>
    <row r="550" spans="1:12" hidden="1" x14ac:dyDescent="0.25">
      <c r="A550" s="259" t="s">
        <v>594</v>
      </c>
      <c r="B550" s="261" t="str">
        <f>VLOOKUP(A550, '[2]fund-selector'!$A$2:$F$853,6,FALSE)</f>
        <v>EQ-FLX</v>
      </c>
      <c r="C550" s="258">
        <v>9.27</v>
      </c>
      <c r="D550" s="260">
        <v>1.72</v>
      </c>
      <c r="E550" s="260">
        <v>27.73</v>
      </c>
      <c r="F550" s="260">
        <v>21.35</v>
      </c>
      <c r="G550" s="260">
        <v>1.72</v>
      </c>
      <c r="H550" s="260">
        <v>16.010000000000002</v>
      </c>
      <c r="I550" s="260">
        <v>1.07</v>
      </c>
      <c r="J550" s="260">
        <v>1.35</v>
      </c>
      <c r="K550" s="260">
        <v>0.9</v>
      </c>
      <c r="L550" s="260">
        <v>6.75</v>
      </c>
    </row>
    <row r="551" spans="1:12" hidden="1" x14ac:dyDescent="0.25">
      <c r="A551" s="259" t="s">
        <v>595</v>
      </c>
      <c r="B551" s="261" t="str">
        <f>VLOOKUP(A551, '[2]fund-selector'!$A$2:$F$853,6,FALSE)</f>
        <v>EQ-FLX</v>
      </c>
      <c r="C551" s="258">
        <v>-6.97</v>
      </c>
      <c r="D551" s="260">
        <v>2.14</v>
      </c>
      <c r="E551" s="260">
        <v>13.86</v>
      </c>
      <c r="F551" s="260">
        <v>14.43</v>
      </c>
      <c r="G551" s="260">
        <v>2.14</v>
      </c>
      <c r="H551" s="260">
        <v>18.5</v>
      </c>
      <c r="I551" s="260">
        <v>0.37</v>
      </c>
      <c r="J551" s="260">
        <v>0.51</v>
      </c>
      <c r="K551" s="260">
        <v>1.1000000000000001</v>
      </c>
      <c r="L551" s="260">
        <v>-5.82</v>
      </c>
    </row>
    <row r="552" spans="1:12" hidden="1" x14ac:dyDescent="0.25">
      <c r="A552" s="259" t="s">
        <v>596</v>
      </c>
      <c r="B552" s="261" t="str">
        <f>VLOOKUP(A552, '[2]fund-selector'!$A$2:$F$853,6,FALSE)</f>
        <v>EQ-THEMATIC</v>
      </c>
      <c r="C552" s="258" t="s">
        <v>54</v>
      </c>
      <c r="D552" s="260">
        <v>2.4300000000000002</v>
      </c>
      <c r="E552" s="259">
        <v>0</v>
      </c>
      <c r="F552" s="259">
        <v>0</v>
      </c>
      <c r="G552" s="260">
        <v>2.4300000000000002</v>
      </c>
      <c r="H552" s="259">
        <v>0</v>
      </c>
      <c r="I552" s="259">
        <v>0</v>
      </c>
      <c r="J552" s="259">
        <v>0</v>
      </c>
      <c r="K552" s="259">
        <v>0</v>
      </c>
      <c r="L552" s="259">
        <v>0</v>
      </c>
    </row>
    <row r="553" spans="1:12" hidden="1" x14ac:dyDescent="0.25">
      <c r="A553" s="259" t="s">
        <v>597</v>
      </c>
      <c r="B553" s="261" t="str">
        <f>VLOOKUP(A553, '[2]fund-selector'!$A$2:$F$853,6,FALSE)</f>
        <v>EQ-L&amp;MC</v>
      </c>
      <c r="C553" s="258">
        <v>11.4</v>
      </c>
      <c r="D553" s="260">
        <v>1.73</v>
      </c>
      <c r="E553" s="260">
        <v>33.64</v>
      </c>
      <c r="F553" s="260">
        <v>29.14</v>
      </c>
      <c r="G553" s="260">
        <v>1.73</v>
      </c>
      <c r="H553" s="260">
        <v>19.22</v>
      </c>
      <c r="I553" s="260">
        <v>1.19</v>
      </c>
      <c r="J553" s="260">
        <v>1.32</v>
      </c>
      <c r="K553" s="260">
        <v>1.0900000000000001</v>
      </c>
      <c r="L553" s="260">
        <v>10.73</v>
      </c>
    </row>
    <row r="554" spans="1:12" hidden="1" x14ac:dyDescent="0.25">
      <c r="A554" s="259" t="s">
        <v>598</v>
      </c>
      <c r="B554" s="261" t="str">
        <f>VLOOKUP(A554, '[2]fund-selector'!$A$2:$F$853,6,FALSE)</f>
        <v>EQ-LC</v>
      </c>
      <c r="C554" s="258">
        <v>16.5</v>
      </c>
      <c r="D554" s="260">
        <v>2.0099999999999998</v>
      </c>
      <c r="E554" s="259">
        <v>0</v>
      </c>
      <c r="F554" s="259">
        <v>0</v>
      </c>
      <c r="G554" s="260">
        <v>2.0099999999999998</v>
      </c>
      <c r="H554" s="259">
        <v>0</v>
      </c>
      <c r="I554" s="259">
        <v>0</v>
      </c>
      <c r="J554" s="259">
        <v>0</v>
      </c>
      <c r="K554" s="259">
        <v>0</v>
      </c>
      <c r="L554" s="259">
        <v>0</v>
      </c>
    </row>
    <row r="555" spans="1:12" hidden="1" x14ac:dyDescent="0.25">
      <c r="A555" s="259" t="s">
        <v>599</v>
      </c>
      <c r="B555" s="261" t="str">
        <f>VLOOKUP(A555, '[2]fund-selector'!$A$2:$F$853,6,FALSE)</f>
        <v>EQ-THEMATIC</v>
      </c>
      <c r="C555" s="258" t="s">
        <v>54</v>
      </c>
      <c r="D555" s="260">
        <v>2.2999999999999998</v>
      </c>
      <c r="E555" s="259">
        <v>0</v>
      </c>
      <c r="F555" s="259">
        <v>0</v>
      </c>
      <c r="G555" s="260">
        <v>2.2999999999999998</v>
      </c>
      <c r="H555" s="259">
        <v>0</v>
      </c>
      <c r="I555" s="259">
        <v>0</v>
      </c>
      <c r="J555" s="259">
        <v>0</v>
      </c>
      <c r="K555" s="259">
        <v>0</v>
      </c>
      <c r="L555" s="259">
        <v>0</v>
      </c>
    </row>
    <row r="556" spans="1:12" hidden="1" x14ac:dyDescent="0.25">
      <c r="A556" s="259" t="s">
        <v>600</v>
      </c>
      <c r="B556" s="261" t="str">
        <f>VLOOKUP(A556, '[2]fund-selector'!$A$2:$F$853,6,FALSE)</f>
        <v>EQ-MC</v>
      </c>
      <c r="C556" s="258">
        <v>7.47</v>
      </c>
      <c r="D556" s="260">
        <v>1.58</v>
      </c>
      <c r="E556" s="260">
        <v>35.39</v>
      </c>
      <c r="F556" s="260">
        <v>36.03</v>
      </c>
      <c r="G556" s="260">
        <v>1.58</v>
      </c>
      <c r="H556" s="260">
        <v>18.2</v>
      </c>
      <c r="I556" s="260">
        <v>1.27</v>
      </c>
      <c r="J556" s="260">
        <v>1.56</v>
      </c>
      <c r="K556" s="260">
        <v>0.89</v>
      </c>
      <c r="L556" s="260">
        <v>7.1</v>
      </c>
    </row>
    <row r="557" spans="1:12" hidden="1" x14ac:dyDescent="0.25">
      <c r="A557" s="259" t="s">
        <v>601</v>
      </c>
      <c r="B557" s="261" t="str">
        <f>VLOOKUP(A557, '[2]fund-selector'!$A$2:$F$853,6,FALSE)</f>
        <v>HY-MAA</v>
      </c>
      <c r="C557" s="258">
        <v>-9.14</v>
      </c>
      <c r="D557" s="260">
        <v>2.04</v>
      </c>
      <c r="E557" s="260">
        <v>5.2</v>
      </c>
      <c r="F557" s="259">
        <v>0</v>
      </c>
      <c r="G557" s="260">
        <v>2.04</v>
      </c>
      <c r="H557" s="260">
        <v>9.6300000000000008</v>
      </c>
      <c r="I557" s="260">
        <v>-0.16</v>
      </c>
      <c r="J557" s="260">
        <v>-0.19</v>
      </c>
      <c r="K557" s="260">
        <v>0.73</v>
      </c>
      <c r="L557" s="260">
        <v>-8.0299999999999994</v>
      </c>
    </row>
    <row r="558" spans="1:12" hidden="1" x14ac:dyDescent="0.25">
      <c r="A558" s="259" t="s">
        <v>602</v>
      </c>
      <c r="B558" s="261" t="str">
        <f>VLOOKUP(A558, '[2]fund-selector'!$A$2:$F$853,6,FALSE)</f>
        <v>EQ-MLC</v>
      </c>
      <c r="C558" s="258" t="s">
        <v>54</v>
      </c>
      <c r="D558" s="260">
        <v>1.88</v>
      </c>
      <c r="E558" s="259">
        <v>0</v>
      </c>
      <c r="F558" s="259">
        <v>0</v>
      </c>
      <c r="G558" s="260">
        <v>1.88</v>
      </c>
      <c r="H558" s="259">
        <v>0</v>
      </c>
      <c r="I558" s="259">
        <v>0</v>
      </c>
      <c r="J558" s="259">
        <v>0</v>
      </c>
      <c r="K558" s="259">
        <v>0</v>
      </c>
      <c r="L558" s="259">
        <v>0</v>
      </c>
    </row>
    <row r="559" spans="1:12" hidden="1" x14ac:dyDescent="0.25">
      <c r="A559" s="259" t="s">
        <v>603</v>
      </c>
      <c r="B559" s="261" t="str">
        <f>VLOOKUP(A559, '[2]fund-selector'!$A$2:$F$853,6,FALSE)</f>
        <v>EQ-L&amp;MC</v>
      </c>
      <c r="C559" s="258">
        <v>-12.81</v>
      </c>
      <c r="D559" s="260">
        <v>0.3</v>
      </c>
      <c r="E559" s="260">
        <v>24.67</v>
      </c>
      <c r="F559" s="259">
        <v>0</v>
      </c>
      <c r="G559" s="260">
        <v>0.3</v>
      </c>
      <c r="H559" s="260">
        <v>19.37</v>
      </c>
      <c r="I559" s="260">
        <v>0.71</v>
      </c>
      <c r="J559" s="260">
        <v>1.01</v>
      </c>
      <c r="K559" s="260">
        <v>1.23</v>
      </c>
      <c r="L559" s="260">
        <v>0.22</v>
      </c>
    </row>
    <row r="560" spans="1:12" hidden="1" x14ac:dyDescent="0.25">
      <c r="A560" s="259" t="s">
        <v>604</v>
      </c>
      <c r="B560" s="261" t="str">
        <f>VLOOKUP(A560, '[2]fund-selector'!$A$2:$F$853,6,FALSE)</f>
        <v>EQ-L&amp;MC</v>
      </c>
      <c r="C560" s="258">
        <v>-13.39</v>
      </c>
      <c r="D560" s="260">
        <v>1</v>
      </c>
      <c r="E560" s="260">
        <v>23.92</v>
      </c>
      <c r="F560" s="259">
        <v>0</v>
      </c>
      <c r="G560" s="260">
        <v>1</v>
      </c>
      <c r="H560" s="260">
        <v>19.3</v>
      </c>
      <c r="I560" s="260">
        <v>0.68</v>
      </c>
      <c r="J560" s="260">
        <v>0.97</v>
      </c>
      <c r="K560" s="260">
        <v>1.22</v>
      </c>
      <c r="L560" s="260">
        <v>-0.34</v>
      </c>
    </row>
    <row r="561" spans="1:12" hidden="1" x14ac:dyDescent="0.25">
      <c r="A561" s="259" t="s">
        <v>605</v>
      </c>
      <c r="B561" s="261" t="str">
        <f>VLOOKUP(A561, '[2]fund-selector'!$A$2:$F$853,6,FALSE)</f>
        <v>EQ-FLX</v>
      </c>
      <c r="C561" s="258">
        <v>3.13</v>
      </c>
      <c r="D561" s="260">
        <v>0.21</v>
      </c>
      <c r="E561" s="259">
        <v>0</v>
      </c>
      <c r="F561" s="259">
        <v>0</v>
      </c>
      <c r="G561" s="260">
        <v>0.21</v>
      </c>
      <c r="H561" s="259">
        <v>0</v>
      </c>
      <c r="I561" s="259">
        <v>0</v>
      </c>
      <c r="J561" s="259">
        <v>0</v>
      </c>
      <c r="K561" s="259">
        <v>0</v>
      </c>
      <c r="L561" s="259">
        <v>0</v>
      </c>
    </row>
    <row r="562" spans="1:12" hidden="1" x14ac:dyDescent="0.25">
      <c r="A562" s="259" t="s">
        <v>606</v>
      </c>
      <c r="B562" s="261" t="str">
        <f>VLOOKUP(A562, '[2]fund-selector'!$A$2:$F$853,6,FALSE)</f>
        <v>EQ-FLX</v>
      </c>
      <c r="C562" s="258">
        <v>2.4300000000000002</v>
      </c>
      <c r="D562" s="260">
        <v>0.88</v>
      </c>
      <c r="E562" s="260">
        <v>20.350000000000001</v>
      </c>
      <c r="F562" s="260">
        <v>21.83</v>
      </c>
      <c r="G562" s="260">
        <v>0.88</v>
      </c>
      <c r="H562" s="260">
        <v>14.47</v>
      </c>
      <c r="I562" s="260">
        <v>0.74</v>
      </c>
      <c r="J562" s="260">
        <v>1.17</v>
      </c>
      <c r="K562" s="260">
        <v>1</v>
      </c>
      <c r="L562" s="260">
        <v>-0.78</v>
      </c>
    </row>
    <row r="563" spans="1:12" hidden="1" x14ac:dyDescent="0.25">
      <c r="A563" s="259" t="s">
        <v>607</v>
      </c>
      <c r="B563" s="261" t="str">
        <f>VLOOKUP(A563, '[2]fund-selector'!$A$2:$F$853,6,FALSE)</f>
        <v>EQ-FLX</v>
      </c>
      <c r="C563" s="258" t="s">
        <v>54</v>
      </c>
      <c r="D563" s="260">
        <v>0.41</v>
      </c>
      <c r="E563" s="259">
        <v>0</v>
      </c>
      <c r="F563" s="259">
        <v>0</v>
      </c>
      <c r="G563" s="260">
        <v>0.41</v>
      </c>
      <c r="H563" s="259">
        <v>0</v>
      </c>
      <c r="I563" s="259">
        <v>0</v>
      </c>
      <c r="J563" s="259">
        <v>0</v>
      </c>
      <c r="K563" s="259">
        <v>0</v>
      </c>
      <c r="L563" s="259">
        <v>0</v>
      </c>
    </row>
    <row r="564" spans="1:12" hidden="1" x14ac:dyDescent="0.25">
      <c r="A564" s="259" t="s">
        <v>608</v>
      </c>
      <c r="B564" s="261" t="str">
        <f>VLOOKUP(A564, '[2]fund-selector'!$A$2:$F$853,6,FALSE)</f>
        <v>EQ-FLX</v>
      </c>
      <c r="C564" s="258" t="s">
        <v>54</v>
      </c>
      <c r="D564" s="260">
        <v>1.0900000000000001</v>
      </c>
      <c r="E564" s="259">
        <v>0</v>
      </c>
      <c r="F564" s="259">
        <v>0</v>
      </c>
      <c r="G564" s="260">
        <v>1.0900000000000001</v>
      </c>
      <c r="H564" s="259">
        <v>0</v>
      </c>
      <c r="I564" s="259">
        <v>0</v>
      </c>
      <c r="J564" s="259">
        <v>0</v>
      </c>
      <c r="K564" s="259">
        <v>0</v>
      </c>
      <c r="L564" s="259">
        <v>0</v>
      </c>
    </row>
    <row r="565" spans="1:12" hidden="1" x14ac:dyDescent="0.25">
      <c r="A565" s="259" t="s">
        <v>609</v>
      </c>
      <c r="B565" s="261" t="str">
        <f>VLOOKUP(A565, '[2]fund-selector'!$A$2:$F$853,6,FALSE)</f>
        <v>EQ-LC</v>
      </c>
      <c r="C565" s="258" t="s">
        <v>54</v>
      </c>
      <c r="D565" s="260">
        <v>0.15</v>
      </c>
      <c r="E565" s="259">
        <v>0</v>
      </c>
      <c r="F565" s="259">
        <v>0</v>
      </c>
      <c r="G565" s="260">
        <v>0.15</v>
      </c>
      <c r="H565" s="259">
        <v>0</v>
      </c>
      <c r="I565" s="259">
        <v>0</v>
      </c>
      <c r="J565" s="259">
        <v>0</v>
      </c>
      <c r="K565" s="259">
        <v>0</v>
      </c>
      <c r="L565" s="259">
        <v>0</v>
      </c>
    </row>
    <row r="566" spans="1:12" hidden="1" x14ac:dyDescent="0.25">
      <c r="A566" s="259" t="s">
        <v>610</v>
      </c>
      <c r="B566" s="261" t="str">
        <f>VLOOKUP(A566, '[2]fund-selector'!$A$2:$F$853,6,FALSE)</f>
        <v>EQ-LC</v>
      </c>
      <c r="C566" s="258">
        <v>6.47</v>
      </c>
      <c r="D566" s="260">
        <v>0.06</v>
      </c>
      <c r="E566" s="260">
        <v>18.64</v>
      </c>
      <c r="F566" s="260">
        <v>20.6</v>
      </c>
      <c r="G566" s="260">
        <v>0.06</v>
      </c>
      <c r="H566" s="260">
        <v>13.14</v>
      </c>
      <c r="I566" s="260">
        <v>0.69</v>
      </c>
      <c r="J566" s="260">
        <v>1.17</v>
      </c>
      <c r="K566" s="260">
        <v>0.95</v>
      </c>
      <c r="L566" s="260">
        <v>-0.74</v>
      </c>
    </row>
    <row r="567" spans="1:12" hidden="1" x14ac:dyDescent="0.25">
      <c r="A567" s="259" t="s">
        <v>611</v>
      </c>
      <c r="B567" s="261" t="str">
        <f>VLOOKUP(A567, '[2]fund-selector'!$A$2:$F$853,6,FALSE)</f>
        <v>EQ-LC</v>
      </c>
      <c r="C567" s="258">
        <v>5.93</v>
      </c>
      <c r="D567" s="260">
        <v>0.51</v>
      </c>
      <c r="E567" s="260">
        <v>18.02</v>
      </c>
      <c r="F567" s="260">
        <v>19.899999999999999</v>
      </c>
      <c r="G567" s="260">
        <v>0.51</v>
      </c>
      <c r="H567" s="260">
        <v>13.14</v>
      </c>
      <c r="I567" s="260">
        <v>0.65</v>
      </c>
      <c r="J567" s="260">
        <v>1.1100000000000001</v>
      </c>
      <c r="K567" s="260">
        <v>0.95</v>
      </c>
      <c r="L567" s="260">
        <v>-1.27</v>
      </c>
    </row>
    <row r="568" spans="1:12" hidden="1" x14ac:dyDescent="0.25">
      <c r="A568" s="259" t="s">
        <v>612</v>
      </c>
      <c r="B568" s="261" t="str">
        <f>VLOOKUP(A568, '[2]fund-selector'!$A$2:$F$853,6,FALSE)</f>
        <v>EQ-THEMATIC</v>
      </c>
      <c r="C568" s="258" t="s">
        <v>54</v>
      </c>
      <c r="D568" s="260">
        <v>0.52</v>
      </c>
      <c r="E568" s="259">
        <v>0</v>
      </c>
      <c r="F568" s="259">
        <v>0</v>
      </c>
      <c r="G568" s="260">
        <v>0.52</v>
      </c>
      <c r="H568" s="259">
        <v>0</v>
      </c>
      <c r="I568" s="259">
        <v>0</v>
      </c>
      <c r="J568" s="259">
        <v>0</v>
      </c>
      <c r="K568" s="259">
        <v>0</v>
      </c>
      <c r="L568" s="259">
        <v>0</v>
      </c>
    </row>
    <row r="569" spans="1:12" hidden="1" x14ac:dyDescent="0.25">
      <c r="A569" s="259" t="s">
        <v>613</v>
      </c>
      <c r="B569" s="261" t="str">
        <f>VLOOKUP(A569, '[2]fund-selector'!$A$2:$F$853,6,FALSE)</f>
        <v>EQ-THEMATIC</v>
      </c>
      <c r="C569" s="258" t="s">
        <v>54</v>
      </c>
      <c r="D569" s="260">
        <v>1.1000000000000001</v>
      </c>
      <c r="E569" s="259">
        <v>0</v>
      </c>
      <c r="F569" s="259">
        <v>0</v>
      </c>
      <c r="G569" s="260">
        <v>1.1000000000000001</v>
      </c>
      <c r="H569" s="259">
        <v>0</v>
      </c>
      <c r="I569" s="259">
        <v>0</v>
      </c>
      <c r="J569" s="259">
        <v>0</v>
      </c>
      <c r="K569" s="259">
        <v>0</v>
      </c>
      <c r="L569" s="259">
        <v>0</v>
      </c>
    </row>
    <row r="570" spans="1:12" hidden="1" x14ac:dyDescent="0.25">
      <c r="A570" s="259" t="s">
        <v>614</v>
      </c>
      <c r="B570" s="261" t="str">
        <f>VLOOKUP(A570, '[2]fund-selector'!$A$2:$F$853,6,FALSE)</f>
        <v>EQ-THEMATIC</v>
      </c>
      <c r="C570" s="258" t="s">
        <v>54</v>
      </c>
      <c r="D570" s="260">
        <v>0.41</v>
      </c>
      <c r="E570" s="259">
        <v>0</v>
      </c>
      <c r="F570" s="259">
        <v>0</v>
      </c>
      <c r="G570" s="260">
        <v>0.41</v>
      </c>
      <c r="H570" s="259">
        <v>0</v>
      </c>
      <c r="I570" s="259">
        <v>0</v>
      </c>
      <c r="J570" s="259">
        <v>0</v>
      </c>
      <c r="K570" s="259">
        <v>0</v>
      </c>
      <c r="L570" s="259">
        <v>0</v>
      </c>
    </row>
    <row r="571" spans="1:12" hidden="1" x14ac:dyDescent="0.25">
      <c r="A571" s="259" t="s">
        <v>615</v>
      </c>
      <c r="B571" s="261" t="str">
        <f>VLOOKUP(A571, '[2]fund-selector'!$A$2:$F$853,6,FALSE)</f>
        <v>EQ-THEMATIC</v>
      </c>
      <c r="C571" s="258" t="s">
        <v>54</v>
      </c>
      <c r="D571" s="260">
        <v>1.1000000000000001</v>
      </c>
      <c r="E571" s="259">
        <v>0</v>
      </c>
      <c r="F571" s="259">
        <v>0</v>
      </c>
      <c r="G571" s="260">
        <v>1.1000000000000001</v>
      </c>
      <c r="H571" s="259">
        <v>0</v>
      </c>
      <c r="I571" s="259">
        <v>0</v>
      </c>
      <c r="J571" s="259">
        <v>0</v>
      </c>
      <c r="K571" s="259">
        <v>0</v>
      </c>
      <c r="L571" s="259">
        <v>0</v>
      </c>
    </row>
    <row r="572" spans="1:12" hidden="1" x14ac:dyDescent="0.25">
      <c r="A572" s="259" t="s">
        <v>616</v>
      </c>
      <c r="B572" s="261" t="str">
        <f>VLOOKUP(A572, '[2]fund-selector'!$A$2:$F$853,6,FALSE)</f>
        <v>EQ-THEMATIC</v>
      </c>
      <c r="C572" s="258" t="s">
        <v>54</v>
      </c>
      <c r="D572" s="260">
        <v>0.31</v>
      </c>
      <c r="E572" s="259">
        <v>0</v>
      </c>
      <c r="F572" s="259">
        <v>0</v>
      </c>
      <c r="G572" s="260">
        <v>0.31</v>
      </c>
      <c r="H572" s="259">
        <v>0</v>
      </c>
      <c r="I572" s="259">
        <v>0</v>
      </c>
      <c r="J572" s="259">
        <v>0</v>
      </c>
      <c r="K572" s="259">
        <v>0</v>
      </c>
      <c r="L572" s="259">
        <v>0</v>
      </c>
    </row>
    <row r="573" spans="1:12" hidden="1" x14ac:dyDescent="0.25">
      <c r="A573" s="259" t="s">
        <v>617</v>
      </c>
      <c r="B573" s="261" t="str">
        <f>VLOOKUP(A573, '[2]fund-selector'!$A$2:$F$853,6,FALSE)</f>
        <v>EQ-THEMATIC</v>
      </c>
      <c r="C573" s="258" t="s">
        <v>54</v>
      </c>
      <c r="D573" s="259">
        <v>0</v>
      </c>
      <c r="E573" s="259">
        <v>0</v>
      </c>
      <c r="F573" s="259">
        <v>0</v>
      </c>
      <c r="G573" s="259">
        <v>0</v>
      </c>
      <c r="H573" s="259">
        <v>0</v>
      </c>
      <c r="I573" s="259">
        <v>0</v>
      </c>
      <c r="J573" s="259">
        <v>0</v>
      </c>
      <c r="K573" s="259">
        <v>0</v>
      </c>
      <c r="L573" s="259">
        <v>0</v>
      </c>
    </row>
    <row r="574" spans="1:12" hidden="1" x14ac:dyDescent="0.25">
      <c r="A574" s="259" t="s">
        <v>618</v>
      </c>
      <c r="B574" s="261" t="str">
        <f>VLOOKUP(A574, '[2]fund-selector'!$A$2:$F$853,6,FALSE)</f>
        <v>EQ-SC</v>
      </c>
      <c r="C574" s="258">
        <v>0.75</v>
      </c>
      <c r="D574" s="260">
        <v>1.1100000000000001</v>
      </c>
      <c r="E574" s="259">
        <v>0</v>
      </c>
      <c r="F574" s="259">
        <v>0</v>
      </c>
      <c r="G574" s="260">
        <v>1.1100000000000001</v>
      </c>
      <c r="H574" s="259">
        <v>0</v>
      </c>
      <c r="I574" s="259">
        <v>0</v>
      </c>
      <c r="J574" s="259">
        <v>0</v>
      </c>
      <c r="K574" s="259">
        <v>0</v>
      </c>
      <c r="L574" s="259">
        <v>0</v>
      </c>
    </row>
    <row r="575" spans="1:12" hidden="1" x14ac:dyDescent="0.25">
      <c r="A575" s="259" t="s">
        <v>619</v>
      </c>
      <c r="B575" s="261" t="str">
        <f>VLOOKUP(A575, '[2]fund-selector'!$A$2:$F$853,6,FALSE)</f>
        <v>EQ-MC</v>
      </c>
      <c r="C575" s="258">
        <v>4.5199999999999996</v>
      </c>
      <c r="D575" s="260">
        <v>0.23</v>
      </c>
      <c r="E575" s="260">
        <v>30.74</v>
      </c>
      <c r="F575" s="260">
        <v>31.9</v>
      </c>
      <c r="G575" s="260">
        <v>0.23</v>
      </c>
      <c r="H575" s="260">
        <v>17.89</v>
      </c>
      <c r="I575" s="260">
        <v>1.1000000000000001</v>
      </c>
      <c r="J575" s="260">
        <v>1.6</v>
      </c>
      <c r="K575" s="260">
        <v>1.05</v>
      </c>
      <c r="L575" s="260">
        <v>0.67</v>
      </c>
    </row>
    <row r="576" spans="1:12" hidden="1" x14ac:dyDescent="0.25">
      <c r="A576" s="259" t="s">
        <v>620</v>
      </c>
      <c r="B576" s="261" t="str">
        <f>VLOOKUP(A576, '[2]fund-selector'!$A$2:$F$853,6,FALSE)</f>
        <v>EQ-MC</v>
      </c>
      <c r="C576" s="258">
        <v>1.75</v>
      </c>
      <c r="D576" s="260">
        <v>1</v>
      </c>
      <c r="E576" s="260">
        <v>28.57</v>
      </c>
      <c r="F576" s="260">
        <v>29.83</v>
      </c>
      <c r="G576" s="260">
        <v>1</v>
      </c>
      <c r="H576" s="260">
        <v>17</v>
      </c>
      <c r="I576" s="260">
        <v>1.06</v>
      </c>
      <c r="J576" s="260">
        <v>1.53</v>
      </c>
      <c r="K576" s="260">
        <v>1</v>
      </c>
      <c r="L576" s="260">
        <v>-0.09</v>
      </c>
    </row>
    <row r="577" spans="1:12" hidden="1" x14ac:dyDescent="0.25">
      <c r="A577" s="259" t="s">
        <v>622</v>
      </c>
      <c r="B577" s="261" t="str">
        <f>VLOOKUP(A577, '[2]fund-selector'!$A$2:$F$853,6,FALSE)</f>
        <v>EQ-THEMATIC</v>
      </c>
      <c r="C577" s="258" t="s">
        <v>54</v>
      </c>
      <c r="D577" s="260">
        <v>1.1000000000000001</v>
      </c>
      <c r="E577" s="259">
        <v>0</v>
      </c>
      <c r="F577" s="259">
        <v>0</v>
      </c>
      <c r="G577" s="260">
        <v>1.1000000000000001</v>
      </c>
      <c r="H577" s="259">
        <v>0</v>
      </c>
      <c r="I577" s="259">
        <v>0</v>
      </c>
      <c r="J577" s="259">
        <v>0</v>
      </c>
      <c r="K577" s="259">
        <v>0</v>
      </c>
      <c r="L577" s="259">
        <v>0</v>
      </c>
    </row>
    <row r="578" spans="1:12" hidden="1" x14ac:dyDescent="0.25">
      <c r="A578" s="259" t="s">
        <v>623</v>
      </c>
      <c r="B578" s="261" t="str">
        <f>VLOOKUP(A578, '[2]fund-selector'!$A$2:$F$853,6,FALSE)</f>
        <v>EQ-LC</v>
      </c>
      <c r="C578" s="258" t="s">
        <v>54</v>
      </c>
      <c r="D578" s="260">
        <v>0.2</v>
      </c>
      <c r="E578" s="259">
        <v>0</v>
      </c>
      <c r="F578" s="259">
        <v>0</v>
      </c>
      <c r="G578" s="260">
        <v>0.2</v>
      </c>
      <c r="H578" s="259">
        <v>0</v>
      </c>
      <c r="I578" s="259">
        <v>0</v>
      </c>
      <c r="J578" s="259">
        <v>0</v>
      </c>
      <c r="K578" s="259">
        <v>0</v>
      </c>
      <c r="L578" s="259">
        <v>0</v>
      </c>
    </row>
    <row r="579" spans="1:12" hidden="1" x14ac:dyDescent="0.25">
      <c r="A579" s="259" t="s">
        <v>624</v>
      </c>
      <c r="B579" s="261" t="str">
        <f>VLOOKUP(A579, '[2]fund-selector'!$A$2:$F$853,6,FALSE)</f>
        <v>EQ-LC</v>
      </c>
      <c r="C579" s="258">
        <v>-8.16</v>
      </c>
      <c r="D579" s="260">
        <v>1.04</v>
      </c>
      <c r="E579" s="260">
        <v>22.22</v>
      </c>
      <c r="F579" s="260">
        <v>20.51</v>
      </c>
      <c r="G579" s="260">
        <v>1.04</v>
      </c>
      <c r="H579" s="260">
        <v>19.5</v>
      </c>
      <c r="I579" s="260">
        <v>0.68</v>
      </c>
      <c r="J579" s="260">
        <v>1.01</v>
      </c>
      <c r="K579" s="260">
        <v>1.3</v>
      </c>
      <c r="L579" s="260">
        <v>-0.03</v>
      </c>
    </row>
    <row r="580" spans="1:12" hidden="1" x14ac:dyDescent="0.25">
      <c r="A580" s="259" t="s">
        <v>626</v>
      </c>
      <c r="B580" s="261" t="str">
        <f>VLOOKUP(A580, '[2]fund-selector'!$A$2:$F$853,6,FALSE)</f>
        <v>EQ-THEMATIC</v>
      </c>
      <c r="C580" s="258">
        <v>-11.24</v>
      </c>
      <c r="D580" s="260">
        <v>0.41</v>
      </c>
      <c r="E580" s="259">
        <v>0</v>
      </c>
      <c r="F580" s="259">
        <v>0</v>
      </c>
      <c r="G580" s="260">
        <v>0.41</v>
      </c>
      <c r="H580" s="259">
        <v>0</v>
      </c>
      <c r="I580" s="259">
        <v>0</v>
      </c>
      <c r="J580" s="259">
        <v>0</v>
      </c>
      <c r="K580" s="259">
        <v>0</v>
      </c>
      <c r="L580" s="259">
        <v>0</v>
      </c>
    </row>
    <row r="581" spans="1:12" hidden="1" x14ac:dyDescent="0.25">
      <c r="A581" s="259" t="s">
        <v>627</v>
      </c>
      <c r="B581" s="261" t="str">
        <f>VLOOKUP(A581, '[2]fund-selector'!$A$2:$F$853,6,FALSE)</f>
        <v>EQ-SC</v>
      </c>
      <c r="C581" s="258">
        <v>-0.85</v>
      </c>
      <c r="D581" s="260">
        <v>0.31</v>
      </c>
      <c r="E581" s="259">
        <v>0</v>
      </c>
      <c r="F581" s="259">
        <v>0</v>
      </c>
      <c r="G581" s="260">
        <v>0.31</v>
      </c>
      <c r="H581" s="259">
        <v>0</v>
      </c>
      <c r="I581" s="259">
        <v>0</v>
      </c>
      <c r="J581" s="259">
        <v>0</v>
      </c>
      <c r="K581" s="259">
        <v>0</v>
      </c>
      <c r="L581" s="259">
        <v>0</v>
      </c>
    </row>
    <row r="582" spans="1:12" hidden="1" x14ac:dyDescent="0.25">
      <c r="A582" s="259" t="s">
        <v>628</v>
      </c>
      <c r="B582" s="261" t="str">
        <f>VLOOKUP(A582, '[2]fund-selector'!$A$2:$F$853,6,FALSE)</f>
        <v>EQ-SC</v>
      </c>
      <c r="C582" s="258">
        <v>-1.26</v>
      </c>
      <c r="D582" s="260">
        <v>1.04</v>
      </c>
      <c r="E582" s="260">
        <v>27.85</v>
      </c>
      <c r="F582" s="260">
        <v>31.99</v>
      </c>
      <c r="G582" s="260">
        <v>1.04</v>
      </c>
      <c r="H582" s="260">
        <v>19.96</v>
      </c>
      <c r="I582" s="260">
        <v>0.87</v>
      </c>
      <c r="J582" s="260">
        <v>1.28</v>
      </c>
      <c r="K582" s="260">
        <v>1.02</v>
      </c>
      <c r="L582" s="260">
        <v>-1.07</v>
      </c>
    </row>
    <row r="583" spans="1:12" hidden="1" x14ac:dyDescent="0.25">
      <c r="A583" s="259" t="s">
        <v>629</v>
      </c>
      <c r="B583" s="261" t="str">
        <f>VLOOKUP(A583, '[2]fund-selector'!$A$2:$F$853,6,FALSE)</f>
        <v>EQ-THEMATIC</v>
      </c>
      <c r="C583" s="258" t="s">
        <v>54</v>
      </c>
      <c r="D583" s="260">
        <v>0.96</v>
      </c>
      <c r="E583" s="259">
        <v>0</v>
      </c>
      <c r="F583" s="259">
        <v>0</v>
      </c>
      <c r="G583" s="260">
        <v>0.96</v>
      </c>
      <c r="H583" s="259">
        <v>0</v>
      </c>
      <c r="I583" s="259">
        <v>0</v>
      </c>
      <c r="J583" s="259">
        <v>0</v>
      </c>
      <c r="K583" s="259">
        <v>0</v>
      </c>
      <c r="L583" s="259">
        <v>0</v>
      </c>
    </row>
    <row r="584" spans="1:12" hidden="1" x14ac:dyDescent="0.25">
      <c r="A584" s="259" t="s">
        <v>630</v>
      </c>
      <c r="B584" s="261" t="str">
        <f>VLOOKUP(A584, '[2]fund-selector'!$A$2:$F$853,6,FALSE)</f>
        <v>EQ-THEMATIC</v>
      </c>
      <c r="C584" s="258" t="s">
        <v>54</v>
      </c>
      <c r="D584" s="259">
        <v>0</v>
      </c>
      <c r="E584" s="259">
        <v>0</v>
      </c>
      <c r="F584" s="259">
        <v>0</v>
      </c>
      <c r="G584" s="259">
        <v>0</v>
      </c>
      <c r="H584" s="259">
        <v>0</v>
      </c>
      <c r="I584" s="259">
        <v>0</v>
      </c>
      <c r="J584" s="259">
        <v>0</v>
      </c>
      <c r="K584" s="259">
        <v>0</v>
      </c>
      <c r="L584" s="259">
        <v>0</v>
      </c>
    </row>
    <row r="585" spans="1:12" hidden="1" x14ac:dyDescent="0.25">
      <c r="A585" s="259" t="s">
        <v>631</v>
      </c>
      <c r="B585" s="261" t="str">
        <f>VLOOKUP(A585, '[2]fund-selector'!$A$2:$F$853,6,FALSE)</f>
        <v>EQ-SC</v>
      </c>
      <c r="C585" s="258">
        <v>14.07</v>
      </c>
      <c r="D585" s="260">
        <v>1.84</v>
      </c>
      <c r="E585" s="259">
        <v>0</v>
      </c>
      <c r="F585" s="259">
        <v>0</v>
      </c>
      <c r="G585" s="260">
        <v>1.84</v>
      </c>
      <c r="H585" s="259">
        <v>0</v>
      </c>
      <c r="I585" s="259">
        <v>0</v>
      </c>
      <c r="J585" s="259">
        <v>0</v>
      </c>
      <c r="K585" s="259">
        <v>0</v>
      </c>
      <c r="L585" s="259">
        <v>0</v>
      </c>
    </row>
    <row r="586" spans="1:12" hidden="1" x14ac:dyDescent="0.25">
      <c r="A586" s="259" t="s">
        <v>1228</v>
      </c>
      <c r="B586" s="261" t="str">
        <f>VLOOKUP(A586, '[2]fund-selector'!$A$2:$F$853,6,FALSE)</f>
        <v>HY-AH</v>
      </c>
      <c r="C586" s="258">
        <v>3.63</v>
      </c>
      <c r="D586" s="260">
        <v>2.2799999999999998</v>
      </c>
      <c r="E586" s="260">
        <v>15.83</v>
      </c>
      <c r="F586" s="260">
        <v>15.48</v>
      </c>
      <c r="G586" s="260">
        <v>2.2799999999999998</v>
      </c>
      <c r="H586" s="260">
        <v>10.210000000000001</v>
      </c>
      <c r="I586" s="260">
        <v>0.68</v>
      </c>
      <c r="J586" s="260">
        <v>1.04</v>
      </c>
      <c r="K586" s="260">
        <v>0.82</v>
      </c>
      <c r="L586" s="260">
        <v>-0.91</v>
      </c>
    </row>
    <row r="587" spans="1:12" hidden="1" x14ac:dyDescent="0.25">
      <c r="A587" s="259" t="s">
        <v>632</v>
      </c>
      <c r="B587" s="261" t="str">
        <f>VLOOKUP(A587, '[2]fund-selector'!$A$2:$F$853,6,FALSE)</f>
        <v>EQ-LC</v>
      </c>
      <c r="C587" s="258">
        <v>5.41</v>
      </c>
      <c r="D587" s="260">
        <v>0.9</v>
      </c>
      <c r="E587" s="259">
        <v>0</v>
      </c>
      <c r="F587" s="259">
        <v>0</v>
      </c>
      <c r="G587" s="260">
        <v>0.9</v>
      </c>
      <c r="H587" s="259">
        <v>0</v>
      </c>
      <c r="I587" s="259">
        <v>0</v>
      </c>
      <c r="J587" s="259">
        <v>0</v>
      </c>
      <c r="K587" s="259">
        <v>0</v>
      </c>
      <c r="L587" s="259">
        <v>0</v>
      </c>
    </row>
    <row r="588" spans="1:12" hidden="1" x14ac:dyDescent="0.25">
      <c r="A588" s="259" t="s">
        <v>633</v>
      </c>
      <c r="B588" s="261" t="str">
        <f>VLOOKUP(A588, '[2]fund-selector'!$A$2:$F$853,6,FALSE)</f>
        <v>EQ-FLX</v>
      </c>
      <c r="C588" s="258">
        <v>-1.73</v>
      </c>
      <c r="D588" s="260">
        <v>2.29</v>
      </c>
      <c r="E588" s="260">
        <v>17.25</v>
      </c>
      <c r="F588" s="260">
        <v>18.88</v>
      </c>
      <c r="G588" s="260">
        <v>2.29</v>
      </c>
      <c r="H588" s="260">
        <v>14.08</v>
      </c>
      <c r="I588" s="260">
        <v>0.59</v>
      </c>
      <c r="J588" s="260">
        <v>0.95</v>
      </c>
      <c r="K588" s="260">
        <v>0.93</v>
      </c>
      <c r="L588" s="260">
        <v>-2.5</v>
      </c>
    </row>
    <row r="589" spans="1:12" hidden="1" x14ac:dyDescent="0.25">
      <c r="A589" s="259" t="s">
        <v>634</v>
      </c>
      <c r="B589" s="261" t="str">
        <f>VLOOKUP(A589, '[2]fund-selector'!$A$2:$F$853,6,FALSE)</f>
        <v>EQ-L&amp;MC</v>
      </c>
      <c r="C589" s="258">
        <v>1.44</v>
      </c>
      <c r="D589" s="260">
        <v>2.2599999999999998</v>
      </c>
      <c r="E589" s="260">
        <v>17.88</v>
      </c>
      <c r="F589" s="260">
        <v>21.56</v>
      </c>
      <c r="G589" s="260">
        <v>2.2599999999999998</v>
      </c>
      <c r="H589" s="260">
        <v>14.96</v>
      </c>
      <c r="I589" s="260">
        <v>0.59</v>
      </c>
      <c r="J589" s="260">
        <v>0.89</v>
      </c>
      <c r="K589" s="260">
        <v>0.97</v>
      </c>
      <c r="L589" s="260">
        <v>-1.93</v>
      </c>
    </row>
    <row r="590" spans="1:12" hidden="1" x14ac:dyDescent="0.25">
      <c r="A590" s="259" t="s">
        <v>635</v>
      </c>
      <c r="B590" s="261" t="str">
        <f>VLOOKUP(A590, '[2]fund-selector'!$A$2:$F$853,6,FALSE)</f>
        <v>EQ-MLC</v>
      </c>
      <c r="C590" s="258" t="s">
        <v>54</v>
      </c>
      <c r="D590" s="260">
        <v>0.99</v>
      </c>
      <c r="E590" s="259">
        <v>0</v>
      </c>
      <c r="F590" s="259">
        <v>0</v>
      </c>
      <c r="G590" s="260">
        <v>0.99</v>
      </c>
      <c r="H590" s="259">
        <v>0</v>
      </c>
      <c r="I590" s="259">
        <v>0</v>
      </c>
      <c r="J590" s="259">
        <v>0</v>
      </c>
      <c r="K590" s="259">
        <v>0</v>
      </c>
      <c r="L590" s="259">
        <v>0</v>
      </c>
    </row>
    <row r="591" spans="1:12" hidden="1" x14ac:dyDescent="0.25">
      <c r="A591" s="259" t="s">
        <v>636</v>
      </c>
      <c r="B591" s="261" t="str">
        <f>VLOOKUP(A591, '[2]fund-selector'!$A$2:$F$853,6,FALSE)</f>
        <v>EQ-LC</v>
      </c>
      <c r="C591" s="258">
        <v>6.14</v>
      </c>
      <c r="D591" s="260">
        <v>0.26</v>
      </c>
      <c r="E591" s="260">
        <v>18.239999999999998</v>
      </c>
      <c r="F591" s="259">
        <v>0</v>
      </c>
      <c r="G591" s="260">
        <v>0.26</v>
      </c>
      <c r="H591" s="260">
        <v>13.13</v>
      </c>
      <c r="I591" s="260">
        <v>0.66</v>
      </c>
      <c r="J591" s="260">
        <v>1.1299999999999999</v>
      </c>
      <c r="K591" s="260">
        <v>0.95</v>
      </c>
      <c r="L591" s="260">
        <v>-1.08</v>
      </c>
    </row>
    <row r="592" spans="1:12" hidden="1" x14ac:dyDescent="0.25">
      <c r="A592" s="259" t="s">
        <v>637</v>
      </c>
      <c r="B592" s="261" t="str">
        <f>VLOOKUP(A592, '[2]fund-selector'!$A$2:$F$853,6,FALSE)</f>
        <v>EQ-THEMATIC</v>
      </c>
      <c r="C592" s="258">
        <v>-3.99</v>
      </c>
      <c r="D592" s="260">
        <v>1</v>
      </c>
      <c r="E592" s="259">
        <v>0</v>
      </c>
      <c r="F592" s="259">
        <v>0</v>
      </c>
      <c r="G592" s="260">
        <v>1</v>
      </c>
      <c r="H592" s="259">
        <v>0</v>
      </c>
      <c r="I592" s="259">
        <v>0</v>
      </c>
      <c r="J592" s="259">
        <v>0</v>
      </c>
      <c r="K592" s="259">
        <v>0</v>
      </c>
      <c r="L592" s="259">
        <v>0</v>
      </c>
    </row>
    <row r="593" spans="1:12" hidden="1" x14ac:dyDescent="0.25">
      <c r="A593" s="259" t="s">
        <v>638</v>
      </c>
      <c r="B593" s="261" t="str">
        <f>VLOOKUP(A593, '[2]fund-selector'!$A$2:$F$853,6,FALSE)</f>
        <v>EQ-MC</v>
      </c>
      <c r="C593" s="258">
        <v>1.38</v>
      </c>
      <c r="D593" s="260">
        <v>1</v>
      </c>
      <c r="E593" s="260">
        <v>28.08</v>
      </c>
      <c r="F593" s="259">
        <v>0</v>
      </c>
      <c r="G593" s="260">
        <v>1</v>
      </c>
      <c r="H593" s="260">
        <v>16.920000000000002</v>
      </c>
      <c r="I593" s="260">
        <v>1.04</v>
      </c>
      <c r="J593" s="260">
        <v>1.5</v>
      </c>
      <c r="K593" s="260">
        <v>0.99</v>
      </c>
      <c r="L593" s="260">
        <v>-0.42</v>
      </c>
    </row>
    <row r="594" spans="1:12" hidden="1" x14ac:dyDescent="0.25">
      <c r="A594" s="259" t="s">
        <v>639</v>
      </c>
      <c r="B594" s="261" t="str">
        <f>VLOOKUP(A594, '[2]fund-selector'!$A$2:$F$853,6,FALSE)</f>
        <v>EQ-LC</v>
      </c>
      <c r="C594" s="258">
        <v>-7.95</v>
      </c>
      <c r="D594" s="260">
        <v>0.57999999999999996</v>
      </c>
      <c r="E594" s="260">
        <v>22.39</v>
      </c>
      <c r="F594" s="259">
        <v>0</v>
      </c>
      <c r="G594" s="260">
        <v>0.57999999999999996</v>
      </c>
      <c r="H594" s="260">
        <v>19.47</v>
      </c>
      <c r="I594" s="260">
        <v>0.69</v>
      </c>
      <c r="J594" s="260">
        <v>1.03</v>
      </c>
      <c r="K594" s="260">
        <v>1.29</v>
      </c>
      <c r="L594" s="260">
        <v>0.14000000000000001</v>
      </c>
    </row>
    <row r="595" spans="1:12" hidden="1" x14ac:dyDescent="0.25">
      <c r="A595" s="259" t="s">
        <v>640</v>
      </c>
      <c r="B595" s="261" t="str">
        <f>VLOOKUP(A595, '[2]fund-selector'!$A$2:$F$853,6,FALSE)</f>
        <v>EQ-SC</v>
      </c>
      <c r="C595" s="258" t="s">
        <v>54</v>
      </c>
      <c r="D595" s="260">
        <v>1</v>
      </c>
      <c r="E595" s="259">
        <v>0</v>
      </c>
      <c r="F595" s="259">
        <v>0</v>
      </c>
      <c r="G595" s="260">
        <v>1</v>
      </c>
      <c r="H595" s="259">
        <v>0</v>
      </c>
      <c r="I595" s="259">
        <v>0</v>
      </c>
      <c r="J595" s="259">
        <v>0</v>
      </c>
      <c r="K595" s="259">
        <v>0</v>
      </c>
      <c r="L595" s="259">
        <v>0</v>
      </c>
    </row>
    <row r="596" spans="1:12" hidden="1" x14ac:dyDescent="0.25">
      <c r="A596" s="259" t="s">
        <v>641</v>
      </c>
      <c r="B596" s="261" t="str">
        <f>VLOOKUP(A596, '[2]fund-selector'!$A$2:$F$853,6,FALSE)</f>
        <v>EQ-THEMATIC</v>
      </c>
      <c r="C596" s="258" t="s">
        <v>54</v>
      </c>
      <c r="D596" s="260">
        <v>1.66</v>
      </c>
      <c r="E596" s="259">
        <v>0</v>
      </c>
      <c r="F596" s="259">
        <v>0</v>
      </c>
      <c r="G596" s="260">
        <v>1.66</v>
      </c>
      <c r="H596" s="259">
        <v>0</v>
      </c>
      <c r="I596" s="259">
        <v>0</v>
      </c>
      <c r="J596" s="259">
        <v>0</v>
      </c>
      <c r="K596" s="259">
        <v>0</v>
      </c>
      <c r="L596" s="259">
        <v>0</v>
      </c>
    </row>
    <row r="597" spans="1:12" hidden="1" x14ac:dyDescent="0.25">
      <c r="A597" s="259" t="s">
        <v>1385</v>
      </c>
      <c r="B597" s="261" t="str">
        <f>VLOOKUP(A597, '[2]fund-selector'!$A$2:$F$853,6,FALSE)</f>
        <v>HY-AR</v>
      </c>
      <c r="C597" s="258">
        <v>6.76</v>
      </c>
      <c r="D597" s="260">
        <v>1.07</v>
      </c>
      <c r="E597" s="260">
        <v>6.73</v>
      </c>
      <c r="F597" s="260">
        <v>5.45</v>
      </c>
      <c r="G597" s="260">
        <v>1.07</v>
      </c>
      <c r="H597" s="260">
        <v>0.52</v>
      </c>
      <c r="I597" s="260">
        <v>0.24</v>
      </c>
      <c r="J597" s="260">
        <v>0.26</v>
      </c>
      <c r="K597" s="260">
        <v>0.56999999999999995</v>
      </c>
      <c r="L597" s="260">
        <v>1.2</v>
      </c>
    </row>
    <row r="598" spans="1:12" hidden="1" x14ac:dyDescent="0.25">
      <c r="A598" s="259" t="s">
        <v>642</v>
      </c>
      <c r="B598" s="261" t="str">
        <f>VLOOKUP(A598, '[2]fund-selector'!$A$2:$F$853,6,FALSE)</f>
        <v>HY-DAA</v>
      </c>
      <c r="C598" s="258">
        <v>5.95</v>
      </c>
      <c r="D598" s="260">
        <v>1.74</v>
      </c>
      <c r="E598" s="260">
        <v>14.65</v>
      </c>
      <c r="F598" s="260">
        <v>14.78</v>
      </c>
      <c r="G598" s="260">
        <v>1.74</v>
      </c>
      <c r="H598" s="260">
        <v>7.42</v>
      </c>
      <c r="I598" s="260">
        <v>0.91</v>
      </c>
      <c r="J598" s="260">
        <v>1.38</v>
      </c>
      <c r="K598" s="260">
        <v>0.71</v>
      </c>
      <c r="L598" s="260">
        <v>1.1599999999999999</v>
      </c>
    </row>
    <row r="599" spans="1:12" hidden="1" x14ac:dyDescent="0.25">
      <c r="A599" s="259" t="s">
        <v>643</v>
      </c>
      <c r="B599" s="261" t="str">
        <f>VLOOKUP(A599, '[2]fund-selector'!$A$2:$F$853,6,FALSE)</f>
        <v>EQ-LC</v>
      </c>
      <c r="C599" s="258" t="s">
        <v>54</v>
      </c>
      <c r="D599" s="259">
        <v>0</v>
      </c>
      <c r="E599" s="259">
        <v>0</v>
      </c>
      <c r="F599" s="259">
        <v>0</v>
      </c>
      <c r="G599" s="259">
        <v>0</v>
      </c>
      <c r="H599" s="259">
        <v>0</v>
      </c>
      <c r="I599" s="259">
        <v>0</v>
      </c>
      <c r="J599" s="259">
        <v>0</v>
      </c>
      <c r="K599" s="259">
        <v>0</v>
      </c>
      <c r="L599" s="259">
        <v>0</v>
      </c>
    </row>
    <row r="600" spans="1:12" hidden="1" x14ac:dyDescent="0.25">
      <c r="A600" s="259" t="s">
        <v>644</v>
      </c>
      <c r="B600" s="261" t="str">
        <f>VLOOKUP(A600, '[2]fund-selector'!$A$2:$F$853,6,FALSE)</f>
        <v>EQ-LC</v>
      </c>
      <c r="C600" s="258" t="s">
        <v>54</v>
      </c>
      <c r="D600" s="259">
        <v>0</v>
      </c>
      <c r="E600" s="259">
        <v>0</v>
      </c>
      <c r="F600" s="259">
        <v>0</v>
      </c>
      <c r="G600" s="259">
        <v>0</v>
      </c>
      <c r="H600" s="259">
        <v>0</v>
      </c>
      <c r="I600" s="259">
        <v>0</v>
      </c>
      <c r="J600" s="259">
        <v>0</v>
      </c>
      <c r="K600" s="259">
        <v>0</v>
      </c>
      <c r="L600" s="259">
        <v>0</v>
      </c>
    </row>
    <row r="601" spans="1:12" hidden="1" x14ac:dyDescent="0.25">
      <c r="A601" s="259" t="s">
        <v>646</v>
      </c>
      <c r="B601" s="261" t="str">
        <f>VLOOKUP(A601, '[2]fund-selector'!$A$2:$F$853,6,FALSE)</f>
        <v>EQ-FLX</v>
      </c>
      <c r="C601" s="258">
        <v>1.84</v>
      </c>
      <c r="D601" s="260">
        <v>0.57999999999999996</v>
      </c>
      <c r="E601" s="260">
        <v>20.02</v>
      </c>
      <c r="F601" s="259">
        <v>0</v>
      </c>
      <c r="G601" s="260">
        <v>0.57999999999999996</v>
      </c>
      <c r="H601" s="260">
        <v>14.36</v>
      </c>
      <c r="I601" s="260">
        <v>0.74</v>
      </c>
      <c r="J601" s="260">
        <v>1.29</v>
      </c>
      <c r="K601" s="260">
        <v>0.98</v>
      </c>
      <c r="L601" s="260">
        <v>-0.66</v>
      </c>
    </row>
    <row r="602" spans="1:12" hidden="1" x14ac:dyDescent="0.25">
      <c r="A602" s="259" t="s">
        <v>1229</v>
      </c>
      <c r="B602" s="261" t="str">
        <f>VLOOKUP(A602, '[2]fund-selector'!$A$2:$F$853,6,FALSE)</f>
        <v>HY-AH</v>
      </c>
      <c r="C602" s="258">
        <v>5.35</v>
      </c>
      <c r="D602" s="260">
        <v>1.97</v>
      </c>
      <c r="E602" s="260">
        <v>19.45</v>
      </c>
      <c r="F602" s="260">
        <v>20.12</v>
      </c>
      <c r="G602" s="260">
        <v>1.97</v>
      </c>
      <c r="H602" s="260">
        <v>10.130000000000001</v>
      </c>
      <c r="I602" s="260">
        <v>1</v>
      </c>
      <c r="J602" s="260">
        <v>1.64</v>
      </c>
      <c r="K602" s="260">
        <v>0.83</v>
      </c>
      <c r="L602" s="260">
        <v>2.16</v>
      </c>
    </row>
    <row r="603" spans="1:12" hidden="1" x14ac:dyDescent="0.25">
      <c r="A603" s="259" t="s">
        <v>647</v>
      </c>
      <c r="B603" s="261" t="str">
        <f>VLOOKUP(A603, '[2]fund-selector'!$A$2:$F$853,6,FALSE)</f>
        <v>EQ-LC</v>
      </c>
      <c r="C603" s="258">
        <v>6.29</v>
      </c>
      <c r="D603" s="260">
        <v>0.04</v>
      </c>
      <c r="E603" s="260">
        <v>17.86</v>
      </c>
      <c r="F603" s="260">
        <v>19.899999999999999</v>
      </c>
      <c r="G603" s="260">
        <v>0.04</v>
      </c>
      <c r="H603" s="260">
        <v>12.7</v>
      </c>
      <c r="I603" s="260">
        <v>0.67</v>
      </c>
      <c r="J603" s="260">
        <v>1.1100000000000001</v>
      </c>
      <c r="K603" s="260">
        <v>0.91</v>
      </c>
      <c r="L603" s="260">
        <v>-0.91</v>
      </c>
    </row>
    <row r="604" spans="1:12" hidden="1" x14ac:dyDescent="0.25">
      <c r="A604" s="259" t="s">
        <v>648</v>
      </c>
      <c r="B604" s="261" t="str">
        <f>VLOOKUP(A604, '[2]fund-selector'!$A$2:$F$853,6,FALSE)</f>
        <v>EQ-LC</v>
      </c>
      <c r="C604" s="258">
        <v>1.06</v>
      </c>
      <c r="D604" s="260">
        <v>0.23</v>
      </c>
      <c r="E604" s="260">
        <v>25.72</v>
      </c>
      <c r="F604" s="260">
        <v>25.49</v>
      </c>
      <c r="G604" s="260">
        <v>0.23</v>
      </c>
      <c r="H604" s="260">
        <v>17.72</v>
      </c>
      <c r="I604" s="260">
        <v>0.88</v>
      </c>
      <c r="J604" s="260">
        <v>1.29</v>
      </c>
      <c r="K604" s="260">
        <v>1.21</v>
      </c>
      <c r="L604" s="260">
        <v>3.15</v>
      </c>
    </row>
    <row r="605" spans="1:12" hidden="1" x14ac:dyDescent="0.25">
      <c r="A605" s="259" t="s">
        <v>649</v>
      </c>
      <c r="B605" s="261" t="str">
        <f>VLOOKUP(A605, '[2]fund-selector'!$A$2:$F$853,6,FALSE)</f>
        <v>EQ-LC</v>
      </c>
      <c r="C605" s="258">
        <v>3.42</v>
      </c>
      <c r="D605" s="260">
        <v>0.5</v>
      </c>
      <c r="E605" s="260">
        <v>18.43</v>
      </c>
      <c r="F605" s="260">
        <v>20.04</v>
      </c>
      <c r="G605" s="260">
        <v>0.5</v>
      </c>
      <c r="H605" s="260">
        <v>13.95</v>
      </c>
      <c r="I605" s="260">
        <v>0.65</v>
      </c>
      <c r="J605" s="260">
        <v>1.05</v>
      </c>
      <c r="K605" s="260">
        <v>1.01</v>
      </c>
      <c r="L605" s="260">
        <v>-1.39</v>
      </c>
    </row>
    <row r="606" spans="1:12" hidden="1" x14ac:dyDescent="0.25">
      <c r="A606" s="259" t="s">
        <v>650</v>
      </c>
      <c r="B606" s="261" t="str">
        <f>VLOOKUP(A606, '[2]fund-selector'!$A$2:$F$853,6,FALSE)</f>
        <v>EQ-LC</v>
      </c>
      <c r="C606" s="258">
        <v>6.5</v>
      </c>
      <c r="D606" s="260">
        <v>0.04</v>
      </c>
      <c r="E606" s="260">
        <v>18.66</v>
      </c>
      <c r="F606" s="260">
        <v>20.65</v>
      </c>
      <c r="G606" s="260">
        <v>0.04</v>
      </c>
      <c r="H606" s="260">
        <v>13.13</v>
      </c>
      <c r="I606" s="260">
        <v>0.69</v>
      </c>
      <c r="J606" s="260">
        <v>1.18</v>
      </c>
      <c r="K606" s="260">
        <v>0.95</v>
      </c>
      <c r="L606" s="260">
        <v>-0.72</v>
      </c>
    </row>
    <row r="607" spans="1:12" hidden="1" x14ac:dyDescent="0.25">
      <c r="A607" s="259" t="s">
        <v>651</v>
      </c>
      <c r="B607" s="261" t="str">
        <f>VLOOKUP(A607, '[2]fund-selector'!$A$2:$F$853,6,FALSE)</f>
        <v>EQ-LC</v>
      </c>
      <c r="C607" s="258">
        <v>-0.46</v>
      </c>
      <c r="D607" s="260">
        <v>0.96</v>
      </c>
      <c r="E607" s="260">
        <v>11.13</v>
      </c>
      <c r="F607" s="260">
        <v>15.45</v>
      </c>
      <c r="G607" s="260">
        <v>0.96</v>
      </c>
      <c r="H607" s="260">
        <v>15.97</v>
      </c>
      <c r="I607" s="260">
        <v>0.14000000000000001</v>
      </c>
      <c r="J607" s="260">
        <v>0.22</v>
      </c>
      <c r="K607" s="260">
        <v>0.99</v>
      </c>
      <c r="L607" s="260">
        <v>-7.96</v>
      </c>
    </row>
    <row r="608" spans="1:12" hidden="1" x14ac:dyDescent="0.25">
      <c r="A608" s="259" t="s">
        <v>652</v>
      </c>
      <c r="B608" s="261" t="str">
        <f>VLOOKUP(A608, '[2]fund-selector'!$A$2:$F$853,6,FALSE)</f>
        <v>EQ-THEMATIC</v>
      </c>
      <c r="C608" s="258">
        <v>-1.72</v>
      </c>
      <c r="D608" s="260">
        <v>0.37</v>
      </c>
      <c r="E608" s="260">
        <v>24.5</v>
      </c>
      <c r="F608" s="260">
        <v>24.57</v>
      </c>
      <c r="G608" s="260">
        <v>0.37</v>
      </c>
      <c r="H608" s="260">
        <v>15.6</v>
      </c>
      <c r="I608" s="260">
        <v>0.91</v>
      </c>
      <c r="J608" s="260">
        <v>1.3</v>
      </c>
      <c r="K608" s="260">
        <v>0.97</v>
      </c>
      <c r="L608" s="260">
        <v>3.01</v>
      </c>
    </row>
    <row r="609" spans="1:12" hidden="1" x14ac:dyDescent="0.25">
      <c r="A609" s="259" t="s">
        <v>654</v>
      </c>
      <c r="B609" s="261" t="str">
        <f>VLOOKUP(A609, '[2]fund-selector'!$A$2:$F$853,6,FALSE)</f>
        <v>EQ-MC</v>
      </c>
      <c r="C609" s="258">
        <v>2.37</v>
      </c>
      <c r="D609" s="260">
        <v>0.21</v>
      </c>
      <c r="E609" s="260">
        <v>29.53</v>
      </c>
      <c r="F609" s="260">
        <v>31.12</v>
      </c>
      <c r="G609" s="260">
        <v>0.21</v>
      </c>
      <c r="H609" s="260">
        <v>16.98</v>
      </c>
      <c r="I609" s="260">
        <v>1.1000000000000001</v>
      </c>
      <c r="J609" s="260">
        <v>1.6</v>
      </c>
      <c r="K609" s="260">
        <v>1</v>
      </c>
      <c r="L609" s="260">
        <v>0.66</v>
      </c>
    </row>
    <row r="610" spans="1:12" hidden="1" x14ac:dyDescent="0.25">
      <c r="A610" s="259" t="s">
        <v>655</v>
      </c>
      <c r="B610" s="261" t="str">
        <f>VLOOKUP(A610, '[2]fund-selector'!$A$2:$F$853,6,FALSE)</f>
        <v>EQ-LC</v>
      </c>
      <c r="C610" s="258">
        <v>-7.42</v>
      </c>
      <c r="D610" s="260">
        <v>0.17</v>
      </c>
      <c r="E610" s="260">
        <v>23.18</v>
      </c>
      <c r="F610" s="260">
        <v>21.75</v>
      </c>
      <c r="G610" s="260">
        <v>0.17</v>
      </c>
      <c r="H610" s="260">
        <v>19.54</v>
      </c>
      <c r="I610" s="260">
        <v>0.72</v>
      </c>
      <c r="J610" s="260">
        <v>1.08</v>
      </c>
      <c r="K610" s="260">
        <v>1.3</v>
      </c>
      <c r="L610" s="260">
        <v>0.76</v>
      </c>
    </row>
    <row r="611" spans="1:12" hidden="1" x14ac:dyDescent="0.25">
      <c r="A611" s="259" t="s">
        <v>656</v>
      </c>
      <c r="B611" s="261" t="str">
        <f>VLOOKUP(A611, '[2]fund-selector'!$A$2:$F$853,6,FALSE)</f>
        <v>EQ-FLX</v>
      </c>
      <c r="C611" s="258">
        <v>-0.71</v>
      </c>
      <c r="D611" s="260">
        <v>1.72</v>
      </c>
      <c r="E611" s="260">
        <v>20.14</v>
      </c>
      <c r="F611" s="259">
        <v>0</v>
      </c>
      <c r="G611" s="260">
        <v>1.72</v>
      </c>
      <c r="H611" s="260">
        <v>14.07</v>
      </c>
      <c r="I611" s="260">
        <v>0.75</v>
      </c>
      <c r="J611" s="260">
        <v>1.1299999999999999</v>
      </c>
      <c r="K611" s="260">
        <v>0.94</v>
      </c>
      <c r="L611" s="260">
        <v>-0.26</v>
      </c>
    </row>
    <row r="612" spans="1:12" hidden="1" x14ac:dyDescent="0.25">
      <c r="A612" s="259" t="s">
        <v>657</v>
      </c>
      <c r="B612" s="261" t="str">
        <f>VLOOKUP(A612, '[2]fund-selector'!$A$2:$F$853,6,FALSE)</f>
        <v>EQ-FLX</v>
      </c>
      <c r="C612" s="258">
        <v>3.73</v>
      </c>
      <c r="D612" s="260">
        <v>1.84</v>
      </c>
      <c r="E612" s="260">
        <v>19.97</v>
      </c>
      <c r="F612" s="260">
        <v>24.51</v>
      </c>
      <c r="G612" s="260">
        <v>1.84</v>
      </c>
      <c r="H612" s="260">
        <v>13.84</v>
      </c>
      <c r="I612" s="260">
        <v>0.76</v>
      </c>
      <c r="J612" s="260">
        <v>1.58</v>
      </c>
      <c r="K612" s="260">
        <v>0.91</v>
      </c>
      <c r="L612" s="260">
        <v>-0.02</v>
      </c>
    </row>
    <row r="613" spans="1:12" hidden="1" x14ac:dyDescent="0.25">
      <c r="A613" s="259" t="s">
        <v>658</v>
      </c>
      <c r="B613" s="261" t="str">
        <f>VLOOKUP(A613, '[2]fund-selector'!$A$2:$F$853,6,FALSE)</f>
        <v>EQ-MC</v>
      </c>
      <c r="C613" s="258">
        <v>4.96</v>
      </c>
      <c r="D613" s="260">
        <v>1.56</v>
      </c>
      <c r="E613" s="260">
        <v>30.5</v>
      </c>
      <c r="F613" s="260">
        <v>32.25</v>
      </c>
      <c r="G613" s="260">
        <v>1.56</v>
      </c>
      <c r="H613" s="260">
        <v>16.21</v>
      </c>
      <c r="I613" s="260">
        <v>1.23</v>
      </c>
      <c r="J613" s="260">
        <v>1.83</v>
      </c>
      <c r="K613" s="260">
        <v>0.93</v>
      </c>
      <c r="L613" s="260">
        <v>2.96</v>
      </c>
    </row>
    <row r="614" spans="1:12" hidden="1" x14ac:dyDescent="0.25">
      <c r="A614" s="259" t="s">
        <v>1230</v>
      </c>
      <c r="B614" s="261" t="str">
        <f>VLOOKUP(A614, '[2]fund-selector'!$A$2:$F$853,6,FALSE)</f>
        <v>HY-CH</v>
      </c>
      <c r="C614" s="258">
        <v>8.5</v>
      </c>
      <c r="D614" s="260">
        <v>1.88</v>
      </c>
      <c r="E614" s="260">
        <v>9.4499999999999993</v>
      </c>
      <c r="F614" s="260">
        <v>9.09</v>
      </c>
      <c r="G614" s="260">
        <v>1.88</v>
      </c>
      <c r="H614" s="260">
        <v>2.08</v>
      </c>
      <c r="I614" s="260">
        <v>1.1299999999999999</v>
      </c>
      <c r="J614" s="260">
        <v>1.87</v>
      </c>
      <c r="K614" s="260">
        <v>0.47</v>
      </c>
      <c r="L614" s="260">
        <v>0.63</v>
      </c>
    </row>
    <row r="615" spans="1:12" hidden="1" x14ac:dyDescent="0.25">
      <c r="A615" s="259" t="s">
        <v>660</v>
      </c>
      <c r="B615" s="261" t="str">
        <f>VLOOKUP(A615, '[2]fund-selector'!$A$2:$F$853,6,FALSE)</f>
        <v>EQ-LC</v>
      </c>
      <c r="C615" s="258">
        <v>5.8</v>
      </c>
      <c r="D615" s="260">
        <v>0.49</v>
      </c>
      <c r="E615" s="260">
        <v>17.12</v>
      </c>
      <c r="F615" s="260">
        <v>19.21</v>
      </c>
      <c r="G615" s="260">
        <v>0.49</v>
      </c>
      <c r="H615" s="260">
        <v>12.69</v>
      </c>
      <c r="I615" s="260">
        <v>0.62</v>
      </c>
      <c r="J615" s="260">
        <v>1.03</v>
      </c>
      <c r="K615" s="260">
        <v>0.91</v>
      </c>
      <c r="L615" s="260">
        <v>-1.54</v>
      </c>
    </row>
    <row r="616" spans="1:12" hidden="1" x14ac:dyDescent="0.25">
      <c r="A616" s="259" t="s">
        <v>661</v>
      </c>
      <c r="B616" s="261" t="str">
        <f>VLOOKUP(A616, '[2]fund-selector'!$A$2:$F$853,6,FALSE)</f>
        <v>EQ-LC</v>
      </c>
      <c r="C616" s="258">
        <v>6</v>
      </c>
      <c r="D616" s="260">
        <v>0.42</v>
      </c>
      <c r="E616" s="260">
        <v>17.96</v>
      </c>
      <c r="F616" s="260">
        <v>19.64</v>
      </c>
      <c r="G616" s="260">
        <v>0.42</v>
      </c>
      <c r="H616" s="260">
        <v>13.11</v>
      </c>
      <c r="I616" s="260">
        <v>0.64</v>
      </c>
      <c r="J616" s="260">
        <v>1.1000000000000001</v>
      </c>
      <c r="K616" s="260">
        <v>0.95</v>
      </c>
      <c r="L616" s="260">
        <v>-1.32</v>
      </c>
    </row>
    <row r="617" spans="1:12" hidden="1" x14ac:dyDescent="0.25">
      <c r="A617" s="259" t="s">
        <v>662</v>
      </c>
      <c r="B617" s="261" t="str">
        <f>VLOOKUP(A617, '[2]fund-selector'!$A$2:$F$853,6,FALSE)</f>
        <v>EQ-THEMATIC</v>
      </c>
      <c r="C617" s="258">
        <v>-0.94</v>
      </c>
      <c r="D617" s="260">
        <v>1.97</v>
      </c>
      <c r="E617" s="259">
        <v>0</v>
      </c>
      <c r="F617" s="259">
        <v>0</v>
      </c>
      <c r="G617" s="260">
        <v>1.97</v>
      </c>
      <c r="H617" s="259">
        <v>0</v>
      </c>
      <c r="I617" s="259">
        <v>0</v>
      </c>
      <c r="J617" s="259">
        <v>0</v>
      </c>
      <c r="K617" s="259">
        <v>0</v>
      </c>
      <c r="L617" s="259">
        <v>0</v>
      </c>
    </row>
    <row r="618" spans="1:12" hidden="1" x14ac:dyDescent="0.25">
      <c r="A618" s="259" t="s">
        <v>663</v>
      </c>
      <c r="B618" s="261" t="str">
        <f>VLOOKUP(A618, '[2]fund-selector'!$A$2:$F$853,6,FALSE)</f>
        <v>EQ-LC</v>
      </c>
      <c r="C618" s="258">
        <v>5.19</v>
      </c>
      <c r="D618" s="260">
        <v>1.53</v>
      </c>
      <c r="E618" s="260">
        <v>25.51</v>
      </c>
      <c r="F618" s="260">
        <v>26.11</v>
      </c>
      <c r="G618" s="260">
        <v>1.53</v>
      </c>
      <c r="H618" s="260">
        <v>13.18</v>
      </c>
      <c r="I618" s="260">
        <v>1.1200000000000001</v>
      </c>
      <c r="J618" s="260">
        <v>1.9</v>
      </c>
      <c r="K618" s="260">
        <v>0.94</v>
      </c>
      <c r="L618" s="260">
        <v>5.13</v>
      </c>
    </row>
    <row r="619" spans="1:12" hidden="1" x14ac:dyDescent="0.25">
      <c r="A619" s="259" t="s">
        <v>664</v>
      </c>
      <c r="B619" s="261" t="str">
        <f>VLOOKUP(A619, '[2]fund-selector'!$A$2:$F$853,6,FALSE)</f>
        <v>HY-MAA</v>
      </c>
      <c r="C619" s="258">
        <v>11.04</v>
      </c>
      <c r="D619" s="260">
        <v>1.1599999999999999</v>
      </c>
      <c r="E619" s="260">
        <v>22.29</v>
      </c>
      <c r="F619" s="259">
        <v>0</v>
      </c>
      <c r="G619" s="260">
        <v>1.1599999999999999</v>
      </c>
      <c r="H619" s="260">
        <v>7.86</v>
      </c>
      <c r="I619" s="260">
        <v>1.66</v>
      </c>
      <c r="J619" s="260">
        <v>2.73</v>
      </c>
      <c r="K619" s="260">
        <v>0.77</v>
      </c>
      <c r="L619" s="260">
        <v>6.2</v>
      </c>
    </row>
    <row r="620" spans="1:12" hidden="1" x14ac:dyDescent="0.25">
      <c r="A620" s="259" t="s">
        <v>665</v>
      </c>
      <c r="B620" s="261" t="str">
        <f>VLOOKUP(A620, '[2]fund-selector'!$A$2:$F$853,6,FALSE)</f>
        <v>HY-MAA</v>
      </c>
      <c r="C620" s="258">
        <v>10.32</v>
      </c>
      <c r="D620" s="260">
        <v>1.45</v>
      </c>
      <c r="E620" s="260">
        <v>20.34</v>
      </c>
      <c r="F620" s="259">
        <v>0</v>
      </c>
      <c r="G620" s="260">
        <v>1.45</v>
      </c>
      <c r="H620" s="260">
        <v>8.76</v>
      </c>
      <c r="I620" s="260">
        <v>1.23</v>
      </c>
      <c r="J620" s="260">
        <v>2.17</v>
      </c>
      <c r="K620" s="260">
        <v>0.86</v>
      </c>
      <c r="L620" s="260">
        <v>3.12</v>
      </c>
    </row>
    <row r="621" spans="1:12" x14ac:dyDescent="0.25">
      <c r="A621" s="296" t="s">
        <v>666</v>
      </c>
      <c r="B621" s="261" t="str">
        <f>VLOOKUP(A621, '[2]fund-selector'!$A$2:$F$853,6,FALSE)</f>
        <v>EQ-MLC</v>
      </c>
      <c r="C621" s="258">
        <v>2.4</v>
      </c>
      <c r="D621" s="260">
        <v>1.53</v>
      </c>
      <c r="E621" s="260">
        <v>30.1</v>
      </c>
      <c r="F621" s="260">
        <v>32.049999999999997</v>
      </c>
      <c r="G621" s="260">
        <v>1.53</v>
      </c>
      <c r="H621" s="260">
        <v>14.43</v>
      </c>
      <c r="I621" s="260">
        <v>1.31</v>
      </c>
      <c r="J621" s="260">
        <v>1.91</v>
      </c>
      <c r="K621" s="260">
        <v>0.88</v>
      </c>
      <c r="L621" s="260">
        <v>6.18</v>
      </c>
    </row>
    <row r="622" spans="1:12" hidden="1" x14ac:dyDescent="0.25">
      <c r="A622" s="259" t="s">
        <v>667</v>
      </c>
      <c r="B622" s="261" t="str">
        <f>VLOOKUP(A622, '[2]fund-selector'!$A$2:$F$853,6,FALSE)</f>
        <v>EQ-MLC</v>
      </c>
      <c r="C622" s="258" t="s">
        <v>54</v>
      </c>
      <c r="D622" s="260">
        <v>0.89</v>
      </c>
      <c r="E622" s="259">
        <v>0</v>
      </c>
      <c r="F622" s="259">
        <v>0</v>
      </c>
      <c r="G622" s="260">
        <v>0.89</v>
      </c>
      <c r="H622" s="259">
        <v>0</v>
      </c>
      <c r="I622" s="259">
        <v>0</v>
      </c>
      <c r="J622" s="259">
        <v>0</v>
      </c>
      <c r="K622" s="259">
        <v>0</v>
      </c>
      <c r="L622" s="259">
        <v>0</v>
      </c>
    </row>
    <row r="623" spans="1:12" hidden="1" x14ac:dyDescent="0.25">
      <c r="A623" s="259" t="s">
        <v>668</v>
      </c>
      <c r="B623" s="261" t="str">
        <f>VLOOKUP(A623, '[2]fund-selector'!$A$2:$F$853,6,FALSE)</f>
        <v>EQ-FLX</v>
      </c>
      <c r="C623" s="258" t="s">
        <v>54</v>
      </c>
      <c r="D623" s="260">
        <v>0.9</v>
      </c>
      <c r="E623" s="259">
        <v>0</v>
      </c>
      <c r="F623" s="259">
        <v>0</v>
      </c>
      <c r="G623" s="260">
        <v>0.9</v>
      </c>
      <c r="H623" s="259">
        <v>0</v>
      </c>
      <c r="I623" s="259">
        <v>0</v>
      </c>
      <c r="J623" s="259">
        <v>0</v>
      </c>
      <c r="K623" s="259">
        <v>0</v>
      </c>
      <c r="L623" s="259">
        <v>0</v>
      </c>
    </row>
    <row r="624" spans="1:12" hidden="1" x14ac:dyDescent="0.25">
      <c r="A624" s="259" t="s">
        <v>669</v>
      </c>
      <c r="B624" s="261" t="str">
        <f>VLOOKUP(A624, '[2]fund-selector'!$A$2:$F$853,6,FALSE)</f>
        <v>EQ-FLX</v>
      </c>
      <c r="C624" s="258" t="s">
        <v>54</v>
      </c>
      <c r="D624" s="260">
        <v>0.87</v>
      </c>
      <c r="E624" s="259">
        <v>0</v>
      </c>
      <c r="F624" s="259">
        <v>0</v>
      </c>
      <c r="G624" s="260">
        <v>0.87</v>
      </c>
      <c r="H624" s="259">
        <v>0</v>
      </c>
      <c r="I624" s="259">
        <v>0</v>
      </c>
      <c r="J624" s="259">
        <v>0</v>
      </c>
      <c r="K624" s="259">
        <v>0</v>
      </c>
      <c r="L624" s="259">
        <v>0</v>
      </c>
    </row>
    <row r="625" spans="1:12" hidden="1" x14ac:dyDescent="0.25">
      <c r="A625" s="259" t="s">
        <v>670</v>
      </c>
      <c r="B625" s="261" t="str">
        <f>VLOOKUP(A625, '[2]fund-selector'!$A$2:$F$853,6,FALSE)</f>
        <v>EQ-FLX</v>
      </c>
      <c r="C625" s="258" t="s">
        <v>54</v>
      </c>
      <c r="D625" s="260">
        <v>0.91</v>
      </c>
      <c r="E625" s="259">
        <v>0</v>
      </c>
      <c r="F625" s="259">
        <v>0</v>
      </c>
      <c r="G625" s="260">
        <v>0.91</v>
      </c>
      <c r="H625" s="259">
        <v>0</v>
      </c>
      <c r="I625" s="259">
        <v>0</v>
      </c>
      <c r="J625" s="259">
        <v>0</v>
      </c>
      <c r="K625" s="259">
        <v>0</v>
      </c>
      <c r="L625" s="259">
        <v>0</v>
      </c>
    </row>
    <row r="626" spans="1:12" hidden="1" x14ac:dyDescent="0.25">
      <c r="A626" s="259" t="s">
        <v>671</v>
      </c>
      <c r="B626" s="261" t="str">
        <f>VLOOKUP(A626, '[2]fund-selector'!$A$2:$F$853,6,FALSE)</f>
        <v>EQ-L&amp;MC</v>
      </c>
      <c r="C626" s="258">
        <v>-4.2699999999999996</v>
      </c>
      <c r="D626" s="260">
        <v>0.89</v>
      </c>
      <c r="E626" s="259">
        <v>0</v>
      </c>
      <c r="F626" s="259">
        <v>0</v>
      </c>
      <c r="G626" s="260">
        <v>0.89</v>
      </c>
      <c r="H626" s="259">
        <v>0</v>
      </c>
      <c r="I626" s="259">
        <v>0</v>
      </c>
      <c r="J626" s="259">
        <v>0</v>
      </c>
      <c r="K626" s="259">
        <v>0</v>
      </c>
      <c r="L626" s="259">
        <v>0</v>
      </c>
    </row>
    <row r="627" spans="1:12" hidden="1" x14ac:dyDescent="0.25">
      <c r="A627" s="259" t="s">
        <v>672</v>
      </c>
      <c r="B627" s="261" t="str">
        <f>VLOOKUP(A627, '[2]fund-selector'!$A$2:$F$853,6,FALSE)</f>
        <v>EQ-THEMATIC</v>
      </c>
      <c r="C627" s="258">
        <v>-7.22</v>
      </c>
      <c r="D627" s="260">
        <v>0.22</v>
      </c>
      <c r="E627" s="260">
        <v>30.04</v>
      </c>
      <c r="F627" s="259">
        <v>0</v>
      </c>
      <c r="G627" s="260">
        <v>0.22</v>
      </c>
      <c r="H627" s="260">
        <v>18.100000000000001</v>
      </c>
      <c r="I627" s="260">
        <v>1.08</v>
      </c>
      <c r="J627" s="260">
        <v>1.4</v>
      </c>
      <c r="K627" s="260">
        <v>1</v>
      </c>
      <c r="L627" s="260">
        <v>7.99</v>
      </c>
    </row>
    <row r="628" spans="1:12" hidden="1" x14ac:dyDescent="0.25">
      <c r="A628" s="259" t="s">
        <v>673</v>
      </c>
      <c r="B628" s="261" t="str">
        <f>VLOOKUP(A628, '[2]fund-selector'!$A$2:$F$853,6,FALSE)</f>
        <v>EQ-THEMATIC</v>
      </c>
      <c r="C628" s="258" t="s">
        <v>54</v>
      </c>
      <c r="D628" s="260">
        <v>0.86</v>
      </c>
      <c r="E628" s="259">
        <v>0</v>
      </c>
      <c r="F628" s="259">
        <v>0</v>
      </c>
      <c r="G628" s="260">
        <v>0.86</v>
      </c>
      <c r="H628" s="259">
        <v>0</v>
      </c>
      <c r="I628" s="259">
        <v>0</v>
      </c>
      <c r="J628" s="259">
        <v>0</v>
      </c>
      <c r="K628" s="259">
        <v>0</v>
      </c>
      <c r="L628" s="259">
        <v>0</v>
      </c>
    </row>
    <row r="629" spans="1:12" hidden="1" x14ac:dyDescent="0.25">
      <c r="A629" s="259" t="s">
        <v>674</v>
      </c>
      <c r="B629" s="261" t="str">
        <f>VLOOKUP(A629, '[2]fund-selector'!$A$2:$F$853,6,FALSE)</f>
        <v>EQ-MC</v>
      </c>
      <c r="C629" s="258">
        <v>1.68</v>
      </c>
      <c r="D629" s="260">
        <v>0.8</v>
      </c>
      <c r="E629" s="260">
        <v>28.6</v>
      </c>
      <c r="F629" s="259">
        <v>0</v>
      </c>
      <c r="G629" s="260">
        <v>0.8</v>
      </c>
      <c r="H629" s="260">
        <v>16.97</v>
      </c>
      <c r="I629" s="260">
        <v>1.06</v>
      </c>
      <c r="J629" s="260">
        <v>1.53</v>
      </c>
      <c r="K629" s="260">
        <v>1</v>
      </c>
      <c r="L629" s="260">
        <v>-0.06</v>
      </c>
    </row>
    <row r="630" spans="1:12" hidden="1" x14ac:dyDescent="0.25">
      <c r="A630" s="259" t="s">
        <v>675</v>
      </c>
      <c r="B630" s="261" t="str">
        <f>VLOOKUP(A630, '[2]fund-selector'!$A$2:$F$853,6,FALSE)</f>
        <v>EQ-LC</v>
      </c>
      <c r="C630" s="258">
        <v>-7.69</v>
      </c>
      <c r="D630" s="260">
        <v>0.28999999999999998</v>
      </c>
      <c r="E630" s="260">
        <v>22.73</v>
      </c>
      <c r="F630" s="260">
        <v>21.34</v>
      </c>
      <c r="G630" s="260">
        <v>0.28999999999999998</v>
      </c>
      <c r="H630" s="260">
        <v>19.329999999999998</v>
      </c>
      <c r="I630" s="260">
        <v>0.71</v>
      </c>
      <c r="J630" s="260">
        <v>1.05</v>
      </c>
      <c r="K630" s="260">
        <v>1.28</v>
      </c>
      <c r="L630" s="260">
        <v>0.56999999999999995</v>
      </c>
    </row>
    <row r="631" spans="1:12" hidden="1" x14ac:dyDescent="0.25">
      <c r="A631" s="259" t="s">
        <v>676</v>
      </c>
      <c r="B631" s="261" t="str">
        <f>VLOOKUP(A631, '[2]fund-selector'!$A$2:$F$853,6,FALSE)</f>
        <v>EQ-THEMATIC</v>
      </c>
      <c r="C631" s="258" t="s">
        <v>54</v>
      </c>
      <c r="D631" s="260">
        <v>0.88</v>
      </c>
      <c r="E631" s="259">
        <v>0</v>
      </c>
      <c r="F631" s="259">
        <v>0</v>
      </c>
      <c r="G631" s="260">
        <v>0.88</v>
      </c>
      <c r="H631" s="259">
        <v>0</v>
      </c>
      <c r="I631" s="259">
        <v>0</v>
      </c>
      <c r="J631" s="259">
        <v>0</v>
      </c>
      <c r="K631" s="259">
        <v>0</v>
      </c>
      <c r="L631" s="259">
        <v>0</v>
      </c>
    </row>
    <row r="632" spans="1:12" hidden="1" x14ac:dyDescent="0.25">
      <c r="A632" s="259" t="s">
        <v>677</v>
      </c>
      <c r="B632" s="261" t="str">
        <f>VLOOKUP(A632, '[2]fund-selector'!$A$2:$F$853,6,FALSE)</f>
        <v>EQ-SC</v>
      </c>
      <c r="C632" s="258">
        <v>-1.88</v>
      </c>
      <c r="D632" s="260">
        <v>0.95</v>
      </c>
      <c r="E632" s="260">
        <v>27.49</v>
      </c>
      <c r="F632" s="259">
        <v>0</v>
      </c>
      <c r="G632" s="260">
        <v>0.95</v>
      </c>
      <c r="H632" s="260">
        <v>19.850000000000001</v>
      </c>
      <c r="I632" s="260">
        <v>0.86</v>
      </c>
      <c r="J632" s="260">
        <v>1.26</v>
      </c>
      <c r="K632" s="260">
        <v>1.01</v>
      </c>
      <c r="L632" s="260">
        <v>-1.28</v>
      </c>
    </row>
    <row r="633" spans="1:12" hidden="1" x14ac:dyDescent="0.25">
      <c r="A633" s="259" t="s">
        <v>678</v>
      </c>
      <c r="B633" s="261" t="str">
        <f>VLOOKUP(A633, '[2]fund-selector'!$A$2:$F$853,6,FALSE)</f>
        <v>EQ-THEMATIC</v>
      </c>
      <c r="C633" s="258">
        <v>4.5599999999999996</v>
      </c>
      <c r="D633" s="260">
        <v>0.94</v>
      </c>
      <c r="E633" s="260">
        <v>25.51</v>
      </c>
      <c r="F633" s="260">
        <v>23.92</v>
      </c>
      <c r="G633" s="260">
        <v>0.94</v>
      </c>
      <c r="H633" s="260">
        <v>14.43</v>
      </c>
      <c r="I633" s="260">
        <v>1.05</v>
      </c>
      <c r="J633" s="260">
        <v>1.69</v>
      </c>
      <c r="K633" s="260">
        <v>0.96</v>
      </c>
      <c r="L633" s="260">
        <v>4.08</v>
      </c>
    </row>
    <row r="634" spans="1:12" hidden="1" x14ac:dyDescent="0.25">
      <c r="A634" s="259" t="s">
        <v>1232</v>
      </c>
      <c r="B634" s="261" t="str">
        <f>VLOOKUP(A634, '[2]fund-selector'!$A$2:$F$853,6,FALSE)</f>
        <v>HY-CH</v>
      </c>
      <c r="C634" s="258">
        <v>6.29</v>
      </c>
      <c r="D634" s="260">
        <v>2.08</v>
      </c>
      <c r="E634" s="260">
        <v>11.17</v>
      </c>
      <c r="F634" s="260">
        <v>7.63</v>
      </c>
      <c r="G634" s="260">
        <v>2.08</v>
      </c>
      <c r="H634" s="260">
        <v>4.46</v>
      </c>
      <c r="I634" s="260">
        <v>0.91</v>
      </c>
      <c r="J634" s="260">
        <v>1.67</v>
      </c>
      <c r="K634" s="260">
        <v>1.02</v>
      </c>
      <c r="L634" s="260">
        <v>0.28999999999999998</v>
      </c>
    </row>
    <row r="635" spans="1:12" hidden="1" x14ac:dyDescent="0.25">
      <c r="A635" s="259" t="s">
        <v>679</v>
      </c>
      <c r="B635" s="261" t="str">
        <f>VLOOKUP(A635, '[2]fund-selector'!$A$2:$F$853,6,FALSE)</f>
        <v>EQ-FLX</v>
      </c>
      <c r="C635" s="258">
        <v>1.01</v>
      </c>
      <c r="D635" s="260">
        <v>1.93</v>
      </c>
      <c r="E635" s="260">
        <v>22.5</v>
      </c>
      <c r="F635" s="260">
        <v>22.14</v>
      </c>
      <c r="G635" s="260">
        <v>1.93</v>
      </c>
      <c r="H635" s="260">
        <v>14.44</v>
      </c>
      <c r="I635" s="260">
        <v>0.88</v>
      </c>
      <c r="J635" s="260">
        <v>1.28</v>
      </c>
      <c r="K635" s="260">
        <v>0.97</v>
      </c>
      <c r="L635" s="260">
        <v>1.53</v>
      </c>
    </row>
    <row r="636" spans="1:12" hidden="1" x14ac:dyDescent="0.25">
      <c r="A636" s="259" t="s">
        <v>680</v>
      </c>
      <c r="B636" s="261" t="str">
        <f>VLOOKUP(A636, '[2]fund-selector'!$A$2:$F$853,6,FALSE)</f>
        <v>EQ-SC</v>
      </c>
      <c r="C636" s="258">
        <v>-1.87</v>
      </c>
      <c r="D636" s="260">
        <v>1.41</v>
      </c>
      <c r="E636" s="260">
        <v>30.01</v>
      </c>
      <c r="F636" s="260">
        <v>37.200000000000003</v>
      </c>
      <c r="G636" s="260">
        <v>1.41</v>
      </c>
      <c r="H636" s="260">
        <v>16.86</v>
      </c>
      <c r="I636" s="260">
        <v>1.1499999999999999</v>
      </c>
      <c r="J636" s="260">
        <v>1.59</v>
      </c>
      <c r="K636" s="260">
        <v>0.84</v>
      </c>
      <c r="L636" s="260">
        <v>4.08</v>
      </c>
    </row>
    <row r="637" spans="1:12" hidden="1" x14ac:dyDescent="0.25">
      <c r="A637" s="259" t="s">
        <v>681</v>
      </c>
      <c r="B637" s="261" t="str">
        <f>VLOOKUP(A637, '[2]fund-selector'!$A$2:$F$853,6,FALSE)</f>
        <v>EQ-L&amp;MC</v>
      </c>
      <c r="C637" s="258">
        <v>4.76</v>
      </c>
      <c r="D637" s="260">
        <v>1.93</v>
      </c>
      <c r="E637" s="260">
        <v>25.64</v>
      </c>
      <c r="F637" s="260">
        <v>26.22</v>
      </c>
      <c r="G637" s="260">
        <v>1.93</v>
      </c>
      <c r="H637" s="260">
        <v>14.06</v>
      </c>
      <c r="I637" s="260">
        <v>1.08</v>
      </c>
      <c r="J637" s="260">
        <v>1.47</v>
      </c>
      <c r="K637" s="260">
        <v>0.95</v>
      </c>
      <c r="L637" s="260">
        <v>4.63</v>
      </c>
    </row>
    <row r="638" spans="1:12" hidden="1" x14ac:dyDescent="0.25">
      <c r="A638" s="259" t="s">
        <v>1386</v>
      </c>
      <c r="B638" s="261" t="str">
        <f>VLOOKUP(A638, '[2]fund-selector'!$A$2:$F$853,6,FALSE)</f>
        <v>HY-AR</v>
      </c>
      <c r="C638" s="258">
        <v>6.04</v>
      </c>
      <c r="D638" s="260">
        <v>1</v>
      </c>
      <c r="E638" s="259">
        <v>0</v>
      </c>
      <c r="F638" s="259">
        <v>0</v>
      </c>
      <c r="G638" s="260">
        <v>1</v>
      </c>
      <c r="H638" s="259">
        <v>0</v>
      </c>
      <c r="I638" s="259">
        <v>0</v>
      </c>
      <c r="J638" s="259">
        <v>0</v>
      </c>
      <c r="K638" s="259">
        <v>0</v>
      </c>
      <c r="L638" s="259">
        <v>0</v>
      </c>
    </row>
    <row r="639" spans="1:12" hidden="1" x14ac:dyDescent="0.25">
      <c r="A639" s="259" t="s">
        <v>682</v>
      </c>
      <c r="B639" s="261" t="str">
        <f>VLOOKUP(A639, '[2]fund-selector'!$A$2:$F$853,6,FALSE)</f>
        <v>HY-DAA</v>
      </c>
      <c r="C639" s="258">
        <v>0.15</v>
      </c>
      <c r="D639" s="260">
        <v>1.89</v>
      </c>
      <c r="E639" s="260">
        <v>14.04</v>
      </c>
      <c r="F639" s="259">
        <v>0</v>
      </c>
      <c r="G639" s="260">
        <v>1.89</v>
      </c>
      <c r="H639" s="260">
        <v>9.06</v>
      </c>
      <c r="I639" s="260">
        <v>0.65</v>
      </c>
      <c r="J639" s="260">
        <v>0.91</v>
      </c>
      <c r="K639" s="260">
        <v>0.81</v>
      </c>
      <c r="L639" s="260">
        <v>-0.5</v>
      </c>
    </row>
    <row r="640" spans="1:12" hidden="1" x14ac:dyDescent="0.25">
      <c r="A640" s="259" t="s">
        <v>683</v>
      </c>
      <c r="B640" s="261" t="str">
        <f>VLOOKUP(A640, '[2]fund-selector'!$A$2:$F$853,6,FALSE)</f>
        <v>EQ-FLX</v>
      </c>
      <c r="C640" s="258">
        <v>-5.87</v>
      </c>
      <c r="D640" s="260">
        <v>1.99</v>
      </c>
      <c r="E640" s="259">
        <v>0</v>
      </c>
      <c r="F640" s="259">
        <v>0</v>
      </c>
      <c r="G640" s="260">
        <v>1.99</v>
      </c>
      <c r="H640" s="259">
        <v>0</v>
      </c>
      <c r="I640" s="259">
        <v>0</v>
      </c>
      <c r="J640" s="259">
        <v>0</v>
      </c>
      <c r="K640" s="259">
        <v>0</v>
      </c>
      <c r="L640" s="259">
        <v>0</v>
      </c>
    </row>
    <row r="641" spans="1:12" hidden="1" x14ac:dyDescent="0.25">
      <c r="A641" s="259" t="s">
        <v>684</v>
      </c>
      <c r="B641" s="261" t="str">
        <f>VLOOKUP(A641, '[2]fund-selector'!$A$2:$F$853,6,FALSE)</f>
        <v>EQ-FLX</v>
      </c>
      <c r="C641" s="258">
        <v>6.69</v>
      </c>
      <c r="D641" s="260">
        <v>2.12</v>
      </c>
      <c r="E641" s="259">
        <v>0</v>
      </c>
      <c r="F641" s="259">
        <v>0</v>
      </c>
      <c r="G641" s="260">
        <v>2.12</v>
      </c>
      <c r="H641" s="259">
        <v>0</v>
      </c>
      <c r="I641" s="259">
        <v>0</v>
      </c>
      <c r="J641" s="259">
        <v>0</v>
      </c>
      <c r="K641" s="259">
        <v>0</v>
      </c>
      <c r="L641" s="259">
        <v>0</v>
      </c>
    </row>
    <row r="642" spans="1:12" hidden="1" x14ac:dyDescent="0.25">
      <c r="A642" s="259" t="s">
        <v>1387</v>
      </c>
      <c r="B642" s="261" t="str">
        <f>VLOOKUP(A642, '[2]fund-selector'!$A$2:$F$853,6,FALSE)</f>
        <v>HY-AR</v>
      </c>
      <c r="C642" s="258">
        <v>6.78</v>
      </c>
      <c r="D642" s="260">
        <v>0.66</v>
      </c>
      <c r="E642" s="259">
        <v>0</v>
      </c>
      <c r="F642" s="259">
        <v>0</v>
      </c>
      <c r="G642" s="260">
        <v>0.66</v>
      </c>
      <c r="H642" s="259">
        <v>0</v>
      </c>
      <c r="I642" s="259">
        <v>0</v>
      </c>
      <c r="J642" s="259">
        <v>0</v>
      </c>
      <c r="K642" s="259">
        <v>0</v>
      </c>
      <c r="L642" s="259">
        <v>0</v>
      </c>
    </row>
    <row r="643" spans="1:12" hidden="1" x14ac:dyDescent="0.25">
      <c r="A643" s="259" t="s">
        <v>1234</v>
      </c>
      <c r="B643" s="261" t="str">
        <f>VLOOKUP(A643, '[2]fund-selector'!$A$2:$F$853,6,FALSE)</f>
        <v>HY-CH</v>
      </c>
      <c r="C643" s="258">
        <v>9.43</v>
      </c>
      <c r="D643" s="260">
        <v>0.64</v>
      </c>
      <c r="E643" s="260">
        <v>12.59</v>
      </c>
      <c r="F643" s="259">
        <v>0</v>
      </c>
      <c r="G643" s="260">
        <v>0.64</v>
      </c>
      <c r="H643" s="260">
        <v>3.27</v>
      </c>
      <c r="I643" s="260">
        <v>1.63</v>
      </c>
      <c r="J643" s="260">
        <v>2.42</v>
      </c>
      <c r="K643" s="260">
        <v>0.63</v>
      </c>
      <c r="L643" s="260">
        <v>3</v>
      </c>
    </row>
    <row r="644" spans="1:12" hidden="1" x14ac:dyDescent="0.25">
      <c r="A644" s="259" t="s">
        <v>685</v>
      </c>
      <c r="B644" s="261" t="str">
        <f>VLOOKUP(A644, '[2]fund-selector'!$A$2:$F$853,6,FALSE)</f>
        <v>HY-DAA</v>
      </c>
      <c r="C644" s="258">
        <v>8.1</v>
      </c>
      <c r="D644" s="260">
        <v>0.63</v>
      </c>
      <c r="E644" s="259">
        <v>0</v>
      </c>
      <c r="F644" s="259">
        <v>0</v>
      </c>
      <c r="G644" s="260">
        <v>0.63</v>
      </c>
      <c r="H644" s="259">
        <v>0</v>
      </c>
      <c r="I644" s="259">
        <v>0</v>
      </c>
      <c r="J644" s="259">
        <v>0</v>
      </c>
      <c r="K644" s="259">
        <v>0</v>
      </c>
      <c r="L644" s="259">
        <v>0</v>
      </c>
    </row>
    <row r="645" spans="1:12" hidden="1" x14ac:dyDescent="0.25">
      <c r="A645" s="259" t="s">
        <v>686</v>
      </c>
      <c r="B645" s="261" t="str">
        <f>VLOOKUP(A645, '[2]fund-selector'!$A$2:$F$853,6,FALSE)</f>
        <v>EQ-FLX</v>
      </c>
      <c r="C645" s="258">
        <v>11.39</v>
      </c>
      <c r="D645" s="260">
        <v>1.28</v>
      </c>
      <c r="E645" s="260">
        <v>24.93</v>
      </c>
      <c r="F645" s="260">
        <v>25.87</v>
      </c>
      <c r="G645" s="260">
        <v>1.28</v>
      </c>
      <c r="H645" s="260">
        <v>10</v>
      </c>
      <c r="I645" s="260">
        <v>1.34</v>
      </c>
      <c r="J645" s="260">
        <v>1.75</v>
      </c>
      <c r="K645" s="260">
        <v>0.61</v>
      </c>
      <c r="L645" s="260">
        <v>6.3</v>
      </c>
    </row>
    <row r="646" spans="1:12" hidden="1" x14ac:dyDescent="0.25">
      <c r="A646" s="259" t="s">
        <v>1235</v>
      </c>
      <c r="B646" s="261" t="str">
        <f>VLOOKUP(A646, '[2]fund-selector'!$A$2:$F$853,6,FALSE)</f>
        <v>HY-AH</v>
      </c>
      <c r="C646" s="258">
        <v>5.37</v>
      </c>
      <c r="D646" s="260">
        <v>2.33</v>
      </c>
      <c r="E646" s="260">
        <v>16.16</v>
      </c>
      <c r="F646" s="260">
        <v>15.35</v>
      </c>
      <c r="G646" s="260">
        <v>2.33</v>
      </c>
      <c r="H646" s="260">
        <v>9.4600000000000009</v>
      </c>
      <c r="I646" s="260">
        <v>0.75</v>
      </c>
      <c r="J646" s="260">
        <v>1.28</v>
      </c>
      <c r="K646" s="260">
        <v>0.72</v>
      </c>
      <c r="L646" s="260">
        <v>0.1</v>
      </c>
    </row>
    <row r="647" spans="1:12" hidden="1" x14ac:dyDescent="0.25">
      <c r="A647" s="259" t="s">
        <v>1388</v>
      </c>
      <c r="B647" s="261" t="str">
        <f>VLOOKUP(A647, '[2]fund-selector'!$A$2:$F$853,6,FALSE)</f>
        <v>HY-AR</v>
      </c>
      <c r="C647" s="258">
        <v>6.7</v>
      </c>
      <c r="D647" s="260">
        <v>1.07</v>
      </c>
      <c r="E647" s="260">
        <v>6.42</v>
      </c>
      <c r="F647" s="260">
        <v>5.21</v>
      </c>
      <c r="G647" s="260">
        <v>1.07</v>
      </c>
      <c r="H647" s="260">
        <v>0.54</v>
      </c>
      <c r="I647" s="260">
        <v>-0.23</v>
      </c>
      <c r="J647" s="260">
        <v>-0.25</v>
      </c>
      <c r="K647" s="260">
        <v>0.73</v>
      </c>
      <c r="L647" s="260">
        <v>1.26</v>
      </c>
    </row>
    <row r="648" spans="1:12" hidden="1" x14ac:dyDescent="0.25">
      <c r="A648" s="259" t="s">
        <v>687</v>
      </c>
      <c r="B648" s="261" t="str">
        <f>VLOOKUP(A648, '[2]fund-selector'!$A$2:$F$853,6,FALSE)</f>
        <v>HY-DAA</v>
      </c>
      <c r="C648" s="258">
        <v>5.86</v>
      </c>
      <c r="D648" s="260">
        <v>2.19</v>
      </c>
      <c r="E648" s="260">
        <v>13.63</v>
      </c>
      <c r="F648" s="259">
        <v>0</v>
      </c>
      <c r="G648" s="260">
        <v>2.19</v>
      </c>
      <c r="H648" s="260">
        <v>9.25</v>
      </c>
      <c r="I648" s="260">
        <v>0.54</v>
      </c>
      <c r="J648" s="260">
        <v>0.94</v>
      </c>
      <c r="K648" s="260">
        <v>0.85</v>
      </c>
      <c r="L648" s="260">
        <v>-1.78</v>
      </c>
    </row>
    <row r="649" spans="1:12" hidden="1" x14ac:dyDescent="0.25">
      <c r="A649" s="259" t="s">
        <v>688</v>
      </c>
      <c r="B649" s="261" t="str">
        <f>VLOOKUP(A649, '[2]fund-selector'!$A$2:$F$853,6,FALSE)</f>
        <v>EQ-FLX</v>
      </c>
      <c r="C649" s="258">
        <v>5.26</v>
      </c>
      <c r="D649" s="260">
        <v>1.78</v>
      </c>
      <c r="E649" s="260">
        <v>17.38</v>
      </c>
      <c r="F649" s="260">
        <v>21.87</v>
      </c>
      <c r="G649" s="260">
        <v>1.78</v>
      </c>
      <c r="H649" s="260">
        <v>13.54</v>
      </c>
      <c r="I649" s="260">
        <v>0.57999999999999996</v>
      </c>
      <c r="J649" s="260">
        <v>0.91</v>
      </c>
      <c r="K649" s="260">
        <v>0.89</v>
      </c>
      <c r="L649" s="260">
        <v>-2.34</v>
      </c>
    </row>
    <row r="650" spans="1:12" hidden="1" x14ac:dyDescent="0.25">
      <c r="A650" s="259" t="s">
        <v>689</v>
      </c>
      <c r="B650" s="261" t="str">
        <f>VLOOKUP(A650, '[2]fund-selector'!$A$2:$F$853,6,FALSE)</f>
        <v>EQ-L&amp;MC</v>
      </c>
      <c r="C650" s="258">
        <v>7.28</v>
      </c>
      <c r="D650" s="260">
        <v>2.31</v>
      </c>
      <c r="E650" s="259">
        <v>0</v>
      </c>
      <c r="F650" s="259">
        <v>0</v>
      </c>
      <c r="G650" s="260">
        <v>2.31</v>
      </c>
      <c r="H650" s="259">
        <v>0</v>
      </c>
      <c r="I650" s="259">
        <v>0</v>
      </c>
      <c r="J650" s="259">
        <v>0</v>
      </c>
      <c r="K650" s="259">
        <v>0</v>
      </c>
      <c r="L650" s="259">
        <v>0</v>
      </c>
    </row>
    <row r="651" spans="1:12" hidden="1" x14ac:dyDescent="0.25">
      <c r="A651" s="259" t="s">
        <v>690</v>
      </c>
      <c r="B651" s="261" t="str">
        <f>VLOOKUP(A651, '[2]fund-selector'!$A$2:$F$853,6,FALSE)</f>
        <v>EQ-LC</v>
      </c>
      <c r="C651" s="258">
        <v>4.22</v>
      </c>
      <c r="D651" s="260">
        <v>2.38</v>
      </c>
      <c r="E651" s="260">
        <v>16.96</v>
      </c>
      <c r="F651" s="260">
        <v>17.48</v>
      </c>
      <c r="G651" s="260">
        <v>2.38</v>
      </c>
      <c r="H651" s="260">
        <v>12.88</v>
      </c>
      <c r="I651" s="260">
        <v>0.59</v>
      </c>
      <c r="J651" s="260">
        <v>0.92</v>
      </c>
      <c r="K651" s="260">
        <v>0.92</v>
      </c>
      <c r="L651" s="260">
        <v>-1.77</v>
      </c>
    </row>
    <row r="652" spans="1:12" hidden="1" x14ac:dyDescent="0.25">
      <c r="A652" s="259" t="s">
        <v>1237</v>
      </c>
      <c r="B652" s="261" t="str">
        <f>VLOOKUP(A652, '[2]fund-selector'!$A$2:$F$853,6,FALSE)</f>
        <v>EQ-MC</v>
      </c>
      <c r="C652" s="258">
        <v>2.83</v>
      </c>
      <c r="D652" s="260">
        <v>1.7</v>
      </c>
      <c r="E652" s="260">
        <v>19.12</v>
      </c>
      <c r="F652" s="260">
        <v>28.54</v>
      </c>
      <c r="G652" s="260">
        <v>1.7</v>
      </c>
      <c r="H652" s="260">
        <v>15.11</v>
      </c>
      <c r="I652" s="260">
        <v>0.65</v>
      </c>
      <c r="J652" s="260">
        <v>0.94</v>
      </c>
      <c r="K652" s="260">
        <v>0.83</v>
      </c>
      <c r="L652" s="260">
        <v>-5.26</v>
      </c>
    </row>
    <row r="653" spans="1:12" hidden="1" x14ac:dyDescent="0.25">
      <c r="A653" s="259" t="s">
        <v>692</v>
      </c>
      <c r="B653" s="261" t="str">
        <f>VLOOKUP(A653, '[2]fund-selector'!$A$2:$F$853,6,FALSE)</f>
        <v>EQ-MLC</v>
      </c>
      <c r="C653" s="258" t="s">
        <v>54</v>
      </c>
      <c r="D653" s="260">
        <v>2.38</v>
      </c>
      <c r="E653" s="259">
        <v>0</v>
      </c>
      <c r="F653" s="259">
        <v>0</v>
      </c>
      <c r="G653" s="260">
        <v>2.38</v>
      </c>
      <c r="H653" s="259">
        <v>0</v>
      </c>
      <c r="I653" s="259">
        <v>0</v>
      </c>
      <c r="J653" s="259">
        <v>0</v>
      </c>
      <c r="K653" s="259">
        <v>0</v>
      </c>
      <c r="L653" s="259">
        <v>0</v>
      </c>
    </row>
    <row r="654" spans="1:12" hidden="1" x14ac:dyDescent="0.25">
      <c r="A654" s="259" t="s">
        <v>693</v>
      </c>
      <c r="B654" s="261" t="str">
        <f>VLOOKUP(A654, '[2]fund-selector'!$A$2:$F$853,6,FALSE)</f>
        <v>EQ-MLC</v>
      </c>
      <c r="C654" s="258">
        <v>7.85</v>
      </c>
      <c r="D654" s="260">
        <v>2.3199999999999998</v>
      </c>
      <c r="E654" s="259">
        <v>0</v>
      </c>
      <c r="F654" s="259">
        <v>0</v>
      </c>
      <c r="G654" s="260">
        <v>2.3199999999999998</v>
      </c>
      <c r="H654" s="259">
        <v>0</v>
      </c>
      <c r="I654" s="259">
        <v>0</v>
      </c>
      <c r="J654" s="259">
        <v>0</v>
      </c>
      <c r="K654" s="259">
        <v>0</v>
      </c>
      <c r="L654" s="259">
        <v>0</v>
      </c>
    </row>
    <row r="655" spans="1:12" hidden="1" x14ac:dyDescent="0.25">
      <c r="A655" s="259" t="s">
        <v>694</v>
      </c>
      <c r="B655" s="261" t="str">
        <f>VLOOKUP(A655, '[2]fund-selector'!$A$2:$F$853,6,FALSE)</f>
        <v>EQ-SC</v>
      </c>
      <c r="C655" s="258">
        <v>2.92</v>
      </c>
      <c r="D655" s="260">
        <v>2.08</v>
      </c>
      <c r="E655" s="260">
        <v>18.53</v>
      </c>
      <c r="F655" s="259">
        <v>0</v>
      </c>
      <c r="G655" s="260">
        <v>2.08</v>
      </c>
      <c r="H655" s="260">
        <v>16.170000000000002</v>
      </c>
      <c r="I655" s="260">
        <v>0.56999999999999995</v>
      </c>
      <c r="J655" s="260">
        <v>0.89</v>
      </c>
      <c r="K655" s="260">
        <v>0.78</v>
      </c>
      <c r="L655" s="260">
        <v>-4.96</v>
      </c>
    </row>
    <row r="656" spans="1:12" hidden="1" x14ac:dyDescent="0.25">
      <c r="A656" s="259" t="s">
        <v>1238</v>
      </c>
      <c r="B656" s="261" t="str">
        <f>VLOOKUP(A656, '[2]fund-selector'!$A$2:$F$853,6,FALSE)</f>
        <v>HY-AH</v>
      </c>
      <c r="C656" s="258">
        <v>-3.28</v>
      </c>
      <c r="D656" s="260">
        <v>2.02</v>
      </c>
      <c r="E656" s="260">
        <v>16.88</v>
      </c>
      <c r="F656" s="260">
        <v>25.74</v>
      </c>
      <c r="G656" s="260">
        <v>2.02</v>
      </c>
      <c r="H656" s="260">
        <v>13.29</v>
      </c>
      <c r="I656" s="260">
        <v>0.63</v>
      </c>
      <c r="J656" s="260">
        <v>1.05</v>
      </c>
      <c r="K656" s="260">
        <v>1.02</v>
      </c>
      <c r="L656" s="260">
        <v>-1.38</v>
      </c>
    </row>
    <row r="657" spans="1:12" hidden="1" x14ac:dyDescent="0.25">
      <c r="A657" s="259" t="s">
        <v>695</v>
      </c>
      <c r="B657" s="261" t="str">
        <f>VLOOKUP(A657, '[2]fund-selector'!$A$2:$F$853,6,FALSE)</f>
        <v>EQ-MLC</v>
      </c>
      <c r="C657" s="258">
        <v>-12.58</v>
      </c>
      <c r="D657" s="260">
        <v>1.73</v>
      </c>
      <c r="E657" s="260">
        <v>19.059999999999999</v>
      </c>
      <c r="F657" s="260">
        <v>27.84</v>
      </c>
      <c r="G657" s="260">
        <v>1.73</v>
      </c>
      <c r="H657" s="260">
        <v>17.329999999999998</v>
      </c>
      <c r="I657" s="260">
        <v>0.6</v>
      </c>
      <c r="J657" s="260">
        <v>0.88</v>
      </c>
      <c r="K657" s="260">
        <v>1.04</v>
      </c>
      <c r="L657" s="260">
        <v>-4.79</v>
      </c>
    </row>
    <row r="658" spans="1:12" hidden="1" x14ac:dyDescent="0.25">
      <c r="A658" s="259" t="s">
        <v>1389</v>
      </c>
      <c r="B658" s="261" t="str">
        <f>VLOOKUP(A658, '[2]fund-selector'!$A$2:$F$853,6,FALSE)</f>
        <v>HY-AR</v>
      </c>
      <c r="C658" s="258" t="s">
        <v>54</v>
      </c>
      <c r="D658" s="260">
        <v>0.89</v>
      </c>
      <c r="E658" s="259">
        <v>0</v>
      </c>
      <c r="F658" s="259">
        <v>0</v>
      </c>
      <c r="G658" s="260">
        <v>0.89</v>
      </c>
      <c r="H658" s="259">
        <v>0</v>
      </c>
      <c r="I658" s="259">
        <v>0</v>
      </c>
      <c r="J658" s="259">
        <v>0</v>
      </c>
      <c r="K658" s="259">
        <v>0</v>
      </c>
      <c r="L658" s="259">
        <v>0</v>
      </c>
    </row>
    <row r="659" spans="1:12" hidden="1" x14ac:dyDescent="0.25">
      <c r="A659" s="259" t="s">
        <v>696</v>
      </c>
      <c r="B659" s="261" t="str">
        <f>VLOOKUP(A659, '[2]fund-selector'!$A$2:$F$853,6,FALSE)</f>
        <v>EQ-THEMATIC</v>
      </c>
      <c r="C659" s="258">
        <v>-8.08</v>
      </c>
      <c r="D659" s="260">
        <v>2.09</v>
      </c>
      <c r="E659" s="259">
        <v>0</v>
      </c>
      <c r="F659" s="259">
        <v>0</v>
      </c>
      <c r="G659" s="260">
        <v>2.09</v>
      </c>
      <c r="H659" s="259">
        <v>0</v>
      </c>
      <c r="I659" s="259">
        <v>0</v>
      </c>
      <c r="J659" s="259">
        <v>0</v>
      </c>
      <c r="K659" s="259">
        <v>0</v>
      </c>
      <c r="L659" s="259">
        <v>0</v>
      </c>
    </row>
    <row r="660" spans="1:12" hidden="1" x14ac:dyDescent="0.25">
      <c r="A660" s="259" t="s">
        <v>697</v>
      </c>
      <c r="B660" s="261" t="str">
        <f>VLOOKUP(A660, '[2]fund-selector'!$A$2:$F$853,6,FALSE)</f>
        <v>EQ-THEMATIC</v>
      </c>
      <c r="C660" s="258">
        <v>-2.12</v>
      </c>
      <c r="D660" s="260">
        <v>2.42</v>
      </c>
      <c r="E660" s="259">
        <v>0</v>
      </c>
      <c r="F660" s="259">
        <v>0</v>
      </c>
      <c r="G660" s="260">
        <v>2.42</v>
      </c>
      <c r="H660" s="259">
        <v>0</v>
      </c>
      <c r="I660" s="259">
        <v>0</v>
      </c>
      <c r="J660" s="259">
        <v>0</v>
      </c>
      <c r="K660" s="259">
        <v>0</v>
      </c>
      <c r="L660" s="259">
        <v>0</v>
      </c>
    </row>
    <row r="661" spans="1:12" hidden="1" x14ac:dyDescent="0.25">
      <c r="A661" s="259" t="s">
        <v>699</v>
      </c>
      <c r="B661" s="261" t="str">
        <f>VLOOKUP(A661, '[2]fund-selector'!$A$2:$F$853,6,FALSE)</f>
        <v>HY-DAA</v>
      </c>
      <c r="C661" s="258">
        <v>-2.66</v>
      </c>
      <c r="D661" s="260">
        <v>2.13</v>
      </c>
      <c r="E661" s="259">
        <v>0</v>
      </c>
      <c r="F661" s="259">
        <v>0</v>
      </c>
      <c r="G661" s="260">
        <v>2.13</v>
      </c>
      <c r="H661" s="259">
        <v>0</v>
      </c>
      <c r="I661" s="259">
        <v>0</v>
      </c>
      <c r="J661" s="259">
        <v>0</v>
      </c>
      <c r="K661" s="259">
        <v>0</v>
      </c>
      <c r="L661" s="259">
        <v>0</v>
      </c>
    </row>
    <row r="662" spans="1:12" hidden="1" x14ac:dyDescent="0.25">
      <c r="A662" s="259" t="s">
        <v>701</v>
      </c>
      <c r="B662" s="261" t="str">
        <f>VLOOKUP(A662, '[2]fund-selector'!$A$2:$F$853,6,FALSE)</f>
        <v>EQ-FLX</v>
      </c>
      <c r="C662" s="258">
        <v>-9.82</v>
      </c>
      <c r="D662" s="260">
        <v>1.78</v>
      </c>
      <c r="E662" s="260">
        <v>23.25</v>
      </c>
      <c r="F662" s="260">
        <v>31.48</v>
      </c>
      <c r="G662" s="260">
        <v>1.78</v>
      </c>
      <c r="H662" s="260">
        <v>17.13</v>
      </c>
      <c r="I662" s="260">
        <v>0.83</v>
      </c>
      <c r="J662" s="260">
        <v>1.27</v>
      </c>
      <c r="K662" s="260">
        <v>1.07</v>
      </c>
      <c r="L662" s="260">
        <v>1.79</v>
      </c>
    </row>
    <row r="663" spans="1:12" hidden="1" x14ac:dyDescent="0.25">
      <c r="A663" s="259" t="s">
        <v>702</v>
      </c>
      <c r="B663" s="261" t="str">
        <f>VLOOKUP(A663, '[2]fund-selector'!$A$2:$F$853,6,FALSE)</f>
        <v>EQ-LC</v>
      </c>
      <c r="C663" s="258">
        <v>-6.2</v>
      </c>
      <c r="D663" s="260">
        <v>2.1800000000000002</v>
      </c>
      <c r="E663" s="260">
        <v>20.149999999999999</v>
      </c>
      <c r="F663" s="260">
        <v>23.59</v>
      </c>
      <c r="G663" s="260">
        <v>2.1800000000000002</v>
      </c>
      <c r="H663" s="260">
        <v>16.059999999999999</v>
      </c>
      <c r="I663" s="260">
        <v>0.68</v>
      </c>
      <c r="J663" s="260">
        <v>1.1000000000000001</v>
      </c>
      <c r="K663" s="260">
        <v>1.05</v>
      </c>
      <c r="L663" s="260">
        <v>0.09</v>
      </c>
    </row>
    <row r="664" spans="1:12" hidden="1" x14ac:dyDescent="0.25">
      <c r="A664" s="259" t="s">
        <v>703</v>
      </c>
      <c r="B664" s="261" t="str">
        <f>VLOOKUP(A664, '[2]fund-selector'!$A$2:$F$853,6,FALSE)</f>
        <v>EQ-L&amp;MC</v>
      </c>
      <c r="C664" s="258">
        <v>-9.59</v>
      </c>
      <c r="D664" s="260">
        <v>1.88</v>
      </c>
      <c r="E664" s="260">
        <v>23.53</v>
      </c>
      <c r="F664" s="260">
        <v>24.67</v>
      </c>
      <c r="G664" s="260">
        <v>1.88</v>
      </c>
      <c r="H664" s="260">
        <v>16.88</v>
      </c>
      <c r="I664" s="260">
        <v>0.82</v>
      </c>
      <c r="J664" s="260">
        <v>1.31</v>
      </c>
      <c r="K664" s="260">
        <v>1.0900000000000001</v>
      </c>
      <c r="L664" s="260">
        <v>1.95</v>
      </c>
    </row>
    <row r="665" spans="1:12" hidden="1" x14ac:dyDescent="0.25">
      <c r="A665" s="259" t="s">
        <v>704</v>
      </c>
      <c r="B665" s="261" t="str">
        <f>VLOOKUP(A665, '[2]fund-selector'!$A$2:$F$853,6,FALSE)</f>
        <v>EQ-LC</v>
      </c>
      <c r="C665" s="258">
        <v>-4.3</v>
      </c>
      <c r="D665" s="260">
        <v>1.92</v>
      </c>
      <c r="E665" s="259">
        <v>0</v>
      </c>
      <c r="F665" s="259">
        <v>0</v>
      </c>
      <c r="G665" s="260">
        <v>1.92</v>
      </c>
      <c r="H665" s="259">
        <v>0</v>
      </c>
      <c r="I665" s="259">
        <v>0</v>
      </c>
      <c r="J665" s="259">
        <v>0</v>
      </c>
      <c r="K665" s="259">
        <v>0</v>
      </c>
      <c r="L665" s="259">
        <v>0</v>
      </c>
    </row>
    <row r="666" spans="1:12" hidden="1" x14ac:dyDescent="0.25">
      <c r="A666" s="259" t="s">
        <v>705</v>
      </c>
      <c r="B666" s="261" t="str">
        <f>VLOOKUP(A666, '[2]fund-selector'!$A$2:$F$853,6,FALSE)</f>
        <v>EQ-THEMATIC</v>
      </c>
      <c r="C666" s="258">
        <v>-11.8</v>
      </c>
      <c r="D666" s="260">
        <v>2.25</v>
      </c>
      <c r="E666" s="259">
        <v>0</v>
      </c>
      <c r="F666" s="259">
        <v>0</v>
      </c>
      <c r="G666" s="260">
        <v>2.25</v>
      </c>
      <c r="H666" s="259">
        <v>0</v>
      </c>
      <c r="I666" s="259">
        <v>0</v>
      </c>
      <c r="J666" s="259">
        <v>0</v>
      </c>
      <c r="K666" s="259">
        <v>0</v>
      </c>
      <c r="L666" s="259">
        <v>0</v>
      </c>
    </row>
    <row r="667" spans="1:12" hidden="1" x14ac:dyDescent="0.25">
      <c r="A667" s="259" t="s">
        <v>706</v>
      </c>
      <c r="B667" s="261" t="str">
        <f>VLOOKUP(A667, '[2]fund-selector'!$A$2:$F$853,6,FALSE)</f>
        <v>EQ-MC</v>
      </c>
      <c r="C667" s="258">
        <v>-13</v>
      </c>
      <c r="D667" s="260">
        <v>1.74</v>
      </c>
      <c r="E667" s="260">
        <v>24.76</v>
      </c>
      <c r="F667" s="260">
        <v>31.49</v>
      </c>
      <c r="G667" s="260">
        <v>1.74</v>
      </c>
      <c r="H667" s="260">
        <v>17.670000000000002</v>
      </c>
      <c r="I667" s="260">
        <v>0.87</v>
      </c>
      <c r="J667" s="260">
        <v>1.23</v>
      </c>
      <c r="K667" s="260">
        <v>0.95</v>
      </c>
      <c r="L667" s="260">
        <v>-1.82</v>
      </c>
    </row>
    <row r="668" spans="1:12" hidden="1" x14ac:dyDescent="0.25">
      <c r="A668" s="259" t="s">
        <v>707</v>
      </c>
      <c r="B668" s="261" t="str">
        <f>VLOOKUP(A668, '[2]fund-selector'!$A$2:$F$853,6,FALSE)</f>
        <v>EQ-THEMATIC</v>
      </c>
      <c r="C668" s="258">
        <v>-7.77</v>
      </c>
      <c r="D668" s="260">
        <v>2.09</v>
      </c>
      <c r="E668" s="259">
        <v>0</v>
      </c>
      <c r="F668" s="259">
        <v>0</v>
      </c>
      <c r="G668" s="260">
        <v>2.09</v>
      </c>
      <c r="H668" s="259">
        <v>0</v>
      </c>
      <c r="I668" s="259">
        <v>0</v>
      </c>
      <c r="J668" s="259">
        <v>0</v>
      </c>
      <c r="K668" s="259">
        <v>0</v>
      </c>
      <c r="L668" s="259">
        <v>0</v>
      </c>
    </row>
    <row r="669" spans="1:12" hidden="1" x14ac:dyDescent="0.25">
      <c r="A669" s="259" t="s">
        <v>708</v>
      </c>
      <c r="B669" s="261" t="str">
        <f>VLOOKUP(A669, '[2]fund-selector'!$A$2:$F$853,6,FALSE)</f>
        <v>HY-MAA</v>
      </c>
      <c r="C669" s="258">
        <v>4.9400000000000004</v>
      </c>
      <c r="D669" s="260">
        <v>1.88</v>
      </c>
      <c r="E669" s="260">
        <v>24.02</v>
      </c>
      <c r="F669" s="260">
        <v>31.56</v>
      </c>
      <c r="G669" s="260">
        <v>1.88</v>
      </c>
      <c r="H669" s="260">
        <v>12.15</v>
      </c>
      <c r="I669" s="260">
        <v>1.1599999999999999</v>
      </c>
      <c r="J669" s="260">
        <v>1.87</v>
      </c>
      <c r="K669" s="260">
        <v>1.05</v>
      </c>
      <c r="L669" s="260">
        <v>4.7300000000000004</v>
      </c>
    </row>
    <row r="670" spans="1:12" hidden="1" x14ac:dyDescent="0.25">
      <c r="A670" s="259" t="s">
        <v>710</v>
      </c>
      <c r="B670" s="261" t="str">
        <f>VLOOKUP(A670, '[2]fund-selector'!$A$2:$F$853,6,FALSE)</f>
        <v>EQ-THEMATIC</v>
      </c>
      <c r="C670" s="258">
        <v>-9.48</v>
      </c>
      <c r="D670" s="260">
        <v>2.04</v>
      </c>
      <c r="E670" s="260">
        <v>28.08</v>
      </c>
      <c r="F670" s="259">
        <v>0</v>
      </c>
      <c r="G670" s="260">
        <v>2.04</v>
      </c>
      <c r="H670" s="260">
        <v>16.420000000000002</v>
      </c>
      <c r="I670" s="260">
        <v>1.07</v>
      </c>
      <c r="J670" s="260">
        <v>1.54</v>
      </c>
      <c r="K670" s="260">
        <v>1.02</v>
      </c>
      <c r="L670" s="260">
        <v>5.86</v>
      </c>
    </row>
    <row r="671" spans="1:12" hidden="1" x14ac:dyDescent="0.25">
      <c r="A671" s="259" t="s">
        <v>711</v>
      </c>
      <c r="B671" s="261" t="str">
        <f>VLOOKUP(A671, '[2]fund-selector'!$A$2:$F$853,6,FALSE)</f>
        <v>EQ-SC</v>
      </c>
      <c r="C671" s="258">
        <v>-6.78</v>
      </c>
      <c r="D671" s="260">
        <v>1.58</v>
      </c>
      <c r="E671" s="260">
        <v>30.61</v>
      </c>
      <c r="F671" s="260">
        <v>43.89</v>
      </c>
      <c r="G671" s="260">
        <v>1.58</v>
      </c>
      <c r="H671" s="260">
        <v>17.97</v>
      </c>
      <c r="I671" s="260">
        <v>1.1000000000000001</v>
      </c>
      <c r="J671" s="260">
        <v>1.67</v>
      </c>
      <c r="K671" s="260">
        <v>0.87</v>
      </c>
      <c r="L671" s="260">
        <v>3.86</v>
      </c>
    </row>
    <row r="672" spans="1:12" hidden="1" x14ac:dyDescent="0.25">
      <c r="A672" s="259" t="s">
        <v>712</v>
      </c>
      <c r="B672" s="261" t="str">
        <f>VLOOKUP(A672, '[2]fund-selector'!$A$2:$F$853,6,FALSE)</f>
        <v>EQ-FLX</v>
      </c>
      <c r="C672" s="258">
        <v>4.63</v>
      </c>
      <c r="D672" s="260">
        <v>0.75</v>
      </c>
      <c r="E672" s="260">
        <v>21.18</v>
      </c>
      <c r="F672" s="260">
        <v>21.05</v>
      </c>
      <c r="G672" s="260">
        <v>0.75</v>
      </c>
      <c r="H672" s="260">
        <v>13.11</v>
      </c>
      <c r="I672" s="260">
        <v>0.87</v>
      </c>
      <c r="J672" s="260">
        <v>1.36</v>
      </c>
      <c r="K672" s="260">
        <v>0.89</v>
      </c>
      <c r="L672" s="260">
        <v>1.1100000000000001</v>
      </c>
    </row>
    <row r="673" spans="1:12" hidden="1" x14ac:dyDescent="0.25">
      <c r="A673" s="259" t="s">
        <v>714</v>
      </c>
      <c r="B673" s="261" t="str">
        <f>VLOOKUP(A673, '[2]fund-selector'!$A$2:$F$853,6,FALSE)</f>
        <v>EQ-THEMATIC</v>
      </c>
      <c r="C673" s="258" t="s">
        <v>54</v>
      </c>
      <c r="D673" s="260">
        <v>2.1</v>
      </c>
      <c r="E673" s="259">
        <v>0</v>
      </c>
      <c r="F673" s="259">
        <v>0</v>
      </c>
      <c r="G673" s="260">
        <v>2.1</v>
      </c>
      <c r="H673" s="259">
        <v>0</v>
      </c>
      <c r="I673" s="259">
        <v>0</v>
      </c>
      <c r="J673" s="259">
        <v>0</v>
      </c>
      <c r="K673" s="259">
        <v>0</v>
      </c>
      <c r="L673" s="259">
        <v>0</v>
      </c>
    </row>
    <row r="674" spans="1:12" hidden="1" x14ac:dyDescent="0.25">
      <c r="A674" s="259" t="s">
        <v>715</v>
      </c>
      <c r="B674" s="261" t="str">
        <f>VLOOKUP(A674, '[2]fund-selector'!$A$2:$F$853,6,FALSE)</f>
        <v>HY-MAA</v>
      </c>
      <c r="C674" s="258">
        <v>8.5399999999999991</v>
      </c>
      <c r="D674" s="260">
        <v>1.96</v>
      </c>
      <c r="E674" s="259">
        <v>0</v>
      </c>
      <c r="F674" s="259">
        <v>0</v>
      </c>
      <c r="G674" s="260">
        <v>1.96</v>
      </c>
      <c r="H674" s="259">
        <v>0</v>
      </c>
      <c r="I674" s="259">
        <v>0</v>
      </c>
      <c r="J674" s="259">
        <v>0</v>
      </c>
      <c r="K674" s="259">
        <v>0</v>
      </c>
      <c r="L674" s="259">
        <v>0</v>
      </c>
    </row>
    <row r="675" spans="1:12" hidden="1" x14ac:dyDescent="0.25">
      <c r="A675" s="259" t="s">
        <v>716</v>
      </c>
      <c r="B675" s="261" t="str">
        <f>VLOOKUP(A675, '[2]fund-selector'!$A$2:$F$853,6,FALSE)</f>
        <v>HY-MAA</v>
      </c>
      <c r="C675" s="258">
        <v>11.04</v>
      </c>
      <c r="D675" s="260">
        <v>0.47</v>
      </c>
      <c r="E675" s="260">
        <v>14.02</v>
      </c>
      <c r="F675" s="260">
        <v>11.85</v>
      </c>
      <c r="G675" s="260">
        <v>0.47</v>
      </c>
      <c r="H675" s="260">
        <v>5.09</v>
      </c>
      <c r="I675" s="260">
        <v>1.18</v>
      </c>
      <c r="J675" s="260">
        <v>1.88</v>
      </c>
      <c r="K675" s="260">
        <v>0.5</v>
      </c>
      <c r="L675" s="260">
        <v>1.6</v>
      </c>
    </row>
    <row r="676" spans="1:12" hidden="1" x14ac:dyDescent="0.25">
      <c r="A676" s="259" t="s">
        <v>717</v>
      </c>
      <c r="B676" s="261" t="str">
        <f>VLOOKUP(A676, '[2]fund-selector'!$A$2:$F$853,6,FALSE)</f>
        <v>EQ-LC</v>
      </c>
      <c r="C676" s="258">
        <v>6.43</v>
      </c>
      <c r="D676" s="260">
        <v>0.09</v>
      </c>
      <c r="E676" s="260">
        <v>18.61</v>
      </c>
      <c r="F676" s="260">
        <v>20.6</v>
      </c>
      <c r="G676" s="260">
        <v>0.09</v>
      </c>
      <c r="H676" s="260">
        <v>13.13</v>
      </c>
      <c r="I676" s="260">
        <v>0.68</v>
      </c>
      <c r="J676" s="260">
        <v>1.17</v>
      </c>
      <c r="K676" s="260">
        <v>0.95</v>
      </c>
      <c r="L676" s="260">
        <v>-0.76</v>
      </c>
    </row>
    <row r="677" spans="1:12" hidden="1" x14ac:dyDescent="0.25">
      <c r="A677" s="259" t="s">
        <v>718</v>
      </c>
      <c r="B677" s="261" t="str">
        <f>VLOOKUP(A677, '[2]fund-selector'!$A$2:$F$853,6,FALSE)</f>
        <v>EQ-LC</v>
      </c>
      <c r="C677" s="258">
        <v>6.25</v>
      </c>
      <c r="D677" s="260">
        <v>0.18</v>
      </c>
      <c r="E677" s="259">
        <v>0</v>
      </c>
      <c r="F677" s="259">
        <v>0</v>
      </c>
      <c r="G677" s="260">
        <v>0.18</v>
      </c>
      <c r="H677" s="259">
        <v>0</v>
      </c>
      <c r="I677" s="259">
        <v>0</v>
      </c>
      <c r="J677" s="259">
        <v>0</v>
      </c>
      <c r="K677" s="259">
        <v>0</v>
      </c>
      <c r="L677" s="259">
        <v>0</v>
      </c>
    </row>
    <row r="678" spans="1:12" hidden="1" x14ac:dyDescent="0.25">
      <c r="A678" s="259" t="s">
        <v>719</v>
      </c>
      <c r="B678" s="261" t="str">
        <f>VLOOKUP(A678, '[2]fund-selector'!$A$2:$F$853,6,FALSE)</f>
        <v>EQ-SC</v>
      </c>
      <c r="C678" s="258">
        <v>5.75</v>
      </c>
      <c r="D678" s="260">
        <v>2.1</v>
      </c>
      <c r="E678" s="259">
        <v>0</v>
      </c>
      <c r="F678" s="259">
        <v>0</v>
      </c>
      <c r="G678" s="260">
        <v>2.1</v>
      </c>
      <c r="H678" s="259">
        <v>0</v>
      </c>
      <c r="I678" s="259">
        <v>0</v>
      </c>
      <c r="J678" s="259">
        <v>0</v>
      </c>
      <c r="K678" s="259">
        <v>0</v>
      </c>
      <c r="L678" s="259">
        <v>0</v>
      </c>
    </row>
    <row r="679" spans="1:12" hidden="1" x14ac:dyDescent="0.25">
      <c r="A679" s="259" t="s">
        <v>720</v>
      </c>
      <c r="B679" s="261" t="str">
        <f>VLOOKUP(A679, '[2]fund-selector'!$A$2:$F$853,6,FALSE)</f>
        <v>EQ-THEMATIC</v>
      </c>
      <c r="C679" s="258">
        <v>0.44</v>
      </c>
      <c r="D679" s="260">
        <v>2.25</v>
      </c>
      <c r="E679" s="259">
        <v>0</v>
      </c>
      <c r="F679" s="259">
        <v>0</v>
      </c>
      <c r="G679" s="260">
        <v>2.25</v>
      </c>
      <c r="H679" s="259">
        <v>0</v>
      </c>
      <c r="I679" s="259">
        <v>0</v>
      </c>
      <c r="J679" s="259">
        <v>0</v>
      </c>
      <c r="K679" s="259">
        <v>0</v>
      </c>
      <c r="L679" s="259">
        <v>0</v>
      </c>
    </row>
    <row r="680" spans="1:12" hidden="1" x14ac:dyDescent="0.25">
      <c r="A680" s="259" t="s">
        <v>1390</v>
      </c>
      <c r="B680" s="261" t="str">
        <f>VLOOKUP(A680, '[2]fund-selector'!$A$2:$F$853,6,FALSE)</f>
        <v>HY-AR</v>
      </c>
      <c r="C680" s="258" t="s">
        <v>54</v>
      </c>
      <c r="D680" s="260">
        <v>1.63</v>
      </c>
      <c r="E680" s="259">
        <v>0</v>
      </c>
      <c r="F680" s="259">
        <v>0</v>
      </c>
      <c r="G680" s="260">
        <v>1.63</v>
      </c>
      <c r="H680" s="259">
        <v>0</v>
      </c>
      <c r="I680" s="259">
        <v>0</v>
      </c>
      <c r="J680" s="259">
        <v>0</v>
      </c>
      <c r="K680" s="259">
        <v>0</v>
      </c>
      <c r="L680" s="259">
        <v>0</v>
      </c>
    </row>
    <row r="681" spans="1:12" hidden="1" x14ac:dyDescent="0.25">
      <c r="A681" s="259" t="s">
        <v>721</v>
      </c>
      <c r="B681" s="261" t="str">
        <f>VLOOKUP(A681, '[2]fund-selector'!$A$2:$F$853,6,FALSE)</f>
        <v>HY-DAA</v>
      </c>
      <c r="C681" s="258">
        <v>-3.55</v>
      </c>
      <c r="D681" s="260">
        <v>2.41</v>
      </c>
      <c r="E681" s="259">
        <v>0</v>
      </c>
      <c r="F681" s="259">
        <v>0</v>
      </c>
      <c r="G681" s="260">
        <v>2.41</v>
      </c>
      <c r="H681" s="259">
        <v>0</v>
      </c>
      <c r="I681" s="259">
        <v>0</v>
      </c>
      <c r="J681" s="259">
        <v>0</v>
      </c>
      <c r="K681" s="259">
        <v>0</v>
      </c>
      <c r="L681" s="259">
        <v>0</v>
      </c>
    </row>
    <row r="682" spans="1:12" hidden="1" x14ac:dyDescent="0.25">
      <c r="A682" s="259" t="s">
        <v>722</v>
      </c>
      <c r="B682" s="261" t="str">
        <f>VLOOKUP(A682, '[2]fund-selector'!$A$2:$F$853,6,FALSE)</f>
        <v>EQ-FLX</v>
      </c>
      <c r="C682" s="258">
        <v>-14.81</v>
      </c>
      <c r="D682" s="260">
        <v>2.41</v>
      </c>
      <c r="E682" s="260">
        <v>9.2200000000000006</v>
      </c>
      <c r="F682" s="259">
        <v>0</v>
      </c>
      <c r="G682" s="260">
        <v>2.41</v>
      </c>
      <c r="H682" s="260">
        <v>19.05</v>
      </c>
      <c r="I682" s="260">
        <v>0.04</v>
      </c>
      <c r="J682" s="260">
        <v>0.05</v>
      </c>
      <c r="K682" s="260">
        <v>1.08</v>
      </c>
      <c r="L682" s="260">
        <v>-11.72</v>
      </c>
    </row>
    <row r="683" spans="1:12" hidden="1" x14ac:dyDescent="0.25">
      <c r="A683" s="259" t="s">
        <v>723</v>
      </c>
      <c r="B683" s="261" t="str">
        <f>VLOOKUP(A683, '[2]fund-selector'!$A$2:$F$853,6,FALSE)</f>
        <v>EQ-LC</v>
      </c>
      <c r="C683" s="258" t="s">
        <v>54</v>
      </c>
      <c r="D683" s="260">
        <v>2.37</v>
      </c>
      <c r="E683" s="259">
        <v>0</v>
      </c>
      <c r="F683" s="259">
        <v>0</v>
      </c>
      <c r="G683" s="260">
        <v>2.37</v>
      </c>
      <c r="H683" s="259">
        <v>0</v>
      </c>
      <c r="I683" s="259">
        <v>0</v>
      </c>
      <c r="J683" s="259">
        <v>0</v>
      </c>
      <c r="K683" s="259">
        <v>0</v>
      </c>
      <c r="L683" s="259">
        <v>0</v>
      </c>
    </row>
    <row r="684" spans="1:12" hidden="1" x14ac:dyDescent="0.25">
      <c r="A684" s="259" t="s">
        <v>724</v>
      </c>
      <c r="B684" s="261" t="str">
        <f>VLOOKUP(A684, '[2]fund-selector'!$A$2:$F$853,6,FALSE)</f>
        <v>EQ-L&amp;MC</v>
      </c>
      <c r="C684" s="258" t="s">
        <v>54</v>
      </c>
      <c r="D684" s="259">
        <v>0</v>
      </c>
      <c r="E684" s="259">
        <v>0</v>
      </c>
      <c r="F684" s="259">
        <v>0</v>
      </c>
      <c r="G684" s="259">
        <v>0</v>
      </c>
      <c r="H684" s="259">
        <v>0</v>
      </c>
      <c r="I684" s="259">
        <v>0</v>
      </c>
      <c r="J684" s="259">
        <v>0</v>
      </c>
      <c r="K684" s="259">
        <v>0</v>
      </c>
      <c r="L684" s="259">
        <v>0</v>
      </c>
    </row>
    <row r="685" spans="1:12" hidden="1" x14ac:dyDescent="0.25">
      <c r="A685" s="259" t="s">
        <v>725</v>
      </c>
      <c r="B685" s="261" t="str">
        <f>VLOOKUP(A685, '[2]fund-selector'!$A$2:$F$853,6,FALSE)</f>
        <v>HY-MAA</v>
      </c>
      <c r="C685" s="258" t="s">
        <v>54</v>
      </c>
      <c r="D685" s="260">
        <v>2.21</v>
      </c>
      <c r="E685" s="259">
        <v>0</v>
      </c>
      <c r="F685" s="259">
        <v>0</v>
      </c>
      <c r="G685" s="260">
        <v>2.21</v>
      </c>
      <c r="H685" s="259">
        <v>0</v>
      </c>
      <c r="I685" s="259">
        <v>0</v>
      </c>
      <c r="J685" s="259">
        <v>0</v>
      </c>
      <c r="K685" s="259">
        <v>0</v>
      </c>
      <c r="L685" s="259">
        <v>0</v>
      </c>
    </row>
    <row r="686" spans="1:12" hidden="1" x14ac:dyDescent="0.25">
      <c r="A686" s="259" t="s">
        <v>726</v>
      </c>
      <c r="B686" s="261" t="str">
        <f>VLOOKUP(A686, '[2]fund-selector'!$A$2:$F$853,6,FALSE)</f>
        <v>EQ-MLC</v>
      </c>
      <c r="C686" s="258" t="s">
        <v>54</v>
      </c>
      <c r="D686" s="260">
        <v>2.39</v>
      </c>
      <c r="E686" s="259">
        <v>0</v>
      </c>
      <c r="F686" s="259">
        <v>0</v>
      </c>
      <c r="G686" s="260">
        <v>2.39</v>
      </c>
      <c r="H686" s="259">
        <v>0</v>
      </c>
      <c r="I686" s="259">
        <v>0</v>
      </c>
      <c r="J686" s="259">
        <v>0</v>
      </c>
      <c r="K686" s="259">
        <v>0</v>
      </c>
      <c r="L686" s="259">
        <v>0</v>
      </c>
    </row>
    <row r="687" spans="1:12" hidden="1" x14ac:dyDescent="0.25">
      <c r="A687" s="259" t="s">
        <v>727</v>
      </c>
      <c r="B687" s="261" t="str">
        <f>VLOOKUP(A687, '[2]fund-selector'!$A$2:$F$853,6,FALSE)</f>
        <v>EQ-THEMATIC</v>
      </c>
      <c r="C687" s="258">
        <v>-19.23</v>
      </c>
      <c r="D687" s="260">
        <v>2.41</v>
      </c>
      <c r="E687" s="259">
        <v>0</v>
      </c>
      <c r="F687" s="259">
        <v>0</v>
      </c>
      <c r="G687" s="260">
        <v>2.41</v>
      </c>
      <c r="H687" s="259">
        <v>0</v>
      </c>
      <c r="I687" s="259">
        <v>0</v>
      </c>
      <c r="J687" s="259">
        <v>0</v>
      </c>
      <c r="K687" s="259">
        <v>0</v>
      </c>
      <c r="L687" s="259">
        <v>0</v>
      </c>
    </row>
    <row r="688" spans="1:12" hidden="1" x14ac:dyDescent="0.25">
      <c r="A688" s="259" t="s">
        <v>1391</v>
      </c>
      <c r="B688" s="261" t="str">
        <f>VLOOKUP(A688, '[2]fund-selector'!$A$2:$F$853,6,FALSE)</f>
        <v>HY-AR</v>
      </c>
      <c r="C688" s="258">
        <v>7.04</v>
      </c>
      <c r="D688" s="260">
        <v>0.9</v>
      </c>
      <c r="E688" s="260">
        <v>7.05</v>
      </c>
      <c r="F688" s="260">
        <v>5.64</v>
      </c>
      <c r="G688" s="260">
        <v>0.9</v>
      </c>
      <c r="H688" s="260">
        <v>0.53</v>
      </c>
      <c r="I688" s="260">
        <v>0.8</v>
      </c>
      <c r="J688" s="260">
        <v>0.89</v>
      </c>
      <c r="K688" s="260">
        <v>0.55000000000000004</v>
      </c>
      <c r="L688" s="260">
        <v>1.46</v>
      </c>
    </row>
    <row r="689" spans="1:12" hidden="1" x14ac:dyDescent="0.25">
      <c r="A689" s="259" t="s">
        <v>728</v>
      </c>
      <c r="B689" s="261" t="str">
        <f>VLOOKUP(A689, '[2]fund-selector'!$A$2:$F$853,6,FALSE)</f>
        <v>EQ-THEMATIC</v>
      </c>
      <c r="C689" s="258">
        <v>-9.61</v>
      </c>
      <c r="D689" s="260">
        <v>1.84</v>
      </c>
      <c r="E689" s="259">
        <v>0</v>
      </c>
      <c r="F689" s="259">
        <v>0</v>
      </c>
      <c r="G689" s="260">
        <v>1.84</v>
      </c>
      <c r="H689" s="259">
        <v>0</v>
      </c>
      <c r="I689" s="259">
        <v>0</v>
      </c>
      <c r="J689" s="259">
        <v>0</v>
      </c>
      <c r="K689" s="259">
        <v>0</v>
      </c>
      <c r="L689" s="259">
        <v>0</v>
      </c>
    </row>
    <row r="690" spans="1:12" hidden="1" x14ac:dyDescent="0.25">
      <c r="A690" s="259" t="s">
        <v>729</v>
      </c>
      <c r="B690" s="261" t="str">
        <f>VLOOKUP(A690, '[2]fund-selector'!$A$2:$F$853,6,FALSE)</f>
        <v>HY-DAA</v>
      </c>
      <c r="C690" s="258">
        <v>6.02</v>
      </c>
      <c r="D690" s="260">
        <v>1.57</v>
      </c>
      <c r="E690" s="260">
        <v>15.88</v>
      </c>
      <c r="F690" s="259">
        <v>0</v>
      </c>
      <c r="G690" s="260">
        <v>1.57</v>
      </c>
      <c r="H690" s="260">
        <v>6.44</v>
      </c>
      <c r="I690" s="260">
        <v>1.18</v>
      </c>
      <c r="J690" s="260">
        <v>1.88</v>
      </c>
      <c r="K690" s="260">
        <v>0.6</v>
      </c>
      <c r="L690" s="260">
        <v>2.88</v>
      </c>
    </row>
    <row r="691" spans="1:12" hidden="1" x14ac:dyDescent="0.25">
      <c r="A691" s="259" t="s">
        <v>730</v>
      </c>
      <c r="B691" s="261" t="str">
        <f>VLOOKUP(A691, '[2]fund-selector'!$A$2:$F$853,6,FALSE)</f>
        <v>EQ-LC</v>
      </c>
      <c r="C691" s="258">
        <v>5.0999999999999996</v>
      </c>
      <c r="D691" s="260">
        <v>1.49</v>
      </c>
      <c r="E691" s="260">
        <v>19.16</v>
      </c>
      <c r="F691" s="260">
        <v>21.01</v>
      </c>
      <c r="G691" s="260">
        <v>1.49</v>
      </c>
      <c r="H691" s="260">
        <v>12.69</v>
      </c>
      <c r="I691" s="260">
        <v>0.77</v>
      </c>
      <c r="J691" s="260">
        <v>1.41</v>
      </c>
      <c r="K691" s="260">
        <v>0.9</v>
      </c>
      <c r="L691" s="260">
        <v>0.43</v>
      </c>
    </row>
    <row r="692" spans="1:12" hidden="1" x14ac:dyDescent="0.25">
      <c r="A692" s="259" t="s">
        <v>731</v>
      </c>
      <c r="B692" s="261" t="str">
        <f>VLOOKUP(A692, '[2]fund-selector'!$A$2:$F$853,6,FALSE)</f>
        <v>EQ-LC</v>
      </c>
      <c r="C692" s="258">
        <v>4.83</v>
      </c>
      <c r="D692" s="260">
        <v>0.14000000000000001</v>
      </c>
      <c r="E692" s="260">
        <v>19.77</v>
      </c>
      <c r="F692" s="260">
        <v>21.53</v>
      </c>
      <c r="G692" s="260">
        <v>0.14000000000000001</v>
      </c>
      <c r="H692" s="260">
        <v>13.75</v>
      </c>
      <c r="I692" s="260">
        <v>0.74</v>
      </c>
      <c r="J692" s="260">
        <v>1.2</v>
      </c>
      <c r="K692" s="260">
        <v>1</v>
      </c>
      <c r="L692" s="260">
        <v>-0.14000000000000001</v>
      </c>
    </row>
    <row r="693" spans="1:12" hidden="1" x14ac:dyDescent="0.25">
      <c r="A693" s="259" t="s">
        <v>732</v>
      </c>
      <c r="B693" s="261" t="str">
        <f>VLOOKUP(A693, '[2]fund-selector'!$A$2:$F$853,6,FALSE)</f>
        <v>EQ-LC</v>
      </c>
      <c r="C693" s="258">
        <v>6.27</v>
      </c>
      <c r="D693" s="260">
        <v>0.04</v>
      </c>
      <c r="E693" s="260">
        <v>17.82</v>
      </c>
      <c r="F693" s="260">
        <v>19.91</v>
      </c>
      <c r="G693" s="260">
        <v>0.04</v>
      </c>
      <c r="H693" s="260">
        <v>12.71</v>
      </c>
      <c r="I693" s="260">
        <v>0.66</v>
      </c>
      <c r="J693" s="260">
        <v>1.1000000000000001</v>
      </c>
      <c r="K693" s="260">
        <v>0.91</v>
      </c>
      <c r="L693" s="260">
        <v>-0.96</v>
      </c>
    </row>
    <row r="694" spans="1:12" hidden="1" x14ac:dyDescent="0.25">
      <c r="A694" s="259" t="s">
        <v>733</v>
      </c>
      <c r="B694" s="261" t="str">
        <f>VLOOKUP(A694, '[2]fund-selector'!$A$2:$F$853,6,FALSE)</f>
        <v>EQ-LC</v>
      </c>
      <c r="C694" s="258">
        <v>5.77</v>
      </c>
      <c r="D694" s="260">
        <v>0.43</v>
      </c>
      <c r="E694" s="259">
        <v>0</v>
      </c>
      <c r="F694" s="259">
        <v>0</v>
      </c>
      <c r="G694" s="260">
        <v>0.43</v>
      </c>
      <c r="H694" s="259">
        <v>0</v>
      </c>
      <c r="I694" s="259">
        <v>0</v>
      </c>
      <c r="J694" s="259">
        <v>0</v>
      </c>
      <c r="K694" s="259">
        <v>0</v>
      </c>
      <c r="L694" s="259">
        <v>0</v>
      </c>
    </row>
    <row r="695" spans="1:12" hidden="1" x14ac:dyDescent="0.25">
      <c r="A695" s="259" t="s">
        <v>734</v>
      </c>
      <c r="B695" s="261" t="str">
        <f>VLOOKUP(A695, '[2]fund-selector'!$A$2:$F$853,6,FALSE)</f>
        <v>EQ-LC</v>
      </c>
      <c r="C695" s="258">
        <v>1.1299999999999999</v>
      </c>
      <c r="D695" s="260">
        <v>0.12</v>
      </c>
      <c r="E695" s="260">
        <v>25.97</v>
      </c>
      <c r="F695" s="260">
        <v>25.77</v>
      </c>
      <c r="G695" s="260">
        <v>0.12</v>
      </c>
      <c r="H695" s="260">
        <v>17.75</v>
      </c>
      <c r="I695" s="260">
        <v>0.89</v>
      </c>
      <c r="J695" s="260">
        <v>1.3</v>
      </c>
      <c r="K695" s="260">
        <v>1.22</v>
      </c>
      <c r="L695" s="260">
        <v>3.33</v>
      </c>
    </row>
    <row r="696" spans="1:12" hidden="1" x14ac:dyDescent="0.25">
      <c r="A696" s="259" t="s">
        <v>1239</v>
      </c>
      <c r="B696" s="261" t="str">
        <f>VLOOKUP(A696, '[2]fund-selector'!$A$2:$F$853,6,FALSE)</f>
        <v>HY-CH</v>
      </c>
      <c r="C696" s="258">
        <v>6.49</v>
      </c>
      <c r="D696" s="260">
        <v>1.54</v>
      </c>
      <c r="E696" s="260">
        <v>11.31</v>
      </c>
      <c r="F696" s="260">
        <v>11.77</v>
      </c>
      <c r="G696" s="260">
        <v>1.54</v>
      </c>
      <c r="H696" s="260">
        <v>3.57</v>
      </c>
      <c r="I696" s="260">
        <v>1.1599999999999999</v>
      </c>
      <c r="J696" s="260">
        <v>1.89</v>
      </c>
      <c r="K696" s="260">
        <v>0.81</v>
      </c>
      <c r="L696" s="260">
        <v>1.17</v>
      </c>
    </row>
    <row r="697" spans="1:12" hidden="1" x14ac:dyDescent="0.25">
      <c r="A697" s="259" t="s">
        <v>1240</v>
      </c>
      <c r="B697" s="261" t="str">
        <f>VLOOKUP(A697, '[2]fund-selector'!$A$2:$F$853,6,FALSE)</f>
        <v>HY-AH</v>
      </c>
      <c r="C697" s="258">
        <v>10.88</v>
      </c>
      <c r="D697" s="260">
        <v>1.39</v>
      </c>
      <c r="E697" s="260">
        <v>17.440000000000001</v>
      </c>
      <c r="F697" s="260">
        <v>17.82</v>
      </c>
      <c r="G697" s="260">
        <v>1.39</v>
      </c>
      <c r="H697" s="260">
        <v>9.56</v>
      </c>
      <c r="I697" s="260">
        <v>0.84</v>
      </c>
      <c r="J697" s="260">
        <v>1.28</v>
      </c>
      <c r="K697" s="260">
        <v>0.77</v>
      </c>
      <c r="L697" s="260">
        <v>0.62</v>
      </c>
    </row>
    <row r="698" spans="1:12" hidden="1" x14ac:dyDescent="0.25">
      <c r="A698" s="259" t="s">
        <v>738</v>
      </c>
      <c r="B698" s="261" t="str">
        <f>VLOOKUP(A698, '[2]fund-selector'!$A$2:$F$853,6,FALSE)</f>
        <v>EQ-THEMATIC</v>
      </c>
      <c r="C698" s="258">
        <v>0.99</v>
      </c>
      <c r="D698" s="260">
        <v>0.75</v>
      </c>
      <c r="E698" s="260">
        <v>18.47</v>
      </c>
      <c r="F698" s="260">
        <v>19.82</v>
      </c>
      <c r="G698" s="260">
        <v>0.75</v>
      </c>
      <c r="H698" s="260">
        <v>14.22</v>
      </c>
      <c r="I698" s="260">
        <v>0.62</v>
      </c>
      <c r="J698" s="260">
        <v>0.91</v>
      </c>
      <c r="K698" s="260">
        <v>0.91</v>
      </c>
      <c r="L698" s="260">
        <v>-1.65</v>
      </c>
    </row>
    <row r="699" spans="1:12" hidden="1" x14ac:dyDescent="0.25">
      <c r="A699" s="259" t="s">
        <v>740</v>
      </c>
      <c r="B699" s="261" t="str">
        <f>VLOOKUP(A699, '[2]fund-selector'!$A$2:$F$853,6,FALSE)</f>
        <v>EQ-FLX</v>
      </c>
      <c r="C699" s="258">
        <v>1.3</v>
      </c>
      <c r="D699" s="260">
        <v>1.67</v>
      </c>
      <c r="E699" s="260">
        <v>16.72</v>
      </c>
      <c r="F699" s="260">
        <v>19.989999999999998</v>
      </c>
      <c r="G699" s="260">
        <v>1.67</v>
      </c>
      <c r="H699" s="260">
        <v>12.31</v>
      </c>
      <c r="I699" s="260">
        <v>0.61</v>
      </c>
      <c r="J699" s="260">
        <v>0.91</v>
      </c>
      <c r="K699" s="260">
        <v>0.82</v>
      </c>
      <c r="L699" s="260">
        <v>-2.0299999999999998</v>
      </c>
    </row>
    <row r="700" spans="1:12" hidden="1" x14ac:dyDescent="0.25">
      <c r="A700" s="259" t="s">
        <v>741</v>
      </c>
      <c r="B700" s="261" t="str">
        <f>VLOOKUP(A700, '[2]fund-selector'!$A$2:$F$853,6,FALSE)</f>
        <v>EQ-FLX</v>
      </c>
      <c r="C700" s="258">
        <v>8.01</v>
      </c>
      <c r="D700" s="260">
        <v>1.56</v>
      </c>
      <c r="E700" s="260">
        <v>19.55</v>
      </c>
      <c r="F700" s="260">
        <v>20.49</v>
      </c>
      <c r="G700" s="260">
        <v>1.56</v>
      </c>
      <c r="H700" s="260">
        <v>11.41</v>
      </c>
      <c r="I700" s="260">
        <v>0.87</v>
      </c>
      <c r="J700" s="260">
        <v>1.45</v>
      </c>
      <c r="K700" s="260">
        <v>0.71</v>
      </c>
      <c r="L700" s="260">
        <v>1.81</v>
      </c>
    </row>
    <row r="701" spans="1:12" hidden="1" x14ac:dyDescent="0.25">
      <c r="A701" s="259" t="s">
        <v>742</v>
      </c>
      <c r="B701" s="261" t="str">
        <f>VLOOKUP(A701, '[2]fund-selector'!$A$2:$F$853,6,FALSE)</f>
        <v>EQ-THEMATIC</v>
      </c>
      <c r="C701" s="258" t="s">
        <v>54</v>
      </c>
      <c r="D701" s="260">
        <v>1.78</v>
      </c>
      <c r="E701" s="259">
        <v>0</v>
      </c>
      <c r="F701" s="259">
        <v>0</v>
      </c>
      <c r="G701" s="260">
        <v>1.78</v>
      </c>
      <c r="H701" s="259">
        <v>0</v>
      </c>
      <c r="I701" s="259">
        <v>0</v>
      </c>
      <c r="J701" s="259">
        <v>0</v>
      </c>
      <c r="K701" s="259">
        <v>0</v>
      </c>
      <c r="L701" s="259">
        <v>0</v>
      </c>
    </row>
    <row r="702" spans="1:12" hidden="1" x14ac:dyDescent="0.25">
      <c r="A702" s="259" t="s">
        <v>743</v>
      </c>
      <c r="B702" s="261" t="str">
        <f>VLOOKUP(A702, '[2]fund-selector'!$A$2:$F$853,6,FALSE)</f>
        <v>EQ-L&amp;MC</v>
      </c>
      <c r="C702" s="258">
        <v>4.8600000000000003</v>
      </c>
      <c r="D702" s="260">
        <v>1.59</v>
      </c>
      <c r="E702" s="260">
        <v>22.48</v>
      </c>
      <c r="F702" s="260">
        <v>25.12</v>
      </c>
      <c r="G702" s="260">
        <v>1.59</v>
      </c>
      <c r="H702" s="260">
        <v>12.51</v>
      </c>
      <c r="I702" s="260">
        <v>1.02</v>
      </c>
      <c r="J702" s="260">
        <v>1.66</v>
      </c>
      <c r="K702" s="260">
        <v>0.84</v>
      </c>
      <c r="L702" s="260">
        <v>3.47</v>
      </c>
    </row>
    <row r="703" spans="1:12" hidden="1" x14ac:dyDescent="0.25">
      <c r="A703" s="259" t="s">
        <v>1241</v>
      </c>
      <c r="B703" s="261" t="str">
        <f>VLOOKUP(A703, '[2]fund-selector'!$A$2:$F$853,6,FALSE)</f>
        <v>HY-AH</v>
      </c>
      <c r="C703" s="258">
        <v>8.02</v>
      </c>
      <c r="D703" s="260">
        <v>1.87</v>
      </c>
      <c r="E703" s="260">
        <v>24.56</v>
      </c>
      <c r="F703" s="259">
        <v>0</v>
      </c>
      <c r="G703" s="260">
        <v>1.87</v>
      </c>
      <c r="H703" s="260">
        <v>13.85</v>
      </c>
      <c r="I703" s="260">
        <v>1.03</v>
      </c>
      <c r="J703" s="260">
        <v>1.49</v>
      </c>
      <c r="K703" s="260">
        <v>0.92</v>
      </c>
      <c r="L703" s="260">
        <v>5.41</v>
      </c>
    </row>
    <row r="704" spans="1:12" hidden="1" x14ac:dyDescent="0.25">
      <c r="A704" s="259" t="s">
        <v>1242</v>
      </c>
      <c r="B704" s="261" t="str">
        <f>VLOOKUP(A704, '[2]fund-selector'!$A$2:$F$853,6,FALSE)</f>
        <v>HY-CH</v>
      </c>
      <c r="C704" s="258">
        <v>9.7200000000000006</v>
      </c>
      <c r="D704" s="260">
        <v>1.21</v>
      </c>
      <c r="E704" s="260">
        <v>13.68</v>
      </c>
      <c r="F704" s="260">
        <v>14.22</v>
      </c>
      <c r="G704" s="260">
        <v>1.21</v>
      </c>
      <c r="H704" s="260">
        <v>4.43</v>
      </c>
      <c r="I704" s="260">
        <v>1.45</v>
      </c>
      <c r="J704" s="260">
        <v>2.08</v>
      </c>
      <c r="K704" s="260">
        <v>0.81</v>
      </c>
      <c r="L704" s="260">
        <v>3.43</v>
      </c>
    </row>
    <row r="705" spans="1:12" hidden="1" x14ac:dyDescent="0.25">
      <c r="A705" s="259" t="s">
        <v>744</v>
      </c>
      <c r="B705" s="261" t="str">
        <f>VLOOKUP(A705, '[2]fund-selector'!$A$2:$F$853,6,FALSE)</f>
        <v>EQ-THEMATIC</v>
      </c>
      <c r="C705" s="258">
        <v>0.88</v>
      </c>
      <c r="D705" s="260">
        <v>2.5</v>
      </c>
      <c r="E705" s="260">
        <v>19.03</v>
      </c>
      <c r="F705" s="260">
        <v>23.35</v>
      </c>
      <c r="G705" s="260">
        <v>2.5</v>
      </c>
      <c r="H705" s="260">
        <v>17.07</v>
      </c>
      <c r="I705" s="260">
        <v>0.56999999999999995</v>
      </c>
      <c r="J705" s="260">
        <v>0.89</v>
      </c>
      <c r="K705" s="260">
        <v>1.08</v>
      </c>
      <c r="L705" s="260">
        <v>-2.73</v>
      </c>
    </row>
    <row r="706" spans="1:12" hidden="1" x14ac:dyDescent="0.25">
      <c r="A706" s="259" t="s">
        <v>746</v>
      </c>
      <c r="B706" s="261" t="str">
        <f>VLOOKUP(A706, '[2]fund-selector'!$A$2:$F$853,6,FALSE)</f>
        <v>EQ-MC</v>
      </c>
      <c r="C706" s="258">
        <v>-0.73</v>
      </c>
      <c r="D706" s="260">
        <v>1.66</v>
      </c>
      <c r="E706" s="260">
        <v>22.73</v>
      </c>
      <c r="F706" s="260">
        <v>28.91</v>
      </c>
      <c r="G706" s="260">
        <v>1.66</v>
      </c>
      <c r="H706" s="260">
        <v>13.88</v>
      </c>
      <c r="I706" s="260">
        <v>0.95</v>
      </c>
      <c r="J706" s="260">
        <v>1.37</v>
      </c>
      <c r="K706" s="260">
        <v>0.77</v>
      </c>
      <c r="L706" s="260">
        <v>-0.8</v>
      </c>
    </row>
    <row r="707" spans="1:12" hidden="1" x14ac:dyDescent="0.25">
      <c r="A707" s="259" t="s">
        <v>747</v>
      </c>
      <c r="B707" s="261" t="str">
        <f>VLOOKUP(A707, '[2]fund-selector'!$A$2:$F$853,6,FALSE)</f>
        <v>HY-MAA</v>
      </c>
      <c r="C707" s="258">
        <v>8.6999999999999993</v>
      </c>
      <c r="D707" s="260">
        <v>1.44</v>
      </c>
      <c r="E707" s="260">
        <v>18.43</v>
      </c>
      <c r="F707" s="260">
        <v>15.17</v>
      </c>
      <c r="G707" s="260">
        <v>1.44</v>
      </c>
      <c r="H707" s="260">
        <v>7.39</v>
      </c>
      <c r="I707" s="260">
        <v>1.26</v>
      </c>
      <c r="J707" s="260">
        <v>2.16</v>
      </c>
      <c r="K707" s="260">
        <v>0.7</v>
      </c>
      <c r="L707" s="260">
        <v>3.14</v>
      </c>
    </row>
    <row r="708" spans="1:12" x14ac:dyDescent="0.25">
      <c r="A708" s="296" t="s">
        <v>748</v>
      </c>
      <c r="B708" s="261" t="str">
        <f>VLOOKUP(A708, '[2]fund-selector'!$A$2:$F$853,6,FALSE)</f>
        <v>EQ-MLC</v>
      </c>
      <c r="C708" s="258">
        <v>8.6199999999999992</v>
      </c>
      <c r="D708" s="260">
        <v>1.68</v>
      </c>
      <c r="E708" s="260">
        <v>21.61</v>
      </c>
      <c r="F708" s="259">
        <v>0</v>
      </c>
      <c r="G708" s="260">
        <v>1.68</v>
      </c>
      <c r="H708" s="260">
        <v>13.5</v>
      </c>
      <c r="I708" s="260">
        <v>0.85</v>
      </c>
      <c r="J708" s="260">
        <v>1.33</v>
      </c>
      <c r="K708" s="260">
        <v>0.82</v>
      </c>
      <c r="L708" s="260">
        <v>-0.35</v>
      </c>
    </row>
    <row r="709" spans="1:12" hidden="1" x14ac:dyDescent="0.25">
      <c r="A709" s="259" t="s">
        <v>1392</v>
      </c>
      <c r="B709" s="261" t="str">
        <f>VLOOKUP(A709, '[2]fund-selector'!$A$2:$F$853,6,FALSE)</f>
        <v>EQ-L&amp;MC</v>
      </c>
      <c r="C709" s="258" t="s">
        <v>54</v>
      </c>
      <c r="D709" s="259">
        <v>0</v>
      </c>
      <c r="E709" s="259">
        <v>0</v>
      </c>
      <c r="F709" s="259">
        <v>0</v>
      </c>
      <c r="G709" s="259">
        <v>0</v>
      </c>
      <c r="H709" s="259">
        <v>0</v>
      </c>
      <c r="I709" s="259">
        <v>0</v>
      </c>
      <c r="J709" s="259">
        <v>0</v>
      </c>
      <c r="K709" s="259">
        <v>0</v>
      </c>
      <c r="L709" s="259">
        <v>0</v>
      </c>
    </row>
    <row r="710" spans="1:12" hidden="1" x14ac:dyDescent="0.25">
      <c r="A710" s="259" t="s">
        <v>749</v>
      </c>
      <c r="B710" s="261" t="str">
        <f>VLOOKUP(A710, '[2]fund-selector'!$A$2:$F$853,6,FALSE)</f>
        <v>EQ-L&amp;MC</v>
      </c>
      <c r="C710" s="258">
        <v>1.02</v>
      </c>
      <c r="D710" s="260">
        <v>0.5</v>
      </c>
      <c r="E710" s="260">
        <v>18.61</v>
      </c>
      <c r="F710" s="260">
        <v>19.170000000000002</v>
      </c>
      <c r="G710" s="260">
        <v>0.5</v>
      </c>
      <c r="H710" s="260">
        <v>15.29</v>
      </c>
      <c r="I710" s="260">
        <v>0.6</v>
      </c>
      <c r="J710" s="260">
        <v>0.78</v>
      </c>
      <c r="K710" s="260">
        <v>0.99</v>
      </c>
      <c r="L710" s="260">
        <v>-1.75</v>
      </c>
    </row>
    <row r="711" spans="1:12" hidden="1" x14ac:dyDescent="0.25">
      <c r="A711" s="259" t="s">
        <v>750</v>
      </c>
      <c r="B711" s="261" t="str">
        <f>VLOOKUP(A711, '[2]fund-selector'!$A$2:$F$853,6,FALSE)</f>
        <v>EQ-L&amp;MC</v>
      </c>
      <c r="C711" s="258" t="s">
        <v>54</v>
      </c>
      <c r="D711" s="259">
        <v>0</v>
      </c>
      <c r="E711" s="259">
        <v>0</v>
      </c>
      <c r="F711" s="259">
        <v>0</v>
      </c>
      <c r="G711" s="259">
        <v>0</v>
      </c>
      <c r="H711" s="259">
        <v>0</v>
      </c>
      <c r="I711" s="259">
        <v>0</v>
      </c>
      <c r="J711" s="259">
        <v>0</v>
      </c>
      <c r="K711" s="259">
        <v>0</v>
      </c>
      <c r="L711" s="259">
        <v>0</v>
      </c>
    </row>
    <row r="712" spans="1:12" hidden="1" x14ac:dyDescent="0.25">
      <c r="A712" s="259" t="s">
        <v>751</v>
      </c>
      <c r="B712" s="261" t="str">
        <f>VLOOKUP(A712, '[2]fund-selector'!$A$2:$F$853,6,FALSE)</f>
        <v>EQ-FLX</v>
      </c>
      <c r="C712" s="258" t="s">
        <v>54</v>
      </c>
      <c r="D712" s="260">
        <v>0.87</v>
      </c>
      <c r="E712" s="259">
        <v>0</v>
      </c>
      <c r="F712" s="259">
        <v>0</v>
      </c>
      <c r="G712" s="260">
        <v>0.87</v>
      </c>
      <c r="H712" s="259">
        <v>0</v>
      </c>
      <c r="I712" s="259">
        <v>0</v>
      </c>
      <c r="J712" s="259">
        <v>0</v>
      </c>
      <c r="K712" s="259">
        <v>0</v>
      </c>
      <c r="L712" s="259">
        <v>0</v>
      </c>
    </row>
    <row r="713" spans="1:12" hidden="1" x14ac:dyDescent="0.25">
      <c r="A713" s="259" t="s">
        <v>752</v>
      </c>
      <c r="B713" s="261" t="str">
        <f>VLOOKUP(A713, '[2]fund-selector'!$A$2:$F$853,6,FALSE)</f>
        <v>EQ-LC</v>
      </c>
      <c r="C713" s="258" t="s">
        <v>54</v>
      </c>
      <c r="D713" s="260">
        <v>0.3</v>
      </c>
      <c r="E713" s="259">
        <v>0</v>
      </c>
      <c r="F713" s="259">
        <v>0</v>
      </c>
      <c r="G713" s="260">
        <v>0.3</v>
      </c>
      <c r="H713" s="259">
        <v>0</v>
      </c>
      <c r="I713" s="259">
        <v>0</v>
      </c>
      <c r="J713" s="259">
        <v>0</v>
      </c>
      <c r="K713" s="259">
        <v>0</v>
      </c>
      <c r="L713" s="259">
        <v>0</v>
      </c>
    </row>
    <row r="714" spans="1:12" hidden="1" x14ac:dyDescent="0.25">
      <c r="A714" s="259" t="s">
        <v>753</v>
      </c>
      <c r="B714" s="261" t="str">
        <f>VLOOKUP(A714, '[2]fund-selector'!$A$2:$F$853,6,FALSE)</f>
        <v>EQ-LC</v>
      </c>
      <c r="C714" s="258">
        <v>3.93</v>
      </c>
      <c r="D714" s="260">
        <v>1.02</v>
      </c>
      <c r="E714" s="259">
        <v>0</v>
      </c>
      <c r="F714" s="259">
        <v>0</v>
      </c>
      <c r="G714" s="260">
        <v>1.02</v>
      </c>
      <c r="H714" s="259">
        <v>0</v>
      </c>
      <c r="I714" s="259">
        <v>0</v>
      </c>
      <c r="J714" s="259">
        <v>0</v>
      </c>
      <c r="K714" s="259">
        <v>0</v>
      </c>
      <c r="L714" s="259">
        <v>0</v>
      </c>
    </row>
    <row r="715" spans="1:12" hidden="1" x14ac:dyDescent="0.25">
      <c r="A715" s="259" t="s">
        <v>754</v>
      </c>
      <c r="B715" s="261" t="str">
        <f>VLOOKUP(A715, '[2]fund-selector'!$A$2:$F$853,6,FALSE)</f>
        <v>EQ-LC</v>
      </c>
      <c r="C715" s="258">
        <v>6.48</v>
      </c>
      <c r="D715" s="260">
        <v>0.04</v>
      </c>
      <c r="E715" s="260">
        <v>18.64</v>
      </c>
      <c r="F715" s="260">
        <v>20.63</v>
      </c>
      <c r="G715" s="260">
        <v>0.04</v>
      </c>
      <c r="H715" s="260">
        <v>13.13</v>
      </c>
      <c r="I715" s="260">
        <v>0.69</v>
      </c>
      <c r="J715" s="260">
        <v>1.17</v>
      </c>
      <c r="K715" s="260">
        <v>0.95</v>
      </c>
      <c r="L715" s="260">
        <v>-0.74</v>
      </c>
    </row>
    <row r="716" spans="1:12" hidden="1" x14ac:dyDescent="0.25">
      <c r="A716" s="259" t="s">
        <v>756</v>
      </c>
      <c r="B716" s="261" t="str">
        <f>VLOOKUP(A716, '[2]fund-selector'!$A$2:$F$853,6,FALSE)</f>
        <v>EQ-LC</v>
      </c>
      <c r="C716" s="258">
        <v>6.01</v>
      </c>
      <c r="D716" s="260">
        <v>0.44</v>
      </c>
      <c r="E716" s="260">
        <v>18.09</v>
      </c>
      <c r="F716" s="260">
        <v>20.010000000000002</v>
      </c>
      <c r="G716" s="260">
        <v>0.44</v>
      </c>
      <c r="H716" s="260">
        <v>13.14</v>
      </c>
      <c r="I716" s="260">
        <v>0.65</v>
      </c>
      <c r="J716" s="260">
        <v>1.1100000000000001</v>
      </c>
      <c r="K716" s="260">
        <v>0.95</v>
      </c>
      <c r="L716" s="260">
        <v>-1.22</v>
      </c>
    </row>
    <row r="717" spans="1:12" hidden="1" x14ac:dyDescent="0.25">
      <c r="A717" s="259" t="s">
        <v>758</v>
      </c>
      <c r="B717" s="261" t="str">
        <f>VLOOKUP(A717, '[2]fund-selector'!$A$2:$F$853,6,FALSE)</f>
        <v>EQ-MC</v>
      </c>
      <c r="C717" s="258">
        <v>1.65</v>
      </c>
      <c r="D717" s="260">
        <v>0.87</v>
      </c>
      <c r="E717" s="259">
        <v>0</v>
      </c>
      <c r="F717" s="259">
        <v>0</v>
      </c>
      <c r="G717" s="260">
        <v>0.87</v>
      </c>
      <c r="H717" s="259">
        <v>0</v>
      </c>
      <c r="I717" s="259">
        <v>0</v>
      </c>
      <c r="J717" s="259">
        <v>0</v>
      </c>
      <c r="K717" s="259">
        <v>0</v>
      </c>
      <c r="L717" s="259">
        <v>0</v>
      </c>
    </row>
    <row r="718" spans="1:12" hidden="1" x14ac:dyDescent="0.25">
      <c r="A718" s="259" t="s">
        <v>759</v>
      </c>
      <c r="B718" s="261" t="str">
        <f>VLOOKUP(A718, '[2]fund-selector'!$A$2:$F$853,6,FALSE)</f>
        <v>EQ-LC</v>
      </c>
      <c r="C718" s="258">
        <v>-7.39</v>
      </c>
      <c r="D718" s="260">
        <v>0.15</v>
      </c>
      <c r="E718" s="260">
        <v>23.25</v>
      </c>
      <c r="F718" s="260">
        <v>21.8</v>
      </c>
      <c r="G718" s="260">
        <v>0.15</v>
      </c>
      <c r="H718" s="260">
        <v>19.54</v>
      </c>
      <c r="I718" s="260">
        <v>0.72</v>
      </c>
      <c r="J718" s="260">
        <v>1.08</v>
      </c>
      <c r="K718" s="260">
        <v>1.3</v>
      </c>
      <c r="L718" s="260">
        <v>0.8</v>
      </c>
    </row>
    <row r="719" spans="1:12" hidden="1" x14ac:dyDescent="0.25">
      <c r="A719" s="259" t="s">
        <v>760</v>
      </c>
      <c r="B719" s="261" t="str">
        <f>VLOOKUP(A719, '[2]fund-selector'!$A$2:$F$853,6,FALSE)</f>
        <v>EQ-LC</v>
      </c>
      <c r="C719" s="258">
        <v>-8.0299999999999994</v>
      </c>
      <c r="D719" s="260">
        <v>0.75</v>
      </c>
      <c r="E719" s="260">
        <v>22.39</v>
      </c>
      <c r="F719" s="259">
        <v>0</v>
      </c>
      <c r="G719" s="260">
        <v>0.75</v>
      </c>
      <c r="H719" s="260">
        <v>19.53</v>
      </c>
      <c r="I719" s="260">
        <v>0.69</v>
      </c>
      <c r="J719" s="260">
        <v>1.03</v>
      </c>
      <c r="K719" s="260">
        <v>1.3</v>
      </c>
      <c r="L719" s="260">
        <v>0.11</v>
      </c>
    </row>
    <row r="720" spans="1:12" hidden="1" x14ac:dyDescent="0.25">
      <c r="A720" s="259" t="s">
        <v>761</v>
      </c>
      <c r="B720" s="261" t="str">
        <f>VLOOKUP(A720, '[2]fund-selector'!$A$2:$F$853,6,FALSE)</f>
        <v>EQ-SC</v>
      </c>
      <c r="C720" s="258">
        <v>-1.38</v>
      </c>
      <c r="D720" s="260">
        <v>0.88</v>
      </c>
      <c r="E720" s="259">
        <v>0</v>
      </c>
      <c r="F720" s="259">
        <v>0</v>
      </c>
      <c r="G720" s="260">
        <v>0.88</v>
      </c>
      <c r="H720" s="259">
        <v>0</v>
      </c>
      <c r="I720" s="259">
        <v>0</v>
      </c>
      <c r="J720" s="259">
        <v>0</v>
      </c>
      <c r="K720" s="259">
        <v>0</v>
      </c>
      <c r="L720" s="259">
        <v>0</v>
      </c>
    </row>
    <row r="721" spans="1:12" hidden="1" x14ac:dyDescent="0.25">
      <c r="A721" s="259" t="s">
        <v>763</v>
      </c>
      <c r="B721" s="261" t="str">
        <f>VLOOKUP(A721, '[2]fund-selector'!$A$2:$F$853,6,FALSE)</f>
        <v>EQ-THEMATIC</v>
      </c>
      <c r="C721" s="258" t="s">
        <v>54</v>
      </c>
      <c r="D721" s="260">
        <v>1.9</v>
      </c>
      <c r="E721" s="259">
        <v>0</v>
      </c>
      <c r="F721" s="259">
        <v>0</v>
      </c>
      <c r="G721" s="260">
        <v>1.9</v>
      </c>
      <c r="H721" s="259">
        <v>0</v>
      </c>
      <c r="I721" s="259">
        <v>0</v>
      </c>
      <c r="J721" s="259">
        <v>0</v>
      </c>
      <c r="K721" s="259">
        <v>0</v>
      </c>
      <c r="L721" s="259">
        <v>0</v>
      </c>
    </row>
    <row r="722" spans="1:12" hidden="1" x14ac:dyDescent="0.25">
      <c r="A722" s="259" t="s">
        <v>1243</v>
      </c>
      <c r="B722" s="261" t="str">
        <f>VLOOKUP(A722, '[2]fund-selector'!$A$2:$F$853,6,FALSE)</f>
        <v>HY-AH</v>
      </c>
      <c r="C722" s="258">
        <v>0.51</v>
      </c>
      <c r="D722" s="260">
        <v>2.09</v>
      </c>
      <c r="E722" s="260">
        <v>17.46</v>
      </c>
      <c r="F722" s="259">
        <v>0</v>
      </c>
      <c r="G722" s="260">
        <v>2.09</v>
      </c>
      <c r="H722" s="260">
        <v>10.6</v>
      </c>
      <c r="I722" s="260">
        <v>0.77</v>
      </c>
      <c r="J722" s="260">
        <v>1.18</v>
      </c>
      <c r="K722" s="260">
        <v>0.85</v>
      </c>
      <c r="L722" s="260">
        <v>0.03</v>
      </c>
    </row>
    <row r="723" spans="1:12" hidden="1" x14ac:dyDescent="0.25">
      <c r="A723" s="259" t="s">
        <v>764</v>
      </c>
      <c r="B723" s="261" t="str">
        <f>VLOOKUP(A723, '[2]fund-selector'!$A$2:$F$853,6,FALSE)</f>
        <v>EQ-FLX</v>
      </c>
      <c r="C723" s="258">
        <v>-1.52</v>
      </c>
      <c r="D723" s="260">
        <v>1.93</v>
      </c>
      <c r="E723" s="260">
        <v>19.52</v>
      </c>
      <c r="F723" s="259">
        <v>0</v>
      </c>
      <c r="G723" s="260">
        <v>1.93</v>
      </c>
      <c r="H723" s="260">
        <v>13.05</v>
      </c>
      <c r="I723" s="260">
        <v>0.77</v>
      </c>
      <c r="J723" s="260">
        <v>1.2</v>
      </c>
      <c r="K723" s="260">
        <v>0.86</v>
      </c>
      <c r="L723" s="260">
        <v>0.08</v>
      </c>
    </row>
    <row r="724" spans="1:12" hidden="1" x14ac:dyDescent="0.25">
      <c r="A724" s="259" t="s">
        <v>1244</v>
      </c>
      <c r="B724" s="261" t="str">
        <f>VLOOKUP(A724, '[2]fund-selector'!$A$2:$F$853,6,FALSE)</f>
        <v>HY-CH</v>
      </c>
      <c r="C724" s="258">
        <v>4.47</v>
      </c>
      <c r="D724" s="260">
        <v>1.67</v>
      </c>
      <c r="E724" s="260">
        <v>12.84</v>
      </c>
      <c r="F724" s="259">
        <v>0</v>
      </c>
      <c r="G724" s="260">
        <v>1.67</v>
      </c>
      <c r="H724" s="260">
        <v>5.72</v>
      </c>
      <c r="I724" s="260">
        <v>0.9</v>
      </c>
      <c r="J724" s="260">
        <v>1.34</v>
      </c>
      <c r="K724" s="260">
        <v>1.35</v>
      </c>
      <c r="L724" s="260">
        <v>0.21</v>
      </c>
    </row>
    <row r="725" spans="1:12" hidden="1" x14ac:dyDescent="0.25">
      <c r="A725" s="259" t="s">
        <v>1245</v>
      </c>
      <c r="B725" s="261" t="str">
        <f>VLOOKUP(A725, '[2]fund-selector'!$A$2:$F$853,6,FALSE)</f>
        <v>HY-CH</v>
      </c>
      <c r="C725" s="258">
        <v>6.94</v>
      </c>
      <c r="D725" s="260">
        <v>1.38</v>
      </c>
      <c r="E725" s="260">
        <v>10.66</v>
      </c>
      <c r="F725" s="259">
        <v>0</v>
      </c>
      <c r="G725" s="260">
        <v>1.38</v>
      </c>
      <c r="H725" s="260">
        <v>3.47</v>
      </c>
      <c r="I725" s="260">
        <v>1.05</v>
      </c>
      <c r="J725" s="260">
        <v>1.58</v>
      </c>
      <c r="K725" s="260">
        <v>0.82</v>
      </c>
      <c r="L725" s="260">
        <v>0.61</v>
      </c>
    </row>
    <row r="726" spans="1:12" hidden="1" x14ac:dyDescent="0.25">
      <c r="A726" s="259" t="s">
        <v>765</v>
      </c>
      <c r="B726" s="261" t="str">
        <f>VLOOKUP(A726, '[2]fund-selector'!$A$2:$F$853,6,FALSE)</f>
        <v>EQ-SC</v>
      </c>
      <c r="C726" s="258">
        <v>-3.74</v>
      </c>
      <c r="D726" s="260">
        <v>1.56</v>
      </c>
      <c r="E726" s="260">
        <v>21.11</v>
      </c>
      <c r="F726" s="260">
        <v>28.39</v>
      </c>
      <c r="G726" s="260">
        <v>1.56</v>
      </c>
      <c r="H726" s="260">
        <v>15.01</v>
      </c>
      <c r="I726" s="260">
        <v>0.81</v>
      </c>
      <c r="J726" s="260">
        <v>1.1299999999999999</v>
      </c>
      <c r="K726" s="260">
        <v>0.74</v>
      </c>
      <c r="L726" s="260">
        <v>-1.24</v>
      </c>
    </row>
    <row r="727" spans="1:12" hidden="1" x14ac:dyDescent="0.25">
      <c r="A727" s="259" t="s">
        <v>1246</v>
      </c>
      <c r="B727" s="261" t="str">
        <f>VLOOKUP(A727, '[2]fund-selector'!$A$2:$F$853,6,FALSE)</f>
        <v>HY-AH</v>
      </c>
      <c r="C727" s="258">
        <v>-3.31</v>
      </c>
      <c r="D727" s="260">
        <v>2.41</v>
      </c>
      <c r="E727" s="260">
        <v>14.11</v>
      </c>
      <c r="F727" s="260">
        <v>14.06</v>
      </c>
      <c r="G727" s="260">
        <v>2.41</v>
      </c>
      <c r="H727" s="260">
        <v>11.15</v>
      </c>
      <c r="I727" s="260">
        <v>0.51</v>
      </c>
      <c r="J727" s="260">
        <v>0.72</v>
      </c>
      <c r="K727" s="260">
        <v>0.87</v>
      </c>
      <c r="L727" s="260">
        <v>-2.75</v>
      </c>
    </row>
    <row r="728" spans="1:12" hidden="1" x14ac:dyDescent="0.25">
      <c r="A728" s="259" t="s">
        <v>766</v>
      </c>
      <c r="B728" s="261" t="str">
        <f>VLOOKUP(A728, '[2]fund-selector'!$A$2:$F$853,6,FALSE)</f>
        <v>HY-DAA</v>
      </c>
      <c r="C728" s="258">
        <v>-4.75</v>
      </c>
      <c r="D728" s="260">
        <v>2.39</v>
      </c>
      <c r="E728" s="260">
        <v>10.46</v>
      </c>
      <c r="F728" s="260">
        <v>10.52</v>
      </c>
      <c r="G728" s="260">
        <v>2.39</v>
      </c>
      <c r="H728" s="260">
        <v>9.9700000000000006</v>
      </c>
      <c r="I728" s="260">
        <v>0.31</v>
      </c>
      <c r="J728" s="260">
        <v>0.39</v>
      </c>
      <c r="K728" s="260">
        <v>0.84</v>
      </c>
      <c r="L728" s="260">
        <v>-3.5</v>
      </c>
    </row>
    <row r="729" spans="1:12" hidden="1" x14ac:dyDescent="0.25">
      <c r="A729" s="259" t="s">
        <v>767</v>
      </c>
      <c r="B729" s="261" t="str">
        <f>VLOOKUP(A729, '[2]fund-selector'!$A$2:$F$853,6,FALSE)</f>
        <v>EQ-FLX</v>
      </c>
      <c r="C729" s="258">
        <v>-11.72</v>
      </c>
      <c r="D729" s="260">
        <v>2.4</v>
      </c>
      <c r="E729" s="260">
        <v>15.9</v>
      </c>
      <c r="F729" s="260">
        <v>15.91</v>
      </c>
      <c r="G729" s="260">
        <v>2.4</v>
      </c>
      <c r="H729" s="260">
        <v>16.010000000000002</v>
      </c>
      <c r="I729" s="260">
        <v>0.44</v>
      </c>
      <c r="J729" s="260">
        <v>0.57999999999999996</v>
      </c>
      <c r="K729" s="260">
        <v>0.99</v>
      </c>
      <c r="L729" s="260">
        <v>-4.33</v>
      </c>
    </row>
    <row r="730" spans="1:12" hidden="1" x14ac:dyDescent="0.25">
      <c r="A730" s="259" t="s">
        <v>768</v>
      </c>
      <c r="B730" s="261" t="str">
        <f>VLOOKUP(A730, '[2]fund-selector'!$A$2:$F$853,6,FALSE)</f>
        <v>HY-MAA</v>
      </c>
      <c r="C730" s="258">
        <v>-5.01</v>
      </c>
      <c r="D730" s="260">
        <v>2.35</v>
      </c>
      <c r="E730" s="259">
        <v>0</v>
      </c>
      <c r="F730" s="259">
        <v>0</v>
      </c>
      <c r="G730" s="260">
        <v>2.35</v>
      </c>
      <c r="H730" s="259">
        <v>0</v>
      </c>
      <c r="I730" s="259">
        <v>0</v>
      </c>
      <c r="J730" s="259">
        <v>0</v>
      </c>
      <c r="K730" s="259">
        <v>0</v>
      </c>
      <c r="L730" s="259">
        <v>0</v>
      </c>
    </row>
    <row r="731" spans="1:12" hidden="1" x14ac:dyDescent="0.25">
      <c r="A731" s="259" t="s">
        <v>769</v>
      </c>
      <c r="B731" s="261" t="str">
        <f>VLOOKUP(A731, '[2]fund-selector'!$A$2:$F$853,6,FALSE)</f>
        <v>EQ-THEMATIC</v>
      </c>
      <c r="C731" s="258" t="s">
        <v>54</v>
      </c>
      <c r="D731" s="260">
        <v>2.35</v>
      </c>
      <c r="E731" s="259">
        <v>0</v>
      </c>
      <c r="F731" s="259">
        <v>0</v>
      </c>
      <c r="G731" s="260">
        <v>2.35</v>
      </c>
      <c r="H731" s="259">
        <v>0</v>
      </c>
      <c r="I731" s="259">
        <v>0</v>
      </c>
      <c r="J731" s="259">
        <v>0</v>
      </c>
      <c r="K731" s="259">
        <v>0</v>
      </c>
      <c r="L731" s="259">
        <v>0</v>
      </c>
    </row>
    <row r="732" spans="1:12" hidden="1" x14ac:dyDescent="0.25">
      <c r="A732" s="259" t="s">
        <v>1247</v>
      </c>
      <c r="B732" s="261" t="str">
        <f>VLOOKUP(A732, '[2]fund-selector'!$A$2:$F$853,6,FALSE)</f>
        <v>HY-AH</v>
      </c>
      <c r="C732" s="258">
        <v>5.44</v>
      </c>
      <c r="D732" s="260">
        <v>1.81</v>
      </c>
      <c r="E732" s="260">
        <v>16.489999999999998</v>
      </c>
      <c r="F732" s="260">
        <v>17.420000000000002</v>
      </c>
      <c r="G732" s="260">
        <v>1.81</v>
      </c>
      <c r="H732" s="260">
        <v>10.41</v>
      </c>
      <c r="I732" s="260">
        <v>0.76</v>
      </c>
      <c r="J732" s="260">
        <v>1.23</v>
      </c>
      <c r="K732" s="260">
        <v>0.85</v>
      </c>
      <c r="L732" s="260">
        <v>-0.24</v>
      </c>
    </row>
    <row r="733" spans="1:12" hidden="1" x14ac:dyDescent="0.25">
      <c r="A733" s="259" t="s">
        <v>1260</v>
      </c>
      <c r="B733" s="261" t="str">
        <f>VLOOKUP(A733, '[2]fund-selector'!$A$2:$F$853,6,FALSE)</f>
        <v>HY-AR</v>
      </c>
      <c r="C733" s="258">
        <v>6.75</v>
      </c>
      <c r="D733" s="260">
        <v>1</v>
      </c>
      <c r="E733" s="260">
        <v>6.5</v>
      </c>
      <c r="F733" s="260">
        <v>5.17</v>
      </c>
      <c r="G733" s="260">
        <v>1</v>
      </c>
      <c r="H733" s="260">
        <v>0.56000000000000005</v>
      </c>
      <c r="I733" s="260">
        <v>-0.16</v>
      </c>
      <c r="J733" s="260">
        <v>-0.16</v>
      </c>
      <c r="K733" s="260">
        <v>0.67</v>
      </c>
      <c r="L733" s="260">
        <v>1.19</v>
      </c>
    </row>
    <row r="734" spans="1:12" hidden="1" x14ac:dyDescent="0.25">
      <c r="A734" s="259" t="s">
        <v>770</v>
      </c>
      <c r="B734" s="261" t="str">
        <f>VLOOKUP(A734, '[2]fund-selector'!$A$2:$F$853,6,FALSE)</f>
        <v>HY-DAA</v>
      </c>
      <c r="C734" s="258">
        <v>5.73</v>
      </c>
      <c r="D734" s="260">
        <v>2.08</v>
      </c>
      <c r="E734" s="260">
        <v>13.85</v>
      </c>
      <c r="F734" s="260">
        <v>13.11</v>
      </c>
      <c r="G734" s="260">
        <v>2.08</v>
      </c>
      <c r="H734" s="260">
        <v>7.9</v>
      </c>
      <c r="I734" s="260">
        <v>0.73</v>
      </c>
      <c r="J734" s="260">
        <v>1.1599999999999999</v>
      </c>
      <c r="K734" s="260">
        <v>0.75</v>
      </c>
      <c r="L734" s="260">
        <v>-0.12</v>
      </c>
    </row>
    <row r="735" spans="1:12" hidden="1" x14ac:dyDescent="0.25">
      <c r="A735" s="259" t="s">
        <v>771</v>
      </c>
      <c r="B735" s="261" t="str">
        <f>VLOOKUP(A735, '[2]fund-selector'!$A$2:$F$853,6,FALSE)</f>
        <v>EQ-THEMATIC</v>
      </c>
      <c r="C735" s="258" t="s">
        <v>54</v>
      </c>
      <c r="D735" s="260">
        <v>2.0299999999999998</v>
      </c>
      <c r="E735" s="259">
        <v>0</v>
      </c>
      <c r="F735" s="259">
        <v>0</v>
      </c>
      <c r="G735" s="260">
        <v>2.0299999999999998</v>
      </c>
      <c r="H735" s="259">
        <v>0</v>
      </c>
      <c r="I735" s="259">
        <v>0</v>
      </c>
      <c r="J735" s="259">
        <v>0</v>
      </c>
      <c r="K735" s="259">
        <v>0</v>
      </c>
      <c r="L735" s="259">
        <v>0</v>
      </c>
    </row>
    <row r="736" spans="1:12" hidden="1" x14ac:dyDescent="0.25">
      <c r="A736" s="259" t="s">
        <v>1248</v>
      </c>
      <c r="B736" s="261" t="str">
        <f>VLOOKUP(A736, '[2]fund-selector'!$A$2:$F$853,6,FALSE)</f>
        <v>HY-CH</v>
      </c>
      <c r="C736" s="258">
        <v>5.95</v>
      </c>
      <c r="D736" s="260">
        <v>2.15</v>
      </c>
      <c r="E736" s="260">
        <v>8.75</v>
      </c>
      <c r="F736" s="260">
        <v>8.8699999999999992</v>
      </c>
      <c r="G736" s="260">
        <v>2.15</v>
      </c>
      <c r="H736" s="260">
        <v>3.66</v>
      </c>
      <c r="I736" s="260">
        <v>0.55000000000000004</v>
      </c>
      <c r="J736" s="260">
        <v>1.06</v>
      </c>
      <c r="K736" s="260">
        <v>0.88</v>
      </c>
      <c r="L736" s="260">
        <v>-1.21</v>
      </c>
    </row>
    <row r="737" spans="1:12" hidden="1" x14ac:dyDescent="0.25">
      <c r="A737" s="259" t="s">
        <v>774</v>
      </c>
      <c r="B737" s="261" t="str">
        <f>VLOOKUP(A737, '[2]fund-selector'!$A$2:$F$853,6,FALSE)</f>
        <v>EQ-FLX</v>
      </c>
      <c r="C737" s="258">
        <v>6.46</v>
      </c>
      <c r="D737" s="260">
        <v>2.0299999999999998</v>
      </c>
      <c r="E737" s="259">
        <v>0</v>
      </c>
      <c r="F737" s="259">
        <v>0</v>
      </c>
      <c r="G737" s="260">
        <v>2.0299999999999998</v>
      </c>
      <c r="H737" s="259">
        <v>0</v>
      </c>
      <c r="I737" s="259">
        <v>0</v>
      </c>
      <c r="J737" s="259">
        <v>0</v>
      </c>
      <c r="K737" s="259">
        <v>0</v>
      </c>
      <c r="L737" s="259">
        <v>0</v>
      </c>
    </row>
    <row r="738" spans="1:12" hidden="1" x14ac:dyDescent="0.25">
      <c r="A738" s="259" t="s">
        <v>775</v>
      </c>
      <c r="B738" s="261" t="str">
        <f>VLOOKUP(A738, '[2]fund-selector'!$A$2:$F$853,6,FALSE)</f>
        <v>EQ-FLX</v>
      </c>
      <c r="C738" s="258">
        <v>0.95</v>
      </c>
      <c r="D738" s="260">
        <v>2.27</v>
      </c>
      <c r="E738" s="260">
        <v>19.13</v>
      </c>
      <c r="F738" s="260">
        <v>20.5</v>
      </c>
      <c r="G738" s="260">
        <v>2.27</v>
      </c>
      <c r="H738" s="260">
        <v>13.22</v>
      </c>
      <c r="I738" s="260">
        <v>0.7</v>
      </c>
      <c r="J738" s="260">
        <v>1.19</v>
      </c>
      <c r="K738" s="260">
        <v>0.87</v>
      </c>
      <c r="L738" s="260">
        <v>-0.8</v>
      </c>
    </row>
    <row r="739" spans="1:12" hidden="1" x14ac:dyDescent="0.25">
      <c r="A739" s="259" t="s">
        <v>776</v>
      </c>
      <c r="B739" s="261" t="str">
        <f>VLOOKUP(A739, '[2]fund-selector'!$A$2:$F$853,6,FALSE)</f>
        <v>EQ-L&amp;MC</v>
      </c>
      <c r="C739" s="258">
        <v>1.32</v>
      </c>
      <c r="D739" s="260">
        <v>1.82</v>
      </c>
      <c r="E739" s="260">
        <v>20.78</v>
      </c>
      <c r="F739" s="260">
        <v>22.79</v>
      </c>
      <c r="G739" s="260">
        <v>1.82</v>
      </c>
      <c r="H739" s="260">
        <v>14.95</v>
      </c>
      <c r="I739" s="260">
        <v>0.75</v>
      </c>
      <c r="J739" s="260">
        <v>1.1000000000000001</v>
      </c>
      <c r="K739" s="260">
        <v>1</v>
      </c>
      <c r="L739" s="260">
        <v>0.21</v>
      </c>
    </row>
    <row r="740" spans="1:12" hidden="1" x14ac:dyDescent="0.25">
      <c r="A740" s="259" t="s">
        <v>777</v>
      </c>
      <c r="B740" s="261" t="str">
        <f>VLOOKUP(A740, '[2]fund-selector'!$A$2:$F$853,6,FALSE)</f>
        <v>EQ-LC</v>
      </c>
      <c r="C740" s="258">
        <v>3.27</v>
      </c>
      <c r="D740" s="260">
        <v>1.91</v>
      </c>
      <c r="E740" s="260">
        <v>17.47</v>
      </c>
      <c r="F740" s="260">
        <v>18.05</v>
      </c>
      <c r="G740" s="260">
        <v>1.91</v>
      </c>
      <c r="H740" s="260">
        <v>12.61</v>
      </c>
      <c r="I740" s="260">
        <v>0.64</v>
      </c>
      <c r="J740" s="260">
        <v>1.07</v>
      </c>
      <c r="K740" s="260">
        <v>0.9</v>
      </c>
      <c r="L740" s="260">
        <v>-1.27</v>
      </c>
    </row>
    <row r="741" spans="1:12" hidden="1" x14ac:dyDescent="0.25">
      <c r="A741" s="259" t="s">
        <v>778</v>
      </c>
      <c r="B741" s="261" t="str">
        <f>VLOOKUP(A741, '[2]fund-selector'!$A$2:$F$853,6,FALSE)</f>
        <v>EQ-MC</v>
      </c>
      <c r="C741" s="258">
        <v>5.78</v>
      </c>
      <c r="D741" s="260">
        <v>1.75</v>
      </c>
      <c r="E741" s="260">
        <v>29.63</v>
      </c>
      <c r="F741" s="260">
        <v>28.57</v>
      </c>
      <c r="G741" s="260">
        <v>1.75</v>
      </c>
      <c r="H741" s="260">
        <v>16.399999999999999</v>
      </c>
      <c r="I741" s="260">
        <v>1.1599999999999999</v>
      </c>
      <c r="J741" s="260">
        <v>1.59</v>
      </c>
      <c r="K741" s="260">
        <v>0.94</v>
      </c>
      <c r="L741" s="260">
        <v>2.02</v>
      </c>
    </row>
    <row r="742" spans="1:12" hidden="1" x14ac:dyDescent="0.25">
      <c r="A742" s="259" t="s">
        <v>779</v>
      </c>
      <c r="B742" s="261" t="str">
        <f>VLOOKUP(A742, '[2]fund-selector'!$A$2:$F$853,6,FALSE)</f>
        <v>HY-MAA</v>
      </c>
      <c r="C742" s="258">
        <v>10.5</v>
      </c>
      <c r="D742" s="260">
        <v>1.86</v>
      </c>
      <c r="E742" s="259">
        <v>0</v>
      </c>
      <c r="F742" s="259">
        <v>0</v>
      </c>
      <c r="G742" s="260">
        <v>1.86</v>
      </c>
      <c r="H742" s="259">
        <v>0</v>
      </c>
      <c r="I742" s="259">
        <v>0</v>
      </c>
      <c r="J742" s="259">
        <v>0</v>
      </c>
      <c r="K742" s="259">
        <v>0</v>
      </c>
      <c r="L742" s="259">
        <v>0</v>
      </c>
    </row>
    <row r="743" spans="1:12" hidden="1" x14ac:dyDescent="0.25">
      <c r="A743" s="259" t="s">
        <v>780</v>
      </c>
      <c r="B743" s="261" t="str">
        <f>VLOOKUP(A743, '[2]fund-selector'!$A$2:$F$853,6,FALSE)</f>
        <v>EQ-MLC</v>
      </c>
      <c r="C743" s="258">
        <v>3.5</v>
      </c>
      <c r="D743" s="260">
        <v>2</v>
      </c>
      <c r="E743" s="260">
        <v>21.62</v>
      </c>
      <c r="F743" s="260">
        <v>23.56</v>
      </c>
      <c r="G743" s="260">
        <v>2</v>
      </c>
      <c r="H743" s="260">
        <v>14.39</v>
      </c>
      <c r="I743" s="260">
        <v>0.84</v>
      </c>
      <c r="J743" s="260">
        <v>1.28</v>
      </c>
      <c r="K743" s="260">
        <v>0.9</v>
      </c>
      <c r="L743" s="260">
        <v>-0.97</v>
      </c>
    </row>
    <row r="744" spans="1:12" hidden="1" x14ac:dyDescent="0.25">
      <c r="A744" s="259" t="s">
        <v>781</v>
      </c>
      <c r="B744" s="261" t="str">
        <f>VLOOKUP(A744, '[2]fund-selector'!$A$2:$F$853,6,FALSE)</f>
        <v>EQ-LC</v>
      </c>
      <c r="C744" s="258">
        <v>-1.36</v>
      </c>
      <c r="D744" s="260">
        <v>1.08</v>
      </c>
      <c r="E744" s="260">
        <v>21.24</v>
      </c>
      <c r="F744" s="260">
        <v>22.14</v>
      </c>
      <c r="G744" s="260">
        <v>1.08</v>
      </c>
      <c r="H744" s="260">
        <v>15.9</v>
      </c>
      <c r="I744" s="260">
        <v>0.73</v>
      </c>
      <c r="J744" s="260">
        <v>1.25</v>
      </c>
      <c r="K744" s="260">
        <v>1.1200000000000001</v>
      </c>
      <c r="L744" s="260">
        <v>0.16</v>
      </c>
    </row>
    <row r="745" spans="1:12" hidden="1" x14ac:dyDescent="0.25">
      <c r="A745" s="259" t="s">
        <v>782</v>
      </c>
      <c r="B745" s="261" t="str">
        <f>VLOOKUP(A745, '[2]fund-selector'!$A$2:$F$853,6,FALSE)</f>
        <v>EQ-THEMATIC</v>
      </c>
      <c r="C745" s="258">
        <v>14.09</v>
      </c>
      <c r="D745" s="260">
        <v>1.89</v>
      </c>
      <c r="E745" s="260">
        <v>23.64</v>
      </c>
      <c r="F745" s="260">
        <v>26.3</v>
      </c>
      <c r="G745" s="260">
        <v>1.89</v>
      </c>
      <c r="H745" s="260">
        <v>13.5</v>
      </c>
      <c r="I745" s="260">
        <v>0.96</v>
      </c>
      <c r="J745" s="260">
        <v>1.63</v>
      </c>
      <c r="K745" s="260">
        <v>0.87</v>
      </c>
      <c r="L745" s="260">
        <v>2.87</v>
      </c>
    </row>
    <row r="746" spans="1:12" hidden="1" x14ac:dyDescent="0.25">
      <c r="A746" s="259" t="s">
        <v>783</v>
      </c>
      <c r="B746" s="261" t="str">
        <f>VLOOKUP(A746, '[2]fund-selector'!$A$2:$F$853,6,FALSE)</f>
        <v>EQ-SC</v>
      </c>
      <c r="C746" s="258">
        <v>2.77</v>
      </c>
      <c r="D746" s="260">
        <v>1.94</v>
      </c>
      <c r="E746" s="260">
        <v>26.42</v>
      </c>
      <c r="F746" s="260">
        <v>31.86</v>
      </c>
      <c r="G746" s="260">
        <v>1.94</v>
      </c>
      <c r="H746" s="260">
        <v>16.11</v>
      </c>
      <c r="I746" s="260">
        <v>1.01</v>
      </c>
      <c r="J746" s="260">
        <v>1.39</v>
      </c>
      <c r="K746" s="260">
        <v>0.8</v>
      </c>
      <c r="L746" s="260">
        <v>1.7</v>
      </c>
    </row>
    <row r="747" spans="1:12" hidden="1" x14ac:dyDescent="0.25">
      <c r="A747" s="259" t="s">
        <v>1261</v>
      </c>
      <c r="B747" s="261" t="str">
        <f>VLOOKUP(A747, '[2]fund-selector'!$A$2:$F$853,6,FALSE)</f>
        <v>HY-AR</v>
      </c>
      <c r="C747" s="258">
        <v>6.94</v>
      </c>
      <c r="D747" s="260">
        <v>1.08</v>
      </c>
      <c r="E747" s="260">
        <v>6.81</v>
      </c>
      <c r="F747" s="260">
        <v>5.5</v>
      </c>
      <c r="G747" s="260">
        <v>1.08</v>
      </c>
      <c r="H747" s="260">
        <v>0.51</v>
      </c>
      <c r="I747" s="260">
        <v>0.41</v>
      </c>
      <c r="J747" s="260">
        <v>0.47</v>
      </c>
      <c r="K747" s="260">
        <v>0.62</v>
      </c>
      <c r="L747" s="260">
        <v>1.39</v>
      </c>
    </row>
    <row r="748" spans="1:12" hidden="1" x14ac:dyDescent="0.25">
      <c r="A748" s="259" t="s">
        <v>784</v>
      </c>
      <c r="B748" s="261" t="str">
        <f>VLOOKUP(A748, '[2]fund-selector'!$A$2:$F$853,6,FALSE)</f>
        <v>HY-DAA</v>
      </c>
      <c r="C748" s="258">
        <v>3.49</v>
      </c>
      <c r="D748" s="260">
        <v>1.69</v>
      </c>
      <c r="E748" s="260">
        <v>13.56</v>
      </c>
      <c r="F748" s="260">
        <v>13.77</v>
      </c>
      <c r="G748" s="260">
        <v>1.69</v>
      </c>
      <c r="H748" s="260">
        <v>7.07</v>
      </c>
      <c r="I748" s="260">
        <v>0.75</v>
      </c>
      <c r="J748" s="260">
        <v>1.2</v>
      </c>
      <c r="K748" s="260">
        <v>0.67</v>
      </c>
      <c r="L748" s="260">
        <v>-0.03</v>
      </c>
    </row>
    <row r="749" spans="1:12" hidden="1" x14ac:dyDescent="0.25">
      <c r="A749" s="259" t="s">
        <v>785</v>
      </c>
      <c r="B749" s="261" t="str">
        <f>VLOOKUP(A749, '[2]fund-selector'!$A$2:$F$853,6,FALSE)</f>
        <v>EQ-L&amp;MC</v>
      </c>
      <c r="C749" s="258" t="s">
        <v>54</v>
      </c>
      <c r="D749" s="260">
        <v>1.0900000000000001</v>
      </c>
      <c r="E749" s="259">
        <v>0</v>
      </c>
      <c r="F749" s="259">
        <v>0</v>
      </c>
      <c r="G749" s="260">
        <v>1.0900000000000001</v>
      </c>
      <c r="H749" s="259">
        <v>0</v>
      </c>
      <c r="I749" s="259">
        <v>0</v>
      </c>
      <c r="J749" s="259">
        <v>0</v>
      </c>
      <c r="K749" s="259">
        <v>0</v>
      </c>
      <c r="L749" s="259">
        <v>0</v>
      </c>
    </row>
    <row r="750" spans="1:12" hidden="1" x14ac:dyDescent="0.25">
      <c r="A750" s="259" t="s">
        <v>786</v>
      </c>
      <c r="B750" s="261" t="str">
        <f>VLOOKUP(A750, '[2]fund-selector'!$A$2:$F$853,6,FALSE)</f>
        <v>EQ-THEMATIC</v>
      </c>
      <c r="C750" s="258" t="s">
        <v>54</v>
      </c>
      <c r="D750" s="260">
        <v>1.08</v>
      </c>
      <c r="E750" s="259">
        <v>0</v>
      </c>
      <c r="F750" s="259">
        <v>0</v>
      </c>
      <c r="G750" s="260">
        <v>1.08</v>
      </c>
      <c r="H750" s="259">
        <v>0</v>
      </c>
      <c r="I750" s="259">
        <v>0</v>
      </c>
      <c r="J750" s="259">
        <v>0</v>
      </c>
      <c r="K750" s="259">
        <v>0</v>
      </c>
      <c r="L750" s="259">
        <v>0</v>
      </c>
    </row>
    <row r="751" spans="1:12" hidden="1" x14ac:dyDescent="0.25">
      <c r="A751" s="259" t="s">
        <v>787</v>
      </c>
      <c r="B751" s="261" t="str">
        <f>VLOOKUP(A751, '[2]fund-selector'!$A$2:$F$853,6,FALSE)</f>
        <v>EQ-LC</v>
      </c>
      <c r="C751" s="258">
        <v>5.64</v>
      </c>
      <c r="D751" s="260">
        <v>0.56999999999999995</v>
      </c>
      <c r="E751" s="260">
        <v>17.079999999999998</v>
      </c>
      <c r="F751" s="260">
        <v>18.829999999999998</v>
      </c>
      <c r="G751" s="260">
        <v>0.56999999999999995</v>
      </c>
      <c r="H751" s="260">
        <v>12.67</v>
      </c>
      <c r="I751" s="260">
        <v>0.62</v>
      </c>
      <c r="J751" s="260">
        <v>1.02</v>
      </c>
      <c r="K751" s="260">
        <v>0.91</v>
      </c>
      <c r="L751" s="260">
        <v>-1.55</v>
      </c>
    </row>
    <row r="752" spans="1:12" hidden="1" x14ac:dyDescent="0.25">
      <c r="A752" s="259" t="s">
        <v>788</v>
      </c>
      <c r="B752" s="261" t="str">
        <f>VLOOKUP(A752, '[2]fund-selector'!$A$2:$F$853,6,FALSE)</f>
        <v>EQ-THEMATIC</v>
      </c>
      <c r="C752" s="258">
        <v>-2.95</v>
      </c>
      <c r="D752" s="260">
        <v>1.91</v>
      </c>
      <c r="E752" s="260">
        <v>25.05</v>
      </c>
      <c r="F752" s="259">
        <v>0</v>
      </c>
      <c r="G752" s="260">
        <v>1.91</v>
      </c>
      <c r="H752" s="260">
        <v>14.41</v>
      </c>
      <c r="I752" s="260">
        <v>1.03</v>
      </c>
      <c r="J752" s="260">
        <v>1.58</v>
      </c>
      <c r="K752" s="260">
        <v>0.96</v>
      </c>
      <c r="L752" s="260">
        <v>3.75</v>
      </c>
    </row>
    <row r="753" spans="1:12" hidden="1" x14ac:dyDescent="0.25">
      <c r="A753" s="259" t="s">
        <v>790</v>
      </c>
      <c r="B753" s="261" t="str">
        <f>VLOOKUP(A753, '[2]fund-selector'!$A$2:$F$853,6,FALSE)</f>
        <v>EQ-THEMATIC</v>
      </c>
      <c r="C753" s="258">
        <v>-4.9400000000000004</v>
      </c>
      <c r="D753" s="260">
        <v>1.9</v>
      </c>
      <c r="E753" s="260">
        <v>15.49</v>
      </c>
      <c r="F753" s="260">
        <v>20.059999999999999</v>
      </c>
      <c r="G753" s="260">
        <v>1.9</v>
      </c>
      <c r="H753" s="260">
        <v>14.08</v>
      </c>
      <c r="I753" s="260">
        <v>0.45</v>
      </c>
      <c r="J753" s="260">
        <v>0.6</v>
      </c>
      <c r="K753" s="260">
        <v>0.9</v>
      </c>
      <c r="L753" s="260">
        <v>-4.0199999999999996</v>
      </c>
    </row>
    <row r="754" spans="1:12" hidden="1" x14ac:dyDescent="0.25">
      <c r="A754" s="259" t="s">
        <v>791</v>
      </c>
      <c r="B754" s="261" t="str">
        <f>VLOOKUP(A754, '[2]fund-selector'!$A$2:$F$853,6,FALSE)</f>
        <v>EQ-FLX</v>
      </c>
      <c r="C754" s="258">
        <v>7.74</v>
      </c>
      <c r="D754" s="260">
        <v>1.9</v>
      </c>
      <c r="E754" s="260">
        <v>20.11</v>
      </c>
      <c r="F754" s="260">
        <v>19.38</v>
      </c>
      <c r="G754" s="260">
        <v>1.9</v>
      </c>
      <c r="H754" s="260">
        <v>12.22</v>
      </c>
      <c r="I754" s="260">
        <v>0.85</v>
      </c>
      <c r="J754" s="260">
        <v>1.5</v>
      </c>
      <c r="K754" s="260">
        <v>0.8</v>
      </c>
      <c r="L754" s="260">
        <v>1.19</v>
      </c>
    </row>
    <row r="755" spans="1:12" hidden="1" x14ac:dyDescent="0.25">
      <c r="A755" s="259" t="s">
        <v>792</v>
      </c>
      <c r="B755" s="261" t="str">
        <f>VLOOKUP(A755, '[2]fund-selector'!$A$2:$F$853,6,FALSE)</f>
        <v>EQ-FLX</v>
      </c>
      <c r="C755" s="258">
        <v>0.74</v>
      </c>
      <c r="D755" s="260">
        <v>2.04</v>
      </c>
      <c r="E755" s="260">
        <v>20.010000000000002</v>
      </c>
      <c r="F755" s="260">
        <v>22.08</v>
      </c>
      <c r="G755" s="260">
        <v>2.04</v>
      </c>
      <c r="H755" s="260">
        <v>14.17</v>
      </c>
      <c r="I755" s="260">
        <v>0.73</v>
      </c>
      <c r="J755" s="260">
        <v>1.1100000000000001</v>
      </c>
      <c r="K755" s="260">
        <v>0.93</v>
      </c>
      <c r="L755" s="260">
        <v>-0.4</v>
      </c>
    </row>
    <row r="756" spans="1:12" hidden="1" x14ac:dyDescent="0.25">
      <c r="A756" s="259" t="s">
        <v>793</v>
      </c>
      <c r="B756" s="261" t="str">
        <f>VLOOKUP(A756, '[2]fund-selector'!$A$2:$F$853,6,FALSE)</f>
        <v>EQ-THEMATIC</v>
      </c>
      <c r="C756" s="258">
        <v>-5.82</v>
      </c>
      <c r="D756" s="260">
        <v>2.36</v>
      </c>
      <c r="E756" s="259">
        <v>0</v>
      </c>
      <c r="F756" s="259">
        <v>0</v>
      </c>
      <c r="G756" s="260">
        <v>2.36</v>
      </c>
      <c r="H756" s="259">
        <v>0</v>
      </c>
      <c r="I756" s="259">
        <v>0</v>
      </c>
      <c r="J756" s="259">
        <v>0</v>
      </c>
      <c r="K756" s="259">
        <v>0</v>
      </c>
      <c r="L756" s="259">
        <v>0</v>
      </c>
    </row>
    <row r="757" spans="1:12" hidden="1" x14ac:dyDescent="0.25">
      <c r="A757" s="259" t="s">
        <v>1250</v>
      </c>
      <c r="B757" s="261" t="str">
        <f>VLOOKUP(A757, '[2]fund-selector'!$A$2:$F$853,6,FALSE)</f>
        <v>HY-AH</v>
      </c>
      <c r="C757" s="258">
        <v>2.8</v>
      </c>
      <c r="D757" s="260">
        <v>1.92</v>
      </c>
      <c r="E757" s="260">
        <v>15.77</v>
      </c>
      <c r="F757" s="260">
        <v>17.16</v>
      </c>
      <c r="G757" s="260">
        <v>1.92</v>
      </c>
      <c r="H757" s="260">
        <v>10.4</v>
      </c>
      <c r="I757" s="260">
        <v>0.71</v>
      </c>
      <c r="J757" s="260">
        <v>1.1000000000000001</v>
      </c>
      <c r="K757" s="260">
        <v>0.85</v>
      </c>
      <c r="L757" s="260">
        <v>-0.75</v>
      </c>
    </row>
    <row r="758" spans="1:12" hidden="1" x14ac:dyDescent="0.25">
      <c r="A758" s="259" t="s">
        <v>795</v>
      </c>
      <c r="B758" s="261" t="str">
        <f>VLOOKUP(A758, '[2]fund-selector'!$A$2:$F$853,6,FALSE)</f>
        <v>EQ-THEMATIC</v>
      </c>
      <c r="C758" s="258" t="s">
        <v>54</v>
      </c>
      <c r="D758" s="260">
        <v>2.0299999999999998</v>
      </c>
      <c r="E758" s="259">
        <v>0</v>
      </c>
      <c r="F758" s="259">
        <v>0</v>
      </c>
      <c r="G758" s="260">
        <v>2.0299999999999998</v>
      </c>
      <c r="H758" s="259">
        <v>0</v>
      </c>
      <c r="I758" s="259">
        <v>0</v>
      </c>
      <c r="J758" s="259">
        <v>0</v>
      </c>
      <c r="K758" s="259">
        <v>0</v>
      </c>
      <c r="L758" s="259">
        <v>0</v>
      </c>
    </row>
    <row r="759" spans="1:12" hidden="1" x14ac:dyDescent="0.25">
      <c r="A759" s="259" t="s">
        <v>796</v>
      </c>
      <c r="B759" s="261" t="str">
        <f>VLOOKUP(A759, '[2]fund-selector'!$A$2:$F$853,6,FALSE)</f>
        <v>EQ-LC</v>
      </c>
      <c r="C759" s="258">
        <v>1.58</v>
      </c>
      <c r="D759" s="260">
        <v>2.0099999999999998</v>
      </c>
      <c r="E759" s="260">
        <v>19.55</v>
      </c>
      <c r="F759" s="260">
        <v>20.98</v>
      </c>
      <c r="G759" s="260">
        <v>2.0099999999999998</v>
      </c>
      <c r="H759" s="260">
        <v>13.6</v>
      </c>
      <c r="I759" s="260">
        <v>0.74</v>
      </c>
      <c r="J759" s="260">
        <v>1.21</v>
      </c>
      <c r="K759" s="260">
        <v>0.98</v>
      </c>
      <c r="L759" s="260">
        <v>-0.04</v>
      </c>
    </row>
    <row r="760" spans="1:12" hidden="1" x14ac:dyDescent="0.25">
      <c r="A760" s="259" t="s">
        <v>797</v>
      </c>
      <c r="B760" s="261" t="str">
        <f>VLOOKUP(A760, '[2]fund-selector'!$A$2:$F$853,6,FALSE)</f>
        <v>EQ-L&amp;MC</v>
      </c>
      <c r="C760" s="258">
        <v>1.46</v>
      </c>
      <c r="D760" s="260">
        <v>1.75</v>
      </c>
      <c r="E760" s="260">
        <v>21.4</v>
      </c>
      <c r="F760" s="260">
        <v>22.03</v>
      </c>
      <c r="G760" s="260">
        <v>1.75</v>
      </c>
      <c r="H760" s="260">
        <v>13.26</v>
      </c>
      <c r="I760" s="260">
        <v>0.89</v>
      </c>
      <c r="J760" s="260">
        <v>1.47</v>
      </c>
      <c r="K760" s="260">
        <v>0.89</v>
      </c>
      <c r="L760" s="260">
        <v>1.96</v>
      </c>
    </row>
    <row r="761" spans="1:12" hidden="1" x14ac:dyDescent="0.25">
      <c r="A761" s="259" t="s">
        <v>798</v>
      </c>
      <c r="B761" s="261" t="str">
        <f>VLOOKUP(A761, '[2]fund-selector'!$A$2:$F$853,6,FALSE)</f>
        <v>EQ-MC</v>
      </c>
      <c r="C761" s="258">
        <v>-2.96</v>
      </c>
      <c r="D761" s="260">
        <v>1.85</v>
      </c>
      <c r="E761" s="260">
        <v>25.6</v>
      </c>
      <c r="F761" s="260">
        <v>26.4</v>
      </c>
      <c r="G761" s="260">
        <v>1.85</v>
      </c>
      <c r="H761" s="260">
        <v>15.64</v>
      </c>
      <c r="I761" s="260">
        <v>0.96</v>
      </c>
      <c r="J761" s="260">
        <v>1.38</v>
      </c>
      <c r="K761" s="260">
        <v>0.91</v>
      </c>
      <c r="L761" s="260">
        <v>-1.44</v>
      </c>
    </row>
    <row r="762" spans="1:12" hidden="1" x14ac:dyDescent="0.25">
      <c r="A762" s="259" t="s">
        <v>799</v>
      </c>
      <c r="B762" s="261" t="str">
        <f>VLOOKUP(A762, '[2]fund-selector'!$A$2:$F$853,6,FALSE)</f>
        <v>HY-MAA</v>
      </c>
      <c r="C762" s="258">
        <v>5.89</v>
      </c>
      <c r="D762" s="260">
        <v>1.84</v>
      </c>
      <c r="E762" s="260">
        <v>17.23</v>
      </c>
      <c r="F762" s="260">
        <v>18.059999999999999</v>
      </c>
      <c r="G762" s="260">
        <v>1.84</v>
      </c>
      <c r="H762" s="260">
        <v>8.5399999999999991</v>
      </c>
      <c r="I762" s="260">
        <v>0.96</v>
      </c>
      <c r="J762" s="260">
        <v>1.55</v>
      </c>
      <c r="K762" s="260">
        <v>0.86</v>
      </c>
      <c r="L762" s="260">
        <v>0.55000000000000004</v>
      </c>
    </row>
    <row r="763" spans="1:12" hidden="1" x14ac:dyDescent="0.25">
      <c r="A763" s="259" t="s">
        <v>800</v>
      </c>
      <c r="B763" s="261" t="str">
        <f>VLOOKUP(A763, '[2]fund-selector'!$A$2:$F$853,6,FALSE)</f>
        <v>EQ-MLC</v>
      </c>
      <c r="C763" s="258">
        <v>-2.99</v>
      </c>
      <c r="D763" s="260">
        <v>1.88</v>
      </c>
      <c r="E763" s="259">
        <v>0</v>
      </c>
      <c r="F763" s="259">
        <v>0</v>
      </c>
      <c r="G763" s="260">
        <v>1.88</v>
      </c>
      <c r="H763" s="259">
        <v>0</v>
      </c>
      <c r="I763" s="259">
        <v>0</v>
      </c>
      <c r="J763" s="259">
        <v>0</v>
      </c>
      <c r="K763" s="259">
        <v>0</v>
      </c>
      <c r="L763" s="259">
        <v>0</v>
      </c>
    </row>
    <row r="764" spans="1:12" hidden="1" x14ac:dyDescent="0.25">
      <c r="A764" s="259" t="s">
        <v>801</v>
      </c>
      <c r="B764" s="261" t="str">
        <f>VLOOKUP(A764, '[2]fund-selector'!$A$2:$F$853,6,FALSE)</f>
        <v>EQ-L&amp;MC</v>
      </c>
      <c r="C764" s="258" t="s">
        <v>54</v>
      </c>
      <c r="D764" s="260">
        <v>1.1100000000000001</v>
      </c>
      <c r="E764" s="259">
        <v>0</v>
      </c>
      <c r="F764" s="259">
        <v>0</v>
      </c>
      <c r="G764" s="260">
        <v>1.1100000000000001</v>
      </c>
      <c r="H764" s="259">
        <v>0</v>
      </c>
      <c r="I764" s="259">
        <v>0</v>
      </c>
      <c r="J764" s="259">
        <v>0</v>
      </c>
      <c r="K764" s="259">
        <v>0</v>
      </c>
      <c r="L764" s="259">
        <v>0</v>
      </c>
    </row>
    <row r="765" spans="1:12" hidden="1" x14ac:dyDescent="0.25">
      <c r="A765" s="259" t="s">
        <v>802</v>
      </c>
      <c r="B765" s="261" t="str">
        <f>VLOOKUP(A765, '[2]fund-selector'!$A$2:$F$853,6,FALSE)</f>
        <v>EQ-THEMATIC</v>
      </c>
      <c r="C765" s="258">
        <v>-1.28</v>
      </c>
      <c r="D765" s="260">
        <v>1.1100000000000001</v>
      </c>
      <c r="E765" s="259">
        <v>0</v>
      </c>
      <c r="F765" s="259">
        <v>0</v>
      </c>
      <c r="G765" s="260">
        <v>1.1100000000000001</v>
      </c>
      <c r="H765" s="259">
        <v>0</v>
      </c>
      <c r="I765" s="259">
        <v>0</v>
      </c>
      <c r="J765" s="259">
        <v>0</v>
      </c>
      <c r="K765" s="259">
        <v>0</v>
      </c>
      <c r="L765" s="259">
        <v>0</v>
      </c>
    </row>
    <row r="766" spans="1:12" hidden="1" x14ac:dyDescent="0.25">
      <c r="A766" s="259" t="s">
        <v>803</v>
      </c>
      <c r="B766" s="261" t="str">
        <f>VLOOKUP(A766, '[2]fund-selector'!$A$2:$F$853,6,FALSE)</f>
        <v>EQ-LC</v>
      </c>
      <c r="C766" s="258">
        <v>6.44</v>
      </c>
      <c r="D766" s="260">
        <v>0.06</v>
      </c>
      <c r="E766" s="260">
        <v>18.579999999999998</v>
      </c>
      <c r="F766" s="260">
        <v>20.64</v>
      </c>
      <c r="G766" s="260">
        <v>0.06</v>
      </c>
      <c r="H766" s="260">
        <v>13.1</v>
      </c>
      <c r="I766" s="260">
        <v>0.69</v>
      </c>
      <c r="J766" s="260">
        <v>1.17</v>
      </c>
      <c r="K766" s="260">
        <v>0.95</v>
      </c>
      <c r="L766" s="260">
        <v>-0.76</v>
      </c>
    </row>
    <row r="767" spans="1:12" hidden="1" x14ac:dyDescent="0.25">
      <c r="A767" s="259" t="s">
        <v>804</v>
      </c>
      <c r="B767" s="261" t="str">
        <f>VLOOKUP(A767, '[2]fund-selector'!$A$2:$F$853,6,FALSE)</f>
        <v>EQ-LC</v>
      </c>
      <c r="C767" s="258">
        <v>5.85</v>
      </c>
      <c r="D767" s="260">
        <v>0.51</v>
      </c>
      <c r="E767" s="260">
        <v>17.96</v>
      </c>
      <c r="F767" s="260">
        <v>19.850000000000001</v>
      </c>
      <c r="G767" s="260">
        <v>0.51</v>
      </c>
      <c r="H767" s="260">
        <v>13.1</v>
      </c>
      <c r="I767" s="260">
        <v>0.64</v>
      </c>
      <c r="J767" s="260">
        <v>1.1000000000000001</v>
      </c>
      <c r="K767" s="260">
        <v>0.95</v>
      </c>
      <c r="L767" s="260">
        <v>-1.29</v>
      </c>
    </row>
    <row r="768" spans="1:12" hidden="1" x14ac:dyDescent="0.25">
      <c r="A768" s="259" t="s">
        <v>805</v>
      </c>
      <c r="B768" s="261" t="str">
        <f>VLOOKUP(A768, '[2]fund-selector'!$A$2:$F$853,6,FALSE)</f>
        <v>EQ-THEMATIC</v>
      </c>
      <c r="C768" s="258">
        <v>-7.99</v>
      </c>
      <c r="D768" s="260">
        <v>1.1100000000000001</v>
      </c>
      <c r="E768" s="259">
        <v>0</v>
      </c>
      <c r="F768" s="259">
        <v>0</v>
      </c>
      <c r="G768" s="260">
        <v>1.1100000000000001</v>
      </c>
      <c r="H768" s="259">
        <v>0</v>
      </c>
      <c r="I768" s="259">
        <v>0</v>
      </c>
      <c r="J768" s="259">
        <v>0</v>
      </c>
      <c r="K768" s="259">
        <v>0</v>
      </c>
      <c r="L768" s="259">
        <v>0</v>
      </c>
    </row>
    <row r="769" spans="1:12" hidden="1" x14ac:dyDescent="0.25">
      <c r="A769" s="259" t="s">
        <v>806</v>
      </c>
      <c r="B769" s="261" t="str">
        <f>VLOOKUP(A769, '[2]fund-selector'!$A$2:$F$853,6,FALSE)</f>
        <v>EQ-THEMATIC</v>
      </c>
      <c r="C769" s="258" t="s">
        <v>54</v>
      </c>
      <c r="D769" s="260">
        <v>1.1200000000000001</v>
      </c>
      <c r="E769" s="259">
        <v>0</v>
      </c>
      <c r="F769" s="259">
        <v>0</v>
      </c>
      <c r="G769" s="260">
        <v>1.1200000000000001</v>
      </c>
      <c r="H769" s="259">
        <v>0</v>
      </c>
      <c r="I769" s="259">
        <v>0</v>
      </c>
      <c r="J769" s="259">
        <v>0</v>
      </c>
      <c r="K769" s="259">
        <v>0</v>
      </c>
      <c r="L769" s="259">
        <v>0</v>
      </c>
    </row>
    <row r="770" spans="1:12" hidden="1" x14ac:dyDescent="0.25">
      <c r="A770" s="259" t="s">
        <v>807</v>
      </c>
      <c r="B770" s="261" t="str">
        <f>VLOOKUP(A770, '[2]fund-selector'!$A$2:$F$853,6,FALSE)</f>
        <v>EQ-THEMATIC</v>
      </c>
      <c r="C770" s="258" t="s">
        <v>54</v>
      </c>
      <c r="D770" s="260">
        <v>1.1100000000000001</v>
      </c>
      <c r="E770" s="259">
        <v>0</v>
      </c>
      <c r="F770" s="259">
        <v>0</v>
      </c>
      <c r="G770" s="260">
        <v>1.1100000000000001</v>
      </c>
      <c r="H770" s="259">
        <v>0</v>
      </c>
      <c r="I770" s="259">
        <v>0</v>
      </c>
      <c r="J770" s="259">
        <v>0</v>
      </c>
      <c r="K770" s="259">
        <v>0</v>
      </c>
      <c r="L770" s="259">
        <v>0</v>
      </c>
    </row>
    <row r="771" spans="1:12" hidden="1" x14ac:dyDescent="0.25">
      <c r="A771" s="259" t="s">
        <v>808</v>
      </c>
      <c r="B771" s="261" t="str">
        <f>VLOOKUP(A771, '[2]fund-selector'!$A$2:$F$853,6,FALSE)</f>
        <v>EQ-MC</v>
      </c>
      <c r="C771" s="258" t="s">
        <v>54</v>
      </c>
      <c r="D771" s="259">
        <v>0</v>
      </c>
      <c r="E771" s="259">
        <v>0</v>
      </c>
      <c r="F771" s="259">
        <v>0</v>
      </c>
      <c r="G771" s="259">
        <v>0</v>
      </c>
      <c r="H771" s="259">
        <v>0</v>
      </c>
      <c r="I771" s="259">
        <v>0</v>
      </c>
      <c r="J771" s="259">
        <v>0</v>
      </c>
      <c r="K771" s="259">
        <v>0</v>
      </c>
      <c r="L771" s="259">
        <v>0</v>
      </c>
    </row>
    <row r="772" spans="1:12" hidden="1" x14ac:dyDescent="0.25">
      <c r="A772" s="259" t="s">
        <v>809</v>
      </c>
      <c r="B772" s="261" t="str">
        <f>VLOOKUP(A772, '[2]fund-selector'!$A$2:$F$853,6,FALSE)</f>
        <v>EQ-MC</v>
      </c>
      <c r="C772" s="258">
        <v>-3.9</v>
      </c>
      <c r="D772" s="260">
        <v>1.05</v>
      </c>
      <c r="E772" s="259">
        <v>0</v>
      </c>
      <c r="F772" s="259">
        <v>0</v>
      </c>
      <c r="G772" s="260">
        <v>1.05</v>
      </c>
      <c r="H772" s="259">
        <v>0</v>
      </c>
      <c r="I772" s="259">
        <v>0</v>
      </c>
      <c r="J772" s="259">
        <v>0</v>
      </c>
      <c r="K772" s="259">
        <v>0</v>
      </c>
      <c r="L772" s="259">
        <v>0</v>
      </c>
    </row>
    <row r="773" spans="1:12" hidden="1" x14ac:dyDescent="0.25">
      <c r="A773" s="259" t="s">
        <v>810</v>
      </c>
      <c r="B773" s="261" t="str">
        <f>VLOOKUP(A773, '[2]fund-selector'!$A$2:$F$853,6,FALSE)</f>
        <v>EQ-THEMATIC</v>
      </c>
      <c r="C773" s="258">
        <v>-12.08</v>
      </c>
      <c r="D773" s="260">
        <v>1.1100000000000001</v>
      </c>
      <c r="E773" s="259">
        <v>0</v>
      </c>
      <c r="F773" s="259">
        <v>0</v>
      </c>
      <c r="G773" s="260">
        <v>1.1100000000000001</v>
      </c>
      <c r="H773" s="259">
        <v>0</v>
      </c>
      <c r="I773" s="259">
        <v>0</v>
      </c>
      <c r="J773" s="259">
        <v>0</v>
      </c>
      <c r="K773" s="259">
        <v>0</v>
      </c>
      <c r="L773" s="259">
        <v>0</v>
      </c>
    </row>
    <row r="774" spans="1:12" hidden="1" x14ac:dyDescent="0.25">
      <c r="A774" s="259" t="s">
        <v>1251</v>
      </c>
      <c r="B774" s="261" t="str">
        <f>VLOOKUP(A774, '[2]fund-selector'!$A$2:$F$853,6,FALSE)</f>
        <v>HY-CH</v>
      </c>
      <c r="C774" s="258">
        <v>5.49</v>
      </c>
      <c r="D774" s="260">
        <v>2.17</v>
      </c>
      <c r="E774" s="260">
        <v>10.01</v>
      </c>
      <c r="F774" s="260">
        <v>8.33</v>
      </c>
      <c r="G774" s="260">
        <v>2.17</v>
      </c>
      <c r="H774" s="260">
        <v>4.5</v>
      </c>
      <c r="I774" s="260">
        <v>0.59</v>
      </c>
      <c r="J774" s="260">
        <v>0.84</v>
      </c>
      <c r="K774" s="260">
        <v>1.03</v>
      </c>
      <c r="L774" s="260">
        <v>-1.1200000000000001</v>
      </c>
    </row>
    <row r="775" spans="1:12" hidden="1" x14ac:dyDescent="0.25">
      <c r="A775" s="259" t="s">
        <v>1252</v>
      </c>
      <c r="B775" s="261" t="str">
        <f>VLOOKUP(A775, '[2]fund-selector'!$A$2:$F$853,6,FALSE)</f>
        <v>HY-AH</v>
      </c>
      <c r="C775" s="258">
        <v>6.02</v>
      </c>
      <c r="D775" s="260">
        <v>2</v>
      </c>
      <c r="E775" s="260">
        <v>19.12</v>
      </c>
      <c r="F775" s="260">
        <v>17.2</v>
      </c>
      <c r="G775" s="260">
        <v>2</v>
      </c>
      <c r="H775" s="260">
        <v>11.59</v>
      </c>
      <c r="I775" s="260">
        <v>0.84</v>
      </c>
      <c r="J775" s="260">
        <v>1.1299999999999999</v>
      </c>
      <c r="K775" s="260">
        <v>0.9</v>
      </c>
      <c r="L775" s="260">
        <v>1.03</v>
      </c>
    </row>
    <row r="776" spans="1:12" hidden="1" x14ac:dyDescent="0.25">
      <c r="A776" s="259" t="s">
        <v>812</v>
      </c>
      <c r="B776" s="261" t="str">
        <f>VLOOKUP(A776, '[2]fund-selector'!$A$2:$F$853,6,FALSE)</f>
        <v>EQ-FLX</v>
      </c>
      <c r="C776" s="258">
        <v>4.6100000000000003</v>
      </c>
      <c r="D776" s="260">
        <v>2</v>
      </c>
      <c r="E776" s="260">
        <v>20.98</v>
      </c>
      <c r="F776" s="260">
        <v>18.7</v>
      </c>
      <c r="G776" s="260">
        <v>2</v>
      </c>
      <c r="H776" s="260">
        <v>13.75</v>
      </c>
      <c r="I776" s="260">
        <v>0.81</v>
      </c>
      <c r="J776" s="260">
        <v>1.06</v>
      </c>
      <c r="K776" s="260">
        <v>0.88</v>
      </c>
      <c r="L776" s="260">
        <v>0.99</v>
      </c>
    </row>
    <row r="777" spans="1:12" hidden="1" x14ac:dyDescent="0.25">
      <c r="A777" s="259" t="s">
        <v>813</v>
      </c>
      <c r="B777" s="261" t="str">
        <f>VLOOKUP(A777, '[2]fund-selector'!$A$2:$F$853,6,FALSE)</f>
        <v>EQ-SC</v>
      </c>
      <c r="C777" s="258">
        <v>2.5099999999999998</v>
      </c>
      <c r="D777" s="260">
        <v>1.68</v>
      </c>
      <c r="E777" s="260">
        <v>27.38</v>
      </c>
      <c r="F777" s="260">
        <v>33.07</v>
      </c>
      <c r="G777" s="260">
        <v>1.68</v>
      </c>
      <c r="H777" s="260">
        <v>16.37</v>
      </c>
      <c r="I777" s="260">
        <v>1.06</v>
      </c>
      <c r="J777" s="260">
        <v>1.47</v>
      </c>
      <c r="K777" s="260">
        <v>0.78</v>
      </c>
      <c r="L777" s="260">
        <v>3.11</v>
      </c>
    </row>
    <row r="778" spans="1:12" hidden="1" x14ac:dyDescent="0.25">
      <c r="A778" s="259" t="s">
        <v>814</v>
      </c>
      <c r="B778" s="261" t="str">
        <f>VLOOKUP(A778, '[2]fund-selector'!$A$2:$F$853,6,FALSE)</f>
        <v>EQ-FLX</v>
      </c>
      <c r="C778" s="258">
        <v>3.13</v>
      </c>
      <c r="D778" s="260">
        <v>2.58</v>
      </c>
      <c r="E778" s="260">
        <v>19.7</v>
      </c>
      <c r="F778" s="260">
        <v>20.68</v>
      </c>
      <c r="G778" s="260">
        <v>2.58</v>
      </c>
      <c r="H778" s="260">
        <v>13.53</v>
      </c>
      <c r="I778" s="260">
        <v>0.74</v>
      </c>
      <c r="J778" s="260">
        <v>1.1599999999999999</v>
      </c>
      <c r="K778" s="260">
        <v>0.9</v>
      </c>
      <c r="L778" s="260">
        <v>-0.36</v>
      </c>
    </row>
    <row r="779" spans="1:12" hidden="1" x14ac:dyDescent="0.25">
      <c r="A779" s="259" t="s">
        <v>815</v>
      </c>
      <c r="B779" s="261" t="str">
        <f>VLOOKUP(A779, '[2]fund-selector'!$A$2:$F$853,6,FALSE)</f>
        <v>EQ-THEMATIC</v>
      </c>
      <c r="C779" s="258">
        <v>-0.92</v>
      </c>
      <c r="D779" s="260">
        <v>2.39</v>
      </c>
      <c r="E779" s="260">
        <v>18.93</v>
      </c>
      <c r="F779" s="260">
        <v>19.829999999999998</v>
      </c>
      <c r="G779" s="260">
        <v>2.39</v>
      </c>
      <c r="H779" s="260">
        <v>14.82</v>
      </c>
      <c r="I779" s="260">
        <v>0.66</v>
      </c>
      <c r="J779" s="260">
        <v>0.94</v>
      </c>
      <c r="K779" s="260">
        <v>0.93</v>
      </c>
      <c r="L779" s="260">
        <v>-0.94</v>
      </c>
    </row>
    <row r="780" spans="1:12" hidden="1" x14ac:dyDescent="0.25">
      <c r="A780" s="259" t="s">
        <v>816</v>
      </c>
      <c r="B780" s="261" t="str">
        <f>VLOOKUP(A780, '[2]fund-selector'!$A$2:$F$853,6,FALSE)</f>
        <v>EQ-FLX</v>
      </c>
      <c r="C780" s="258">
        <v>-2.2000000000000002</v>
      </c>
      <c r="D780" s="260">
        <v>2.64</v>
      </c>
      <c r="E780" s="260">
        <v>19.62</v>
      </c>
      <c r="F780" s="260">
        <v>19.02</v>
      </c>
      <c r="G780" s="260">
        <v>2.64</v>
      </c>
      <c r="H780" s="260">
        <v>15.7</v>
      </c>
      <c r="I780" s="260">
        <v>0.63</v>
      </c>
      <c r="J780" s="260">
        <v>0.95</v>
      </c>
      <c r="K780" s="260">
        <v>1.02</v>
      </c>
      <c r="L780" s="260">
        <v>-1.88</v>
      </c>
    </row>
    <row r="781" spans="1:12" hidden="1" x14ac:dyDescent="0.25">
      <c r="A781" s="259" t="s">
        <v>817</v>
      </c>
      <c r="B781" s="261" t="str">
        <f>VLOOKUP(A781, '[2]fund-selector'!$A$2:$F$853,6,FALSE)</f>
        <v>EQ-LC</v>
      </c>
      <c r="C781" s="258">
        <v>1.1499999999999999</v>
      </c>
      <c r="D781" s="260">
        <v>2.59</v>
      </c>
      <c r="E781" s="260">
        <v>20.29</v>
      </c>
      <c r="F781" s="260">
        <v>18.95</v>
      </c>
      <c r="G781" s="260">
        <v>2.59</v>
      </c>
      <c r="H781" s="260">
        <v>16.489999999999998</v>
      </c>
      <c r="I781" s="260">
        <v>0.63</v>
      </c>
      <c r="J781" s="260">
        <v>0.99</v>
      </c>
      <c r="K781" s="260">
        <v>1.1000000000000001</v>
      </c>
      <c r="L781" s="260">
        <v>-1</v>
      </c>
    </row>
    <row r="782" spans="1:12" hidden="1" x14ac:dyDescent="0.25">
      <c r="A782" s="259" t="s">
        <v>818</v>
      </c>
      <c r="B782" s="261" t="str">
        <f>VLOOKUP(A782, '[2]fund-selector'!$A$2:$F$853,6,FALSE)</f>
        <v>EQ-MC</v>
      </c>
      <c r="C782" s="258">
        <v>-4.28</v>
      </c>
      <c r="D782" s="260">
        <v>2.56</v>
      </c>
      <c r="E782" s="260">
        <v>23.41</v>
      </c>
      <c r="F782" s="260">
        <v>23.41</v>
      </c>
      <c r="G782" s="260">
        <v>2.56</v>
      </c>
      <c r="H782" s="260">
        <v>17.48</v>
      </c>
      <c r="I782" s="260">
        <v>0.82</v>
      </c>
      <c r="J782" s="260">
        <v>1.44</v>
      </c>
      <c r="K782" s="260">
        <v>0.99</v>
      </c>
      <c r="L782" s="260">
        <v>-3.52</v>
      </c>
    </row>
    <row r="783" spans="1:12" hidden="1" x14ac:dyDescent="0.25">
      <c r="A783" s="259" t="s">
        <v>819</v>
      </c>
      <c r="B783" s="261" t="str">
        <f>VLOOKUP(A783, '[2]fund-selector'!$A$2:$F$853,6,FALSE)</f>
        <v>EQ-LC</v>
      </c>
      <c r="C783" s="258">
        <v>5.31</v>
      </c>
      <c r="D783" s="260">
        <v>1.07</v>
      </c>
      <c r="E783" s="260">
        <v>17.27</v>
      </c>
      <c r="F783" s="260">
        <v>19.600000000000001</v>
      </c>
      <c r="G783" s="260">
        <v>1.07</v>
      </c>
      <c r="H783" s="260">
        <v>13.02</v>
      </c>
      <c r="I783" s="260">
        <v>0.61</v>
      </c>
      <c r="J783" s="260">
        <v>1.05</v>
      </c>
      <c r="K783" s="260">
        <v>0.94</v>
      </c>
      <c r="L783" s="260">
        <v>-1.78</v>
      </c>
    </row>
    <row r="784" spans="1:12" hidden="1" x14ac:dyDescent="0.25">
      <c r="A784" s="259" t="s">
        <v>821</v>
      </c>
      <c r="B784" s="261" t="str">
        <f>VLOOKUP(A784, '[2]fund-selector'!$A$2:$F$853,6,FALSE)</f>
        <v>EQ-FLX</v>
      </c>
      <c r="C784" s="258">
        <v>3.98</v>
      </c>
      <c r="D784" s="260">
        <v>2.12</v>
      </c>
      <c r="E784" s="259">
        <v>0</v>
      </c>
      <c r="F784" s="259">
        <v>0</v>
      </c>
      <c r="G784" s="260">
        <v>2.12</v>
      </c>
      <c r="H784" s="259">
        <v>0</v>
      </c>
      <c r="I784" s="259">
        <v>0</v>
      </c>
      <c r="J784" s="259">
        <v>0</v>
      </c>
      <c r="K784" s="259">
        <v>0</v>
      </c>
      <c r="L784" s="259">
        <v>0</v>
      </c>
    </row>
    <row r="785" spans="1:12" hidden="1" x14ac:dyDescent="0.25">
      <c r="A785" s="259" t="s">
        <v>822</v>
      </c>
      <c r="B785" s="261" t="str">
        <f>VLOOKUP(A785, '[2]fund-selector'!$A$2:$F$853,6,FALSE)</f>
        <v>EQ-SC</v>
      </c>
      <c r="C785" s="258" t="s">
        <v>54</v>
      </c>
      <c r="D785" s="260">
        <v>2.17</v>
      </c>
      <c r="E785" s="259">
        <v>0</v>
      </c>
      <c r="F785" s="259">
        <v>0</v>
      </c>
      <c r="G785" s="260">
        <v>2.17</v>
      </c>
      <c r="H785" s="259">
        <v>0</v>
      </c>
      <c r="I785" s="259">
        <v>0</v>
      </c>
      <c r="J785" s="259">
        <v>0</v>
      </c>
      <c r="K785" s="259">
        <v>0</v>
      </c>
      <c r="L785" s="259">
        <v>0</v>
      </c>
    </row>
    <row r="786" spans="1:12" hidden="1" x14ac:dyDescent="0.25">
      <c r="A786" s="259" t="s">
        <v>823</v>
      </c>
      <c r="B786" s="261" t="str">
        <f>VLOOKUP(A786, '[2]fund-selector'!$A$2:$F$853,6,FALSE)</f>
        <v>HY-DAA</v>
      </c>
      <c r="C786" s="258" t="s">
        <v>54</v>
      </c>
      <c r="D786" s="260">
        <v>1.52</v>
      </c>
      <c r="E786" s="259">
        <v>0</v>
      </c>
      <c r="F786" s="259">
        <v>0</v>
      </c>
      <c r="G786" s="260">
        <v>1.52</v>
      </c>
      <c r="H786" s="259">
        <v>0</v>
      </c>
      <c r="I786" s="259">
        <v>0</v>
      </c>
      <c r="J786" s="259">
        <v>0</v>
      </c>
      <c r="K786" s="259">
        <v>0</v>
      </c>
      <c r="L786" s="259">
        <v>0</v>
      </c>
    </row>
    <row r="787" spans="1:12" hidden="1" x14ac:dyDescent="0.25">
      <c r="A787" s="259" t="s">
        <v>824</v>
      </c>
      <c r="B787" s="261" t="str">
        <f>VLOOKUP(A787, '[2]fund-selector'!$A$2:$F$853,6,FALSE)</f>
        <v>EQ-FLX</v>
      </c>
      <c r="C787" s="258" t="s">
        <v>54</v>
      </c>
      <c r="D787" s="259">
        <v>0</v>
      </c>
      <c r="E787" s="259">
        <v>0</v>
      </c>
      <c r="F787" s="259">
        <v>0</v>
      </c>
      <c r="G787" s="259">
        <v>0</v>
      </c>
      <c r="H787" s="259">
        <v>0</v>
      </c>
      <c r="I787" s="259">
        <v>0</v>
      </c>
      <c r="J787" s="259">
        <v>0</v>
      </c>
      <c r="K787" s="259">
        <v>0</v>
      </c>
      <c r="L787" s="259">
        <v>0</v>
      </c>
    </row>
    <row r="788" spans="1:12" hidden="1" x14ac:dyDescent="0.25">
      <c r="A788" s="259" t="s">
        <v>825</v>
      </c>
      <c r="B788" s="261" t="str">
        <f>VLOOKUP(A788, '[2]fund-selector'!$A$2:$F$853,6,FALSE)</f>
        <v>EQ-THEMATIC</v>
      </c>
      <c r="C788" s="258" t="s">
        <v>54</v>
      </c>
      <c r="D788" s="260">
        <v>2.44</v>
      </c>
      <c r="E788" s="259">
        <v>0</v>
      </c>
      <c r="F788" s="259">
        <v>0</v>
      </c>
      <c r="G788" s="260">
        <v>2.44</v>
      </c>
      <c r="H788" s="259">
        <v>0</v>
      </c>
      <c r="I788" s="259">
        <v>0</v>
      </c>
      <c r="J788" s="259">
        <v>0</v>
      </c>
      <c r="K788" s="259">
        <v>0</v>
      </c>
      <c r="L788" s="259">
        <v>0</v>
      </c>
    </row>
    <row r="789" spans="1:12" hidden="1" x14ac:dyDescent="0.25">
      <c r="A789" s="259" t="s">
        <v>1254</v>
      </c>
      <c r="B789" s="261" t="str">
        <f>VLOOKUP(A789, '[2]fund-selector'!$A$2:$F$853,6,FALSE)</f>
        <v>HY-AH</v>
      </c>
      <c r="C789" s="258">
        <v>5.6</v>
      </c>
      <c r="D789" s="260">
        <v>2.37</v>
      </c>
      <c r="E789" s="260">
        <v>16.71</v>
      </c>
      <c r="F789" s="259">
        <v>0</v>
      </c>
      <c r="G789" s="260">
        <v>2.37</v>
      </c>
      <c r="H789" s="260">
        <v>10.76</v>
      </c>
      <c r="I789" s="260">
        <v>0.74</v>
      </c>
      <c r="J789" s="260">
        <v>1.1399999999999999</v>
      </c>
      <c r="K789" s="260">
        <v>0.88</v>
      </c>
      <c r="L789" s="260">
        <v>-0.46</v>
      </c>
    </row>
    <row r="790" spans="1:12" hidden="1" x14ac:dyDescent="0.25">
      <c r="A790" s="259" t="s">
        <v>1262</v>
      </c>
      <c r="B790" s="261" t="str">
        <f>VLOOKUP(A790, '[2]fund-selector'!$A$2:$F$853,6,FALSE)</f>
        <v>HY-AR</v>
      </c>
      <c r="C790" s="258">
        <v>6.69</v>
      </c>
      <c r="D790" s="260">
        <v>1.07</v>
      </c>
      <c r="E790" s="260">
        <v>6.71</v>
      </c>
      <c r="F790" s="260">
        <v>5.31</v>
      </c>
      <c r="G790" s="260">
        <v>1.07</v>
      </c>
      <c r="H790" s="260">
        <v>0.56000000000000005</v>
      </c>
      <c r="I790" s="260">
        <v>0.23</v>
      </c>
      <c r="J790" s="260">
        <v>0.27</v>
      </c>
      <c r="K790" s="260">
        <v>0.51</v>
      </c>
      <c r="L790" s="260">
        <v>1.1000000000000001</v>
      </c>
    </row>
    <row r="791" spans="1:12" hidden="1" x14ac:dyDescent="0.25">
      <c r="A791" s="259" t="s">
        <v>826</v>
      </c>
      <c r="B791" s="261" t="str">
        <f>VLOOKUP(A791, '[2]fund-selector'!$A$2:$F$853,6,FALSE)</f>
        <v>HY-DAA</v>
      </c>
      <c r="C791" s="258">
        <v>3.87</v>
      </c>
      <c r="D791" s="260">
        <v>2.15</v>
      </c>
      <c r="E791" s="260">
        <v>12.11</v>
      </c>
      <c r="F791" s="260">
        <v>12.34</v>
      </c>
      <c r="G791" s="260">
        <v>2.15</v>
      </c>
      <c r="H791" s="260">
        <v>7.08</v>
      </c>
      <c r="I791" s="260">
        <v>0.61</v>
      </c>
      <c r="J791" s="260">
        <v>0.91</v>
      </c>
      <c r="K791" s="260">
        <v>0.67</v>
      </c>
      <c r="L791" s="260">
        <v>-0.97</v>
      </c>
    </row>
    <row r="792" spans="1:12" hidden="1" x14ac:dyDescent="0.25">
      <c r="A792" s="259" t="s">
        <v>827</v>
      </c>
      <c r="B792" s="261" t="str">
        <f>VLOOKUP(A792, '[2]fund-selector'!$A$2:$F$853,6,FALSE)</f>
        <v>EQ-THEMATIC</v>
      </c>
      <c r="C792" s="258">
        <v>-2.33</v>
      </c>
      <c r="D792" s="260">
        <v>2.36</v>
      </c>
      <c r="E792" s="259">
        <v>0</v>
      </c>
      <c r="F792" s="259">
        <v>0</v>
      </c>
      <c r="G792" s="260">
        <v>2.36</v>
      </c>
      <c r="H792" s="259">
        <v>0</v>
      </c>
      <c r="I792" s="259">
        <v>0</v>
      </c>
      <c r="J792" s="259">
        <v>0</v>
      </c>
      <c r="K792" s="259">
        <v>0</v>
      </c>
      <c r="L792" s="259">
        <v>0</v>
      </c>
    </row>
    <row r="793" spans="1:12" hidden="1" x14ac:dyDescent="0.25">
      <c r="A793" s="259" t="s">
        <v>828</v>
      </c>
      <c r="B793" s="261" t="str">
        <f>VLOOKUP(A793, '[2]fund-selector'!$A$2:$F$853,6,FALSE)</f>
        <v>EQ-FLX</v>
      </c>
      <c r="C793" s="258">
        <v>6.05</v>
      </c>
      <c r="D793" s="260">
        <v>2.42</v>
      </c>
      <c r="E793" s="259">
        <v>0</v>
      </c>
      <c r="F793" s="259">
        <v>0</v>
      </c>
      <c r="G793" s="260">
        <v>2.42</v>
      </c>
      <c r="H793" s="259">
        <v>0</v>
      </c>
      <c r="I793" s="259">
        <v>0</v>
      </c>
      <c r="J793" s="259">
        <v>0</v>
      </c>
      <c r="K793" s="259">
        <v>0</v>
      </c>
      <c r="L793" s="259">
        <v>0</v>
      </c>
    </row>
    <row r="794" spans="1:12" hidden="1" x14ac:dyDescent="0.25">
      <c r="A794" s="259" t="s">
        <v>829</v>
      </c>
      <c r="B794" s="261" t="str">
        <f>VLOOKUP(A794, '[2]fund-selector'!$A$2:$F$853,6,FALSE)</f>
        <v>EQ-FLX</v>
      </c>
      <c r="C794" s="258">
        <v>3.24</v>
      </c>
      <c r="D794" s="260">
        <v>2.02</v>
      </c>
      <c r="E794" s="260">
        <v>20.29</v>
      </c>
      <c r="F794" s="260">
        <v>22.09</v>
      </c>
      <c r="G794" s="260">
        <v>2.02</v>
      </c>
      <c r="H794" s="260">
        <v>13.52</v>
      </c>
      <c r="I794" s="260">
        <v>0.78</v>
      </c>
      <c r="J794" s="260">
        <v>1.07</v>
      </c>
      <c r="K794" s="260">
        <v>0.9</v>
      </c>
      <c r="L794" s="260">
        <v>0.25</v>
      </c>
    </row>
    <row r="795" spans="1:12" hidden="1" x14ac:dyDescent="0.25">
      <c r="A795" s="259" t="s">
        <v>830</v>
      </c>
      <c r="B795" s="261" t="str">
        <f>VLOOKUP(A795, '[2]fund-selector'!$A$2:$F$853,6,FALSE)</f>
        <v>EQ-FLX</v>
      </c>
      <c r="C795" s="258">
        <v>0.49</v>
      </c>
      <c r="D795" s="260">
        <v>2.4900000000000002</v>
      </c>
      <c r="E795" s="260">
        <v>16.850000000000001</v>
      </c>
      <c r="F795" s="260">
        <v>19.43</v>
      </c>
      <c r="G795" s="260">
        <v>2.4900000000000002</v>
      </c>
      <c r="H795" s="260">
        <v>12.93</v>
      </c>
      <c r="I795" s="260">
        <v>0.6</v>
      </c>
      <c r="J795" s="260">
        <v>0.85</v>
      </c>
      <c r="K795" s="260">
        <v>0.84</v>
      </c>
      <c r="L795" s="260">
        <v>-1.86</v>
      </c>
    </row>
    <row r="796" spans="1:12" hidden="1" x14ac:dyDescent="0.25">
      <c r="A796" s="259" t="s">
        <v>831</v>
      </c>
      <c r="B796" s="261" t="str">
        <f>VLOOKUP(A796, '[2]fund-selector'!$A$2:$F$853,6,FALSE)</f>
        <v>EQ-THEMATIC</v>
      </c>
      <c r="C796" s="258">
        <v>5.27</v>
      </c>
      <c r="D796" s="260">
        <v>2.21</v>
      </c>
      <c r="E796" s="259">
        <v>0</v>
      </c>
      <c r="F796" s="259">
        <v>0</v>
      </c>
      <c r="G796" s="260">
        <v>2.21</v>
      </c>
      <c r="H796" s="259">
        <v>0</v>
      </c>
      <c r="I796" s="259">
        <v>0</v>
      </c>
      <c r="J796" s="259">
        <v>0</v>
      </c>
      <c r="K796" s="259">
        <v>0</v>
      </c>
      <c r="L796" s="259">
        <v>0</v>
      </c>
    </row>
    <row r="797" spans="1:12" hidden="1" x14ac:dyDescent="0.25">
      <c r="A797" s="259" t="s">
        <v>832</v>
      </c>
      <c r="B797" s="261" t="str">
        <f>VLOOKUP(A797, '[2]fund-selector'!$A$2:$F$853,6,FALSE)</f>
        <v>EQ-LC</v>
      </c>
      <c r="C797" s="258">
        <v>0.09</v>
      </c>
      <c r="D797" s="260">
        <v>2.4900000000000002</v>
      </c>
      <c r="E797" s="260">
        <v>17.440000000000001</v>
      </c>
      <c r="F797" s="260">
        <v>18.78</v>
      </c>
      <c r="G797" s="260">
        <v>2.4900000000000002</v>
      </c>
      <c r="H797" s="260">
        <v>12.93</v>
      </c>
      <c r="I797" s="260">
        <v>0.62</v>
      </c>
      <c r="J797" s="260">
        <v>1.08</v>
      </c>
      <c r="K797" s="260">
        <v>0.92</v>
      </c>
      <c r="L797" s="260">
        <v>-1.41</v>
      </c>
    </row>
    <row r="798" spans="1:12" hidden="1" x14ac:dyDescent="0.25">
      <c r="A798" s="259" t="s">
        <v>833</v>
      </c>
      <c r="B798" s="261" t="str">
        <f>VLOOKUP(A798, '[2]fund-selector'!$A$2:$F$853,6,FALSE)</f>
        <v>EQ-L&amp;MC</v>
      </c>
      <c r="C798" s="258">
        <v>1.3</v>
      </c>
      <c r="D798" s="260">
        <v>2.27</v>
      </c>
      <c r="E798" s="260">
        <v>20.34</v>
      </c>
      <c r="F798" s="260">
        <v>22.06</v>
      </c>
      <c r="G798" s="260">
        <v>2.27</v>
      </c>
      <c r="H798" s="260">
        <v>14.43</v>
      </c>
      <c r="I798" s="260">
        <v>0.73</v>
      </c>
      <c r="J798" s="260">
        <v>0.92</v>
      </c>
      <c r="K798" s="260">
        <v>0.92</v>
      </c>
      <c r="L798" s="260">
        <v>0.42</v>
      </c>
    </row>
    <row r="799" spans="1:12" hidden="1" x14ac:dyDescent="0.25">
      <c r="A799" s="259" t="s">
        <v>834</v>
      </c>
      <c r="B799" s="261" t="str">
        <f>VLOOKUP(A799, '[2]fund-selector'!$A$2:$F$853,6,FALSE)</f>
        <v>EQ-MC</v>
      </c>
      <c r="C799" s="258">
        <v>2.5099999999999998</v>
      </c>
      <c r="D799" s="260">
        <v>2.1</v>
      </c>
      <c r="E799" s="260">
        <v>24.33</v>
      </c>
      <c r="F799" s="260">
        <v>28.94</v>
      </c>
      <c r="G799" s="260">
        <v>2.1</v>
      </c>
      <c r="H799" s="260">
        <v>16.73</v>
      </c>
      <c r="I799" s="260">
        <v>0.85</v>
      </c>
      <c r="J799" s="260">
        <v>1.1299999999999999</v>
      </c>
      <c r="K799" s="260">
        <v>0.94</v>
      </c>
      <c r="L799" s="260">
        <v>-2.84</v>
      </c>
    </row>
    <row r="800" spans="1:12" hidden="1" x14ac:dyDescent="0.25">
      <c r="A800" s="259" t="s">
        <v>835</v>
      </c>
      <c r="B800" s="261" t="str">
        <f>VLOOKUP(A800, '[2]fund-selector'!$A$2:$F$853,6,FALSE)</f>
        <v>HY-MAA</v>
      </c>
      <c r="C800" s="258" t="s">
        <v>54</v>
      </c>
      <c r="D800" s="260">
        <v>2.2000000000000002</v>
      </c>
      <c r="E800" s="259">
        <v>0</v>
      </c>
      <c r="F800" s="259">
        <v>0</v>
      </c>
      <c r="G800" s="260">
        <v>2.2000000000000002</v>
      </c>
      <c r="H800" s="259">
        <v>0</v>
      </c>
      <c r="I800" s="259">
        <v>0</v>
      </c>
      <c r="J800" s="259">
        <v>0</v>
      </c>
      <c r="K800" s="259">
        <v>0</v>
      </c>
      <c r="L800" s="259">
        <v>0</v>
      </c>
    </row>
    <row r="801" spans="1:12" hidden="1" x14ac:dyDescent="0.25">
      <c r="A801" s="259" t="s">
        <v>836</v>
      </c>
      <c r="B801" s="261" t="str">
        <f>VLOOKUP(A801, '[2]fund-selector'!$A$2:$F$853,6,FALSE)</f>
        <v>EQ-MLC</v>
      </c>
      <c r="C801" s="258">
        <v>2.2000000000000002</v>
      </c>
      <c r="D801" s="260">
        <v>2.19</v>
      </c>
      <c r="E801" s="259">
        <v>0</v>
      </c>
      <c r="F801" s="259">
        <v>0</v>
      </c>
      <c r="G801" s="260">
        <v>2.19</v>
      </c>
      <c r="H801" s="259">
        <v>0</v>
      </c>
      <c r="I801" s="259">
        <v>0</v>
      </c>
      <c r="J801" s="259">
        <v>0</v>
      </c>
      <c r="K801" s="259">
        <v>0</v>
      </c>
      <c r="L801" s="259">
        <v>0</v>
      </c>
    </row>
    <row r="802" spans="1:12" hidden="1" x14ac:dyDescent="0.25">
      <c r="A802" s="259" t="s">
        <v>837</v>
      </c>
      <c r="B802" s="261" t="str">
        <f>VLOOKUP(A802, '[2]fund-selector'!$A$2:$F$853,6,FALSE)</f>
        <v>EQ-FLX</v>
      </c>
      <c r="C802" s="258">
        <v>3.73</v>
      </c>
      <c r="D802" s="260">
        <v>2.37</v>
      </c>
      <c r="E802" s="259">
        <v>0</v>
      </c>
      <c r="F802" s="259">
        <v>0</v>
      </c>
      <c r="G802" s="260">
        <v>2.37</v>
      </c>
      <c r="H802" s="259">
        <v>0</v>
      </c>
      <c r="I802" s="259">
        <v>0</v>
      </c>
      <c r="J802" s="259">
        <v>0</v>
      </c>
      <c r="K802" s="259">
        <v>0</v>
      </c>
      <c r="L802" s="259">
        <v>0</v>
      </c>
    </row>
    <row r="803" spans="1:12" hidden="1" x14ac:dyDescent="0.25">
      <c r="A803" s="259" t="s">
        <v>838</v>
      </c>
      <c r="B803" s="261" t="str">
        <f>VLOOKUP(A803, '[2]fund-selector'!$A$2:$F$853,6,FALSE)</f>
        <v>EQ-SC</v>
      </c>
      <c r="C803" s="258">
        <v>0.54</v>
      </c>
      <c r="D803" s="260">
        <v>2.12</v>
      </c>
      <c r="E803" s="260">
        <v>22.39</v>
      </c>
      <c r="F803" s="260">
        <v>30.01</v>
      </c>
      <c r="G803" s="260">
        <v>2.12</v>
      </c>
      <c r="H803" s="260">
        <v>18.13</v>
      </c>
      <c r="I803" s="260">
        <v>0.71</v>
      </c>
      <c r="J803" s="260">
        <v>0.95</v>
      </c>
      <c r="K803" s="260">
        <v>0.85</v>
      </c>
      <c r="L803" s="260">
        <v>-2.5299999999999998</v>
      </c>
    </row>
    <row r="804" spans="1:12" hidden="1" x14ac:dyDescent="0.25">
      <c r="A804" s="259" t="s">
        <v>1255</v>
      </c>
      <c r="B804" s="261" t="str">
        <f>VLOOKUP(A804, '[2]fund-selector'!$A$2:$F$853,6,FALSE)</f>
        <v>HY-AH</v>
      </c>
      <c r="C804" s="258">
        <v>6.92</v>
      </c>
      <c r="D804" s="260">
        <v>1.88</v>
      </c>
      <c r="E804" s="260">
        <v>20.58</v>
      </c>
      <c r="F804" s="260">
        <v>21.76</v>
      </c>
      <c r="G804" s="260">
        <v>1.88</v>
      </c>
      <c r="H804" s="260">
        <v>10.1</v>
      </c>
      <c r="I804" s="260">
        <v>1.1100000000000001</v>
      </c>
      <c r="J804" s="260">
        <v>1.7</v>
      </c>
      <c r="K804" s="260">
        <v>0.83</v>
      </c>
      <c r="L804" s="260">
        <v>3.21</v>
      </c>
    </row>
    <row r="805" spans="1:12" hidden="1" x14ac:dyDescent="0.25">
      <c r="A805" s="259" t="s">
        <v>1264</v>
      </c>
      <c r="B805" s="261" t="str">
        <f>VLOOKUP(A805, '[2]fund-selector'!$A$2:$F$853,6,FALSE)</f>
        <v>HY-AR</v>
      </c>
      <c r="C805" s="258">
        <v>7.12</v>
      </c>
      <c r="D805" s="260">
        <v>0.76</v>
      </c>
      <c r="E805" s="260">
        <v>6.89</v>
      </c>
      <c r="F805" s="260">
        <v>5.57</v>
      </c>
      <c r="G805" s="260">
        <v>0.76</v>
      </c>
      <c r="H805" s="260">
        <v>0.56000000000000005</v>
      </c>
      <c r="I805" s="260">
        <v>0.5</v>
      </c>
      <c r="J805" s="260">
        <v>0.54</v>
      </c>
      <c r="K805" s="260">
        <v>0.66</v>
      </c>
      <c r="L805" s="260">
        <v>1.54</v>
      </c>
    </row>
    <row r="806" spans="1:12" hidden="1" x14ac:dyDescent="0.25">
      <c r="A806" s="259" t="s">
        <v>839</v>
      </c>
      <c r="B806" s="261" t="str">
        <f>VLOOKUP(A806, '[2]fund-selector'!$A$2:$F$853,6,FALSE)</f>
        <v>HY-DAA</v>
      </c>
      <c r="C806" s="258">
        <v>8.23</v>
      </c>
      <c r="D806" s="260">
        <v>1.92</v>
      </c>
      <c r="E806" s="259">
        <v>0</v>
      </c>
      <c r="F806" s="259">
        <v>0</v>
      </c>
      <c r="G806" s="260">
        <v>1.92</v>
      </c>
      <c r="H806" s="259">
        <v>0</v>
      </c>
      <c r="I806" s="259">
        <v>0</v>
      </c>
      <c r="J806" s="259">
        <v>0</v>
      </c>
      <c r="K806" s="259">
        <v>0</v>
      </c>
      <c r="L806" s="259">
        <v>0</v>
      </c>
    </row>
    <row r="807" spans="1:12" hidden="1" x14ac:dyDescent="0.25">
      <c r="A807" s="259" t="s">
        <v>840</v>
      </c>
      <c r="B807" s="261" t="str">
        <f>VLOOKUP(A807, '[2]fund-selector'!$A$2:$F$853,6,FALSE)</f>
        <v>EQ-THEMATIC</v>
      </c>
      <c r="C807" s="258">
        <v>-8.18</v>
      </c>
      <c r="D807" s="260">
        <v>0.98</v>
      </c>
      <c r="E807" s="259">
        <v>0</v>
      </c>
      <c r="F807" s="259">
        <v>0</v>
      </c>
      <c r="G807" s="260">
        <v>0.98</v>
      </c>
      <c r="H807" s="259">
        <v>0</v>
      </c>
      <c r="I807" s="259">
        <v>0</v>
      </c>
      <c r="J807" s="259">
        <v>0</v>
      </c>
      <c r="K807" s="259">
        <v>0</v>
      </c>
      <c r="L807" s="259">
        <v>0</v>
      </c>
    </row>
    <row r="808" spans="1:12" hidden="1" x14ac:dyDescent="0.25">
      <c r="A808" s="259" t="s">
        <v>841</v>
      </c>
      <c r="B808" s="261" t="str">
        <f>VLOOKUP(A808, '[2]fund-selector'!$A$2:$F$853,6,FALSE)</f>
        <v>EQ-L&amp;MC</v>
      </c>
      <c r="C808" s="258">
        <v>0.36</v>
      </c>
      <c r="D808" s="260">
        <v>0.91</v>
      </c>
      <c r="E808" s="260">
        <v>19.57</v>
      </c>
      <c r="F808" s="259">
        <v>0</v>
      </c>
      <c r="G808" s="260">
        <v>0.91</v>
      </c>
      <c r="H808" s="260">
        <v>13.58</v>
      </c>
      <c r="I808" s="260">
        <v>0.74</v>
      </c>
      <c r="J808" s="260">
        <v>1.1499999999999999</v>
      </c>
      <c r="K808" s="260">
        <v>0.9</v>
      </c>
      <c r="L808" s="260">
        <v>0.16</v>
      </c>
    </row>
    <row r="809" spans="1:12" hidden="1" x14ac:dyDescent="0.25">
      <c r="A809" s="259" t="s">
        <v>842</v>
      </c>
      <c r="B809" s="261" t="str">
        <f>VLOOKUP(A809, '[2]fund-selector'!$A$2:$F$853,6,FALSE)</f>
        <v>EQ-LC</v>
      </c>
      <c r="C809" s="258">
        <v>6.28</v>
      </c>
      <c r="D809" s="260">
        <v>0.05</v>
      </c>
      <c r="E809" s="260">
        <v>17.829999999999998</v>
      </c>
      <c r="F809" s="260">
        <v>19.91</v>
      </c>
      <c r="G809" s="260">
        <v>0.05</v>
      </c>
      <c r="H809" s="260">
        <v>12.71</v>
      </c>
      <c r="I809" s="260">
        <v>0.66</v>
      </c>
      <c r="J809" s="260">
        <v>1.1000000000000001</v>
      </c>
      <c r="K809" s="260">
        <v>0.91</v>
      </c>
      <c r="L809" s="260">
        <v>-0.95</v>
      </c>
    </row>
    <row r="810" spans="1:12" hidden="1" x14ac:dyDescent="0.25">
      <c r="A810" s="259" t="s">
        <v>843</v>
      </c>
      <c r="B810" s="261" t="str">
        <f>VLOOKUP(A810, '[2]fund-selector'!$A$2:$F$853,6,FALSE)</f>
        <v>EQ-LC</v>
      </c>
      <c r="C810" s="258">
        <v>5.98</v>
      </c>
      <c r="D810" s="260">
        <v>0.3</v>
      </c>
      <c r="E810" s="260">
        <v>17.46</v>
      </c>
      <c r="F810" s="259">
        <v>0</v>
      </c>
      <c r="G810" s="260">
        <v>0.3</v>
      </c>
      <c r="H810" s="260">
        <v>12.71</v>
      </c>
      <c r="I810" s="260">
        <v>0.64</v>
      </c>
      <c r="J810" s="260">
        <v>1.06</v>
      </c>
      <c r="K810" s="260">
        <v>0.91</v>
      </c>
      <c r="L810" s="260">
        <v>-1.27</v>
      </c>
    </row>
    <row r="811" spans="1:12" hidden="1" x14ac:dyDescent="0.25">
      <c r="A811" s="259" t="s">
        <v>844</v>
      </c>
      <c r="B811" s="261" t="str">
        <f>VLOOKUP(A811, '[2]fund-selector'!$A$2:$F$853,6,FALSE)</f>
        <v>EQ-LC</v>
      </c>
      <c r="C811" s="258">
        <v>1.17</v>
      </c>
      <c r="D811" s="260">
        <v>0.21</v>
      </c>
      <c r="E811" s="260">
        <v>26.02</v>
      </c>
      <c r="F811" s="260">
        <v>25.73</v>
      </c>
      <c r="G811" s="260">
        <v>0.21</v>
      </c>
      <c r="H811" s="260">
        <v>17.760000000000002</v>
      </c>
      <c r="I811" s="260">
        <v>0.89</v>
      </c>
      <c r="J811" s="260">
        <v>1.3</v>
      </c>
      <c r="K811" s="260">
        <v>1.22</v>
      </c>
      <c r="L811" s="260">
        <v>3.36</v>
      </c>
    </row>
    <row r="812" spans="1:12" hidden="1" x14ac:dyDescent="0.25">
      <c r="A812" s="259" t="s">
        <v>845</v>
      </c>
      <c r="B812" s="261" t="str">
        <f>VLOOKUP(A812, '[2]fund-selector'!$A$2:$F$853,6,FALSE)</f>
        <v>EQ-FLX</v>
      </c>
      <c r="C812" s="258">
        <v>1.38</v>
      </c>
      <c r="D812" s="260">
        <v>2.25</v>
      </c>
      <c r="E812" s="260">
        <v>18.309999999999999</v>
      </c>
      <c r="F812" s="260">
        <v>19.899999999999999</v>
      </c>
      <c r="G812" s="260">
        <v>2.25</v>
      </c>
      <c r="H812" s="260">
        <v>14.08</v>
      </c>
      <c r="I812" s="260">
        <v>0.61</v>
      </c>
      <c r="J812" s="260">
        <v>0.99</v>
      </c>
      <c r="K812" s="260">
        <v>0.93</v>
      </c>
      <c r="L812" s="260">
        <v>-2.16</v>
      </c>
    </row>
    <row r="813" spans="1:12" hidden="1" x14ac:dyDescent="0.25">
      <c r="A813" s="259" t="s">
        <v>1256</v>
      </c>
      <c r="B813" s="261" t="str">
        <f>VLOOKUP(A813, '[2]fund-selector'!$A$2:$F$853,6,FALSE)</f>
        <v>HY-BH</v>
      </c>
      <c r="C813" s="258">
        <v>6.21</v>
      </c>
      <c r="D813" s="260">
        <v>1.73</v>
      </c>
      <c r="E813" s="260">
        <v>12.14</v>
      </c>
      <c r="F813" s="260">
        <v>12.49</v>
      </c>
      <c r="G813" s="260">
        <v>1.73</v>
      </c>
      <c r="H813" s="260">
        <v>6.22</v>
      </c>
      <c r="I813" s="260">
        <v>0.7</v>
      </c>
      <c r="J813" s="260">
        <v>1.0900000000000001</v>
      </c>
      <c r="K813" s="260">
        <v>0.62</v>
      </c>
      <c r="L813" s="260">
        <v>-0.61</v>
      </c>
    </row>
    <row r="814" spans="1:12" hidden="1" x14ac:dyDescent="0.25">
      <c r="A814" s="259" t="s">
        <v>1257</v>
      </c>
      <c r="B814" s="261" t="str">
        <f>VLOOKUP(A814, '[2]fund-selector'!$A$2:$F$853,6,FALSE)</f>
        <v>HY-CH</v>
      </c>
      <c r="C814" s="258">
        <v>8.26</v>
      </c>
      <c r="D814" s="260">
        <v>1.82</v>
      </c>
      <c r="E814" s="260">
        <v>11.58</v>
      </c>
      <c r="F814" s="260">
        <v>11.74</v>
      </c>
      <c r="G814" s="260">
        <v>1.82</v>
      </c>
      <c r="H814" s="260">
        <v>4.12</v>
      </c>
      <c r="I814" s="260">
        <v>1</v>
      </c>
      <c r="J814" s="260">
        <v>1.65</v>
      </c>
      <c r="K814" s="260">
        <v>1.01</v>
      </c>
      <c r="L814" s="260">
        <v>0.44</v>
      </c>
    </row>
    <row r="815" spans="1:12" hidden="1" x14ac:dyDescent="0.25">
      <c r="A815" s="259" t="s">
        <v>847</v>
      </c>
      <c r="B815" s="261" t="str">
        <f>VLOOKUP(A815, '[2]fund-selector'!$A$2:$F$853,6,FALSE)</f>
        <v>EQ-FLX</v>
      </c>
      <c r="C815" s="258">
        <v>7.63</v>
      </c>
      <c r="D815" s="260">
        <v>1.66</v>
      </c>
      <c r="E815" s="260">
        <v>15.63</v>
      </c>
      <c r="F815" s="260">
        <v>18.850000000000001</v>
      </c>
      <c r="G815" s="260">
        <v>1.66</v>
      </c>
      <c r="H815" s="260">
        <v>13.97</v>
      </c>
      <c r="I815" s="260">
        <v>0.44</v>
      </c>
      <c r="J815" s="260">
        <v>0.71</v>
      </c>
      <c r="K815" s="260">
        <v>0.88</v>
      </c>
      <c r="L815" s="260">
        <v>-3.97</v>
      </c>
    </row>
    <row r="816" spans="1:12" hidden="1" x14ac:dyDescent="0.25">
      <c r="A816" s="259" t="s">
        <v>848</v>
      </c>
      <c r="B816" s="261" t="str">
        <f>VLOOKUP(A816, '[2]fund-selector'!$A$2:$F$853,6,FALSE)</f>
        <v>EQ-FLX</v>
      </c>
      <c r="C816" s="258">
        <v>1.4</v>
      </c>
      <c r="D816" s="260">
        <v>1.96</v>
      </c>
      <c r="E816" s="260">
        <v>20.55</v>
      </c>
      <c r="F816" s="259">
        <v>0</v>
      </c>
      <c r="G816" s="260">
        <v>1.96</v>
      </c>
      <c r="H816" s="260">
        <v>14.3</v>
      </c>
      <c r="I816" s="260">
        <v>0.73</v>
      </c>
      <c r="J816" s="260">
        <v>1.17</v>
      </c>
      <c r="K816" s="260">
        <v>0.93</v>
      </c>
      <c r="L816" s="260">
        <v>-0.28999999999999998</v>
      </c>
    </row>
    <row r="817" spans="1:12" hidden="1" x14ac:dyDescent="0.25">
      <c r="A817" s="259" t="s">
        <v>850</v>
      </c>
      <c r="B817" s="261" t="str">
        <f>VLOOKUP(A817, '[2]fund-selector'!$A$2:$F$853,6,FALSE)</f>
        <v>EQ-THEMATIC</v>
      </c>
      <c r="C817" s="258">
        <v>1.1100000000000001</v>
      </c>
      <c r="D817" s="260">
        <v>2.29</v>
      </c>
      <c r="E817" s="259">
        <v>0</v>
      </c>
      <c r="F817" s="259">
        <v>0</v>
      </c>
      <c r="G817" s="260">
        <v>2.29</v>
      </c>
      <c r="H817" s="259">
        <v>0</v>
      </c>
      <c r="I817" s="259">
        <v>0</v>
      </c>
      <c r="J817" s="259">
        <v>0</v>
      </c>
      <c r="K817" s="259">
        <v>0</v>
      </c>
      <c r="L817" s="259">
        <v>0</v>
      </c>
    </row>
    <row r="818" spans="1:12" hidden="1" x14ac:dyDescent="0.25">
      <c r="A818" s="259" t="s">
        <v>851</v>
      </c>
      <c r="B818" s="261" t="str">
        <f>VLOOKUP(A818, '[2]fund-selector'!$A$2:$F$853,6,FALSE)</f>
        <v>EQ-LC</v>
      </c>
      <c r="C818" s="258">
        <v>4.4000000000000004</v>
      </c>
      <c r="D818" s="260">
        <v>1.75</v>
      </c>
      <c r="E818" s="260">
        <v>17.43</v>
      </c>
      <c r="F818" s="260">
        <v>19.29</v>
      </c>
      <c r="G818" s="260">
        <v>1.75</v>
      </c>
      <c r="H818" s="260">
        <v>12.76</v>
      </c>
      <c r="I818" s="260">
        <v>0.6</v>
      </c>
      <c r="J818" s="260">
        <v>0.97</v>
      </c>
      <c r="K818" s="260">
        <v>0.91</v>
      </c>
      <c r="L818" s="260">
        <v>-1.71</v>
      </c>
    </row>
    <row r="819" spans="1:12" hidden="1" x14ac:dyDescent="0.25">
      <c r="A819" s="259" t="s">
        <v>852</v>
      </c>
      <c r="B819" s="261" t="str">
        <f>VLOOKUP(A819, '[2]fund-selector'!$A$2:$F$853,6,FALSE)</f>
        <v>EQ-L&amp;MC</v>
      </c>
      <c r="C819" s="258">
        <v>6.5</v>
      </c>
      <c r="D819" s="260">
        <v>1.93</v>
      </c>
      <c r="E819" s="260">
        <v>26.81</v>
      </c>
      <c r="F819" s="260">
        <v>27.74</v>
      </c>
      <c r="G819" s="260">
        <v>1.93</v>
      </c>
      <c r="H819" s="260">
        <v>14.07</v>
      </c>
      <c r="I819" s="260">
        <v>1.1499999999999999</v>
      </c>
      <c r="J819" s="260">
        <v>1.75</v>
      </c>
      <c r="K819" s="260">
        <v>0.95</v>
      </c>
      <c r="L819" s="260">
        <v>5.69</v>
      </c>
    </row>
    <row r="820" spans="1:12" hidden="1" x14ac:dyDescent="0.25">
      <c r="A820" s="259" t="s">
        <v>853</v>
      </c>
      <c r="B820" s="261" t="str">
        <f>VLOOKUP(A820, '[2]fund-selector'!$A$2:$F$853,6,FALSE)</f>
        <v>EQ-MC</v>
      </c>
      <c r="C820" s="258">
        <v>0.45</v>
      </c>
      <c r="D820" s="260">
        <v>1.76</v>
      </c>
      <c r="E820" s="260">
        <v>23</v>
      </c>
      <c r="F820" s="260">
        <v>26.44</v>
      </c>
      <c r="G820" s="260">
        <v>1.76</v>
      </c>
      <c r="H820" s="260">
        <v>16.37</v>
      </c>
      <c r="I820" s="260">
        <v>0.81</v>
      </c>
      <c r="J820" s="260">
        <v>1.1599999999999999</v>
      </c>
      <c r="K820" s="260">
        <v>0.94</v>
      </c>
      <c r="L820" s="260">
        <v>-3.74</v>
      </c>
    </row>
    <row r="821" spans="1:12" hidden="1" x14ac:dyDescent="0.25">
      <c r="A821" s="259" t="s">
        <v>855</v>
      </c>
      <c r="B821" s="261" t="str">
        <f>VLOOKUP(A821, '[2]fund-selector'!$A$2:$F$853,6,FALSE)</f>
        <v>HY-MAA</v>
      </c>
      <c r="C821" s="258">
        <v>6.98</v>
      </c>
      <c r="D821" s="260">
        <v>1.74</v>
      </c>
      <c r="E821" s="260">
        <v>22.37</v>
      </c>
      <c r="F821" s="260">
        <v>17.21</v>
      </c>
      <c r="G821" s="260">
        <v>1.74</v>
      </c>
      <c r="H821" s="260">
        <v>8.9499999999999993</v>
      </c>
      <c r="I821" s="260">
        <v>1.41</v>
      </c>
      <c r="J821" s="260">
        <v>2.02</v>
      </c>
      <c r="K821" s="260">
        <v>0.86</v>
      </c>
      <c r="L821" s="260">
        <v>4.95</v>
      </c>
    </row>
    <row r="822" spans="1:12" x14ac:dyDescent="0.25">
      <c r="A822" s="296" t="s">
        <v>856</v>
      </c>
      <c r="B822" s="261" t="str">
        <f>VLOOKUP(A822, '[2]fund-selector'!$A$2:$F$853,6,FALSE)</f>
        <v>EQ-MLC</v>
      </c>
      <c r="C822" s="258" t="s">
        <v>54</v>
      </c>
      <c r="D822" s="260">
        <v>2.16</v>
      </c>
      <c r="E822" s="259">
        <v>0</v>
      </c>
      <c r="F822" s="259">
        <v>0</v>
      </c>
      <c r="G822" s="260">
        <v>2.16</v>
      </c>
      <c r="H822" s="259">
        <v>0</v>
      </c>
      <c r="I822" s="259">
        <v>0</v>
      </c>
      <c r="J822" s="259">
        <v>0</v>
      </c>
      <c r="K822" s="259">
        <v>0</v>
      </c>
      <c r="L822" s="259">
        <v>0</v>
      </c>
    </row>
    <row r="823" spans="1:12" hidden="1" x14ac:dyDescent="0.25">
      <c r="A823" s="259" t="s">
        <v>857</v>
      </c>
      <c r="B823" s="261" t="str">
        <f>VLOOKUP(A823, '[2]fund-selector'!$A$2:$F$853,6,FALSE)</f>
        <v>EQ-L&amp;MC</v>
      </c>
      <c r="C823" s="258">
        <v>-12.85</v>
      </c>
      <c r="D823" s="260">
        <v>0.92</v>
      </c>
      <c r="E823" s="260">
        <v>24.46</v>
      </c>
      <c r="F823" s="259">
        <v>0</v>
      </c>
      <c r="G823" s="260">
        <v>0.92</v>
      </c>
      <c r="H823" s="260">
        <v>19.28</v>
      </c>
      <c r="I823" s="260">
        <v>0.7</v>
      </c>
      <c r="J823" s="260">
        <v>1.01</v>
      </c>
      <c r="K823" s="260">
        <v>1.23</v>
      </c>
      <c r="L823" s="260">
        <v>0.09</v>
      </c>
    </row>
    <row r="824" spans="1:12" hidden="1" x14ac:dyDescent="0.25">
      <c r="A824" s="259" t="s">
        <v>858</v>
      </c>
      <c r="B824" s="261" t="str">
        <f>VLOOKUP(A824, '[2]fund-selector'!$A$2:$F$853,6,FALSE)</f>
        <v>EQ-L&amp;MC</v>
      </c>
      <c r="C824" s="258" t="s">
        <v>54</v>
      </c>
      <c r="D824" s="260">
        <v>1.05</v>
      </c>
      <c r="E824" s="259">
        <v>0</v>
      </c>
      <c r="F824" s="259">
        <v>0</v>
      </c>
      <c r="G824" s="260">
        <v>1.05</v>
      </c>
      <c r="H824" s="259">
        <v>0</v>
      </c>
      <c r="I824" s="259">
        <v>0</v>
      </c>
      <c r="J824" s="259">
        <v>0</v>
      </c>
      <c r="K824" s="259">
        <v>0</v>
      </c>
      <c r="L824" s="259">
        <v>0</v>
      </c>
    </row>
    <row r="825" spans="1:12" hidden="1" x14ac:dyDescent="0.25">
      <c r="A825" s="259" t="s">
        <v>859</v>
      </c>
      <c r="B825" s="261" t="str">
        <f>VLOOKUP(A825, '[2]fund-selector'!$A$2:$F$853,6,FALSE)</f>
        <v>EQ-LC</v>
      </c>
      <c r="C825" s="258">
        <v>3.88</v>
      </c>
      <c r="D825" s="260">
        <v>1.03</v>
      </c>
      <c r="E825" s="259">
        <v>0</v>
      </c>
      <c r="F825" s="259">
        <v>0</v>
      </c>
      <c r="G825" s="260">
        <v>1.03</v>
      </c>
      <c r="H825" s="259">
        <v>0</v>
      </c>
      <c r="I825" s="259">
        <v>0</v>
      </c>
      <c r="J825" s="259">
        <v>0</v>
      </c>
      <c r="K825" s="259">
        <v>0</v>
      </c>
      <c r="L825" s="259">
        <v>0</v>
      </c>
    </row>
    <row r="826" spans="1:12" hidden="1" x14ac:dyDescent="0.25">
      <c r="A826" s="259" t="s">
        <v>860</v>
      </c>
      <c r="B826" s="261" t="str">
        <f>VLOOKUP(A826, '[2]fund-selector'!$A$2:$F$853,6,FALSE)</f>
        <v>EQ-LC</v>
      </c>
      <c r="C826" s="258">
        <v>6.49</v>
      </c>
      <c r="D826" s="260">
        <v>0.05</v>
      </c>
      <c r="E826" s="260">
        <v>18.649999999999999</v>
      </c>
      <c r="F826" s="260">
        <v>20.64</v>
      </c>
      <c r="G826" s="260">
        <v>0.05</v>
      </c>
      <c r="H826" s="260">
        <v>13.13</v>
      </c>
      <c r="I826" s="260">
        <v>0.69</v>
      </c>
      <c r="J826" s="260">
        <v>1.17</v>
      </c>
      <c r="K826" s="260">
        <v>0.95</v>
      </c>
      <c r="L826" s="260">
        <v>-0.73</v>
      </c>
    </row>
    <row r="827" spans="1:12" hidden="1" x14ac:dyDescent="0.25">
      <c r="A827" s="259" t="s">
        <v>861</v>
      </c>
      <c r="B827" s="261" t="str">
        <f>VLOOKUP(A827, '[2]fund-selector'!$A$2:$F$853,6,FALSE)</f>
        <v>EQ-LC</v>
      </c>
      <c r="C827" s="258">
        <v>6.23</v>
      </c>
      <c r="D827" s="260">
        <v>0.27</v>
      </c>
      <c r="E827" s="260">
        <v>18.309999999999999</v>
      </c>
      <c r="F827" s="260">
        <v>20.329999999999998</v>
      </c>
      <c r="G827" s="260">
        <v>0.27</v>
      </c>
      <c r="H827" s="260">
        <v>13.13</v>
      </c>
      <c r="I827" s="260">
        <v>0.67</v>
      </c>
      <c r="J827" s="260">
        <v>1.1399999999999999</v>
      </c>
      <c r="K827" s="260">
        <v>0.95</v>
      </c>
      <c r="L827" s="260">
        <v>-1.02</v>
      </c>
    </row>
    <row r="828" spans="1:12" hidden="1" x14ac:dyDescent="0.25">
      <c r="A828" s="259" t="s">
        <v>862</v>
      </c>
      <c r="B828" s="261" t="str">
        <f>VLOOKUP(A828, '[2]fund-selector'!$A$2:$F$853,6,FALSE)</f>
        <v>EQ-L&amp;MC</v>
      </c>
      <c r="C828" s="258" t="s">
        <v>54</v>
      </c>
      <c r="D828" s="260">
        <v>1.03</v>
      </c>
      <c r="E828" s="259">
        <v>0</v>
      </c>
      <c r="F828" s="259">
        <v>0</v>
      </c>
      <c r="G828" s="260">
        <v>1.03</v>
      </c>
      <c r="H828" s="259">
        <v>0</v>
      </c>
      <c r="I828" s="259">
        <v>0</v>
      </c>
      <c r="J828" s="259">
        <v>0</v>
      </c>
      <c r="K828" s="259">
        <v>0</v>
      </c>
      <c r="L828" s="259">
        <v>0</v>
      </c>
    </row>
    <row r="829" spans="1:12" hidden="1" x14ac:dyDescent="0.25">
      <c r="A829" s="259" t="s">
        <v>863</v>
      </c>
      <c r="B829" s="261" t="str">
        <f>VLOOKUP(A829, '[2]fund-selector'!$A$2:$F$853,6,FALSE)</f>
        <v>EQ-THEMATIC</v>
      </c>
      <c r="C829" s="258" t="s">
        <v>54</v>
      </c>
      <c r="D829" s="260">
        <v>1.04</v>
      </c>
      <c r="E829" s="259">
        <v>0</v>
      </c>
      <c r="F829" s="259">
        <v>0</v>
      </c>
      <c r="G829" s="260">
        <v>1.04</v>
      </c>
      <c r="H829" s="259">
        <v>0</v>
      </c>
      <c r="I829" s="259">
        <v>0</v>
      </c>
      <c r="J829" s="259">
        <v>0</v>
      </c>
      <c r="K829" s="259">
        <v>0</v>
      </c>
      <c r="L829" s="259">
        <v>0</v>
      </c>
    </row>
    <row r="830" spans="1:12" hidden="1" x14ac:dyDescent="0.25">
      <c r="A830" s="259" t="s">
        <v>864</v>
      </c>
      <c r="B830" s="261" t="str">
        <f>VLOOKUP(A830, '[2]fund-selector'!$A$2:$F$853,6,FALSE)</f>
        <v>EQ-MC</v>
      </c>
      <c r="C830" s="258">
        <v>2.46</v>
      </c>
      <c r="D830" s="260">
        <v>0.25</v>
      </c>
      <c r="E830" s="259">
        <v>0</v>
      </c>
      <c r="F830" s="259">
        <v>0</v>
      </c>
      <c r="G830" s="260">
        <v>0.25</v>
      </c>
      <c r="H830" s="259">
        <v>0</v>
      </c>
      <c r="I830" s="259">
        <v>0</v>
      </c>
      <c r="J830" s="259">
        <v>0</v>
      </c>
      <c r="K830" s="259">
        <v>0</v>
      </c>
      <c r="L830" s="259">
        <v>0</v>
      </c>
    </row>
    <row r="831" spans="1:12" hidden="1" x14ac:dyDescent="0.25">
      <c r="A831" s="259" t="s">
        <v>865</v>
      </c>
      <c r="B831" s="261" t="str">
        <f>VLOOKUP(A831, '[2]fund-selector'!$A$2:$F$853,6,FALSE)</f>
        <v>EQ-MC</v>
      </c>
      <c r="C831" s="258" t="s">
        <v>54</v>
      </c>
      <c r="D831" s="260">
        <v>1.04</v>
      </c>
      <c r="E831" s="259">
        <v>0</v>
      </c>
      <c r="F831" s="259">
        <v>0</v>
      </c>
      <c r="G831" s="260">
        <v>1.04</v>
      </c>
      <c r="H831" s="259">
        <v>0</v>
      </c>
      <c r="I831" s="259">
        <v>0</v>
      </c>
      <c r="J831" s="259">
        <v>0</v>
      </c>
      <c r="K831" s="259">
        <v>0</v>
      </c>
      <c r="L831" s="259">
        <v>0</v>
      </c>
    </row>
    <row r="832" spans="1:12" hidden="1" x14ac:dyDescent="0.25">
      <c r="A832" s="259" t="s">
        <v>866</v>
      </c>
      <c r="B832" s="261" t="str">
        <f>VLOOKUP(A832, '[2]fund-selector'!$A$2:$F$853,6,FALSE)</f>
        <v>EQ-MC</v>
      </c>
      <c r="C832" s="258">
        <v>-0.28000000000000003</v>
      </c>
      <c r="D832" s="260">
        <v>0.88</v>
      </c>
      <c r="E832" s="260">
        <v>18.02</v>
      </c>
      <c r="F832" s="259">
        <v>0</v>
      </c>
      <c r="G832" s="260">
        <v>0.88</v>
      </c>
      <c r="H832" s="260">
        <v>15.58</v>
      </c>
      <c r="I832" s="260">
        <v>0.62</v>
      </c>
      <c r="J832" s="260">
        <v>0.96</v>
      </c>
      <c r="K832" s="260">
        <v>0.87</v>
      </c>
      <c r="L832" s="260">
        <v>-6.23</v>
      </c>
    </row>
    <row r="833" spans="1:12" hidden="1" x14ac:dyDescent="0.25">
      <c r="A833" s="259" t="s">
        <v>867</v>
      </c>
      <c r="B833" s="261" t="str">
        <f>VLOOKUP(A833, '[2]fund-selector'!$A$2:$F$853,6,FALSE)</f>
        <v>EQ-MC</v>
      </c>
      <c r="C833" s="258" t="s">
        <v>54</v>
      </c>
      <c r="D833" s="260">
        <v>1.03</v>
      </c>
      <c r="E833" s="259">
        <v>0</v>
      </c>
      <c r="F833" s="259">
        <v>0</v>
      </c>
      <c r="G833" s="260">
        <v>1.03</v>
      </c>
      <c r="H833" s="259">
        <v>0</v>
      </c>
      <c r="I833" s="259">
        <v>0</v>
      </c>
      <c r="J833" s="259">
        <v>0</v>
      </c>
      <c r="K833" s="259">
        <v>0</v>
      </c>
      <c r="L833" s="259">
        <v>0</v>
      </c>
    </row>
    <row r="834" spans="1:12" hidden="1" x14ac:dyDescent="0.25">
      <c r="A834" s="259" t="s">
        <v>868</v>
      </c>
      <c r="B834" s="261" t="str">
        <f>VLOOKUP(A834, '[2]fund-selector'!$A$2:$F$853,6,FALSE)</f>
        <v>EQ-LC</v>
      </c>
      <c r="C834" s="258">
        <v>-7.28</v>
      </c>
      <c r="D834" s="260">
        <v>0.15</v>
      </c>
      <c r="E834" s="260">
        <v>23.32</v>
      </c>
      <c r="F834" s="260">
        <v>21.93</v>
      </c>
      <c r="G834" s="260">
        <v>0.15</v>
      </c>
      <c r="H834" s="260">
        <v>19.55</v>
      </c>
      <c r="I834" s="260">
        <v>0.73</v>
      </c>
      <c r="J834" s="260">
        <v>1.08</v>
      </c>
      <c r="K834" s="260">
        <v>1.3</v>
      </c>
      <c r="L834" s="260">
        <v>0.85</v>
      </c>
    </row>
    <row r="835" spans="1:12" hidden="1" x14ac:dyDescent="0.25">
      <c r="A835" s="259" t="s">
        <v>869</v>
      </c>
      <c r="B835" s="261" t="str">
        <f>VLOOKUP(A835, '[2]fund-selector'!$A$2:$F$853,6,FALSE)</f>
        <v>EQ-LC</v>
      </c>
      <c r="C835" s="258">
        <v>-7.97</v>
      </c>
      <c r="D835" s="260">
        <v>0.79</v>
      </c>
      <c r="E835" s="260">
        <v>22.45</v>
      </c>
      <c r="F835" s="260">
        <v>21.03</v>
      </c>
      <c r="G835" s="260">
        <v>0.79</v>
      </c>
      <c r="H835" s="260">
        <v>19.53</v>
      </c>
      <c r="I835" s="260">
        <v>0.69</v>
      </c>
      <c r="J835" s="260">
        <v>1.03</v>
      </c>
      <c r="K835" s="260">
        <v>1.3</v>
      </c>
      <c r="L835" s="260">
        <v>0.16</v>
      </c>
    </row>
    <row r="836" spans="1:12" hidden="1" x14ac:dyDescent="0.25">
      <c r="A836" s="259" t="s">
        <v>870</v>
      </c>
      <c r="B836" s="261" t="str">
        <f>VLOOKUP(A836, '[2]fund-selector'!$A$2:$F$853,6,FALSE)</f>
        <v>EQ-THEMATIC</v>
      </c>
      <c r="C836" s="258" t="s">
        <v>54</v>
      </c>
      <c r="D836" s="260">
        <v>2.02</v>
      </c>
      <c r="E836" s="259">
        <v>0</v>
      </c>
      <c r="F836" s="259">
        <v>0</v>
      </c>
      <c r="G836" s="260">
        <v>2.02</v>
      </c>
      <c r="H836" s="259">
        <v>0</v>
      </c>
      <c r="I836" s="259">
        <v>0</v>
      </c>
      <c r="J836" s="259">
        <v>0</v>
      </c>
      <c r="K836" s="259">
        <v>0</v>
      </c>
      <c r="L836" s="259">
        <v>0</v>
      </c>
    </row>
    <row r="837" spans="1:12" hidden="1" x14ac:dyDescent="0.25">
      <c r="A837" s="259" t="s">
        <v>1258</v>
      </c>
      <c r="B837" s="261" t="str">
        <f>VLOOKUP(A837, '[2]fund-selector'!$A$2:$F$853,6,FALSE)</f>
        <v>HY-BH</v>
      </c>
      <c r="C837" s="258">
        <v>7.9</v>
      </c>
      <c r="D837" s="260">
        <v>1.66</v>
      </c>
      <c r="E837" s="260">
        <v>14.6</v>
      </c>
      <c r="F837" s="260">
        <v>14.75</v>
      </c>
      <c r="G837" s="260">
        <v>1.66</v>
      </c>
      <c r="H837" s="260">
        <v>5.96</v>
      </c>
      <c r="I837" s="260">
        <v>1.1200000000000001</v>
      </c>
      <c r="J837" s="260">
        <v>1.73</v>
      </c>
      <c r="K837" s="260">
        <v>0.6</v>
      </c>
      <c r="L837" s="260">
        <v>1.89</v>
      </c>
    </row>
    <row r="838" spans="1:12" hidden="1" x14ac:dyDescent="0.25">
      <c r="A838" s="259" t="s">
        <v>871</v>
      </c>
      <c r="B838" s="261" t="str">
        <f>VLOOKUP(A838, '[2]fund-selector'!$A$2:$F$853,6,FALSE)</f>
        <v>EQ-SC</v>
      </c>
      <c r="C838" s="258">
        <v>6.7</v>
      </c>
      <c r="D838" s="260">
        <v>1.86</v>
      </c>
      <c r="E838" s="260">
        <v>24.35</v>
      </c>
      <c r="F838" s="259">
        <v>0</v>
      </c>
      <c r="G838" s="260">
        <v>1.86</v>
      </c>
      <c r="H838" s="260">
        <v>17.13</v>
      </c>
      <c r="I838" s="260">
        <v>0.82</v>
      </c>
      <c r="J838" s="260">
        <v>1.1399999999999999</v>
      </c>
      <c r="K838" s="260">
        <v>0.83</v>
      </c>
      <c r="L838" s="260">
        <v>-1.03</v>
      </c>
    </row>
    <row r="839" spans="1:12" hidden="1" x14ac:dyDescent="0.25">
      <c r="A839" s="259" t="s">
        <v>872</v>
      </c>
      <c r="B839" s="261" t="str">
        <f>VLOOKUP(A839, '[2]fund-selector'!$A$2:$F$853,6,FALSE)</f>
        <v>EQ-THEMATIC</v>
      </c>
      <c r="C839" s="258">
        <v>-6.15</v>
      </c>
      <c r="D839" s="260">
        <v>1.94</v>
      </c>
      <c r="E839" s="260">
        <v>25.87</v>
      </c>
      <c r="F839" s="260">
        <v>27.36</v>
      </c>
      <c r="G839" s="260">
        <v>1.94</v>
      </c>
      <c r="H839" s="260">
        <v>16.440000000000001</v>
      </c>
      <c r="I839" s="260">
        <v>0.95</v>
      </c>
      <c r="J839" s="260">
        <v>1.35</v>
      </c>
      <c r="K839" s="260">
        <v>0.98</v>
      </c>
      <c r="L839" s="260">
        <v>4.3499999999999996</v>
      </c>
    </row>
    <row r="840" spans="1:12" hidden="1" x14ac:dyDescent="0.25">
      <c r="A840" s="259" t="s">
        <v>873</v>
      </c>
      <c r="B840" s="261" t="str">
        <f>VLOOKUP(A840, '[2]fund-selector'!$A$2:$F$853,6,FALSE)</f>
        <v>HY-DAA</v>
      </c>
      <c r="C840" s="258">
        <v>9.52</v>
      </c>
      <c r="D840" s="260">
        <v>1.64</v>
      </c>
      <c r="E840" s="260">
        <v>11.29</v>
      </c>
      <c r="F840" s="260">
        <v>11.66</v>
      </c>
      <c r="G840" s="260">
        <v>1.64</v>
      </c>
      <c r="H840" s="260">
        <v>6.23</v>
      </c>
      <c r="I840" s="260">
        <v>0.56000000000000005</v>
      </c>
      <c r="J840" s="260">
        <v>0.89</v>
      </c>
      <c r="K840" s="260">
        <v>0.55000000000000004</v>
      </c>
      <c r="L840" s="260">
        <v>-0.88</v>
      </c>
    </row>
    <row r="841" spans="1:12" hidden="1" x14ac:dyDescent="0.25">
      <c r="A841" s="259" t="s">
        <v>1266</v>
      </c>
      <c r="B841" s="261" t="str">
        <f>VLOOKUP(A841, '[2]fund-selector'!$A$2:$F$853,6,FALSE)</f>
        <v>HY-AR</v>
      </c>
      <c r="C841" s="258" t="s">
        <v>54</v>
      </c>
      <c r="D841" s="260">
        <v>1.1200000000000001</v>
      </c>
      <c r="E841" s="259">
        <v>0</v>
      </c>
      <c r="F841" s="259">
        <v>0</v>
      </c>
      <c r="G841" s="260">
        <v>1.1200000000000001</v>
      </c>
      <c r="H841" s="259">
        <v>0</v>
      </c>
      <c r="I841" s="259">
        <v>0</v>
      </c>
      <c r="J841" s="259">
        <v>0</v>
      </c>
      <c r="K841" s="259">
        <v>0</v>
      </c>
      <c r="L841" s="259">
        <v>0</v>
      </c>
    </row>
    <row r="842" spans="1:12" hidden="1" x14ac:dyDescent="0.25">
      <c r="A842" s="259" t="s">
        <v>874</v>
      </c>
      <c r="B842" s="261" t="str">
        <f>VLOOKUP(A842, '[2]fund-selector'!$A$2:$F$853,6,FALSE)</f>
        <v>HY-DAA</v>
      </c>
      <c r="C842" s="258">
        <v>8.93</v>
      </c>
      <c r="D842" s="260">
        <v>2.06</v>
      </c>
      <c r="E842" s="259">
        <v>0</v>
      </c>
      <c r="F842" s="259">
        <v>0</v>
      </c>
      <c r="G842" s="260">
        <v>2.06</v>
      </c>
      <c r="H842" s="259">
        <v>0</v>
      </c>
      <c r="I842" s="259">
        <v>0</v>
      </c>
      <c r="J842" s="259">
        <v>0</v>
      </c>
      <c r="K842" s="259">
        <v>0</v>
      </c>
      <c r="L842" s="259">
        <v>0</v>
      </c>
    </row>
    <row r="843" spans="1:12" hidden="1" x14ac:dyDescent="0.25">
      <c r="A843" s="259" t="s">
        <v>1259</v>
      </c>
      <c r="B843" s="261" t="str">
        <f>VLOOKUP(A843, '[2]fund-selector'!$A$2:$F$853,6,FALSE)</f>
        <v>HY-BH</v>
      </c>
      <c r="C843" s="258">
        <v>7.3</v>
      </c>
      <c r="D843" s="260">
        <v>2.14</v>
      </c>
      <c r="E843" s="259">
        <v>0</v>
      </c>
      <c r="F843" s="259">
        <v>0</v>
      </c>
      <c r="G843" s="260">
        <v>2.14</v>
      </c>
      <c r="H843" s="259">
        <v>0</v>
      </c>
      <c r="I843" s="259">
        <v>0</v>
      </c>
      <c r="J843" s="259">
        <v>0</v>
      </c>
      <c r="K843" s="259">
        <v>0</v>
      </c>
      <c r="L843" s="259">
        <v>0</v>
      </c>
    </row>
    <row r="844" spans="1:12" hidden="1" x14ac:dyDescent="0.25">
      <c r="A844" s="259" t="s">
        <v>876</v>
      </c>
      <c r="B844" s="261" t="str">
        <f>VLOOKUP(A844, '[2]fund-selector'!$A$2:$F$853,6,FALSE)</f>
        <v>EQ-FLX</v>
      </c>
      <c r="C844" s="258">
        <v>8.31</v>
      </c>
      <c r="D844" s="260">
        <v>1.82</v>
      </c>
      <c r="E844" s="259">
        <v>0</v>
      </c>
      <c r="F844" s="259">
        <v>0</v>
      </c>
      <c r="G844" s="260">
        <v>1.82</v>
      </c>
      <c r="H844" s="259">
        <v>0</v>
      </c>
      <c r="I844" s="259">
        <v>0</v>
      </c>
      <c r="J844" s="259">
        <v>0</v>
      </c>
      <c r="K844" s="259">
        <v>0</v>
      </c>
      <c r="L844" s="259">
        <v>0</v>
      </c>
    </row>
    <row r="845" spans="1:12" hidden="1" x14ac:dyDescent="0.25">
      <c r="A845" s="259" t="s">
        <v>877</v>
      </c>
      <c r="B845" s="261" t="str">
        <f>VLOOKUP(A845, '[2]fund-selector'!$A$2:$F$853,6,FALSE)</f>
        <v>EQ-LC</v>
      </c>
      <c r="C845" s="258">
        <v>6.22</v>
      </c>
      <c r="D845" s="260">
        <v>2.2000000000000002</v>
      </c>
      <c r="E845" s="259">
        <v>0</v>
      </c>
      <c r="F845" s="259">
        <v>0</v>
      </c>
      <c r="G845" s="260">
        <v>2.2000000000000002</v>
      </c>
      <c r="H845" s="259">
        <v>0</v>
      </c>
      <c r="I845" s="259">
        <v>0</v>
      </c>
      <c r="J845" s="259">
        <v>0</v>
      </c>
      <c r="K845" s="259">
        <v>0</v>
      </c>
      <c r="L845" s="259">
        <v>0</v>
      </c>
    </row>
    <row r="846" spans="1:12" hidden="1" x14ac:dyDescent="0.25">
      <c r="A846" s="259" t="s">
        <v>878</v>
      </c>
      <c r="B846" s="261" t="str">
        <f>VLOOKUP(A846, '[2]fund-selector'!$A$2:$F$853,6,FALSE)</f>
        <v>EQ-L&amp;MC</v>
      </c>
      <c r="C846" s="258">
        <v>6.81</v>
      </c>
      <c r="D846" s="260">
        <v>2.04</v>
      </c>
      <c r="E846" s="259">
        <v>0</v>
      </c>
      <c r="F846" s="259">
        <v>0</v>
      </c>
      <c r="G846" s="260">
        <v>2.04</v>
      </c>
      <c r="H846" s="259">
        <v>0</v>
      </c>
      <c r="I846" s="259">
        <v>0</v>
      </c>
      <c r="J846" s="259">
        <v>0</v>
      </c>
      <c r="K846" s="259">
        <v>0</v>
      </c>
      <c r="L846" s="259">
        <v>0</v>
      </c>
    </row>
    <row r="847" spans="1:12" hidden="1" x14ac:dyDescent="0.25">
      <c r="A847" s="259" t="s">
        <v>879</v>
      </c>
      <c r="B847" s="261" t="str">
        <f>VLOOKUP(A847, '[2]fund-selector'!$A$2:$F$853,6,FALSE)</f>
        <v>EQ-MC</v>
      </c>
      <c r="C847" s="258">
        <v>10.25</v>
      </c>
      <c r="D847" s="260">
        <v>1.88</v>
      </c>
      <c r="E847" s="259">
        <v>0</v>
      </c>
      <c r="F847" s="259">
        <v>0</v>
      </c>
      <c r="G847" s="260">
        <v>1.88</v>
      </c>
      <c r="H847" s="259">
        <v>0</v>
      </c>
      <c r="I847" s="259">
        <v>0</v>
      </c>
      <c r="J847" s="259">
        <v>0</v>
      </c>
      <c r="K847" s="259">
        <v>0</v>
      </c>
      <c r="L847" s="259">
        <v>0</v>
      </c>
    </row>
    <row r="848" spans="1:12" hidden="1" x14ac:dyDescent="0.25">
      <c r="A848" s="259" t="s">
        <v>880</v>
      </c>
      <c r="B848" s="261" t="str">
        <f>VLOOKUP(A848, '[2]fund-selector'!$A$2:$F$853,6,FALSE)</f>
        <v>HY-MAA</v>
      </c>
      <c r="C848" s="258">
        <v>15.18</v>
      </c>
      <c r="D848" s="260">
        <v>1.73</v>
      </c>
      <c r="E848" s="259">
        <v>0</v>
      </c>
      <c r="F848" s="259">
        <v>0</v>
      </c>
      <c r="G848" s="260">
        <v>1.73</v>
      </c>
      <c r="H848" s="259">
        <v>0</v>
      </c>
      <c r="I848" s="259">
        <v>0</v>
      </c>
      <c r="J848" s="259">
        <v>0</v>
      </c>
      <c r="K848" s="259">
        <v>0</v>
      </c>
      <c r="L848" s="259">
        <v>0</v>
      </c>
    </row>
    <row r="849" spans="1:12" hidden="1" x14ac:dyDescent="0.25">
      <c r="A849" s="259" t="s">
        <v>881</v>
      </c>
      <c r="B849" s="261" t="str">
        <f>VLOOKUP(A849, '[2]fund-selector'!$A$2:$F$853,6,FALSE)</f>
        <v>EQ-MLC</v>
      </c>
      <c r="C849" s="258">
        <v>9.8000000000000007</v>
      </c>
      <c r="D849" s="260">
        <v>2.0099999999999998</v>
      </c>
      <c r="E849" s="259">
        <v>0</v>
      </c>
      <c r="F849" s="259">
        <v>0</v>
      </c>
      <c r="G849" s="260">
        <v>2.0099999999999998</v>
      </c>
      <c r="H849" s="259">
        <v>0</v>
      </c>
      <c r="I849" s="259">
        <v>0</v>
      </c>
      <c r="J849" s="259">
        <v>0</v>
      </c>
      <c r="K849" s="259">
        <v>0</v>
      </c>
      <c r="L849" s="259">
        <v>0</v>
      </c>
    </row>
    <row r="850" spans="1:12" hidden="1" x14ac:dyDescent="0.25">
      <c r="A850" s="259" t="s">
        <v>882</v>
      </c>
      <c r="B850" s="261" t="str">
        <f>VLOOKUP(A850, '[2]fund-selector'!$A$2:$F$853,6,FALSE)</f>
        <v>EQ-THEMATIC</v>
      </c>
      <c r="C850" s="258" t="s">
        <v>54</v>
      </c>
      <c r="D850" s="260">
        <v>2.36</v>
      </c>
      <c r="E850" s="259">
        <v>0</v>
      </c>
      <c r="F850" s="259">
        <v>0</v>
      </c>
      <c r="G850" s="260">
        <v>2.36</v>
      </c>
      <c r="H850" s="259">
        <v>0</v>
      </c>
      <c r="I850" s="259">
        <v>0</v>
      </c>
      <c r="J850" s="259">
        <v>0</v>
      </c>
      <c r="K850" s="259">
        <v>0</v>
      </c>
      <c r="L850" s="259">
        <v>0</v>
      </c>
    </row>
    <row r="851" spans="1:12" hidden="1" x14ac:dyDescent="0.25">
      <c r="A851" s="259" t="s">
        <v>883</v>
      </c>
      <c r="B851" s="261" t="str">
        <f>VLOOKUP(A851, '[2]fund-selector'!$A$2:$F$853,6,FALSE)</f>
        <v>EQ-THEMATIC</v>
      </c>
      <c r="C851" s="258">
        <v>14.93</v>
      </c>
      <c r="D851" s="260">
        <v>2.19</v>
      </c>
      <c r="E851" s="259">
        <v>0</v>
      </c>
      <c r="F851" s="259">
        <v>0</v>
      </c>
      <c r="G851" s="260">
        <v>2.19</v>
      </c>
      <c r="H851" s="259">
        <v>0</v>
      </c>
      <c r="I851" s="259">
        <v>0</v>
      </c>
      <c r="J851" s="259">
        <v>0</v>
      </c>
      <c r="K851" s="259">
        <v>0</v>
      </c>
      <c r="L851" s="259">
        <v>0</v>
      </c>
    </row>
    <row r="852" spans="1:12" hidden="1" x14ac:dyDescent="0.25">
      <c r="A852" s="259" t="s">
        <v>884</v>
      </c>
      <c r="B852" s="261" t="str">
        <f>VLOOKUP(A852, '[2]fund-selector'!$A$2:$F$853,6,FALSE)</f>
        <v>EQ-LC</v>
      </c>
      <c r="C852" s="258">
        <v>3.87</v>
      </c>
      <c r="D852" s="260">
        <v>0.25</v>
      </c>
      <c r="E852" s="259">
        <v>0</v>
      </c>
      <c r="F852" s="259">
        <v>0</v>
      </c>
      <c r="G852" s="260">
        <v>0.25</v>
      </c>
      <c r="H852" s="259">
        <v>0</v>
      </c>
      <c r="I852" s="259">
        <v>0</v>
      </c>
      <c r="J852" s="259">
        <v>0</v>
      </c>
      <c r="K852" s="259">
        <v>0</v>
      </c>
      <c r="L852" s="259">
        <v>0</v>
      </c>
    </row>
    <row r="853" spans="1:12" hidden="1" x14ac:dyDescent="0.25">
      <c r="A853" s="259" t="s">
        <v>885</v>
      </c>
      <c r="B853" s="261" t="str">
        <f>VLOOKUP(A853, '[2]fund-selector'!$A$2:$F$853,6,FALSE)</f>
        <v>EQ-MC</v>
      </c>
      <c r="C853" s="258">
        <v>3.01</v>
      </c>
      <c r="D853" s="260">
        <v>0.21</v>
      </c>
      <c r="E853" s="259">
        <v>0</v>
      </c>
      <c r="F853" s="259">
        <v>0</v>
      </c>
      <c r="G853" s="260">
        <v>0.21</v>
      </c>
      <c r="H853" s="259">
        <v>0</v>
      </c>
      <c r="I853" s="259">
        <v>0</v>
      </c>
      <c r="J853" s="259">
        <v>0</v>
      </c>
      <c r="K853" s="259">
        <v>0</v>
      </c>
      <c r="L853" s="259">
        <v>0</v>
      </c>
    </row>
  </sheetData>
  <autoFilter ref="A1:L853" xr:uid="{00000000-0009-0000-0000-00000E000000}">
    <filterColumn colId="0">
      <colorFilter dxfId="7"/>
    </filterColumn>
    <filterColumn colId="1">
      <filters>
        <filter val="EQ-MLC"/>
      </filters>
    </filterColumn>
  </autoFilter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7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8"/>
  <dimension ref="B1:L42"/>
  <sheetViews>
    <sheetView zoomScale="81" workbookViewId="0">
      <selection activeCell="B4" sqref="B4"/>
    </sheetView>
  </sheetViews>
  <sheetFormatPr defaultRowHeight="15" x14ac:dyDescent="0.25"/>
  <cols>
    <col min="2" max="2" width="61.85546875" style="84" bestFit="1" customWidth="1"/>
    <col min="3" max="3" width="15.140625" style="84" customWidth="1"/>
    <col min="4" max="10" width="15.140625" style="84" hidden="1" customWidth="1"/>
    <col min="11" max="11" width="15.140625" hidden="1" customWidth="1"/>
  </cols>
  <sheetData>
    <row r="1" spans="2:12" ht="15" customHeight="1" thickBot="1" x14ac:dyDescent="0.3"/>
    <row r="2" spans="2:12" x14ac:dyDescent="0.25">
      <c r="B2" s="85" t="s">
        <v>1393</v>
      </c>
      <c r="C2" s="87" t="s">
        <v>1394</v>
      </c>
      <c r="D2" s="86" t="s">
        <v>34</v>
      </c>
      <c r="E2" s="86" t="s">
        <v>25</v>
      </c>
      <c r="F2" s="86" t="s">
        <v>13</v>
      </c>
      <c r="G2" s="86" t="s">
        <v>36</v>
      </c>
      <c r="H2" s="86" t="s">
        <v>38</v>
      </c>
      <c r="I2" s="86" t="s">
        <v>39</v>
      </c>
      <c r="J2" s="86" t="s">
        <v>40</v>
      </c>
      <c r="K2" s="87" t="s">
        <v>42</v>
      </c>
      <c r="L2" s="84"/>
    </row>
    <row r="3" spans="2:12" x14ac:dyDescent="0.25">
      <c r="B3" s="88" t="s">
        <v>1395</v>
      </c>
      <c r="C3" s="104">
        <v>1034098.66</v>
      </c>
      <c r="D3" s="90"/>
      <c r="K3" s="327"/>
    </row>
    <row r="4" spans="2:12" x14ac:dyDescent="0.25">
      <c r="B4" s="88" t="s">
        <v>1396</v>
      </c>
      <c r="C4" s="104">
        <v>886179.19</v>
      </c>
      <c r="D4" s="90"/>
      <c r="K4" s="327"/>
    </row>
    <row r="5" spans="2:12" x14ac:dyDescent="0.25">
      <c r="B5" s="88" t="s">
        <v>1397</v>
      </c>
      <c r="C5" s="104">
        <v>763496.85</v>
      </c>
      <c r="D5" s="90"/>
      <c r="K5" s="327"/>
    </row>
    <row r="6" spans="2:12" x14ac:dyDescent="0.25">
      <c r="B6" s="88" t="s">
        <v>1398</v>
      </c>
      <c r="C6" s="104">
        <v>542752.69999999995</v>
      </c>
      <c r="D6" s="90"/>
      <c r="K6" s="327"/>
    </row>
    <row r="7" spans="2:12" x14ac:dyDescent="0.25">
      <c r="B7" s="88" t="s">
        <v>1399</v>
      </c>
      <c r="C7" s="104">
        <v>471500.26</v>
      </c>
      <c r="D7" s="90"/>
      <c r="K7" s="327"/>
    </row>
    <row r="8" spans="2:12" x14ac:dyDescent="0.25">
      <c r="B8" s="88" t="s">
        <v>1400</v>
      </c>
      <c r="C8" s="104">
        <v>379792.96</v>
      </c>
      <c r="D8" s="90"/>
      <c r="K8" s="327"/>
    </row>
    <row r="9" spans="2:12" hidden="1" x14ac:dyDescent="0.25">
      <c r="B9" s="88" t="s">
        <v>1401</v>
      </c>
      <c r="C9" s="104">
        <v>310162.27</v>
      </c>
      <c r="D9" s="90"/>
      <c r="K9" s="327"/>
    </row>
    <row r="10" spans="2:12" ht="15" customHeight="1" thickBot="1" x14ac:dyDescent="0.3">
      <c r="B10" s="91" t="s">
        <v>1402</v>
      </c>
      <c r="C10" s="105">
        <v>304941.71000000002</v>
      </c>
      <c r="D10" s="90"/>
      <c r="K10" s="327"/>
    </row>
    <row r="11" spans="2:12" hidden="1" x14ac:dyDescent="0.25">
      <c r="B11" s="88" t="s">
        <v>1403</v>
      </c>
      <c r="C11" s="89">
        <v>182116.44</v>
      </c>
      <c r="D11" s="90"/>
      <c r="K11" s="327"/>
    </row>
    <row r="12" spans="2:12" hidden="1" x14ac:dyDescent="0.25">
      <c r="B12" s="88" t="s">
        <v>1404</v>
      </c>
      <c r="C12" s="89">
        <v>181243.81</v>
      </c>
      <c r="D12" s="90"/>
      <c r="K12" s="327"/>
    </row>
    <row r="13" spans="2:12" hidden="1" x14ac:dyDescent="0.25">
      <c r="B13" s="88" t="s">
        <v>1405</v>
      </c>
      <c r="C13" s="89">
        <v>164624.63</v>
      </c>
      <c r="D13" s="90"/>
      <c r="K13" s="327"/>
    </row>
    <row r="14" spans="2:12" hidden="1" x14ac:dyDescent="0.25">
      <c r="B14" s="88" t="s">
        <v>1406</v>
      </c>
      <c r="C14" s="89">
        <v>164014.31</v>
      </c>
      <c r="D14" s="90"/>
      <c r="K14" s="327"/>
    </row>
    <row r="15" spans="2:12" hidden="1" x14ac:dyDescent="0.25">
      <c r="B15" s="88" t="s">
        <v>1407</v>
      </c>
      <c r="C15" s="89">
        <v>163552.20000000001</v>
      </c>
      <c r="D15" s="90"/>
      <c r="K15" s="327"/>
    </row>
    <row r="16" spans="2:12" hidden="1" x14ac:dyDescent="0.25">
      <c r="B16" s="88" t="s">
        <v>1408</v>
      </c>
      <c r="C16" s="89">
        <v>120934.56</v>
      </c>
      <c r="D16" s="90"/>
      <c r="K16" s="327"/>
    </row>
    <row r="17" spans="2:11" hidden="1" x14ac:dyDescent="0.25">
      <c r="B17" s="88" t="s">
        <v>1409</v>
      </c>
      <c r="C17" s="89">
        <v>107273.5</v>
      </c>
      <c r="D17" s="90"/>
      <c r="K17" s="327"/>
    </row>
    <row r="18" spans="2:11" hidden="1" x14ac:dyDescent="0.25">
      <c r="B18" s="88" t="s">
        <v>1410</v>
      </c>
      <c r="C18" s="89">
        <v>104080.37</v>
      </c>
      <c r="D18" s="90"/>
      <c r="K18" s="327"/>
    </row>
    <row r="19" spans="2:11" hidden="1" x14ac:dyDescent="0.25">
      <c r="B19" s="88" t="s">
        <v>1411</v>
      </c>
      <c r="C19" s="89">
        <v>100327.67</v>
      </c>
      <c r="D19" s="90"/>
      <c r="K19" s="327"/>
    </row>
    <row r="20" spans="2:11" hidden="1" x14ac:dyDescent="0.25">
      <c r="B20" s="88" t="s">
        <v>1412</v>
      </c>
      <c r="C20" s="89">
        <v>98381.14</v>
      </c>
      <c r="D20" s="90"/>
      <c r="K20" s="327"/>
    </row>
    <row r="21" spans="2:11" hidden="1" x14ac:dyDescent="0.25">
      <c r="B21" s="88" t="s">
        <v>1413</v>
      </c>
      <c r="C21" s="89">
        <v>94674.84</v>
      </c>
      <c r="D21" s="90"/>
      <c r="K21" s="327"/>
    </row>
    <row r="22" spans="2:11" hidden="1" x14ac:dyDescent="0.25">
      <c r="B22" s="88" t="s">
        <v>1414</v>
      </c>
      <c r="C22" s="89">
        <v>82153.25</v>
      </c>
      <c r="D22" s="90"/>
      <c r="K22" s="327"/>
    </row>
    <row r="23" spans="2:11" hidden="1" x14ac:dyDescent="0.25">
      <c r="B23" s="88" t="s">
        <v>1415</v>
      </c>
      <c r="C23" s="89">
        <v>61992.7</v>
      </c>
      <c r="D23" s="90"/>
      <c r="K23" s="327"/>
    </row>
    <row r="24" spans="2:11" hidden="1" x14ac:dyDescent="0.25">
      <c r="B24" s="88" t="s">
        <v>1416</v>
      </c>
      <c r="C24" s="89">
        <v>43607.09</v>
      </c>
      <c r="D24" s="90"/>
      <c r="K24" s="327"/>
    </row>
    <row r="25" spans="2:11" hidden="1" x14ac:dyDescent="0.25">
      <c r="B25" s="88" t="s">
        <v>1417</v>
      </c>
      <c r="C25" s="89">
        <v>40926.18</v>
      </c>
      <c r="D25" s="90"/>
      <c r="K25" s="327"/>
    </row>
    <row r="26" spans="2:11" hidden="1" x14ac:dyDescent="0.25">
      <c r="B26" s="88" t="s">
        <v>1418</v>
      </c>
      <c r="C26" s="89">
        <v>34106.58</v>
      </c>
      <c r="D26" s="90"/>
      <c r="K26" s="327"/>
    </row>
    <row r="27" spans="2:11" hidden="1" x14ac:dyDescent="0.25">
      <c r="B27" s="88" t="s">
        <v>1419</v>
      </c>
      <c r="C27" s="89">
        <v>27122.61</v>
      </c>
      <c r="D27" s="90"/>
      <c r="K27" s="327"/>
    </row>
    <row r="28" spans="2:11" hidden="1" x14ac:dyDescent="0.25">
      <c r="B28" s="88" t="s">
        <v>1420</v>
      </c>
      <c r="C28" s="89">
        <v>25615.5</v>
      </c>
      <c r="D28" s="90"/>
      <c r="K28" s="327"/>
    </row>
    <row r="29" spans="2:11" hidden="1" x14ac:dyDescent="0.25">
      <c r="B29" s="88" t="s">
        <v>1421</v>
      </c>
      <c r="C29" s="89">
        <v>22919.75</v>
      </c>
      <c r="D29" s="90"/>
      <c r="K29" s="327"/>
    </row>
    <row r="30" spans="2:11" hidden="1" x14ac:dyDescent="0.25">
      <c r="B30" s="88" t="s">
        <v>1422</v>
      </c>
      <c r="C30" s="89">
        <v>20427.689999999999</v>
      </c>
      <c r="D30" s="90"/>
      <c r="K30" s="327"/>
    </row>
    <row r="31" spans="2:11" hidden="1" x14ac:dyDescent="0.25">
      <c r="B31" s="88" t="s">
        <v>1423</v>
      </c>
      <c r="C31" s="89">
        <v>14995.73</v>
      </c>
      <c r="D31" s="90"/>
      <c r="K31" s="327"/>
    </row>
    <row r="32" spans="2:11" hidden="1" x14ac:dyDescent="0.25">
      <c r="B32" s="88" t="s">
        <v>1406</v>
      </c>
      <c r="C32" s="89">
        <v>11260.94</v>
      </c>
      <c r="D32" s="90"/>
      <c r="K32" s="327"/>
    </row>
    <row r="33" spans="2:11" hidden="1" x14ac:dyDescent="0.25">
      <c r="B33" s="88" t="s">
        <v>1424</v>
      </c>
      <c r="C33" s="89">
        <v>10951.32</v>
      </c>
      <c r="D33" s="90"/>
      <c r="K33" s="327"/>
    </row>
    <row r="34" spans="2:11" hidden="1" x14ac:dyDescent="0.25">
      <c r="B34" s="88" t="s">
        <v>1425</v>
      </c>
      <c r="C34" s="89">
        <v>10791.73</v>
      </c>
      <c r="D34" s="90"/>
      <c r="K34" s="327"/>
    </row>
    <row r="35" spans="2:11" hidden="1" x14ac:dyDescent="0.25">
      <c r="B35" s="88" t="s">
        <v>1426</v>
      </c>
      <c r="C35" s="89">
        <v>8657.93</v>
      </c>
      <c r="D35" s="90"/>
      <c r="K35" s="327"/>
    </row>
    <row r="36" spans="2:11" hidden="1" x14ac:dyDescent="0.25">
      <c r="B36" s="88" t="s">
        <v>1427</v>
      </c>
      <c r="C36" s="89">
        <v>7529.93</v>
      </c>
      <c r="D36" s="90"/>
      <c r="K36" s="327"/>
    </row>
    <row r="37" spans="2:11" hidden="1" x14ac:dyDescent="0.25">
      <c r="B37" s="88" t="s">
        <v>1428</v>
      </c>
      <c r="C37" s="89">
        <v>6181.62</v>
      </c>
      <c r="D37" s="90"/>
      <c r="K37" s="327"/>
    </row>
    <row r="38" spans="2:11" hidden="1" x14ac:dyDescent="0.25">
      <c r="B38" s="88" t="s">
        <v>1429</v>
      </c>
      <c r="C38" s="89">
        <v>5066.5</v>
      </c>
      <c r="D38" s="90"/>
      <c r="K38" s="327"/>
    </row>
    <row r="39" spans="2:11" hidden="1" x14ac:dyDescent="0.25">
      <c r="B39" s="88" t="s">
        <v>1430</v>
      </c>
      <c r="C39" s="89">
        <v>2935.95</v>
      </c>
      <c r="D39" s="90"/>
      <c r="K39" s="327"/>
    </row>
    <row r="40" spans="2:11" hidden="1" x14ac:dyDescent="0.25">
      <c r="B40" s="88" t="s">
        <v>1431</v>
      </c>
      <c r="C40" s="89">
        <v>2631.83</v>
      </c>
      <c r="D40" s="90"/>
      <c r="K40" s="327"/>
    </row>
    <row r="41" spans="2:11" hidden="1" x14ac:dyDescent="0.25">
      <c r="B41" s="88" t="s">
        <v>1432</v>
      </c>
      <c r="C41" s="89">
        <v>2334.58</v>
      </c>
      <c r="D41" s="90"/>
      <c r="K41" s="327"/>
    </row>
    <row r="42" spans="2:11" ht="15" hidden="1" customHeight="1" thickBot="1" x14ac:dyDescent="0.3">
      <c r="B42" s="91" t="s">
        <v>1433</v>
      </c>
      <c r="C42" s="93">
        <v>1941.91</v>
      </c>
      <c r="D42" s="94"/>
      <c r="E42" s="92"/>
      <c r="F42" s="92"/>
      <c r="G42" s="92"/>
      <c r="H42" s="92"/>
      <c r="I42" s="92"/>
      <c r="J42" s="92"/>
      <c r="K42" s="95"/>
    </row>
  </sheetData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9"/>
  <dimension ref="B2:I10"/>
  <sheetViews>
    <sheetView zoomScale="92" workbookViewId="0">
      <selection activeCell="H23" sqref="H23"/>
    </sheetView>
  </sheetViews>
  <sheetFormatPr defaultRowHeight="15" x14ac:dyDescent="0.25"/>
  <cols>
    <col min="2" max="2" width="27.85546875" customWidth="1"/>
    <col min="3" max="10" width="19.85546875" customWidth="1"/>
  </cols>
  <sheetData>
    <row r="2" spans="2:9" x14ac:dyDescent="0.25">
      <c r="B2" s="37" t="s">
        <v>1434</v>
      </c>
    </row>
    <row r="3" spans="2:9" x14ac:dyDescent="0.25">
      <c r="B3" s="37"/>
    </row>
    <row r="4" spans="2:9" x14ac:dyDescent="0.25">
      <c r="B4" s="454" t="s">
        <v>1435</v>
      </c>
      <c r="C4" s="455"/>
      <c r="D4" s="455"/>
      <c r="E4" s="455"/>
      <c r="F4" s="455"/>
      <c r="G4" s="455"/>
      <c r="H4" s="455"/>
      <c r="I4" s="456"/>
    </row>
    <row r="5" spans="2:9" x14ac:dyDescent="0.25">
      <c r="B5" s="64"/>
      <c r="C5" s="65" t="s">
        <v>1324</v>
      </c>
      <c r="D5" s="65" t="s">
        <v>1325</v>
      </c>
      <c r="E5" s="65" t="s">
        <v>1326</v>
      </c>
      <c r="F5" s="65" t="s">
        <v>28</v>
      </c>
      <c r="G5" s="65" t="s">
        <v>1327</v>
      </c>
      <c r="H5" s="65" t="s">
        <v>1328</v>
      </c>
      <c r="I5" s="66" t="s">
        <v>1436</v>
      </c>
    </row>
    <row r="6" spans="2:9" x14ac:dyDescent="0.25">
      <c r="B6" s="324" t="s">
        <v>1437</v>
      </c>
      <c r="C6" s="57">
        <v>0.35</v>
      </c>
      <c r="D6" s="58">
        <v>0.35</v>
      </c>
      <c r="E6" s="58">
        <v>0.29999999999999988</v>
      </c>
      <c r="F6" s="54">
        <v>0.29999999999999988</v>
      </c>
      <c r="G6" s="54">
        <v>0.2</v>
      </c>
      <c r="H6" s="58">
        <v>0.25</v>
      </c>
      <c r="I6" s="59">
        <v>0.25</v>
      </c>
    </row>
    <row r="7" spans="2:9" x14ac:dyDescent="0.25">
      <c r="B7" s="324" t="s">
        <v>1340</v>
      </c>
      <c r="C7" s="57">
        <v>0.3</v>
      </c>
      <c r="D7" s="54">
        <v>0.3</v>
      </c>
      <c r="E7" s="54">
        <v>0.3</v>
      </c>
      <c r="F7" s="54">
        <v>0.25</v>
      </c>
      <c r="G7" s="54">
        <v>0.25</v>
      </c>
      <c r="H7" s="54">
        <v>0.35</v>
      </c>
      <c r="I7" s="60">
        <v>0.35</v>
      </c>
    </row>
    <row r="8" spans="2:9" x14ac:dyDescent="0.25">
      <c r="B8" s="324" t="s">
        <v>1341</v>
      </c>
      <c r="C8" s="57">
        <v>0.2</v>
      </c>
      <c r="D8" s="54">
        <v>0.2</v>
      </c>
      <c r="E8" s="54">
        <v>0.25</v>
      </c>
      <c r="F8" s="54">
        <v>0.3</v>
      </c>
      <c r="G8" s="54">
        <v>0.4</v>
      </c>
      <c r="H8" s="54">
        <v>0.25</v>
      </c>
      <c r="I8" s="60">
        <v>0.25</v>
      </c>
    </row>
    <row r="9" spans="2:9" x14ac:dyDescent="0.25">
      <c r="B9" s="325" t="s">
        <v>1438</v>
      </c>
      <c r="C9" s="61">
        <v>0.15</v>
      </c>
      <c r="D9" s="62">
        <v>0.15</v>
      </c>
      <c r="E9" s="62">
        <v>0.15</v>
      </c>
      <c r="F9" s="62">
        <v>0.15</v>
      </c>
      <c r="G9" s="62">
        <v>0.15</v>
      </c>
      <c r="H9" s="62">
        <v>0.15</v>
      </c>
      <c r="I9" s="63">
        <v>0.15</v>
      </c>
    </row>
    <row r="10" spans="2:9" x14ac:dyDescent="0.25">
      <c r="D10" s="54"/>
      <c r="E10" s="54"/>
      <c r="H10" s="54"/>
      <c r="I10" s="54"/>
    </row>
  </sheetData>
  <mergeCells count="1">
    <mergeCell ref="B4:I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0"/>
  <dimension ref="B2:F41"/>
  <sheetViews>
    <sheetView zoomScale="88" workbookViewId="0"/>
  </sheetViews>
  <sheetFormatPr defaultRowHeight="15" x14ac:dyDescent="0.25"/>
  <cols>
    <col min="2" max="2" width="25.42578125" style="42" bestFit="1" customWidth="1"/>
    <col min="3" max="3" width="52.42578125" style="42" bestFit="1" customWidth="1"/>
    <col min="4" max="5" width="25.42578125" style="42" customWidth="1"/>
    <col min="6" max="6" width="47.42578125" style="42" customWidth="1"/>
  </cols>
  <sheetData>
    <row r="2" spans="2:6" ht="15" customHeight="1" thickBot="1" x14ac:dyDescent="0.3"/>
    <row r="3" spans="2:6" ht="15" customHeight="1" thickBot="1" x14ac:dyDescent="0.3">
      <c r="B3" s="44"/>
      <c r="C3" s="50" t="s">
        <v>1439</v>
      </c>
      <c r="D3" s="50" t="s">
        <v>1440</v>
      </c>
      <c r="E3" s="50" t="s">
        <v>1441</v>
      </c>
      <c r="F3" s="51" t="s">
        <v>1442</v>
      </c>
    </row>
    <row r="4" spans="2:6" x14ac:dyDescent="0.25">
      <c r="B4" s="45" t="s">
        <v>35</v>
      </c>
      <c r="C4" s="46"/>
      <c r="D4" s="46"/>
      <c r="E4" s="46"/>
      <c r="F4" s="47"/>
    </row>
    <row r="5" spans="2:6" x14ac:dyDescent="0.25">
      <c r="B5" s="5" t="s">
        <v>1443</v>
      </c>
      <c r="C5" s="1"/>
      <c r="D5" s="1"/>
      <c r="E5" s="1"/>
      <c r="F5" s="6"/>
    </row>
    <row r="6" spans="2:6" x14ac:dyDescent="0.25">
      <c r="B6" s="5" t="s">
        <v>1444</v>
      </c>
      <c r="C6" s="1"/>
      <c r="D6" s="1"/>
      <c r="E6" s="1"/>
      <c r="F6" s="6"/>
    </row>
    <row r="7" spans="2:6" x14ac:dyDescent="0.25">
      <c r="B7" s="5" t="s">
        <v>1445</v>
      </c>
      <c r="C7" s="1"/>
      <c r="D7" s="1"/>
      <c r="E7" s="1"/>
      <c r="F7" s="6"/>
    </row>
    <row r="8" spans="2:6" x14ac:dyDescent="0.25">
      <c r="B8" s="53" t="s">
        <v>1446</v>
      </c>
      <c r="C8" s="1"/>
      <c r="D8" s="1"/>
      <c r="E8" s="1"/>
      <c r="F8" s="6"/>
    </row>
    <row r="9" spans="2:6" x14ac:dyDescent="0.25">
      <c r="B9" s="4" t="s">
        <v>1340</v>
      </c>
      <c r="C9" s="48"/>
      <c r="D9" s="48"/>
      <c r="E9" s="48"/>
      <c r="F9" s="49"/>
    </row>
    <row r="10" spans="2:6" ht="43.5" customHeight="1" x14ac:dyDescent="0.25">
      <c r="B10" s="5" t="s">
        <v>52</v>
      </c>
      <c r="C10" s="1"/>
      <c r="D10" s="55" t="s">
        <v>1447</v>
      </c>
      <c r="E10" s="1"/>
      <c r="F10" s="6" t="s">
        <v>1448</v>
      </c>
    </row>
    <row r="11" spans="2:6" ht="30" customHeight="1" x14ac:dyDescent="0.25">
      <c r="B11" s="5" t="s">
        <v>1047</v>
      </c>
      <c r="C11" s="1"/>
      <c r="D11" s="52" t="s">
        <v>1449</v>
      </c>
      <c r="E11" s="1"/>
      <c r="F11" s="6" t="s">
        <v>1450</v>
      </c>
    </row>
    <row r="12" spans="2:6" ht="29.1" customHeight="1" x14ac:dyDescent="0.25">
      <c r="B12" s="5" t="s">
        <v>38</v>
      </c>
      <c r="C12" s="1" t="s">
        <v>1451</v>
      </c>
      <c r="D12" s="52" t="s">
        <v>1452</v>
      </c>
      <c r="E12" s="1"/>
      <c r="F12" s="6" t="s">
        <v>1453</v>
      </c>
    </row>
    <row r="13" spans="2:6" ht="29.1" customHeight="1" x14ac:dyDescent="0.25">
      <c r="B13" s="7" t="s">
        <v>39</v>
      </c>
      <c r="C13" s="2" t="s">
        <v>1454</v>
      </c>
      <c r="D13" s="2"/>
      <c r="E13" s="2"/>
      <c r="F13" s="8" t="s">
        <v>1455</v>
      </c>
    </row>
    <row r="14" spans="2:6" x14ac:dyDescent="0.25">
      <c r="B14" s="4" t="s">
        <v>1341</v>
      </c>
      <c r="C14" s="48"/>
      <c r="D14" s="48"/>
      <c r="E14" s="48"/>
      <c r="F14" s="49"/>
    </row>
    <row r="15" spans="2:6" ht="29.1" customHeight="1" x14ac:dyDescent="0.25">
      <c r="B15" s="5" t="s">
        <v>40</v>
      </c>
      <c r="C15" s="1" t="s">
        <v>1456</v>
      </c>
      <c r="D15" s="1"/>
      <c r="E15" s="1"/>
      <c r="F15" s="6" t="s">
        <v>1457</v>
      </c>
    </row>
    <row r="16" spans="2:6" ht="29.1" customHeight="1" x14ac:dyDescent="0.25">
      <c r="B16" s="5" t="s">
        <v>1342</v>
      </c>
      <c r="C16" s="1"/>
      <c r="D16" s="1"/>
      <c r="E16" s="1"/>
      <c r="F16" s="6" t="s">
        <v>1458</v>
      </c>
    </row>
    <row r="17" spans="2:6" ht="29.1" customHeight="1" x14ac:dyDescent="0.25">
      <c r="B17" s="7" t="s">
        <v>1343</v>
      </c>
      <c r="C17" s="2"/>
      <c r="D17" s="2"/>
      <c r="E17" s="2"/>
      <c r="F17" s="8" t="s">
        <v>1459</v>
      </c>
    </row>
    <row r="18" spans="2:6" ht="29.1" customHeight="1" x14ac:dyDescent="0.25">
      <c r="B18" s="9" t="s">
        <v>1438</v>
      </c>
      <c r="C18" s="3"/>
      <c r="D18" s="3"/>
      <c r="E18" s="3"/>
      <c r="F18" s="43"/>
    </row>
    <row r="19" spans="2:6" x14ac:dyDescent="0.25">
      <c r="B19" s="5" t="s">
        <v>42</v>
      </c>
      <c r="C19" s="1"/>
      <c r="D19" s="1" t="s">
        <v>1449</v>
      </c>
      <c r="E19" s="1"/>
      <c r="F19" s="6" t="s">
        <v>1460</v>
      </c>
    </row>
    <row r="20" spans="2:6" ht="29.45" customHeight="1" thickBot="1" x14ac:dyDescent="0.3">
      <c r="B20" s="10" t="s">
        <v>1158</v>
      </c>
      <c r="C20" s="11"/>
      <c r="D20" s="11"/>
      <c r="E20" s="11"/>
      <c r="F20" s="12" t="s">
        <v>1461</v>
      </c>
    </row>
    <row r="21" spans="2:6" ht="15" customHeight="1" thickBot="1" x14ac:dyDescent="0.3"/>
    <row r="22" spans="2:6" x14ac:dyDescent="0.25">
      <c r="B22" s="96"/>
      <c r="C22" s="97" t="s">
        <v>1462</v>
      </c>
      <c r="D22" s="98" t="s">
        <v>1463</v>
      </c>
    </row>
    <row r="23" spans="2:6" x14ac:dyDescent="0.25">
      <c r="B23" s="99" t="s">
        <v>1268</v>
      </c>
      <c r="C23" s="42" t="s">
        <v>1464</v>
      </c>
      <c r="D23" s="100" t="s">
        <v>1465</v>
      </c>
    </row>
    <row r="24" spans="2:6" x14ac:dyDescent="0.25">
      <c r="B24" s="99" t="s">
        <v>1466</v>
      </c>
      <c r="C24" s="42" t="s">
        <v>1467</v>
      </c>
      <c r="D24" s="100" t="s">
        <v>1468</v>
      </c>
    </row>
    <row r="25" spans="2:6" x14ac:dyDescent="0.25">
      <c r="B25" s="99" t="s">
        <v>1269</v>
      </c>
      <c r="C25" s="42" t="s">
        <v>1469</v>
      </c>
      <c r="D25" s="100" t="s">
        <v>1470</v>
      </c>
    </row>
    <row r="26" spans="2:6" x14ac:dyDescent="0.25">
      <c r="B26" s="99" t="s">
        <v>1471</v>
      </c>
      <c r="C26" s="42" t="s">
        <v>1472</v>
      </c>
      <c r="D26" s="100" t="s">
        <v>1473</v>
      </c>
    </row>
    <row r="27" spans="2:6" x14ac:dyDescent="0.25">
      <c r="B27" s="277" t="s">
        <v>1474</v>
      </c>
      <c r="C27" s="42" t="s">
        <v>1475</v>
      </c>
      <c r="D27" s="100" t="s">
        <v>1476</v>
      </c>
    </row>
    <row r="28" spans="2:6" x14ac:dyDescent="0.25">
      <c r="B28" s="277" t="s">
        <v>1477</v>
      </c>
      <c r="C28" s="42" t="s">
        <v>1478</v>
      </c>
      <c r="D28" s="100" t="s">
        <v>1479</v>
      </c>
    </row>
    <row r="29" spans="2:6" x14ac:dyDescent="0.25">
      <c r="B29" s="277" t="s">
        <v>1480</v>
      </c>
      <c r="C29" s="42" t="s">
        <v>1481</v>
      </c>
      <c r="D29" s="100" t="s">
        <v>1482</v>
      </c>
    </row>
    <row r="30" spans="2:6" x14ac:dyDescent="0.25">
      <c r="B30" s="99" t="s">
        <v>50</v>
      </c>
      <c r="C30" s="42" t="s">
        <v>1483</v>
      </c>
      <c r="D30" s="100" t="s">
        <v>1484</v>
      </c>
    </row>
    <row r="31" spans="2:6" ht="15" customHeight="1" thickBot="1" x14ac:dyDescent="0.3">
      <c r="B31" s="101" t="s">
        <v>42</v>
      </c>
      <c r="C31" s="102" t="s">
        <v>1485</v>
      </c>
      <c r="D31" s="103" t="s">
        <v>1486</v>
      </c>
    </row>
    <row r="34" spans="2:3" x14ac:dyDescent="0.25">
      <c r="B34" s="189" t="s">
        <v>44</v>
      </c>
    </row>
    <row r="35" spans="2:3" x14ac:dyDescent="0.25">
      <c r="B35" t="s">
        <v>1324</v>
      </c>
      <c r="C35" t="s">
        <v>1267</v>
      </c>
    </row>
    <row r="36" spans="2:3" x14ac:dyDescent="0.25">
      <c r="B36" t="s">
        <v>1325</v>
      </c>
      <c r="C36" t="s">
        <v>1292</v>
      </c>
    </row>
    <row r="37" spans="2:3" x14ac:dyDescent="0.25">
      <c r="B37" t="s">
        <v>1326</v>
      </c>
      <c r="C37" t="s">
        <v>1300</v>
      </c>
    </row>
    <row r="38" spans="2:3" x14ac:dyDescent="0.25">
      <c r="B38" t="s">
        <v>28</v>
      </c>
      <c r="C38" t="s">
        <v>1308</v>
      </c>
    </row>
    <row r="39" spans="2:3" x14ac:dyDescent="0.25">
      <c r="B39" t="s">
        <v>1327</v>
      </c>
      <c r="C39" t="s">
        <v>933</v>
      </c>
    </row>
    <row r="40" spans="2:3" x14ac:dyDescent="0.25">
      <c r="B40" t="s">
        <v>1328</v>
      </c>
    </row>
    <row r="41" spans="2:3" x14ac:dyDescent="0.25">
      <c r="B41" t="s">
        <v>1436</v>
      </c>
    </row>
  </sheetData>
  <hyperlinks>
    <hyperlink ref="B8" r:id="rId1" xr:uid="{00000000-0004-0000-1200-000000000000}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AMC Matrix</vt:lpstr>
      <vt:lpstr>Consol_Thematic (2)</vt:lpstr>
      <vt:lpstr>Table 1</vt:lpstr>
      <vt:lpstr>Table 2 FD PMS AIF</vt:lpstr>
      <vt:lpstr>Summary </vt:lpstr>
      <vt:lpstr>Investor Profile</vt:lpstr>
      <vt:lpstr>Investor Persona</vt:lpstr>
      <vt:lpstr>Fund Ranking_Equity</vt:lpstr>
      <vt:lpstr>Fund Ranking_Equity (2)</vt:lpstr>
      <vt:lpstr>Fund Ranking_Equity (3)</vt:lpstr>
      <vt:lpstr>Sheet4</vt:lpstr>
      <vt:lpstr>Fund Ranking_Debt</vt:lpstr>
      <vt:lpstr>Fund Ranking Criteria</vt:lpstr>
      <vt:lpstr>Consol_Thematic</vt:lpstr>
      <vt:lpstr>Sheet4 (2)</vt:lpstr>
      <vt:lpstr>Sheet1</vt:lpstr>
      <vt:lpstr>AMC Data</vt:lpstr>
      <vt:lpstr>Assumptions</vt:lpstr>
      <vt:lpstr>Backup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Kanak Yadav</dc:creator>
  <cp:lastModifiedBy>Mutual Fund</cp:lastModifiedBy>
  <cp:lastPrinted>2026-06-26T10:36:39Z</cp:lastPrinted>
  <dcterms:created xsi:type="dcterms:W3CDTF">2025-03-24T09:15:42Z</dcterms:created>
  <dcterms:modified xsi:type="dcterms:W3CDTF">2026-06-26T10:39:10Z</dcterms:modified>
</cp:coreProperties>
</file>