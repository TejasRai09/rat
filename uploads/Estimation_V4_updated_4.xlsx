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Segoe UI"/>
      <family val="2"/>
      <b val="1"/>
      <color theme="0"/>
      <sz val="6.5"/>
    </font>
    <font>
      <name val="Segoe UI"/>
      <family val="2"/>
      <color theme="0"/>
      <sz val="11"/>
    </font>
    <font>
      <name val="Segoe UI"/>
      <family val="2"/>
      <b val="1"/>
      <color rgb="FFFFFFFF"/>
      <sz val="6.5"/>
    </font>
    <font>
      <name val="Segoe UI"/>
      <family val="2"/>
      <color theme="1"/>
      <sz val="11"/>
    </font>
    <font>
      <name val="Segoe UI"/>
      <family val="2"/>
      <color rgb="FF000000"/>
      <sz val="10"/>
    </font>
    <font>
      <name val="Segoe UI"/>
      <family val="2"/>
      <b val="1"/>
      <sz val="6.5"/>
    </font>
    <font>
      <name val="Segoe UI"/>
      <family val="2"/>
      <sz val="6.5"/>
    </font>
    <font>
      <name val="Segoe UI"/>
      <family val="2"/>
      <b val="1"/>
      <color theme="1"/>
      <sz val="6.5"/>
    </font>
    <font>
      <name val="Segoe UI"/>
      <family val="2"/>
      <b val="1"/>
      <color rgb="FF000000"/>
      <sz val="6.5"/>
    </font>
    <font>
      <name val="Segoe UI"/>
      <family val="2"/>
      <color rgb="FF000000"/>
      <sz val="6.5"/>
    </font>
    <font>
      <name val="Segoe UI"/>
      <family val="2"/>
      <b val="1"/>
      <color rgb="FFFFFFFF"/>
      <sz val="5.5"/>
    </font>
    <font>
      <name val="Segoe UI"/>
      <family val="2"/>
      <b val="1"/>
      <color theme="0"/>
      <sz val="5.5"/>
    </font>
    <font>
      <name val="Segoe UI"/>
      <family val="2"/>
      <b val="1"/>
      <sz val="5.5"/>
    </font>
    <font>
      <name val="Segoe UI"/>
      <family val="2"/>
      <b val="1"/>
      <color theme="1"/>
      <sz val="5.5"/>
    </font>
    <font>
      <name val="Segoe UI"/>
      <family val="2"/>
      <sz val="5.5"/>
    </font>
    <font>
      <name val="Segoe UI"/>
      <family val="2"/>
      <color theme="1"/>
      <sz val="5.5"/>
    </font>
    <font>
      <name val="Segoe UI"/>
      <family val="2"/>
      <color rgb="FF000000"/>
      <sz val="5.5"/>
    </font>
    <font>
      <name val="Segoe UI"/>
      <family val="2"/>
      <b val="1"/>
      <color rgb="FF000000"/>
      <sz val="5.5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8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19" borderId="95" applyAlignment="1" pivotButton="0" quotePrefix="0" xfId="7">
      <alignment horizontal="center" vertical="center" wrapText="1"/>
    </xf>
    <xf numFmtId="0" fontId="20" fillId="0" borderId="88" pivotButton="0" quotePrefix="0" xfId="0"/>
    <xf numFmtId="0" fontId="20" fillId="0" borderId="91" pivotButton="0" quotePrefix="0" xfId="0"/>
    <xf numFmtId="0" fontId="21" fillId="19" borderId="98" applyAlignment="1" pivotButton="0" quotePrefix="0" xfId="7">
      <alignment horizontal="center" vertical="center" wrapText="1"/>
    </xf>
    <xf numFmtId="0" fontId="22" fillId="0" borderId="83" pivotButton="0" quotePrefix="0" xfId="0"/>
    <xf numFmtId="0" fontId="22" fillId="0" borderId="84" pivotButton="0" quotePrefix="0" xfId="0"/>
    <xf numFmtId="0" fontId="23" fillId="0" borderId="0" applyAlignment="1" pivotButton="0" quotePrefix="0" xfId="7">
      <alignment horizontal="left" vertical="center"/>
    </xf>
    <xf numFmtId="0" fontId="23" fillId="0" borderId="99" applyAlignment="1" pivotButton="0" quotePrefix="0" xfId="7">
      <alignment horizontal="left" vertical="center" wrapText="1"/>
    </xf>
    <xf numFmtId="0" fontId="22" fillId="0" borderId="85" pivotButton="0" quotePrefix="0" xfId="0"/>
    <xf numFmtId="0" fontId="22" fillId="0" borderId="86" pivotButton="0" quotePrefix="0" xfId="0"/>
    <xf numFmtId="0" fontId="21" fillId="19" borderId="92" applyAlignment="1" pivotButton="0" quotePrefix="0" xfId="7">
      <alignment horizontal="center" vertical="center" wrapText="1"/>
    </xf>
    <xf numFmtId="0" fontId="22" fillId="0" borderId="88" pivotButton="0" quotePrefix="0" xfId="0"/>
    <xf numFmtId="0" fontId="22" fillId="0" borderId="89" pivotButton="0" quotePrefix="0" xfId="0"/>
    <xf numFmtId="0" fontId="23" fillId="0" borderId="90" applyAlignment="1" pivotButton="0" quotePrefix="0" xfId="7">
      <alignment horizontal="left" vertical="center" wrapText="1"/>
    </xf>
    <xf numFmtId="0" fontId="24" fillId="20" borderId="92" applyAlignment="1" pivotButton="0" quotePrefix="0" xfId="7">
      <alignment horizontal="center" vertical="center" wrapText="1"/>
    </xf>
    <xf numFmtId="0" fontId="24" fillId="20" borderId="94" applyAlignment="1" pivotButton="0" quotePrefix="0" xfId="7">
      <alignment horizontal="center" vertical="center" wrapText="1"/>
    </xf>
    <xf numFmtId="0" fontId="23" fillId="0" borderId="100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/>
    </xf>
    <xf numFmtId="0" fontId="22" fillId="0" borderId="3" pivotButton="0" quotePrefix="0" xfId="0"/>
    <xf numFmtId="0" fontId="25" fillId="0" borderId="92" applyAlignment="1" pivotButton="0" quotePrefix="0" xfId="7">
      <alignment horizontal="left" vertical="center" wrapText="1"/>
    </xf>
    <xf numFmtId="0" fontId="25" fillId="0" borderId="94" applyAlignment="1" pivotButton="0" quotePrefix="0" xfId="7">
      <alignment horizontal="left" vertical="center" wrapText="1"/>
    </xf>
    <xf numFmtId="0" fontId="23" fillId="0" borderId="90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center" vertical="center" wrapText="1"/>
    </xf>
    <xf numFmtId="0" fontId="24" fillId="20" borderId="95" applyAlignment="1" pivotButton="0" quotePrefix="0" xfId="7">
      <alignment horizontal="center" vertical="center" wrapText="1"/>
    </xf>
    <xf numFmtId="0" fontId="22" fillId="0" borderId="90" pivotButton="0" quotePrefix="0" xfId="0"/>
    <xf numFmtId="0" fontId="26" fillId="0" borderId="94" applyAlignment="1" pivotButton="0" quotePrefix="0" xfId="7">
      <alignment horizontal="left" vertical="center" wrapText="1"/>
    </xf>
    <xf numFmtId="10" fontId="27" fillId="0" borderId="94" applyAlignment="1" pivotButton="0" quotePrefix="0" xfId="7">
      <alignment horizontal="center" vertical="center" shrinkToFit="1"/>
    </xf>
    <xf numFmtId="10" fontId="27" fillId="0" borderId="95" applyAlignment="1" pivotButton="0" quotePrefix="0" xfId="7">
      <alignment horizontal="center" vertical="center" shrinkToFit="1"/>
    </xf>
    <xf numFmtId="0" fontId="23" fillId="0" borderId="97" applyAlignment="1" pivotButton="0" quotePrefix="0" xfId="7">
      <alignment horizontal="left" vertical="center" wrapText="1"/>
    </xf>
    <xf numFmtId="0" fontId="22" fillId="0" borderId="96" pivotButton="0" quotePrefix="0" xfId="0"/>
    <xf numFmtId="0" fontId="19" fillId="19" borderId="92" applyAlignment="1" pivotButton="0" quotePrefix="0" xfId="7">
      <alignment horizontal="center" vertical="center" wrapText="1"/>
    </xf>
    <xf numFmtId="0" fontId="20" fillId="0" borderId="89" pivotButton="0" quotePrefix="0" xfId="0"/>
    <xf numFmtId="0" fontId="25" fillId="0" borderId="94" applyAlignment="1" pivotButton="0" quotePrefix="0" xfId="7">
      <alignment horizontal="left" vertical="center" wrapText="1"/>
    </xf>
    <xf numFmtId="10" fontId="28" fillId="0" borderId="94" applyAlignment="1" pivotButton="0" quotePrefix="0" xfId="7">
      <alignment horizontal="center" vertical="center" shrinkToFit="1"/>
    </xf>
    <xf numFmtId="10" fontId="28" fillId="0" borderId="95" applyAlignment="1" pivotButton="0" quotePrefix="0" xfId="7">
      <alignment horizontal="center" vertical="center" shrinkToFit="1"/>
    </xf>
    <xf numFmtId="0" fontId="24" fillId="0" borderId="92" applyAlignment="1" pivotButton="0" quotePrefix="0" xfId="7">
      <alignment horizontal="left" vertical="center" wrapText="1"/>
    </xf>
    <xf numFmtId="0" fontId="23" fillId="0" borderId="95" applyAlignment="1" pivotButton="0" quotePrefix="0" xfId="7">
      <alignment horizontal="left" vertical="center" wrapText="1"/>
    </xf>
    <xf numFmtId="0" fontId="22" fillId="0" borderId="91" pivotButton="0" quotePrefix="0" xfId="0"/>
    <xf numFmtId="0" fontId="24" fillId="20" borderId="92" applyAlignment="1" pivotButton="0" quotePrefix="0" xfId="7">
      <alignment horizontal="left" vertical="center" wrapText="1"/>
    </xf>
    <xf numFmtId="3" fontId="24" fillId="0" borderId="94" applyAlignment="1" pivotButton="0" quotePrefix="0" xfId="7">
      <alignment horizontal="right" vertical="center" wrapText="1"/>
    </xf>
    <xf numFmtId="0" fontId="23" fillId="0" borderId="90" applyAlignment="1" pivotButton="0" quotePrefix="0" xfId="7">
      <alignment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0" borderId="92" applyAlignment="1" pivotButton="0" quotePrefix="0" xfId="7">
      <alignment horizontal="left" vertical="center" wrapText="1"/>
    </xf>
    <xf numFmtId="0" fontId="23" fillId="0" borderId="3" applyAlignment="1" pivotButton="0" quotePrefix="0" xfId="7">
      <alignment horizontal="left" vertical="center"/>
    </xf>
    <xf numFmtId="0" fontId="23" fillId="0" borderId="87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 wrapText="1"/>
    </xf>
    <xf numFmtId="0" fontId="23" fillId="0" borderId="2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23" fillId="0" borderId="3" applyAlignment="1" pivotButton="0" quotePrefix="0" xfId="7">
      <alignment horizontal="left" vertical="center" wrapText="1"/>
    </xf>
    <xf numFmtId="0" fontId="23" fillId="0" borderId="96" applyAlignment="1" pivotButton="0" quotePrefix="0" xfId="7">
      <alignment horizontal="left" vertical="center" wrapText="1"/>
    </xf>
    <xf numFmtId="0" fontId="26" fillId="0" borderId="92" applyAlignment="1" pivotButton="0" quotePrefix="0" xfId="7">
      <alignment horizontal="left" vertical="center" wrapText="1"/>
    </xf>
    <xf numFmtId="164" fontId="28" fillId="0" borderId="95" applyAlignment="1" pivotButton="0" quotePrefix="0" xfId="7">
      <alignment horizontal="center" vertical="center" shrinkToFit="1"/>
    </xf>
    <xf numFmtId="0" fontId="24" fillId="0" borderId="4" applyAlignment="1" pivotButton="0" quotePrefix="0" xfId="7">
      <alignment vertical="center" wrapText="1"/>
    </xf>
    <xf numFmtId="0" fontId="24" fillId="0" borderId="5" applyAlignment="1" pivotButton="0" quotePrefix="0" xfId="7">
      <alignment vertical="center" wrapText="1"/>
    </xf>
    <xf numFmtId="0" fontId="24" fillId="0" borderId="6" applyAlignment="1" pivotButton="0" quotePrefix="0" xfId="7">
      <alignment horizontal="right" vertical="center" wrapText="1" indent="1"/>
    </xf>
    <xf numFmtId="0" fontId="29" fillId="19" borderId="94" applyAlignment="1" pivotButton="0" quotePrefix="0" xfId="7">
      <alignment horizontal="center" vertical="center" wrapText="1"/>
    </xf>
    <xf numFmtId="0" fontId="23" fillId="0" borderId="0" applyAlignment="1" pivotButton="0" quotePrefix="0" xfId="7">
      <alignment horizontal="left" vertical="top"/>
    </xf>
    <xf numFmtId="0" fontId="23" fillId="0" borderId="94" applyAlignment="1" pivotButton="0" quotePrefix="0" xfId="7">
      <alignment horizontal="center" vertical="center" wrapText="1"/>
    </xf>
    <xf numFmtId="0" fontId="30" fillId="19" borderId="94" applyAlignment="1" pivotButton="0" quotePrefix="0" xfId="7">
      <alignment horizontal="center" vertical="center" wrapText="1"/>
    </xf>
    <xf numFmtId="0" fontId="23" fillId="0" borderId="94" applyAlignment="1" pivotButton="0" quotePrefix="0" xfId="7">
      <alignment horizontal="left" vertical="center" wrapText="1"/>
    </xf>
    <xf numFmtId="0" fontId="31" fillId="21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2" fillId="22" borderId="94" applyAlignment="1" pivotButton="0" quotePrefix="0" xfId="7">
      <alignment horizontal="left" vertical="center" wrapText="1"/>
    </xf>
    <xf numFmtId="0" fontId="31" fillId="22" borderId="94" applyAlignment="1" pivotButton="0" quotePrefix="0" xfId="7">
      <alignment horizontal="center" vertical="center" wrapText="1"/>
    </xf>
    <xf numFmtId="0" fontId="31" fillId="22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left" vertical="center" wrapText="1"/>
    </xf>
    <xf numFmtId="0" fontId="33" fillId="0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center" vertical="center" wrapText="1"/>
    </xf>
    <xf numFmtId="0" fontId="34" fillId="0" borderId="94" applyAlignment="1" pivotButton="0" quotePrefix="0" xfId="7">
      <alignment horizontal="left" vertical="center" wrapText="1"/>
    </xf>
    <xf numFmtId="10" fontId="35" fillId="0" borderId="94" applyAlignment="1" pivotButton="0" quotePrefix="0" xfId="7">
      <alignment horizontal="center" vertical="center" shrinkToFit="1"/>
    </xf>
    <xf numFmtId="0" fontId="31" fillId="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0" fontId="31" fillId="2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10" fontId="35" fillId="0" borderId="94" applyAlignment="1" pivotButton="0" quotePrefix="0" xfId="7">
      <alignment horizontal="center" vertical="center" shrinkToFit="1"/>
    </xf>
    <xf numFmtId="0" fontId="33" fillId="0" borderId="94" applyAlignment="1" pivotButton="0" quotePrefix="0" xfId="7">
      <alignment horizontal="left" vertical="center" wrapText="1"/>
    </xf>
    <xf numFmtId="2" fontId="35" fillId="0" borderId="94" applyAlignment="1" pivotButton="0" quotePrefix="0" xfId="7">
      <alignment horizontal="center" vertical="center" shrinkToFit="1"/>
    </xf>
    <xf numFmtId="1" fontId="35" fillId="0" borderId="94" applyAlignment="1" pivotButton="0" quotePrefix="0" xfId="7">
      <alignment horizontal="center" vertical="center" shrinkToFit="1"/>
    </xf>
    <xf numFmtId="0" fontId="23" fillId="0" borderId="94" applyAlignment="1" pivotButton="0" quotePrefix="0" xfId="7">
      <alignment horizontal="left" wrapText="1"/>
    </xf>
    <xf numFmtId="0" fontId="24" fillId="0" borderId="93" applyAlignment="1" pivotButton="0" quotePrefix="0" xfId="7">
      <alignment vertical="center" wrapText="1"/>
    </xf>
    <xf numFmtId="0" fontId="24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4.5"/>
  <cols>
    <col width="34.453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4.5"/>
  <cols>
    <col width="63.453125" customWidth="1" style="261" min="1" max="1"/>
    <col width="10.453125" customWidth="1" style="261" min="2" max="2"/>
    <col width="16.1796875" customWidth="1" style="261" min="3" max="3"/>
    <col width="8.7265625" customWidth="1" style="261" min="4" max="11"/>
    <col width="15.1796875" bestFit="1" customWidth="1" style="261" min="12" max="12"/>
    <col width="8.7265625" customWidth="1" style="261" min="13" max="256"/>
    <col width="63.453125" customWidth="1" style="261" min="257" max="257"/>
    <col width="10.453125" customWidth="1" style="261" min="258" max="258"/>
    <col width="16.1796875" customWidth="1" style="261" min="259" max="259"/>
    <col width="8.7265625" customWidth="1" style="261" min="260" max="267"/>
    <col width="15.1796875" bestFit="1" customWidth="1" style="261" min="268" max="268"/>
    <col width="8.7265625" customWidth="1" style="261" min="269" max="512"/>
    <col width="63.453125" customWidth="1" style="261" min="513" max="513"/>
    <col width="10.453125" customWidth="1" style="261" min="514" max="514"/>
    <col width="16.1796875" customWidth="1" style="261" min="515" max="515"/>
    <col width="8.7265625" customWidth="1" style="261" min="516" max="523"/>
    <col width="15.1796875" bestFit="1" customWidth="1" style="261" min="524" max="524"/>
    <col width="8.7265625" customWidth="1" style="261" min="525" max="768"/>
    <col width="63.453125" customWidth="1" style="261" min="769" max="769"/>
    <col width="10.453125" customWidth="1" style="261" min="770" max="770"/>
    <col width="16.1796875" customWidth="1" style="261" min="771" max="771"/>
    <col width="8.7265625" customWidth="1" style="261" min="772" max="779"/>
    <col width="15.1796875" bestFit="1" customWidth="1" style="261" min="780" max="780"/>
    <col width="8.7265625" customWidth="1" style="261" min="781" max="1024"/>
    <col width="63.453125" customWidth="1" style="261" min="1025" max="1025"/>
    <col width="10.453125" customWidth="1" style="261" min="1026" max="1026"/>
    <col width="16.1796875" customWidth="1" style="261" min="1027" max="1027"/>
    <col width="8.7265625" customWidth="1" style="261" min="1028" max="1035"/>
    <col width="15.1796875" bestFit="1" customWidth="1" style="261" min="1036" max="1036"/>
    <col width="8.7265625" customWidth="1" style="261" min="1037" max="1280"/>
    <col width="63.453125" customWidth="1" style="261" min="1281" max="1281"/>
    <col width="10.453125" customWidth="1" style="261" min="1282" max="1282"/>
    <col width="16.1796875" customWidth="1" style="261" min="1283" max="1283"/>
    <col width="8.7265625" customWidth="1" style="261" min="1284" max="1291"/>
    <col width="15.1796875" bestFit="1" customWidth="1" style="261" min="1292" max="1292"/>
    <col width="8.7265625" customWidth="1" style="261" min="1293" max="1536"/>
    <col width="63.453125" customWidth="1" style="261" min="1537" max="1537"/>
    <col width="10.453125" customWidth="1" style="261" min="1538" max="1538"/>
    <col width="16.1796875" customWidth="1" style="261" min="1539" max="1539"/>
    <col width="8.7265625" customWidth="1" style="261" min="1540" max="1547"/>
    <col width="15.1796875" bestFit="1" customWidth="1" style="261" min="1548" max="1548"/>
    <col width="8.7265625" customWidth="1" style="261" min="1549" max="1792"/>
    <col width="63.453125" customWidth="1" style="261" min="1793" max="1793"/>
    <col width="10.453125" customWidth="1" style="261" min="1794" max="1794"/>
    <col width="16.1796875" customWidth="1" style="261" min="1795" max="1795"/>
    <col width="8.7265625" customWidth="1" style="261" min="1796" max="1803"/>
    <col width="15.1796875" bestFit="1" customWidth="1" style="261" min="1804" max="1804"/>
    <col width="8.7265625" customWidth="1" style="261" min="1805" max="2048"/>
    <col width="63.453125" customWidth="1" style="261" min="2049" max="2049"/>
    <col width="10.453125" customWidth="1" style="261" min="2050" max="2050"/>
    <col width="16.1796875" customWidth="1" style="261" min="2051" max="2051"/>
    <col width="8.7265625" customWidth="1" style="261" min="2052" max="2059"/>
    <col width="15.1796875" bestFit="1" customWidth="1" style="261" min="2060" max="2060"/>
    <col width="8.7265625" customWidth="1" style="261" min="2061" max="2304"/>
    <col width="63.453125" customWidth="1" style="261" min="2305" max="2305"/>
    <col width="10.453125" customWidth="1" style="261" min="2306" max="2306"/>
    <col width="16.1796875" customWidth="1" style="261" min="2307" max="2307"/>
    <col width="8.7265625" customWidth="1" style="261" min="2308" max="2315"/>
    <col width="15.1796875" bestFit="1" customWidth="1" style="261" min="2316" max="2316"/>
    <col width="8.7265625" customWidth="1" style="261" min="2317" max="2560"/>
    <col width="63.453125" customWidth="1" style="261" min="2561" max="2561"/>
    <col width="10.453125" customWidth="1" style="261" min="2562" max="2562"/>
    <col width="16.1796875" customWidth="1" style="261" min="2563" max="2563"/>
    <col width="8.7265625" customWidth="1" style="261" min="2564" max="2571"/>
    <col width="15.1796875" bestFit="1" customWidth="1" style="261" min="2572" max="2572"/>
    <col width="8.7265625" customWidth="1" style="261" min="2573" max="2816"/>
    <col width="63.453125" customWidth="1" style="261" min="2817" max="2817"/>
    <col width="10.453125" customWidth="1" style="261" min="2818" max="2818"/>
    <col width="16.1796875" customWidth="1" style="261" min="2819" max="2819"/>
    <col width="8.7265625" customWidth="1" style="261" min="2820" max="2827"/>
    <col width="15.1796875" bestFit="1" customWidth="1" style="261" min="2828" max="2828"/>
    <col width="8.7265625" customWidth="1" style="261" min="2829" max="3072"/>
    <col width="63.453125" customWidth="1" style="261" min="3073" max="3073"/>
    <col width="10.453125" customWidth="1" style="261" min="3074" max="3074"/>
    <col width="16.1796875" customWidth="1" style="261" min="3075" max="3075"/>
    <col width="8.7265625" customWidth="1" style="261" min="3076" max="3083"/>
    <col width="15.1796875" bestFit="1" customWidth="1" style="261" min="3084" max="3084"/>
    <col width="8.7265625" customWidth="1" style="261" min="3085" max="3328"/>
    <col width="63.453125" customWidth="1" style="261" min="3329" max="3329"/>
    <col width="10.453125" customWidth="1" style="261" min="3330" max="3330"/>
    <col width="16.1796875" customWidth="1" style="261" min="3331" max="3331"/>
    <col width="8.7265625" customWidth="1" style="261" min="3332" max="3339"/>
    <col width="15.1796875" bestFit="1" customWidth="1" style="261" min="3340" max="3340"/>
    <col width="8.7265625" customWidth="1" style="261" min="3341" max="3584"/>
    <col width="63.453125" customWidth="1" style="261" min="3585" max="3585"/>
    <col width="10.453125" customWidth="1" style="261" min="3586" max="3586"/>
    <col width="16.1796875" customWidth="1" style="261" min="3587" max="3587"/>
    <col width="8.7265625" customWidth="1" style="261" min="3588" max="3595"/>
    <col width="15.1796875" bestFit="1" customWidth="1" style="261" min="3596" max="3596"/>
    <col width="8.7265625" customWidth="1" style="261" min="3597" max="3840"/>
    <col width="63.453125" customWidth="1" style="261" min="3841" max="3841"/>
    <col width="10.453125" customWidth="1" style="261" min="3842" max="3842"/>
    <col width="16.1796875" customWidth="1" style="261" min="3843" max="3843"/>
    <col width="8.7265625" customWidth="1" style="261" min="3844" max="3851"/>
    <col width="15.1796875" bestFit="1" customWidth="1" style="261" min="3852" max="3852"/>
    <col width="8.7265625" customWidth="1" style="261" min="3853" max="4096"/>
    <col width="63.453125" customWidth="1" style="261" min="4097" max="4097"/>
    <col width="10.453125" customWidth="1" style="261" min="4098" max="4098"/>
    <col width="16.1796875" customWidth="1" style="261" min="4099" max="4099"/>
    <col width="8.7265625" customWidth="1" style="261" min="4100" max="4107"/>
    <col width="15.1796875" bestFit="1" customWidth="1" style="261" min="4108" max="4108"/>
    <col width="8.7265625" customWidth="1" style="261" min="4109" max="4352"/>
    <col width="63.453125" customWidth="1" style="261" min="4353" max="4353"/>
    <col width="10.453125" customWidth="1" style="261" min="4354" max="4354"/>
    <col width="16.1796875" customWidth="1" style="261" min="4355" max="4355"/>
    <col width="8.7265625" customWidth="1" style="261" min="4356" max="4363"/>
    <col width="15.1796875" bestFit="1" customWidth="1" style="261" min="4364" max="4364"/>
    <col width="8.7265625" customWidth="1" style="261" min="4365" max="4608"/>
    <col width="63.453125" customWidth="1" style="261" min="4609" max="4609"/>
    <col width="10.453125" customWidth="1" style="261" min="4610" max="4610"/>
    <col width="16.1796875" customWidth="1" style="261" min="4611" max="4611"/>
    <col width="8.7265625" customWidth="1" style="261" min="4612" max="4619"/>
    <col width="15.1796875" bestFit="1" customWidth="1" style="261" min="4620" max="4620"/>
    <col width="8.7265625" customWidth="1" style="261" min="4621" max="4864"/>
    <col width="63.453125" customWidth="1" style="261" min="4865" max="4865"/>
    <col width="10.453125" customWidth="1" style="261" min="4866" max="4866"/>
    <col width="16.1796875" customWidth="1" style="261" min="4867" max="4867"/>
    <col width="8.7265625" customWidth="1" style="261" min="4868" max="4875"/>
    <col width="15.1796875" bestFit="1" customWidth="1" style="261" min="4876" max="4876"/>
    <col width="8.7265625" customWidth="1" style="261" min="4877" max="5120"/>
    <col width="63.453125" customWidth="1" style="261" min="5121" max="5121"/>
    <col width="10.453125" customWidth="1" style="261" min="5122" max="5122"/>
    <col width="16.1796875" customWidth="1" style="261" min="5123" max="5123"/>
    <col width="8.7265625" customWidth="1" style="261" min="5124" max="5131"/>
    <col width="15.1796875" bestFit="1" customWidth="1" style="261" min="5132" max="5132"/>
    <col width="8.7265625" customWidth="1" style="261" min="5133" max="5376"/>
    <col width="63.453125" customWidth="1" style="261" min="5377" max="5377"/>
    <col width="10.453125" customWidth="1" style="261" min="5378" max="5378"/>
    <col width="16.1796875" customWidth="1" style="261" min="5379" max="5379"/>
    <col width="8.7265625" customWidth="1" style="261" min="5380" max="5387"/>
    <col width="15.1796875" bestFit="1" customWidth="1" style="261" min="5388" max="5388"/>
    <col width="8.7265625" customWidth="1" style="261" min="5389" max="5632"/>
    <col width="63.453125" customWidth="1" style="261" min="5633" max="5633"/>
    <col width="10.453125" customWidth="1" style="261" min="5634" max="5634"/>
    <col width="16.1796875" customWidth="1" style="261" min="5635" max="5635"/>
    <col width="8.7265625" customWidth="1" style="261" min="5636" max="5643"/>
    <col width="15.1796875" bestFit="1" customWidth="1" style="261" min="5644" max="5644"/>
    <col width="8.7265625" customWidth="1" style="261" min="5645" max="5888"/>
    <col width="63.453125" customWidth="1" style="261" min="5889" max="5889"/>
    <col width="10.453125" customWidth="1" style="261" min="5890" max="5890"/>
    <col width="16.1796875" customWidth="1" style="261" min="5891" max="5891"/>
    <col width="8.7265625" customWidth="1" style="261" min="5892" max="5899"/>
    <col width="15.1796875" bestFit="1" customWidth="1" style="261" min="5900" max="5900"/>
    <col width="8.7265625" customWidth="1" style="261" min="5901" max="6144"/>
    <col width="63.453125" customWidth="1" style="261" min="6145" max="6145"/>
    <col width="10.453125" customWidth="1" style="261" min="6146" max="6146"/>
    <col width="16.1796875" customWidth="1" style="261" min="6147" max="6147"/>
    <col width="8.7265625" customWidth="1" style="261" min="6148" max="6155"/>
    <col width="15.1796875" bestFit="1" customWidth="1" style="261" min="6156" max="6156"/>
    <col width="8.7265625" customWidth="1" style="261" min="6157" max="6400"/>
    <col width="63.453125" customWidth="1" style="261" min="6401" max="6401"/>
    <col width="10.453125" customWidth="1" style="261" min="6402" max="6402"/>
    <col width="16.1796875" customWidth="1" style="261" min="6403" max="6403"/>
    <col width="8.7265625" customWidth="1" style="261" min="6404" max="6411"/>
    <col width="15.1796875" bestFit="1" customWidth="1" style="261" min="6412" max="6412"/>
    <col width="8.7265625" customWidth="1" style="261" min="6413" max="6656"/>
    <col width="63.453125" customWidth="1" style="261" min="6657" max="6657"/>
    <col width="10.453125" customWidth="1" style="261" min="6658" max="6658"/>
    <col width="16.1796875" customWidth="1" style="261" min="6659" max="6659"/>
    <col width="8.7265625" customWidth="1" style="261" min="6660" max="6667"/>
    <col width="15.1796875" bestFit="1" customWidth="1" style="261" min="6668" max="6668"/>
    <col width="8.7265625" customWidth="1" style="261" min="6669" max="6912"/>
    <col width="63.453125" customWidth="1" style="261" min="6913" max="6913"/>
    <col width="10.453125" customWidth="1" style="261" min="6914" max="6914"/>
    <col width="16.1796875" customWidth="1" style="261" min="6915" max="6915"/>
    <col width="8.7265625" customWidth="1" style="261" min="6916" max="6923"/>
    <col width="15.1796875" bestFit="1" customWidth="1" style="261" min="6924" max="6924"/>
    <col width="8.7265625" customWidth="1" style="261" min="6925" max="7168"/>
    <col width="63.453125" customWidth="1" style="261" min="7169" max="7169"/>
    <col width="10.453125" customWidth="1" style="261" min="7170" max="7170"/>
    <col width="16.1796875" customWidth="1" style="261" min="7171" max="7171"/>
    <col width="8.7265625" customWidth="1" style="261" min="7172" max="7179"/>
    <col width="15.1796875" bestFit="1" customWidth="1" style="261" min="7180" max="7180"/>
    <col width="8.7265625" customWidth="1" style="261" min="7181" max="7424"/>
    <col width="63.453125" customWidth="1" style="261" min="7425" max="7425"/>
    <col width="10.453125" customWidth="1" style="261" min="7426" max="7426"/>
    <col width="16.1796875" customWidth="1" style="261" min="7427" max="7427"/>
    <col width="8.7265625" customWidth="1" style="261" min="7428" max="7435"/>
    <col width="15.1796875" bestFit="1" customWidth="1" style="261" min="7436" max="7436"/>
    <col width="8.7265625" customWidth="1" style="261" min="7437" max="7680"/>
    <col width="63.453125" customWidth="1" style="261" min="7681" max="7681"/>
    <col width="10.453125" customWidth="1" style="261" min="7682" max="7682"/>
    <col width="16.1796875" customWidth="1" style="261" min="7683" max="7683"/>
    <col width="8.7265625" customWidth="1" style="261" min="7684" max="7691"/>
    <col width="15.1796875" bestFit="1" customWidth="1" style="261" min="7692" max="7692"/>
    <col width="8.7265625" customWidth="1" style="261" min="7693" max="7936"/>
    <col width="63.453125" customWidth="1" style="261" min="7937" max="7937"/>
    <col width="10.453125" customWidth="1" style="261" min="7938" max="7938"/>
    <col width="16.1796875" customWidth="1" style="261" min="7939" max="7939"/>
    <col width="8.7265625" customWidth="1" style="261" min="7940" max="7947"/>
    <col width="15.1796875" bestFit="1" customWidth="1" style="261" min="7948" max="7948"/>
    <col width="8.7265625" customWidth="1" style="261" min="7949" max="8192"/>
    <col width="63.453125" customWidth="1" style="261" min="8193" max="8193"/>
    <col width="10.453125" customWidth="1" style="261" min="8194" max="8194"/>
    <col width="16.1796875" customWidth="1" style="261" min="8195" max="8195"/>
    <col width="8.7265625" customWidth="1" style="261" min="8196" max="8203"/>
    <col width="15.1796875" bestFit="1" customWidth="1" style="261" min="8204" max="8204"/>
    <col width="8.7265625" customWidth="1" style="261" min="8205" max="8448"/>
    <col width="63.453125" customWidth="1" style="261" min="8449" max="8449"/>
    <col width="10.453125" customWidth="1" style="261" min="8450" max="8450"/>
    <col width="16.1796875" customWidth="1" style="261" min="8451" max="8451"/>
    <col width="8.7265625" customWidth="1" style="261" min="8452" max="8459"/>
    <col width="15.1796875" bestFit="1" customWidth="1" style="261" min="8460" max="8460"/>
    <col width="8.7265625" customWidth="1" style="261" min="8461" max="8704"/>
    <col width="63.453125" customWidth="1" style="261" min="8705" max="8705"/>
    <col width="10.453125" customWidth="1" style="261" min="8706" max="8706"/>
    <col width="16.1796875" customWidth="1" style="261" min="8707" max="8707"/>
    <col width="8.7265625" customWidth="1" style="261" min="8708" max="8715"/>
    <col width="15.1796875" bestFit="1" customWidth="1" style="261" min="8716" max="8716"/>
    <col width="8.7265625" customWidth="1" style="261" min="8717" max="8960"/>
    <col width="63.453125" customWidth="1" style="261" min="8961" max="8961"/>
    <col width="10.453125" customWidth="1" style="261" min="8962" max="8962"/>
    <col width="16.1796875" customWidth="1" style="261" min="8963" max="8963"/>
    <col width="8.7265625" customWidth="1" style="261" min="8964" max="8971"/>
    <col width="15.1796875" bestFit="1" customWidth="1" style="261" min="8972" max="8972"/>
    <col width="8.7265625" customWidth="1" style="261" min="8973" max="9216"/>
    <col width="63.453125" customWidth="1" style="261" min="9217" max="9217"/>
    <col width="10.453125" customWidth="1" style="261" min="9218" max="9218"/>
    <col width="16.1796875" customWidth="1" style="261" min="9219" max="9219"/>
    <col width="8.7265625" customWidth="1" style="261" min="9220" max="9227"/>
    <col width="15.1796875" bestFit="1" customWidth="1" style="261" min="9228" max="9228"/>
    <col width="8.7265625" customWidth="1" style="261" min="9229" max="9472"/>
    <col width="63.453125" customWidth="1" style="261" min="9473" max="9473"/>
    <col width="10.453125" customWidth="1" style="261" min="9474" max="9474"/>
    <col width="16.1796875" customWidth="1" style="261" min="9475" max="9475"/>
    <col width="8.7265625" customWidth="1" style="261" min="9476" max="9483"/>
    <col width="15.1796875" bestFit="1" customWidth="1" style="261" min="9484" max="9484"/>
    <col width="8.7265625" customWidth="1" style="261" min="9485" max="9728"/>
    <col width="63.453125" customWidth="1" style="261" min="9729" max="9729"/>
    <col width="10.453125" customWidth="1" style="261" min="9730" max="9730"/>
    <col width="16.1796875" customWidth="1" style="261" min="9731" max="9731"/>
    <col width="8.7265625" customWidth="1" style="261" min="9732" max="9739"/>
    <col width="15.1796875" bestFit="1" customWidth="1" style="261" min="9740" max="9740"/>
    <col width="8.7265625" customWidth="1" style="261" min="9741" max="9984"/>
    <col width="63.453125" customWidth="1" style="261" min="9985" max="9985"/>
    <col width="10.453125" customWidth="1" style="261" min="9986" max="9986"/>
    <col width="16.1796875" customWidth="1" style="261" min="9987" max="9987"/>
    <col width="8.7265625" customWidth="1" style="261" min="9988" max="9995"/>
    <col width="15.1796875" bestFit="1" customWidth="1" style="261" min="9996" max="9996"/>
    <col width="8.7265625" customWidth="1" style="261" min="9997" max="10240"/>
    <col width="63.453125" customWidth="1" style="261" min="10241" max="10241"/>
    <col width="10.453125" customWidth="1" style="261" min="10242" max="10242"/>
    <col width="16.1796875" customWidth="1" style="261" min="10243" max="10243"/>
    <col width="8.7265625" customWidth="1" style="261" min="10244" max="10251"/>
    <col width="15.1796875" bestFit="1" customWidth="1" style="261" min="10252" max="10252"/>
    <col width="8.7265625" customWidth="1" style="261" min="10253" max="10496"/>
    <col width="63.453125" customWidth="1" style="261" min="10497" max="10497"/>
    <col width="10.453125" customWidth="1" style="261" min="10498" max="10498"/>
    <col width="16.1796875" customWidth="1" style="261" min="10499" max="10499"/>
    <col width="8.7265625" customWidth="1" style="261" min="10500" max="10507"/>
    <col width="15.1796875" bestFit="1" customWidth="1" style="261" min="10508" max="10508"/>
    <col width="8.7265625" customWidth="1" style="261" min="10509" max="10752"/>
    <col width="63.453125" customWidth="1" style="261" min="10753" max="10753"/>
    <col width="10.453125" customWidth="1" style="261" min="10754" max="10754"/>
    <col width="16.1796875" customWidth="1" style="261" min="10755" max="10755"/>
    <col width="8.7265625" customWidth="1" style="261" min="10756" max="10763"/>
    <col width="15.1796875" bestFit="1" customWidth="1" style="261" min="10764" max="10764"/>
    <col width="8.7265625" customWidth="1" style="261" min="10765" max="11008"/>
    <col width="63.453125" customWidth="1" style="261" min="11009" max="11009"/>
    <col width="10.453125" customWidth="1" style="261" min="11010" max="11010"/>
    <col width="16.1796875" customWidth="1" style="261" min="11011" max="11011"/>
    <col width="8.7265625" customWidth="1" style="261" min="11012" max="11019"/>
    <col width="15.1796875" bestFit="1" customWidth="1" style="261" min="11020" max="11020"/>
    <col width="8.7265625" customWidth="1" style="261" min="11021" max="11264"/>
    <col width="63.453125" customWidth="1" style="261" min="11265" max="11265"/>
    <col width="10.453125" customWidth="1" style="261" min="11266" max="11266"/>
    <col width="16.1796875" customWidth="1" style="261" min="11267" max="11267"/>
    <col width="8.7265625" customWidth="1" style="261" min="11268" max="11275"/>
    <col width="15.1796875" bestFit="1" customWidth="1" style="261" min="11276" max="11276"/>
    <col width="8.7265625" customWidth="1" style="261" min="11277" max="11520"/>
    <col width="63.453125" customWidth="1" style="261" min="11521" max="11521"/>
    <col width="10.453125" customWidth="1" style="261" min="11522" max="11522"/>
    <col width="16.1796875" customWidth="1" style="261" min="11523" max="11523"/>
    <col width="8.7265625" customWidth="1" style="261" min="11524" max="11531"/>
    <col width="15.1796875" bestFit="1" customWidth="1" style="261" min="11532" max="11532"/>
    <col width="8.7265625" customWidth="1" style="261" min="11533" max="11776"/>
    <col width="63.453125" customWidth="1" style="261" min="11777" max="11777"/>
    <col width="10.453125" customWidth="1" style="261" min="11778" max="11778"/>
    <col width="16.1796875" customWidth="1" style="261" min="11779" max="11779"/>
    <col width="8.7265625" customWidth="1" style="261" min="11780" max="11787"/>
    <col width="15.1796875" bestFit="1" customWidth="1" style="261" min="11788" max="11788"/>
    <col width="8.7265625" customWidth="1" style="261" min="11789" max="12032"/>
    <col width="63.453125" customWidth="1" style="261" min="12033" max="12033"/>
    <col width="10.453125" customWidth="1" style="261" min="12034" max="12034"/>
    <col width="16.1796875" customWidth="1" style="261" min="12035" max="12035"/>
    <col width="8.7265625" customWidth="1" style="261" min="12036" max="12043"/>
    <col width="15.1796875" bestFit="1" customWidth="1" style="261" min="12044" max="12044"/>
    <col width="8.7265625" customWidth="1" style="261" min="12045" max="12288"/>
    <col width="63.453125" customWidth="1" style="261" min="12289" max="12289"/>
    <col width="10.453125" customWidth="1" style="261" min="12290" max="12290"/>
    <col width="16.1796875" customWidth="1" style="261" min="12291" max="12291"/>
    <col width="8.7265625" customWidth="1" style="261" min="12292" max="12299"/>
    <col width="15.1796875" bestFit="1" customWidth="1" style="261" min="12300" max="12300"/>
    <col width="8.7265625" customWidth="1" style="261" min="12301" max="12544"/>
    <col width="63.453125" customWidth="1" style="261" min="12545" max="12545"/>
    <col width="10.453125" customWidth="1" style="261" min="12546" max="12546"/>
    <col width="16.1796875" customWidth="1" style="261" min="12547" max="12547"/>
    <col width="8.7265625" customWidth="1" style="261" min="12548" max="12555"/>
    <col width="15.1796875" bestFit="1" customWidth="1" style="261" min="12556" max="12556"/>
    <col width="8.7265625" customWidth="1" style="261" min="12557" max="12800"/>
    <col width="63.453125" customWidth="1" style="261" min="12801" max="12801"/>
    <col width="10.453125" customWidth="1" style="261" min="12802" max="12802"/>
    <col width="16.1796875" customWidth="1" style="261" min="12803" max="12803"/>
    <col width="8.7265625" customWidth="1" style="261" min="12804" max="12811"/>
    <col width="15.1796875" bestFit="1" customWidth="1" style="261" min="12812" max="12812"/>
    <col width="8.7265625" customWidth="1" style="261" min="12813" max="13056"/>
    <col width="63.453125" customWidth="1" style="261" min="13057" max="13057"/>
    <col width="10.453125" customWidth="1" style="261" min="13058" max="13058"/>
    <col width="16.1796875" customWidth="1" style="261" min="13059" max="13059"/>
    <col width="8.7265625" customWidth="1" style="261" min="13060" max="13067"/>
    <col width="15.1796875" bestFit="1" customWidth="1" style="261" min="13068" max="13068"/>
    <col width="8.7265625" customWidth="1" style="261" min="13069" max="13312"/>
    <col width="63.453125" customWidth="1" style="261" min="13313" max="13313"/>
    <col width="10.453125" customWidth="1" style="261" min="13314" max="13314"/>
    <col width="16.1796875" customWidth="1" style="261" min="13315" max="13315"/>
    <col width="8.7265625" customWidth="1" style="261" min="13316" max="13323"/>
    <col width="15.1796875" bestFit="1" customWidth="1" style="261" min="13324" max="13324"/>
    <col width="8.7265625" customWidth="1" style="261" min="13325" max="13568"/>
    <col width="63.453125" customWidth="1" style="261" min="13569" max="13569"/>
    <col width="10.453125" customWidth="1" style="261" min="13570" max="13570"/>
    <col width="16.1796875" customWidth="1" style="261" min="13571" max="13571"/>
    <col width="8.7265625" customWidth="1" style="261" min="13572" max="13579"/>
    <col width="15.1796875" bestFit="1" customWidth="1" style="261" min="13580" max="13580"/>
    <col width="8.7265625" customWidth="1" style="261" min="13581" max="13824"/>
    <col width="63.453125" customWidth="1" style="261" min="13825" max="13825"/>
    <col width="10.453125" customWidth="1" style="261" min="13826" max="13826"/>
    <col width="16.1796875" customWidth="1" style="261" min="13827" max="13827"/>
    <col width="8.7265625" customWidth="1" style="261" min="13828" max="13835"/>
    <col width="15.1796875" bestFit="1" customWidth="1" style="261" min="13836" max="13836"/>
    <col width="8.7265625" customWidth="1" style="261" min="13837" max="14080"/>
    <col width="63.453125" customWidth="1" style="261" min="14081" max="14081"/>
    <col width="10.453125" customWidth="1" style="261" min="14082" max="14082"/>
    <col width="16.1796875" customWidth="1" style="261" min="14083" max="14083"/>
    <col width="8.7265625" customWidth="1" style="261" min="14084" max="14091"/>
    <col width="15.1796875" bestFit="1" customWidth="1" style="261" min="14092" max="14092"/>
    <col width="8.7265625" customWidth="1" style="261" min="14093" max="14336"/>
    <col width="63.453125" customWidth="1" style="261" min="14337" max="14337"/>
    <col width="10.453125" customWidth="1" style="261" min="14338" max="14338"/>
    <col width="16.1796875" customWidth="1" style="261" min="14339" max="14339"/>
    <col width="8.7265625" customWidth="1" style="261" min="14340" max="14347"/>
    <col width="15.1796875" bestFit="1" customWidth="1" style="261" min="14348" max="14348"/>
    <col width="8.7265625" customWidth="1" style="261" min="14349" max="14592"/>
    <col width="63.453125" customWidth="1" style="261" min="14593" max="14593"/>
    <col width="10.453125" customWidth="1" style="261" min="14594" max="14594"/>
    <col width="16.1796875" customWidth="1" style="261" min="14595" max="14595"/>
    <col width="8.7265625" customWidth="1" style="261" min="14596" max="14603"/>
    <col width="15.1796875" bestFit="1" customWidth="1" style="261" min="14604" max="14604"/>
    <col width="8.7265625" customWidth="1" style="261" min="14605" max="14848"/>
    <col width="63.453125" customWidth="1" style="261" min="14849" max="14849"/>
    <col width="10.453125" customWidth="1" style="261" min="14850" max="14850"/>
    <col width="16.1796875" customWidth="1" style="261" min="14851" max="14851"/>
    <col width="8.7265625" customWidth="1" style="261" min="14852" max="14859"/>
    <col width="15.1796875" bestFit="1" customWidth="1" style="261" min="14860" max="14860"/>
    <col width="8.7265625" customWidth="1" style="261" min="14861" max="15104"/>
    <col width="63.453125" customWidth="1" style="261" min="15105" max="15105"/>
    <col width="10.453125" customWidth="1" style="261" min="15106" max="15106"/>
    <col width="16.1796875" customWidth="1" style="261" min="15107" max="15107"/>
    <col width="8.7265625" customWidth="1" style="261" min="15108" max="15115"/>
    <col width="15.1796875" bestFit="1" customWidth="1" style="261" min="15116" max="15116"/>
    <col width="8.7265625" customWidth="1" style="261" min="15117" max="15360"/>
    <col width="63.453125" customWidth="1" style="261" min="15361" max="15361"/>
    <col width="10.453125" customWidth="1" style="261" min="15362" max="15362"/>
    <col width="16.1796875" customWidth="1" style="261" min="15363" max="15363"/>
    <col width="8.7265625" customWidth="1" style="261" min="15364" max="15371"/>
    <col width="15.1796875" bestFit="1" customWidth="1" style="261" min="15372" max="15372"/>
    <col width="8.7265625" customWidth="1" style="261" min="15373" max="15616"/>
    <col width="63.453125" customWidth="1" style="261" min="15617" max="15617"/>
    <col width="10.453125" customWidth="1" style="261" min="15618" max="15618"/>
    <col width="16.1796875" customWidth="1" style="261" min="15619" max="15619"/>
    <col width="8.7265625" customWidth="1" style="261" min="15620" max="15627"/>
    <col width="15.1796875" bestFit="1" customWidth="1" style="261" min="15628" max="15628"/>
    <col width="8.7265625" customWidth="1" style="261" min="15629" max="15872"/>
    <col width="63.453125" customWidth="1" style="261" min="15873" max="15873"/>
    <col width="10.453125" customWidth="1" style="261" min="15874" max="15874"/>
    <col width="16.1796875" customWidth="1" style="261" min="15875" max="15875"/>
    <col width="8.7265625" customWidth="1" style="261" min="15876" max="15883"/>
    <col width="15.1796875" bestFit="1" customWidth="1" style="261" min="15884" max="15884"/>
    <col width="8.7265625" customWidth="1" style="261" min="15885" max="16128"/>
    <col width="63.453125" customWidth="1" style="261" min="16129" max="16129"/>
    <col width="10.453125" customWidth="1" style="261" min="16130" max="16130"/>
    <col width="16.1796875" customWidth="1" style="261" min="16131" max="16131"/>
    <col width="8.7265625" customWidth="1" style="261" min="16132" max="16139"/>
    <col width="15.1796875" bestFit="1" customWidth="1" style="261" min="16140" max="16140"/>
    <col width="8.726562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B2" sqref="B2:H52"/>
    </sheetView>
  </sheetViews>
  <sheetFormatPr baseColWidth="8" defaultColWidth="8" defaultRowHeight="16"/>
  <cols>
    <col width="8" customWidth="1" style="408" min="1" max="1"/>
    <col width="37.1796875" customWidth="1" style="408" min="2" max="2"/>
    <col width="10.1796875" customWidth="1" style="408" min="3" max="3"/>
    <col width="10.26953125" customWidth="1" style="408" min="4" max="4"/>
    <col width="2.26953125" customWidth="1" style="408" min="5" max="5"/>
    <col width="36.26953125" customWidth="1" style="408" min="6" max="6"/>
    <col width="15" customWidth="1" style="408" min="7" max="7"/>
    <col width="10.26953125" customWidth="1" style="408" min="8" max="8"/>
    <col width="8" customWidth="1" style="408" min="9" max="10"/>
    <col width="8" customWidth="1" style="408" min="11" max="16384"/>
  </cols>
  <sheetData>
    <row r="2" ht="18" customHeight="1">
      <c r="B2" s="394" t="inlineStr">
        <is>
          <t>Financial Product Catalog: A Ready Reckoner , As on 18th July 2025</t>
        </is>
      </c>
      <c r="C2" s="474" t="n"/>
      <c r="D2" s="474" t="n"/>
      <c r="E2" s="474" t="n"/>
      <c r="F2" s="474" t="n"/>
      <c r="G2" s="474" t="n"/>
      <c r="H2" s="475" t="n"/>
    </row>
    <row r="3" ht="18" customHeight="1">
      <c r="B3" s="398" t="n"/>
      <c r="C3" s="476" t="n"/>
      <c r="D3" s="476" t="n"/>
      <c r="E3" s="476" t="n"/>
      <c r="F3" s="476" t="n"/>
      <c r="G3" s="476" t="n"/>
      <c r="H3" s="477" t="n"/>
    </row>
    <row r="4" ht="18" customHeight="1">
      <c r="B4" s="401" t="inlineStr">
        <is>
          <t>Whats new? (July 2025)</t>
        </is>
      </c>
      <c r="C4" s="478" t="n"/>
      <c r="D4" s="479" t="n"/>
      <c r="E4" s="412" t="n"/>
      <c r="F4" s="391" t="inlineStr">
        <is>
          <t>Debt</t>
        </is>
      </c>
      <c r="G4" s="478" t="n"/>
      <c r="H4" s="480" t="n"/>
    </row>
    <row r="5" ht="18" customHeight="1">
      <c r="B5" s="405" t="inlineStr">
        <is>
          <t>Fund Name</t>
        </is>
      </c>
      <c r="C5" s="414" t="inlineStr">
        <is>
          <t>End Date</t>
        </is>
      </c>
      <c r="D5" s="479" t="n"/>
      <c r="E5" s="407" t="n"/>
      <c r="H5" s="481" t="n"/>
    </row>
    <row r="6" ht="18" customHeight="1">
      <c r="B6" s="410" t="inlineStr">
        <is>
          <t>ICICI Prudential Active Momentum Fund</t>
        </is>
      </c>
      <c r="C6" s="424" t="inlineStr">
        <is>
          <t>July 22, 2025</t>
        </is>
      </c>
      <c r="D6" s="479" t="n"/>
      <c r="E6" s="412" t="n"/>
      <c r="F6" s="413" t="inlineStr">
        <is>
          <t>Debt Mutual Funds (Ultra Short Duration)</t>
        </is>
      </c>
      <c r="G6" s="414" t="inlineStr">
        <is>
          <t>3-Year Return</t>
        </is>
      </c>
      <c r="H6" s="415" t="inlineStr">
        <is>
          <t>1-Year Return</t>
        </is>
      </c>
    </row>
    <row r="7" ht="18" customHeight="1">
      <c r="B7" s="410" t="inlineStr">
        <is>
          <t>Bandhan Multi-Factor Fund</t>
        </is>
      </c>
      <c r="C7" s="424" t="inlineStr">
        <is>
          <t>July 24, 2025</t>
        </is>
      </c>
      <c r="D7" s="479" t="n"/>
      <c r="E7" s="482" t="n"/>
      <c r="F7" s="417" t="inlineStr">
        <is>
          <t>NIFTY Ultra Short Duration Debt Index</t>
        </is>
      </c>
      <c r="G7" s="418" t="n">
        <v>0.07679999999999999</v>
      </c>
      <c r="H7" s="419" t="n">
        <v>0.07340000000000001</v>
      </c>
    </row>
    <row r="8" ht="18" customHeight="1">
      <c r="B8" s="420" t="n"/>
      <c r="E8" s="483" t="n"/>
      <c r="F8" s="413" t="inlineStr">
        <is>
          <t>Ultra Short - Fund Name ( Return CAGR )</t>
        </is>
      </c>
      <c r="G8" s="414" t="inlineStr">
        <is>
          <t>3-Year Return</t>
        </is>
      </c>
      <c r="H8" s="415" t="inlineStr">
        <is>
          <t>1-Year Return</t>
        </is>
      </c>
    </row>
    <row r="9" ht="18" customHeight="1">
      <c r="B9" s="422" t="inlineStr">
        <is>
          <t>Equity</t>
        </is>
      </c>
      <c r="C9" s="478" t="n"/>
      <c r="D9" s="479" t="n"/>
      <c r="E9" s="412" t="n"/>
      <c r="F9" s="424">
        <f>'Summary '!J4</f>
        <v/>
      </c>
      <c r="G9" s="425">
        <f>'Summary '!K4</f>
        <v/>
      </c>
      <c r="H9" s="426">
        <f>'Summary '!L4</f>
        <v/>
      </c>
    </row>
    <row r="10" ht="18" customHeight="1">
      <c r="B10" s="420" t="n"/>
      <c r="E10" s="483" t="n"/>
      <c r="F10" s="424">
        <f>'Summary '!J5</f>
        <v/>
      </c>
      <c r="G10" s="425">
        <f>'Summary '!K5</f>
        <v/>
      </c>
      <c r="H10" s="426">
        <f>'Summary '!L5</f>
        <v/>
      </c>
    </row>
    <row r="11" ht="18" customHeight="1">
      <c r="B11" s="405" t="inlineStr">
        <is>
          <t>Large Cap - Funds</t>
        </is>
      </c>
      <c r="C11" s="414" t="inlineStr">
        <is>
          <t>3-Year Return</t>
        </is>
      </c>
      <c r="D11" s="414" t="inlineStr">
        <is>
          <t>1-Year Return</t>
        </is>
      </c>
      <c r="E11" s="412" t="n"/>
      <c r="F11" s="424">
        <f>'Summary '!J6</f>
        <v/>
      </c>
      <c r="G11" s="425">
        <f>'Summary '!K6</f>
        <v/>
      </c>
      <c r="H11" s="426">
        <f>'Summary '!L6</f>
        <v/>
      </c>
    </row>
    <row r="12" ht="18" customHeight="1">
      <c r="B12" s="427" t="inlineStr">
        <is>
          <t>NIFTY 50</t>
        </is>
      </c>
      <c r="C12" s="418" t="n">
        <v>0.5334</v>
      </c>
      <c r="D12" s="418" t="n">
        <v>0.0065</v>
      </c>
      <c r="E12" s="482" t="n"/>
      <c r="F12" s="428" t="n"/>
      <c r="G12" s="478" t="n"/>
      <c r="H12" s="480" t="n"/>
    </row>
    <row r="13" ht="18" customHeight="1">
      <c r="B13" s="430" t="inlineStr">
        <is>
          <t>Large Cap - Funds (Return CAGR)</t>
        </is>
      </c>
      <c r="C13" s="414" t="inlineStr">
        <is>
          <t>3-Year Return</t>
        </is>
      </c>
      <c r="D13" s="414" t="inlineStr">
        <is>
          <t>1-Year Return</t>
        </is>
      </c>
      <c r="E13" s="482" t="n"/>
      <c r="F13" s="413" t="inlineStr">
        <is>
          <t>Debt Mutual Funds (Low Duration)</t>
        </is>
      </c>
      <c r="G13" s="414" t="inlineStr">
        <is>
          <t>3-Year Return</t>
        </is>
      </c>
      <c r="H13" s="415" t="inlineStr">
        <is>
          <t>1-Year Return</t>
        </is>
      </c>
    </row>
    <row r="14" ht="18" customHeight="1">
      <c r="B14" s="410">
        <f>'Summary '!D4</f>
        <v/>
      </c>
      <c r="C14" s="425">
        <f>'Summary '!E4</f>
        <v/>
      </c>
      <c r="D14" s="425">
        <f>'Summary '!F4</f>
        <v/>
      </c>
      <c r="E14" s="482" t="n"/>
      <c r="F14" s="417" t="inlineStr">
        <is>
          <t>NIFTY Low Duration Debt Index</t>
        </is>
      </c>
      <c r="G14" s="418" t="n">
        <v>0.0731</v>
      </c>
      <c r="H14" s="419" t="n">
        <v>0.079</v>
      </c>
    </row>
    <row r="15" ht="18" customHeight="1">
      <c r="B15" s="410">
        <f>'Summary '!D5</f>
        <v/>
      </c>
      <c r="C15" s="425">
        <f>'Summary '!E5</f>
        <v/>
      </c>
      <c r="D15" s="425">
        <f>'Summary '!F5</f>
        <v/>
      </c>
      <c r="E15" s="482" t="n"/>
      <c r="F15" s="413" t="inlineStr">
        <is>
          <t>Low Duration - Funds ( Return CAGR )</t>
        </is>
      </c>
      <c r="G15" s="414" t="inlineStr">
        <is>
          <t>3-Year Return</t>
        </is>
      </c>
      <c r="H15" s="415" t="inlineStr">
        <is>
          <t>1-Year Return</t>
        </is>
      </c>
    </row>
    <row r="16" ht="18" customHeight="1">
      <c r="B16" s="410">
        <f>'Summary '!D6</f>
        <v/>
      </c>
      <c r="C16" s="425">
        <f>'Summary '!E6</f>
        <v/>
      </c>
      <c r="D16" s="425">
        <f>'Summary '!F6</f>
        <v/>
      </c>
      <c r="E16" s="482" t="n"/>
      <c r="F16" s="424">
        <f>'Summary '!J8</f>
        <v/>
      </c>
      <c r="G16" s="425">
        <f>'Summary '!K8</f>
        <v/>
      </c>
      <c r="H16" s="426">
        <f>'Summary '!L8</f>
        <v/>
      </c>
    </row>
    <row r="17" ht="18" customHeight="1">
      <c r="B17" s="427" t="inlineStr">
        <is>
          <t>SIP of 50000*36=1800000, Maturity Value Would be</t>
        </is>
      </c>
      <c r="C17" s="431" t="n">
        <v>2572605</v>
      </c>
      <c r="D17" s="479" t="n"/>
      <c r="E17" s="482" t="n"/>
      <c r="F17" s="424">
        <f>'Summary '!J9</f>
        <v/>
      </c>
      <c r="G17" s="425">
        <f>'Summary '!K9</f>
        <v/>
      </c>
      <c r="H17" s="426">
        <f>'Summary '!L9</f>
        <v/>
      </c>
    </row>
    <row r="18" ht="18" customHeight="1">
      <c r="B18" s="420" t="n"/>
      <c r="E18" s="483" t="n"/>
      <c r="F18" s="424">
        <f>'Summary '!J10</f>
        <v/>
      </c>
      <c r="G18" s="425">
        <f>'Summary '!K10</f>
        <v/>
      </c>
      <c r="H18" s="426">
        <f>'Summary '!L10</f>
        <v/>
      </c>
    </row>
    <row r="19" ht="18" customHeight="1">
      <c r="B19" s="430" t="inlineStr">
        <is>
          <t>Large &amp; Mid Cap - Funds</t>
        </is>
      </c>
      <c r="C19" s="414" t="inlineStr">
        <is>
          <t>3-Year Return</t>
        </is>
      </c>
      <c r="D19" s="414" t="inlineStr">
        <is>
          <t>1-Year Return</t>
        </is>
      </c>
      <c r="E19" s="432" t="n"/>
      <c r="F19" s="428" t="n"/>
      <c r="G19" s="478" t="n"/>
      <c r="H19" s="480" t="n"/>
    </row>
    <row r="20" ht="18" customHeight="1">
      <c r="B20" s="410">
        <f>'Summary '!D8</f>
        <v/>
      </c>
      <c r="C20" s="425">
        <f>'Summary '!E8</f>
        <v/>
      </c>
      <c r="D20" s="425">
        <f>'Summary '!F8</f>
        <v/>
      </c>
      <c r="E20" s="432" t="n"/>
      <c r="F20" s="413" t="inlineStr">
        <is>
          <t>Debt Mutual Funds (Short Duration)</t>
        </is>
      </c>
      <c r="G20" s="414" t="inlineStr">
        <is>
          <t>3-Year Return</t>
        </is>
      </c>
      <c r="H20" s="415" t="inlineStr">
        <is>
          <t>1-Year Return</t>
        </is>
      </c>
    </row>
    <row r="21" ht="18" customHeight="1">
      <c r="B21" s="410">
        <f>'Summary '!D9</f>
        <v/>
      </c>
      <c r="C21" s="425">
        <f>'Summary '!E9</f>
        <v/>
      </c>
      <c r="D21" s="425">
        <f>'Summary '!F9</f>
        <v/>
      </c>
      <c r="E21" s="432" t="n"/>
      <c r="F21" s="433" t="inlineStr">
        <is>
          <t>NIFTY Short Duration Debt Index A-II</t>
        </is>
      </c>
      <c r="G21" s="418" t="n">
        <v>0.075</v>
      </c>
      <c r="H21" s="419" t="n">
        <v>0.0851</v>
      </c>
    </row>
    <row r="22" ht="18" customHeight="1">
      <c r="B22" s="410">
        <f>'Summary '!D10</f>
        <v/>
      </c>
      <c r="C22" s="425">
        <f>'Summary '!E10</f>
        <v/>
      </c>
      <c r="D22" s="425">
        <f>'Summary '!F10</f>
        <v/>
      </c>
      <c r="E22" s="432" t="n"/>
      <c r="F22" s="413" t="inlineStr">
        <is>
          <t>Medium Term - Funds ( Return CAGR )</t>
        </is>
      </c>
      <c r="G22" s="414" t="inlineStr">
        <is>
          <t>3-Year Return</t>
        </is>
      </c>
      <c r="H22" s="415" t="inlineStr">
        <is>
          <t>1-Year Return</t>
        </is>
      </c>
    </row>
    <row r="23" ht="18" customHeight="1">
      <c r="B23" s="427" t="inlineStr">
        <is>
          <t>SIP of 50000*36=1800000, Maturity Value Would be</t>
        </is>
      </c>
      <c r="C23" s="431" t="n">
        <v>2646895</v>
      </c>
      <c r="D23" s="479" t="n"/>
      <c r="E23" s="432" t="n"/>
      <c r="F23" s="424">
        <f>'Summary '!J12</f>
        <v/>
      </c>
      <c r="G23" s="425">
        <f>'Summary '!K12</f>
        <v/>
      </c>
      <c r="H23" s="426">
        <f>'Summary '!L12</f>
        <v/>
      </c>
    </row>
    <row r="24" ht="18" customHeight="1">
      <c r="B24" s="434" t="n"/>
      <c r="C24" s="478" t="n"/>
      <c r="D24" s="479" t="n"/>
      <c r="E24" s="432" t="n"/>
      <c r="F24" s="424">
        <f>'Summary '!J13</f>
        <v/>
      </c>
      <c r="G24" s="425">
        <f>'Summary '!K13</f>
        <v/>
      </c>
      <c r="H24" s="426">
        <f>'Summary '!L13</f>
        <v/>
      </c>
    </row>
    <row r="25" ht="18" customHeight="1">
      <c r="B25" s="405" t="inlineStr">
        <is>
          <t>Mid Cap - Funds</t>
        </is>
      </c>
      <c r="C25" s="414" t="inlineStr">
        <is>
          <t>3-Year Return</t>
        </is>
      </c>
      <c r="D25" s="414" t="inlineStr">
        <is>
          <t>1-Year Return</t>
        </is>
      </c>
      <c r="E25" s="432" t="n"/>
      <c r="F25" s="424">
        <f>'Summary '!J14</f>
        <v/>
      </c>
      <c r="G25" s="425">
        <f>'Summary '!K14</f>
        <v/>
      </c>
      <c r="H25" s="426">
        <f>'Summary '!L14</f>
        <v/>
      </c>
    </row>
    <row r="26" ht="18" customHeight="1">
      <c r="B26" s="427" t="inlineStr">
        <is>
          <t>NIFTY Midcap 100</t>
        </is>
      </c>
      <c r="C26" s="418" t="n">
        <v>1.0847</v>
      </c>
      <c r="D26" s="418" t="n">
        <v>0.037</v>
      </c>
      <c r="E26" s="432" t="n"/>
      <c r="F26" s="428" t="n"/>
      <c r="G26" s="478" t="n"/>
      <c r="H26" s="480" t="n"/>
    </row>
    <row r="27" ht="18" customHeight="1">
      <c r="B27" s="430" t="inlineStr">
        <is>
          <t>Mid Cap - Funds  (Return CAGR)</t>
        </is>
      </c>
      <c r="C27" s="414" t="inlineStr">
        <is>
          <t>3-Year CAGR</t>
        </is>
      </c>
      <c r="D27" s="414" t="inlineStr">
        <is>
          <t>1-Year Return</t>
        </is>
      </c>
      <c r="F27" s="413" t="inlineStr">
        <is>
          <t>Debt Mutual Funds (Medium Duration)</t>
        </is>
      </c>
      <c r="G27" s="414" t="inlineStr">
        <is>
          <t>3-Year Return</t>
        </is>
      </c>
      <c r="H27" s="415" t="inlineStr">
        <is>
          <t>1-Year Return</t>
        </is>
      </c>
    </row>
    <row r="28" ht="18" customHeight="1">
      <c r="B28" s="410">
        <f>'Summary '!D12</f>
        <v/>
      </c>
      <c r="C28" s="425">
        <f>'Summary '!E12</f>
        <v/>
      </c>
      <c r="D28" s="425">
        <f>'Summary '!F12</f>
        <v/>
      </c>
      <c r="F28" s="433" t="inlineStr">
        <is>
          <t>NIFTY Medium Duration Debt Index A-III</t>
        </is>
      </c>
      <c r="G28" s="418" t="n">
        <v>0.0803</v>
      </c>
      <c r="H28" s="419" t="n">
        <v>0.0973</v>
      </c>
    </row>
    <row r="29" ht="18" customHeight="1">
      <c r="B29" s="410">
        <f>'Summary '!D13</f>
        <v/>
      </c>
      <c r="C29" s="425">
        <f>'Summary '!E13</f>
        <v/>
      </c>
      <c r="D29" s="425">
        <f>'Summary '!F13</f>
        <v/>
      </c>
      <c r="F29" s="413" t="inlineStr">
        <is>
          <t>Medium Term - Funds ( Return CAGR )</t>
        </is>
      </c>
      <c r="G29" s="414" t="inlineStr">
        <is>
          <t>3-Year Return</t>
        </is>
      </c>
      <c r="H29" s="415" t="inlineStr">
        <is>
          <t>1-Year Return</t>
        </is>
      </c>
    </row>
    <row r="30" ht="18" customHeight="1">
      <c r="B30" s="410">
        <f>'Summary '!D14</f>
        <v/>
      </c>
      <c r="C30" s="425">
        <f>'Summary '!E14</f>
        <v/>
      </c>
      <c r="D30" s="425">
        <f>'Summary '!F14</f>
        <v/>
      </c>
      <c r="F30" s="424">
        <f>'Summary '!J16</f>
        <v/>
      </c>
      <c r="G30" s="425">
        <f>'Summary '!K16</f>
        <v/>
      </c>
      <c r="H30" s="426">
        <f>'Summary '!L16</f>
        <v/>
      </c>
    </row>
    <row r="31" ht="18" customHeight="1">
      <c r="B31" s="427" t="inlineStr">
        <is>
          <t>SIP of 50000*36=1800000 , Maturity Value Would be</t>
        </is>
      </c>
      <c r="C31" s="431" t="n">
        <v>2767450</v>
      </c>
      <c r="D31" s="479" t="n"/>
      <c r="F31" s="424">
        <f>'Summary '!J17</f>
        <v/>
      </c>
      <c r="G31" s="425">
        <f>'Summary '!K17</f>
        <v/>
      </c>
      <c r="H31" s="426">
        <f>'Summary '!L17</f>
        <v/>
      </c>
    </row>
    <row r="32" ht="18" customHeight="1">
      <c r="B32" s="434" t="n"/>
      <c r="C32" s="478" t="n"/>
      <c r="D32" s="479" t="n"/>
      <c r="F32" s="424">
        <f>'Summary '!J18</f>
        <v/>
      </c>
      <c r="G32" s="425">
        <f>'Summary '!K18</f>
        <v/>
      </c>
      <c r="H32" s="426">
        <f>'Summary '!L18</f>
        <v/>
      </c>
    </row>
    <row r="33" ht="18" customHeight="1">
      <c r="B33" s="405" t="inlineStr">
        <is>
          <t>Small Cap - Funds</t>
        </is>
      </c>
      <c r="C33" s="414" t="inlineStr">
        <is>
          <t>3-Year Return</t>
        </is>
      </c>
      <c r="D33" s="414" t="inlineStr">
        <is>
          <t>1-Year Return</t>
        </is>
      </c>
      <c r="E33" s="432" t="n"/>
      <c r="H33" s="435" t="n"/>
    </row>
    <row r="34" ht="18" customHeight="1">
      <c r="B34" s="427" t="inlineStr">
        <is>
          <t>NIFTY Smallcap 100</t>
        </is>
      </c>
      <c r="C34" s="418" t="n">
        <v>1.1421</v>
      </c>
      <c r="D34" s="418" t="n">
        <v>-0.0083</v>
      </c>
      <c r="E34" s="432" t="n"/>
      <c r="F34" s="413" t="inlineStr">
        <is>
          <t>Debt Mutual Funds (Medium to Long Duration)</t>
        </is>
      </c>
      <c r="G34" s="414" t="inlineStr">
        <is>
          <t>3-Year Return</t>
        </is>
      </c>
      <c r="H34" s="415" t="inlineStr">
        <is>
          <t>1-Year Return</t>
        </is>
      </c>
    </row>
    <row r="35" ht="18" customHeight="1">
      <c r="B35" s="430" t="inlineStr">
        <is>
          <t>Small Cap - Funds ( Return CAGR )</t>
        </is>
      </c>
      <c r="C35" s="414" t="inlineStr">
        <is>
          <t>3-Yr CAGR</t>
        </is>
      </c>
      <c r="D35" s="414" t="inlineStr">
        <is>
          <t>1-Yr Return</t>
        </is>
      </c>
      <c r="E35" s="432" t="n"/>
      <c r="F35" s="433" t="inlineStr">
        <is>
          <t>NIFTY Medium to Long Duration Debt Index</t>
        </is>
      </c>
      <c r="G35" s="418" t="n">
        <v>0.0859</v>
      </c>
      <c r="H35" s="419" t="n">
        <v>0.1012</v>
      </c>
    </row>
    <row r="36" ht="18" customHeight="1">
      <c r="B36" s="410">
        <f>'Summary '!D16</f>
        <v/>
      </c>
      <c r="C36" s="425">
        <f>'Summary '!E16</f>
        <v/>
      </c>
      <c r="D36" s="425">
        <f>'Summary '!F16</f>
        <v/>
      </c>
      <c r="E36" s="432" t="n"/>
      <c r="F36" s="413" t="inlineStr">
        <is>
          <t>Medium to Long Term - Funds ( Return CAGR )</t>
        </is>
      </c>
      <c r="G36" s="414" t="inlineStr">
        <is>
          <t>3-Year Return</t>
        </is>
      </c>
      <c r="H36" s="415" t="inlineStr">
        <is>
          <t>1-Year Return</t>
        </is>
      </c>
    </row>
    <row r="37" ht="18" customHeight="1">
      <c r="B37" s="410">
        <f>'Summary '!D17</f>
        <v/>
      </c>
      <c r="C37" s="425">
        <f>'Summary '!E17</f>
        <v/>
      </c>
      <c r="D37" s="425">
        <f>'Summary '!F17</f>
        <v/>
      </c>
      <c r="E37" s="432" t="n"/>
      <c r="F37" s="424">
        <f>'Summary '!J20</f>
        <v/>
      </c>
      <c r="G37" s="425">
        <f>'Summary '!K20</f>
        <v/>
      </c>
      <c r="H37" s="426">
        <f>'Summary '!L20</f>
        <v/>
      </c>
    </row>
    <row r="38" ht="18" customHeight="1">
      <c r="B38" s="410">
        <f>'Summary '!D18</f>
        <v/>
      </c>
      <c r="C38" s="425">
        <f>'Summary '!E18</f>
        <v/>
      </c>
      <c r="D38" s="425">
        <f>'Summary '!F18</f>
        <v/>
      </c>
      <c r="E38" s="432" t="n"/>
      <c r="F38" s="424">
        <f>'Summary '!J21</f>
        <v/>
      </c>
      <c r="G38" s="425">
        <f>'Summary '!K21</f>
        <v/>
      </c>
      <c r="H38" s="426">
        <f>'Summary '!L21</f>
        <v/>
      </c>
    </row>
    <row r="39" ht="18" customHeight="1">
      <c r="B39" s="427" t="inlineStr">
        <is>
          <t>SIP of 50000*36=1800000 , Maturity Value Would be</t>
        </is>
      </c>
      <c r="C39" s="431" t="n">
        <v>2767450</v>
      </c>
      <c r="D39" s="479" t="n"/>
      <c r="E39" s="432" t="n"/>
      <c r="F39" s="424">
        <f>'Summary '!J22</f>
        <v/>
      </c>
      <c r="G39" s="425">
        <f>'Summary '!K22</f>
        <v/>
      </c>
      <c r="H39" s="426">
        <f>'Summary '!L22</f>
        <v/>
      </c>
    </row>
    <row r="40" ht="18" customHeight="1">
      <c r="B40" s="436" t="n"/>
      <c r="C40" s="478" t="n"/>
      <c r="D40" s="478" t="n"/>
      <c r="E40" s="437" t="n"/>
      <c r="F40" s="391" t="inlineStr">
        <is>
          <t>Others</t>
        </is>
      </c>
      <c r="G40" s="478" t="n"/>
      <c r="H40" s="480" t="n"/>
    </row>
    <row r="41" ht="18" customHeight="1">
      <c r="B41" s="405" t="inlineStr">
        <is>
          <t>Flexi Cap - Funds</t>
        </is>
      </c>
      <c r="C41" s="414" t="inlineStr">
        <is>
          <t>3-Year Return</t>
        </is>
      </c>
      <c r="D41" s="414" t="inlineStr">
        <is>
          <t>1-Year Return</t>
        </is>
      </c>
      <c r="E41" s="412" t="n"/>
      <c r="F41" s="414" t="inlineStr">
        <is>
          <t>Multi Asset</t>
        </is>
      </c>
      <c r="G41" s="414" t="inlineStr">
        <is>
          <t>3-Year Return</t>
        </is>
      </c>
      <c r="H41" s="415" t="inlineStr">
        <is>
          <t>1-Year Return</t>
        </is>
      </c>
    </row>
    <row r="42" ht="18" customHeight="1">
      <c r="B42" s="410">
        <f>'Summary '!D20</f>
        <v/>
      </c>
      <c r="C42" s="425">
        <f>'Summary '!E20</f>
        <v/>
      </c>
      <c r="D42" s="425">
        <f>'Summary '!F20</f>
        <v/>
      </c>
      <c r="E42" s="412" t="n"/>
      <c r="F42" s="417" t="inlineStr">
        <is>
          <t>Nifty 500</t>
        </is>
      </c>
      <c r="G42" s="418" t="n">
        <v>0.6649</v>
      </c>
      <c r="H42" s="419" t="n">
        <v>0.0031</v>
      </c>
    </row>
    <row r="43" ht="18" customHeight="1">
      <c r="B43" s="410">
        <f>'Summary '!D21</f>
        <v/>
      </c>
      <c r="C43" s="425">
        <f>'Summary '!E21</f>
        <v/>
      </c>
      <c r="D43" s="425">
        <f>'Summary '!F21</f>
        <v/>
      </c>
      <c r="E43" s="412" t="n"/>
      <c r="F43" s="424">
        <f>'Summary '!D28</f>
        <v/>
      </c>
      <c r="G43" s="425">
        <f>'Summary '!E28</f>
        <v/>
      </c>
      <c r="H43" s="426">
        <f>'Summary '!F28</f>
        <v/>
      </c>
    </row>
    <row r="44" ht="18" customHeight="1">
      <c r="B44" s="410">
        <f>'Summary '!D22</f>
        <v/>
      </c>
      <c r="C44" s="425">
        <f>'Summary '!E22</f>
        <v/>
      </c>
      <c r="D44" s="425">
        <f>'Summary '!F22</f>
        <v/>
      </c>
      <c r="E44" s="412" t="n"/>
      <c r="F44" s="424">
        <f>'Summary '!D29</f>
        <v/>
      </c>
      <c r="G44" s="425">
        <f>'Summary '!E29</f>
        <v/>
      </c>
      <c r="H44" s="426">
        <f>'Summary '!F29</f>
        <v/>
      </c>
    </row>
    <row r="45" ht="18" customHeight="1">
      <c r="B45" s="427" t="inlineStr">
        <is>
          <t>SIP of 50000*36=1800000 , Maturity Value Would be</t>
        </is>
      </c>
      <c r="C45" s="431" t="n">
        <v>2669566</v>
      </c>
      <c r="D45" s="479" t="n"/>
      <c r="E45" s="412" t="n"/>
      <c r="F45" s="424">
        <f>'Summary '!D30</f>
        <v/>
      </c>
      <c r="G45" s="425">
        <f>'Summary '!E30</f>
        <v/>
      </c>
      <c r="H45" s="426">
        <f>'Summary '!F30</f>
        <v/>
      </c>
    </row>
    <row r="46" ht="18" customHeight="1">
      <c r="B46" s="438" t="n"/>
      <c r="C46" s="439" t="n"/>
      <c r="D46" s="439" t="n"/>
      <c r="E46" s="437" t="n"/>
      <c r="F46" s="437" t="n"/>
      <c r="G46" s="437" t="n"/>
      <c r="H46" s="440" t="n"/>
    </row>
    <row r="47" ht="18" customHeight="1">
      <c r="B47" s="405" t="inlineStr">
        <is>
          <t>Thematic</t>
        </is>
      </c>
      <c r="C47" s="414" t="inlineStr">
        <is>
          <t>3-Year Return</t>
        </is>
      </c>
      <c r="D47" s="415" t="inlineStr">
        <is>
          <t>1-Year Return</t>
        </is>
      </c>
      <c r="E47" s="441" t="n"/>
      <c r="F47" s="414" t="inlineStr">
        <is>
          <t>BAF</t>
        </is>
      </c>
      <c r="G47" s="414" t="inlineStr">
        <is>
          <t>3-Year Return</t>
        </is>
      </c>
      <c r="H47" s="415" t="inlineStr">
        <is>
          <t>1-Year Return</t>
        </is>
      </c>
    </row>
    <row r="48" ht="18" customHeight="1">
      <c r="B48" s="442" t="inlineStr">
        <is>
          <t>Nifty 500</t>
        </is>
      </c>
      <c r="C48" s="418" t="n">
        <v>0.6649</v>
      </c>
      <c r="D48" s="419" t="n">
        <v>0.0031</v>
      </c>
      <c r="E48" s="441" t="n"/>
      <c r="F48" s="417" t="inlineStr">
        <is>
          <t>Nifty 50</t>
        </is>
      </c>
      <c r="G48" s="418" t="n">
        <v>0.5334</v>
      </c>
      <c r="H48" s="418" t="n">
        <v>0.0065</v>
      </c>
    </row>
    <row r="49" ht="18" customHeight="1">
      <c r="B49" s="410">
        <f>'Summary '!D43</f>
        <v/>
      </c>
      <c r="C49" s="425">
        <f>'Summary '!E43</f>
        <v/>
      </c>
      <c r="D49" s="426">
        <f>'Summary '!F43</f>
        <v/>
      </c>
      <c r="E49" s="441" t="n"/>
      <c r="F49" s="424">
        <f>'Summary '!D24</f>
        <v/>
      </c>
      <c r="G49" s="425">
        <f>'Summary '!E24</f>
        <v/>
      </c>
      <c r="H49" s="426">
        <f>'Summary '!F24</f>
        <v/>
      </c>
    </row>
    <row r="50" ht="18" customHeight="1">
      <c r="B50" s="410">
        <f>'Summary '!D44</f>
        <v/>
      </c>
      <c r="C50" s="425">
        <f>'Summary '!E44</f>
        <v/>
      </c>
      <c r="D50" s="426">
        <f>'Summary '!F44</f>
        <v/>
      </c>
      <c r="E50" s="441" t="n"/>
      <c r="F50" s="424">
        <f>'Summary '!D25</f>
        <v/>
      </c>
      <c r="G50" s="425">
        <f>'Summary '!E25</f>
        <v/>
      </c>
      <c r="H50" s="426">
        <f>'Summary '!F25</f>
        <v/>
      </c>
    </row>
    <row r="51" ht="18" customHeight="1">
      <c r="B51" s="410">
        <f>'Summary '!D45</f>
        <v/>
      </c>
      <c r="C51" s="425">
        <f>'Summary '!E45</f>
        <v/>
      </c>
      <c r="D51" s="443">
        <f>'Summary '!F45</f>
        <v/>
      </c>
      <c r="E51" s="441" t="n"/>
      <c r="F51" s="424">
        <f>'Summary '!D26</f>
        <v/>
      </c>
      <c r="G51" s="425">
        <f>'Summary '!E26</f>
        <v/>
      </c>
      <c r="H51" s="426">
        <f>'Summary '!F26</f>
        <v/>
      </c>
    </row>
    <row r="52" ht="18" customHeight="1">
      <c r="B52" s="444" t="n"/>
      <c r="C52" s="445" t="n"/>
      <c r="D52" s="445" t="n"/>
      <c r="E52" s="445" t="n"/>
      <c r="F52" s="445" t="n"/>
      <c r="G52" s="445" t="n"/>
      <c r="H52" s="446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2" sqref="B2:J63"/>
    </sheetView>
  </sheetViews>
  <sheetFormatPr baseColWidth="8" defaultColWidth="8.7265625" defaultRowHeight="16"/>
  <cols>
    <col width="8.7265625" customWidth="1" style="448" min="1" max="1"/>
    <col width="24.453125" bestFit="1" customWidth="1" style="448" min="2" max="2"/>
    <col width="11.81640625" customWidth="1" style="448" min="3" max="3"/>
    <col width="15.1796875" bestFit="1" customWidth="1" style="448" min="4" max="4"/>
    <col width="12" customWidth="1" style="448" min="5" max="5"/>
    <col width="8.7265625" customWidth="1" style="448" min="6" max="7"/>
    <col width="8.7265625" customWidth="1" style="448" min="8" max="16384"/>
  </cols>
  <sheetData>
    <row r="2" ht="12" customHeight="1">
      <c r="B2" s="447" t="inlineStr">
        <is>
          <t>Financial Product Catalog: A Ready Reckoner , As on 18h July 2025</t>
        </is>
      </c>
      <c r="C2" s="478" t="n"/>
      <c r="D2" s="478" t="n"/>
      <c r="E2" s="479" t="n"/>
    </row>
    <row r="3" ht="12" customHeight="1">
      <c r="B3" s="449" t="n"/>
      <c r="C3" s="478" t="n"/>
      <c r="D3" s="478" t="n"/>
      <c r="E3" s="479" t="n"/>
    </row>
    <row r="4" ht="12" customHeight="1">
      <c r="B4" s="450" t="inlineStr">
        <is>
          <t>Credit ratings assessed by (e.g., CRISIL, ICRA, CARE)</t>
        </is>
      </c>
      <c r="C4" s="478" t="n"/>
      <c r="D4" s="478" t="n"/>
      <c r="E4" s="479" t="n"/>
    </row>
    <row r="5" ht="12" customHeight="1">
      <c r="B5" s="451" t="n"/>
      <c r="C5" s="478" t="n"/>
      <c r="D5" s="478" t="n"/>
      <c r="E5" s="479" t="n"/>
    </row>
    <row r="6" ht="12" customHeight="1">
      <c r="B6" s="452" t="inlineStr">
        <is>
          <t>Corporate FD's</t>
        </is>
      </c>
      <c r="C6" s="478" t="n"/>
      <c r="D6" s="478" t="n"/>
      <c r="E6" s="479" t="n"/>
    </row>
    <row r="7" ht="12" customHeight="1">
      <c r="B7" s="454" t="inlineStr">
        <is>
          <t>Institution</t>
        </is>
      </c>
      <c r="C7" s="454" t="inlineStr">
        <is>
          <t>3-Year FD Rate</t>
        </is>
      </c>
      <c r="D7" s="479" t="n"/>
      <c r="E7" s="454" t="inlineStr">
        <is>
          <t>1-Year FD Rate</t>
        </is>
      </c>
    </row>
    <row r="8" ht="12" customHeight="1">
      <c r="B8" s="455" t="inlineStr">
        <is>
          <t>SBI Bank FD</t>
        </is>
      </c>
      <c r="C8" s="457" t="inlineStr">
        <is>
          <t>6.70%-6.95%</t>
        </is>
      </c>
      <c r="D8" s="479" t="n"/>
      <c r="E8" s="457" t="inlineStr">
        <is>
          <t>6.30%-6.55%</t>
        </is>
      </c>
    </row>
    <row r="9" ht="12" customHeight="1">
      <c r="B9" s="468" t="inlineStr">
        <is>
          <t>Shriram Finance</t>
        </is>
      </c>
      <c r="C9" s="460" t="inlineStr">
        <is>
          <t>8.40% – 8.90%</t>
        </is>
      </c>
      <c r="D9" s="479" t="n"/>
      <c r="E9" s="460" t="inlineStr">
        <is>
          <t>7.65% – 8.15%</t>
        </is>
      </c>
    </row>
    <row r="10" ht="12" customHeight="1">
      <c r="B10" s="468" t="inlineStr">
        <is>
          <t>Bajaj Finance</t>
        </is>
      </c>
      <c r="C10" s="460" t="inlineStr">
        <is>
          <t>7.25% – 7.80%</t>
        </is>
      </c>
      <c r="D10" s="479" t="n"/>
      <c r="E10" s="460" t="inlineStr">
        <is>
          <t>07% – 8.55%</t>
        </is>
      </c>
    </row>
    <row r="11" ht="12" customHeight="1">
      <c r="B11" s="461" t="inlineStr">
        <is>
          <t>PNB Housing Finance</t>
        </is>
      </c>
      <c r="C11" s="460" t="inlineStr">
        <is>
          <t>7.65% – 7.90%</t>
        </is>
      </c>
      <c r="D11" s="479" t="n"/>
      <c r="E11" s="460" t="inlineStr">
        <is>
          <t>7.40% – 7.65%</t>
        </is>
      </c>
    </row>
    <row r="12" ht="12" customHeight="1">
      <c r="B12" s="468" t="inlineStr">
        <is>
          <t>ICICI Home Finance</t>
        </is>
      </c>
      <c r="C12" s="467" t="inlineStr">
        <is>
          <t>7.60% -7.85%</t>
        </is>
      </c>
      <c r="D12" s="479" t="n"/>
      <c r="E12" s="460" t="inlineStr">
        <is>
          <t>7.05% – 7.25%</t>
        </is>
      </c>
    </row>
    <row r="13" ht="12" customHeight="1">
      <c r="B13" s="461" t="inlineStr">
        <is>
          <t>LIC Housing Finance</t>
        </is>
      </c>
      <c r="C13" s="467" t="inlineStr">
        <is>
          <t>7.35% -7.60%</t>
        </is>
      </c>
      <c r="D13" s="479" t="n"/>
      <c r="E13" s="460" t="inlineStr">
        <is>
          <t>7.00% – 7.25%</t>
        </is>
      </c>
    </row>
    <row r="14" ht="12" customHeight="1">
      <c r="B14" s="452" t="inlineStr">
        <is>
          <t>Capital Gain Bonds/NCD</t>
        </is>
      </c>
      <c r="C14" s="478" t="n"/>
      <c r="D14" s="478" t="n"/>
      <c r="E14" s="479" t="n"/>
    </row>
    <row r="15" ht="12" customHeight="1">
      <c r="B15" s="454" t="inlineStr">
        <is>
          <t>Index Name</t>
        </is>
      </c>
      <c r="C15" s="454" t="inlineStr">
        <is>
          <t>5-Year Return</t>
        </is>
      </c>
      <c r="D15" s="478" t="n"/>
      <c r="E15" s="479" t="n"/>
    </row>
    <row r="16" ht="12" customHeight="1">
      <c r="B16" s="463" t="inlineStr">
        <is>
          <t>NIFTY 10 Year Benchmark G-Sec Index</t>
        </is>
      </c>
      <c r="C16" s="466" t="n">
        <v>0.0552</v>
      </c>
      <c r="D16" s="478" t="n"/>
      <c r="E16" s="479" t="n"/>
    </row>
    <row r="17" ht="12" customHeight="1">
      <c r="B17" s="454" t="inlineStr">
        <is>
          <t>Issuer</t>
        </is>
      </c>
      <c r="C17" s="454" t="inlineStr">
        <is>
          <t>Interest Rate</t>
        </is>
      </c>
      <c r="D17" s="454" t="inlineStr">
        <is>
          <t>Tenure</t>
        </is>
      </c>
      <c r="E17" s="479" t="n"/>
    </row>
    <row r="18" ht="12" customHeight="1">
      <c r="B18" s="468" t="inlineStr">
        <is>
          <t>IRFC</t>
        </is>
      </c>
      <c r="C18" s="460" t="inlineStr">
        <is>
          <t>5.25% p.a.</t>
        </is>
      </c>
      <c r="D18" s="460" t="inlineStr">
        <is>
          <t>5 years</t>
        </is>
      </c>
      <c r="E18" s="479" t="n"/>
    </row>
    <row r="19" ht="12" customHeight="1">
      <c r="B19" s="468" t="inlineStr">
        <is>
          <t>PFC</t>
        </is>
      </c>
      <c r="C19" s="460" t="inlineStr">
        <is>
          <t>5.25% p.a.</t>
        </is>
      </c>
      <c r="D19" s="460" t="inlineStr">
        <is>
          <t>5 years</t>
        </is>
      </c>
      <c r="E19" s="479" t="n"/>
    </row>
    <row r="20" ht="12" customHeight="1">
      <c r="B20" s="468" t="inlineStr">
        <is>
          <t>REC</t>
        </is>
      </c>
      <c r="C20" s="460" t="inlineStr">
        <is>
          <t>5.25% p.a.</t>
        </is>
      </c>
      <c r="D20" s="460" t="inlineStr">
        <is>
          <t>5 years</t>
        </is>
      </c>
      <c r="E20" s="479" t="n"/>
    </row>
    <row r="21" ht="12" customHeight="1">
      <c r="B21" s="451" t="n"/>
      <c r="C21" s="478" t="n"/>
      <c r="D21" s="478" t="n"/>
      <c r="E21" s="479" t="n"/>
    </row>
    <row r="22" ht="12" customHeight="1">
      <c r="B22" s="452" t="inlineStr">
        <is>
          <t>RBI Floating Rate Savings Bond</t>
        </is>
      </c>
      <c r="C22" s="479" t="n"/>
      <c r="D22" s="452" t="inlineStr">
        <is>
          <t>Interest Rate</t>
        </is>
      </c>
      <c r="E22" s="479" t="n"/>
    </row>
    <row r="23" ht="12" customHeight="1">
      <c r="B23" s="460" t="inlineStr">
        <is>
          <t>HDFC</t>
        </is>
      </c>
      <c r="C23" s="479" t="n"/>
      <c r="D23" s="460" t="inlineStr">
        <is>
          <t>7.90% p.a.</t>
        </is>
      </c>
      <c r="E23" s="479" t="n"/>
    </row>
    <row r="24" ht="12" customHeight="1">
      <c r="B24" s="451" t="n"/>
      <c r="C24" s="478" t="n"/>
      <c r="D24" s="478" t="n"/>
      <c r="E24" s="479" t="n"/>
    </row>
    <row r="25" ht="12" customHeight="1">
      <c r="B25" s="450" t="inlineStr">
        <is>
          <t>Portfolio Management Services</t>
        </is>
      </c>
      <c r="C25" s="478" t="n"/>
      <c r="D25" s="478" t="n"/>
      <c r="E25" s="479" t="n"/>
    </row>
    <row r="26" ht="12" customHeight="1">
      <c r="B26" s="451" t="n"/>
      <c r="C26" s="478" t="n"/>
      <c r="D26" s="478" t="n"/>
      <c r="E26" s="479" t="n"/>
    </row>
    <row r="27" ht="12" customHeight="1">
      <c r="B27" s="465" t="inlineStr">
        <is>
          <t>Large Cap/Multi Cap</t>
        </is>
      </c>
      <c r="C27" s="454" t="inlineStr">
        <is>
          <t>3-Year Return</t>
        </is>
      </c>
      <c r="D27" s="479" t="n"/>
      <c r="E27" s="454" t="inlineStr">
        <is>
          <t>1-Year Return</t>
        </is>
      </c>
    </row>
    <row r="28" ht="12" customHeight="1">
      <c r="B28" s="463" t="inlineStr">
        <is>
          <t>NIFTY 50</t>
        </is>
      </c>
      <c r="C28" s="466" t="n">
        <v>0.5336</v>
      </c>
      <c r="D28" s="479" t="n"/>
      <c r="E28" s="466" t="n">
        <v>0.0066</v>
      </c>
    </row>
    <row r="29" ht="12" customHeight="1">
      <c r="B29" s="454" t="inlineStr">
        <is>
          <t>Scheme Name</t>
        </is>
      </c>
      <c r="C29" s="454" t="inlineStr">
        <is>
          <t>3-Year Return</t>
        </is>
      </c>
      <c r="D29" s="479" t="n"/>
      <c r="E29" s="454" t="inlineStr">
        <is>
          <t>1-Year Return</t>
        </is>
      </c>
    </row>
    <row r="30" ht="12" customHeight="1">
      <c r="B30" s="468" t="inlineStr">
        <is>
          <t>ICICI Prudential Large Cap Strategy</t>
        </is>
      </c>
      <c r="C30" s="467" t="n">
        <v>0.2903</v>
      </c>
      <c r="D30" s="479" t="n"/>
      <c r="E30" s="467" t="n">
        <v>0.0566</v>
      </c>
    </row>
    <row r="31" ht="12" customHeight="1">
      <c r="B31" s="468" t="inlineStr">
        <is>
          <t>White Oak India Pioneers Equity Portfolio</t>
        </is>
      </c>
      <c r="C31" s="467" t="n">
        <v>0.1969</v>
      </c>
      <c r="D31" s="479" t="n"/>
      <c r="E31" s="467" t="n">
        <v>0.0871</v>
      </c>
    </row>
    <row r="32" ht="12" customHeight="1">
      <c r="B32" s="451" t="n"/>
      <c r="C32" s="478" t="n"/>
      <c r="D32" s="478" t="n"/>
      <c r="E32" s="479" t="n"/>
    </row>
    <row r="33" ht="12" customHeight="1">
      <c r="B33" s="454" t="inlineStr">
        <is>
          <t>Midcap</t>
        </is>
      </c>
      <c r="C33" s="454" t="inlineStr">
        <is>
          <t>3-Year Return</t>
        </is>
      </c>
      <c r="D33" s="479" t="n"/>
      <c r="E33" s="454" t="inlineStr">
        <is>
          <t>1-Year Return</t>
        </is>
      </c>
    </row>
    <row r="34" ht="12" customHeight="1">
      <c r="B34" s="463" t="inlineStr">
        <is>
          <t>NIFTY Midcap 150</t>
        </is>
      </c>
      <c r="C34" s="466" t="n">
        <v>1.0374</v>
      </c>
      <c r="D34" s="479" t="n"/>
      <c r="E34" s="466" t="n">
        <v>0.0292</v>
      </c>
    </row>
    <row r="35" ht="12" customHeight="1">
      <c r="B35" s="454" t="inlineStr">
        <is>
          <t>Scheme Name</t>
        </is>
      </c>
      <c r="C35" s="454" t="inlineStr">
        <is>
          <t>3-Year Return</t>
        </is>
      </c>
      <c r="D35" s="479" t="n"/>
      <c r="E35" s="454" t="inlineStr">
        <is>
          <t>1-Year Return</t>
        </is>
      </c>
    </row>
    <row r="36" ht="12" customHeight="1">
      <c r="B36" s="468" t="inlineStr">
        <is>
          <t>ICICI Prudential PIPE Strategy (Mid &amp; Small Cap)</t>
        </is>
      </c>
      <c r="C36" s="467" t="n">
        <v>0.3313</v>
      </c>
      <c r="D36" s="479" t="n"/>
      <c r="E36" s="467" t="n">
        <v>0.0379</v>
      </c>
    </row>
    <row r="37" ht="12" customHeight="1">
      <c r="B37" s="468" t="inlineStr">
        <is>
          <t>White Oak India Digital Leaders Portfolio</t>
        </is>
      </c>
      <c r="C37" s="467" t="n">
        <v>0.1924</v>
      </c>
      <c r="D37" s="479" t="n"/>
      <c r="E37" s="467" t="n">
        <v>0.1471</v>
      </c>
    </row>
    <row r="38" ht="12" customHeight="1">
      <c r="B38" s="451" t="n"/>
      <c r="C38" s="478" t="n"/>
      <c r="D38" s="478" t="n"/>
      <c r="E38" s="479" t="n"/>
    </row>
    <row r="39" ht="12" customHeight="1">
      <c r="B39" s="454" t="inlineStr">
        <is>
          <t>Smallcap</t>
        </is>
      </c>
      <c r="C39" s="454" t="inlineStr">
        <is>
          <t>3-Year Return</t>
        </is>
      </c>
      <c r="D39" s="479" t="n"/>
      <c r="E39" s="454" t="inlineStr">
        <is>
          <t>1-Year Return</t>
        </is>
      </c>
    </row>
    <row r="40" ht="12" customHeight="1">
      <c r="B40" s="463" t="inlineStr">
        <is>
          <t>NIFTY Smallcap 250</t>
        </is>
      </c>
      <c r="C40" s="466" t="n">
        <v>1.105</v>
      </c>
      <c r="D40" s="479" t="n"/>
      <c r="E40" s="466" t="n">
        <v>0.0193</v>
      </c>
    </row>
    <row r="41" ht="12" customHeight="1">
      <c r="B41" s="454" t="inlineStr">
        <is>
          <t>Scheme Name</t>
        </is>
      </c>
      <c r="C41" s="454" t="inlineStr">
        <is>
          <t>3-Year Return</t>
        </is>
      </c>
      <c r="D41" s="479" t="n"/>
      <c r="E41" s="454" t="inlineStr">
        <is>
          <t>1-Year Return</t>
        </is>
      </c>
    </row>
    <row r="42" ht="12" customHeight="1">
      <c r="B42" s="468" t="inlineStr">
        <is>
          <t>ICICI Prudential PIPE Strategy (Mid &amp; Small Cap)</t>
        </is>
      </c>
      <c r="C42" s="467" t="n">
        <v>0.3313</v>
      </c>
      <c r="D42" s="479" t="n"/>
      <c r="E42" s="467" t="n">
        <v>0.0379</v>
      </c>
    </row>
    <row r="43" ht="12" customHeight="1">
      <c r="B43" s="468" t="inlineStr">
        <is>
          <t>Kotak Mahindra Mid &amp; Small Cap Strategy</t>
        </is>
      </c>
      <c r="C43" s="467" t="n">
        <v>0.1856</v>
      </c>
      <c r="D43" s="479" t="n"/>
      <c r="E43" s="467" t="n">
        <v>-0.07199999999999999</v>
      </c>
    </row>
    <row r="44" ht="12" customHeight="1">
      <c r="B44" s="451" t="n"/>
      <c r="C44" s="478" t="n"/>
      <c r="D44" s="478" t="n"/>
      <c r="E44" s="479" t="n"/>
    </row>
    <row r="45" ht="12" customHeight="1">
      <c r="B45" s="450" t="inlineStr">
        <is>
          <t>Alternative Investment Fund</t>
        </is>
      </c>
      <c r="C45" s="478" t="n"/>
      <c r="D45" s="478" t="n"/>
      <c r="E45" s="479" t="n"/>
    </row>
    <row r="46" ht="12" customHeight="1">
      <c r="B46" s="454" t="inlineStr">
        <is>
          <t>AIF - Fund</t>
        </is>
      </c>
      <c r="C46" s="454" t="inlineStr">
        <is>
          <t>Investment Strategy</t>
        </is>
      </c>
      <c r="D46" s="454" t="inlineStr">
        <is>
          <t>2-Year Return</t>
        </is>
      </c>
      <c r="E46" s="454" t="inlineStr">
        <is>
          <t>1-Year Return</t>
        </is>
      </c>
    </row>
    <row r="47" ht="12" customHeight="1">
      <c r="B47" s="468" t="inlineStr">
        <is>
          <t>ICICI Prudential Equity Opportunities Fund</t>
        </is>
      </c>
      <c r="C47" s="460" t="inlineStr">
        <is>
          <t>Contrarian Investing</t>
        </is>
      </c>
      <c r="D47" s="467" t="n">
        <v>0.2648</v>
      </c>
      <c r="E47" s="467" t="n">
        <v>0.0476</v>
      </c>
    </row>
    <row r="48" ht="12" customHeight="1">
      <c r="B48" s="468" t="inlineStr">
        <is>
          <t>ICICI Prudential Enhanced Dynamic Equity Fund</t>
        </is>
      </c>
      <c r="C48" s="460" t="inlineStr">
        <is>
          <t>Derivative Strategies</t>
        </is>
      </c>
      <c r="D48" s="467" t="n">
        <v>0.2132</v>
      </c>
      <c r="E48" s="467" t="n">
        <v>0.0699</v>
      </c>
    </row>
    <row r="49" ht="12" customHeight="1">
      <c r="B49" s="451" t="n"/>
      <c r="C49" s="478" t="n"/>
      <c r="D49" s="478" t="n"/>
      <c r="E49" s="479" t="n"/>
    </row>
    <row r="50" ht="12" customHeight="1">
      <c r="B50" s="450" t="inlineStr">
        <is>
          <t>REITs &amp; INVITs</t>
        </is>
      </c>
      <c r="C50" s="478" t="n"/>
      <c r="D50" s="478" t="n"/>
      <c r="E50" s="479" t="n"/>
    </row>
    <row r="51" ht="12" customHeight="1">
      <c r="B51" s="454" t="inlineStr">
        <is>
          <t>REIT Stock</t>
        </is>
      </c>
      <c r="C51" s="479" t="n"/>
      <c r="D51" s="454" t="inlineStr">
        <is>
          <t>1-Yr  Div in rs (Last 4 qtr)</t>
        </is>
      </c>
      <c r="E51" s="454" t="inlineStr">
        <is>
          <t>01 Yr Mkt Ret</t>
        </is>
      </c>
    </row>
    <row r="52" ht="12" customHeight="1">
      <c r="B52" s="468" t="inlineStr">
        <is>
          <t>Embassy Office Parks REIT</t>
        </is>
      </c>
      <c r="C52" s="479" t="n"/>
      <c r="D52" s="469" t="n">
        <v>23.01</v>
      </c>
      <c r="E52" s="467" t="n">
        <v>0.07000000000000001</v>
      </c>
    </row>
    <row r="53" ht="12" customHeight="1">
      <c r="B53" s="468" t="inlineStr">
        <is>
          <t>Mindspace Business Parks REIT</t>
        </is>
      </c>
      <c r="C53" s="479" t="n"/>
      <c r="D53" s="469" t="n">
        <v>21.95</v>
      </c>
      <c r="E53" s="467" t="n">
        <v>0.23</v>
      </c>
    </row>
    <row r="54" ht="12" customHeight="1">
      <c r="B54" s="468" t="inlineStr">
        <is>
          <t>Brookfield India Real Estate Trust (BIRET)</t>
        </is>
      </c>
      <c r="C54" s="479" t="n"/>
      <c r="D54" s="469" t="n">
        <v>19.25</v>
      </c>
      <c r="E54" s="467" t="n">
        <v>0.14</v>
      </c>
    </row>
    <row r="55" ht="12" customHeight="1">
      <c r="B55" s="454" t="inlineStr">
        <is>
          <t>INVITs</t>
        </is>
      </c>
      <c r="C55" s="479" t="n"/>
      <c r="D55" s="454" t="inlineStr">
        <is>
          <t>1-Yr  Div in rs (Last 4 qtr)</t>
        </is>
      </c>
      <c r="E55" s="454" t="inlineStr">
        <is>
          <t>01 Yr Mkt Ret</t>
        </is>
      </c>
    </row>
    <row r="56" ht="12" customHeight="1">
      <c r="B56" s="468" t="inlineStr">
        <is>
          <t>IndiGrid (India Grid Trust)</t>
        </is>
      </c>
      <c r="C56" s="479" t="n"/>
      <c r="D56" s="469" t="n">
        <v>15.35</v>
      </c>
      <c r="E56" s="467" t="n">
        <v>0.12</v>
      </c>
    </row>
    <row r="57" ht="12" customHeight="1">
      <c r="B57" s="468" t="inlineStr">
        <is>
          <t>PowerGrid Infrastructure Investment Trust (PGInvIT)</t>
        </is>
      </c>
      <c r="C57" s="479" t="n"/>
      <c r="D57" s="470" t="n">
        <v>12</v>
      </c>
      <c r="E57" s="467" t="n">
        <v>-0.03</v>
      </c>
    </row>
    <row r="58" ht="12" customHeight="1">
      <c r="B58" s="468" t="inlineStr">
        <is>
          <t>IRB InvIT Fund</t>
        </is>
      </c>
      <c r="C58" s="479" t="n"/>
      <c r="D58" s="470" t="n">
        <v>8</v>
      </c>
      <c r="E58" s="467" t="n">
        <v>-0.08</v>
      </c>
    </row>
    <row r="59" ht="12" customHeight="1">
      <c r="B59" s="451" t="n"/>
      <c r="C59" s="478" t="n"/>
      <c r="D59" s="478" t="n"/>
      <c r="E59" s="479" t="n"/>
    </row>
    <row r="60" ht="12" customHeight="1">
      <c r="B60" s="450" t="inlineStr">
        <is>
          <t>Contact Zuari Finserv Ltd</t>
        </is>
      </c>
      <c r="C60" s="478" t="n"/>
      <c r="D60" s="478" t="n"/>
      <c r="E60" s="479" t="n"/>
    </row>
    <row r="61" ht="12" customHeight="1">
      <c r="B61" s="463" t="inlineStr">
        <is>
          <t>RM Name</t>
        </is>
      </c>
      <c r="C61" s="471" t="n"/>
      <c r="D61" s="478" t="n"/>
      <c r="E61" s="479" t="n"/>
    </row>
    <row r="62" ht="12" customHeight="1">
      <c r="B62" s="463" t="inlineStr">
        <is>
          <t>Contact No.-</t>
        </is>
      </c>
      <c r="C62" s="471" t="n"/>
      <c r="D62" s="478" t="n"/>
      <c r="E62" s="479" t="n"/>
    </row>
    <row r="63" ht="17.5" customHeight="1">
      <c r="B63" s="451" t="n"/>
      <c r="C63" s="478" t="n"/>
      <c r="D63" s="478" t="n"/>
      <c r="E63" s="479" t="n"/>
      <c r="F63" s="472" t="n"/>
      <c r="G63" s="473" t="n"/>
      <c r="H63" s="473" t="n"/>
      <c r="J63" s="473" t="inlineStr">
        <is>
          <t>Page 2</t>
        </is>
      </c>
    </row>
    <row r="64">
      <c r="F64" s="473" t="n"/>
      <c r="G64" s="473" t="n"/>
      <c r="H64" s="473" t="n"/>
      <c r="I64" s="473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58:C58"/>
    <mergeCell ref="B32:E32"/>
    <mergeCell ref="B63:E63"/>
    <mergeCell ref="B26:E26"/>
    <mergeCell ref="B52:C52"/>
    <mergeCell ref="B45:E45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89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topLeftCell="B21" zoomScale="73" zoomScaleNormal="66" workbookViewId="0">
      <selection activeCell="L20" sqref="K20:L22"/>
    </sheetView>
  </sheetViews>
  <sheetFormatPr baseColWidth="8" defaultColWidth="8.7265625" defaultRowHeight="14.5"/>
  <cols>
    <col width="8.7265625" customWidth="1" style="115" min="1" max="1"/>
    <col width="16.453125" customWidth="1" style="115" min="2" max="2"/>
    <col width="8.453125" customWidth="1" style="115" min="3" max="3"/>
    <col width="59.26953125" bestFit="1" customWidth="1" style="115" min="4" max="4"/>
    <col width="15.81640625" customWidth="1" style="115" min="5" max="5"/>
    <col width="14.453125" customWidth="1" style="55" min="6" max="6"/>
    <col width="8.7265625" customWidth="1" style="115" min="7" max="7"/>
    <col width="18.453125" customWidth="1" style="115" min="8" max="8"/>
    <col width="8.7265625" customWidth="1" style="115" min="9" max="9"/>
    <col width="44.81640625" customWidth="1" style="115" min="10" max="10"/>
    <col width="13.453125" customWidth="1" style="115" min="11" max="11"/>
    <col width="14.453125" customWidth="1" style="115" min="12" max="12"/>
    <col width="8.7265625" customWidth="1" style="115" min="13" max="17"/>
    <col width="8.7265625" customWidth="1" style="115" min="18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5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265625" defaultRowHeight="14"/>
  <cols>
    <col width="8.7265625" customWidth="1" style="15" min="1" max="1"/>
    <col width="6.81640625" customWidth="1" style="15" min="2" max="2"/>
    <col width="30.453125" customWidth="1" style="15" min="3" max="3"/>
    <col width="44.453125" customWidth="1" style="15" min="4" max="4"/>
    <col width="18" customWidth="1" style="15" min="5" max="5"/>
    <col width="8.7265625" customWidth="1" style="15" min="6" max="6"/>
    <col width="34.81640625" customWidth="1" style="15" min="7" max="7"/>
    <col hidden="1" width="19.7265625" customWidth="1" style="15" min="8" max="8"/>
    <col width="34.81640625" customWidth="1" style="15" min="9" max="12"/>
    <col width="8.7265625" customWidth="1" style="15" min="13" max="17"/>
    <col width="8.7265625" customWidth="1" style="15" min="18" max="16384"/>
  </cols>
  <sheetData>
    <row r="2" ht="14.5" customHeight="1" thickBot="1"/>
    <row r="3" ht="14.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5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5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5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5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1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5" customHeight="1"/>
    <row r="52" ht="14.15" customHeight="1"/>
    <row r="53" ht="14.5" customHeight="1"/>
    <row r="54" ht="14.5" customHeight="1"/>
    <row r="55" ht="14.15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4.5"/>
  <cols>
    <col width="26.1796875" customWidth="1" min="2" max="2"/>
    <col width="29" bestFit="1" customWidth="1" style="115" min="3" max="3"/>
    <col hidden="1" width="11.453125" customWidth="1" min="4" max="4"/>
    <col width="31.81640625" customWidth="1" min="5" max="5"/>
    <col width="23.453125" customWidth="1" style="182" min="6" max="7"/>
    <col width="34.453125" customWidth="1" style="182" min="8" max="9"/>
    <col width="34.8164062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5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5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B84" sqref="B84"/>
    </sheetView>
  </sheetViews>
  <sheetFormatPr baseColWidth="8" defaultColWidth="8.7265625" defaultRowHeight="14.5"/>
  <cols>
    <col width="8.7265625" customWidth="1" style="42" min="1" max="1"/>
    <col width="53.453125" customWidth="1" style="1" min="2" max="2"/>
    <col width="8.1796875" customWidth="1" style="42" min="3" max="3"/>
    <col hidden="1" width="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-4.715</v>
      </c>
      <c r="F6" s="248" t="n">
        <v>11.9495</v>
      </c>
      <c r="G6" s="248" t="n">
        <v>11.3745</v>
      </c>
      <c r="H6" s="248" t="n">
        <v>11.9677</v>
      </c>
      <c r="I6" s="248" t="n">
        <v>0.0516595753277559</v>
      </c>
      <c r="J6" s="248" t="n">
        <v>0.0682808507119738</v>
      </c>
      <c r="K6" s="248" t="n">
        <v>1.00682412167045</v>
      </c>
      <c r="L6" s="248" t="n">
        <v>12.1525708543953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-4.5006</v>
      </c>
      <c r="F7" s="248" t="n">
        <v>11.8835</v>
      </c>
      <c r="G7" s="248" t="n">
        <v>12.5187</v>
      </c>
      <c r="H7" s="248" t="n">
        <v>13.0503</v>
      </c>
      <c r="I7" s="249" t="n">
        <v>0.0535851482589814</v>
      </c>
      <c r="J7" s="249" t="n">
        <v>0.0865860877095707</v>
      </c>
      <c r="K7" s="249" t="n">
        <v>0.939989122766219</v>
      </c>
      <c r="L7" s="249" t="n">
        <v>11.3643449439793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-3.5562</v>
      </c>
      <c r="F8" s="248" t="n">
        <v>14.5551</v>
      </c>
      <c r="G8" s="248" t="n">
        <v>13.6567</v>
      </c>
      <c r="H8" s="248" t="n">
        <v>14.0458</v>
      </c>
      <c r="I8" s="249" t="n">
        <v>0.06969428279823491</v>
      </c>
      <c r="J8" s="249" t="n">
        <v>0.269775741887063</v>
      </c>
      <c r="K8" s="249" t="n">
        <v>0.935223282840668</v>
      </c>
      <c r="L8" s="249" t="n">
        <v>11.328063681087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-4.0371</v>
      </c>
      <c r="F9" s="248" t="n">
        <v>12.0794</v>
      </c>
      <c r="G9" s="248" t="n">
        <v>11.1569</v>
      </c>
      <c r="H9" s="248" t="n">
        <v>12.3688</v>
      </c>
      <c r="I9" s="249" t="n">
        <v>0.051376798397047</v>
      </c>
      <c r="J9" s="249" t="n">
        <v>0.06773801397903011</v>
      </c>
      <c r="K9" s="249" t="n">
        <v>1.00086290904817</v>
      </c>
      <c r="L9" s="249" t="n">
        <v>12.1444123889348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-2.0947</v>
      </c>
      <c r="F10" s="248" t="n">
        <v>14.6579</v>
      </c>
      <c r="G10" s="248" t="n">
        <v>15.7458</v>
      </c>
      <c r="H10" s="248" t="n">
        <v>14.6625</v>
      </c>
      <c r="I10" s="249" t="n">
        <v>0.0717306371737774</v>
      </c>
      <c r="J10" s="249" t="n">
        <v>0.315772611500108</v>
      </c>
      <c r="K10" s="249" t="n">
        <v>1.00108349839731</v>
      </c>
      <c r="L10" s="249" t="n">
        <v>12.2380392661935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-1.1192</v>
      </c>
      <c r="F11" s="248" t="n">
        <v>11.2966</v>
      </c>
      <c r="G11" s="248" t="n">
        <v>11.3611</v>
      </c>
      <c r="H11" s="248" t="n">
        <v>12.078</v>
      </c>
      <c r="I11" s="249" t="n">
        <v>0.0522942789617548</v>
      </c>
      <c r="J11" s="249" t="n">
        <v>0.07053969515815579</v>
      </c>
      <c r="K11" s="249" t="n">
        <v>0.9034870450729749</v>
      </c>
      <c r="L11" s="249" t="n">
        <v>11.0492544902505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-5.8586</v>
      </c>
      <c r="F12" s="251" t="n">
        <v>9.7494</v>
      </c>
      <c r="G12" s="251" t="n">
        <v>9.047000000000001</v>
      </c>
      <c r="H12" s="251" t="n">
        <v>11.439</v>
      </c>
      <c r="I12" s="250" t="n">
        <v>0.0389275370105599</v>
      </c>
      <c r="J12" s="250" t="n">
        <v>-0.0867276680271348</v>
      </c>
      <c r="K12" s="250" t="n">
        <v>0.966620419916143</v>
      </c>
      <c r="L12" s="250" t="n">
        <v>11.7138771550931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5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4.0178</v>
      </c>
      <c r="F17" s="252" t="n">
        <v>15.6513</v>
      </c>
      <c r="G17" s="248" t="n">
        <v>15.4595</v>
      </c>
      <c r="H17" s="248" t="n">
        <v>14.9684</v>
      </c>
      <c r="I17" s="249" t="n">
        <v>0.0748025936034951</v>
      </c>
      <c r="J17" s="249" t="n">
        <v>0.0305128797799773</v>
      </c>
      <c r="K17" s="249" t="n">
        <v>0.840223035621546</v>
      </c>
      <c r="L17" s="249" t="n">
        <v>11.7004048711518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0.9224</v>
      </c>
      <c r="F18" s="252" t="n">
        <v>16.2106</v>
      </c>
      <c r="G18" s="248" t="n">
        <v>14.7584</v>
      </c>
      <c r="H18" s="248" t="n">
        <v>15.3053</v>
      </c>
      <c r="I18" s="249" t="n">
        <v>0.0700707931431221</v>
      </c>
      <c r="J18" s="249" t="n">
        <v>0.0545689100304397</v>
      </c>
      <c r="K18" s="249" t="n">
        <v>0.940334359979196</v>
      </c>
      <c r="L18" s="249" t="n">
        <v>13.3726137034132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-0.5961</v>
      </c>
      <c r="F19" s="252" t="n">
        <v>17.0831</v>
      </c>
      <c r="G19" s="248" t="n">
        <v>16.3975</v>
      </c>
      <c r="H19" s="248" t="n">
        <v>14.8854</v>
      </c>
      <c r="I19" s="249" t="n">
        <v>0.0747383401912603</v>
      </c>
      <c r="J19" s="249" t="n">
        <v>0.07126195202852301</v>
      </c>
      <c r="K19" s="249" t="n">
        <v>1.02233601459235</v>
      </c>
      <c r="L19" s="249" t="n">
        <v>13.7904787010527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-0.7493</v>
      </c>
      <c r="F20" s="252" t="n">
        <v>18.1883</v>
      </c>
      <c r="G20" s="248" t="n">
        <v>17.9142</v>
      </c>
      <c r="H20" s="248" t="n">
        <v>15.7257</v>
      </c>
      <c r="I20" s="249" t="n">
        <v>0.089131883882064</v>
      </c>
      <c r="J20" s="249" t="n">
        <v>0.281565178013514</v>
      </c>
      <c r="K20" s="249" t="n">
        <v>0.8458501808962851</v>
      </c>
      <c r="L20" s="249" t="n">
        <v>12.064783039913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-0.1155</v>
      </c>
      <c r="F21" s="252" t="n">
        <v>18.4171</v>
      </c>
      <c r="G21" s="248" t="n">
        <v>15.8064</v>
      </c>
      <c r="H21" s="248" t="n">
        <v>13.3275</v>
      </c>
      <c r="I21" s="249" t="n">
        <v>0.0826831702977434</v>
      </c>
      <c r="J21" s="249" t="n">
        <v>0.191703591116717</v>
      </c>
      <c r="K21" s="249" t="n">
        <v>0.976624805577887</v>
      </c>
      <c r="L21" s="249" t="n">
        <v>13.4032264018306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0.8458</v>
      </c>
      <c r="F22" s="252" t="n">
        <v>13.1765</v>
      </c>
      <c r="G22" s="248" t="n">
        <v>9.6456</v>
      </c>
      <c r="H22" s="248" t="n">
        <v>11.682</v>
      </c>
      <c r="I22" s="249" t="n">
        <v>0.0548713031489728</v>
      </c>
      <c r="J22" s="249" t="n">
        <v>-0.186572066955854</v>
      </c>
      <c r="K22" s="249" t="n">
        <v>1.02068721729812</v>
      </c>
      <c r="L22" s="249" t="n">
        <v>14.0564576481742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2.2281</v>
      </c>
      <c r="F23" s="254" t="n">
        <v>19.4769</v>
      </c>
      <c r="G23" s="251" t="n">
        <v>16.3241</v>
      </c>
      <c r="H23" s="251" t="n">
        <v>14.2732</v>
      </c>
      <c r="I23" s="250" t="n">
        <v>0.09184869739128181</v>
      </c>
      <c r="J23" s="250" t="n">
        <v>0.311044414070858</v>
      </c>
      <c r="K23" s="250" t="n">
        <v>0.924384744254203</v>
      </c>
      <c r="L23" s="250" t="n">
        <v>12.8312888706055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5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5.5286</v>
      </c>
      <c r="F28" s="248" t="n">
        <v>22.6749</v>
      </c>
      <c r="G28" s="248" t="n">
        <v>20.3115</v>
      </c>
      <c r="H28" s="248" t="n">
        <v>17.8971</v>
      </c>
      <c r="I28" s="249" t="n">
        <v>0.0961653443476238</v>
      </c>
      <c r="J28" s="249" t="n">
        <v>0.231474306373693</v>
      </c>
      <c r="K28" s="249" t="n">
        <v>0.8961979578027069</v>
      </c>
      <c r="L28" s="249" t="n">
        <v>14.677531563009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7.4795</v>
      </c>
      <c r="F29" s="248" t="n">
        <v>20.9309</v>
      </c>
      <c r="G29" s="248" t="n">
        <v>18.1348</v>
      </c>
      <c r="H29" s="248" t="n">
        <v>17.6172</v>
      </c>
      <c r="I29" s="249" t="n">
        <v>0.0828411576995482</v>
      </c>
      <c r="J29" s="249" t="n">
        <v>0.110924288267398</v>
      </c>
      <c r="K29" s="249" t="n">
        <v>0.881093143365655</v>
      </c>
      <c r="L29" s="249" t="n">
        <v>15.3429993206116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7.9538</v>
      </c>
      <c r="F30" s="248" t="n">
        <v>24.3353</v>
      </c>
      <c r="G30" s="248" t="n">
        <v>21.4192</v>
      </c>
      <c r="H30" s="248" t="n">
        <v>18.7146</v>
      </c>
      <c r="I30" s="249" t="n">
        <v>0.09760891369273279</v>
      </c>
      <c r="J30" s="249" t="n">
        <v>0.293498572986972</v>
      </c>
      <c r="K30" s="249" t="n">
        <v>0.971090222005485</v>
      </c>
      <c r="L30" s="249" t="n">
        <v>16.1061358541757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0.4235</v>
      </c>
      <c r="F31" s="248" t="n">
        <v>14.6605</v>
      </c>
      <c r="G31" s="248" t="n">
        <v>15.9834</v>
      </c>
      <c r="H31" s="248" t="n">
        <v>14.0208</v>
      </c>
      <c r="I31" s="249" t="n">
        <v>0.0628502654430439</v>
      </c>
      <c r="J31" s="249" t="n">
        <v>-0.211040407126371</v>
      </c>
      <c r="K31" s="249" t="n">
        <v>0.835879597851336</v>
      </c>
      <c r="L31" s="249" t="n">
        <v>14.1532557742044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2.6957</v>
      </c>
      <c r="F32" s="248" t="n">
        <v>15.8347</v>
      </c>
      <c r="G32" s="248" t="n">
        <v>14.3773</v>
      </c>
      <c r="H32" s="248" t="n">
        <v>14.082</v>
      </c>
      <c r="I32" s="249" t="n">
        <v>0.0629025780502382</v>
      </c>
      <c r="J32" s="249" t="n">
        <v>-0.262457137434274</v>
      </c>
      <c r="K32" s="249" t="n">
        <v>0.935389694167897</v>
      </c>
      <c r="L32" s="249" t="n">
        <v>15.4070148743806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16.9203</v>
      </c>
      <c r="F33" s="248" t="n">
        <v>26.0377</v>
      </c>
      <c r="G33" s="248" t="n">
        <v>19.911</v>
      </c>
      <c r="H33" s="248" t="n">
        <v>17.4505</v>
      </c>
      <c r="I33" s="249" t="n">
        <v>0.100714514529368</v>
      </c>
      <c r="J33" s="249" t="n">
        <v>0.358846554191117</v>
      </c>
      <c r="K33" s="249" t="n">
        <v>0.958254613014072</v>
      </c>
      <c r="L33" s="249" t="n">
        <v>16.0905324517808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3.9961</v>
      </c>
      <c r="F34" s="251" t="n">
        <v>18.9733</v>
      </c>
      <c r="G34" s="251" t="n">
        <v>16.6247</v>
      </c>
      <c r="H34" s="251" t="n">
        <v>13.7331</v>
      </c>
      <c r="I34" s="250" t="n">
        <v>0.07583833376035989</v>
      </c>
      <c r="J34" s="250" t="n">
        <v>-0.0709757773048079</v>
      </c>
      <c r="K34" s="250" t="n">
        <v>0.970933430816425</v>
      </c>
      <c r="L34" s="250" t="n">
        <v>15.9209936761832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5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3.6438</v>
      </c>
      <c r="F39" s="248" t="n">
        <v>19.5324</v>
      </c>
      <c r="G39" s="248" t="n">
        <v>21.0921</v>
      </c>
      <c r="H39" s="248" t="n">
        <v>20.594</v>
      </c>
      <c r="I39" s="249" t="n">
        <v>0.0731273576753845</v>
      </c>
      <c r="J39" s="249" t="n">
        <v>0.192314808384105</v>
      </c>
      <c r="K39" s="249" t="n">
        <v>0.854457415836602</v>
      </c>
      <c r="L39" s="249" t="n">
        <v>17.8039607060066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-1.4944</v>
      </c>
      <c r="F40" s="248" t="n">
        <v>14.5347</v>
      </c>
      <c r="G40" s="248" t="n">
        <v>17.4707</v>
      </c>
      <c r="H40" s="248" t="n">
        <v>17.2154</v>
      </c>
      <c r="I40" s="249" t="n">
        <v>0.057657231326455</v>
      </c>
      <c r="J40" s="249" t="n">
        <v>-0.0104393605206161</v>
      </c>
      <c r="K40" s="249" t="n">
        <v>0.812216176045173</v>
      </c>
      <c r="L40" s="249" t="n">
        <v>16.4985811829175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-2.1855</v>
      </c>
      <c r="F41" s="248" t="n">
        <v>11.8603</v>
      </c>
      <c r="G41" s="248" t="n">
        <v>13.7721</v>
      </c>
      <c r="H41" s="248" t="n">
        <v>17.2828</v>
      </c>
      <c r="I41" s="249" t="n">
        <v>0.0440925106367038</v>
      </c>
      <c r="J41" s="249" t="n">
        <v>-0.221176850422299</v>
      </c>
      <c r="K41" s="249" t="n">
        <v>0.789848719055585</v>
      </c>
      <c r="L41" s="249" t="n">
        <v>16.1941540244578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-0.1173</v>
      </c>
      <c r="F42" s="248" t="n">
        <v>13.9423</v>
      </c>
      <c r="G42" s="248" t="n">
        <v>14.4102</v>
      </c>
      <c r="H42" s="248" t="n">
        <v>16.5208</v>
      </c>
      <c r="I42" s="249" t="n">
        <v>0.0514394803007244</v>
      </c>
      <c r="J42" s="249" t="n">
        <v>-0.163368169087958</v>
      </c>
      <c r="K42" s="249" t="n">
        <v>0.799507340285982</v>
      </c>
      <c r="L42" s="249" t="n">
        <v>17.0085829255232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0.2137</v>
      </c>
      <c r="F43" s="248" t="n">
        <v>14.0874</v>
      </c>
      <c r="G43" s="248" t="n">
        <v>16.4986</v>
      </c>
      <c r="H43" s="248" t="n">
        <v>15.9555</v>
      </c>
      <c r="I43" s="249" t="n">
        <v>0.0550550842587245</v>
      </c>
      <c r="J43" s="249" t="n">
        <v>-0.102285041519398</v>
      </c>
      <c r="K43" s="249" t="n">
        <v>0.74651031526369</v>
      </c>
      <c r="L43" s="249" t="n">
        <v>15.750973364473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7.9896</v>
      </c>
      <c r="F44" s="248" t="n">
        <v>17.2445</v>
      </c>
      <c r="G44" s="248" t="n">
        <v>14.2619</v>
      </c>
      <c r="H44" s="248" t="n">
        <v>13.0115</v>
      </c>
      <c r="I44" s="249" t="n">
        <v>0.0647544991349767</v>
      </c>
      <c r="J44" s="249" t="n">
        <v>0.130403766939965</v>
      </c>
      <c r="K44" s="249" t="n">
        <v>0.908581319626658</v>
      </c>
      <c r="L44" s="249" t="n">
        <v>18.6273770068743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3.7221</v>
      </c>
      <c r="F45" s="251" t="n">
        <v>16.8354</v>
      </c>
      <c r="G45" s="251" t="n">
        <v>16.5717</v>
      </c>
      <c r="H45" s="251" t="n">
        <v>0</v>
      </c>
      <c r="I45" s="250" t="n">
        <v>0.0634294088616803</v>
      </c>
      <c r="J45" s="250" t="n">
        <v>0.0192192558512478</v>
      </c>
      <c r="K45" s="250" t="n">
        <v>0.852544313095045</v>
      </c>
      <c r="L45" s="250" t="n">
        <v>17.7579551487244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5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11.3251</v>
      </c>
      <c r="F50" s="248" t="n">
        <v>17.5133</v>
      </c>
      <c r="G50" s="248" t="n">
        <v>14.2067</v>
      </c>
      <c r="H50" s="248" t="n">
        <v>14.8974</v>
      </c>
      <c r="I50" s="249" t="n">
        <v>0.108336932614785</v>
      </c>
      <c r="J50" s="249" t="n">
        <v>0.478719500770091</v>
      </c>
      <c r="K50" s="249" t="n">
        <v>0.656305638704159</v>
      </c>
      <c r="L50" s="249" t="n">
        <v>9.25347389181672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-2.9037</v>
      </c>
      <c r="F51" s="248" t="n">
        <v>17.1051</v>
      </c>
      <c r="G51" s="248" t="n">
        <v>18.8258</v>
      </c>
      <c r="H51" s="248" t="n">
        <v>14.3105</v>
      </c>
      <c r="I51" s="249" t="n">
        <v>0.08522461722351909</v>
      </c>
      <c r="J51" s="249" t="n">
        <v>0.361384978131238</v>
      </c>
      <c r="K51" s="249" t="n">
        <v>0.827365632330155</v>
      </c>
      <c r="L51" s="249" t="n">
        <v>11.4465136240904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-7.1053</v>
      </c>
      <c r="F52" s="248" t="n">
        <v>9.0747</v>
      </c>
      <c r="G52" s="248" t="n">
        <v>5.2874</v>
      </c>
      <c r="H52" s="248" t="n">
        <v>11.1601</v>
      </c>
      <c r="I52" s="249" t="n">
        <v>0.0331919433791537</v>
      </c>
      <c r="J52" s="249" t="n">
        <v>-0.269675139130608</v>
      </c>
      <c r="K52" s="249" t="n">
        <v>0.960724888413766</v>
      </c>
      <c r="L52" s="249" t="n">
        <v>13.3603200075015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-1.9499</v>
      </c>
      <c r="F54" s="248" t="n">
        <v>12.8202</v>
      </c>
      <c r="G54" s="248" t="n">
        <v>12.355</v>
      </c>
      <c r="H54" s="248" t="n">
        <v>13.5279</v>
      </c>
      <c r="I54" s="249" t="n">
        <v>0.0550437573151934</v>
      </c>
      <c r="J54" s="249" t="n">
        <v>0.0316097416573643</v>
      </c>
      <c r="K54" s="249" t="n">
        <v>0.961457980114642</v>
      </c>
      <c r="L54" s="249" t="n">
        <v>12.9890273219116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5.1802</v>
      </c>
      <c r="F55" s="248" t="n">
        <v>15.4829</v>
      </c>
      <c r="G55" s="248" t="n">
        <v>13.3151</v>
      </c>
      <c r="H55" s="248" t="n">
        <v>0</v>
      </c>
      <c r="I55" s="249" t="n">
        <v>0.07217596519059009</v>
      </c>
      <c r="J55" s="249" t="n">
        <v>0.200244537904841</v>
      </c>
      <c r="K55" s="249" t="n">
        <v>0.90959707500281</v>
      </c>
      <c r="L55" s="249" t="n">
        <v>12.1290146023113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-4.7035</v>
      </c>
      <c r="F56" s="251" t="n">
        <v>11.65</v>
      </c>
      <c r="G56" s="251" t="n">
        <v>0</v>
      </c>
      <c r="H56" s="251" t="n">
        <v>0</v>
      </c>
      <c r="I56" s="250" t="n">
        <v>0.049967072054859</v>
      </c>
      <c r="J56" s="250" t="n">
        <v>-0.0656399839360738</v>
      </c>
      <c r="K56" s="250" t="n">
        <v>0.939173350070454</v>
      </c>
      <c r="L56" s="250" t="n">
        <v>12.6381788157721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5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-1.787</v>
      </c>
      <c r="F61" s="248" t="n">
        <v>14.4896</v>
      </c>
      <c r="G61" s="248" t="n">
        <v>15.3657</v>
      </c>
      <c r="H61" s="248" t="n">
        <v>14.6929</v>
      </c>
      <c r="I61" s="249" t="n">
        <v>0.0827172690331882</v>
      </c>
      <c r="J61" s="249" t="n">
        <v>0</v>
      </c>
      <c r="K61" s="249" t="n">
        <v>0</v>
      </c>
      <c r="L61" s="249" t="n">
        <v>9.23071533700897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5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2.839</v>
      </c>
      <c r="F62" s="248" t="n">
        <v>11.5933</v>
      </c>
      <c r="G62" s="248" t="n">
        <v>10.5662</v>
      </c>
      <c r="H62" s="248" t="n">
        <v>11.0496</v>
      </c>
      <c r="I62" s="249" t="n">
        <v>0.0834150251695904</v>
      </c>
      <c r="J62" s="249" t="n">
        <v>0</v>
      </c>
      <c r="K62" s="249" t="n">
        <v>0</v>
      </c>
      <c r="L62" s="249" t="n">
        <v>6.17231340998857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2.2793</v>
      </c>
      <c r="F63" s="248" t="n">
        <v>11.6066</v>
      </c>
      <c r="G63" s="248" t="n">
        <v>0</v>
      </c>
      <c r="H63" s="248" t="n">
        <v>0</v>
      </c>
      <c r="I63" s="249" t="n">
        <v>0.0885157996050364</v>
      </c>
      <c r="J63" s="249" t="n">
        <v>0</v>
      </c>
      <c r="K63" s="249" t="n">
        <v>0</v>
      </c>
      <c r="L63" s="249" t="n">
        <v>6.00651186970332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-0.6913</v>
      </c>
      <c r="F64" s="248" t="n">
        <v>9.525</v>
      </c>
      <c r="G64" s="248" t="n">
        <v>8.75</v>
      </c>
      <c r="H64" s="248" t="n">
        <v>0</v>
      </c>
      <c r="I64" s="249" t="n">
        <v>0.0519120573071115</v>
      </c>
      <c r="J64" s="249" t="n">
        <v>0</v>
      </c>
      <c r="K64" s="249" t="n">
        <v>0</v>
      </c>
      <c r="L64" s="249" t="n">
        <v>7.35023549683725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-2.7597</v>
      </c>
      <c r="F65" s="248" t="n">
        <v>0</v>
      </c>
      <c r="G65" s="248" t="n">
        <v>0</v>
      </c>
      <c r="H65" s="248" t="n">
        <v>0</v>
      </c>
      <c r="I65" s="249" t="n">
        <v>0.0292767476452958</v>
      </c>
      <c r="J65" s="249" t="n">
        <v>0</v>
      </c>
      <c r="K65" s="249" t="n">
        <v>0</v>
      </c>
      <c r="L65" s="249" t="n">
        <v>7.22217082379429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0.8594000000000001</v>
      </c>
      <c r="F66" s="248" t="n">
        <v>11.0191</v>
      </c>
      <c r="G66" s="248" t="n">
        <v>9.6128</v>
      </c>
      <c r="H66" s="248" t="n">
        <v>10.9246</v>
      </c>
      <c r="I66" s="249" t="n">
        <v>0.0674284344040689</v>
      </c>
      <c r="J66" s="249" t="n">
        <v>0</v>
      </c>
      <c r="K66" s="249" t="n">
        <v>0</v>
      </c>
      <c r="L66" s="249" t="n">
        <v>7.29837593532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2.3982</v>
      </c>
      <c r="F67" s="251" t="n">
        <v>11.6839</v>
      </c>
      <c r="G67" s="251" t="n">
        <v>9.7882</v>
      </c>
      <c r="H67" s="251" t="n">
        <v>10.7828</v>
      </c>
      <c r="I67" s="250" t="n">
        <v>0.07495893480591639</v>
      </c>
      <c r="J67" s="250" t="n">
        <v>0</v>
      </c>
      <c r="K67" s="250" t="n">
        <v>0</v>
      </c>
      <c r="L67" s="250" t="n">
        <v>7.2029153150539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5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6.9431</v>
      </c>
      <c r="F72" s="248" t="n">
        <v>17.2135</v>
      </c>
      <c r="G72" s="248" t="n">
        <v>17.6624</v>
      </c>
      <c r="H72" s="248" t="n">
        <v>15.9499</v>
      </c>
      <c r="I72" s="249" t="n">
        <v>0.131010435055056</v>
      </c>
      <c r="J72" s="249" t="n">
        <v>0</v>
      </c>
      <c r="K72" s="249" t="n">
        <v>0</v>
      </c>
      <c r="L72" s="249" t="n">
        <v>82.78876425397689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14.4747</v>
      </c>
      <c r="F73" s="248" t="n">
        <v>17.3409</v>
      </c>
      <c r="G73" s="248" t="n">
        <v>13.828</v>
      </c>
      <c r="H73" s="248" t="n">
        <v>11.5516</v>
      </c>
      <c r="I73" s="249" t="n">
        <v>0.127712860650629</v>
      </c>
      <c r="J73" s="249" t="n">
        <v>0</v>
      </c>
      <c r="K73" s="249" t="n">
        <v>0</v>
      </c>
      <c r="L73" s="249" t="n">
        <v>86.0849792794596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22.7177</v>
      </c>
      <c r="F74" s="248" t="n">
        <v>0</v>
      </c>
      <c r="G74" s="248" t="n">
        <v>0</v>
      </c>
      <c r="H74" s="248" t="n">
        <v>0</v>
      </c>
      <c r="I74" s="249" t="n">
        <v>0.105133303105158</v>
      </c>
      <c r="J74" s="249" t="n">
        <v>0</v>
      </c>
      <c r="K74" s="249" t="n">
        <v>0</v>
      </c>
      <c r="L74" s="249" t="n">
        <v>119.899033738128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16.2277</v>
      </c>
      <c r="F75" s="248" t="n">
        <v>20.2065</v>
      </c>
      <c r="G75" s="248" t="n">
        <v>15.8733</v>
      </c>
      <c r="H75" s="248" t="n">
        <v>0</v>
      </c>
      <c r="I75" s="249" t="n">
        <v>0.141038806570109</v>
      </c>
      <c r="J75" s="249" t="n">
        <v>0</v>
      </c>
      <c r="K75" s="249" t="n">
        <v>0</v>
      </c>
      <c r="L75" s="249" t="n">
        <v>96.209557170053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6.2369</v>
      </c>
      <c r="F76" s="248" t="n">
        <v>17.2677</v>
      </c>
      <c r="G76" s="248" t="n">
        <v>13.8147</v>
      </c>
      <c r="H76" s="248" t="n">
        <v>10.9474</v>
      </c>
      <c r="I76" s="249" t="n">
        <v>0.116284413946027</v>
      </c>
      <c r="J76" s="249" t="n">
        <v>0</v>
      </c>
      <c r="K76" s="249" t="n">
        <v>0</v>
      </c>
      <c r="L76" s="249" t="n">
        <v>100.330120538087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13.1488</v>
      </c>
      <c r="F78" s="251" t="n">
        <v>16.5477</v>
      </c>
      <c r="G78" s="251" t="n">
        <v>0</v>
      </c>
      <c r="H78" s="251" t="n">
        <v>0</v>
      </c>
      <c r="I78" s="250" t="n">
        <v>0.10448702312521</v>
      </c>
      <c r="J78" s="250" t="n">
        <v>0</v>
      </c>
      <c r="K78" s="250" t="n">
        <v>0</v>
      </c>
      <c r="L78" s="250" t="n">
        <v>105.141584357248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5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8.94</v>
      </c>
      <c r="F83" s="84" t="n">
        <v>26.8217</v>
      </c>
      <c r="G83" s="84" t="n">
        <v>23.6989</v>
      </c>
      <c r="H83" s="84" t="n">
        <v>0</v>
      </c>
      <c r="I83" s="84" t="n">
        <v>0.08406256165784939</v>
      </c>
      <c r="J83" s="84" t="n">
        <v>0.014289731306337</v>
      </c>
      <c r="K83" s="84" t="n">
        <v>0.94181797137487</v>
      </c>
      <c r="L83" s="84" t="n">
        <v>20.8180646023231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5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-0.1994</v>
      </c>
      <c r="F84" s="84" t="n">
        <v>12.2986</v>
      </c>
      <c r="G84" s="84" t="n">
        <v>11.6386</v>
      </c>
      <c r="H84" s="84" t="n">
        <v>12.9916</v>
      </c>
      <c r="I84" s="84" t="n">
        <v>0.0518133913015219</v>
      </c>
      <c r="J84" s="84" t="n">
        <v>0.294099889338568</v>
      </c>
      <c r="K84" s="84" t="n">
        <v>0.923569768756319</v>
      </c>
      <c r="L84" s="84" t="n">
        <v>14.1786639658378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5.6976</v>
      </c>
      <c r="F85" s="84" t="n">
        <v>0</v>
      </c>
      <c r="G85" s="84" t="n">
        <v>0</v>
      </c>
      <c r="H85" s="84" t="n">
        <v>0</v>
      </c>
      <c r="I85" s="84" t="n">
        <v>-0.0374664286311425</v>
      </c>
      <c r="J85" s="84" t="n">
        <v>-0.0445231818634838</v>
      </c>
      <c r="K85" s="84" t="n">
        <v>1.07714454811784</v>
      </c>
      <c r="L85" s="84" t="n">
        <v>13.8874580402896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-1.5458</v>
      </c>
      <c r="F86" s="84" t="n">
        <v>12.6603</v>
      </c>
      <c r="G86" s="84" t="n">
        <v>0</v>
      </c>
      <c r="H86" s="84" t="n">
        <v>0</v>
      </c>
      <c r="I86" s="84" t="n">
        <v>0.0496118841255995</v>
      </c>
      <c r="J86" s="84" t="n">
        <v>-0.146041765153307</v>
      </c>
      <c r="K86" s="84" t="n">
        <v>0.993708104387402</v>
      </c>
      <c r="L86" s="84" t="n">
        <v>13.0412352813957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-3.1724</v>
      </c>
      <c r="F87" s="84" t="n">
        <v>0</v>
      </c>
      <c r="G87" s="84" t="n">
        <v>0</v>
      </c>
      <c r="H87" s="84" t="n">
        <v>0</v>
      </c>
      <c r="I87" s="84" t="n">
        <v>-0.0132496111181766</v>
      </c>
      <c r="J87" s="84" t="n">
        <v>0</v>
      </c>
      <c r="K87" s="84" t="n">
        <v>0</v>
      </c>
      <c r="L87" s="84" t="n">
        <v>14.0044989549343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5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5.2493</v>
      </c>
      <c r="F88" s="84" t="n">
        <v>0</v>
      </c>
      <c r="G88" s="84" t="n">
        <v>0</v>
      </c>
      <c r="H88" s="84" t="n">
        <v>0</v>
      </c>
      <c r="I88" s="84" t="n">
        <v>0.0484866980692312</v>
      </c>
      <c r="J88" s="84" t="n">
        <v>0.135947513661193</v>
      </c>
      <c r="K88" s="84" t="n">
        <v>0.960724670209971</v>
      </c>
      <c r="L88" s="84" t="n">
        <v>17.5304044785776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5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14.1568</v>
      </c>
      <c r="F89" s="84" t="n">
        <v>21.8908</v>
      </c>
      <c r="G89" s="84" t="n">
        <v>14.0126</v>
      </c>
      <c r="H89" s="84" t="n">
        <v>13.7623</v>
      </c>
      <c r="I89" s="84" t="n">
        <v>0.09072511094433799</v>
      </c>
      <c r="J89" s="84" t="n">
        <v>0.143514060385854</v>
      </c>
      <c r="K89" s="84" t="n">
        <v>0.993017121837798</v>
      </c>
      <c r="L89" s="84" t="n">
        <v>15.0211471579811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5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12.7327</v>
      </c>
      <c r="F90" s="84" t="n">
        <v>25.4449</v>
      </c>
      <c r="G90" s="84" t="n">
        <v>13.2735</v>
      </c>
      <c r="H90" s="84" t="n">
        <v>0</v>
      </c>
      <c r="I90" s="84" t="n">
        <v>0.113956668588514</v>
      </c>
      <c r="J90" s="84" t="n">
        <v>-0.033264267012777</v>
      </c>
      <c r="K90" s="84" t="n">
        <v>0.940599889163386</v>
      </c>
      <c r="L90" s="84" t="n">
        <v>13.1389165431665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5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8.8726</v>
      </c>
      <c r="F91" s="84" t="n">
        <v>20.4249</v>
      </c>
      <c r="G91" s="84" t="n">
        <v>14.8788</v>
      </c>
      <c r="H91" s="84" t="n">
        <v>0</v>
      </c>
      <c r="I91" s="84" t="n">
        <v>0.09231630575320959</v>
      </c>
      <c r="J91" s="84" t="n">
        <v>0.510631874696862</v>
      </c>
      <c r="K91" s="84" t="n">
        <v>1.01267110458381</v>
      </c>
      <c r="L91" s="84" t="n">
        <v>13.3279452477595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5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-2.7203</v>
      </c>
      <c r="F92" s="84" t="n">
        <v>12.4218</v>
      </c>
      <c r="G92" s="84" t="n">
        <v>10.1591</v>
      </c>
      <c r="H92" s="84" t="n">
        <v>0</v>
      </c>
      <c r="I92" s="84" t="n">
        <v>0.0502027905064585</v>
      </c>
      <c r="J92" s="84" t="n">
        <v>0.00758861291884194</v>
      </c>
      <c r="K92" s="84" t="n">
        <v>1.01858844714819</v>
      </c>
      <c r="L92" s="84" t="n">
        <v>13.8835382936816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-3.4051</v>
      </c>
      <c r="F93" s="84" t="n">
        <v>0</v>
      </c>
      <c r="G93" s="84" t="n">
        <v>0</v>
      </c>
      <c r="H93" s="84" t="n">
        <v>0</v>
      </c>
      <c r="I93" s="84" t="n">
        <v>-0.000777983976724259</v>
      </c>
      <c r="J93" s="84" t="n">
        <v>-0.134348016991398</v>
      </c>
      <c r="K93" s="84" t="n">
        <v>0.98303920196897</v>
      </c>
      <c r="L93" s="84" t="n">
        <v>11.6867781099089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-8.59</v>
      </c>
      <c r="F94" s="84" t="n">
        <v>0</v>
      </c>
      <c r="G94" s="84" t="n">
        <v>0</v>
      </c>
      <c r="H94" s="84" t="n">
        <v>0</v>
      </c>
      <c r="I94" s="84" t="n">
        <v>-0.00946786205072947</v>
      </c>
      <c r="J94" s="84" t="n">
        <v>-0.7022597002175081</v>
      </c>
      <c r="K94" s="84" t="n">
        <v>1.18698693252822</v>
      </c>
      <c r="L94" s="84" t="n">
        <v>19.5327469429598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5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10.1944</v>
      </c>
      <c r="F95" s="84" t="n">
        <v>29.0049</v>
      </c>
      <c r="G95" s="84" t="n">
        <v>16.3974</v>
      </c>
      <c r="H95" s="84" t="n">
        <v>0</v>
      </c>
      <c r="I95" s="84" t="n">
        <v>0.135515689203873</v>
      </c>
      <c r="J95" s="84" t="n">
        <v>0.22416147015795</v>
      </c>
      <c r="K95" s="84" t="n">
        <v>0.928821410430695</v>
      </c>
      <c r="L95" s="84" t="n">
        <v>12.8068353126455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5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-1.4236</v>
      </c>
      <c r="F96" s="84" t="n">
        <v>0</v>
      </c>
      <c r="G96" s="84" t="n">
        <v>0</v>
      </c>
      <c r="H96" s="84" t="n">
        <v>0</v>
      </c>
      <c r="I96" s="84" t="n">
        <v>-0.0174507726140643</v>
      </c>
      <c r="J96" s="84" t="n">
        <v>0.228875967468361</v>
      </c>
      <c r="K96" s="84" t="n">
        <v>0.894810341584205</v>
      </c>
      <c r="L96" s="84" t="n">
        <v>9.70274548556911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5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-4.2164</v>
      </c>
      <c r="F97" s="84" t="n">
        <v>12.9855</v>
      </c>
      <c r="G97" s="84" t="n">
        <v>13.8617</v>
      </c>
      <c r="H97" s="84" t="n">
        <v>0</v>
      </c>
      <c r="I97" s="84" t="n">
        <v>0.0582872515446168</v>
      </c>
      <c r="J97" s="84" t="n">
        <v>0.0514281048322731</v>
      </c>
      <c r="K97" s="84" t="n">
        <v>0.855766152169245</v>
      </c>
      <c r="L97" s="84" t="n">
        <v>12.1004371338248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5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6.1875</v>
      </c>
      <c r="F98" s="84" t="n">
        <v>21.7992</v>
      </c>
      <c r="G98" s="84" t="n">
        <v>0</v>
      </c>
      <c r="H98" s="84" t="n">
        <v>0</v>
      </c>
      <c r="I98" s="84" t="n">
        <v>0.0912107154756563</v>
      </c>
      <c r="J98" s="84" t="n">
        <v>0.256837543338594</v>
      </c>
      <c r="K98" s="84" t="n">
        <v>0.908966575500653</v>
      </c>
      <c r="L98" s="84" t="n">
        <v>15.9409864122474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18.0487</v>
      </c>
      <c r="F99" s="84" t="n">
        <v>21.0249</v>
      </c>
      <c r="G99" s="84" t="n">
        <v>16.7982</v>
      </c>
      <c r="H99" s="84" t="n">
        <v>0</v>
      </c>
      <c r="I99" s="84" t="n">
        <v>0.0801234171341166</v>
      </c>
      <c r="J99" s="84" t="n">
        <v>0.0106539986603034</v>
      </c>
      <c r="K99" s="84" t="n">
        <v>0.967077004411209</v>
      </c>
      <c r="L99" s="84" t="n">
        <v>15.2730121274054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5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-0.2348</v>
      </c>
      <c r="F100" s="84" t="n">
        <v>15.0268</v>
      </c>
      <c r="G100" s="84" t="n">
        <v>0</v>
      </c>
      <c r="H100" s="84" t="n">
        <v>0</v>
      </c>
      <c r="I100" s="84" t="n">
        <v>0.0624158189013776</v>
      </c>
      <c r="J100" s="84" t="n">
        <v>0.195125780663204</v>
      </c>
      <c r="K100" s="84" t="n">
        <v>0.846814954491824</v>
      </c>
      <c r="L100" s="84" t="n">
        <v>13.031748674664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6.3058</v>
      </c>
      <c r="F101" s="84" t="n">
        <v>25.2803</v>
      </c>
      <c r="G101" s="84" t="n">
        <v>0</v>
      </c>
      <c r="H101" s="84" t="n">
        <v>0</v>
      </c>
      <c r="I101" s="84" t="n">
        <v>0.0870112788965256</v>
      </c>
      <c r="J101" s="84" t="n">
        <v>0.062673035957945</v>
      </c>
      <c r="K101" s="84" t="n">
        <v>0.858957610671416</v>
      </c>
      <c r="L101" s="84" t="n">
        <v>18.9135831067643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0</v>
      </c>
      <c r="F102" s="84" t="n">
        <v>0</v>
      </c>
      <c r="G102" s="84" t="n">
        <v>0</v>
      </c>
      <c r="H102" s="84" t="n">
        <v>0</v>
      </c>
      <c r="I102" s="84" t="n">
        <v>-0.0622166203713591</v>
      </c>
      <c r="J102" s="84" t="n">
        <v>-0.170121750780076</v>
      </c>
      <c r="K102" s="84" t="n">
        <v>0.6684373045126361</v>
      </c>
      <c r="L102" s="84" t="n">
        <v>8.76096120076679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7.1158</v>
      </c>
      <c r="F103" s="84" t="n">
        <v>13.9344</v>
      </c>
      <c r="G103" s="84" t="n">
        <v>12.4938</v>
      </c>
      <c r="H103" s="84" t="n">
        <v>0</v>
      </c>
      <c r="I103" s="84" t="n">
        <v>0.0717289869790706</v>
      </c>
      <c r="J103" s="84" t="n">
        <v>0.190091474870979</v>
      </c>
      <c r="K103" s="84" t="n">
        <v>0.74271866669271</v>
      </c>
      <c r="L103" s="84" t="n">
        <v>11.0404333140554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5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-6.9673</v>
      </c>
      <c r="F104" s="84" t="n">
        <v>14.8771</v>
      </c>
      <c r="G104" s="84" t="n">
        <v>11.2189</v>
      </c>
      <c r="H104" s="84" t="n">
        <v>0</v>
      </c>
      <c r="I104" s="84" t="n">
        <v>0.0651178656841444</v>
      </c>
      <c r="J104" s="84" t="n">
        <v>0.210476444334189</v>
      </c>
      <c r="K104" s="84" t="n">
        <v>0.89614990415743</v>
      </c>
      <c r="L104" s="84" t="n">
        <v>12.5466491539353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-0.825</v>
      </c>
      <c r="F105" s="84" t="n">
        <v>0</v>
      </c>
      <c r="G105" s="84" t="n">
        <v>0</v>
      </c>
      <c r="H105" s="84" t="n">
        <v>0</v>
      </c>
      <c r="I105" s="84" t="n">
        <v>0.0241396164968423</v>
      </c>
      <c r="J105" s="84" t="n">
        <v>-0.172894831639565</v>
      </c>
      <c r="K105" s="84" t="n">
        <v>1.0102182107206</v>
      </c>
      <c r="L105" s="84" t="n">
        <v>12.4851611042392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-1.8132</v>
      </c>
      <c r="F106" s="84" t="n">
        <v>14.4573</v>
      </c>
      <c r="G106" s="84" t="n">
        <v>12.0625</v>
      </c>
      <c r="H106" s="84" t="n">
        <v>0</v>
      </c>
      <c r="I106" s="84" t="n">
        <v>0.0714600554802806</v>
      </c>
      <c r="J106" s="84" t="n">
        <v>0.217056335900217</v>
      </c>
      <c r="K106" s="84" t="n">
        <v>0.85339004580362</v>
      </c>
      <c r="L106" s="84" t="n">
        <v>10.9198583644011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0.0196858723908354</v>
      </c>
      <c r="J107" s="84" t="n">
        <v>0.736415681833825</v>
      </c>
      <c r="K107" s="84" t="n">
        <v>0.910092539193978</v>
      </c>
      <c r="L107" s="84" t="n">
        <v>10.7182219230177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1.395</v>
      </c>
      <c r="F108" s="84" t="n">
        <v>12.7243</v>
      </c>
      <c r="G108" s="84" t="n">
        <v>0</v>
      </c>
      <c r="H108" s="84" t="n">
        <v>0</v>
      </c>
      <c r="I108" s="84" t="n">
        <v>0.051128971530683</v>
      </c>
      <c r="J108" s="84" t="n">
        <v>0.285380615796025</v>
      </c>
      <c r="K108" s="84" t="n">
        <v>0.928213063607909</v>
      </c>
      <c r="L108" s="84" t="n">
        <v>14.241245824595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-1.2692</v>
      </c>
      <c r="F109" s="84" t="n">
        <v>11.2902</v>
      </c>
      <c r="G109" s="84" t="n">
        <v>0</v>
      </c>
      <c r="H109" s="84" t="n">
        <v>0</v>
      </c>
      <c r="I109" s="84" t="n">
        <v>0.0446622432691096</v>
      </c>
      <c r="J109" s="84" t="n">
        <v>-0.151196901164795</v>
      </c>
      <c r="K109" s="84" t="n">
        <v>0.986888595875135</v>
      </c>
      <c r="L109" s="84" t="n">
        <v>13.016679549113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19.7079</v>
      </c>
      <c r="F110" s="84" t="n">
        <v>0</v>
      </c>
      <c r="G110" s="84" t="n">
        <v>0</v>
      </c>
      <c r="H110" s="84" t="n">
        <v>0</v>
      </c>
      <c r="I110" s="84" t="n">
        <v>0.134525458386717</v>
      </c>
      <c r="J110" s="84" t="n">
        <v>0.515198185265612</v>
      </c>
      <c r="K110" s="84" t="n">
        <v>0.953222865801044</v>
      </c>
      <c r="L110" s="84" t="n">
        <v>12.9910236354789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-20.3262</v>
      </c>
      <c r="F111" s="84" t="n">
        <v>0</v>
      </c>
      <c r="G111" s="84" t="n">
        <v>0</v>
      </c>
      <c r="H111" s="84" t="n">
        <v>0</v>
      </c>
      <c r="I111" s="84" t="n">
        <v>-0.00327781767410585</v>
      </c>
      <c r="J111" s="84" t="n">
        <v>0.107348559086287</v>
      </c>
      <c r="K111" s="84" t="n">
        <v>1.01501942216033</v>
      </c>
      <c r="L111" s="84" t="n">
        <v>20.4838569740558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8.848599999999999</v>
      </c>
      <c r="F112" s="84" t="n">
        <v>0</v>
      </c>
      <c r="G112" s="84" t="n">
        <v>0</v>
      </c>
      <c r="H112" s="84" t="n">
        <v>0</v>
      </c>
      <c r="I112" s="84" t="n">
        <v>0.07107792791373629</v>
      </c>
      <c r="J112" s="84" t="n">
        <v>0.369259324432009</v>
      </c>
      <c r="K112" s="84" t="n">
        <v>0.950034303939897</v>
      </c>
      <c r="L112" s="84" t="n">
        <v>17.331257452234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-3.8513</v>
      </c>
      <c r="F113" s="84" t="n">
        <v>15.0587</v>
      </c>
      <c r="G113" s="84" t="n">
        <v>13.9663</v>
      </c>
      <c r="H113" s="84" t="n">
        <v>0</v>
      </c>
      <c r="I113" s="84" t="n">
        <v>0.0525290803234187</v>
      </c>
      <c r="J113" s="84" t="n">
        <v>0.0482092619318196</v>
      </c>
      <c r="K113" s="84" t="n">
        <v>1.0321207968471</v>
      </c>
      <c r="L113" s="84" t="n">
        <v>16.5283757214299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1.5379</v>
      </c>
      <c r="F115" s="84" t="n">
        <v>7.8664</v>
      </c>
      <c r="G115" s="84" t="n">
        <v>0</v>
      </c>
      <c r="H115" s="84" t="n">
        <v>0</v>
      </c>
      <c r="I115" s="84" t="n">
        <v>0.0248576436571518</v>
      </c>
      <c r="J115" s="84" t="n">
        <v>-0.457871174161499</v>
      </c>
      <c r="K115" s="84" t="n">
        <v>1.01304940182747</v>
      </c>
      <c r="L115" s="84" t="n">
        <v>14.0378903503502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-0.0225270937053879</v>
      </c>
      <c r="J116" s="84" t="n">
        <v>0.329055071785226</v>
      </c>
      <c r="K116" s="84" t="n">
        <v>0.804853718618754</v>
      </c>
      <c r="L116" s="84" t="n">
        <v>10.093517410311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16.4111</v>
      </c>
      <c r="F117" s="84" t="n">
        <v>0</v>
      </c>
      <c r="G117" s="84" t="n">
        <v>0</v>
      </c>
      <c r="H117" s="84" t="n">
        <v>0</v>
      </c>
      <c r="I117" s="84" t="n">
        <v>-0.0052495512120411</v>
      </c>
      <c r="J117" s="84" t="n">
        <v>0.165346235140827</v>
      </c>
      <c r="K117" s="84" t="n">
        <v>0.894141142233544</v>
      </c>
      <c r="L117" s="84" t="n">
        <v>15.7873496001095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-1.1651</v>
      </c>
      <c r="F118" s="84" t="n">
        <v>0</v>
      </c>
      <c r="G118" s="84" t="n">
        <v>0</v>
      </c>
      <c r="H118" s="84" t="n">
        <v>0</v>
      </c>
      <c r="I118" s="84" t="n">
        <v>-0.0321363813110725</v>
      </c>
      <c r="J118" s="84" t="n">
        <v>-0.285086465128142</v>
      </c>
      <c r="K118" s="84" t="n">
        <v>1.01508810446269</v>
      </c>
      <c r="L118" s="84" t="n">
        <v>12.5392583041529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0.4311</v>
      </c>
      <c r="F119" s="84" t="n">
        <v>12.155</v>
      </c>
      <c r="G119" s="84" t="n">
        <v>11.2905</v>
      </c>
      <c r="H119" s="84" t="n">
        <v>0</v>
      </c>
      <c r="I119" s="84" t="n">
        <v>0.0523632404523546</v>
      </c>
      <c r="J119" s="84" t="n">
        <v>0.198879122405542</v>
      </c>
      <c r="K119" s="84" t="n">
        <v>0.857238371079571</v>
      </c>
      <c r="L119" s="84" t="n">
        <v>11.3281310366158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-0.1056</v>
      </c>
      <c r="F120" s="84" t="n">
        <v>0</v>
      </c>
      <c r="G120" s="84" t="n">
        <v>0</v>
      </c>
      <c r="H120" s="84" t="n">
        <v>0</v>
      </c>
      <c r="I120" s="84" t="n">
        <v>0.0348555844320095</v>
      </c>
      <c r="J120" s="84" t="n">
        <v>0.148238757692148</v>
      </c>
      <c r="K120" s="84" t="n">
        <v>1.03026443987004</v>
      </c>
      <c r="L120" s="84" t="n">
        <v>14.8477941523931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-8.084899999999999</v>
      </c>
      <c r="F121" s="84" t="n">
        <v>12.0014</v>
      </c>
      <c r="G121" s="84" t="n">
        <v>14.4551</v>
      </c>
      <c r="H121" s="84" t="n">
        <v>12.8784</v>
      </c>
      <c r="I121" s="84" t="n">
        <v>0.0490220330749519</v>
      </c>
      <c r="J121" s="84" t="n">
        <v>-0.06857570489182779</v>
      </c>
      <c r="K121" s="84" t="n">
        <v>0.944120651684255</v>
      </c>
      <c r="L121" s="84" t="n">
        <v>13.3166090384659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5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17.4076</v>
      </c>
      <c r="F122" s="84" t="n">
        <v>18.6596</v>
      </c>
      <c r="G122" s="84" t="n">
        <v>11.0533</v>
      </c>
      <c r="H122" s="84" t="n">
        <v>15.0771</v>
      </c>
      <c r="I122" s="84" t="n">
        <v>0.08219871607619959</v>
      </c>
      <c r="J122" s="84" t="n">
        <v>0</v>
      </c>
      <c r="K122" s="84" t="n">
        <v>0</v>
      </c>
      <c r="L122" s="84" t="n">
        <v>14.0181862236384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196.144</v>
      </c>
      <c r="F123" s="84" t="n">
        <v>62.9053</v>
      </c>
      <c r="G123" s="84" t="n">
        <v>0</v>
      </c>
      <c r="H123" s="84" t="n">
        <v>0</v>
      </c>
      <c r="I123" s="84" t="n">
        <v>0.106851789906753</v>
      </c>
      <c r="J123" s="84" t="n">
        <v>0.0561893839359451</v>
      </c>
      <c r="K123" s="84" t="n">
        <v>1.22388879924949</v>
      </c>
      <c r="L123" s="84" t="n">
        <v>30.8572978872328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4.5192</v>
      </c>
      <c r="F125" s="84" t="n">
        <v>0</v>
      </c>
      <c r="G125" s="84" t="n">
        <v>0</v>
      </c>
      <c r="H125" s="84" t="n">
        <v>0</v>
      </c>
      <c r="I125" s="84" t="n">
        <v>0.0571093799427533</v>
      </c>
      <c r="J125" s="84" t="n">
        <v>0.353201551817256</v>
      </c>
      <c r="K125" s="84" t="n">
        <v>0.91036581730514</v>
      </c>
      <c r="L125" s="84" t="n">
        <v>10.7212865253934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-0.3686</v>
      </c>
      <c r="F126" s="84" t="n">
        <v>16.846</v>
      </c>
      <c r="G126" s="84" t="n">
        <v>14.9944</v>
      </c>
      <c r="H126" s="84" t="n">
        <v>14.3802</v>
      </c>
      <c r="I126" s="84" t="n">
        <v>0.0777643763877665</v>
      </c>
      <c r="J126" s="84" t="n">
        <v>0.326133306012286</v>
      </c>
      <c r="K126" s="84" t="n">
        <v>1.02967547627888</v>
      </c>
      <c r="L126" s="84" t="n">
        <v>12.9335221534745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8.824299999999999</v>
      </c>
      <c r="F127" s="84" t="n">
        <v>21.0274</v>
      </c>
      <c r="G127" s="84" t="n">
        <v>15.837</v>
      </c>
      <c r="H127" s="84" t="n">
        <v>0</v>
      </c>
      <c r="I127" s="84" t="n">
        <v>0.097752590573492</v>
      </c>
      <c r="J127" s="84" t="n">
        <v>0.5184358014516089</v>
      </c>
      <c r="K127" s="84" t="n">
        <v>0.949785233282999</v>
      </c>
      <c r="L127" s="84" t="n">
        <v>13.3224755291859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1.6747</v>
      </c>
      <c r="F128" s="84" t="n">
        <v>15.902</v>
      </c>
      <c r="G128" s="84" t="n">
        <v>0</v>
      </c>
      <c r="H128" s="84" t="n">
        <v>0</v>
      </c>
      <c r="I128" s="84" t="n">
        <v>0.06900257885656599</v>
      </c>
      <c r="J128" s="84" t="n">
        <v>0.209227279857265</v>
      </c>
      <c r="K128" s="84" t="n">
        <v>0.990565227254991</v>
      </c>
      <c r="L128" s="84" t="n">
        <v>13.6880013420667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10.0758</v>
      </c>
      <c r="F129" s="84" t="n">
        <v>20.9611</v>
      </c>
      <c r="G129" s="84" t="n">
        <v>0</v>
      </c>
      <c r="H129" s="84" t="n">
        <v>0</v>
      </c>
      <c r="I129" s="84" t="n">
        <v>0.0865024547726633</v>
      </c>
      <c r="J129" s="84" t="n">
        <v>0.0799401065845942</v>
      </c>
      <c r="K129" s="84" t="n">
        <v>0.963195669450889</v>
      </c>
      <c r="L129" s="84" t="n">
        <v>14.5961738102586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19.3019</v>
      </c>
      <c r="F130" s="84" t="n">
        <v>0</v>
      </c>
      <c r="G130" s="84" t="n">
        <v>0</v>
      </c>
      <c r="H130" s="84" t="n">
        <v>0</v>
      </c>
      <c r="I130" s="84" t="n">
        <v>0.0389611929137381</v>
      </c>
      <c r="J130" s="84" t="n">
        <v>0.119654522266114</v>
      </c>
      <c r="K130" s="84" t="n">
        <v>1.06145092539012</v>
      </c>
      <c r="L130" s="84" t="n">
        <v>14.2574081582993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5.6291</v>
      </c>
      <c r="F131" s="84" t="n">
        <v>0</v>
      </c>
      <c r="G131" s="84" t="n">
        <v>0</v>
      </c>
      <c r="H131" s="84" t="n">
        <v>0</v>
      </c>
      <c r="I131" s="84" t="n">
        <v>-0.0219061422264339</v>
      </c>
      <c r="J131" s="84" t="n">
        <v>0.161794151284393</v>
      </c>
      <c r="K131" s="84" t="n">
        <v>1.12857581536661</v>
      </c>
      <c r="L131" s="84" t="n">
        <v>15.9119406372482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0.5064</v>
      </c>
      <c r="F132" s="84" t="n">
        <v>0</v>
      </c>
      <c r="G132" s="84" t="n">
        <v>0</v>
      </c>
      <c r="H132" s="84" t="n">
        <v>0</v>
      </c>
      <c r="I132" s="84" t="n">
        <v>0.039002474875393</v>
      </c>
      <c r="J132" s="84" t="n">
        <v>0.170425959076554</v>
      </c>
      <c r="K132" s="84" t="n">
        <v>1.02657855397272</v>
      </c>
      <c r="L132" s="84" t="n">
        <v>15.0672109488378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0.5709</v>
      </c>
      <c r="F133" s="84" t="n">
        <v>11.8228</v>
      </c>
      <c r="G133" s="84" t="n">
        <v>0</v>
      </c>
      <c r="H133" s="84" t="n">
        <v>0</v>
      </c>
      <c r="I133" s="84" t="n">
        <v>0.0474151470708275</v>
      </c>
      <c r="J133" s="84" t="n">
        <v>0.211500809052031</v>
      </c>
      <c r="K133" s="84" t="n">
        <v>0.9601610281570701</v>
      </c>
      <c r="L133" s="84" t="n">
        <v>14.1199539608989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-4.5027</v>
      </c>
      <c r="F134" s="84" t="n">
        <v>10.5943</v>
      </c>
      <c r="G134" s="84" t="n">
        <v>8.1557</v>
      </c>
      <c r="H134" s="84" t="n">
        <v>0</v>
      </c>
      <c r="I134" s="84" t="n">
        <v>0.0402685379882888</v>
      </c>
      <c r="J134" s="84" t="n">
        <v>-0.128671820010272</v>
      </c>
      <c r="K134" s="84" t="n">
        <v>0.946377965870589</v>
      </c>
      <c r="L134" s="84" t="n">
        <v>12.7111205524658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2.1478</v>
      </c>
      <c r="F135" s="84" t="n">
        <v>0</v>
      </c>
      <c r="G135" s="84" t="n">
        <v>0</v>
      </c>
      <c r="H135" s="84" t="n">
        <v>0</v>
      </c>
      <c r="I135" s="84" t="n">
        <v>0.0531536157195757</v>
      </c>
      <c r="J135" s="84" t="n">
        <v>0.338233892932256</v>
      </c>
      <c r="K135" s="84" t="n">
        <v>1.1058778207726</v>
      </c>
      <c r="L135" s="84" t="n">
        <v>16.105392137956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-17.375</v>
      </c>
      <c r="F136" s="84" t="n">
        <v>0</v>
      </c>
      <c r="G136" s="84" t="n">
        <v>0</v>
      </c>
      <c r="H136" s="84" t="n">
        <v>0</v>
      </c>
      <c r="I136" s="84" t="n">
        <v>-0.0235553423748558</v>
      </c>
      <c r="J136" s="84" t="n">
        <v>-0.06309418977481961</v>
      </c>
      <c r="K136" s="84" t="n">
        <v>0.974127196115386</v>
      </c>
      <c r="L136" s="84" t="n">
        <v>20.7421779767648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14.3591</v>
      </c>
      <c r="F137" s="84" t="n">
        <v>0</v>
      </c>
      <c r="G137" s="84" t="n">
        <v>0</v>
      </c>
      <c r="H137" s="84" t="n">
        <v>0</v>
      </c>
      <c r="I137" s="84" t="n">
        <v>0.072191680904963</v>
      </c>
      <c r="J137" s="84" t="n">
        <v>-0.0706314687927638</v>
      </c>
      <c r="K137" s="84" t="n">
        <v>1.02302596016522</v>
      </c>
      <c r="L137" s="84" t="n">
        <v>14.1810049937136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5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4.5"/>
  <cols>
    <col width="69.1796875" bestFit="1" customWidth="1" style="286" min="1" max="1"/>
    <col width="8.7265625" customWidth="1" style="286" min="2" max="256"/>
    <col width="69.1796875" bestFit="1" customWidth="1" style="286" min="257" max="257"/>
    <col width="8.7265625" customWidth="1" style="286" min="258" max="512"/>
    <col width="69.1796875" bestFit="1" customWidth="1" style="286" min="513" max="513"/>
    <col width="8.7265625" customWidth="1" style="286" min="514" max="768"/>
    <col width="69.1796875" bestFit="1" customWidth="1" style="286" min="769" max="769"/>
    <col width="8.7265625" customWidth="1" style="286" min="770" max="1024"/>
    <col width="69.1796875" bestFit="1" customWidth="1" style="286" min="1025" max="1025"/>
    <col width="8.7265625" customWidth="1" style="286" min="1026" max="1280"/>
    <col width="69.1796875" bestFit="1" customWidth="1" style="286" min="1281" max="1281"/>
    <col width="8.7265625" customWidth="1" style="286" min="1282" max="1536"/>
    <col width="69.1796875" bestFit="1" customWidth="1" style="286" min="1537" max="1537"/>
    <col width="8.7265625" customWidth="1" style="286" min="1538" max="1792"/>
    <col width="69.1796875" bestFit="1" customWidth="1" style="286" min="1793" max="1793"/>
    <col width="8.7265625" customWidth="1" style="286" min="1794" max="2048"/>
    <col width="69.1796875" bestFit="1" customWidth="1" style="286" min="2049" max="2049"/>
    <col width="8.7265625" customWidth="1" style="286" min="2050" max="2304"/>
    <col width="69.1796875" bestFit="1" customWidth="1" style="286" min="2305" max="2305"/>
    <col width="8.7265625" customWidth="1" style="286" min="2306" max="2560"/>
    <col width="69.1796875" bestFit="1" customWidth="1" style="286" min="2561" max="2561"/>
    <col width="8.7265625" customWidth="1" style="286" min="2562" max="2816"/>
    <col width="69.1796875" bestFit="1" customWidth="1" style="286" min="2817" max="2817"/>
    <col width="8.7265625" customWidth="1" style="286" min="2818" max="3072"/>
    <col width="69.1796875" bestFit="1" customWidth="1" style="286" min="3073" max="3073"/>
    <col width="8.7265625" customWidth="1" style="286" min="3074" max="3328"/>
    <col width="69.1796875" bestFit="1" customWidth="1" style="286" min="3329" max="3329"/>
    <col width="8.7265625" customWidth="1" style="286" min="3330" max="3584"/>
    <col width="69.1796875" bestFit="1" customWidth="1" style="286" min="3585" max="3585"/>
    <col width="8.7265625" customWidth="1" style="286" min="3586" max="3840"/>
    <col width="69.1796875" bestFit="1" customWidth="1" style="286" min="3841" max="3841"/>
    <col width="8.7265625" customWidth="1" style="286" min="3842" max="4096"/>
    <col width="69.1796875" bestFit="1" customWidth="1" style="286" min="4097" max="4097"/>
    <col width="8.7265625" customWidth="1" style="286" min="4098" max="4352"/>
    <col width="69.1796875" bestFit="1" customWidth="1" style="286" min="4353" max="4353"/>
    <col width="8.7265625" customWidth="1" style="286" min="4354" max="4608"/>
    <col width="69.1796875" bestFit="1" customWidth="1" style="286" min="4609" max="4609"/>
    <col width="8.7265625" customWidth="1" style="286" min="4610" max="4864"/>
    <col width="69.1796875" bestFit="1" customWidth="1" style="286" min="4865" max="4865"/>
    <col width="8.7265625" customWidth="1" style="286" min="4866" max="5120"/>
    <col width="69.1796875" bestFit="1" customWidth="1" style="286" min="5121" max="5121"/>
    <col width="8.7265625" customWidth="1" style="286" min="5122" max="5376"/>
    <col width="69.1796875" bestFit="1" customWidth="1" style="286" min="5377" max="5377"/>
    <col width="8.7265625" customWidth="1" style="286" min="5378" max="5632"/>
    <col width="69.1796875" bestFit="1" customWidth="1" style="286" min="5633" max="5633"/>
    <col width="8.7265625" customWidth="1" style="286" min="5634" max="5888"/>
    <col width="69.1796875" bestFit="1" customWidth="1" style="286" min="5889" max="5889"/>
    <col width="8.7265625" customWidth="1" style="286" min="5890" max="6144"/>
    <col width="69.1796875" bestFit="1" customWidth="1" style="286" min="6145" max="6145"/>
    <col width="8.7265625" customWidth="1" style="286" min="6146" max="6400"/>
    <col width="69.1796875" bestFit="1" customWidth="1" style="286" min="6401" max="6401"/>
    <col width="8.7265625" customWidth="1" style="286" min="6402" max="6656"/>
    <col width="69.1796875" bestFit="1" customWidth="1" style="286" min="6657" max="6657"/>
    <col width="8.7265625" customWidth="1" style="286" min="6658" max="6912"/>
    <col width="69.1796875" bestFit="1" customWidth="1" style="286" min="6913" max="6913"/>
    <col width="8.7265625" customWidth="1" style="286" min="6914" max="7168"/>
    <col width="69.1796875" bestFit="1" customWidth="1" style="286" min="7169" max="7169"/>
    <col width="8.7265625" customWidth="1" style="286" min="7170" max="7424"/>
    <col width="69.1796875" bestFit="1" customWidth="1" style="286" min="7425" max="7425"/>
    <col width="8.7265625" customWidth="1" style="286" min="7426" max="7680"/>
    <col width="69.1796875" bestFit="1" customWidth="1" style="286" min="7681" max="7681"/>
    <col width="8.7265625" customWidth="1" style="286" min="7682" max="7936"/>
    <col width="69.1796875" bestFit="1" customWidth="1" style="286" min="7937" max="7937"/>
    <col width="8.7265625" customWidth="1" style="286" min="7938" max="8192"/>
    <col width="69.1796875" bestFit="1" customWidth="1" style="286" min="8193" max="8193"/>
    <col width="8.7265625" customWidth="1" style="286" min="8194" max="8448"/>
    <col width="69.1796875" bestFit="1" customWidth="1" style="286" min="8449" max="8449"/>
    <col width="8.7265625" customWidth="1" style="286" min="8450" max="8704"/>
    <col width="69.1796875" bestFit="1" customWidth="1" style="286" min="8705" max="8705"/>
    <col width="8.7265625" customWidth="1" style="286" min="8706" max="8960"/>
    <col width="69.1796875" bestFit="1" customWidth="1" style="286" min="8961" max="8961"/>
    <col width="8.7265625" customWidth="1" style="286" min="8962" max="9216"/>
    <col width="69.1796875" bestFit="1" customWidth="1" style="286" min="9217" max="9217"/>
    <col width="8.7265625" customWidth="1" style="286" min="9218" max="9472"/>
    <col width="69.1796875" bestFit="1" customWidth="1" style="286" min="9473" max="9473"/>
    <col width="8.7265625" customWidth="1" style="286" min="9474" max="9728"/>
    <col width="69.1796875" bestFit="1" customWidth="1" style="286" min="9729" max="9729"/>
    <col width="8.7265625" customWidth="1" style="286" min="9730" max="9984"/>
    <col width="69.1796875" bestFit="1" customWidth="1" style="286" min="9985" max="9985"/>
    <col width="8.7265625" customWidth="1" style="286" min="9986" max="10240"/>
    <col width="69.1796875" bestFit="1" customWidth="1" style="286" min="10241" max="10241"/>
    <col width="8.7265625" customWidth="1" style="286" min="10242" max="10496"/>
    <col width="69.1796875" bestFit="1" customWidth="1" style="286" min="10497" max="10497"/>
    <col width="8.7265625" customWidth="1" style="286" min="10498" max="10752"/>
    <col width="69.1796875" bestFit="1" customWidth="1" style="286" min="10753" max="10753"/>
    <col width="8.7265625" customWidth="1" style="286" min="10754" max="11008"/>
    <col width="69.1796875" bestFit="1" customWidth="1" style="286" min="11009" max="11009"/>
    <col width="8.7265625" customWidth="1" style="286" min="11010" max="11264"/>
    <col width="69.1796875" bestFit="1" customWidth="1" style="286" min="11265" max="11265"/>
    <col width="8.7265625" customWidth="1" style="286" min="11266" max="11520"/>
    <col width="69.1796875" bestFit="1" customWidth="1" style="286" min="11521" max="11521"/>
    <col width="8.7265625" customWidth="1" style="286" min="11522" max="11776"/>
    <col width="69.1796875" bestFit="1" customWidth="1" style="286" min="11777" max="11777"/>
    <col width="8.7265625" customWidth="1" style="286" min="11778" max="12032"/>
    <col width="69.1796875" bestFit="1" customWidth="1" style="286" min="12033" max="12033"/>
    <col width="8.7265625" customWidth="1" style="286" min="12034" max="12288"/>
    <col width="69.1796875" bestFit="1" customWidth="1" style="286" min="12289" max="12289"/>
    <col width="8.7265625" customWidth="1" style="286" min="12290" max="12544"/>
    <col width="69.1796875" bestFit="1" customWidth="1" style="286" min="12545" max="12545"/>
    <col width="8.7265625" customWidth="1" style="286" min="12546" max="12800"/>
    <col width="69.1796875" bestFit="1" customWidth="1" style="286" min="12801" max="12801"/>
    <col width="8.7265625" customWidth="1" style="286" min="12802" max="13056"/>
    <col width="69.1796875" bestFit="1" customWidth="1" style="286" min="13057" max="13057"/>
    <col width="8.7265625" customWidth="1" style="286" min="13058" max="13312"/>
    <col width="69.1796875" bestFit="1" customWidth="1" style="286" min="13313" max="13313"/>
    <col width="8.7265625" customWidth="1" style="286" min="13314" max="13568"/>
    <col width="69.1796875" bestFit="1" customWidth="1" style="286" min="13569" max="13569"/>
    <col width="8.7265625" customWidth="1" style="286" min="13570" max="13824"/>
    <col width="69.1796875" bestFit="1" customWidth="1" style="286" min="13825" max="13825"/>
    <col width="8.7265625" customWidth="1" style="286" min="13826" max="14080"/>
    <col width="69.1796875" bestFit="1" customWidth="1" style="286" min="14081" max="14081"/>
    <col width="8.7265625" customWidth="1" style="286" min="14082" max="14336"/>
    <col width="69.1796875" bestFit="1" customWidth="1" style="286" min="14337" max="14337"/>
    <col width="8.7265625" customWidth="1" style="286" min="14338" max="14592"/>
    <col width="69.1796875" bestFit="1" customWidth="1" style="286" min="14593" max="14593"/>
    <col width="8.7265625" customWidth="1" style="286" min="14594" max="14848"/>
    <col width="69.1796875" bestFit="1" customWidth="1" style="286" min="14849" max="14849"/>
    <col width="8.7265625" customWidth="1" style="286" min="14850" max="15104"/>
    <col width="69.1796875" bestFit="1" customWidth="1" style="286" min="15105" max="15105"/>
    <col width="8.7265625" customWidth="1" style="286" min="15106" max="15360"/>
    <col width="69.1796875" bestFit="1" customWidth="1" style="286" min="15361" max="15361"/>
    <col width="8.7265625" customWidth="1" style="286" min="15362" max="15616"/>
    <col width="69.1796875" bestFit="1" customWidth="1" style="286" min="15617" max="15617"/>
    <col width="8.7265625" customWidth="1" style="286" min="15618" max="15872"/>
    <col width="69.1796875" bestFit="1" customWidth="1" style="286" min="15873" max="15873"/>
    <col width="8.7265625" customWidth="1" style="286" min="15874" max="16128"/>
    <col width="69.1796875" bestFit="1" customWidth="1" style="286" min="16129" max="16129"/>
    <col width="8.726562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B7" sqref="B7"/>
    </sheetView>
  </sheetViews>
  <sheetFormatPr baseColWidth="8" defaultColWidth="8.7265625" defaultRowHeight="14.5"/>
  <cols>
    <col width="8.7265625" customWidth="1" style="42" min="1" max="1"/>
    <col width="51.453125" customWidth="1" style="1" min="2" max="2"/>
    <col width="7.1796875" customWidth="1" style="42" min="3" max="3"/>
    <col hidden="1" width="7.1796875" customWidth="1" style="42" min="4" max="5"/>
    <col width="8.7265625" customWidth="1" style="42" min="6" max="7"/>
    <col width="11.1796875" customWidth="1" style="42" min="8" max="8"/>
    <col width="8.7265625" customWidth="1" style="42" min="9" max="23"/>
    <col width="10.81640625" customWidth="1" style="42" min="24" max="24"/>
    <col width="10.7265625" customWidth="1" style="42" min="25" max="25"/>
    <col width="8.7265625" customWidth="1" style="42" min="26" max="29"/>
    <col width="8.7265625" customWidth="1" style="146" min="30" max="30"/>
    <col width="8.7265625" customWidth="1" style="42" min="31" max="39"/>
    <col width="14.1796875" customWidth="1" style="42" min="40" max="40"/>
    <col width="8.7265625" customWidth="1" style="42" min="41" max="45"/>
    <col width="8.7265625" customWidth="1" style="42" min="46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6.72</v>
      </c>
      <c r="G7" s="248" t="n">
        <v>0.49</v>
      </c>
      <c r="H7" s="249" t="n">
        <v>0.53</v>
      </c>
      <c r="I7" s="249" t="n">
        <v>7.96</v>
      </c>
      <c r="J7" s="249" t="n">
        <v>8.44</v>
      </c>
      <c r="K7" s="249" t="n">
        <v>8.18</v>
      </c>
      <c r="L7" s="249" t="n">
        <v>8.119999999999999</v>
      </c>
      <c r="M7" s="249" t="n">
        <v>7.77</v>
      </c>
      <c r="N7" s="249" t="n">
        <v>7.37</v>
      </c>
      <c r="O7" s="249" t="n">
        <v>6.11</v>
      </c>
      <c r="P7" s="249" t="n">
        <v>7.14</v>
      </c>
      <c r="Q7" s="84" t="n">
        <v>9.35</v>
      </c>
      <c r="R7" s="84" t="n">
        <v>51.88</v>
      </c>
      <c r="S7" s="84" t="n">
        <v>21.6</v>
      </c>
      <c r="T7" s="84" t="n">
        <v>12.87</v>
      </c>
      <c r="U7" s="84" t="n">
        <v>-0.12</v>
      </c>
      <c r="V7" s="84" t="n">
        <v>4.18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6.48</v>
      </c>
      <c r="G8" s="248" t="n">
        <v>0.45</v>
      </c>
      <c r="H8" s="249" t="n">
        <v>0.48</v>
      </c>
      <c r="I8" s="249" t="n">
        <v>7.17</v>
      </c>
      <c r="J8" s="249" t="n">
        <v>7.9</v>
      </c>
      <c r="K8" s="249" t="n">
        <v>7.57</v>
      </c>
      <c r="L8" s="249" t="n">
        <v>7.56</v>
      </c>
      <c r="M8" s="249" t="n">
        <v>7.37</v>
      </c>
      <c r="N8" s="249" t="n">
        <v>7.05</v>
      </c>
      <c r="O8" s="249" t="n">
        <v>5.73</v>
      </c>
      <c r="P8" s="249" t="n">
        <v>0</v>
      </c>
      <c r="Q8" s="84" t="n">
        <v>9.699999999999999</v>
      </c>
      <c r="R8" s="84" t="n">
        <v>76.23999999999999</v>
      </c>
      <c r="S8" s="84" t="n">
        <v>4.3</v>
      </c>
      <c r="T8" s="84" t="n">
        <v>5.12</v>
      </c>
      <c r="U8" s="84" t="n">
        <v>0</v>
      </c>
      <c r="V8" s="84" t="n">
        <v>4.41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6.79</v>
      </c>
      <c r="G10" s="248" t="n">
        <v>0.45</v>
      </c>
      <c r="H10" s="249" t="n">
        <v>0.48</v>
      </c>
      <c r="I10" s="249" t="n">
        <v>7.44</v>
      </c>
      <c r="J10" s="249" t="n">
        <v>8.029999999999999</v>
      </c>
      <c r="K10" s="249" t="n">
        <v>7.67</v>
      </c>
      <c r="L10" s="249" t="n">
        <v>7.61</v>
      </c>
      <c r="M10" s="249" t="n">
        <v>7.4</v>
      </c>
      <c r="N10" s="249" t="n">
        <v>7.08</v>
      </c>
      <c r="O10" s="249" t="n">
        <v>5.93</v>
      </c>
      <c r="P10" s="249" t="n">
        <v>7.03</v>
      </c>
      <c r="Q10" s="84" t="n">
        <v>9.83</v>
      </c>
      <c r="R10" s="84" t="n">
        <v>71.06</v>
      </c>
      <c r="S10" s="84" t="n">
        <v>8.73</v>
      </c>
      <c r="T10" s="84" t="n">
        <v>9.539999999999999</v>
      </c>
      <c r="U10" s="84" t="n">
        <v>-21.03</v>
      </c>
      <c r="V10" s="84" t="n">
        <v>21.63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6.49</v>
      </c>
      <c r="G11" s="248" t="n">
        <v>0.45</v>
      </c>
      <c r="H11" s="249" t="n">
        <v>0.46</v>
      </c>
      <c r="I11" s="249" t="n">
        <v>7.15</v>
      </c>
      <c r="J11" s="249" t="n">
        <v>7.83</v>
      </c>
      <c r="K11" s="249" t="n">
        <v>7.45</v>
      </c>
      <c r="L11" s="249" t="n">
        <v>7.42</v>
      </c>
      <c r="M11" s="249" t="n">
        <v>7.19</v>
      </c>
      <c r="N11" s="249" t="n">
        <v>6.9</v>
      </c>
      <c r="O11" s="249" t="n">
        <v>5.52</v>
      </c>
      <c r="P11" s="249" t="n">
        <v>6.54</v>
      </c>
      <c r="Q11" s="84" t="n">
        <v>14.94</v>
      </c>
      <c r="R11" s="84" t="n">
        <v>75.61</v>
      </c>
      <c r="S11" s="84" t="n">
        <v>5.52</v>
      </c>
      <c r="T11" s="84" t="n">
        <v>3.47</v>
      </c>
      <c r="U11" s="84" t="n">
        <v>0</v>
      </c>
      <c r="V11" s="84" t="n">
        <v>0.19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6.71</v>
      </c>
      <c r="G12" s="248" t="n">
        <v>0.45</v>
      </c>
      <c r="H12" s="249" t="n">
        <v>0.49</v>
      </c>
      <c r="I12" s="249" t="n">
        <v>7.03</v>
      </c>
      <c r="J12" s="249" t="n">
        <v>7.69</v>
      </c>
      <c r="K12" s="249" t="n">
        <v>7.39</v>
      </c>
      <c r="L12" s="249" t="n">
        <v>7.36</v>
      </c>
      <c r="M12" s="249" t="n">
        <v>7.16</v>
      </c>
      <c r="N12" s="249" t="n">
        <v>6.83</v>
      </c>
      <c r="O12" s="249" t="n">
        <v>6.76</v>
      </c>
      <c r="P12" s="249" t="n">
        <v>5.92</v>
      </c>
      <c r="Q12" s="84" t="n">
        <v>10.01</v>
      </c>
      <c r="R12" s="84" t="n">
        <v>71.86</v>
      </c>
      <c r="S12" s="84" t="n">
        <v>2.33</v>
      </c>
      <c r="T12" s="84" t="n">
        <v>12.75</v>
      </c>
      <c r="U12" s="84" t="n">
        <v>-0.06</v>
      </c>
      <c r="V12" s="84" t="n">
        <v>2.88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6.46</v>
      </c>
      <c r="G13" s="251" t="n">
        <v>0.45</v>
      </c>
      <c r="H13" s="250" t="n">
        <v>0.46</v>
      </c>
      <c r="I13" s="250" t="n">
        <v>6.91</v>
      </c>
      <c r="J13" s="250" t="n">
        <v>7.58</v>
      </c>
      <c r="K13" s="250" t="n">
        <v>7.28</v>
      </c>
      <c r="L13" s="250" t="n">
        <v>7.33</v>
      </c>
      <c r="M13" s="250" t="n">
        <v>7.13</v>
      </c>
      <c r="N13" s="250" t="n">
        <v>6.81</v>
      </c>
      <c r="O13" s="250" t="n">
        <v>6.07</v>
      </c>
      <c r="P13" s="250" t="n">
        <v>6.29</v>
      </c>
      <c r="Q13" s="92" t="n">
        <v>8.699999999999999</v>
      </c>
      <c r="R13" s="92" t="n">
        <v>73.15000000000001</v>
      </c>
      <c r="S13" s="92" t="n">
        <v>7.47</v>
      </c>
      <c r="T13" s="92" t="n">
        <v>4.57</v>
      </c>
      <c r="U13" s="92" t="n">
        <v>0</v>
      </c>
      <c r="V13" s="92" t="n">
        <v>5.93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6.87</v>
      </c>
      <c r="G19" s="248" t="n">
        <v>0.86</v>
      </c>
      <c r="H19" s="249" t="n">
        <v>0.91</v>
      </c>
      <c r="I19" s="248" t="n">
        <v>8.02</v>
      </c>
      <c r="J19" s="248" t="n">
        <v>8.94</v>
      </c>
      <c r="K19" s="248" t="n">
        <v>8.32</v>
      </c>
      <c r="L19" s="248" t="n">
        <v>8.34</v>
      </c>
      <c r="M19" s="248" t="n">
        <v>8.029999999999999</v>
      </c>
      <c r="N19" s="248" t="n">
        <v>7.94</v>
      </c>
      <c r="O19" s="248" t="n">
        <v>6.34</v>
      </c>
      <c r="P19" s="248" t="n">
        <v>7.31</v>
      </c>
      <c r="Q19" s="248" t="n">
        <v>11.93</v>
      </c>
      <c r="R19" s="248" t="n">
        <v>69.13</v>
      </c>
      <c r="S19" s="248" t="n">
        <v>7.39</v>
      </c>
      <c r="T19" s="248" t="n">
        <v>6.6</v>
      </c>
      <c r="U19" s="248" t="n">
        <v>-9.1</v>
      </c>
      <c r="V19" s="248" t="n">
        <v>13.79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6.87</v>
      </c>
      <c r="G20" s="248" t="n">
        <v>0.9</v>
      </c>
      <c r="H20" s="249" t="n">
        <v>0.97</v>
      </c>
      <c r="I20" s="248" t="n">
        <v>7.77</v>
      </c>
      <c r="J20" s="248" t="n">
        <v>8.68</v>
      </c>
      <c r="K20" s="248" t="n">
        <v>7.92</v>
      </c>
      <c r="L20" s="248" t="n">
        <v>7.92</v>
      </c>
      <c r="M20" s="248" t="n">
        <v>7.54</v>
      </c>
      <c r="N20" s="248" t="n">
        <v>7.24</v>
      </c>
      <c r="O20" s="248" t="n">
        <v>5.98</v>
      </c>
      <c r="P20" s="248" t="n">
        <v>6.76</v>
      </c>
      <c r="Q20" s="248" t="n">
        <v>11.6</v>
      </c>
      <c r="R20" s="248" t="n">
        <v>73.09</v>
      </c>
      <c r="S20" s="248" t="n">
        <v>2.37</v>
      </c>
      <c r="T20" s="248" t="n">
        <v>8.76</v>
      </c>
      <c r="U20" s="248" t="n">
        <v>0</v>
      </c>
      <c r="V20" s="248" t="n">
        <v>3.95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6.78</v>
      </c>
      <c r="G22" s="248" t="n">
        <v>0.93</v>
      </c>
      <c r="H22" s="249" t="n">
        <v>1.02</v>
      </c>
      <c r="I22" s="248" t="n">
        <v>7.63</v>
      </c>
      <c r="J22" s="248" t="n">
        <v>8.35</v>
      </c>
      <c r="K22" s="248" t="n">
        <v>7.69</v>
      </c>
      <c r="L22" s="248" t="n">
        <v>7.66</v>
      </c>
      <c r="M22" s="248" t="n">
        <v>7.22</v>
      </c>
      <c r="N22" s="248" t="n">
        <v>6.91</v>
      </c>
      <c r="O22" s="248" t="n">
        <v>5.7</v>
      </c>
      <c r="P22" s="248" t="n">
        <v>6.73</v>
      </c>
      <c r="Q22" s="248" t="n">
        <v>9.06</v>
      </c>
      <c r="R22" s="248" t="n">
        <v>72.34999999999999</v>
      </c>
      <c r="S22" s="248" t="n">
        <v>7.69</v>
      </c>
      <c r="T22" s="248" t="n">
        <v>8.380000000000001</v>
      </c>
      <c r="U22" s="248" t="n">
        <v>-0.08</v>
      </c>
      <c r="V22" s="248" t="n">
        <v>2.33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6.84</v>
      </c>
      <c r="G23" s="248" t="n">
        <v>0.85</v>
      </c>
      <c r="H23" s="249" t="n">
        <v>0.9</v>
      </c>
      <c r="I23" s="248" t="n">
        <v>7.71</v>
      </c>
      <c r="J23" s="248" t="n">
        <v>8.52</v>
      </c>
      <c r="K23" s="248" t="n">
        <v>7.88</v>
      </c>
      <c r="L23" s="248" t="n">
        <v>7.88</v>
      </c>
      <c r="M23" s="248" t="n">
        <v>7.36</v>
      </c>
      <c r="N23" s="248" t="n">
        <v>7.05</v>
      </c>
      <c r="O23" s="248" t="n">
        <v>5.69</v>
      </c>
      <c r="P23" s="248" t="n">
        <v>6.95</v>
      </c>
      <c r="Q23" s="248" t="n">
        <v>11.47</v>
      </c>
      <c r="R23" s="248" t="n">
        <v>72.3</v>
      </c>
      <c r="S23" s="248" t="n">
        <v>7.81</v>
      </c>
      <c r="T23" s="248" t="n">
        <v>5.57</v>
      </c>
      <c r="U23" s="248" t="n">
        <v>0</v>
      </c>
      <c r="V23" s="248" t="n">
        <v>2.59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6.84</v>
      </c>
      <c r="G24" s="248" t="n">
        <v>0.89</v>
      </c>
      <c r="H24" s="249" t="n">
        <v>0.9399999999999999</v>
      </c>
      <c r="I24" s="248" t="n">
        <v>7.83</v>
      </c>
      <c r="J24" s="248" t="n">
        <v>8.58</v>
      </c>
      <c r="K24" s="248" t="n">
        <v>7.96</v>
      </c>
      <c r="L24" s="248" t="n">
        <v>7.99</v>
      </c>
      <c r="M24" s="248" t="n">
        <v>7.45</v>
      </c>
      <c r="N24" s="248" t="n">
        <v>7.03</v>
      </c>
      <c r="O24" s="248" t="n">
        <v>5.9</v>
      </c>
      <c r="P24" s="248" t="n">
        <v>6.73</v>
      </c>
      <c r="Q24" s="248" t="n">
        <v>11.86</v>
      </c>
      <c r="R24" s="248" t="n">
        <v>69.65000000000001</v>
      </c>
      <c r="S24" s="248" t="n">
        <v>5.86</v>
      </c>
      <c r="T24" s="248" t="n">
        <v>7.77</v>
      </c>
      <c r="U24" s="248" t="n">
        <v>-0.07000000000000001</v>
      </c>
      <c r="V24" s="248" t="n">
        <v>4.64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6.59</v>
      </c>
      <c r="G25" s="251" t="n">
        <v>0.91</v>
      </c>
      <c r="H25" s="250" t="n">
        <v>0.96</v>
      </c>
      <c r="I25" s="251" t="n">
        <v>7.99</v>
      </c>
      <c r="J25" s="251" t="n">
        <v>8.92</v>
      </c>
      <c r="K25" s="251" t="n">
        <v>8.220000000000001</v>
      </c>
      <c r="L25" s="251" t="n">
        <v>8.32</v>
      </c>
      <c r="M25" s="251" t="n">
        <v>7.75</v>
      </c>
      <c r="N25" s="251" t="n">
        <v>7.36</v>
      </c>
      <c r="O25" s="251" t="n">
        <v>7.01</v>
      </c>
      <c r="P25" s="251" t="n">
        <v>6.24</v>
      </c>
      <c r="Q25" s="251" t="n">
        <v>13.23</v>
      </c>
      <c r="R25" s="251" t="n">
        <v>66.62</v>
      </c>
      <c r="S25" s="251" t="n">
        <v>10.08</v>
      </c>
      <c r="T25" s="251" t="n">
        <v>7.24</v>
      </c>
      <c r="U25" s="248" t="n">
        <v>0</v>
      </c>
      <c r="V25" s="251" t="n">
        <v>2.53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7.18</v>
      </c>
      <c r="G31" s="248" t="n">
        <v>1.98</v>
      </c>
      <c r="H31" s="249" t="n">
        <v>2.09</v>
      </c>
      <c r="I31" s="248" t="n">
        <v>8.06</v>
      </c>
      <c r="J31" s="248" t="n">
        <v>10.18</v>
      </c>
      <c r="K31" s="248" t="n">
        <v>8.949999999999999</v>
      </c>
      <c r="L31" s="248" t="n">
        <v>8.98</v>
      </c>
      <c r="M31" s="248" t="n">
        <v>8.19</v>
      </c>
      <c r="N31" s="248" t="n">
        <v>7.98</v>
      </c>
      <c r="O31" s="248" t="n">
        <v>6.44</v>
      </c>
      <c r="P31" s="248" t="n">
        <v>7.6</v>
      </c>
      <c r="Q31" s="248" t="n">
        <v>15.79</v>
      </c>
      <c r="R31" s="248" t="n">
        <v>61.52</v>
      </c>
      <c r="S31" s="248" t="n">
        <v>10.83</v>
      </c>
      <c r="T31" s="248" t="n">
        <v>8.73</v>
      </c>
      <c r="U31" s="248" t="n">
        <v>-4.19</v>
      </c>
      <c r="V31" s="248" t="n">
        <v>7.05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6.75</v>
      </c>
      <c r="G32" s="248" t="n">
        <v>2.25</v>
      </c>
      <c r="H32" s="249" t="n">
        <v>2.38</v>
      </c>
      <c r="I32" s="248" t="n">
        <v>7.3</v>
      </c>
      <c r="J32" s="248" t="n">
        <v>10.02</v>
      </c>
      <c r="K32" s="248" t="n">
        <v>8.6</v>
      </c>
      <c r="L32" s="248" t="n">
        <v>8.91</v>
      </c>
      <c r="M32" s="248" t="n">
        <v>7.88</v>
      </c>
      <c r="N32" s="248" t="n">
        <v>7.35</v>
      </c>
      <c r="O32" s="248" t="n">
        <v>5.68</v>
      </c>
      <c r="P32" s="248" t="n">
        <v>7.01</v>
      </c>
      <c r="Q32" s="248" t="n">
        <v>22.88</v>
      </c>
      <c r="R32" s="248" t="n">
        <v>71.18000000000001</v>
      </c>
      <c r="S32" s="248" t="n">
        <v>0</v>
      </c>
      <c r="T32" s="248" t="n">
        <v>0</v>
      </c>
      <c r="U32" s="248" t="n">
        <v>0</v>
      </c>
      <c r="V32" s="248" t="n">
        <v>5.68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6.88</v>
      </c>
      <c r="G33" s="248" t="n">
        <v>2.53</v>
      </c>
      <c r="H33" s="249" t="n">
        <v>2.68</v>
      </c>
      <c r="I33" s="248" t="n">
        <v>8.15</v>
      </c>
      <c r="J33" s="248" t="n">
        <v>10.27</v>
      </c>
      <c r="K33" s="248" t="n">
        <v>8.960000000000001</v>
      </c>
      <c r="L33" s="248" t="n">
        <v>9.220000000000001</v>
      </c>
      <c r="M33" s="248" t="n">
        <v>8.35</v>
      </c>
      <c r="N33" s="248" t="n">
        <v>7.85</v>
      </c>
      <c r="O33" s="248" t="n">
        <v>6.28</v>
      </c>
      <c r="P33" s="248" t="n">
        <v>7.52</v>
      </c>
      <c r="Q33" s="248" t="n">
        <v>16.27</v>
      </c>
      <c r="R33" s="248" t="n">
        <v>66.97</v>
      </c>
      <c r="S33" s="248" t="n">
        <v>6.63</v>
      </c>
      <c r="T33" s="248" t="n">
        <v>5.31</v>
      </c>
      <c r="U33" s="248" t="n">
        <v>0</v>
      </c>
      <c r="V33" s="248" t="n">
        <v>4.58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6.84</v>
      </c>
      <c r="G34" s="248" t="n">
        <v>2.46</v>
      </c>
      <c r="H34" s="249" t="n">
        <v>2.59</v>
      </c>
      <c r="I34" s="248" t="n">
        <v>8.15</v>
      </c>
      <c r="J34" s="248" t="n">
        <v>10.46</v>
      </c>
      <c r="K34" s="248" t="n">
        <v>9.01</v>
      </c>
      <c r="L34" s="248" t="n">
        <v>9.140000000000001</v>
      </c>
      <c r="M34" s="248" t="n">
        <v>7.99</v>
      </c>
      <c r="N34" s="248" t="n">
        <v>7.46</v>
      </c>
      <c r="O34" s="248" t="n">
        <v>5.75</v>
      </c>
      <c r="P34" s="248" t="n">
        <v>7.07</v>
      </c>
      <c r="Q34" s="248" t="n">
        <v>14.14</v>
      </c>
      <c r="R34" s="248" t="n">
        <v>67.54000000000001</v>
      </c>
      <c r="S34" s="248" t="n">
        <v>8.69</v>
      </c>
      <c r="T34" s="248" t="n">
        <v>3.74</v>
      </c>
      <c r="U34" s="248" t="n">
        <v>0</v>
      </c>
      <c r="V34" s="248" t="n">
        <v>5.66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</v>
      </c>
      <c r="G35" s="248" t="n">
        <v>2.87</v>
      </c>
      <c r="H35" s="249" t="n">
        <v>3.08</v>
      </c>
      <c r="I35" s="248" t="n">
        <v>7.64</v>
      </c>
      <c r="J35" s="248" t="n">
        <v>10.02</v>
      </c>
      <c r="K35" s="248" t="n">
        <v>8.81</v>
      </c>
      <c r="L35" s="248" t="n">
        <v>9.02</v>
      </c>
      <c r="M35" s="248" t="n">
        <v>8.029999999999999</v>
      </c>
      <c r="N35" s="248" t="n">
        <v>7.56</v>
      </c>
      <c r="O35" s="248" t="n">
        <v>6.47</v>
      </c>
      <c r="P35" s="248" t="n">
        <v>7.47</v>
      </c>
      <c r="Q35" s="248" t="n">
        <v>10.7</v>
      </c>
      <c r="R35" s="248" t="n">
        <v>72.17</v>
      </c>
      <c r="S35" s="248" t="n">
        <v>6.5</v>
      </c>
      <c r="T35" s="248" t="n">
        <v>8.42</v>
      </c>
      <c r="U35" s="248" t="n">
        <v>0.01</v>
      </c>
      <c r="V35" s="248" t="n">
        <v>1.97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7.03</v>
      </c>
      <c r="G36" s="248" t="n">
        <v>2.69</v>
      </c>
      <c r="H36" s="249" t="n">
        <v>2.83</v>
      </c>
      <c r="I36" s="248" t="n">
        <v>8.35</v>
      </c>
      <c r="J36" s="248" t="n">
        <v>10.54</v>
      </c>
      <c r="K36" s="248" t="n">
        <v>9.23</v>
      </c>
      <c r="L36" s="248" t="n">
        <v>9.41</v>
      </c>
      <c r="M36" s="248" t="n">
        <v>8.220000000000001</v>
      </c>
      <c r="N36" s="248" t="n">
        <v>7.61</v>
      </c>
      <c r="O36" s="248" t="n">
        <v>6.19</v>
      </c>
      <c r="P36" s="248" t="n">
        <v>7.13</v>
      </c>
      <c r="Q36" s="248" t="n">
        <v>25.18</v>
      </c>
      <c r="R36" s="248" t="n">
        <v>61.22</v>
      </c>
      <c r="S36" s="248" t="n">
        <v>6</v>
      </c>
      <c r="T36" s="248" t="n">
        <v>5.48</v>
      </c>
      <c r="U36" s="248" t="n">
        <v>-0.07000000000000001</v>
      </c>
      <c r="V36" s="248" t="n">
        <v>1.94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6.76</v>
      </c>
      <c r="G37" s="251" t="n">
        <v>2.6</v>
      </c>
      <c r="H37" s="250" t="n">
        <v>2.74</v>
      </c>
      <c r="I37" s="251" t="n">
        <v>7.87</v>
      </c>
      <c r="J37" s="251" t="n">
        <v>9.93</v>
      </c>
      <c r="K37" s="251" t="n">
        <v>8.529999999999999</v>
      </c>
      <c r="L37" s="251" t="n">
        <v>8.859999999999999</v>
      </c>
      <c r="M37" s="251" t="n">
        <v>7.98</v>
      </c>
      <c r="N37" s="251" t="n">
        <v>7.55</v>
      </c>
      <c r="O37" s="251" t="n">
        <v>6.96</v>
      </c>
      <c r="P37" s="251" t="n">
        <v>6.43</v>
      </c>
      <c r="Q37" s="251" t="n">
        <v>11.14</v>
      </c>
      <c r="R37" s="251" t="n">
        <v>74.7</v>
      </c>
      <c r="S37" s="251" t="n">
        <v>6.32</v>
      </c>
      <c r="T37" s="251" t="n">
        <v>2.79</v>
      </c>
      <c r="U37" s="251" t="n">
        <v>0</v>
      </c>
      <c r="V37" s="251" t="n">
        <v>4.82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7.69</v>
      </c>
      <c r="G43" s="248" t="n">
        <v>2.91</v>
      </c>
      <c r="H43" s="249" t="n">
        <v>3.05</v>
      </c>
      <c r="I43" s="248" t="n">
        <v>8.59</v>
      </c>
      <c r="J43" s="248" t="n">
        <v>10.6</v>
      </c>
      <c r="K43" s="248" t="n">
        <v>9.390000000000001</v>
      </c>
      <c r="L43" s="248" t="n">
        <v>9.5</v>
      </c>
      <c r="M43" s="248" t="n">
        <v>8.25</v>
      </c>
      <c r="N43" s="248" t="n">
        <v>7.92</v>
      </c>
      <c r="O43" s="248" t="n">
        <v>6.95</v>
      </c>
      <c r="P43" s="248" t="n">
        <v>7.54</v>
      </c>
      <c r="Q43" s="248" t="n">
        <v>17.85</v>
      </c>
      <c r="R43" s="248" t="n">
        <v>16.93</v>
      </c>
      <c r="S43" s="248" t="n">
        <v>19.61</v>
      </c>
      <c r="T43" s="248" t="n">
        <v>34.22</v>
      </c>
      <c r="U43" s="248" t="n">
        <v>-1.32</v>
      </c>
      <c r="V43" s="248" t="n">
        <v>12.39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7.34</v>
      </c>
      <c r="G44" s="248" t="n">
        <v>3.6</v>
      </c>
      <c r="H44" s="249" t="n">
        <v>3.78</v>
      </c>
      <c r="I44" s="248" t="n">
        <v>7.15</v>
      </c>
      <c r="J44" s="248" t="n">
        <v>10.09</v>
      </c>
      <c r="K44" s="248" t="n">
        <v>8.48</v>
      </c>
      <c r="L44" s="248" t="n">
        <v>8.970000000000001</v>
      </c>
      <c r="M44" s="248" t="n">
        <v>7.97</v>
      </c>
      <c r="N44" s="248" t="n">
        <v>7.65</v>
      </c>
      <c r="O44" s="248" t="n">
        <v>6.48</v>
      </c>
      <c r="P44" s="248" t="n">
        <v>7.3</v>
      </c>
      <c r="Q44" s="248" t="n">
        <v>24.56</v>
      </c>
      <c r="R44" s="248" t="n">
        <v>27.03</v>
      </c>
      <c r="S44" s="248" t="n">
        <v>14.59</v>
      </c>
      <c r="T44" s="248" t="n">
        <v>26.87</v>
      </c>
      <c r="U44" s="248" t="n">
        <v>0</v>
      </c>
      <c r="V44" s="248" t="n">
        <v>6.65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7.52</v>
      </c>
      <c r="G45" s="248" t="n">
        <v>3.63</v>
      </c>
      <c r="H45" s="249" t="n">
        <v>3.82</v>
      </c>
      <c r="I45" s="248" t="n">
        <v>9.220000000000001</v>
      </c>
      <c r="J45" s="248" t="n">
        <v>15.43</v>
      </c>
      <c r="K45" s="248" t="n">
        <v>12.47</v>
      </c>
      <c r="L45" s="248" t="n">
        <v>13.88</v>
      </c>
      <c r="M45" s="248" t="n">
        <v>10.59</v>
      </c>
      <c r="N45" s="248" t="n">
        <v>9.57</v>
      </c>
      <c r="O45" s="248" t="n">
        <v>12.23</v>
      </c>
      <c r="P45" s="248" t="n">
        <v>8.69</v>
      </c>
      <c r="Q45" s="248" t="n">
        <v>25.82</v>
      </c>
      <c r="R45" s="248" t="n">
        <v>24.13</v>
      </c>
      <c r="S45" s="248" t="n">
        <v>6.52</v>
      </c>
      <c r="T45" s="248" t="n">
        <v>32.69</v>
      </c>
      <c r="U45" s="248" t="n">
        <v>3.71</v>
      </c>
      <c r="V45" s="248" t="n">
        <v>6.91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7.65</v>
      </c>
      <c r="G46" s="248" t="n">
        <v>2.75</v>
      </c>
      <c r="H46" s="249" t="n">
        <v>2.88</v>
      </c>
      <c r="I46" s="248" t="n">
        <v>9.109999999999999</v>
      </c>
      <c r="J46" s="248" t="n">
        <v>10.29</v>
      </c>
      <c r="K46" s="248" t="n">
        <v>8.640000000000001</v>
      </c>
      <c r="L46" s="248" t="n">
        <v>9.6</v>
      </c>
      <c r="M46" s="248" t="n">
        <v>8.68</v>
      </c>
      <c r="N46" s="248" t="n">
        <v>7.74</v>
      </c>
      <c r="O46" s="248" t="n">
        <v>6.64</v>
      </c>
      <c r="P46" s="248" t="n">
        <v>7.12</v>
      </c>
      <c r="Q46" s="248" t="n">
        <v>17.23</v>
      </c>
      <c r="R46" s="248" t="n">
        <v>24.14</v>
      </c>
      <c r="S46" s="248" t="n">
        <v>8.91</v>
      </c>
      <c r="T46" s="248" t="n">
        <v>24.97</v>
      </c>
      <c r="U46" s="248" t="n">
        <v>9.19</v>
      </c>
      <c r="V46" s="248" t="n">
        <v>15.27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7.37</v>
      </c>
      <c r="G47" s="248" t="n">
        <v>3.42</v>
      </c>
      <c r="H47" s="249" t="n">
        <v>3.57</v>
      </c>
      <c r="I47" s="248" t="n">
        <v>15.07</v>
      </c>
      <c r="J47" s="248" t="n">
        <v>14.18</v>
      </c>
      <c r="K47" s="248" t="n">
        <v>11.69</v>
      </c>
      <c r="L47" s="248" t="n">
        <v>11.36</v>
      </c>
      <c r="M47" s="248" t="n">
        <v>9.029999999999999</v>
      </c>
      <c r="N47" s="248" t="n">
        <v>8.32</v>
      </c>
      <c r="O47" s="248" t="n">
        <v>8.74</v>
      </c>
      <c r="P47" s="248" t="n">
        <v>3.59</v>
      </c>
      <c r="Q47" s="248" t="n">
        <v>34.59</v>
      </c>
      <c r="R47" s="248" t="n">
        <v>3.13</v>
      </c>
      <c r="S47" s="248" t="n">
        <v>8.140000000000001</v>
      </c>
      <c r="T47" s="248" t="n">
        <v>41.59</v>
      </c>
      <c r="U47" s="248" t="n">
        <v>0</v>
      </c>
      <c r="V47" s="248" t="n">
        <v>12.07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6.86</v>
      </c>
      <c r="G48" s="251" t="n">
        <v>3.64</v>
      </c>
      <c r="H48" s="250" t="n">
        <v>3.79</v>
      </c>
      <c r="I48" s="251" t="n">
        <v>5.42</v>
      </c>
      <c r="J48" s="251" t="n">
        <v>9.199999999999999</v>
      </c>
      <c r="K48" s="251" t="n">
        <v>8.01</v>
      </c>
      <c r="L48" s="251" t="n">
        <v>8.539999999999999</v>
      </c>
      <c r="M48" s="251" t="n">
        <v>7.48</v>
      </c>
      <c r="N48" s="251" t="n">
        <v>7.16</v>
      </c>
      <c r="O48" s="251" t="n">
        <v>6.02</v>
      </c>
      <c r="P48" s="251" t="n">
        <v>6.06</v>
      </c>
      <c r="Q48" s="251" t="n">
        <v>49.77</v>
      </c>
      <c r="R48" s="251" t="n">
        <v>10.04</v>
      </c>
      <c r="S48" s="251" t="n">
        <v>5.01</v>
      </c>
      <c r="T48" s="251" t="n">
        <v>22.56</v>
      </c>
      <c r="U48" s="251" t="n">
        <v>0</v>
      </c>
      <c r="V48" s="251" t="n">
        <v>12.24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6.97</v>
      </c>
      <c r="G53" s="248" t="n">
        <v>5.34</v>
      </c>
      <c r="H53" s="249" t="n">
        <v>5.57</v>
      </c>
      <c r="I53" s="248" t="n">
        <v>6.12</v>
      </c>
      <c r="J53" s="248" t="n">
        <v>10.96</v>
      </c>
      <c r="K53" s="248" t="n">
        <v>9.25</v>
      </c>
      <c r="L53" s="248" t="n">
        <v>9.76</v>
      </c>
      <c r="M53" s="248" t="n">
        <v>8.630000000000001</v>
      </c>
      <c r="N53" s="248" t="n">
        <v>8.44</v>
      </c>
      <c r="O53" s="248" t="n">
        <v>6.09</v>
      </c>
      <c r="P53" s="248" t="n">
        <v>7.53</v>
      </c>
      <c r="Q53" s="248" t="n">
        <v>42.44</v>
      </c>
      <c r="R53" s="248" t="n">
        <v>52.87</v>
      </c>
      <c r="S53" s="248" t="n">
        <v>0</v>
      </c>
      <c r="T53" s="248" t="n">
        <v>0</v>
      </c>
      <c r="U53" s="248" t="n">
        <v>-8.720000000000001</v>
      </c>
      <c r="V53" s="248" t="n">
        <v>13.1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6.93</v>
      </c>
      <c r="G54" s="248" t="n">
        <v>6.63</v>
      </c>
      <c r="H54" s="249" t="n">
        <v>6.96</v>
      </c>
      <c r="I54" s="248" t="n">
        <v>3.71</v>
      </c>
      <c r="J54" s="248" t="n">
        <v>9.19</v>
      </c>
      <c r="K54" s="248" t="n">
        <v>7.35</v>
      </c>
      <c r="L54" s="248" t="n">
        <v>8.32</v>
      </c>
      <c r="M54" s="248" t="n">
        <v>7.6</v>
      </c>
      <c r="N54" s="248" t="n">
        <v>7.51</v>
      </c>
      <c r="O54" s="248" t="n">
        <v>5.68</v>
      </c>
      <c r="P54" s="248" t="n">
        <v>7.25</v>
      </c>
      <c r="Q54" s="248" t="n">
        <v>43.37</v>
      </c>
      <c r="R54" s="248" t="n">
        <v>53.35</v>
      </c>
      <c r="S54" s="248" t="n">
        <v>0</v>
      </c>
      <c r="T54" s="248" t="n">
        <v>0</v>
      </c>
      <c r="U54" s="248" t="n">
        <v>0.02</v>
      </c>
      <c r="V54" s="248" t="n">
        <v>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6.63</v>
      </c>
      <c r="G55" s="248" t="n">
        <v>5.66</v>
      </c>
      <c r="H55" s="249" t="n">
        <v>5.89</v>
      </c>
      <c r="I55" s="248" t="n">
        <v>4.26</v>
      </c>
      <c r="J55" s="248" t="n">
        <v>9.32</v>
      </c>
      <c r="K55" s="248" t="n">
        <v>7.45</v>
      </c>
      <c r="L55" s="248" t="n">
        <v>8.199999999999999</v>
      </c>
      <c r="M55" s="248" t="n">
        <v>7.76</v>
      </c>
      <c r="N55" s="248" t="n">
        <v>7.62</v>
      </c>
      <c r="O55" s="248" t="n">
        <v>5.38</v>
      </c>
      <c r="P55" s="248" t="n">
        <v>6.89</v>
      </c>
      <c r="Q55" s="248" t="n">
        <v>45.66</v>
      </c>
      <c r="R55" s="248" t="n">
        <v>32.79</v>
      </c>
      <c r="S55" s="248" t="n">
        <v>0</v>
      </c>
      <c r="T55" s="248" t="n">
        <v>0</v>
      </c>
      <c r="U55" s="248" t="n">
        <v>0</v>
      </c>
      <c r="V55" s="248" t="n">
        <v>21.28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6.7</v>
      </c>
      <c r="G57" s="248" t="n">
        <v>6.73</v>
      </c>
      <c r="H57" s="249" t="n">
        <v>6.97</v>
      </c>
      <c r="I57" s="248" t="n">
        <v>3.5</v>
      </c>
      <c r="J57" s="248" t="n">
        <v>9.710000000000001</v>
      </c>
      <c r="K57" s="248" t="n">
        <v>7.88</v>
      </c>
      <c r="L57" s="248" t="n">
        <v>8.630000000000001</v>
      </c>
      <c r="M57" s="248" t="n">
        <v>7.96</v>
      </c>
      <c r="N57" s="248" t="n">
        <v>7.69</v>
      </c>
      <c r="O57" s="248" t="n">
        <v>5.04</v>
      </c>
      <c r="P57" s="248" t="n">
        <v>6.28</v>
      </c>
      <c r="Q57" s="248" t="n">
        <v>76.26000000000001</v>
      </c>
      <c r="R57" s="248" t="n">
        <v>17.39</v>
      </c>
      <c r="S57" s="248" t="n">
        <v>0</v>
      </c>
      <c r="T57" s="248" t="n">
        <v>0</v>
      </c>
      <c r="U57" s="248" t="n">
        <v>0</v>
      </c>
      <c r="V57" s="248" t="n">
        <v>6.1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5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6.69</v>
      </c>
      <c r="G58" s="248" t="n">
        <v>6.21</v>
      </c>
      <c r="H58" s="249" t="n">
        <v>6.44</v>
      </c>
      <c r="I58" s="248" t="n">
        <v>3.25</v>
      </c>
      <c r="J58" s="248" t="n">
        <v>8.800000000000001</v>
      </c>
      <c r="K58" s="248" t="n">
        <v>7.02</v>
      </c>
      <c r="L58" s="248" t="n">
        <v>7.92</v>
      </c>
      <c r="M58" s="248" t="n">
        <v>7.44</v>
      </c>
      <c r="N58" s="248" t="n">
        <v>7.88</v>
      </c>
      <c r="O58" s="248" t="n">
        <v>5.13</v>
      </c>
      <c r="P58" s="248" t="n">
        <v>7.13</v>
      </c>
      <c r="Q58" s="248" t="n">
        <v>62.56</v>
      </c>
      <c r="R58" s="248" t="n">
        <v>24.58</v>
      </c>
      <c r="S58" s="248" t="n">
        <v>0</v>
      </c>
      <c r="T58" s="248" t="n">
        <v>0</v>
      </c>
      <c r="U58" s="248" t="n">
        <v>-0.16</v>
      </c>
      <c r="V58" s="248" t="n">
        <v>12.77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6.99</v>
      </c>
      <c r="G59" s="251" t="n">
        <v>6.22</v>
      </c>
      <c r="H59" s="250" t="n">
        <v>6.48</v>
      </c>
      <c r="I59" s="251" t="n">
        <v>3.52</v>
      </c>
      <c r="J59" s="251" t="n">
        <v>9.51</v>
      </c>
      <c r="K59" s="251" t="n">
        <v>7.85</v>
      </c>
      <c r="L59" s="251" t="n">
        <v>8.69</v>
      </c>
      <c r="M59" s="251" t="n">
        <v>7.56</v>
      </c>
      <c r="N59" s="251" t="n">
        <v>7.61</v>
      </c>
      <c r="O59" s="251" t="n">
        <v>8.050000000000001</v>
      </c>
      <c r="P59" s="251" t="n">
        <v>5.81</v>
      </c>
      <c r="Q59" s="251" t="n">
        <v>55.51</v>
      </c>
      <c r="R59" s="251" t="n">
        <v>29.81</v>
      </c>
      <c r="S59" s="251" t="n">
        <v>6.17</v>
      </c>
      <c r="T59" s="251" t="n">
        <v>4.64</v>
      </c>
      <c r="U59" s="251" t="n">
        <v>0</v>
      </c>
      <c r="V59" s="251" t="n">
        <v>3.6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topLeftCell="D1" zoomScale="99" workbookViewId="0">
      <selection activeCell="J8" sqref="J8:J16"/>
    </sheetView>
  </sheetViews>
  <sheetFormatPr baseColWidth="8" defaultRowHeight="14.5"/>
  <cols>
    <col width="27.26953125" customWidth="1" min="2" max="2"/>
    <col width="20.1796875" customWidth="1" min="3" max="3"/>
    <col width="20.453125" customWidth="1" min="4" max="4"/>
    <col width="20.1796875" customWidth="1" min="5" max="7"/>
    <col width="27.453125" customWidth="1" min="8" max="8"/>
    <col width="20.1796875" customWidth="1" min="9" max="9"/>
    <col width="19.179687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5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5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U1" sqref="U1:U1048576"/>
    </sheetView>
  </sheetViews>
  <sheetFormatPr baseColWidth="8" defaultRowHeight="14.5"/>
  <cols>
    <col width="63.453125" customWidth="1" style="261" min="1" max="1"/>
    <col width="10.453125" customWidth="1" style="261" min="2" max="2"/>
    <col width="8.7265625" customWidth="1" style="261" min="3" max="7"/>
    <col width="16.1796875" customWidth="1" style="261" min="8" max="8"/>
    <col width="8.7265625" customWidth="1" style="261" min="9" max="20"/>
    <col hidden="1" width="13" customWidth="1" style="261" min="21" max="21"/>
    <col width="8.7265625" customWidth="1" style="261" min="22" max="22"/>
    <col width="58.453125" bestFit="1" customWidth="1" style="261" min="23" max="23"/>
    <col width="8.7265625" customWidth="1" style="261" min="24" max="253"/>
    <col width="63.453125" customWidth="1" style="261" min="254" max="254"/>
    <col width="10.453125" customWidth="1" style="261" min="255" max="255"/>
    <col width="16.1796875" customWidth="1" style="261" min="256" max="256"/>
    <col width="8.7265625" customWidth="1" style="261" min="257" max="264"/>
    <col width="15.1796875" bestFit="1" customWidth="1" style="261" min="265" max="265"/>
    <col width="8.7265625" customWidth="1" style="261" min="266" max="509"/>
    <col width="63.453125" customWidth="1" style="261" min="510" max="510"/>
    <col width="10.453125" customWidth="1" style="261" min="511" max="511"/>
    <col width="16.1796875" customWidth="1" style="261" min="512" max="512"/>
    <col width="8.7265625" customWidth="1" style="261" min="513" max="520"/>
    <col width="15.1796875" bestFit="1" customWidth="1" style="261" min="521" max="521"/>
    <col width="8.7265625" customWidth="1" style="261" min="522" max="765"/>
    <col width="63.453125" customWidth="1" style="261" min="766" max="766"/>
    <col width="10.453125" customWidth="1" style="261" min="767" max="767"/>
    <col width="16.1796875" customWidth="1" style="261" min="768" max="768"/>
    <col width="8.7265625" customWidth="1" style="261" min="769" max="776"/>
    <col width="15.1796875" bestFit="1" customWidth="1" style="261" min="777" max="777"/>
    <col width="8.7265625" customWidth="1" style="261" min="778" max="1021"/>
    <col width="63.453125" customWidth="1" style="261" min="1022" max="1022"/>
    <col width="10.453125" customWidth="1" style="261" min="1023" max="1023"/>
    <col width="16.1796875" customWidth="1" style="261" min="1024" max="1024"/>
    <col width="8.7265625" customWidth="1" style="261" min="1025" max="1032"/>
    <col width="15.1796875" bestFit="1" customWidth="1" style="261" min="1033" max="1033"/>
    <col width="8.7265625" customWidth="1" style="261" min="1034" max="1277"/>
    <col width="63.453125" customWidth="1" style="261" min="1278" max="1278"/>
    <col width="10.453125" customWidth="1" style="261" min="1279" max="1279"/>
    <col width="16.1796875" customWidth="1" style="261" min="1280" max="1280"/>
    <col width="8.7265625" customWidth="1" style="261" min="1281" max="1288"/>
    <col width="15.1796875" bestFit="1" customWidth="1" style="261" min="1289" max="1289"/>
    <col width="8.7265625" customWidth="1" style="261" min="1290" max="1533"/>
    <col width="63.453125" customWidth="1" style="261" min="1534" max="1534"/>
    <col width="10.453125" customWidth="1" style="261" min="1535" max="1535"/>
    <col width="16.1796875" customWidth="1" style="261" min="1536" max="1536"/>
    <col width="8.7265625" customWidth="1" style="261" min="1537" max="1544"/>
    <col width="15.1796875" bestFit="1" customWidth="1" style="261" min="1545" max="1545"/>
    <col width="8.7265625" customWidth="1" style="261" min="1546" max="1789"/>
    <col width="63.453125" customWidth="1" style="261" min="1790" max="1790"/>
    <col width="10.453125" customWidth="1" style="261" min="1791" max="1791"/>
    <col width="16.1796875" customWidth="1" style="261" min="1792" max="1792"/>
    <col width="8.7265625" customWidth="1" style="261" min="1793" max="1800"/>
    <col width="15.1796875" bestFit="1" customWidth="1" style="261" min="1801" max="1801"/>
    <col width="8.7265625" customWidth="1" style="261" min="1802" max="2045"/>
    <col width="63.453125" customWidth="1" style="261" min="2046" max="2046"/>
    <col width="10.453125" customWidth="1" style="261" min="2047" max="2047"/>
    <col width="16.1796875" customWidth="1" style="261" min="2048" max="2048"/>
    <col width="8.7265625" customWidth="1" style="261" min="2049" max="2056"/>
    <col width="15.1796875" bestFit="1" customWidth="1" style="261" min="2057" max="2057"/>
    <col width="8.7265625" customWidth="1" style="261" min="2058" max="2301"/>
    <col width="63.453125" customWidth="1" style="261" min="2302" max="2302"/>
    <col width="10.453125" customWidth="1" style="261" min="2303" max="2303"/>
    <col width="16.1796875" customWidth="1" style="261" min="2304" max="2304"/>
    <col width="8.7265625" customWidth="1" style="261" min="2305" max="2312"/>
    <col width="15.1796875" bestFit="1" customWidth="1" style="261" min="2313" max="2313"/>
    <col width="8.7265625" customWidth="1" style="261" min="2314" max="2557"/>
    <col width="63.453125" customWidth="1" style="261" min="2558" max="2558"/>
    <col width="10.453125" customWidth="1" style="261" min="2559" max="2559"/>
    <col width="16.1796875" customWidth="1" style="261" min="2560" max="2560"/>
    <col width="8.7265625" customWidth="1" style="261" min="2561" max="2568"/>
    <col width="15.1796875" bestFit="1" customWidth="1" style="261" min="2569" max="2569"/>
    <col width="8.7265625" customWidth="1" style="261" min="2570" max="2813"/>
    <col width="63.453125" customWidth="1" style="261" min="2814" max="2814"/>
    <col width="10.453125" customWidth="1" style="261" min="2815" max="2815"/>
    <col width="16.1796875" customWidth="1" style="261" min="2816" max="2816"/>
    <col width="8.7265625" customWidth="1" style="261" min="2817" max="2824"/>
    <col width="15.1796875" bestFit="1" customWidth="1" style="261" min="2825" max="2825"/>
    <col width="8.7265625" customWidth="1" style="261" min="2826" max="3069"/>
    <col width="63.453125" customWidth="1" style="261" min="3070" max="3070"/>
    <col width="10.453125" customWidth="1" style="261" min="3071" max="3071"/>
    <col width="16.1796875" customWidth="1" style="261" min="3072" max="3072"/>
    <col width="8.7265625" customWidth="1" style="261" min="3073" max="3080"/>
    <col width="15.1796875" bestFit="1" customWidth="1" style="261" min="3081" max="3081"/>
    <col width="8.7265625" customWidth="1" style="261" min="3082" max="3325"/>
    <col width="63.453125" customWidth="1" style="261" min="3326" max="3326"/>
    <col width="10.453125" customWidth="1" style="261" min="3327" max="3327"/>
    <col width="16.1796875" customWidth="1" style="261" min="3328" max="3328"/>
    <col width="8.7265625" customWidth="1" style="261" min="3329" max="3336"/>
    <col width="15.1796875" bestFit="1" customWidth="1" style="261" min="3337" max="3337"/>
    <col width="8.7265625" customWidth="1" style="261" min="3338" max="3581"/>
    <col width="63.453125" customWidth="1" style="261" min="3582" max="3582"/>
    <col width="10.453125" customWidth="1" style="261" min="3583" max="3583"/>
    <col width="16.1796875" customWidth="1" style="261" min="3584" max="3584"/>
    <col width="8.7265625" customWidth="1" style="261" min="3585" max="3592"/>
    <col width="15.1796875" bestFit="1" customWidth="1" style="261" min="3593" max="3593"/>
    <col width="8.7265625" customWidth="1" style="261" min="3594" max="3837"/>
    <col width="63.453125" customWidth="1" style="261" min="3838" max="3838"/>
    <col width="10.453125" customWidth="1" style="261" min="3839" max="3839"/>
    <col width="16.1796875" customWidth="1" style="261" min="3840" max="3840"/>
    <col width="8.7265625" customWidth="1" style="261" min="3841" max="3848"/>
    <col width="15.1796875" bestFit="1" customWidth="1" style="261" min="3849" max="3849"/>
    <col width="8.7265625" customWidth="1" style="261" min="3850" max="4093"/>
    <col width="63.453125" customWidth="1" style="261" min="4094" max="4094"/>
    <col width="10.453125" customWidth="1" style="261" min="4095" max="4095"/>
    <col width="16.1796875" customWidth="1" style="261" min="4096" max="4096"/>
    <col width="8.7265625" customWidth="1" style="261" min="4097" max="4104"/>
    <col width="15.1796875" bestFit="1" customWidth="1" style="261" min="4105" max="4105"/>
    <col width="8.7265625" customWidth="1" style="261" min="4106" max="4349"/>
    <col width="63.453125" customWidth="1" style="261" min="4350" max="4350"/>
    <col width="10.453125" customWidth="1" style="261" min="4351" max="4351"/>
    <col width="16.1796875" customWidth="1" style="261" min="4352" max="4352"/>
    <col width="8.7265625" customWidth="1" style="261" min="4353" max="4360"/>
    <col width="15.1796875" bestFit="1" customWidth="1" style="261" min="4361" max="4361"/>
    <col width="8.7265625" customWidth="1" style="261" min="4362" max="4605"/>
    <col width="63.453125" customWidth="1" style="261" min="4606" max="4606"/>
    <col width="10.453125" customWidth="1" style="261" min="4607" max="4607"/>
    <col width="16.1796875" customWidth="1" style="261" min="4608" max="4608"/>
    <col width="8.7265625" customWidth="1" style="261" min="4609" max="4616"/>
    <col width="15.1796875" bestFit="1" customWidth="1" style="261" min="4617" max="4617"/>
    <col width="8.7265625" customWidth="1" style="261" min="4618" max="4861"/>
    <col width="63.453125" customWidth="1" style="261" min="4862" max="4862"/>
    <col width="10.453125" customWidth="1" style="261" min="4863" max="4863"/>
    <col width="16.1796875" customWidth="1" style="261" min="4864" max="4864"/>
    <col width="8.7265625" customWidth="1" style="261" min="4865" max="4872"/>
    <col width="15.1796875" bestFit="1" customWidth="1" style="261" min="4873" max="4873"/>
    <col width="8.7265625" customWidth="1" style="261" min="4874" max="5117"/>
    <col width="63.453125" customWidth="1" style="261" min="5118" max="5118"/>
    <col width="10.453125" customWidth="1" style="261" min="5119" max="5119"/>
    <col width="16.1796875" customWidth="1" style="261" min="5120" max="5120"/>
    <col width="8.7265625" customWidth="1" style="261" min="5121" max="5128"/>
    <col width="15.1796875" bestFit="1" customWidth="1" style="261" min="5129" max="5129"/>
    <col width="8.7265625" customWidth="1" style="261" min="5130" max="5373"/>
    <col width="63.453125" customWidth="1" style="261" min="5374" max="5374"/>
    <col width="10.453125" customWidth="1" style="261" min="5375" max="5375"/>
    <col width="16.1796875" customWidth="1" style="261" min="5376" max="5376"/>
    <col width="8.7265625" customWidth="1" style="261" min="5377" max="5384"/>
    <col width="15.1796875" bestFit="1" customWidth="1" style="261" min="5385" max="5385"/>
    <col width="8.7265625" customWidth="1" style="261" min="5386" max="5629"/>
    <col width="63.453125" customWidth="1" style="261" min="5630" max="5630"/>
    <col width="10.453125" customWidth="1" style="261" min="5631" max="5631"/>
    <col width="16.1796875" customWidth="1" style="261" min="5632" max="5632"/>
    <col width="8.7265625" customWidth="1" style="261" min="5633" max="5640"/>
    <col width="15.1796875" bestFit="1" customWidth="1" style="261" min="5641" max="5641"/>
    <col width="8.7265625" customWidth="1" style="261" min="5642" max="5885"/>
    <col width="63.453125" customWidth="1" style="261" min="5886" max="5886"/>
    <col width="10.453125" customWidth="1" style="261" min="5887" max="5887"/>
    <col width="16.1796875" customWidth="1" style="261" min="5888" max="5888"/>
    <col width="8.7265625" customWidth="1" style="261" min="5889" max="5896"/>
    <col width="15.1796875" bestFit="1" customWidth="1" style="261" min="5897" max="5897"/>
    <col width="8.7265625" customWidth="1" style="261" min="5898" max="6141"/>
    <col width="63.453125" customWidth="1" style="261" min="6142" max="6142"/>
    <col width="10.453125" customWidth="1" style="261" min="6143" max="6143"/>
    <col width="16.1796875" customWidth="1" style="261" min="6144" max="6144"/>
    <col width="8.7265625" customWidth="1" style="261" min="6145" max="6152"/>
    <col width="15.1796875" bestFit="1" customWidth="1" style="261" min="6153" max="6153"/>
    <col width="8.7265625" customWidth="1" style="261" min="6154" max="6397"/>
    <col width="63.453125" customWidth="1" style="261" min="6398" max="6398"/>
    <col width="10.453125" customWidth="1" style="261" min="6399" max="6399"/>
    <col width="16.1796875" customWidth="1" style="261" min="6400" max="6400"/>
    <col width="8.7265625" customWidth="1" style="261" min="6401" max="6408"/>
    <col width="15.1796875" bestFit="1" customWidth="1" style="261" min="6409" max="6409"/>
    <col width="8.7265625" customWidth="1" style="261" min="6410" max="6653"/>
    <col width="63.453125" customWidth="1" style="261" min="6654" max="6654"/>
    <col width="10.453125" customWidth="1" style="261" min="6655" max="6655"/>
    <col width="16.1796875" customWidth="1" style="261" min="6656" max="6656"/>
    <col width="8.7265625" customWidth="1" style="261" min="6657" max="6664"/>
    <col width="15.1796875" bestFit="1" customWidth="1" style="261" min="6665" max="6665"/>
    <col width="8.7265625" customWidth="1" style="261" min="6666" max="6909"/>
    <col width="63.453125" customWidth="1" style="261" min="6910" max="6910"/>
    <col width="10.453125" customWidth="1" style="261" min="6911" max="6911"/>
    <col width="16.1796875" customWidth="1" style="261" min="6912" max="6912"/>
    <col width="8.7265625" customWidth="1" style="261" min="6913" max="6920"/>
    <col width="15.1796875" bestFit="1" customWidth="1" style="261" min="6921" max="6921"/>
    <col width="8.7265625" customWidth="1" style="261" min="6922" max="7165"/>
    <col width="63.453125" customWidth="1" style="261" min="7166" max="7166"/>
    <col width="10.453125" customWidth="1" style="261" min="7167" max="7167"/>
    <col width="16.1796875" customWidth="1" style="261" min="7168" max="7168"/>
    <col width="8.7265625" customWidth="1" style="261" min="7169" max="7176"/>
    <col width="15.1796875" bestFit="1" customWidth="1" style="261" min="7177" max="7177"/>
    <col width="8.7265625" customWidth="1" style="261" min="7178" max="7421"/>
    <col width="63.453125" customWidth="1" style="261" min="7422" max="7422"/>
    <col width="10.453125" customWidth="1" style="261" min="7423" max="7423"/>
    <col width="16.1796875" customWidth="1" style="261" min="7424" max="7424"/>
    <col width="8.7265625" customWidth="1" style="261" min="7425" max="7432"/>
    <col width="15.1796875" bestFit="1" customWidth="1" style="261" min="7433" max="7433"/>
    <col width="8.7265625" customWidth="1" style="261" min="7434" max="7677"/>
    <col width="63.453125" customWidth="1" style="261" min="7678" max="7678"/>
    <col width="10.453125" customWidth="1" style="261" min="7679" max="7679"/>
    <col width="16.1796875" customWidth="1" style="261" min="7680" max="7680"/>
    <col width="8.7265625" customWidth="1" style="261" min="7681" max="7688"/>
    <col width="15.1796875" bestFit="1" customWidth="1" style="261" min="7689" max="7689"/>
    <col width="8.7265625" customWidth="1" style="261" min="7690" max="7933"/>
    <col width="63.453125" customWidth="1" style="261" min="7934" max="7934"/>
    <col width="10.453125" customWidth="1" style="261" min="7935" max="7935"/>
    <col width="16.1796875" customWidth="1" style="261" min="7936" max="7936"/>
    <col width="8.7265625" customWidth="1" style="261" min="7937" max="7944"/>
    <col width="15.1796875" bestFit="1" customWidth="1" style="261" min="7945" max="7945"/>
    <col width="8.7265625" customWidth="1" style="261" min="7946" max="8189"/>
    <col width="63.453125" customWidth="1" style="261" min="8190" max="8190"/>
    <col width="10.453125" customWidth="1" style="261" min="8191" max="8191"/>
    <col width="16.1796875" customWidth="1" style="261" min="8192" max="8192"/>
    <col width="8.7265625" customWidth="1" style="261" min="8193" max="8200"/>
    <col width="15.1796875" bestFit="1" customWidth="1" style="261" min="8201" max="8201"/>
    <col width="8.7265625" customWidth="1" style="261" min="8202" max="8445"/>
    <col width="63.453125" customWidth="1" style="261" min="8446" max="8446"/>
    <col width="10.453125" customWidth="1" style="261" min="8447" max="8447"/>
    <col width="16.1796875" customWidth="1" style="261" min="8448" max="8448"/>
    <col width="8.7265625" customWidth="1" style="261" min="8449" max="8456"/>
    <col width="15.1796875" bestFit="1" customWidth="1" style="261" min="8457" max="8457"/>
    <col width="8.7265625" customWidth="1" style="261" min="8458" max="8701"/>
    <col width="63.453125" customWidth="1" style="261" min="8702" max="8702"/>
    <col width="10.453125" customWidth="1" style="261" min="8703" max="8703"/>
    <col width="16.1796875" customWidth="1" style="261" min="8704" max="8704"/>
    <col width="8.7265625" customWidth="1" style="261" min="8705" max="8712"/>
    <col width="15.1796875" bestFit="1" customWidth="1" style="261" min="8713" max="8713"/>
    <col width="8.7265625" customWidth="1" style="261" min="8714" max="8957"/>
    <col width="63.453125" customWidth="1" style="261" min="8958" max="8958"/>
    <col width="10.453125" customWidth="1" style="261" min="8959" max="8959"/>
    <col width="16.1796875" customWidth="1" style="261" min="8960" max="8960"/>
    <col width="8.7265625" customWidth="1" style="261" min="8961" max="8968"/>
    <col width="15.1796875" bestFit="1" customWidth="1" style="261" min="8969" max="8969"/>
    <col width="8.7265625" customWidth="1" style="261" min="8970" max="9213"/>
    <col width="63.453125" customWidth="1" style="261" min="9214" max="9214"/>
    <col width="10.453125" customWidth="1" style="261" min="9215" max="9215"/>
    <col width="16.1796875" customWidth="1" style="261" min="9216" max="9216"/>
    <col width="8.7265625" customWidth="1" style="261" min="9217" max="9224"/>
    <col width="15.1796875" bestFit="1" customWidth="1" style="261" min="9225" max="9225"/>
    <col width="8.7265625" customWidth="1" style="261" min="9226" max="9469"/>
    <col width="63.453125" customWidth="1" style="261" min="9470" max="9470"/>
    <col width="10.453125" customWidth="1" style="261" min="9471" max="9471"/>
    <col width="16.1796875" customWidth="1" style="261" min="9472" max="9472"/>
    <col width="8.7265625" customWidth="1" style="261" min="9473" max="9480"/>
    <col width="15.1796875" bestFit="1" customWidth="1" style="261" min="9481" max="9481"/>
    <col width="8.7265625" customWidth="1" style="261" min="9482" max="9725"/>
    <col width="63.453125" customWidth="1" style="261" min="9726" max="9726"/>
    <col width="10.453125" customWidth="1" style="261" min="9727" max="9727"/>
    <col width="16.1796875" customWidth="1" style="261" min="9728" max="9728"/>
    <col width="8.7265625" customWidth="1" style="261" min="9729" max="9736"/>
    <col width="15.1796875" bestFit="1" customWidth="1" style="261" min="9737" max="9737"/>
    <col width="8.7265625" customWidth="1" style="261" min="9738" max="9981"/>
    <col width="63.453125" customWidth="1" style="261" min="9982" max="9982"/>
    <col width="10.453125" customWidth="1" style="261" min="9983" max="9983"/>
    <col width="16.1796875" customWidth="1" style="261" min="9984" max="9984"/>
    <col width="8.7265625" customWidth="1" style="261" min="9985" max="9992"/>
    <col width="15.1796875" bestFit="1" customWidth="1" style="261" min="9993" max="9993"/>
    <col width="8.7265625" customWidth="1" style="261" min="9994" max="10237"/>
    <col width="63.453125" customWidth="1" style="261" min="10238" max="10238"/>
    <col width="10.453125" customWidth="1" style="261" min="10239" max="10239"/>
    <col width="16.1796875" customWidth="1" style="261" min="10240" max="10240"/>
    <col width="8.7265625" customWidth="1" style="261" min="10241" max="10248"/>
    <col width="15.1796875" bestFit="1" customWidth="1" style="261" min="10249" max="10249"/>
    <col width="8.7265625" customWidth="1" style="261" min="10250" max="10493"/>
    <col width="63.453125" customWidth="1" style="261" min="10494" max="10494"/>
    <col width="10.453125" customWidth="1" style="261" min="10495" max="10495"/>
    <col width="16.1796875" customWidth="1" style="261" min="10496" max="10496"/>
    <col width="8.7265625" customWidth="1" style="261" min="10497" max="10504"/>
    <col width="15.1796875" bestFit="1" customWidth="1" style="261" min="10505" max="10505"/>
    <col width="8.7265625" customWidth="1" style="261" min="10506" max="10749"/>
    <col width="63.453125" customWidth="1" style="261" min="10750" max="10750"/>
    <col width="10.453125" customWidth="1" style="261" min="10751" max="10751"/>
    <col width="16.1796875" customWidth="1" style="261" min="10752" max="10752"/>
    <col width="8.7265625" customWidth="1" style="261" min="10753" max="10760"/>
    <col width="15.1796875" bestFit="1" customWidth="1" style="261" min="10761" max="10761"/>
    <col width="8.7265625" customWidth="1" style="261" min="10762" max="11005"/>
    <col width="63.453125" customWidth="1" style="261" min="11006" max="11006"/>
    <col width="10.453125" customWidth="1" style="261" min="11007" max="11007"/>
    <col width="16.1796875" customWidth="1" style="261" min="11008" max="11008"/>
    <col width="8.7265625" customWidth="1" style="261" min="11009" max="11016"/>
    <col width="15.1796875" bestFit="1" customWidth="1" style="261" min="11017" max="11017"/>
    <col width="8.7265625" customWidth="1" style="261" min="11018" max="11261"/>
    <col width="63.453125" customWidth="1" style="261" min="11262" max="11262"/>
    <col width="10.453125" customWidth="1" style="261" min="11263" max="11263"/>
    <col width="16.1796875" customWidth="1" style="261" min="11264" max="11264"/>
    <col width="8.7265625" customWidth="1" style="261" min="11265" max="11272"/>
    <col width="15.1796875" bestFit="1" customWidth="1" style="261" min="11273" max="11273"/>
    <col width="8.7265625" customWidth="1" style="261" min="11274" max="11517"/>
    <col width="63.453125" customWidth="1" style="261" min="11518" max="11518"/>
    <col width="10.453125" customWidth="1" style="261" min="11519" max="11519"/>
    <col width="16.1796875" customWidth="1" style="261" min="11520" max="11520"/>
    <col width="8.7265625" customWidth="1" style="261" min="11521" max="11528"/>
    <col width="15.1796875" bestFit="1" customWidth="1" style="261" min="11529" max="11529"/>
    <col width="8.7265625" customWidth="1" style="261" min="11530" max="11773"/>
    <col width="63.453125" customWidth="1" style="261" min="11774" max="11774"/>
    <col width="10.453125" customWidth="1" style="261" min="11775" max="11775"/>
    <col width="16.1796875" customWidth="1" style="261" min="11776" max="11776"/>
    <col width="8.7265625" customWidth="1" style="261" min="11777" max="11784"/>
    <col width="15.1796875" bestFit="1" customWidth="1" style="261" min="11785" max="11785"/>
    <col width="8.7265625" customWidth="1" style="261" min="11786" max="12029"/>
    <col width="63.453125" customWidth="1" style="261" min="12030" max="12030"/>
    <col width="10.453125" customWidth="1" style="261" min="12031" max="12031"/>
    <col width="16.1796875" customWidth="1" style="261" min="12032" max="12032"/>
    <col width="8.7265625" customWidth="1" style="261" min="12033" max="12040"/>
    <col width="15.1796875" bestFit="1" customWidth="1" style="261" min="12041" max="12041"/>
    <col width="8.7265625" customWidth="1" style="261" min="12042" max="12285"/>
    <col width="63.453125" customWidth="1" style="261" min="12286" max="12286"/>
    <col width="10.453125" customWidth="1" style="261" min="12287" max="12287"/>
    <col width="16.1796875" customWidth="1" style="261" min="12288" max="12288"/>
    <col width="8.7265625" customWidth="1" style="261" min="12289" max="12296"/>
    <col width="15.1796875" bestFit="1" customWidth="1" style="261" min="12297" max="12297"/>
    <col width="8.7265625" customWidth="1" style="261" min="12298" max="12541"/>
    <col width="63.453125" customWidth="1" style="261" min="12542" max="12542"/>
    <col width="10.453125" customWidth="1" style="261" min="12543" max="12543"/>
    <col width="16.1796875" customWidth="1" style="261" min="12544" max="12544"/>
    <col width="8.7265625" customWidth="1" style="261" min="12545" max="12552"/>
    <col width="15.1796875" bestFit="1" customWidth="1" style="261" min="12553" max="12553"/>
    <col width="8.7265625" customWidth="1" style="261" min="12554" max="12797"/>
    <col width="63.453125" customWidth="1" style="261" min="12798" max="12798"/>
    <col width="10.453125" customWidth="1" style="261" min="12799" max="12799"/>
    <col width="16.1796875" customWidth="1" style="261" min="12800" max="12800"/>
    <col width="8.7265625" customWidth="1" style="261" min="12801" max="12808"/>
    <col width="15.1796875" bestFit="1" customWidth="1" style="261" min="12809" max="12809"/>
    <col width="8.7265625" customWidth="1" style="261" min="12810" max="13053"/>
    <col width="63.453125" customWidth="1" style="261" min="13054" max="13054"/>
    <col width="10.453125" customWidth="1" style="261" min="13055" max="13055"/>
    <col width="16.1796875" customWidth="1" style="261" min="13056" max="13056"/>
    <col width="8.7265625" customWidth="1" style="261" min="13057" max="13064"/>
    <col width="15.1796875" bestFit="1" customWidth="1" style="261" min="13065" max="13065"/>
    <col width="8.7265625" customWidth="1" style="261" min="13066" max="13309"/>
    <col width="63.453125" customWidth="1" style="261" min="13310" max="13310"/>
    <col width="10.453125" customWidth="1" style="261" min="13311" max="13311"/>
    <col width="16.1796875" customWidth="1" style="261" min="13312" max="13312"/>
    <col width="8.7265625" customWidth="1" style="261" min="13313" max="13320"/>
    <col width="15.1796875" bestFit="1" customWidth="1" style="261" min="13321" max="13321"/>
    <col width="8.7265625" customWidth="1" style="261" min="13322" max="13565"/>
    <col width="63.453125" customWidth="1" style="261" min="13566" max="13566"/>
    <col width="10.453125" customWidth="1" style="261" min="13567" max="13567"/>
    <col width="16.1796875" customWidth="1" style="261" min="13568" max="13568"/>
    <col width="8.7265625" customWidth="1" style="261" min="13569" max="13576"/>
    <col width="15.1796875" bestFit="1" customWidth="1" style="261" min="13577" max="13577"/>
    <col width="8.7265625" customWidth="1" style="261" min="13578" max="13821"/>
    <col width="63.453125" customWidth="1" style="261" min="13822" max="13822"/>
    <col width="10.453125" customWidth="1" style="261" min="13823" max="13823"/>
    <col width="16.1796875" customWidth="1" style="261" min="13824" max="13824"/>
    <col width="8.7265625" customWidth="1" style="261" min="13825" max="13832"/>
    <col width="15.1796875" bestFit="1" customWidth="1" style="261" min="13833" max="13833"/>
    <col width="8.7265625" customWidth="1" style="261" min="13834" max="14077"/>
    <col width="63.453125" customWidth="1" style="261" min="14078" max="14078"/>
    <col width="10.453125" customWidth="1" style="261" min="14079" max="14079"/>
    <col width="16.1796875" customWidth="1" style="261" min="14080" max="14080"/>
    <col width="8.7265625" customWidth="1" style="261" min="14081" max="14088"/>
    <col width="15.1796875" bestFit="1" customWidth="1" style="261" min="14089" max="14089"/>
    <col width="8.7265625" customWidth="1" style="261" min="14090" max="14333"/>
    <col width="63.453125" customWidth="1" style="261" min="14334" max="14334"/>
    <col width="10.453125" customWidth="1" style="261" min="14335" max="14335"/>
    <col width="16.1796875" customWidth="1" style="261" min="14336" max="14336"/>
    <col width="8.7265625" customWidth="1" style="261" min="14337" max="14344"/>
    <col width="15.1796875" bestFit="1" customWidth="1" style="261" min="14345" max="14345"/>
    <col width="8.7265625" customWidth="1" style="261" min="14346" max="14589"/>
    <col width="63.453125" customWidth="1" style="261" min="14590" max="14590"/>
    <col width="10.453125" customWidth="1" style="261" min="14591" max="14591"/>
    <col width="16.1796875" customWidth="1" style="261" min="14592" max="14592"/>
    <col width="8.7265625" customWidth="1" style="261" min="14593" max="14600"/>
    <col width="15.1796875" bestFit="1" customWidth="1" style="261" min="14601" max="14601"/>
    <col width="8.7265625" customWidth="1" style="261" min="14602" max="14845"/>
    <col width="63.453125" customWidth="1" style="261" min="14846" max="14846"/>
    <col width="10.453125" customWidth="1" style="261" min="14847" max="14847"/>
    <col width="16.1796875" customWidth="1" style="261" min="14848" max="14848"/>
    <col width="8.7265625" customWidth="1" style="261" min="14849" max="14856"/>
    <col width="15.1796875" bestFit="1" customWidth="1" style="261" min="14857" max="14857"/>
    <col width="8.7265625" customWidth="1" style="261" min="14858" max="15101"/>
    <col width="63.453125" customWidth="1" style="261" min="15102" max="15102"/>
    <col width="10.453125" customWidth="1" style="261" min="15103" max="15103"/>
    <col width="16.1796875" customWidth="1" style="261" min="15104" max="15104"/>
    <col width="8.7265625" customWidth="1" style="261" min="15105" max="15112"/>
    <col width="15.1796875" bestFit="1" customWidth="1" style="261" min="15113" max="15113"/>
    <col width="8.7265625" customWidth="1" style="261" min="15114" max="15357"/>
    <col width="63.453125" customWidth="1" style="261" min="15358" max="15358"/>
    <col width="10.453125" customWidth="1" style="261" min="15359" max="15359"/>
    <col width="16.1796875" customWidth="1" style="261" min="15360" max="15360"/>
    <col width="8.7265625" customWidth="1" style="261" min="15361" max="15368"/>
    <col width="15.1796875" bestFit="1" customWidth="1" style="261" min="15369" max="15369"/>
    <col width="8.7265625" customWidth="1" style="261" min="15370" max="15613"/>
    <col width="63.453125" customWidth="1" style="261" min="15614" max="15614"/>
    <col width="10.453125" customWidth="1" style="261" min="15615" max="15615"/>
    <col width="16.1796875" customWidth="1" style="261" min="15616" max="15616"/>
    <col width="8.7265625" customWidth="1" style="261" min="15617" max="15624"/>
    <col width="15.1796875" bestFit="1" customWidth="1" style="261" min="15625" max="15625"/>
    <col width="8.7265625" customWidth="1" style="261" min="15626" max="15869"/>
    <col width="63.453125" customWidth="1" style="261" min="15870" max="15870"/>
    <col width="10.453125" customWidth="1" style="261" min="15871" max="15871"/>
    <col width="16.1796875" customWidth="1" style="261" min="15872" max="15872"/>
    <col width="8.7265625" customWidth="1" style="261" min="15873" max="15880"/>
    <col width="15.1796875" bestFit="1" customWidth="1" style="261" min="15881" max="15881"/>
    <col width="8.7265625" customWidth="1" style="261" min="15882" max="16125"/>
    <col width="63.453125" customWidth="1" style="261" min="16126" max="16126"/>
    <col width="10.453125" customWidth="1" style="261" min="16127" max="16127"/>
    <col width="16.1796875" customWidth="1" style="261" min="16128" max="16128"/>
    <col width="8.7265625" customWidth="1" style="261" min="16129" max="16136"/>
    <col width="15.1796875" bestFit="1" customWidth="1" style="261" min="16137" max="16137"/>
    <col width="8.726562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265625" defaultRowHeight="14.5"/>
  <cols>
    <col width="69.1796875" bestFit="1" customWidth="1" style="261" min="1" max="1"/>
    <col hidden="1" width="31.453125" customWidth="1" style="261" min="2" max="2"/>
    <col width="15.453125" customWidth="1" style="258" min="3" max="3"/>
    <col width="20" customWidth="1" style="261" min="4" max="12"/>
    <col width="8.7265625" customWidth="1" style="261" min="13" max="17"/>
    <col width="8.7265625" customWidth="1" style="261" min="18" max="16384"/>
  </cols>
  <sheetData>
    <row r="1" ht="32.15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4.5"/>
  <cols>
    <col width="61.81640625" bestFit="1" customWidth="1" style="84" min="2" max="2"/>
    <col width="15.1796875" customWidth="1" style="84" min="3" max="3"/>
    <col hidden="1" width="15.1796875" customWidth="1" style="84" min="4" max="10"/>
    <col hidden="1" width="15.179687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4.5"/>
  <cols>
    <col width="27.81640625" customWidth="1" min="2" max="2"/>
    <col width="19.8164062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topLeftCell="A17" zoomScale="88" workbookViewId="0">
      <selection activeCell="B27" sqref="B27:B29"/>
    </sheetView>
  </sheetViews>
  <sheetFormatPr baseColWidth="8" defaultRowHeight="14.5"/>
  <cols>
    <col width="25.453125" bestFit="1" customWidth="1" style="42" min="2" max="2"/>
    <col width="52.453125" bestFit="1" customWidth="1" style="42" min="3" max="3"/>
    <col width="25.453125" customWidth="1" style="42" min="4" max="5"/>
    <col width="47.453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5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5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5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5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5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5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2026-05-21T10:11:16Z</dcterms:modified>
  <cp:lastModifiedBy>Kanak Yadav</cp:lastModifiedBy>
  <cp:lastPrinted>2025-07-19T07:16:47Z</cp:lastPrinted>
</cp:coreProperties>
</file>