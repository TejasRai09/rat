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Segoe UI"/>
      <family val="2"/>
      <b val="1"/>
      <color theme="0"/>
      <sz val="6.5"/>
    </font>
    <font>
      <name val="Segoe UI"/>
      <family val="2"/>
      <color theme="0"/>
      <sz val="11"/>
    </font>
    <font>
      <name val="Segoe UI"/>
      <family val="2"/>
      <b val="1"/>
      <color rgb="FFFFFFFF"/>
      <sz val="6.5"/>
    </font>
    <font>
      <name val="Segoe UI"/>
      <family val="2"/>
      <color theme="1"/>
      <sz val="11"/>
    </font>
    <font>
      <name val="Segoe UI"/>
      <family val="2"/>
      <color rgb="FF000000"/>
      <sz val="10"/>
    </font>
    <font>
      <name val="Segoe UI"/>
      <family val="2"/>
      <b val="1"/>
      <sz val="6.5"/>
    </font>
    <font>
      <name val="Segoe UI"/>
      <family val="2"/>
      <sz val="6.5"/>
    </font>
    <font>
      <name val="Segoe UI"/>
      <family val="2"/>
      <b val="1"/>
      <color theme="1"/>
      <sz val="6.5"/>
    </font>
    <font>
      <name val="Segoe UI"/>
      <family val="2"/>
      <b val="1"/>
      <color rgb="FF000000"/>
      <sz val="6.5"/>
    </font>
    <font>
      <name val="Segoe UI"/>
      <family val="2"/>
      <color rgb="FF000000"/>
      <sz val="6.5"/>
    </font>
    <font>
      <name val="Segoe UI"/>
      <family val="2"/>
      <b val="1"/>
      <color rgb="FFFFFFFF"/>
      <sz val="5.5"/>
    </font>
    <font>
      <name val="Segoe UI"/>
      <family val="2"/>
      <b val="1"/>
      <color theme="0"/>
      <sz val="5.5"/>
    </font>
    <font>
      <name val="Segoe UI"/>
      <family val="2"/>
      <b val="1"/>
      <sz val="5.5"/>
    </font>
    <font>
      <name val="Segoe UI"/>
      <family val="2"/>
      <b val="1"/>
      <color theme="1"/>
      <sz val="5.5"/>
    </font>
    <font>
      <name val="Segoe UI"/>
      <family val="2"/>
      <sz val="5.5"/>
    </font>
    <font>
      <name val="Segoe UI"/>
      <family val="2"/>
      <color theme="1"/>
      <sz val="5.5"/>
    </font>
    <font>
      <name val="Segoe UI"/>
      <family val="2"/>
      <color rgb="FF000000"/>
      <sz val="5.5"/>
    </font>
    <font>
      <name val="Segoe UI"/>
      <family val="2"/>
      <b val="1"/>
      <color rgb="FF000000"/>
      <sz val="5.5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8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19" fillId="19" borderId="95" applyAlignment="1" pivotButton="0" quotePrefix="0" xfId="7">
      <alignment horizontal="center" vertical="center" wrapText="1"/>
    </xf>
    <xf numFmtId="0" fontId="20" fillId="0" borderId="88" pivotButton="0" quotePrefix="0" xfId="0"/>
    <xf numFmtId="0" fontId="20" fillId="0" borderId="91" pivotButton="0" quotePrefix="0" xfId="0"/>
    <xf numFmtId="0" fontId="21" fillId="19" borderId="98" applyAlignment="1" pivotButton="0" quotePrefix="0" xfId="7">
      <alignment horizontal="center" vertical="center" wrapText="1"/>
    </xf>
    <xf numFmtId="0" fontId="22" fillId="0" borderId="83" pivotButton="0" quotePrefix="0" xfId="0"/>
    <xf numFmtId="0" fontId="22" fillId="0" borderId="84" pivotButton="0" quotePrefix="0" xfId="0"/>
    <xf numFmtId="0" fontId="23" fillId="0" borderId="0" applyAlignment="1" pivotButton="0" quotePrefix="0" xfId="7">
      <alignment horizontal="left" vertical="center"/>
    </xf>
    <xf numFmtId="0" fontId="23" fillId="0" borderId="99" applyAlignment="1" pivotButton="0" quotePrefix="0" xfId="7">
      <alignment horizontal="left" vertical="center" wrapText="1"/>
    </xf>
    <xf numFmtId="0" fontId="22" fillId="0" borderId="85" pivotButton="0" quotePrefix="0" xfId="0"/>
    <xf numFmtId="0" fontId="22" fillId="0" borderId="86" pivotButton="0" quotePrefix="0" xfId="0"/>
    <xf numFmtId="0" fontId="21" fillId="19" borderId="92" applyAlignment="1" pivotButton="0" quotePrefix="0" xfId="7">
      <alignment horizontal="center" vertical="center" wrapText="1"/>
    </xf>
    <xf numFmtId="0" fontId="22" fillId="0" borderId="88" pivotButton="0" quotePrefix="0" xfId="0"/>
    <xf numFmtId="0" fontId="22" fillId="0" borderId="89" pivotButton="0" quotePrefix="0" xfId="0"/>
    <xf numFmtId="0" fontId="23" fillId="0" borderId="90" applyAlignment="1" pivotButton="0" quotePrefix="0" xfId="7">
      <alignment horizontal="left" vertical="center" wrapText="1"/>
    </xf>
    <xf numFmtId="0" fontId="24" fillId="20" borderId="92" applyAlignment="1" pivotButton="0" quotePrefix="0" xfId="7">
      <alignment horizontal="center" vertical="center" wrapText="1"/>
    </xf>
    <xf numFmtId="0" fontId="24" fillId="20" borderId="94" applyAlignment="1" pivotButton="0" quotePrefix="0" xfId="7">
      <alignment horizontal="center" vertical="center" wrapText="1"/>
    </xf>
    <xf numFmtId="0" fontId="23" fillId="0" borderId="100" applyAlignment="1" pivotButton="0" quotePrefix="0" xfId="7">
      <alignment horizontal="left" vertical="center" wrapText="1"/>
    </xf>
    <xf numFmtId="0" fontId="23" fillId="0" borderId="0" applyAlignment="1" pivotButton="0" quotePrefix="0" xfId="7">
      <alignment horizontal="left" vertical="center"/>
    </xf>
    <xf numFmtId="0" fontId="22" fillId="0" borderId="3" pivotButton="0" quotePrefix="0" xfId="0"/>
    <xf numFmtId="0" fontId="25" fillId="0" borderId="92" applyAlignment="1" pivotButton="0" quotePrefix="0" xfId="7">
      <alignment horizontal="left" vertical="center" wrapText="1"/>
    </xf>
    <xf numFmtId="0" fontId="25" fillId="0" borderId="94" applyAlignment="1" pivotButton="0" quotePrefix="0" xfId="7">
      <alignment horizontal="left" vertical="center" wrapText="1"/>
    </xf>
    <xf numFmtId="0" fontId="23" fillId="0" borderId="90" applyAlignment="1" pivotButton="0" quotePrefix="0" xfId="7">
      <alignment horizontal="left" vertical="center" wrapText="1"/>
    </xf>
    <xf numFmtId="0" fontId="24" fillId="20" borderId="94" applyAlignment="1" pivotButton="0" quotePrefix="0" xfId="7">
      <alignment horizontal="left" vertical="center" wrapText="1"/>
    </xf>
    <xf numFmtId="0" fontId="24" fillId="20" borderId="94" applyAlignment="1" pivotButton="0" quotePrefix="0" xfId="7">
      <alignment horizontal="center" vertical="center" wrapText="1"/>
    </xf>
    <xf numFmtId="0" fontId="24" fillId="20" borderId="95" applyAlignment="1" pivotButton="0" quotePrefix="0" xfId="7">
      <alignment horizontal="center" vertical="center" wrapText="1"/>
    </xf>
    <xf numFmtId="0" fontId="22" fillId="0" borderId="90" pivotButton="0" quotePrefix="0" xfId="0"/>
    <xf numFmtId="0" fontId="26" fillId="0" borderId="94" applyAlignment="1" pivotButton="0" quotePrefix="0" xfId="7">
      <alignment horizontal="left" vertical="center" wrapText="1"/>
    </xf>
    <xf numFmtId="10" fontId="27" fillId="0" borderId="94" applyAlignment="1" pivotButton="0" quotePrefix="0" xfId="7">
      <alignment horizontal="center" vertical="center" shrinkToFit="1"/>
    </xf>
    <xf numFmtId="10" fontId="27" fillId="0" borderId="95" applyAlignment="1" pivotButton="0" quotePrefix="0" xfId="7">
      <alignment horizontal="center" vertical="center" shrinkToFit="1"/>
    </xf>
    <xf numFmtId="0" fontId="23" fillId="0" borderId="97" applyAlignment="1" pivotButton="0" quotePrefix="0" xfId="7">
      <alignment horizontal="left" vertical="center" wrapText="1"/>
    </xf>
    <xf numFmtId="0" fontId="22" fillId="0" borderId="96" pivotButton="0" quotePrefix="0" xfId="0"/>
    <xf numFmtId="0" fontId="19" fillId="19" borderId="92" applyAlignment="1" pivotButton="0" quotePrefix="0" xfId="7">
      <alignment horizontal="center" vertical="center" wrapText="1"/>
    </xf>
    <xf numFmtId="0" fontId="20" fillId="0" borderId="89" pivotButton="0" quotePrefix="0" xfId="0"/>
    <xf numFmtId="0" fontId="25" fillId="0" borderId="94" applyAlignment="1" pivotButton="0" quotePrefix="0" xfId="7">
      <alignment horizontal="left" vertical="center" wrapText="1"/>
    </xf>
    <xf numFmtId="10" fontId="28" fillId="0" borderId="94" applyAlignment="1" pivotButton="0" quotePrefix="0" xfId="7">
      <alignment horizontal="center" vertical="center" shrinkToFit="1"/>
    </xf>
    <xf numFmtId="10" fontId="28" fillId="0" borderId="95" applyAlignment="1" pivotButton="0" quotePrefix="0" xfId="7">
      <alignment horizontal="center" vertical="center" shrinkToFit="1"/>
    </xf>
    <xf numFmtId="0" fontId="24" fillId="0" borderId="92" applyAlignment="1" pivotButton="0" quotePrefix="0" xfId="7">
      <alignment horizontal="left" vertical="center" wrapText="1"/>
    </xf>
    <xf numFmtId="0" fontId="23" fillId="0" borderId="95" applyAlignment="1" pivotButton="0" quotePrefix="0" xfId="7">
      <alignment horizontal="left" vertical="center" wrapText="1"/>
    </xf>
    <xf numFmtId="0" fontId="22" fillId="0" borderId="91" pivotButton="0" quotePrefix="0" xfId="0"/>
    <xf numFmtId="0" fontId="24" fillId="20" borderId="92" applyAlignment="1" pivotButton="0" quotePrefix="0" xfId="7">
      <alignment horizontal="left" vertical="center" wrapText="1"/>
    </xf>
    <xf numFmtId="3" fontId="24" fillId="0" borderId="94" applyAlignment="1" pivotButton="0" quotePrefix="0" xfId="7">
      <alignment horizontal="right" vertical="center" wrapText="1"/>
    </xf>
    <xf numFmtId="0" fontId="23" fillId="0" borderId="90" applyAlignment="1" pivotButton="0" quotePrefix="0" xfId="7">
      <alignment vertical="center" wrapText="1"/>
    </xf>
    <xf numFmtId="0" fontId="24" fillId="0" borderId="94" applyAlignment="1" pivotButton="0" quotePrefix="0" xfId="7">
      <alignment horizontal="left" vertical="center" wrapText="1"/>
    </xf>
    <xf numFmtId="0" fontId="23" fillId="0" borderId="92" applyAlignment="1" pivotButton="0" quotePrefix="0" xfId="7">
      <alignment horizontal="left" vertical="center" wrapText="1"/>
    </xf>
    <xf numFmtId="0" fontId="23" fillId="0" borderId="3" applyAlignment="1" pivotButton="0" quotePrefix="0" xfId="7">
      <alignment horizontal="left" vertical="center"/>
    </xf>
    <xf numFmtId="0" fontId="23" fillId="0" borderId="87" applyAlignment="1" pivotButton="0" quotePrefix="0" xfId="7">
      <alignment horizontal="left" vertical="center" wrapText="1"/>
    </xf>
    <xf numFmtId="0" fontId="23" fillId="0" borderId="0" applyAlignment="1" pivotButton="0" quotePrefix="0" xfId="7">
      <alignment horizontal="left" vertical="center" wrapText="1"/>
    </xf>
    <xf numFmtId="0" fontId="23" fillId="0" borderId="2" applyAlignment="1" pivotButton="0" quotePrefix="0" xfId="7">
      <alignment vertical="center" wrapText="1"/>
    </xf>
    <xf numFmtId="0" fontId="23" fillId="0" borderId="0" applyAlignment="1" pivotButton="0" quotePrefix="0" xfId="7">
      <alignment vertical="center" wrapText="1"/>
    </xf>
    <xf numFmtId="0" fontId="23" fillId="0" borderId="3" applyAlignment="1" pivotButton="0" quotePrefix="0" xfId="7">
      <alignment horizontal="left" vertical="center" wrapText="1"/>
    </xf>
    <xf numFmtId="0" fontId="23" fillId="0" borderId="96" applyAlignment="1" pivotButton="0" quotePrefix="0" xfId="7">
      <alignment horizontal="left" vertical="center" wrapText="1"/>
    </xf>
    <xf numFmtId="0" fontId="26" fillId="0" borderId="92" applyAlignment="1" pivotButton="0" quotePrefix="0" xfId="7">
      <alignment horizontal="left" vertical="center" wrapText="1"/>
    </xf>
    <xf numFmtId="164" fontId="28" fillId="0" borderId="95" applyAlignment="1" pivotButton="0" quotePrefix="0" xfId="7">
      <alignment horizontal="center" vertical="center" shrinkToFit="1"/>
    </xf>
    <xf numFmtId="0" fontId="24" fillId="0" borderId="4" applyAlignment="1" pivotButton="0" quotePrefix="0" xfId="7">
      <alignment vertical="center" wrapText="1"/>
    </xf>
    <xf numFmtId="0" fontId="24" fillId="0" borderId="5" applyAlignment="1" pivotButton="0" quotePrefix="0" xfId="7">
      <alignment vertical="center" wrapText="1"/>
    </xf>
    <xf numFmtId="0" fontId="24" fillId="0" borderId="6" applyAlignment="1" pivotButton="0" quotePrefix="0" xfId="7">
      <alignment horizontal="right" vertical="center" wrapText="1" indent="1"/>
    </xf>
    <xf numFmtId="0" fontId="29" fillId="19" borderId="94" applyAlignment="1" pivotButton="0" quotePrefix="0" xfId="7">
      <alignment horizontal="center" vertical="center" wrapText="1"/>
    </xf>
    <xf numFmtId="0" fontId="23" fillId="0" borderId="0" applyAlignment="1" pivotButton="0" quotePrefix="0" xfId="7">
      <alignment horizontal="left" vertical="top"/>
    </xf>
    <xf numFmtId="0" fontId="23" fillId="0" borderId="94" applyAlignment="1" pivotButton="0" quotePrefix="0" xfId="7">
      <alignment horizontal="center" vertical="center" wrapText="1"/>
    </xf>
    <xf numFmtId="0" fontId="30" fillId="19" borderId="94" applyAlignment="1" pivotButton="0" quotePrefix="0" xfId="7">
      <alignment horizontal="center" vertical="center" wrapText="1"/>
    </xf>
    <xf numFmtId="0" fontId="23" fillId="0" borderId="94" applyAlignment="1" pivotButton="0" quotePrefix="0" xfId="7">
      <alignment horizontal="left" vertical="center" wrapText="1"/>
    </xf>
    <xf numFmtId="0" fontId="31" fillId="21" borderId="94" applyAlignment="1" pivotButton="0" quotePrefix="0" xfId="7">
      <alignment horizontal="center" vertical="center" wrapText="1"/>
    </xf>
    <xf numFmtId="0" fontId="31" fillId="20" borderId="94" applyAlignment="1" pivotButton="0" quotePrefix="0" xfId="7">
      <alignment horizontal="center" vertical="center" wrapText="1"/>
    </xf>
    <xf numFmtId="0" fontId="31" fillId="20" borderId="94" applyAlignment="1" pivotButton="0" quotePrefix="0" xfId="7">
      <alignment horizontal="center" vertical="center" wrapText="1"/>
    </xf>
    <xf numFmtId="0" fontId="32" fillId="22" borderId="94" applyAlignment="1" pivotButton="0" quotePrefix="0" xfId="7">
      <alignment horizontal="left" vertical="center" wrapText="1"/>
    </xf>
    <xf numFmtId="0" fontId="31" fillId="22" borderId="94" applyAlignment="1" pivotButton="0" quotePrefix="0" xfId="7">
      <alignment horizontal="center" vertical="center" wrapText="1"/>
    </xf>
    <xf numFmtId="0" fontId="31" fillId="22" borderId="94" applyAlignment="1" pivotButton="0" quotePrefix="0" xfId="7">
      <alignment horizontal="center" vertical="center" wrapText="1"/>
    </xf>
    <xf numFmtId="0" fontId="33" fillId="0" borderId="94" applyAlignment="1" pivotButton="0" quotePrefix="0" xfId="7">
      <alignment horizontal="left" vertical="center" wrapText="1"/>
    </xf>
    <xf numFmtId="0" fontId="33" fillId="0" borderId="94" applyAlignment="1" pivotButton="0" quotePrefix="0" xfId="7">
      <alignment horizontal="center" vertical="center" wrapText="1"/>
    </xf>
    <xf numFmtId="0" fontId="33" fillId="0" borderId="94" applyAlignment="1" pivotButton="0" quotePrefix="0" xfId="7">
      <alignment horizontal="center" vertical="center" wrapText="1"/>
    </xf>
    <xf numFmtId="0" fontId="34" fillId="0" borderId="94" applyAlignment="1" pivotButton="0" quotePrefix="0" xfId="7">
      <alignment horizontal="left" vertical="center" wrapText="1"/>
    </xf>
    <xf numFmtId="10" fontId="35" fillId="0" borderId="94" applyAlignment="1" pivotButton="0" quotePrefix="0" xfId="7">
      <alignment horizontal="center" vertical="center" shrinkToFit="1"/>
    </xf>
    <xf numFmtId="0" fontId="31" fillId="0" borderId="94" applyAlignment="1" pivotButton="0" quotePrefix="0" xfId="7">
      <alignment horizontal="left" vertical="center" wrapText="1"/>
    </xf>
    <xf numFmtId="10" fontId="36" fillId="0" borderId="94" applyAlignment="1" pivotButton="0" quotePrefix="0" xfId="7">
      <alignment horizontal="center" vertical="center" shrinkToFit="1"/>
    </xf>
    <xf numFmtId="0" fontId="31" fillId="20" borderId="94" applyAlignment="1" pivotButton="0" quotePrefix="0" xfId="7">
      <alignment horizontal="left" vertical="center" wrapText="1"/>
    </xf>
    <xf numFmtId="10" fontId="36" fillId="0" borderId="94" applyAlignment="1" pivotButton="0" quotePrefix="0" xfId="7">
      <alignment horizontal="center" vertical="center" shrinkToFit="1"/>
    </xf>
    <xf numFmtId="10" fontId="35" fillId="0" borderId="94" applyAlignment="1" pivotButton="0" quotePrefix="0" xfId="7">
      <alignment horizontal="center" vertical="center" shrinkToFit="1"/>
    </xf>
    <xf numFmtId="0" fontId="33" fillId="0" borderId="94" applyAlignment="1" pivotButton="0" quotePrefix="0" xfId="7">
      <alignment horizontal="left" vertical="center" wrapText="1"/>
    </xf>
    <xf numFmtId="2" fontId="35" fillId="0" borderId="94" applyAlignment="1" pivotButton="0" quotePrefix="0" xfId="7">
      <alignment horizontal="center" vertical="center" shrinkToFit="1"/>
    </xf>
    <xf numFmtId="1" fontId="35" fillId="0" borderId="94" applyAlignment="1" pivotButton="0" quotePrefix="0" xfId="7">
      <alignment horizontal="center" vertical="center" shrinkToFit="1"/>
    </xf>
    <xf numFmtId="0" fontId="23" fillId="0" borderId="94" applyAlignment="1" pivotButton="0" quotePrefix="0" xfId="7">
      <alignment horizontal="left" wrapText="1"/>
    </xf>
    <xf numFmtId="0" fontId="24" fillId="0" borderId="93" applyAlignment="1" pivotButton="0" quotePrefix="0" xfId="7">
      <alignment vertical="center" wrapText="1"/>
    </xf>
    <xf numFmtId="0" fontId="24" fillId="0" borderId="0" applyAlignment="1" pivotButton="0" quotePrefix="0" xfId="7">
      <alignment vertical="center" wrapText="1"/>
    </xf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3" pivotButton="0" quotePrefix="0" xfId="0"/>
    <xf numFmtId="0" fontId="0" fillId="0" borderId="90" pivotButton="0" quotePrefix="0" xfId="0"/>
    <xf numFmtId="0" fontId="0" fillId="0" borderId="96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4.5"/>
  <cols>
    <col width="34.453125" customWidth="1" min="2" max="2"/>
    <col width="21" customWidth="1" min="3" max="3"/>
  </cols>
  <sheetData>
    <row r="2" ht="15" customHeight="1" thickBot="1"/>
    <row r="3" ht="15" customHeight="1" thickBot="1">
      <c r="B3" s="329" t="inlineStr">
        <is>
          <t>Weightage for AMC Ranking</t>
        </is>
      </c>
      <c r="C3" s="330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32" t="inlineStr">
        <is>
          <t>AUM</t>
        </is>
      </c>
      <c r="C6" s="74" t="n">
        <v>0.15</v>
      </c>
    </row>
    <row r="7">
      <c r="A7" s="54" t="n"/>
      <c r="B7" s="332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32" t="inlineStr">
        <is>
          <t>3-Year Return</t>
        </is>
      </c>
      <c r="C9" s="74" t="n">
        <v>0.15</v>
      </c>
    </row>
    <row r="10">
      <c r="B10" s="332" t="inlineStr">
        <is>
          <t>5-Year Return</t>
        </is>
      </c>
      <c r="C10" s="74" t="n">
        <v>0.1</v>
      </c>
    </row>
    <row r="11">
      <c r="B11" s="332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32" t="inlineStr">
        <is>
          <t>Sharpe</t>
        </is>
      </c>
      <c r="C13" s="74" t="n">
        <v>0.05</v>
      </c>
    </row>
    <row r="14">
      <c r="B14" s="332" t="inlineStr">
        <is>
          <t>Sortino</t>
        </is>
      </c>
      <c r="C14" s="74" t="n">
        <v>0.075</v>
      </c>
    </row>
    <row r="15">
      <c r="B15" s="333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32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4.5"/>
  <cols>
    <col width="63.453125" customWidth="1" style="261" min="1" max="1"/>
    <col width="10.453125" customWidth="1" style="261" min="2" max="2"/>
    <col width="16.1796875" customWidth="1" style="261" min="3" max="3"/>
    <col width="8.7265625" customWidth="1" style="261" min="4" max="11"/>
    <col width="15.1796875" bestFit="1" customWidth="1" style="261" min="12" max="12"/>
    <col width="8.7265625" customWidth="1" style="261" min="13" max="256"/>
    <col width="63.453125" customWidth="1" style="261" min="257" max="257"/>
    <col width="10.453125" customWidth="1" style="261" min="258" max="258"/>
    <col width="16.1796875" customWidth="1" style="261" min="259" max="259"/>
    <col width="8.7265625" customWidth="1" style="261" min="260" max="267"/>
    <col width="15.1796875" bestFit="1" customWidth="1" style="261" min="268" max="268"/>
    <col width="8.7265625" customWidth="1" style="261" min="269" max="512"/>
    <col width="63.453125" customWidth="1" style="261" min="513" max="513"/>
    <col width="10.453125" customWidth="1" style="261" min="514" max="514"/>
    <col width="16.1796875" customWidth="1" style="261" min="515" max="515"/>
    <col width="8.7265625" customWidth="1" style="261" min="516" max="523"/>
    <col width="15.1796875" bestFit="1" customWidth="1" style="261" min="524" max="524"/>
    <col width="8.7265625" customWidth="1" style="261" min="525" max="768"/>
    <col width="63.453125" customWidth="1" style="261" min="769" max="769"/>
    <col width="10.453125" customWidth="1" style="261" min="770" max="770"/>
    <col width="16.1796875" customWidth="1" style="261" min="771" max="771"/>
    <col width="8.7265625" customWidth="1" style="261" min="772" max="779"/>
    <col width="15.1796875" bestFit="1" customWidth="1" style="261" min="780" max="780"/>
    <col width="8.7265625" customWidth="1" style="261" min="781" max="1024"/>
    <col width="63.453125" customWidth="1" style="261" min="1025" max="1025"/>
    <col width="10.453125" customWidth="1" style="261" min="1026" max="1026"/>
    <col width="16.1796875" customWidth="1" style="261" min="1027" max="1027"/>
    <col width="8.7265625" customWidth="1" style="261" min="1028" max="1035"/>
    <col width="15.1796875" bestFit="1" customWidth="1" style="261" min="1036" max="1036"/>
    <col width="8.7265625" customWidth="1" style="261" min="1037" max="1280"/>
    <col width="63.453125" customWidth="1" style="261" min="1281" max="1281"/>
    <col width="10.453125" customWidth="1" style="261" min="1282" max="1282"/>
    <col width="16.1796875" customWidth="1" style="261" min="1283" max="1283"/>
    <col width="8.7265625" customWidth="1" style="261" min="1284" max="1291"/>
    <col width="15.1796875" bestFit="1" customWidth="1" style="261" min="1292" max="1292"/>
    <col width="8.7265625" customWidth="1" style="261" min="1293" max="1536"/>
    <col width="63.453125" customWidth="1" style="261" min="1537" max="1537"/>
    <col width="10.453125" customWidth="1" style="261" min="1538" max="1538"/>
    <col width="16.1796875" customWidth="1" style="261" min="1539" max="1539"/>
    <col width="8.7265625" customWidth="1" style="261" min="1540" max="1547"/>
    <col width="15.1796875" bestFit="1" customWidth="1" style="261" min="1548" max="1548"/>
    <col width="8.7265625" customWidth="1" style="261" min="1549" max="1792"/>
    <col width="63.453125" customWidth="1" style="261" min="1793" max="1793"/>
    <col width="10.453125" customWidth="1" style="261" min="1794" max="1794"/>
    <col width="16.1796875" customWidth="1" style="261" min="1795" max="1795"/>
    <col width="8.7265625" customWidth="1" style="261" min="1796" max="1803"/>
    <col width="15.1796875" bestFit="1" customWidth="1" style="261" min="1804" max="1804"/>
    <col width="8.7265625" customWidth="1" style="261" min="1805" max="2048"/>
    <col width="63.453125" customWidth="1" style="261" min="2049" max="2049"/>
    <col width="10.453125" customWidth="1" style="261" min="2050" max="2050"/>
    <col width="16.1796875" customWidth="1" style="261" min="2051" max="2051"/>
    <col width="8.7265625" customWidth="1" style="261" min="2052" max="2059"/>
    <col width="15.1796875" bestFit="1" customWidth="1" style="261" min="2060" max="2060"/>
    <col width="8.7265625" customWidth="1" style="261" min="2061" max="2304"/>
    <col width="63.453125" customWidth="1" style="261" min="2305" max="2305"/>
    <col width="10.453125" customWidth="1" style="261" min="2306" max="2306"/>
    <col width="16.1796875" customWidth="1" style="261" min="2307" max="2307"/>
    <col width="8.7265625" customWidth="1" style="261" min="2308" max="2315"/>
    <col width="15.1796875" bestFit="1" customWidth="1" style="261" min="2316" max="2316"/>
    <col width="8.7265625" customWidth="1" style="261" min="2317" max="2560"/>
    <col width="63.453125" customWidth="1" style="261" min="2561" max="2561"/>
    <col width="10.453125" customWidth="1" style="261" min="2562" max="2562"/>
    <col width="16.1796875" customWidth="1" style="261" min="2563" max="2563"/>
    <col width="8.7265625" customWidth="1" style="261" min="2564" max="2571"/>
    <col width="15.1796875" bestFit="1" customWidth="1" style="261" min="2572" max="2572"/>
    <col width="8.7265625" customWidth="1" style="261" min="2573" max="2816"/>
    <col width="63.453125" customWidth="1" style="261" min="2817" max="2817"/>
    <col width="10.453125" customWidth="1" style="261" min="2818" max="2818"/>
    <col width="16.1796875" customWidth="1" style="261" min="2819" max="2819"/>
    <col width="8.7265625" customWidth="1" style="261" min="2820" max="2827"/>
    <col width="15.1796875" bestFit="1" customWidth="1" style="261" min="2828" max="2828"/>
    <col width="8.7265625" customWidth="1" style="261" min="2829" max="3072"/>
    <col width="63.453125" customWidth="1" style="261" min="3073" max="3073"/>
    <col width="10.453125" customWidth="1" style="261" min="3074" max="3074"/>
    <col width="16.1796875" customWidth="1" style="261" min="3075" max="3075"/>
    <col width="8.7265625" customWidth="1" style="261" min="3076" max="3083"/>
    <col width="15.1796875" bestFit="1" customWidth="1" style="261" min="3084" max="3084"/>
    <col width="8.7265625" customWidth="1" style="261" min="3085" max="3328"/>
    <col width="63.453125" customWidth="1" style="261" min="3329" max="3329"/>
    <col width="10.453125" customWidth="1" style="261" min="3330" max="3330"/>
    <col width="16.1796875" customWidth="1" style="261" min="3331" max="3331"/>
    <col width="8.7265625" customWidth="1" style="261" min="3332" max="3339"/>
    <col width="15.1796875" bestFit="1" customWidth="1" style="261" min="3340" max="3340"/>
    <col width="8.7265625" customWidth="1" style="261" min="3341" max="3584"/>
    <col width="63.453125" customWidth="1" style="261" min="3585" max="3585"/>
    <col width="10.453125" customWidth="1" style="261" min="3586" max="3586"/>
    <col width="16.1796875" customWidth="1" style="261" min="3587" max="3587"/>
    <col width="8.7265625" customWidth="1" style="261" min="3588" max="3595"/>
    <col width="15.1796875" bestFit="1" customWidth="1" style="261" min="3596" max="3596"/>
    <col width="8.7265625" customWidth="1" style="261" min="3597" max="3840"/>
    <col width="63.453125" customWidth="1" style="261" min="3841" max="3841"/>
    <col width="10.453125" customWidth="1" style="261" min="3842" max="3842"/>
    <col width="16.1796875" customWidth="1" style="261" min="3843" max="3843"/>
    <col width="8.7265625" customWidth="1" style="261" min="3844" max="3851"/>
    <col width="15.1796875" bestFit="1" customWidth="1" style="261" min="3852" max="3852"/>
    <col width="8.7265625" customWidth="1" style="261" min="3853" max="4096"/>
    <col width="63.453125" customWidth="1" style="261" min="4097" max="4097"/>
    <col width="10.453125" customWidth="1" style="261" min="4098" max="4098"/>
    <col width="16.1796875" customWidth="1" style="261" min="4099" max="4099"/>
    <col width="8.7265625" customWidth="1" style="261" min="4100" max="4107"/>
    <col width="15.1796875" bestFit="1" customWidth="1" style="261" min="4108" max="4108"/>
    <col width="8.7265625" customWidth="1" style="261" min="4109" max="4352"/>
    <col width="63.453125" customWidth="1" style="261" min="4353" max="4353"/>
    <col width="10.453125" customWidth="1" style="261" min="4354" max="4354"/>
    <col width="16.1796875" customWidth="1" style="261" min="4355" max="4355"/>
    <col width="8.7265625" customWidth="1" style="261" min="4356" max="4363"/>
    <col width="15.1796875" bestFit="1" customWidth="1" style="261" min="4364" max="4364"/>
    <col width="8.7265625" customWidth="1" style="261" min="4365" max="4608"/>
    <col width="63.453125" customWidth="1" style="261" min="4609" max="4609"/>
    <col width="10.453125" customWidth="1" style="261" min="4610" max="4610"/>
    <col width="16.1796875" customWidth="1" style="261" min="4611" max="4611"/>
    <col width="8.7265625" customWidth="1" style="261" min="4612" max="4619"/>
    <col width="15.1796875" bestFit="1" customWidth="1" style="261" min="4620" max="4620"/>
    <col width="8.7265625" customWidth="1" style="261" min="4621" max="4864"/>
    <col width="63.453125" customWidth="1" style="261" min="4865" max="4865"/>
    <col width="10.453125" customWidth="1" style="261" min="4866" max="4866"/>
    <col width="16.1796875" customWidth="1" style="261" min="4867" max="4867"/>
    <col width="8.7265625" customWidth="1" style="261" min="4868" max="4875"/>
    <col width="15.1796875" bestFit="1" customWidth="1" style="261" min="4876" max="4876"/>
    <col width="8.7265625" customWidth="1" style="261" min="4877" max="5120"/>
    <col width="63.453125" customWidth="1" style="261" min="5121" max="5121"/>
    <col width="10.453125" customWidth="1" style="261" min="5122" max="5122"/>
    <col width="16.1796875" customWidth="1" style="261" min="5123" max="5123"/>
    <col width="8.7265625" customWidth="1" style="261" min="5124" max="5131"/>
    <col width="15.1796875" bestFit="1" customWidth="1" style="261" min="5132" max="5132"/>
    <col width="8.7265625" customWidth="1" style="261" min="5133" max="5376"/>
    <col width="63.453125" customWidth="1" style="261" min="5377" max="5377"/>
    <col width="10.453125" customWidth="1" style="261" min="5378" max="5378"/>
    <col width="16.1796875" customWidth="1" style="261" min="5379" max="5379"/>
    <col width="8.7265625" customWidth="1" style="261" min="5380" max="5387"/>
    <col width="15.1796875" bestFit="1" customWidth="1" style="261" min="5388" max="5388"/>
    <col width="8.7265625" customWidth="1" style="261" min="5389" max="5632"/>
    <col width="63.453125" customWidth="1" style="261" min="5633" max="5633"/>
    <col width="10.453125" customWidth="1" style="261" min="5634" max="5634"/>
    <col width="16.1796875" customWidth="1" style="261" min="5635" max="5635"/>
    <col width="8.7265625" customWidth="1" style="261" min="5636" max="5643"/>
    <col width="15.1796875" bestFit="1" customWidth="1" style="261" min="5644" max="5644"/>
    <col width="8.7265625" customWidth="1" style="261" min="5645" max="5888"/>
    <col width="63.453125" customWidth="1" style="261" min="5889" max="5889"/>
    <col width="10.453125" customWidth="1" style="261" min="5890" max="5890"/>
    <col width="16.1796875" customWidth="1" style="261" min="5891" max="5891"/>
    <col width="8.7265625" customWidth="1" style="261" min="5892" max="5899"/>
    <col width="15.1796875" bestFit="1" customWidth="1" style="261" min="5900" max="5900"/>
    <col width="8.7265625" customWidth="1" style="261" min="5901" max="6144"/>
    <col width="63.453125" customWidth="1" style="261" min="6145" max="6145"/>
    <col width="10.453125" customWidth="1" style="261" min="6146" max="6146"/>
    <col width="16.1796875" customWidth="1" style="261" min="6147" max="6147"/>
    <col width="8.7265625" customWidth="1" style="261" min="6148" max="6155"/>
    <col width="15.1796875" bestFit="1" customWidth="1" style="261" min="6156" max="6156"/>
    <col width="8.7265625" customWidth="1" style="261" min="6157" max="6400"/>
    <col width="63.453125" customWidth="1" style="261" min="6401" max="6401"/>
    <col width="10.453125" customWidth="1" style="261" min="6402" max="6402"/>
    <col width="16.1796875" customWidth="1" style="261" min="6403" max="6403"/>
    <col width="8.7265625" customWidth="1" style="261" min="6404" max="6411"/>
    <col width="15.1796875" bestFit="1" customWidth="1" style="261" min="6412" max="6412"/>
    <col width="8.7265625" customWidth="1" style="261" min="6413" max="6656"/>
    <col width="63.453125" customWidth="1" style="261" min="6657" max="6657"/>
    <col width="10.453125" customWidth="1" style="261" min="6658" max="6658"/>
    <col width="16.1796875" customWidth="1" style="261" min="6659" max="6659"/>
    <col width="8.7265625" customWidth="1" style="261" min="6660" max="6667"/>
    <col width="15.1796875" bestFit="1" customWidth="1" style="261" min="6668" max="6668"/>
    <col width="8.7265625" customWidth="1" style="261" min="6669" max="6912"/>
    <col width="63.453125" customWidth="1" style="261" min="6913" max="6913"/>
    <col width="10.453125" customWidth="1" style="261" min="6914" max="6914"/>
    <col width="16.1796875" customWidth="1" style="261" min="6915" max="6915"/>
    <col width="8.7265625" customWidth="1" style="261" min="6916" max="6923"/>
    <col width="15.1796875" bestFit="1" customWidth="1" style="261" min="6924" max="6924"/>
    <col width="8.7265625" customWidth="1" style="261" min="6925" max="7168"/>
    <col width="63.453125" customWidth="1" style="261" min="7169" max="7169"/>
    <col width="10.453125" customWidth="1" style="261" min="7170" max="7170"/>
    <col width="16.1796875" customWidth="1" style="261" min="7171" max="7171"/>
    <col width="8.7265625" customWidth="1" style="261" min="7172" max="7179"/>
    <col width="15.1796875" bestFit="1" customWidth="1" style="261" min="7180" max="7180"/>
    <col width="8.7265625" customWidth="1" style="261" min="7181" max="7424"/>
    <col width="63.453125" customWidth="1" style="261" min="7425" max="7425"/>
    <col width="10.453125" customWidth="1" style="261" min="7426" max="7426"/>
    <col width="16.1796875" customWidth="1" style="261" min="7427" max="7427"/>
    <col width="8.7265625" customWidth="1" style="261" min="7428" max="7435"/>
    <col width="15.1796875" bestFit="1" customWidth="1" style="261" min="7436" max="7436"/>
    <col width="8.7265625" customWidth="1" style="261" min="7437" max="7680"/>
    <col width="63.453125" customWidth="1" style="261" min="7681" max="7681"/>
    <col width="10.453125" customWidth="1" style="261" min="7682" max="7682"/>
    <col width="16.1796875" customWidth="1" style="261" min="7683" max="7683"/>
    <col width="8.7265625" customWidth="1" style="261" min="7684" max="7691"/>
    <col width="15.1796875" bestFit="1" customWidth="1" style="261" min="7692" max="7692"/>
    <col width="8.7265625" customWidth="1" style="261" min="7693" max="7936"/>
    <col width="63.453125" customWidth="1" style="261" min="7937" max="7937"/>
    <col width="10.453125" customWidth="1" style="261" min="7938" max="7938"/>
    <col width="16.1796875" customWidth="1" style="261" min="7939" max="7939"/>
    <col width="8.7265625" customWidth="1" style="261" min="7940" max="7947"/>
    <col width="15.1796875" bestFit="1" customWidth="1" style="261" min="7948" max="7948"/>
    <col width="8.7265625" customWidth="1" style="261" min="7949" max="8192"/>
    <col width="63.453125" customWidth="1" style="261" min="8193" max="8193"/>
    <col width="10.453125" customWidth="1" style="261" min="8194" max="8194"/>
    <col width="16.1796875" customWidth="1" style="261" min="8195" max="8195"/>
    <col width="8.7265625" customWidth="1" style="261" min="8196" max="8203"/>
    <col width="15.1796875" bestFit="1" customWidth="1" style="261" min="8204" max="8204"/>
    <col width="8.7265625" customWidth="1" style="261" min="8205" max="8448"/>
    <col width="63.453125" customWidth="1" style="261" min="8449" max="8449"/>
    <col width="10.453125" customWidth="1" style="261" min="8450" max="8450"/>
    <col width="16.1796875" customWidth="1" style="261" min="8451" max="8451"/>
    <col width="8.7265625" customWidth="1" style="261" min="8452" max="8459"/>
    <col width="15.1796875" bestFit="1" customWidth="1" style="261" min="8460" max="8460"/>
    <col width="8.7265625" customWidth="1" style="261" min="8461" max="8704"/>
    <col width="63.453125" customWidth="1" style="261" min="8705" max="8705"/>
    <col width="10.453125" customWidth="1" style="261" min="8706" max="8706"/>
    <col width="16.1796875" customWidth="1" style="261" min="8707" max="8707"/>
    <col width="8.7265625" customWidth="1" style="261" min="8708" max="8715"/>
    <col width="15.1796875" bestFit="1" customWidth="1" style="261" min="8716" max="8716"/>
    <col width="8.7265625" customWidth="1" style="261" min="8717" max="8960"/>
    <col width="63.453125" customWidth="1" style="261" min="8961" max="8961"/>
    <col width="10.453125" customWidth="1" style="261" min="8962" max="8962"/>
    <col width="16.1796875" customWidth="1" style="261" min="8963" max="8963"/>
    <col width="8.7265625" customWidth="1" style="261" min="8964" max="8971"/>
    <col width="15.1796875" bestFit="1" customWidth="1" style="261" min="8972" max="8972"/>
    <col width="8.7265625" customWidth="1" style="261" min="8973" max="9216"/>
    <col width="63.453125" customWidth="1" style="261" min="9217" max="9217"/>
    <col width="10.453125" customWidth="1" style="261" min="9218" max="9218"/>
    <col width="16.1796875" customWidth="1" style="261" min="9219" max="9219"/>
    <col width="8.7265625" customWidth="1" style="261" min="9220" max="9227"/>
    <col width="15.1796875" bestFit="1" customWidth="1" style="261" min="9228" max="9228"/>
    <col width="8.7265625" customWidth="1" style="261" min="9229" max="9472"/>
    <col width="63.453125" customWidth="1" style="261" min="9473" max="9473"/>
    <col width="10.453125" customWidth="1" style="261" min="9474" max="9474"/>
    <col width="16.1796875" customWidth="1" style="261" min="9475" max="9475"/>
    <col width="8.7265625" customWidth="1" style="261" min="9476" max="9483"/>
    <col width="15.1796875" bestFit="1" customWidth="1" style="261" min="9484" max="9484"/>
    <col width="8.7265625" customWidth="1" style="261" min="9485" max="9728"/>
    <col width="63.453125" customWidth="1" style="261" min="9729" max="9729"/>
    <col width="10.453125" customWidth="1" style="261" min="9730" max="9730"/>
    <col width="16.1796875" customWidth="1" style="261" min="9731" max="9731"/>
    <col width="8.7265625" customWidth="1" style="261" min="9732" max="9739"/>
    <col width="15.1796875" bestFit="1" customWidth="1" style="261" min="9740" max="9740"/>
    <col width="8.7265625" customWidth="1" style="261" min="9741" max="9984"/>
    <col width="63.453125" customWidth="1" style="261" min="9985" max="9985"/>
    <col width="10.453125" customWidth="1" style="261" min="9986" max="9986"/>
    <col width="16.1796875" customWidth="1" style="261" min="9987" max="9987"/>
    <col width="8.7265625" customWidth="1" style="261" min="9988" max="9995"/>
    <col width="15.1796875" bestFit="1" customWidth="1" style="261" min="9996" max="9996"/>
    <col width="8.7265625" customWidth="1" style="261" min="9997" max="10240"/>
    <col width="63.453125" customWidth="1" style="261" min="10241" max="10241"/>
    <col width="10.453125" customWidth="1" style="261" min="10242" max="10242"/>
    <col width="16.1796875" customWidth="1" style="261" min="10243" max="10243"/>
    <col width="8.7265625" customWidth="1" style="261" min="10244" max="10251"/>
    <col width="15.1796875" bestFit="1" customWidth="1" style="261" min="10252" max="10252"/>
    <col width="8.7265625" customWidth="1" style="261" min="10253" max="10496"/>
    <col width="63.453125" customWidth="1" style="261" min="10497" max="10497"/>
    <col width="10.453125" customWidth="1" style="261" min="10498" max="10498"/>
    <col width="16.1796875" customWidth="1" style="261" min="10499" max="10499"/>
    <col width="8.7265625" customWidth="1" style="261" min="10500" max="10507"/>
    <col width="15.1796875" bestFit="1" customWidth="1" style="261" min="10508" max="10508"/>
    <col width="8.7265625" customWidth="1" style="261" min="10509" max="10752"/>
    <col width="63.453125" customWidth="1" style="261" min="10753" max="10753"/>
    <col width="10.453125" customWidth="1" style="261" min="10754" max="10754"/>
    <col width="16.1796875" customWidth="1" style="261" min="10755" max="10755"/>
    <col width="8.7265625" customWidth="1" style="261" min="10756" max="10763"/>
    <col width="15.1796875" bestFit="1" customWidth="1" style="261" min="10764" max="10764"/>
    <col width="8.7265625" customWidth="1" style="261" min="10765" max="11008"/>
    <col width="63.453125" customWidth="1" style="261" min="11009" max="11009"/>
    <col width="10.453125" customWidth="1" style="261" min="11010" max="11010"/>
    <col width="16.1796875" customWidth="1" style="261" min="11011" max="11011"/>
    <col width="8.7265625" customWidth="1" style="261" min="11012" max="11019"/>
    <col width="15.1796875" bestFit="1" customWidth="1" style="261" min="11020" max="11020"/>
    <col width="8.7265625" customWidth="1" style="261" min="11021" max="11264"/>
    <col width="63.453125" customWidth="1" style="261" min="11265" max="11265"/>
    <col width="10.453125" customWidth="1" style="261" min="11266" max="11266"/>
    <col width="16.1796875" customWidth="1" style="261" min="11267" max="11267"/>
    <col width="8.7265625" customWidth="1" style="261" min="11268" max="11275"/>
    <col width="15.1796875" bestFit="1" customWidth="1" style="261" min="11276" max="11276"/>
    <col width="8.7265625" customWidth="1" style="261" min="11277" max="11520"/>
    <col width="63.453125" customWidth="1" style="261" min="11521" max="11521"/>
    <col width="10.453125" customWidth="1" style="261" min="11522" max="11522"/>
    <col width="16.1796875" customWidth="1" style="261" min="11523" max="11523"/>
    <col width="8.7265625" customWidth="1" style="261" min="11524" max="11531"/>
    <col width="15.1796875" bestFit="1" customWidth="1" style="261" min="11532" max="11532"/>
    <col width="8.7265625" customWidth="1" style="261" min="11533" max="11776"/>
    <col width="63.453125" customWidth="1" style="261" min="11777" max="11777"/>
    <col width="10.453125" customWidth="1" style="261" min="11778" max="11778"/>
    <col width="16.1796875" customWidth="1" style="261" min="11779" max="11779"/>
    <col width="8.7265625" customWidth="1" style="261" min="11780" max="11787"/>
    <col width="15.1796875" bestFit="1" customWidth="1" style="261" min="11788" max="11788"/>
    <col width="8.7265625" customWidth="1" style="261" min="11789" max="12032"/>
    <col width="63.453125" customWidth="1" style="261" min="12033" max="12033"/>
    <col width="10.453125" customWidth="1" style="261" min="12034" max="12034"/>
    <col width="16.1796875" customWidth="1" style="261" min="12035" max="12035"/>
    <col width="8.7265625" customWidth="1" style="261" min="12036" max="12043"/>
    <col width="15.1796875" bestFit="1" customWidth="1" style="261" min="12044" max="12044"/>
    <col width="8.7265625" customWidth="1" style="261" min="12045" max="12288"/>
    <col width="63.453125" customWidth="1" style="261" min="12289" max="12289"/>
    <col width="10.453125" customWidth="1" style="261" min="12290" max="12290"/>
    <col width="16.1796875" customWidth="1" style="261" min="12291" max="12291"/>
    <col width="8.7265625" customWidth="1" style="261" min="12292" max="12299"/>
    <col width="15.1796875" bestFit="1" customWidth="1" style="261" min="12300" max="12300"/>
    <col width="8.7265625" customWidth="1" style="261" min="12301" max="12544"/>
    <col width="63.453125" customWidth="1" style="261" min="12545" max="12545"/>
    <col width="10.453125" customWidth="1" style="261" min="12546" max="12546"/>
    <col width="16.1796875" customWidth="1" style="261" min="12547" max="12547"/>
    <col width="8.7265625" customWidth="1" style="261" min="12548" max="12555"/>
    <col width="15.1796875" bestFit="1" customWidth="1" style="261" min="12556" max="12556"/>
    <col width="8.7265625" customWidth="1" style="261" min="12557" max="12800"/>
    <col width="63.453125" customWidth="1" style="261" min="12801" max="12801"/>
    <col width="10.453125" customWidth="1" style="261" min="12802" max="12802"/>
    <col width="16.1796875" customWidth="1" style="261" min="12803" max="12803"/>
    <col width="8.7265625" customWidth="1" style="261" min="12804" max="12811"/>
    <col width="15.1796875" bestFit="1" customWidth="1" style="261" min="12812" max="12812"/>
    <col width="8.7265625" customWidth="1" style="261" min="12813" max="13056"/>
    <col width="63.453125" customWidth="1" style="261" min="13057" max="13057"/>
    <col width="10.453125" customWidth="1" style="261" min="13058" max="13058"/>
    <col width="16.1796875" customWidth="1" style="261" min="13059" max="13059"/>
    <col width="8.7265625" customWidth="1" style="261" min="13060" max="13067"/>
    <col width="15.1796875" bestFit="1" customWidth="1" style="261" min="13068" max="13068"/>
    <col width="8.7265625" customWidth="1" style="261" min="13069" max="13312"/>
    <col width="63.453125" customWidth="1" style="261" min="13313" max="13313"/>
    <col width="10.453125" customWidth="1" style="261" min="13314" max="13314"/>
    <col width="16.1796875" customWidth="1" style="261" min="13315" max="13315"/>
    <col width="8.7265625" customWidth="1" style="261" min="13316" max="13323"/>
    <col width="15.1796875" bestFit="1" customWidth="1" style="261" min="13324" max="13324"/>
    <col width="8.7265625" customWidth="1" style="261" min="13325" max="13568"/>
    <col width="63.453125" customWidth="1" style="261" min="13569" max="13569"/>
    <col width="10.453125" customWidth="1" style="261" min="13570" max="13570"/>
    <col width="16.1796875" customWidth="1" style="261" min="13571" max="13571"/>
    <col width="8.7265625" customWidth="1" style="261" min="13572" max="13579"/>
    <col width="15.1796875" bestFit="1" customWidth="1" style="261" min="13580" max="13580"/>
    <col width="8.7265625" customWidth="1" style="261" min="13581" max="13824"/>
    <col width="63.453125" customWidth="1" style="261" min="13825" max="13825"/>
    <col width="10.453125" customWidth="1" style="261" min="13826" max="13826"/>
    <col width="16.1796875" customWidth="1" style="261" min="13827" max="13827"/>
    <col width="8.7265625" customWidth="1" style="261" min="13828" max="13835"/>
    <col width="15.1796875" bestFit="1" customWidth="1" style="261" min="13836" max="13836"/>
    <col width="8.7265625" customWidth="1" style="261" min="13837" max="14080"/>
    <col width="63.453125" customWidth="1" style="261" min="14081" max="14081"/>
    <col width="10.453125" customWidth="1" style="261" min="14082" max="14082"/>
    <col width="16.1796875" customWidth="1" style="261" min="14083" max="14083"/>
    <col width="8.7265625" customWidth="1" style="261" min="14084" max="14091"/>
    <col width="15.1796875" bestFit="1" customWidth="1" style="261" min="14092" max="14092"/>
    <col width="8.7265625" customWidth="1" style="261" min="14093" max="14336"/>
    <col width="63.453125" customWidth="1" style="261" min="14337" max="14337"/>
    <col width="10.453125" customWidth="1" style="261" min="14338" max="14338"/>
    <col width="16.1796875" customWidth="1" style="261" min="14339" max="14339"/>
    <col width="8.7265625" customWidth="1" style="261" min="14340" max="14347"/>
    <col width="15.1796875" bestFit="1" customWidth="1" style="261" min="14348" max="14348"/>
    <col width="8.7265625" customWidth="1" style="261" min="14349" max="14592"/>
    <col width="63.453125" customWidth="1" style="261" min="14593" max="14593"/>
    <col width="10.453125" customWidth="1" style="261" min="14594" max="14594"/>
    <col width="16.1796875" customWidth="1" style="261" min="14595" max="14595"/>
    <col width="8.7265625" customWidth="1" style="261" min="14596" max="14603"/>
    <col width="15.1796875" bestFit="1" customWidth="1" style="261" min="14604" max="14604"/>
    <col width="8.7265625" customWidth="1" style="261" min="14605" max="14848"/>
    <col width="63.453125" customWidth="1" style="261" min="14849" max="14849"/>
    <col width="10.453125" customWidth="1" style="261" min="14850" max="14850"/>
    <col width="16.1796875" customWidth="1" style="261" min="14851" max="14851"/>
    <col width="8.7265625" customWidth="1" style="261" min="14852" max="14859"/>
    <col width="15.1796875" bestFit="1" customWidth="1" style="261" min="14860" max="14860"/>
    <col width="8.7265625" customWidth="1" style="261" min="14861" max="15104"/>
    <col width="63.453125" customWidth="1" style="261" min="15105" max="15105"/>
    <col width="10.453125" customWidth="1" style="261" min="15106" max="15106"/>
    <col width="16.1796875" customWidth="1" style="261" min="15107" max="15107"/>
    <col width="8.7265625" customWidth="1" style="261" min="15108" max="15115"/>
    <col width="15.1796875" bestFit="1" customWidth="1" style="261" min="15116" max="15116"/>
    <col width="8.7265625" customWidth="1" style="261" min="15117" max="15360"/>
    <col width="63.453125" customWidth="1" style="261" min="15361" max="15361"/>
    <col width="10.453125" customWidth="1" style="261" min="15362" max="15362"/>
    <col width="16.1796875" customWidth="1" style="261" min="15363" max="15363"/>
    <col width="8.7265625" customWidth="1" style="261" min="15364" max="15371"/>
    <col width="15.1796875" bestFit="1" customWidth="1" style="261" min="15372" max="15372"/>
    <col width="8.7265625" customWidth="1" style="261" min="15373" max="15616"/>
    <col width="63.453125" customWidth="1" style="261" min="15617" max="15617"/>
    <col width="10.453125" customWidth="1" style="261" min="15618" max="15618"/>
    <col width="16.1796875" customWidth="1" style="261" min="15619" max="15619"/>
    <col width="8.7265625" customWidth="1" style="261" min="15620" max="15627"/>
    <col width="15.1796875" bestFit="1" customWidth="1" style="261" min="15628" max="15628"/>
    <col width="8.7265625" customWidth="1" style="261" min="15629" max="15872"/>
    <col width="63.453125" customWidth="1" style="261" min="15873" max="15873"/>
    <col width="10.453125" customWidth="1" style="261" min="15874" max="15874"/>
    <col width="16.1796875" customWidth="1" style="261" min="15875" max="15875"/>
    <col width="8.7265625" customWidth="1" style="261" min="15876" max="15883"/>
    <col width="15.1796875" bestFit="1" customWidth="1" style="261" min="15884" max="15884"/>
    <col width="8.7265625" customWidth="1" style="261" min="15885" max="16128"/>
    <col width="63.453125" customWidth="1" style="261" min="16129" max="16129"/>
    <col width="10.453125" customWidth="1" style="261" min="16130" max="16130"/>
    <col width="16.1796875" customWidth="1" style="261" min="16131" max="16131"/>
    <col width="8.7265625" customWidth="1" style="261" min="16132" max="16139"/>
    <col width="15.1796875" bestFit="1" customWidth="1" style="261" min="16140" max="16140"/>
    <col width="8.726562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52"/>
  <sheetViews>
    <sheetView topLeftCell="A41" zoomScaleNormal="100" workbookViewId="0">
      <selection activeCell="B2" sqref="B2:H52"/>
    </sheetView>
  </sheetViews>
  <sheetFormatPr baseColWidth="8" defaultColWidth="8" defaultRowHeight="16"/>
  <cols>
    <col width="8" customWidth="1" style="408" min="1" max="1"/>
    <col width="37.1796875" customWidth="1" style="408" min="2" max="2"/>
    <col width="10.1796875" customWidth="1" style="408" min="3" max="3"/>
    <col width="10.26953125" customWidth="1" style="408" min="4" max="4"/>
    <col width="2.26953125" customWidth="1" style="408" min="5" max="5"/>
    <col width="36.26953125" customWidth="1" style="408" min="6" max="6"/>
    <col width="15" customWidth="1" style="408" min="7" max="7"/>
    <col width="10.26953125" customWidth="1" style="408" min="8" max="8"/>
    <col width="8" customWidth="1" style="408" min="9" max="10"/>
    <col width="8" customWidth="1" style="408" min="11" max="16384"/>
  </cols>
  <sheetData>
    <row r="2" ht="18" customHeight="1">
      <c r="B2" s="394" t="inlineStr">
        <is>
          <t>Financial Product Catalog: A Ready Reckoner , As on 18th July 2025</t>
        </is>
      </c>
      <c r="C2" s="474" t="n"/>
      <c r="D2" s="474" t="n"/>
      <c r="E2" s="474" t="n"/>
      <c r="F2" s="474" t="n"/>
      <c r="G2" s="474" t="n"/>
      <c r="H2" s="475" t="n"/>
    </row>
    <row r="3" ht="18" customHeight="1">
      <c r="B3" s="398" t="n"/>
      <c r="C3" s="476" t="n"/>
      <c r="D3" s="476" t="n"/>
      <c r="E3" s="476" t="n"/>
      <c r="F3" s="476" t="n"/>
      <c r="G3" s="476" t="n"/>
      <c r="H3" s="477" t="n"/>
    </row>
    <row r="4" ht="18" customHeight="1">
      <c r="B4" s="401" t="inlineStr">
        <is>
          <t>Whats new? (July 2025)</t>
        </is>
      </c>
      <c r="C4" s="478" t="n"/>
      <c r="D4" s="479" t="n"/>
      <c r="E4" s="412" t="n"/>
      <c r="F4" s="391" t="inlineStr">
        <is>
          <t>Debt</t>
        </is>
      </c>
      <c r="G4" s="478" t="n"/>
      <c r="H4" s="480" t="n"/>
    </row>
    <row r="5" ht="18" customHeight="1">
      <c r="B5" s="405" t="inlineStr">
        <is>
          <t>Fund Name</t>
        </is>
      </c>
      <c r="C5" s="414" t="inlineStr">
        <is>
          <t>End Date</t>
        </is>
      </c>
      <c r="D5" s="479" t="n"/>
      <c r="E5" s="407" t="n"/>
      <c r="H5" s="481" t="n"/>
    </row>
    <row r="6" ht="18" customHeight="1">
      <c r="B6" s="410" t="inlineStr">
        <is>
          <t>ICICI Prudential Active Momentum Fund</t>
        </is>
      </c>
      <c r="C6" s="424" t="inlineStr">
        <is>
          <t>July 22, 2025</t>
        </is>
      </c>
      <c r="D6" s="479" t="n"/>
      <c r="E6" s="412" t="n"/>
      <c r="F6" s="413" t="inlineStr">
        <is>
          <t>Debt Mutual Funds (Ultra Short Duration)</t>
        </is>
      </c>
      <c r="G6" s="414" t="inlineStr">
        <is>
          <t>3-Year Return</t>
        </is>
      </c>
      <c r="H6" s="415" t="inlineStr">
        <is>
          <t>1-Year Return</t>
        </is>
      </c>
    </row>
    <row r="7" ht="18" customHeight="1">
      <c r="B7" s="410" t="inlineStr">
        <is>
          <t>Bandhan Multi-Factor Fund</t>
        </is>
      </c>
      <c r="C7" s="424" t="inlineStr">
        <is>
          <t>July 24, 2025</t>
        </is>
      </c>
      <c r="D7" s="479" t="n"/>
      <c r="E7" s="482" t="n"/>
      <c r="F7" s="417" t="inlineStr">
        <is>
          <t>NIFTY Ultra Short Duration Debt Index</t>
        </is>
      </c>
      <c r="G7" s="418" t="n">
        <v>0.07679999999999999</v>
      </c>
      <c r="H7" s="419" t="n">
        <v>0.07340000000000001</v>
      </c>
    </row>
    <row r="8" ht="18" customHeight="1">
      <c r="B8" s="420" t="n"/>
      <c r="E8" s="483" t="n"/>
      <c r="F8" s="413" t="inlineStr">
        <is>
          <t>Ultra Short - Fund Name ( Return CAGR )</t>
        </is>
      </c>
      <c r="G8" s="414" t="inlineStr">
        <is>
          <t>3-Year Return</t>
        </is>
      </c>
      <c r="H8" s="415" t="inlineStr">
        <is>
          <t>1-Year Return</t>
        </is>
      </c>
    </row>
    <row r="9" ht="18" customHeight="1">
      <c r="B9" s="422" t="inlineStr">
        <is>
          <t>Equity</t>
        </is>
      </c>
      <c r="C9" s="478" t="n"/>
      <c r="D9" s="479" t="n"/>
      <c r="E9" s="412" t="n"/>
      <c r="F9" s="424">
        <f>'Summary '!J4</f>
        <v/>
      </c>
      <c r="G9" s="425">
        <f>'Summary '!K4</f>
        <v/>
      </c>
      <c r="H9" s="426">
        <f>'Summary '!L4</f>
        <v/>
      </c>
    </row>
    <row r="10" ht="18" customHeight="1">
      <c r="B10" s="420" t="n"/>
      <c r="E10" s="483" t="n"/>
      <c r="F10" s="424">
        <f>'Summary '!J5</f>
        <v/>
      </c>
      <c r="G10" s="425">
        <f>'Summary '!K5</f>
        <v/>
      </c>
      <c r="H10" s="426">
        <f>'Summary '!L5</f>
        <v/>
      </c>
    </row>
    <row r="11" ht="18" customHeight="1">
      <c r="B11" s="405" t="inlineStr">
        <is>
          <t>Large Cap - Funds</t>
        </is>
      </c>
      <c r="C11" s="414" t="inlineStr">
        <is>
          <t>3-Year Return</t>
        </is>
      </c>
      <c r="D11" s="414" t="inlineStr">
        <is>
          <t>1-Year Return</t>
        </is>
      </c>
      <c r="E11" s="412" t="n"/>
      <c r="F11" s="424">
        <f>'Summary '!J6</f>
        <v/>
      </c>
      <c r="G11" s="425">
        <f>'Summary '!K6</f>
        <v/>
      </c>
      <c r="H11" s="426">
        <f>'Summary '!L6</f>
        <v/>
      </c>
    </row>
    <row r="12" ht="18" customHeight="1">
      <c r="B12" s="427" t="inlineStr">
        <is>
          <t>NIFTY 50</t>
        </is>
      </c>
      <c r="C12" s="418" t="n">
        <v>0.5334</v>
      </c>
      <c r="D12" s="418" t="n">
        <v>0.0065</v>
      </c>
      <c r="E12" s="482" t="n"/>
      <c r="F12" s="428" t="n"/>
      <c r="G12" s="478" t="n"/>
      <c r="H12" s="480" t="n"/>
    </row>
    <row r="13" ht="18" customHeight="1">
      <c r="B13" s="430" t="inlineStr">
        <is>
          <t>Large Cap - Funds (Return CAGR)</t>
        </is>
      </c>
      <c r="C13" s="414" t="inlineStr">
        <is>
          <t>3-Year Return</t>
        </is>
      </c>
      <c r="D13" s="414" t="inlineStr">
        <is>
          <t>1-Year Return</t>
        </is>
      </c>
      <c r="E13" s="482" t="n"/>
      <c r="F13" s="413" t="inlineStr">
        <is>
          <t>Debt Mutual Funds (Low Duration)</t>
        </is>
      </c>
      <c r="G13" s="414" t="inlineStr">
        <is>
          <t>3-Year Return</t>
        </is>
      </c>
      <c r="H13" s="415" t="inlineStr">
        <is>
          <t>1-Year Return</t>
        </is>
      </c>
    </row>
    <row r="14" ht="18" customHeight="1">
      <c r="B14" s="410">
        <f>'Summary '!D4</f>
        <v/>
      </c>
      <c r="C14" s="425">
        <f>'Summary '!E4</f>
        <v/>
      </c>
      <c r="D14" s="425">
        <f>'Summary '!F4</f>
        <v/>
      </c>
      <c r="E14" s="482" t="n"/>
      <c r="F14" s="417" t="inlineStr">
        <is>
          <t>NIFTY Low Duration Debt Index</t>
        </is>
      </c>
      <c r="G14" s="418" t="n">
        <v>0.0731</v>
      </c>
      <c r="H14" s="419" t="n">
        <v>0.079</v>
      </c>
    </row>
    <row r="15" ht="18" customHeight="1">
      <c r="B15" s="410">
        <f>'Summary '!D5</f>
        <v/>
      </c>
      <c r="C15" s="425">
        <f>'Summary '!E5</f>
        <v/>
      </c>
      <c r="D15" s="425">
        <f>'Summary '!F5</f>
        <v/>
      </c>
      <c r="E15" s="482" t="n"/>
      <c r="F15" s="413" t="inlineStr">
        <is>
          <t>Low Duration - Funds ( Return CAGR )</t>
        </is>
      </c>
      <c r="G15" s="414" t="inlineStr">
        <is>
          <t>3-Year Return</t>
        </is>
      </c>
      <c r="H15" s="415" t="inlineStr">
        <is>
          <t>1-Year Return</t>
        </is>
      </c>
    </row>
    <row r="16" ht="18" customHeight="1">
      <c r="B16" s="410">
        <f>'Summary '!D6</f>
        <v/>
      </c>
      <c r="C16" s="425">
        <f>'Summary '!E6</f>
        <v/>
      </c>
      <c r="D16" s="425">
        <f>'Summary '!F6</f>
        <v/>
      </c>
      <c r="E16" s="482" t="n"/>
      <c r="F16" s="424">
        <f>'Summary '!J8</f>
        <v/>
      </c>
      <c r="G16" s="425">
        <f>'Summary '!K8</f>
        <v/>
      </c>
      <c r="H16" s="426">
        <f>'Summary '!L8</f>
        <v/>
      </c>
    </row>
    <row r="17" ht="18" customHeight="1">
      <c r="B17" s="427" t="inlineStr">
        <is>
          <t>SIP of 50000*36=1800000, Maturity Value Would be</t>
        </is>
      </c>
      <c r="C17" s="431" t="n">
        <v>2572605</v>
      </c>
      <c r="D17" s="479" t="n"/>
      <c r="E17" s="482" t="n"/>
      <c r="F17" s="424">
        <f>'Summary '!J9</f>
        <v/>
      </c>
      <c r="G17" s="425">
        <f>'Summary '!K9</f>
        <v/>
      </c>
      <c r="H17" s="426">
        <f>'Summary '!L9</f>
        <v/>
      </c>
    </row>
    <row r="18" ht="18" customHeight="1">
      <c r="B18" s="420" t="n"/>
      <c r="E18" s="483" t="n"/>
      <c r="F18" s="424">
        <f>'Summary '!J10</f>
        <v/>
      </c>
      <c r="G18" s="425">
        <f>'Summary '!K10</f>
        <v/>
      </c>
      <c r="H18" s="426">
        <f>'Summary '!L10</f>
        <v/>
      </c>
    </row>
    <row r="19" ht="18" customHeight="1">
      <c r="B19" s="430" t="inlineStr">
        <is>
          <t>Large &amp; Mid Cap - Funds</t>
        </is>
      </c>
      <c r="C19" s="414" t="inlineStr">
        <is>
          <t>3-Year Return</t>
        </is>
      </c>
      <c r="D19" s="414" t="inlineStr">
        <is>
          <t>1-Year Return</t>
        </is>
      </c>
      <c r="E19" s="432" t="n"/>
      <c r="F19" s="428" t="n"/>
      <c r="G19" s="478" t="n"/>
      <c r="H19" s="480" t="n"/>
    </row>
    <row r="20" ht="18" customHeight="1">
      <c r="B20" s="410">
        <f>'Summary '!D8</f>
        <v/>
      </c>
      <c r="C20" s="425">
        <f>'Summary '!E8</f>
        <v/>
      </c>
      <c r="D20" s="425">
        <f>'Summary '!F8</f>
        <v/>
      </c>
      <c r="E20" s="432" t="n"/>
      <c r="F20" s="413" t="inlineStr">
        <is>
          <t>Debt Mutual Funds (Short Duration)</t>
        </is>
      </c>
      <c r="G20" s="414" t="inlineStr">
        <is>
          <t>3-Year Return</t>
        </is>
      </c>
      <c r="H20" s="415" t="inlineStr">
        <is>
          <t>1-Year Return</t>
        </is>
      </c>
    </row>
    <row r="21" ht="18" customHeight="1">
      <c r="B21" s="410">
        <f>'Summary '!D9</f>
        <v/>
      </c>
      <c r="C21" s="425">
        <f>'Summary '!E9</f>
        <v/>
      </c>
      <c r="D21" s="425">
        <f>'Summary '!F9</f>
        <v/>
      </c>
      <c r="E21" s="432" t="n"/>
      <c r="F21" s="433" t="inlineStr">
        <is>
          <t>NIFTY Short Duration Debt Index A-II</t>
        </is>
      </c>
      <c r="G21" s="418" t="n">
        <v>0.075</v>
      </c>
      <c r="H21" s="419" t="n">
        <v>0.0851</v>
      </c>
    </row>
    <row r="22" ht="18" customHeight="1">
      <c r="B22" s="410">
        <f>'Summary '!D10</f>
        <v/>
      </c>
      <c r="C22" s="425">
        <f>'Summary '!E10</f>
        <v/>
      </c>
      <c r="D22" s="425">
        <f>'Summary '!F10</f>
        <v/>
      </c>
      <c r="E22" s="432" t="n"/>
      <c r="F22" s="413" t="inlineStr">
        <is>
          <t>Medium Term - Funds ( Return CAGR )</t>
        </is>
      </c>
      <c r="G22" s="414" t="inlineStr">
        <is>
          <t>3-Year Return</t>
        </is>
      </c>
      <c r="H22" s="415" t="inlineStr">
        <is>
          <t>1-Year Return</t>
        </is>
      </c>
    </row>
    <row r="23" ht="18" customHeight="1">
      <c r="B23" s="427" t="inlineStr">
        <is>
          <t>SIP of 50000*36=1800000, Maturity Value Would be</t>
        </is>
      </c>
      <c r="C23" s="431" t="n">
        <v>2646895</v>
      </c>
      <c r="D23" s="479" t="n"/>
      <c r="E23" s="432" t="n"/>
      <c r="F23" s="424">
        <f>'Summary '!J12</f>
        <v/>
      </c>
      <c r="G23" s="425">
        <f>'Summary '!K12</f>
        <v/>
      </c>
      <c r="H23" s="426">
        <f>'Summary '!L12</f>
        <v/>
      </c>
    </row>
    <row r="24" ht="18" customHeight="1">
      <c r="B24" s="434" t="n"/>
      <c r="C24" s="478" t="n"/>
      <c r="D24" s="479" t="n"/>
      <c r="E24" s="432" t="n"/>
      <c r="F24" s="424">
        <f>'Summary '!J13</f>
        <v/>
      </c>
      <c r="G24" s="425">
        <f>'Summary '!K13</f>
        <v/>
      </c>
      <c r="H24" s="426">
        <f>'Summary '!L13</f>
        <v/>
      </c>
    </row>
    <row r="25" ht="18" customHeight="1">
      <c r="B25" s="405" t="inlineStr">
        <is>
          <t>Mid Cap - Funds</t>
        </is>
      </c>
      <c r="C25" s="414" t="inlineStr">
        <is>
          <t>3-Year Return</t>
        </is>
      </c>
      <c r="D25" s="414" t="inlineStr">
        <is>
          <t>1-Year Return</t>
        </is>
      </c>
      <c r="E25" s="432" t="n"/>
      <c r="F25" s="424">
        <f>'Summary '!J14</f>
        <v/>
      </c>
      <c r="G25" s="425">
        <f>'Summary '!K14</f>
        <v/>
      </c>
      <c r="H25" s="426">
        <f>'Summary '!L14</f>
        <v/>
      </c>
    </row>
    <row r="26" ht="18" customHeight="1">
      <c r="B26" s="427" t="inlineStr">
        <is>
          <t>NIFTY Midcap 100</t>
        </is>
      </c>
      <c r="C26" s="418" t="n">
        <v>1.0847</v>
      </c>
      <c r="D26" s="418" t="n">
        <v>0.037</v>
      </c>
      <c r="E26" s="432" t="n"/>
      <c r="F26" s="428" t="n"/>
      <c r="G26" s="478" t="n"/>
      <c r="H26" s="480" t="n"/>
    </row>
    <row r="27" ht="18" customHeight="1">
      <c r="B27" s="430" t="inlineStr">
        <is>
          <t>Mid Cap - Funds  (Return CAGR)</t>
        </is>
      </c>
      <c r="C27" s="414" t="inlineStr">
        <is>
          <t>3-Year CAGR</t>
        </is>
      </c>
      <c r="D27" s="414" t="inlineStr">
        <is>
          <t>1-Year Return</t>
        </is>
      </c>
      <c r="F27" s="413" t="inlineStr">
        <is>
          <t>Debt Mutual Funds (Medium Duration)</t>
        </is>
      </c>
      <c r="G27" s="414" t="inlineStr">
        <is>
          <t>3-Year Return</t>
        </is>
      </c>
      <c r="H27" s="415" t="inlineStr">
        <is>
          <t>1-Year Return</t>
        </is>
      </c>
    </row>
    <row r="28" ht="18" customHeight="1">
      <c r="B28" s="410">
        <f>'Summary '!D12</f>
        <v/>
      </c>
      <c r="C28" s="425">
        <f>'Summary '!E12</f>
        <v/>
      </c>
      <c r="D28" s="425">
        <f>'Summary '!F12</f>
        <v/>
      </c>
      <c r="F28" s="433" t="inlineStr">
        <is>
          <t>NIFTY Medium Duration Debt Index A-III</t>
        </is>
      </c>
      <c r="G28" s="418" t="n">
        <v>0.0803</v>
      </c>
      <c r="H28" s="419" t="n">
        <v>0.0973</v>
      </c>
    </row>
    <row r="29" ht="18" customHeight="1">
      <c r="B29" s="410">
        <f>'Summary '!D13</f>
        <v/>
      </c>
      <c r="C29" s="425">
        <f>'Summary '!E13</f>
        <v/>
      </c>
      <c r="D29" s="425">
        <f>'Summary '!F13</f>
        <v/>
      </c>
      <c r="F29" s="413" t="inlineStr">
        <is>
          <t>Medium Term - Funds ( Return CAGR )</t>
        </is>
      </c>
      <c r="G29" s="414" t="inlineStr">
        <is>
          <t>3-Year Return</t>
        </is>
      </c>
      <c r="H29" s="415" t="inlineStr">
        <is>
          <t>1-Year Return</t>
        </is>
      </c>
    </row>
    <row r="30" ht="18" customHeight="1">
      <c r="B30" s="410">
        <f>'Summary '!D14</f>
        <v/>
      </c>
      <c r="C30" s="425">
        <f>'Summary '!E14</f>
        <v/>
      </c>
      <c r="D30" s="425">
        <f>'Summary '!F14</f>
        <v/>
      </c>
      <c r="F30" s="424">
        <f>'Summary '!J16</f>
        <v/>
      </c>
      <c r="G30" s="425">
        <f>'Summary '!K16</f>
        <v/>
      </c>
      <c r="H30" s="426">
        <f>'Summary '!L16</f>
        <v/>
      </c>
    </row>
    <row r="31" ht="18" customHeight="1">
      <c r="B31" s="427" t="inlineStr">
        <is>
          <t>SIP of 50000*36=1800000 , Maturity Value Would be</t>
        </is>
      </c>
      <c r="C31" s="431" t="n">
        <v>2767450</v>
      </c>
      <c r="D31" s="479" t="n"/>
      <c r="F31" s="424">
        <f>'Summary '!J17</f>
        <v/>
      </c>
      <c r="G31" s="425">
        <f>'Summary '!K17</f>
        <v/>
      </c>
      <c r="H31" s="426">
        <f>'Summary '!L17</f>
        <v/>
      </c>
    </row>
    <row r="32" ht="18" customHeight="1">
      <c r="B32" s="434" t="n"/>
      <c r="C32" s="478" t="n"/>
      <c r="D32" s="479" t="n"/>
      <c r="F32" s="424">
        <f>'Summary '!J18</f>
        <v/>
      </c>
      <c r="G32" s="425">
        <f>'Summary '!K18</f>
        <v/>
      </c>
      <c r="H32" s="426">
        <f>'Summary '!L18</f>
        <v/>
      </c>
    </row>
    <row r="33" ht="18" customHeight="1">
      <c r="B33" s="405" t="inlineStr">
        <is>
          <t>Small Cap - Funds</t>
        </is>
      </c>
      <c r="C33" s="414" t="inlineStr">
        <is>
          <t>3-Year Return</t>
        </is>
      </c>
      <c r="D33" s="414" t="inlineStr">
        <is>
          <t>1-Year Return</t>
        </is>
      </c>
      <c r="E33" s="432" t="n"/>
      <c r="H33" s="435" t="n"/>
    </row>
    <row r="34" ht="18" customHeight="1">
      <c r="B34" s="427" t="inlineStr">
        <is>
          <t>NIFTY Smallcap 100</t>
        </is>
      </c>
      <c r="C34" s="418" t="n">
        <v>1.1421</v>
      </c>
      <c r="D34" s="418" t="n">
        <v>-0.0083</v>
      </c>
      <c r="E34" s="432" t="n"/>
      <c r="F34" s="413" t="inlineStr">
        <is>
          <t>Debt Mutual Funds (Medium to Long Duration)</t>
        </is>
      </c>
      <c r="G34" s="414" t="inlineStr">
        <is>
          <t>3-Year Return</t>
        </is>
      </c>
      <c r="H34" s="415" t="inlineStr">
        <is>
          <t>1-Year Return</t>
        </is>
      </c>
    </row>
    <row r="35" ht="18" customHeight="1">
      <c r="B35" s="430" t="inlineStr">
        <is>
          <t>Small Cap - Funds ( Return CAGR )</t>
        </is>
      </c>
      <c r="C35" s="414" t="inlineStr">
        <is>
          <t>3-Yr CAGR</t>
        </is>
      </c>
      <c r="D35" s="414" t="inlineStr">
        <is>
          <t>1-Yr Return</t>
        </is>
      </c>
      <c r="E35" s="432" t="n"/>
      <c r="F35" s="433" t="inlineStr">
        <is>
          <t>NIFTY Medium to Long Duration Debt Index</t>
        </is>
      </c>
      <c r="G35" s="418" t="n">
        <v>0.0859</v>
      </c>
      <c r="H35" s="419" t="n">
        <v>0.1012</v>
      </c>
    </row>
    <row r="36" ht="18" customHeight="1">
      <c r="B36" s="410">
        <f>'Summary '!D16</f>
        <v/>
      </c>
      <c r="C36" s="425">
        <f>'Summary '!E16</f>
        <v/>
      </c>
      <c r="D36" s="425">
        <f>'Summary '!F16</f>
        <v/>
      </c>
      <c r="E36" s="432" t="n"/>
      <c r="F36" s="413" t="inlineStr">
        <is>
          <t>Medium to Long Term - Funds ( Return CAGR )</t>
        </is>
      </c>
      <c r="G36" s="414" t="inlineStr">
        <is>
          <t>3-Year Return</t>
        </is>
      </c>
      <c r="H36" s="415" t="inlineStr">
        <is>
          <t>1-Year Return</t>
        </is>
      </c>
    </row>
    <row r="37" ht="18" customHeight="1">
      <c r="B37" s="410">
        <f>'Summary '!D17</f>
        <v/>
      </c>
      <c r="C37" s="425">
        <f>'Summary '!E17</f>
        <v/>
      </c>
      <c r="D37" s="425">
        <f>'Summary '!F17</f>
        <v/>
      </c>
      <c r="E37" s="432" t="n"/>
      <c r="F37" s="424">
        <f>'Summary '!J20</f>
        <v/>
      </c>
      <c r="G37" s="425">
        <f>'Summary '!K20</f>
        <v/>
      </c>
      <c r="H37" s="426">
        <f>'Summary '!L20</f>
        <v/>
      </c>
    </row>
    <row r="38" ht="18" customHeight="1">
      <c r="B38" s="410">
        <f>'Summary '!D18</f>
        <v/>
      </c>
      <c r="C38" s="425">
        <f>'Summary '!E18</f>
        <v/>
      </c>
      <c r="D38" s="425">
        <f>'Summary '!F18</f>
        <v/>
      </c>
      <c r="E38" s="432" t="n"/>
      <c r="F38" s="424">
        <f>'Summary '!J21</f>
        <v/>
      </c>
      <c r="G38" s="425">
        <f>'Summary '!K21</f>
        <v/>
      </c>
      <c r="H38" s="426">
        <f>'Summary '!L21</f>
        <v/>
      </c>
    </row>
    <row r="39" ht="18" customHeight="1">
      <c r="B39" s="427" t="inlineStr">
        <is>
          <t>SIP of 50000*36=1800000 , Maturity Value Would be</t>
        </is>
      </c>
      <c r="C39" s="431" t="n">
        <v>2767450</v>
      </c>
      <c r="D39" s="479" t="n"/>
      <c r="E39" s="432" t="n"/>
      <c r="F39" s="424">
        <f>'Summary '!J22</f>
        <v/>
      </c>
      <c r="G39" s="425">
        <f>'Summary '!K22</f>
        <v/>
      </c>
      <c r="H39" s="426">
        <f>'Summary '!L22</f>
        <v/>
      </c>
    </row>
    <row r="40" ht="18" customHeight="1">
      <c r="B40" s="436" t="n"/>
      <c r="C40" s="478" t="n"/>
      <c r="D40" s="478" t="n"/>
      <c r="E40" s="437" t="n"/>
      <c r="F40" s="391" t="inlineStr">
        <is>
          <t>Others</t>
        </is>
      </c>
      <c r="G40" s="478" t="n"/>
      <c r="H40" s="480" t="n"/>
    </row>
    <row r="41" ht="18" customHeight="1">
      <c r="B41" s="405" t="inlineStr">
        <is>
          <t>Flexi Cap - Funds</t>
        </is>
      </c>
      <c r="C41" s="414" t="inlineStr">
        <is>
          <t>3-Year Return</t>
        </is>
      </c>
      <c r="D41" s="414" t="inlineStr">
        <is>
          <t>1-Year Return</t>
        </is>
      </c>
      <c r="E41" s="412" t="n"/>
      <c r="F41" s="414" t="inlineStr">
        <is>
          <t>Multi Asset</t>
        </is>
      </c>
      <c r="G41" s="414" t="inlineStr">
        <is>
          <t>3-Year Return</t>
        </is>
      </c>
      <c r="H41" s="415" t="inlineStr">
        <is>
          <t>1-Year Return</t>
        </is>
      </c>
    </row>
    <row r="42" ht="18" customHeight="1">
      <c r="B42" s="410">
        <f>'Summary '!D20</f>
        <v/>
      </c>
      <c r="C42" s="425">
        <f>'Summary '!E20</f>
        <v/>
      </c>
      <c r="D42" s="425">
        <f>'Summary '!F20</f>
        <v/>
      </c>
      <c r="E42" s="412" t="n"/>
      <c r="F42" s="417" t="inlineStr">
        <is>
          <t>Nifty 500</t>
        </is>
      </c>
      <c r="G42" s="418" t="n">
        <v>0.6649</v>
      </c>
      <c r="H42" s="419" t="n">
        <v>0.0031</v>
      </c>
    </row>
    <row r="43" ht="18" customHeight="1">
      <c r="B43" s="410">
        <f>'Summary '!D21</f>
        <v/>
      </c>
      <c r="C43" s="425">
        <f>'Summary '!E21</f>
        <v/>
      </c>
      <c r="D43" s="425">
        <f>'Summary '!F21</f>
        <v/>
      </c>
      <c r="E43" s="412" t="n"/>
      <c r="F43" s="424">
        <f>'Summary '!D28</f>
        <v/>
      </c>
      <c r="G43" s="425">
        <f>'Summary '!E28</f>
        <v/>
      </c>
      <c r="H43" s="426">
        <f>'Summary '!F28</f>
        <v/>
      </c>
    </row>
    <row r="44" ht="18" customHeight="1">
      <c r="B44" s="410">
        <f>'Summary '!D22</f>
        <v/>
      </c>
      <c r="C44" s="425">
        <f>'Summary '!E22</f>
        <v/>
      </c>
      <c r="D44" s="425">
        <f>'Summary '!F22</f>
        <v/>
      </c>
      <c r="E44" s="412" t="n"/>
      <c r="F44" s="424">
        <f>'Summary '!D29</f>
        <v/>
      </c>
      <c r="G44" s="425">
        <f>'Summary '!E29</f>
        <v/>
      </c>
      <c r="H44" s="426">
        <f>'Summary '!F29</f>
        <v/>
      </c>
    </row>
    <row r="45" ht="18" customHeight="1">
      <c r="B45" s="427" t="inlineStr">
        <is>
          <t>SIP of 50000*36=1800000 , Maturity Value Would be</t>
        </is>
      </c>
      <c r="C45" s="431" t="n">
        <v>2669566</v>
      </c>
      <c r="D45" s="479" t="n"/>
      <c r="E45" s="412" t="n"/>
      <c r="F45" s="424">
        <f>'Summary '!D30</f>
        <v/>
      </c>
      <c r="G45" s="425">
        <f>'Summary '!E30</f>
        <v/>
      </c>
      <c r="H45" s="426">
        <f>'Summary '!F30</f>
        <v/>
      </c>
    </row>
    <row r="46" ht="18" customHeight="1">
      <c r="B46" s="438" t="n"/>
      <c r="C46" s="439" t="n"/>
      <c r="D46" s="439" t="n"/>
      <c r="E46" s="437" t="n"/>
      <c r="F46" s="437" t="n"/>
      <c r="G46" s="437" t="n"/>
      <c r="H46" s="440" t="n"/>
    </row>
    <row r="47" ht="18" customHeight="1">
      <c r="B47" s="405" t="inlineStr">
        <is>
          <t>Thematic</t>
        </is>
      </c>
      <c r="C47" s="414" t="inlineStr">
        <is>
          <t>3-Year Return</t>
        </is>
      </c>
      <c r="D47" s="415" t="inlineStr">
        <is>
          <t>1-Year Return</t>
        </is>
      </c>
      <c r="E47" s="441" t="n"/>
      <c r="F47" s="414" t="inlineStr">
        <is>
          <t>BAF</t>
        </is>
      </c>
      <c r="G47" s="414" t="inlineStr">
        <is>
          <t>3-Year Return</t>
        </is>
      </c>
      <c r="H47" s="415" t="inlineStr">
        <is>
          <t>1-Year Return</t>
        </is>
      </c>
    </row>
    <row r="48" ht="18" customHeight="1">
      <c r="B48" s="442" t="inlineStr">
        <is>
          <t>Nifty 500</t>
        </is>
      </c>
      <c r="C48" s="418" t="n">
        <v>0.6649</v>
      </c>
      <c r="D48" s="419" t="n">
        <v>0.0031</v>
      </c>
      <c r="E48" s="441" t="n"/>
      <c r="F48" s="417" t="inlineStr">
        <is>
          <t>Nifty 50</t>
        </is>
      </c>
      <c r="G48" s="418" t="n">
        <v>0.5334</v>
      </c>
      <c r="H48" s="418" t="n">
        <v>0.0065</v>
      </c>
    </row>
    <row r="49" ht="18" customHeight="1">
      <c r="B49" s="410">
        <f>'Summary '!D43</f>
        <v/>
      </c>
      <c r="C49" s="425">
        <f>'Summary '!E43</f>
        <v/>
      </c>
      <c r="D49" s="426">
        <f>'Summary '!F43</f>
        <v/>
      </c>
      <c r="E49" s="441" t="n"/>
      <c r="F49" s="424">
        <f>'Summary '!D24</f>
        <v/>
      </c>
      <c r="G49" s="425">
        <f>'Summary '!E24</f>
        <v/>
      </c>
      <c r="H49" s="426">
        <f>'Summary '!F24</f>
        <v/>
      </c>
    </row>
    <row r="50" ht="18" customHeight="1">
      <c r="B50" s="410">
        <f>'Summary '!D44</f>
        <v/>
      </c>
      <c r="C50" s="425">
        <f>'Summary '!E44</f>
        <v/>
      </c>
      <c r="D50" s="426">
        <f>'Summary '!F44</f>
        <v/>
      </c>
      <c r="E50" s="441" t="n"/>
      <c r="F50" s="424">
        <f>'Summary '!D25</f>
        <v/>
      </c>
      <c r="G50" s="425">
        <f>'Summary '!E25</f>
        <v/>
      </c>
      <c r="H50" s="426">
        <f>'Summary '!F25</f>
        <v/>
      </c>
    </row>
    <row r="51" ht="18" customHeight="1">
      <c r="B51" s="410">
        <f>'Summary '!D45</f>
        <v/>
      </c>
      <c r="C51" s="425">
        <f>'Summary '!E45</f>
        <v/>
      </c>
      <c r="D51" s="443">
        <f>'Summary '!F45</f>
        <v/>
      </c>
      <c r="E51" s="441" t="n"/>
      <c r="F51" s="424">
        <f>'Summary '!D26</f>
        <v/>
      </c>
      <c r="G51" s="425">
        <f>'Summary '!E26</f>
        <v/>
      </c>
      <c r="H51" s="426">
        <f>'Summary '!F26</f>
        <v/>
      </c>
    </row>
    <row r="52" ht="18" customHeight="1">
      <c r="B52" s="444" t="n"/>
      <c r="C52" s="445" t="n"/>
      <c r="D52" s="445" t="n"/>
      <c r="E52" s="445" t="n"/>
      <c r="F52" s="445" t="n"/>
      <c r="G52" s="445" t="n"/>
      <c r="H52" s="446" t="inlineStr">
        <is>
          <t>Page 1</t>
        </is>
      </c>
    </row>
  </sheetData>
  <mergeCells count="26">
    <mergeCell ref="C6:D6"/>
    <mergeCell ref="C5:D5"/>
    <mergeCell ref="C45:D45"/>
    <mergeCell ref="F26:H26"/>
    <mergeCell ref="E11:E17"/>
    <mergeCell ref="B40:D40"/>
    <mergeCell ref="B9:D9"/>
    <mergeCell ref="E6:E7"/>
    <mergeCell ref="C31:D31"/>
    <mergeCell ref="B3:H3"/>
    <mergeCell ref="B24:D24"/>
    <mergeCell ref="E5:H5"/>
    <mergeCell ref="B18:E18"/>
    <mergeCell ref="B32:D32"/>
    <mergeCell ref="B4:D4"/>
    <mergeCell ref="B2:H2"/>
    <mergeCell ref="F4:H4"/>
    <mergeCell ref="C17:D17"/>
    <mergeCell ref="C23:D23"/>
    <mergeCell ref="C39:D39"/>
    <mergeCell ref="B8:E8"/>
    <mergeCell ref="C7:D7"/>
    <mergeCell ref="F19:H19"/>
    <mergeCell ref="F40:H40"/>
    <mergeCell ref="F12:H12"/>
    <mergeCell ref="B10:E10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8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64"/>
  <sheetViews>
    <sheetView tabSelected="1" zoomScale="130" zoomScaleNormal="130" workbookViewId="0">
      <selection activeCell="B2" sqref="B2:J63"/>
    </sheetView>
  </sheetViews>
  <sheetFormatPr baseColWidth="8" defaultColWidth="8.7265625" defaultRowHeight="16"/>
  <cols>
    <col width="8.7265625" customWidth="1" style="448" min="1" max="1"/>
    <col width="24.453125" bestFit="1" customWidth="1" style="448" min="2" max="2"/>
    <col width="11.81640625" customWidth="1" style="448" min="3" max="3"/>
    <col width="15.1796875" bestFit="1" customWidth="1" style="448" min="4" max="4"/>
    <col width="12" customWidth="1" style="448" min="5" max="5"/>
    <col width="8.7265625" customWidth="1" style="448" min="6" max="7"/>
    <col width="8.7265625" customWidth="1" style="448" min="8" max="16384"/>
  </cols>
  <sheetData>
    <row r="2" ht="12" customHeight="1">
      <c r="B2" s="447" t="inlineStr">
        <is>
          <t>Financial Product Catalog: A Ready Reckoner , As on 18h July 2025</t>
        </is>
      </c>
      <c r="C2" s="478" t="n"/>
      <c r="D2" s="478" t="n"/>
      <c r="E2" s="479" t="n"/>
    </row>
    <row r="3" ht="12" customHeight="1">
      <c r="B3" s="449" t="n"/>
      <c r="C3" s="478" t="n"/>
      <c r="D3" s="478" t="n"/>
      <c r="E3" s="479" t="n"/>
    </row>
    <row r="4" ht="12" customHeight="1">
      <c r="B4" s="450" t="inlineStr">
        <is>
          <t>Credit ratings assessed by (e.g., CRISIL, ICRA, CARE)</t>
        </is>
      </c>
      <c r="C4" s="478" t="n"/>
      <c r="D4" s="478" t="n"/>
      <c r="E4" s="479" t="n"/>
    </row>
    <row r="5" ht="12" customHeight="1">
      <c r="B5" s="451" t="n"/>
      <c r="C5" s="478" t="n"/>
      <c r="D5" s="478" t="n"/>
      <c r="E5" s="479" t="n"/>
    </row>
    <row r="6" ht="12" customHeight="1">
      <c r="B6" s="452" t="inlineStr">
        <is>
          <t>Corporate FD's</t>
        </is>
      </c>
      <c r="C6" s="478" t="n"/>
      <c r="D6" s="478" t="n"/>
      <c r="E6" s="479" t="n"/>
    </row>
    <row r="7" ht="12" customHeight="1">
      <c r="B7" s="454" t="inlineStr">
        <is>
          <t>Institution</t>
        </is>
      </c>
      <c r="C7" s="454" t="inlineStr">
        <is>
          <t>3-Year FD Rate</t>
        </is>
      </c>
      <c r="D7" s="479" t="n"/>
      <c r="E7" s="454" t="inlineStr">
        <is>
          <t>1-Year FD Rate</t>
        </is>
      </c>
    </row>
    <row r="8" ht="12" customHeight="1">
      <c r="B8" s="455" t="inlineStr">
        <is>
          <t>SBI Bank FD</t>
        </is>
      </c>
      <c r="C8" s="457" t="inlineStr">
        <is>
          <t>6.70%-6.95%</t>
        </is>
      </c>
      <c r="D8" s="479" t="n"/>
      <c r="E8" s="457" t="inlineStr">
        <is>
          <t>6.30%-6.55%</t>
        </is>
      </c>
    </row>
    <row r="9" ht="12" customHeight="1">
      <c r="B9" s="468" t="inlineStr">
        <is>
          <t>Shriram Finance</t>
        </is>
      </c>
      <c r="C9" s="460" t="inlineStr">
        <is>
          <t>8.40% – 8.90%</t>
        </is>
      </c>
      <c r="D9" s="479" t="n"/>
      <c r="E9" s="460" t="inlineStr">
        <is>
          <t>7.65% – 8.15%</t>
        </is>
      </c>
    </row>
    <row r="10" ht="12" customHeight="1">
      <c r="B10" s="468" t="inlineStr">
        <is>
          <t>Bajaj Finance</t>
        </is>
      </c>
      <c r="C10" s="460" t="inlineStr">
        <is>
          <t>7.25% – 7.80%</t>
        </is>
      </c>
      <c r="D10" s="479" t="n"/>
      <c r="E10" s="460" t="inlineStr">
        <is>
          <t>07% – 8.55%</t>
        </is>
      </c>
    </row>
    <row r="11" ht="12" customHeight="1">
      <c r="B11" s="461" t="inlineStr">
        <is>
          <t>PNB Housing Finance</t>
        </is>
      </c>
      <c r="C11" s="460" t="inlineStr">
        <is>
          <t>7.65% – 7.90%</t>
        </is>
      </c>
      <c r="D11" s="479" t="n"/>
      <c r="E11" s="460" t="inlineStr">
        <is>
          <t>7.40% – 7.65%</t>
        </is>
      </c>
    </row>
    <row r="12" ht="12" customHeight="1">
      <c r="B12" s="468" t="inlineStr">
        <is>
          <t>ICICI Home Finance</t>
        </is>
      </c>
      <c r="C12" s="467" t="inlineStr">
        <is>
          <t>7.60% -7.85%</t>
        </is>
      </c>
      <c r="D12" s="479" t="n"/>
      <c r="E12" s="460" t="inlineStr">
        <is>
          <t>7.05% – 7.25%</t>
        </is>
      </c>
    </row>
    <row r="13" ht="12" customHeight="1">
      <c r="B13" s="461" t="inlineStr">
        <is>
          <t>LIC Housing Finance</t>
        </is>
      </c>
      <c r="C13" s="467" t="inlineStr">
        <is>
          <t>7.35% -7.60%</t>
        </is>
      </c>
      <c r="D13" s="479" t="n"/>
      <c r="E13" s="460" t="inlineStr">
        <is>
          <t>7.00% – 7.25%</t>
        </is>
      </c>
    </row>
    <row r="14" ht="12" customHeight="1">
      <c r="B14" s="452" t="inlineStr">
        <is>
          <t>Capital Gain Bonds/NCD</t>
        </is>
      </c>
      <c r="C14" s="478" t="n"/>
      <c r="D14" s="478" t="n"/>
      <c r="E14" s="479" t="n"/>
    </row>
    <row r="15" ht="12" customHeight="1">
      <c r="B15" s="454" t="inlineStr">
        <is>
          <t>Index Name</t>
        </is>
      </c>
      <c r="C15" s="454" t="inlineStr">
        <is>
          <t>5-Year Return</t>
        </is>
      </c>
      <c r="D15" s="478" t="n"/>
      <c r="E15" s="479" t="n"/>
    </row>
    <row r="16" ht="12" customHeight="1">
      <c r="B16" s="463" t="inlineStr">
        <is>
          <t>NIFTY 10 Year Benchmark G-Sec Index</t>
        </is>
      </c>
      <c r="C16" s="466" t="n">
        <v>0.0552</v>
      </c>
      <c r="D16" s="478" t="n"/>
      <c r="E16" s="479" t="n"/>
    </row>
    <row r="17" ht="12" customHeight="1">
      <c r="B17" s="454" t="inlineStr">
        <is>
          <t>Issuer</t>
        </is>
      </c>
      <c r="C17" s="454" t="inlineStr">
        <is>
          <t>Interest Rate</t>
        </is>
      </c>
      <c r="D17" s="454" t="inlineStr">
        <is>
          <t>Tenure</t>
        </is>
      </c>
      <c r="E17" s="479" t="n"/>
    </row>
    <row r="18" ht="12" customHeight="1">
      <c r="B18" s="468" t="inlineStr">
        <is>
          <t>IRFC</t>
        </is>
      </c>
      <c r="C18" s="460" t="inlineStr">
        <is>
          <t>5.25% p.a.</t>
        </is>
      </c>
      <c r="D18" s="460" t="inlineStr">
        <is>
          <t>5 years</t>
        </is>
      </c>
      <c r="E18" s="479" t="n"/>
    </row>
    <row r="19" ht="12" customHeight="1">
      <c r="B19" s="468" t="inlineStr">
        <is>
          <t>PFC</t>
        </is>
      </c>
      <c r="C19" s="460" t="inlineStr">
        <is>
          <t>5.25% p.a.</t>
        </is>
      </c>
      <c r="D19" s="460" t="inlineStr">
        <is>
          <t>5 years</t>
        </is>
      </c>
      <c r="E19" s="479" t="n"/>
    </row>
    <row r="20" ht="12" customHeight="1">
      <c r="B20" s="468" t="inlineStr">
        <is>
          <t>REC</t>
        </is>
      </c>
      <c r="C20" s="460" t="inlineStr">
        <is>
          <t>5.25% p.a.</t>
        </is>
      </c>
      <c r="D20" s="460" t="inlineStr">
        <is>
          <t>5 years</t>
        </is>
      </c>
      <c r="E20" s="479" t="n"/>
    </row>
    <row r="21" ht="12" customHeight="1">
      <c r="B21" s="451" t="n"/>
      <c r="C21" s="478" t="n"/>
      <c r="D21" s="478" t="n"/>
      <c r="E21" s="479" t="n"/>
    </row>
    <row r="22" ht="12" customHeight="1">
      <c r="B22" s="452" t="inlineStr">
        <is>
          <t>RBI Floating Rate Savings Bond</t>
        </is>
      </c>
      <c r="C22" s="479" t="n"/>
      <c r="D22" s="452" t="inlineStr">
        <is>
          <t>Interest Rate</t>
        </is>
      </c>
      <c r="E22" s="479" t="n"/>
    </row>
    <row r="23" ht="12" customHeight="1">
      <c r="B23" s="460" t="inlineStr">
        <is>
          <t>HDFC</t>
        </is>
      </c>
      <c r="C23" s="479" t="n"/>
      <c r="D23" s="460" t="inlineStr">
        <is>
          <t>7.90% p.a.</t>
        </is>
      </c>
      <c r="E23" s="479" t="n"/>
    </row>
    <row r="24" ht="12" customHeight="1">
      <c r="B24" s="451" t="n"/>
      <c r="C24" s="478" t="n"/>
      <c r="D24" s="478" t="n"/>
      <c r="E24" s="479" t="n"/>
    </row>
    <row r="25" ht="12" customHeight="1">
      <c r="B25" s="450" t="inlineStr">
        <is>
          <t>Portfolio Management Services</t>
        </is>
      </c>
      <c r="C25" s="478" t="n"/>
      <c r="D25" s="478" t="n"/>
      <c r="E25" s="479" t="n"/>
    </row>
    <row r="26" ht="12" customHeight="1">
      <c r="B26" s="451" t="n"/>
      <c r="C26" s="478" t="n"/>
      <c r="D26" s="478" t="n"/>
      <c r="E26" s="479" t="n"/>
    </row>
    <row r="27" ht="12" customHeight="1">
      <c r="B27" s="465" t="inlineStr">
        <is>
          <t>Large Cap/Multi Cap</t>
        </is>
      </c>
      <c r="C27" s="454" t="inlineStr">
        <is>
          <t>3-Year Return</t>
        </is>
      </c>
      <c r="D27" s="479" t="n"/>
      <c r="E27" s="454" t="inlineStr">
        <is>
          <t>1-Year Return</t>
        </is>
      </c>
    </row>
    <row r="28" ht="12" customHeight="1">
      <c r="B28" s="463" t="inlineStr">
        <is>
          <t>NIFTY 50</t>
        </is>
      </c>
      <c r="C28" s="466" t="n">
        <v>0.5336</v>
      </c>
      <c r="D28" s="479" t="n"/>
      <c r="E28" s="466" t="n">
        <v>0.0066</v>
      </c>
    </row>
    <row r="29" ht="12" customHeight="1">
      <c r="B29" s="454" t="inlineStr">
        <is>
          <t>Scheme Name</t>
        </is>
      </c>
      <c r="C29" s="454" t="inlineStr">
        <is>
          <t>3-Year Return</t>
        </is>
      </c>
      <c r="D29" s="479" t="n"/>
      <c r="E29" s="454" t="inlineStr">
        <is>
          <t>1-Year Return</t>
        </is>
      </c>
    </row>
    <row r="30" ht="12" customHeight="1">
      <c r="B30" s="468" t="inlineStr">
        <is>
          <t>ICICI Prudential Large Cap Strategy</t>
        </is>
      </c>
      <c r="C30" s="467" t="n">
        <v>0.2903</v>
      </c>
      <c r="D30" s="479" t="n"/>
      <c r="E30" s="467" t="n">
        <v>0.0566</v>
      </c>
    </row>
    <row r="31" ht="12" customHeight="1">
      <c r="B31" s="468" t="inlineStr">
        <is>
          <t>White Oak India Pioneers Equity Portfolio</t>
        </is>
      </c>
      <c r="C31" s="467" t="n">
        <v>0.1969</v>
      </c>
      <c r="D31" s="479" t="n"/>
      <c r="E31" s="467" t="n">
        <v>0.0871</v>
      </c>
    </row>
    <row r="32" ht="12" customHeight="1">
      <c r="B32" s="451" t="n"/>
      <c r="C32" s="478" t="n"/>
      <c r="D32" s="478" t="n"/>
      <c r="E32" s="479" t="n"/>
    </row>
    <row r="33" ht="12" customHeight="1">
      <c r="B33" s="454" t="inlineStr">
        <is>
          <t>Midcap</t>
        </is>
      </c>
      <c r="C33" s="454" t="inlineStr">
        <is>
          <t>3-Year Return</t>
        </is>
      </c>
      <c r="D33" s="479" t="n"/>
      <c r="E33" s="454" t="inlineStr">
        <is>
          <t>1-Year Return</t>
        </is>
      </c>
    </row>
    <row r="34" ht="12" customHeight="1">
      <c r="B34" s="463" t="inlineStr">
        <is>
          <t>NIFTY Midcap 150</t>
        </is>
      </c>
      <c r="C34" s="466" t="n">
        <v>1.0374</v>
      </c>
      <c r="D34" s="479" t="n"/>
      <c r="E34" s="466" t="n">
        <v>0.0292</v>
      </c>
    </row>
    <row r="35" ht="12" customHeight="1">
      <c r="B35" s="454" t="inlineStr">
        <is>
          <t>Scheme Name</t>
        </is>
      </c>
      <c r="C35" s="454" t="inlineStr">
        <is>
          <t>3-Year Return</t>
        </is>
      </c>
      <c r="D35" s="479" t="n"/>
      <c r="E35" s="454" t="inlineStr">
        <is>
          <t>1-Year Return</t>
        </is>
      </c>
    </row>
    <row r="36" ht="12" customHeight="1">
      <c r="B36" s="468" t="inlineStr">
        <is>
          <t>ICICI Prudential PIPE Strategy (Mid &amp; Small Cap)</t>
        </is>
      </c>
      <c r="C36" s="467" t="n">
        <v>0.3313</v>
      </c>
      <c r="D36" s="479" t="n"/>
      <c r="E36" s="467" t="n">
        <v>0.0379</v>
      </c>
    </row>
    <row r="37" ht="12" customHeight="1">
      <c r="B37" s="468" t="inlineStr">
        <is>
          <t>White Oak India Digital Leaders Portfolio</t>
        </is>
      </c>
      <c r="C37" s="467" t="n">
        <v>0.1924</v>
      </c>
      <c r="D37" s="479" t="n"/>
      <c r="E37" s="467" t="n">
        <v>0.1471</v>
      </c>
    </row>
    <row r="38" ht="12" customHeight="1">
      <c r="B38" s="451" t="n"/>
      <c r="C38" s="478" t="n"/>
      <c r="D38" s="478" t="n"/>
      <c r="E38" s="479" t="n"/>
    </row>
    <row r="39" ht="12" customHeight="1">
      <c r="B39" s="454" t="inlineStr">
        <is>
          <t>Smallcap</t>
        </is>
      </c>
      <c r="C39" s="454" t="inlineStr">
        <is>
          <t>3-Year Return</t>
        </is>
      </c>
      <c r="D39" s="479" t="n"/>
      <c r="E39" s="454" t="inlineStr">
        <is>
          <t>1-Year Return</t>
        </is>
      </c>
    </row>
    <row r="40" ht="12" customHeight="1">
      <c r="B40" s="463" t="inlineStr">
        <is>
          <t>NIFTY Smallcap 250</t>
        </is>
      </c>
      <c r="C40" s="466" t="n">
        <v>1.105</v>
      </c>
      <c r="D40" s="479" t="n"/>
      <c r="E40" s="466" t="n">
        <v>0.0193</v>
      </c>
    </row>
    <row r="41" ht="12" customHeight="1">
      <c r="B41" s="454" t="inlineStr">
        <is>
          <t>Scheme Name</t>
        </is>
      </c>
      <c r="C41" s="454" t="inlineStr">
        <is>
          <t>3-Year Return</t>
        </is>
      </c>
      <c r="D41" s="479" t="n"/>
      <c r="E41" s="454" t="inlineStr">
        <is>
          <t>1-Year Return</t>
        </is>
      </c>
    </row>
    <row r="42" ht="12" customHeight="1">
      <c r="B42" s="468" t="inlineStr">
        <is>
          <t>ICICI Prudential PIPE Strategy (Mid &amp; Small Cap)</t>
        </is>
      </c>
      <c r="C42" s="467" t="n">
        <v>0.3313</v>
      </c>
      <c r="D42" s="479" t="n"/>
      <c r="E42" s="467" t="n">
        <v>0.0379</v>
      </c>
    </row>
    <row r="43" ht="12" customHeight="1">
      <c r="B43" s="468" t="inlineStr">
        <is>
          <t>Kotak Mahindra Mid &amp; Small Cap Strategy</t>
        </is>
      </c>
      <c r="C43" s="467" t="n">
        <v>0.1856</v>
      </c>
      <c r="D43" s="479" t="n"/>
      <c r="E43" s="467" t="n">
        <v>-0.07199999999999999</v>
      </c>
    </row>
    <row r="44" ht="12" customHeight="1">
      <c r="B44" s="451" t="n"/>
      <c r="C44" s="478" t="n"/>
      <c r="D44" s="478" t="n"/>
      <c r="E44" s="479" t="n"/>
    </row>
    <row r="45" ht="12" customHeight="1">
      <c r="B45" s="450" t="inlineStr">
        <is>
          <t>Alternative Investment Fund</t>
        </is>
      </c>
      <c r="C45" s="478" t="n"/>
      <c r="D45" s="478" t="n"/>
      <c r="E45" s="479" t="n"/>
    </row>
    <row r="46" ht="12" customHeight="1">
      <c r="B46" s="454" t="inlineStr">
        <is>
          <t>AIF - Fund</t>
        </is>
      </c>
      <c r="C46" s="454" t="inlineStr">
        <is>
          <t>Investment Strategy</t>
        </is>
      </c>
      <c r="D46" s="454" t="inlineStr">
        <is>
          <t>2-Year Return</t>
        </is>
      </c>
      <c r="E46" s="454" t="inlineStr">
        <is>
          <t>1-Year Return</t>
        </is>
      </c>
    </row>
    <row r="47" ht="12" customHeight="1">
      <c r="B47" s="468" t="inlineStr">
        <is>
          <t>ICICI Prudential Equity Opportunities Fund</t>
        </is>
      </c>
      <c r="C47" s="460" t="inlineStr">
        <is>
          <t>Contrarian Investing</t>
        </is>
      </c>
      <c r="D47" s="467" t="n">
        <v>0.2648</v>
      </c>
      <c r="E47" s="467" t="n">
        <v>0.0476</v>
      </c>
    </row>
    <row r="48" ht="12" customHeight="1">
      <c r="B48" s="468" t="inlineStr">
        <is>
          <t>ICICI Prudential Enhanced Dynamic Equity Fund</t>
        </is>
      </c>
      <c r="C48" s="460" t="inlineStr">
        <is>
          <t>Derivative Strategies</t>
        </is>
      </c>
      <c r="D48" s="467" t="n">
        <v>0.2132</v>
      </c>
      <c r="E48" s="467" t="n">
        <v>0.0699</v>
      </c>
    </row>
    <row r="49" ht="12" customHeight="1">
      <c r="B49" s="451" t="n"/>
      <c r="C49" s="478" t="n"/>
      <c r="D49" s="478" t="n"/>
      <c r="E49" s="479" t="n"/>
    </row>
    <row r="50" ht="12" customHeight="1">
      <c r="B50" s="450" t="inlineStr">
        <is>
          <t>REITs &amp; INVITs</t>
        </is>
      </c>
      <c r="C50" s="478" t="n"/>
      <c r="D50" s="478" t="n"/>
      <c r="E50" s="479" t="n"/>
    </row>
    <row r="51" ht="12" customHeight="1">
      <c r="B51" s="454" t="inlineStr">
        <is>
          <t>REIT Stock</t>
        </is>
      </c>
      <c r="C51" s="479" t="n"/>
      <c r="D51" s="454" t="inlineStr">
        <is>
          <t>1-Yr  Div in rs (Last 4 qtr)</t>
        </is>
      </c>
      <c r="E51" s="454" t="inlineStr">
        <is>
          <t>01 Yr Mkt Ret</t>
        </is>
      </c>
    </row>
    <row r="52" ht="12" customHeight="1">
      <c r="B52" s="468" t="inlineStr">
        <is>
          <t>Embassy Office Parks REIT</t>
        </is>
      </c>
      <c r="C52" s="479" t="n"/>
      <c r="D52" s="469" t="n">
        <v>23.01</v>
      </c>
      <c r="E52" s="467" t="n">
        <v>0.07000000000000001</v>
      </c>
    </row>
    <row r="53" ht="12" customHeight="1">
      <c r="B53" s="468" t="inlineStr">
        <is>
          <t>Mindspace Business Parks REIT</t>
        </is>
      </c>
      <c r="C53" s="479" t="n"/>
      <c r="D53" s="469" t="n">
        <v>21.95</v>
      </c>
      <c r="E53" s="467" t="n">
        <v>0.23</v>
      </c>
    </row>
    <row r="54" ht="12" customHeight="1">
      <c r="B54" s="468" t="inlineStr">
        <is>
          <t>Brookfield India Real Estate Trust (BIRET)</t>
        </is>
      </c>
      <c r="C54" s="479" t="n"/>
      <c r="D54" s="469" t="n">
        <v>19.25</v>
      </c>
      <c r="E54" s="467" t="n">
        <v>0.14</v>
      </c>
    </row>
    <row r="55" ht="12" customHeight="1">
      <c r="B55" s="454" t="inlineStr">
        <is>
          <t>INVITs</t>
        </is>
      </c>
      <c r="C55" s="479" t="n"/>
      <c r="D55" s="454" t="inlineStr">
        <is>
          <t>1-Yr  Div in rs (Last 4 qtr)</t>
        </is>
      </c>
      <c r="E55" s="454" t="inlineStr">
        <is>
          <t>01 Yr Mkt Ret</t>
        </is>
      </c>
    </row>
    <row r="56" ht="12" customHeight="1">
      <c r="B56" s="468" t="inlineStr">
        <is>
          <t>IndiGrid (India Grid Trust)</t>
        </is>
      </c>
      <c r="C56" s="479" t="n"/>
      <c r="D56" s="469" t="n">
        <v>15.35</v>
      </c>
      <c r="E56" s="467" t="n">
        <v>0.12</v>
      </c>
    </row>
    <row r="57" ht="12" customHeight="1">
      <c r="B57" s="468" t="inlineStr">
        <is>
          <t>PowerGrid Infrastructure Investment Trust (PGInvIT)</t>
        </is>
      </c>
      <c r="C57" s="479" t="n"/>
      <c r="D57" s="470" t="n">
        <v>12</v>
      </c>
      <c r="E57" s="467" t="n">
        <v>-0.03</v>
      </c>
    </row>
    <row r="58" ht="12" customHeight="1">
      <c r="B58" s="468" t="inlineStr">
        <is>
          <t>IRB InvIT Fund</t>
        </is>
      </c>
      <c r="C58" s="479" t="n"/>
      <c r="D58" s="470" t="n">
        <v>8</v>
      </c>
      <c r="E58" s="467" t="n">
        <v>-0.08</v>
      </c>
    </row>
    <row r="59" ht="12" customHeight="1">
      <c r="B59" s="451" t="n"/>
      <c r="C59" s="478" t="n"/>
      <c r="D59" s="478" t="n"/>
      <c r="E59" s="479" t="n"/>
    </row>
    <row r="60" ht="12" customHeight="1">
      <c r="B60" s="450" t="inlineStr">
        <is>
          <t>Contact Zuari Finserv Ltd</t>
        </is>
      </c>
      <c r="C60" s="478" t="n"/>
      <c r="D60" s="478" t="n"/>
      <c r="E60" s="479" t="n"/>
    </row>
    <row r="61" ht="12" customHeight="1">
      <c r="B61" s="463" t="inlineStr">
        <is>
          <t>RM Name</t>
        </is>
      </c>
      <c r="C61" s="471" t="n"/>
      <c r="D61" s="478" t="n"/>
      <c r="E61" s="479" t="n"/>
    </row>
    <row r="62" ht="12" customHeight="1">
      <c r="B62" s="463" t="inlineStr">
        <is>
          <t>Contact No.-</t>
        </is>
      </c>
      <c r="C62" s="471" t="n"/>
      <c r="D62" s="478" t="n"/>
      <c r="E62" s="479" t="n"/>
    </row>
    <row r="63" ht="17.5" customHeight="1">
      <c r="B63" s="451" t="n"/>
      <c r="C63" s="478" t="n"/>
      <c r="D63" s="478" t="n"/>
      <c r="E63" s="479" t="n"/>
      <c r="F63" s="472" t="n"/>
      <c r="G63" s="473" t="n"/>
      <c r="H63" s="473" t="n"/>
      <c r="J63" s="473" t="inlineStr">
        <is>
          <t>Page 2</t>
        </is>
      </c>
    </row>
    <row r="64">
      <c r="F64" s="473" t="n"/>
      <c r="G64" s="473" t="n"/>
      <c r="H64" s="473" t="n"/>
      <c r="I64" s="473" t="n"/>
    </row>
  </sheetData>
  <mergeCells count="61">
    <mergeCell ref="C16:E16"/>
    <mergeCell ref="D20:E20"/>
    <mergeCell ref="C34:D34"/>
    <mergeCell ref="B54:C54"/>
    <mergeCell ref="C30:D30"/>
    <mergeCell ref="B49:E49"/>
    <mergeCell ref="D19:E19"/>
    <mergeCell ref="C33:D33"/>
    <mergeCell ref="B6:E6"/>
    <mergeCell ref="C42:D42"/>
    <mergeCell ref="B22:C22"/>
    <mergeCell ref="D22:E22"/>
    <mergeCell ref="B5:E5"/>
    <mergeCell ref="B24:E24"/>
    <mergeCell ref="B56:C56"/>
    <mergeCell ref="C35:D35"/>
    <mergeCell ref="B58:C58"/>
    <mergeCell ref="B32:E32"/>
    <mergeCell ref="B63:E63"/>
    <mergeCell ref="B26:E26"/>
    <mergeCell ref="B52:C52"/>
    <mergeCell ref="B45:E45"/>
    <mergeCell ref="C29:D29"/>
    <mergeCell ref="C10:D10"/>
    <mergeCell ref="B4:E4"/>
    <mergeCell ref="B50:E50"/>
    <mergeCell ref="C61:E61"/>
    <mergeCell ref="C41:D41"/>
    <mergeCell ref="B23:C23"/>
    <mergeCell ref="B25:E25"/>
    <mergeCell ref="B3:E3"/>
    <mergeCell ref="B59:E59"/>
    <mergeCell ref="C9:D9"/>
    <mergeCell ref="C40:D40"/>
    <mergeCell ref="C31:D31"/>
    <mergeCell ref="D17:E17"/>
    <mergeCell ref="B57:C57"/>
    <mergeCell ref="B53:C53"/>
    <mergeCell ref="C43:D43"/>
    <mergeCell ref="C12:D12"/>
    <mergeCell ref="C11:D11"/>
    <mergeCell ref="C27:D27"/>
    <mergeCell ref="B21:E21"/>
    <mergeCell ref="C36:D36"/>
    <mergeCell ref="B2:E2"/>
    <mergeCell ref="D18:E18"/>
    <mergeCell ref="C15:E15"/>
    <mergeCell ref="C39:D39"/>
    <mergeCell ref="C8:D8"/>
    <mergeCell ref="B14:E14"/>
    <mergeCell ref="B60:E60"/>
    <mergeCell ref="C62:E62"/>
    <mergeCell ref="B55:C55"/>
    <mergeCell ref="C7:D7"/>
    <mergeCell ref="B51:C51"/>
    <mergeCell ref="B38:E38"/>
    <mergeCell ref="D23:E23"/>
    <mergeCell ref="C37:D37"/>
    <mergeCell ref="B44:E44"/>
    <mergeCell ref="C28:D28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89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topLeftCell="B21" zoomScale="73" zoomScaleNormal="66" workbookViewId="0">
      <selection activeCell="L20" sqref="K20:L22"/>
    </sheetView>
  </sheetViews>
  <sheetFormatPr baseColWidth="8" defaultColWidth="8.7265625" defaultRowHeight="14.5"/>
  <cols>
    <col width="8.7265625" customWidth="1" style="115" min="1" max="1"/>
    <col width="16.453125" customWidth="1" style="115" min="2" max="2"/>
    <col width="8.453125" customWidth="1" style="115" min="3" max="3"/>
    <col width="59.26953125" bestFit="1" customWidth="1" style="115" min="4" max="4"/>
    <col width="15.81640625" customWidth="1" style="115" min="5" max="5"/>
    <col width="14.453125" customWidth="1" style="55" min="6" max="6"/>
    <col width="8.7265625" customWidth="1" style="115" min="7" max="7"/>
    <col width="18.453125" customWidth="1" style="115" min="8" max="8"/>
    <col width="8.7265625" customWidth="1" style="115" min="9" max="9"/>
    <col width="44.81640625" customWidth="1" style="115" min="10" max="10"/>
    <col width="13.453125" customWidth="1" style="115" min="11" max="11"/>
    <col width="14.453125" customWidth="1" style="115" min="12" max="12"/>
    <col width="8.7265625" customWidth="1" style="115" min="13" max="17"/>
    <col width="8.7265625" customWidth="1" style="115" min="18" max="16384"/>
  </cols>
  <sheetData>
    <row r="1" ht="15" customHeight="1" thickBot="1"/>
    <row r="2">
      <c r="B2" s="334" t="inlineStr">
        <is>
          <t>Equity</t>
        </is>
      </c>
      <c r="C2" s="335" t="n"/>
      <c r="D2" s="335" t="n"/>
      <c r="E2" s="335" t="n"/>
      <c r="F2" s="336" t="n"/>
      <c r="H2" s="334" t="inlineStr">
        <is>
          <t>Debt</t>
        </is>
      </c>
      <c r="I2" s="335" t="n"/>
      <c r="J2" s="335" t="n"/>
      <c r="K2" s="335" t="n"/>
      <c r="L2" s="336" t="n"/>
    </row>
    <row r="3" ht="29.15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31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31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32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32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33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33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31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31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32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32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33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33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31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31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32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32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33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33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31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31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32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32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33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33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31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3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32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32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33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38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31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32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33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5" customHeight="1">
      <c r="B28" s="340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32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32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39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32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32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32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32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32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32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32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32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32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3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32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38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265625" defaultRowHeight="14"/>
  <cols>
    <col width="8.7265625" customWidth="1" style="15" min="1" max="1"/>
    <col width="6.81640625" customWidth="1" style="15" min="2" max="2"/>
    <col width="30.453125" customWidth="1" style="15" min="3" max="3"/>
    <col width="44.453125" customWidth="1" style="15" min="4" max="4"/>
    <col width="18" customWidth="1" style="15" min="5" max="5"/>
    <col width="8.7265625" customWidth="1" style="15" min="6" max="6"/>
    <col width="34.81640625" customWidth="1" style="15" min="7" max="7"/>
    <col hidden="1" width="19.7265625" customWidth="1" style="15" min="8" max="8"/>
    <col width="34.81640625" customWidth="1" style="15" min="9" max="12"/>
    <col width="8.7265625" customWidth="1" style="15" min="13" max="17"/>
    <col width="8.7265625" customWidth="1" style="15" min="18" max="16384"/>
  </cols>
  <sheetData>
    <row r="2" ht="14.5" customHeight="1" thickBot="1"/>
    <row r="3" ht="14.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45" t="inlineStr">
        <is>
          <t>Investor Profile</t>
        </is>
      </c>
      <c r="J3" s="342" t="n"/>
      <c r="K3" s="342" t="n"/>
      <c r="L3" s="342" t="n"/>
    </row>
    <row r="4" ht="14.5" customHeight="1" thickBot="1">
      <c r="B4" s="344" t="inlineStr">
        <is>
          <t>Personal &amp; Financial Information</t>
        </is>
      </c>
      <c r="C4" s="335" t="n"/>
      <c r="D4" s="335" t="n"/>
      <c r="E4" s="33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41" t="inlineStr">
        <is>
          <t>Model Portfolio</t>
        </is>
      </c>
      <c r="J18" s="342" t="n"/>
      <c r="K18" s="342" t="n"/>
      <c r="L18" s="343" t="n"/>
    </row>
    <row r="19" ht="14.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5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5" customHeight="1" thickBot="1">
      <c r="B25" s="344" t="inlineStr">
        <is>
          <t>Investment Objective</t>
        </is>
      </c>
      <c r="C25" s="335" t="n"/>
      <c r="D25" s="335" t="n"/>
      <c r="E25" s="33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5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5" customHeight="1" thickBot="1">
      <c r="B34" s="344" t="inlineStr">
        <is>
          <t>Risk Appetite</t>
        </is>
      </c>
      <c r="C34" s="335" t="n"/>
      <c r="D34" s="335" t="n"/>
      <c r="E34" s="33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44" t="inlineStr">
        <is>
          <t>Market Experience</t>
        </is>
      </c>
      <c r="C37" s="335" t="n"/>
      <c r="D37" s="335" t="n"/>
      <c r="E37" s="33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5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5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1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5" customHeight="1"/>
    <row r="52" ht="14.15" customHeight="1"/>
    <row r="53" ht="14.5" customHeight="1"/>
    <row r="54" ht="14.5" customHeight="1"/>
    <row r="55" ht="14.15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4.5"/>
  <cols>
    <col width="26.1796875" customWidth="1" min="2" max="2"/>
    <col width="29" bestFit="1" customWidth="1" style="115" min="3" max="3"/>
    <col hidden="1" width="11.453125" customWidth="1" min="4" max="4"/>
    <col width="31.81640625" customWidth="1" min="5" max="5"/>
    <col width="23.453125" customWidth="1" style="182" min="6" max="7"/>
    <col width="34.453125" customWidth="1" style="182" min="8" max="9"/>
    <col width="34.8164062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54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51">
        <f>HLOOKUP('Investor Persona'!$E$4, 'Investor Profile'!$I$19:$L$23,F$2,FALSE)</f>
        <v/>
      </c>
      <c r="G4" s="351">
        <f>HLOOKUP('Investor Persona'!$E$4, 'Investor Profile'!$I$19:$L$23,G$2,FALSE)</f>
        <v/>
      </c>
      <c r="H4" s="351">
        <f>HLOOKUP('Investor Persona'!$E$4, 'Investor Profile'!$I$19:$L$23,H$2,FALSE)</f>
        <v/>
      </c>
      <c r="I4" s="346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54">
        <f>IF(SUM($D$5:$D$7)&lt;5,"Limited Resources",IF(SUM($D$5:$D$7)&lt;=8,"Stable Financials",IF(SUM($D$5:$D$7)&lt;=12,"Affluent",IF(SUM($D$5:$D$7)&gt;=13,"HNI/UHNI",""))))</f>
        <v/>
      </c>
      <c r="F5" s="351">
        <f>HLOOKUP('Investor Persona'!$E$5, 'Investor Profile'!$I$24:$L$28,F$2,FALSE)</f>
        <v/>
      </c>
      <c r="G5" s="351">
        <f>HLOOKUP('Investor Persona'!$E$5, 'Investor Profile'!$I$24:$L$28,G$2,FALSE)</f>
        <v/>
      </c>
      <c r="H5" s="351">
        <f>HLOOKUP('Investor Persona'!$E$5, 'Investor Profile'!$I$24:$L$28,H$2,FALSE)</f>
        <v/>
      </c>
      <c r="I5" s="346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55" t="n"/>
      <c r="F6" s="352" t="n"/>
      <c r="G6" s="352" t="n"/>
      <c r="H6" s="352" t="n"/>
      <c r="I6" s="347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56" t="n"/>
      <c r="F7" s="353" t="n"/>
      <c r="G7" s="353" t="n"/>
      <c r="H7" s="353" t="n"/>
      <c r="I7" s="348" t="n"/>
    </row>
    <row r="8" ht="29.15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54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51">
        <f>HLOOKUP('Investor Persona'!$E$8, 'Investor Profile'!$I$29:$L$33,F$2,FALSE)</f>
        <v/>
      </c>
      <c r="G8" s="351">
        <f>HLOOKUP('Investor Persona'!$E$8, 'Investor Profile'!$I$29:$L$33,G$2,FALSE)</f>
        <v/>
      </c>
      <c r="H8" s="351">
        <f>HLOOKUP('Investor Persona'!$E$8, 'Investor Profile'!$I$29:$L$33,H$2,FALSE)</f>
        <v/>
      </c>
      <c r="I8" s="346">
        <f>HLOOKUP('Investor Persona'!$E$8, 'Investor Profile'!$I$29:$L$33,I$2,FALSE)</f>
        <v/>
      </c>
    </row>
    <row r="9" ht="29.15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54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51">
        <f>HLOOKUP('Investor Persona'!$E$9, 'Investor Profile'!$I$34:$L$38,F$2,FALSE)</f>
        <v/>
      </c>
      <c r="G9" s="351">
        <f>HLOOKUP('Investor Persona'!$E$9, 'Investor Profile'!$I$34:$L$38,G$2,FALSE)</f>
        <v/>
      </c>
      <c r="H9" s="351">
        <f>HLOOKUP('Investor Persona'!$E$9, 'Investor Profile'!$I$34:$L$38,H$2,FALSE)</f>
        <v/>
      </c>
      <c r="I9" s="346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51">
        <f>HLOOKUP('Investor Persona'!$E$10,'Investor Profile'!$I$39:$J$43,F$2,FALSE)</f>
        <v/>
      </c>
      <c r="G10" s="351">
        <f>HLOOKUP('Investor Persona'!$E$10,'Investor Profile'!$I$39:$J$43,G$2,FALSE)</f>
        <v/>
      </c>
      <c r="H10" s="351">
        <f>HLOOKUP('Investor Persona'!$E$10,'Investor Profile'!$I$39:$J$43,H$2,FALSE)</f>
        <v/>
      </c>
      <c r="I10" s="346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54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49">
        <f>HLOOKUP('Investor Persona'!$E$11,'Investor Profile'!$I$44:$L$48,F$2,FALSE)</f>
        <v/>
      </c>
      <c r="G11" s="349">
        <f>HLOOKUP('Investor Persona'!$E$11,'Investor Profile'!$I$44:$L$48,G$2,FALSE)</f>
        <v/>
      </c>
      <c r="H11" s="349">
        <f>HLOOKUP('Investor Persona'!$E$11,'Investor Profile'!$I$44:$L$48,H$2,FALSE)</f>
        <v/>
      </c>
      <c r="I11" s="357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56" t="n"/>
      <c r="F12" s="350" t="n"/>
      <c r="G12" s="350" t="n"/>
      <c r="H12" s="350" t="n"/>
      <c r="I12" s="358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B84" sqref="B84"/>
    </sheetView>
  </sheetViews>
  <sheetFormatPr baseColWidth="8" defaultColWidth="8.7265625" defaultRowHeight="14.5"/>
  <cols>
    <col width="8.7265625" customWidth="1" style="42" min="1" max="1"/>
    <col width="53.453125" customWidth="1" style="1" min="2" max="2"/>
    <col width="8.1796875" customWidth="1" style="42" min="3" max="3"/>
    <col hidden="1" width="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59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59" t="inlineStr">
        <is>
          <t>Normalized</t>
        </is>
      </c>
      <c r="N4" s="360" t="n"/>
      <c r="O4" s="360" t="n"/>
      <c r="P4" s="360" t="n"/>
      <c r="Q4" s="360" t="n"/>
      <c r="R4" s="360" t="n"/>
      <c r="S4" s="360" t="n"/>
      <c r="T4" s="360" t="n"/>
      <c r="U4" s="308" t="n"/>
      <c r="V4" s="308" t="n"/>
      <c r="W4" s="308" t="n"/>
      <c r="X4" s="308" t="n"/>
      <c r="Y4" s="308" t="n"/>
    </row>
    <row r="5" ht="29.15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64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-0.3725</v>
      </c>
      <c r="F6" s="248" t="n">
        <v>13.1134</v>
      </c>
      <c r="G6" s="248" t="n">
        <v>12.1912</v>
      </c>
      <c r="H6" s="248" t="n">
        <v>12.2892</v>
      </c>
      <c r="I6" s="248" t="n">
        <v>0.0476033398634271</v>
      </c>
      <c r="J6" s="248" t="n">
        <v>0.00493714298694958</v>
      </c>
      <c r="K6" s="248" t="n">
        <v>0.960514500511388</v>
      </c>
      <c r="L6" s="248" t="n">
        <v>13.7795213092884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-1.4452</v>
      </c>
      <c r="F7" s="248" t="n">
        <v>12.632</v>
      </c>
      <c r="G7" s="248" t="n">
        <v>13.6318</v>
      </c>
      <c r="H7" s="248" t="n">
        <v>13.1742</v>
      </c>
      <c r="I7" s="249" t="n">
        <v>0.0470328582405873</v>
      </c>
      <c r="J7" s="249" t="n">
        <v>0.00175613500107341</v>
      </c>
      <c r="K7" s="249" t="n">
        <v>0.937107833779794</v>
      </c>
      <c r="L7" s="249" t="n">
        <v>13.5417188061616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0.4038</v>
      </c>
      <c r="F8" s="248" t="n">
        <v>15.3811</v>
      </c>
      <c r="G8" s="248" t="n">
        <v>14.4658</v>
      </c>
      <c r="H8" s="248" t="n">
        <v>14.1916</v>
      </c>
      <c r="I8" s="249" t="n">
        <v>0.0616171648122179</v>
      </c>
      <c r="J8" s="249" t="n">
        <v>0.192412329209454</v>
      </c>
      <c r="K8" s="249" t="n">
        <v>0.900440250334729</v>
      </c>
      <c r="L8" s="249" t="n">
        <v>13.0273684880578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1.3776</v>
      </c>
      <c r="F9" s="248" t="n">
        <v>13.1232</v>
      </c>
      <c r="G9" s="248" t="n">
        <v>11.9368</v>
      </c>
      <c r="H9" s="248" t="n">
        <v>12.6846</v>
      </c>
      <c r="I9" s="249" t="n">
        <v>0.0480610815648506</v>
      </c>
      <c r="J9" s="249" t="n">
        <v>0.0120762750527031</v>
      </c>
      <c r="K9" s="249" t="n">
        <v>0.96251123065553</v>
      </c>
      <c r="L9" s="249" t="n">
        <v>13.8249844387612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3.2574</v>
      </c>
      <c r="F10" s="248" t="n">
        <v>16.3602</v>
      </c>
      <c r="G10" s="248" t="n">
        <v>16.8762</v>
      </c>
      <c r="H10" s="248" t="n">
        <v>14.8685</v>
      </c>
      <c r="I10" s="249" t="n">
        <v>0.0663839975908195</v>
      </c>
      <c r="J10" s="249" t="n">
        <v>0.268156083283398</v>
      </c>
      <c r="K10" s="249" t="n">
        <v>0.978831084361698</v>
      </c>
      <c r="L10" s="249" t="n">
        <v>14.0758520106393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2.9013</v>
      </c>
      <c r="F11" s="248" t="n">
        <v>12.1684</v>
      </c>
      <c r="G11" s="248" t="n">
        <v>11.9209</v>
      </c>
      <c r="H11" s="248" t="n">
        <v>12.3555</v>
      </c>
      <c r="I11" s="249" t="n">
        <v>0.0461005530431464</v>
      </c>
      <c r="J11" s="249" t="n">
        <v>-0.0665619205799407</v>
      </c>
      <c r="K11" s="249" t="n">
        <v>0.945294410420736</v>
      </c>
      <c r="L11" s="249" t="n">
        <v>13.504807169967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-2.3913</v>
      </c>
      <c r="F12" s="251" t="n">
        <v>10.7614</v>
      </c>
      <c r="G12" s="251" t="n">
        <v>9.6286</v>
      </c>
      <c r="H12" s="251" t="n">
        <v>11.6105</v>
      </c>
      <c r="I12" s="250" t="n">
        <v>0.035714270938874</v>
      </c>
      <c r="J12" s="250" t="n">
        <v>-0.155530704908879</v>
      </c>
      <c r="K12" s="250" t="n">
        <v>0.909754011852151</v>
      </c>
      <c r="L12" s="250" t="n">
        <v>12.9837803685365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59" t="inlineStr">
        <is>
          <t>Actuals</t>
        </is>
      </c>
      <c r="F15" s="360" t="n"/>
      <c r="G15" s="360" t="n"/>
      <c r="H15" s="360" t="n"/>
      <c r="I15" s="360" t="n"/>
      <c r="J15" s="360" t="n"/>
      <c r="K15" s="360" t="n"/>
      <c r="L15" s="360" t="n"/>
      <c r="M15" s="359" t="inlineStr">
        <is>
          <t>Normalized</t>
        </is>
      </c>
      <c r="N15" s="360" t="n"/>
      <c r="O15" s="360" t="n"/>
      <c r="P15" s="360" t="n"/>
      <c r="Q15" s="360" t="n"/>
      <c r="R15" s="360" t="n"/>
      <c r="S15" s="360" t="n"/>
      <c r="T15" s="360" t="n"/>
      <c r="U15" s="308" t="n"/>
      <c r="V15" s="308" t="n"/>
      <c r="W15" s="308" t="n"/>
      <c r="X15" s="308" t="n"/>
      <c r="Y15" s="308" t="n"/>
    </row>
    <row r="16" ht="29.15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8.633800000000001</v>
      </c>
      <c r="F17" s="252" t="n">
        <v>16.6848</v>
      </c>
      <c r="G17" s="248" t="n">
        <v>16.7046</v>
      </c>
      <c r="H17" s="248" t="n">
        <v>15.2435</v>
      </c>
      <c r="I17" s="249" t="n">
        <v>0.0703893598627245</v>
      </c>
      <c r="J17" s="249" t="n">
        <v>0.178260359924262</v>
      </c>
      <c r="K17" s="249" t="n">
        <v>0.841707254317142</v>
      </c>
      <c r="L17" s="249" t="n">
        <v>13.0168523635155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8.053599999999999</v>
      </c>
      <c r="F18" s="252" t="n">
        <v>17.7207</v>
      </c>
      <c r="G18" s="248" t="n">
        <v>15.6886</v>
      </c>
      <c r="H18" s="248" t="n">
        <v>15.7544</v>
      </c>
      <c r="I18" s="249" t="n">
        <v>0.0679060335387862</v>
      </c>
      <c r="J18" s="249" t="n">
        <v>-0.000263875656025592</v>
      </c>
      <c r="K18" s="249" t="n">
        <v>0.942847802466651</v>
      </c>
      <c r="L18" s="249" t="n">
        <v>14.8851071250639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3.9926</v>
      </c>
      <c r="F19" s="252" t="n">
        <v>18.1813</v>
      </c>
      <c r="G19" s="248" t="n">
        <v>17.5373</v>
      </c>
      <c r="H19" s="248" t="n">
        <v>14.8967</v>
      </c>
      <c r="I19" s="249" t="n">
        <v>0.0696852032830505</v>
      </c>
      <c r="J19" s="249" t="n">
        <v>-0.0033063982443029</v>
      </c>
      <c r="K19" s="249" t="n">
        <v>1.02726994353348</v>
      </c>
      <c r="L19" s="249" t="n">
        <v>15.7605225031519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5.219</v>
      </c>
      <c r="F20" s="252" t="n">
        <v>19.7706</v>
      </c>
      <c r="G20" s="248" t="n">
        <v>19.2572</v>
      </c>
      <c r="H20" s="248" t="n">
        <v>15.9488</v>
      </c>
      <c r="I20" s="249" t="n">
        <v>0.0842448162087464</v>
      </c>
      <c r="J20" s="249" t="n">
        <v>0.226095178238955</v>
      </c>
      <c r="K20" s="249" t="n">
        <v>0.829320879800109</v>
      </c>
      <c r="L20" s="249" t="n">
        <v>13.2400822065147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4.6401</v>
      </c>
      <c r="F21" s="252" t="n">
        <v>19.7863</v>
      </c>
      <c r="G21" s="248" t="n">
        <v>16.6362</v>
      </c>
      <c r="H21" s="248" t="n">
        <v>13.3453</v>
      </c>
      <c r="I21" s="249" t="n">
        <v>0.07622818247185301</v>
      </c>
      <c r="J21" s="249" t="n">
        <v>0.106825726789386</v>
      </c>
      <c r="K21" s="249" t="n">
        <v>0.977402247908829</v>
      </c>
      <c r="L21" s="249" t="n">
        <v>15.1509878334999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7.5543</v>
      </c>
      <c r="F22" s="252" t="n">
        <v>15.0179</v>
      </c>
      <c r="G22" s="248" t="n">
        <v>10.2324</v>
      </c>
      <c r="H22" s="248" t="n">
        <v>11.9884</v>
      </c>
      <c r="I22" s="249" t="n">
        <v>0.0539189503176373</v>
      </c>
      <c r="J22" s="249" t="n">
        <v>-0.23825828210989</v>
      </c>
      <c r="K22" s="249" t="n">
        <v>1.00650962245436</v>
      </c>
      <c r="L22" s="249" t="n">
        <v>15.5986202242577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6.4278</v>
      </c>
      <c r="F23" s="254" t="n">
        <v>20.2364</v>
      </c>
      <c r="G23" s="251" t="n">
        <v>17.5487</v>
      </c>
      <c r="H23" s="251" t="n">
        <v>14.5059</v>
      </c>
      <c r="I23" s="250" t="n">
        <v>0.0825172941057833</v>
      </c>
      <c r="J23" s="250" t="n">
        <v>0.203187126263008</v>
      </c>
      <c r="K23" s="250" t="n">
        <v>0.948672804565678</v>
      </c>
      <c r="L23" s="250" t="n">
        <v>14.7906687400521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59" t="inlineStr">
        <is>
          <t>Actuals</t>
        </is>
      </c>
      <c r="F26" s="360" t="n"/>
      <c r="G26" s="360" t="n"/>
      <c r="H26" s="360" t="n"/>
      <c r="I26" s="360" t="n"/>
      <c r="J26" s="360" t="n"/>
      <c r="K26" s="360" t="n"/>
      <c r="L26" s="360" t="n"/>
      <c r="M26" s="359" t="inlineStr">
        <is>
          <t>Normalized</t>
        </is>
      </c>
      <c r="N26" s="360" t="n"/>
      <c r="O26" s="360" t="n"/>
      <c r="P26" s="360" t="n"/>
      <c r="Q26" s="360" t="n"/>
      <c r="R26" s="360" t="n"/>
      <c r="S26" s="360" t="n"/>
      <c r="T26" s="360" t="n"/>
      <c r="U26" s="308" t="n"/>
      <c r="V26" s="308" t="n"/>
      <c r="W26" s="308" t="n"/>
      <c r="X26" s="308" t="n"/>
      <c r="Y26" s="308" t="n"/>
    </row>
    <row r="27" ht="29.15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76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11.6482</v>
      </c>
      <c r="F28" s="248" t="n">
        <v>24.0774</v>
      </c>
      <c r="G28" s="248" t="n">
        <v>21.5214</v>
      </c>
      <c r="H28" s="248" t="n">
        <v>18.2117</v>
      </c>
      <c r="I28" s="249" t="n">
        <v>0.0965387941069812</v>
      </c>
      <c r="J28" s="249" t="n">
        <v>0.216109551568235</v>
      </c>
      <c r="K28" s="249" t="n">
        <v>0.8607122970522491</v>
      </c>
      <c r="L28" s="249" t="n">
        <v>15.2607711038564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15.4225</v>
      </c>
      <c r="F29" s="248" t="n">
        <v>22.0866</v>
      </c>
      <c r="G29" s="248" t="n">
        <v>18.9723</v>
      </c>
      <c r="H29" s="248" t="n">
        <v>18.0949</v>
      </c>
      <c r="I29" s="249" t="n">
        <v>0.0760859787875879</v>
      </c>
      <c r="J29" s="249" t="n">
        <v>-0.0598287032045222</v>
      </c>
      <c r="K29" s="249" t="n">
        <v>0.945228643092166</v>
      </c>
      <c r="L29" s="249" t="n">
        <v>17.3588070843561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13.4543</v>
      </c>
      <c r="F30" s="248" t="n">
        <v>26.0625</v>
      </c>
      <c r="G30" s="248" t="n">
        <v>22.4808</v>
      </c>
      <c r="H30" s="248" t="n">
        <v>19.1847</v>
      </c>
      <c r="I30" s="249" t="n">
        <v>0.0952087059243467</v>
      </c>
      <c r="J30" s="249" t="n">
        <v>0.206551931470254</v>
      </c>
      <c r="K30" s="249" t="n">
        <v>0.980463666387048</v>
      </c>
      <c r="L30" s="249" t="n">
        <v>17.210677666164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4.6333</v>
      </c>
      <c r="F31" s="248" t="n">
        <v>16.1233</v>
      </c>
      <c r="G31" s="248" t="n">
        <v>16.5417</v>
      </c>
      <c r="H31" s="248" t="n">
        <v>14.4028</v>
      </c>
      <c r="I31" s="249" t="n">
        <v>0.0612492062659969</v>
      </c>
      <c r="J31" s="249" t="n">
        <v>-0.308470274832435</v>
      </c>
      <c r="K31" s="249" t="n">
        <v>0.862840994188274</v>
      </c>
      <c r="L31" s="249" t="n">
        <v>15.5757926866735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8.198700000000001</v>
      </c>
      <c r="F32" s="248" t="n">
        <v>17.0222</v>
      </c>
      <c r="G32" s="248" t="n">
        <v>14.9902</v>
      </c>
      <c r="H32" s="248" t="n">
        <v>14.3091</v>
      </c>
      <c r="I32" s="249" t="n">
        <v>0.060721821760974</v>
      </c>
      <c r="J32" s="249" t="n">
        <v>-0.376129882069665</v>
      </c>
      <c r="K32" s="249" t="n">
        <v>0.953247611329047</v>
      </c>
      <c r="L32" s="249" t="n">
        <v>16.7348909473685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25.0595</v>
      </c>
      <c r="F33" s="248" t="n">
        <v>26.4651</v>
      </c>
      <c r="G33" s="248" t="n">
        <v>20.5641</v>
      </c>
      <c r="H33" s="248" t="n">
        <v>17.3552</v>
      </c>
      <c r="I33" s="249" t="n">
        <v>0.09409595773965219</v>
      </c>
      <c r="J33" s="249" t="n">
        <v>0.210543379902969</v>
      </c>
      <c r="K33" s="249" t="n">
        <v>0.97888723762154</v>
      </c>
      <c r="L33" s="249" t="n">
        <v>17.4321546009427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9.5168</v>
      </c>
      <c r="F34" s="251" t="n">
        <v>20.7777</v>
      </c>
      <c r="G34" s="251" t="n">
        <v>17.4377</v>
      </c>
      <c r="H34" s="251" t="n">
        <v>14.1087</v>
      </c>
      <c r="I34" s="250" t="n">
        <v>0.07422926314765919</v>
      </c>
      <c r="J34" s="250" t="n">
        <v>-0.140842237946136</v>
      </c>
      <c r="K34" s="250" t="n">
        <v>0.964636145038777</v>
      </c>
      <c r="L34" s="250" t="n">
        <v>17.083487325265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59" t="inlineStr">
        <is>
          <t>Actuals</t>
        </is>
      </c>
      <c r="F37" s="360" t="n"/>
      <c r="G37" s="360" t="n"/>
      <c r="H37" s="360" t="n"/>
      <c r="I37" s="360" t="n"/>
      <c r="J37" s="360" t="n"/>
      <c r="K37" s="360" t="n"/>
      <c r="L37" s="360" t="n"/>
      <c r="M37" s="359" t="inlineStr">
        <is>
          <t>Normalized</t>
        </is>
      </c>
      <c r="N37" s="360" t="n"/>
      <c r="O37" s="360" t="n"/>
      <c r="P37" s="360" t="n"/>
      <c r="Q37" s="360" t="n"/>
      <c r="R37" s="360" t="n"/>
      <c r="S37" s="360" t="n"/>
      <c r="T37" s="360" t="n"/>
      <c r="U37" s="308" t="n"/>
      <c r="V37" s="308" t="n"/>
      <c r="W37" s="308" t="n"/>
      <c r="X37" s="308" t="n"/>
      <c r="Y37" s="308" t="n"/>
    </row>
    <row r="38" ht="29.15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76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9.5116</v>
      </c>
      <c r="F39" s="248" t="n">
        <v>21.2205</v>
      </c>
      <c r="G39" s="248" t="n">
        <v>22.4905</v>
      </c>
      <c r="H39" s="248" t="n">
        <v>20.9057</v>
      </c>
      <c r="I39" s="249" t="n">
        <v>0.0727260338456471</v>
      </c>
      <c r="J39" s="249" t="n">
        <v>0.120781299893148</v>
      </c>
      <c r="K39" s="249" t="n">
        <v>0.869680927848271</v>
      </c>
      <c r="L39" s="249" t="n">
        <v>18.7464667980886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6.0582</v>
      </c>
      <c r="F40" s="248" t="n">
        <v>16.6703</v>
      </c>
      <c r="G40" s="248" t="n">
        <v>19.2495</v>
      </c>
      <c r="H40" s="248" t="n">
        <v>17.6356</v>
      </c>
      <c r="I40" s="249" t="n">
        <v>0.0589602277389994</v>
      </c>
      <c r="J40" s="249" t="n">
        <v>-0.0370562299456237</v>
      </c>
      <c r="K40" s="249" t="n">
        <v>0.775116117211983</v>
      </c>
      <c r="L40" s="249" t="n">
        <v>16.8040628299693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3.84</v>
      </c>
      <c r="F41" s="248" t="n">
        <v>13.965</v>
      </c>
      <c r="G41" s="248" t="n">
        <v>15.3282</v>
      </c>
      <c r="H41" s="248" t="n">
        <v>17.6965</v>
      </c>
      <c r="I41" s="249" t="n">
        <v>0.047878895093845</v>
      </c>
      <c r="J41" s="249" t="n">
        <v>-0.226863156132154</v>
      </c>
      <c r="K41" s="249" t="n">
        <v>0.771756757444915</v>
      </c>
      <c r="L41" s="249" t="n">
        <v>16.7090641232585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4.1907</v>
      </c>
      <c r="F42" s="248" t="n">
        <v>15.0461</v>
      </c>
      <c r="G42" s="248" t="n">
        <v>15.2816</v>
      </c>
      <c r="H42" s="248" t="n">
        <v>16.6769</v>
      </c>
      <c r="I42" s="249" t="n">
        <v>0.047497266780173</v>
      </c>
      <c r="J42" s="249" t="n">
        <v>-0.31953303088024</v>
      </c>
      <c r="K42" s="249" t="n">
        <v>0.8509477699640829</v>
      </c>
      <c r="L42" s="249" t="n">
        <v>18.8700638230651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6.9152</v>
      </c>
      <c r="F43" s="248" t="n">
        <v>16.0109</v>
      </c>
      <c r="G43" s="248" t="n">
        <v>18.0892</v>
      </c>
      <c r="H43" s="248" t="n">
        <v>16.0274</v>
      </c>
      <c r="I43" s="249" t="n">
        <v>0.0546283130717589</v>
      </c>
      <c r="J43" s="249" t="n">
        <v>-0.153442154529782</v>
      </c>
      <c r="K43" s="249" t="n">
        <v>0.750640166557506</v>
      </c>
      <c r="L43" s="249" t="n">
        <v>16.8237070955155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13.4949</v>
      </c>
      <c r="F44" s="248" t="n">
        <v>19.3172</v>
      </c>
      <c r="G44" s="248" t="n">
        <v>15.25</v>
      </c>
      <c r="H44" s="248" t="n">
        <v>13.4</v>
      </c>
      <c r="I44" s="249" t="n">
        <v>0.0641388480797464</v>
      </c>
      <c r="J44" s="249" t="n">
        <v>0.0544450026316854</v>
      </c>
      <c r="K44" s="249" t="n">
        <v>0.9049946385175039</v>
      </c>
      <c r="L44" s="249" t="n">
        <v>19.559058514664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8.1128</v>
      </c>
      <c r="F45" s="251" t="n">
        <v>18.3726</v>
      </c>
      <c r="G45" s="251" t="n">
        <v>17.5476</v>
      </c>
      <c r="H45" s="251" t="n">
        <v>0</v>
      </c>
      <c r="I45" s="250" t="n">
        <v>0.0599359193203367</v>
      </c>
      <c r="J45" s="250" t="n">
        <v>-0.09121467247451349</v>
      </c>
      <c r="K45" s="250" t="n">
        <v>0.850487397727933</v>
      </c>
      <c r="L45" s="250" t="n">
        <v>18.7523118059935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59" t="inlineStr">
        <is>
          <t>Actuals</t>
        </is>
      </c>
      <c r="F48" s="360" t="n"/>
      <c r="G48" s="360" t="n"/>
      <c r="H48" s="360" t="n"/>
      <c r="I48" s="360" t="n"/>
      <c r="J48" s="360" t="n"/>
      <c r="K48" s="360" t="n"/>
      <c r="L48" s="360" t="n"/>
      <c r="M48" s="359" t="inlineStr">
        <is>
          <t>Normalized</t>
        </is>
      </c>
      <c r="N48" s="360" t="n"/>
      <c r="O48" s="360" t="n"/>
      <c r="P48" s="360" t="n"/>
      <c r="Q48" s="360" t="n"/>
      <c r="R48" s="360" t="n"/>
      <c r="S48" s="360" t="n"/>
      <c r="T48" s="360" t="n"/>
      <c r="U48" s="308" t="n"/>
      <c r="V48" s="308" t="n"/>
      <c r="W48" s="308" t="n"/>
      <c r="X48" s="308" t="n"/>
      <c r="Y48" s="308" t="n"/>
    </row>
    <row r="49" ht="29.15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76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14.8723</v>
      </c>
      <c r="F50" s="248" t="n">
        <v>18.6099</v>
      </c>
      <c r="G50" s="248" t="n">
        <v>14.9138</v>
      </c>
      <c r="H50" s="248" t="n">
        <v>15.0241</v>
      </c>
      <c r="I50" s="249" t="n">
        <v>0.0818618445884873</v>
      </c>
      <c r="J50" s="249" t="n">
        <v>0.576547656421719</v>
      </c>
      <c r="K50" s="249" t="n">
        <v>0.7404968923542919</v>
      </c>
      <c r="L50" s="249" t="n">
        <v>13.0986160797089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1.1439</v>
      </c>
      <c r="F51" s="248" t="n">
        <v>18.1795</v>
      </c>
      <c r="G51" s="248" t="n">
        <v>20.1477</v>
      </c>
      <c r="H51" s="248" t="n">
        <v>14.6181</v>
      </c>
      <c r="I51" s="249" t="n">
        <v>0.07918638047214289</v>
      </c>
      <c r="J51" s="249" t="n">
        <v>0.296176339663893</v>
      </c>
      <c r="K51" s="249" t="n">
        <v>0.813317289013211</v>
      </c>
      <c r="L51" s="249" t="n">
        <v>12.6462985177398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-2.5549</v>
      </c>
      <c r="F52" s="248" t="n">
        <v>10.2618</v>
      </c>
      <c r="G52" s="248" t="n">
        <v>5.9616</v>
      </c>
      <c r="H52" s="248" t="n">
        <v>11.5172</v>
      </c>
      <c r="I52" s="249" t="n">
        <v>0.0339694775659737</v>
      </c>
      <c r="J52" s="249" t="n">
        <v>-0.343770065341602</v>
      </c>
      <c r="K52" s="249" t="n">
        <v>0.958426255406285</v>
      </c>
      <c r="L52" s="249" t="n">
        <v>15.1480052325708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4.7294</v>
      </c>
      <c r="F54" s="248" t="n">
        <v>14.4895</v>
      </c>
      <c r="G54" s="248" t="n">
        <v>13.1295</v>
      </c>
      <c r="H54" s="248" t="n">
        <v>14.1604</v>
      </c>
      <c r="I54" s="249" t="n">
        <v>0.0540208358925356</v>
      </c>
      <c r="J54" s="249" t="n">
        <v>-0.00749829189539253</v>
      </c>
      <c r="K54" s="249" t="n">
        <v>0.92914543173685</v>
      </c>
      <c r="L54" s="249" t="n">
        <v>14.3512500264311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10.8351</v>
      </c>
      <c r="F55" s="248" t="n">
        <v>16.4837</v>
      </c>
      <c r="G55" s="248" t="n">
        <v>13.8798</v>
      </c>
      <c r="H55" s="248" t="n">
        <v>0</v>
      </c>
      <c r="I55" s="249" t="n">
        <v>0.0643119621166225</v>
      </c>
      <c r="J55" s="249" t="n">
        <v>0.098014405583301</v>
      </c>
      <c r="K55" s="249" t="n">
        <v>0.9255668420586211</v>
      </c>
      <c r="L55" s="249" t="n">
        <v>14.0033941818175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-0.3643</v>
      </c>
      <c r="F56" s="251" t="n">
        <v>13.0115</v>
      </c>
      <c r="G56" s="251" t="n">
        <v>0</v>
      </c>
      <c r="H56" s="251" t="n">
        <v>0</v>
      </c>
      <c r="I56" s="250" t="n">
        <v>0.0471191136961743</v>
      </c>
      <c r="J56" s="250" t="n">
        <v>-0.137768398909802</v>
      </c>
      <c r="K56" s="250" t="n">
        <v>0.94307918944799</v>
      </c>
      <c r="L56" s="250" t="n">
        <v>14.4312591691136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61" t="inlineStr">
        <is>
          <t>Actuals</t>
        </is>
      </c>
      <c r="F59" s="360" t="n"/>
      <c r="G59" s="360" t="n"/>
      <c r="H59" s="360" t="n"/>
      <c r="I59" s="360" t="n"/>
      <c r="J59" s="360" t="n"/>
      <c r="K59" s="360" t="n"/>
      <c r="L59" s="359" t="inlineStr">
        <is>
          <t>Normalized</t>
        </is>
      </c>
      <c r="M59" s="360" t="n"/>
      <c r="N59" s="360" t="n"/>
      <c r="O59" s="360" t="n"/>
      <c r="P59" s="360" t="n"/>
      <c r="Q59" s="360" t="n"/>
      <c r="R59" s="360" t="n"/>
      <c r="S59" s="360" t="n"/>
      <c r="Z59" s="42" t="n"/>
    </row>
    <row r="60" ht="29.15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76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2.6163</v>
      </c>
      <c r="F61" s="248" t="n">
        <v>15.5187</v>
      </c>
      <c r="G61" s="248" t="n">
        <v>16.9511</v>
      </c>
      <c r="H61" s="248" t="n">
        <v>14.9191</v>
      </c>
      <c r="I61" s="249" t="n">
        <v>0.076988720651508</v>
      </c>
      <c r="J61" s="249" t="n">
        <v>0</v>
      </c>
      <c r="K61" s="249" t="n">
        <v>0</v>
      </c>
      <c r="L61" s="249" t="n">
        <v>10.1838295155243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5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5.9539</v>
      </c>
      <c r="F62" s="248" t="n">
        <v>12.2733</v>
      </c>
      <c r="G62" s="248" t="n">
        <v>11.1122</v>
      </c>
      <c r="H62" s="248" t="n">
        <v>11.2117</v>
      </c>
      <c r="I62" s="249" t="n">
        <v>0.06862799926993569</v>
      </c>
      <c r="J62" s="249" t="n">
        <v>0</v>
      </c>
      <c r="K62" s="249" t="n">
        <v>0</v>
      </c>
      <c r="L62" s="249" t="n">
        <v>7.01962872897531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5.1144</v>
      </c>
      <c r="F63" s="248" t="n">
        <v>12.3433</v>
      </c>
      <c r="G63" s="248" t="n">
        <v>0</v>
      </c>
      <c r="H63" s="248" t="n">
        <v>0</v>
      </c>
      <c r="I63" s="249" t="n">
        <v>0.06811986042319471</v>
      </c>
      <c r="J63" s="249" t="n">
        <v>0</v>
      </c>
      <c r="K63" s="249" t="n">
        <v>0</v>
      </c>
      <c r="L63" s="249" t="n">
        <v>7.40541902094336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2.9238</v>
      </c>
      <c r="F64" s="248" t="n">
        <v>10.2896</v>
      </c>
      <c r="G64" s="248" t="n">
        <v>9.146599999999999</v>
      </c>
      <c r="H64" s="248" t="n">
        <v>0</v>
      </c>
      <c r="I64" s="249" t="n">
        <v>0.0410040980966986</v>
      </c>
      <c r="J64" s="249" t="n">
        <v>0</v>
      </c>
      <c r="K64" s="249" t="n">
        <v>0</v>
      </c>
      <c r="L64" s="249" t="n">
        <v>8.47783600536385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-0.1466</v>
      </c>
      <c r="F65" s="248" t="n">
        <v>0</v>
      </c>
      <c r="G65" s="248" t="n">
        <v>0</v>
      </c>
      <c r="H65" s="248" t="n">
        <v>0</v>
      </c>
      <c r="I65" s="249" t="n">
        <v>0.0139785893766038</v>
      </c>
      <c r="J65" s="249" t="n">
        <v>0</v>
      </c>
      <c r="K65" s="249" t="n">
        <v>0</v>
      </c>
      <c r="L65" s="249" t="n">
        <v>8.38863075035319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3.9238</v>
      </c>
      <c r="F66" s="248" t="n">
        <v>11.8874</v>
      </c>
      <c r="G66" s="248" t="n">
        <v>10.2276</v>
      </c>
      <c r="H66" s="248" t="n">
        <v>11.0466</v>
      </c>
      <c r="I66" s="249" t="n">
        <v>0.0558366086125619</v>
      </c>
      <c r="J66" s="249" t="n">
        <v>0</v>
      </c>
      <c r="K66" s="249" t="n">
        <v>0</v>
      </c>
      <c r="L66" s="249" t="n">
        <v>8.078257704394041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5.6622</v>
      </c>
      <c r="F67" s="251" t="n">
        <v>12.4342</v>
      </c>
      <c r="G67" s="251" t="n">
        <v>10.391</v>
      </c>
      <c r="H67" s="251" t="n">
        <v>10.9853</v>
      </c>
      <c r="I67" s="250" t="n">
        <v>0.0614131881530483</v>
      </c>
      <c r="J67" s="250" t="n">
        <v>0</v>
      </c>
      <c r="K67" s="250" t="n">
        <v>0</v>
      </c>
      <c r="L67" s="250" t="n">
        <v>8.431372588231261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61" t="inlineStr">
        <is>
          <t>Actuals</t>
        </is>
      </c>
      <c r="F70" s="360" t="n"/>
      <c r="G70" s="360" t="n"/>
      <c r="H70" s="360" t="n"/>
      <c r="I70" s="360" t="n"/>
      <c r="J70" s="360" t="n"/>
      <c r="K70" s="360" t="n"/>
      <c r="L70" s="362" t="inlineStr">
        <is>
          <t>Normalized</t>
        </is>
      </c>
      <c r="M70" s="360" t="n"/>
      <c r="N70" s="360" t="n"/>
      <c r="O70" s="360" t="n"/>
      <c r="P70" s="360" t="n"/>
      <c r="Q70" s="360" t="n"/>
      <c r="R70" s="360" t="n"/>
      <c r="S70" s="330" t="n"/>
      <c r="Z70" s="42" t="n"/>
    </row>
    <row r="71" ht="29.15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76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9.7079</v>
      </c>
      <c r="F72" s="248" t="n">
        <v>18.016</v>
      </c>
      <c r="G72" s="248" t="n">
        <v>19.0177</v>
      </c>
      <c r="H72" s="248" t="n">
        <v>16.073</v>
      </c>
      <c r="I72" s="249" t="n">
        <v>0.106672883388973</v>
      </c>
      <c r="J72" s="249" t="n">
        <v>0</v>
      </c>
      <c r="K72" s="249" t="n">
        <v>0</v>
      </c>
      <c r="L72" s="249" t="n">
        <v>100.91272365344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16.3607</v>
      </c>
      <c r="F73" s="248" t="n">
        <v>17.7398</v>
      </c>
      <c r="G73" s="248" t="n">
        <v>14.5223</v>
      </c>
      <c r="H73" s="248" t="n">
        <v>11.605</v>
      </c>
      <c r="I73" s="249" t="n">
        <v>0.102364453903635</v>
      </c>
      <c r="J73" s="249" t="n">
        <v>0</v>
      </c>
      <c r="K73" s="249" t="n">
        <v>0</v>
      </c>
      <c r="L73" s="249" t="n">
        <v>102.18350972755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25.2383</v>
      </c>
      <c r="F74" s="248" t="n">
        <v>0</v>
      </c>
      <c r="G74" s="248" t="n">
        <v>0</v>
      </c>
      <c r="H74" s="248" t="n">
        <v>0</v>
      </c>
      <c r="I74" s="249" t="n">
        <v>0.0824294039485461</v>
      </c>
      <c r="J74" s="249" t="n">
        <v>0</v>
      </c>
      <c r="K74" s="249" t="n">
        <v>0</v>
      </c>
      <c r="L74" s="249" t="n">
        <v>146.701296190562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19.1857</v>
      </c>
      <c r="F75" s="248" t="n">
        <v>20.6333</v>
      </c>
      <c r="G75" s="248" t="n">
        <v>16.0692</v>
      </c>
      <c r="H75" s="248" t="n">
        <v>0</v>
      </c>
      <c r="I75" s="249" t="n">
        <v>0.111925692970001</v>
      </c>
      <c r="J75" s="249" t="n">
        <v>0</v>
      </c>
      <c r="K75" s="249" t="n">
        <v>0</v>
      </c>
      <c r="L75" s="249" t="n">
        <v>116.406686149053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7.2517</v>
      </c>
      <c r="F76" s="248" t="n">
        <v>17.6225</v>
      </c>
      <c r="G76" s="248" t="n">
        <v>13.8964</v>
      </c>
      <c r="H76" s="248" t="n">
        <v>10.9713</v>
      </c>
      <c r="I76" s="249" t="n">
        <v>0.08809444459483751</v>
      </c>
      <c r="J76" s="249" t="n">
        <v>0</v>
      </c>
      <c r="K76" s="249" t="n">
        <v>0</v>
      </c>
      <c r="L76" s="249" t="n">
        <v>122.66336442605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15.4675</v>
      </c>
      <c r="F78" s="251" t="n">
        <v>17.0996</v>
      </c>
      <c r="G78" s="251" t="n">
        <v>0</v>
      </c>
      <c r="H78" s="251" t="n">
        <v>0</v>
      </c>
      <c r="I78" s="250" t="n">
        <v>0.0841150581012024</v>
      </c>
      <c r="J78" s="250" t="n">
        <v>0</v>
      </c>
      <c r="K78" s="250" t="n">
        <v>0</v>
      </c>
      <c r="L78" s="250" t="n">
        <v>123.39251753923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61" t="inlineStr">
        <is>
          <t>Actuals</t>
        </is>
      </c>
      <c r="F81" s="360" t="n"/>
      <c r="G81" s="360" t="n"/>
      <c r="H81" s="360" t="n"/>
      <c r="I81" s="360" t="n"/>
      <c r="J81" s="360" t="n"/>
      <c r="K81" s="360" t="n"/>
      <c r="L81" s="362" t="inlineStr">
        <is>
          <t>Normalized</t>
        </is>
      </c>
      <c r="M81" s="360" t="n"/>
      <c r="N81" s="360" t="n"/>
      <c r="O81" s="360" t="n"/>
      <c r="P81" s="360" t="n"/>
      <c r="Q81" s="360" t="n"/>
      <c r="R81" s="360" t="n"/>
      <c r="S81" s="330" t="n"/>
      <c r="Z81" s="42" t="n"/>
    </row>
    <row r="82" ht="29.15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64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16.5163</v>
      </c>
      <c r="F83" s="84" t="n">
        <v>28.774</v>
      </c>
      <c r="G83" s="84" t="n">
        <v>27.2953</v>
      </c>
      <c r="H83" s="84" t="n">
        <v>0</v>
      </c>
      <c r="I83" s="84" t="n">
        <v>0.08574185349501121</v>
      </c>
      <c r="J83" s="84" t="n">
        <v>-0.120595334212862</v>
      </c>
      <c r="K83" s="84" t="n">
        <v>0.966352577979282</v>
      </c>
      <c r="L83" s="84" t="n">
        <v>22.6128189333212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5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3.7462</v>
      </c>
      <c r="F84" s="84" t="n">
        <v>14.5194</v>
      </c>
      <c r="G84" s="84" t="n">
        <v>12.7696</v>
      </c>
      <c r="H84" s="84" t="n">
        <v>13.6964</v>
      </c>
      <c r="I84" s="84" t="n">
        <v>0.0559575103984209</v>
      </c>
      <c r="J84" s="84" t="n">
        <v>0.219789380615718</v>
      </c>
      <c r="K84" s="84" t="n">
        <v>0.948263922388618</v>
      </c>
      <c r="L84" s="84" t="n">
        <v>15.6930826083745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7.0022</v>
      </c>
      <c r="F85" s="84" t="n">
        <v>0</v>
      </c>
      <c r="G85" s="84" t="n">
        <v>0</v>
      </c>
      <c r="H85" s="84" t="n">
        <v>0</v>
      </c>
      <c r="I85" s="84" t="n">
        <v>-0.0303126832297852</v>
      </c>
      <c r="J85" s="84" t="n">
        <v>-0.166337169269035</v>
      </c>
      <c r="K85" s="84" t="n">
        <v>1.10484564185004</v>
      </c>
      <c r="L85" s="84" t="n">
        <v>17.9750481612011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5.3037</v>
      </c>
      <c r="F86" s="84" t="n">
        <v>13.8231</v>
      </c>
      <c r="G86" s="84" t="n">
        <v>0</v>
      </c>
      <c r="H86" s="84" t="n">
        <v>0</v>
      </c>
      <c r="I86" s="84" t="n">
        <v>0.049059814741266</v>
      </c>
      <c r="J86" s="84" t="n">
        <v>0.09614076329180569</v>
      </c>
      <c r="K86" s="84" t="n">
        <v>0.949914812798385</v>
      </c>
      <c r="L86" s="84" t="n">
        <v>14.4821145976496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3.9761</v>
      </c>
      <c r="F87" s="84" t="n">
        <v>0</v>
      </c>
      <c r="G87" s="84" t="n">
        <v>0</v>
      </c>
      <c r="H87" s="84" t="n">
        <v>0</v>
      </c>
      <c r="I87" s="84" t="n">
        <v>-0.00949539510322385</v>
      </c>
      <c r="J87" s="84" t="n">
        <v>0</v>
      </c>
      <c r="K87" s="84" t="n">
        <v>0</v>
      </c>
      <c r="L87" s="84" t="n">
        <v>17.8860562972334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5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15.0641</v>
      </c>
      <c r="F88" s="84" t="n">
        <v>0</v>
      </c>
      <c r="G88" s="84" t="n">
        <v>0</v>
      </c>
      <c r="H88" s="84" t="n">
        <v>0</v>
      </c>
      <c r="I88" s="84" t="n">
        <v>0.0426578525182175</v>
      </c>
      <c r="J88" s="84" t="n">
        <v>-0.10162564084502</v>
      </c>
      <c r="K88" s="84" t="n">
        <v>0.97743767879429</v>
      </c>
      <c r="L88" s="84" t="n">
        <v>19.0756544712974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5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20.7708</v>
      </c>
      <c r="F89" s="84" t="n">
        <v>22.5467</v>
      </c>
      <c r="G89" s="84" t="n">
        <v>15.2873</v>
      </c>
      <c r="H89" s="84" t="n">
        <v>13.8398</v>
      </c>
      <c r="I89" s="84" t="n">
        <v>0.0796318660941325</v>
      </c>
      <c r="J89" s="84" t="n">
        <v>-0.12046316879843</v>
      </c>
      <c r="K89" s="84" t="n">
        <v>0.983241181876979</v>
      </c>
      <c r="L89" s="84" t="n">
        <v>17.4340538278613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5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4.6797</v>
      </c>
      <c r="F90" s="84" t="n">
        <v>22.7099</v>
      </c>
      <c r="G90" s="84" t="n">
        <v>12.7156</v>
      </c>
      <c r="H90" s="84" t="n">
        <v>0</v>
      </c>
      <c r="I90" s="84" t="n">
        <v>0.0865273333763428</v>
      </c>
      <c r="J90" s="84" t="n">
        <v>-0.157145076654717</v>
      </c>
      <c r="K90" s="84" t="n">
        <v>0.935127182825256</v>
      </c>
      <c r="L90" s="84" t="n">
        <v>15.5271743979944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5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13.6502</v>
      </c>
      <c r="F91" s="84" t="n">
        <v>21.0069</v>
      </c>
      <c r="G91" s="84" t="n">
        <v>15.4516</v>
      </c>
      <c r="H91" s="84" t="n">
        <v>0</v>
      </c>
      <c r="I91" s="84" t="n">
        <v>0.0850292683775145</v>
      </c>
      <c r="J91" s="84" t="n">
        <v>0.431202443164579</v>
      </c>
      <c r="K91" s="84" t="n">
        <v>0.9333307867027369</v>
      </c>
      <c r="L91" s="84" t="n">
        <v>14.3185195079995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5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2.475</v>
      </c>
      <c r="F92" s="84" t="n">
        <v>14.0438</v>
      </c>
      <c r="G92" s="84" t="n">
        <v>10.485</v>
      </c>
      <c r="H92" s="84" t="n">
        <v>0</v>
      </c>
      <c r="I92" s="84" t="n">
        <v>0.0488110851484993</v>
      </c>
      <c r="J92" s="84" t="n">
        <v>-0.057929585974492</v>
      </c>
      <c r="K92" s="84" t="n">
        <v>0.984510454305784</v>
      </c>
      <c r="L92" s="84" t="n">
        <v>14.4189647848334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1.2771</v>
      </c>
      <c r="F93" s="84" t="n">
        <v>0</v>
      </c>
      <c r="G93" s="84" t="n">
        <v>0</v>
      </c>
      <c r="H93" s="84" t="n">
        <v>0</v>
      </c>
      <c r="I93" s="84" t="n">
        <v>-0.0161701118569061</v>
      </c>
      <c r="J93" s="84" t="n">
        <v>-0.364542874944619</v>
      </c>
      <c r="K93" s="84" t="n">
        <v>0.975318517860214</v>
      </c>
      <c r="L93" s="84" t="n">
        <v>16.5766964649973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-2.4969</v>
      </c>
      <c r="F94" s="84" t="n">
        <v>0</v>
      </c>
      <c r="G94" s="84" t="n">
        <v>0</v>
      </c>
      <c r="H94" s="84" t="n">
        <v>0</v>
      </c>
      <c r="I94" s="84" t="n">
        <v>-0.0144678018666766</v>
      </c>
      <c r="J94" s="84" t="n">
        <v>-0.889049303590343</v>
      </c>
      <c r="K94" s="84" t="n">
        <v>0.965896284213871</v>
      </c>
      <c r="L94" s="84" t="n">
        <v>19.8754669087617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5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6.2317</v>
      </c>
      <c r="F95" s="84" t="n">
        <v>26.9808</v>
      </c>
      <c r="G95" s="84" t="n">
        <v>16.3506</v>
      </c>
      <c r="H95" s="84" t="n">
        <v>0</v>
      </c>
      <c r="I95" s="84" t="n">
        <v>0.104717737010658</v>
      </c>
      <c r="J95" s="84" t="n">
        <v>0.135348586964817</v>
      </c>
      <c r="K95" s="84" t="n">
        <v>0.935277299263645</v>
      </c>
      <c r="L95" s="84" t="n">
        <v>15.6254289787086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5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0.9737</v>
      </c>
      <c r="F96" s="84" t="n">
        <v>0</v>
      </c>
      <c r="G96" s="84" t="n">
        <v>0</v>
      </c>
      <c r="H96" s="84" t="n">
        <v>0</v>
      </c>
      <c r="I96" s="84" t="n">
        <v>-0.0132291447721018</v>
      </c>
      <c r="J96" s="84" t="n">
        <v>0.152540882127678</v>
      </c>
      <c r="K96" s="84" t="n">
        <v>0.938069662980787</v>
      </c>
      <c r="L96" s="84" t="n">
        <v>13.8456442502432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5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0.3331</v>
      </c>
      <c r="F97" s="84" t="n">
        <v>14.2367</v>
      </c>
      <c r="G97" s="84" t="n">
        <v>14.5774</v>
      </c>
      <c r="H97" s="84" t="n">
        <v>0</v>
      </c>
      <c r="I97" s="84" t="n">
        <v>0.0506743522427297</v>
      </c>
      <c r="J97" s="84" t="n">
        <v>-0.054372910584004</v>
      </c>
      <c r="K97" s="84" t="n">
        <v>0.8953584957284521</v>
      </c>
      <c r="L97" s="84" t="n">
        <v>14.8552585236042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5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15.1231</v>
      </c>
      <c r="F98" s="84" t="n">
        <v>24.3423</v>
      </c>
      <c r="G98" s="84" t="n">
        <v>0</v>
      </c>
      <c r="H98" s="84" t="n">
        <v>0</v>
      </c>
      <c r="I98" s="84" t="n">
        <v>0.0931552635565179</v>
      </c>
      <c r="J98" s="84" t="n">
        <v>0.103009785336826</v>
      </c>
      <c r="K98" s="84" t="n">
        <v>0.90866343689419</v>
      </c>
      <c r="L98" s="84" t="n">
        <v>17.0652528253152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23.0261</v>
      </c>
      <c r="F99" s="84" t="n">
        <v>20.6418</v>
      </c>
      <c r="G99" s="84" t="n">
        <v>19.853</v>
      </c>
      <c r="H99" s="84" t="n">
        <v>0</v>
      </c>
      <c r="I99" s="84" t="n">
        <v>0.0732128032434658</v>
      </c>
      <c r="J99" s="84" t="n">
        <v>0.316127465719958</v>
      </c>
      <c r="K99" s="84" t="n">
        <v>0.866733374220193</v>
      </c>
      <c r="L99" s="84" t="n">
        <v>16.7777479925101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5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6.0329</v>
      </c>
      <c r="F100" s="84" t="n">
        <v>16.1492</v>
      </c>
      <c r="G100" s="84" t="n">
        <v>0</v>
      </c>
      <c r="H100" s="84" t="n">
        <v>0</v>
      </c>
      <c r="I100" s="84" t="n">
        <v>0.0587485006580318</v>
      </c>
      <c r="J100" s="84" t="n">
        <v>0.157673559316879</v>
      </c>
      <c r="K100" s="84" t="n">
        <v>0.82013636163319</v>
      </c>
      <c r="L100" s="84" t="n">
        <v>14.7452094374473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12.3335</v>
      </c>
      <c r="F101" s="84" t="n">
        <v>27.5717</v>
      </c>
      <c r="G101" s="84" t="n">
        <v>0</v>
      </c>
      <c r="H101" s="84" t="n">
        <v>0</v>
      </c>
      <c r="I101" s="84" t="n">
        <v>0.09062712101578919</v>
      </c>
      <c r="J101" s="84" t="n">
        <v>-0.0281566586100857</v>
      </c>
      <c r="K101" s="84" t="n">
        <v>0.8475597960335161</v>
      </c>
      <c r="L101" s="84" t="n">
        <v>19.6203543505896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0</v>
      </c>
      <c r="F102" s="84" t="n">
        <v>0</v>
      </c>
      <c r="G102" s="84" t="n">
        <v>0</v>
      </c>
      <c r="H102" s="84" t="n">
        <v>0</v>
      </c>
      <c r="I102" s="84" t="n">
        <v>-0.0382817936858159</v>
      </c>
      <c r="J102" s="84" t="n">
        <v>-0.0377090088271355</v>
      </c>
      <c r="K102" s="84" t="n">
        <v>0.75780345274957</v>
      </c>
      <c r="L102" s="84" t="n">
        <v>12.6888629411005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12.3245</v>
      </c>
      <c r="F103" s="84" t="n">
        <v>15.0115</v>
      </c>
      <c r="G103" s="84" t="n">
        <v>13.6967</v>
      </c>
      <c r="H103" s="84" t="n">
        <v>0</v>
      </c>
      <c r="I103" s="84" t="n">
        <v>0.058291312339768</v>
      </c>
      <c r="J103" s="84" t="n">
        <v>0.176557612749155</v>
      </c>
      <c r="K103" s="84" t="n">
        <v>0.731834831088079</v>
      </c>
      <c r="L103" s="84" t="n">
        <v>13.3272730863595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5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-2.6877</v>
      </c>
      <c r="F104" s="84" t="n">
        <v>16.0815</v>
      </c>
      <c r="G104" s="84" t="n">
        <v>12.1742</v>
      </c>
      <c r="H104" s="84" t="n">
        <v>0</v>
      </c>
      <c r="I104" s="84" t="n">
        <v>0.0602922186028998</v>
      </c>
      <c r="J104" s="84" t="n">
        <v>0.121535507564142</v>
      </c>
      <c r="K104" s="84" t="n">
        <v>0.936069974725742</v>
      </c>
      <c r="L104" s="84" t="n">
        <v>14.0281961580982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3.0132</v>
      </c>
      <c r="F105" s="84" t="n">
        <v>0</v>
      </c>
      <c r="G105" s="84" t="n">
        <v>0</v>
      </c>
      <c r="H105" s="84" t="n">
        <v>0</v>
      </c>
      <c r="I105" s="84" t="n">
        <v>0.00787427698535367</v>
      </c>
      <c r="J105" s="84" t="n">
        <v>-0.249420522812753</v>
      </c>
      <c r="K105" s="84" t="n">
        <v>0.941122169503403</v>
      </c>
      <c r="L105" s="84" t="n">
        <v>15.7336243052478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1.3212</v>
      </c>
      <c r="F106" s="84" t="n">
        <v>15.0723</v>
      </c>
      <c r="G106" s="84" t="n">
        <v>13.4488</v>
      </c>
      <c r="H106" s="84" t="n">
        <v>0</v>
      </c>
      <c r="I106" s="84" t="n">
        <v>0.0620147065063175</v>
      </c>
      <c r="J106" s="84" t="n">
        <v>0.107664711839541</v>
      </c>
      <c r="K106" s="84" t="n">
        <v>0.832074081333134</v>
      </c>
      <c r="L106" s="84" t="n">
        <v>12.3478146507442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0.00995976481863957</v>
      </c>
      <c r="J107" s="84" t="n">
        <v>0.5497994314636649</v>
      </c>
      <c r="K107" s="84" t="n">
        <v>0.8788878563843679</v>
      </c>
      <c r="L107" s="84" t="n">
        <v>15.2398757472057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4.9704</v>
      </c>
      <c r="F108" s="84" t="n">
        <v>14.6368</v>
      </c>
      <c r="G108" s="84" t="n">
        <v>0</v>
      </c>
      <c r="H108" s="84" t="n">
        <v>0</v>
      </c>
      <c r="I108" s="84" t="n">
        <v>0.0541528352261086</v>
      </c>
      <c r="J108" s="84" t="n">
        <v>0.18053780805131</v>
      </c>
      <c r="K108" s="84" t="n">
        <v>0.956167875182422</v>
      </c>
      <c r="L108" s="84" t="n">
        <v>15.5925682984862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3.2771</v>
      </c>
      <c r="F109" s="84" t="n">
        <v>12.0837</v>
      </c>
      <c r="G109" s="84" t="n">
        <v>0</v>
      </c>
      <c r="H109" s="84" t="n">
        <v>0</v>
      </c>
      <c r="I109" s="84" t="n">
        <v>0.0424126570518703</v>
      </c>
      <c r="J109" s="84" t="n">
        <v>-0.203306090047873</v>
      </c>
      <c r="K109" s="84" t="n">
        <v>0.94221079035596</v>
      </c>
      <c r="L109" s="84" t="n">
        <v>14.4696770411625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12.4189</v>
      </c>
      <c r="F110" s="84" t="n">
        <v>0</v>
      </c>
      <c r="G110" s="84" t="n">
        <v>0</v>
      </c>
      <c r="H110" s="84" t="n">
        <v>0</v>
      </c>
      <c r="I110" s="84" t="n">
        <v>0.0989567579558961</v>
      </c>
      <c r="J110" s="84" t="n">
        <v>0.429584651027609</v>
      </c>
      <c r="K110" s="84" t="n">
        <v>0.95759768610589</v>
      </c>
      <c r="L110" s="84" t="n">
        <v>16.2087567131549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-15.085</v>
      </c>
      <c r="F111" s="84" t="n">
        <v>0</v>
      </c>
      <c r="G111" s="84" t="n">
        <v>0</v>
      </c>
      <c r="H111" s="84" t="n">
        <v>0</v>
      </c>
      <c r="I111" s="84" t="n">
        <v>-0.00830302677694616</v>
      </c>
      <c r="J111" s="84" t="n">
        <v>0.052063002091212</v>
      </c>
      <c r="K111" s="84" t="n">
        <v>0.9885188571385261</v>
      </c>
      <c r="L111" s="84" t="n">
        <v>19.3129210568046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20.0353</v>
      </c>
      <c r="F112" s="84" t="n">
        <v>0</v>
      </c>
      <c r="G112" s="84" t="n">
        <v>0</v>
      </c>
      <c r="H112" s="84" t="n">
        <v>0</v>
      </c>
      <c r="I112" s="84" t="n">
        <v>0.0666258395307301</v>
      </c>
      <c r="J112" s="84" t="n">
        <v>0.21973617754956</v>
      </c>
      <c r="K112" s="84" t="n">
        <v>0.958023150650213</v>
      </c>
      <c r="L112" s="84" t="n">
        <v>18.2623879813167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3.3048</v>
      </c>
      <c r="F113" s="84" t="n">
        <v>16.2003</v>
      </c>
      <c r="G113" s="84" t="n">
        <v>15.7059</v>
      </c>
      <c r="H113" s="84" t="n">
        <v>0</v>
      </c>
      <c r="I113" s="84" t="n">
        <v>0.054267779605202</v>
      </c>
      <c r="J113" s="84" t="n">
        <v>0.0753843021920378</v>
      </c>
      <c r="K113" s="84" t="n">
        <v>0.9817723559656391</v>
      </c>
      <c r="L113" s="84" t="n">
        <v>18.2220351035482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6.8355</v>
      </c>
      <c r="F115" s="84" t="n">
        <v>9.167</v>
      </c>
      <c r="G115" s="84" t="n">
        <v>0</v>
      </c>
      <c r="H115" s="84" t="n">
        <v>0</v>
      </c>
      <c r="I115" s="84" t="n">
        <v>0.0207308478764993</v>
      </c>
      <c r="J115" s="84" t="n">
        <v>-0.68109889799207</v>
      </c>
      <c r="K115" s="84" t="n">
        <v>0.883858874298782</v>
      </c>
      <c r="L115" s="84" t="n">
        <v>15.3560439966427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-0.0159441371480816</v>
      </c>
      <c r="J116" s="84" t="n">
        <v>0.138039436313778</v>
      </c>
      <c r="K116" s="84" t="n">
        <v>0.839343930006843</v>
      </c>
      <c r="L116" s="84" t="n">
        <v>15.1821651222995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27.1916</v>
      </c>
      <c r="F117" s="84" t="n">
        <v>0</v>
      </c>
      <c r="G117" s="84" t="n">
        <v>0</v>
      </c>
      <c r="H117" s="84" t="n">
        <v>0</v>
      </c>
      <c r="I117" s="84" t="n">
        <v>-0.00187817663252357</v>
      </c>
      <c r="J117" s="84" t="n">
        <v>0.37472802709737</v>
      </c>
      <c r="K117" s="84" t="n">
        <v>0.889770599706515</v>
      </c>
      <c r="L117" s="84" t="n">
        <v>19.7967952425174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4.7926</v>
      </c>
      <c r="F118" s="84" t="n">
        <v>0</v>
      </c>
      <c r="G118" s="84" t="n">
        <v>0</v>
      </c>
      <c r="H118" s="84" t="n">
        <v>0</v>
      </c>
      <c r="I118" s="84" t="n">
        <v>-0.034084656442419</v>
      </c>
      <c r="J118" s="84" t="n">
        <v>-0.293928244210693</v>
      </c>
      <c r="K118" s="84" t="n">
        <v>0.957269121123702</v>
      </c>
      <c r="L118" s="84" t="n">
        <v>16.8526565060111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0.9540999999999999</v>
      </c>
      <c r="F119" s="84" t="n">
        <v>11.6028</v>
      </c>
      <c r="G119" s="84" t="n">
        <v>11.6638</v>
      </c>
      <c r="H119" s="84" t="n">
        <v>0</v>
      </c>
      <c r="I119" s="84" t="n">
        <v>0.0410357698158315</v>
      </c>
      <c r="J119" s="84" t="n">
        <v>-0.00836835646477962</v>
      </c>
      <c r="K119" s="84" t="n">
        <v>1.00987017763628</v>
      </c>
      <c r="L119" s="84" t="n">
        <v>14.2466679105463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6.1305</v>
      </c>
      <c r="F120" s="84" t="n">
        <v>0</v>
      </c>
      <c r="G120" s="84" t="n">
        <v>0</v>
      </c>
      <c r="H120" s="84" t="n">
        <v>0</v>
      </c>
      <c r="I120" s="84" t="n">
        <v>0.0322740251184503</v>
      </c>
      <c r="J120" s="84" t="n">
        <v>0.0249720798467908</v>
      </c>
      <c r="K120" s="84" t="n">
        <v>1.02139840842905</v>
      </c>
      <c r="L120" s="84" t="n">
        <v>16.921475518069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-5.0174</v>
      </c>
      <c r="F121" s="84" t="n">
        <v>13.4593</v>
      </c>
      <c r="G121" s="84" t="n">
        <v>15.2997</v>
      </c>
      <c r="H121" s="84" t="n">
        <v>13.2351</v>
      </c>
      <c r="I121" s="84" t="n">
        <v>0.0451915176997528</v>
      </c>
      <c r="J121" s="84" t="n">
        <v>-0.141956893240337</v>
      </c>
      <c r="K121" s="84" t="n">
        <v>0.925758563401069</v>
      </c>
      <c r="L121" s="84" t="n">
        <v>15.3259262682575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5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22.8175</v>
      </c>
      <c r="F122" s="84" t="n">
        <v>19.1978</v>
      </c>
      <c r="G122" s="84" t="n">
        <v>9.2393</v>
      </c>
      <c r="H122" s="84" t="n">
        <v>14.6252</v>
      </c>
      <c r="I122" s="84" t="n">
        <v>0.07150220179972221</v>
      </c>
      <c r="J122" s="84" t="n">
        <v>0</v>
      </c>
      <c r="K122" s="84" t="n">
        <v>0</v>
      </c>
      <c r="L122" s="84" t="n">
        <v>15.4357186772145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244.119</v>
      </c>
      <c r="F123" s="84" t="n">
        <v>63.0087</v>
      </c>
      <c r="G123" s="84" t="n">
        <v>0</v>
      </c>
      <c r="H123" s="84" t="n">
        <v>0</v>
      </c>
      <c r="I123" s="84" t="n">
        <v>0.143454148922364</v>
      </c>
      <c r="J123" s="84" t="n">
        <v>1.64793797845914</v>
      </c>
      <c r="K123" s="84" t="n">
        <v>0.983027272323151</v>
      </c>
      <c r="L123" s="84" t="n">
        <v>28.3856520793846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9.2278</v>
      </c>
      <c r="F125" s="84" t="n">
        <v>0</v>
      </c>
      <c r="G125" s="84" t="n">
        <v>0</v>
      </c>
      <c r="H125" s="84" t="n">
        <v>0</v>
      </c>
      <c r="I125" s="84" t="n">
        <v>0.0518475617575555</v>
      </c>
      <c r="J125" s="84" t="n">
        <v>0.270418868810606</v>
      </c>
      <c r="K125" s="84" t="n">
        <v>0.974424991079626</v>
      </c>
      <c r="L125" s="84" t="n">
        <v>15.8938885287682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4.5242</v>
      </c>
      <c r="F126" s="84" t="n">
        <v>18.1002</v>
      </c>
      <c r="G126" s="84" t="n">
        <v>16.077</v>
      </c>
      <c r="H126" s="84" t="n">
        <v>14.6059</v>
      </c>
      <c r="I126" s="84" t="n">
        <v>0.07223418911757711</v>
      </c>
      <c r="J126" s="84" t="n">
        <v>0.274917310515193</v>
      </c>
      <c r="K126" s="84" t="n">
        <v>0.997007705205225</v>
      </c>
      <c r="L126" s="84" t="n">
        <v>14.7221631029478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13.4252</v>
      </c>
      <c r="F127" s="84" t="n">
        <v>21.4955</v>
      </c>
      <c r="G127" s="84" t="n">
        <v>15.3131</v>
      </c>
      <c r="H127" s="84" t="n">
        <v>0</v>
      </c>
      <c r="I127" s="84" t="n">
        <v>0.0819485178448619</v>
      </c>
      <c r="J127" s="84" t="n">
        <v>0.637982934131785</v>
      </c>
      <c r="K127" s="84" t="n">
        <v>0.916000415751818</v>
      </c>
      <c r="L127" s="84" t="n">
        <v>15.2788545061893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6.4695</v>
      </c>
      <c r="F128" s="84" t="n">
        <v>16.9489</v>
      </c>
      <c r="G128" s="84" t="n">
        <v>0</v>
      </c>
      <c r="H128" s="84" t="n">
        <v>0</v>
      </c>
      <c r="I128" s="84" t="n">
        <v>0.0617337861565308</v>
      </c>
      <c r="J128" s="84" t="n">
        <v>0.09931898153263</v>
      </c>
      <c r="K128" s="84" t="n">
        <v>0.96270442937286</v>
      </c>
      <c r="L128" s="84" t="n">
        <v>15.1309823581891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17.2798</v>
      </c>
      <c r="F129" s="84" t="n">
        <v>21.83</v>
      </c>
      <c r="G129" s="84" t="n">
        <v>0</v>
      </c>
      <c r="H129" s="84" t="n">
        <v>0</v>
      </c>
      <c r="I129" s="84" t="n">
        <v>0.0790291535209445</v>
      </c>
      <c r="J129" s="84" t="n">
        <v>-0.188882623933339</v>
      </c>
      <c r="K129" s="84" t="n">
        <v>0.982477277080618</v>
      </c>
      <c r="L129" s="84" t="n">
        <v>16.6864318434631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23.8131</v>
      </c>
      <c r="F130" s="84" t="n">
        <v>0</v>
      </c>
      <c r="G130" s="84" t="n">
        <v>0</v>
      </c>
      <c r="H130" s="84" t="n">
        <v>0</v>
      </c>
      <c r="I130" s="84" t="n">
        <v>0.0177555232321076</v>
      </c>
      <c r="J130" s="84" t="n">
        <v>0.187789770694506</v>
      </c>
      <c r="K130" s="84" t="n">
        <v>0.960152298029655</v>
      </c>
      <c r="L130" s="84" t="n">
        <v>17.7596499139249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10.8162</v>
      </c>
      <c r="F131" s="84" t="n">
        <v>0</v>
      </c>
      <c r="G131" s="84" t="n">
        <v>0</v>
      </c>
      <c r="H131" s="84" t="n">
        <v>0</v>
      </c>
      <c r="I131" s="84" t="n">
        <v>-0.0246931042312998</v>
      </c>
      <c r="J131" s="84" t="n">
        <v>0.08767410410405491</v>
      </c>
      <c r="K131" s="84" t="n">
        <v>1.15704106150356</v>
      </c>
      <c r="L131" s="84" t="n">
        <v>20.2183715956643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4.9648</v>
      </c>
      <c r="F132" s="84" t="n">
        <v>0</v>
      </c>
      <c r="G132" s="84" t="n">
        <v>0</v>
      </c>
      <c r="H132" s="84" t="n">
        <v>0</v>
      </c>
      <c r="I132" s="84" t="n">
        <v>0.0304712260797346</v>
      </c>
      <c r="J132" s="84" t="n">
        <v>0.0558529909263277</v>
      </c>
      <c r="K132" s="84" t="n">
        <v>0.91620023178274</v>
      </c>
      <c r="L132" s="84" t="n">
        <v>16.7306776428235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4.4667</v>
      </c>
      <c r="F133" s="84" t="n">
        <v>13.5225</v>
      </c>
      <c r="G133" s="84" t="n">
        <v>0</v>
      </c>
      <c r="H133" s="84" t="n">
        <v>0</v>
      </c>
      <c r="I133" s="84" t="n">
        <v>0.0485600316517422</v>
      </c>
      <c r="J133" s="84" t="n">
        <v>0.0758522561846877</v>
      </c>
      <c r="K133" s="84" t="n">
        <v>0.998499970931238</v>
      </c>
      <c r="L133" s="84" t="n">
        <v>15.8378473549019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0.5759</v>
      </c>
      <c r="F134" s="84" t="n">
        <v>11.5227</v>
      </c>
      <c r="G134" s="84" t="n">
        <v>8.9716</v>
      </c>
      <c r="H134" s="84" t="n">
        <v>0</v>
      </c>
      <c r="I134" s="84" t="n">
        <v>0.0417539407396102</v>
      </c>
      <c r="J134" s="84" t="n">
        <v>-0.162687768684981</v>
      </c>
      <c r="K134" s="84" t="n">
        <v>0.9491733963416989</v>
      </c>
      <c r="L134" s="84" t="n">
        <v>13.6922684512962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3.1389</v>
      </c>
      <c r="F135" s="84" t="n">
        <v>0</v>
      </c>
      <c r="G135" s="84" t="n">
        <v>0</v>
      </c>
      <c r="H135" s="84" t="n">
        <v>0</v>
      </c>
      <c r="I135" s="84" t="n">
        <v>0.0440364564823531</v>
      </c>
      <c r="J135" s="84" t="n">
        <v>0.230907040919908</v>
      </c>
      <c r="K135" s="84" t="n">
        <v>1.11446340826253</v>
      </c>
      <c r="L135" s="84" t="n">
        <v>17.7104751436301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-11.0175</v>
      </c>
      <c r="F136" s="84" t="n">
        <v>0</v>
      </c>
      <c r="G136" s="84" t="n">
        <v>0</v>
      </c>
      <c r="H136" s="84" t="n">
        <v>0</v>
      </c>
      <c r="I136" s="84" t="n">
        <v>-0.0250313901839059</v>
      </c>
      <c r="J136" s="84" t="n">
        <v>0.0542598377034381</v>
      </c>
      <c r="K136" s="84" t="n">
        <v>0.95631704186052</v>
      </c>
      <c r="L136" s="84" t="n">
        <v>18.9177724635307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7.1183</v>
      </c>
      <c r="F137" s="84" t="n">
        <v>0</v>
      </c>
      <c r="G137" s="84" t="n">
        <v>0</v>
      </c>
      <c r="H137" s="84" t="n">
        <v>0</v>
      </c>
      <c r="I137" s="84" t="n">
        <v>0.0412489358661527</v>
      </c>
      <c r="J137" s="84" t="n">
        <v>-0.0820675450196532</v>
      </c>
      <c r="K137" s="84" t="n">
        <v>0.98486670096305</v>
      </c>
      <c r="L137" s="84" t="n">
        <v>16.69081112369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265625" defaultRowHeight="14.5"/>
  <cols>
    <col width="8.7265625" customWidth="1" style="42" min="1" max="1"/>
    <col width="46.453125" bestFit="1" customWidth="1" style="1" min="2" max="2"/>
    <col width="7.1796875" customWidth="1" style="42" min="3" max="3"/>
    <col hidden="1" width="7.179687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63" t="inlineStr">
        <is>
          <t>Equity Large Cap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30" t="n"/>
    </row>
    <row r="4" ht="15" customHeight="1" thickBot="1">
      <c r="B4" s="147" t="n"/>
      <c r="C4" s="148" t="n"/>
      <c r="D4" s="190" t="n"/>
      <c r="E4" s="366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7" t="n"/>
      <c r="P4" s="361" t="inlineStr">
        <is>
          <t>Normalized</t>
        </is>
      </c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4" t="inlineStr">
        <is>
          <t>Score</t>
        </is>
      </c>
    </row>
    <row r="5" ht="29.15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65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265625" defaultRowHeight="14.5"/>
  <cols>
    <col width="8.7265625" customWidth="1" style="42" min="1" max="1"/>
    <col width="46.453125" bestFit="1" customWidth="1" style="1" min="2" max="2"/>
    <col width="7.1796875" customWidth="1" style="42" min="3" max="3"/>
    <col hidden="1" width="7.179687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71" t="inlineStr">
        <is>
          <t>Equity Large &amp; Mid Cap</t>
        </is>
      </c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335" t="n"/>
      <c r="U4" s="335" t="n"/>
      <c r="V4" s="335" t="n"/>
      <c r="W4" s="335" t="n"/>
      <c r="X4" s="335" t="n"/>
      <c r="Y4" s="335" t="n"/>
      <c r="Z4" s="303" t="n"/>
    </row>
    <row r="5" ht="15" customHeight="1" thickBot="1">
      <c r="B5" s="153" t="n"/>
      <c r="C5" s="154" t="n"/>
      <c r="D5" s="154" t="n"/>
      <c r="E5" s="373" t="inlineStr">
        <is>
          <t>Actuals</t>
        </is>
      </c>
      <c r="F5" s="374" t="n"/>
      <c r="G5" s="374" t="n"/>
      <c r="H5" s="374" t="n"/>
      <c r="I5" s="374" t="n"/>
      <c r="J5" s="374" t="n"/>
      <c r="K5" s="374" t="n"/>
      <c r="L5" s="374" t="n"/>
      <c r="M5" s="374" t="n"/>
      <c r="N5" s="374" t="n"/>
      <c r="O5" s="375" t="n"/>
      <c r="P5" s="368" t="inlineStr">
        <is>
          <t>Normalized</t>
        </is>
      </c>
      <c r="Q5" s="369" t="n"/>
      <c r="R5" s="369" t="n"/>
      <c r="S5" s="369" t="n"/>
      <c r="T5" s="369" t="n"/>
      <c r="U5" s="369" t="n"/>
      <c r="V5" s="369" t="n"/>
      <c r="W5" s="369" t="n"/>
      <c r="X5" s="369" t="n"/>
      <c r="Y5" s="370" t="n"/>
      <c r="Z5" s="372" t="inlineStr">
        <is>
          <t>Score</t>
        </is>
      </c>
    </row>
    <row r="6" ht="29.15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48" t="n"/>
    </row>
    <row r="7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4.5"/>
  <cols>
    <col width="69.1796875" bestFit="1" customWidth="1" style="286" min="1" max="1"/>
    <col width="8.7265625" customWidth="1" style="286" min="2" max="256"/>
    <col width="69.1796875" bestFit="1" customWidth="1" style="286" min="257" max="257"/>
    <col width="8.7265625" customWidth="1" style="286" min="258" max="512"/>
    <col width="69.1796875" bestFit="1" customWidth="1" style="286" min="513" max="513"/>
    <col width="8.7265625" customWidth="1" style="286" min="514" max="768"/>
    <col width="69.1796875" bestFit="1" customWidth="1" style="286" min="769" max="769"/>
    <col width="8.7265625" customWidth="1" style="286" min="770" max="1024"/>
    <col width="69.1796875" bestFit="1" customWidth="1" style="286" min="1025" max="1025"/>
    <col width="8.7265625" customWidth="1" style="286" min="1026" max="1280"/>
    <col width="69.1796875" bestFit="1" customWidth="1" style="286" min="1281" max="1281"/>
    <col width="8.7265625" customWidth="1" style="286" min="1282" max="1536"/>
    <col width="69.1796875" bestFit="1" customWidth="1" style="286" min="1537" max="1537"/>
    <col width="8.7265625" customWidth="1" style="286" min="1538" max="1792"/>
    <col width="69.1796875" bestFit="1" customWidth="1" style="286" min="1793" max="1793"/>
    <col width="8.7265625" customWidth="1" style="286" min="1794" max="2048"/>
    <col width="69.1796875" bestFit="1" customWidth="1" style="286" min="2049" max="2049"/>
    <col width="8.7265625" customWidth="1" style="286" min="2050" max="2304"/>
    <col width="69.1796875" bestFit="1" customWidth="1" style="286" min="2305" max="2305"/>
    <col width="8.7265625" customWidth="1" style="286" min="2306" max="2560"/>
    <col width="69.1796875" bestFit="1" customWidth="1" style="286" min="2561" max="2561"/>
    <col width="8.7265625" customWidth="1" style="286" min="2562" max="2816"/>
    <col width="69.1796875" bestFit="1" customWidth="1" style="286" min="2817" max="2817"/>
    <col width="8.7265625" customWidth="1" style="286" min="2818" max="3072"/>
    <col width="69.1796875" bestFit="1" customWidth="1" style="286" min="3073" max="3073"/>
    <col width="8.7265625" customWidth="1" style="286" min="3074" max="3328"/>
    <col width="69.1796875" bestFit="1" customWidth="1" style="286" min="3329" max="3329"/>
    <col width="8.7265625" customWidth="1" style="286" min="3330" max="3584"/>
    <col width="69.1796875" bestFit="1" customWidth="1" style="286" min="3585" max="3585"/>
    <col width="8.7265625" customWidth="1" style="286" min="3586" max="3840"/>
    <col width="69.1796875" bestFit="1" customWidth="1" style="286" min="3841" max="3841"/>
    <col width="8.7265625" customWidth="1" style="286" min="3842" max="4096"/>
    <col width="69.1796875" bestFit="1" customWidth="1" style="286" min="4097" max="4097"/>
    <col width="8.7265625" customWidth="1" style="286" min="4098" max="4352"/>
    <col width="69.1796875" bestFit="1" customWidth="1" style="286" min="4353" max="4353"/>
    <col width="8.7265625" customWidth="1" style="286" min="4354" max="4608"/>
    <col width="69.1796875" bestFit="1" customWidth="1" style="286" min="4609" max="4609"/>
    <col width="8.7265625" customWidth="1" style="286" min="4610" max="4864"/>
    <col width="69.1796875" bestFit="1" customWidth="1" style="286" min="4865" max="4865"/>
    <col width="8.7265625" customWidth="1" style="286" min="4866" max="5120"/>
    <col width="69.1796875" bestFit="1" customWidth="1" style="286" min="5121" max="5121"/>
    <col width="8.7265625" customWidth="1" style="286" min="5122" max="5376"/>
    <col width="69.1796875" bestFit="1" customWidth="1" style="286" min="5377" max="5377"/>
    <col width="8.7265625" customWidth="1" style="286" min="5378" max="5632"/>
    <col width="69.1796875" bestFit="1" customWidth="1" style="286" min="5633" max="5633"/>
    <col width="8.7265625" customWidth="1" style="286" min="5634" max="5888"/>
    <col width="69.1796875" bestFit="1" customWidth="1" style="286" min="5889" max="5889"/>
    <col width="8.7265625" customWidth="1" style="286" min="5890" max="6144"/>
    <col width="69.1796875" bestFit="1" customWidth="1" style="286" min="6145" max="6145"/>
    <col width="8.7265625" customWidth="1" style="286" min="6146" max="6400"/>
    <col width="69.1796875" bestFit="1" customWidth="1" style="286" min="6401" max="6401"/>
    <col width="8.7265625" customWidth="1" style="286" min="6402" max="6656"/>
    <col width="69.1796875" bestFit="1" customWidth="1" style="286" min="6657" max="6657"/>
    <col width="8.7265625" customWidth="1" style="286" min="6658" max="6912"/>
    <col width="69.1796875" bestFit="1" customWidth="1" style="286" min="6913" max="6913"/>
    <col width="8.7265625" customWidth="1" style="286" min="6914" max="7168"/>
    <col width="69.1796875" bestFit="1" customWidth="1" style="286" min="7169" max="7169"/>
    <col width="8.7265625" customWidth="1" style="286" min="7170" max="7424"/>
    <col width="69.1796875" bestFit="1" customWidth="1" style="286" min="7425" max="7425"/>
    <col width="8.7265625" customWidth="1" style="286" min="7426" max="7680"/>
    <col width="69.1796875" bestFit="1" customWidth="1" style="286" min="7681" max="7681"/>
    <col width="8.7265625" customWidth="1" style="286" min="7682" max="7936"/>
    <col width="69.1796875" bestFit="1" customWidth="1" style="286" min="7937" max="7937"/>
    <col width="8.7265625" customWidth="1" style="286" min="7938" max="8192"/>
    <col width="69.1796875" bestFit="1" customWidth="1" style="286" min="8193" max="8193"/>
    <col width="8.7265625" customWidth="1" style="286" min="8194" max="8448"/>
    <col width="69.1796875" bestFit="1" customWidth="1" style="286" min="8449" max="8449"/>
    <col width="8.7265625" customWidth="1" style="286" min="8450" max="8704"/>
    <col width="69.1796875" bestFit="1" customWidth="1" style="286" min="8705" max="8705"/>
    <col width="8.7265625" customWidth="1" style="286" min="8706" max="8960"/>
    <col width="69.1796875" bestFit="1" customWidth="1" style="286" min="8961" max="8961"/>
    <col width="8.7265625" customWidth="1" style="286" min="8962" max="9216"/>
    <col width="69.1796875" bestFit="1" customWidth="1" style="286" min="9217" max="9217"/>
    <col width="8.7265625" customWidth="1" style="286" min="9218" max="9472"/>
    <col width="69.1796875" bestFit="1" customWidth="1" style="286" min="9473" max="9473"/>
    <col width="8.7265625" customWidth="1" style="286" min="9474" max="9728"/>
    <col width="69.1796875" bestFit="1" customWidth="1" style="286" min="9729" max="9729"/>
    <col width="8.7265625" customWidth="1" style="286" min="9730" max="9984"/>
    <col width="69.1796875" bestFit="1" customWidth="1" style="286" min="9985" max="9985"/>
    <col width="8.7265625" customWidth="1" style="286" min="9986" max="10240"/>
    <col width="69.1796875" bestFit="1" customWidth="1" style="286" min="10241" max="10241"/>
    <col width="8.7265625" customWidth="1" style="286" min="10242" max="10496"/>
    <col width="69.1796875" bestFit="1" customWidth="1" style="286" min="10497" max="10497"/>
    <col width="8.7265625" customWidth="1" style="286" min="10498" max="10752"/>
    <col width="69.1796875" bestFit="1" customWidth="1" style="286" min="10753" max="10753"/>
    <col width="8.7265625" customWidth="1" style="286" min="10754" max="11008"/>
    <col width="69.1796875" bestFit="1" customWidth="1" style="286" min="11009" max="11009"/>
    <col width="8.7265625" customWidth="1" style="286" min="11010" max="11264"/>
    <col width="69.1796875" bestFit="1" customWidth="1" style="286" min="11265" max="11265"/>
    <col width="8.7265625" customWidth="1" style="286" min="11266" max="11520"/>
    <col width="69.1796875" bestFit="1" customWidth="1" style="286" min="11521" max="11521"/>
    <col width="8.7265625" customWidth="1" style="286" min="11522" max="11776"/>
    <col width="69.1796875" bestFit="1" customWidth="1" style="286" min="11777" max="11777"/>
    <col width="8.7265625" customWidth="1" style="286" min="11778" max="12032"/>
    <col width="69.1796875" bestFit="1" customWidth="1" style="286" min="12033" max="12033"/>
    <col width="8.7265625" customWidth="1" style="286" min="12034" max="12288"/>
    <col width="69.1796875" bestFit="1" customWidth="1" style="286" min="12289" max="12289"/>
    <col width="8.7265625" customWidth="1" style="286" min="12290" max="12544"/>
    <col width="69.1796875" bestFit="1" customWidth="1" style="286" min="12545" max="12545"/>
    <col width="8.7265625" customWidth="1" style="286" min="12546" max="12800"/>
    <col width="69.1796875" bestFit="1" customWidth="1" style="286" min="12801" max="12801"/>
    <col width="8.7265625" customWidth="1" style="286" min="12802" max="13056"/>
    <col width="69.1796875" bestFit="1" customWidth="1" style="286" min="13057" max="13057"/>
    <col width="8.7265625" customWidth="1" style="286" min="13058" max="13312"/>
    <col width="69.1796875" bestFit="1" customWidth="1" style="286" min="13313" max="13313"/>
    <col width="8.7265625" customWidth="1" style="286" min="13314" max="13568"/>
    <col width="69.1796875" bestFit="1" customWidth="1" style="286" min="13569" max="13569"/>
    <col width="8.7265625" customWidth="1" style="286" min="13570" max="13824"/>
    <col width="69.1796875" bestFit="1" customWidth="1" style="286" min="13825" max="13825"/>
    <col width="8.7265625" customWidth="1" style="286" min="13826" max="14080"/>
    <col width="69.1796875" bestFit="1" customWidth="1" style="286" min="14081" max="14081"/>
    <col width="8.7265625" customWidth="1" style="286" min="14082" max="14336"/>
    <col width="69.1796875" bestFit="1" customWidth="1" style="286" min="14337" max="14337"/>
    <col width="8.7265625" customWidth="1" style="286" min="14338" max="14592"/>
    <col width="69.1796875" bestFit="1" customWidth="1" style="286" min="14593" max="14593"/>
    <col width="8.7265625" customWidth="1" style="286" min="14594" max="14848"/>
    <col width="69.1796875" bestFit="1" customWidth="1" style="286" min="14849" max="14849"/>
    <col width="8.7265625" customWidth="1" style="286" min="14850" max="15104"/>
    <col width="69.1796875" bestFit="1" customWidth="1" style="286" min="15105" max="15105"/>
    <col width="8.7265625" customWidth="1" style="286" min="15106" max="15360"/>
    <col width="69.1796875" bestFit="1" customWidth="1" style="286" min="15361" max="15361"/>
    <col width="8.7265625" customWidth="1" style="286" min="15362" max="15616"/>
    <col width="69.1796875" bestFit="1" customWidth="1" style="286" min="15617" max="15617"/>
    <col width="8.7265625" customWidth="1" style="286" min="15618" max="15872"/>
    <col width="69.1796875" bestFit="1" customWidth="1" style="286" min="15873" max="15873"/>
    <col width="8.7265625" customWidth="1" style="286" min="15874" max="16128"/>
    <col width="69.1796875" bestFit="1" customWidth="1" style="286" min="16129" max="16129"/>
    <col width="8.726562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B7" sqref="B7"/>
    </sheetView>
  </sheetViews>
  <sheetFormatPr baseColWidth="8" defaultColWidth="8.7265625" defaultRowHeight="14.5"/>
  <cols>
    <col width="8.7265625" customWidth="1" style="42" min="1" max="1"/>
    <col width="51.453125" customWidth="1" style="1" min="2" max="2"/>
    <col width="7.1796875" customWidth="1" style="42" min="3" max="3"/>
    <col hidden="1" width="7.1796875" customWidth="1" style="42" min="4" max="5"/>
    <col width="8.7265625" customWidth="1" style="42" min="6" max="7"/>
    <col width="11.1796875" customWidth="1" style="42" min="8" max="8"/>
    <col width="8.7265625" customWidth="1" style="42" min="9" max="23"/>
    <col width="10.81640625" customWidth="1" style="42" min="24" max="24"/>
    <col width="10.7265625" customWidth="1" style="42" min="25" max="25"/>
    <col width="8.7265625" customWidth="1" style="42" min="26" max="29"/>
    <col width="8.7265625" customWidth="1" style="146" min="30" max="30"/>
    <col width="8.7265625" customWidth="1" style="42" min="31" max="39"/>
    <col width="14.1796875" customWidth="1" style="42" min="40" max="40"/>
    <col width="8.7265625" customWidth="1" style="42" min="41" max="45"/>
    <col width="8.7265625" customWidth="1" style="42" min="46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63" t="inlineStr">
        <is>
          <t>Ultra Short Duration Fund</t>
        </is>
      </c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0" t="n"/>
      <c r="AC4" s="360" t="n"/>
      <c r="AD4" s="360" t="n"/>
      <c r="AE4" s="360" t="n"/>
      <c r="AF4" s="360" t="n"/>
      <c r="AG4" s="360" t="n"/>
      <c r="AH4" s="360" t="n"/>
      <c r="AI4" s="360" t="n"/>
      <c r="AJ4" s="360" t="n"/>
      <c r="AK4" s="360" t="n"/>
      <c r="AL4" s="360" t="n"/>
      <c r="AM4" s="360" t="n"/>
      <c r="AN4" s="330" t="n"/>
    </row>
    <row r="5" ht="15" customHeight="1" thickBot="1">
      <c r="B5" s="262" t="n"/>
      <c r="C5" s="189" t="n"/>
      <c r="D5" s="189" t="n"/>
      <c r="E5" s="189" t="n"/>
      <c r="F5" s="378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80" t="n"/>
      <c r="W5" s="378" t="n"/>
      <c r="X5" s="379" t="n"/>
      <c r="Y5" s="379" t="n"/>
      <c r="Z5" s="379" t="n"/>
      <c r="AA5" s="379" t="n"/>
      <c r="AB5" s="379" t="n"/>
      <c r="AC5" s="379" t="n"/>
      <c r="AD5" s="379" t="n"/>
      <c r="AE5" s="379" t="n"/>
      <c r="AF5" s="379" t="n"/>
      <c r="AG5" s="379" t="n"/>
      <c r="AH5" s="379" t="n"/>
      <c r="AI5" s="379" t="n"/>
      <c r="AJ5" s="379" t="n"/>
      <c r="AK5" s="379" t="n"/>
      <c r="AL5" s="379" t="n"/>
      <c r="AM5" s="380" t="n"/>
      <c r="AN5" s="376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77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6.72</v>
      </c>
      <c r="G7" s="248" t="n">
        <v>0.49</v>
      </c>
      <c r="H7" s="249" t="n">
        <v>0.53</v>
      </c>
      <c r="I7" s="249" t="n">
        <v>7.96</v>
      </c>
      <c r="J7" s="249" t="n">
        <v>8.44</v>
      </c>
      <c r="K7" s="249" t="n">
        <v>8.18</v>
      </c>
      <c r="L7" s="249" t="n">
        <v>8.119999999999999</v>
      </c>
      <c r="M7" s="249" t="n">
        <v>7.77</v>
      </c>
      <c r="N7" s="249" t="n">
        <v>7.37</v>
      </c>
      <c r="O7" s="249" t="n">
        <v>6.11</v>
      </c>
      <c r="P7" s="249" t="n">
        <v>7.14</v>
      </c>
      <c r="Q7" s="84" t="n">
        <v>9.35</v>
      </c>
      <c r="R7" s="84" t="n">
        <v>51.88</v>
      </c>
      <c r="S7" s="84" t="n">
        <v>21.6</v>
      </c>
      <c r="T7" s="84" t="n">
        <v>12.87</v>
      </c>
      <c r="U7" s="84" t="n">
        <v>-0.12</v>
      </c>
      <c r="V7" s="84" t="n">
        <v>4.18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6.48</v>
      </c>
      <c r="G8" s="248" t="n">
        <v>0.45</v>
      </c>
      <c r="H8" s="249" t="n">
        <v>0.48</v>
      </c>
      <c r="I8" s="249" t="n">
        <v>7.17</v>
      </c>
      <c r="J8" s="249" t="n">
        <v>7.9</v>
      </c>
      <c r="K8" s="249" t="n">
        <v>7.57</v>
      </c>
      <c r="L8" s="249" t="n">
        <v>7.56</v>
      </c>
      <c r="M8" s="249" t="n">
        <v>7.37</v>
      </c>
      <c r="N8" s="249" t="n">
        <v>7.05</v>
      </c>
      <c r="O8" s="249" t="n">
        <v>5.73</v>
      </c>
      <c r="P8" s="249" t="n">
        <v>0</v>
      </c>
      <c r="Q8" s="84" t="n">
        <v>9.699999999999999</v>
      </c>
      <c r="R8" s="84" t="n">
        <v>76.23999999999999</v>
      </c>
      <c r="S8" s="84" t="n">
        <v>4.3</v>
      </c>
      <c r="T8" s="84" t="n">
        <v>5.12</v>
      </c>
      <c r="U8" s="84" t="n">
        <v>0</v>
      </c>
      <c r="V8" s="84" t="n">
        <v>4.41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6.79</v>
      </c>
      <c r="G10" s="248" t="n">
        <v>0.45</v>
      </c>
      <c r="H10" s="249" t="n">
        <v>0.48</v>
      </c>
      <c r="I10" s="249" t="n">
        <v>7.44</v>
      </c>
      <c r="J10" s="249" t="n">
        <v>8.029999999999999</v>
      </c>
      <c r="K10" s="249" t="n">
        <v>7.67</v>
      </c>
      <c r="L10" s="249" t="n">
        <v>7.61</v>
      </c>
      <c r="M10" s="249" t="n">
        <v>7.4</v>
      </c>
      <c r="N10" s="249" t="n">
        <v>7.08</v>
      </c>
      <c r="O10" s="249" t="n">
        <v>5.93</v>
      </c>
      <c r="P10" s="249" t="n">
        <v>7.03</v>
      </c>
      <c r="Q10" s="84" t="n">
        <v>9.83</v>
      </c>
      <c r="R10" s="84" t="n">
        <v>71.06</v>
      </c>
      <c r="S10" s="84" t="n">
        <v>8.73</v>
      </c>
      <c r="T10" s="84" t="n">
        <v>9.539999999999999</v>
      </c>
      <c r="U10" s="84" t="n">
        <v>-21.03</v>
      </c>
      <c r="V10" s="84" t="n">
        <v>21.63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6.49</v>
      </c>
      <c r="G11" s="248" t="n">
        <v>0.45</v>
      </c>
      <c r="H11" s="249" t="n">
        <v>0.46</v>
      </c>
      <c r="I11" s="249" t="n">
        <v>7.15</v>
      </c>
      <c r="J11" s="249" t="n">
        <v>7.83</v>
      </c>
      <c r="K11" s="249" t="n">
        <v>7.45</v>
      </c>
      <c r="L11" s="249" t="n">
        <v>7.42</v>
      </c>
      <c r="M11" s="249" t="n">
        <v>7.19</v>
      </c>
      <c r="N11" s="249" t="n">
        <v>6.9</v>
      </c>
      <c r="O11" s="249" t="n">
        <v>5.52</v>
      </c>
      <c r="P11" s="249" t="n">
        <v>6.54</v>
      </c>
      <c r="Q11" s="84" t="n">
        <v>14.94</v>
      </c>
      <c r="R11" s="84" t="n">
        <v>75.61</v>
      </c>
      <c r="S11" s="84" t="n">
        <v>5.52</v>
      </c>
      <c r="T11" s="84" t="n">
        <v>3.47</v>
      </c>
      <c r="U11" s="84" t="n">
        <v>0</v>
      </c>
      <c r="V11" s="84" t="n">
        <v>0.19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6.71</v>
      </c>
      <c r="G12" s="248" t="n">
        <v>0.45</v>
      </c>
      <c r="H12" s="249" t="n">
        <v>0.49</v>
      </c>
      <c r="I12" s="249" t="n">
        <v>7.03</v>
      </c>
      <c r="J12" s="249" t="n">
        <v>7.69</v>
      </c>
      <c r="K12" s="249" t="n">
        <v>7.39</v>
      </c>
      <c r="L12" s="249" t="n">
        <v>7.36</v>
      </c>
      <c r="M12" s="249" t="n">
        <v>7.16</v>
      </c>
      <c r="N12" s="249" t="n">
        <v>6.83</v>
      </c>
      <c r="O12" s="249" t="n">
        <v>6.76</v>
      </c>
      <c r="P12" s="249" t="n">
        <v>5.92</v>
      </c>
      <c r="Q12" s="84" t="n">
        <v>10.01</v>
      </c>
      <c r="R12" s="84" t="n">
        <v>71.86</v>
      </c>
      <c r="S12" s="84" t="n">
        <v>2.33</v>
      </c>
      <c r="T12" s="84" t="n">
        <v>12.75</v>
      </c>
      <c r="U12" s="84" t="n">
        <v>-0.06</v>
      </c>
      <c r="V12" s="84" t="n">
        <v>2.88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6.46</v>
      </c>
      <c r="G13" s="251" t="n">
        <v>0.45</v>
      </c>
      <c r="H13" s="250" t="n">
        <v>0.46</v>
      </c>
      <c r="I13" s="250" t="n">
        <v>6.91</v>
      </c>
      <c r="J13" s="250" t="n">
        <v>7.58</v>
      </c>
      <c r="K13" s="250" t="n">
        <v>7.28</v>
      </c>
      <c r="L13" s="250" t="n">
        <v>7.33</v>
      </c>
      <c r="M13" s="250" t="n">
        <v>7.13</v>
      </c>
      <c r="N13" s="250" t="n">
        <v>6.81</v>
      </c>
      <c r="O13" s="250" t="n">
        <v>6.07</v>
      </c>
      <c r="P13" s="250" t="n">
        <v>6.29</v>
      </c>
      <c r="Q13" s="92" t="n">
        <v>8.699999999999999</v>
      </c>
      <c r="R13" s="92" t="n">
        <v>73.15000000000001</v>
      </c>
      <c r="S13" s="92" t="n">
        <v>7.47</v>
      </c>
      <c r="T13" s="92" t="n">
        <v>4.57</v>
      </c>
      <c r="U13" s="92" t="n">
        <v>0</v>
      </c>
      <c r="V13" s="92" t="n">
        <v>5.93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63" t="inlineStr">
        <is>
          <t>Low Duration Fund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330" t="n"/>
    </row>
    <row r="17" ht="15" customHeight="1" thickBot="1">
      <c r="B17" s="262" t="n"/>
      <c r="C17" s="189" t="n"/>
      <c r="D17" s="189" t="n"/>
      <c r="E17" s="189" t="n"/>
      <c r="F17" s="378" t="n"/>
      <c r="G17" s="379" t="n"/>
      <c r="H17" s="379" t="n"/>
      <c r="I17" s="379" t="n"/>
      <c r="J17" s="379" t="n"/>
      <c r="K17" s="379" t="n"/>
      <c r="L17" s="379" t="n"/>
      <c r="M17" s="379" t="n"/>
      <c r="N17" s="379" t="n"/>
      <c r="O17" s="379" t="n"/>
      <c r="P17" s="379" t="n"/>
      <c r="Q17" s="379" t="n"/>
      <c r="R17" s="379" t="n"/>
      <c r="S17" s="379" t="n"/>
      <c r="T17" s="379" t="n"/>
      <c r="U17" s="379" t="n"/>
      <c r="V17" s="380" t="n"/>
      <c r="W17" s="378" t="n"/>
      <c r="X17" s="379" t="n"/>
      <c r="Y17" s="379" t="n"/>
      <c r="Z17" s="379" t="n"/>
      <c r="AA17" s="379" t="n"/>
      <c r="AB17" s="379" t="n"/>
      <c r="AC17" s="379" t="n"/>
      <c r="AD17" s="379" t="n"/>
      <c r="AE17" s="379" t="n"/>
      <c r="AF17" s="379" t="n"/>
      <c r="AG17" s="379" t="n"/>
      <c r="AH17" s="379" t="n"/>
      <c r="AI17" s="379" t="n"/>
      <c r="AJ17" s="379" t="n"/>
      <c r="AK17" s="379" t="n"/>
      <c r="AL17" s="379" t="n"/>
      <c r="AM17" s="380" t="n"/>
      <c r="AN17" s="376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77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6.87</v>
      </c>
      <c r="G19" s="248" t="n">
        <v>0.86</v>
      </c>
      <c r="H19" s="249" t="n">
        <v>0.91</v>
      </c>
      <c r="I19" s="248" t="n">
        <v>8.02</v>
      </c>
      <c r="J19" s="248" t="n">
        <v>8.94</v>
      </c>
      <c r="K19" s="248" t="n">
        <v>8.32</v>
      </c>
      <c r="L19" s="248" t="n">
        <v>8.34</v>
      </c>
      <c r="M19" s="248" t="n">
        <v>8.029999999999999</v>
      </c>
      <c r="N19" s="248" t="n">
        <v>7.94</v>
      </c>
      <c r="O19" s="248" t="n">
        <v>6.34</v>
      </c>
      <c r="P19" s="248" t="n">
        <v>7.31</v>
      </c>
      <c r="Q19" s="248" t="n">
        <v>11.93</v>
      </c>
      <c r="R19" s="248" t="n">
        <v>69.13</v>
      </c>
      <c r="S19" s="248" t="n">
        <v>7.39</v>
      </c>
      <c r="T19" s="248" t="n">
        <v>6.6</v>
      </c>
      <c r="U19" s="248" t="n">
        <v>-9.1</v>
      </c>
      <c r="V19" s="248" t="n">
        <v>13.79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6.87</v>
      </c>
      <c r="G20" s="248" t="n">
        <v>0.9</v>
      </c>
      <c r="H20" s="249" t="n">
        <v>0.97</v>
      </c>
      <c r="I20" s="248" t="n">
        <v>7.77</v>
      </c>
      <c r="J20" s="248" t="n">
        <v>8.68</v>
      </c>
      <c r="K20" s="248" t="n">
        <v>7.92</v>
      </c>
      <c r="L20" s="248" t="n">
        <v>7.92</v>
      </c>
      <c r="M20" s="248" t="n">
        <v>7.54</v>
      </c>
      <c r="N20" s="248" t="n">
        <v>7.24</v>
      </c>
      <c r="O20" s="248" t="n">
        <v>5.98</v>
      </c>
      <c r="P20" s="248" t="n">
        <v>6.76</v>
      </c>
      <c r="Q20" s="248" t="n">
        <v>11.6</v>
      </c>
      <c r="R20" s="248" t="n">
        <v>73.09</v>
      </c>
      <c r="S20" s="248" t="n">
        <v>2.37</v>
      </c>
      <c r="T20" s="248" t="n">
        <v>8.76</v>
      </c>
      <c r="U20" s="248" t="n">
        <v>0</v>
      </c>
      <c r="V20" s="248" t="n">
        <v>3.95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6.78</v>
      </c>
      <c r="G22" s="248" t="n">
        <v>0.93</v>
      </c>
      <c r="H22" s="249" t="n">
        <v>1.02</v>
      </c>
      <c r="I22" s="248" t="n">
        <v>7.63</v>
      </c>
      <c r="J22" s="248" t="n">
        <v>8.35</v>
      </c>
      <c r="K22" s="248" t="n">
        <v>7.69</v>
      </c>
      <c r="L22" s="248" t="n">
        <v>7.66</v>
      </c>
      <c r="M22" s="248" t="n">
        <v>7.22</v>
      </c>
      <c r="N22" s="248" t="n">
        <v>6.91</v>
      </c>
      <c r="O22" s="248" t="n">
        <v>5.7</v>
      </c>
      <c r="P22" s="248" t="n">
        <v>6.73</v>
      </c>
      <c r="Q22" s="248" t="n">
        <v>9.06</v>
      </c>
      <c r="R22" s="248" t="n">
        <v>72.34999999999999</v>
      </c>
      <c r="S22" s="248" t="n">
        <v>7.69</v>
      </c>
      <c r="T22" s="248" t="n">
        <v>8.380000000000001</v>
      </c>
      <c r="U22" s="248" t="n">
        <v>-0.08</v>
      </c>
      <c r="V22" s="248" t="n">
        <v>2.33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6.84</v>
      </c>
      <c r="G23" s="248" t="n">
        <v>0.85</v>
      </c>
      <c r="H23" s="249" t="n">
        <v>0.9</v>
      </c>
      <c r="I23" s="248" t="n">
        <v>7.71</v>
      </c>
      <c r="J23" s="248" t="n">
        <v>8.52</v>
      </c>
      <c r="K23" s="248" t="n">
        <v>7.88</v>
      </c>
      <c r="L23" s="248" t="n">
        <v>7.88</v>
      </c>
      <c r="M23" s="248" t="n">
        <v>7.36</v>
      </c>
      <c r="N23" s="248" t="n">
        <v>7.05</v>
      </c>
      <c r="O23" s="248" t="n">
        <v>5.69</v>
      </c>
      <c r="P23" s="248" t="n">
        <v>6.95</v>
      </c>
      <c r="Q23" s="248" t="n">
        <v>11.47</v>
      </c>
      <c r="R23" s="248" t="n">
        <v>72.3</v>
      </c>
      <c r="S23" s="248" t="n">
        <v>7.81</v>
      </c>
      <c r="T23" s="248" t="n">
        <v>5.57</v>
      </c>
      <c r="U23" s="248" t="n">
        <v>0</v>
      </c>
      <c r="V23" s="248" t="n">
        <v>2.59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6.84</v>
      </c>
      <c r="G24" s="248" t="n">
        <v>0.89</v>
      </c>
      <c r="H24" s="249" t="n">
        <v>0.9399999999999999</v>
      </c>
      <c r="I24" s="248" t="n">
        <v>7.83</v>
      </c>
      <c r="J24" s="248" t="n">
        <v>8.58</v>
      </c>
      <c r="K24" s="248" t="n">
        <v>7.96</v>
      </c>
      <c r="L24" s="248" t="n">
        <v>7.99</v>
      </c>
      <c r="M24" s="248" t="n">
        <v>7.45</v>
      </c>
      <c r="N24" s="248" t="n">
        <v>7.03</v>
      </c>
      <c r="O24" s="248" t="n">
        <v>5.9</v>
      </c>
      <c r="P24" s="248" t="n">
        <v>6.73</v>
      </c>
      <c r="Q24" s="248" t="n">
        <v>11.86</v>
      </c>
      <c r="R24" s="248" t="n">
        <v>69.65000000000001</v>
      </c>
      <c r="S24" s="248" t="n">
        <v>5.86</v>
      </c>
      <c r="T24" s="248" t="n">
        <v>7.77</v>
      </c>
      <c r="U24" s="248" t="n">
        <v>-0.07000000000000001</v>
      </c>
      <c r="V24" s="248" t="n">
        <v>4.64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6.59</v>
      </c>
      <c r="G25" s="251" t="n">
        <v>0.91</v>
      </c>
      <c r="H25" s="250" t="n">
        <v>0.96</v>
      </c>
      <c r="I25" s="251" t="n">
        <v>7.99</v>
      </c>
      <c r="J25" s="251" t="n">
        <v>8.92</v>
      </c>
      <c r="K25" s="251" t="n">
        <v>8.220000000000001</v>
      </c>
      <c r="L25" s="251" t="n">
        <v>8.32</v>
      </c>
      <c r="M25" s="251" t="n">
        <v>7.75</v>
      </c>
      <c r="N25" s="251" t="n">
        <v>7.36</v>
      </c>
      <c r="O25" s="251" t="n">
        <v>7.01</v>
      </c>
      <c r="P25" s="251" t="n">
        <v>6.24</v>
      </c>
      <c r="Q25" s="251" t="n">
        <v>13.23</v>
      </c>
      <c r="R25" s="251" t="n">
        <v>66.62</v>
      </c>
      <c r="S25" s="251" t="n">
        <v>10.08</v>
      </c>
      <c r="T25" s="251" t="n">
        <v>7.24</v>
      </c>
      <c r="U25" s="248" t="n">
        <v>0</v>
      </c>
      <c r="V25" s="251" t="n">
        <v>2.53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63" t="inlineStr">
        <is>
          <t>Short Duration Fund</t>
        </is>
      </c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30" t="n"/>
    </row>
    <row r="29" ht="15" customHeight="1" thickBot="1">
      <c r="B29" s="262" t="n"/>
      <c r="C29" s="189" t="n"/>
      <c r="D29" s="189" t="n"/>
      <c r="E29" s="189" t="n"/>
      <c r="F29" s="378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79" t="n"/>
      <c r="S29" s="379" t="n"/>
      <c r="T29" s="379" t="n"/>
      <c r="U29" s="379" t="n"/>
      <c r="V29" s="380" t="n"/>
      <c r="W29" s="378" t="n"/>
      <c r="X29" s="379" t="n"/>
      <c r="Y29" s="379" t="n"/>
      <c r="Z29" s="379" t="n"/>
      <c r="AA29" s="379" t="n"/>
      <c r="AB29" s="379" t="n"/>
      <c r="AC29" s="379" t="n"/>
      <c r="AD29" s="379" t="n"/>
      <c r="AE29" s="379" t="n"/>
      <c r="AF29" s="379" t="n"/>
      <c r="AG29" s="379" t="n"/>
      <c r="AH29" s="379" t="n"/>
      <c r="AI29" s="379" t="n"/>
      <c r="AJ29" s="379" t="n"/>
      <c r="AK29" s="379" t="n"/>
      <c r="AL29" s="379" t="n"/>
      <c r="AM29" s="380" t="n"/>
      <c r="AN29" s="376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77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7.18</v>
      </c>
      <c r="G31" s="248" t="n">
        <v>1.98</v>
      </c>
      <c r="H31" s="249" t="n">
        <v>2.09</v>
      </c>
      <c r="I31" s="248" t="n">
        <v>8.06</v>
      </c>
      <c r="J31" s="248" t="n">
        <v>10.18</v>
      </c>
      <c r="K31" s="248" t="n">
        <v>8.949999999999999</v>
      </c>
      <c r="L31" s="248" t="n">
        <v>8.98</v>
      </c>
      <c r="M31" s="248" t="n">
        <v>8.19</v>
      </c>
      <c r="N31" s="248" t="n">
        <v>7.98</v>
      </c>
      <c r="O31" s="248" t="n">
        <v>6.44</v>
      </c>
      <c r="P31" s="248" t="n">
        <v>7.6</v>
      </c>
      <c r="Q31" s="248" t="n">
        <v>15.79</v>
      </c>
      <c r="R31" s="248" t="n">
        <v>61.52</v>
      </c>
      <c r="S31" s="248" t="n">
        <v>10.83</v>
      </c>
      <c r="T31" s="248" t="n">
        <v>8.73</v>
      </c>
      <c r="U31" s="248" t="n">
        <v>-4.19</v>
      </c>
      <c r="V31" s="248" t="n">
        <v>7.05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6.75</v>
      </c>
      <c r="G32" s="248" t="n">
        <v>2.25</v>
      </c>
      <c r="H32" s="249" t="n">
        <v>2.38</v>
      </c>
      <c r="I32" s="248" t="n">
        <v>7.3</v>
      </c>
      <c r="J32" s="248" t="n">
        <v>10.02</v>
      </c>
      <c r="K32" s="248" t="n">
        <v>8.6</v>
      </c>
      <c r="L32" s="248" t="n">
        <v>8.91</v>
      </c>
      <c r="M32" s="248" t="n">
        <v>7.88</v>
      </c>
      <c r="N32" s="248" t="n">
        <v>7.35</v>
      </c>
      <c r="O32" s="248" t="n">
        <v>5.68</v>
      </c>
      <c r="P32" s="248" t="n">
        <v>7.01</v>
      </c>
      <c r="Q32" s="248" t="n">
        <v>22.88</v>
      </c>
      <c r="R32" s="248" t="n">
        <v>71.18000000000001</v>
      </c>
      <c r="S32" s="248" t="n">
        <v>0</v>
      </c>
      <c r="T32" s="248" t="n">
        <v>0</v>
      </c>
      <c r="U32" s="248" t="n">
        <v>0</v>
      </c>
      <c r="V32" s="248" t="n">
        <v>5.68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6.88</v>
      </c>
      <c r="G33" s="248" t="n">
        <v>2.53</v>
      </c>
      <c r="H33" s="249" t="n">
        <v>2.68</v>
      </c>
      <c r="I33" s="248" t="n">
        <v>8.15</v>
      </c>
      <c r="J33" s="248" t="n">
        <v>10.27</v>
      </c>
      <c r="K33" s="248" t="n">
        <v>8.960000000000001</v>
      </c>
      <c r="L33" s="248" t="n">
        <v>9.220000000000001</v>
      </c>
      <c r="M33" s="248" t="n">
        <v>8.35</v>
      </c>
      <c r="N33" s="248" t="n">
        <v>7.85</v>
      </c>
      <c r="O33" s="248" t="n">
        <v>6.28</v>
      </c>
      <c r="P33" s="248" t="n">
        <v>7.52</v>
      </c>
      <c r="Q33" s="248" t="n">
        <v>16.27</v>
      </c>
      <c r="R33" s="248" t="n">
        <v>66.97</v>
      </c>
      <c r="S33" s="248" t="n">
        <v>6.63</v>
      </c>
      <c r="T33" s="248" t="n">
        <v>5.31</v>
      </c>
      <c r="U33" s="248" t="n">
        <v>0</v>
      </c>
      <c r="V33" s="248" t="n">
        <v>4.58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6.84</v>
      </c>
      <c r="G34" s="248" t="n">
        <v>2.46</v>
      </c>
      <c r="H34" s="249" t="n">
        <v>2.59</v>
      </c>
      <c r="I34" s="248" t="n">
        <v>8.15</v>
      </c>
      <c r="J34" s="248" t="n">
        <v>10.46</v>
      </c>
      <c r="K34" s="248" t="n">
        <v>9.01</v>
      </c>
      <c r="L34" s="248" t="n">
        <v>9.140000000000001</v>
      </c>
      <c r="M34" s="248" t="n">
        <v>7.99</v>
      </c>
      <c r="N34" s="248" t="n">
        <v>7.46</v>
      </c>
      <c r="O34" s="248" t="n">
        <v>5.75</v>
      </c>
      <c r="P34" s="248" t="n">
        <v>7.07</v>
      </c>
      <c r="Q34" s="248" t="n">
        <v>14.14</v>
      </c>
      <c r="R34" s="248" t="n">
        <v>67.54000000000001</v>
      </c>
      <c r="S34" s="248" t="n">
        <v>8.69</v>
      </c>
      <c r="T34" s="248" t="n">
        <v>3.74</v>
      </c>
      <c r="U34" s="248" t="n">
        <v>0</v>
      </c>
      <c r="V34" s="248" t="n">
        <v>5.66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</v>
      </c>
      <c r="G35" s="248" t="n">
        <v>2.87</v>
      </c>
      <c r="H35" s="249" t="n">
        <v>3.08</v>
      </c>
      <c r="I35" s="248" t="n">
        <v>7.64</v>
      </c>
      <c r="J35" s="248" t="n">
        <v>10.02</v>
      </c>
      <c r="K35" s="248" t="n">
        <v>8.81</v>
      </c>
      <c r="L35" s="248" t="n">
        <v>9.02</v>
      </c>
      <c r="M35" s="248" t="n">
        <v>8.029999999999999</v>
      </c>
      <c r="N35" s="248" t="n">
        <v>7.56</v>
      </c>
      <c r="O35" s="248" t="n">
        <v>6.47</v>
      </c>
      <c r="P35" s="248" t="n">
        <v>7.47</v>
      </c>
      <c r="Q35" s="248" t="n">
        <v>10.7</v>
      </c>
      <c r="R35" s="248" t="n">
        <v>72.17</v>
      </c>
      <c r="S35" s="248" t="n">
        <v>6.5</v>
      </c>
      <c r="T35" s="248" t="n">
        <v>8.42</v>
      </c>
      <c r="U35" s="248" t="n">
        <v>0.01</v>
      </c>
      <c r="V35" s="248" t="n">
        <v>1.97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7.03</v>
      </c>
      <c r="G36" s="248" t="n">
        <v>2.69</v>
      </c>
      <c r="H36" s="249" t="n">
        <v>2.83</v>
      </c>
      <c r="I36" s="248" t="n">
        <v>8.35</v>
      </c>
      <c r="J36" s="248" t="n">
        <v>10.54</v>
      </c>
      <c r="K36" s="248" t="n">
        <v>9.23</v>
      </c>
      <c r="L36" s="248" t="n">
        <v>9.41</v>
      </c>
      <c r="M36" s="248" t="n">
        <v>8.220000000000001</v>
      </c>
      <c r="N36" s="248" t="n">
        <v>7.61</v>
      </c>
      <c r="O36" s="248" t="n">
        <v>6.19</v>
      </c>
      <c r="P36" s="248" t="n">
        <v>7.13</v>
      </c>
      <c r="Q36" s="248" t="n">
        <v>25.18</v>
      </c>
      <c r="R36" s="248" t="n">
        <v>61.22</v>
      </c>
      <c r="S36" s="248" t="n">
        <v>6</v>
      </c>
      <c r="T36" s="248" t="n">
        <v>5.48</v>
      </c>
      <c r="U36" s="248" t="n">
        <v>-0.07000000000000001</v>
      </c>
      <c r="V36" s="248" t="n">
        <v>1.94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6.76</v>
      </c>
      <c r="G37" s="251" t="n">
        <v>2.6</v>
      </c>
      <c r="H37" s="250" t="n">
        <v>2.74</v>
      </c>
      <c r="I37" s="251" t="n">
        <v>7.87</v>
      </c>
      <c r="J37" s="251" t="n">
        <v>9.93</v>
      </c>
      <c r="K37" s="251" t="n">
        <v>8.529999999999999</v>
      </c>
      <c r="L37" s="251" t="n">
        <v>8.859999999999999</v>
      </c>
      <c r="M37" s="251" t="n">
        <v>7.98</v>
      </c>
      <c r="N37" s="251" t="n">
        <v>7.55</v>
      </c>
      <c r="O37" s="251" t="n">
        <v>6.96</v>
      </c>
      <c r="P37" s="251" t="n">
        <v>6.43</v>
      </c>
      <c r="Q37" s="251" t="n">
        <v>11.14</v>
      </c>
      <c r="R37" s="251" t="n">
        <v>74.7</v>
      </c>
      <c r="S37" s="251" t="n">
        <v>6.32</v>
      </c>
      <c r="T37" s="251" t="n">
        <v>2.79</v>
      </c>
      <c r="U37" s="251" t="n">
        <v>0</v>
      </c>
      <c r="V37" s="251" t="n">
        <v>4.82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63" t="inlineStr">
        <is>
          <t>Medium Duration Fund</t>
        </is>
      </c>
      <c r="C39" s="360" t="n"/>
      <c r="D39" s="360" t="n"/>
      <c r="E39" s="360" t="n"/>
      <c r="F39" s="360" t="n"/>
      <c r="G39" s="360" t="n"/>
      <c r="H39" s="360" t="n"/>
      <c r="I39" s="360" t="n"/>
      <c r="J39" s="360" t="n"/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0" t="n"/>
      <c r="AB39" s="360" t="n"/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30" t="n"/>
    </row>
    <row r="40" ht="15" customHeight="1" thickBot="1">
      <c r="B40" s="262" t="n"/>
      <c r="C40" s="189" t="n"/>
      <c r="D40" s="189" t="n"/>
      <c r="E40" s="189" t="n"/>
      <c r="F40" s="378" t="n"/>
      <c r="G40" s="379" t="n"/>
      <c r="H40" s="379" t="n"/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79" t="n"/>
      <c r="S40" s="379" t="n"/>
      <c r="T40" s="379" t="n"/>
      <c r="U40" s="379" t="n"/>
      <c r="V40" s="380" t="n"/>
      <c r="W40" s="378" t="n"/>
      <c r="X40" s="379" t="n"/>
      <c r="Y40" s="379" t="n"/>
      <c r="Z40" s="379" t="n"/>
      <c r="AA40" s="379" t="n"/>
      <c r="AB40" s="379" t="n"/>
      <c r="AC40" s="379" t="n"/>
      <c r="AD40" s="379" t="n"/>
      <c r="AE40" s="379" t="n"/>
      <c r="AF40" s="379" t="n"/>
      <c r="AG40" s="379" t="n"/>
      <c r="AH40" s="379" t="n"/>
      <c r="AI40" s="379" t="n"/>
      <c r="AJ40" s="379" t="n"/>
      <c r="AK40" s="379" t="n"/>
      <c r="AL40" s="379" t="n"/>
      <c r="AM40" s="380" t="n"/>
      <c r="AN40" s="376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77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7.69</v>
      </c>
      <c r="G43" s="248" t="n">
        <v>2.91</v>
      </c>
      <c r="H43" s="249" t="n">
        <v>3.05</v>
      </c>
      <c r="I43" s="248" t="n">
        <v>8.59</v>
      </c>
      <c r="J43" s="248" t="n">
        <v>10.6</v>
      </c>
      <c r="K43" s="248" t="n">
        <v>9.390000000000001</v>
      </c>
      <c r="L43" s="248" t="n">
        <v>9.5</v>
      </c>
      <c r="M43" s="248" t="n">
        <v>8.25</v>
      </c>
      <c r="N43" s="248" t="n">
        <v>7.92</v>
      </c>
      <c r="O43" s="248" t="n">
        <v>6.95</v>
      </c>
      <c r="P43" s="248" t="n">
        <v>7.54</v>
      </c>
      <c r="Q43" s="248" t="n">
        <v>17.85</v>
      </c>
      <c r="R43" s="248" t="n">
        <v>16.93</v>
      </c>
      <c r="S43" s="248" t="n">
        <v>19.61</v>
      </c>
      <c r="T43" s="248" t="n">
        <v>34.22</v>
      </c>
      <c r="U43" s="248" t="n">
        <v>-1.32</v>
      </c>
      <c r="V43" s="248" t="n">
        <v>12.39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7.34</v>
      </c>
      <c r="G44" s="248" t="n">
        <v>3.6</v>
      </c>
      <c r="H44" s="249" t="n">
        <v>3.78</v>
      </c>
      <c r="I44" s="248" t="n">
        <v>7.15</v>
      </c>
      <c r="J44" s="248" t="n">
        <v>10.09</v>
      </c>
      <c r="K44" s="248" t="n">
        <v>8.48</v>
      </c>
      <c r="L44" s="248" t="n">
        <v>8.970000000000001</v>
      </c>
      <c r="M44" s="248" t="n">
        <v>7.97</v>
      </c>
      <c r="N44" s="248" t="n">
        <v>7.65</v>
      </c>
      <c r="O44" s="248" t="n">
        <v>6.48</v>
      </c>
      <c r="P44" s="248" t="n">
        <v>7.3</v>
      </c>
      <c r="Q44" s="248" t="n">
        <v>24.56</v>
      </c>
      <c r="R44" s="248" t="n">
        <v>27.03</v>
      </c>
      <c r="S44" s="248" t="n">
        <v>14.59</v>
      </c>
      <c r="T44" s="248" t="n">
        <v>26.87</v>
      </c>
      <c r="U44" s="248" t="n">
        <v>0</v>
      </c>
      <c r="V44" s="248" t="n">
        <v>6.65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7.52</v>
      </c>
      <c r="G45" s="248" t="n">
        <v>3.63</v>
      </c>
      <c r="H45" s="249" t="n">
        <v>3.82</v>
      </c>
      <c r="I45" s="248" t="n">
        <v>9.220000000000001</v>
      </c>
      <c r="J45" s="248" t="n">
        <v>15.43</v>
      </c>
      <c r="K45" s="248" t="n">
        <v>12.47</v>
      </c>
      <c r="L45" s="248" t="n">
        <v>13.88</v>
      </c>
      <c r="M45" s="248" t="n">
        <v>10.59</v>
      </c>
      <c r="N45" s="248" t="n">
        <v>9.57</v>
      </c>
      <c r="O45" s="248" t="n">
        <v>12.23</v>
      </c>
      <c r="P45" s="248" t="n">
        <v>8.69</v>
      </c>
      <c r="Q45" s="248" t="n">
        <v>25.82</v>
      </c>
      <c r="R45" s="248" t="n">
        <v>24.13</v>
      </c>
      <c r="S45" s="248" t="n">
        <v>6.52</v>
      </c>
      <c r="T45" s="248" t="n">
        <v>32.69</v>
      </c>
      <c r="U45" s="248" t="n">
        <v>3.71</v>
      </c>
      <c r="V45" s="248" t="n">
        <v>6.91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7.65</v>
      </c>
      <c r="G46" s="248" t="n">
        <v>2.75</v>
      </c>
      <c r="H46" s="249" t="n">
        <v>2.88</v>
      </c>
      <c r="I46" s="248" t="n">
        <v>9.109999999999999</v>
      </c>
      <c r="J46" s="248" t="n">
        <v>10.29</v>
      </c>
      <c r="K46" s="248" t="n">
        <v>8.640000000000001</v>
      </c>
      <c r="L46" s="248" t="n">
        <v>9.6</v>
      </c>
      <c r="M46" s="248" t="n">
        <v>8.68</v>
      </c>
      <c r="N46" s="248" t="n">
        <v>7.74</v>
      </c>
      <c r="O46" s="248" t="n">
        <v>6.64</v>
      </c>
      <c r="P46" s="248" t="n">
        <v>7.12</v>
      </c>
      <c r="Q46" s="248" t="n">
        <v>17.23</v>
      </c>
      <c r="R46" s="248" t="n">
        <v>24.14</v>
      </c>
      <c r="S46" s="248" t="n">
        <v>8.91</v>
      </c>
      <c r="T46" s="248" t="n">
        <v>24.97</v>
      </c>
      <c r="U46" s="248" t="n">
        <v>9.19</v>
      </c>
      <c r="V46" s="248" t="n">
        <v>15.27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7.37</v>
      </c>
      <c r="G47" s="248" t="n">
        <v>3.42</v>
      </c>
      <c r="H47" s="249" t="n">
        <v>3.57</v>
      </c>
      <c r="I47" s="248" t="n">
        <v>15.07</v>
      </c>
      <c r="J47" s="248" t="n">
        <v>14.18</v>
      </c>
      <c r="K47" s="248" t="n">
        <v>11.69</v>
      </c>
      <c r="L47" s="248" t="n">
        <v>11.36</v>
      </c>
      <c r="M47" s="248" t="n">
        <v>9.029999999999999</v>
      </c>
      <c r="N47" s="248" t="n">
        <v>8.32</v>
      </c>
      <c r="O47" s="248" t="n">
        <v>8.74</v>
      </c>
      <c r="P47" s="248" t="n">
        <v>3.59</v>
      </c>
      <c r="Q47" s="248" t="n">
        <v>34.59</v>
      </c>
      <c r="R47" s="248" t="n">
        <v>3.13</v>
      </c>
      <c r="S47" s="248" t="n">
        <v>8.140000000000001</v>
      </c>
      <c r="T47" s="248" t="n">
        <v>41.59</v>
      </c>
      <c r="U47" s="248" t="n">
        <v>0</v>
      </c>
      <c r="V47" s="248" t="n">
        <v>12.07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6.86</v>
      </c>
      <c r="G48" s="251" t="n">
        <v>3.64</v>
      </c>
      <c r="H48" s="250" t="n">
        <v>3.79</v>
      </c>
      <c r="I48" s="251" t="n">
        <v>5.42</v>
      </c>
      <c r="J48" s="251" t="n">
        <v>9.199999999999999</v>
      </c>
      <c r="K48" s="251" t="n">
        <v>8.01</v>
      </c>
      <c r="L48" s="251" t="n">
        <v>8.539999999999999</v>
      </c>
      <c r="M48" s="251" t="n">
        <v>7.48</v>
      </c>
      <c r="N48" s="251" t="n">
        <v>7.16</v>
      </c>
      <c r="O48" s="251" t="n">
        <v>6.02</v>
      </c>
      <c r="P48" s="251" t="n">
        <v>6.06</v>
      </c>
      <c r="Q48" s="251" t="n">
        <v>49.77</v>
      </c>
      <c r="R48" s="251" t="n">
        <v>10.04</v>
      </c>
      <c r="S48" s="251" t="n">
        <v>5.01</v>
      </c>
      <c r="T48" s="251" t="n">
        <v>22.56</v>
      </c>
      <c r="U48" s="251" t="n">
        <v>0</v>
      </c>
      <c r="V48" s="251" t="n">
        <v>12.24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63">
        <f>'Fund Ranking Criteria'!G24</f>
        <v/>
      </c>
      <c r="C50" s="360" t="n"/>
      <c r="D50" s="360" t="n"/>
      <c r="E50" s="360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60" t="n"/>
      <c r="V50" s="360" t="n"/>
      <c r="W50" s="360" t="n"/>
      <c r="X50" s="360" t="n"/>
      <c r="Y50" s="360" t="n"/>
      <c r="Z50" s="360" t="n"/>
      <c r="AA50" s="360" t="n"/>
      <c r="AB50" s="360" t="n"/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30" t="n"/>
    </row>
    <row r="51" ht="15" customHeight="1" thickBot="1">
      <c r="B51" s="155" t="n"/>
      <c r="C51" s="156" t="n"/>
      <c r="D51" s="156" t="n"/>
      <c r="E51" s="156" t="n"/>
      <c r="F51" s="382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83" t="n"/>
      <c r="W51" s="382" t="n"/>
      <c r="X51" s="335" t="n"/>
      <c r="Y51" s="335" t="n"/>
      <c r="Z51" s="335" t="n"/>
      <c r="AA51" s="335" t="n"/>
      <c r="AB51" s="335" t="n"/>
      <c r="AC51" s="335" t="n"/>
      <c r="AD51" s="335" t="n"/>
      <c r="AE51" s="335" t="n"/>
      <c r="AF51" s="335" t="n"/>
      <c r="AG51" s="335" t="n"/>
      <c r="AH51" s="335" t="n"/>
      <c r="AI51" s="335" t="n"/>
      <c r="AJ51" s="335" t="n"/>
      <c r="AK51" s="335" t="n"/>
      <c r="AL51" s="335" t="n"/>
      <c r="AM51" s="383" t="n"/>
      <c r="AN51" s="381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77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6.97</v>
      </c>
      <c r="G53" s="248" t="n">
        <v>5.34</v>
      </c>
      <c r="H53" s="249" t="n">
        <v>5.57</v>
      </c>
      <c r="I53" s="248" t="n">
        <v>6.12</v>
      </c>
      <c r="J53" s="248" t="n">
        <v>10.96</v>
      </c>
      <c r="K53" s="248" t="n">
        <v>9.25</v>
      </c>
      <c r="L53" s="248" t="n">
        <v>9.76</v>
      </c>
      <c r="M53" s="248" t="n">
        <v>8.630000000000001</v>
      </c>
      <c r="N53" s="248" t="n">
        <v>8.44</v>
      </c>
      <c r="O53" s="248" t="n">
        <v>6.09</v>
      </c>
      <c r="P53" s="248" t="n">
        <v>7.53</v>
      </c>
      <c r="Q53" s="248" t="n">
        <v>42.44</v>
      </c>
      <c r="R53" s="248" t="n">
        <v>52.87</v>
      </c>
      <c r="S53" s="248" t="n">
        <v>0</v>
      </c>
      <c r="T53" s="248" t="n">
        <v>0</v>
      </c>
      <c r="U53" s="248" t="n">
        <v>-8.720000000000001</v>
      </c>
      <c r="V53" s="248" t="n">
        <v>13.1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6.93</v>
      </c>
      <c r="G54" s="248" t="n">
        <v>6.63</v>
      </c>
      <c r="H54" s="249" t="n">
        <v>6.96</v>
      </c>
      <c r="I54" s="248" t="n">
        <v>3.71</v>
      </c>
      <c r="J54" s="248" t="n">
        <v>9.19</v>
      </c>
      <c r="K54" s="248" t="n">
        <v>7.35</v>
      </c>
      <c r="L54" s="248" t="n">
        <v>8.32</v>
      </c>
      <c r="M54" s="248" t="n">
        <v>7.6</v>
      </c>
      <c r="N54" s="248" t="n">
        <v>7.51</v>
      </c>
      <c r="O54" s="248" t="n">
        <v>5.68</v>
      </c>
      <c r="P54" s="248" t="n">
        <v>7.25</v>
      </c>
      <c r="Q54" s="248" t="n">
        <v>43.37</v>
      </c>
      <c r="R54" s="248" t="n">
        <v>53.35</v>
      </c>
      <c r="S54" s="248" t="n">
        <v>0</v>
      </c>
      <c r="T54" s="248" t="n">
        <v>0</v>
      </c>
      <c r="U54" s="248" t="n">
        <v>0.02</v>
      </c>
      <c r="V54" s="248" t="n">
        <v>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6.63</v>
      </c>
      <c r="G55" s="248" t="n">
        <v>5.66</v>
      </c>
      <c r="H55" s="249" t="n">
        <v>5.89</v>
      </c>
      <c r="I55" s="248" t="n">
        <v>4.26</v>
      </c>
      <c r="J55" s="248" t="n">
        <v>9.32</v>
      </c>
      <c r="K55" s="248" t="n">
        <v>7.45</v>
      </c>
      <c r="L55" s="248" t="n">
        <v>8.199999999999999</v>
      </c>
      <c r="M55" s="248" t="n">
        <v>7.76</v>
      </c>
      <c r="N55" s="248" t="n">
        <v>7.62</v>
      </c>
      <c r="O55" s="248" t="n">
        <v>5.38</v>
      </c>
      <c r="P55" s="248" t="n">
        <v>6.89</v>
      </c>
      <c r="Q55" s="248" t="n">
        <v>45.66</v>
      </c>
      <c r="R55" s="248" t="n">
        <v>32.79</v>
      </c>
      <c r="S55" s="248" t="n">
        <v>0</v>
      </c>
      <c r="T55" s="248" t="n">
        <v>0</v>
      </c>
      <c r="U55" s="248" t="n">
        <v>0</v>
      </c>
      <c r="V55" s="248" t="n">
        <v>21.28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6.7</v>
      </c>
      <c r="G57" s="248" t="n">
        <v>6.73</v>
      </c>
      <c r="H57" s="249" t="n">
        <v>6.97</v>
      </c>
      <c r="I57" s="248" t="n">
        <v>3.5</v>
      </c>
      <c r="J57" s="248" t="n">
        <v>9.710000000000001</v>
      </c>
      <c r="K57" s="248" t="n">
        <v>7.88</v>
      </c>
      <c r="L57" s="248" t="n">
        <v>8.630000000000001</v>
      </c>
      <c r="M57" s="248" t="n">
        <v>7.96</v>
      </c>
      <c r="N57" s="248" t="n">
        <v>7.69</v>
      </c>
      <c r="O57" s="248" t="n">
        <v>5.04</v>
      </c>
      <c r="P57" s="248" t="n">
        <v>6.28</v>
      </c>
      <c r="Q57" s="248" t="n">
        <v>76.26000000000001</v>
      </c>
      <c r="R57" s="248" t="n">
        <v>17.39</v>
      </c>
      <c r="S57" s="248" t="n">
        <v>0</v>
      </c>
      <c r="T57" s="248" t="n">
        <v>0</v>
      </c>
      <c r="U57" s="248" t="n">
        <v>0</v>
      </c>
      <c r="V57" s="248" t="n">
        <v>6.1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5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6.69</v>
      </c>
      <c r="G58" s="248" t="n">
        <v>6.21</v>
      </c>
      <c r="H58" s="249" t="n">
        <v>6.44</v>
      </c>
      <c r="I58" s="248" t="n">
        <v>3.25</v>
      </c>
      <c r="J58" s="248" t="n">
        <v>8.800000000000001</v>
      </c>
      <c r="K58" s="248" t="n">
        <v>7.02</v>
      </c>
      <c r="L58" s="248" t="n">
        <v>7.92</v>
      </c>
      <c r="M58" s="248" t="n">
        <v>7.44</v>
      </c>
      <c r="N58" s="248" t="n">
        <v>7.88</v>
      </c>
      <c r="O58" s="248" t="n">
        <v>5.13</v>
      </c>
      <c r="P58" s="248" t="n">
        <v>7.13</v>
      </c>
      <c r="Q58" s="248" t="n">
        <v>62.56</v>
      </c>
      <c r="R58" s="248" t="n">
        <v>24.58</v>
      </c>
      <c r="S58" s="248" t="n">
        <v>0</v>
      </c>
      <c r="T58" s="248" t="n">
        <v>0</v>
      </c>
      <c r="U58" s="248" t="n">
        <v>-0.16</v>
      </c>
      <c r="V58" s="248" t="n">
        <v>12.77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6.99</v>
      </c>
      <c r="G59" s="251" t="n">
        <v>6.22</v>
      </c>
      <c r="H59" s="250" t="n">
        <v>6.48</v>
      </c>
      <c r="I59" s="251" t="n">
        <v>3.52</v>
      </c>
      <c r="J59" s="251" t="n">
        <v>9.51</v>
      </c>
      <c r="K59" s="251" t="n">
        <v>7.85</v>
      </c>
      <c r="L59" s="251" t="n">
        <v>8.69</v>
      </c>
      <c r="M59" s="251" t="n">
        <v>7.56</v>
      </c>
      <c r="N59" s="251" t="n">
        <v>7.61</v>
      </c>
      <c r="O59" s="251" t="n">
        <v>8.050000000000001</v>
      </c>
      <c r="P59" s="251" t="n">
        <v>5.81</v>
      </c>
      <c r="Q59" s="251" t="n">
        <v>55.51</v>
      </c>
      <c r="R59" s="251" t="n">
        <v>29.81</v>
      </c>
      <c r="S59" s="251" t="n">
        <v>6.17</v>
      </c>
      <c r="T59" s="251" t="n">
        <v>4.64</v>
      </c>
      <c r="U59" s="251" t="n">
        <v>0</v>
      </c>
      <c r="V59" s="251" t="n">
        <v>3.6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topLeftCell="D1" zoomScale="99" workbookViewId="0">
      <selection activeCell="J8" sqref="J8:J16"/>
    </sheetView>
  </sheetViews>
  <sheetFormatPr baseColWidth="8" defaultRowHeight="14.5"/>
  <cols>
    <col width="27.26953125" customWidth="1" min="2" max="2"/>
    <col width="20.1796875" customWidth="1" min="3" max="3"/>
    <col width="20.453125" customWidth="1" min="4" max="4"/>
    <col width="20.1796875" customWidth="1" min="5" max="7"/>
    <col width="27.453125" customWidth="1" min="8" max="8"/>
    <col width="20.1796875" customWidth="1" min="9" max="9"/>
    <col width="19.1796875" customWidth="1" style="115" min="10" max="14"/>
  </cols>
  <sheetData>
    <row r="1" ht="15" customHeight="1" thickBot="1"/>
    <row r="2" hidden="1" ht="15" customHeight="1" thickBot="1"/>
    <row r="3" ht="15" customHeight="1" thickBot="1">
      <c r="B3" s="329" t="inlineStr">
        <is>
          <t>Weightage for Equity Fund Ranking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30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5" customHeight="1">
      <c r="B5" s="79" t="n"/>
      <c r="C5" s="384" t="inlineStr">
        <is>
          <t>80 per cent of the corpus in top 100 companies by market cap</t>
        </is>
      </c>
      <c r="D5" s="384" t="n"/>
      <c r="E5" s="384" t="inlineStr">
        <is>
          <t>Across Large, Mid-cap, Small Cap</t>
        </is>
      </c>
      <c r="F5" s="384" t="inlineStr">
        <is>
          <t xml:space="preserve">65% of their total assets in equity
shares of mid-cap companies </t>
        </is>
      </c>
      <c r="G5" s="384" t="inlineStr">
        <is>
          <t xml:space="preserve">65% of their total assets in equity
shares of small-cap companies </t>
        </is>
      </c>
      <c r="H5" s="384" t="inlineStr">
        <is>
          <t>Set allocation strategy; 60% E &amp; 40% D</t>
        </is>
      </c>
      <c r="I5" s="385" t="inlineStr">
        <is>
          <t>Dynamic Allocation</t>
        </is>
      </c>
      <c r="J5" s="385" t="n"/>
      <c r="K5" s="385" t="n"/>
    </row>
    <row r="6" hidden="1">
      <c r="B6" s="79" t="n"/>
      <c r="C6" s="379" t="n"/>
      <c r="D6" s="379" t="n"/>
      <c r="E6" s="379" t="n"/>
      <c r="F6" s="379" t="n"/>
      <c r="G6" s="379" t="n"/>
      <c r="H6" s="379" t="n"/>
      <c r="I6" s="377" t="n"/>
      <c r="J6" s="377" t="n"/>
      <c r="K6" s="377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32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32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32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32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32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32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32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32" t="n"/>
      <c r="I18" s="365" t="n"/>
      <c r="J18" s="365" t="n"/>
      <c r="K18" s="365" t="n"/>
    </row>
    <row r="19" hidden="1">
      <c r="B19" s="332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33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386" t="inlineStr">
        <is>
          <t>Weightage for Debt Fund Ranking</t>
        </is>
      </c>
      <c r="C23" s="360" t="n"/>
      <c r="D23" s="360" t="n"/>
      <c r="E23" s="360" t="n"/>
      <c r="F23" s="360" t="n"/>
      <c r="G23" s="330" t="n"/>
    </row>
    <row r="24" ht="29.15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32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32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32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32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32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32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32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32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33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32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32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32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32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32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38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387" t="inlineStr">
        <is>
          <t>Weightage for Hybrid Fund Ranking</t>
        </is>
      </c>
      <c r="C50" s="360" t="n"/>
      <c r="D50" s="360" t="n"/>
      <c r="E50" s="360" t="n"/>
      <c r="F50" s="330" t="n"/>
      <c r="I50" s="115" t="n"/>
    </row>
    <row r="51" hidden="1" ht="29.15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32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32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32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32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33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32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32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32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33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32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32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32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32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32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38" t="inlineStr">
        <is>
          <t>Cash and Fixed Deposits</t>
        </is>
      </c>
      <c r="C71" s="350" t="n"/>
      <c r="D71" s="233" t="n"/>
      <c r="E71" s="350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U1" sqref="U1:U1048576"/>
    </sheetView>
  </sheetViews>
  <sheetFormatPr baseColWidth="8" defaultRowHeight="14.5"/>
  <cols>
    <col width="63.453125" customWidth="1" style="261" min="1" max="1"/>
    <col width="10.453125" customWidth="1" style="261" min="2" max="2"/>
    <col width="8.7265625" customWidth="1" style="261" min="3" max="7"/>
    <col width="16.1796875" customWidth="1" style="261" min="8" max="8"/>
    <col width="8.7265625" customWidth="1" style="261" min="9" max="20"/>
    <col hidden="1" width="13" customWidth="1" style="261" min="21" max="21"/>
    <col width="8.7265625" customWidth="1" style="261" min="22" max="22"/>
    <col width="58.453125" bestFit="1" customWidth="1" style="261" min="23" max="23"/>
    <col width="8.7265625" customWidth="1" style="261" min="24" max="253"/>
    <col width="63.453125" customWidth="1" style="261" min="254" max="254"/>
    <col width="10.453125" customWidth="1" style="261" min="255" max="255"/>
    <col width="16.1796875" customWidth="1" style="261" min="256" max="256"/>
    <col width="8.7265625" customWidth="1" style="261" min="257" max="264"/>
    <col width="15.1796875" bestFit="1" customWidth="1" style="261" min="265" max="265"/>
    <col width="8.7265625" customWidth="1" style="261" min="266" max="509"/>
    <col width="63.453125" customWidth="1" style="261" min="510" max="510"/>
    <col width="10.453125" customWidth="1" style="261" min="511" max="511"/>
    <col width="16.1796875" customWidth="1" style="261" min="512" max="512"/>
    <col width="8.7265625" customWidth="1" style="261" min="513" max="520"/>
    <col width="15.1796875" bestFit="1" customWidth="1" style="261" min="521" max="521"/>
    <col width="8.7265625" customWidth="1" style="261" min="522" max="765"/>
    <col width="63.453125" customWidth="1" style="261" min="766" max="766"/>
    <col width="10.453125" customWidth="1" style="261" min="767" max="767"/>
    <col width="16.1796875" customWidth="1" style="261" min="768" max="768"/>
    <col width="8.7265625" customWidth="1" style="261" min="769" max="776"/>
    <col width="15.1796875" bestFit="1" customWidth="1" style="261" min="777" max="777"/>
    <col width="8.7265625" customWidth="1" style="261" min="778" max="1021"/>
    <col width="63.453125" customWidth="1" style="261" min="1022" max="1022"/>
    <col width="10.453125" customWidth="1" style="261" min="1023" max="1023"/>
    <col width="16.1796875" customWidth="1" style="261" min="1024" max="1024"/>
    <col width="8.7265625" customWidth="1" style="261" min="1025" max="1032"/>
    <col width="15.1796875" bestFit="1" customWidth="1" style="261" min="1033" max="1033"/>
    <col width="8.7265625" customWidth="1" style="261" min="1034" max="1277"/>
    <col width="63.453125" customWidth="1" style="261" min="1278" max="1278"/>
    <col width="10.453125" customWidth="1" style="261" min="1279" max="1279"/>
    <col width="16.1796875" customWidth="1" style="261" min="1280" max="1280"/>
    <col width="8.7265625" customWidth="1" style="261" min="1281" max="1288"/>
    <col width="15.1796875" bestFit="1" customWidth="1" style="261" min="1289" max="1289"/>
    <col width="8.7265625" customWidth="1" style="261" min="1290" max="1533"/>
    <col width="63.453125" customWidth="1" style="261" min="1534" max="1534"/>
    <col width="10.453125" customWidth="1" style="261" min="1535" max="1535"/>
    <col width="16.1796875" customWidth="1" style="261" min="1536" max="1536"/>
    <col width="8.7265625" customWidth="1" style="261" min="1537" max="1544"/>
    <col width="15.1796875" bestFit="1" customWidth="1" style="261" min="1545" max="1545"/>
    <col width="8.7265625" customWidth="1" style="261" min="1546" max="1789"/>
    <col width="63.453125" customWidth="1" style="261" min="1790" max="1790"/>
    <col width="10.453125" customWidth="1" style="261" min="1791" max="1791"/>
    <col width="16.1796875" customWidth="1" style="261" min="1792" max="1792"/>
    <col width="8.7265625" customWidth="1" style="261" min="1793" max="1800"/>
    <col width="15.1796875" bestFit="1" customWidth="1" style="261" min="1801" max="1801"/>
    <col width="8.7265625" customWidth="1" style="261" min="1802" max="2045"/>
    <col width="63.453125" customWidth="1" style="261" min="2046" max="2046"/>
    <col width="10.453125" customWidth="1" style="261" min="2047" max="2047"/>
    <col width="16.1796875" customWidth="1" style="261" min="2048" max="2048"/>
    <col width="8.7265625" customWidth="1" style="261" min="2049" max="2056"/>
    <col width="15.1796875" bestFit="1" customWidth="1" style="261" min="2057" max="2057"/>
    <col width="8.7265625" customWidth="1" style="261" min="2058" max="2301"/>
    <col width="63.453125" customWidth="1" style="261" min="2302" max="2302"/>
    <col width="10.453125" customWidth="1" style="261" min="2303" max="2303"/>
    <col width="16.1796875" customWidth="1" style="261" min="2304" max="2304"/>
    <col width="8.7265625" customWidth="1" style="261" min="2305" max="2312"/>
    <col width="15.1796875" bestFit="1" customWidth="1" style="261" min="2313" max="2313"/>
    <col width="8.7265625" customWidth="1" style="261" min="2314" max="2557"/>
    <col width="63.453125" customWidth="1" style="261" min="2558" max="2558"/>
    <col width="10.453125" customWidth="1" style="261" min="2559" max="2559"/>
    <col width="16.1796875" customWidth="1" style="261" min="2560" max="2560"/>
    <col width="8.7265625" customWidth="1" style="261" min="2561" max="2568"/>
    <col width="15.1796875" bestFit="1" customWidth="1" style="261" min="2569" max="2569"/>
    <col width="8.7265625" customWidth="1" style="261" min="2570" max="2813"/>
    <col width="63.453125" customWidth="1" style="261" min="2814" max="2814"/>
    <col width="10.453125" customWidth="1" style="261" min="2815" max="2815"/>
    <col width="16.1796875" customWidth="1" style="261" min="2816" max="2816"/>
    <col width="8.7265625" customWidth="1" style="261" min="2817" max="2824"/>
    <col width="15.1796875" bestFit="1" customWidth="1" style="261" min="2825" max="2825"/>
    <col width="8.7265625" customWidth="1" style="261" min="2826" max="3069"/>
    <col width="63.453125" customWidth="1" style="261" min="3070" max="3070"/>
    <col width="10.453125" customWidth="1" style="261" min="3071" max="3071"/>
    <col width="16.1796875" customWidth="1" style="261" min="3072" max="3072"/>
    <col width="8.7265625" customWidth="1" style="261" min="3073" max="3080"/>
    <col width="15.1796875" bestFit="1" customWidth="1" style="261" min="3081" max="3081"/>
    <col width="8.7265625" customWidth="1" style="261" min="3082" max="3325"/>
    <col width="63.453125" customWidth="1" style="261" min="3326" max="3326"/>
    <col width="10.453125" customWidth="1" style="261" min="3327" max="3327"/>
    <col width="16.1796875" customWidth="1" style="261" min="3328" max="3328"/>
    <col width="8.7265625" customWidth="1" style="261" min="3329" max="3336"/>
    <col width="15.1796875" bestFit="1" customWidth="1" style="261" min="3337" max="3337"/>
    <col width="8.7265625" customWidth="1" style="261" min="3338" max="3581"/>
    <col width="63.453125" customWidth="1" style="261" min="3582" max="3582"/>
    <col width="10.453125" customWidth="1" style="261" min="3583" max="3583"/>
    <col width="16.1796875" customWidth="1" style="261" min="3584" max="3584"/>
    <col width="8.7265625" customWidth="1" style="261" min="3585" max="3592"/>
    <col width="15.1796875" bestFit="1" customWidth="1" style="261" min="3593" max="3593"/>
    <col width="8.7265625" customWidth="1" style="261" min="3594" max="3837"/>
    <col width="63.453125" customWidth="1" style="261" min="3838" max="3838"/>
    <col width="10.453125" customWidth="1" style="261" min="3839" max="3839"/>
    <col width="16.1796875" customWidth="1" style="261" min="3840" max="3840"/>
    <col width="8.7265625" customWidth="1" style="261" min="3841" max="3848"/>
    <col width="15.1796875" bestFit="1" customWidth="1" style="261" min="3849" max="3849"/>
    <col width="8.7265625" customWidth="1" style="261" min="3850" max="4093"/>
    <col width="63.453125" customWidth="1" style="261" min="4094" max="4094"/>
    <col width="10.453125" customWidth="1" style="261" min="4095" max="4095"/>
    <col width="16.1796875" customWidth="1" style="261" min="4096" max="4096"/>
    <col width="8.7265625" customWidth="1" style="261" min="4097" max="4104"/>
    <col width="15.1796875" bestFit="1" customWidth="1" style="261" min="4105" max="4105"/>
    <col width="8.7265625" customWidth="1" style="261" min="4106" max="4349"/>
    <col width="63.453125" customWidth="1" style="261" min="4350" max="4350"/>
    <col width="10.453125" customWidth="1" style="261" min="4351" max="4351"/>
    <col width="16.1796875" customWidth="1" style="261" min="4352" max="4352"/>
    <col width="8.7265625" customWidth="1" style="261" min="4353" max="4360"/>
    <col width="15.1796875" bestFit="1" customWidth="1" style="261" min="4361" max="4361"/>
    <col width="8.7265625" customWidth="1" style="261" min="4362" max="4605"/>
    <col width="63.453125" customWidth="1" style="261" min="4606" max="4606"/>
    <col width="10.453125" customWidth="1" style="261" min="4607" max="4607"/>
    <col width="16.1796875" customWidth="1" style="261" min="4608" max="4608"/>
    <col width="8.7265625" customWidth="1" style="261" min="4609" max="4616"/>
    <col width="15.1796875" bestFit="1" customWidth="1" style="261" min="4617" max="4617"/>
    <col width="8.7265625" customWidth="1" style="261" min="4618" max="4861"/>
    <col width="63.453125" customWidth="1" style="261" min="4862" max="4862"/>
    <col width="10.453125" customWidth="1" style="261" min="4863" max="4863"/>
    <col width="16.1796875" customWidth="1" style="261" min="4864" max="4864"/>
    <col width="8.7265625" customWidth="1" style="261" min="4865" max="4872"/>
    <col width="15.1796875" bestFit="1" customWidth="1" style="261" min="4873" max="4873"/>
    <col width="8.7265625" customWidth="1" style="261" min="4874" max="5117"/>
    <col width="63.453125" customWidth="1" style="261" min="5118" max="5118"/>
    <col width="10.453125" customWidth="1" style="261" min="5119" max="5119"/>
    <col width="16.1796875" customWidth="1" style="261" min="5120" max="5120"/>
    <col width="8.7265625" customWidth="1" style="261" min="5121" max="5128"/>
    <col width="15.1796875" bestFit="1" customWidth="1" style="261" min="5129" max="5129"/>
    <col width="8.7265625" customWidth="1" style="261" min="5130" max="5373"/>
    <col width="63.453125" customWidth="1" style="261" min="5374" max="5374"/>
    <col width="10.453125" customWidth="1" style="261" min="5375" max="5375"/>
    <col width="16.1796875" customWidth="1" style="261" min="5376" max="5376"/>
    <col width="8.7265625" customWidth="1" style="261" min="5377" max="5384"/>
    <col width="15.1796875" bestFit="1" customWidth="1" style="261" min="5385" max="5385"/>
    <col width="8.7265625" customWidth="1" style="261" min="5386" max="5629"/>
    <col width="63.453125" customWidth="1" style="261" min="5630" max="5630"/>
    <col width="10.453125" customWidth="1" style="261" min="5631" max="5631"/>
    <col width="16.1796875" customWidth="1" style="261" min="5632" max="5632"/>
    <col width="8.7265625" customWidth="1" style="261" min="5633" max="5640"/>
    <col width="15.1796875" bestFit="1" customWidth="1" style="261" min="5641" max="5641"/>
    <col width="8.7265625" customWidth="1" style="261" min="5642" max="5885"/>
    <col width="63.453125" customWidth="1" style="261" min="5886" max="5886"/>
    <col width="10.453125" customWidth="1" style="261" min="5887" max="5887"/>
    <col width="16.1796875" customWidth="1" style="261" min="5888" max="5888"/>
    <col width="8.7265625" customWidth="1" style="261" min="5889" max="5896"/>
    <col width="15.1796875" bestFit="1" customWidth="1" style="261" min="5897" max="5897"/>
    <col width="8.7265625" customWidth="1" style="261" min="5898" max="6141"/>
    <col width="63.453125" customWidth="1" style="261" min="6142" max="6142"/>
    <col width="10.453125" customWidth="1" style="261" min="6143" max="6143"/>
    <col width="16.1796875" customWidth="1" style="261" min="6144" max="6144"/>
    <col width="8.7265625" customWidth="1" style="261" min="6145" max="6152"/>
    <col width="15.1796875" bestFit="1" customWidth="1" style="261" min="6153" max="6153"/>
    <col width="8.7265625" customWidth="1" style="261" min="6154" max="6397"/>
    <col width="63.453125" customWidth="1" style="261" min="6398" max="6398"/>
    <col width="10.453125" customWidth="1" style="261" min="6399" max="6399"/>
    <col width="16.1796875" customWidth="1" style="261" min="6400" max="6400"/>
    <col width="8.7265625" customWidth="1" style="261" min="6401" max="6408"/>
    <col width="15.1796875" bestFit="1" customWidth="1" style="261" min="6409" max="6409"/>
    <col width="8.7265625" customWidth="1" style="261" min="6410" max="6653"/>
    <col width="63.453125" customWidth="1" style="261" min="6654" max="6654"/>
    <col width="10.453125" customWidth="1" style="261" min="6655" max="6655"/>
    <col width="16.1796875" customWidth="1" style="261" min="6656" max="6656"/>
    <col width="8.7265625" customWidth="1" style="261" min="6657" max="6664"/>
    <col width="15.1796875" bestFit="1" customWidth="1" style="261" min="6665" max="6665"/>
    <col width="8.7265625" customWidth="1" style="261" min="6666" max="6909"/>
    <col width="63.453125" customWidth="1" style="261" min="6910" max="6910"/>
    <col width="10.453125" customWidth="1" style="261" min="6911" max="6911"/>
    <col width="16.1796875" customWidth="1" style="261" min="6912" max="6912"/>
    <col width="8.7265625" customWidth="1" style="261" min="6913" max="6920"/>
    <col width="15.1796875" bestFit="1" customWidth="1" style="261" min="6921" max="6921"/>
    <col width="8.7265625" customWidth="1" style="261" min="6922" max="7165"/>
    <col width="63.453125" customWidth="1" style="261" min="7166" max="7166"/>
    <col width="10.453125" customWidth="1" style="261" min="7167" max="7167"/>
    <col width="16.1796875" customWidth="1" style="261" min="7168" max="7168"/>
    <col width="8.7265625" customWidth="1" style="261" min="7169" max="7176"/>
    <col width="15.1796875" bestFit="1" customWidth="1" style="261" min="7177" max="7177"/>
    <col width="8.7265625" customWidth="1" style="261" min="7178" max="7421"/>
    <col width="63.453125" customWidth="1" style="261" min="7422" max="7422"/>
    <col width="10.453125" customWidth="1" style="261" min="7423" max="7423"/>
    <col width="16.1796875" customWidth="1" style="261" min="7424" max="7424"/>
    <col width="8.7265625" customWidth="1" style="261" min="7425" max="7432"/>
    <col width="15.1796875" bestFit="1" customWidth="1" style="261" min="7433" max="7433"/>
    <col width="8.7265625" customWidth="1" style="261" min="7434" max="7677"/>
    <col width="63.453125" customWidth="1" style="261" min="7678" max="7678"/>
    <col width="10.453125" customWidth="1" style="261" min="7679" max="7679"/>
    <col width="16.1796875" customWidth="1" style="261" min="7680" max="7680"/>
    <col width="8.7265625" customWidth="1" style="261" min="7681" max="7688"/>
    <col width="15.1796875" bestFit="1" customWidth="1" style="261" min="7689" max="7689"/>
    <col width="8.7265625" customWidth="1" style="261" min="7690" max="7933"/>
    <col width="63.453125" customWidth="1" style="261" min="7934" max="7934"/>
    <col width="10.453125" customWidth="1" style="261" min="7935" max="7935"/>
    <col width="16.1796875" customWidth="1" style="261" min="7936" max="7936"/>
    <col width="8.7265625" customWidth="1" style="261" min="7937" max="7944"/>
    <col width="15.1796875" bestFit="1" customWidth="1" style="261" min="7945" max="7945"/>
    <col width="8.7265625" customWidth="1" style="261" min="7946" max="8189"/>
    <col width="63.453125" customWidth="1" style="261" min="8190" max="8190"/>
    <col width="10.453125" customWidth="1" style="261" min="8191" max="8191"/>
    <col width="16.1796875" customWidth="1" style="261" min="8192" max="8192"/>
    <col width="8.7265625" customWidth="1" style="261" min="8193" max="8200"/>
    <col width="15.1796875" bestFit="1" customWidth="1" style="261" min="8201" max="8201"/>
    <col width="8.7265625" customWidth="1" style="261" min="8202" max="8445"/>
    <col width="63.453125" customWidth="1" style="261" min="8446" max="8446"/>
    <col width="10.453125" customWidth="1" style="261" min="8447" max="8447"/>
    <col width="16.1796875" customWidth="1" style="261" min="8448" max="8448"/>
    <col width="8.7265625" customWidth="1" style="261" min="8449" max="8456"/>
    <col width="15.1796875" bestFit="1" customWidth="1" style="261" min="8457" max="8457"/>
    <col width="8.7265625" customWidth="1" style="261" min="8458" max="8701"/>
    <col width="63.453125" customWidth="1" style="261" min="8702" max="8702"/>
    <col width="10.453125" customWidth="1" style="261" min="8703" max="8703"/>
    <col width="16.1796875" customWidth="1" style="261" min="8704" max="8704"/>
    <col width="8.7265625" customWidth="1" style="261" min="8705" max="8712"/>
    <col width="15.1796875" bestFit="1" customWidth="1" style="261" min="8713" max="8713"/>
    <col width="8.7265625" customWidth="1" style="261" min="8714" max="8957"/>
    <col width="63.453125" customWidth="1" style="261" min="8958" max="8958"/>
    <col width="10.453125" customWidth="1" style="261" min="8959" max="8959"/>
    <col width="16.1796875" customWidth="1" style="261" min="8960" max="8960"/>
    <col width="8.7265625" customWidth="1" style="261" min="8961" max="8968"/>
    <col width="15.1796875" bestFit="1" customWidth="1" style="261" min="8969" max="8969"/>
    <col width="8.7265625" customWidth="1" style="261" min="8970" max="9213"/>
    <col width="63.453125" customWidth="1" style="261" min="9214" max="9214"/>
    <col width="10.453125" customWidth="1" style="261" min="9215" max="9215"/>
    <col width="16.1796875" customWidth="1" style="261" min="9216" max="9216"/>
    <col width="8.7265625" customWidth="1" style="261" min="9217" max="9224"/>
    <col width="15.1796875" bestFit="1" customWidth="1" style="261" min="9225" max="9225"/>
    <col width="8.7265625" customWidth="1" style="261" min="9226" max="9469"/>
    <col width="63.453125" customWidth="1" style="261" min="9470" max="9470"/>
    <col width="10.453125" customWidth="1" style="261" min="9471" max="9471"/>
    <col width="16.1796875" customWidth="1" style="261" min="9472" max="9472"/>
    <col width="8.7265625" customWidth="1" style="261" min="9473" max="9480"/>
    <col width="15.1796875" bestFit="1" customWidth="1" style="261" min="9481" max="9481"/>
    <col width="8.7265625" customWidth="1" style="261" min="9482" max="9725"/>
    <col width="63.453125" customWidth="1" style="261" min="9726" max="9726"/>
    <col width="10.453125" customWidth="1" style="261" min="9727" max="9727"/>
    <col width="16.1796875" customWidth="1" style="261" min="9728" max="9728"/>
    <col width="8.7265625" customWidth="1" style="261" min="9729" max="9736"/>
    <col width="15.1796875" bestFit="1" customWidth="1" style="261" min="9737" max="9737"/>
    <col width="8.7265625" customWidth="1" style="261" min="9738" max="9981"/>
    <col width="63.453125" customWidth="1" style="261" min="9982" max="9982"/>
    <col width="10.453125" customWidth="1" style="261" min="9983" max="9983"/>
    <col width="16.1796875" customWidth="1" style="261" min="9984" max="9984"/>
    <col width="8.7265625" customWidth="1" style="261" min="9985" max="9992"/>
    <col width="15.1796875" bestFit="1" customWidth="1" style="261" min="9993" max="9993"/>
    <col width="8.7265625" customWidth="1" style="261" min="9994" max="10237"/>
    <col width="63.453125" customWidth="1" style="261" min="10238" max="10238"/>
    <col width="10.453125" customWidth="1" style="261" min="10239" max="10239"/>
    <col width="16.1796875" customWidth="1" style="261" min="10240" max="10240"/>
    <col width="8.7265625" customWidth="1" style="261" min="10241" max="10248"/>
    <col width="15.1796875" bestFit="1" customWidth="1" style="261" min="10249" max="10249"/>
    <col width="8.7265625" customWidth="1" style="261" min="10250" max="10493"/>
    <col width="63.453125" customWidth="1" style="261" min="10494" max="10494"/>
    <col width="10.453125" customWidth="1" style="261" min="10495" max="10495"/>
    <col width="16.1796875" customWidth="1" style="261" min="10496" max="10496"/>
    <col width="8.7265625" customWidth="1" style="261" min="10497" max="10504"/>
    <col width="15.1796875" bestFit="1" customWidth="1" style="261" min="10505" max="10505"/>
    <col width="8.7265625" customWidth="1" style="261" min="10506" max="10749"/>
    <col width="63.453125" customWidth="1" style="261" min="10750" max="10750"/>
    <col width="10.453125" customWidth="1" style="261" min="10751" max="10751"/>
    <col width="16.1796875" customWidth="1" style="261" min="10752" max="10752"/>
    <col width="8.7265625" customWidth="1" style="261" min="10753" max="10760"/>
    <col width="15.1796875" bestFit="1" customWidth="1" style="261" min="10761" max="10761"/>
    <col width="8.7265625" customWidth="1" style="261" min="10762" max="11005"/>
    <col width="63.453125" customWidth="1" style="261" min="11006" max="11006"/>
    <col width="10.453125" customWidth="1" style="261" min="11007" max="11007"/>
    <col width="16.1796875" customWidth="1" style="261" min="11008" max="11008"/>
    <col width="8.7265625" customWidth="1" style="261" min="11009" max="11016"/>
    <col width="15.1796875" bestFit="1" customWidth="1" style="261" min="11017" max="11017"/>
    <col width="8.7265625" customWidth="1" style="261" min="11018" max="11261"/>
    <col width="63.453125" customWidth="1" style="261" min="11262" max="11262"/>
    <col width="10.453125" customWidth="1" style="261" min="11263" max="11263"/>
    <col width="16.1796875" customWidth="1" style="261" min="11264" max="11264"/>
    <col width="8.7265625" customWidth="1" style="261" min="11265" max="11272"/>
    <col width="15.1796875" bestFit="1" customWidth="1" style="261" min="11273" max="11273"/>
    <col width="8.7265625" customWidth="1" style="261" min="11274" max="11517"/>
    <col width="63.453125" customWidth="1" style="261" min="11518" max="11518"/>
    <col width="10.453125" customWidth="1" style="261" min="11519" max="11519"/>
    <col width="16.1796875" customWidth="1" style="261" min="11520" max="11520"/>
    <col width="8.7265625" customWidth="1" style="261" min="11521" max="11528"/>
    <col width="15.1796875" bestFit="1" customWidth="1" style="261" min="11529" max="11529"/>
    <col width="8.7265625" customWidth="1" style="261" min="11530" max="11773"/>
    <col width="63.453125" customWidth="1" style="261" min="11774" max="11774"/>
    <col width="10.453125" customWidth="1" style="261" min="11775" max="11775"/>
    <col width="16.1796875" customWidth="1" style="261" min="11776" max="11776"/>
    <col width="8.7265625" customWidth="1" style="261" min="11777" max="11784"/>
    <col width="15.1796875" bestFit="1" customWidth="1" style="261" min="11785" max="11785"/>
    <col width="8.7265625" customWidth="1" style="261" min="11786" max="12029"/>
    <col width="63.453125" customWidth="1" style="261" min="12030" max="12030"/>
    <col width="10.453125" customWidth="1" style="261" min="12031" max="12031"/>
    <col width="16.1796875" customWidth="1" style="261" min="12032" max="12032"/>
    <col width="8.7265625" customWidth="1" style="261" min="12033" max="12040"/>
    <col width="15.1796875" bestFit="1" customWidth="1" style="261" min="12041" max="12041"/>
    <col width="8.7265625" customWidth="1" style="261" min="12042" max="12285"/>
    <col width="63.453125" customWidth="1" style="261" min="12286" max="12286"/>
    <col width="10.453125" customWidth="1" style="261" min="12287" max="12287"/>
    <col width="16.1796875" customWidth="1" style="261" min="12288" max="12288"/>
    <col width="8.7265625" customWidth="1" style="261" min="12289" max="12296"/>
    <col width="15.1796875" bestFit="1" customWidth="1" style="261" min="12297" max="12297"/>
    <col width="8.7265625" customWidth="1" style="261" min="12298" max="12541"/>
    <col width="63.453125" customWidth="1" style="261" min="12542" max="12542"/>
    <col width="10.453125" customWidth="1" style="261" min="12543" max="12543"/>
    <col width="16.1796875" customWidth="1" style="261" min="12544" max="12544"/>
    <col width="8.7265625" customWidth="1" style="261" min="12545" max="12552"/>
    <col width="15.1796875" bestFit="1" customWidth="1" style="261" min="12553" max="12553"/>
    <col width="8.7265625" customWidth="1" style="261" min="12554" max="12797"/>
    <col width="63.453125" customWidth="1" style="261" min="12798" max="12798"/>
    <col width="10.453125" customWidth="1" style="261" min="12799" max="12799"/>
    <col width="16.1796875" customWidth="1" style="261" min="12800" max="12800"/>
    <col width="8.7265625" customWidth="1" style="261" min="12801" max="12808"/>
    <col width="15.1796875" bestFit="1" customWidth="1" style="261" min="12809" max="12809"/>
    <col width="8.7265625" customWidth="1" style="261" min="12810" max="13053"/>
    <col width="63.453125" customWidth="1" style="261" min="13054" max="13054"/>
    <col width="10.453125" customWidth="1" style="261" min="13055" max="13055"/>
    <col width="16.1796875" customWidth="1" style="261" min="13056" max="13056"/>
    <col width="8.7265625" customWidth="1" style="261" min="13057" max="13064"/>
    <col width="15.1796875" bestFit="1" customWidth="1" style="261" min="13065" max="13065"/>
    <col width="8.7265625" customWidth="1" style="261" min="13066" max="13309"/>
    <col width="63.453125" customWidth="1" style="261" min="13310" max="13310"/>
    <col width="10.453125" customWidth="1" style="261" min="13311" max="13311"/>
    <col width="16.1796875" customWidth="1" style="261" min="13312" max="13312"/>
    <col width="8.7265625" customWidth="1" style="261" min="13313" max="13320"/>
    <col width="15.1796875" bestFit="1" customWidth="1" style="261" min="13321" max="13321"/>
    <col width="8.7265625" customWidth="1" style="261" min="13322" max="13565"/>
    <col width="63.453125" customWidth="1" style="261" min="13566" max="13566"/>
    <col width="10.453125" customWidth="1" style="261" min="13567" max="13567"/>
    <col width="16.1796875" customWidth="1" style="261" min="13568" max="13568"/>
    <col width="8.7265625" customWidth="1" style="261" min="13569" max="13576"/>
    <col width="15.1796875" bestFit="1" customWidth="1" style="261" min="13577" max="13577"/>
    <col width="8.7265625" customWidth="1" style="261" min="13578" max="13821"/>
    <col width="63.453125" customWidth="1" style="261" min="13822" max="13822"/>
    <col width="10.453125" customWidth="1" style="261" min="13823" max="13823"/>
    <col width="16.1796875" customWidth="1" style="261" min="13824" max="13824"/>
    <col width="8.7265625" customWidth="1" style="261" min="13825" max="13832"/>
    <col width="15.1796875" bestFit="1" customWidth="1" style="261" min="13833" max="13833"/>
    <col width="8.7265625" customWidth="1" style="261" min="13834" max="14077"/>
    <col width="63.453125" customWidth="1" style="261" min="14078" max="14078"/>
    <col width="10.453125" customWidth="1" style="261" min="14079" max="14079"/>
    <col width="16.1796875" customWidth="1" style="261" min="14080" max="14080"/>
    <col width="8.7265625" customWidth="1" style="261" min="14081" max="14088"/>
    <col width="15.1796875" bestFit="1" customWidth="1" style="261" min="14089" max="14089"/>
    <col width="8.7265625" customWidth="1" style="261" min="14090" max="14333"/>
    <col width="63.453125" customWidth="1" style="261" min="14334" max="14334"/>
    <col width="10.453125" customWidth="1" style="261" min="14335" max="14335"/>
    <col width="16.1796875" customWidth="1" style="261" min="14336" max="14336"/>
    <col width="8.7265625" customWidth="1" style="261" min="14337" max="14344"/>
    <col width="15.1796875" bestFit="1" customWidth="1" style="261" min="14345" max="14345"/>
    <col width="8.7265625" customWidth="1" style="261" min="14346" max="14589"/>
    <col width="63.453125" customWidth="1" style="261" min="14590" max="14590"/>
    <col width="10.453125" customWidth="1" style="261" min="14591" max="14591"/>
    <col width="16.1796875" customWidth="1" style="261" min="14592" max="14592"/>
    <col width="8.7265625" customWidth="1" style="261" min="14593" max="14600"/>
    <col width="15.1796875" bestFit="1" customWidth="1" style="261" min="14601" max="14601"/>
    <col width="8.7265625" customWidth="1" style="261" min="14602" max="14845"/>
    <col width="63.453125" customWidth="1" style="261" min="14846" max="14846"/>
    <col width="10.453125" customWidth="1" style="261" min="14847" max="14847"/>
    <col width="16.1796875" customWidth="1" style="261" min="14848" max="14848"/>
    <col width="8.7265625" customWidth="1" style="261" min="14849" max="14856"/>
    <col width="15.1796875" bestFit="1" customWidth="1" style="261" min="14857" max="14857"/>
    <col width="8.7265625" customWidth="1" style="261" min="14858" max="15101"/>
    <col width="63.453125" customWidth="1" style="261" min="15102" max="15102"/>
    <col width="10.453125" customWidth="1" style="261" min="15103" max="15103"/>
    <col width="16.1796875" customWidth="1" style="261" min="15104" max="15104"/>
    <col width="8.7265625" customWidth="1" style="261" min="15105" max="15112"/>
    <col width="15.1796875" bestFit="1" customWidth="1" style="261" min="15113" max="15113"/>
    <col width="8.7265625" customWidth="1" style="261" min="15114" max="15357"/>
    <col width="63.453125" customWidth="1" style="261" min="15358" max="15358"/>
    <col width="10.453125" customWidth="1" style="261" min="15359" max="15359"/>
    <col width="16.1796875" customWidth="1" style="261" min="15360" max="15360"/>
    <col width="8.7265625" customWidth="1" style="261" min="15361" max="15368"/>
    <col width="15.1796875" bestFit="1" customWidth="1" style="261" min="15369" max="15369"/>
    <col width="8.7265625" customWidth="1" style="261" min="15370" max="15613"/>
    <col width="63.453125" customWidth="1" style="261" min="15614" max="15614"/>
    <col width="10.453125" customWidth="1" style="261" min="15615" max="15615"/>
    <col width="16.1796875" customWidth="1" style="261" min="15616" max="15616"/>
    <col width="8.7265625" customWidth="1" style="261" min="15617" max="15624"/>
    <col width="15.1796875" bestFit="1" customWidth="1" style="261" min="15625" max="15625"/>
    <col width="8.7265625" customWidth="1" style="261" min="15626" max="15869"/>
    <col width="63.453125" customWidth="1" style="261" min="15870" max="15870"/>
    <col width="10.453125" customWidth="1" style="261" min="15871" max="15871"/>
    <col width="16.1796875" customWidth="1" style="261" min="15872" max="15872"/>
    <col width="8.7265625" customWidth="1" style="261" min="15873" max="15880"/>
    <col width="15.1796875" bestFit="1" customWidth="1" style="261" min="15881" max="15881"/>
    <col width="8.7265625" customWidth="1" style="261" min="15882" max="16125"/>
    <col width="63.453125" customWidth="1" style="261" min="16126" max="16126"/>
    <col width="10.453125" customWidth="1" style="261" min="16127" max="16127"/>
    <col width="16.1796875" customWidth="1" style="261" min="16128" max="16128"/>
    <col width="8.7265625" customWidth="1" style="261" min="16129" max="16136"/>
    <col width="15.1796875" bestFit="1" customWidth="1" style="261" min="16137" max="16137"/>
    <col width="8.726562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265625" defaultRowHeight="14.5"/>
  <cols>
    <col width="69.1796875" bestFit="1" customWidth="1" style="261" min="1" max="1"/>
    <col hidden="1" width="31.453125" customWidth="1" style="261" min="2" max="2"/>
    <col width="15.453125" customWidth="1" style="258" min="3" max="3"/>
    <col width="20" customWidth="1" style="261" min="4" max="12"/>
    <col width="8.7265625" customWidth="1" style="261" min="13" max="17"/>
    <col width="8.7265625" customWidth="1" style="261" min="18" max="16384"/>
  </cols>
  <sheetData>
    <row r="1" ht="32.15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4.5"/>
  <cols>
    <col width="61.81640625" bestFit="1" customWidth="1" style="84" min="2" max="2"/>
    <col width="15.1796875" customWidth="1" style="84" min="3" max="3"/>
    <col hidden="1" width="15.1796875" customWidth="1" style="84" min="4" max="10"/>
    <col hidden="1" width="15.179687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65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65" t="n"/>
    </row>
    <row r="5">
      <c r="B5" s="88" t="inlineStr">
        <is>
          <t>HDFC Asset Management Co Ltd</t>
        </is>
      </c>
      <c r="C5" s="104" t="n">
        <v>763496.85</v>
      </c>
      <c r="D5" s="90" t="n"/>
      <c r="K5" s="365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65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65" t="n"/>
    </row>
    <row r="8">
      <c r="B8" s="88" t="inlineStr">
        <is>
          <t>Aditya Birla Sun Life AMC Ltd</t>
        </is>
      </c>
      <c r="C8" s="104" t="n">
        <v>379792.96</v>
      </c>
      <c r="D8" s="90" t="n"/>
      <c r="K8" s="365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65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65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65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65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65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65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65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65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65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65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65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65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65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65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65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65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65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65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65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65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65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65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65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65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65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65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65" t="n"/>
    </row>
    <row r="36" hidden="1">
      <c r="B36" s="88" t="inlineStr">
        <is>
          <t>Navi AMC Limited</t>
        </is>
      </c>
      <c r="C36" s="89" t="n">
        <v>7529.93</v>
      </c>
      <c r="D36" s="90" t="n"/>
      <c r="K36" s="365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65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65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65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65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65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4.5"/>
  <cols>
    <col width="27.81640625" customWidth="1" min="2" max="2"/>
    <col width="19.8164062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388" t="inlineStr">
        <is>
          <t>Weightage Assumptions</t>
        </is>
      </c>
      <c r="C4" s="389" t="n"/>
      <c r="D4" s="389" t="n"/>
      <c r="E4" s="389" t="n"/>
      <c r="F4" s="389" t="n"/>
      <c r="G4" s="389" t="n"/>
      <c r="H4" s="389" t="n"/>
      <c r="I4" s="390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55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55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55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56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topLeftCell="A17" zoomScale="88" workbookViewId="0">
      <selection activeCell="B27" sqref="B27:B29"/>
    </sheetView>
  </sheetViews>
  <sheetFormatPr baseColWidth="8" defaultRowHeight="14.5"/>
  <cols>
    <col width="25.453125" bestFit="1" customWidth="1" style="42" min="2" max="2"/>
    <col width="52.453125" bestFit="1" customWidth="1" style="42" min="3" max="3"/>
    <col width="25.453125" customWidth="1" style="42" min="4" max="5"/>
    <col width="47.453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5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5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5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5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5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5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2026-04-29T07:37:43Z</dcterms:modified>
  <cp:lastModifiedBy>Kanak Yadav</cp:lastModifiedBy>
  <cp:lastPrinted>2025-07-19T07:16:47Z</cp:lastPrinted>
</cp:coreProperties>
</file>