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  <externalReference r:id="rId22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7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19" fillId="0" borderId="0" applyAlignment="1" pivotButton="0" quotePrefix="0" xfId="7">
      <alignment horizontal="left" vertical="center"/>
    </xf>
    <xf numFmtId="0" fontId="19" fillId="0" borderId="99" applyAlignment="1" pivotButton="0" quotePrefix="0" xfId="7">
      <alignment horizontal="left" vertical="center" wrapText="1"/>
    </xf>
    <xf numFmtId="0" fontId="19" fillId="0" borderId="90" applyAlignment="1" pivotButton="0" quotePrefix="0" xfId="7">
      <alignment horizontal="left" vertical="center" wrapText="1"/>
    </xf>
    <xf numFmtId="0" fontId="19" fillId="0" borderId="100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/>
    </xf>
    <xf numFmtId="0" fontId="19" fillId="0" borderId="90" applyAlignment="1" pivotButton="0" quotePrefix="0" xfId="7">
      <alignment horizontal="left" vertical="center" wrapText="1"/>
    </xf>
    <xf numFmtId="0" fontId="19" fillId="0" borderId="97" applyAlignment="1" pivotButton="0" quotePrefix="0" xfId="7">
      <alignment horizontal="left" vertical="center" wrapText="1"/>
    </xf>
    <xf numFmtId="0" fontId="19" fillId="0" borderId="95" applyAlignment="1" pivotButton="0" quotePrefix="0" xfId="7">
      <alignment horizontal="left" vertical="center" wrapText="1"/>
    </xf>
    <xf numFmtId="0" fontId="19" fillId="0" borderId="90" applyAlignment="1" pivotButton="0" quotePrefix="0" xfId="7">
      <alignment vertical="center" wrapText="1"/>
    </xf>
    <xf numFmtId="0" fontId="19" fillId="0" borderId="92" applyAlignment="1" pivotButton="0" quotePrefix="0" xfId="7">
      <alignment horizontal="left" vertical="center" wrapText="1"/>
    </xf>
    <xf numFmtId="0" fontId="19" fillId="0" borderId="3" applyAlignment="1" pivotButton="0" quotePrefix="0" xfId="7">
      <alignment horizontal="left" vertical="center"/>
    </xf>
    <xf numFmtId="0" fontId="19" fillId="0" borderId="87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 wrapText="1"/>
    </xf>
    <xf numFmtId="0" fontId="19" fillId="0" borderId="2" applyAlignment="1" pivotButton="0" quotePrefix="0" xfId="7">
      <alignment vertical="center" wrapText="1"/>
    </xf>
    <xf numFmtId="0" fontId="19" fillId="0" borderId="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 wrapText="1"/>
    </xf>
    <xf numFmtId="0" fontId="19" fillId="0" borderId="96" applyAlignment="1" pivotButton="0" quotePrefix="0" xfId="7">
      <alignment horizontal="left" vertical="center" wrapText="1"/>
    </xf>
    <xf numFmtId="0" fontId="20" fillId="19" borderId="98" applyAlignment="1" pivotButton="0" quotePrefix="0" xfId="7">
      <alignment horizontal="center" vertical="center" wrapText="1"/>
    </xf>
    <xf numFmtId="0" fontId="21" fillId="0" borderId="83" pivotButton="0" quotePrefix="0" xfId="0"/>
    <xf numFmtId="0" fontId="21" fillId="0" borderId="84" pivotButton="0" quotePrefix="0" xfId="0"/>
    <xf numFmtId="0" fontId="21" fillId="0" borderId="85" pivotButton="0" quotePrefix="0" xfId="0"/>
    <xf numFmtId="0" fontId="21" fillId="0" borderId="86" pivotButton="0" quotePrefix="0" xfId="0"/>
    <xf numFmtId="0" fontId="20" fillId="19" borderId="92" applyAlignment="1" pivotButton="0" quotePrefix="0" xfId="7">
      <alignment horizontal="center" vertical="center" wrapText="1"/>
    </xf>
    <xf numFmtId="0" fontId="21" fillId="0" borderId="88" pivotButton="0" quotePrefix="0" xfId="0"/>
    <xf numFmtId="0" fontId="21" fillId="0" borderId="89" pivotButton="0" quotePrefix="0" xfId="0"/>
    <xf numFmtId="0" fontId="22" fillId="19" borderId="95" applyAlignment="1" pivotButton="0" quotePrefix="0" xfId="7">
      <alignment horizontal="center" vertical="center" wrapText="1"/>
    </xf>
    <xf numFmtId="0" fontId="21" fillId="0" borderId="91" pivotButton="0" quotePrefix="0" xfId="0"/>
    <xf numFmtId="0" fontId="23" fillId="20" borderId="92" applyAlignment="1" pivotButton="0" quotePrefix="0" xfId="7">
      <alignment horizontal="center" vertical="center" wrapText="1"/>
    </xf>
    <xf numFmtId="0" fontId="23" fillId="20" borderId="94" applyAlignment="1" pivotButton="0" quotePrefix="0" xfId="7">
      <alignment horizontal="center" vertical="center" wrapText="1"/>
    </xf>
    <xf numFmtId="0" fontId="21" fillId="0" borderId="3" pivotButton="0" quotePrefix="0" xfId="0"/>
    <xf numFmtId="0" fontId="24" fillId="0" borderId="92" applyAlignment="1" pivotButton="0" quotePrefix="0" xfId="7">
      <alignment horizontal="left" vertical="center" wrapText="1"/>
    </xf>
    <xf numFmtId="0" fontId="24" fillId="0" borderId="94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center" vertical="center" wrapText="1"/>
    </xf>
    <xf numFmtId="0" fontId="23" fillId="20" borderId="95" applyAlignment="1" pivotButton="0" quotePrefix="0" xfId="7">
      <alignment horizontal="center" vertical="center" wrapText="1"/>
    </xf>
    <xf numFmtId="0" fontId="21" fillId="0" borderId="90" pivotButton="0" quotePrefix="0" xfId="0"/>
    <xf numFmtId="0" fontId="25" fillId="0" borderId="94" applyAlignment="1" pivotButton="0" quotePrefix="0" xfId="7">
      <alignment horizontal="left" vertical="center" wrapText="1"/>
    </xf>
    <xf numFmtId="10" fontId="26" fillId="0" borderId="94" applyAlignment="1" pivotButton="0" quotePrefix="0" xfId="7">
      <alignment horizontal="center" vertical="center" shrinkToFit="1"/>
    </xf>
    <xf numFmtId="10" fontId="26" fillId="0" borderId="95" applyAlignment="1" pivotButton="0" quotePrefix="0" xfId="7">
      <alignment horizontal="center" vertical="center" shrinkToFit="1"/>
    </xf>
    <xf numFmtId="0" fontId="21" fillId="0" borderId="96" pivotButton="0" quotePrefix="0" xfId="0"/>
    <xf numFmtId="0" fontId="22" fillId="19" borderId="92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left" vertical="center" wrapText="1"/>
    </xf>
    <xf numFmtId="10" fontId="19" fillId="0" borderId="94" applyAlignment="1" pivotButton="0" quotePrefix="0" xfId="7">
      <alignment horizontal="center" vertical="center" shrinkToFit="1"/>
    </xf>
    <xf numFmtId="10" fontId="19" fillId="0" borderId="95" applyAlignment="1" pivotButton="0" quotePrefix="0" xfId="7">
      <alignment horizontal="center" vertical="center" shrinkToFit="1"/>
    </xf>
    <xf numFmtId="0" fontId="23" fillId="0" borderId="92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left" vertical="center" wrapText="1"/>
    </xf>
    <xf numFmtId="3" fontId="23" fillId="0" borderId="94" applyAlignment="1" pivotButton="0" quotePrefix="0" xfId="7">
      <alignment horizontal="right" vertical="center" wrapText="1"/>
    </xf>
    <xf numFmtId="0" fontId="23" fillId="0" borderId="94" applyAlignment="1" pivotButton="0" quotePrefix="0" xfId="7">
      <alignment horizontal="left" vertical="center" wrapText="1"/>
    </xf>
    <xf numFmtId="0" fontId="25" fillId="0" borderId="92" applyAlignment="1" pivotButton="0" quotePrefix="0" xfId="7">
      <alignment horizontal="left" vertical="center" wrapText="1"/>
    </xf>
    <xf numFmtId="164" fontId="19" fillId="0" borderId="95" applyAlignment="1" pivotButton="0" quotePrefix="0" xfId="7">
      <alignment horizontal="center" vertical="center" shrinkToFit="1"/>
    </xf>
    <xf numFmtId="0" fontId="23" fillId="0" borderId="4" applyAlignment="1" pivotButton="0" quotePrefix="0" xfId="7">
      <alignment vertical="center" wrapText="1"/>
    </xf>
    <xf numFmtId="0" fontId="23" fillId="0" borderId="5" applyAlignment="1" pivotButton="0" quotePrefix="0" xfId="7">
      <alignment vertical="center" wrapText="1"/>
    </xf>
    <xf numFmtId="0" fontId="23" fillId="0" borderId="6" applyAlignment="1" pivotButton="0" quotePrefix="0" xfId="7">
      <alignment horizontal="right" vertical="center" wrapText="1" indent="1"/>
    </xf>
    <xf numFmtId="0" fontId="19" fillId="0" borderId="0" applyAlignment="1" pivotButton="0" quotePrefix="0" xfId="7">
      <alignment horizontal="left" vertical="top"/>
    </xf>
    <xf numFmtId="0" fontId="19" fillId="0" borderId="94" applyAlignment="1" pivotButton="0" quotePrefix="0" xfId="7">
      <alignment horizontal="center" vertical="center" wrapText="1"/>
    </xf>
    <xf numFmtId="0" fontId="19" fillId="0" borderId="94" applyAlignment="1" pivotButton="0" quotePrefix="0" xfId="7">
      <alignment horizontal="left" vertical="center" wrapText="1"/>
    </xf>
    <xf numFmtId="0" fontId="19" fillId="0" borderId="94" applyAlignment="1" pivotButton="0" quotePrefix="0" xfId="7">
      <alignment horizontal="left" wrapText="1"/>
    </xf>
    <xf numFmtId="0" fontId="20" fillId="19" borderId="94" applyAlignment="1" pivotButton="0" quotePrefix="0" xfId="7">
      <alignment horizontal="center" vertical="center" wrapText="1"/>
    </xf>
    <xf numFmtId="0" fontId="22" fillId="19" borderId="94" applyAlignment="1" pivotButton="0" quotePrefix="0" xfId="7">
      <alignment horizontal="center" vertical="center" wrapText="1"/>
    </xf>
    <xf numFmtId="0" fontId="23" fillId="21" borderId="94" applyAlignment="1" pivotButton="0" quotePrefix="0" xfId="7">
      <alignment horizontal="center" vertical="center" wrapText="1"/>
    </xf>
    <xf numFmtId="0" fontId="25" fillId="22" borderId="94" applyAlignment="1" pivotButton="0" quotePrefix="0" xfId="7">
      <alignment horizontal="left" vertical="center" wrapText="1"/>
    </xf>
    <xf numFmtId="0" fontId="23" fillId="22" borderId="94" applyAlignment="1" pivotButton="0" quotePrefix="0" xfId="7">
      <alignment horizontal="center" vertical="center" wrapText="1"/>
    </xf>
    <xf numFmtId="0" fontId="23" fillId="22" borderId="94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center" vertical="center" wrapText="1"/>
    </xf>
    <xf numFmtId="0" fontId="21" fillId="0" borderId="94" applyAlignment="1" pivotButton="0" quotePrefix="0" xfId="7">
      <alignment horizontal="left" vertical="center" wrapText="1"/>
    </xf>
    <xf numFmtId="10" fontId="19" fillId="0" borderId="94" applyAlignment="1" pivotButton="0" quotePrefix="0" xfId="7">
      <alignment horizontal="center" vertical="center" shrinkToFit="1"/>
    </xf>
    <xf numFmtId="10" fontId="26" fillId="0" borderId="94" applyAlignment="1" pivotButton="0" quotePrefix="0" xfId="7">
      <alignment horizontal="center" vertical="center" shrinkToFit="1"/>
    </xf>
    <xf numFmtId="2" fontId="19" fillId="0" borderId="94" applyAlignment="1" pivotButton="0" quotePrefix="0" xfId="7">
      <alignment horizontal="center" vertical="center" shrinkToFit="1"/>
    </xf>
    <xf numFmtId="1" fontId="19" fillId="0" borderId="94" applyAlignment="1" pivotButton="0" quotePrefix="0" xfId="7">
      <alignment horizontal="center" vertical="center" shrinkToFit="1"/>
    </xf>
    <xf numFmtId="0" fontId="23" fillId="0" borderId="93" applyAlignment="1" pivotButton="0" quotePrefix="0" xfId="7">
      <alignment vertical="center" wrapText="1"/>
    </xf>
    <xf numFmtId="0" fontId="23" fillId="0" borderId="0" applyAlignment="1" pivotButton="0" quotePrefix="0" xfId="7">
      <alignment vertical="center" wrapText="1"/>
    </xf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91" pivotButton="0" quotePrefix="0" xfId="0"/>
    <xf numFmtId="0" fontId="0" fillId="0" borderId="3" pivotButton="0" quotePrefix="0" xfId="0"/>
    <xf numFmtId="0" fontId="0" fillId="0" borderId="90" pivotButton="0" quotePrefix="0" xfId="0"/>
    <xf numFmtId="0" fontId="0" fillId="0" borderId="96" pivotButton="0" quotePrefix="0" xfId="0"/>
  </cellXfs>
  <cellStyles count="8">
    <cellStyle name="Normal" xfId="0" builtinId="0"/>
    <cellStyle name="Per 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externalLink" Target="/xl/externalLinks/externalLink3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MF%20AI%20Filter\IndexData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 refreshError="1"/>
      <sheetData sheetId="1" refreshError="1"/>
      <sheetData sheetId="2">
        <row r="1">
          <cell r="A1" t="str">
            <v>Column1</v>
          </cell>
          <cell r="B1" t="str">
            <v>Column2</v>
          </cell>
          <cell r="C1" t="str">
            <v>Column3</v>
          </cell>
          <cell r="D1" t="str">
            <v>Returns (%)</v>
          </cell>
          <cell r="E1" t="str">
            <v>Column5</v>
          </cell>
        </row>
        <row r="2">
          <cell r="A2" t="str">
            <v>Index Name</v>
          </cell>
          <cell r="B2" t="str">
            <v>1M</v>
          </cell>
          <cell r="C2" t="str">
            <v>3M</v>
          </cell>
          <cell r="D2" t="str">
            <v>1 Yr</v>
          </cell>
          <cell r="E2" t="str">
            <v>3 Yr</v>
          </cell>
        </row>
        <row r="3">
          <cell r="A3" t="str">
            <v>Broad Market Indices</v>
          </cell>
        </row>
        <row r="4">
          <cell r="A4" t="str">
            <v>Nifty 50</v>
          </cell>
          <cell r="B4" t="str">
            <v>-11.30</v>
          </cell>
          <cell r="C4" t="str">
            <v>-14.44</v>
          </cell>
          <cell r="D4" t="str">
            <v>-3.99</v>
          </cell>
          <cell r="E4" t="str">
            <v>10.03</v>
          </cell>
        </row>
        <row r="5">
          <cell r="A5" t="str">
            <v>Nifty Next 50</v>
          </cell>
          <cell r="B5" t="str">
            <v>-13.26</v>
          </cell>
          <cell r="C5" t="str">
            <v>-12.72</v>
          </cell>
          <cell r="D5" t="str">
            <v>-3.33</v>
          </cell>
          <cell r="E5" t="str">
            <v>17.79</v>
          </cell>
        </row>
        <row r="6">
          <cell r="A6" t="str">
            <v>Nifty 100</v>
          </cell>
          <cell r="B6" t="str">
            <v>-11.63</v>
          </cell>
          <cell r="C6" t="str">
            <v>-14.16</v>
          </cell>
          <cell r="D6" t="str">
            <v>-3.87</v>
          </cell>
          <cell r="E6" t="str">
            <v>11.21</v>
          </cell>
        </row>
        <row r="7">
          <cell r="A7" t="str">
            <v>Nifty 200</v>
          </cell>
          <cell r="B7" t="str">
            <v>-11.51</v>
          </cell>
          <cell r="C7" t="str">
            <v>-13.91</v>
          </cell>
          <cell r="D7" t="str">
            <v>-2.80</v>
          </cell>
          <cell r="E7" t="str">
            <v>12.65</v>
          </cell>
        </row>
        <row r="8">
          <cell r="A8" t="str">
            <v>Nifty 500</v>
          </cell>
          <cell r="B8" t="str">
            <v>-11.36</v>
          </cell>
          <cell r="C8" t="str">
            <v>-13.88</v>
          </cell>
          <cell r="D8" t="str">
            <v>-2.88</v>
          </cell>
          <cell r="E8" t="str">
            <v>13.22</v>
          </cell>
        </row>
        <row r="9">
          <cell r="A9" t="str">
            <v>Nifty Midcap 150</v>
          </cell>
          <cell r="B9" t="str">
            <v>-11.06</v>
          </cell>
          <cell r="C9" t="str">
            <v>-12.63</v>
          </cell>
          <cell r="D9" t="str">
            <v>2.27</v>
          </cell>
          <cell r="E9" t="str">
            <v>20.34</v>
          </cell>
        </row>
        <row r="10">
          <cell r="A10" t="str">
            <v>Nifty Midcap 50</v>
          </cell>
          <cell r="B10" t="str">
            <v>-10.63</v>
          </cell>
          <cell r="C10" t="str">
            <v>-13.02</v>
          </cell>
          <cell r="D10" t="str">
            <v>3.54</v>
          </cell>
          <cell r="E10" t="str">
            <v>21.71</v>
          </cell>
        </row>
        <row r="11">
          <cell r="A11" t="str">
            <v>Nifty Smallcap 250</v>
          </cell>
          <cell r="B11" t="str">
            <v>-10.02</v>
          </cell>
          <cell r="C11" t="str">
            <v>-14.28</v>
          </cell>
          <cell r="D11" t="str">
            <v>-4.86</v>
          </cell>
          <cell r="E11" t="str">
            <v>18.30</v>
          </cell>
        </row>
        <row r="12">
          <cell r="A12" t="str">
            <v>Nifty Smallcap 50</v>
          </cell>
          <cell r="B12" t="str">
            <v>-10.07</v>
          </cell>
          <cell r="C12" t="str">
            <v>-13.14</v>
          </cell>
          <cell r="D12" t="str">
            <v>-2.73</v>
          </cell>
          <cell r="E12" t="str">
            <v>23.00</v>
          </cell>
        </row>
        <row r="13">
          <cell r="A13" t="str">
            <v>Nifty LargeMidcap 250</v>
          </cell>
          <cell r="B13" t="str">
            <v>-11.34</v>
          </cell>
          <cell r="C13" t="str">
            <v>-13.39</v>
          </cell>
          <cell r="D13" t="str">
            <v>-0.82</v>
          </cell>
          <cell r="E13" t="str">
            <v>15.83</v>
          </cell>
        </row>
        <row r="14">
          <cell r="A14" t="str">
            <v>Nifty MidSmallcap 400</v>
          </cell>
          <cell r="B14" t="str">
            <v>-10.71</v>
          </cell>
          <cell r="C14" t="str">
            <v>-13.20</v>
          </cell>
          <cell r="D14" t="str">
            <v>-0.26</v>
          </cell>
          <cell r="E14" t="str">
            <v>19.61</v>
          </cell>
        </row>
        <row r="15">
          <cell r="A15" t="str">
            <v>Nifty Midcap 100</v>
          </cell>
          <cell r="B15" t="str">
            <v>-10.93</v>
          </cell>
          <cell r="C15" t="str">
            <v>-12.81</v>
          </cell>
          <cell r="D15" t="str">
            <v>2.54</v>
          </cell>
          <cell r="E15" t="str">
            <v>21.30</v>
          </cell>
        </row>
        <row r="16">
          <cell r="A16" t="str">
            <v>Nifty Smallcap 100</v>
          </cell>
          <cell r="B16" t="str">
            <v>-10.18</v>
          </cell>
          <cell r="C16" t="str">
            <v>-14.06</v>
          </cell>
          <cell r="D16" t="str">
            <v>-4.93</v>
          </cell>
          <cell r="E16" t="str">
            <v>19.92</v>
          </cell>
        </row>
        <row r="17">
          <cell r="A17" t="str">
            <v>Nifty500 Multicap 50:25:25</v>
          </cell>
          <cell r="B17" t="str">
            <v>-11.09</v>
          </cell>
          <cell r="C17" t="str">
            <v>-13.81</v>
          </cell>
          <cell r="D17" t="str">
            <v>-2.54</v>
          </cell>
          <cell r="E17" t="str">
            <v>15.41</v>
          </cell>
        </row>
        <row r="18">
          <cell r="A18" t="str">
            <v>Nifty Microcap 250</v>
          </cell>
          <cell r="B18" t="str">
            <v>-11.28</v>
          </cell>
          <cell r="C18" t="str">
            <v>-16.14</v>
          </cell>
          <cell r="D18" t="str">
            <v>-8.25</v>
          </cell>
          <cell r="E18" t="str">
            <v>23.21</v>
          </cell>
        </row>
        <row r="19">
          <cell r="A19" t="str">
            <v>Nifty Midcap Select</v>
          </cell>
          <cell r="B19" t="str">
            <v>-9.88</v>
          </cell>
          <cell r="C19" t="str">
            <v>-11.59</v>
          </cell>
          <cell r="D19" t="str">
            <v>5.92</v>
          </cell>
          <cell r="E19" t="str">
            <v>22.07</v>
          </cell>
        </row>
        <row r="20">
          <cell r="A20" t="str">
            <v>Nifty Total Market</v>
          </cell>
          <cell r="B20" t="str">
            <v>-11.36</v>
          </cell>
          <cell r="C20" t="str">
            <v>-13.96</v>
          </cell>
          <cell r="D20" t="str">
            <v>-3.09</v>
          </cell>
          <cell r="E20" t="str">
            <v>13.47</v>
          </cell>
        </row>
        <row r="21">
          <cell r="A21" t="str">
            <v>Nifty500 LargeMidSmall Equal-Cap Weighted</v>
          </cell>
          <cell r="B21" t="str">
            <v>-10.91</v>
          </cell>
          <cell r="C21" t="str">
            <v>-13.69</v>
          </cell>
          <cell r="D21" t="str">
            <v>-2.11</v>
          </cell>
          <cell r="E21" t="str">
            <v>16.75</v>
          </cell>
        </row>
        <row r="22">
          <cell r="A22" t="str">
            <v>Nifty India FPI 150</v>
          </cell>
          <cell r="B22" t="str">
            <v>-10.45</v>
          </cell>
          <cell r="C22" t="str">
            <v>-13.38</v>
          </cell>
          <cell r="D22" t="str">
            <v>-1.74</v>
          </cell>
          <cell r="E22" t="str">
            <v>13.78</v>
          </cell>
        </row>
        <row r="23">
          <cell r="A23" t="str">
            <v>Nifty Smallcap 500</v>
          </cell>
          <cell r="B23" t="str">
            <v>-10.30</v>
          </cell>
          <cell r="C23" t="str">
            <v>-14.77</v>
          </cell>
          <cell r="D23" t="str">
            <v>-5.82</v>
          </cell>
          <cell r="E23" t="str">
            <v>19.03</v>
          </cell>
        </row>
        <row r="24">
          <cell r="A24" t="str">
            <v>Nifty MidSmallcap400 50:50</v>
          </cell>
          <cell r="B24" t="str">
            <v>-10.55</v>
          </cell>
          <cell r="C24" t="str">
            <v>-13.46</v>
          </cell>
          <cell r="D24" t="str">
            <v>-1.33</v>
          </cell>
          <cell r="E24" t="str">
            <v>19.35</v>
          </cell>
        </row>
        <row r="25">
          <cell r="A25" t="str">
            <v>Sectoral Indices</v>
          </cell>
        </row>
        <row r="26">
          <cell r="A26" t="str">
            <v>Nifty500 Healthcare</v>
          </cell>
          <cell r="B26" t="str">
            <v>-5.18</v>
          </cell>
          <cell r="C26" t="str">
            <v>-4.46</v>
          </cell>
          <cell r="D26" t="str">
            <v>1.93</v>
          </cell>
          <cell r="E26" t="str">
            <v>24.26</v>
          </cell>
        </row>
        <row r="27">
          <cell r="A27" t="str">
            <v>Nifty Auto</v>
          </cell>
          <cell r="B27" t="str">
            <v>-15.55</v>
          </cell>
          <cell r="C27" t="str">
            <v>-15.54</v>
          </cell>
          <cell r="D27" t="str">
            <v>12.78</v>
          </cell>
          <cell r="E27" t="str">
            <v>25.81</v>
          </cell>
        </row>
        <row r="28">
          <cell r="A28" t="str">
            <v>Nifty Bank</v>
          </cell>
          <cell r="B28" t="str">
            <v>-16.94</v>
          </cell>
          <cell r="C28" t="str">
            <v>-15.62</v>
          </cell>
          <cell r="D28" t="str">
            <v>-1.73</v>
          </cell>
          <cell r="E28" t="str">
            <v>8.28</v>
          </cell>
        </row>
        <row r="29">
          <cell r="A29" t="str">
            <v>Nifty Cement</v>
          </cell>
          <cell r="B29" t="str">
            <v>-13.91</v>
          </cell>
          <cell r="C29" t="str">
            <v>-15.33</v>
          </cell>
          <cell r="D29" t="str">
            <v>-12.56</v>
          </cell>
          <cell r="E29" t="str">
            <v>6.63</v>
          </cell>
        </row>
        <row r="30">
          <cell r="A30" t="str">
            <v>Nifty Chemicals</v>
          </cell>
          <cell r="B30" t="str">
            <v>-10.19</v>
          </cell>
          <cell r="C30" t="str">
            <v>-14.11</v>
          </cell>
          <cell r="D30" t="str">
            <v>-10.06</v>
          </cell>
          <cell r="E30" t="str">
            <v>4.09</v>
          </cell>
        </row>
        <row r="31">
          <cell r="A31" t="str">
            <v>Nifty Consumer Durables</v>
          </cell>
          <cell r="B31" t="str">
            <v>-12.14</v>
          </cell>
          <cell r="C31" t="str">
            <v>-10.13</v>
          </cell>
          <cell r="D31" t="str">
            <v>-7.02</v>
          </cell>
          <cell r="E31" t="str">
            <v>11.63</v>
          </cell>
        </row>
        <row r="32">
          <cell r="A32" t="str">
            <v>Nifty Financial Services</v>
          </cell>
          <cell r="B32" t="str">
            <v>-15.57</v>
          </cell>
          <cell r="C32" t="str">
            <v>-14.76</v>
          </cell>
          <cell r="D32" t="str">
            <v>-5.26</v>
          </cell>
          <cell r="E32" t="str">
            <v>10.31</v>
          </cell>
        </row>
        <row r="33">
          <cell r="A33" t="str">
            <v>Nifty Financial Services 25/50</v>
          </cell>
          <cell r="B33" t="str">
            <v>-14.92</v>
          </cell>
          <cell r="C33" t="str">
            <v>-14.72</v>
          </cell>
          <cell r="D33" t="str">
            <v>-3.09</v>
          </cell>
          <cell r="E33" t="str">
            <v>15.31</v>
          </cell>
        </row>
        <row r="34">
          <cell r="A34" t="str">
            <v>Nifty Financial Services Ex-Bank</v>
          </cell>
          <cell r="B34" t="str">
            <v>-13.87</v>
          </cell>
          <cell r="C34" t="str">
            <v>-15.33</v>
          </cell>
          <cell r="D34" t="str">
            <v>2.86</v>
          </cell>
          <cell r="E34" t="str">
            <v>21.06</v>
          </cell>
        </row>
        <row r="35">
          <cell r="A35" t="str">
            <v>Nifty FMCG</v>
          </cell>
          <cell r="B35" t="str">
            <v>-10.96</v>
          </cell>
          <cell r="C35" t="str">
            <v>-17.84</v>
          </cell>
          <cell r="D35" t="str">
            <v>-13.78</v>
          </cell>
          <cell r="E35" t="str">
            <v>1.30</v>
          </cell>
        </row>
        <row r="36">
          <cell r="A36" t="str">
            <v>Nifty Healthcare Index</v>
          </cell>
          <cell r="B36" t="str">
            <v>-4.51</v>
          </cell>
          <cell r="C36" t="str">
            <v>-2.81</v>
          </cell>
          <cell r="D36" t="str">
            <v>4.41</v>
          </cell>
          <cell r="E36" t="str">
            <v>23.81</v>
          </cell>
        </row>
        <row r="37">
          <cell r="A37" t="str">
            <v>Nifty IT</v>
          </cell>
          <cell r="B37" t="str">
            <v>-5.04</v>
          </cell>
          <cell r="C37" t="str">
            <v>-22.91</v>
          </cell>
          <cell r="D37" t="str">
            <v>-19.35</v>
          </cell>
          <cell r="E37" t="str">
            <v>2.60</v>
          </cell>
        </row>
        <row r="38">
          <cell r="A38" t="str">
            <v>Nifty Media</v>
          </cell>
          <cell r="B38" t="str">
            <v>-10.86</v>
          </cell>
          <cell r="C38" t="str">
            <v>-12.50</v>
          </cell>
          <cell r="D38" t="str">
            <v>-13.92</v>
          </cell>
          <cell r="E38" t="str">
            <v>-8.96</v>
          </cell>
        </row>
        <row r="39">
          <cell r="A39" t="str">
            <v>Nifty Metal</v>
          </cell>
          <cell r="B39" t="str">
            <v>-8.79</v>
          </cell>
          <cell r="C39" t="str">
            <v>0.03</v>
          </cell>
          <cell r="D39" t="str">
            <v>23.60</v>
          </cell>
          <cell r="E39" t="str">
            <v>27.38</v>
          </cell>
        </row>
        <row r="40">
          <cell r="A40" t="str">
            <v>Nifty MidSmall Financial Services</v>
          </cell>
          <cell r="B40" t="str">
            <v>-12.18</v>
          </cell>
          <cell r="C40" t="str">
            <v>-12.76</v>
          </cell>
          <cell r="D40" t="str">
            <v>21.34</v>
          </cell>
          <cell r="E40" t="str">
            <v>32.00</v>
          </cell>
        </row>
        <row r="41">
          <cell r="A41" t="str">
            <v>Nifty MidSmall Healthcare</v>
          </cell>
          <cell r="B41" t="str">
            <v>-5.12</v>
          </cell>
          <cell r="C41" t="str">
            <v>-4.85</v>
          </cell>
          <cell r="D41" t="str">
            <v>2.45</v>
          </cell>
          <cell r="E41" t="str">
            <v>28.79</v>
          </cell>
        </row>
        <row r="42">
          <cell r="A42" t="str">
            <v>Nifty MidSmall IT &amp; Telecom</v>
          </cell>
          <cell r="B42" t="str">
            <v>-8.47</v>
          </cell>
          <cell r="C42" t="str">
            <v>-23.09</v>
          </cell>
          <cell r="D42" t="str">
            <v>-14.30</v>
          </cell>
          <cell r="E42" t="str">
            <v>10.28</v>
          </cell>
        </row>
        <row r="43">
          <cell r="A43" t="str">
            <v>Nifty Oil &amp; Gas</v>
          </cell>
          <cell r="B43" t="str">
            <v>-11.93</v>
          </cell>
          <cell r="C43" t="str">
            <v>-11.60</v>
          </cell>
          <cell r="D43" t="str">
            <v>3.19</v>
          </cell>
          <cell r="E43" t="str">
            <v>15.73</v>
          </cell>
        </row>
        <row r="44">
          <cell r="A44" t="str">
            <v>Nifty Pharma</v>
          </cell>
          <cell r="B44" t="str">
            <v>-3.14</v>
          </cell>
          <cell r="C44" t="str">
            <v>-1.94</v>
          </cell>
          <cell r="D44" t="str">
            <v>5.94</v>
          </cell>
          <cell r="E44" t="str">
            <v>23.65</v>
          </cell>
        </row>
        <row r="45">
          <cell r="A45" t="str">
            <v>Nifty Private Bank</v>
          </cell>
          <cell r="B45" t="str">
            <v>-15.63</v>
          </cell>
          <cell r="C45" t="str">
            <v>-15.93</v>
          </cell>
          <cell r="D45" t="str">
            <v>-5.65</v>
          </cell>
          <cell r="E45" t="str">
            <v>6.14</v>
          </cell>
        </row>
        <row r="46">
          <cell r="A46" t="str">
            <v>Nifty PSU Bank</v>
          </cell>
          <cell r="B46" t="str">
            <v>-19.83</v>
          </cell>
          <cell r="C46" t="str">
            <v>-7.68</v>
          </cell>
          <cell r="D46" t="str">
            <v>26.61</v>
          </cell>
          <cell r="E46" t="str">
            <v>29.37</v>
          </cell>
        </row>
        <row r="47">
          <cell r="A47" t="str">
            <v>Nifty Realty</v>
          </cell>
          <cell r="B47" t="str">
            <v>-16.58</v>
          </cell>
          <cell r="C47" t="str">
            <v>-25.82</v>
          </cell>
          <cell r="D47" t="str">
            <v>-23.26</v>
          </cell>
          <cell r="E47" t="str">
            <v>19.29</v>
          </cell>
        </row>
        <row r="48">
          <cell r="A48" t="str">
            <v>Nifty REITs &amp; Realty</v>
          </cell>
          <cell r="B48" t="str">
            <v>-10.34</v>
          </cell>
          <cell r="C48" t="str">
            <v>-12.25</v>
          </cell>
          <cell r="D48" t="str">
            <v>2.54</v>
          </cell>
          <cell r="E48" t="str">
            <v>17.93</v>
          </cell>
        </row>
        <row r="49">
          <cell r="A49" t="str">
            <v>Strategy Indices</v>
          </cell>
        </row>
        <row r="50">
          <cell r="A50" t="str">
            <v>Nifty100 Alpha 30</v>
          </cell>
          <cell r="B50" t="str">
            <v>-13.11</v>
          </cell>
          <cell r="C50" t="str">
            <v>-12.81</v>
          </cell>
          <cell r="D50" t="str">
            <v>-4.87</v>
          </cell>
          <cell r="E50" t="str">
            <v>16.58</v>
          </cell>
        </row>
        <row r="51">
          <cell r="A51" t="str">
            <v>Nifty100 Equal Weight</v>
          </cell>
          <cell r="B51" t="str">
            <v>-11.98</v>
          </cell>
          <cell r="C51" t="str">
            <v>-12.09</v>
          </cell>
          <cell r="D51" t="str">
            <v>-0.72</v>
          </cell>
          <cell r="E51" t="str">
            <v>16.69</v>
          </cell>
        </row>
        <row r="52">
          <cell r="A52" t="str">
            <v>Nifty100 Low Volatility 30</v>
          </cell>
          <cell r="B52" t="str">
            <v>-10.66</v>
          </cell>
          <cell r="C52" t="str">
            <v>-13.22</v>
          </cell>
          <cell r="D52" t="str">
            <v>-1.51</v>
          </cell>
          <cell r="E52" t="str">
            <v>13.38</v>
          </cell>
        </row>
        <row r="53">
          <cell r="A53" t="str">
            <v>Nifty100 Quality 30</v>
          </cell>
          <cell r="B53" t="str">
            <v>-9.48</v>
          </cell>
          <cell r="C53" t="str">
            <v>-13.89</v>
          </cell>
          <cell r="D53" t="str">
            <v>-2.40</v>
          </cell>
          <cell r="E53" t="str">
            <v>11.16</v>
          </cell>
        </row>
        <row r="54">
          <cell r="A54" t="str">
            <v>Nifty200 Alpha 30</v>
          </cell>
          <cell r="B54" t="str">
            <v>-13.36</v>
          </cell>
          <cell r="C54" t="str">
            <v>-11.66</v>
          </cell>
          <cell r="D54" t="str">
            <v>-0.96</v>
          </cell>
          <cell r="E54" t="str">
            <v>21.13</v>
          </cell>
        </row>
        <row r="55">
          <cell r="A55" t="str">
            <v>Nifty200 Momentum 30</v>
          </cell>
          <cell r="B55" t="str">
            <v>-13.66</v>
          </cell>
          <cell r="C55" t="str">
            <v>-12.99</v>
          </cell>
          <cell r="D55" t="str">
            <v>-3.39</v>
          </cell>
          <cell r="E55" t="str">
            <v>14.90</v>
          </cell>
        </row>
        <row r="56">
          <cell r="A56" t="str">
            <v>Nifty200 Quality 30</v>
          </cell>
          <cell r="B56" t="str">
            <v>-9.61</v>
          </cell>
          <cell r="C56" t="str">
            <v>-14.64</v>
          </cell>
          <cell r="D56" t="str">
            <v>-3.60</v>
          </cell>
          <cell r="E56" t="str">
            <v>10.84</v>
          </cell>
        </row>
        <row r="57">
          <cell r="A57" t="str">
            <v>Nifty200 Value 30</v>
          </cell>
          <cell r="B57" t="str">
            <v>-12.68</v>
          </cell>
          <cell r="C57" t="str">
            <v>-4.08</v>
          </cell>
          <cell r="D57" t="str">
            <v>14.94</v>
          </cell>
          <cell r="E57" t="str">
            <v>32.85</v>
          </cell>
        </row>
        <row r="58">
          <cell r="A58" t="str">
            <v>Nifty500 Equal Weight</v>
          </cell>
          <cell r="B58" t="str">
            <v>-11.17</v>
          </cell>
          <cell r="C58" t="str">
            <v>-14.17</v>
          </cell>
          <cell r="D58" t="str">
            <v>-2.91</v>
          </cell>
          <cell r="E58" t="str">
            <v>17.94</v>
          </cell>
        </row>
        <row r="59">
          <cell r="A59" t="str">
            <v>Nifty500 Flexicap Quality 30</v>
          </cell>
          <cell r="B59" t="str">
            <v>-8.96</v>
          </cell>
          <cell r="C59" t="str">
            <v>-15.62</v>
          </cell>
          <cell r="D59" t="str">
            <v>-9.35</v>
          </cell>
          <cell r="E59" t="str">
            <v>7.71</v>
          </cell>
        </row>
        <row r="60">
          <cell r="A60" t="str">
            <v>Nifty500 Low Volatility 50</v>
          </cell>
          <cell r="B60" t="str">
            <v>-9.95</v>
          </cell>
          <cell r="C60" t="str">
            <v>-10.46</v>
          </cell>
          <cell r="D60" t="str">
            <v>3.67</v>
          </cell>
          <cell r="E60" t="str">
            <v>17.90</v>
          </cell>
        </row>
        <row r="61">
          <cell r="A61" t="str">
            <v>Nifty500 Momentum 50</v>
          </cell>
          <cell r="B61" t="str">
            <v>-12.16</v>
          </cell>
          <cell r="C61" t="str">
            <v>-12.67</v>
          </cell>
          <cell r="D61" t="str">
            <v>-3.35</v>
          </cell>
          <cell r="E61" t="str">
            <v>17.39</v>
          </cell>
        </row>
        <row r="62">
          <cell r="A62" t="str">
            <v>Nifty500 Multicap Momentum Quality 50</v>
          </cell>
          <cell r="B62" t="str">
            <v>-10.02</v>
          </cell>
          <cell r="C62" t="str">
            <v>-11.33</v>
          </cell>
          <cell r="D62" t="str">
            <v>-3.83</v>
          </cell>
          <cell r="E62" t="str">
            <v>16.97</v>
          </cell>
        </row>
        <row r="63">
          <cell r="A63" t="str">
            <v>Nifty500 Multifactor MQVLv 50</v>
          </cell>
          <cell r="B63" t="str">
            <v>-11.88</v>
          </cell>
          <cell r="C63" t="str">
            <v>-10.01</v>
          </cell>
          <cell r="D63" t="str">
            <v>0.78</v>
          </cell>
          <cell r="E63" t="str">
            <v>21.33</v>
          </cell>
        </row>
        <row r="64">
          <cell r="A64" t="str">
            <v>Nifty500 Quality 50</v>
          </cell>
          <cell r="B64" t="str">
            <v>-8.34</v>
          </cell>
          <cell r="C64" t="str">
            <v>-11.10</v>
          </cell>
          <cell r="D64" t="str">
            <v>-2.94</v>
          </cell>
          <cell r="E64" t="str">
            <v>17.15</v>
          </cell>
        </row>
        <row r="65">
          <cell r="A65" t="str">
            <v>Nifty500 Value 50</v>
          </cell>
          <cell r="B65" t="str">
            <v>-11.21</v>
          </cell>
          <cell r="C65" t="str">
            <v>-3.41</v>
          </cell>
          <cell r="D65" t="str">
            <v>13.91</v>
          </cell>
          <cell r="E65" t="str">
            <v>31.23</v>
          </cell>
        </row>
        <row r="66">
          <cell r="A66" t="str">
            <v>Nifty50 Equal Weight</v>
          </cell>
          <cell r="B66" t="str">
            <v>-10.65</v>
          </cell>
          <cell r="C66" t="str">
            <v>-11.18</v>
          </cell>
          <cell r="D66" t="str">
            <v>2.18</v>
          </cell>
          <cell r="E66" t="str">
            <v>15.86</v>
          </cell>
        </row>
        <row r="67">
          <cell r="A67" t="str">
            <v>Nifty50 Value 20</v>
          </cell>
          <cell r="B67" t="str">
            <v>-10.12</v>
          </cell>
          <cell r="C67" t="str">
            <v>-12.51</v>
          </cell>
          <cell r="D67" t="str">
            <v>-5.70</v>
          </cell>
          <cell r="E67" t="str">
            <v>10.03</v>
          </cell>
        </row>
        <row r="68">
          <cell r="A68" t="str">
            <v>Nifty Alpha 50</v>
          </cell>
          <cell r="B68" t="str">
            <v>-12.17</v>
          </cell>
          <cell r="C68" t="str">
            <v>-11.53</v>
          </cell>
          <cell r="D68" t="str">
            <v>-2.98</v>
          </cell>
          <cell r="E68" t="str">
            <v>20.31</v>
          </cell>
        </row>
        <row r="69">
          <cell r="A69" t="str">
            <v>Nifty Alpha Low-Volatility 30</v>
          </cell>
          <cell r="B69" t="str">
            <v>-11.88</v>
          </cell>
          <cell r="C69" t="str">
            <v>-11.43</v>
          </cell>
          <cell r="D69" t="str">
            <v>-3.83</v>
          </cell>
          <cell r="E69" t="str">
            <v>13.75</v>
          </cell>
        </row>
        <row r="70">
          <cell r="A70" t="str">
            <v>Nifty Alpha Quality Low-Volatility 30</v>
          </cell>
          <cell r="B70" t="str">
            <v>-10.80</v>
          </cell>
          <cell r="C70" t="str">
            <v>-10.92</v>
          </cell>
          <cell r="D70" t="str">
            <v>-1.19</v>
          </cell>
          <cell r="E70" t="str">
            <v>15.30</v>
          </cell>
        </row>
        <row r="71">
          <cell r="A71" t="str">
            <v>Nifty Alpha Quality Value Low-Volatility 30</v>
          </cell>
          <cell r="B71" t="str">
            <v>-10.34</v>
          </cell>
          <cell r="C71" t="str">
            <v>-13.32</v>
          </cell>
          <cell r="D71" t="str">
            <v>-1.39</v>
          </cell>
          <cell r="E71" t="str">
            <v>19.41</v>
          </cell>
        </row>
        <row r="72">
          <cell r="A72" t="str">
            <v>Nifty Dividend Opportunities 50</v>
          </cell>
          <cell r="B72" t="str">
            <v>-10.55</v>
          </cell>
          <cell r="C72" t="str">
            <v>-11.16</v>
          </cell>
          <cell r="D72" t="str">
            <v>-1.29</v>
          </cell>
          <cell r="E72" t="str">
            <v>15.67</v>
          </cell>
        </row>
        <row r="73">
          <cell r="A73" t="str">
            <v>Nifty Growth Sectors 15</v>
          </cell>
          <cell r="B73" t="str">
            <v>-9.15</v>
          </cell>
          <cell r="C73" t="str">
            <v>-16.29</v>
          </cell>
          <cell r="D73" t="str">
            <v>-1.08</v>
          </cell>
          <cell r="E73" t="str">
            <v>8.43</v>
          </cell>
        </row>
        <row r="74">
          <cell r="A74" t="str">
            <v>Nifty High Beta 50</v>
          </cell>
          <cell r="B74" t="str">
            <v>-12.14</v>
          </cell>
          <cell r="C74" t="str">
            <v>-15.83</v>
          </cell>
          <cell r="D74" t="str">
            <v>1.17</v>
          </cell>
          <cell r="E74" t="str">
            <v>18.24</v>
          </cell>
        </row>
        <row r="75">
          <cell r="A75" t="str">
            <v>Nifty Low Volatility 50</v>
          </cell>
          <cell r="B75" t="str">
            <v>-10.22</v>
          </cell>
          <cell r="C75" t="str">
            <v>-11.98</v>
          </cell>
          <cell r="D75" t="str">
            <v>-3.16</v>
          </cell>
          <cell r="E75" t="str">
            <v>14.36</v>
          </cell>
        </row>
        <row r="76">
          <cell r="A76" t="str">
            <v>Nifty Midcap150 Momentum 50</v>
          </cell>
          <cell r="B76" t="str">
            <v>-11.73</v>
          </cell>
          <cell r="C76" t="str">
            <v>-11.89</v>
          </cell>
          <cell r="D76" t="str">
            <v>-1.56</v>
          </cell>
          <cell r="E76" t="str">
            <v>20.98</v>
          </cell>
        </row>
        <row r="77">
          <cell r="A77" t="str">
            <v>Nifty Midcap150 Quality 50</v>
          </cell>
          <cell r="B77" t="str">
            <v>-11.50</v>
          </cell>
          <cell r="C77" t="str">
            <v>-13.60</v>
          </cell>
          <cell r="D77" t="str">
            <v>-4.80</v>
          </cell>
          <cell r="E77" t="str">
            <v>11.71</v>
          </cell>
        </row>
        <row r="78">
          <cell r="A78" t="str">
            <v>Nifty MidSmallcap400 Momentum Quality 100</v>
          </cell>
          <cell r="B78" t="str">
            <v>-9.00</v>
          </cell>
          <cell r="C78" t="str">
            <v>-9.98</v>
          </cell>
          <cell r="D78" t="str">
            <v>-2.60</v>
          </cell>
          <cell r="E78" t="str">
            <v>17.06</v>
          </cell>
        </row>
        <row r="79">
          <cell r="A79" t="str">
            <v>Nifty Quality Low-Volatility 30</v>
          </cell>
          <cell r="B79" t="str">
            <v>-10.51</v>
          </cell>
          <cell r="C79" t="str">
            <v>-14.28</v>
          </cell>
          <cell r="D79" t="str">
            <v>-5.54</v>
          </cell>
          <cell r="E79" t="str">
            <v>9.31</v>
          </cell>
        </row>
        <row r="80">
          <cell r="A80" t="str">
            <v>Nifty Smallcap250 Momentum Quality 100</v>
          </cell>
          <cell r="B80" t="str">
            <v>-9.92</v>
          </cell>
          <cell r="C80" t="str">
            <v>-14.37</v>
          </cell>
          <cell r="D80" t="str">
            <v>-10.18</v>
          </cell>
          <cell r="E80" t="str">
            <v>12.98</v>
          </cell>
        </row>
        <row r="81">
          <cell r="A81" t="str">
            <v>Nifty Smallcap250 Quality 50</v>
          </cell>
          <cell r="B81" t="str">
            <v>-10.14</v>
          </cell>
          <cell r="C81" t="str">
            <v>-14.88</v>
          </cell>
          <cell r="D81" t="str">
            <v>-9.15</v>
          </cell>
          <cell r="E81" t="str">
            <v>14.50</v>
          </cell>
        </row>
        <row r="82">
          <cell r="A82" t="str">
            <v>Nifty Top 10 Equal Weight</v>
          </cell>
          <cell r="B82" t="str">
            <v>-11.47</v>
          </cell>
          <cell r="C82" t="str">
            <v>-18.26</v>
          </cell>
          <cell r="D82" t="str">
            <v>-11.13</v>
          </cell>
          <cell r="E82" t="str">
            <v>5.15</v>
          </cell>
        </row>
        <row r="83">
          <cell r="A83" t="str">
            <v>Nifty Top 15 Equal Weight</v>
          </cell>
          <cell r="B83" t="str">
            <v>-13.12</v>
          </cell>
          <cell r="C83" t="str">
            <v>-17.29</v>
          </cell>
          <cell r="D83" t="str">
            <v>-5.12</v>
          </cell>
          <cell r="E83" t="str">
            <v>9.22</v>
          </cell>
        </row>
        <row r="84">
          <cell r="A84" t="str">
            <v>Nifty Top 20 Equal Weight</v>
          </cell>
          <cell r="B84" t="str">
            <v>-11.91</v>
          </cell>
          <cell r="C84" t="str">
            <v>-15.61</v>
          </cell>
          <cell r="D84" t="str">
            <v>-5.12</v>
          </cell>
          <cell r="E84" t="str">
            <v>10.51</v>
          </cell>
        </row>
        <row r="85">
          <cell r="A85" t="str">
            <v>Nifty Total Market Momentum Quality 50</v>
          </cell>
          <cell r="B85" t="str">
            <v>-10.30</v>
          </cell>
          <cell r="C85" t="str">
            <v>-8.92</v>
          </cell>
          <cell r="D85" t="str">
            <v>-1.02</v>
          </cell>
          <cell r="E85" t="str">
            <v>18.67</v>
          </cell>
        </row>
        <row r="86">
          <cell r="A86" t="str">
            <v>Thematic Indices</v>
          </cell>
        </row>
        <row r="87">
          <cell r="A87" t="str">
            <v>Nifty100 Enhanced ESG</v>
          </cell>
          <cell r="B87" t="str">
            <v>-11.66</v>
          </cell>
          <cell r="C87" t="str">
            <v>-14.21</v>
          </cell>
          <cell r="D87" t="str">
            <v>-1.94</v>
          </cell>
          <cell r="E87" t="str">
            <v>12.67</v>
          </cell>
        </row>
        <row r="88">
          <cell r="A88" t="str">
            <v>Nifty100 ESG</v>
          </cell>
          <cell r="B88" t="str">
            <v>-11.66</v>
          </cell>
          <cell r="C88" t="str">
            <v>-14.06</v>
          </cell>
          <cell r="D88" t="str">
            <v>-1.91</v>
          </cell>
          <cell r="E88" t="str">
            <v>12.73</v>
          </cell>
        </row>
        <row r="89">
          <cell r="A89" t="str">
            <v>Nifty100 ESG Sector Leaders</v>
          </cell>
          <cell r="B89" t="str">
            <v>-10.74</v>
          </cell>
          <cell r="C89" t="str">
            <v>-14.71</v>
          </cell>
          <cell r="D89" t="str">
            <v>-4.25</v>
          </cell>
          <cell r="E89" t="str">
            <v>10.84</v>
          </cell>
        </row>
        <row r="90">
          <cell r="A90" t="str">
            <v>Nifty100 Liquid 15</v>
          </cell>
          <cell r="B90" t="str">
            <v>-12.28</v>
          </cell>
          <cell r="C90" t="str">
            <v>-12.84</v>
          </cell>
          <cell r="D90" t="str">
            <v>1.99</v>
          </cell>
          <cell r="E90" t="str">
            <v>16.06</v>
          </cell>
        </row>
        <row r="91">
          <cell r="A91" t="str">
            <v>Nifty500 Multicap India Manufacturing 50:30:20</v>
          </cell>
          <cell r="B91" t="str">
            <v>-9.63</v>
          </cell>
          <cell r="C91" t="str">
            <v>-9.99</v>
          </cell>
          <cell r="D91" t="str">
            <v>4.43</v>
          </cell>
          <cell r="E91" t="str">
            <v>20.89</v>
          </cell>
        </row>
        <row r="92">
          <cell r="A92" t="str">
            <v>Nifty500 Multicap Infrastructure 50:30:20</v>
          </cell>
          <cell r="B92" t="str">
            <v>-10.46</v>
          </cell>
          <cell r="C92" t="str">
            <v>-12.16</v>
          </cell>
          <cell r="D92" t="str">
            <v>-1.03</v>
          </cell>
          <cell r="E92" t="str">
            <v>18.04</v>
          </cell>
        </row>
        <row r="93">
          <cell r="A93" t="str">
            <v>Nifty500 Shariah</v>
          </cell>
          <cell r="B93" t="str">
            <v>-9.21</v>
          </cell>
          <cell r="C93" t="str">
            <v>-12.99</v>
          </cell>
          <cell r="D93" t="str">
            <v>-6.15</v>
          </cell>
          <cell r="E93" t="str">
            <v>9.59</v>
          </cell>
        </row>
        <row r="94">
          <cell r="A94" t="str">
            <v>Nifty50 Shariah</v>
          </cell>
          <cell r="B94" t="str">
            <v>-7.24</v>
          </cell>
          <cell r="C94" t="str">
            <v>-14.11</v>
          </cell>
          <cell r="D94" t="str">
            <v>-9.79</v>
          </cell>
          <cell r="E94" t="str">
            <v>5.05</v>
          </cell>
        </row>
        <row r="95">
          <cell r="A95" t="str">
            <v>Nifty Capital Markets</v>
          </cell>
          <cell r="B95" t="str">
            <v>-7.61</v>
          </cell>
          <cell r="C95" t="str">
            <v>-8.54</v>
          </cell>
          <cell r="D95" t="str">
            <v>25.43</v>
          </cell>
          <cell r="E95" t="str">
            <v>58.49</v>
          </cell>
        </row>
        <row r="96">
          <cell r="A96" t="str">
            <v>Nifty Commodities</v>
          </cell>
          <cell r="B96" t="str">
            <v>-8.20</v>
          </cell>
          <cell r="C96" t="str">
            <v>-3.78</v>
          </cell>
          <cell r="D96" t="str">
            <v>8.90</v>
          </cell>
          <cell r="E96" t="str">
            <v>19.12</v>
          </cell>
        </row>
        <row r="97">
          <cell r="A97" t="str">
            <v>Nifty Conglomerate 50</v>
          </cell>
          <cell r="B97" t="str">
            <v>-12.65</v>
          </cell>
          <cell r="C97" t="str">
            <v>-14.85</v>
          </cell>
          <cell r="D97" t="str">
            <v>-3.53</v>
          </cell>
          <cell r="E97" t="str">
            <v>13.05</v>
          </cell>
        </row>
        <row r="98">
          <cell r="A98" t="str">
            <v>Nifty Core Housing</v>
          </cell>
          <cell r="B98" t="str">
            <v>-13.91</v>
          </cell>
          <cell r="C98" t="str">
            <v>-16.23</v>
          </cell>
          <cell r="D98" t="str">
            <v>-12.81</v>
          </cell>
          <cell r="E98" t="str">
            <v>8.83</v>
          </cell>
        </row>
        <row r="99">
          <cell r="A99" t="str">
            <v>Nifty CPSE</v>
          </cell>
          <cell r="B99" t="str">
            <v>-2.54</v>
          </cell>
          <cell r="C99" t="str">
            <v>9.26</v>
          </cell>
          <cell r="D99" t="str">
            <v>14.80</v>
          </cell>
          <cell r="E99" t="str">
            <v>36.36</v>
          </cell>
        </row>
        <row r="100">
          <cell r="A100" t="str">
            <v>Nifty Energy</v>
          </cell>
          <cell r="B100" t="str">
            <v>-5.91</v>
          </cell>
          <cell r="C100" t="str">
            <v>-0.97</v>
          </cell>
          <cell r="D100" t="str">
            <v>5.07</v>
          </cell>
          <cell r="E100" t="str">
            <v>16.72</v>
          </cell>
        </row>
        <row r="101">
          <cell r="A101" t="str">
            <v>Nifty EV &amp; New Age Automotive</v>
          </cell>
          <cell r="B101" t="str">
            <v>-14.73</v>
          </cell>
          <cell r="C101" t="str">
            <v>-16.37</v>
          </cell>
          <cell r="D101" t="str">
            <v>-0.52</v>
          </cell>
          <cell r="E101" t="str">
            <v>16.67</v>
          </cell>
        </row>
        <row r="102">
          <cell r="A102" t="str">
            <v>Nifty Housing</v>
          </cell>
          <cell r="B102" t="str">
            <v>-12.67</v>
          </cell>
          <cell r="C102" t="str">
            <v>-10.70</v>
          </cell>
          <cell r="D102" t="str">
            <v>-2.91</v>
          </cell>
          <cell r="E102" t="str">
            <v>13.05</v>
          </cell>
        </row>
        <row r="103">
          <cell r="A103" t="str">
            <v>Nifty India Consumption</v>
          </cell>
          <cell r="B103" t="str">
            <v>-10.42</v>
          </cell>
          <cell r="C103" t="str">
            <v>-15.84</v>
          </cell>
          <cell r="D103" t="str">
            <v>-2.75</v>
          </cell>
          <cell r="E103" t="str">
            <v>14.04</v>
          </cell>
        </row>
        <row r="104">
          <cell r="A104" t="str">
            <v>Nifty India Corporate Group Index - Aditya Birla Group</v>
          </cell>
          <cell r="B104" t="str">
            <v>-11.99</v>
          </cell>
          <cell r="C104" t="str">
            <v>-10.31</v>
          </cell>
          <cell r="D104" t="str">
            <v>6.26</v>
          </cell>
          <cell r="E104" t="str">
            <v>16.42</v>
          </cell>
        </row>
        <row r="105">
          <cell r="A105" t="str">
            <v>Nifty India Corporate Group Index - Mahindra Group</v>
          </cell>
          <cell r="B105" t="str">
            <v>-10.99</v>
          </cell>
          <cell r="C105" t="str">
            <v>-19.21</v>
          </cell>
          <cell r="D105" t="str">
            <v>8.06</v>
          </cell>
          <cell r="E105" t="str">
            <v>24.92</v>
          </cell>
        </row>
        <row r="106">
          <cell r="A106" t="str">
            <v>Nifty India Corporate Group Index - Tata Group</v>
          </cell>
          <cell r="B106" t="str">
            <v>-11.51</v>
          </cell>
          <cell r="C106" t="str">
            <v>-16.68</v>
          </cell>
          <cell r="D106" t="str">
            <v>-17.10</v>
          </cell>
          <cell r="E106" t="str">
            <v>4.44</v>
          </cell>
        </row>
        <row r="107">
          <cell r="A107" t="str">
            <v>Nifty India Corporate Group Index - Tata Group 25% Cap</v>
          </cell>
          <cell r="B107" t="str">
            <v>-11.77</v>
          </cell>
          <cell r="C107" t="str">
            <v>-12.95</v>
          </cell>
          <cell r="D107" t="str">
            <v>-10.20</v>
          </cell>
          <cell r="E107" t="str">
            <v>11.84</v>
          </cell>
        </row>
        <row r="108">
          <cell r="A108" t="str">
            <v>Nifty India Defence</v>
          </cell>
          <cell r="B108" t="str">
            <v>-11.15</v>
          </cell>
          <cell r="C108" t="str">
            <v>-6.59</v>
          </cell>
          <cell r="D108" t="str">
            <v>13.45</v>
          </cell>
          <cell r="E108" t="str">
            <v>51.08</v>
          </cell>
        </row>
        <row r="109">
          <cell r="A109" t="str">
            <v>Nifty India Digital</v>
          </cell>
          <cell r="B109" t="str">
            <v>-7.51</v>
          </cell>
          <cell r="C109" t="str">
            <v>-22.68</v>
          </cell>
          <cell r="D109" t="str">
            <v>-10.98</v>
          </cell>
          <cell r="E109" t="str">
            <v>13.65</v>
          </cell>
        </row>
        <row r="110">
          <cell r="A110" t="str">
            <v>Nifty India Infrastructure &amp; Logistics</v>
          </cell>
          <cell r="B110" t="str">
            <v>-10.82</v>
          </cell>
          <cell r="C110" t="str">
            <v>-9.71</v>
          </cell>
          <cell r="D110" t="str">
            <v>-1.25</v>
          </cell>
          <cell r="E110" t="str">
            <v>22.25</v>
          </cell>
        </row>
        <row r="111">
          <cell r="A111" t="str">
            <v>Nifty India Internet</v>
          </cell>
          <cell r="B111" t="str">
            <v>-8.98</v>
          </cell>
          <cell r="C111" t="str">
            <v>-23.17</v>
          </cell>
          <cell r="D111" t="str">
            <v>-5.99</v>
          </cell>
          <cell r="E111" t="str">
            <v>24.82</v>
          </cell>
        </row>
        <row r="112">
          <cell r="A112" t="str">
            <v>Nifty India Manufacturing</v>
          </cell>
          <cell r="B112" t="str">
            <v>-10.93</v>
          </cell>
          <cell r="C112" t="str">
            <v>-8.77</v>
          </cell>
          <cell r="D112" t="str">
            <v>7.94</v>
          </cell>
          <cell r="E112" t="str">
            <v>21.69</v>
          </cell>
        </row>
        <row r="113">
          <cell r="A113" t="str">
            <v>Nifty India New Age Consumption</v>
          </cell>
          <cell r="B113" t="str">
            <v>-12.83</v>
          </cell>
          <cell r="C113" t="str">
            <v>-18.03</v>
          </cell>
          <cell r="D113" t="str">
            <v>-6.80</v>
          </cell>
          <cell r="E113" t="str">
            <v>19.93</v>
          </cell>
        </row>
        <row r="114">
          <cell r="A114" t="str">
            <v>Nifty India Railways PSU</v>
          </cell>
          <cell r="B114" t="str">
            <v>-13.99</v>
          </cell>
          <cell r="C114" t="str">
            <v>-20.97</v>
          </cell>
          <cell r="D114" t="str">
            <v>-18.70</v>
          </cell>
          <cell r="E114" t="str">
            <v>24.28</v>
          </cell>
        </row>
        <row r="115">
          <cell r="A115" t="str">
            <v>Nifty India Select 5 Corporate Groups (MAATR)</v>
          </cell>
          <cell r="B115" t="str">
            <v>-10.01</v>
          </cell>
          <cell r="C115" t="str">
            <v>-14.24</v>
          </cell>
          <cell r="D115" t="str">
            <v>0.57</v>
          </cell>
          <cell r="E115" t="str">
            <v>14.18</v>
          </cell>
        </row>
        <row r="116">
          <cell r="A116" t="str">
            <v>Nifty India Tourism</v>
          </cell>
          <cell r="B116" t="str">
            <v>-16.39</v>
          </cell>
          <cell r="C116" t="str">
            <v>-24.21</v>
          </cell>
          <cell r="D116" t="str">
            <v>-23.54</v>
          </cell>
          <cell r="E116" t="str">
            <v>10.61</v>
          </cell>
        </row>
        <row r="117">
          <cell r="A117" t="str">
            <v>Nifty Infrastructure</v>
          </cell>
          <cell r="B117" t="str">
            <v>-10.17</v>
          </cell>
          <cell r="C117" t="str">
            <v>-10.87</v>
          </cell>
          <cell r="D117" t="str">
            <v>2.03</v>
          </cell>
          <cell r="E117" t="str">
            <v>19.91</v>
          </cell>
        </row>
        <row r="118">
          <cell r="A118" t="str">
            <v>Nifty IPO</v>
          </cell>
          <cell r="B118" t="str">
            <v>-8.48</v>
          </cell>
          <cell r="C118" t="str">
            <v>-12.96</v>
          </cell>
          <cell r="D118" t="str">
            <v>-1.66</v>
          </cell>
          <cell r="E118" t="str">
            <v>14.07</v>
          </cell>
        </row>
        <row r="119">
          <cell r="A119" t="str">
            <v>Nifty Midcap Liquid 15</v>
          </cell>
          <cell r="B119" t="str">
            <v>-8.85</v>
          </cell>
          <cell r="C119" t="str">
            <v>-14.03</v>
          </cell>
          <cell r="D119" t="str">
            <v>5.75</v>
          </cell>
          <cell r="E119" t="str">
            <v>24.31</v>
          </cell>
        </row>
        <row r="120">
          <cell r="A120" t="str">
            <v>Nifty MidSmall India Consumption</v>
          </cell>
          <cell r="B120" t="str">
            <v>-12.17</v>
          </cell>
          <cell r="C120" t="str">
            <v>-15.70</v>
          </cell>
          <cell r="D120" t="str">
            <v>-13.09</v>
          </cell>
          <cell r="E120" t="str">
            <v>15.72</v>
          </cell>
        </row>
        <row r="121">
          <cell r="A121" t="str">
            <v>Nifty MNC</v>
          </cell>
          <cell r="B121" t="str">
            <v>-12.17</v>
          </cell>
          <cell r="C121" t="str">
            <v>-8.80</v>
          </cell>
          <cell r="D121" t="str">
            <v>7.38</v>
          </cell>
          <cell r="E121" t="str">
            <v>14.57</v>
          </cell>
        </row>
        <row r="122">
          <cell r="A122" t="str">
            <v>Nifty Mobility</v>
          </cell>
          <cell r="B122" t="str">
            <v>-15.19</v>
          </cell>
          <cell r="C122" t="str">
            <v>-15.96</v>
          </cell>
          <cell r="D122" t="str">
            <v>6.76</v>
          </cell>
          <cell r="E122" t="str">
            <v>24.64</v>
          </cell>
        </row>
        <row r="123">
          <cell r="A123" t="str">
            <v>Nifty Non-Cyclical Consumer</v>
          </cell>
          <cell r="B123" t="str">
            <v>-10.45</v>
          </cell>
          <cell r="C123" t="str">
            <v>-16.56</v>
          </cell>
          <cell r="D123" t="str">
            <v>-10.03</v>
          </cell>
          <cell r="E123" t="str">
            <v>10.29</v>
          </cell>
        </row>
        <row r="124">
          <cell r="A124" t="str">
            <v>Nifty PSE</v>
          </cell>
          <cell r="B124" t="str">
            <v>-8.39</v>
          </cell>
          <cell r="C124" t="str">
            <v>-2.26</v>
          </cell>
          <cell r="D124" t="str">
            <v>4.40</v>
          </cell>
          <cell r="E124" t="str">
            <v>31.38</v>
          </cell>
        </row>
        <row r="125">
          <cell r="A125" t="str">
            <v>Nifty REITs &amp; InvITs</v>
          </cell>
          <cell r="B125" t="str">
            <v>-4.26</v>
          </cell>
          <cell r="C125" t="str">
            <v>-1.34</v>
          </cell>
          <cell r="D125" t="str">
            <v>23.45</v>
          </cell>
          <cell r="E125" t="str">
            <v>13.86</v>
          </cell>
        </row>
        <row r="126">
          <cell r="A126" t="str">
            <v>Nifty Rural</v>
          </cell>
          <cell r="B126" t="str">
            <v>-13.10</v>
          </cell>
          <cell r="C126" t="str">
            <v>-13.83</v>
          </cell>
          <cell r="D126" t="str">
            <v>1.18</v>
          </cell>
          <cell r="E126" t="str">
            <v>14.96</v>
          </cell>
        </row>
        <row r="127">
          <cell r="A127" t="str">
            <v>Nifty Services Sector</v>
          </cell>
          <cell r="B127" t="str">
            <v>-12.26</v>
          </cell>
          <cell r="C127" t="str">
            <v>-15.61</v>
          </cell>
          <cell r="D127" t="str">
            <v>-7.86</v>
          </cell>
          <cell r="E127" t="str">
            <v>8.56</v>
          </cell>
        </row>
        <row r="128">
          <cell r="A128" t="str">
            <v>Nifty Shariah 25</v>
          </cell>
          <cell r="B128" t="str">
            <v>-8.35</v>
          </cell>
          <cell r="C128" t="str">
            <v>-13.31</v>
          </cell>
          <cell r="D128" t="str">
            <v>-6.50</v>
          </cell>
          <cell r="E128" t="str">
            <v>8.72</v>
          </cell>
        </row>
        <row r="129">
          <cell r="A129" t="str">
            <v>Nifty SME Emerge</v>
          </cell>
          <cell r="B129" t="str">
            <v>-13.19</v>
          </cell>
          <cell r="C129" t="str">
            <v>-23.24</v>
          </cell>
          <cell r="D129" t="str">
            <v>-12.92</v>
          </cell>
          <cell r="E129" t="str">
            <v>21.51</v>
          </cell>
        </row>
        <row r="130">
          <cell r="A130" t="str">
            <v>Nifty Transportation &amp; Logistics</v>
          </cell>
          <cell r="B130" t="str">
            <v>-14.57</v>
          </cell>
          <cell r="C130" t="str">
            <v>-16.53</v>
          </cell>
          <cell r="D130" t="str">
            <v>7.32</v>
          </cell>
          <cell r="E130" t="str">
            <v>23.96</v>
          </cell>
        </row>
        <row r="131">
          <cell r="A131" t="str">
            <v>Nifty Waves</v>
          </cell>
          <cell r="B131" t="str">
            <v>-16.81</v>
          </cell>
          <cell r="C131" t="str">
            <v>-23.76</v>
          </cell>
          <cell r="D131" t="str">
            <v>-16.97</v>
          </cell>
          <cell r="E131" t="str">
            <v>-0.96</v>
          </cell>
        </row>
      </sheetData>
      <sheetData sheetId="3" refreshError="1"/>
      <sheetData sheetId="4" refreshError="1"/>
      <sheetData sheetId="5"/>
      <sheetData sheetId="6">
        <row r="1">
          <cell r="A1" t="str">
            <v>Column1</v>
          </cell>
          <cell r="B1" t="str">
            <v>Column2</v>
          </cell>
          <cell r="C1" t="str">
            <v>Column3</v>
          </cell>
          <cell r="D1" t="str">
            <v>Column4</v>
          </cell>
          <cell r="E1" t="str">
            <v>Column5</v>
          </cell>
          <cell r="F1" t="str">
            <v>Column6</v>
          </cell>
          <cell r="G1" t="str">
            <v>Column7</v>
          </cell>
          <cell r="H1" t="str">
            <v>Column8</v>
          </cell>
          <cell r="I1" t="str">
            <v>Column9</v>
          </cell>
          <cell r="J1" t="str">
            <v>Column10</v>
          </cell>
          <cell r="K1" t="str">
            <v>Column11</v>
          </cell>
        </row>
        <row r="2">
          <cell r="A2" t="str">
            <v>[image]</v>
          </cell>
          <cell r="C2" t="str">
            <v>[image]</v>
          </cell>
          <cell r="I2" t="str">
            <v>Fixed Income Indices Dashboard</v>
          </cell>
          <cell r="K2" t="str">
            <v>March 31, 2026</v>
          </cell>
        </row>
        <row r="3">
          <cell r="C3" t="str">
            <v>Index</v>
          </cell>
          <cell r="D3" t="str">
            <v>Statistics</v>
          </cell>
          <cell r="I3" t="str">
            <v>Index Return (%)</v>
          </cell>
        </row>
        <row r="4">
          <cell r="A4" t="str">
            <v>Index Name</v>
          </cell>
          <cell r="B4" t="str">
            <v>Yield (%)</v>
          </cell>
          <cell r="C4" t="str">
            <v>Mac D(yrs)</v>
          </cell>
          <cell r="D4" t="str">
            <v>Maturity(yrs)</v>
          </cell>
          <cell r="F4" t="str">
            <v>Mod D(yrs)</v>
          </cell>
          <cell r="G4" t="str">
            <v>1 M</v>
          </cell>
          <cell r="H4" t="str">
            <v>3 M</v>
          </cell>
          <cell r="I4" t="str">
            <v>6 M</v>
          </cell>
          <cell r="J4" t="str">
            <v>1 Y</v>
          </cell>
          <cell r="K4" t="str">
            <v>3 Y</v>
          </cell>
        </row>
        <row r="5">
          <cell r="A5" t="str">
            <v>Aggregate Indices</v>
          </cell>
        </row>
        <row r="6">
          <cell r="A6" t="str">
            <v>NIFTY Liquid Index</v>
          </cell>
          <cell r="B6" t="str">
            <v>7.34</v>
          </cell>
          <cell r="C6" t="str">
            <v>0.11</v>
          </cell>
          <cell r="D6" t="str">
            <v>0.11</v>
          </cell>
          <cell r="F6" t="str">
            <v>0.10</v>
          </cell>
          <cell r="G6" t="str">
            <v>0.54</v>
          </cell>
          <cell r="H6" t="str">
            <v>1.53</v>
          </cell>
          <cell r="I6" t="str">
            <v>3.07</v>
          </cell>
          <cell r="J6" t="str">
            <v>6.37</v>
          </cell>
          <cell r="K6" t="str">
            <v>7.02</v>
          </cell>
        </row>
        <row r="7">
          <cell r="A7" t="str">
            <v>NIFTY Ultra Short Duration Debt Index</v>
          </cell>
          <cell r="B7" t="str">
            <v>7.69</v>
          </cell>
          <cell r="C7" t="str">
            <v>0.34</v>
          </cell>
          <cell r="D7" t="str">
            <v>0.34</v>
          </cell>
          <cell r="F7" t="str">
            <v>0.31</v>
          </cell>
          <cell r="G7" t="str">
            <v>0.52</v>
          </cell>
          <cell r="H7" t="str">
            <v>1.46</v>
          </cell>
          <cell r="I7" t="str">
            <v>3.05</v>
          </cell>
          <cell r="J7" t="str">
            <v>6.79</v>
          </cell>
          <cell r="K7" t="str">
            <v>7.52</v>
          </cell>
        </row>
        <row r="8">
          <cell r="A8" t="str">
            <v>NIFTY Money Market Index</v>
          </cell>
          <cell r="B8" t="str">
            <v>7.36</v>
          </cell>
          <cell r="C8" t="str">
            <v>0.38</v>
          </cell>
          <cell r="D8" t="str">
            <v>0.39</v>
          </cell>
          <cell r="F8" t="str">
            <v>0.36</v>
          </cell>
          <cell r="G8" t="str">
            <v>0.48</v>
          </cell>
          <cell r="H8" t="str">
            <v>1.45</v>
          </cell>
          <cell r="I8" t="str">
            <v>3.00</v>
          </cell>
          <cell r="J8" t="str">
            <v>6.65</v>
          </cell>
          <cell r="K8" t="str">
            <v>7.31</v>
          </cell>
        </row>
        <row r="9">
          <cell r="A9" t="str">
            <v>NIFTY Low Duration Debt Index</v>
          </cell>
          <cell r="B9" t="str">
            <v>7.59</v>
          </cell>
          <cell r="C9" t="str">
            <v>0.70</v>
          </cell>
          <cell r="D9" t="str">
            <v>0.71</v>
          </cell>
          <cell r="F9" t="str">
            <v>0.66</v>
          </cell>
          <cell r="G9" t="str">
            <v>0.37</v>
          </cell>
          <cell r="H9" t="str">
            <v>1.22</v>
          </cell>
          <cell r="I9" t="str">
            <v>2.71</v>
          </cell>
          <cell r="J9" t="str">
            <v>6.55</v>
          </cell>
          <cell r="K9" t="str">
            <v>7.34</v>
          </cell>
        </row>
        <row r="10">
          <cell r="A10" t="str">
            <v>NIFTY Short Duration Debt Index</v>
          </cell>
          <cell r="B10" t="str">
            <v>7.51</v>
          </cell>
          <cell r="C10" t="str">
            <v>1.82</v>
          </cell>
          <cell r="D10" t="str">
            <v>1.95</v>
          </cell>
          <cell r="F10" t="str">
            <v>1.70</v>
          </cell>
          <cell r="G10" t="str">
            <v>-0.21</v>
          </cell>
          <cell r="H10" t="str">
            <v>0.58</v>
          </cell>
          <cell r="I10" t="str">
            <v>1.92</v>
          </cell>
          <cell r="J10" t="str">
            <v>6.00</v>
          </cell>
          <cell r="K10" t="str">
            <v>7.13</v>
          </cell>
        </row>
        <row r="11">
          <cell r="A11" t="str">
            <v>NIFTY Credit Risk Bond Index</v>
          </cell>
          <cell r="B11" t="str">
            <v>9.05</v>
          </cell>
          <cell r="C11" t="str">
            <v>1.85</v>
          </cell>
          <cell r="D11" t="str">
            <v>2.04</v>
          </cell>
          <cell r="F11" t="str">
            <v>1.74</v>
          </cell>
          <cell r="G11" t="str">
            <v>-0.15</v>
          </cell>
          <cell r="H11" t="str">
            <v>0.66</v>
          </cell>
          <cell r="I11" t="str">
            <v>2.09</v>
          </cell>
          <cell r="J11" t="str">
            <v>5.99</v>
          </cell>
          <cell r="K11" t="str">
            <v>7.86</v>
          </cell>
        </row>
        <row r="12">
          <cell r="A12" t="str">
            <v>NIFTY Corporate Bond Index</v>
          </cell>
          <cell r="B12" t="str">
            <v>7.81</v>
          </cell>
          <cell r="C12" t="str">
            <v>2.38</v>
          </cell>
          <cell r="D12" t="str">
            <v>2.63</v>
          </cell>
          <cell r="F12" t="str">
            <v>2.22</v>
          </cell>
          <cell r="G12" t="str">
            <v>-0.32</v>
          </cell>
          <cell r="H12" t="str">
            <v>0.35</v>
          </cell>
          <cell r="I12" t="str">
            <v>1.63</v>
          </cell>
          <cell r="J12" t="str">
            <v>5.65</v>
          </cell>
          <cell r="K12" t="str">
            <v>7.08</v>
          </cell>
        </row>
        <row r="13">
          <cell r="A13" t="str">
            <v>NIFTY Banking &amp; PSU Debt Index</v>
          </cell>
          <cell r="B13" t="str">
            <v>7.56</v>
          </cell>
          <cell r="C13" t="str">
            <v>2.77</v>
          </cell>
          <cell r="D13" t="str">
            <v>3.33</v>
          </cell>
          <cell r="F13" t="str">
            <v>2.58</v>
          </cell>
          <cell r="G13" t="str">
            <v>-0.37</v>
          </cell>
          <cell r="H13" t="str">
            <v>0.33</v>
          </cell>
          <cell r="I13" t="str">
            <v>1.73</v>
          </cell>
          <cell r="J13" t="str">
            <v>5.66</v>
          </cell>
          <cell r="K13" t="str">
            <v>7.04</v>
          </cell>
        </row>
        <row r="14">
          <cell r="A14" t="str">
            <v>NIFTY Medium Duration Debt Index</v>
          </cell>
          <cell r="B14" t="str">
            <v>7.46</v>
          </cell>
          <cell r="C14" t="str">
            <v>3.35</v>
          </cell>
          <cell r="D14" t="str">
            <v>3.89</v>
          </cell>
          <cell r="F14" t="str">
            <v>3.15</v>
          </cell>
          <cell r="G14" t="str">
            <v>-0.95</v>
          </cell>
          <cell r="H14" t="str">
            <v>-0.24</v>
          </cell>
          <cell r="I14" t="str">
            <v>0.93</v>
          </cell>
          <cell r="J14" t="str">
            <v>4.74</v>
          </cell>
          <cell r="K14" t="str">
            <v>6.87</v>
          </cell>
        </row>
        <row r="15">
          <cell r="A15" t="str">
            <v>NIFTY Composite Debt Index</v>
          </cell>
          <cell r="B15" t="str">
            <v>7.56</v>
          </cell>
          <cell r="C15" t="str">
            <v>5.23</v>
          </cell>
          <cell r="D15" t="str">
            <v>8.60</v>
          </cell>
          <cell r="F15" t="str">
            <v>4.97</v>
          </cell>
          <cell r="G15" t="str">
            <v>-1.37</v>
          </cell>
          <cell r="H15" t="str">
            <v>-0.88</v>
          </cell>
          <cell r="I15" t="str">
            <v>-0.06</v>
          </cell>
          <cell r="J15" t="str">
            <v>2.42</v>
          </cell>
          <cell r="K15" t="str">
            <v>6.41</v>
          </cell>
        </row>
        <row r="16">
          <cell r="A16" t="str">
            <v>NIFTY Medium to Long Duration Debt Index</v>
          </cell>
          <cell r="B16" t="str">
            <v>7.49</v>
          </cell>
          <cell r="C16" t="str">
            <v>5.76</v>
          </cell>
          <cell r="D16" t="str">
            <v>7.60</v>
          </cell>
          <cell r="F16" t="str">
            <v>5.46</v>
          </cell>
          <cell r="G16" t="str">
            <v>-1.36</v>
          </cell>
          <cell r="H16" t="str">
            <v>-1.04</v>
          </cell>
          <cell r="I16" t="str">
            <v>-0.47</v>
          </cell>
          <cell r="J16" t="str">
            <v>1.79</v>
          </cell>
          <cell r="K16" t="str">
            <v>6.22</v>
          </cell>
        </row>
        <row r="17">
          <cell r="A17" t="str">
            <v>NIFTY Long Duration Debt Index</v>
          </cell>
          <cell r="B17" t="str">
            <v>7.75</v>
          </cell>
          <cell r="C17" t="str">
            <v>8.56</v>
          </cell>
          <cell r="D17" t="str">
            <v>17.52</v>
          </cell>
          <cell r="F17" t="str">
            <v>8.15</v>
          </cell>
          <cell r="G17" t="str">
            <v>-2.53</v>
          </cell>
          <cell r="H17" t="str">
            <v>-2.37</v>
          </cell>
          <cell r="I17" t="str">
            <v>-2.10</v>
          </cell>
          <cell r="J17" t="str">
            <v>-1.87</v>
          </cell>
          <cell r="K17" t="str">
            <v>5.46</v>
          </cell>
        </row>
        <row r="18">
          <cell r="A18" t="str">
            <v>NIFTY Banking &amp; PSU Debt Index - A</v>
          </cell>
          <cell r="B18" t="str">
            <v>7.47</v>
          </cell>
          <cell r="C18" t="str">
            <v>2.67</v>
          </cell>
          <cell r="D18" t="str">
            <v>3.22</v>
          </cell>
          <cell r="F18" t="str">
            <v>2.48</v>
          </cell>
          <cell r="G18" t="str">
            <v>-0.36</v>
          </cell>
          <cell r="H18" t="str">
            <v>0.15</v>
          </cell>
          <cell r="I18" t="str">
            <v>1.30</v>
          </cell>
          <cell r="J18" t="str">
            <v>4.76</v>
          </cell>
          <cell r="K18" t="str">
            <v>6.53</v>
          </cell>
        </row>
        <row r="19">
          <cell r="A19" t="str">
            <v>NIFTY Banking &amp; PSU Debt Index - B</v>
          </cell>
          <cell r="B19" t="str">
            <v>7.75</v>
          </cell>
          <cell r="C19" t="str">
            <v>2.95</v>
          </cell>
          <cell r="D19" t="str">
            <v>3.50</v>
          </cell>
          <cell r="F19" t="str">
            <v>2.73</v>
          </cell>
          <cell r="G19" t="str">
            <v>-0.52</v>
          </cell>
          <cell r="H19" t="str">
            <v>0.22</v>
          </cell>
          <cell r="I19" t="str">
            <v>1.57</v>
          </cell>
          <cell r="J19" t="str">
            <v>5.22</v>
          </cell>
          <cell r="K19" t="str">
            <v>6.96</v>
          </cell>
        </row>
        <row r="20">
          <cell r="A20" t="str">
            <v>NIFTY Banking &amp; PSU Debt Index - C</v>
          </cell>
          <cell r="B20" t="str">
            <v>9.04</v>
          </cell>
          <cell r="C20" t="str">
            <v>2.91</v>
          </cell>
          <cell r="D20" t="str">
            <v>3.30</v>
          </cell>
          <cell r="F20" t="str">
            <v>2.71</v>
          </cell>
          <cell r="G20" t="str">
            <v>-0.73</v>
          </cell>
          <cell r="H20" t="str">
            <v>0.20</v>
          </cell>
          <cell r="I20" t="str">
            <v>1.34</v>
          </cell>
          <cell r="J20" t="str">
            <v>5.06</v>
          </cell>
          <cell r="K20" t="str">
            <v>7.33</v>
          </cell>
        </row>
        <row r="21">
          <cell r="A21" t="str">
            <v>G-Sec Indices</v>
          </cell>
        </row>
        <row r="22">
          <cell r="A22" t="str">
            <v>NIFTY Ultra Short Duration G-Sec Index</v>
          </cell>
          <cell r="B22" t="str">
            <v>5.54</v>
          </cell>
          <cell r="C22" t="str">
            <v>0.38</v>
          </cell>
          <cell r="D22" t="str">
            <v>0.38</v>
          </cell>
          <cell r="F22" t="str">
            <v>0.36</v>
          </cell>
          <cell r="G22" t="str">
            <v>0.42</v>
          </cell>
          <cell r="H22" t="str">
            <v>1.32</v>
          </cell>
          <cell r="I22" t="str">
            <v>2.72</v>
          </cell>
          <cell r="J22" t="str">
            <v>5.86</v>
          </cell>
          <cell r="K22" t="str">
            <v>6.60</v>
          </cell>
        </row>
        <row r="23">
          <cell r="A23" t="str">
            <v>NIFTY Low Duration G-Sec Index</v>
          </cell>
          <cell r="B23" t="str">
            <v>5.91</v>
          </cell>
          <cell r="C23" t="str">
            <v>0.72</v>
          </cell>
          <cell r="D23" t="str">
            <v>0.74</v>
          </cell>
          <cell r="F23" t="str">
            <v>0.70</v>
          </cell>
          <cell r="G23" t="str">
            <v>0.22</v>
          </cell>
          <cell r="H23" t="str">
            <v>1.11</v>
          </cell>
          <cell r="I23" t="str">
            <v>2.46</v>
          </cell>
          <cell r="J23" t="str">
            <v>5.99</v>
          </cell>
          <cell r="K23" t="str">
            <v>6.81</v>
          </cell>
        </row>
        <row r="24">
          <cell r="A24" t="str">
            <v>NIFTY Short Duration G-Sec Index</v>
          </cell>
          <cell r="B24" t="str">
            <v>6.56</v>
          </cell>
          <cell r="C24" t="str">
            <v>2.41</v>
          </cell>
          <cell r="D24" t="str">
            <v>2.66</v>
          </cell>
          <cell r="F24" t="str">
            <v>2.33</v>
          </cell>
          <cell r="G24" t="str">
            <v>-1.09</v>
          </cell>
          <cell r="H24" t="str">
            <v>-0.11</v>
          </cell>
          <cell r="I24" t="str">
            <v>1.29</v>
          </cell>
          <cell r="J24" t="str">
            <v>5.42</v>
          </cell>
          <cell r="K24" t="str">
            <v>6.99</v>
          </cell>
        </row>
        <row r="25">
          <cell r="A25" t="str">
            <v>NIFTY Medium Duration G-Sec Index</v>
          </cell>
          <cell r="B25" t="str">
            <v>6.87</v>
          </cell>
          <cell r="C25" t="str">
            <v>3.67</v>
          </cell>
          <cell r="D25" t="str">
            <v>4.21</v>
          </cell>
          <cell r="F25" t="str">
            <v>3.55</v>
          </cell>
          <cell r="G25" t="str">
            <v>-1.61</v>
          </cell>
          <cell r="H25" t="str">
            <v>-0.41</v>
          </cell>
          <cell r="I25" t="str">
            <v>0.89</v>
          </cell>
          <cell r="J25" t="str">
            <v>4.97</v>
          </cell>
          <cell r="K25" t="str">
            <v>7.23</v>
          </cell>
        </row>
        <row r="26">
          <cell r="A26" t="str">
            <v>NIFTY Medium to Long Duration G-Sec Index</v>
          </cell>
          <cell r="B26" t="str">
            <v>7.08</v>
          </cell>
          <cell r="C26" t="str">
            <v>6.77</v>
          </cell>
          <cell r="D26" t="str">
            <v>9.11</v>
          </cell>
          <cell r="F26" t="str">
            <v>6.55</v>
          </cell>
          <cell r="G26" t="str">
            <v>-1.74</v>
          </cell>
          <cell r="H26" t="str">
            <v>-0.88</v>
          </cell>
          <cell r="I26" t="str">
            <v>0.39</v>
          </cell>
          <cell r="J26" t="str">
            <v>3.19</v>
          </cell>
          <cell r="K26" t="str">
            <v>7.19</v>
          </cell>
        </row>
        <row r="27">
          <cell r="A27" t="str">
            <v>NIFTY Long Duration G-Sec Index</v>
          </cell>
          <cell r="B27" t="str">
            <v>7.80</v>
          </cell>
          <cell r="C27" t="str">
            <v>11.07</v>
          </cell>
          <cell r="D27" t="str">
            <v>27.99</v>
          </cell>
          <cell r="F27" t="str">
            <v>10.66</v>
          </cell>
          <cell r="G27" t="str">
            <v>-3.75</v>
          </cell>
          <cell r="H27" t="str">
            <v>-3.12</v>
          </cell>
          <cell r="I27" t="str">
            <v>-2.36</v>
          </cell>
          <cell r="J27" t="str">
            <v>-3.03</v>
          </cell>
          <cell r="K27" t="str">
            <v>5.95</v>
          </cell>
        </row>
        <row r="28">
          <cell r="A28" t="str">
            <v>NIFTY All Duration G-Sec Index</v>
          </cell>
          <cell r="B28" t="str">
            <v>7.29</v>
          </cell>
          <cell r="C28" t="str">
            <v>7.69</v>
          </cell>
          <cell r="D28" t="str">
            <v>15.56</v>
          </cell>
          <cell r="F28" t="str">
            <v>7.42</v>
          </cell>
          <cell r="G28" t="str">
            <v>-2.48</v>
          </cell>
          <cell r="H28" t="str">
            <v>-1.67</v>
          </cell>
          <cell r="I28" t="str">
            <v>-0.60</v>
          </cell>
          <cell r="J28" t="str">
            <v>1.00</v>
          </cell>
          <cell r="K28" t="str">
            <v>6.59</v>
          </cell>
        </row>
        <row r="29">
          <cell r="A29" t="str">
            <v>SDL Index</v>
          </cell>
        </row>
        <row r="30">
          <cell r="A30" t="str">
            <v>NIFTY 10 Year SDL Index</v>
          </cell>
          <cell r="B30" t="str">
            <v>7.74</v>
          </cell>
          <cell r="C30" t="str">
            <v>6.99</v>
          </cell>
          <cell r="D30" t="str">
            <v>9.73</v>
          </cell>
          <cell r="F30" t="str">
            <v>6.73</v>
          </cell>
          <cell r="G30" t="str">
            <v>-2.13</v>
          </cell>
          <cell r="H30" t="str">
            <v>-2.77</v>
          </cell>
          <cell r="I30" t="str">
            <v>-6.18</v>
          </cell>
          <cell r="J30" t="str">
            <v>-8.92</v>
          </cell>
          <cell r="K30" t="str">
            <v>3.04</v>
          </cell>
        </row>
        <row r="31">
          <cell r="A31" t="str">
            <v>NIFTY 3 Year SDL Index</v>
          </cell>
          <cell r="B31" t="str">
            <v>7.14</v>
          </cell>
          <cell r="C31" t="str">
            <v>2.67</v>
          </cell>
          <cell r="D31" t="str">
            <v>3.01</v>
          </cell>
          <cell r="F31" t="str">
            <v>2.58</v>
          </cell>
          <cell r="G31" t="str">
            <v>-0.73</v>
          </cell>
          <cell r="H31" t="str">
            <v>0.28</v>
          </cell>
          <cell r="I31" t="str">
            <v>1.79</v>
          </cell>
          <cell r="J31" t="str">
            <v>5.28</v>
          </cell>
          <cell r="K31" t="str">
            <v>7.16</v>
          </cell>
        </row>
        <row r="32">
          <cell r="A32" t="str">
            <v>NIFTY 5 Year SDL Index</v>
          </cell>
          <cell r="B32" t="str">
            <v>7.50</v>
          </cell>
          <cell r="C32" t="str">
            <v>4.44</v>
          </cell>
          <cell r="D32" t="str">
            <v>5.32</v>
          </cell>
          <cell r="F32" t="str">
            <v>4.28</v>
          </cell>
          <cell r="G32" t="str">
            <v>-1.18</v>
          </cell>
          <cell r="H32" t="str">
            <v>0.51</v>
          </cell>
          <cell r="I32" t="str">
            <v>1.37</v>
          </cell>
          <cell r="J32" t="str">
            <v>4.49</v>
          </cell>
          <cell r="K32" t="str">
            <v>7.18</v>
          </cell>
        </row>
        <row r="33">
          <cell r="A33" t="str">
            <v>Money Market Indicies</v>
          </cell>
        </row>
        <row r="34">
          <cell r="A34" t="str">
            <v>NIFTY 1 Month CP Index</v>
          </cell>
          <cell r="B34" t="str">
            <v>8.27</v>
          </cell>
          <cell r="C34" t="str">
            <v>0.12</v>
          </cell>
          <cell r="D34" t="str">
            <v>0.12</v>
          </cell>
          <cell r="F34" t="str">
            <v>0.11</v>
          </cell>
          <cell r="G34" t="str">
            <v>0.63</v>
          </cell>
          <cell r="H34" t="str">
            <v>1.73</v>
          </cell>
          <cell r="I34" t="str">
            <v>3.41</v>
          </cell>
          <cell r="J34" t="str">
            <v>6.89</v>
          </cell>
          <cell r="K34" t="str">
            <v>7.43</v>
          </cell>
        </row>
        <row r="35">
          <cell r="A35" t="str">
            <v>NIFTY 1 Month CP Index - A</v>
          </cell>
          <cell r="B35" t="str">
            <v>7.98</v>
          </cell>
          <cell r="C35" t="str">
            <v>0.12</v>
          </cell>
          <cell r="D35" t="str">
            <v>0.13</v>
          </cell>
          <cell r="F35" t="str">
            <v>0.11</v>
          </cell>
          <cell r="G35" t="str">
            <v>0.61</v>
          </cell>
          <cell r="H35" t="str">
            <v>1.66</v>
          </cell>
          <cell r="I35" t="str">
            <v>3.25</v>
          </cell>
          <cell r="J35" t="str">
            <v>6.61</v>
          </cell>
          <cell r="K35" t="str">
            <v>7.21</v>
          </cell>
        </row>
        <row r="36">
          <cell r="A36" t="str">
            <v>NIFTY 1 Month CP Index - B</v>
          </cell>
          <cell r="B36" t="str">
            <v>8.43</v>
          </cell>
          <cell r="C36" t="str">
            <v>0.12</v>
          </cell>
          <cell r="D36" t="str">
            <v>0.13</v>
          </cell>
          <cell r="F36" t="str">
            <v>0.11</v>
          </cell>
          <cell r="G36" t="str">
            <v>0.64</v>
          </cell>
          <cell r="H36" t="str">
            <v>1.75</v>
          </cell>
          <cell r="I36" t="str">
            <v>3.46</v>
          </cell>
          <cell r="J36" t="str">
            <v>7.05</v>
          </cell>
          <cell r="K36" t="str">
            <v>7.55</v>
          </cell>
        </row>
        <row r="37">
          <cell r="A37" t="str">
            <v>NIFTY 1 Month CP Index - C</v>
          </cell>
          <cell r="B37" t="str">
            <v>9.29</v>
          </cell>
          <cell r="C37" t="str">
            <v>0.12</v>
          </cell>
          <cell r="D37" t="str">
            <v>0.12</v>
          </cell>
          <cell r="F37" t="str">
            <v>0.11</v>
          </cell>
          <cell r="G37" t="str">
            <v>0.71</v>
          </cell>
          <cell r="H37" t="str">
            <v>1.99</v>
          </cell>
          <cell r="I37" t="str">
            <v>3.98</v>
          </cell>
          <cell r="J37" t="str">
            <v>8.09</v>
          </cell>
          <cell r="K37" t="str">
            <v>8.39</v>
          </cell>
        </row>
        <row r="38">
          <cell r="A38" t="str">
            <v>NIFTY 2 Month CP Index</v>
          </cell>
          <cell r="B38" t="str">
            <v>7.82</v>
          </cell>
          <cell r="C38" t="str">
            <v>0.18</v>
          </cell>
          <cell r="D38" t="str">
            <v>0.18</v>
          </cell>
          <cell r="F38" t="str">
            <v>0.16</v>
          </cell>
          <cell r="G38" t="str">
            <v>0.60</v>
          </cell>
          <cell r="H38" t="str">
            <v>1.70</v>
          </cell>
          <cell r="I38" t="str">
            <v>3.36</v>
          </cell>
          <cell r="J38" t="str">
            <v>6.91</v>
          </cell>
          <cell r="K38" t="str">
            <v>7.43</v>
          </cell>
        </row>
        <row r="39">
          <cell r="A39" t="str">
            <v>NIFTY 2 Month CP Index - A</v>
          </cell>
          <cell r="B39" t="str">
            <v>7.46</v>
          </cell>
          <cell r="C39" t="str">
            <v>0.18</v>
          </cell>
          <cell r="D39" t="str">
            <v>0.19</v>
          </cell>
          <cell r="F39" t="str">
            <v>0.17</v>
          </cell>
          <cell r="G39" t="str">
            <v>0.57</v>
          </cell>
          <cell r="H39" t="str">
            <v>1.65</v>
          </cell>
          <cell r="I39" t="str">
            <v>3.19</v>
          </cell>
          <cell r="J39" t="str">
            <v>6.62</v>
          </cell>
          <cell r="K39" t="str">
            <v>7.20</v>
          </cell>
        </row>
        <row r="40">
          <cell r="A40" t="str">
            <v>NIFTY 2 Month CP Index - B</v>
          </cell>
          <cell r="B40" t="str">
            <v>8.01</v>
          </cell>
          <cell r="C40" t="str">
            <v>0.17</v>
          </cell>
          <cell r="D40" t="str">
            <v>0.18</v>
          </cell>
          <cell r="F40" t="str">
            <v>0.16</v>
          </cell>
          <cell r="G40" t="str">
            <v>0.62</v>
          </cell>
          <cell r="H40" t="str">
            <v>1.73</v>
          </cell>
          <cell r="I40" t="str">
            <v>3.41</v>
          </cell>
          <cell r="J40" t="str">
            <v>7.06</v>
          </cell>
          <cell r="K40" t="str">
            <v>7.55</v>
          </cell>
        </row>
        <row r="41">
          <cell r="A41" t="str">
            <v>NIFTY 2 Month CP Index - C</v>
          </cell>
          <cell r="B41" t="str">
            <v>8.59</v>
          </cell>
          <cell r="C41" t="str">
            <v>0.17</v>
          </cell>
          <cell r="D41" t="str">
            <v>0.17</v>
          </cell>
          <cell r="F41" t="str">
            <v>0.16</v>
          </cell>
          <cell r="G41" t="str">
            <v>0.70</v>
          </cell>
          <cell r="H41" t="str">
            <v>1.95</v>
          </cell>
          <cell r="I41" t="str">
            <v>3.94</v>
          </cell>
          <cell r="J41" t="str">
            <v>8.09</v>
          </cell>
          <cell r="K41" t="str">
            <v>8.39</v>
          </cell>
        </row>
        <row r="42">
          <cell r="A42" t="str">
            <v>NIFTY 3 Month CP Index</v>
          </cell>
          <cell r="B42" t="str">
            <v>7.91</v>
          </cell>
          <cell r="C42" t="str">
            <v>0.23</v>
          </cell>
          <cell r="D42" t="str">
            <v>0.24</v>
          </cell>
          <cell r="F42" t="str">
            <v>0.22</v>
          </cell>
          <cell r="G42" t="str">
            <v>0.54</v>
          </cell>
          <cell r="H42" t="str">
            <v>1.60</v>
          </cell>
          <cell r="I42" t="str">
            <v>3.30</v>
          </cell>
          <cell r="J42" t="str">
            <v>7.07</v>
          </cell>
          <cell r="K42" t="str">
            <v>7.69</v>
          </cell>
        </row>
        <row r="43">
          <cell r="A43" t="str">
            <v>NIFTY 3 Month CP Index - A</v>
          </cell>
          <cell r="B43" t="str">
            <v>7.58</v>
          </cell>
          <cell r="C43" t="str">
            <v>0.24</v>
          </cell>
          <cell r="D43" t="str">
            <v>0.25</v>
          </cell>
          <cell r="F43" t="str">
            <v>0.23</v>
          </cell>
          <cell r="G43" t="str">
            <v>0.52</v>
          </cell>
          <cell r="H43" t="str">
            <v>1.53</v>
          </cell>
          <cell r="I43" t="str">
            <v>3.10</v>
          </cell>
          <cell r="J43" t="str">
            <v>6.64</v>
          </cell>
          <cell r="K43" t="str">
            <v>7.35</v>
          </cell>
        </row>
        <row r="44">
          <cell r="A44" t="str">
            <v>NIFTY 3 Month CP Index - B</v>
          </cell>
          <cell r="B44" t="str">
            <v>7.87</v>
          </cell>
          <cell r="C44" t="str">
            <v>0.23</v>
          </cell>
          <cell r="D44" t="str">
            <v>0.23</v>
          </cell>
          <cell r="F44" t="str">
            <v>0.21</v>
          </cell>
          <cell r="G44" t="str">
            <v>0.55</v>
          </cell>
          <cell r="H44" t="str">
            <v>1.64</v>
          </cell>
          <cell r="I44" t="str">
            <v>3.37</v>
          </cell>
          <cell r="J44" t="str">
            <v>7.16</v>
          </cell>
          <cell r="K44" t="str">
            <v>7.80</v>
          </cell>
        </row>
        <row r="45">
          <cell r="A45" t="str">
            <v>NIFTY 3 Month CP Index - C</v>
          </cell>
          <cell r="B45" t="str">
            <v>8.60</v>
          </cell>
          <cell r="C45" t="str">
            <v>0.24</v>
          </cell>
          <cell r="D45" t="str">
            <v>0.24</v>
          </cell>
          <cell r="F45" t="str">
            <v>0.22</v>
          </cell>
          <cell r="G45" t="str">
            <v>0.63</v>
          </cell>
          <cell r="H45" t="str">
            <v>1.90</v>
          </cell>
          <cell r="I45" t="str">
            <v>3.92</v>
          </cell>
          <cell r="J45" t="str">
            <v>8.43</v>
          </cell>
          <cell r="K45" t="str">
            <v>8.75</v>
          </cell>
        </row>
        <row r="46">
          <cell r="A46" t="str">
            <v>NIFTY 6 Month CP Index</v>
          </cell>
          <cell r="B46" t="str">
            <v>8.00</v>
          </cell>
          <cell r="C46" t="str">
            <v>0.50</v>
          </cell>
          <cell r="D46" t="str">
            <v>0.50</v>
          </cell>
          <cell r="F46" t="str">
            <v>0.46</v>
          </cell>
          <cell r="G46" t="str">
            <v>0.55</v>
          </cell>
          <cell r="H46" t="str">
            <v>1.44</v>
          </cell>
          <cell r="I46" t="str">
            <v>3.06</v>
          </cell>
          <cell r="J46" t="str">
            <v>7.04</v>
          </cell>
          <cell r="K46" t="str">
            <v>7.73</v>
          </cell>
        </row>
        <row r="47">
          <cell r="A47" t="str">
            <v>NIFTY 6 Month CP Index - A</v>
          </cell>
          <cell r="B47" t="str">
            <v>7.64</v>
          </cell>
          <cell r="C47" t="str">
            <v>0.47</v>
          </cell>
          <cell r="D47" t="str">
            <v>0.48</v>
          </cell>
          <cell r="F47" t="str">
            <v>0.44</v>
          </cell>
          <cell r="G47" t="str">
            <v>0.51</v>
          </cell>
          <cell r="H47" t="str">
            <v>1.30</v>
          </cell>
          <cell r="I47" t="str">
            <v>2.81</v>
          </cell>
          <cell r="J47" t="str">
            <v>6.63</v>
          </cell>
          <cell r="K47" t="str">
            <v>7.39</v>
          </cell>
        </row>
        <row r="48">
          <cell r="A48" t="str">
            <v>NIFTY 6 Month CP Index - B</v>
          </cell>
          <cell r="B48" t="str">
            <v>8.00</v>
          </cell>
          <cell r="C48" t="str">
            <v>0.50</v>
          </cell>
          <cell r="D48" t="str">
            <v>0.50</v>
          </cell>
          <cell r="F48" t="str">
            <v>0.46</v>
          </cell>
          <cell r="G48" t="str">
            <v>0.56</v>
          </cell>
          <cell r="H48" t="str">
            <v>1.48</v>
          </cell>
          <cell r="I48" t="str">
            <v>3.14</v>
          </cell>
          <cell r="J48" t="str">
            <v>7.18</v>
          </cell>
          <cell r="K48" t="str">
            <v>7.91</v>
          </cell>
        </row>
        <row r="49">
          <cell r="A49" t="str">
            <v>NIFTY 6 Month CP Index - C</v>
          </cell>
          <cell r="B49" t="str">
            <v>8.76</v>
          </cell>
          <cell r="C49" t="str">
            <v>0.48</v>
          </cell>
          <cell r="D49" t="str">
            <v>0.49</v>
          </cell>
          <cell r="F49" t="str">
            <v>0.44</v>
          </cell>
          <cell r="G49" t="str">
            <v>0.58</v>
          </cell>
          <cell r="H49" t="str">
            <v>1.70</v>
          </cell>
          <cell r="I49" t="str">
            <v>3.72</v>
          </cell>
          <cell r="J49" t="str">
            <v>8.38</v>
          </cell>
          <cell r="K49" t="str">
            <v>8.74</v>
          </cell>
        </row>
        <row r="50">
          <cell r="A50" t="str">
            <v>NIFTY 1 Year CP Index</v>
          </cell>
          <cell r="B50" t="str">
            <v>7.79</v>
          </cell>
          <cell r="C50" t="str">
            <v>0.85</v>
          </cell>
          <cell r="D50" t="str">
            <v>0.86</v>
          </cell>
          <cell r="F50" t="str">
            <v>0.79</v>
          </cell>
          <cell r="G50" t="str">
            <v>0.38</v>
          </cell>
          <cell r="H50" t="str">
            <v>1.25</v>
          </cell>
          <cell r="I50" t="str">
            <v>2.85</v>
          </cell>
          <cell r="J50" t="str">
            <v>6.89</v>
          </cell>
          <cell r="K50" t="str">
            <v>7.61</v>
          </cell>
        </row>
        <row r="51">
          <cell r="A51" t="str">
            <v>NIFTY 1 Year CP Index - A</v>
          </cell>
          <cell r="B51" t="str">
            <v>7.39</v>
          </cell>
          <cell r="C51" t="str">
            <v>0.85</v>
          </cell>
          <cell r="D51" t="str">
            <v>0.85</v>
          </cell>
          <cell r="F51" t="str">
            <v>0.79</v>
          </cell>
          <cell r="G51" t="str">
            <v>0.29</v>
          </cell>
          <cell r="H51" t="str">
            <v>1.06</v>
          </cell>
          <cell r="I51" t="str">
            <v>2.53</v>
          </cell>
          <cell r="J51" t="str">
            <v>6.36</v>
          </cell>
          <cell r="K51" t="str">
            <v>7.21</v>
          </cell>
        </row>
        <row r="52">
          <cell r="A52" t="str">
            <v>NIFTY 1 Year CP Index - B</v>
          </cell>
          <cell r="B52" t="str">
            <v>7.81</v>
          </cell>
          <cell r="C52" t="str">
            <v>0.85</v>
          </cell>
          <cell r="D52" t="str">
            <v>0.85</v>
          </cell>
          <cell r="F52" t="str">
            <v>0.79</v>
          </cell>
          <cell r="G52" t="str">
            <v>0.37</v>
          </cell>
          <cell r="H52" t="str">
            <v>1.23</v>
          </cell>
          <cell r="I52" t="str">
            <v>2.82</v>
          </cell>
          <cell r="J52" t="str">
            <v>6.95</v>
          </cell>
          <cell r="K52" t="str">
            <v>7.77</v>
          </cell>
        </row>
        <row r="53">
          <cell r="A53" t="str">
            <v>NIFTY 1 Year CP Index - C</v>
          </cell>
          <cell r="B53" t="str">
            <v>8.31</v>
          </cell>
          <cell r="C53" t="str">
            <v>0.85</v>
          </cell>
          <cell r="D53" t="str">
            <v>0.85</v>
          </cell>
          <cell r="F53" t="str">
            <v>0.78</v>
          </cell>
          <cell r="G53" t="str">
            <v>0.42</v>
          </cell>
          <cell r="H53" t="str">
            <v>1.44</v>
          </cell>
          <cell r="I53" t="str">
            <v>3.40</v>
          </cell>
          <cell r="J53" t="str">
            <v>7.90</v>
          </cell>
          <cell r="K53" t="str">
            <v>8.35</v>
          </cell>
        </row>
        <row r="54">
          <cell r="A54" t="str">
            <v>NIFTY All Maturity CP Index</v>
          </cell>
          <cell r="B54" t="str">
            <v>7.93</v>
          </cell>
          <cell r="C54" t="str">
            <v>0.31</v>
          </cell>
          <cell r="D54" t="str">
            <v>0.31</v>
          </cell>
          <cell r="F54" t="str">
            <v>0.28</v>
          </cell>
          <cell r="G54" t="str">
            <v>0.54</v>
          </cell>
          <cell r="H54" t="str">
            <v>1.57</v>
          </cell>
          <cell r="I54" t="str">
            <v>3.25</v>
          </cell>
          <cell r="J54" t="str">
            <v>7.02</v>
          </cell>
          <cell r="K54" t="str">
            <v>7.63</v>
          </cell>
        </row>
        <row r="55">
          <cell r="A55" t="str">
            <v>NIFTY All Maturity CP Index - A</v>
          </cell>
          <cell r="B55" t="str">
            <v>7.60</v>
          </cell>
          <cell r="C55" t="str">
            <v>0.31</v>
          </cell>
          <cell r="D55" t="str">
            <v>0.31</v>
          </cell>
          <cell r="F55" t="str">
            <v>0.29</v>
          </cell>
          <cell r="G55" t="str">
            <v>0.51</v>
          </cell>
          <cell r="H55" t="str">
            <v>1.48</v>
          </cell>
          <cell r="I55" t="str">
            <v>3.04</v>
          </cell>
          <cell r="J55" t="str">
            <v>6.61</v>
          </cell>
          <cell r="K55" t="str">
            <v>7.30</v>
          </cell>
        </row>
        <row r="56">
          <cell r="A56" t="str">
            <v>NIFTY All Maturity CP Index - B</v>
          </cell>
          <cell r="B56" t="str">
            <v>7.95</v>
          </cell>
          <cell r="C56" t="str">
            <v>0.30</v>
          </cell>
          <cell r="D56" t="str">
            <v>0.31</v>
          </cell>
          <cell r="F56" t="str">
            <v>0.28</v>
          </cell>
          <cell r="G56" t="str">
            <v>0.55</v>
          </cell>
          <cell r="H56" t="str">
            <v>1.60</v>
          </cell>
          <cell r="I56" t="str">
            <v>3.30</v>
          </cell>
          <cell r="J56" t="str">
            <v>7.12</v>
          </cell>
          <cell r="K56" t="str">
            <v>7.75</v>
          </cell>
        </row>
        <row r="57">
          <cell r="A57" t="str">
            <v>NIFTY All Maturity CP Index - C</v>
          </cell>
          <cell r="B57" t="str">
            <v>8.66</v>
          </cell>
          <cell r="C57" t="str">
            <v>0.31</v>
          </cell>
          <cell r="D57" t="str">
            <v>0.31</v>
          </cell>
          <cell r="F57" t="str">
            <v>0.28</v>
          </cell>
          <cell r="G57" t="str">
            <v>0.62</v>
          </cell>
          <cell r="H57" t="str">
            <v>1.85</v>
          </cell>
          <cell r="I57" t="str">
            <v>3.86</v>
          </cell>
          <cell r="J57" t="str">
            <v>8.30</v>
          </cell>
          <cell r="K57" t="str">
            <v>8.63</v>
          </cell>
        </row>
        <row r="58">
          <cell r="A58" t="str">
            <v>NIFTY 1 Month CD Index</v>
          </cell>
          <cell r="B58" t="str">
            <v>8.03</v>
          </cell>
          <cell r="C58" t="str">
            <v>0.11</v>
          </cell>
          <cell r="D58" t="str">
            <v>0.12</v>
          </cell>
          <cell r="F58" t="str">
            <v>0.11</v>
          </cell>
          <cell r="G58" t="str">
            <v>0.62</v>
          </cell>
          <cell r="H58" t="str">
            <v>1.66</v>
          </cell>
          <cell r="I58" t="str">
            <v>3.23</v>
          </cell>
          <cell r="J58" t="str">
            <v>6.60</v>
          </cell>
          <cell r="K58" t="str">
            <v>7.17</v>
          </cell>
        </row>
        <row r="59">
          <cell r="A59" t="str">
            <v>NIFTY 1 Month CD Index - A</v>
          </cell>
          <cell r="B59" t="str">
            <v>7.98</v>
          </cell>
          <cell r="C59" t="str">
            <v>0.11</v>
          </cell>
          <cell r="D59" t="str">
            <v>0.12</v>
          </cell>
          <cell r="F59" t="str">
            <v>0.10</v>
          </cell>
          <cell r="G59" t="str">
            <v>0.60</v>
          </cell>
          <cell r="H59" t="str">
            <v>1.63</v>
          </cell>
          <cell r="I59" t="str">
            <v>3.19</v>
          </cell>
          <cell r="J59" t="str">
            <v>6.52</v>
          </cell>
          <cell r="K59" t="str">
            <v>7.10</v>
          </cell>
        </row>
        <row r="60">
          <cell r="A60" t="str">
            <v>NIFTY 1 Month CD Index - B</v>
          </cell>
          <cell r="B60" t="str">
            <v>8.04</v>
          </cell>
          <cell r="C60" t="str">
            <v>0.12</v>
          </cell>
          <cell r="D60" t="str">
            <v>0.12</v>
          </cell>
          <cell r="F60" t="str">
            <v>0.11</v>
          </cell>
          <cell r="G60" t="str">
            <v>0.63</v>
          </cell>
          <cell r="H60" t="str">
            <v>1.68</v>
          </cell>
          <cell r="I60" t="str">
            <v>3.25</v>
          </cell>
          <cell r="J60" t="str">
            <v>6.64</v>
          </cell>
          <cell r="K60" t="str">
            <v>7.18</v>
          </cell>
        </row>
        <row r="61">
          <cell r="A61" t="str">
            <v>NIFTY 1 Month CD Index - C</v>
          </cell>
          <cell r="B61" t="str">
            <v>8.40</v>
          </cell>
          <cell r="C61" t="str">
            <v>0.12</v>
          </cell>
          <cell r="D61" t="str">
            <v>0.12</v>
          </cell>
          <cell r="F61" t="str">
            <v>0.11</v>
          </cell>
          <cell r="G61" t="str">
            <v>0.65</v>
          </cell>
          <cell r="H61" t="str">
            <v>1.77</v>
          </cell>
          <cell r="I61" t="str">
            <v>3.44</v>
          </cell>
          <cell r="J61" t="str">
            <v>6.99</v>
          </cell>
          <cell r="K61" t="str">
            <v>7.49</v>
          </cell>
        </row>
        <row r="62">
          <cell r="A62" t="str">
            <v>NIFTY 2 Month CD Index</v>
          </cell>
          <cell r="B62" t="str">
            <v>7.67</v>
          </cell>
          <cell r="C62" t="str">
            <v>0.17</v>
          </cell>
          <cell r="D62" t="str">
            <v>0.17</v>
          </cell>
          <cell r="F62" t="str">
            <v>0.16</v>
          </cell>
          <cell r="G62" t="str">
            <v>0.56</v>
          </cell>
          <cell r="H62" t="str">
            <v>1.61</v>
          </cell>
          <cell r="I62" t="str">
            <v>3.14</v>
          </cell>
          <cell r="J62" t="str">
            <v>6.54</v>
          </cell>
          <cell r="K62" t="str">
            <v>7.14</v>
          </cell>
        </row>
        <row r="63">
          <cell r="A63" t="str">
            <v>NIFTY 2 Month CD Index - A</v>
          </cell>
          <cell r="B63" t="str">
            <v>7.61</v>
          </cell>
          <cell r="C63" t="str">
            <v>0.17</v>
          </cell>
          <cell r="D63" t="str">
            <v>0.17</v>
          </cell>
          <cell r="F63" t="str">
            <v>0.16</v>
          </cell>
          <cell r="G63" t="str">
            <v>0.55</v>
          </cell>
          <cell r="H63" t="str">
            <v>1.60</v>
          </cell>
          <cell r="I63" t="str">
            <v>3.12</v>
          </cell>
          <cell r="J63" t="str">
            <v>6.49</v>
          </cell>
          <cell r="K63" t="str">
            <v>7.09</v>
          </cell>
        </row>
        <row r="64">
          <cell r="A64" t="str">
            <v>NIFTY 2 Month CD Index - B</v>
          </cell>
          <cell r="B64" t="str">
            <v>7.68</v>
          </cell>
          <cell r="C64" t="str">
            <v>0.17</v>
          </cell>
          <cell r="D64" t="str">
            <v>0.17</v>
          </cell>
          <cell r="F64" t="str">
            <v>0.16</v>
          </cell>
          <cell r="G64" t="str">
            <v>0.57</v>
          </cell>
          <cell r="H64" t="str">
            <v>1.61</v>
          </cell>
          <cell r="I64" t="str">
            <v>3.14</v>
          </cell>
          <cell r="J64" t="str">
            <v>6.57</v>
          </cell>
          <cell r="K64" t="str">
            <v>7.15</v>
          </cell>
        </row>
        <row r="65">
          <cell r="A65" t="str">
            <v>NIFTY 2 Month CD Index - C</v>
          </cell>
          <cell r="B65" t="str">
            <v>8.09</v>
          </cell>
          <cell r="C65" t="str">
            <v>0.17</v>
          </cell>
          <cell r="D65" t="str">
            <v>0.17</v>
          </cell>
          <cell r="F65" t="str">
            <v>0.16</v>
          </cell>
          <cell r="G65" t="str">
            <v>0.59</v>
          </cell>
          <cell r="H65" t="str">
            <v>1.68</v>
          </cell>
          <cell r="I65" t="str">
            <v>3.33</v>
          </cell>
          <cell r="J65" t="str">
            <v>6.95</v>
          </cell>
          <cell r="K65" t="str">
            <v>7.45</v>
          </cell>
        </row>
        <row r="66">
          <cell r="A66" t="str">
            <v>NIFTY 3 Month CD Index</v>
          </cell>
          <cell r="B66" t="str">
            <v>7.48</v>
          </cell>
          <cell r="C66" t="str">
            <v>0.25</v>
          </cell>
          <cell r="D66" t="str">
            <v>0.25</v>
          </cell>
          <cell r="F66" t="str">
            <v>0.23</v>
          </cell>
          <cell r="G66" t="str">
            <v>0.48</v>
          </cell>
          <cell r="H66" t="str">
            <v>1.47</v>
          </cell>
          <cell r="I66" t="str">
            <v>2.99</v>
          </cell>
          <cell r="J66" t="str">
            <v>6.58</v>
          </cell>
          <cell r="K66" t="str">
            <v>7.25</v>
          </cell>
        </row>
        <row r="67">
          <cell r="A67" t="str">
            <v>NIFTY 3 Month CD Index - A</v>
          </cell>
          <cell r="B67" t="str">
            <v>7.35</v>
          </cell>
          <cell r="C67" t="str">
            <v>0.25</v>
          </cell>
          <cell r="D67" t="str">
            <v>0.26</v>
          </cell>
          <cell r="F67" t="str">
            <v>0.24</v>
          </cell>
          <cell r="G67" t="str">
            <v>0.46</v>
          </cell>
          <cell r="H67" t="str">
            <v>1.44</v>
          </cell>
          <cell r="I67" t="str">
            <v>2.95</v>
          </cell>
          <cell r="J67" t="str">
            <v>6.51</v>
          </cell>
          <cell r="K67" t="str">
            <v>7.21</v>
          </cell>
        </row>
        <row r="68">
          <cell r="A68" t="str">
            <v>NIFTY 3 Month CD Index - B</v>
          </cell>
          <cell r="B68" t="str">
            <v>7.54</v>
          </cell>
          <cell r="C68" t="str">
            <v>0.22</v>
          </cell>
          <cell r="D68" t="str">
            <v>0.23</v>
          </cell>
          <cell r="F68" t="str">
            <v>0.21</v>
          </cell>
          <cell r="G68" t="str">
            <v>0.48</v>
          </cell>
          <cell r="H68" t="str">
            <v>1.50</v>
          </cell>
          <cell r="I68" t="str">
            <v>3.02</v>
          </cell>
          <cell r="J68" t="str">
            <v>6.65</v>
          </cell>
          <cell r="K68" t="str">
            <v>7.27</v>
          </cell>
        </row>
        <row r="69">
          <cell r="A69" t="str">
            <v>NIFTY 3 Month CD Index - C</v>
          </cell>
          <cell r="B69" t="str">
            <v>7.85</v>
          </cell>
          <cell r="C69" t="str">
            <v>0.24</v>
          </cell>
          <cell r="D69" t="str">
            <v>0.24</v>
          </cell>
          <cell r="F69" t="str">
            <v>0.22</v>
          </cell>
          <cell r="G69" t="str">
            <v>0.55</v>
          </cell>
          <cell r="H69" t="str">
            <v>1.60</v>
          </cell>
          <cell r="I69" t="str">
            <v>3.22</v>
          </cell>
          <cell r="J69" t="str">
            <v>6.99</v>
          </cell>
          <cell r="K69" t="str">
            <v>7.57</v>
          </cell>
        </row>
        <row r="70">
          <cell r="A70" t="str">
            <v>NIFTY 6 Month CD Index</v>
          </cell>
          <cell r="B70" t="str">
            <v>7.34</v>
          </cell>
          <cell r="C70" t="str">
            <v>0.54</v>
          </cell>
          <cell r="D70" t="str">
            <v>0.54</v>
          </cell>
          <cell r="F70" t="str">
            <v>0.50</v>
          </cell>
          <cell r="G70" t="str">
            <v>0.43</v>
          </cell>
          <cell r="H70" t="str">
            <v>1.23</v>
          </cell>
          <cell r="I70" t="str">
            <v>2.73</v>
          </cell>
          <cell r="J70" t="str">
            <v>6.52</v>
          </cell>
          <cell r="K70" t="str">
            <v>7.27</v>
          </cell>
        </row>
        <row r="71">
          <cell r="A71" t="str">
            <v>NIFTY 6 Month CD Index - A</v>
          </cell>
          <cell r="B71" t="str">
            <v>7.27</v>
          </cell>
          <cell r="C71" t="str">
            <v>0.55</v>
          </cell>
          <cell r="D71" t="str">
            <v>0.55</v>
          </cell>
          <cell r="F71" t="str">
            <v>0.51</v>
          </cell>
          <cell r="G71" t="str">
            <v>0.44</v>
          </cell>
          <cell r="H71" t="str">
            <v>1.24</v>
          </cell>
          <cell r="I71" t="str">
            <v>2.74</v>
          </cell>
          <cell r="J71" t="str">
            <v>6.51</v>
          </cell>
          <cell r="K71" t="str">
            <v>7.24</v>
          </cell>
        </row>
        <row r="72">
          <cell r="A72" t="str">
            <v>NIFTY 6 Month CD Index - B</v>
          </cell>
          <cell r="B72" t="str">
            <v>7.42</v>
          </cell>
          <cell r="C72" t="str">
            <v>0.51</v>
          </cell>
          <cell r="D72" t="str">
            <v>0.52</v>
          </cell>
          <cell r="F72" t="str">
            <v>0.48</v>
          </cell>
          <cell r="G72" t="str">
            <v>0.42</v>
          </cell>
          <cell r="H72" t="str">
            <v>1.21</v>
          </cell>
          <cell r="I72" t="str">
            <v>2.75</v>
          </cell>
          <cell r="J72" t="str">
            <v>6.55</v>
          </cell>
          <cell r="K72" t="str">
            <v>7.29</v>
          </cell>
        </row>
        <row r="73">
          <cell r="A73" t="str">
            <v>NIFTY 6 Month CD Index - C</v>
          </cell>
          <cell r="B73" t="str">
            <v>7.84</v>
          </cell>
          <cell r="C73" t="str">
            <v>0.50</v>
          </cell>
          <cell r="D73" t="str">
            <v>0.50</v>
          </cell>
          <cell r="F73" t="str">
            <v>0.46</v>
          </cell>
          <cell r="G73" t="str">
            <v>0.48</v>
          </cell>
          <cell r="H73" t="str">
            <v>1.31</v>
          </cell>
          <cell r="I73" t="str">
            <v>2.90</v>
          </cell>
          <cell r="J73" t="str">
            <v>6.86</v>
          </cell>
          <cell r="K73" t="str">
            <v>7.57</v>
          </cell>
        </row>
        <row r="74">
          <cell r="A74" t="str">
            <v>NIFTY 1 Year CD Index</v>
          </cell>
          <cell r="B74" t="str">
            <v>7.29</v>
          </cell>
          <cell r="C74" t="str">
            <v>0.86</v>
          </cell>
          <cell r="D74" t="str">
            <v>0.86</v>
          </cell>
          <cell r="F74" t="str">
            <v>0.80</v>
          </cell>
          <cell r="G74" t="str">
            <v>0.26</v>
          </cell>
          <cell r="H74" t="str">
            <v>1.00</v>
          </cell>
          <cell r="I74" t="str">
            <v>2.33</v>
          </cell>
          <cell r="J74" t="str">
            <v>6.24</v>
          </cell>
          <cell r="K74" t="str">
            <v>7.13</v>
          </cell>
        </row>
        <row r="75">
          <cell r="A75" t="str">
            <v>NIFTY 1 Year CD Index - A</v>
          </cell>
          <cell r="B75" t="str">
            <v>7.24</v>
          </cell>
          <cell r="C75" t="str">
            <v>0.85</v>
          </cell>
          <cell r="D75" t="str">
            <v>0.86</v>
          </cell>
          <cell r="F75" t="str">
            <v>0.80</v>
          </cell>
          <cell r="G75" t="str">
            <v>0.26</v>
          </cell>
          <cell r="H75" t="str">
            <v>1.03</v>
          </cell>
          <cell r="I75" t="str">
            <v>2.37</v>
          </cell>
          <cell r="J75" t="str">
            <v>6.27</v>
          </cell>
          <cell r="K75" t="str">
            <v>7.11</v>
          </cell>
        </row>
        <row r="76">
          <cell r="A76" t="str">
            <v>NIFTY 1 Year CD Index - B</v>
          </cell>
          <cell r="B76" t="str">
            <v>7.42</v>
          </cell>
          <cell r="C76" t="str">
            <v>0.87</v>
          </cell>
          <cell r="D76" t="str">
            <v>0.87</v>
          </cell>
          <cell r="F76" t="str">
            <v>0.81</v>
          </cell>
          <cell r="G76" t="str">
            <v>0.23</v>
          </cell>
          <cell r="H76" t="str">
            <v>0.95</v>
          </cell>
          <cell r="I76" t="str">
            <v>2.26</v>
          </cell>
          <cell r="J76" t="str">
            <v>6.20</v>
          </cell>
          <cell r="K76" t="str">
            <v>7.13</v>
          </cell>
        </row>
        <row r="77">
          <cell r="A77" t="str">
            <v>NIFTY 1 Year CD Index - C</v>
          </cell>
          <cell r="B77" t="str">
            <v>7.87</v>
          </cell>
          <cell r="C77" t="str">
            <v>0.88</v>
          </cell>
          <cell r="D77" t="str">
            <v>0.88</v>
          </cell>
          <cell r="F77" t="str">
            <v>0.81</v>
          </cell>
          <cell r="G77" t="str">
            <v>0.34</v>
          </cell>
          <cell r="H77" t="str">
            <v>1.13</v>
          </cell>
          <cell r="I77" t="str">
            <v>2.54</v>
          </cell>
          <cell r="J77" t="str">
            <v>6.73</v>
          </cell>
          <cell r="K77" t="str">
            <v>7.45</v>
          </cell>
        </row>
        <row r="78">
          <cell r="A78" t="str">
            <v>NIFTY All Maturity CD Index</v>
          </cell>
          <cell r="B78" t="str">
            <v>7.48</v>
          </cell>
          <cell r="C78" t="str">
            <v>0.46</v>
          </cell>
          <cell r="D78" t="str">
            <v>0.46</v>
          </cell>
          <cell r="F78" t="str">
            <v>0.43</v>
          </cell>
          <cell r="G78" t="str">
            <v>0.44</v>
          </cell>
          <cell r="H78" t="str">
            <v>1.36</v>
          </cell>
          <cell r="I78" t="str">
            <v>2.82</v>
          </cell>
          <cell r="J78" t="str">
            <v>6.48</v>
          </cell>
          <cell r="K78" t="str">
            <v>7.20</v>
          </cell>
        </row>
        <row r="79">
          <cell r="A79" t="str">
            <v>NIFTY All Maturity CD Index - A</v>
          </cell>
          <cell r="B79" t="str">
            <v>7.39</v>
          </cell>
          <cell r="C79" t="str">
            <v>0.46</v>
          </cell>
          <cell r="D79" t="str">
            <v>0.46</v>
          </cell>
          <cell r="F79" t="str">
            <v>0.43</v>
          </cell>
          <cell r="G79" t="str">
            <v>0.43</v>
          </cell>
          <cell r="H79" t="str">
            <v>1.35</v>
          </cell>
          <cell r="I79" t="str">
            <v>2.81</v>
          </cell>
          <cell r="J79" t="str">
            <v>6.45</v>
          </cell>
          <cell r="K79" t="str">
            <v>7.16</v>
          </cell>
        </row>
        <row r="80">
          <cell r="A80" t="str">
            <v>NIFTY All Maturity CD Index - B</v>
          </cell>
          <cell r="B80" t="str">
            <v>7.55</v>
          </cell>
          <cell r="C80" t="str">
            <v>0.45</v>
          </cell>
          <cell r="D80" t="str">
            <v>0.45</v>
          </cell>
          <cell r="F80" t="str">
            <v>0.42</v>
          </cell>
          <cell r="G80" t="str">
            <v>0.43</v>
          </cell>
          <cell r="H80" t="str">
            <v>1.35</v>
          </cell>
          <cell r="I80" t="str">
            <v>2.82</v>
          </cell>
          <cell r="J80" t="str">
            <v>6.51</v>
          </cell>
          <cell r="K80" t="str">
            <v>7.21</v>
          </cell>
        </row>
        <row r="81">
          <cell r="A81" t="str">
            <v>NIFTY All Maturity CD Index - C</v>
          </cell>
          <cell r="B81" t="str">
            <v>7.93</v>
          </cell>
          <cell r="C81" t="str">
            <v>0.46</v>
          </cell>
          <cell r="D81" t="str">
            <v>0.46</v>
          </cell>
          <cell r="F81" t="str">
            <v>0.42</v>
          </cell>
          <cell r="G81" t="str">
            <v>0.50</v>
          </cell>
          <cell r="H81" t="str">
            <v>1.47</v>
          </cell>
          <cell r="I81" t="str">
            <v>3.03</v>
          </cell>
          <cell r="J81" t="str">
            <v>6.90</v>
          </cell>
          <cell r="K81" t="str">
            <v>7.51</v>
          </cell>
        </row>
        <row r="82">
          <cell r="A82" t="str">
            <v>NIFTY 30 Day T-Bill Index</v>
          </cell>
          <cell r="B82" t="str">
            <v>5.29</v>
          </cell>
          <cell r="C82" t="str">
            <v>0.06</v>
          </cell>
          <cell r="D82" t="str">
            <v>0.06</v>
          </cell>
          <cell r="F82" t="str">
            <v>0.06</v>
          </cell>
          <cell r="G82" t="str">
            <v>0.44</v>
          </cell>
          <cell r="H82" t="str">
            <v>1.30</v>
          </cell>
          <cell r="I82" t="str">
            <v>2.63</v>
          </cell>
          <cell r="J82" t="str">
            <v>5.55</v>
          </cell>
          <cell r="K82" t="str">
            <v>6.35</v>
          </cell>
        </row>
        <row r="83">
          <cell r="A83" t="str">
            <v>NIFTY 60 Day T-Bill Index</v>
          </cell>
          <cell r="B83" t="str">
            <v>5.30</v>
          </cell>
          <cell r="C83" t="str">
            <v>0.14</v>
          </cell>
          <cell r="D83" t="str">
            <v>0.14</v>
          </cell>
          <cell r="F83" t="str">
            <v>0.13</v>
          </cell>
          <cell r="G83" t="str">
            <v>0.42</v>
          </cell>
          <cell r="H83" t="str">
            <v>1.27</v>
          </cell>
          <cell r="I83" t="str">
            <v>2.58</v>
          </cell>
          <cell r="J83" t="str">
            <v>5.39</v>
          </cell>
          <cell r="K83" t="str">
            <v>6.20</v>
          </cell>
        </row>
        <row r="84">
          <cell r="A84" t="str">
            <v>NIFTY 91 Day T-Bill Index</v>
          </cell>
          <cell r="B84" t="str">
            <v>5.37</v>
          </cell>
          <cell r="C84" t="str">
            <v>0.22</v>
          </cell>
          <cell r="D84" t="str">
            <v>0.22</v>
          </cell>
          <cell r="F84" t="str">
            <v>0.21</v>
          </cell>
          <cell r="G84" t="str">
            <v>0.42</v>
          </cell>
          <cell r="H84" t="str">
            <v>1.32</v>
          </cell>
          <cell r="I84" t="str">
            <v>2.72</v>
          </cell>
          <cell r="J84" t="str">
            <v>5.85</v>
          </cell>
          <cell r="K84" t="str">
            <v>6.52</v>
          </cell>
        </row>
        <row r="85">
          <cell r="A85" t="str">
            <v>NIFTY 182 Day T-Bill Index</v>
          </cell>
          <cell r="B85" t="str">
            <v>5.50</v>
          </cell>
          <cell r="C85" t="str">
            <v>0.47</v>
          </cell>
          <cell r="D85" t="str">
            <v>0.47</v>
          </cell>
          <cell r="F85" t="str">
            <v>0.44</v>
          </cell>
          <cell r="G85" t="str">
            <v>0.46</v>
          </cell>
          <cell r="H85" t="str">
            <v>1.31</v>
          </cell>
          <cell r="I85" t="str">
            <v>2.82</v>
          </cell>
          <cell r="J85" t="str">
            <v>6.22</v>
          </cell>
          <cell r="K85" t="str">
            <v>6.81</v>
          </cell>
        </row>
        <row r="86">
          <cell r="A86" t="str">
            <v>NIFTY 1 Year T-Bill Index</v>
          </cell>
          <cell r="B86" t="str">
            <v>5.61</v>
          </cell>
          <cell r="C86" t="str">
            <v>0.96</v>
          </cell>
          <cell r="D86" t="str">
            <v>0.97</v>
          </cell>
          <cell r="F86" t="str">
            <v>0.91</v>
          </cell>
          <cell r="G86" t="str">
            <v>0.37</v>
          </cell>
          <cell r="H86" t="str">
            <v>1.27</v>
          </cell>
          <cell r="I86" t="str">
            <v>2.62</v>
          </cell>
          <cell r="J86" t="str">
            <v>6.32</v>
          </cell>
          <cell r="K86" t="str">
            <v>6.76</v>
          </cell>
        </row>
        <row r="87">
          <cell r="A87" t="str">
            <v>NIFTY All Maturity T-Bill Index</v>
          </cell>
          <cell r="B87" t="str">
            <v>5.43</v>
          </cell>
          <cell r="C87" t="str">
            <v>0.38</v>
          </cell>
          <cell r="D87" t="str">
            <v>0.39</v>
          </cell>
          <cell r="F87" t="str">
            <v>0.36</v>
          </cell>
          <cell r="G87" t="str">
            <v>0.42</v>
          </cell>
          <cell r="H87" t="str">
            <v>1.30</v>
          </cell>
          <cell r="I87" t="str">
            <v>2.70</v>
          </cell>
          <cell r="J87" t="str">
            <v>5.94</v>
          </cell>
          <cell r="K87" t="str">
            <v>6.59</v>
          </cell>
        </row>
        <row r="88">
          <cell r="A88" t="str">
            <v>NIFTY Financial Services 9 to 12 Months Debt</v>
          </cell>
          <cell r="B88" t="str">
            <v>7.58</v>
          </cell>
          <cell r="C88" t="str">
            <v>0.58</v>
          </cell>
          <cell r="D88" t="str">
            <v>0.59</v>
          </cell>
          <cell r="F88" t="str">
            <v>0.54</v>
          </cell>
          <cell r="G88" t="str">
            <v>0.40</v>
          </cell>
          <cell r="H88" t="str">
            <v>1.20</v>
          </cell>
          <cell r="I88" t="str">
            <v>2.72</v>
          </cell>
          <cell r="J88" t="str">
            <v>6.62</v>
          </cell>
          <cell r="K88" t="str">
            <v>7.44</v>
          </cell>
        </row>
        <row r="89">
          <cell r="A89" t="str">
            <v>NIFTY Financial Services 3 to 6 Months Debt</v>
          </cell>
          <cell r="B89" t="str">
            <v>7.55</v>
          </cell>
          <cell r="C89" t="str">
            <v>0.32</v>
          </cell>
          <cell r="D89" t="str">
            <v>0.32</v>
          </cell>
          <cell r="F89" t="str">
            <v>0.30</v>
          </cell>
          <cell r="G89" t="str">
            <v>0.55</v>
          </cell>
          <cell r="H89" t="str">
            <v>1.47</v>
          </cell>
          <cell r="I89" t="str">
            <v>3.08</v>
          </cell>
          <cell r="J89" t="str">
            <v>6.82</v>
          </cell>
          <cell r="K89" t="str">
            <v>7.61</v>
          </cell>
        </row>
        <row r="90">
          <cell r="A90" t="str">
            <v>NIFTY 1D Rate Index</v>
          </cell>
          <cell r="B90" t="str">
            <v>6.16</v>
          </cell>
          <cell r="C90" t="str">
            <v>-</v>
          </cell>
          <cell r="E90" t="str">
            <v>-</v>
          </cell>
          <cell r="F90" t="str">
            <v>-</v>
          </cell>
          <cell r="G90" t="str">
            <v>0.44</v>
          </cell>
          <cell r="H90" t="str">
            <v>1.25</v>
          </cell>
          <cell r="I90" t="str">
            <v>2.60</v>
          </cell>
          <cell r="J90" t="str">
            <v>5.47</v>
          </cell>
          <cell r="K90" t="str">
            <v>6.32</v>
          </cell>
        </row>
      </sheetData>
      <sheetData sheetId="7" refreshError="1"/>
      <sheetData sheetId="8">
        <row r="2">
          <cell r="C2" t="str">
            <v>Index Statistics</v>
          </cell>
          <cell r="H2" t="str">
            <v>Index Return (%)</v>
          </cell>
        </row>
        <row r="3">
          <cell r="A3" t="str">
            <v>Index Name</v>
          </cell>
          <cell r="B3" t="str">
            <v>Yield (%)</v>
          </cell>
          <cell r="C3" t="str">
            <v>Mac D(yrs)</v>
          </cell>
          <cell r="D3" t="str">
            <v>Maturity(yrs)</v>
          </cell>
          <cell r="E3" t="str">
            <v>Mod D(yrs)</v>
          </cell>
          <cell r="F3" t="str">
            <v>1 M</v>
          </cell>
          <cell r="G3" t="str">
            <v>3 M</v>
          </cell>
          <cell r="H3" t="str">
            <v>6 M</v>
          </cell>
          <cell r="I3" t="str">
            <v>1 Y</v>
          </cell>
          <cell r="J3" t="str">
            <v>3 Y</v>
          </cell>
          <cell r="K3" t="str">
            <v>5 Y</v>
          </cell>
        </row>
        <row r="4">
          <cell r="A4" t="str">
            <v>PRC Indices</v>
          </cell>
        </row>
        <row r="5">
          <cell r="A5" t="str">
            <v>NIFTY Liquid Index A-I</v>
          </cell>
          <cell r="B5" t="str">
            <v>7.04</v>
          </cell>
          <cell r="C5" t="str">
            <v>0.15</v>
          </cell>
          <cell r="D5" t="str">
            <v>0.16</v>
          </cell>
          <cell r="E5" t="str">
            <v>0.14</v>
          </cell>
          <cell r="F5" t="str">
            <v>0.49</v>
          </cell>
          <cell r="G5" t="str">
            <v>1.45</v>
          </cell>
          <cell r="H5" t="str">
            <v>2.92</v>
          </cell>
          <cell r="I5" t="str">
            <v>6.19</v>
          </cell>
          <cell r="J5" t="str">
            <v>6.93</v>
          </cell>
          <cell r="K5" t="str">
            <v>6.00</v>
          </cell>
        </row>
        <row r="6">
          <cell r="A6" t="str">
            <v>NIFTY Liquid Index B-I</v>
          </cell>
          <cell r="B6" t="str">
            <v>7.52</v>
          </cell>
          <cell r="C6" t="str">
            <v>0.14</v>
          </cell>
          <cell r="D6" t="str">
            <v>0.14</v>
          </cell>
          <cell r="E6" t="str">
            <v>0.13</v>
          </cell>
          <cell r="F6" t="str">
            <v>0.56</v>
          </cell>
          <cell r="G6" t="str">
            <v>1.59</v>
          </cell>
          <cell r="H6" t="str">
            <v>3.18</v>
          </cell>
          <cell r="I6" t="str">
            <v>6.62</v>
          </cell>
          <cell r="J6" t="str">
            <v>7.22</v>
          </cell>
          <cell r="K6" t="str">
            <v>6.21</v>
          </cell>
        </row>
        <row r="7">
          <cell r="A7" t="str">
            <v>NIFTY Liquid Index C-I</v>
          </cell>
          <cell r="B7" t="str">
            <v>8.11</v>
          </cell>
          <cell r="C7" t="str">
            <v>0.15</v>
          </cell>
          <cell r="D7" t="str">
            <v>0.15</v>
          </cell>
          <cell r="E7" t="str">
            <v>0.14</v>
          </cell>
          <cell r="F7" t="str">
            <v>0.62</v>
          </cell>
          <cell r="G7" t="str">
            <v>1.76</v>
          </cell>
          <cell r="H7" t="str">
            <v>3.55</v>
          </cell>
          <cell r="I7" t="str">
            <v>7.36</v>
          </cell>
          <cell r="J7" t="str">
            <v>7.80</v>
          </cell>
          <cell r="K7" t="str">
            <v>6.69</v>
          </cell>
        </row>
        <row r="8">
          <cell r="A8" t="str">
            <v>NIFTY Money Market Index A-I</v>
          </cell>
          <cell r="B8" t="str">
            <v>7.11</v>
          </cell>
          <cell r="C8" t="str">
            <v>0.47</v>
          </cell>
          <cell r="D8" t="str">
            <v>0.47</v>
          </cell>
          <cell r="E8" t="str">
            <v>0.43</v>
          </cell>
          <cell r="F8" t="str">
            <v>0.41</v>
          </cell>
          <cell r="G8" t="str">
            <v>1.34</v>
          </cell>
          <cell r="H8" t="str">
            <v>2.82</v>
          </cell>
          <cell r="I8" t="str">
            <v>6.42</v>
          </cell>
          <cell r="J8" t="str">
            <v>7.14</v>
          </cell>
          <cell r="K8" t="str">
            <v>6.08</v>
          </cell>
        </row>
        <row r="9">
          <cell r="A9" t="str">
            <v>NIFTY Money Market Index B-I</v>
          </cell>
          <cell r="B9" t="str">
            <v>7.43</v>
          </cell>
          <cell r="C9" t="str">
            <v>0.37</v>
          </cell>
          <cell r="D9" t="str">
            <v>0.37</v>
          </cell>
          <cell r="E9" t="str">
            <v>0.34</v>
          </cell>
          <cell r="F9" t="str">
            <v>0.49</v>
          </cell>
          <cell r="G9" t="str">
            <v>1.47</v>
          </cell>
          <cell r="H9" t="str">
            <v>3.04</v>
          </cell>
          <cell r="I9" t="str">
            <v>6.73</v>
          </cell>
          <cell r="J9" t="str">
            <v>7.39</v>
          </cell>
          <cell r="K9" t="str">
            <v>6.29</v>
          </cell>
        </row>
        <row r="10">
          <cell r="A10" t="str">
            <v>NIFTY Money Market Index C-I</v>
          </cell>
          <cell r="B10" t="str">
            <v>8.04</v>
          </cell>
          <cell r="C10" t="str">
            <v>0.37</v>
          </cell>
          <cell r="D10" t="str">
            <v>0.38</v>
          </cell>
          <cell r="E10" t="str">
            <v>0.35</v>
          </cell>
          <cell r="F10" t="str">
            <v>0.55</v>
          </cell>
          <cell r="G10" t="str">
            <v>1.64</v>
          </cell>
          <cell r="H10" t="str">
            <v>3.41</v>
          </cell>
          <cell r="I10" t="str">
            <v>7.50</v>
          </cell>
          <cell r="J10" t="str">
            <v>7.98</v>
          </cell>
          <cell r="K10" t="str">
            <v>6.76</v>
          </cell>
        </row>
        <row r="11">
          <cell r="A11" t="str">
            <v>NIFTY Ultra Short Duration Debt Index A-I</v>
          </cell>
          <cell r="B11" t="str">
            <v>7.22</v>
          </cell>
          <cell r="C11" t="str">
            <v>0.36</v>
          </cell>
          <cell r="D11" t="str">
            <v>0.36</v>
          </cell>
          <cell r="E11" t="str">
            <v>0.34</v>
          </cell>
          <cell r="F11" t="str">
            <v>0.49</v>
          </cell>
          <cell r="G11" t="str">
            <v>1.39</v>
          </cell>
          <cell r="H11" t="str">
            <v>2.90</v>
          </cell>
          <cell r="I11" t="str">
            <v>6.52</v>
          </cell>
          <cell r="J11" t="str">
            <v>7.23</v>
          </cell>
          <cell r="K11" t="str">
            <v>6.22</v>
          </cell>
        </row>
        <row r="12">
          <cell r="A12" t="str">
            <v>NIFTY Ultra Short Duration Debt Index A-II</v>
          </cell>
          <cell r="B12" t="str">
            <v>7.35</v>
          </cell>
          <cell r="C12" t="str">
            <v>0.44</v>
          </cell>
          <cell r="D12" t="str">
            <v>0.46</v>
          </cell>
          <cell r="E12" t="str">
            <v>0.41</v>
          </cell>
          <cell r="F12" t="str">
            <v>0.48</v>
          </cell>
          <cell r="G12" t="str">
            <v>1.35</v>
          </cell>
          <cell r="H12" t="str">
            <v>2.86</v>
          </cell>
          <cell r="I12" t="str">
            <v>6.49</v>
          </cell>
          <cell r="J12" t="str">
            <v>7.26</v>
          </cell>
          <cell r="K12" t="str">
            <v>6.24</v>
          </cell>
        </row>
        <row r="13">
          <cell r="A13" t="str">
            <v>NIFTY Ultra Short Duration Debt Index A-III</v>
          </cell>
          <cell r="B13" t="str">
            <v>7.35</v>
          </cell>
          <cell r="C13" t="str">
            <v>0.50</v>
          </cell>
          <cell r="D13" t="str">
            <v>0.58</v>
          </cell>
          <cell r="E13" t="str">
            <v>0.47</v>
          </cell>
          <cell r="F13" t="str">
            <v>0.47</v>
          </cell>
          <cell r="G13" t="str">
            <v>1.33</v>
          </cell>
          <cell r="H13" t="str">
            <v>2.83</v>
          </cell>
          <cell r="I13" t="str">
            <v>6.38</v>
          </cell>
          <cell r="J13" t="str">
            <v>7.23</v>
          </cell>
          <cell r="K13" t="str">
            <v>6.23</v>
          </cell>
        </row>
        <row r="14">
          <cell r="A14" t="str">
            <v>NIFTY Ultra Short Duration Debt Index B-I</v>
          </cell>
          <cell r="B14" t="str">
            <v>7.65</v>
          </cell>
          <cell r="C14" t="str">
            <v>0.42</v>
          </cell>
          <cell r="D14" t="str">
            <v>0.42</v>
          </cell>
          <cell r="E14" t="str">
            <v>0.39</v>
          </cell>
          <cell r="F14" t="str">
            <v>0.51</v>
          </cell>
          <cell r="G14" t="str">
            <v>1.45</v>
          </cell>
          <cell r="H14" t="str">
            <v>3.06</v>
          </cell>
          <cell r="I14" t="str">
            <v>6.85</v>
          </cell>
          <cell r="J14" t="str">
            <v>7.57</v>
          </cell>
          <cell r="K14" t="str">
            <v>6.56</v>
          </cell>
        </row>
        <row r="15">
          <cell r="A15" t="str">
            <v>NIFTY Ultra Short Duration Debt Index B-II</v>
          </cell>
          <cell r="B15" t="str">
            <v>7.77</v>
          </cell>
          <cell r="C15" t="str">
            <v>0.45</v>
          </cell>
          <cell r="D15" t="str">
            <v>0.47</v>
          </cell>
          <cell r="E15" t="str">
            <v>0.42</v>
          </cell>
          <cell r="F15" t="str">
            <v>0.49</v>
          </cell>
          <cell r="G15" t="str">
            <v>1.44</v>
          </cell>
          <cell r="H15" t="str">
            <v>3.07</v>
          </cell>
          <cell r="I15" t="str">
            <v>6.88</v>
          </cell>
          <cell r="J15" t="str">
            <v>7.63</v>
          </cell>
          <cell r="K15" t="str">
            <v>6.68</v>
          </cell>
        </row>
        <row r="16">
          <cell r="A16" t="str">
            <v>NIFTY Ultra Short Duration Debt Index B-III</v>
          </cell>
          <cell r="B16" t="str">
            <v>7.90</v>
          </cell>
          <cell r="C16" t="str">
            <v>0.51</v>
          </cell>
          <cell r="D16" t="str">
            <v>0.63</v>
          </cell>
          <cell r="E16" t="str">
            <v>0.47</v>
          </cell>
          <cell r="F16" t="str">
            <v>0.48</v>
          </cell>
          <cell r="G16" t="str">
            <v>1.42</v>
          </cell>
          <cell r="H16" t="str">
            <v>2.97</v>
          </cell>
          <cell r="I16" t="str">
            <v>6.73</v>
          </cell>
          <cell r="J16" t="str">
            <v>7.64</v>
          </cell>
          <cell r="K16" t="str">
            <v>6.75</v>
          </cell>
        </row>
        <row r="17">
          <cell r="A17" t="str">
            <v>NIFTY Ultra Short Duration Debt Index C-I</v>
          </cell>
          <cell r="B17" t="str">
            <v>8.45</v>
          </cell>
          <cell r="C17" t="str">
            <v>0.42</v>
          </cell>
          <cell r="D17" t="str">
            <v>0.43</v>
          </cell>
          <cell r="E17" t="str">
            <v>0.39</v>
          </cell>
          <cell r="F17" t="str">
            <v>0.57</v>
          </cell>
          <cell r="G17" t="str">
            <v>1.66</v>
          </cell>
          <cell r="H17" t="str">
            <v>3.57</v>
          </cell>
          <cell r="I17" t="str">
            <v>7.83</v>
          </cell>
          <cell r="J17" t="str">
            <v>8.40</v>
          </cell>
          <cell r="K17" t="str">
            <v>7.45</v>
          </cell>
        </row>
        <row r="18">
          <cell r="A18" t="str">
            <v>NIFTY Ultra Short Duration Debt Index C-II</v>
          </cell>
          <cell r="B18" t="str">
            <v>8.45</v>
          </cell>
          <cell r="C18" t="str">
            <v>0.47</v>
          </cell>
          <cell r="D18" t="str">
            <v>0.48</v>
          </cell>
          <cell r="E18" t="str">
            <v>0.43</v>
          </cell>
          <cell r="F18" t="str">
            <v>0.55</v>
          </cell>
          <cell r="G18" t="str">
            <v>1.63</v>
          </cell>
          <cell r="H18" t="str">
            <v>3.52</v>
          </cell>
          <cell r="I18" t="str">
            <v>7.74</v>
          </cell>
          <cell r="J18" t="str">
            <v>8.35</v>
          </cell>
          <cell r="K18" t="str">
            <v>7.43</v>
          </cell>
        </row>
        <row r="19">
          <cell r="A19" t="str">
            <v>NIFTY Ultra Short Duration Debt Index C-III</v>
          </cell>
          <cell r="B19" t="str">
            <v>8.50</v>
          </cell>
          <cell r="C19" t="str">
            <v>0.51</v>
          </cell>
          <cell r="D19" t="str">
            <v>0.60</v>
          </cell>
          <cell r="E19" t="str">
            <v>0.47</v>
          </cell>
          <cell r="F19" t="str">
            <v>0.53</v>
          </cell>
          <cell r="G19" t="str">
            <v>1.60</v>
          </cell>
          <cell r="H19" t="str">
            <v>3.49</v>
          </cell>
          <cell r="I19" t="str">
            <v>7.64</v>
          </cell>
          <cell r="J19" t="str">
            <v>8.28</v>
          </cell>
          <cell r="K19" t="str">
            <v>7.38</v>
          </cell>
        </row>
        <row r="20">
          <cell r="A20" t="str">
            <v>NIFTY Low Duration Debt Index A-I</v>
          </cell>
          <cell r="B20" t="str">
            <v>7.12</v>
          </cell>
          <cell r="C20" t="str">
            <v>0.64</v>
          </cell>
          <cell r="D20" t="str">
            <v>0.64</v>
          </cell>
          <cell r="E20" t="str">
            <v>0.59</v>
          </cell>
          <cell r="F20" t="str">
            <v>0.36</v>
          </cell>
          <cell r="G20" t="str">
            <v>1.22</v>
          </cell>
          <cell r="H20" t="str">
            <v>2.69</v>
          </cell>
          <cell r="I20" t="str">
            <v>6.46</v>
          </cell>
          <cell r="J20" t="str">
            <v>7.18</v>
          </cell>
          <cell r="K20" t="str">
            <v>6.03</v>
          </cell>
        </row>
        <row r="21">
          <cell r="A21" t="str">
            <v>NIFTY Low Duration Debt Index A-II</v>
          </cell>
          <cell r="B21" t="str">
            <v>7.29</v>
          </cell>
          <cell r="C21" t="str">
            <v>0.87</v>
          </cell>
          <cell r="D21" t="str">
            <v>0.89</v>
          </cell>
          <cell r="E21" t="str">
            <v>0.81</v>
          </cell>
          <cell r="F21" t="str">
            <v>0.33</v>
          </cell>
          <cell r="G21" t="str">
            <v>1.11</v>
          </cell>
          <cell r="H21" t="str">
            <v>2.54</v>
          </cell>
          <cell r="I21" t="str">
            <v>6.36</v>
          </cell>
          <cell r="J21" t="str">
            <v>7.16</v>
          </cell>
          <cell r="K21" t="str">
            <v>6.00</v>
          </cell>
        </row>
        <row r="22">
          <cell r="A22" t="str">
            <v>NIFTY Low Duration Debt Index A-III</v>
          </cell>
          <cell r="B22" t="str">
            <v>7.29</v>
          </cell>
          <cell r="C22" t="str">
            <v>0.93</v>
          </cell>
          <cell r="D22" t="str">
            <v>0.99</v>
          </cell>
          <cell r="E22" t="str">
            <v>0.87</v>
          </cell>
          <cell r="F22" t="str">
            <v>0.31</v>
          </cell>
          <cell r="G22" t="str">
            <v>1.08</v>
          </cell>
          <cell r="H22" t="str">
            <v>2.51</v>
          </cell>
          <cell r="I22" t="str">
            <v>6.29</v>
          </cell>
          <cell r="J22" t="str">
            <v>7.14</v>
          </cell>
          <cell r="K22" t="str">
            <v>5.98</v>
          </cell>
        </row>
        <row r="23">
          <cell r="A23" t="str">
            <v>NIFTY Low Duration Debt Index B-I</v>
          </cell>
          <cell r="B23" t="str">
            <v>7.70</v>
          </cell>
          <cell r="C23" t="str">
            <v>0.77</v>
          </cell>
          <cell r="D23" t="str">
            <v>0.78</v>
          </cell>
          <cell r="E23" t="str">
            <v>0.72</v>
          </cell>
          <cell r="F23" t="str">
            <v>0.40</v>
          </cell>
          <cell r="G23" t="str">
            <v>1.26</v>
          </cell>
          <cell r="H23" t="str">
            <v>2.80</v>
          </cell>
          <cell r="I23" t="str">
            <v>6.78</v>
          </cell>
          <cell r="J23" t="str">
            <v>7.56</v>
          </cell>
          <cell r="K23" t="str">
            <v>6.51</v>
          </cell>
        </row>
        <row r="24">
          <cell r="A24" t="str">
            <v>NIFTY Low Duration Debt Index B-II</v>
          </cell>
          <cell r="B24" t="str">
            <v>7.81</v>
          </cell>
          <cell r="C24" t="str">
            <v>0.86</v>
          </cell>
          <cell r="D24" t="str">
            <v>0.88</v>
          </cell>
          <cell r="E24" t="str">
            <v>0.79</v>
          </cell>
          <cell r="F24" t="str">
            <v>0.37</v>
          </cell>
          <cell r="G24" t="str">
            <v>1.21</v>
          </cell>
          <cell r="H24" t="str">
            <v>2.74</v>
          </cell>
          <cell r="I24" t="str">
            <v>6.70</v>
          </cell>
          <cell r="J24" t="str">
            <v>7.58</v>
          </cell>
          <cell r="K24" t="str">
            <v>6.65</v>
          </cell>
        </row>
        <row r="25">
          <cell r="A25" t="str">
            <v>NIFTY Low Duration Debt Index B-III</v>
          </cell>
          <cell r="B25" t="str">
            <v>7.81</v>
          </cell>
          <cell r="C25" t="str">
            <v>0.91</v>
          </cell>
          <cell r="D25" t="str">
            <v>0.97</v>
          </cell>
          <cell r="E25" t="str">
            <v>0.84</v>
          </cell>
          <cell r="F25" t="str">
            <v>0.35</v>
          </cell>
          <cell r="G25" t="str">
            <v>1.18</v>
          </cell>
          <cell r="H25" t="str">
            <v>2.69</v>
          </cell>
          <cell r="I25" t="str">
            <v>6.60</v>
          </cell>
          <cell r="J25" t="str">
            <v>7.52</v>
          </cell>
          <cell r="K25" t="str">
            <v>6.59</v>
          </cell>
        </row>
        <row r="26">
          <cell r="A26" t="str">
            <v>NIFTY Low Duration Debt Index C-I</v>
          </cell>
          <cell r="B26" t="str">
            <v>8.44</v>
          </cell>
          <cell r="C26" t="str">
            <v>0.75</v>
          </cell>
          <cell r="D26" t="str">
            <v>0.76</v>
          </cell>
          <cell r="E26" t="str">
            <v>0.70</v>
          </cell>
          <cell r="F26" t="str">
            <v>0.46</v>
          </cell>
          <cell r="G26" t="str">
            <v>1.45</v>
          </cell>
          <cell r="H26" t="str">
            <v>3.29</v>
          </cell>
          <cell r="I26" t="str">
            <v>7.66</v>
          </cell>
          <cell r="J26" t="str">
            <v>8.22</v>
          </cell>
          <cell r="K26" t="str">
            <v>7.11</v>
          </cell>
        </row>
        <row r="27">
          <cell r="A27" t="str">
            <v>NIFTY Low Duration Debt Index C-II</v>
          </cell>
          <cell r="B27" t="str">
            <v>8.43</v>
          </cell>
          <cell r="C27" t="str">
            <v>0.84</v>
          </cell>
          <cell r="D27" t="str">
            <v>0.86</v>
          </cell>
          <cell r="E27" t="str">
            <v>0.78</v>
          </cell>
          <cell r="F27" t="str">
            <v>0.42</v>
          </cell>
          <cell r="G27" t="str">
            <v>1.38</v>
          </cell>
          <cell r="H27" t="str">
            <v>3.21</v>
          </cell>
          <cell r="I27" t="str">
            <v>7.56</v>
          </cell>
          <cell r="J27" t="str">
            <v>8.17</v>
          </cell>
          <cell r="K27" t="str">
            <v>7.09</v>
          </cell>
        </row>
        <row r="28">
          <cell r="A28" t="str">
            <v>NIFTY Low Duration Debt Index C-III</v>
          </cell>
          <cell r="B28" t="str">
            <v>8.43</v>
          </cell>
          <cell r="C28" t="str">
            <v>0.89</v>
          </cell>
          <cell r="D28" t="str">
            <v>0.96</v>
          </cell>
          <cell r="E28" t="str">
            <v>0.83</v>
          </cell>
          <cell r="F28" t="str">
            <v>0.40</v>
          </cell>
          <cell r="G28" t="str">
            <v>1.35</v>
          </cell>
          <cell r="H28" t="str">
            <v>3.16</v>
          </cell>
          <cell r="I28" t="str">
            <v>7.45</v>
          </cell>
          <cell r="J28" t="str">
            <v>8.10</v>
          </cell>
          <cell r="K28" t="str">
            <v>7.04</v>
          </cell>
        </row>
        <row r="29">
          <cell r="A29" t="str">
            <v>NIFTY Short Duration Debt Index A-II</v>
          </cell>
          <cell r="B29" t="str">
            <v>7.34</v>
          </cell>
          <cell r="C29" t="str">
            <v>2.06</v>
          </cell>
          <cell r="D29" t="str">
            <v>2.25</v>
          </cell>
          <cell r="E29" t="str">
            <v>1.94</v>
          </cell>
          <cell r="F29" t="str">
            <v>-0.31</v>
          </cell>
          <cell r="G29" t="str">
            <v>0.43</v>
          </cell>
          <cell r="H29" t="str">
            <v>1.71</v>
          </cell>
          <cell r="I29" t="str">
            <v>5.59</v>
          </cell>
          <cell r="J29" t="str">
            <v>6.94</v>
          </cell>
          <cell r="K29" t="str">
            <v>5.83</v>
          </cell>
        </row>
        <row r="30">
          <cell r="A30" t="str">
            <v>NIFTY Short Duration Debt Index A-III</v>
          </cell>
          <cell r="B30" t="str">
            <v>7.35</v>
          </cell>
          <cell r="C30" t="str">
            <v>2.06</v>
          </cell>
          <cell r="D30" t="str">
            <v>2.36</v>
          </cell>
          <cell r="E30" t="str">
            <v>1.95</v>
          </cell>
          <cell r="F30" t="str">
            <v>-0.34</v>
          </cell>
          <cell r="G30" t="str">
            <v>0.48</v>
          </cell>
          <cell r="H30" t="str">
            <v>1.78</v>
          </cell>
          <cell r="I30" t="str">
            <v>5.63</v>
          </cell>
          <cell r="J30" t="str">
            <v>7.02</v>
          </cell>
          <cell r="K30" t="str">
            <v>5.88</v>
          </cell>
        </row>
        <row r="31">
          <cell r="A31" t="str">
            <v>NIFTY Short Duration Debt Index B-II</v>
          </cell>
          <cell r="B31" t="str">
            <v>7.75</v>
          </cell>
          <cell r="C31" t="str">
            <v>1.68</v>
          </cell>
          <cell r="D31" t="str">
            <v>1.83</v>
          </cell>
          <cell r="E31" t="str">
            <v>1.57</v>
          </cell>
          <cell r="F31" t="str">
            <v>-0.18</v>
          </cell>
          <cell r="G31" t="str">
            <v>0.63</v>
          </cell>
          <cell r="H31" t="str">
            <v>2.02</v>
          </cell>
          <cell r="I31" t="str">
            <v>5.98</v>
          </cell>
          <cell r="J31" t="str">
            <v>7.21</v>
          </cell>
          <cell r="K31" t="str">
            <v>6.34</v>
          </cell>
        </row>
        <row r="32">
          <cell r="A32" t="str">
            <v>NIFTY Short Duration Debt Index B-III</v>
          </cell>
          <cell r="B32" t="str">
            <v>7.82</v>
          </cell>
          <cell r="C32" t="str">
            <v>1.92</v>
          </cell>
          <cell r="D32" t="str">
            <v>2.21</v>
          </cell>
          <cell r="E32" t="str">
            <v>1.80</v>
          </cell>
          <cell r="F32" t="str">
            <v>-0.26</v>
          </cell>
          <cell r="G32" t="str">
            <v>0.47</v>
          </cell>
          <cell r="H32" t="str">
            <v>1.80</v>
          </cell>
          <cell r="I32" t="str">
            <v>5.52</v>
          </cell>
          <cell r="J32" t="str">
            <v>6.99</v>
          </cell>
          <cell r="K32" t="str">
            <v>6.29</v>
          </cell>
        </row>
        <row r="33">
          <cell r="A33" t="str">
            <v>NIFTY Short Duration Debt Index C-II</v>
          </cell>
          <cell r="B33" t="str">
            <v>8.86</v>
          </cell>
          <cell r="C33" t="str">
            <v>1.51</v>
          </cell>
          <cell r="D33" t="str">
            <v>1.68</v>
          </cell>
          <cell r="E33" t="str">
            <v>1.43</v>
          </cell>
          <cell r="F33" t="str">
            <v>-0.07</v>
          </cell>
          <cell r="G33" t="str">
            <v>0.85</v>
          </cell>
          <cell r="H33" t="str">
            <v>2.36</v>
          </cell>
          <cell r="I33" t="str">
            <v>6.29</v>
          </cell>
          <cell r="J33" t="str">
            <v>8.04</v>
          </cell>
          <cell r="K33" t="str">
            <v>7.43</v>
          </cell>
        </row>
        <row r="34">
          <cell r="A34" t="str">
            <v>NIFTY Short Duration Debt Index C-III</v>
          </cell>
          <cell r="B34" t="str">
            <v>8.84</v>
          </cell>
          <cell r="C34" t="str">
            <v>1.78</v>
          </cell>
          <cell r="D34" t="str">
            <v>1.98</v>
          </cell>
          <cell r="E34" t="str">
            <v>1.68</v>
          </cell>
          <cell r="F34" t="str">
            <v>-0.18</v>
          </cell>
          <cell r="G34" t="str">
            <v>0.62</v>
          </cell>
          <cell r="H34" t="str">
            <v>1.97</v>
          </cell>
          <cell r="I34" t="str">
            <v>5.65</v>
          </cell>
          <cell r="J34" t="str">
            <v>7.68</v>
          </cell>
          <cell r="K34" t="str">
            <v>7.14</v>
          </cell>
        </row>
        <row r="35">
          <cell r="A35" t="str">
            <v>NIFTY Medium Duration Debt Index A-III</v>
          </cell>
          <cell r="B35" t="str">
            <v>7.15</v>
          </cell>
          <cell r="C35" t="str">
            <v>3.60</v>
          </cell>
          <cell r="D35" t="str">
            <v>4.18</v>
          </cell>
          <cell r="E35" t="str">
            <v>3.43</v>
          </cell>
          <cell r="F35" t="str">
            <v>-1.27</v>
          </cell>
          <cell r="G35" t="str">
            <v>-0.37</v>
          </cell>
          <cell r="H35" t="str">
            <v>0.82</v>
          </cell>
          <cell r="I35" t="str">
            <v>4.73</v>
          </cell>
          <cell r="J35" t="str">
            <v>6.97</v>
          </cell>
          <cell r="K35" t="str">
            <v>5.68</v>
          </cell>
        </row>
        <row r="36">
          <cell r="A36" t="str">
            <v>NIFTY Medium Duration Debt Index B-III</v>
          </cell>
          <cell r="B36" t="str">
            <v>7.97</v>
          </cell>
          <cell r="C36" t="str">
            <v>3.79</v>
          </cell>
          <cell r="D36" t="str">
            <v>4.74</v>
          </cell>
          <cell r="E36" t="str">
            <v>3.52</v>
          </cell>
          <cell r="F36" t="str">
            <v>-0.91</v>
          </cell>
          <cell r="G36" t="str">
            <v>-0.63</v>
          </cell>
          <cell r="H36" t="str">
            <v>0.27</v>
          </cell>
          <cell r="I36" t="str">
            <v>3.50</v>
          </cell>
          <cell r="J36" t="str">
            <v>6.44</v>
          </cell>
          <cell r="K36" t="str">
            <v>6.08</v>
          </cell>
        </row>
        <row r="37">
          <cell r="A37" t="str">
            <v>NIFTY Medium Duration Debt Index C-III</v>
          </cell>
          <cell r="B37" t="str">
            <v>8.99</v>
          </cell>
          <cell r="C37" t="str">
            <v>3.76</v>
          </cell>
          <cell r="D37" t="str">
            <v>4.39</v>
          </cell>
          <cell r="E37" t="str">
            <v>3.52</v>
          </cell>
          <cell r="F37" t="str">
            <v>-0.90</v>
          </cell>
          <cell r="G37" t="str">
            <v>-0.44</v>
          </cell>
          <cell r="H37" t="str">
            <v>0.43</v>
          </cell>
          <cell r="I37" t="str">
            <v>2.71</v>
          </cell>
          <cell r="J37" t="str">
            <v>6.52</v>
          </cell>
          <cell r="K37" t="str">
            <v>6.60</v>
          </cell>
        </row>
        <row r="38">
          <cell r="A38" t="str">
            <v>NIFTY Medium to Long Duration Debt Index A-III</v>
          </cell>
          <cell r="B38" t="str">
            <v>7.29</v>
          </cell>
          <cell r="C38" t="str">
            <v>5.97</v>
          </cell>
          <cell r="D38" t="str">
            <v>7.89</v>
          </cell>
          <cell r="E38" t="str">
            <v>5.70</v>
          </cell>
          <cell r="F38" t="str">
            <v>-1.41</v>
          </cell>
          <cell r="G38" t="str">
            <v>-0.81</v>
          </cell>
          <cell r="H38" t="str">
            <v>0.31</v>
          </cell>
          <cell r="I38" t="str">
            <v>3.22</v>
          </cell>
          <cell r="J38" t="str">
            <v>6.79</v>
          </cell>
          <cell r="K38" t="str">
            <v>5.62</v>
          </cell>
        </row>
        <row r="39">
          <cell r="A39" t="str">
            <v>NIFTY Medium to Long Duration Debt Index B-III</v>
          </cell>
          <cell r="B39" t="str">
            <v>8.14</v>
          </cell>
          <cell r="C39" t="str">
            <v>5.59</v>
          </cell>
          <cell r="D39" t="str">
            <v>7.44</v>
          </cell>
          <cell r="E39" t="str">
            <v>5.19</v>
          </cell>
          <cell r="F39" t="str">
            <v>-1.25</v>
          </cell>
          <cell r="G39" t="str">
            <v>-1.44</v>
          </cell>
          <cell r="H39" t="str">
            <v>-0.97</v>
          </cell>
          <cell r="I39" t="str">
            <v>1.02</v>
          </cell>
          <cell r="J39" t="str">
            <v>5.39</v>
          </cell>
          <cell r="K39" t="str">
            <v>5.78</v>
          </cell>
        </row>
        <row r="40">
          <cell r="A40" t="str">
            <v>NIFTY Medium to Long Duration Debt Index C-III</v>
          </cell>
          <cell r="B40" t="str">
            <v>9.56</v>
          </cell>
          <cell r="C40" t="str">
            <v>5.29</v>
          </cell>
          <cell r="D40" t="str">
            <v>6.97</v>
          </cell>
          <cell r="E40" t="str">
            <v>4.97</v>
          </cell>
          <cell r="F40" t="str">
            <v>-1.25</v>
          </cell>
          <cell r="G40" t="str">
            <v>-1.13</v>
          </cell>
          <cell r="H40" t="str">
            <v>-1.51</v>
          </cell>
          <cell r="I40" t="str">
            <v>-1.15</v>
          </cell>
          <cell r="J40" t="str">
            <v>4.08</v>
          </cell>
          <cell r="K40" t="str">
            <v>5.42</v>
          </cell>
        </row>
        <row r="41">
          <cell r="A41" t="str">
            <v>NIFTY Long Duration Debt Index A-III</v>
          </cell>
          <cell r="B41" t="str">
            <v>7.73</v>
          </cell>
          <cell r="C41" t="str">
            <v>9.81</v>
          </cell>
          <cell r="D41" t="str">
            <v>21.47</v>
          </cell>
          <cell r="E41" t="str">
            <v>9.34</v>
          </cell>
          <cell r="F41" t="str">
            <v>-3.03</v>
          </cell>
          <cell r="G41" t="str">
            <v>-2.84</v>
          </cell>
          <cell r="H41" t="str">
            <v>-2.25</v>
          </cell>
          <cell r="I41" t="str">
            <v>-2.42</v>
          </cell>
          <cell r="J41" t="str">
            <v>5.35</v>
          </cell>
          <cell r="K41" t="str">
            <v>4.70</v>
          </cell>
        </row>
        <row r="42">
          <cell r="A42" t="str">
            <v>NIFTY Long Duration Debt Index B-III</v>
          </cell>
          <cell r="B42" t="str">
            <v>8.58</v>
          </cell>
          <cell r="C42" t="str">
            <v>8.94</v>
          </cell>
          <cell r="D42" t="str">
            <v>18.48</v>
          </cell>
          <cell r="E42" t="str">
            <v>8.40</v>
          </cell>
          <cell r="F42" t="str">
            <v>-2.54</v>
          </cell>
          <cell r="G42" t="str">
            <v>-2.95</v>
          </cell>
          <cell r="H42" t="str">
            <v>-3.26</v>
          </cell>
          <cell r="I42" t="str">
            <v>-3.41</v>
          </cell>
          <cell r="J42" t="str">
            <v>4.11</v>
          </cell>
          <cell r="K42" t="str">
            <v>4.17</v>
          </cell>
        </row>
        <row r="43">
          <cell r="A43" t="str">
            <v>NIFTY Long Duration Debt Index C-III</v>
          </cell>
          <cell r="B43" t="str">
            <v>9.46</v>
          </cell>
          <cell r="C43" t="str">
            <v>7.13</v>
          </cell>
          <cell r="D43" t="str">
            <v>10.99</v>
          </cell>
          <cell r="E43" t="str">
            <v>6.65</v>
          </cell>
          <cell r="F43" t="str">
            <v>-2.03</v>
          </cell>
          <cell r="G43" t="str">
            <v>-2.84</v>
          </cell>
          <cell r="H43" t="str">
            <v>-4.04</v>
          </cell>
          <cell r="I43" t="str">
            <v>-5.10</v>
          </cell>
          <cell r="J43" t="str">
            <v>1.42</v>
          </cell>
          <cell r="K43" t="str">
            <v>3.22</v>
          </cell>
        </row>
        <row r="44">
          <cell r="A44" t="str">
            <v>NIFTY Corporate Bond Index A-I</v>
          </cell>
          <cell r="B44" t="str">
            <v>7.33</v>
          </cell>
          <cell r="C44" t="str">
            <v>0.62</v>
          </cell>
          <cell r="D44" t="str">
            <v>0.63</v>
          </cell>
          <cell r="E44" t="str">
            <v>0.58</v>
          </cell>
          <cell r="F44" t="str">
            <v>0.45</v>
          </cell>
          <cell r="G44" t="str">
            <v>1.25</v>
          </cell>
          <cell r="H44" t="str">
            <v>2.73</v>
          </cell>
          <cell r="I44" t="str">
            <v>6.42</v>
          </cell>
          <cell r="J44" t="str">
            <v>7.19</v>
          </cell>
          <cell r="K44" t="str">
            <v>6.19</v>
          </cell>
        </row>
        <row r="45">
          <cell r="A45" t="str">
            <v>NIFTY Corporate Bond Index A-II</v>
          </cell>
          <cell r="B45" t="str">
            <v>7.25</v>
          </cell>
          <cell r="C45" t="str">
            <v>2.40</v>
          </cell>
          <cell r="D45" t="str">
            <v>2.63</v>
          </cell>
          <cell r="E45" t="str">
            <v>2.27</v>
          </cell>
          <cell r="F45" t="str">
            <v>-0.54</v>
          </cell>
          <cell r="G45" t="str">
            <v>0.11</v>
          </cell>
          <cell r="H45" t="str">
            <v>1.36</v>
          </cell>
          <cell r="I45" t="str">
            <v>5.29</v>
          </cell>
          <cell r="J45" t="str">
            <v>6.79</v>
          </cell>
          <cell r="K45" t="str">
            <v>5.71</v>
          </cell>
        </row>
        <row r="46">
          <cell r="A46" t="str">
            <v>NIFTY Corporate Bond Index A-III</v>
          </cell>
          <cell r="B46" t="str">
            <v>7.41</v>
          </cell>
          <cell r="C46" t="str">
            <v>2.32</v>
          </cell>
          <cell r="D46" t="str">
            <v>2.53</v>
          </cell>
          <cell r="E46" t="str">
            <v>2.17</v>
          </cell>
          <cell r="F46" t="str">
            <v>-0.34</v>
          </cell>
          <cell r="G46" t="str">
            <v>0.36</v>
          </cell>
          <cell r="H46" t="str">
            <v>1.59</v>
          </cell>
          <cell r="I46" t="str">
            <v>5.70</v>
          </cell>
          <cell r="J46" t="str">
            <v>6.97</v>
          </cell>
          <cell r="K46" t="str">
            <v>5.78</v>
          </cell>
        </row>
        <row r="47">
          <cell r="A47" t="str">
            <v>NIFTY Corporate Bond Index B-I</v>
          </cell>
          <cell r="B47" t="str">
            <v>7.75</v>
          </cell>
          <cell r="C47" t="str">
            <v>0.60</v>
          </cell>
          <cell r="D47" t="str">
            <v>0.61</v>
          </cell>
          <cell r="E47" t="str">
            <v>0.56</v>
          </cell>
          <cell r="F47" t="str">
            <v>0.44</v>
          </cell>
          <cell r="G47" t="str">
            <v>1.30</v>
          </cell>
          <cell r="H47" t="str">
            <v>2.84</v>
          </cell>
          <cell r="I47" t="str">
            <v>6.62</v>
          </cell>
          <cell r="J47" t="str">
            <v>7.43</v>
          </cell>
          <cell r="K47" t="str">
            <v>6.65</v>
          </cell>
        </row>
        <row r="48">
          <cell r="A48" t="str">
            <v>NIFTY Corporate Bond Index B-II</v>
          </cell>
          <cell r="B48" t="str">
            <v>7.86</v>
          </cell>
          <cell r="C48" t="str">
            <v>1.85</v>
          </cell>
          <cell r="D48" t="str">
            <v>1.99</v>
          </cell>
          <cell r="E48" t="str">
            <v>1.73</v>
          </cell>
          <cell r="F48" t="str">
            <v>-0.24</v>
          </cell>
          <cell r="G48" t="str">
            <v>0.52</v>
          </cell>
          <cell r="H48" t="str">
            <v>1.87</v>
          </cell>
          <cell r="I48" t="str">
            <v>5.97</v>
          </cell>
          <cell r="J48" t="str">
            <v>7.20</v>
          </cell>
          <cell r="K48" t="str">
            <v>6.40</v>
          </cell>
        </row>
        <row r="49">
          <cell r="A49" t="str">
            <v>NIFTY Corporate Bond Index B-III</v>
          </cell>
          <cell r="B49" t="str">
            <v>7.87</v>
          </cell>
          <cell r="C49" t="str">
            <v>2.23</v>
          </cell>
          <cell r="D49" t="str">
            <v>2.45</v>
          </cell>
          <cell r="E49" t="str">
            <v>2.08</v>
          </cell>
          <cell r="F49" t="str">
            <v>-0.40</v>
          </cell>
          <cell r="G49" t="str">
            <v>0.30</v>
          </cell>
          <cell r="H49" t="str">
            <v>1.55</v>
          </cell>
          <cell r="I49" t="str">
            <v>5.55</v>
          </cell>
          <cell r="J49" t="str">
            <v>7.04</v>
          </cell>
          <cell r="K49" t="str">
            <v>6.34</v>
          </cell>
        </row>
        <row r="50">
          <cell r="A50" t="str">
            <v>NIFTY Credit Risk Bond Index B-I</v>
          </cell>
          <cell r="B50" t="str">
            <v>8.50</v>
          </cell>
          <cell r="C50" t="str">
            <v>0.83</v>
          </cell>
          <cell r="D50" t="str">
            <v>0.86</v>
          </cell>
          <cell r="E50" t="str">
            <v>0.78</v>
          </cell>
          <cell r="F50" t="str">
            <v>0.38</v>
          </cell>
          <cell r="G50" t="str">
            <v>1.23</v>
          </cell>
          <cell r="H50" t="str">
            <v>2.77</v>
          </cell>
          <cell r="I50" t="str">
            <v>6.65</v>
          </cell>
          <cell r="J50" t="str">
            <v>7.75</v>
          </cell>
          <cell r="K50" t="str">
            <v>7.36</v>
          </cell>
        </row>
        <row r="51">
          <cell r="A51" t="str">
            <v>NIFTY Credit Risk Bond Index B-II</v>
          </cell>
          <cell r="B51" t="str">
            <v>8.20</v>
          </cell>
          <cell r="C51" t="str">
            <v>2.19</v>
          </cell>
          <cell r="D51" t="str">
            <v>2.36</v>
          </cell>
          <cell r="E51" t="str">
            <v>2.07</v>
          </cell>
          <cell r="F51" t="str">
            <v>-0.42</v>
          </cell>
          <cell r="G51" t="str">
            <v>0.41</v>
          </cell>
          <cell r="H51" t="str">
            <v>1.91</v>
          </cell>
          <cell r="I51" t="str">
            <v>5.66</v>
          </cell>
          <cell r="J51" t="str">
            <v>7.45</v>
          </cell>
          <cell r="K51" t="str">
            <v>7.24</v>
          </cell>
        </row>
        <row r="52">
          <cell r="A52" t="str">
            <v>NIFTY Credit Risk Bond Index B-III</v>
          </cell>
          <cell r="B52" t="str">
            <v>8.75</v>
          </cell>
          <cell r="C52" t="str">
            <v>2.10</v>
          </cell>
          <cell r="D52" t="str">
            <v>2.34</v>
          </cell>
          <cell r="E52" t="str">
            <v>1.97</v>
          </cell>
          <cell r="F52" t="str">
            <v>-0.36</v>
          </cell>
          <cell r="G52" t="str">
            <v>0.39</v>
          </cell>
          <cell r="H52" t="str">
            <v>1.75</v>
          </cell>
          <cell r="I52" t="str">
            <v>5.61</v>
          </cell>
          <cell r="J52" t="str">
            <v>7.56</v>
          </cell>
          <cell r="K52" t="str">
            <v>7.35</v>
          </cell>
        </row>
        <row r="53">
          <cell r="A53" t="str">
            <v>NIFTY Credit Risk Bond Index C-I</v>
          </cell>
          <cell r="B53" t="str">
            <v>9.04</v>
          </cell>
          <cell r="C53" t="str">
            <v>0.91</v>
          </cell>
          <cell r="D53" t="str">
            <v>0.97</v>
          </cell>
          <cell r="E53" t="str">
            <v>0.86</v>
          </cell>
          <cell r="F53" t="str">
            <v>0.35</v>
          </cell>
          <cell r="G53" t="str">
            <v>1.18</v>
          </cell>
          <cell r="H53" t="str">
            <v>2.74</v>
          </cell>
          <cell r="I53" t="str">
            <v>6.61</v>
          </cell>
          <cell r="J53" t="str">
            <v>8.03</v>
          </cell>
          <cell r="K53" t="str">
            <v>7.67</v>
          </cell>
        </row>
        <row r="54">
          <cell r="A54" t="str">
            <v>NIFTY Credit Risk Bond Index C-II</v>
          </cell>
          <cell r="B54" t="str">
            <v>9.22</v>
          </cell>
          <cell r="C54" t="str">
            <v>1.47</v>
          </cell>
          <cell r="D54" t="str">
            <v>1.61</v>
          </cell>
          <cell r="E54" t="str">
            <v>1.39</v>
          </cell>
          <cell r="F54" t="str">
            <v>-0.02</v>
          </cell>
          <cell r="G54" t="str">
            <v>0.82</v>
          </cell>
          <cell r="H54" t="str">
            <v>2.31</v>
          </cell>
          <cell r="I54" t="str">
            <v>6.20</v>
          </cell>
          <cell r="J54" t="str">
            <v>8.06</v>
          </cell>
          <cell r="K54" t="str">
            <v>7.74</v>
          </cell>
        </row>
        <row r="55">
          <cell r="A55" t="str">
            <v>NIFTY Credit Risk Bond Index C-III</v>
          </cell>
          <cell r="B55" t="str">
            <v>9.39</v>
          </cell>
          <cell r="C55" t="str">
            <v>1.98</v>
          </cell>
          <cell r="D55" t="str">
            <v>2.24</v>
          </cell>
          <cell r="E55" t="str">
            <v>1.87</v>
          </cell>
          <cell r="F55" t="str">
            <v>-0.26</v>
          </cell>
          <cell r="G55" t="str">
            <v>0.49</v>
          </cell>
          <cell r="H55" t="str">
            <v>1.80</v>
          </cell>
          <cell r="I55" t="str">
            <v>5.40</v>
          </cell>
          <cell r="J55" t="str">
            <v>7.93</v>
          </cell>
          <cell r="K55" t="str">
            <v>7.90</v>
          </cell>
        </row>
        <row r="56">
          <cell r="A56" t="str">
            <v>NIFTY Banking &amp; PSU Debt Index A-I</v>
          </cell>
          <cell r="B56" t="str">
            <v>7.21</v>
          </cell>
          <cell r="C56" t="str">
            <v>0.47</v>
          </cell>
          <cell r="D56" t="str">
            <v>0.47</v>
          </cell>
          <cell r="E56" t="str">
            <v>0.44</v>
          </cell>
          <cell r="F56" t="str">
            <v>0.44</v>
          </cell>
          <cell r="G56" t="str">
            <v>1.34</v>
          </cell>
          <cell r="H56" t="str">
            <v>2.80</v>
          </cell>
          <cell r="I56" t="str">
            <v>6.40</v>
          </cell>
          <cell r="J56" t="str">
            <v>7.11</v>
          </cell>
          <cell r="K56" t="str">
            <v>6.03</v>
          </cell>
        </row>
        <row r="57">
          <cell r="A57" t="str">
            <v>NIFTY Banking &amp; PSU Debt Index A-II</v>
          </cell>
          <cell r="B57" t="str">
            <v>7.20</v>
          </cell>
          <cell r="C57" t="str">
            <v>1.86</v>
          </cell>
          <cell r="D57" t="str">
            <v>2.05</v>
          </cell>
          <cell r="E57" t="str">
            <v>1.76</v>
          </cell>
          <cell r="F57" t="str">
            <v>-0.37</v>
          </cell>
          <cell r="G57" t="str">
            <v>0.40</v>
          </cell>
          <cell r="H57" t="str">
            <v>1.71</v>
          </cell>
          <cell r="I57" t="str">
            <v>5.61</v>
          </cell>
          <cell r="J57" t="str">
            <v>6.87</v>
          </cell>
          <cell r="K57" t="str">
            <v>5.68</v>
          </cell>
        </row>
        <row r="58">
          <cell r="A58" t="str">
            <v>NIFTY Banking &amp; PSU Debt Index A-III</v>
          </cell>
          <cell r="B58" t="str">
            <v>7.33</v>
          </cell>
          <cell r="C58" t="str">
            <v>2.51</v>
          </cell>
          <cell r="D58" t="str">
            <v>2.85</v>
          </cell>
          <cell r="E58" t="str">
            <v>2.35</v>
          </cell>
          <cell r="F58" t="str">
            <v>-0.51</v>
          </cell>
          <cell r="G58" t="str">
            <v>0.12</v>
          </cell>
          <cell r="H58" t="str">
            <v>1.30</v>
          </cell>
          <cell r="I58" t="str">
            <v>5.12</v>
          </cell>
          <cell r="J58" t="str">
            <v>6.64</v>
          </cell>
          <cell r="K58" t="str">
            <v>5.53</v>
          </cell>
        </row>
        <row r="59">
          <cell r="A59" t="str">
            <v>NIFTY Banking &amp; PSU Debt Index B-I</v>
          </cell>
          <cell r="B59" t="str">
            <v>7.37</v>
          </cell>
          <cell r="C59" t="str">
            <v>0.47</v>
          </cell>
          <cell r="D59" t="str">
            <v>0.47</v>
          </cell>
          <cell r="E59" t="str">
            <v>0.44</v>
          </cell>
          <cell r="F59" t="str">
            <v>0.43</v>
          </cell>
          <cell r="G59" t="str">
            <v>1.35</v>
          </cell>
          <cell r="H59" t="str">
            <v>2.83</v>
          </cell>
          <cell r="I59" t="str">
            <v>6.50</v>
          </cell>
          <cell r="J59" t="str">
            <v>7.20</v>
          </cell>
          <cell r="K59" t="str">
            <v>6.13</v>
          </cell>
        </row>
        <row r="60">
          <cell r="A60" t="str">
            <v>NIFTY Banking &amp; PSU Debt Index B-II</v>
          </cell>
          <cell r="B60" t="str">
            <v>7.63</v>
          </cell>
          <cell r="C60" t="str">
            <v>2.57</v>
          </cell>
          <cell r="D60" t="str">
            <v>2.79</v>
          </cell>
          <cell r="E60" t="str">
            <v>2.40</v>
          </cell>
          <cell r="F60" t="str">
            <v>-0.52</v>
          </cell>
          <cell r="G60" t="str">
            <v>0.31</v>
          </cell>
          <cell r="H60" t="str">
            <v>1.64</v>
          </cell>
          <cell r="I60" t="str">
            <v>5.67</v>
          </cell>
          <cell r="J60" t="str">
            <v>7.09</v>
          </cell>
          <cell r="K60" t="str">
            <v>5.92</v>
          </cell>
        </row>
        <row r="61">
          <cell r="A61" t="str">
            <v>NIFTY Banking &amp; PSU Debt Index B-III</v>
          </cell>
          <cell r="B61" t="str">
            <v>7.64</v>
          </cell>
          <cell r="C61" t="str">
            <v>2.90</v>
          </cell>
          <cell r="D61" t="str">
            <v>3.23</v>
          </cell>
          <cell r="E61" t="str">
            <v>2.71</v>
          </cell>
          <cell r="F61" t="str">
            <v>-0.65</v>
          </cell>
          <cell r="G61" t="str">
            <v>0.15</v>
          </cell>
          <cell r="H61" t="str">
            <v>1.48</v>
          </cell>
          <cell r="I61" t="str">
            <v>5.43</v>
          </cell>
          <cell r="J61" t="str">
            <v>7.05</v>
          </cell>
          <cell r="K61" t="str">
            <v>5.89</v>
          </cell>
        </row>
        <row r="62">
          <cell r="A62" t="str">
            <v>NIFTY Banking &amp; PSU Debt Index C-I</v>
          </cell>
          <cell r="B62" t="str">
            <v>7.77</v>
          </cell>
          <cell r="C62" t="str">
            <v>0.48</v>
          </cell>
          <cell r="D62" t="str">
            <v>0.48</v>
          </cell>
          <cell r="E62" t="str">
            <v>0.44</v>
          </cell>
          <cell r="F62" t="str">
            <v>0.48</v>
          </cell>
          <cell r="G62" t="str">
            <v>1.45</v>
          </cell>
          <cell r="H62" t="str">
            <v>3.02</v>
          </cell>
          <cell r="I62" t="str">
            <v>6.87</v>
          </cell>
          <cell r="J62" t="str">
            <v>7.52</v>
          </cell>
          <cell r="K62" t="str">
            <v>6.39</v>
          </cell>
        </row>
        <row r="63">
          <cell r="A63" t="str">
            <v>NIFTY Banking &amp; PSU Debt Index C-II</v>
          </cell>
          <cell r="B63" t="str">
            <v>9.13</v>
          </cell>
          <cell r="C63" t="str">
            <v>2.59</v>
          </cell>
          <cell r="D63" t="str">
            <v>2.86</v>
          </cell>
          <cell r="E63" t="str">
            <v>2.43</v>
          </cell>
          <cell r="F63" t="str">
            <v>-0.72</v>
          </cell>
          <cell r="G63" t="str">
            <v>0.31</v>
          </cell>
          <cell r="H63" t="str">
            <v>1.60</v>
          </cell>
          <cell r="I63" t="str">
            <v>5.79</v>
          </cell>
          <cell r="J63" t="str">
            <v>7.46</v>
          </cell>
          <cell r="K63" t="str">
            <v>6.56</v>
          </cell>
        </row>
        <row r="64">
          <cell r="A64" t="str">
            <v>NIFTY Banking &amp; PSU Debt Index C-III</v>
          </cell>
          <cell r="B64" t="str">
            <v>9.14</v>
          </cell>
          <cell r="C64" t="str">
            <v>3.04</v>
          </cell>
          <cell r="D64" t="str">
            <v>3.40</v>
          </cell>
          <cell r="E64" t="str">
            <v>2.84</v>
          </cell>
          <cell r="F64" t="str">
            <v>-0.91</v>
          </cell>
          <cell r="G64" t="str">
            <v>0.08</v>
          </cell>
          <cell r="H64" t="str">
            <v>1.26</v>
          </cell>
          <cell r="I64" t="str">
            <v>5.25</v>
          </cell>
          <cell r="J64" t="str">
            <v>7.34</v>
          </cell>
          <cell r="K64" t="str">
            <v>6.49</v>
          </cell>
        </row>
        <row r="65">
          <cell r="A65" t="str">
            <v>NIFTY Composite Debt Index A-III</v>
          </cell>
          <cell r="B65" t="str">
            <v>7.15</v>
          </cell>
          <cell r="C65" t="str">
            <v>4.36</v>
          </cell>
          <cell r="D65" t="str">
            <v>5.52</v>
          </cell>
          <cell r="E65" t="str">
            <v>4.16</v>
          </cell>
          <cell r="F65" t="str">
            <v>-1.13</v>
          </cell>
          <cell r="G65" t="str">
            <v>-0.41</v>
          </cell>
          <cell r="H65" t="str">
            <v>0.76</v>
          </cell>
          <cell r="I65" t="str">
            <v>4.15</v>
          </cell>
          <cell r="J65" t="str">
            <v>6.90</v>
          </cell>
          <cell r="K65" t="str">
            <v>5.73</v>
          </cell>
        </row>
        <row r="66">
          <cell r="A66" t="str">
            <v>NIFTY Composite Debt Index B-III</v>
          </cell>
          <cell r="B66" t="str">
            <v>7.99</v>
          </cell>
          <cell r="C66" t="str">
            <v>4.63</v>
          </cell>
          <cell r="D66" t="str">
            <v>7.10</v>
          </cell>
          <cell r="E66" t="str">
            <v>4.35</v>
          </cell>
          <cell r="F66" t="str">
            <v>-1.14</v>
          </cell>
          <cell r="G66" t="str">
            <v>-0.79</v>
          </cell>
          <cell r="H66" t="str">
            <v>0.10</v>
          </cell>
          <cell r="I66" t="str">
            <v>2.77</v>
          </cell>
          <cell r="J66" t="str">
            <v>6.25</v>
          </cell>
          <cell r="K66" t="str">
            <v>5.90</v>
          </cell>
        </row>
        <row r="67">
          <cell r="A67" t="str">
            <v>NIFTY Composite Debt Index C-III</v>
          </cell>
          <cell r="B67" t="str">
            <v>9.00</v>
          </cell>
          <cell r="C67" t="str">
            <v>4.18</v>
          </cell>
          <cell r="D67" t="str">
            <v>5.83</v>
          </cell>
          <cell r="E67" t="str">
            <v>3.91</v>
          </cell>
          <cell r="F67" t="str">
            <v>-0.98</v>
          </cell>
          <cell r="G67" t="str">
            <v>-0.78</v>
          </cell>
          <cell r="H67" t="str">
            <v>-0.15</v>
          </cell>
          <cell r="I67" t="str">
            <v>1.87</v>
          </cell>
          <cell r="J67" t="str">
            <v>6.01</v>
          </cell>
          <cell r="K67" t="str">
            <v>6.46</v>
          </cell>
        </row>
        <row r="68">
          <cell r="A68" t="str">
            <v>NIFTY G-Sec Index A-I</v>
          </cell>
          <cell r="B68" t="str">
            <v>5.43</v>
          </cell>
          <cell r="C68" t="str">
            <v>0.38</v>
          </cell>
          <cell r="D68" t="str">
            <v>0.39</v>
          </cell>
          <cell r="E68" t="str">
            <v>0.36</v>
          </cell>
          <cell r="F68" t="str">
            <v>0.42</v>
          </cell>
          <cell r="G68" t="str">
            <v>1.30</v>
          </cell>
          <cell r="H68" t="str">
            <v>2.70</v>
          </cell>
          <cell r="I68" t="str">
            <v>5.94</v>
          </cell>
          <cell r="J68" t="str">
            <v>6.59</v>
          </cell>
          <cell r="K68" t="str">
            <v>5.71</v>
          </cell>
        </row>
        <row r="69">
          <cell r="A69" t="str">
            <v>NIFTY G-Sec Index A-II</v>
          </cell>
          <cell r="B69" t="str">
            <v>6.28</v>
          </cell>
          <cell r="C69" t="str">
            <v>1.83</v>
          </cell>
          <cell r="D69" t="str">
            <v>2.01</v>
          </cell>
          <cell r="E69" t="str">
            <v>1.77</v>
          </cell>
          <cell r="F69" t="str">
            <v>-0.66</v>
          </cell>
          <cell r="G69" t="str">
            <v>0.30</v>
          </cell>
          <cell r="H69" t="str">
            <v>1.69</v>
          </cell>
          <cell r="I69" t="str">
            <v>5.57</v>
          </cell>
          <cell r="J69" t="str">
            <v>6.90</v>
          </cell>
          <cell r="K69" t="str">
            <v>5.75</v>
          </cell>
        </row>
        <row r="70">
          <cell r="A70" t="str">
            <v>NIFTY G-Sec Index A-III</v>
          </cell>
          <cell r="B70" t="str">
            <v>7.18</v>
          </cell>
          <cell r="C70" t="str">
            <v>6.43</v>
          </cell>
          <cell r="D70" t="str">
            <v>12.84</v>
          </cell>
          <cell r="E70" t="str">
            <v>6.21</v>
          </cell>
          <cell r="F70" t="str">
            <v>-2.32</v>
          </cell>
          <cell r="G70" t="str">
            <v>-1.38</v>
          </cell>
          <cell r="H70" t="str">
            <v>-0.27</v>
          </cell>
          <cell r="I70" t="str">
            <v>1.99</v>
          </cell>
          <cell r="J70" t="str">
            <v>6.76</v>
          </cell>
          <cell r="K70" t="str">
            <v>5.76</v>
          </cell>
        </row>
      </sheetData>
      <sheetData sheetId="9" refreshError="1"/>
      <sheetData sheetId="10">
        <row r="2">
          <cell r="C2" t="str">
            <v>Index</v>
          </cell>
          <cell r="D2" t="str">
            <v>Statistics</v>
          </cell>
          <cell r="H2" t="str">
            <v>Index Return (%)</v>
          </cell>
        </row>
        <row r="3">
          <cell r="A3" t="str">
            <v>Index Name</v>
          </cell>
          <cell r="B3" t="str">
            <v>Yield (%)</v>
          </cell>
          <cell r="C3" t="str">
            <v>Mac D(yrs)</v>
          </cell>
          <cell r="D3" t="str">
            <v>Maturity(yrs)</v>
          </cell>
          <cell r="E3" t="str">
            <v>Mod D(yrs)</v>
          </cell>
          <cell r="F3" t="str">
            <v>1 M</v>
          </cell>
          <cell r="G3" t="str">
            <v>3 M</v>
          </cell>
          <cell r="H3" t="str">
            <v>6 M</v>
          </cell>
          <cell r="I3" t="str">
            <v>1 Y</v>
          </cell>
          <cell r="J3" t="str">
            <v>3 Y</v>
          </cell>
          <cell r="K3" t="str">
            <v>5 Y</v>
          </cell>
        </row>
        <row r="4">
          <cell r="A4" t="str">
            <v>Aggregate Indices</v>
          </cell>
        </row>
        <row r="5">
          <cell r="A5" t="str">
            <v>NIFTY Liquid Index</v>
          </cell>
          <cell r="B5" t="str">
            <v>7.34</v>
          </cell>
          <cell r="C5" t="str">
            <v>0.11</v>
          </cell>
          <cell r="D5" t="str">
            <v>0.11</v>
          </cell>
          <cell r="E5" t="str">
            <v>0.10</v>
          </cell>
          <cell r="F5" t="str">
            <v>0.54</v>
          </cell>
          <cell r="G5" t="str">
            <v>1.53</v>
          </cell>
          <cell r="H5" t="str">
            <v>3.07</v>
          </cell>
          <cell r="I5" t="str">
            <v>6.37</v>
          </cell>
          <cell r="J5" t="str">
            <v>7.02</v>
          </cell>
          <cell r="K5" t="str">
            <v>6.09</v>
          </cell>
        </row>
        <row r="6">
          <cell r="A6" t="str">
            <v>NIFTY Ultra Short Duration Debt Index</v>
          </cell>
          <cell r="B6" t="str">
            <v>7.69</v>
          </cell>
          <cell r="C6" t="str">
            <v>0.34</v>
          </cell>
          <cell r="D6" t="str">
            <v>0.34</v>
          </cell>
          <cell r="E6" t="str">
            <v>0.31</v>
          </cell>
          <cell r="F6" t="str">
            <v>0.52</v>
          </cell>
          <cell r="G6" t="str">
            <v>1.46</v>
          </cell>
          <cell r="H6" t="str">
            <v>3.05</v>
          </cell>
          <cell r="I6" t="str">
            <v>6.79</v>
          </cell>
          <cell r="J6" t="str">
            <v>7.52</v>
          </cell>
          <cell r="K6" t="str">
            <v>6.54</v>
          </cell>
        </row>
        <row r="7">
          <cell r="A7" t="str">
            <v>NIFTY Money Market Index</v>
          </cell>
          <cell r="B7" t="str">
            <v>7.36</v>
          </cell>
          <cell r="C7" t="str">
            <v>0.38</v>
          </cell>
          <cell r="D7" t="str">
            <v>0.39</v>
          </cell>
          <cell r="E7" t="str">
            <v>0.36</v>
          </cell>
          <cell r="F7" t="str">
            <v>0.48</v>
          </cell>
          <cell r="G7" t="str">
            <v>1.45</v>
          </cell>
          <cell r="H7" t="str">
            <v>3.00</v>
          </cell>
          <cell r="I7" t="str">
            <v>6.65</v>
          </cell>
          <cell r="J7" t="str">
            <v>7.31</v>
          </cell>
          <cell r="K7" t="str">
            <v>6.26</v>
          </cell>
        </row>
        <row r="8">
          <cell r="A8" t="str">
            <v>NIFTY Low Duration Debt Index</v>
          </cell>
          <cell r="B8" t="str">
            <v>7.59</v>
          </cell>
          <cell r="C8" t="str">
            <v>0.70</v>
          </cell>
          <cell r="D8" t="str">
            <v>0.71</v>
          </cell>
          <cell r="E8" t="str">
            <v>0.66</v>
          </cell>
          <cell r="F8" t="str">
            <v>0.37</v>
          </cell>
          <cell r="G8" t="str">
            <v>1.22</v>
          </cell>
          <cell r="H8" t="str">
            <v>2.71</v>
          </cell>
          <cell r="I8" t="str">
            <v>6.55</v>
          </cell>
          <cell r="J8" t="str">
            <v>7.34</v>
          </cell>
          <cell r="K8" t="str">
            <v>6.29</v>
          </cell>
        </row>
        <row r="9">
          <cell r="A9" t="str">
            <v>NIFTY Short Duration Debt Index</v>
          </cell>
          <cell r="B9" t="str">
            <v>7.51</v>
          </cell>
          <cell r="C9" t="str">
            <v>1.82</v>
          </cell>
          <cell r="D9" t="str">
            <v>1.95</v>
          </cell>
          <cell r="E9" t="str">
            <v>1.70</v>
          </cell>
          <cell r="F9" t="str">
            <v>-0.21</v>
          </cell>
          <cell r="G9" t="str">
            <v>0.58</v>
          </cell>
          <cell r="H9" t="str">
            <v>1.92</v>
          </cell>
          <cell r="I9" t="str">
            <v>6.00</v>
          </cell>
          <cell r="J9" t="str">
            <v>7.13</v>
          </cell>
          <cell r="K9" t="str">
            <v>6.08</v>
          </cell>
        </row>
        <row r="10">
          <cell r="A10" t="str">
            <v>NIFTY Credit Risk Bond Index</v>
          </cell>
          <cell r="B10" t="str">
            <v>9.05</v>
          </cell>
          <cell r="C10" t="str">
            <v>1.85</v>
          </cell>
          <cell r="D10" t="str">
            <v>2.04</v>
          </cell>
          <cell r="E10" t="str">
            <v>1.74</v>
          </cell>
          <cell r="F10" t="str">
            <v>-0.15</v>
          </cell>
          <cell r="G10" t="str">
            <v>0.66</v>
          </cell>
          <cell r="H10" t="str">
            <v>2.09</v>
          </cell>
          <cell r="I10" t="str">
            <v>5.99</v>
          </cell>
          <cell r="J10" t="str">
            <v>7.86</v>
          </cell>
          <cell r="K10" t="str">
            <v>7.64</v>
          </cell>
        </row>
        <row r="11">
          <cell r="A11" t="str">
            <v>NIFTY Corporate Bond Index</v>
          </cell>
          <cell r="B11" t="str">
            <v>7.81</v>
          </cell>
          <cell r="C11" t="str">
            <v>2.38</v>
          </cell>
          <cell r="D11" t="str">
            <v>2.63</v>
          </cell>
          <cell r="E11" t="str">
            <v>2.22</v>
          </cell>
          <cell r="F11" t="str">
            <v>-0.32</v>
          </cell>
          <cell r="G11" t="str">
            <v>0.35</v>
          </cell>
          <cell r="H11" t="str">
            <v>1.63</v>
          </cell>
          <cell r="I11" t="str">
            <v>5.65</v>
          </cell>
          <cell r="J11" t="str">
            <v>7.08</v>
          </cell>
          <cell r="K11" t="str">
            <v>6.10</v>
          </cell>
        </row>
        <row r="12">
          <cell r="A12" t="str">
            <v>NIFTY Banking &amp; PSU Debt Index</v>
          </cell>
          <cell r="B12" t="str">
            <v>7.56</v>
          </cell>
          <cell r="C12" t="str">
            <v>2.77</v>
          </cell>
          <cell r="D12" t="str">
            <v>3.33</v>
          </cell>
          <cell r="E12" t="str">
            <v>2.58</v>
          </cell>
          <cell r="F12" t="str">
            <v>-0.37</v>
          </cell>
          <cell r="G12" t="str">
            <v>0.33</v>
          </cell>
          <cell r="H12" t="str">
            <v>1.73</v>
          </cell>
          <cell r="I12" t="str">
            <v>5.66</v>
          </cell>
          <cell r="J12" t="str">
            <v>7.04</v>
          </cell>
          <cell r="K12" t="str">
            <v>5.94</v>
          </cell>
        </row>
        <row r="13">
          <cell r="A13" t="str">
            <v>NIFTY Medium Duration Debt Index</v>
          </cell>
          <cell r="B13" t="str">
            <v>7.46</v>
          </cell>
          <cell r="C13" t="str">
            <v>3.35</v>
          </cell>
          <cell r="D13" t="str">
            <v>3.89</v>
          </cell>
          <cell r="E13" t="str">
            <v>3.15</v>
          </cell>
          <cell r="F13" t="str">
            <v>-0.95</v>
          </cell>
          <cell r="G13" t="str">
            <v>-0.24</v>
          </cell>
          <cell r="H13" t="str">
            <v>0.93</v>
          </cell>
          <cell r="I13" t="str">
            <v>4.74</v>
          </cell>
          <cell r="J13" t="str">
            <v>6.87</v>
          </cell>
          <cell r="K13" t="str">
            <v>5.86</v>
          </cell>
        </row>
        <row r="14">
          <cell r="A14" t="str">
            <v>NIFTY Composite Debt Index</v>
          </cell>
          <cell r="B14" t="str">
            <v>7.56</v>
          </cell>
          <cell r="C14" t="str">
            <v>5.23</v>
          </cell>
          <cell r="D14" t="str">
            <v>8.60</v>
          </cell>
          <cell r="E14" t="str">
            <v>4.97</v>
          </cell>
          <cell r="F14" t="str">
            <v>-1.37</v>
          </cell>
          <cell r="G14" t="str">
            <v>-0.88</v>
          </cell>
          <cell r="H14" t="str">
            <v>-0.06</v>
          </cell>
          <cell r="I14" t="str">
            <v>2.42</v>
          </cell>
          <cell r="J14" t="str">
            <v>6.41</v>
          </cell>
          <cell r="K14" t="str">
            <v>5.61</v>
          </cell>
        </row>
        <row r="15">
          <cell r="A15" t="str">
            <v>NIFTY Medium to Long Duration Debt Index</v>
          </cell>
          <cell r="B15" t="str">
            <v>7.49</v>
          </cell>
          <cell r="C15" t="str">
            <v>5.76</v>
          </cell>
          <cell r="D15" t="str">
            <v>7.60</v>
          </cell>
          <cell r="E15" t="str">
            <v>5.46</v>
          </cell>
          <cell r="F15" t="str">
            <v>-1.36</v>
          </cell>
          <cell r="G15" t="str">
            <v>-1.04</v>
          </cell>
          <cell r="H15" t="str">
            <v>-0.47</v>
          </cell>
          <cell r="I15" t="str">
            <v>1.79</v>
          </cell>
          <cell r="J15" t="str">
            <v>6.22</v>
          </cell>
          <cell r="K15" t="str">
            <v>5.46</v>
          </cell>
        </row>
        <row r="16">
          <cell r="A16" t="str">
            <v>NIFTY Long Duration Debt Index</v>
          </cell>
          <cell r="B16" t="str">
            <v>7.75</v>
          </cell>
          <cell r="C16" t="str">
            <v>8.56</v>
          </cell>
          <cell r="D16" t="str">
            <v>17.52</v>
          </cell>
          <cell r="E16" t="str">
            <v>8.15</v>
          </cell>
          <cell r="F16" t="str">
            <v>-2.53</v>
          </cell>
          <cell r="G16" t="str">
            <v>-2.37</v>
          </cell>
          <cell r="H16" t="str">
            <v>-2.10</v>
          </cell>
          <cell r="I16" t="str">
            <v>-1.87</v>
          </cell>
          <cell r="J16" t="str">
            <v>5.46</v>
          </cell>
          <cell r="K16" t="str">
            <v>4.99</v>
          </cell>
        </row>
        <row r="17">
          <cell r="A17" t="str">
            <v>NIFTY Banking &amp; PSU Debt Index - A</v>
          </cell>
          <cell r="B17" t="str">
            <v>7.47</v>
          </cell>
          <cell r="C17" t="str">
            <v>2.67</v>
          </cell>
          <cell r="D17" t="str">
            <v>3.22</v>
          </cell>
          <cell r="E17" t="str">
            <v>2.48</v>
          </cell>
          <cell r="F17" t="str">
            <v>-0.36</v>
          </cell>
          <cell r="G17" t="str">
            <v>0.15</v>
          </cell>
          <cell r="H17" t="str">
            <v>1.30</v>
          </cell>
          <cell r="I17" t="str">
            <v>4.76</v>
          </cell>
          <cell r="J17" t="str">
            <v>6.53</v>
          </cell>
          <cell r="K17" t="str">
            <v>5.50</v>
          </cell>
        </row>
        <row r="18">
          <cell r="A18" t="str">
            <v>NIFTY Banking &amp; PSU Debt Index - B</v>
          </cell>
          <cell r="B18" t="str">
            <v>7.75</v>
          </cell>
          <cell r="C18" t="str">
            <v>2.95</v>
          </cell>
          <cell r="D18" t="str">
            <v>3.50</v>
          </cell>
          <cell r="E18" t="str">
            <v>2.73</v>
          </cell>
          <cell r="F18" t="str">
            <v>-0.52</v>
          </cell>
          <cell r="G18" t="str">
            <v>0.22</v>
          </cell>
          <cell r="H18" t="str">
            <v>1.57</v>
          </cell>
          <cell r="I18" t="str">
            <v>5.22</v>
          </cell>
          <cell r="J18" t="str">
            <v>6.96</v>
          </cell>
          <cell r="K18" t="str">
            <v>5.91</v>
          </cell>
        </row>
        <row r="19">
          <cell r="A19" t="str">
            <v>NIFTY Banking &amp; PSU Debt Index - C</v>
          </cell>
          <cell r="B19" t="str">
            <v>9.04</v>
          </cell>
          <cell r="C19" t="str">
            <v>2.91</v>
          </cell>
          <cell r="D19" t="str">
            <v>3.30</v>
          </cell>
          <cell r="E19" t="str">
            <v>2.71</v>
          </cell>
          <cell r="F19" t="str">
            <v>-0.73</v>
          </cell>
          <cell r="G19" t="str">
            <v>0.20</v>
          </cell>
          <cell r="H19" t="str">
            <v>1.34</v>
          </cell>
          <cell r="I19" t="str">
            <v>5.06</v>
          </cell>
          <cell r="J19" t="str">
            <v>7.33</v>
          </cell>
          <cell r="K19" t="str">
            <v>6.47</v>
          </cell>
        </row>
        <row r="20">
          <cell r="A20" t="str">
            <v>G-Sec Indices</v>
          </cell>
        </row>
        <row r="21">
          <cell r="A21" t="str">
            <v>NIFTY Ultra Short Duration G-Sec Index</v>
          </cell>
          <cell r="B21" t="str">
            <v>5.54</v>
          </cell>
          <cell r="C21" t="str">
            <v>0.38</v>
          </cell>
          <cell r="D21" t="str">
            <v>0.38</v>
          </cell>
          <cell r="E21" t="str">
            <v>0.36</v>
          </cell>
          <cell r="F21" t="str">
            <v>0.42</v>
          </cell>
          <cell r="G21" t="str">
            <v>1.32</v>
          </cell>
          <cell r="H21" t="str">
            <v>2.72</v>
          </cell>
          <cell r="I21" t="str">
            <v>5.86</v>
          </cell>
          <cell r="J21" t="str">
            <v>6.60</v>
          </cell>
          <cell r="K21" t="str">
            <v>5.79</v>
          </cell>
        </row>
        <row r="22">
          <cell r="A22" t="str">
            <v>NIFTY Low Duration G-Sec Index</v>
          </cell>
          <cell r="B22" t="str">
            <v>5.91</v>
          </cell>
          <cell r="C22" t="str">
            <v>0.72</v>
          </cell>
          <cell r="D22" t="str">
            <v>0.74</v>
          </cell>
          <cell r="E22" t="str">
            <v>0.70</v>
          </cell>
          <cell r="F22" t="str">
            <v>0.22</v>
          </cell>
          <cell r="G22" t="str">
            <v>1.11</v>
          </cell>
          <cell r="H22" t="str">
            <v>2.46</v>
          </cell>
          <cell r="I22" t="str">
            <v>5.99</v>
          </cell>
          <cell r="J22" t="str">
            <v>6.81</v>
          </cell>
          <cell r="K22" t="str">
            <v>5.77</v>
          </cell>
        </row>
        <row r="23">
          <cell r="A23" t="str">
            <v>NIFTY Short Duration G-Sec Index</v>
          </cell>
          <cell r="B23" t="str">
            <v>6.56</v>
          </cell>
          <cell r="C23" t="str">
            <v>2.41</v>
          </cell>
          <cell r="D23" t="str">
            <v>2.66</v>
          </cell>
          <cell r="E23" t="str">
            <v>2.33</v>
          </cell>
          <cell r="F23" t="str">
            <v>-1.09</v>
          </cell>
          <cell r="G23" t="str">
            <v>-0.11</v>
          </cell>
          <cell r="H23" t="str">
            <v>1.29</v>
          </cell>
          <cell r="I23" t="str">
            <v>5.42</v>
          </cell>
          <cell r="J23" t="str">
            <v>6.99</v>
          </cell>
          <cell r="K23" t="str">
            <v>5.75</v>
          </cell>
        </row>
        <row r="24">
          <cell r="A24" t="str">
            <v>NIFTY Medium Duration G-Sec Index</v>
          </cell>
          <cell r="B24" t="str">
            <v>6.87</v>
          </cell>
          <cell r="C24" t="str">
            <v>3.67</v>
          </cell>
          <cell r="D24" t="str">
            <v>4.21</v>
          </cell>
          <cell r="E24" t="str">
            <v>3.55</v>
          </cell>
          <cell r="F24" t="str">
            <v>-1.61</v>
          </cell>
          <cell r="G24" t="str">
            <v>-0.41</v>
          </cell>
          <cell r="H24" t="str">
            <v>0.89</v>
          </cell>
          <cell r="I24" t="str">
            <v>4.97</v>
          </cell>
          <cell r="J24" t="str">
            <v>7.23</v>
          </cell>
          <cell r="K24" t="str">
            <v>6.02</v>
          </cell>
        </row>
        <row r="25">
          <cell r="A25" t="str">
            <v>NIFTY Medium to Long Duration G-Sec Index</v>
          </cell>
          <cell r="B25" t="str">
            <v>7.08</v>
          </cell>
          <cell r="C25" t="str">
            <v>6.77</v>
          </cell>
          <cell r="D25" t="str">
            <v>9.11</v>
          </cell>
          <cell r="E25" t="str">
            <v>6.55</v>
          </cell>
          <cell r="F25" t="str">
            <v>-1.74</v>
          </cell>
          <cell r="G25" t="str">
            <v>-0.88</v>
          </cell>
          <cell r="H25" t="str">
            <v>0.39</v>
          </cell>
          <cell r="I25" t="str">
            <v>3.19</v>
          </cell>
          <cell r="J25" t="str">
            <v>7.19</v>
          </cell>
          <cell r="K25" t="str">
            <v>5.97</v>
          </cell>
        </row>
        <row r="26">
          <cell r="A26" t="str">
            <v>NIFTY Long Duration G-Sec Index</v>
          </cell>
          <cell r="B26" t="str">
            <v>7.80</v>
          </cell>
          <cell r="C26" t="str">
            <v>11.07</v>
          </cell>
          <cell r="D26" t="str">
            <v>27.99</v>
          </cell>
          <cell r="E26" t="str">
            <v>10.66</v>
          </cell>
          <cell r="F26" t="str">
            <v>-3.75</v>
          </cell>
          <cell r="G26" t="str">
            <v>-3.12</v>
          </cell>
          <cell r="H26" t="str">
            <v>-2.36</v>
          </cell>
          <cell r="I26" t="str">
            <v>-3.03</v>
          </cell>
          <cell r="J26" t="str">
            <v>5.95</v>
          </cell>
          <cell r="K26" t="str">
            <v>5.33</v>
          </cell>
        </row>
        <row r="27">
          <cell r="A27" t="str">
            <v>NIFTY All Duration G-Sec Index</v>
          </cell>
          <cell r="B27" t="str">
            <v>7.29</v>
          </cell>
          <cell r="C27" t="str">
            <v>7.69</v>
          </cell>
          <cell r="D27" t="str">
            <v>15.56</v>
          </cell>
          <cell r="E27" t="str">
            <v>7.42</v>
          </cell>
          <cell r="F27" t="str">
            <v>-2.48</v>
          </cell>
          <cell r="G27" t="str">
            <v>-1.67</v>
          </cell>
          <cell r="H27" t="str">
            <v>-0.60</v>
          </cell>
          <cell r="I27" t="str">
            <v>1.00</v>
          </cell>
          <cell r="J27" t="str">
            <v>6.59</v>
          </cell>
          <cell r="K27" t="str">
            <v>5.64</v>
          </cell>
        </row>
        <row r="28">
          <cell r="A28" t="str">
            <v>SDL Index</v>
          </cell>
        </row>
        <row r="29">
          <cell r="A29" t="str">
            <v>NIFTY 10 Year SDL Index</v>
          </cell>
          <cell r="B29" t="str">
            <v>7.74</v>
          </cell>
          <cell r="C29" t="str">
            <v>6.99</v>
          </cell>
          <cell r="D29" t="str">
            <v>9.73</v>
          </cell>
          <cell r="E29" t="str">
            <v>6.73</v>
          </cell>
          <cell r="F29" t="str">
            <v>-2.13</v>
          </cell>
          <cell r="G29" t="str">
            <v>-2.77</v>
          </cell>
          <cell r="H29" t="str">
            <v>-6.18</v>
          </cell>
          <cell r="I29" t="str">
            <v>-8.92</v>
          </cell>
          <cell r="J29" t="str">
            <v>3.04</v>
          </cell>
          <cell r="K29" t="str">
            <v>3.58</v>
          </cell>
        </row>
        <row r="30">
          <cell r="A30" t="str">
            <v>NIFTY 3 Year SDL Index</v>
          </cell>
          <cell r="B30" t="str">
            <v>7.14</v>
          </cell>
          <cell r="C30" t="str">
            <v>2.67</v>
          </cell>
          <cell r="D30" t="str">
            <v>3.01</v>
          </cell>
          <cell r="E30" t="str">
            <v>2.58</v>
          </cell>
          <cell r="F30" t="str">
            <v>-0.73</v>
          </cell>
          <cell r="G30" t="str">
            <v>0.28</v>
          </cell>
          <cell r="H30" t="str">
            <v>1.79</v>
          </cell>
          <cell r="I30" t="str">
            <v>5.28</v>
          </cell>
          <cell r="J30" t="str">
            <v>7.16</v>
          </cell>
          <cell r="K30" t="str">
            <v>6.06</v>
          </cell>
        </row>
        <row r="31">
          <cell r="A31" t="str">
            <v>NIFTY 5 Year SDL Index</v>
          </cell>
          <cell r="B31" t="str">
            <v>7.50</v>
          </cell>
          <cell r="C31" t="str">
            <v>4.44</v>
          </cell>
          <cell r="D31" t="str">
            <v>5.32</v>
          </cell>
          <cell r="E31" t="str">
            <v>4.28</v>
          </cell>
          <cell r="F31" t="str">
            <v>-1.18</v>
          </cell>
          <cell r="G31" t="str">
            <v>0.51</v>
          </cell>
          <cell r="H31" t="str">
            <v>1.37</v>
          </cell>
          <cell r="I31" t="str">
            <v>4.49</v>
          </cell>
          <cell r="J31" t="str">
            <v>7.18</v>
          </cell>
          <cell r="K31" t="str">
            <v>6.36</v>
          </cell>
        </row>
        <row r="32">
          <cell r="A32" t="str">
            <v>Money Market Indicies</v>
          </cell>
        </row>
        <row r="33">
          <cell r="A33" t="str">
            <v>NIFTY 1 Month CP Index</v>
          </cell>
          <cell r="B33" t="str">
            <v>8.27</v>
          </cell>
          <cell r="C33" t="str">
            <v>0.12</v>
          </cell>
          <cell r="D33" t="str">
            <v>0.12</v>
          </cell>
          <cell r="E33" t="str">
            <v>0.11</v>
          </cell>
          <cell r="F33" t="str">
            <v>0.63</v>
          </cell>
          <cell r="G33" t="str">
            <v>1.73</v>
          </cell>
          <cell r="H33" t="str">
            <v>3.41</v>
          </cell>
          <cell r="I33" t="str">
            <v>6.89</v>
          </cell>
          <cell r="J33" t="str">
            <v>7.43</v>
          </cell>
          <cell r="K33" t="str">
            <v>6.40</v>
          </cell>
        </row>
        <row r="34">
          <cell r="A34" t="str">
            <v>NIFTY 1 Month CP Index - A</v>
          </cell>
          <cell r="B34" t="str">
            <v>7.98</v>
          </cell>
          <cell r="C34" t="str">
            <v>0.12</v>
          </cell>
          <cell r="D34" t="str">
            <v>0.13</v>
          </cell>
          <cell r="E34" t="str">
            <v>0.11</v>
          </cell>
          <cell r="F34" t="str">
            <v>0.61</v>
          </cell>
          <cell r="G34" t="str">
            <v>1.66</v>
          </cell>
          <cell r="H34" t="str">
            <v>3.25</v>
          </cell>
          <cell r="I34" t="str">
            <v>6.61</v>
          </cell>
          <cell r="J34" t="str">
            <v>7.21</v>
          </cell>
          <cell r="K34" t="str">
            <v>6.20</v>
          </cell>
        </row>
        <row r="35">
          <cell r="A35" t="str">
            <v>NIFTY 1 Month CP Index - B</v>
          </cell>
          <cell r="B35" t="str">
            <v>8.43</v>
          </cell>
          <cell r="C35" t="str">
            <v>0.12</v>
          </cell>
          <cell r="D35" t="str">
            <v>0.13</v>
          </cell>
          <cell r="E35" t="str">
            <v>0.11</v>
          </cell>
          <cell r="F35" t="str">
            <v>0.64</v>
          </cell>
          <cell r="G35" t="str">
            <v>1.75</v>
          </cell>
          <cell r="H35" t="str">
            <v>3.46</v>
          </cell>
          <cell r="I35" t="str">
            <v>7.05</v>
          </cell>
          <cell r="J35" t="str">
            <v>7.55</v>
          </cell>
          <cell r="K35" t="str">
            <v>6.45</v>
          </cell>
        </row>
        <row r="36">
          <cell r="A36" t="str">
            <v>NIFTY 1 Month CP Index - C</v>
          </cell>
          <cell r="B36" t="str">
            <v>9.29</v>
          </cell>
          <cell r="C36" t="str">
            <v>0.12</v>
          </cell>
          <cell r="D36" t="str">
            <v>0.12</v>
          </cell>
          <cell r="E36" t="str">
            <v>0.11</v>
          </cell>
          <cell r="F36" t="str">
            <v>0.71</v>
          </cell>
          <cell r="G36" t="str">
            <v>1.99</v>
          </cell>
          <cell r="H36" t="str">
            <v>3.98</v>
          </cell>
          <cell r="I36" t="str">
            <v>8.09</v>
          </cell>
          <cell r="J36" t="str">
            <v>8.39</v>
          </cell>
          <cell r="K36" t="str">
            <v>7.15</v>
          </cell>
        </row>
        <row r="37">
          <cell r="A37" t="str">
            <v>NIFTY 2 Month CP Index</v>
          </cell>
          <cell r="B37" t="str">
            <v>7.82</v>
          </cell>
          <cell r="C37" t="str">
            <v>0.18</v>
          </cell>
          <cell r="D37" t="str">
            <v>0.18</v>
          </cell>
          <cell r="E37" t="str">
            <v>0.16</v>
          </cell>
          <cell r="F37" t="str">
            <v>0.60</v>
          </cell>
          <cell r="G37" t="str">
            <v>1.70</v>
          </cell>
          <cell r="H37" t="str">
            <v>3.36</v>
          </cell>
          <cell r="I37" t="str">
            <v>6.91</v>
          </cell>
          <cell r="J37" t="str">
            <v>7.43</v>
          </cell>
          <cell r="K37" t="str">
            <v>6.42</v>
          </cell>
        </row>
        <row r="38">
          <cell r="A38" t="str">
            <v>NIFTY 2 Month CP Index - A</v>
          </cell>
          <cell r="B38" t="str">
            <v>7.46</v>
          </cell>
          <cell r="C38" t="str">
            <v>0.18</v>
          </cell>
          <cell r="D38" t="str">
            <v>0.19</v>
          </cell>
          <cell r="E38" t="str">
            <v>0.17</v>
          </cell>
          <cell r="F38" t="str">
            <v>0.57</v>
          </cell>
          <cell r="G38" t="str">
            <v>1.65</v>
          </cell>
          <cell r="H38" t="str">
            <v>3.19</v>
          </cell>
          <cell r="I38" t="str">
            <v>6.62</v>
          </cell>
          <cell r="J38" t="str">
            <v>7.20</v>
          </cell>
          <cell r="K38" t="str">
            <v>6.20</v>
          </cell>
        </row>
        <row r="39">
          <cell r="A39" t="str">
            <v>NIFTY 2 Month CP Index - B</v>
          </cell>
          <cell r="B39" t="str">
            <v>8.01</v>
          </cell>
          <cell r="C39" t="str">
            <v>0.17</v>
          </cell>
          <cell r="D39" t="str">
            <v>0.18</v>
          </cell>
          <cell r="E39" t="str">
            <v>0.16</v>
          </cell>
          <cell r="F39" t="str">
            <v>0.62</v>
          </cell>
          <cell r="G39" t="str">
            <v>1.73</v>
          </cell>
          <cell r="H39" t="str">
            <v>3.41</v>
          </cell>
          <cell r="I39" t="str">
            <v>7.06</v>
          </cell>
          <cell r="J39" t="str">
            <v>7.55</v>
          </cell>
          <cell r="K39" t="str">
            <v>6.46</v>
          </cell>
        </row>
        <row r="40">
          <cell r="A40" t="str">
            <v>NIFTY 2 Month CP Index - C</v>
          </cell>
          <cell r="B40" t="str">
            <v>8.59</v>
          </cell>
          <cell r="C40" t="str">
            <v>0.17</v>
          </cell>
          <cell r="D40" t="str">
            <v>0.17</v>
          </cell>
          <cell r="E40" t="str">
            <v>0.16</v>
          </cell>
          <cell r="F40" t="str">
            <v>0.70</v>
          </cell>
          <cell r="G40" t="str">
            <v>1.95</v>
          </cell>
          <cell r="H40" t="str">
            <v>3.94</v>
          </cell>
          <cell r="I40" t="str">
            <v>8.09</v>
          </cell>
          <cell r="J40" t="str">
            <v>8.39</v>
          </cell>
          <cell r="K40" t="str">
            <v>7.16</v>
          </cell>
        </row>
        <row r="41">
          <cell r="A41" t="str">
            <v>NIFTY 3 Month CP Index</v>
          </cell>
          <cell r="B41" t="str">
            <v>7.91</v>
          </cell>
          <cell r="C41" t="str">
            <v>0.23</v>
          </cell>
          <cell r="D41" t="str">
            <v>0.24</v>
          </cell>
          <cell r="E41" t="str">
            <v>0.22</v>
          </cell>
          <cell r="F41" t="str">
            <v>0.54</v>
          </cell>
          <cell r="G41" t="str">
            <v>1.60</v>
          </cell>
          <cell r="H41" t="str">
            <v>3.30</v>
          </cell>
          <cell r="I41" t="str">
            <v>7.07</v>
          </cell>
          <cell r="J41" t="str">
            <v>7.69</v>
          </cell>
          <cell r="K41" t="str">
            <v>6.59</v>
          </cell>
        </row>
        <row r="42">
          <cell r="A42" t="str">
            <v>NIFTY 3 Month CP Index - A</v>
          </cell>
          <cell r="B42" t="str">
            <v>7.58</v>
          </cell>
          <cell r="C42" t="str">
            <v>0.24</v>
          </cell>
          <cell r="D42" t="str">
            <v>0.25</v>
          </cell>
          <cell r="E42" t="str">
            <v>0.23</v>
          </cell>
          <cell r="F42" t="str">
            <v>0.52</v>
          </cell>
          <cell r="G42" t="str">
            <v>1.53</v>
          </cell>
          <cell r="H42" t="str">
            <v>3.10</v>
          </cell>
          <cell r="I42" t="str">
            <v>6.64</v>
          </cell>
          <cell r="J42" t="str">
            <v>7.35</v>
          </cell>
          <cell r="K42" t="str">
            <v>6.29</v>
          </cell>
        </row>
        <row r="43">
          <cell r="A43" t="str">
            <v>NIFTY 3 Month CP Index - B</v>
          </cell>
          <cell r="B43" t="str">
            <v>7.87</v>
          </cell>
          <cell r="C43" t="str">
            <v>0.23</v>
          </cell>
          <cell r="D43" t="str">
            <v>0.23</v>
          </cell>
          <cell r="E43" t="str">
            <v>0.21</v>
          </cell>
          <cell r="F43" t="str">
            <v>0.55</v>
          </cell>
          <cell r="G43" t="str">
            <v>1.64</v>
          </cell>
          <cell r="H43" t="str">
            <v>3.37</v>
          </cell>
          <cell r="I43" t="str">
            <v>7.16</v>
          </cell>
          <cell r="J43" t="str">
            <v>7.80</v>
          </cell>
          <cell r="K43" t="str">
            <v>6.64</v>
          </cell>
        </row>
        <row r="44">
          <cell r="A44" t="str">
            <v>NIFTY 3 Month CP Index - C</v>
          </cell>
          <cell r="B44" t="str">
            <v>8.60</v>
          </cell>
          <cell r="C44" t="str">
            <v>0.24</v>
          </cell>
          <cell r="D44" t="str">
            <v>0.24</v>
          </cell>
          <cell r="E44" t="str">
            <v>0.22</v>
          </cell>
          <cell r="F44" t="str">
            <v>0.63</v>
          </cell>
          <cell r="G44" t="str">
            <v>1.90</v>
          </cell>
          <cell r="H44" t="str">
            <v>3.92</v>
          </cell>
          <cell r="I44" t="str">
            <v>8.43</v>
          </cell>
          <cell r="J44" t="str">
            <v>8.75</v>
          </cell>
          <cell r="K44" t="str">
            <v>7.40</v>
          </cell>
        </row>
        <row r="45">
          <cell r="A45" t="str">
            <v>NIFTY 6 Month CP Index</v>
          </cell>
          <cell r="B45" t="str">
            <v>8.00</v>
          </cell>
          <cell r="C45" t="str">
            <v>0.50</v>
          </cell>
          <cell r="D45" t="str">
            <v>0.50</v>
          </cell>
          <cell r="E45" t="str">
            <v>0.46</v>
          </cell>
          <cell r="F45" t="str">
            <v>0.55</v>
          </cell>
          <cell r="G45" t="str">
            <v>1.44</v>
          </cell>
          <cell r="H45" t="str">
            <v>3.06</v>
          </cell>
          <cell r="I45" t="str">
            <v>7.04</v>
          </cell>
          <cell r="J45" t="str">
            <v>7.73</v>
          </cell>
          <cell r="K45" t="str">
            <v>6.62</v>
          </cell>
        </row>
        <row r="46">
          <cell r="A46" t="str">
            <v>NIFTY 6 Month CP Index - A</v>
          </cell>
          <cell r="B46" t="str">
            <v>7.64</v>
          </cell>
          <cell r="C46" t="str">
            <v>0.47</v>
          </cell>
          <cell r="D46" t="str">
            <v>0.48</v>
          </cell>
          <cell r="E46" t="str">
            <v>0.44</v>
          </cell>
          <cell r="F46" t="str">
            <v>0.51</v>
          </cell>
          <cell r="G46" t="str">
            <v>1.30</v>
          </cell>
          <cell r="H46" t="str">
            <v>2.81</v>
          </cell>
          <cell r="I46" t="str">
            <v>6.63</v>
          </cell>
          <cell r="J46" t="str">
            <v>7.39</v>
          </cell>
          <cell r="K46" t="str">
            <v>6.31</v>
          </cell>
        </row>
        <row r="47">
          <cell r="A47" t="str">
            <v>NIFTY 6 Month CP Index - B</v>
          </cell>
          <cell r="B47" t="str">
            <v>8.00</v>
          </cell>
          <cell r="C47" t="str">
            <v>0.50</v>
          </cell>
          <cell r="D47" t="str">
            <v>0.50</v>
          </cell>
          <cell r="E47" t="str">
            <v>0.46</v>
          </cell>
          <cell r="F47" t="str">
            <v>0.56</v>
          </cell>
          <cell r="G47" t="str">
            <v>1.48</v>
          </cell>
          <cell r="H47" t="str">
            <v>3.14</v>
          </cell>
          <cell r="I47" t="str">
            <v>7.18</v>
          </cell>
          <cell r="J47" t="str">
            <v>7.91</v>
          </cell>
          <cell r="K47" t="str">
            <v>6.74</v>
          </cell>
        </row>
        <row r="48">
          <cell r="A48" t="str">
            <v>NIFTY 6 Month CP Index - C</v>
          </cell>
          <cell r="B48" t="str">
            <v>8.76</v>
          </cell>
          <cell r="C48" t="str">
            <v>0.48</v>
          </cell>
          <cell r="D48" t="str">
            <v>0.49</v>
          </cell>
          <cell r="E48" t="str">
            <v>0.44</v>
          </cell>
          <cell r="F48" t="str">
            <v>0.58</v>
          </cell>
          <cell r="G48" t="str">
            <v>1.70</v>
          </cell>
          <cell r="H48" t="str">
            <v>3.72</v>
          </cell>
          <cell r="I48" t="str">
            <v>8.38</v>
          </cell>
          <cell r="J48" t="str">
            <v>8.74</v>
          </cell>
          <cell r="K48" t="str">
            <v>7.40</v>
          </cell>
        </row>
        <row r="49">
          <cell r="A49" t="str">
            <v>NIFTY 1 Year CP Index</v>
          </cell>
          <cell r="B49" t="str">
            <v>7.79</v>
          </cell>
          <cell r="C49" t="str">
            <v>0.85</v>
          </cell>
          <cell r="D49" t="str">
            <v>0.86</v>
          </cell>
          <cell r="E49" t="str">
            <v>0.79</v>
          </cell>
          <cell r="F49" t="str">
            <v>0.38</v>
          </cell>
          <cell r="G49" t="str">
            <v>1.25</v>
          </cell>
          <cell r="H49" t="str">
            <v>2.85</v>
          </cell>
          <cell r="I49" t="str">
            <v>6.89</v>
          </cell>
          <cell r="J49" t="str">
            <v>7.61</v>
          </cell>
          <cell r="K49" t="str">
            <v>6.26</v>
          </cell>
        </row>
        <row r="50">
          <cell r="A50" t="str">
            <v>NIFTY 1 Year CP Index - A</v>
          </cell>
          <cell r="B50" t="str">
            <v>7.39</v>
          </cell>
          <cell r="C50" t="str">
            <v>0.85</v>
          </cell>
          <cell r="D50" t="str">
            <v>0.85</v>
          </cell>
          <cell r="E50" t="str">
            <v>0.79</v>
          </cell>
          <cell r="F50" t="str">
            <v>0.29</v>
          </cell>
          <cell r="G50" t="str">
            <v>1.06</v>
          </cell>
          <cell r="H50" t="str">
            <v>2.53</v>
          </cell>
          <cell r="I50" t="str">
            <v>6.36</v>
          </cell>
          <cell r="J50" t="str">
            <v>7.21</v>
          </cell>
          <cell r="K50" t="str">
            <v>5.84</v>
          </cell>
        </row>
        <row r="51">
          <cell r="A51" t="str">
            <v>NIFTY 1 Year CP Index - B</v>
          </cell>
          <cell r="B51" t="str">
            <v>7.81</v>
          </cell>
          <cell r="C51" t="str">
            <v>0.85</v>
          </cell>
          <cell r="D51" t="str">
            <v>0.85</v>
          </cell>
          <cell r="E51" t="str">
            <v>0.79</v>
          </cell>
          <cell r="F51" t="str">
            <v>0.37</v>
          </cell>
          <cell r="G51" t="str">
            <v>1.23</v>
          </cell>
          <cell r="H51" t="str">
            <v>2.82</v>
          </cell>
          <cell r="I51" t="str">
            <v>6.95</v>
          </cell>
          <cell r="J51" t="str">
            <v>7.77</v>
          </cell>
          <cell r="K51" t="str">
            <v>6.34</v>
          </cell>
        </row>
        <row r="52">
          <cell r="A52" t="str">
            <v>NIFTY 1 Year CP Index - C</v>
          </cell>
          <cell r="B52" t="str">
            <v>8.31</v>
          </cell>
          <cell r="C52" t="str">
            <v>0.85</v>
          </cell>
          <cell r="D52" t="str">
            <v>0.85</v>
          </cell>
          <cell r="E52" t="str">
            <v>0.78</v>
          </cell>
          <cell r="F52" t="str">
            <v>0.42</v>
          </cell>
          <cell r="G52" t="str">
            <v>1.44</v>
          </cell>
          <cell r="H52" t="str">
            <v>3.40</v>
          </cell>
          <cell r="I52" t="str">
            <v>7.90</v>
          </cell>
          <cell r="J52" t="str">
            <v>8.35</v>
          </cell>
          <cell r="K52" t="str">
            <v>6.84</v>
          </cell>
        </row>
        <row r="53">
          <cell r="A53" t="str">
            <v>NIFTY All Maturity CP Index</v>
          </cell>
          <cell r="B53" t="str">
            <v>7.93</v>
          </cell>
          <cell r="C53" t="str">
            <v>0.31</v>
          </cell>
          <cell r="D53" t="str">
            <v>0.31</v>
          </cell>
          <cell r="E53" t="str">
            <v>0.28</v>
          </cell>
          <cell r="F53" t="str">
            <v>0.54</v>
          </cell>
          <cell r="G53" t="str">
            <v>1.57</v>
          </cell>
          <cell r="H53" t="str">
            <v>3.25</v>
          </cell>
          <cell r="I53" t="str">
            <v>7.02</v>
          </cell>
          <cell r="J53" t="str">
            <v>7.63</v>
          </cell>
          <cell r="K53" t="str">
            <v>6.52</v>
          </cell>
        </row>
        <row r="54">
          <cell r="A54" t="str">
            <v>NIFTY All Maturity CP Index - A</v>
          </cell>
          <cell r="B54" t="str">
            <v>7.60</v>
          </cell>
          <cell r="C54" t="str">
            <v>0.31</v>
          </cell>
          <cell r="D54" t="str">
            <v>0.31</v>
          </cell>
          <cell r="E54" t="str">
            <v>0.29</v>
          </cell>
          <cell r="F54" t="str">
            <v>0.51</v>
          </cell>
          <cell r="G54" t="str">
            <v>1.48</v>
          </cell>
          <cell r="H54" t="str">
            <v>3.04</v>
          </cell>
          <cell r="I54" t="str">
            <v>6.61</v>
          </cell>
          <cell r="J54" t="str">
            <v>7.30</v>
          </cell>
          <cell r="K54" t="str">
            <v>6.22</v>
          </cell>
        </row>
        <row r="55">
          <cell r="A55" t="str">
            <v>NIFTY All Maturity CP Index - B</v>
          </cell>
          <cell r="B55" t="str">
            <v>7.95</v>
          </cell>
          <cell r="C55" t="str">
            <v>0.30</v>
          </cell>
          <cell r="D55" t="str">
            <v>0.31</v>
          </cell>
          <cell r="E55" t="str">
            <v>0.28</v>
          </cell>
          <cell r="F55" t="str">
            <v>0.55</v>
          </cell>
          <cell r="G55" t="str">
            <v>1.60</v>
          </cell>
          <cell r="H55" t="str">
            <v>3.30</v>
          </cell>
          <cell r="I55" t="str">
            <v>7.12</v>
          </cell>
          <cell r="J55" t="str">
            <v>7.75</v>
          </cell>
          <cell r="K55" t="str">
            <v>6.58</v>
          </cell>
        </row>
        <row r="56">
          <cell r="A56" t="str">
            <v>NIFTY All Maturity CP Index - C</v>
          </cell>
          <cell r="B56" t="str">
            <v>8.66</v>
          </cell>
          <cell r="C56" t="str">
            <v>0.31</v>
          </cell>
          <cell r="D56" t="str">
            <v>0.31</v>
          </cell>
          <cell r="E56" t="str">
            <v>0.28</v>
          </cell>
          <cell r="F56" t="str">
            <v>0.62</v>
          </cell>
          <cell r="G56" t="str">
            <v>1.85</v>
          </cell>
          <cell r="H56" t="str">
            <v>3.86</v>
          </cell>
          <cell r="I56" t="str">
            <v>8.30</v>
          </cell>
          <cell r="J56" t="str">
            <v>8.63</v>
          </cell>
          <cell r="K56" t="str">
            <v>7.29</v>
          </cell>
        </row>
        <row r="57">
          <cell r="A57" t="str">
            <v>NIFTY 1 Month CD Index</v>
          </cell>
          <cell r="B57" t="str">
            <v>8.03</v>
          </cell>
          <cell r="C57" t="str">
            <v>0.11</v>
          </cell>
          <cell r="D57" t="str">
            <v>0.12</v>
          </cell>
          <cell r="E57" t="str">
            <v>0.11</v>
          </cell>
          <cell r="F57" t="str">
            <v>0.62</v>
          </cell>
          <cell r="G57" t="str">
            <v>1.66</v>
          </cell>
          <cell r="H57" t="str">
            <v>3.23</v>
          </cell>
          <cell r="I57" t="str">
            <v>6.60</v>
          </cell>
          <cell r="J57" t="str">
            <v>7.17</v>
          </cell>
          <cell r="K57" t="str">
            <v>6.21</v>
          </cell>
        </row>
        <row r="58">
          <cell r="A58" t="str">
            <v>NIFTY 1 Month CD Index - A</v>
          </cell>
          <cell r="B58" t="str">
            <v>7.98</v>
          </cell>
          <cell r="C58" t="str">
            <v>0.11</v>
          </cell>
          <cell r="D58" t="str">
            <v>0.12</v>
          </cell>
          <cell r="E58" t="str">
            <v>0.10</v>
          </cell>
          <cell r="F58" t="str">
            <v>0.60</v>
          </cell>
          <cell r="G58" t="str">
            <v>1.63</v>
          </cell>
          <cell r="H58" t="str">
            <v>3.19</v>
          </cell>
          <cell r="I58" t="str">
            <v>6.52</v>
          </cell>
          <cell r="J58" t="str">
            <v>7.10</v>
          </cell>
          <cell r="K58" t="str">
            <v>6.08</v>
          </cell>
        </row>
        <row r="59">
          <cell r="A59" t="str">
            <v>NIFTY 1 Month CD Index - B</v>
          </cell>
          <cell r="B59" t="str">
            <v>8.04</v>
          </cell>
          <cell r="C59" t="str">
            <v>0.12</v>
          </cell>
          <cell r="D59" t="str">
            <v>0.12</v>
          </cell>
          <cell r="E59" t="str">
            <v>0.11</v>
          </cell>
          <cell r="F59" t="str">
            <v>0.63</v>
          </cell>
          <cell r="G59" t="str">
            <v>1.68</v>
          </cell>
          <cell r="H59" t="str">
            <v>3.25</v>
          </cell>
          <cell r="I59" t="str">
            <v>6.64</v>
          </cell>
          <cell r="J59" t="str">
            <v>7.18</v>
          </cell>
          <cell r="K59" t="str">
            <v>6.16</v>
          </cell>
        </row>
        <row r="60">
          <cell r="A60" t="str">
            <v>NIFTY 1 Month CD Index - C</v>
          </cell>
          <cell r="B60" t="str">
            <v>8.40</v>
          </cell>
          <cell r="C60" t="str">
            <v>0.12</v>
          </cell>
          <cell r="D60" t="str">
            <v>0.12</v>
          </cell>
          <cell r="E60" t="str">
            <v>0.11</v>
          </cell>
          <cell r="F60" t="str">
            <v>0.65</v>
          </cell>
          <cell r="G60" t="str">
            <v>1.77</v>
          </cell>
          <cell r="H60" t="str">
            <v>3.44</v>
          </cell>
          <cell r="I60" t="str">
            <v>6.99</v>
          </cell>
          <cell r="J60" t="str">
            <v>7.49</v>
          </cell>
          <cell r="K60" t="str">
            <v>6.41</v>
          </cell>
        </row>
        <row r="61">
          <cell r="A61" t="str">
            <v>NIFTY 2 Month CD Index</v>
          </cell>
          <cell r="B61" t="str">
            <v>7.67</v>
          </cell>
          <cell r="C61" t="str">
            <v>0.17</v>
          </cell>
          <cell r="D61" t="str">
            <v>0.17</v>
          </cell>
          <cell r="E61" t="str">
            <v>0.16</v>
          </cell>
          <cell r="F61" t="str">
            <v>0.56</v>
          </cell>
          <cell r="G61" t="str">
            <v>1.61</v>
          </cell>
          <cell r="H61" t="str">
            <v>3.14</v>
          </cell>
          <cell r="I61" t="str">
            <v>6.54</v>
          </cell>
          <cell r="J61" t="str">
            <v>7.14</v>
          </cell>
          <cell r="K61" t="str">
            <v>6.19</v>
          </cell>
        </row>
        <row r="62">
          <cell r="A62" t="str">
            <v>NIFTY 2 Month CD Index - A</v>
          </cell>
          <cell r="B62" t="str">
            <v>7.61</v>
          </cell>
          <cell r="C62" t="str">
            <v>0.17</v>
          </cell>
          <cell r="D62" t="str">
            <v>0.17</v>
          </cell>
          <cell r="E62" t="str">
            <v>0.16</v>
          </cell>
          <cell r="F62" t="str">
            <v>0.55</v>
          </cell>
          <cell r="G62" t="str">
            <v>1.60</v>
          </cell>
          <cell r="H62" t="str">
            <v>3.12</v>
          </cell>
          <cell r="I62" t="str">
            <v>6.49</v>
          </cell>
          <cell r="J62" t="str">
            <v>7.09</v>
          </cell>
          <cell r="K62" t="str">
            <v>6.08</v>
          </cell>
        </row>
        <row r="63">
          <cell r="A63" t="str">
            <v>NIFTY 2 Month CD Index - B</v>
          </cell>
          <cell r="B63" t="str">
            <v>7.68</v>
          </cell>
          <cell r="C63" t="str">
            <v>0.17</v>
          </cell>
          <cell r="D63" t="str">
            <v>0.17</v>
          </cell>
          <cell r="E63" t="str">
            <v>0.16</v>
          </cell>
          <cell r="F63" t="str">
            <v>0.57</v>
          </cell>
          <cell r="G63" t="str">
            <v>1.61</v>
          </cell>
          <cell r="H63" t="str">
            <v>3.14</v>
          </cell>
          <cell r="I63" t="str">
            <v>6.57</v>
          </cell>
          <cell r="J63" t="str">
            <v>7.15</v>
          </cell>
          <cell r="K63" t="str">
            <v>6.14</v>
          </cell>
        </row>
        <row r="64">
          <cell r="A64" t="str">
            <v>NIFTY 2 Month CD Index - C</v>
          </cell>
          <cell r="B64" t="str">
            <v>8.09</v>
          </cell>
          <cell r="C64" t="str">
            <v>0.17</v>
          </cell>
          <cell r="D64" t="str">
            <v>0.17</v>
          </cell>
          <cell r="E64" t="str">
            <v>0.16</v>
          </cell>
          <cell r="F64" t="str">
            <v>0.59</v>
          </cell>
          <cell r="G64" t="str">
            <v>1.68</v>
          </cell>
          <cell r="H64" t="str">
            <v>3.33</v>
          </cell>
          <cell r="I64" t="str">
            <v>6.95</v>
          </cell>
          <cell r="J64" t="str">
            <v>7.45</v>
          </cell>
          <cell r="K64" t="str">
            <v>6.39</v>
          </cell>
        </row>
        <row r="65">
          <cell r="A65" t="str">
            <v>NIFTY 3 Month CD Index</v>
          </cell>
          <cell r="B65" t="str">
            <v>7.48</v>
          </cell>
          <cell r="C65" t="str">
            <v>0.25</v>
          </cell>
          <cell r="D65" t="str">
            <v>0.25</v>
          </cell>
          <cell r="E65" t="str">
            <v>0.23</v>
          </cell>
          <cell r="F65" t="str">
            <v>0.48</v>
          </cell>
          <cell r="G65" t="str">
            <v>1.47</v>
          </cell>
          <cell r="H65" t="str">
            <v>2.99</v>
          </cell>
          <cell r="I65" t="str">
            <v>6.58</v>
          </cell>
          <cell r="J65" t="str">
            <v>7.25</v>
          </cell>
          <cell r="K65" t="str">
            <v>6.29</v>
          </cell>
        </row>
        <row r="66">
          <cell r="A66" t="str">
            <v>NIFTY 3 Month CD Index - A</v>
          </cell>
          <cell r="B66" t="str">
            <v>7.35</v>
          </cell>
          <cell r="C66" t="str">
            <v>0.25</v>
          </cell>
          <cell r="D66" t="str">
            <v>0.26</v>
          </cell>
          <cell r="E66" t="str">
            <v>0.24</v>
          </cell>
          <cell r="F66" t="str">
            <v>0.46</v>
          </cell>
          <cell r="G66" t="str">
            <v>1.44</v>
          </cell>
          <cell r="H66" t="str">
            <v>2.95</v>
          </cell>
          <cell r="I66" t="str">
            <v>6.51</v>
          </cell>
          <cell r="J66" t="str">
            <v>7.21</v>
          </cell>
          <cell r="K66" t="str">
            <v>6.19</v>
          </cell>
        </row>
        <row r="67">
          <cell r="A67" t="str">
            <v>NIFTY 3 Month CD Index - B</v>
          </cell>
          <cell r="B67" t="str">
            <v>7.54</v>
          </cell>
          <cell r="C67" t="str">
            <v>0.22</v>
          </cell>
          <cell r="D67" t="str">
            <v>0.23</v>
          </cell>
          <cell r="E67" t="str">
            <v>0.21</v>
          </cell>
          <cell r="F67" t="str">
            <v>0.48</v>
          </cell>
          <cell r="G67" t="str">
            <v>1.50</v>
          </cell>
          <cell r="H67" t="str">
            <v>3.02</v>
          </cell>
          <cell r="I67" t="str">
            <v>6.65</v>
          </cell>
          <cell r="J67" t="str">
            <v>7.27</v>
          </cell>
          <cell r="K67" t="str">
            <v>6.26</v>
          </cell>
        </row>
        <row r="68">
          <cell r="A68" t="str">
            <v>NIFTY 3 Month CD Index - C</v>
          </cell>
          <cell r="B68" t="str">
            <v>7.85</v>
          </cell>
          <cell r="C68" t="str">
            <v>0.24</v>
          </cell>
          <cell r="D68" t="str">
            <v>0.24</v>
          </cell>
          <cell r="E68" t="str">
            <v>0.22</v>
          </cell>
          <cell r="F68" t="str">
            <v>0.55</v>
          </cell>
          <cell r="G68" t="str">
            <v>1.60</v>
          </cell>
          <cell r="H68" t="str">
            <v>3.22</v>
          </cell>
          <cell r="I68" t="str">
            <v>6.99</v>
          </cell>
          <cell r="J68" t="str">
            <v>7.57</v>
          </cell>
          <cell r="K68" t="str">
            <v>6.48</v>
          </cell>
        </row>
        <row r="69">
          <cell r="A69" t="str">
            <v>NIFTY 6 Month CD Index</v>
          </cell>
          <cell r="B69" t="str">
            <v>7.34</v>
          </cell>
          <cell r="C69" t="str">
            <v>0.54</v>
          </cell>
          <cell r="D69" t="str">
            <v>0.54</v>
          </cell>
          <cell r="E69" t="str">
            <v>0.50</v>
          </cell>
          <cell r="F69" t="str">
            <v>0.43</v>
          </cell>
          <cell r="G69" t="str">
            <v>1.23</v>
          </cell>
          <cell r="H69" t="str">
            <v>2.73</v>
          </cell>
          <cell r="I69" t="str">
            <v>6.52</v>
          </cell>
          <cell r="J69" t="str">
            <v>7.27</v>
          </cell>
          <cell r="K69" t="str">
            <v>6.28</v>
          </cell>
        </row>
        <row r="70">
          <cell r="A70" t="str">
            <v>NIFTY 6 Month CD Index - A</v>
          </cell>
          <cell r="B70" t="str">
            <v>7.27</v>
          </cell>
          <cell r="C70" t="str">
            <v>0.55</v>
          </cell>
          <cell r="D70" t="str">
            <v>0.55</v>
          </cell>
          <cell r="E70" t="str">
            <v>0.51</v>
          </cell>
          <cell r="F70" t="str">
            <v>0.44</v>
          </cell>
          <cell r="G70" t="str">
            <v>1.24</v>
          </cell>
          <cell r="H70" t="str">
            <v>2.74</v>
          </cell>
          <cell r="I70" t="str">
            <v>6.51</v>
          </cell>
          <cell r="J70" t="str">
            <v>7.24</v>
          </cell>
          <cell r="K70" t="str">
            <v>6.15</v>
          </cell>
        </row>
        <row r="71">
          <cell r="A71" t="str">
            <v>NIFTY 6 Month CD Index - B</v>
          </cell>
          <cell r="B71" t="str">
            <v>7.42</v>
          </cell>
          <cell r="C71" t="str">
            <v>0.51</v>
          </cell>
          <cell r="D71" t="str">
            <v>0.52</v>
          </cell>
          <cell r="E71" t="str">
            <v>0.48</v>
          </cell>
          <cell r="F71" t="str">
            <v>0.42</v>
          </cell>
          <cell r="G71" t="str">
            <v>1.21</v>
          </cell>
          <cell r="H71" t="str">
            <v>2.75</v>
          </cell>
          <cell r="I71" t="str">
            <v>6.55</v>
          </cell>
          <cell r="J71" t="str">
            <v>7.29</v>
          </cell>
          <cell r="K71" t="str">
            <v>6.26</v>
          </cell>
        </row>
        <row r="72">
          <cell r="A72" t="str">
            <v>NIFTY 6 Month CD Index - C</v>
          </cell>
          <cell r="B72" t="str">
            <v>7.84</v>
          </cell>
          <cell r="C72" t="str">
            <v>0.50</v>
          </cell>
          <cell r="D72" t="str">
            <v>0.50</v>
          </cell>
          <cell r="E72" t="str">
            <v>0.46</v>
          </cell>
          <cell r="F72" t="str">
            <v>0.48</v>
          </cell>
          <cell r="G72" t="str">
            <v>1.31</v>
          </cell>
          <cell r="H72" t="str">
            <v>2.90</v>
          </cell>
          <cell r="I72" t="str">
            <v>6.86</v>
          </cell>
          <cell r="J72" t="str">
            <v>7.57</v>
          </cell>
          <cell r="K72" t="str">
            <v>6.48</v>
          </cell>
        </row>
        <row r="73">
          <cell r="A73" t="str">
            <v>NIFTY 1 Year CD Index</v>
          </cell>
          <cell r="B73" t="str">
            <v>7.29</v>
          </cell>
          <cell r="C73" t="str">
            <v>0.86</v>
          </cell>
          <cell r="D73" t="str">
            <v>0.86</v>
          </cell>
          <cell r="E73" t="str">
            <v>0.80</v>
          </cell>
          <cell r="F73" t="str">
            <v>0.26</v>
          </cell>
          <cell r="G73" t="str">
            <v>1.00</v>
          </cell>
          <cell r="H73" t="str">
            <v>2.33</v>
          </cell>
          <cell r="I73" t="str">
            <v>6.24</v>
          </cell>
          <cell r="J73" t="str">
            <v>7.13</v>
          </cell>
          <cell r="K73" t="str">
            <v>5.95</v>
          </cell>
        </row>
        <row r="74">
          <cell r="A74" t="str">
            <v>NIFTY 1 Year CD Index - A</v>
          </cell>
          <cell r="B74" t="str">
            <v>7.24</v>
          </cell>
          <cell r="C74" t="str">
            <v>0.85</v>
          </cell>
          <cell r="D74" t="str">
            <v>0.86</v>
          </cell>
          <cell r="E74" t="str">
            <v>0.80</v>
          </cell>
          <cell r="F74" t="str">
            <v>0.26</v>
          </cell>
          <cell r="G74" t="str">
            <v>1.03</v>
          </cell>
          <cell r="H74" t="str">
            <v>2.37</v>
          </cell>
          <cell r="I74" t="str">
            <v>6.27</v>
          </cell>
          <cell r="J74" t="str">
            <v>7.11</v>
          </cell>
          <cell r="K74" t="str">
            <v>5.89</v>
          </cell>
        </row>
        <row r="75">
          <cell r="A75" t="str">
            <v>NIFTY 1 Year CD Index - B</v>
          </cell>
          <cell r="B75" t="str">
            <v>7.42</v>
          </cell>
          <cell r="C75" t="str">
            <v>0.87</v>
          </cell>
          <cell r="D75" t="str">
            <v>0.87</v>
          </cell>
          <cell r="E75" t="str">
            <v>0.81</v>
          </cell>
          <cell r="F75" t="str">
            <v>0.23</v>
          </cell>
          <cell r="G75" t="str">
            <v>0.95</v>
          </cell>
          <cell r="H75" t="str">
            <v>2.26</v>
          </cell>
          <cell r="I75" t="str">
            <v>6.20</v>
          </cell>
          <cell r="J75" t="str">
            <v>7.13</v>
          </cell>
          <cell r="K75" t="str">
            <v>5.94</v>
          </cell>
        </row>
        <row r="76">
          <cell r="A76" t="str">
            <v>NIFTY 1 Year CD Index - C</v>
          </cell>
          <cell r="B76" t="str">
            <v>7.87</v>
          </cell>
          <cell r="C76" t="str">
            <v>0.88</v>
          </cell>
          <cell r="D76" t="str">
            <v>0.88</v>
          </cell>
          <cell r="E76" t="str">
            <v>0.81</v>
          </cell>
          <cell r="F76" t="str">
            <v>0.34</v>
          </cell>
          <cell r="G76" t="str">
            <v>1.13</v>
          </cell>
          <cell r="H76" t="str">
            <v>2.54</v>
          </cell>
          <cell r="I76" t="str">
            <v>6.73</v>
          </cell>
          <cell r="J76" t="str">
            <v>7.45</v>
          </cell>
          <cell r="K76" t="str">
            <v>6.17</v>
          </cell>
        </row>
        <row r="77">
          <cell r="A77" t="str">
            <v>NIFTY All Maturity CD Index</v>
          </cell>
          <cell r="B77" t="str">
            <v>7.48</v>
          </cell>
          <cell r="C77" t="str">
            <v>0.46</v>
          </cell>
          <cell r="D77" t="str">
            <v>0.46</v>
          </cell>
          <cell r="E77" t="str">
            <v>0.43</v>
          </cell>
          <cell r="F77" t="str">
            <v>0.44</v>
          </cell>
          <cell r="G77" t="str">
            <v>1.36</v>
          </cell>
          <cell r="H77" t="str">
            <v>2.82</v>
          </cell>
          <cell r="I77" t="str">
            <v>6.48</v>
          </cell>
          <cell r="J77" t="str">
            <v>7.20</v>
          </cell>
          <cell r="K77" t="str">
            <v>6.16</v>
          </cell>
        </row>
        <row r="78">
          <cell r="A78" t="str">
            <v>NIFTY All Maturity CD Index - A</v>
          </cell>
          <cell r="B78" t="str">
            <v>7.39</v>
          </cell>
          <cell r="C78" t="str">
            <v>0.46</v>
          </cell>
          <cell r="D78" t="str">
            <v>0.46</v>
          </cell>
          <cell r="E78" t="str">
            <v>0.43</v>
          </cell>
          <cell r="F78" t="str">
            <v>0.43</v>
          </cell>
          <cell r="G78" t="str">
            <v>1.35</v>
          </cell>
          <cell r="H78" t="str">
            <v>2.81</v>
          </cell>
          <cell r="I78" t="str">
            <v>6.45</v>
          </cell>
          <cell r="J78" t="str">
            <v>7.16</v>
          </cell>
          <cell r="K78" t="str">
            <v>6.06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29" t="inlineStr">
        <is>
          <t>Weightage for AMC Ranking</t>
        </is>
      </c>
      <c r="C3" s="330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32" t="inlineStr">
        <is>
          <t>AUM</t>
        </is>
      </c>
      <c r="C6" s="74" t="n">
        <v>0.15</v>
      </c>
    </row>
    <row r="7">
      <c r="A7" s="54" t="n"/>
      <c r="B7" s="332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32" t="inlineStr">
        <is>
          <t>3-Year Return</t>
        </is>
      </c>
      <c r="C9" s="74" t="n">
        <v>0.15</v>
      </c>
    </row>
    <row r="10">
      <c r="B10" s="332" t="inlineStr">
        <is>
          <t>5-Year Return</t>
        </is>
      </c>
      <c r="C10" s="74" t="n">
        <v>0.1</v>
      </c>
    </row>
    <row r="11">
      <c r="B11" s="332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32" t="inlineStr">
        <is>
          <t>Sharpe</t>
        </is>
      </c>
      <c r="C13" s="74" t="n">
        <v>0.05</v>
      </c>
    </row>
    <row r="14">
      <c r="B14" s="332" t="inlineStr">
        <is>
          <t>Sortino</t>
        </is>
      </c>
      <c r="C14" s="74" t="n">
        <v>0.075</v>
      </c>
    </row>
    <row r="15">
      <c r="B15" s="333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32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52"/>
  <sheetViews>
    <sheetView topLeftCell="A41" zoomScaleNormal="100" workbookViewId="0">
      <selection activeCell="H52" sqref="B2:H52"/>
    </sheetView>
  </sheetViews>
  <sheetFormatPr baseColWidth="8" defaultColWidth="8" defaultRowHeight="12.75"/>
  <cols>
    <col width="8" customWidth="1" style="395" min="1" max="1"/>
    <col width="36.5703125" bestFit="1" customWidth="1" style="395" min="2" max="2"/>
    <col width="10.140625" customWidth="1" style="395" min="3" max="3"/>
    <col width="10.28515625" customWidth="1" style="395" min="4" max="4"/>
    <col width="2.28515625" customWidth="1" style="395" min="5" max="5"/>
    <col width="36.28515625" customWidth="1" style="395" min="6" max="6"/>
    <col width="15" customWidth="1" style="395" min="7" max="7"/>
    <col width="10.28515625" customWidth="1" style="395" min="8" max="8"/>
    <col width="8" customWidth="1" style="395" min="9" max="11"/>
    <col width="8" customWidth="1" style="395" min="12" max="16384"/>
  </cols>
  <sheetData>
    <row r="2">
      <c r="B2" s="408" t="inlineStr">
        <is>
          <t>Financial Product Catalog: A Ready Reckoner , As on 29th Apr 2026</t>
        </is>
      </c>
      <c r="C2" s="463" t="n"/>
      <c r="D2" s="463" t="n"/>
      <c r="E2" s="463" t="n"/>
      <c r="F2" s="463" t="n"/>
      <c r="G2" s="463" t="n"/>
      <c r="H2" s="464" t="n"/>
    </row>
    <row r="3">
      <c r="B3" s="392" t="n"/>
      <c r="C3" s="465" t="n"/>
      <c r="D3" s="465" t="n"/>
      <c r="E3" s="465" t="n"/>
      <c r="F3" s="465" t="n"/>
      <c r="G3" s="465" t="n"/>
      <c r="H3" s="466" t="n"/>
    </row>
    <row r="4">
      <c r="B4" s="413" t="inlineStr">
        <is>
          <t>Whats new? (July 2026)</t>
        </is>
      </c>
      <c r="C4" s="467" t="n"/>
      <c r="D4" s="468" t="n"/>
      <c r="E4" s="396" t="n"/>
      <c r="F4" s="416" t="inlineStr">
        <is>
          <t>Debt</t>
        </is>
      </c>
      <c r="G4" s="467" t="n"/>
      <c r="H4" s="469" t="n"/>
    </row>
    <row r="5">
      <c r="B5" s="418" t="inlineStr">
        <is>
          <t>Fund Name</t>
        </is>
      </c>
      <c r="C5" s="424" t="inlineStr">
        <is>
          <t>End Date</t>
        </is>
      </c>
      <c r="D5" s="468" t="n"/>
      <c r="E5" s="394" t="n"/>
      <c r="H5" s="470" t="n"/>
    </row>
    <row r="6" ht="25.5" customHeight="1">
      <c r="B6" s="421" t="inlineStr">
        <is>
          <t>ICICI Prudential Active Momentum Fund</t>
        </is>
      </c>
      <c r="C6" s="432" t="inlineStr">
        <is>
          <t>July 22, 2025</t>
        </is>
      </c>
      <c r="D6" s="468" t="n"/>
      <c r="E6" s="396" t="n"/>
      <c r="F6" s="423" t="inlineStr">
        <is>
          <t>Debt Mutual Funds (Ultra Short Duration)</t>
        </is>
      </c>
      <c r="G6" s="424" t="inlineStr">
        <is>
          <t>3-Year Return</t>
        </is>
      </c>
      <c r="H6" s="425" t="inlineStr">
        <is>
          <t>1-Year Return</t>
        </is>
      </c>
    </row>
    <row r="7">
      <c r="B7" s="421" t="inlineStr">
        <is>
          <t>Bandhan Multi-Factor Fund</t>
        </is>
      </c>
      <c r="C7" s="432" t="inlineStr">
        <is>
          <t>July 24, 2025</t>
        </is>
      </c>
      <c r="D7" s="468" t="n"/>
      <c r="E7" s="471" t="n"/>
      <c r="F7" s="427" t="inlineStr">
        <is>
          <t>NIFTY Ultra Short Duration Debt Index</t>
        </is>
      </c>
      <c r="G7" s="458">
        <f>VLOOKUP(F7,'[3]Page001 (2)'!$A:$K,10,0)&amp;"%"</f>
        <v/>
      </c>
      <c r="H7" s="429">
        <f>VLOOKUP(F7,'[3]Page001 (2)'!$A:$K,11,0)&amp;"%"</f>
        <v/>
      </c>
    </row>
    <row r="8" ht="25.5" customHeight="1">
      <c r="B8" s="397" t="n"/>
      <c r="E8" s="472" t="n"/>
      <c r="F8" s="423" t="inlineStr">
        <is>
          <t>Ultra Short - Fund Name ( Return CAGR )</t>
        </is>
      </c>
      <c r="G8" s="424" t="inlineStr">
        <is>
          <t>3-Year Return</t>
        </is>
      </c>
      <c r="H8" s="425" t="inlineStr">
        <is>
          <t>1-Year Return</t>
        </is>
      </c>
    </row>
    <row r="9" ht="25.5" customHeight="1">
      <c r="B9" s="431" t="inlineStr">
        <is>
          <t>Equity</t>
        </is>
      </c>
      <c r="C9" s="467" t="n"/>
      <c r="D9" s="468" t="n"/>
      <c r="E9" s="396" t="n"/>
      <c r="F9" s="432">
        <f>'Summary '!J4</f>
        <v/>
      </c>
      <c r="G9" s="457">
        <f>'Summary '!K4</f>
        <v/>
      </c>
      <c r="H9" s="434">
        <f>'Summary '!L4</f>
        <v/>
      </c>
    </row>
    <row r="10" ht="25.5" customHeight="1">
      <c r="B10" s="397" t="n"/>
      <c r="E10" s="472" t="n"/>
      <c r="F10" s="432">
        <f>'Summary '!J5</f>
        <v/>
      </c>
      <c r="G10" s="457">
        <f>'Summary '!K5</f>
        <v/>
      </c>
      <c r="H10" s="434">
        <f>'Summary '!L5</f>
        <v/>
      </c>
    </row>
    <row r="11" ht="25.5" customHeight="1">
      <c r="B11" s="418" t="inlineStr">
        <is>
          <t>Large Cap - Funds</t>
        </is>
      </c>
      <c r="C11" s="424" t="inlineStr">
        <is>
          <t>3-Year Return</t>
        </is>
      </c>
      <c r="D11" s="424" t="inlineStr">
        <is>
          <t>1-Year Return</t>
        </is>
      </c>
      <c r="E11" s="396" t="n"/>
      <c r="F11" s="432">
        <f>'Summary '!J6</f>
        <v/>
      </c>
      <c r="G11" s="457">
        <f>'Summary '!K6</f>
        <v/>
      </c>
      <c r="H11" s="434">
        <f>'Summary '!L6</f>
        <v/>
      </c>
    </row>
    <row r="12">
      <c r="B12" s="435" t="inlineStr">
        <is>
          <t>NIFTY 50</t>
        </is>
      </c>
      <c r="C12" s="458">
        <f>VLOOKUP(B12,'[3]Table001 (Page 1-2)'!$A:$E,5,0)&amp;"%"</f>
        <v/>
      </c>
      <c r="D12" s="458">
        <f>VLOOKUP(B12,'[3]Table001 (Page 1-2)'!$A:$E,4,0)&amp;"%"</f>
        <v/>
      </c>
      <c r="E12" s="471" t="n"/>
      <c r="F12" s="398" t="n"/>
      <c r="G12" s="467" t="n"/>
      <c r="H12" s="469" t="n"/>
    </row>
    <row r="13" ht="25.5" customHeight="1">
      <c r="B13" s="436" t="inlineStr">
        <is>
          <t>Large Cap - Funds (Return CAGR)</t>
        </is>
      </c>
      <c r="C13" s="424" t="inlineStr">
        <is>
          <t>3-Year Return</t>
        </is>
      </c>
      <c r="D13" s="424" t="inlineStr">
        <is>
          <t>1-Year Return</t>
        </is>
      </c>
      <c r="E13" s="471" t="n"/>
      <c r="F13" s="423" t="inlineStr">
        <is>
          <t>Debt Mutual Funds (Low Duration)</t>
        </is>
      </c>
      <c r="G13" s="424" t="inlineStr">
        <is>
          <t>3-Year Return</t>
        </is>
      </c>
      <c r="H13" s="425" t="inlineStr">
        <is>
          <t>1-Year Return</t>
        </is>
      </c>
    </row>
    <row r="14">
      <c r="B14" s="421">
        <f>'Summary '!D4</f>
        <v/>
      </c>
      <c r="C14" s="457">
        <f>'Summary '!E4</f>
        <v/>
      </c>
      <c r="D14" s="457">
        <f>'Summary '!F4</f>
        <v/>
      </c>
      <c r="E14" s="471" t="n"/>
      <c r="F14" s="427" t="inlineStr">
        <is>
          <t>NIFTY Low Duration Debt Index</t>
        </is>
      </c>
      <c r="G14" s="458">
        <f>VLOOKUP(F14,'[3]Page001 (2)'!$A:$K,10,0)&amp;"%"</f>
        <v/>
      </c>
      <c r="H14" s="429">
        <f>VLOOKUP(F14,'[3]Page001 (2)'!$A:$K,11,0)&amp;"%"</f>
        <v/>
      </c>
    </row>
    <row r="15" ht="25.5" customHeight="1">
      <c r="B15" s="421">
        <f>'Summary '!D5</f>
        <v/>
      </c>
      <c r="C15" s="457">
        <f>'Summary '!E5</f>
        <v/>
      </c>
      <c r="D15" s="457">
        <f>'Summary '!F5</f>
        <v/>
      </c>
      <c r="E15" s="471" t="n"/>
      <c r="F15" s="423" t="inlineStr">
        <is>
          <t>Low Duration - Funds ( Return CAGR )</t>
        </is>
      </c>
      <c r="G15" s="424" t="inlineStr">
        <is>
          <t>3-Year Return</t>
        </is>
      </c>
      <c r="H15" s="425" t="inlineStr">
        <is>
          <t>1-Year Return</t>
        </is>
      </c>
    </row>
    <row r="16">
      <c r="B16" s="421">
        <f>'Summary '!D6</f>
        <v/>
      </c>
      <c r="C16" s="457">
        <f>'Summary '!E6</f>
        <v/>
      </c>
      <c r="D16" s="457">
        <f>'Summary '!F6</f>
        <v/>
      </c>
      <c r="E16" s="471" t="n"/>
      <c r="F16" s="432">
        <f>'Summary '!J8</f>
        <v/>
      </c>
      <c r="G16" s="457">
        <f>'Summary '!K8</f>
        <v/>
      </c>
      <c r="H16" s="434">
        <f>'Summary '!L8</f>
        <v/>
      </c>
    </row>
    <row r="17" ht="25.5" customHeight="1">
      <c r="B17" s="435" t="inlineStr">
        <is>
          <t>SIP of 50000*36=1800000, Maturity Value Would be</t>
        </is>
      </c>
      <c r="C17" s="437" t="n">
        <v>2572605</v>
      </c>
      <c r="D17" s="468" t="n"/>
      <c r="E17" s="471" t="n"/>
      <c r="F17" s="432">
        <f>'Summary '!J9</f>
        <v/>
      </c>
      <c r="G17" s="457">
        <f>'Summary '!K9</f>
        <v/>
      </c>
      <c r="H17" s="434">
        <f>'Summary '!L9</f>
        <v/>
      </c>
    </row>
    <row r="18">
      <c r="B18" s="397" t="n"/>
      <c r="E18" s="472" t="n"/>
      <c r="F18" s="432">
        <f>'Summary '!J10</f>
        <v/>
      </c>
      <c r="G18" s="457">
        <f>'Summary '!K10</f>
        <v/>
      </c>
      <c r="H18" s="434">
        <f>'Summary '!L10</f>
        <v/>
      </c>
    </row>
    <row r="19" ht="25.5" customHeight="1">
      <c r="B19" s="436" t="inlineStr">
        <is>
          <t>Large &amp; Mid Cap - Funds</t>
        </is>
      </c>
      <c r="C19" s="424" t="inlineStr">
        <is>
          <t>3-Year Return</t>
        </is>
      </c>
      <c r="D19" s="424" t="inlineStr">
        <is>
          <t>1-Year Return</t>
        </is>
      </c>
      <c r="E19" s="399" t="n"/>
      <c r="F19" s="398" t="n"/>
      <c r="G19" s="467" t="n"/>
      <c r="H19" s="469" t="n"/>
    </row>
    <row r="20" ht="25.5" customHeight="1">
      <c r="B20" s="421">
        <f>'Summary '!D8</f>
        <v/>
      </c>
      <c r="C20" s="457">
        <f>'Summary '!E8</f>
        <v/>
      </c>
      <c r="D20" s="457">
        <f>'Summary '!F8</f>
        <v/>
      </c>
      <c r="E20" s="399" t="n"/>
      <c r="F20" s="423" t="inlineStr">
        <is>
          <t>Debt Mutual Funds (Short Duration)</t>
        </is>
      </c>
      <c r="G20" s="424" t="inlineStr">
        <is>
          <t>3-Year Return</t>
        </is>
      </c>
      <c r="H20" s="425" t="inlineStr">
        <is>
          <t>1-Year Return</t>
        </is>
      </c>
    </row>
    <row r="21">
      <c r="B21" s="421">
        <f>'Summary '!D9</f>
        <v/>
      </c>
      <c r="C21" s="457">
        <f>'Summary '!E9</f>
        <v/>
      </c>
      <c r="D21" s="457">
        <f>'Summary '!F9</f>
        <v/>
      </c>
      <c r="E21" s="399" t="n"/>
      <c r="F21" s="438" t="inlineStr">
        <is>
          <t>NIFTY Short Duration Debt Index A-II</t>
        </is>
      </c>
      <c r="G21" s="458">
        <f>VLOOKUP(F21,'[3]Table003 (Page 3)'!$A$2:$K$78,9,0)&amp;"%"</f>
        <v/>
      </c>
      <c r="H21" s="429">
        <f>VLOOKUP(F21,'[3]Table003 (Page 3)'!$A$2:$K$78,10,0)&amp;"%"</f>
        <v/>
      </c>
    </row>
    <row r="22" ht="25.5" customHeight="1">
      <c r="B22" s="421">
        <f>'Summary '!D10</f>
        <v/>
      </c>
      <c r="C22" s="457">
        <f>'Summary '!E10</f>
        <v/>
      </c>
      <c r="D22" s="457">
        <f>'Summary '!F10</f>
        <v/>
      </c>
      <c r="E22" s="399" t="n"/>
      <c r="F22" s="423" t="inlineStr">
        <is>
          <t>Medium Term - Funds ( Return CAGR )</t>
        </is>
      </c>
      <c r="G22" s="424" t="inlineStr">
        <is>
          <t>3-Year Return</t>
        </is>
      </c>
      <c r="H22" s="425" t="inlineStr">
        <is>
          <t>1-Year Return</t>
        </is>
      </c>
    </row>
    <row r="23" ht="25.5" customHeight="1">
      <c r="B23" s="435" t="inlineStr">
        <is>
          <t>SIP of 50000*36=1800000, Maturity Value Would be</t>
        </is>
      </c>
      <c r="C23" s="437" t="n">
        <v>2646895</v>
      </c>
      <c r="D23" s="468" t="n"/>
      <c r="E23" s="399" t="n"/>
      <c r="F23" s="432">
        <f>'Summary '!J12</f>
        <v/>
      </c>
      <c r="G23" s="457">
        <f>'Summary '!K12</f>
        <v/>
      </c>
      <c r="H23" s="434">
        <f>'Summary '!L12</f>
        <v/>
      </c>
    </row>
    <row r="24">
      <c r="B24" s="400" t="n"/>
      <c r="C24" s="467" t="n"/>
      <c r="D24" s="468" t="n"/>
      <c r="E24" s="399" t="n"/>
      <c r="F24" s="432">
        <f>'Summary '!J13</f>
        <v/>
      </c>
      <c r="G24" s="457">
        <f>'Summary '!K13</f>
        <v/>
      </c>
      <c r="H24" s="434">
        <f>'Summary '!L13</f>
        <v/>
      </c>
    </row>
    <row r="25" ht="25.5" customHeight="1">
      <c r="B25" s="418" t="inlineStr">
        <is>
          <t>Mid Cap - Funds</t>
        </is>
      </c>
      <c r="C25" s="424" t="inlineStr">
        <is>
          <t>3-Year Return</t>
        </is>
      </c>
      <c r="D25" s="424" t="inlineStr">
        <is>
          <t>1-Year Return</t>
        </is>
      </c>
      <c r="E25" s="399" t="n"/>
      <c r="F25" s="432">
        <f>'Summary '!J14</f>
        <v/>
      </c>
      <c r="G25" s="457">
        <f>'Summary '!K14</f>
        <v/>
      </c>
      <c r="H25" s="434">
        <f>'Summary '!L14</f>
        <v/>
      </c>
    </row>
    <row r="26">
      <c r="B26" s="435" t="inlineStr">
        <is>
          <t>NIFTY Midcap 100</t>
        </is>
      </c>
      <c r="C26" s="458">
        <f>VLOOKUP(B26,'[3]Table001 (Page 1-2)'!$A:$E,5,0)&amp;"%"</f>
        <v/>
      </c>
      <c r="D26" s="458">
        <f>VLOOKUP(B26,'[3]Table001 (Page 1-2)'!$A:$E,4,0)&amp;"%"</f>
        <v/>
      </c>
      <c r="E26" s="399" t="n"/>
      <c r="F26" s="398" t="n"/>
      <c r="G26" s="467" t="n"/>
      <c r="H26" s="469" t="n"/>
    </row>
    <row r="27" ht="25.5" customHeight="1">
      <c r="B27" s="436" t="inlineStr">
        <is>
          <t>Mid Cap - Funds  (Return CAGR)</t>
        </is>
      </c>
      <c r="C27" s="424" t="inlineStr">
        <is>
          <t>3-Year CAGR</t>
        </is>
      </c>
      <c r="D27" s="424" t="inlineStr">
        <is>
          <t>1-Year Return</t>
        </is>
      </c>
      <c r="F27" s="423" t="inlineStr">
        <is>
          <t>Debt Mutual Funds (Medium Duration)</t>
        </is>
      </c>
      <c r="G27" s="424" t="inlineStr">
        <is>
          <t>3-Year Return</t>
        </is>
      </c>
      <c r="H27" s="425" t="inlineStr">
        <is>
          <t>1-Year Return</t>
        </is>
      </c>
    </row>
    <row r="28">
      <c r="B28" s="421">
        <f>'Summary '!D12</f>
        <v/>
      </c>
      <c r="C28" s="457">
        <f>'Summary '!E12</f>
        <v/>
      </c>
      <c r="D28" s="457">
        <f>'Summary '!F12</f>
        <v/>
      </c>
      <c r="F28" s="438" t="inlineStr">
        <is>
          <t>NIFTY Medium Duration Debt Index A-III</t>
        </is>
      </c>
      <c r="G28" s="458">
        <f>VLOOKUP(F28,'[3]Table003 (Page 3)'!$A$2:$K$78,9,0)&amp;"%"</f>
        <v/>
      </c>
      <c r="H28" s="429">
        <f>VLOOKUP(F28,'[3]Table003 (Page 3)'!$A$2:$K$78,10,0)&amp;"%"</f>
        <v/>
      </c>
    </row>
    <row r="29" ht="25.5" customHeight="1">
      <c r="B29" s="421">
        <f>'Summary '!D13</f>
        <v/>
      </c>
      <c r="C29" s="457">
        <f>'Summary '!E13</f>
        <v/>
      </c>
      <c r="D29" s="457">
        <f>'Summary '!F13</f>
        <v/>
      </c>
      <c r="F29" s="423" t="inlineStr">
        <is>
          <t>Medium Term - Funds ( Return CAGR )</t>
        </is>
      </c>
      <c r="G29" s="424" t="inlineStr">
        <is>
          <t>3-Year Return</t>
        </is>
      </c>
      <c r="H29" s="425" t="inlineStr">
        <is>
          <t>1-Year Return</t>
        </is>
      </c>
    </row>
    <row r="30" ht="25.5" customHeight="1">
      <c r="B30" s="421">
        <f>'Summary '!D14</f>
        <v/>
      </c>
      <c r="C30" s="457">
        <f>'Summary '!E14</f>
        <v/>
      </c>
      <c r="D30" s="457">
        <f>'Summary '!F14</f>
        <v/>
      </c>
      <c r="F30" s="432">
        <f>'Summary '!J16</f>
        <v/>
      </c>
      <c r="G30" s="457">
        <f>'Summary '!K16</f>
        <v/>
      </c>
      <c r="H30" s="434">
        <f>'Summary '!L16</f>
        <v/>
      </c>
    </row>
    <row r="31" ht="25.5" customHeight="1">
      <c r="B31" s="435" t="inlineStr">
        <is>
          <t>SIP of 50000*36=1800000 , Maturity Value Would be</t>
        </is>
      </c>
      <c r="C31" s="437" t="n">
        <v>2767450</v>
      </c>
      <c r="D31" s="468" t="n"/>
      <c r="F31" s="432">
        <f>'Summary '!J17</f>
        <v/>
      </c>
      <c r="G31" s="457">
        <f>'Summary '!K17</f>
        <v/>
      </c>
      <c r="H31" s="434">
        <f>'Summary '!L17</f>
        <v/>
      </c>
    </row>
    <row r="32" ht="25.5" customHeight="1">
      <c r="B32" s="400" t="n"/>
      <c r="C32" s="467" t="n"/>
      <c r="D32" s="468" t="n"/>
      <c r="F32" s="432">
        <f>'Summary '!J18</f>
        <v/>
      </c>
      <c r="G32" s="457">
        <f>'Summary '!K18</f>
        <v/>
      </c>
      <c r="H32" s="434">
        <f>'Summary '!L18</f>
        <v/>
      </c>
    </row>
    <row r="33" ht="25.5" customHeight="1">
      <c r="B33" s="418" t="inlineStr">
        <is>
          <t>Small Cap - Funds</t>
        </is>
      </c>
      <c r="C33" s="424" t="inlineStr">
        <is>
          <t>3-Year Return</t>
        </is>
      </c>
      <c r="D33" s="424" t="inlineStr">
        <is>
          <t>1-Year Return</t>
        </is>
      </c>
      <c r="E33" s="399" t="n"/>
      <c r="H33" s="401" t="n"/>
    </row>
    <row r="34" ht="25.5" customHeight="1">
      <c r="B34" s="435" t="inlineStr">
        <is>
          <t>NIFTY Smallcap 100</t>
        </is>
      </c>
      <c r="C34" s="458">
        <f>VLOOKUP(B34,'[3]Table001 (Page 1-2)'!$A:$E,5,0)&amp;"%"</f>
        <v/>
      </c>
      <c r="D34" s="458">
        <f>VLOOKUP(B34,'[3]Table001 (Page 1-2)'!$A:$E,4,0)&amp;"%"</f>
        <v/>
      </c>
      <c r="E34" s="399" t="n"/>
      <c r="F34" s="423" t="inlineStr">
        <is>
          <t>Debt Mutual Funds (Medium to Long Duration)</t>
        </is>
      </c>
      <c r="G34" s="424" t="inlineStr">
        <is>
          <t>3-Year Return</t>
        </is>
      </c>
      <c r="H34" s="425" t="inlineStr">
        <is>
          <t>1-Year Return</t>
        </is>
      </c>
    </row>
    <row r="35">
      <c r="B35" s="436" t="inlineStr">
        <is>
          <t>Small Cap - Funds ( Return CAGR )</t>
        </is>
      </c>
      <c r="C35" s="424" t="inlineStr">
        <is>
          <t>3-Yr CAGR</t>
        </is>
      </c>
      <c r="D35" s="424" t="inlineStr">
        <is>
          <t>1-Yr Return</t>
        </is>
      </c>
      <c r="E35" s="399" t="n"/>
      <c r="F35" s="438" t="inlineStr">
        <is>
          <t>NIFTY Medium to Long Duration Debt Index</t>
        </is>
      </c>
      <c r="G35" s="458">
        <f>VLOOKUP(F35,'[3]Table001 (Page 1)'!$A$2:$K$78,9,0)&amp;"%"</f>
        <v/>
      </c>
      <c r="H35" s="429">
        <f>VLOOKUP(F35,'[3]Table001 (Page 1)'!$A$2:$K$78,8,0)&amp;"%"</f>
        <v/>
      </c>
    </row>
    <row r="36" ht="25.5" customHeight="1">
      <c r="B36" s="421">
        <f>'Summary '!D16</f>
        <v/>
      </c>
      <c r="C36" s="457">
        <f>'Summary '!E16</f>
        <v/>
      </c>
      <c r="D36" s="457">
        <f>'Summary '!F16</f>
        <v/>
      </c>
      <c r="E36" s="399" t="n"/>
      <c r="F36" s="423" t="inlineStr">
        <is>
          <t>Medium to Long Term - Funds ( Return CAGR )</t>
        </is>
      </c>
      <c r="G36" s="424" t="inlineStr">
        <is>
          <t>3-Year Return</t>
        </is>
      </c>
      <c r="H36" s="425" t="inlineStr">
        <is>
          <t>1-Year Return</t>
        </is>
      </c>
    </row>
    <row r="37">
      <c r="B37" s="421">
        <f>'Summary '!D17</f>
        <v/>
      </c>
      <c r="C37" s="457">
        <f>'Summary '!E17</f>
        <v/>
      </c>
      <c r="D37" s="457">
        <f>'Summary '!F17</f>
        <v/>
      </c>
      <c r="E37" s="399" t="n"/>
      <c r="F37" s="432">
        <f>'Summary '!J20</f>
        <v/>
      </c>
      <c r="G37" s="457">
        <f>'Summary '!K20</f>
        <v/>
      </c>
      <c r="H37" s="434">
        <f>'Summary '!L20</f>
        <v/>
      </c>
    </row>
    <row r="38">
      <c r="B38" s="421">
        <f>'Summary '!D18</f>
        <v/>
      </c>
      <c r="C38" s="457">
        <f>'Summary '!E18</f>
        <v/>
      </c>
      <c r="D38" s="457">
        <f>'Summary '!F18</f>
        <v/>
      </c>
      <c r="E38" s="399" t="n"/>
      <c r="F38" s="432">
        <f>'Summary '!J21</f>
        <v/>
      </c>
      <c r="G38" s="457">
        <f>'Summary '!K21</f>
        <v/>
      </c>
      <c r="H38" s="434">
        <f>'Summary '!L21</f>
        <v/>
      </c>
    </row>
    <row r="39" ht="25.5" customHeight="1">
      <c r="B39" s="435" t="inlineStr">
        <is>
          <t>SIP of 50000*36=1800000 , Maturity Value Would be</t>
        </is>
      </c>
      <c r="C39" s="437" t="n">
        <v>2767450</v>
      </c>
      <c r="D39" s="468" t="n"/>
      <c r="E39" s="399" t="n"/>
      <c r="F39" s="432">
        <f>'Summary '!J22</f>
        <v/>
      </c>
      <c r="G39" s="457">
        <f>'Summary '!K22</f>
        <v/>
      </c>
      <c r="H39" s="434">
        <f>'Summary '!L22</f>
        <v/>
      </c>
    </row>
    <row r="40">
      <c r="B40" s="402" t="n"/>
      <c r="C40" s="467" t="n"/>
      <c r="D40" s="467" t="n"/>
      <c r="E40" s="403" t="n"/>
      <c r="F40" s="416" t="inlineStr">
        <is>
          <t>Others</t>
        </is>
      </c>
      <c r="G40" s="467" t="n"/>
      <c r="H40" s="469" t="n"/>
    </row>
    <row r="41" ht="25.5" customHeight="1">
      <c r="B41" s="418" t="inlineStr">
        <is>
          <t>Flexi Cap - Funds</t>
        </is>
      </c>
      <c r="C41" s="424" t="inlineStr">
        <is>
          <t>3-Year Return</t>
        </is>
      </c>
      <c r="D41" s="424" t="inlineStr">
        <is>
          <t>1-Year Return</t>
        </is>
      </c>
      <c r="E41" s="396" t="n"/>
      <c r="F41" s="424" t="inlineStr">
        <is>
          <t>Multi Asset</t>
        </is>
      </c>
      <c r="G41" s="424" t="inlineStr">
        <is>
          <t>3-Year Return</t>
        </is>
      </c>
      <c r="H41" s="425" t="inlineStr">
        <is>
          <t>1-Year Return</t>
        </is>
      </c>
    </row>
    <row r="42" ht="25.5" customHeight="1">
      <c r="B42" s="421">
        <f>'Summary '!D20</f>
        <v/>
      </c>
      <c r="C42" s="457">
        <f>'Summary '!E20</f>
        <v/>
      </c>
      <c r="D42" s="457">
        <f>'Summary '!F20</f>
        <v/>
      </c>
      <c r="E42" s="396" t="n"/>
      <c r="F42" s="427" t="inlineStr">
        <is>
          <t>Nifty 500</t>
        </is>
      </c>
      <c r="G42" s="458">
        <f>VLOOKUP(F42,'[3]Table001 (Page 1-2)'!$A:$E,5,0)&amp;"%"</f>
        <v/>
      </c>
      <c r="H42" s="429">
        <f>VLOOKUP(F42,'[3]Table001 (Page 1-2)'!$A:$E,4,0)&amp;"%"</f>
        <v/>
      </c>
    </row>
    <row r="43">
      <c r="B43" s="421">
        <f>'Summary '!D21</f>
        <v/>
      </c>
      <c r="C43" s="457">
        <f>'Summary '!E21</f>
        <v/>
      </c>
      <c r="D43" s="457">
        <f>'Summary '!F21</f>
        <v/>
      </c>
      <c r="E43" s="396" t="n"/>
      <c r="F43" s="432">
        <f>'Summary '!D28</f>
        <v/>
      </c>
      <c r="G43" s="457">
        <f>'Summary '!E28</f>
        <v/>
      </c>
      <c r="H43" s="434">
        <f>'Summary '!F28</f>
        <v/>
      </c>
    </row>
    <row r="44" ht="25.5" customHeight="1">
      <c r="B44" s="421">
        <f>'Summary '!D22</f>
        <v/>
      </c>
      <c r="C44" s="457">
        <f>'Summary '!E22</f>
        <v/>
      </c>
      <c r="D44" s="457">
        <f>'Summary '!F22</f>
        <v/>
      </c>
      <c r="E44" s="396" t="n"/>
      <c r="F44" s="432">
        <f>'Summary '!D29</f>
        <v/>
      </c>
      <c r="G44" s="457">
        <f>'Summary '!E29</f>
        <v/>
      </c>
      <c r="H44" s="434">
        <f>'Summary '!F29</f>
        <v/>
      </c>
    </row>
    <row r="45" ht="25.5" customHeight="1">
      <c r="B45" s="435" t="inlineStr">
        <is>
          <t>SIP of 50000*36=1800000 , Maturity Value Would be</t>
        </is>
      </c>
      <c r="C45" s="437" t="n">
        <v>2669566</v>
      </c>
      <c r="D45" s="468" t="n"/>
      <c r="E45" s="396" t="n"/>
      <c r="F45" s="432">
        <f>'Summary '!D30</f>
        <v/>
      </c>
      <c r="G45" s="457">
        <f>'Summary '!E30</f>
        <v/>
      </c>
      <c r="H45" s="434">
        <f>'Summary '!F30</f>
        <v/>
      </c>
    </row>
    <row r="46">
      <c r="B46" s="404" t="n"/>
      <c r="C46" s="405" t="n"/>
      <c r="D46" s="405" t="n"/>
      <c r="E46" s="403" t="n"/>
      <c r="F46" s="403" t="n"/>
      <c r="G46" s="403" t="n"/>
      <c r="H46" s="406" t="n"/>
    </row>
    <row r="47" ht="25.5" customHeight="1">
      <c r="B47" s="418" t="inlineStr">
        <is>
          <t>Thematic</t>
        </is>
      </c>
      <c r="C47" s="424" t="inlineStr">
        <is>
          <t>3-Year Return</t>
        </is>
      </c>
      <c r="D47" s="425" t="inlineStr">
        <is>
          <t>1-Year Return</t>
        </is>
      </c>
      <c r="E47" s="407" t="n"/>
      <c r="F47" s="424" t="inlineStr">
        <is>
          <t>BAF</t>
        </is>
      </c>
      <c r="G47" s="424" t="inlineStr">
        <is>
          <t>3-Year Return</t>
        </is>
      </c>
      <c r="H47" s="425" t="inlineStr">
        <is>
          <t>1-Year Return</t>
        </is>
      </c>
    </row>
    <row r="48">
      <c r="B48" s="439" t="inlineStr">
        <is>
          <t>Nifty 500</t>
        </is>
      </c>
      <c r="C48" s="458">
        <f>VLOOKUP(B48,'[3]Table001 (Page 1-2)'!$A:$E,5,0)&amp;"%"</f>
        <v/>
      </c>
      <c r="D48" s="458">
        <f>VLOOKUP(B48,'[3]Table001 (Page 1-2)'!$A:$E,4,0)&amp;"%"</f>
        <v/>
      </c>
      <c r="E48" s="407" t="n"/>
      <c r="F48" s="427" t="inlineStr">
        <is>
          <t>Nifty 50</t>
        </is>
      </c>
      <c r="G48" s="458">
        <f>VLOOKUP(F48,'[3]Table001 (Page 1-2)'!$A:$E,5,0)&amp;"%"</f>
        <v/>
      </c>
      <c r="H48" s="429">
        <f>VLOOKUP(F48,'[3]Table001 (Page 1-2)'!$A:$E,4,0)&amp;"%"</f>
        <v/>
      </c>
    </row>
    <row r="49" ht="25.5" customHeight="1">
      <c r="B49" s="421">
        <f>'Summary '!D43</f>
        <v/>
      </c>
      <c r="C49" s="457">
        <f>'Summary '!E43</f>
        <v/>
      </c>
      <c r="D49" s="434">
        <f>'Summary '!F43</f>
        <v/>
      </c>
      <c r="E49" s="407" t="n"/>
      <c r="F49" s="432">
        <f>'Summary '!D24</f>
        <v/>
      </c>
      <c r="G49" s="457">
        <f>'Summary '!E24</f>
        <v/>
      </c>
      <c r="H49" s="434">
        <f>'Summary '!F24</f>
        <v/>
      </c>
    </row>
    <row r="50" ht="25.5" customHeight="1">
      <c r="B50" s="421">
        <f>'Summary '!D44</f>
        <v/>
      </c>
      <c r="C50" s="457">
        <f>'Summary '!E44</f>
        <v/>
      </c>
      <c r="D50" s="434">
        <f>'Summary '!F44</f>
        <v/>
      </c>
      <c r="E50" s="407" t="n"/>
      <c r="F50" s="432">
        <f>'Summary '!D25</f>
        <v/>
      </c>
      <c r="G50" s="457">
        <f>'Summary '!E25</f>
        <v/>
      </c>
      <c r="H50" s="434">
        <f>'Summary '!F25</f>
        <v/>
      </c>
    </row>
    <row r="51" ht="25.5" customHeight="1">
      <c r="B51" s="421">
        <f>'Summary '!D45</f>
        <v/>
      </c>
      <c r="C51" s="457">
        <f>'Summary '!E45</f>
        <v/>
      </c>
      <c r="D51" s="440">
        <f>'Summary '!F45</f>
        <v/>
      </c>
      <c r="E51" s="407" t="n"/>
      <c r="F51" s="432">
        <f>'Summary '!D26</f>
        <v/>
      </c>
      <c r="G51" s="457">
        <f>'Summary '!E26</f>
        <v/>
      </c>
      <c r="H51" s="434">
        <f>'Summary '!F26</f>
        <v/>
      </c>
    </row>
    <row r="52">
      <c r="B52" s="441" t="n"/>
      <c r="C52" s="442" t="n"/>
      <c r="D52" s="442" t="n"/>
      <c r="E52" s="442" t="n"/>
      <c r="F52" s="442" t="n"/>
      <c r="G52" s="442" t="n"/>
      <c r="H52" s="443" t="inlineStr">
        <is>
          <t>Page 1</t>
        </is>
      </c>
    </row>
  </sheetData>
  <mergeCells count="26">
    <mergeCell ref="C6:D6"/>
    <mergeCell ref="C5:D5"/>
    <mergeCell ref="C45:D45"/>
    <mergeCell ref="F26:H26"/>
    <mergeCell ref="E11:E17"/>
    <mergeCell ref="B40:D40"/>
    <mergeCell ref="B9:D9"/>
    <mergeCell ref="E6:E7"/>
    <mergeCell ref="C31:D31"/>
    <mergeCell ref="B3:H3"/>
    <mergeCell ref="B24:D24"/>
    <mergeCell ref="E5:H5"/>
    <mergeCell ref="B18:E18"/>
    <mergeCell ref="B32:D32"/>
    <mergeCell ref="B4:D4"/>
    <mergeCell ref="B2:H2"/>
    <mergeCell ref="F4:H4"/>
    <mergeCell ref="C17:D17"/>
    <mergeCell ref="C23:D23"/>
    <mergeCell ref="C39:D39"/>
    <mergeCell ref="B8:E8"/>
    <mergeCell ref="C7:D7"/>
    <mergeCell ref="F19:H19"/>
    <mergeCell ref="F40:H40"/>
    <mergeCell ref="F12:H12"/>
    <mergeCell ref="B10:E10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64"/>
  <sheetViews>
    <sheetView tabSelected="1" zoomScale="130" zoomScaleNormal="130" workbookViewId="0">
      <selection activeCell="B63" sqref="B2:E63"/>
    </sheetView>
  </sheetViews>
  <sheetFormatPr baseColWidth="8" defaultColWidth="8.7109375" defaultRowHeight="12.75"/>
  <cols>
    <col width="8.7109375" customWidth="1" style="444" min="1" max="1"/>
    <col width="24.42578125" bestFit="1" customWidth="1" style="444" min="2" max="2"/>
    <col width="11.85546875" customWidth="1" style="444" min="3" max="3"/>
    <col width="15.140625" bestFit="1" customWidth="1" style="444" min="4" max="4"/>
    <col width="12" customWidth="1" style="444" min="5" max="5"/>
    <col width="8.7109375" customWidth="1" style="444" min="6" max="8"/>
    <col width="8.7109375" customWidth="1" style="444" min="9" max="16384"/>
  </cols>
  <sheetData>
    <row r="2">
      <c r="B2" s="448" t="inlineStr">
        <is>
          <t>Financial Product Catalog: A Ready Reckoner , As on 18h July 2025</t>
        </is>
      </c>
      <c r="C2" s="467" t="n"/>
      <c r="D2" s="467" t="n"/>
      <c r="E2" s="468" t="n"/>
    </row>
    <row r="3">
      <c r="B3" s="445" t="n"/>
      <c r="C3" s="467" t="n"/>
      <c r="D3" s="467" t="n"/>
      <c r="E3" s="468" t="n"/>
    </row>
    <row r="4">
      <c r="B4" s="449" t="inlineStr">
        <is>
          <t>Credit ratings assessed by (e.g., CRISIL, ICRA, CARE)</t>
        </is>
      </c>
      <c r="C4" s="467" t="n"/>
      <c r="D4" s="467" t="n"/>
      <c r="E4" s="468" t="n"/>
    </row>
    <row r="5">
      <c r="B5" s="446" t="n"/>
      <c r="C5" s="467" t="n"/>
      <c r="D5" s="467" t="n"/>
      <c r="E5" s="468" t="n"/>
    </row>
    <row r="6">
      <c r="B6" s="450" t="inlineStr">
        <is>
          <t>Corporate FD's</t>
        </is>
      </c>
      <c r="C6" s="467" t="n"/>
      <c r="D6" s="467" t="n"/>
      <c r="E6" s="468" t="n"/>
    </row>
    <row r="7" ht="25.5" customHeight="1">
      <c r="B7" s="424" t="inlineStr">
        <is>
          <t>Institution</t>
        </is>
      </c>
      <c r="C7" s="424" t="inlineStr">
        <is>
          <t>3-Year FD Rate</t>
        </is>
      </c>
      <c r="D7" s="468" t="n"/>
      <c r="E7" s="424" t="inlineStr">
        <is>
          <t>1-Year FD Rate</t>
        </is>
      </c>
    </row>
    <row r="8">
      <c r="B8" s="451" t="inlineStr">
        <is>
          <t>SBI Bank FD</t>
        </is>
      </c>
      <c r="C8" s="453" t="inlineStr">
        <is>
          <t>6.70%-6.95%</t>
        </is>
      </c>
      <c r="D8" s="468" t="n"/>
      <c r="E8" s="453" t="inlineStr">
        <is>
          <t>6.30%-6.55%</t>
        </is>
      </c>
    </row>
    <row r="9" ht="13.5" customHeight="1">
      <c r="B9" s="432" t="inlineStr">
        <is>
          <t>Shriram Finance</t>
        </is>
      </c>
      <c r="C9" s="455" t="inlineStr">
        <is>
          <t>8.40% – 8.90%</t>
        </is>
      </c>
      <c r="D9" s="468" t="n"/>
      <c r="E9" s="455" t="inlineStr">
        <is>
          <t>7.65% – 8.15%</t>
        </is>
      </c>
    </row>
    <row r="10" ht="13.5" customHeight="1">
      <c r="B10" s="432" t="inlineStr">
        <is>
          <t>Bajaj Finance</t>
        </is>
      </c>
      <c r="C10" s="455" t="inlineStr">
        <is>
          <t>7.25% – 7.80%</t>
        </is>
      </c>
      <c r="D10" s="468" t="n"/>
      <c r="E10" s="455" t="inlineStr">
        <is>
          <t>7% – 8.55%</t>
        </is>
      </c>
    </row>
    <row r="11" ht="13.5" customHeight="1">
      <c r="B11" s="456" t="inlineStr">
        <is>
          <t>PNB Housing Finance</t>
        </is>
      </c>
      <c r="C11" s="455" t="inlineStr">
        <is>
          <t>7.65% – 7.90%</t>
        </is>
      </c>
      <c r="D11" s="468" t="n"/>
      <c r="E11" s="455" t="inlineStr">
        <is>
          <t>7.40% – 7.65%</t>
        </is>
      </c>
    </row>
    <row r="12" ht="13.5" customHeight="1">
      <c r="B12" s="432" t="inlineStr">
        <is>
          <t>ICICI Home Finance</t>
        </is>
      </c>
      <c r="C12" s="457" t="inlineStr">
        <is>
          <t>7.60% -7.85%</t>
        </is>
      </c>
      <c r="D12" s="468" t="n"/>
      <c r="E12" s="455" t="inlineStr">
        <is>
          <t>7.05% – 7.25%</t>
        </is>
      </c>
    </row>
    <row r="13" ht="13.5" customHeight="1">
      <c r="B13" s="456" t="inlineStr">
        <is>
          <t>LIC Housing Finance</t>
        </is>
      </c>
      <c r="C13" s="457" t="inlineStr">
        <is>
          <t>7.35% -7.60%</t>
        </is>
      </c>
      <c r="D13" s="468" t="n"/>
      <c r="E13" s="455" t="inlineStr">
        <is>
          <t>7.00% – 7.25%</t>
        </is>
      </c>
    </row>
    <row r="14">
      <c r="B14" s="450" t="inlineStr">
        <is>
          <t>Capital Gain Bonds/NCD</t>
        </is>
      </c>
      <c r="C14" s="467" t="n"/>
      <c r="D14" s="467" t="n"/>
      <c r="E14" s="468" t="n"/>
    </row>
    <row r="15">
      <c r="B15" s="424" t="inlineStr">
        <is>
          <t>Index Name</t>
        </is>
      </c>
      <c r="C15" s="424" t="inlineStr">
        <is>
          <t>5-Year Return</t>
        </is>
      </c>
      <c r="D15" s="467" t="n"/>
      <c r="E15" s="468" t="n"/>
    </row>
    <row r="16" ht="25.5" customHeight="1">
      <c r="B16" s="438" t="inlineStr">
        <is>
          <t>NIFTY 10 Year Benchmark G-Sec Index</t>
        </is>
      </c>
      <c r="C16" s="458" t="n">
        <v>0.0552</v>
      </c>
      <c r="D16" s="467" t="n"/>
      <c r="E16" s="468" t="n"/>
    </row>
    <row r="17">
      <c r="B17" s="424" t="inlineStr">
        <is>
          <t>Issuer</t>
        </is>
      </c>
      <c r="C17" s="424" t="inlineStr">
        <is>
          <t>Interest Rate</t>
        </is>
      </c>
      <c r="D17" s="424" t="inlineStr">
        <is>
          <t>Tenure</t>
        </is>
      </c>
      <c r="E17" s="468" t="n"/>
    </row>
    <row r="18">
      <c r="B18" s="432" t="inlineStr">
        <is>
          <t>IRFC</t>
        </is>
      </c>
      <c r="C18" s="455" t="inlineStr">
        <is>
          <t>5.25% p.a.</t>
        </is>
      </c>
      <c r="D18" s="455" t="inlineStr">
        <is>
          <t>5 years</t>
        </is>
      </c>
      <c r="E18" s="468" t="n"/>
    </row>
    <row r="19">
      <c r="B19" s="432" t="inlineStr">
        <is>
          <t>PFC</t>
        </is>
      </c>
      <c r="C19" s="455" t="inlineStr">
        <is>
          <t>5.25% p.a.</t>
        </is>
      </c>
      <c r="D19" s="455" t="inlineStr">
        <is>
          <t>5 years</t>
        </is>
      </c>
      <c r="E19" s="468" t="n"/>
    </row>
    <row r="20">
      <c r="B20" s="432" t="inlineStr">
        <is>
          <t>REC</t>
        </is>
      </c>
      <c r="C20" s="455" t="inlineStr">
        <is>
          <t>5.25% p.a.</t>
        </is>
      </c>
      <c r="D20" s="455" t="inlineStr">
        <is>
          <t>5 years</t>
        </is>
      </c>
      <c r="E20" s="468" t="n"/>
    </row>
    <row r="21">
      <c r="B21" s="446" t="n"/>
      <c r="C21" s="467" t="n"/>
      <c r="D21" s="467" t="n"/>
      <c r="E21" s="468" t="n"/>
    </row>
    <row r="22">
      <c r="B22" s="450" t="inlineStr">
        <is>
          <t>RBI Floating Rate Savings Bond</t>
        </is>
      </c>
      <c r="C22" s="468" t="n"/>
      <c r="D22" s="450" t="inlineStr">
        <is>
          <t>Interest Rate</t>
        </is>
      </c>
      <c r="E22" s="468" t="n"/>
    </row>
    <row r="23">
      <c r="B23" s="455" t="inlineStr">
        <is>
          <t>HDFC</t>
        </is>
      </c>
      <c r="C23" s="468" t="n"/>
      <c r="D23" s="455" t="inlineStr">
        <is>
          <t>7.90% p.a.</t>
        </is>
      </c>
      <c r="E23" s="468" t="n"/>
    </row>
    <row r="24">
      <c r="B24" s="446" t="n"/>
      <c r="C24" s="467" t="n"/>
      <c r="D24" s="467" t="n"/>
      <c r="E24" s="468" t="n"/>
    </row>
    <row r="25">
      <c r="B25" s="449" t="inlineStr">
        <is>
          <t>Portfolio Management Services</t>
        </is>
      </c>
      <c r="C25" s="467" t="n"/>
      <c r="D25" s="467" t="n"/>
      <c r="E25" s="468" t="n"/>
    </row>
    <row r="26">
      <c r="B26" s="446" t="n"/>
      <c r="C26" s="467" t="n"/>
      <c r="D26" s="467" t="n"/>
      <c r="E26" s="468" t="n"/>
    </row>
    <row r="27">
      <c r="B27" s="423" t="inlineStr">
        <is>
          <t>Large Cap/Multi Cap</t>
        </is>
      </c>
      <c r="C27" s="424" t="inlineStr">
        <is>
          <t>3-Year Return</t>
        </is>
      </c>
      <c r="D27" s="468" t="n"/>
      <c r="E27" s="424" t="inlineStr">
        <is>
          <t>1-Year Return</t>
        </is>
      </c>
    </row>
    <row r="28">
      <c r="B28" s="438" t="inlineStr">
        <is>
          <t>NIFTY 50</t>
        </is>
      </c>
      <c r="C28" s="458">
        <f>'Table 1'!C12</f>
        <v/>
      </c>
      <c r="D28" s="468" t="n"/>
      <c r="E28" s="458">
        <f>'Table 1'!D12</f>
        <v/>
      </c>
    </row>
    <row r="29">
      <c r="B29" s="424" t="inlineStr">
        <is>
          <t>Scheme Name</t>
        </is>
      </c>
      <c r="C29" s="424" t="inlineStr">
        <is>
          <t>3-Year Return</t>
        </is>
      </c>
      <c r="D29" s="468" t="n"/>
      <c r="E29" s="424" t="inlineStr">
        <is>
          <t>1-Year Return</t>
        </is>
      </c>
    </row>
    <row r="30" ht="25.5" customHeight="1">
      <c r="B30" s="432" t="inlineStr">
        <is>
          <t>ICICI Prudential Large Cap Strategy</t>
        </is>
      </c>
      <c r="C30" s="457" t="n">
        <v>0.2903</v>
      </c>
      <c r="D30" s="468" t="n"/>
      <c r="E30" s="457" t="n">
        <v>0.0566</v>
      </c>
    </row>
    <row r="31" ht="25.5" customHeight="1">
      <c r="B31" s="432" t="inlineStr">
        <is>
          <t>White Oak India Pioneers Equity Portfolio</t>
        </is>
      </c>
      <c r="C31" s="457" t="n">
        <v>0.1969</v>
      </c>
      <c r="D31" s="468" t="n"/>
      <c r="E31" s="457" t="n">
        <v>0.0871</v>
      </c>
    </row>
    <row r="32">
      <c r="B32" s="446" t="n"/>
      <c r="C32" s="467" t="n"/>
      <c r="D32" s="467" t="n"/>
      <c r="E32" s="468" t="n"/>
    </row>
    <row r="33">
      <c r="B33" s="424" t="inlineStr">
        <is>
          <t>Midcap</t>
        </is>
      </c>
      <c r="C33" s="424" t="inlineStr">
        <is>
          <t>3-Year Return</t>
        </is>
      </c>
      <c r="D33" s="468" t="n"/>
      <c r="E33" s="424" t="inlineStr">
        <is>
          <t>1-Year Return</t>
        </is>
      </c>
    </row>
    <row r="34">
      <c r="B34" s="438" t="inlineStr">
        <is>
          <t>NIFTY Midcap 150</t>
        </is>
      </c>
      <c r="C34" s="458">
        <f>VLOOKUP(B34,'[3]Table001 (Page 1-2)'!$A:$E,5,0)&amp;"%"</f>
        <v/>
      </c>
      <c r="D34" s="468" t="n"/>
      <c r="E34" s="458">
        <f>VLOOKUP(B34,'[3]Table001 (Page 1-2)'!$A:$E,4,0)&amp;"%"</f>
        <v/>
      </c>
    </row>
    <row r="35">
      <c r="B35" s="424" t="inlineStr">
        <is>
          <t>Scheme Name</t>
        </is>
      </c>
      <c r="C35" s="424" t="inlineStr">
        <is>
          <t>3-Year Return</t>
        </is>
      </c>
      <c r="D35" s="468" t="n"/>
      <c r="E35" s="424" t="inlineStr">
        <is>
          <t>1-Year Return</t>
        </is>
      </c>
    </row>
    <row r="36" ht="25.5" customHeight="1">
      <c r="B36" s="432" t="inlineStr">
        <is>
          <t>ICICI Prudential PIPE Strategy (Mid &amp; Small Cap)</t>
        </is>
      </c>
      <c r="C36" s="457" t="n">
        <v>0.3313</v>
      </c>
      <c r="D36" s="468" t="n"/>
      <c r="E36" s="457" t="n">
        <v>0.0379</v>
      </c>
    </row>
    <row r="37" ht="25.5" customHeight="1">
      <c r="B37" s="432" t="inlineStr">
        <is>
          <t>White Oak India Digital Leaders Portfolio</t>
        </is>
      </c>
      <c r="C37" s="457" t="n">
        <v>0.1924</v>
      </c>
      <c r="D37" s="468" t="n"/>
      <c r="E37" s="457" t="n">
        <v>0.1471</v>
      </c>
    </row>
    <row r="38">
      <c r="B38" s="446" t="n"/>
      <c r="C38" s="467" t="n"/>
      <c r="D38" s="467" t="n"/>
      <c r="E38" s="468" t="n"/>
    </row>
    <row r="39">
      <c r="B39" s="424" t="inlineStr">
        <is>
          <t>Smallcap</t>
        </is>
      </c>
      <c r="C39" s="424" t="inlineStr">
        <is>
          <t>3-Year Return</t>
        </is>
      </c>
      <c r="D39" s="468" t="n"/>
      <c r="E39" s="424" t="inlineStr">
        <is>
          <t>1-Year Return</t>
        </is>
      </c>
    </row>
    <row r="40">
      <c r="B40" s="438" t="inlineStr">
        <is>
          <t>NIFTY Smallcap 250</t>
        </is>
      </c>
      <c r="C40" s="458">
        <f>VLOOKUP(B40,'[3]Table001 (Page 1-2)'!$A:$E,5,0)&amp;"%"</f>
        <v/>
      </c>
      <c r="D40" s="468" t="n"/>
      <c r="E40" s="458">
        <f>VLOOKUP(B40,'[3]Table001 (Page 1-2)'!$A:$E,4,0)&amp;"%"</f>
        <v/>
      </c>
    </row>
    <row r="41">
      <c r="B41" s="424" t="inlineStr">
        <is>
          <t>Scheme Name</t>
        </is>
      </c>
      <c r="C41" s="424" t="inlineStr">
        <is>
          <t>3-Year Return</t>
        </is>
      </c>
      <c r="D41" s="468" t="n"/>
      <c r="E41" s="424" t="inlineStr">
        <is>
          <t>1-Year Return</t>
        </is>
      </c>
    </row>
    <row r="42" ht="25.5" customHeight="1">
      <c r="B42" s="432" t="inlineStr">
        <is>
          <t>ICICI Prudential PIPE Strategy (Mid &amp; Small Cap)</t>
        </is>
      </c>
      <c r="C42" s="457" t="n">
        <v>0.3313</v>
      </c>
      <c r="D42" s="468" t="n"/>
      <c r="E42" s="457" t="n">
        <v>0.0379</v>
      </c>
    </row>
    <row r="43" ht="25.5" customHeight="1">
      <c r="B43" s="432" t="inlineStr">
        <is>
          <t>Kotak Mahindra Mid &amp; Small Cap Strategy</t>
        </is>
      </c>
      <c r="C43" s="457" t="n">
        <v>0.1856</v>
      </c>
      <c r="D43" s="468" t="n"/>
      <c r="E43" s="457" t="n">
        <v>-0.07199999999999999</v>
      </c>
    </row>
    <row r="44">
      <c r="B44" s="446" t="n"/>
      <c r="C44" s="467" t="n"/>
      <c r="D44" s="467" t="n"/>
      <c r="E44" s="468" t="n"/>
    </row>
    <row r="45">
      <c r="B45" s="449" t="inlineStr">
        <is>
          <t>Alternative Investment Fund</t>
        </is>
      </c>
      <c r="C45" s="467" t="n"/>
      <c r="D45" s="467" t="n"/>
      <c r="E45" s="468" t="n"/>
    </row>
    <row r="46" ht="25.5" customHeight="1">
      <c r="B46" s="424" t="inlineStr">
        <is>
          <t>AIF - Fund</t>
        </is>
      </c>
      <c r="C46" s="424" t="inlineStr">
        <is>
          <t>Investment Strategy</t>
        </is>
      </c>
      <c r="D46" s="424" t="inlineStr">
        <is>
          <t>2-Year Return</t>
        </is>
      </c>
      <c r="E46" s="424" t="inlineStr">
        <is>
          <t>1-Year Return</t>
        </is>
      </c>
    </row>
    <row r="47" ht="25.5" customHeight="1">
      <c r="B47" s="432" t="inlineStr">
        <is>
          <t>ICICI Prudential Equity Opportunities Fund</t>
        </is>
      </c>
      <c r="C47" s="455" t="inlineStr">
        <is>
          <t>Contrarian Investing</t>
        </is>
      </c>
      <c r="D47" s="457" t="n">
        <v>0.2648</v>
      </c>
      <c r="E47" s="457" t="n">
        <v>0.0476</v>
      </c>
    </row>
    <row r="48" ht="25.5" customHeight="1">
      <c r="B48" s="432" t="inlineStr">
        <is>
          <t>ICICI Prudential Enhanced Dynamic Equity Fund</t>
        </is>
      </c>
      <c r="C48" s="455" t="inlineStr">
        <is>
          <t>Derivative Strategies</t>
        </is>
      </c>
      <c r="D48" s="457" t="n">
        <v>0.2132</v>
      </c>
      <c r="E48" s="457" t="n">
        <v>0.0699</v>
      </c>
    </row>
    <row r="49">
      <c r="B49" s="446" t="n"/>
      <c r="C49" s="467" t="n"/>
      <c r="D49" s="467" t="n"/>
      <c r="E49" s="468" t="n"/>
    </row>
    <row r="50">
      <c r="B50" s="449" t="inlineStr">
        <is>
          <t>REITs &amp; INVITs</t>
        </is>
      </c>
      <c r="C50" s="467" t="n"/>
      <c r="D50" s="467" t="n"/>
      <c r="E50" s="468" t="n"/>
    </row>
    <row r="51" ht="25.5" customHeight="1">
      <c r="B51" s="424" t="inlineStr">
        <is>
          <t>REIT Stock</t>
        </is>
      </c>
      <c r="C51" s="468" t="n"/>
      <c r="D51" s="424" t="inlineStr">
        <is>
          <t>1-Yr  Div in rs (Last 4 qtr)</t>
        </is>
      </c>
      <c r="E51" s="424" t="inlineStr">
        <is>
          <t>01 Yr Mkt Ret</t>
        </is>
      </c>
    </row>
    <row r="52">
      <c r="B52" s="432" t="inlineStr">
        <is>
          <t>Embassy Office Parks REIT</t>
        </is>
      </c>
      <c r="C52" s="468" t="n"/>
      <c r="D52" s="459" t="n">
        <v>23.01</v>
      </c>
      <c r="E52" s="457" t="n">
        <v>0.07000000000000001</v>
      </c>
    </row>
    <row r="53">
      <c r="B53" s="432" t="inlineStr">
        <is>
          <t>Mindspace Business Parks REIT</t>
        </is>
      </c>
      <c r="C53" s="468" t="n"/>
      <c r="D53" s="459" t="n">
        <v>21.95</v>
      </c>
      <c r="E53" s="457" t="n">
        <v>0.23</v>
      </c>
    </row>
    <row r="54">
      <c r="B54" s="432" t="inlineStr">
        <is>
          <t>Brookfield India Real Estate Trust (BIRET)</t>
        </is>
      </c>
      <c r="C54" s="468" t="n"/>
      <c r="D54" s="459" t="n">
        <v>19.25</v>
      </c>
      <c r="E54" s="457" t="n">
        <v>0.14</v>
      </c>
    </row>
    <row r="55" ht="25.5" customHeight="1">
      <c r="B55" s="424" t="inlineStr">
        <is>
          <t>INVITs</t>
        </is>
      </c>
      <c r="C55" s="468" t="n"/>
      <c r="D55" s="424" t="inlineStr">
        <is>
          <t>1-Yr  Div in rs (Last 4 qtr)</t>
        </is>
      </c>
      <c r="E55" s="424" t="inlineStr">
        <is>
          <t>01 Yr Mkt Ret</t>
        </is>
      </c>
    </row>
    <row r="56">
      <c r="B56" s="432" t="inlineStr">
        <is>
          <t>IndiGrid (India Grid Trust)</t>
        </is>
      </c>
      <c r="C56" s="468" t="n"/>
      <c r="D56" s="459" t="n">
        <v>15.35</v>
      </c>
      <c r="E56" s="457" t="n">
        <v>0.12</v>
      </c>
    </row>
    <row r="57">
      <c r="B57" s="432" t="inlineStr">
        <is>
          <t>PowerGrid Infrastructure Investment Trust (PGInvIT)</t>
        </is>
      </c>
      <c r="C57" s="468" t="n"/>
      <c r="D57" s="460" t="n">
        <v>12</v>
      </c>
      <c r="E57" s="457" t="n">
        <v>-0.03</v>
      </c>
    </row>
    <row r="58">
      <c r="B58" s="432" t="inlineStr">
        <is>
          <t>IRB InvIT Fund</t>
        </is>
      </c>
      <c r="C58" s="468" t="n"/>
      <c r="D58" s="460" t="n">
        <v>8</v>
      </c>
      <c r="E58" s="457" t="n">
        <v>-0.08</v>
      </c>
    </row>
    <row r="59">
      <c r="B59" s="446" t="n"/>
      <c r="C59" s="467" t="n"/>
      <c r="D59" s="467" t="n"/>
      <c r="E59" s="468" t="n"/>
    </row>
    <row r="60">
      <c r="B60" s="449" t="inlineStr">
        <is>
          <t>Contact Zuari Finserv Ltd</t>
        </is>
      </c>
      <c r="C60" s="467" t="n"/>
      <c r="D60" s="467" t="n"/>
      <c r="E60" s="468" t="n"/>
    </row>
    <row r="61">
      <c r="B61" s="438" t="inlineStr">
        <is>
          <t>RM Name</t>
        </is>
      </c>
      <c r="C61" s="447" t="n"/>
      <c r="D61" s="467" t="n"/>
      <c r="E61" s="468" t="n"/>
    </row>
    <row r="62">
      <c r="B62" s="438" t="inlineStr">
        <is>
          <t>Contact No.-</t>
        </is>
      </c>
      <c r="C62" s="447" t="n"/>
      <c r="D62" s="467" t="n"/>
      <c r="E62" s="468" t="n"/>
    </row>
    <row r="63">
      <c r="B63" s="446" t="n"/>
      <c r="C63" s="467" t="n"/>
      <c r="D63" s="467" t="n"/>
      <c r="E63" s="468" t="n"/>
      <c r="F63" s="461" t="n"/>
      <c r="G63" s="462" t="n"/>
      <c r="H63" s="462" t="n"/>
      <c r="J63" s="462" t="inlineStr">
        <is>
          <t>Page 2</t>
        </is>
      </c>
    </row>
    <row r="64">
      <c r="F64" s="462" t="n"/>
      <c r="G64" s="462" t="n"/>
      <c r="H64" s="462" t="n"/>
      <c r="I64" s="462" t="n"/>
    </row>
  </sheetData>
  <mergeCells count="61">
    <mergeCell ref="C16:E16"/>
    <mergeCell ref="D20:E20"/>
    <mergeCell ref="C34:D34"/>
    <mergeCell ref="B54:C54"/>
    <mergeCell ref="C30:D30"/>
    <mergeCell ref="B49:E49"/>
    <mergeCell ref="D19:E19"/>
    <mergeCell ref="C33:D33"/>
    <mergeCell ref="B6:E6"/>
    <mergeCell ref="C42:D42"/>
    <mergeCell ref="B22:C22"/>
    <mergeCell ref="D22:E22"/>
    <mergeCell ref="B5:E5"/>
    <mergeCell ref="B24:E24"/>
    <mergeCell ref="B56:C56"/>
    <mergeCell ref="C35:D35"/>
    <mergeCell ref="B32:E32"/>
    <mergeCell ref="B58:C58"/>
    <mergeCell ref="B63:E63"/>
    <mergeCell ref="B52:C52"/>
    <mergeCell ref="B45:E45"/>
    <mergeCell ref="B26:E26"/>
    <mergeCell ref="C29:D29"/>
    <mergeCell ref="C10:D10"/>
    <mergeCell ref="B4:E4"/>
    <mergeCell ref="B50:E50"/>
    <mergeCell ref="C61:E61"/>
    <mergeCell ref="C41:D41"/>
    <mergeCell ref="B23:C23"/>
    <mergeCell ref="B25:E25"/>
    <mergeCell ref="B3:E3"/>
    <mergeCell ref="B59:E59"/>
    <mergeCell ref="C9:D9"/>
    <mergeCell ref="C40:D40"/>
    <mergeCell ref="C31:D31"/>
    <mergeCell ref="D17:E17"/>
    <mergeCell ref="B57:C57"/>
    <mergeCell ref="B53:C53"/>
    <mergeCell ref="C43:D43"/>
    <mergeCell ref="C12:D12"/>
    <mergeCell ref="C11:D11"/>
    <mergeCell ref="C27:D27"/>
    <mergeCell ref="B21:E21"/>
    <mergeCell ref="C36:D36"/>
    <mergeCell ref="B2:E2"/>
    <mergeCell ref="D18:E18"/>
    <mergeCell ref="C15:E15"/>
    <mergeCell ref="C39:D39"/>
    <mergeCell ref="C8:D8"/>
    <mergeCell ref="B14:E14"/>
    <mergeCell ref="B60:E60"/>
    <mergeCell ref="C62:E62"/>
    <mergeCell ref="B55:C55"/>
    <mergeCell ref="C7:D7"/>
    <mergeCell ref="B51:C51"/>
    <mergeCell ref="B38:E38"/>
    <mergeCell ref="D23:E23"/>
    <mergeCell ref="C37:D37"/>
    <mergeCell ref="B44:E44"/>
    <mergeCell ref="C28:D28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7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18"/>
    <col width="8.7109375" customWidth="1" style="115" min="19" max="16384"/>
  </cols>
  <sheetData>
    <row r="1" ht="15" customHeight="1" thickBot="1"/>
    <row r="2">
      <c r="B2" s="334" t="inlineStr">
        <is>
          <t>Equity</t>
        </is>
      </c>
      <c r="C2" s="335" t="n"/>
      <c r="D2" s="335" t="n"/>
      <c r="E2" s="335" t="n"/>
      <c r="F2" s="336" t="n"/>
      <c r="H2" s="334" t="inlineStr">
        <is>
          <t>Debt</t>
        </is>
      </c>
      <c r="I2" s="335" t="n"/>
      <c r="J2" s="335" t="n"/>
      <c r="K2" s="335" t="n"/>
      <c r="L2" s="336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31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31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32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32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33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33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31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31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32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32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33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33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31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31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32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32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33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33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31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31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32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32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33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33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31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37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32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32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33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38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31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32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33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40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32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32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39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32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32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32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32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32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32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32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32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32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37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32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38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18"/>
    <col width="8.7109375" customWidth="1" style="15" min="19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45" t="inlineStr">
        <is>
          <t>Investor Profile</t>
        </is>
      </c>
      <c r="J3" s="342" t="n"/>
      <c r="K3" s="342" t="n"/>
      <c r="L3" s="342" t="n"/>
    </row>
    <row r="4" ht="14.45" customHeight="1" thickBot="1">
      <c r="B4" s="344" t="inlineStr">
        <is>
          <t>Personal &amp; Financial Information</t>
        </is>
      </c>
      <c r="C4" s="335" t="n"/>
      <c r="D4" s="335" t="n"/>
      <c r="E4" s="336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41" t="inlineStr">
        <is>
          <t>Model Portfolio</t>
        </is>
      </c>
      <c r="J18" s="342" t="n"/>
      <c r="K18" s="342" t="n"/>
      <c r="L18" s="343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44" t="inlineStr">
        <is>
          <t>Investment Objective</t>
        </is>
      </c>
      <c r="C25" s="335" t="n"/>
      <c r="D25" s="335" t="n"/>
      <c r="E25" s="336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44" t="inlineStr">
        <is>
          <t>Risk Appetite</t>
        </is>
      </c>
      <c r="C34" s="335" t="n"/>
      <c r="D34" s="335" t="n"/>
      <c r="E34" s="336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44" t="inlineStr">
        <is>
          <t>Market Experience</t>
        </is>
      </c>
      <c r="C37" s="335" t="n"/>
      <c r="D37" s="335" t="n"/>
      <c r="E37" s="336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54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51">
        <f>HLOOKUP('Investor Persona'!$E$4, 'Investor Profile'!$I$19:$L$23,F$2,FALSE)</f>
        <v/>
      </c>
      <c r="G4" s="351">
        <f>HLOOKUP('Investor Persona'!$E$4, 'Investor Profile'!$I$19:$L$23,G$2,FALSE)</f>
        <v/>
      </c>
      <c r="H4" s="351">
        <f>HLOOKUP('Investor Persona'!$E$4, 'Investor Profile'!$I$19:$L$23,H$2,FALSE)</f>
        <v/>
      </c>
      <c r="I4" s="346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54">
        <f>IF(SUM($D$5:$D$7)&lt;5,"Limited Resources",IF(SUM($D$5:$D$7)&lt;=8,"Stable Financials",IF(SUM($D$5:$D$7)&lt;=12,"Affluent",IF(SUM($D$5:$D$7)&gt;=13,"HNI/UHNI",""))))</f>
        <v/>
      </c>
      <c r="F5" s="351">
        <f>HLOOKUP('Investor Persona'!$E$5, 'Investor Profile'!$I$24:$L$28,F$2,FALSE)</f>
        <v/>
      </c>
      <c r="G5" s="351">
        <f>HLOOKUP('Investor Persona'!$E$5, 'Investor Profile'!$I$24:$L$28,G$2,FALSE)</f>
        <v/>
      </c>
      <c r="H5" s="351">
        <f>HLOOKUP('Investor Persona'!$E$5, 'Investor Profile'!$I$24:$L$28,H$2,FALSE)</f>
        <v/>
      </c>
      <c r="I5" s="346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55" t="n"/>
      <c r="F6" s="352" t="n"/>
      <c r="G6" s="352" t="n"/>
      <c r="H6" s="352" t="n"/>
      <c r="I6" s="347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356" t="n"/>
      <c r="F7" s="353" t="n"/>
      <c r="G7" s="353" t="n"/>
      <c r="H7" s="353" t="n"/>
      <c r="I7" s="348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54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51">
        <f>HLOOKUP('Investor Persona'!$E$8, 'Investor Profile'!$I$29:$L$33,F$2,FALSE)</f>
        <v/>
      </c>
      <c r="G8" s="351">
        <f>HLOOKUP('Investor Persona'!$E$8, 'Investor Profile'!$I$29:$L$33,G$2,FALSE)</f>
        <v/>
      </c>
      <c r="H8" s="351">
        <f>HLOOKUP('Investor Persona'!$E$8, 'Investor Profile'!$I$29:$L$33,H$2,FALSE)</f>
        <v/>
      </c>
      <c r="I8" s="346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54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51">
        <f>HLOOKUP('Investor Persona'!$E$9, 'Investor Profile'!$I$34:$L$38,F$2,FALSE)</f>
        <v/>
      </c>
      <c r="G9" s="351">
        <f>HLOOKUP('Investor Persona'!$E$9, 'Investor Profile'!$I$34:$L$38,G$2,FALSE)</f>
        <v/>
      </c>
      <c r="H9" s="351">
        <f>HLOOKUP('Investor Persona'!$E$9, 'Investor Profile'!$I$34:$L$38,H$2,FALSE)</f>
        <v/>
      </c>
      <c r="I9" s="346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51">
        <f>HLOOKUP('Investor Persona'!$E$10,'Investor Profile'!$I$39:$J$43,F$2,FALSE)</f>
        <v/>
      </c>
      <c r="G10" s="351">
        <f>HLOOKUP('Investor Persona'!$E$10,'Investor Profile'!$I$39:$J$43,G$2,FALSE)</f>
        <v/>
      </c>
      <c r="H10" s="351">
        <f>HLOOKUP('Investor Persona'!$E$10,'Investor Profile'!$I$39:$J$43,H$2,FALSE)</f>
        <v/>
      </c>
      <c r="I10" s="346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54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49">
        <f>HLOOKUP('Investor Persona'!$E$11,'Investor Profile'!$I$44:$L$48,F$2,FALSE)</f>
        <v/>
      </c>
      <c r="G11" s="349">
        <f>HLOOKUP('Investor Persona'!$E$11,'Investor Profile'!$I$44:$L$48,G$2,FALSE)</f>
        <v/>
      </c>
      <c r="H11" s="349">
        <f>HLOOKUP('Investor Persona'!$E$11,'Investor Profile'!$I$44:$L$48,H$2,FALSE)</f>
        <v/>
      </c>
      <c r="I11" s="357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356" t="n"/>
      <c r="F12" s="350" t="n"/>
      <c r="G12" s="350" t="n"/>
      <c r="H12" s="350" t="n"/>
      <c r="I12" s="358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359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59" t="inlineStr">
        <is>
          <t>Normalized</t>
        </is>
      </c>
      <c r="N4" s="360" t="n"/>
      <c r="O4" s="360" t="n"/>
      <c r="P4" s="360" t="n"/>
      <c r="Q4" s="360" t="n"/>
      <c r="R4" s="360" t="n"/>
      <c r="S4" s="360" t="n"/>
      <c r="T4" s="360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364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-2.002</v>
      </c>
      <c r="F6" s="248" t="n">
        <v>11.2256</v>
      </c>
      <c r="G6" s="248" t="n">
        <v>11.1189</v>
      </c>
      <c r="H6" s="248" t="n">
        <v>11.8935</v>
      </c>
      <c r="I6" s="248" t="n">
        <v>0.0498882880328708</v>
      </c>
      <c r="J6" s="248" t="n">
        <v>0.0592992693622142</v>
      </c>
      <c r="K6" s="248" t="n">
        <v>1.00511050331088</v>
      </c>
      <c r="L6" s="248" t="n">
        <v>12.1367130706058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-0.4423</v>
      </c>
      <c r="F7" s="248" t="n">
        <v>11.4781</v>
      </c>
      <c r="G7" s="248" t="n">
        <v>12.4019</v>
      </c>
      <c r="H7" s="248" t="n">
        <v>12.791</v>
      </c>
      <c r="I7" s="249" t="n">
        <v>0.0527280611306765</v>
      </c>
      <c r="J7" s="249" t="n">
        <v>0.0887507386742105</v>
      </c>
      <c r="K7" s="249" t="n">
        <v>0.940654408960214</v>
      </c>
      <c r="L7" s="249" t="n">
        <v>11.3773506259771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-0.4865</v>
      </c>
      <c r="F8" s="248" t="n">
        <v>13.8612</v>
      </c>
      <c r="G8" s="248" t="n">
        <v>13.5597</v>
      </c>
      <c r="H8" s="248" t="n">
        <v>13.8737</v>
      </c>
      <c r="I8" s="249" t="n">
        <v>0.0689976846072493</v>
      </c>
      <c r="J8" s="249" t="n">
        <v>0.273771509719886</v>
      </c>
      <c r="K8" s="249" t="n">
        <v>0.9361166334129289</v>
      </c>
      <c r="L8" s="249" t="n">
        <v>11.3403887635437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-0.5757</v>
      </c>
      <c r="F9" s="248" t="n">
        <v>11.7087</v>
      </c>
      <c r="G9" s="248" t="n">
        <v>10.7128</v>
      </c>
      <c r="H9" s="248" t="n">
        <v>12.3551</v>
      </c>
      <c r="I9" s="249" t="n">
        <v>0.0510615809089287</v>
      </c>
      <c r="J9" s="249" t="n">
        <v>0.0765244362647869</v>
      </c>
      <c r="K9" s="249" t="n">
        <v>1.00258828064789</v>
      </c>
      <c r="L9" s="249" t="n">
        <v>12.1683349526496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0.4303</v>
      </c>
      <c r="F10" s="248" t="n">
        <v>13.9831</v>
      </c>
      <c r="G10" s="248" t="n">
        <v>15.4461</v>
      </c>
      <c r="H10" s="248" t="n">
        <v>14.4275</v>
      </c>
      <c r="I10" s="249" t="n">
        <v>0.06656139649735331</v>
      </c>
      <c r="J10" s="249" t="n">
        <v>0.264385140067819</v>
      </c>
      <c r="K10" s="249" t="n">
        <v>0.990268806019464</v>
      </c>
      <c r="L10" s="249" t="n">
        <v>12.058927023707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2.9892</v>
      </c>
      <c r="F11" s="248" t="n">
        <v>10.9705</v>
      </c>
      <c r="G11" s="248" t="n">
        <v>11.5415</v>
      </c>
      <c r="H11" s="248" t="n">
        <v>12.193</v>
      </c>
      <c r="I11" s="249" t="n">
        <v>0.0517277327721584</v>
      </c>
      <c r="J11" s="249" t="n">
        <v>0.0809178833703479</v>
      </c>
      <c r="K11" s="249" t="n">
        <v>0.905604935781902</v>
      </c>
      <c r="L11" s="249" t="n">
        <v>11.0805472046964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-3.5665</v>
      </c>
      <c r="F12" s="251" t="n">
        <v>8.9278</v>
      </c>
      <c r="G12" s="251" t="n">
        <v>8.5846</v>
      </c>
      <c r="H12" s="251" t="n">
        <v>11.3686</v>
      </c>
      <c r="I12" s="250" t="n">
        <v>0.0361137699151596</v>
      </c>
      <c r="J12" s="250" t="n">
        <v>-0.102106142449276</v>
      </c>
      <c r="K12" s="250" t="n">
        <v>0.963590502782689</v>
      </c>
      <c r="L12" s="250" t="n">
        <v>11.6760557570084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359" t="inlineStr">
        <is>
          <t>Actuals</t>
        </is>
      </c>
      <c r="F15" s="360" t="n"/>
      <c r="G15" s="360" t="n"/>
      <c r="H15" s="360" t="n"/>
      <c r="I15" s="360" t="n"/>
      <c r="J15" s="360" t="n"/>
      <c r="K15" s="360" t="n"/>
      <c r="L15" s="360" t="n"/>
      <c r="M15" s="359" t="inlineStr">
        <is>
          <t>Normalized</t>
        </is>
      </c>
      <c r="N15" s="360" t="n"/>
      <c r="O15" s="360" t="n"/>
      <c r="P15" s="360" t="n"/>
      <c r="Q15" s="360" t="n"/>
      <c r="R15" s="360" t="n"/>
      <c r="S15" s="360" t="n"/>
      <c r="T15" s="360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5.387</v>
      </c>
      <c r="F17" s="252" t="n">
        <v>14.3265</v>
      </c>
      <c r="G17" s="248" t="n">
        <v>14.6185</v>
      </c>
      <c r="H17" s="248" t="n">
        <v>14.9006</v>
      </c>
      <c r="I17" s="249" t="n">
        <v>0.0716062199584217</v>
      </c>
      <c r="J17" s="249" t="n">
        <v>0.102375560584229</v>
      </c>
      <c r="K17" s="249" t="n">
        <v>0.845840712085506</v>
      </c>
      <c r="L17" s="249" t="n">
        <v>11.693356057322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4.3694</v>
      </c>
      <c r="F18" s="252" t="n">
        <v>15.5595</v>
      </c>
      <c r="G18" s="248" t="n">
        <v>14.8181</v>
      </c>
      <c r="H18" s="248" t="n">
        <v>15.4403</v>
      </c>
      <c r="I18" s="249" t="n">
        <v>0.07148723393951879</v>
      </c>
      <c r="J18" s="249" t="n">
        <v>0.0932420116278504</v>
      </c>
      <c r="K18" s="249" t="n">
        <v>0.945848565683304</v>
      </c>
      <c r="L18" s="249" t="n">
        <v>13.4539100953472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1.7108</v>
      </c>
      <c r="F19" s="252" t="n">
        <v>16.0245</v>
      </c>
      <c r="G19" s="248" t="n">
        <v>16.1077</v>
      </c>
      <c r="H19" s="248" t="n">
        <v>14.7294</v>
      </c>
      <c r="I19" s="249" t="n">
        <v>0.0732920833168168</v>
      </c>
      <c r="J19" s="249" t="n">
        <v>0.071286430362079</v>
      </c>
      <c r="K19" s="249" t="n">
        <v>1.02203282196492</v>
      </c>
      <c r="L19" s="249" t="n">
        <v>13.7775407935825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2.8165</v>
      </c>
      <c r="F20" s="252" t="n">
        <v>17.8307</v>
      </c>
      <c r="G20" s="248" t="n">
        <v>17.8535</v>
      </c>
      <c r="H20" s="248" t="n">
        <v>15.591</v>
      </c>
      <c r="I20" s="249" t="n">
        <v>0.0880250834334286</v>
      </c>
      <c r="J20" s="249" t="n">
        <v>0.285001342296175</v>
      </c>
      <c r="K20" s="249" t="n">
        <v>0.846488965499203</v>
      </c>
      <c r="L20" s="249" t="n">
        <v>12.0681917139261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3.9117</v>
      </c>
      <c r="F21" s="252" t="n">
        <v>17.5794</v>
      </c>
      <c r="G21" s="248" t="n">
        <v>15.7253</v>
      </c>
      <c r="H21" s="248" t="n">
        <v>13.2293</v>
      </c>
      <c r="I21" s="249" t="n">
        <v>0.0817648029056709</v>
      </c>
      <c r="J21" s="249" t="n">
        <v>0.198719504361289</v>
      </c>
      <c r="K21" s="249" t="n">
        <v>0.977540420461225</v>
      </c>
      <c r="L21" s="249" t="n">
        <v>13.4087264019453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3.9164</v>
      </c>
      <c r="F22" s="252" t="n">
        <v>12.7926</v>
      </c>
      <c r="G22" s="248" t="n">
        <v>9.4649</v>
      </c>
      <c r="H22" s="248" t="n">
        <v>11.8385</v>
      </c>
      <c r="I22" s="249" t="n">
        <v>0.0540463376443983</v>
      </c>
      <c r="J22" s="249" t="n">
        <v>-0.177471339296347</v>
      </c>
      <c r="K22" s="249" t="n">
        <v>1.02126707313326</v>
      </c>
      <c r="L22" s="249" t="n">
        <v>14.067997387487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3.1799</v>
      </c>
      <c r="F23" s="254" t="n">
        <v>18.3076</v>
      </c>
      <c r="G23" s="251" t="n">
        <v>15.7241</v>
      </c>
      <c r="H23" s="251" t="n">
        <v>14.1577</v>
      </c>
      <c r="I23" s="250" t="n">
        <v>0.0874781522581705</v>
      </c>
      <c r="J23" s="250" t="n">
        <v>0.273797396480369</v>
      </c>
      <c r="K23" s="250" t="n">
        <v>0.919249111886987</v>
      </c>
      <c r="L23" s="250" t="n">
        <v>12.7793373995395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359" t="inlineStr">
        <is>
          <t>Actuals</t>
        </is>
      </c>
      <c r="F26" s="360" t="n"/>
      <c r="G26" s="360" t="n"/>
      <c r="H26" s="360" t="n"/>
      <c r="I26" s="360" t="n"/>
      <c r="J26" s="360" t="n"/>
      <c r="K26" s="360" t="n"/>
      <c r="L26" s="360" t="n"/>
      <c r="M26" s="359" t="inlineStr">
        <is>
          <t>Normalized</t>
        </is>
      </c>
      <c r="N26" s="360" t="n"/>
      <c r="O26" s="360" t="n"/>
      <c r="P26" s="360" t="n"/>
      <c r="Q26" s="360" t="n"/>
      <c r="R26" s="360" t="n"/>
      <c r="S26" s="360" t="n"/>
      <c r="T26" s="360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376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6.7685</v>
      </c>
      <c r="F28" s="248" t="n">
        <v>20.2216</v>
      </c>
      <c r="G28" s="248" t="n">
        <v>20.2516</v>
      </c>
      <c r="H28" s="248" t="n">
        <v>17.9558</v>
      </c>
      <c r="I28" s="249" t="n">
        <v>0.0952499729075265</v>
      </c>
      <c r="J28" s="249" t="n">
        <v>0.242035240399965</v>
      </c>
      <c r="K28" s="249" t="n">
        <v>0.897185204110527</v>
      </c>
      <c r="L28" s="249" t="n">
        <v>14.6796322280516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8.7559</v>
      </c>
      <c r="F29" s="248" t="n">
        <v>19.9967</v>
      </c>
      <c r="G29" s="248" t="n">
        <v>17.8926</v>
      </c>
      <c r="H29" s="248" t="n">
        <v>17.6831</v>
      </c>
      <c r="I29" s="249" t="n">
        <v>0.0857732598494427</v>
      </c>
      <c r="J29" s="249" t="n">
        <v>0.180782493097158</v>
      </c>
      <c r="K29" s="249" t="n">
        <v>0.887457392889161</v>
      </c>
      <c r="L29" s="249" t="n">
        <v>15.4412416160395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9.772600000000001</v>
      </c>
      <c r="F30" s="248" t="n">
        <v>22.7395</v>
      </c>
      <c r="G30" s="248" t="n">
        <v>21.0592</v>
      </c>
      <c r="H30" s="248" t="n">
        <v>18.8102</v>
      </c>
      <c r="I30" s="249" t="n">
        <v>0.0955044523425536</v>
      </c>
      <c r="J30" s="249" t="n">
        <v>0.284783884573</v>
      </c>
      <c r="K30" s="249" t="n">
        <v>0.969773532475378</v>
      </c>
      <c r="L30" s="249" t="n">
        <v>16.0676020342452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2.4159</v>
      </c>
      <c r="F31" s="248" t="n">
        <v>12.5367</v>
      </c>
      <c r="G31" s="248" t="n">
        <v>15.346</v>
      </c>
      <c r="H31" s="248" t="n">
        <v>14.0855</v>
      </c>
      <c r="I31" s="249" t="n">
        <v>0.0572800375963993</v>
      </c>
      <c r="J31" s="249" t="n">
        <v>-0.267532696666037</v>
      </c>
      <c r="K31" s="249" t="n">
        <v>0.830044595347032</v>
      </c>
      <c r="L31" s="249" t="n">
        <v>14.0038800361898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2.2864</v>
      </c>
      <c r="F32" s="248" t="n">
        <v>14.1966</v>
      </c>
      <c r="G32" s="248" t="n">
        <v>13.795</v>
      </c>
      <c r="H32" s="248" t="n">
        <v>14.1916</v>
      </c>
      <c r="I32" s="249" t="n">
        <v>0.0605333434217097</v>
      </c>
      <c r="J32" s="249" t="n">
        <v>-0.273526802044464</v>
      </c>
      <c r="K32" s="249" t="n">
        <v>0.93376787802109</v>
      </c>
      <c r="L32" s="249" t="n">
        <v>15.3604019988192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15.9774</v>
      </c>
      <c r="F33" s="248" t="n">
        <v>24.4417</v>
      </c>
      <c r="G33" s="248" t="n">
        <v>19.169</v>
      </c>
      <c r="H33" s="248" t="n">
        <v>17.3693</v>
      </c>
      <c r="I33" s="249" t="n">
        <v>0.101437633291332</v>
      </c>
      <c r="J33" s="249" t="n">
        <v>0.393766311633529</v>
      </c>
      <c r="K33" s="249" t="n">
        <v>0.962130319537125</v>
      </c>
      <c r="L33" s="249" t="n">
        <v>16.1050699418777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6.1269</v>
      </c>
      <c r="F34" s="251" t="n">
        <v>18.2307</v>
      </c>
      <c r="G34" s="251" t="n">
        <v>16.2812</v>
      </c>
      <c r="H34" s="251" t="n">
        <v>14.0915</v>
      </c>
      <c r="I34" s="250" t="n">
        <v>0.07547429435072241</v>
      </c>
      <c r="J34" s="250" t="n">
        <v>-0.048694459390763</v>
      </c>
      <c r="K34" s="250" t="n">
        <v>0.9718557026018561</v>
      </c>
      <c r="L34" s="250" t="n">
        <v>15.9489066343808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359" t="inlineStr">
        <is>
          <t>Actuals</t>
        </is>
      </c>
      <c r="F37" s="360" t="n"/>
      <c r="G37" s="360" t="n"/>
      <c r="H37" s="360" t="n"/>
      <c r="I37" s="360" t="n"/>
      <c r="J37" s="360" t="n"/>
      <c r="K37" s="360" t="n"/>
      <c r="L37" s="360" t="n"/>
      <c r="M37" s="359" t="inlineStr">
        <is>
          <t>Normalized</t>
        </is>
      </c>
      <c r="N37" s="360" t="n"/>
      <c r="O37" s="360" t="n"/>
      <c r="P37" s="360" t="n"/>
      <c r="Q37" s="360" t="n"/>
      <c r="R37" s="360" t="n"/>
      <c r="S37" s="360" t="n"/>
      <c r="T37" s="360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376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6.8382</v>
      </c>
      <c r="F39" s="248" t="n">
        <v>18.644</v>
      </c>
      <c r="G39" s="248" t="n">
        <v>20.7852</v>
      </c>
      <c r="H39" s="248" t="n">
        <v>21.027</v>
      </c>
      <c r="I39" s="249" t="n">
        <v>0.0720411985796007</v>
      </c>
      <c r="J39" s="249" t="n">
        <v>0.169124688057693</v>
      </c>
      <c r="K39" s="249" t="n">
        <v>0.850672903286854</v>
      </c>
      <c r="L39" s="249" t="n">
        <v>17.7883797575426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0.3458</v>
      </c>
      <c r="F40" s="248" t="n">
        <v>13.8735</v>
      </c>
      <c r="G40" s="248" t="n">
        <v>16.5378</v>
      </c>
      <c r="H40" s="248" t="n">
        <v>17.511</v>
      </c>
      <c r="I40" s="249" t="n">
        <v>0.0550603240359655</v>
      </c>
      <c r="J40" s="249" t="n">
        <v>-0.0485673512867464</v>
      </c>
      <c r="K40" s="249" t="n">
        <v>0.805579498180367</v>
      </c>
      <c r="L40" s="249" t="n">
        <v>16.3803722443974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2.3501</v>
      </c>
      <c r="F41" s="248" t="n">
        <v>12.5053</v>
      </c>
      <c r="G41" s="248" t="n">
        <v>14.2385</v>
      </c>
      <c r="H41" s="248" t="n">
        <v>18.0403</v>
      </c>
      <c r="I41" s="249" t="n">
        <v>0.0457969569287782</v>
      </c>
      <c r="J41" s="249" t="n">
        <v>-0.190138853054207</v>
      </c>
      <c r="K41" s="249" t="n">
        <v>0.796940949796126</v>
      </c>
      <c r="L41" s="249" t="n">
        <v>16.3797951130693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0.5998</v>
      </c>
      <c r="F42" s="248" t="n">
        <v>13.0357</v>
      </c>
      <c r="G42" s="248" t="n">
        <v>13.7509</v>
      </c>
      <c r="H42" s="248" t="n">
        <v>16.7386</v>
      </c>
      <c r="I42" s="249" t="n">
        <v>0.0502808039985874</v>
      </c>
      <c r="J42" s="249" t="n">
        <v>-0.186115763445603</v>
      </c>
      <c r="K42" s="249" t="n">
        <v>0.795780526671603</v>
      </c>
      <c r="L42" s="249" t="n">
        <v>16.9940885365058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3.1188</v>
      </c>
      <c r="F43" s="248" t="n">
        <v>13.2993</v>
      </c>
      <c r="G43" s="248" t="n">
        <v>15.7487</v>
      </c>
      <c r="H43" s="248" t="n">
        <v>16.2191</v>
      </c>
      <c r="I43" s="249" t="n">
        <v>0.0555670529870873</v>
      </c>
      <c r="J43" s="249" t="n">
        <v>-0.098572944871436</v>
      </c>
      <c r="K43" s="249" t="n">
        <v>0.748549517051404</v>
      </c>
      <c r="L43" s="249" t="n">
        <v>15.841369700067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10.0516</v>
      </c>
      <c r="F44" s="248" t="n">
        <v>16.9852</v>
      </c>
      <c r="G44" s="248" t="n">
        <v>14.0657</v>
      </c>
      <c r="H44" s="248" t="n">
        <v>13.1867</v>
      </c>
      <c r="I44" s="249" t="n">
        <v>0.0618714120814036</v>
      </c>
      <c r="J44" s="249" t="n">
        <v>0.08052181078326991</v>
      </c>
      <c r="K44" s="249" t="n">
        <v>0.899503645111965</v>
      </c>
      <c r="L44" s="249" t="n">
        <v>18.4546569384587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3.5378</v>
      </c>
      <c r="F45" s="251" t="n">
        <v>15.861</v>
      </c>
      <c r="G45" s="251" t="n">
        <v>16.1383</v>
      </c>
      <c r="H45" s="251" t="n">
        <v>0</v>
      </c>
      <c r="I45" s="250" t="n">
        <v>0.0605307593086716</v>
      </c>
      <c r="J45" s="250" t="n">
        <v>-0.0348115404981955</v>
      </c>
      <c r="K45" s="250" t="n">
        <v>0.843001840125479</v>
      </c>
      <c r="L45" s="250" t="n">
        <v>17.6361409440776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359" t="inlineStr">
        <is>
          <t>Actuals</t>
        </is>
      </c>
      <c r="F48" s="360" t="n"/>
      <c r="G48" s="360" t="n"/>
      <c r="H48" s="360" t="n"/>
      <c r="I48" s="360" t="n"/>
      <c r="J48" s="360" t="n"/>
      <c r="K48" s="360" t="n"/>
      <c r="L48" s="360" t="n"/>
      <c r="M48" s="359" t="inlineStr">
        <is>
          <t>Normalized</t>
        </is>
      </c>
      <c r="N48" s="360" t="n"/>
      <c r="O48" s="360" t="n"/>
      <c r="P48" s="360" t="n"/>
      <c r="Q48" s="360" t="n"/>
      <c r="R48" s="360" t="n"/>
      <c r="S48" s="360" t="n"/>
      <c r="T48" s="360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376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10.629</v>
      </c>
      <c r="F50" s="248" t="n">
        <v>16.2664</v>
      </c>
      <c r="G50" s="248" t="n">
        <v>12.9653</v>
      </c>
      <c r="H50" s="248" t="n">
        <v>14.8535</v>
      </c>
      <c r="I50" s="249" t="n">
        <v>0.0995813787723428</v>
      </c>
      <c r="J50" s="249" t="n">
        <v>0.508847997930074</v>
      </c>
      <c r="K50" s="249" t="n">
        <v>0.640710274391053</v>
      </c>
      <c r="L50" s="249" t="n">
        <v>9.19678726294285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1.0817</v>
      </c>
      <c r="F51" s="248" t="n">
        <v>16.725</v>
      </c>
      <c r="G51" s="248" t="n">
        <v>18.8966</v>
      </c>
      <c r="H51" s="248" t="n">
        <v>14.1675</v>
      </c>
      <c r="I51" s="249" t="n">
        <v>0.0863217877360539</v>
      </c>
      <c r="J51" s="249" t="n">
        <v>0.384444601373242</v>
      </c>
      <c r="K51" s="249" t="n">
        <v>0.832393645085723</v>
      </c>
      <c r="L51" s="249" t="n">
        <v>11.5137514635464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-2.1109</v>
      </c>
      <c r="F52" s="248" t="n">
        <v>8.1432</v>
      </c>
      <c r="G52" s="248" t="n">
        <v>5.4014</v>
      </c>
      <c r="H52" s="248" t="n">
        <v>11.4322</v>
      </c>
      <c r="I52" s="249" t="n">
        <v>0.0344157002210638</v>
      </c>
      <c r="J52" s="249" t="n">
        <v>-0.243710338705905</v>
      </c>
      <c r="K52" s="249" t="n">
        <v>0.966492980088746</v>
      </c>
      <c r="L52" s="249" t="n">
        <v>13.479733428447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2.5554</v>
      </c>
      <c r="F54" s="248" t="n">
        <v>12.8529</v>
      </c>
      <c r="G54" s="248" t="n">
        <v>12.45</v>
      </c>
      <c r="H54" s="248" t="n">
        <v>13.6535</v>
      </c>
      <c r="I54" s="249" t="n">
        <v>0.0560915965813272</v>
      </c>
      <c r="J54" s="249" t="n">
        <v>0.0570704610768015</v>
      </c>
      <c r="K54" s="249" t="n">
        <v>0.967120218739105</v>
      </c>
      <c r="L54" s="249" t="n">
        <v>13.0983782715343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9.177</v>
      </c>
      <c r="F55" s="248" t="n">
        <v>15.5158</v>
      </c>
      <c r="G55" s="248" t="n">
        <v>13.1586</v>
      </c>
      <c r="H55" s="248" t="n">
        <v>0</v>
      </c>
      <c r="I55" s="249" t="n">
        <v>0.0745250151961729</v>
      </c>
      <c r="J55" s="249" t="n">
        <v>0.242469657770124</v>
      </c>
      <c r="K55" s="249" t="n">
        <v>0.9183374641571</v>
      </c>
      <c r="L55" s="249" t="n">
        <v>12.2755701642979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-2.3042</v>
      </c>
      <c r="F56" s="251" t="n">
        <v>10.3924</v>
      </c>
      <c r="G56" s="251" t="n">
        <v>0</v>
      </c>
      <c r="H56" s="251" t="n">
        <v>0</v>
      </c>
      <c r="I56" s="250" t="n">
        <v>0.0468170283404708</v>
      </c>
      <c r="J56" s="250" t="n">
        <v>-0.0952727449071127</v>
      </c>
      <c r="K56" s="250" t="n">
        <v>0.933844275256283</v>
      </c>
      <c r="L56" s="250" t="n">
        <v>12.5691034814116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361" t="inlineStr">
        <is>
          <t>Actuals</t>
        </is>
      </c>
      <c r="F59" s="360" t="n"/>
      <c r="G59" s="360" t="n"/>
      <c r="H59" s="360" t="n"/>
      <c r="I59" s="360" t="n"/>
      <c r="J59" s="360" t="n"/>
      <c r="K59" s="360" t="n"/>
      <c r="L59" s="359" t="inlineStr">
        <is>
          <t>Normalized</t>
        </is>
      </c>
      <c r="M59" s="360" t="n"/>
      <c r="N59" s="360" t="n"/>
      <c r="O59" s="360" t="n"/>
      <c r="P59" s="360" t="n"/>
      <c r="Q59" s="360" t="n"/>
      <c r="R59" s="360" t="n"/>
      <c r="S59" s="360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376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1.0595</v>
      </c>
      <c r="F61" s="248" t="n">
        <v>14.4785</v>
      </c>
      <c r="G61" s="248" t="n">
        <v>15.3021</v>
      </c>
      <c r="H61" s="248" t="n">
        <v>14.4676</v>
      </c>
      <c r="I61" s="249" t="n">
        <v>0.0829211581368582</v>
      </c>
      <c r="J61" s="249" t="n">
        <v>0</v>
      </c>
      <c r="K61" s="249" t="n">
        <v>0</v>
      </c>
      <c r="L61" s="249" t="n">
        <v>9.27274793689733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5.4987</v>
      </c>
      <c r="F62" s="248" t="n">
        <v>11.8269</v>
      </c>
      <c r="G62" s="248" t="n">
        <v>10.8951</v>
      </c>
      <c r="H62" s="248" t="n">
        <v>11.0726</v>
      </c>
      <c r="I62" s="249" t="n">
        <v>0.0860772821252911</v>
      </c>
      <c r="J62" s="249" t="n">
        <v>0</v>
      </c>
      <c r="K62" s="249" t="n">
        <v>0</v>
      </c>
      <c r="L62" s="249" t="n">
        <v>6.29169411329337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3.7876</v>
      </c>
      <c r="F63" s="248" t="n">
        <v>11.0595</v>
      </c>
      <c r="G63" s="248" t="n">
        <v>0</v>
      </c>
      <c r="H63" s="248" t="n">
        <v>0</v>
      </c>
      <c r="I63" s="249" t="n">
        <v>0.0830807522451731</v>
      </c>
      <c r="J63" s="249" t="n">
        <v>0</v>
      </c>
      <c r="K63" s="249" t="n">
        <v>0</v>
      </c>
      <c r="L63" s="249" t="n">
        <v>5.96612258819747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2.2366</v>
      </c>
      <c r="F64" s="248" t="n">
        <v>9.707000000000001</v>
      </c>
      <c r="G64" s="248" t="n">
        <v>8.833600000000001</v>
      </c>
      <c r="H64" s="248" t="n">
        <v>0</v>
      </c>
      <c r="I64" s="249" t="n">
        <v>0.0524636374733226</v>
      </c>
      <c r="J64" s="249" t="n">
        <v>0</v>
      </c>
      <c r="K64" s="249" t="n">
        <v>0</v>
      </c>
      <c r="L64" s="249" t="n">
        <v>7.41522732235813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-1.0919</v>
      </c>
      <c r="F65" s="248" t="n">
        <v>0</v>
      </c>
      <c r="G65" s="248" t="n">
        <v>0</v>
      </c>
      <c r="H65" s="248" t="n">
        <v>0</v>
      </c>
      <c r="I65" s="249" t="n">
        <v>0.0319678645980857</v>
      </c>
      <c r="J65" s="249" t="n">
        <v>0</v>
      </c>
      <c r="K65" s="249" t="n">
        <v>0</v>
      </c>
      <c r="L65" s="249" t="n">
        <v>7.14094556004923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3.9559</v>
      </c>
      <c r="F66" s="248" t="n">
        <v>10.9263</v>
      </c>
      <c r="G66" s="248" t="n">
        <v>9.5562</v>
      </c>
      <c r="H66" s="248" t="n">
        <v>10.7794</v>
      </c>
      <c r="I66" s="249" t="n">
        <v>0.06721596781392911</v>
      </c>
      <c r="J66" s="249" t="n">
        <v>0</v>
      </c>
      <c r="K66" s="249" t="n">
        <v>0</v>
      </c>
      <c r="L66" s="249" t="n">
        <v>7.3394625810556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5.0076</v>
      </c>
      <c r="F67" s="251" t="n">
        <v>11.5148</v>
      </c>
      <c r="G67" s="251" t="n">
        <v>9.8314</v>
      </c>
      <c r="H67" s="251" t="n">
        <v>10.7277</v>
      </c>
      <c r="I67" s="250" t="n">
        <v>0.0744984038668822</v>
      </c>
      <c r="J67" s="250" t="n">
        <v>0</v>
      </c>
      <c r="K67" s="250" t="n">
        <v>0</v>
      </c>
      <c r="L67" s="250" t="n">
        <v>7.236798305093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361" t="inlineStr">
        <is>
          <t>Actuals</t>
        </is>
      </c>
      <c r="F70" s="360" t="n"/>
      <c r="G70" s="360" t="n"/>
      <c r="H70" s="360" t="n"/>
      <c r="I70" s="360" t="n"/>
      <c r="J70" s="360" t="n"/>
      <c r="K70" s="360" t="n"/>
      <c r="L70" s="362" t="inlineStr">
        <is>
          <t>Normalized</t>
        </is>
      </c>
      <c r="M70" s="360" t="n"/>
      <c r="N70" s="360" t="n"/>
      <c r="O70" s="360" t="n"/>
      <c r="P70" s="360" t="n"/>
      <c r="Q70" s="360" t="n"/>
      <c r="R70" s="360" t="n"/>
      <c r="S70" s="330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376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6.7346</v>
      </c>
      <c r="F72" s="248" t="n">
        <v>16.5644</v>
      </c>
      <c r="G72" s="248" t="n">
        <v>17.5131</v>
      </c>
      <c r="H72" s="248" t="n">
        <v>15.7354</v>
      </c>
      <c r="I72" s="249" t="n">
        <v>0.126474747184968</v>
      </c>
      <c r="J72" s="249" t="n">
        <v>0</v>
      </c>
      <c r="K72" s="249" t="n">
        <v>0</v>
      </c>
      <c r="L72" s="249" t="n">
        <v>82.5775465718532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12.8972</v>
      </c>
      <c r="F73" s="248" t="n">
        <v>16.5855</v>
      </c>
      <c r="G73" s="248" t="n">
        <v>13.5848</v>
      </c>
      <c r="H73" s="248" t="n">
        <v>11.4581</v>
      </c>
      <c r="I73" s="249" t="n">
        <v>0.121595696583545</v>
      </c>
      <c r="J73" s="249" t="n">
        <v>0</v>
      </c>
      <c r="K73" s="249" t="n">
        <v>0</v>
      </c>
      <c r="L73" s="249" t="n">
        <v>86.213760900216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20.9116</v>
      </c>
      <c r="F74" s="248" t="n">
        <v>0</v>
      </c>
      <c r="G74" s="248" t="n">
        <v>0</v>
      </c>
      <c r="H74" s="248" t="n">
        <v>0</v>
      </c>
      <c r="I74" s="249" t="n">
        <v>0.102560212033787</v>
      </c>
      <c r="J74" s="249" t="n">
        <v>0</v>
      </c>
      <c r="K74" s="249" t="n">
        <v>0</v>
      </c>
      <c r="L74" s="249" t="n">
        <v>118.109882856271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15.5863</v>
      </c>
      <c r="F75" s="248" t="n">
        <v>19.22</v>
      </c>
      <c r="G75" s="248" t="n">
        <v>15.5969</v>
      </c>
      <c r="H75" s="248" t="n">
        <v>0</v>
      </c>
      <c r="I75" s="249" t="n">
        <v>0.136574933341935</v>
      </c>
      <c r="J75" s="249" t="n">
        <v>0</v>
      </c>
      <c r="K75" s="249" t="n">
        <v>0</v>
      </c>
      <c r="L75" s="249" t="n">
        <v>96.3416872803835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6.7006</v>
      </c>
      <c r="F76" s="248" t="n">
        <v>15.968</v>
      </c>
      <c r="G76" s="248" t="n">
        <v>13.5476</v>
      </c>
      <c r="H76" s="248" t="n">
        <v>10.8395</v>
      </c>
      <c r="I76" s="249" t="n">
        <v>0.108355407618186</v>
      </c>
      <c r="J76" s="249" t="n">
        <v>0</v>
      </c>
      <c r="K76" s="249" t="n">
        <v>0</v>
      </c>
      <c r="L76" s="249" t="n">
        <v>99.4478853462772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14.0136</v>
      </c>
      <c r="F78" s="251" t="n">
        <v>16.0028</v>
      </c>
      <c r="G78" s="251" t="n">
        <v>0</v>
      </c>
      <c r="H78" s="251" t="n">
        <v>0</v>
      </c>
      <c r="I78" s="250" t="n">
        <v>0.100218288206967</v>
      </c>
      <c r="J78" s="250" t="n">
        <v>0</v>
      </c>
      <c r="K78" s="250" t="n">
        <v>0</v>
      </c>
      <c r="L78" s="250" t="n">
        <v>104.52919116461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361" t="inlineStr">
        <is>
          <t>Actuals</t>
        </is>
      </c>
      <c r="F81" s="360" t="n"/>
      <c r="G81" s="360" t="n"/>
      <c r="H81" s="360" t="n"/>
      <c r="I81" s="360" t="n"/>
      <c r="J81" s="360" t="n"/>
      <c r="K81" s="360" t="n"/>
      <c r="L81" s="362" t="inlineStr">
        <is>
          <t>Normalized</t>
        </is>
      </c>
      <c r="M81" s="360" t="n"/>
      <c r="N81" s="360" t="n"/>
      <c r="O81" s="360" t="n"/>
      <c r="P81" s="360" t="n"/>
      <c r="Q81" s="360" t="n"/>
      <c r="R81" s="360" t="n"/>
      <c r="S81" s="330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364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12.4123</v>
      </c>
      <c r="F83" s="84" t="n">
        <v>26.3701</v>
      </c>
      <c r="G83" s="84" t="n">
        <v>23.776</v>
      </c>
      <c r="H83" s="84" t="n">
        <v>0</v>
      </c>
      <c r="I83" s="84" t="n">
        <v>0.0837515627046074</v>
      </c>
      <c r="J83" s="84" t="n">
        <v>0.0679074024663866</v>
      </c>
      <c r="K83" s="84" t="n">
        <v>0.94372151871121</v>
      </c>
      <c r="L83" s="84" t="n">
        <v>20.8218143676506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3.7948</v>
      </c>
      <c r="F84" s="84" t="n">
        <v>12.7134</v>
      </c>
      <c r="G84" s="84" t="n">
        <v>11.9785</v>
      </c>
      <c r="H84" s="84" t="n">
        <v>12.9355</v>
      </c>
      <c r="I84" s="84" t="n">
        <v>0.0503827732414513</v>
      </c>
      <c r="J84" s="84" t="n">
        <v>0.259270965904558</v>
      </c>
      <c r="K84" s="84" t="n">
        <v>0.918304042852001</v>
      </c>
      <c r="L84" s="84" t="n">
        <v>14.1531840679767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7.7088</v>
      </c>
      <c r="F85" s="84" t="n">
        <v>0</v>
      </c>
      <c r="G85" s="84" t="n">
        <v>0</v>
      </c>
      <c r="H85" s="84" t="n">
        <v>0</v>
      </c>
      <c r="I85" s="84" t="n">
        <v>-0.0296365136363976</v>
      </c>
      <c r="J85" s="84" t="n">
        <v>-0.0595404436866603</v>
      </c>
      <c r="K85" s="84" t="n">
        <v>1.07330807409291</v>
      </c>
      <c r="L85" s="84" t="n">
        <v>13.7361231423535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1.94</v>
      </c>
      <c r="F86" s="84" t="n">
        <v>12.3077</v>
      </c>
      <c r="G86" s="84" t="n">
        <v>0</v>
      </c>
      <c r="H86" s="84" t="n">
        <v>0</v>
      </c>
      <c r="I86" s="84" t="n">
        <v>0.0523946573240554</v>
      </c>
      <c r="J86" s="84" t="n">
        <v>0.0517388579240133</v>
      </c>
      <c r="K86" s="84" t="n">
        <v>1.01044702342446</v>
      </c>
      <c r="L86" s="84" t="n">
        <v>13.2375580421392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2.649</v>
      </c>
      <c r="F87" s="84" t="n">
        <v>0</v>
      </c>
      <c r="G87" s="84" t="n">
        <v>0</v>
      </c>
      <c r="H87" s="84" t="n">
        <v>0</v>
      </c>
      <c r="I87" s="84" t="n">
        <v>0.00612674083957185</v>
      </c>
      <c r="J87" s="84" t="n">
        <v>0</v>
      </c>
      <c r="K87" s="84" t="n">
        <v>0</v>
      </c>
      <c r="L87" s="84" t="n">
        <v>14.1749034229391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15.6273</v>
      </c>
      <c r="F88" s="84" t="n">
        <v>0</v>
      </c>
      <c r="G88" s="84" t="n">
        <v>0</v>
      </c>
      <c r="H88" s="84" t="n">
        <v>0</v>
      </c>
      <c r="I88" s="84" t="n">
        <v>0.0601653549350217</v>
      </c>
      <c r="J88" s="84" t="n">
        <v>0.216017454424234</v>
      </c>
      <c r="K88" s="84" t="n">
        <v>0.980008917313517</v>
      </c>
      <c r="L88" s="84" t="n">
        <v>17.8479358754665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17.8674</v>
      </c>
      <c r="F89" s="84" t="n">
        <v>20.511</v>
      </c>
      <c r="G89" s="84" t="n">
        <v>14.1089</v>
      </c>
      <c r="H89" s="84" t="n">
        <v>14.0559</v>
      </c>
      <c r="I89" s="84" t="n">
        <v>0.0904040459893188</v>
      </c>
      <c r="J89" s="84" t="n">
        <v>0.129506593795164</v>
      </c>
      <c r="K89" s="84" t="n">
        <v>0.993744042490054</v>
      </c>
      <c r="L89" s="84" t="n">
        <v>15.0382698936245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12.3787</v>
      </c>
      <c r="F90" s="84" t="n">
        <v>22.2382</v>
      </c>
      <c r="G90" s="84" t="n">
        <v>12.9199</v>
      </c>
      <c r="H90" s="84" t="n">
        <v>0</v>
      </c>
      <c r="I90" s="84" t="n">
        <v>0.112044061238031</v>
      </c>
      <c r="J90" s="84" t="n">
        <v>-0.0587765341759237</v>
      </c>
      <c r="K90" s="84" t="n">
        <v>0.943288391402002</v>
      </c>
      <c r="L90" s="84" t="n">
        <v>13.1529260073112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15.4549</v>
      </c>
      <c r="F91" s="84" t="n">
        <v>20.3702</v>
      </c>
      <c r="G91" s="84" t="n">
        <v>15.1693</v>
      </c>
      <c r="H91" s="84" t="n">
        <v>0</v>
      </c>
      <c r="I91" s="84" t="n">
        <v>0.09697556346759249</v>
      </c>
      <c r="J91" s="84" t="n">
        <v>0.600925840873851</v>
      </c>
      <c r="K91" s="84" t="n">
        <v>1.03076836586453</v>
      </c>
      <c r="L91" s="84" t="n">
        <v>13.644273345879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-0.1698</v>
      </c>
      <c r="F92" s="84" t="n">
        <v>11.7168</v>
      </c>
      <c r="G92" s="84" t="n">
        <v>9.3301</v>
      </c>
      <c r="H92" s="84" t="n">
        <v>0</v>
      </c>
      <c r="I92" s="84" t="n">
        <v>0.0481760485558528</v>
      </c>
      <c r="J92" s="84" t="n">
        <v>-0.00523887898154207</v>
      </c>
      <c r="K92" s="84" t="n">
        <v>1.01589942327444</v>
      </c>
      <c r="L92" s="84" t="n">
        <v>13.84997876139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-2.1351</v>
      </c>
      <c r="F93" s="84" t="n">
        <v>0</v>
      </c>
      <c r="G93" s="84" t="n">
        <v>0</v>
      </c>
      <c r="H93" s="84" t="n">
        <v>0</v>
      </c>
      <c r="I93" s="84" t="n">
        <v>0.00979104857111986</v>
      </c>
      <c r="J93" s="84" t="n">
        <v>-0.154877478544568</v>
      </c>
      <c r="K93" s="84" t="n">
        <v>0.976947775497107</v>
      </c>
      <c r="L93" s="84" t="n">
        <v>11.4487999311337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-4.2478</v>
      </c>
      <c r="F94" s="84" t="n">
        <v>0</v>
      </c>
      <c r="G94" s="84" t="n">
        <v>0</v>
      </c>
      <c r="H94" s="84" t="n">
        <v>0</v>
      </c>
      <c r="I94" s="84" t="n">
        <v>-0.00151178601149913</v>
      </c>
      <c r="J94" s="84" t="n">
        <v>-0.6351482040158331</v>
      </c>
      <c r="K94" s="84" t="n">
        <v>1.20148815456628</v>
      </c>
      <c r="L94" s="84" t="n">
        <v>19.5065150033161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7.5452</v>
      </c>
      <c r="F95" s="84" t="n">
        <v>25.5129</v>
      </c>
      <c r="G95" s="84" t="n">
        <v>15.7185</v>
      </c>
      <c r="H95" s="84" t="n">
        <v>0</v>
      </c>
      <c r="I95" s="84" t="n">
        <v>0.130967481450063</v>
      </c>
      <c r="J95" s="84" t="n">
        <v>0.167921891440804</v>
      </c>
      <c r="K95" s="84" t="n">
        <v>0.934532348564363</v>
      </c>
      <c r="L95" s="84" t="n">
        <v>12.8748023913962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1.0536</v>
      </c>
      <c r="F96" s="84" t="n">
        <v>0</v>
      </c>
      <c r="G96" s="84" t="n">
        <v>0</v>
      </c>
      <c r="H96" s="84" t="n">
        <v>0</v>
      </c>
      <c r="I96" s="84" t="n">
        <v>-0.00847001940196945</v>
      </c>
      <c r="J96" s="84" t="n">
        <v>0.211396952478771</v>
      </c>
      <c r="K96" s="84" t="n">
        <v>0.890930197183991</v>
      </c>
      <c r="L96" s="84" t="n">
        <v>9.536467093620461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-0.6913</v>
      </c>
      <c r="F97" s="84" t="n">
        <v>12.0762</v>
      </c>
      <c r="G97" s="84" t="n">
        <v>13.854</v>
      </c>
      <c r="H97" s="84" t="n">
        <v>0</v>
      </c>
      <c r="I97" s="84" t="n">
        <v>0.0563145537048061</v>
      </c>
      <c r="J97" s="84" t="n">
        <v>0.0769669721050991</v>
      </c>
      <c r="K97" s="84" t="n">
        <v>0.860661127835431</v>
      </c>
      <c r="L97" s="84" t="n">
        <v>12.079161550298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13.4295</v>
      </c>
      <c r="F98" s="84" t="n">
        <v>21.7057</v>
      </c>
      <c r="G98" s="84" t="n">
        <v>0</v>
      </c>
      <c r="H98" s="84" t="n">
        <v>0</v>
      </c>
      <c r="I98" s="84" t="n">
        <v>0.08942222040931171</v>
      </c>
      <c r="J98" s="84" t="n">
        <v>0.252050057014488</v>
      </c>
      <c r="K98" s="84" t="n">
        <v>0.90724122226869</v>
      </c>
      <c r="L98" s="84" t="n">
        <v>15.8712065463207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18.1187</v>
      </c>
      <c r="F99" s="84" t="n">
        <v>18.1512</v>
      </c>
      <c r="G99" s="84" t="n">
        <v>16.8832</v>
      </c>
      <c r="H99" s="84" t="n">
        <v>0</v>
      </c>
      <c r="I99" s="84" t="n">
        <v>0.07823216398084699</v>
      </c>
      <c r="J99" s="84" t="n">
        <v>0.000196805700014568</v>
      </c>
      <c r="K99" s="84" t="n">
        <v>0.9693864285446681</v>
      </c>
      <c r="L99" s="84" t="n">
        <v>15.3044076906841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2.7059</v>
      </c>
      <c r="F100" s="84" t="n">
        <v>14.7909</v>
      </c>
      <c r="G100" s="84" t="n">
        <v>0</v>
      </c>
      <c r="H100" s="84" t="n">
        <v>0</v>
      </c>
      <c r="I100" s="84" t="n">
        <v>0.0646654826343192</v>
      </c>
      <c r="J100" s="84" t="n">
        <v>0.168610727669497</v>
      </c>
      <c r="K100" s="84" t="n">
        <v>0.847752791030242</v>
      </c>
      <c r="L100" s="84" t="n">
        <v>13.0844644746635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8.6722</v>
      </c>
      <c r="F101" s="84" t="n">
        <v>24.8003</v>
      </c>
      <c r="G101" s="84" t="n">
        <v>0</v>
      </c>
      <c r="H101" s="84" t="n">
        <v>0</v>
      </c>
      <c r="I101" s="84" t="n">
        <v>0.0834764702352877</v>
      </c>
      <c r="J101" s="84" t="n">
        <v>0.0515819965401958</v>
      </c>
      <c r="K101" s="84" t="n">
        <v>0.858836499110564</v>
      </c>
      <c r="L101" s="84" t="n">
        <v>18.8889999880467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2.266</v>
      </c>
      <c r="F102" s="84" t="n">
        <v>0</v>
      </c>
      <c r="G102" s="84" t="n">
        <v>0</v>
      </c>
      <c r="H102" s="84" t="n">
        <v>0</v>
      </c>
      <c r="I102" s="84" t="n">
        <v>-0.0253828033727371</v>
      </c>
      <c r="J102" s="84" t="n">
        <v>0.0918135163721948</v>
      </c>
      <c r="K102" s="84" t="n">
        <v>0.700936422861458</v>
      </c>
      <c r="L102" s="84" t="n">
        <v>9.232923314085269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7.7394</v>
      </c>
      <c r="F103" s="84" t="n">
        <v>12.9828</v>
      </c>
      <c r="G103" s="84" t="n">
        <v>12.6205</v>
      </c>
      <c r="H103" s="84" t="n">
        <v>0</v>
      </c>
      <c r="I103" s="84" t="n">
        <v>0.0653100808060716</v>
      </c>
      <c r="J103" s="84" t="n">
        <v>0.221177985487143</v>
      </c>
      <c r="K103" s="84" t="n">
        <v>0.740355805919708</v>
      </c>
      <c r="L103" s="84" t="n">
        <v>10.8867871068323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-5.1732</v>
      </c>
      <c r="F104" s="84" t="n">
        <v>13.8221</v>
      </c>
      <c r="G104" s="84" t="n">
        <v>10.6596</v>
      </c>
      <c r="H104" s="84" t="n">
        <v>0</v>
      </c>
      <c r="I104" s="84" t="n">
        <v>0.064277015901994</v>
      </c>
      <c r="J104" s="84" t="n">
        <v>0.213013972112209</v>
      </c>
      <c r="K104" s="84" t="n">
        <v>0.896991439018902</v>
      </c>
      <c r="L104" s="84" t="n">
        <v>12.551590529505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0.554</v>
      </c>
      <c r="F105" s="84" t="n">
        <v>0</v>
      </c>
      <c r="G105" s="84" t="n">
        <v>0</v>
      </c>
      <c r="H105" s="84" t="n">
        <v>0</v>
      </c>
      <c r="I105" s="84" t="n">
        <v>0.0261697755360901</v>
      </c>
      <c r="J105" s="84" t="n">
        <v>-0.212139503270033</v>
      </c>
      <c r="K105" s="84" t="n">
        <v>1.00611028904226</v>
      </c>
      <c r="L105" s="84" t="n">
        <v>12.0687102563682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0.62</v>
      </c>
      <c r="F106" s="84" t="n">
        <v>13.7019</v>
      </c>
      <c r="G106" s="84" t="n">
        <v>12.1359</v>
      </c>
      <c r="H106" s="84" t="n">
        <v>0</v>
      </c>
      <c r="I106" s="84" t="n">
        <v>0.07080036312019621</v>
      </c>
      <c r="J106" s="84" t="n">
        <v>0.221617245578816</v>
      </c>
      <c r="K106" s="84" t="n">
        <v>0.854674284871473</v>
      </c>
      <c r="L106" s="84" t="n">
        <v>10.934858629453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0.0407847808558499</v>
      </c>
      <c r="J107" s="84" t="n">
        <v>0.629541905314164</v>
      </c>
      <c r="K107" s="84" t="n">
        <v>0.877562712890906</v>
      </c>
      <c r="L107" s="84" t="n">
        <v>10.4149994132453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5.479</v>
      </c>
      <c r="F108" s="84" t="n">
        <v>13.7798</v>
      </c>
      <c r="G108" s="84" t="n">
        <v>0</v>
      </c>
      <c r="H108" s="84" t="n">
        <v>0</v>
      </c>
      <c r="I108" s="84" t="n">
        <v>0.0529976818514188</v>
      </c>
      <c r="J108" s="84" t="n">
        <v>0.301936707361711</v>
      </c>
      <c r="K108" s="84" t="n">
        <v>0.934343661053759</v>
      </c>
      <c r="L108" s="84" t="n">
        <v>14.4094761412944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2.3468</v>
      </c>
      <c r="F109" s="84" t="n">
        <v>10.8055</v>
      </c>
      <c r="G109" s="84" t="n">
        <v>0</v>
      </c>
      <c r="H109" s="84" t="n">
        <v>0</v>
      </c>
      <c r="I109" s="84" t="n">
        <v>0.0459922979209689</v>
      </c>
      <c r="J109" s="84" t="n">
        <v>-0.123769432538069</v>
      </c>
      <c r="K109" s="84" t="n">
        <v>0.992453230739607</v>
      </c>
      <c r="L109" s="84" t="n">
        <v>13.1078981227501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20.2629</v>
      </c>
      <c r="F110" s="84" t="n">
        <v>0</v>
      </c>
      <c r="G110" s="84" t="n">
        <v>0</v>
      </c>
      <c r="H110" s="84" t="n">
        <v>0</v>
      </c>
      <c r="I110" s="84" t="n">
        <v>0.136441343475692</v>
      </c>
      <c r="J110" s="84" t="n">
        <v>0.570430622475713</v>
      </c>
      <c r="K110" s="84" t="n">
        <v>0.9486020015802999</v>
      </c>
      <c r="L110" s="84" t="n">
        <v>12.7816559410287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-21.1927</v>
      </c>
      <c r="F111" s="84" t="n">
        <v>0</v>
      </c>
      <c r="G111" s="84" t="n">
        <v>0</v>
      </c>
      <c r="H111" s="84" t="n">
        <v>0</v>
      </c>
      <c r="I111" s="84" t="n">
        <v>-0.00212455858863236</v>
      </c>
      <c r="J111" s="84" t="n">
        <v>0.149155730706544</v>
      </c>
      <c r="K111" s="84" t="n">
        <v>1.01491202426146</v>
      </c>
      <c r="L111" s="84" t="n">
        <v>20.1764506396392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16.8655</v>
      </c>
      <c r="F112" s="84" t="n">
        <v>0</v>
      </c>
      <c r="G112" s="84" t="n">
        <v>0</v>
      </c>
      <c r="H112" s="84" t="n">
        <v>0</v>
      </c>
      <c r="I112" s="84" t="n">
        <v>0.0793767079616436</v>
      </c>
      <c r="J112" s="84" t="n">
        <v>0.399875668380357</v>
      </c>
      <c r="K112" s="84" t="n">
        <v>0.959289729925731</v>
      </c>
      <c r="L112" s="84" t="n">
        <v>17.3853228155807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-1.7762</v>
      </c>
      <c r="F113" s="84" t="n">
        <v>13.9982</v>
      </c>
      <c r="G113" s="84" t="n">
        <v>13.7226</v>
      </c>
      <c r="H113" s="84" t="n">
        <v>0</v>
      </c>
      <c r="I113" s="84" t="n">
        <v>0.0537433711391917</v>
      </c>
      <c r="J113" s="84" t="n">
        <v>-0.00268878667125894</v>
      </c>
      <c r="K113" s="84" t="n">
        <v>1.03027528119561</v>
      </c>
      <c r="L113" s="84" t="n">
        <v>16.5639955719479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4.3371</v>
      </c>
      <c r="F115" s="84" t="n">
        <v>6.7576</v>
      </c>
      <c r="G115" s="84" t="n">
        <v>0</v>
      </c>
      <c r="H115" s="84" t="n">
        <v>0</v>
      </c>
      <c r="I115" s="84" t="n">
        <v>0.0225991021754616</v>
      </c>
      <c r="J115" s="84" t="n">
        <v>-0.431559081653395</v>
      </c>
      <c r="K115" s="84" t="n">
        <v>1.02544993619239</v>
      </c>
      <c r="L115" s="84" t="n">
        <v>14.0012934392607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0.0226430517326251</v>
      </c>
      <c r="J116" s="84" t="n">
        <v>0.580947389344587</v>
      </c>
      <c r="K116" s="84" t="n">
        <v>0.888350128646514</v>
      </c>
      <c r="L116" s="84" t="n">
        <v>11.1558940729529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25.8255</v>
      </c>
      <c r="F117" s="84" t="n">
        <v>0</v>
      </c>
      <c r="G117" s="84" t="n">
        <v>0</v>
      </c>
      <c r="H117" s="84" t="n">
        <v>0</v>
      </c>
      <c r="I117" s="84" t="n">
        <v>0.009621821144321179</v>
      </c>
      <c r="J117" s="84" t="n">
        <v>0.252392017539513</v>
      </c>
      <c r="K117" s="84" t="n">
        <v>0.91125998908743</v>
      </c>
      <c r="L117" s="84" t="n">
        <v>16.0291096902385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1.032</v>
      </c>
      <c r="F118" s="84" t="n">
        <v>0</v>
      </c>
      <c r="G118" s="84" t="n">
        <v>0</v>
      </c>
      <c r="H118" s="84" t="n">
        <v>0</v>
      </c>
      <c r="I118" s="84" t="n">
        <v>-0.025985496944032</v>
      </c>
      <c r="J118" s="84" t="n">
        <v>-0.352140900689355</v>
      </c>
      <c r="K118" s="84" t="n">
        <v>0.995267879915155</v>
      </c>
      <c r="L118" s="84" t="n">
        <v>12.2260692698323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1.0454</v>
      </c>
      <c r="F119" s="84" t="n">
        <v>9.6372</v>
      </c>
      <c r="G119" s="84" t="n">
        <v>10.4085</v>
      </c>
      <c r="H119" s="84" t="n">
        <v>0</v>
      </c>
      <c r="I119" s="84" t="n">
        <v>0.0456919863083981</v>
      </c>
      <c r="J119" s="84" t="n">
        <v>0.152219727880825</v>
      </c>
      <c r="K119" s="84" t="n">
        <v>0.851964141001207</v>
      </c>
      <c r="L119" s="84" t="n">
        <v>11.3567393440651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3.9085</v>
      </c>
      <c r="F120" s="84" t="n">
        <v>0</v>
      </c>
      <c r="G120" s="84" t="n">
        <v>0</v>
      </c>
      <c r="H120" s="84" t="n">
        <v>0</v>
      </c>
      <c r="I120" s="84" t="n">
        <v>0.0440947729258923</v>
      </c>
      <c r="J120" s="84" t="n">
        <v>0.212871894951074</v>
      </c>
      <c r="K120" s="84" t="n">
        <v>1.0460336215653</v>
      </c>
      <c r="L120" s="84" t="n">
        <v>14.9457587709794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-4.622</v>
      </c>
      <c r="F121" s="84" t="n">
        <v>10.3953</v>
      </c>
      <c r="G121" s="84" t="n">
        <v>13.53</v>
      </c>
      <c r="H121" s="84" t="n">
        <v>12.6369</v>
      </c>
      <c r="I121" s="84" t="n">
        <v>0.0458584025198217</v>
      </c>
      <c r="J121" s="84" t="n">
        <v>-0.0556444796610188</v>
      </c>
      <c r="K121" s="84" t="n">
        <v>0.946997788210334</v>
      </c>
      <c r="L121" s="84" t="n">
        <v>13.2611976062536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13.6695</v>
      </c>
      <c r="F122" s="84" t="n">
        <v>16.5084</v>
      </c>
      <c r="G122" s="84" t="n">
        <v>9.904299999999999</v>
      </c>
      <c r="H122" s="84" t="n">
        <v>14.8423</v>
      </c>
      <c r="I122" s="84" t="n">
        <v>0.06886395761135319</v>
      </c>
      <c r="J122" s="84" t="n">
        <v>0</v>
      </c>
      <c r="K122" s="84" t="n">
        <v>0</v>
      </c>
      <c r="L122" s="84" t="n">
        <v>14.143779316754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198.79</v>
      </c>
      <c r="F123" s="84" t="n">
        <v>61.6911</v>
      </c>
      <c r="G123" s="84" t="n">
        <v>0</v>
      </c>
      <c r="H123" s="84" t="n">
        <v>0</v>
      </c>
      <c r="I123" s="84" t="n">
        <v>0.114270630832176</v>
      </c>
      <c r="J123" s="84" t="n">
        <v>0.16698828397765</v>
      </c>
      <c r="K123" s="84" t="n">
        <v>1.12501365387252</v>
      </c>
      <c r="L123" s="84" t="n">
        <v>30.9090882918766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9.6091</v>
      </c>
      <c r="F125" s="84" t="n">
        <v>0</v>
      </c>
      <c r="G125" s="84" t="n">
        <v>0</v>
      </c>
      <c r="H125" s="84" t="n">
        <v>0</v>
      </c>
      <c r="I125" s="84" t="n">
        <v>0.0807444967626355</v>
      </c>
      <c r="J125" s="84" t="n">
        <v>0.468462867497236</v>
      </c>
      <c r="K125" s="84" t="n">
        <v>0.94500709320711</v>
      </c>
      <c r="L125" s="84" t="n">
        <v>11.0862964665093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4.0879</v>
      </c>
      <c r="F126" s="84" t="n">
        <v>16.2682</v>
      </c>
      <c r="G126" s="84" t="n">
        <v>15.1918</v>
      </c>
      <c r="H126" s="84" t="n">
        <v>14.3116</v>
      </c>
      <c r="I126" s="84" t="n">
        <v>0.0764263027808349</v>
      </c>
      <c r="J126" s="84" t="n">
        <v>0.32263233580188</v>
      </c>
      <c r="K126" s="84" t="n">
        <v>1.02898065327161</v>
      </c>
      <c r="L126" s="84" t="n">
        <v>12.926201463209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10.5023</v>
      </c>
      <c r="F127" s="84" t="n">
        <v>19.2276</v>
      </c>
      <c r="G127" s="84" t="n">
        <v>15.2876</v>
      </c>
      <c r="H127" s="84" t="n">
        <v>0</v>
      </c>
      <c r="I127" s="84" t="n">
        <v>0.094370456089397</v>
      </c>
      <c r="J127" s="84" t="n">
        <v>0.634983895044504</v>
      </c>
      <c r="K127" s="84" t="n">
        <v>0.925044507954777</v>
      </c>
      <c r="L127" s="84" t="n">
        <v>13.271495874535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5.2725</v>
      </c>
      <c r="F128" s="84" t="n">
        <v>15.3497</v>
      </c>
      <c r="G128" s="84" t="n">
        <v>0</v>
      </c>
      <c r="H128" s="84" t="n">
        <v>0</v>
      </c>
      <c r="I128" s="84" t="n">
        <v>0.0698993568183945</v>
      </c>
      <c r="J128" s="84" t="n">
        <v>0.234254964809751</v>
      </c>
      <c r="K128" s="84" t="n">
        <v>0.995873254107158</v>
      </c>
      <c r="L128" s="84" t="n">
        <v>13.782540949493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15.6771</v>
      </c>
      <c r="F129" s="84" t="n">
        <v>20.024</v>
      </c>
      <c r="G129" s="84" t="n">
        <v>0</v>
      </c>
      <c r="H129" s="84" t="n">
        <v>0</v>
      </c>
      <c r="I129" s="84" t="n">
        <v>0.09006363481254</v>
      </c>
      <c r="J129" s="84" t="n">
        <v>0.127501090601313</v>
      </c>
      <c r="K129" s="84" t="n">
        <v>0.968185285022932</v>
      </c>
      <c r="L129" s="84" t="n">
        <v>14.7215844264314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24.1049</v>
      </c>
      <c r="F130" s="84" t="n">
        <v>0</v>
      </c>
      <c r="G130" s="84" t="n">
        <v>0</v>
      </c>
      <c r="H130" s="84" t="n">
        <v>0</v>
      </c>
      <c r="I130" s="84" t="n">
        <v>0.0548913729613448</v>
      </c>
      <c r="J130" s="84" t="n">
        <v>0.205994332401556</v>
      </c>
      <c r="K130" s="84" t="n">
        <v>1.08148932902191</v>
      </c>
      <c r="L130" s="84" t="n">
        <v>14.3571972585717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10.7992</v>
      </c>
      <c r="F131" s="84" t="n">
        <v>0</v>
      </c>
      <c r="G131" s="84" t="n">
        <v>0</v>
      </c>
      <c r="H131" s="84" t="n">
        <v>0</v>
      </c>
      <c r="I131" s="84" t="n">
        <v>-0.008447351180114559</v>
      </c>
      <c r="J131" s="84" t="n">
        <v>0.226736291276345</v>
      </c>
      <c r="K131" s="84" t="n">
        <v>1.14377005010343</v>
      </c>
      <c r="L131" s="84" t="n">
        <v>16.0076888335181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3.3561</v>
      </c>
      <c r="F132" s="84" t="n">
        <v>0</v>
      </c>
      <c r="G132" s="84" t="n">
        <v>0</v>
      </c>
      <c r="H132" s="84" t="n">
        <v>0</v>
      </c>
      <c r="I132" s="84" t="n">
        <v>0.0426697766720727</v>
      </c>
      <c r="J132" s="84" t="n">
        <v>0.169922293093055</v>
      </c>
      <c r="K132" s="84" t="n">
        <v>1.02732007399977</v>
      </c>
      <c r="L132" s="84" t="n">
        <v>14.8616918511982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6.3651</v>
      </c>
      <c r="F133" s="84" t="n">
        <v>13.4895</v>
      </c>
      <c r="G133" s="84" t="n">
        <v>0</v>
      </c>
      <c r="H133" s="84" t="n">
        <v>0</v>
      </c>
      <c r="I133" s="84" t="n">
        <v>0.049528904689363</v>
      </c>
      <c r="J133" s="84" t="n">
        <v>0.231360968361296</v>
      </c>
      <c r="K133" s="84" t="n">
        <v>0.96778880524507</v>
      </c>
      <c r="L133" s="84" t="n">
        <v>14.3274105018204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-1.4402</v>
      </c>
      <c r="F134" s="84" t="n">
        <v>10.2991</v>
      </c>
      <c r="G134" s="84" t="n">
        <v>8.068300000000001</v>
      </c>
      <c r="H134" s="84" t="n">
        <v>0</v>
      </c>
      <c r="I134" s="84" t="n">
        <v>0.040916619477988</v>
      </c>
      <c r="J134" s="84" t="n">
        <v>-0.10742940416732</v>
      </c>
      <c r="K134" s="84" t="n">
        <v>0.95089892907526</v>
      </c>
      <c r="L134" s="84" t="n">
        <v>12.7581300055389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4.4871</v>
      </c>
      <c r="F135" s="84" t="n">
        <v>0</v>
      </c>
      <c r="G135" s="84" t="n">
        <v>0</v>
      </c>
      <c r="H135" s="84" t="n">
        <v>0</v>
      </c>
      <c r="I135" s="84" t="n">
        <v>0.0538918372446966</v>
      </c>
      <c r="J135" s="84" t="n">
        <v>0.286271405328063</v>
      </c>
      <c r="K135" s="84" t="n">
        <v>1.09682356197053</v>
      </c>
      <c r="L135" s="84" t="n">
        <v>15.8618921004768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-17.5169</v>
      </c>
      <c r="F136" s="84" t="n">
        <v>0</v>
      </c>
      <c r="G136" s="84" t="n">
        <v>0</v>
      </c>
      <c r="H136" s="84" t="n">
        <v>0</v>
      </c>
      <c r="I136" s="84" t="n">
        <v>-0.0198129650971213</v>
      </c>
      <c r="J136" s="84" t="n">
        <v>0.251422480492662</v>
      </c>
      <c r="K136" s="84" t="n">
        <v>0.977694641805665</v>
      </c>
      <c r="L136" s="84" t="n">
        <v>20.1139731871871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17.5398</v>
      </c>
      <c r="F137" s="84" t="n">
        <v>0</v>
      </c>
      <c r="G137" s="84" t="n">
        <v>0</v>
      </c>
      <c r="H137" s="84" t="n">
        <v>0</v>
      </c>
      <c r="I137" s="84" t="n">
        <v>0.0751047211102432</v>
      </c>
      <c r="J137" s="84" t="n">
        <v>0.0993490388955359</v>
      </c>
      <c r="K137" s="84" t="n">
        <v>0.993491155425517</v>
      </c>
      <c r="L137" s="84" t="n">
        <v>13.9543497078518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63" t="inlineStr">
        <is>
          <t>Equity Large Cap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60" t="n"/>
      <c r="L3" s="360" t="n"/>
      <c r="M3" s="360" t="n"/>
      <c r="N3" s="360" t="n"/>
      <c r="O3" s="360" t="n"/>
      <c r="P3" s="360" t="n"/>
      <c r="Q3" s="360" t="n"/>
      <c r="R3" s="360" t="n"/>
      <c r="S3" s="360" t="n"/>
      <c r="T3" s="360" t="n"/>
      <c r="U3" s="360" t="n"/>
      <c r="V3" s="360" t="n"/>
      <c r="W3" s="360" t="n"/>
      <c r="X3" s="360" t="n"/>
      <c r="Y3" s="360" t="n"/>
      <c r="Z3" s="330" t="n"/>
    </row>
    <row r="4" ht="15" customHeight="1" thickBot="1">
      <c r="B4" s="147" t="n"/>
      <c r="C4" s="148" t="n"/>
      <c r="D4" s="190" t="n"/>
      <c r="E4" s="366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7" t="n"/>
      <c r="P4" s="361" t="inlineStr">
        <is>
          <t>Normalized</t>
        </is>
      </c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4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365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371" t="inlineStr">
        <is>
          <t>Equity Large &amp; Mid Cap</t>
        </is>
      </c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335" t="n"/>
      <c r="U4" s="335" t="n"/>
      <c r="V4" s="335" t="n"/>
      <c r="W4" s="335" t="n"/>
      <c r="X4" s="335" t="n"/>
      <c r="Y4" s="335" t="n"/>
      <c r="Z4" s="303" t="n"/>
    </row>
    <row r="5" ht="15" customHeight="1" thickBot="1">
      <c r="B5" s="153" t="n"/>
      <c r="C5" s="154" t="n"/>
      <c r="D5" s="154" t="n"/>
      <c r="E5" s="373" t="inlineStr">
        <is>
          <t>Actuals</t>
        </is>
      </c>
      <c r="F5" s="374" t="n"/>
      <c r="G5" s="374" t="n"/>
      <c r="H5" s="374" t="n"/>
      <c r="I5" s="374" t="n"/>
      <c r="J5" s="374" t="n"/>
      <c r="K5" s="374" t="n"/>
      <c r="L5" s="374" t="n"/>
      <c r="M5" s="374" t="n"/>
      <c r="N5" s="374" t="n"/>
      <c r="O5" s="375" t="n"/>
      <c r="P5" s="368" t="inlineStr">
        <is>
          <t>Normalized</t>
        </is>
      </c>
      <c r="Q5" s="369" t="n"/>
      <c r="R5" s="369" t="n"/>
      <c r="S5" s="369" t="n"/>
      <c r="T5" s="369" t="n"/>
      <c r="U5" s="369" t="n"/>
      <c r="V5" s="369" t="n"/>
      <c r="W5" s="369" t="n"/>
      <c r="X5" s="369" t="n"/>
      <c r="Y5" s="370" t="n"/>
      <c r="Z5" s="372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48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6"/>
    <col width="8.7109375" customWidth="1" style="42" min="47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363" t="inlineStr">
        <is>
          <t>Ultra Short Duration Fund</t>
        </is>
      </c>
      <c r="C4" s="360" t="n"/>
      <c r="D4" s="360" t="n"/>
      <c r="E4" s="360" t="n"/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0" t="n"/>
      <c r="P4" s="360" t="n"/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0" t="n"/>
      <c r="AA4" s="360" t="n"/>
      <c r="AB4" s="360" t="n"/>
      <c r="AC4" s="360" t="n"/>
      <c r="AD4" s="360" t="n"/>
      <c r="AE4" s="360" t="n"/>
      <c r="AF4" s="360" t="n"/>
      <c r="AG4" s="360" t="n"/>
      <c r="AH4" s="360" t="n"/>
      <c r="AI4" s="360" t="n"/>
      <c r="AJ4" s="360" t="n"/>
      <c r="AK4" s="360" t="n"/>
      <c r="AL4" s="360" t="n"/>
      <c r="AM4" s="360" t="n"/>
      <c r="AN4" s="330" t="n"/>
    </row>
    <row r="5" ht="15" customHeight="1" thickBot="1">
      <c r="B5" s="262" t="n"/>
      <c r="C5" s="189" t="n"/>
      <c r="D5" s="189" t="n"/>
      <c r="E5" s="189" t="n"/>
      <c r="F5" s="378" t="n"/>
      <c r="G5" s="379" t="n"/>
      <c r="H5" s="379" t="n"/>
      <c r="I5" s="379" t="n"/>
      <c r="J5" s="379" t="n"/>
      <c r="K5" s="379" t="n"/>
      <c r="L5" s="379" t="n"/>
      <c r="M5" s="379" t="n"/>
      <c r="N5" s="379" t="n"/>
      <c r="O5" s="379" t="n"/>
      <c r="P5" s="379" t="n"/>
      <c r="Q5" s="379" t="n"/>
      <c r="R5" s="379" t="n"/>
      <c r="S5" s="379" t="n"/>
      <c r="T5" s="379" t="n"/>
      <c r="U5" s="379" t="n"/>
      <c r="V5" s="380" t="n"/>
      <c r="W5" s="378" t="n"/>
      <c r="X5" s="379" t="n"/>
      <c r="Y5" s="379" t="n"/>
      <c r="Z5" s="379" t="n"/>
      <c r="AA5" s="379" t="n"/>
      <c r="AB5" s="379" t="n"/>
      <c r="AC5" s="379" t="n"/>
      <c r="AD5" s="379" t="n"/>
      <c r="AE5" s="379" t="n"/>
      <c r="AF5" s="379" t="n"/>
      <c r="AG5" s="379" t="n"/>
      <c r="AH5" s="379" t="n"/>
      <c r="AI5" s="379" t="n"/>
      <c r="AJ5" s="379" t="n"/>
      <c r="AK5" s="379" t="n"/>
      <c r="AL5" s="379" t="n"/>
      <c r="AM5" s="380" t="n"/>
      <c r="AN5" s="376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377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7.45</v>
      </c>
      <c r="G7" s="248" t="n">
        <v>0.49</v>
      </c>
      <c r="H7" s="249" t="n">
        <v>0.52</v>
      </c>
      <c r="I7" s="249" t="n">
        <v>6.73</v>
      </c>
      <c r="J7" s="249" t="n">
        <v>5.85</v>
      </c>
      <c r="K7" s="249" t="n">
        <v>5.97</v>
      </c>
      <c r="L7" s="249" t="n">
        <v>6.48</v>
      </c>
      <c r="M7" s="249" t="n">
        <v>7.22</v>
      </c>
      <c r="N7" s="249" t="n">
        <v>7.3</v>
      </c>
      <c r="O7" s="249" t="n">
        <v>6.33</v>
      </c>
      <c r="P7" s="249" t="n">
        <v>6.92</v>
      </c>
      <c r="Q7" s="84" t="n">
        <v>9.06</v>
      </c>
      <c r="R7" s="84" t="n">
        <v>57.33</v>
      </c>
      <c r="S7" s="84" t="n">
        <v>22.55</v>
      </c>
      <c r="T7" s="84" t="n">
        <v>8.68</v>
      </c>
      <c r="U7" s="84" t="n">
        <v>0.2</v>
      </c>
      <c r="V7" s="84" t="n">
        <v>2.39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7.8</v>
      </c>
      <c r="G8" s="248" t="n">
        <v>0.46</v>
      </c>
      <c r="H8" s="249" t="n">
        <v>0.51</v>
      </c>
      <c r="I8" s="249" t="n">
        <v>6.63</v>
      </c>
      <c r="J8" s="249" t="n">
        <v>5.65</v>
      </c>
      <c r="K8" s="249" t="n">
        <v>5.74</v>
      </c>
      <c r="L8" s="249" t="n">
        <v>6.13</v>
      </c>
      <c r="M8" s="249" t="n">
        <v>6.83</v>
      </c>
      <c r="N8" s="249" t="n">
        <v>6.94</v>
      </c>
      <c r="O8" s="249" t="n">
        <v>5.99</v>
      </c>
      <c r="P8" s="249" t="n">
        <v>0</v>
      </c>
      <c r="Q8" s="84" t="n">
        <v>9.56</v>
      </c>
      <c r="R8" s="84" t="n">
        <v>81.95</v>
      </c>
      <c r="S8" s="84" t="n">
        <v>3.31</v>
      </c>
      <c r="T8" s="84" t="n">
        <v>4.28</v>
      </c>
      <c r="U8" s="84" t="n">
        <v>0</v>
      </c>
      <c r="V8" s="84" t="n">
        <v>0.9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7.73</v>
      </c>
      <c r="G10" s="248" t="n">
        <v>0.46</v>
      </c>
      <c r="H10" s="249" t="n">
        <v>0.5</v>
      </c>
      <c r="I10" s="249" t="n">
        <v>6.76</v>
      </c>
      <c r="J10" s="249" t="n">
        <v>5.87</v>
      </c>
      <c r="K10" s="249" t="n">
        <v>5.94</v>
      </c>
      <c r="L10" s="249" t="n">
        <v>6.37</v>
      </c>
      <c r="M10" s="249" t="n">
        <v>6.93</v>
      </c>
      <c r="N10" s="249" t="n">
        <v>7.02</v>
      </c>
      <c r="O10" s="249" t="n">
        <v>6.11</v>
      </c>
      <c r="P10" s="249" t="n">
        <v>6.78</v>
      </c>
      <c r="Q10" s="84" t="n">
        <v>4.13</v>
      </c>
      <c r="R10" s="84" t="n">
        <v>70.06999999999999</v>
      </c>
      <c r="S10" s="84" t="n">
        <v>9.65</v>
      </c>
      <c r="T10" s="84" t="n">
        <v>11.7</v>
      </c>
      <c r="U10" s="84" t="n">
        <v>-34.69</v>
      </c>
      <c r="V10" s="84" t="n">
        <v>4.45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7.53</v>
      </c>
      <c r="G11" s="248" t="n">
        <v>0.48</v>
      </c>
      <c r="H11" s="249" t="n">
        <v>0.49</v>
      </c>
      <c r="I11" s="249" t="n">
        <v>6.57</v>
      </c>
      <c r="J11" s="249" t="n">
        <v>5.74</v>
      </c>
      <c r="K11" s="249" t="n">
        <v>5.72</v>
      </c>
      <c r="L11" s="249" t="n">
        <v>6.1</v>
      </c>
      <c r="M11" s="249" t="n">
        <v>6.73</v>
      </c>
      <c r="N11" s="249" t="n">
        <v>6.81</v>
      </c>
      <c r="O11" s="249" t="n">
        <v>5.87</v>
      </c>
      <c r="P11" s="249" t="n">
        <v>6.35</v>
      </c>
      <c r="Q11" s="84" t="n">
        <v>15.04</v>
      </c>
      <c r="R11" s="84" t="n">
        <v>70.34</v>
      </c>
      <c r="S11" s="84" t="n">
        <v>6.67</v>
      </c>
      <c r="T11" s="84" t="n">
        <v>7.59</v>
      </c>
      <c r="U11" s="84" t="n">
        <v>0</v>
      </c>
      <c r="V11" s="84" t="n">
        <v>0.35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7.97</v>
      </c>
      <c r="G12" s="248" t="n">
        <v>0.49</v>
      </c>
      <c r="H12" s="249" t="n">
        <v>0.53</v>
      </c>
      <c r="I12" s="249" t="n">
        <v>6.83</v>
      </c>
      <c r="J12" s="249" t="n">
        <v>5.89</v>
      </c>
      <c r="K12" s="249" t="n">
        <v>5.86</v>
      </c>
      <c r="L12" s="249" t="n">
        <v>6.18</v>
      </c>
      <c r="M12" s="249" t="n">
        <v>6.76</v>
      </c>
      <c r="N12" s="249" t="n">
        <v>6.81</v>
      </c>
      <c r="O12" s="249" t="n">
        <v>6.71</v>
      </c>
      <c r="P12" s="249" t="n">
        <v>5.81</v>
      </c>
      <c r="Q12" s="84" t="n">
        <v>8.289999999999999</v>
      </c>
      <c r="R12" s="84" t="n">
        <v>59.74</v>
      </c>
      <c r="S12" s="84" t="n">
        <v>9.07</v>
      </c>
      <c r="T12" s="84" t="n">
        <v>24.37</v>
      </c>
      <c r="U12" s="84" t="n">
        <v>0.07000000000000001</v>
      </c>
      <c r="V12" s="84" t="n">
        <v>-1.53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7.8</v>
      </c>
      <c r="G13" s="251" t="n">
        <v>0.55</v>
      </c>
      <c r="H13" s="250" t="n">
        <v>0.5600000000000001</v>
      </c>
      <c r="I13" s="250" t="n">
        <v>6.34</v>
      </c>
      <c r="J13" s="250" t="n">
        <v>5.55</v>
      </c>
      <c r="K13" s="250" t="n">
        <v>5.56</v>
      </c>
      <c r="L13" s="250" t="n">
        <v>5.92</v>
      </c>
      <c r="M13" s="250" t="n">
        <v>6.61</v>
      </c>
      <c r="N13" s="250" t="n">
        <v>6.72</v>
      </c>
      <c r="O13" s="250" t="n">
        <v>6.32</v>
      </c>
      <c r="P13" s="250" t="n">
        <v>6.06</v>
      </c>
      <c r="Q13" s="92" t="n">
        <v>15.88</v>
      </c>
      <c r="R13" s="92" t="n">
        <v>58.84</v>
      </c>
      <c r="S13" s="92" t="n">
        <v>16.29</v>
      </c>
      <c r="T13" s="92" t="n">
        <v>8.56</v>
      </c>
      <c r="U13" s="92" t="n">
        <v>0</v>
      </c>
      <c r="V13" s="92" t="n">
        <v>0.44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363" t="inlineStr">
        <is>
          <t>Low Duration Fund</t>
        </is>
      </c>
      <c r="C16" s="360" t="n"/>
      <c r="D16" s="360" t="n"/>
      <c r="E16" s="360" t="n"/>
      <c r="F16" s="360" t="n"/>
      <c r="G16" s="360" t="n"/>
      <c r="H16" s="360" t="n"/>
      <c r="I16" s="360" t="n"/>
      <c r="J16" s="360" t="n"/>
      <c r="K16" s="360" t="n"/>
      <c r="L16" s="360" t="n"/>
      <c r="M16" s="360" t="n"/>
      <c r="N16" s="360" t="n"/>
      <c r="O16" s="360" t="n"/>
      <c r="P16" s="360" t="n"/>
      <c r="Q16" s="360" t="n"/>
      <c r="R16" s="360" t="n"/>
      <c r="S16" s="360" t="n"/>
      <c r="T16" s="360" t="n"/>
      <c r="U16" s="360" t="n"/>
      <c r="V16" s="360" t="n"/>
      <c r="W16" s="360" t="n"/>
      <c r="X16" s="360" t="n"/>
      <c r="Y16" s="360" t="n"/>
      <c r="Z16" s="360" t="n"/>
      <c r="AA16" s="360" t="n"/>
      <c r="AB16" s="360" t="n"/>
      <c r="AC16" s="360" t="n"/>
      <c r="AD16" s="360" t="n"/>
      <c r="AE16" s="360" t="n"/>
      <c r="AF16" s="360" t="n"/>
      <c r="AG16" s="360" t="n"/>
      <c r="AH16" s="360" t="n"/>
      <c r="AI16" s="360" t="n"/>
      <c r="AJ16" s="360" t="n"/>
      <c r="AK16" s="360" t="n"/>
      <c r="AL16" s="360" t="n"/>
      <c r="AM16" s="360" t="n"/>
      <c r="AN16" s="330" t="n"/>
    </row>
    <row r="17" ht="15" customHeight="1" thickBot="1">
      <c r="B17" s="262" t="n"/>
      <c r="C17" s="189" t="n"/>
      <c r="D17" s="189" t="n"/>
      <c r="E17" s="189" t="n"/>
      <c r="F17" s="378" t="n"/>
      <c r="G17" s="379" t="n"/>
      <c r="H17" s="379" t="n"/>
      <c r="I17" s="379" t="n"/>
      <c r="J17" s="379" t="n"/>
      <c r="K17" s="379" t="n"/>
      <c r="L17" s="379" t="n"/>
      <c r="M17" s="379" t="n"/>
      <c r="N17" s="379" t="n"/>
      <c r="O17" s="379" t="n"/>
      <c r="P17" s="379" t="n"/>
      <c r="Q17" s="379" t="n"/>
      <c r="R17" s="379" t="n"/>
      <c r="S17" s="379" t="n"/>
      <c r="T17" s="379" t="n"/>
      <c r="U17" s="379" t="n"/>
      <c r="V17" s="380" t="n"/>
      <c r="W17" s="378" t="n"/>
      <c r="X17" s="379" t="n"/>
      <c r="Y17" s="379" t="n"/>
      <c r="Z17" s="379" t="n"/>
      <c r="AA17" s="379" t="n"/>
      <c r="AB17" s="379" t="n"/>
      <c r="AC17" s="379" t="n"/>
      <c r="AD17" s="379" t="n"/>
      <c r="AE17" s="379" t="n"/>
      <c r="AF17" s="379" t="n"/>
      <c r="AG17" s="379" t="n"/>
      <c r="AH17" s="379" t="n"/>
      <c r="AI17" s="379" t="n"/>
      <c r="AJ17" s="379" t="n"/>
      <c r="AK17" s="379" t="n"/>
      <c r="AL17" s="379" t="n"/>
      <c r="AM17" s="380" t="n"/>
      <c r="AN17" s="376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377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7.57</v>
      </c>
      <c r="G19" s="248" t="n">
        <v>0.91</v>
      </c>
      <c r="H19" s="249" t="n">
        <v>0.97</v>
      </c>
      <c r="I19" s="248" t="n">
        <v>6.38</v>
      </c>
      <c r="J19" s="248" t="n">
        <v>5.79</v>
      </c>
      <c r="K19" s="248" t="n">
        <v>5.9</v>
      </c>
      <c r="L19" s="248" t="n">
        <v>6.51</v>
      </c>
      <c r="M19" s="248" t="n">
        <v>7.35</v>
      </c>
      <c r="N19" s="248" t="n">
        <v>7.5</v>
      </c>
      <c r="O19" s="248" t="n">
        <v>6.5</v>
      </c>
      <c r="P19" s="248" t="n">
        <v>7.1</v>
      </c>
      <c r="Q19" s="248" t="n">
        <v>10.54</v>
      </c>
      <c r="R19" s="248" t="n">
        <v>71.7</v>
      </c>
      <c r="S19" s="248" t="n">
        <v>7.24</v>
      </c>
      <c r="T19" s="248" t="n">
        <v>6.87</v>
      </c>
      <c r="U19" s="248" t="n">
        <v>-26.53</v>
      </c>
      <c r="V19" s="248" t="n">
        <v>3.66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7.77</v>
      </c>
      <c r="G20" s="248" t="n">
        <v>0.95</v>
      </c>
      <c r="H20" s="249" t="n">
        <v>1.02</v>
      </c>
      <c r="I20" s="248" t="n">
        <v>6.23</v>
      </c>
      <c r="J20" s="248" t="n">
        <v>5.18</v>
      </c>
      <c r="K20" s="248" t="n">
        <v>5.33</v>
      </c>
      <c r="L20" s="248" t="n">
        <v>5.96</v>
      </c>
      <c r="M20" s="248" t="n">
        <v>6.86</v>
      </c>
      <c r="N20" s="248" t="n">
        <v>6.96</v>
      </c>
      <c r="O20" s="248" t="n">
        <v>6.01</v>
      </c>
      <c r="P20" s="248" t="n">
        <v>6.58</v>
      </c>
      <c r="Q20" s="248" t="n">
        <v>13.48</v>
      </c>
      <c r="R20" s="248" t="n">
        <v>73.48999999999999</v>
      </c>
      <c r="S20" s="248" t="n">
        <v>1.8</v>
      </c>
      <c r="T20" s="248" t="n">
        <v>12.55</v>
      </c>
      <c r="U20" s="248" t="n">
        <v>0</v>
      </c>
      <c r="V20" s="248" t="n">
        <v>-1.31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7.52</v>
      </c>
      <c r="G22" s="248" t="n">
        <v>1.07</v>
      </c>
      <c r="H22" s="249" t="n">
        <v>1.15</v>
      </c>
      <c r="I22" s="248" t="n">
        <v>5.66</v>
      </c>
      <c r="J22" s="248" t="n">
        <v>4.77</v>
      </c>
      <c r="K22" s="248" t="n">
        <v>4.99</v>
      </c>
      <c r="L22" s="248" t="n">
        <v>5.68</v>
      </c>
      <c r="M22" s="248" t="n">
        <v>6.59</v>
      </c>
      <c r="N22" s="248" t="n">
        <v>6.65</v>
      </c>
      <c r="O22" s="248" t="n">
        <v>5.78</v>
      </c>
      <c r="P22" s="248" t="n">
        <v>6.5</v>
      </c>
      <c r="Q22" s="248" t="n">
        <v>13.03</v>
      </c>
      <c r="R22" s="248" t="n">
        <v>81.58</v>
      </c>
      <c r="S22" s="248" t="n">
        <v>6.76</v>
      </c>
      <c r="T22" s="248" t="n">
        <v>12.11</v>
      </c>
      <c r="U22" s="248" t="n">
        <v>0.24</v>
      </c>
      <c r="V22" s="248" t="n">
        <v>-13.47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7.73</v>
      </c>
      <c r="G23" s="248" t="n">
        <v>0.9</v>
      </c>
      <c r="H23" s="249" t="n">
        <v>0.96</v>
      </c>
      <c r="I23" s="248" t="n">
        <v>6.1</v>
      </c>
      <c r="J23" s="248" t="n">
        <v>4.93</v>
      </c>
      <c r="K23" s="248" t="n">
        <v>5.15</v>
      </c>
      <c r="L23" s="248" t="n">
        <v>5.79</v>
      </c>
      <c r="M23" s="248" t="n">
        <v>6.75</v>
      </c>
      <c r="N23" s="248" t="n">
        <v>6.77</v>
      </c>
      <c r="O23" s="248" t="n">
        <v>5.8</v>
      </c>
      <c r="P23" s="248" t="n">
        <v>6.67</v>
      </c>
      <c r="Q23" s="248" t="n">
        <v>12.21</v>
      </c>
      <c r="R23" s="248" t="n">
        <v>73.05</v>
      </c>
      <c r="S23" s="248" t="n">
        <v>2.79</v>
      </c>
      <c r="T23" s="248" t="n">
        <v>12.08</v>
      </c>
      <c r="U23" s="248" t="n">
        <v>0</v>
      </c>
      <c r="V23" s="248" t="n">
        <v>-0.14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7.63</v>
      </c>
      <c r="G24" s="248" t="n">
        <v>1</v>
      </c>
      <c r="H24" s="249" t="n">
        <v>1.06</v>
      </c>
      <c r="I24" s="248" t="n">
        <v>5.91</v>
      </c>
      <c r="J24" s="248" t="n">
        <v>5.1</v>
      </c>
      <c r="K24" s="248" t="n">
        <v>5.36</v>
      </c>
      <c r="L24" s="248" t="n">
        <v>5.97</v>
      </c>
      <c r="M24" s="248" t="n">
        <v>6.89</v>
      </c>
      <c r="N24" s="248" t="n">
        <v>6.88</v>
      </c>
      <c r="O24" s="248" t="n">
        <v>5.96</v>
      </c>
      <c r="P24" s="248" t="n">
        <v>6.5</v>
      </c>
      <c r="Q24" s="248" t="n">
        <v>11.3</v>
      </c>
      <c r="R24" s="248" t="n">
        <v>68.26000000000001</v>
      </c>
      <c r="S24" s="248" t="n">
        <v>6.49</v>
      </c>
      <c r="T24" s="248" t="n">
        <v>8.84</v>
      </c>
      <c r="U24" s="248" t="n">
        <v>0.09</v>
      </c>
      <c r="V24" s="248" t="n">
        <v>5.02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7.89</v>
      </c>
      <c r="G25" s="251" t="n">
        <v>0.87</v>
      </c>
      <c r="H25" s="250" t="n">
        <v>0.91</v>
      </c>
      <c r="I25" s="251" t="n">
        <v>6.41</v>
      </c>
      <c r="J25" s="251" t="n">
        <v>5.51</v>
      </c>
      <c r="K25" s="251" t="n">
        <v>5.73</v>
      </c>
      <c r="L25" s="251" t="n">
        <v>6.31</v>
      </c>
      <c r="M25" s="251" t="n">
        <v>7.23</v>
      </c>
      <c r="N25" s="251" t="n">
        <v>7.2</v>
      </c>
      <c r="O25" s="251" t="n">
        <v>7.26</v>
      </c>
      <c r="P25" s="251" t="n">
        <v>6.02</v>
      </c>
      <c r="Q25" s="251" t="n">
        <v>3.32</v>
      </c>
      <c r="R25" s="251" t="n">
        <v>74.2</v>
      </c>
      <c r="S25" s="251" t="n">
        <v>4.45</v>
      </c>
      <c r="T25" s="251" t="n">
        <v>7.56</v>
      </c>
      <c r="U25" s="248" t="n">
        <v>0</v>
      </c>
      <c r="V25" s="251" t="n">
        <v>10.46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363" t="inlineStr">
        <is>
          <t>Short Duration Fund</t>
        </is>
      </c>
      <c r="C28" s="360" t="n"/>
      <c r="D28" s="360" t="n"/>
      <c r="E28" s="360" t="n"/>
      <c r="F28" s="360" t="n"/>
      <c r="G28" s="360" t="n"/>
      <c r="H28" s="360" t="n"/>
      <c r="I28" s="360" t="n"/>
      <c r="J28" s="360" t="n"/>
      <c r="K28" s="360" t="n"/>
      <c r="L28" s="360" t="n"/>
      <c r="M28" s="360" t="n"/>
      <c r="N28" s="360" t="n"/>
      <c r="O28" s="360" t="n"/>
      <c r="P28" s="360" t="n"/>
      <c r="Q28" s="360" t="n"/>
      <c r="R28" s="360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60" t="n"/>
      <c r="AB28" s="360" t="n"/>
      <c r="AC28" s="360" t="n"/>
      <c r="AD28" s="360" t="n"/>
      <c r="AE28" s="360" t="n"/>
      <c r="AF28" s="360" t="n"/>
      <c r="AG28" s="360" t="n"/>
      <c r="AH28" s="360" t="n"/>
      <c r="AI28" s="360" t="n"/>
      <c r="AJ28" s="360" t="n"/>
      <c r="AK28" s="360" t="n"/>
      <c r="AL28" s="360" t="n"/>
      <c r="AM28" s="360" t="n"/>
      <c r="AN28" s="330" t="n"/>
    </row>
    <row r="29" ht="15" customHeight="1" thickBot="1">
      <c r="B29" s="262" t="n"/>
      <c r="C29" s="189" t="n"/>
      <c r="D29" s="189" t="n"/>
      <c r="E29" s="189" t="n"/>
      <c r="F29" s="378" t="n"/>
      <c r="G29" s="379" t="n"/>
      <c r="H29" s="379" t="n"/>
      <c r="I29" s="379" t="n"/>
      <c r="J29" s="379" t="n"/>
      <c r="K29" s="379" t="n"/>
      <c r="L29" s="379" t="n"/>
      <c r="M29" s="379" t="n"/>
      <c r="N29" s="379" t="n"/>
      <c r="O29" s="379" t="n"/>
      <c r="P29" s="379" t="n"/>
      <c r="Q29" s="379" t="n"/>
      <c r="R29" s="379" t="n"/>
      <c r="S29" s="379" t="n"/>
      <c r="T29" s="379" t="n"/>
      <c r="U29" s="379" t="n"/>
      <c r="V29" s="380" t="n"/>
      <c r="W29" s="378" t="n"/>
      <c r="X29" s="379" t="n"/>
      <c r="Y29" s="379" t="n"/>
      <c r="Z29" s="379" t="n"/>
      <c r="AA29" s="379" t="n"/>
      <c r="AB29" s="379" t="n"/>
      <c r="AC29" s="379" t="n"/>
      <c r="AD29" s="379" t="n"/>
      <c r="AE29" s="379" t="n"/>
      <c r="AF29" s="379" t="n"/>
      <c r="AG29" s="379" t="n"/>
      <c r="AH29" s="379" t="n"/>
      <c r="AI29" s="379" t="n"/>
      <c r="AJ29" s="379" t="n"/>
      <c r="AK29" s="379" t="n"/>
      <c r="AL29" s="379" t="n"/>
      <c r="AM29" s="380" t="n"/>
      <c r="AN29" s="376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377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7.89</v>
      </c>
      <c r="G31" s="248" t="n">
        <v>2.4</v>
      </c>
      <c r="H31" s="249" t="n">
        <v>2.52</v>
      </c>
      <c r="I31" s="248" t="n">
        <v>5.1</v>
      </c>
      <c r="J31" s="248" t="n">
        <v>4.53</v>
      </c>
      <c r="K31" s="248" t="n">
        <v>4.84</v>
      </c>
      <c r="L31" s="248" t="n">
        <v>5.7</v>
      </c>
      <c r="M31" s="248" t="n">
        <v>7.35</v>
      </c>
      <c r="N31" s="248" t="n">
        <v>7.29</v>
      </c>
      <c r="O31" s="248" t="n">
        <v>6.41</v>
      </c>
      <c r="P31" s="248" t="n">
        <v>7.25</v>
      </c>
      <c r="Q31" s="248" t="n">
        <v>15.73</v>
      </c>
      <c r="R31" s="248" t="n">
        <v>62.82</v>
      </c>
      <c r="S31" s="248" t="n">
        <v>9.710000000000001</v>
      </c>
      <c r="T31" s="248" t="n">
        <v>10.5</v>
      </c>
      <c r="U31" s="248" t="n">
        <v>-5.32</v>
      </c>
      <c r="V31" s="248" t="n">
        <v>1.23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7.77</v>
      </c>
      <c r="G32" s="248" t="n">
        <v>2.26</v>
      </c>
      <c r="H32" s="249" t="n">
        <v>2.4</v>
      </c>
      <c r="I32" s="248" t="n">
        <v>4.52</v>
      </c>
      <c r="J32" s="248" t="n">
        <v>3.43</v>
      </c>
      <c r="K32" s="248" t="n">
        <v>3.82</v>
      </c>
      <c r="L32" s="248" t="n">
        <v>4.66</v>
      </c>
      <c r="M32" s="248" t="n">
        <v>6.88</v>
      </c>
      <c r="N32" s="248" t="n">
        <v>6.7</v>
      </c>
      <c r="O32" s="248" t="n">
        <v>5.66</v>
      </c>
      <c r="P32" s="248" t="n">
        <v>6.65</v>
      </c>
      <c r="Q32" s="248" t="n">
        <v>15.24</v>
      </c>
      <c r="R32" s="248" t="n">
        <v>88.5</v>
      </c>
      <c r="S32" s="248" t="n">
        <v>0</v>
      </c>
      <c r="T32" s="248" t="n">
        <v>0</v>
      </c>
      <c r="U32" s="248" t="n">
        <v>0</v>
      </c>
      <c r="V32" s="248" t="n">
        <v>-3.74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7.85</v>
      </c>
      <c r="G33" s="248" t="n">
        <v>2.38</v>
      </c>
      <c r="H33" s="249" t="n">
        <v>2.53</v>
      </c>
      <c r="I33" s="248" t="n">
        <v>5.13</v>
      </c>
      <c r="J33" s="248" t="n">
        <v>3.99</v>
      </c>
      <c r="K33" s="248" t="n">
        <v>4.5</v>
      </c>
      <c r="L33" s="248" t="n">
        <v>5.39</v>
      </c>
      <c r="M33" s="248" t="n">
        <v>7.37</v>
      </c>
      <c r="N33" s="248" t="n">
        <v>7.27</v>
      </c>
      <c r="O33" s="248" t="n">
        <v>6.19</v>
      </c>
      <c r="P33" s="248" t="n">
        <v>7.21</v>
      </c>
      <c r="Q33" s="248" t="n">
        <v>13.34</v>
      </c>
      <c r="R33" s="248" t="n">
        <v>71.63</v>
      </c>
      <c r="S33" s="248" t="n">
        <v>5.84</v>
      </c>
      <c r="T33" s="248" t="n">
        <v>9.59</v>
      </c>
      <c r="U33" s="248" t="n">
        <v>0</v>
      </c>
      <c r="V33" s="248" t="n">
        <v>-0.41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7.79</v>
      </c>
      <c r="G34" s="248" t="n">
        <v>2.28</v>
      </c>
      <c r="H34" s="249" t="n">
        <v>2.4</v>
      </c>
      <c r="I34" s="248" t="n">
        <v>4.46</v>
      </c>
      <c r="J34" s="248" t="n">
        <v>3.47</v>
      </c>
      <c r="K34" s="248" t="n">
        <v>4.13</v>
      </c>
      <c r="L34" s="248" t="n">
        <v>5.1</v>
      </c>
      <c r="M34" s="248" t="n">
        <v>7.13</v>
      </c>
      <c r="N34" s="248" t="n">
        <v>6.88</v>
      </c>
      <c r="O34" s="248" t="n">
        <v>5.84</v>
      </c>
      <c r="P34" s="248" t="n">
        <v>6.71</v>
      </c>
      <c r="Q34" s="248" t="n">
        <v>16.25</v>
      </c>
      <c r="R34" s="248" t="n">
        <v>66.15000000000001</v>
      </c>
      <c r="S34" s="248" t="n">
        <v>8.380000000000001</v>
      </c>
      <c r="T34" s="248" t="n">
        <v>6.58</v>
      </c>
      <c r="U34" s="248" t="n">
        <v>0</v>
      </c>
      <c r="V34" s="248" t="n">
        <v>2.64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7.84</v>
      </c>
      <c r="G35" s="248" t="n">
        <v>2.78</v>
      </c>
      <c r="H35" s="249" t="n">
        <v>2.97</v>
      </c>
      <c r="I35" s="248" t="n">
        <v>5.04</v>
      </c>
      <c r="J35" s="248" t="n">
        <v>3.84</v>
      </c>
      <c r="K35" s="248" t="n">
        <v>4.38</v>
      </c>
      <c r="L35" s="248" t="n">
        <v>5.17</v>
      </c>
      <c r="M35" s="248" t="n">
        <v>7.23</v>
      </c>
      <c r="N35" s="248" t="n">
        <v>7</v>
      </c>
      <c r="O35" s="248" t="n">
        <v>6.15</v>
      </c>
      <c r="P35" s="248" t="n">
        <v>7.08</v>
      </c>
      <c r="Q35" s="248" t="n">
        <v>14.07</v>
      </c>
      <c r="R35" s="248" t="n">
        <v>73.37</v>
      </c>
      <c r="S35" s="248" t="n">
        <v>6.16</v>
      </c>
      <c r="T35" s="248" t="n">
        <v>14.38</v>
      </c>
      <c r="U35" s="248" t="n">
        <v>0.43</v>
      </c>
      <c r="V35" s="248" t="n">
        <v>-7.97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7.78</v>
      </c>
      <c r="G36" s="248" t="n">
        <v>2.4</v>
      </c>
      <c r="H36" s="249" t="n">
        <v>2.52</v>
      </c>
      <c r="I36" s="248" t="n">
        <v>4.87</v>
      </c>
      <c r="J36" s="248" t="n">
        <v>3.59</v>
      </c>
      <c r="K36" s="248" t="n">
        <v>4.21</v>
      </c>
      <c r="L36" s="248" t="n">
        <v>5.25</v>
      </c>
      <c r="M36" s="248" t="n">
        <v>7.31</v>
      </c>
      <c r="N36" s="248" t="n">
        <v>7.07</v>
      </c>
      <c r="O36" s="248" t="n">
        <v>6.02</v>
      </c>
      <c r="P36" s="248" t="n">
        <v>6.79</v>
      </c>
      <c r="Q36" s="248" t="n">
        <v>21.03</v>
      </c>
      <c r="R36" s="248" t="n">
        <v>60.87</v>
      </c>
      <c r="S36" s="248" t="n">
        <v>6.83</v>
      </c>
      <c r="T36" s="248" t="n">
        <v>8.51</v>
      </c>
      <c r="U36" s="248" t="n">
        <v>0</v>
      </c>
      <c r="V36" s="248" t="n">
        <v>2.76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7.86</v>
      </c>
      <c r="G37" s="251" t="n">
        <v>2.38</v>
      </c>
      <c r="H37" s="250" t="n">
        <v>2.51</v>
      </c>
      <c r="I37" s="251" t="n">
        <v>4.78</v>
      </c>
      <c r="J37" s="251" t="n">
        <v>3.51</v>
      </c>
      <c r="K37" s="251" t="n">
        <v>4.05</v>
      </c>
      <c r="L37" s="251" t="n">
        <v>4.95</v>
      </c>
      <c r="M37" s="251" t="n">
        <v>6.9</v>
      </c>
      <c r="N37" s="251" t="n">
        <v>6.91</v>
      </c>
      <c r="O37" s="251" t="n">
        <v>6.91</v>
      </c>
      <c r="P37" s="251" t="n">
        <v>6.07</v>
      </c>
      <c r="Q37" s="251" t="n">
        <v>15.86</v>
      </c>
      <c r="R37" s="251" t="n">
        <v>67.45</v>
      </c>
      <c r="S37" s="251" t="n">
        <v>5.37</v>
      </c>
      <c r="T37" s="251" t="n">
        <v>9.41</v>
      </c>
      <c r="U37" s="251" t="n">
        <v>0</v>
      </c>
      <c r="V37" s="251" t="n">
        <v>1.91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363" t="inlineStr">
        <is>
          <t>Medium Duration Fund</t>
        </is>
      </c>
      <c r="C39" s="360" t="n"/>
      <c r="D39" s="360" t="n"/>
      <c r="E39" s="360" t="n"/>
      <c r="F39" s="360" t="n"/>
      <c r="G39" s="360" t="n"/>
      <c r="H39" s="360" t="n"/>
      <c r="I39" s="360" t="n"/>
      <c r="J39" s="360" t="n"/>
      <c r="K39" s="360" t="n"/>
      <c r="L39" s="360" t="n"/>
      <c r="M39" s="360" t="n"/>
      <c r="N39" s="360" t="n"/>
      <c r="O39" s="360" t="n"/>
      <c r="P39" s="360" t="n"/>
      <c r="Q39" s="360" t="n"/>
      <c r="R39" s="360" t="n"/>
      <c r="S39" s="360" t="n"/>
      <c r="T39" s="360" t="n"/>
      <c r="U39" s="360" t="n"/>
      <c r="V39" s="360" t="n"/>
      <c r="W39" s="360" t="n"/>
      <c r="X39" s="360" t="n"/>
      <c r="Y39" s="360" t="n"/>
      <c r="Z39" s="360" t="n"/>
      <c r="AA39" s="360" t="n"/>
      <c r="AB39" s="360" t="n"/>
      <c r="AC39" s="360" t="n"/>
      <c r="AD39" s="360" t="n"/>
      <c r="AE39" s="360" t="n"/>
      <c r="AF39" s="360" t="n"/>
      <c r="AG39" s="360" t="n"/>
      <c r="AH39" s="360" t="n"/>
      <c r="AI39" s="360" t="n"/>
      <c r="AJ39" s="360" t="n"/>
      <c r="AK39" s="360" t="n"/>
      <c r="AL39" s="360" t="n"/>
      <c r="AM39" s="360" t="n"/>
      <c r="AN39" s="330" t="n"/>
    </row>
    <row r="40" ht="15" customHeight="1" thickBot="1">
      <c r="B40" s="262" t="n"/>
      <c r="C40" s="189" t="n"/>
      <c r="D40" s="189" t="n"/>
      <c r="E40" s="189" t="n"/>
      <c r="F40" s="378" t="n"/>
      <c r="G40" s="379" t="n"/>
      <c r="H40" s="379" t="n"/>
      <c r="I40" s="379" t="n"/>
      <c r="J40" s="379" t="n"/>
      <c r="K40" s="379" t="n"/>
      <c r="L40" s="379" t="n"/>
      <c r="M40" s="379" t="n"/>
      <c r="N40" s="379" t="n"/>
      <c r="O40" s="379" t="n"/>
      <c r="P40" s="379" t="n"/>
      <c r="Q40" s="379" t="n"/>
      <c r="R40" s="379" t="n"/>
      <c r="S40" s="379" t="n"/>
      <c r="T40" s="379" t="n"/>
      <c r="U40" s="379" t="n"/>
      <c r="V40" s="380" t="n"/>
      <c r="W40" s="378" t="n"/>
      <c r="X40" s="379" t="n"/>
      <c r="Y40" s="379" t="n"/>
      <c r="Z40" s="379" t="n"/>
      <c r="AA40" s="379" t="n"/>
      <c r="AB40" s="379" t="n"/>
      <c r="AC40" s="379" t="n"/>
      <c r="AD40" s="379" t="n"/>
      <c r="AE40" s="379" t="n"/>
      <c r="AF40" s="379" t="n"/>
      <c r="AG40" s="379" t="n"/>
      <c r="AH40" s="379" t="n"/>
      <c r="AI40" s="379" t="n"/>
      <c r="AJ40" s="379" t="n"/>
      <c r="AK40" s="379" t="n"/>
      <c r="AL40" s="379" t="n"/>
      <c r="AM40" s="380" t="n"/>
      <c r="AN40" s="376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377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8.44</v>
      </c>
      <c r="G43" s="248" t="n">
        <v>2.89</v>
      </c>
      <c r="H43" s="249" t="n">
        <v>3.04</v>
      </c>
      <c r="I43" s="248" t="n">
        <v>5.33</v>
      </c>
      <c r="J43" s="248" t="n">
        <v>4.91</v>
      </c>
      <c r="K43" s="248" t="n">
        <v>5.69</v>
      </c>
      <c r="L43" s="248" t="n">
        <v>6.45</v>
      </c>
      <c r="M43" s="248" t="n">
        <v>8.02</v>
      </c>
      <c r="N43" s="248" t="n">
        <v>7.53</v>
      </c>
      <c r="O43" s="248" t="n">
        <v>6.63</v>
      </c>
      <c r="P43" s="248" t="n">
        <v>7.31</v>
      </c>
      <c r="Q43" s="248" t="n">
        <v>13.88</v>
      </c>
      <c r="R43" s="248" t="n">
        <v>18.46</v>
      </c>
      <c r="S43" s="248" t="n">
        <v>18.78</v>
      </c>
      <c r="T43" s="248" t="n">
        <v>36.08</v>
      </c>
      <c r="U43" s="248" t="n">
        <v>0</v>
      </c>
      <c r="V43" s="248" t="n">
        <v>12.8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8.390000000000001</v>
      </c>
      <c r="G44" s="248" t="n">
        <v>3.07</v>
      </c>
      <c r="H44" s="249" t="n">
        <v>3.23</v>
      </c>
      <c r="I44" s="248" t="n">
        <v>5.59</v>
      </c>
      <c r="J44" s="248" t="n">
        <v>4.34</v>
      </c>
      <c r="K44" s="248" t="n">
        <v>4.62</v>
      </c>
      <c r="L44" s="248" t="n">
        <v>5.13</v>
      </c>
      <c r="M44" s="248" t="n">
        <v>7.33</v>
      </c>
      <c r="N44" s="248" t="n">
        <v>7.04</v>
      </c>
      <c r="O44" s="248" t="n">
        <v>6.11</v>
      </c>
      <c r="P44" s="248" t="n">
        <v>6.98</v>
      </c>
      <c r="Q44" s="248" t="n">
        <v>17.73</v>
      </c>
      <c r="R44" s="248" t="n">
        <v>23.96</v>
      </c>
      <c r="S44" s="248" t="n">
        <v>17.45</v>
      </c>
      <c r="T44" s="248" t="n">
        <v>27.34</v>
      </c>
      <c r="U44" s="248" t="n">
        <v>6.42</v>
      </c>
      <c r="V44" s="248" t="n">
        <v>7.1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8.4</v>
      </c>
      <c r="G45" s="248" t="n">
        <v>2.86</v>
      </c>
      <c r="H45" s="249" t="n">
        <v>3.03</v>
      </c>
      <c r="I45" s="248" t="n">
        <v>6.3</v>
      </c>
      <c r="J45" s="248" t="n">
        <v>8.26</v>
      </c>
      <c r="K45" s="248" t="n">
        <v>7.77</v>
      </c>
      <c r="L45" s="248" t="n">
        <v>8.27</v>
      </c>
      <c r="M45" s="248" t="n">
        <v>11.3</v>
      </c>
      <c r="N45" s="248" t="n">
        <v>9.609999999999999</v>
      </c>
      <c r="O45" s="248" t="n">
        <v>11.83</v>
      </c>
      <c r="P45" s="248" t="n">
        <v>8.5</v>
      </c>
      <c r="Q45" s="248" t="n">
        <v>19.53</v>
      </c>
      <c r="R45" s="248" t="n">
        <v>23.67</v>
      </c>
      <c r="S45" s="248" t="n">
        <v>6.95</v>
      </c>
      <c r="T45" s="248" t="n">
        <v>29.24</v>
      </c>
      <c r="U45" s="248" t="n">
        <v>13.23</v>
      </c>
      <c r="V45" s="248" t="n">
        <v>7.38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8.66</v>
      </c>
      <c r="G46" s="248" t="n">
        <v>3.09</v>
      </c>
      <c r="H46" s="249" t="n">
        <v>3.27</v>
      </c>
      <c r="I46" s="248" t="n">
        <v>4.27</v>
      </c>
      <c r="J46" s="248" t="n">
        <v>3.88</v>
      </c>
      <c r="K46" s="248" t="n">
        <v>5.3</v>
      </c>
      <c r="L46" s="248" t="n">
        <v>6.17</v>
      </c>
      <c r="M46" s="248" t="n">
        <v>7.9</v>
      </c>
      <c r="N46" s="248" t="n">
        <v>7.54</v>
      </c>
      <c r="O46" s="248" t="n">
        <v>6.43</v>
      </c>
      <c r="P46" s="248" t="n">
        <v>6.79</v>
      </c>
      <c r="Q46" s="248" t="n">
        <v>11.13</v>
      </c>
      <c r="R46" s="248" t="n">
        <v>24.25</v>
      </c>
      <c r="S46" s="248" t="n">
        <v>14.52</v>
      </c>
      <c r="T46" s="248" t="n">
        <v>37.22</v>
      </c>
      <c r="U46" s="248" t="n">
        <v>7.6</v>
      </c>
      <c r="V46" s="248" t="n">
        <v>5.29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8.07</v>
      </c>
      <c r="G47" s="248" t="n">
        <v>3.29</v>
      </c>
      <c r="H47" s="249" t="n">
        <v>3.45</v>
      </c>
      <c r="I47" s="248" t="n">
        <v>5.43</v>
      </c>
      <c r="J47" s="248" t="n">
        <v>4.3</v>
      </c>
      <c r="K47" s="248" t="n">
        <v>4.52</v>
      </c>
      <c r="L47" s="248" t="n">
        <v>7.08</v>
      </c>
      <c r="M47" s="248" t="n">
        <v>8.44</v>
      </c>
      <c r="N47" s="248" t="n">
        <v>7.64</v>
      </c>
      <c r="O47" s="248" t="n">
        <v>8.869999999999999</v>
      </c>
      <c r="P47" s="248" t="n">
        <v>3.23</v>
      </c>
      <c r="Q47" s="248" t="n">
        <v>27.23</v>
      </c>
      <c r="R47" s="248" t="n">
        <v>16.01</v>
      </c>
      <c r="S47" s="248" t="n">
        <v>5.61</v>
      </c>
      <c r="T47" s="248" t="n">
        <v>36.9</v>
      </c>
      <c r="U47" s="248" t="n">
        <v>0</v>
      </c>
      <c r="V47" s="248" t="n">
        <v>14.25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7.53</v>
      </c>
      <c r="G48" s="251" t="n">
        <v>3.24</v>
      </c>
      <c r="H48" s="250" t="n">
        <v>3.37</v>
      </c>
      <c r="I48" s="251" t="n">
        <v>3.31</v>
      </c>
      <c r="J48" s="251" t="n">
        <v>2.89</v>
      </c>
      <c r="K48" s="251" t="n">
        <v>3.06</v>
      </c>
      <c r="L48" s="251" t="n">
        <v>3.71</v>
      </c>
      <c r="M48" s="251" t="n">
        <v>6.42</v>
      </c>
      <c r="N48" s="251" t="n">
        <v>6.27</v>
      </c>
      <c r="O48" s="251" t="n">
        <v>5.95</v>
      </c>
      <c r="P48" s="251" t="n">
        <v>5.59</v>
      </c>
      <c r="Q48" s="251" t="n">
        <v>44.29</v>
      </c>
      <c r="R48" s="251" t="n">
        <v>16.19</v>
      </c>
      <c r="S48" s="251" t="n">
        <v>2.48</v>
      </c>
      <c r="T48" s="251" t="n">
        <v>24.65</v>
      </c>
      <c r="U48" s="251" t="n">
        <v>0</v>
      </c>
      <c r="V48" s="251" t="n">
        <v>12.39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363">
        <f>'Fund Ranking Criteria'!G24</f>
        <v/>
      </c>
      <c r="C50" s="360" t="n"/>
      <c r="D50" s="360" t="n"/>
      <c r="E50" s="360" t="n"/>
      <c r="F50" s="360" t="n"/>
      <c r="G50" s="360" t="n"/>
      <c r="H50" s="360" t="n"/>
      <c r="I50" s="360" t="n"/>
      <c r="J50" s="360" t="n"/>
      <c r="K50" s="360" t="n"/>
      <c r="L50" s="360" t="n"/>
      <c r="M50" s="360" t="n"/>
      <c r="N50" s="360" t="n"/>
      <c r="O50" s="360" t="n"/>
      <c r="P50" s="360" t="n"/>
      <c r="Q50" s="360" t="n"/>
      <c r="R50" s="360" t="n"/>
      <c r="S50" s="360" t="n"/>
      <c r="T50" s="360" t="n"/>
      <c r="U50" s="360" t="n"/>
      <c r="V50" s="360" t="n"/>
      <c r="W50" s="360" t="n"/>
      <c r="X50" s="360" t="n"/>
      <c r="Y50" s="360" t="n"/>
      <c r="Z50" s="360" t="n"/>
      <c r="AA50" s="360" t="n"/>
      <c r="AB50" s="360" t="n"/>
      <c r="AC50" s="360" t="n"/>
      <c r="AD50" s="360" t="n"/>
      <c r="AE50" s="360" t="n"/>
      <c r="AF50" s="360" t="n"/>
      <c r="AG50" s="360" t="n"/>
      <c r="AH50" s="360" t="n"/>
      <c r="AI50" s="360" t="n"/>
      <c r="AJ50" s="360" t="n"/>
      <c r="AK50" s="360" t="n"/>
      <c r="AL50" s="360" t="n"/>
      <c r="AM50" s="360" t="n"/>
      <c r="AN50" s="330" t="n"/>
    </row>
    <row r="51" ht="15" customHeight="1" thickBot="1">
      <c r="B51" s="155" t="n"/>
      <c r="C51" s="156" t="n"/>
      <c r="D51" s="156" t="n"/>
      <c r="E51" s="156" t="n"/>
      <c r="F51" s="382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83" t="n"/>
      <c r="W51" s="382" t="n"/>
      <c r="X51" s="335" t="n"/>
      <c r="Y51" s="335" t="n"/>
      <c r="Z51" s="335" t="n"/>
      <c r="AA51" s="335" t="n"/>
      <c r="AB51" s="335" t="n"/>
      <c r="AC51" s="335" t="n"/>
      <c r="AD51" s="335" t="n"/>
      <c r="AE51" s="335" t="n"/>
      <c r="AF51" s="335" t="n"/>
      <c r="AG51" s="335" t="n"/>
      <c r="AH51" s="335" t="n"/>
      <c r="AI51" s="335" t="n"/>
      <c r="AJ51" s="335" t="n"/>
      <c r="AK51" s="335" t="n"/>
      <c r="AL51" s="335" t="n"/>
      <c r="AM51" s="383" t="n"/>
      <c r="AN51" s="381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377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7.73</v>
      </c>
      <c r="G53" s="248" t="n">
        <v>5.82</v>
      </c>
      <c r="H53" s="249" t="n">
        <v>6.06</v>
      </c>
      <c r="I53" s="248" t="n">
        <v>1.55</v>
      </c>
      <c r="J53" s="248" t="n">
        <v>1.86</v>
      </c>
      <c r="K53" s="248" t="n">
        <v>1.71</v>
      </c>
      <c r="L53" s="248" t="n">
        <v>2.64</v>
      </c>
      <c r="M53" s="248" t="n">
        <v>6.76</v>
      </c>
      <c r="N53" s="248" t="n">
        <v>6.76</v>
      </c>
      <c r="O53" s="248" t="n">
        <v>5.76</v>
      </c>
      <c r="P53" s="248" t="n">
        <v>6.9</v>
      </c>
      <c r="Q53" s="248" t="n">
        <v>54.9</v>
      </c>
      <c r="R53" s="248" t="n">
        <v>40.1</v>
      </c>
      <c r="S53" s="248" t="n">
        <v>0</v>
      </c>
      <c r="T53" s="248" t="n">
        <v>0</v>
      </c>
      <c r="U53" s="248" t="n">
        <v>-14.82</v>
      </c>
      <c r="V53" s="248" t="n">
        <v>5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7.71</v>
      </c>
      <c r="G54" s="248" t="n">
        <v>6.66</v>
      </c>
      <c r="H54" s="249" t="n">
        <v>6.95</v>
      </c>
      <c r="I54" s="248" t="n">
        <v>1.41</v>
      </c>
      <c r="J54" s="248" t="n">
        <v>0.22</v>
      </c>
      <c r="K54" s="248" t="n">
        <v>0.49</v>
      </c>
      <c r="L54" s="248" t="n">
        <v>0.98</v>
      </c>
      <c r="M54" s="248" t="n">
        <v>5.73</v>
      </c>
      <c r="N54" s="248" t="n">
        <v>5.66</v>
      </c>
      <c r="O54" s="248" t="n">
        <v>5.2</v>
      </c>
      <c r="P54" s="248" t="n">
        <v>6.62</v>
      </c>
      <c r="Q54" s="248" t="n">
        <v>61.31</v>
      </c>
      <c r="R54" s="248" t="n">
        <v>33.73</v>
      </c>
      <c r="S54" s="248" t="n">
        <v>0</v>
      </c>
      <c r="T54" s="248" t="n">
        <v>0</v>
      </c>
      <c r="U54" s="248" t="n">
        <v>0.03</v>
      </c>
      <c r="V54" s="248" t="n">
        <v>4.96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7.69</v>
      </c>
      <c r="G55" s="248" t="n">
        <v>5.91</v>
      </c>
      <c r="H55" s="249" t="n">
        <v>6.14</v>
      </c>
      <c r="I55" s="248" t="n">
        <v>1.86</v>
      </c>
      <c r="J55" s="248" t="n">
        <v>0.9</v>
      </c>
      <c r="K55" s="248" t="n">
        <v>1.09</v>
      </c>
      <c r="L55" s="248" t="n">
        <v>1.62</v>
      </c>
      <c r="M55" s="248" t="n">
        <v>5.79</v>
      </c>
      <c r="N55" s="248" t="n">
        <v>5.87</v>
      </c>
      <c r="O55" s="248" t="n">
        <v>5.13</v>
      </c>
      <c r="P55" s="248" t="n">
        <v>6.21</v>
      </c>
      <c r="Q55" s="248" t="n">
        <v>59.32</v>
      </c>
      <c r="R55" s="248" t="n">
        <v>34.17</v>
      </c>
      <c r="S55" s="248" t="n">
        <v>0</v>
      </c>
      <c r="T55" s="248" t="n">
        <v>0</v>
      </c>
      <c r="U55" s="248" t="n">
        <v>0</v>
      </c>
      <c r="V55" s="248" t="n">
        <v>6.52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7.48</v>
      </c>
      <c r="G57" s="248" t="n">
        <v>6.26</v>
      </c>
      <c r="H57" s="249" t="n">
        <v>6.51</v>
      </c>
      <c r="I57" s="248" t="n">
        <v>1.69</v>
      </c>
      <c r="J57" s="248" t="n">
        <v>1.12</v>
      </c>
      <c r="K57" s="248" t="n">
        <v>0.89</v>
      </c>
      <c r="L57" s="248" t="n">
        <v>1.19</v>
      </c>
      <c r="M57" s="248" t="n">
        <v>5.91</v>
      </c>
      <c r="N57" s="248" t="n">
        <v>5.94</v>
      </c>
      <c r="O57" s="248" t="n">
        <v>4.74</v>
      </c>
      <c r="P57" s="248" t="n">
        <v>5.6</v>
      </c>
      <c r="Q57" s="248" t="n">
        <v>68.09999999999999</v>
      </c>
      <c r="R57" s="248" t="n">
        <v>27.96</v>
      </c>
      <c r="S57" s="248" t="n">
        <v>0</v>
      </c>
      <c r="T57" s="248" t="n">
        <v>0</v>
      </c>
      <c r="U57" s="248" t="n">
        <v>0</v>
      </c>
      <c r="V57" s="248" t="n">
        <v>3.94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7.44</v>
      </c>
      <c r="G58" s="248" t="n">
        <v>6.38</v>
      </c>
      <c r="H58" s="249" t="n">
        <v>6.66</v>
      </c>
      <c r="I58" s="248" t="n">
        <v>2.08</v>
      </c>
      <c r="J58" s="248" t="n">
        <v>1.07</v>
      </c>
      <c r="K58" s="248" t="n">
        <v>1</v>
      </c>
      <c r="L58" s="248" t="n">
        <v>1.1</v>
      </c>
      <c r="M58" s="248" t="n">
        <v>5.6</v>
      </c>
      <c r="N58" s="248" t="n">
        <v>5.69</v>
      </c>
      <c r="O58" s="248" t="n">
        <v>5.04</v>
      </c>
      <c r="P58" s="248" t="n">
        <v>6.46</v>
      </c>
      <c r="Q58" s="248" t="n">
        <v>80.7</v>
      </c>
      <c r="R58" s="248" t="n">
        <v>15.19</v>
      </c>
      <c r="S58" s="248" t="n">
        <v>0</v>
      </c>
      <c r="T58" s="248" t="n">
        <v>0</v>
      </c>
      <c r="U58" s="248" t="n">
        <v>0.33</v>
      </c>
      <c r="V58" s="248" t="n">
        <v>3.78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8.01</v>
      </c>
      <c r="G59" s="251" t="n">
        <v>4.57</v>
      </c>
      <c r="H59" s="250" t="n">
        <v>4.76</v>
      </c>
      <c r="I59" s="251" t="n">
        <v>2.49</v>
      </c>
      <c r="J59" s="251" t="n">
        <v>1.23</v>
      </c>
      <c r="K59" s="251" t="n">
        <v>1.47</v>
      </c>
      <c r="L59" s="251" t="n">
        <v>1.66</v>
      </c>
      <c r="M59" s="251" t="n">
        <v>6.07</v>
      </c>
      <c r="N59" s="251" t="n">
        <v>5.86</v>
      </c>
      <c r="O59" s="251" t="n">
        <v>8</v>
      </c>
      <c r="P59" s="251" t="n">
        <v>5.3</v>
      </c>
      <c r="Q59" s="251" t="n">
        <v>42.97</v>
      </c>
      <c r="R59" s="251" t="n">
        <v>31.18</v>
      </c>
      <c r="S59" s="251" t="n">
        <v>17.59</v>
      </c>
      <c r="T59" s="251" t="n">
        <v>5.01</v>
      </c>
      <c r="U59" s="251" t="n">
        <v>0</v>
      </c>
      <c r="V59" s="251" t="n">
        <v>3.25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29" t="inlineStr">
        <is>
          <t>Weightage for Equity Fund Ranking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30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384" t="inlineStr">
        <is>
          <t>80 per cent of the corpus in top 100 companies by market cap</t>
        </is>
      </c>
      <c r="D5" s="384" t="n"/>
      <c r="E5" s="384" t="inlineStr">
        <is>
          <t>Across Large, Mid-cap, Small Cap</t>
        </is>
      </c>
      <c r="F5" s="384" t="inlineStr">
        <is>
          <t xml:space="preserve">65% of their total assets in equity
shares of mid-cap companies </t>
        </is>
      </c>
      <c r="G5" s="384" t="inlineStr">
        <is>
          <t xml:space="preserve">65% of their total assets in equity
shares of small-cap companies </t>
        </is>
      </c>
      <c r="H5" s="384" t="inlineStr">
        <is>
          <t>Set allocation strategy; 60% E &amp; 40% D</t>
        </is>
      </c>
      <c r="I5" s="385" t="inlineStr">
        <is>
          <t>Dynamic Allocation</t>
        </is>
      </c>
      <c r="J5" s="385" t="n"/>
      <c r="K5" s="385" t="n"/>
    </row>
    <row r="6" hidden="1">
      <c r="B6" s="79" t="n"/>
      <c r="C6" s="379" t="n"/>
      <c r="D6" s="379" t="n"/>
      <c r="E6" s="379" t="n"/>
      <c r="F6" s="379" t="n"/>
      <c r="G6" s="379" t="n"/>
      <c r="H6" s="379" t="n"/>
      <c r="I6" s="377" t="n"/>
      <c r="J6" s="377" t="n"/>
      <c r="K6" s="377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32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32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32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32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32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32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32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32" t="n"/>
      <c r="I18" s="365" t="n"/>
      <c r="J18" s="365" t="n"/>
      <c r="K18" s="365" t="n"/>
    </row>
    <row r="19" hidden="1">
      <c r="B19" s="332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33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386" t="inlineStr">
        <is>
          <t>Weightage for Debt Fund Ranking</t>
        </is>
      </c>
      <c r="C23" s="360" t="n"/>
      <c r="D23" s="360" t="n"/>
      <c r="E23" s="360" t="n"/>
      <c r="F23" s="360" t="n"/>
      <c r="G23" s="330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32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32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32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32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32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32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32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32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33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32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32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32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32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32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38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387" t="inlineStr">
        <is>
          <t>Weightage for Hybrid Fund Ranking</t>
        </is>
      </c>
      <c r="C50" s="360" t="n"/>
      <c r="D50" s="360" t="n"/>
      <c r="E50" s="360" t="n"/>
      <c r="F50" s="330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32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32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32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32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33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32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32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32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33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32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32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32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32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32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38" t="inlineStr">
        <is>
          <t>Cash and Fixed Deposits</t>
        </is>
      </c>
      <c r="C71" s="350" t="n"/>
      <c r="D71" s="233" t="n"/>
      <c r="E71" s="350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18"/>
    <col width="8.7109375" customWidth="1" style="261" min="19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365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365" t="n"/>
    </row>
    <row r="5">
      <c r="B5" s="88" t="inlineStr">
        <is>
          <t>HDFC Asset Management Co Ltd</t>
        </is>
      </c>
      <c r="C5" s="104" t="n">
        <v>763496.85</v>
      </c>
      <c r="D5" s="90" t="n"/>
      <c r="K5" s="365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365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365" t="n"/>
    </row>
    <row r="8">
      <c r="B8" s="88" t="inlineStr">
        <is>
          <t>Aditya Birla Sun Life AMC Ltd</t>
        </is>
      </c>
      <c r="C8" s="104" t="n">
        <v>379792.96</v>
      </c>
      <c r="D8" s="90" t="n"/>
      <c r="K8" s="365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365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365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365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365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365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365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365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365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365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365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365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365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365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365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365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365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365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365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365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365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365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365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365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365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365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365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365" t="n"/>
    </row>
    <row r="36" hidden="1">
      <c r="B36" s="88" t="inlineStr">
        <is>
          <t>Navi AMC Limited</t>
        </is>
      </c>
      <c r="C36" s="89" t="n">
        <v>7529.93</v>
      </c>
      <c r="D36" s="90" t="n"/>
      <c r="K36" s="365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365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365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365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365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365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388" t="inlineStr">
        <is>
          <t>Weightage Assumptions</t>
        </is>
      </c>
      <c r="C4" s="389" t="n"/>
      <c r="D4" s="389" t="n"/>
      <c r="E4" s="389" t="n"/>
      <c r="F4" s="389" t="n"/>
      <c r="G4" s="389" t="n"/>
      <c r="H4" s="389" t="n"/>
      <c r="I4" s="390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55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55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55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356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2026-06-19T05:30:33Z</dcterms:modified>
  <cp:lastModifiedBy>Surendra Soni</cp:lastModifiedBy>
  <cp:lastPrinted>2026-04-29T10:46:02Z</cp:lastPrinted>
</cp:coreProperties>
</file>