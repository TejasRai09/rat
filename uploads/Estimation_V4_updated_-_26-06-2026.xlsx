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bookViews>
    <workbookView visibility="visible" minimized="0" showHorizontalScroll="1" showVerticalScroll="1" showSheetTabs="1" xWindow="-120" yWindow="-120" windowWidth="20730" windowHeight="11040" tabRatio="890" firstSheet="2" activeTab="3" autoFilterDateGrouping="1"/>
  </bookViews>
  <sheets>
    <sheet name="AMC Matrix" sheetId="1" state="hidden" r:id="rId1"/>
    <sheet name="Consol_Thematic (2)" sheetId="2" state="hidden" r:id="rId2"/>
    <sheet name="Table 1" sheetId="3" state="visible" r:id="rId3"/>
    <sheet name="Table 2 FD PMS AIF" sheetId="4" state="visible" r:id="rId4"/>
    <sheet name="Summary " sheetId="5" state="visible" r:id="rId5"/>
    <sheet name="Investor Profile" sheetId="6" state="hidden" r:id="rId6"/>
    <sheet name="Investor Persona" sheetId="7" state="hidden" r:id="rId7"/>
    <sheet name="Fund Ranking_Equity" sheetId="8" state="visible" r:id="rId8"/>
    <sheet name="Fund Ranking_Equity (2)" sheetId="9" state="hidden" r:id="rId9"/>
    <sheet name="Fund Ranking_Equity (3)" sheetId="10" state="hidden" r:id="rId10"/>
    <sheet name="Sheet4" sheetId="11" state="visible" r:id="rId11"/>
    <sheet name="Fund Ranking_Debt" sheetId="12" state="visible" r:id="rId12"/>
    <sheet name="Fund Ranking Criteria" sheetId="13" state="visible" r:id="rId13"/>
    <sheet name="Consol_Thematic" sheetId="14" state="visible" r:id="rId14"/>
    <sheet name="Sheet4 (2)" sheetId="15" state="visible" r:id="rId15"/>
    <sheet name="Sheet1" sheetId="16" state="hidden" r:id="rId16"/>
    <sheet name="AMC Data" sheetId="17" state="visible" r:id="rId17"/>
    <sheet name="Assumptions" sheetId="18" state="hidden" r:id="rId18"/>
    <sheet name="Backup" sheetId="19" state="visible" r:id="rId19"/>
  </sheets>
  <externalReferences>
    <externalReference r:id="rId20"/>
    <externalReference r:id="rId21"/>
  </externalReferences>
  <definedNames>
    <definedName name="_xlnm._FilterDatabase" localSheetId="1" hidden="1">'Consol_Thematic (2)'!$A$1:$L$818</definedName>
    <definedName name="_xlnm._FilterDatabase" localSheetId="10" hidden="1">'Sheet4'!$A$1:$M$688</definedName>
    <definedName name="_xlnm._FilterDatabase" localSheetId="13" hidden="1">'Consol_Thematic'!$A$2:$W$96</definedName>
    <definedName name="_xlnm._FilterDatabase" localSheetId="14" hidden="1">'Sheet4 (2)'!$A$1:$L$853</definedName>
  </definedNames>
  <calcPr calcId="191029" fullCalcOnLoad="1"/>
</workbook>
</file>

<file path=xl/styles.xml><?xml version="1.0" encoding="utf-8"?>
<styleSheet xmlns="http://schemas.openxmlformats.org/spreadsheetml/2006/main">
  <numFmts count="3">
    <numFmt numFmtId="164" formatCode="0.0%"/>
    <numFmt numFmtId="165" formatCode="_ * #,##0_ ;_ * \-#,##0_ ;_ * &quot;-&quot;??_ ;_ @_ "/>
    <numFmt numFmtId="166" formatCode="0.0"/>
  </numFmts>
  <fonts count="27">
    <font>
      <name val="Aptos Narrow"/>
      <family val="2"/>
      <color theme="1"/>
      <sz val="11"/>
      <scheme val="minor"/>
    </font>
    <font>
      <name val="Aptos Narrow"/>
      <family val="2"/>
      <color theme="1"/>
      <sz val="11"/>
      <scheme val="minor"/>
    </font>
    <font>
      <name val="Aptos Narrow"/>
      <family val="2"/>
      <b val="1"/>
      <color theme="1"/>
      <sz val="11"/>
      <scheme val="minor"/>
    </font>
    <font>
      <name val="Aptos Narrow"/>
      <family val="2"/>
      <color theme="10"/>
      <sz val="11"/>
      <u val="single"/>
      <scheme val="minor"/>
    </font>
    <font>
      <name val="Segoe UI"/>
      <family val="2"/>
      <b val="1"/>
      <color rgb="FF000000"/>
      <sz val="9"/>
    </font>
    <font>
      <name val="Segoe UI"/>
      <family val="2"/>
      <color rgb="FF000000"/>
      <sz val="9"/>
    </font>
    <font>
      <name val="Segoe UI"/>
      <family val="2"/>
      <color theme="1"/>
      <sz val="9"/>
    </font>
    <font>
      <name val="Segoe UI"/>
      <family val="2"/>
      <b val="1"/>
      <color theme="1"/>
      <sz val="9"/>
    </font>
    <font>
      <name val="Aptos Narrow"/>
      <family val="2"/>
      <sz val="11"/>
      <scheme val="minor"/>
    </font>
    <font>
      <name val="Aptos Narrow"/>
      <family val="2"/>
      <color theme="1"/>
      <sz val="8"/>
      <scheme val="minor"/>
    </font>
    <font>
      <name val="Calibri"/>
      <family val="2"/>
      <b val="1"/>
      <color indexed="8"/>
      <sz val="11"/>
    </font>
    <font>
      <name val="Calibri"/>
      <family val="2"/>
      <b val="1"/>
      <color indexed="8"/>
      <sz val="11"/>
    </font>
    <font>
      <name val="Calibri"/>
      <family val="2"/>
      <color theme="0"/>
      <sz val="11"/>
    </font>
    <font>
      <name val="Aptos Narrow"/>
      <family val="2"/>
      <b val="1"/>
      <i val="1"/>
      <color theme="1"/>
      <sz val="11"/>
      <scheme val="minor"/>
    </font>
    <font>
      <name val="Calibri"/>
      <family val="2"/>
      <color theme="1"/>
      <sz val="11"/>
    </font>
    <font>
      <name val="Calibri"/>
      <family val="2"/>
      <color indexed="8"/>
      <sz val="11"/>
    </font>
    <font>
      <name val="Calibri"/>
      <family val="2"/>
      <b val="1"/>
      <color theme="0"/>
      <sz val="11"/>
    </font>
    <font>
      <name val="Calibri"/>
      <family val="2"/>
      <color indexed="8"/>
      <sz val="11"/>
    </font>
    <font>
      <name val="Times New Roman"/>
      <family val="1"/>
      <color rgb="FF000000"/>
      <sz val="10"/>
    </font>
    <font>
      <name val="Calibri"/>
      <family val="2"/>
      <color rgb="FF000000"/>
      <sz val="10"/>
    </font>
    <font>
      <name val="Calibri"/>
      <family val="2"/>
      <b val="1"/>
      <color rgb="FFFFFFFF"/>
      <sz val="10"/>
    </font>
    <font>
      <name val="Calibri"/>
      <family val="2"/>
      <color theme="1"/>
      <sz val="10"/>
    </font>
    <font>
      <name val="Calibri"/>
      <family val="2"/>
      <b val="1"/>
      <color theme="0"/>
      <sz val="10"/>
    </font>
    <font>
      <name val="Calibri"/>
      <family val="2"/>
      <b val="1"/>
      <sz val="10"/>
    </font>
    <font>
      <name val="Calibri"/>
      <family val="2"/>
      <sz val="10"/>
    </font>
    <font>
      <name val="Calibri"/>
      <family val="2"/>
      <b val="1"/>
      <color theme="1"/>
      <sz val="10"/>
    </font>
    <font>
      <name val="Calibri"/>
      <family val="2"/>
      <b val="1"/>
      <color rgb="FF000000"/>
      <sz val="10"/>
    </font>
  </fonts>
  <fills count="23">
    <fill>
      <patternFill/>
    </fill>
    <fill>
      <patternFill patternType="gray125"/>
    </fill>
    <fill>
      <patternFill patternType="solid">
        <fgColor theme="3" tint="0.8999908444471572"/>
        <bgColor indexed="64"/>
      </patternFill>
    </fill>
    <fill>
      <patternFill patternType="solid">
        <fgColor theme="9" tint="0.7999816888943144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9F7F6"/>
        <bgColor indexed="64"/>
      </patternFill>
    </fill>
    <fill>
      <patternFill patternType="solid">
        <fgColor theme="5" tint="0.7999816888943144"/>
        <bgColor indexed="64"/>
      </patternFill>
    </fill>
    <fill>
      <patternFill patternType="solid">
        <fgColor theme="3" tint="0.749992370372631"/>
        <bgColor indexed="64"/>
      </patternFill>
    </fill>
    <fill>
      <patternFill patternType="solid">
        <fgColor theme="9" tint="0.7999816888943144"/>
        <bgColor indexed="8"/>
      </patternFill>
    </fill>
    <fill>
      <patternFill patternType="solid">
        <fgColor theme="3" tint="0.249977111117893"/>
        <bgColor indexed="64"/>
      </patternFill>
    </fill>
    <fill>
      <patternFill patternType="solid">
        <fgColor theme="3" tint="0.09997863704336681"/>
        <bgColor indexed="64"/>
      </patternFill>
    </fill>
    <fill>
      <patternFill patternType="solid">
        <fgColor theme="0" tint="-0.0499893185216834"/>
        <bgColor indexed="64"/>
      </patternFill>
    </fill>
    <fill>
      <patternFill patternType="solid">
        <fgColor theme="8" tint="0.7999816888943144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10"/>
        <bgColor indexed="8"/>
      </patternFill>
    </fill>
    <fill>
      <patternFill patternType="solid">
        <fgColor theme="3" tint="0.8999908444471572"/>
        <bgColor indexed="8"/>
      </patternFill>
    </fill>
    <fill>
      <patternFill patternType="solid">
        <fgColor theme="3" tint="0.249977111117893"/>
        <bgColor indexed="8"/>
      </patternFill>
    </fill>
    <fill>
      <patternFill patternType="solid">
        <fgColor theme="3" tint="0.499984740745262"/>
        <bgColor indexed="64"/>
      </patternFill>
    </fill>
    <fill>
      <patternFill patternType="solid">
        <fgColor rgb="FF1F5B97"/>
      </patternFill>
    </fill>
    <fill>
      <patternFill patternType="solid">
        <fgColor rgb="FFCFCFCF"/>
      </patternFill>
    </fill>
    <fill>
      <patternFill patternType="solid">
        <fgColor rgb="FFDAE8F7"/>
      </patternFill>
    </fill>
    <fill>
      <patternFill patternType="solid">
        <fgColor rgb="FFF0F0F0"/>
      </patternFill>
    </fill>
  </fills>
  <borders count="103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rgb="FF89857E"/>
      </left>
      <right style="medium">
        <color rgb="FF89857E"/>
      </right>
      <top style="medium">
        <color rgb="FF89857E"/>
      </top>
      <bottom style="medium">
        <color rgb="FF89857E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rgb="FF89857E"/>
      </right>
      <top style="medium">
        <color indexed="64"/>
      </top>
      <bottom/>
      <diagonal/>
    </border>
    <border>
      <left style="medium">
        <color rgb="FF89857E"/>
      </left>
      <right style="medium">
        <color rgb="FF89857E"/>
      </right>
      <top style="medium">
        <color indexed="64"/>
      </top>
      <bottom/>
      <diagonal/>
    </border>
    <border>
      <left style="medium">
        <color rgb="FF89857E"/>
      </left>
      <right/>
      <top style="medium">
        <color indexed="64"/>
      </top>
      <bottom style="medium">
        <color rgb="FF89857E"/>
      </bottom>
      <diagonal/>
    </border>
    <border>
      <left/>
      <right/>
      <top style="medium">
        <color indexed="64"/>
      </top>
      <bottom style="medium">
        <color rgb="FF89857E"/>
      </bottom>
      <diagonal/>
    </border>
    <border>
      <left style="medium">
        <color indexed="64"/>
      </left>
      <right style="medium">
        <color rgb="FF89857E"/>
      </right>
      <top style="medium">
        <color rgb="FF89857E"/>
      </top>
      <bottom/>
      <diagonal/>
    </border>
    <border>
      <left style="medium">
        <color indexed="64"/>
      </left>
      <right style="medium">
        <color rgb="FF89857E"/>
      </right>
      <top/>
      <bottom style="medium">
        <color rgb="FF89857E"/>
      </bottom>
      <diagonal/>
    </border>
    <border>
      <left style="medium">
        <color indexed="64"/>
      </left>
      <right style="medium">
        <color rgb="FF89857E"/>
      </right>
      <top/>
      <bottom style="medium">
        <color indexed="64"/>
      </bottom>
      <diagonal/>
    </border>
    <border>
      <left style="medium">
        <color rgb="FF89857E"/>
      </left>
      <right style="medium">
        <color rgb="FF89857E"/>
      </right>
      <top style="medium">
        <color rgb="FF89857E"/>
      </top>
      <bottom style="medium">
        <color indexed="64"/>
      </bottom>
      <diagonal/>
    </border>
    <border>
      <left style="medium">
        <color indexed="64"/>
      </left>
      <right style="thin">
        <color indexed="8"/>
      </right>
      <top style="medium">
        <color indexed="64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8"/>
      </right>
      <top style="thin">
        <color indexed="8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8"/>
      </top>
      <bottom style="thin">
        <color indexed="8"/>
      </bottom>
      <diagonal/>
    </border>
    <border>
      <left style="medium">
        <color indexed="64"/>
      </left>
      <right/>
      <top style="thin">
        <color indexed="8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8"/>
      </right>
      <top/>
      <bottom style="thin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rgb="FF89857E"/>
      </right>
      <top/>
      <bottom/>
      <diagonal/>
    </border>
    <border>
      <left style="medium">
        <color rgb="FF89857E"/>
      </left>
      <right style="medium">
        <color rgb="FF89857E"/>
      </right>
      <top style="medium">
        <color rgb="FF89857E"/>
      </top>
      <bottom/>
      <diagonal/>
    </border>
    <border>
      <left/>
      <right style="medium">
        <color indexed="64"/>
      </right>
      <top style="medium">
        <color indexed="64"/>
      </top>
      <bottom style="medium">
        <color rgb="FF89857E"/>
      </bottom>
      <diagonal/>
    </border>
    <border>
      <left style="medium">
        <color rgb="FF89857E"/>
      </left>
      <right style="medium">
        <color indexed="64"/>
      </right>
      <top style="medium">
        <color rgb="FF89857E"/>
      </top>
      <bottom style="medium">
        <color rgb="FF89857E"/>
      </bottom>
      <diagonal/>
    </border>
    <border>
      <left style="medium">
        <color indexed="64"/>
      </left>
      <right style="medium">
        <color rgb="FF89857E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rgb="FF89857E"/>
      </left>
      <right style="medium">
        <color indexed="64"/>
      </right>
      <top style="medium">
        <color indexed="64"/>
      </top>
      <bottom style="medium">
        <color rgb="FF89857E"/>
      </bottom>
      <diagonal/>
    </border>
    <border>
      <left/>
      <right/>
      <top style="thin">
        <color indexed="64"/>
      </top>
      <bottom style="thin">
        <color rgb="FF000000"/>
      </bottom>
      <diagonal/>
    </border>
    <border>
      <left/>
      <right style="thin">
        <color indexed="64"/>
      </right>
      <top style="thin">
        <color indexed="64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indexed="64"/>
      </right>
      <top style="thin">
        <color rgb="FF000000"/>
      </top>
      <bottom/>
      <diagonal/>
    </border>
    <border>
      <left style="thin">
        <color indexed="64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 style="thin">
        <color indexed="64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indexed="64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/>
      <diagonal/>
    </border>
    <border>
      <left style="thin">
        <color indexed="64"/>
      </left>
      <right style="thin">
        <color rgb="FF000000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rgb="FF000000"/>
      </top>
      <bottom/>
      <diagonal/>
    </border>
    <border>
      <left style="thin">
        <color rgb="FF000000"/>
      </left>
      <right style="thin">
        <color indexed="64"/>
      </right>
      <top/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indexed="64"/>
      </right>
      <top style="medium">
        <color indexed="64"/>
      </top>
      <bottom/>
      <diagonal/>
    </border>
  </borders>
  <cellStyleXfs count="8">
    <xf numFmtId="0" fontId="1" fillId="0" borderId="0"/>
    <xf numFmtId="9" fontId="1" fillId="0" borderId="0"/>
    <xf numFmtId="0" fontId="3" fillId="0" borderId="0"/>
    <xf numFmtId="43" fontId="1" fillId="0" borderId="0"/>
    <xf numFmtId="0" fontId="17" fillId="0" borderId="0"/>
    <xf numFmtId="0" fontId="17" fillId="0" borderId="0"/>
    <xf numFmtId="0" fontId="17" fillId="0" borderId="0"/>
    <xf numFmtId="0" fontId="18" fillId="0" borderId="0"/>
  </cellStyleXfs>
  <cellXfs count="461">
    <xf numFmtId="0" fontId="0" fillId="0" borderId="0" pivotButton="0" quotePrefix="0" xfId="0"/>
    <xf numFmtId="0" fontId="0" fillId="0" borderId="0" applyAlignment="1" pivotButton="0" quotePrefix="0" xfId="0">
      <alignment vertical="center" wrapText="1"/>
    </xf>
    <xf numFmtId="0" fontId="0" fillId="0" borderId="5" applyAlignment="1" pivotButton="0" quotePrefix="0" xfId="0">
      <alignment vertical="center" wrapText="1"/>
    </xf>
    <xf numFmtId="0" fontId="2" fillId="0" borderId="0" applyAlignment="1" pivotButton="0" quotePrefix="0" xfId="0">
      <alignment vertical="center" wrapText="1"/>
    </xf>
    <xf numFmtId="0" fontId="2" fillId="0" borderId="10" applyAlignment="1" pivotButton="0" quotePrefix="0" xfId="0">
      <alignment vertical="center" wrapText="1"/>
    </xf>
    <xf numFmtId="0" fontId="0" fillId="0" borderId="12" applyAlignment="1" pivotButton="0" quotePrefix="0" xfId="0">
      <alignment vertical="center" wrapText="1"/>
    </xf>
    <xf numFmtId="0" fontId="0" fillId="0" borderId="13" applyAlignment="1" pivotButton="0" quotePrefix="0" xfId="0">
      <alignment vertical="center" wrapText="1"/>
    </xf>
    <xf numFmtId="0" fontId="0" fillId="0" borderId="14" applyAlignment="1" pivotButton="0" quotePrefix="0" xfId="0">
      <alignment vertical="center" wrapText="1"/>
    </xf>
    <xf numFmtId="0" fontId="0" fillId="0" borderId="15" applyAlignment="1" pivotButton="0" quotePrefix="0" xfId="0">
      <alignment vertical="center" wrapText="1"/>
    </xf>
    <xf numFmtId="0" fontId="2" fillId="0" borderId="12" applyAlignment="1" pivotButton="0" quotePrefix="0" xfId="0">
      <alignment vertical="center" wrapText="1"/>
    </xf>
    <xf numFmtId="0" fontId="0" fillId="0" borderId="16" applyAlignment="1" pivotButton="0" quotePrefix="0" xfId="0">
      <alignment vertical="center" wrapText="1"/>
    </xf>
    <xf numFmtId="0" fontId="0" fillId="0" borderId="17" applyAlignment="1" pivotButton="0" quotePrefix="0" xfId="0">
      <alignment vertical="center" wrapText="1"/>
    </xf>
    <xf numFmtId="0" fontId="0" fillId="0" borderId="18" applyAlignment="1" pivotButton="0" quotePrefix="0" xfId="0">
      <alignment vertical="center" wrapText="1"/>
    </xf>
    <xf numFmtId="0" fontId="4" fillId="6" borderId="23" applyAlignment="1" pivotButton="0" quotePrefix="0" xfId="0">
      <alignment horizontal="center" vertical="center" wrapText="1"/>
    </xf>
    <xf numFmtId="0" fontId="5" fillId="5" borderId="23" applyAlignment="1" pivotButton="0" quotePrefix="0" xfId="0">
      <alignment horizontal="center" vertical="center" wrapText="1"/>
    </xf>
    <xf numFmtId="0" fontId="6" fillId="0" borderId="0" pivotButton="0" quotePrefix="0" xfId="0"/>
    <xf numFmtId="0" fontId="7" fillId="3" borderId="20" applyAlignment="1" pivotButton="0" quotePrefix="0" xfId="0">
      <alignment horizontal="center" vertical="center" wrapText="1"/>
    </xf>
    <xf numFmtId="0" fontId="7" fillId="3" borderId="21" applyAlignment="1" pivotButton="0" quotePrefix="0" xfId="0">
      <alignment horizontal="center" vertical="center" wrapText="1"/>
    </xf>
    <xf numFmtId="0" fontId="7" fillId="3" borderId="22" applyAlignment="1" pivotButton="0" quotePrefix="0" xfId="0">
      <alignment horizontal="center" vertical="center" wrapText="1"/>
    </xf>
    <xf numFmtId="0" fontId="6" fillId="0" borderId="1" applyAlignment="1" pivotButton="0" quotePrefix="0" xfId="0">
      <alignment vertical="center" wrapText="1"/>
    </xf>
    <xf numFmtId="0" fontId="6" fillId="0" borderId="12" applyAlignment="1" pivotButton="0" quotePrefix="0" xfId="0">
      <alignment vertical="center" wrapText="1"/>
    </xf>
    <xf numFmtId="0" fontId="6" fillId="0" borderId="0" applyAlignment="1" pivotButton="0" quotePrefix="0" xfId="0">
      <alignment vertical="center" wrapText="1"/>
    </xf>
    <xf numFmtId="0" fontId="6" fillId="0" borderId="5" applyAlignment="1" pivotButton="0" quotePrefix="0" xfId="0">
      <alignment vertical="center" wrapText="1"/>
    </xf>
    <xf numFmtId="0" fontId="6" fillId="0" borderId="16" applyAlignment="1" pivotButton="0" quotePrefix="0" xfId="0">
      <alignment vertical="center" wrapText="1"/>
    </xf>
    <xf numFmtId="0" fontId="6" fillId="0" borderId="17" applyAlignment="1" pivotButton="0" quotePrefix="0" xfId="0">
      <alignment vertical="center" wrapText="1"/>
    </xf>
    <xf numFmtId="0" fontId="7" fillId="0" borderId="0" applyAlignment="1" pivotButton="0" quotePrefix="0" xfId="0">
      <alignment vertical="center" wrapText="1"/>
    </xf>
    <xf numFmtId="0" fontId="4" fillId="3" borderId="23" applyAlignment="1" pivotButton="0" quotePrefix="0" xfId="0">
      <alignment horizontal="left" vertical="top" wrapText="1"/>
    </xf>
    <xf numFmtId="0" fontId="4" fillId="3" borderId="23" applyAlignment="1" pivotButton="0" quotePrefix="0" xfId="0">
      <alignment horizontal="center" vertical="center" wrapText="1"/>
    </xf>
    <xf numFmtId="0" fontId="7" fillId="0" borderId="1" applyAlignment="1" pivotButton="0" quotePrefix="0" xfId="0">
      <alignment vertical="center" wrapText="1"/>
    </xf>
    <xf numFmtId="0" fontId="7" fillId="0" borderId="10" applyAlignment="1" pivotButton="0" quotePrefix="0" xfId="0">
      <alignment horizontal="left" vertical="center" wrapText="1"/>
    </xf>
    <xf numFmtId="0" fontId="6" fillId="0" borderId="12" applyAlignment="1" pivotButton="0" quotePrefix="0" xfId="0">
      <alignment horizontal="left" vertical="center" wrapText="1"/>
    </xf>
    <xf numFmtId="0" fontId="6" fillId="0" borderId="14" applyAlignment="1" pivotButton="0" quotePrefix="0" xfId="0">
      <alignment horizontal="left" vertical="center" wrapText="1"/>
    </xf>
    <xf numFmtId="0" fontId="7" fillId="0" borderId="12" applyAlignment="1" pivotButton="0" quotePrefix="0" xfId="0">
      <alignment horizontal="left" vertical="center" wrapText="1"/>
    </xf>
    <xf numFmtId="0" fontId="6" fillId="0" borderId="11" applyAlignment="1" pivotButton="0" quotePrefix="0" xfId="0">
      <alignment horizontal="center" vertical="center" wrapText="1"/>
    </xf>
    <xf numFmtId="0" fontId="6" fillId="0" borderId="13" applyAlignment="1" pivotButton="0" quotePrefix="0" xfId="0">
      <alignment horizontal="center" vertical="center" wrapText="1"/>
    </xf>
    <xf numFmtId="0" fontId="6" fillId="0" borderId="15" applyAlignment="1" pivotButton="0" quotePrefix="0" xfId="0">
      <alignment horizontal="center" vertical="center" wrapText="1"/>
    </xf>
    <xf numFmtId="0" fontId="6" fillId="0" borderId="18" applyAlignment="1" pivotButton="0" quotePrefix="0" xfId="0">
      <alignment horizontal="center" vertical="center" wrapText="1"/>
    </xf>
    <xf numFmtId="0" fontId="2" fillId="0" borderId="0" pivotButton="0" quotePrefix="0" xfId="0"/>
    <xf numFmtId="0" fontId="2" fillId="0" borderId="12" pivotButton="0" quotePrefix="0" xfId="0"/>
    <xf numFmtId="0" fontId="0" fillId="2" borderId="24" pivotButton="0" quotePrefix="0" xfId="0"/>
    <xf numFmtId="0" fontId="2" fillId="0" borderId="10" pivotButton="0" quotePrefix="0" xfId="0"/>
    <xf numFmtId="0" fontId="2" fillId="2" borderId="19" applyAlignment="1" pivotButton="0" quotePrefix="0" xfId="0">
      <alignment horizontal="center" vertical="center"/>
    </xf>
    <xf numFmtId="0" fontId="0" fillId="0" borderId="0" applyAlignment="1" pivotButton="0" quotePrefix="0" xfId="0">
      <alignment vertical="center"/>
    </xf>
    <xf numFmtId="0" fontId="2" fillId="0" borderId="13" applyAlignment="1" pivotButton="0" quotePrefix="0" xfId="0">
      <alignment vertical="center" wrapText="1"/>
    </xf>
    <xf numFmtId="0" fontId="0" fillId="0" borderId="24" applyAlignment="1" pivotButton="0" quotePrefix="0" xfId="0">
      <alignment vertical="center" wrapText="1"/>
    </xf>
    <xf numFmtId="0" fontId="2" fillId="0" borderId="24" applyAlignment="1" pivotButton="0" quotePrefix="0" xfId="0">
      <alignment vertical="center" wrapText="1"/>
    </xf>
    <xf numFmtId="0" fontId="2" fillId="0" borderId="19" applyAlignment="1" pivotButton="0" quotePrefix="0" xfId="0">
      <alignment vertical="center" wrapText="1"/>
    </xf>
    <xf numFmtId="0" fontId="2" fillId="0" borderId="25" applyAlignment="1" pivotButton="0" quotePrefix="0" xfId="0">
      <alignment vertical="center" wrapText="1"/>
    </xf>
    <xf numFmtId="0" fontId="2" fillId="0" borderId="1" applyAlignment="1" pivotButton="0" quotePrefix="0" xfId="0">
      <alignment vertical="center" wrapText="1"/>
    </xf>
    <xf numFmtId="0" fontId="2" fillId="0" borderId="11" applyAlignment="1" pivotButton="0" quotePrefix="0" xfId="0">
      <alignment vertical="center" wrapText="1"/>
    </xf>
    <xf numFmtId="0" fontId="0" fillId="0" borderId="19" applyAlignment="1" pivotButton="0" quotePrefix="0" xfId="0">
      <alignment horizontal="center" vertical="center" wrapText="1"/>
    </xf>
    <xf numFmtId="0" fontId="0" fillId="0" borderId="25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 vertical="center" wrapText="1"/>
    </xf>
    <xf numFmtId="0" fontId="3" fillId="0" borderId="12" applyAlignment="1" pivotButton="0" quotePrefix="0" xfId="2">
      <alignment vertical="center" wrapText="1"/>
    </xf>
    <xf numFmtId="9" fontId="0" fillId="0" borderId="0" pivotButton="0" quotePrefix="0" xfId="0"/>
    <xf numFmtId="0" fontId="0" fillId="0" borderId="0" applyAlignment="1" pivotButton="0" quotePrefix="0" xfId="0">
      <alignment horizontal="center" wrapText="1"/>
    </xf>
    <xf numFmtId="0" fontId="2" fillId="7" borderId="20" pivotButton="0" quotePrefix="0" xfId="0"/>
    <xf numFmtId="9" fontId="0" fillId="0" borderId="0" applyAlignment="1" pivotButton="0" quotePrefix="0" xfId="0">
      <alignment horizontal="center"/>
    </xf>
    <xf numFmtId="9" fontId="0" fillId="0" borderId="0" pivotButton="0" quotePrefix="0" xfId="1"/>
    <xf numFmtId="9" fontId="0" fillId="0" borderId="3" pivotButton="0" quotePrefix="0" xfId="1"/>
    <xf numFmtId="9" fontId="0" fillId="0" borderId="3" pivotButton="0" quotePrefix="0" xfId="0"/>
    <xf numFmtId="9" fontId="0" fillId="0" borderId="5" applyAlignment="1" pivotButton="0" quotePrefix="0" xfId="0">
      <alignment horizontal="center"/>
    </xf>
    <xf numFmtId="9" fontId="0" fillId="0" borderId="5" pivotButton="0" quotePrefix="0" xfId="0"/>
    <xf numFmtId="9" fontId="0" fillId="0" borderId="6" pivotButton="0" quotePrefix="0" xfId="0"/>
    <xf numFmtId="0" fontId="0" fillId="0" borderId="26" pivotButton="0" quotePrefix="0" xfId="0"/>
    <xf numFmtId="0" fontId="2" fillId="0" borderId="27" pivotButton="0" quotePrefix="0" xfId="0"/>
    <xf numFmtId="0" fontId="2" fillId="0" borderId="28" pivotButton="0" quotePrefix="0" xfId="0"/>
    <xf numFmtId="9" fontId="0" fillId="8" borderId="1" applyAlignment="1" pivotButton="0" quotePrefix="0" xfId="1">
      <alignment horizontal="center"/>
    </xf>
    <xf numFmtId="9" fontId="0" fillId="8" borderId="11" applyAlignment="1" pivotButton="0" quotePrefix="0" xfId="1">
      <alignment horizontal="center"/>
    </xf>
    <xf numFmtId="9" fontId="0" fillId="0" borderId="0" applyAlignment="1" pivotButton="0" quotePrefix="0" xfId="1">
      <alignment horizontal="center"/>
    </xf>
    <xf numFmtId="9" fontId="0" fillId="0" borderId="13" applyAlignment="1" pivotButton="0" quotePrefix="0" xfId="1">
      <alignment horizontal="center"/>
    </xf>
    <xf numFmtId="9" fontId="0" fillId="0" borderId="5" applyAlignment="1" pivotButton="0" quotePrefix="0" xfId="1">
      <alignment horizontal="center"/>
    </xf>
    <xf numFmtId="9" fontId="0" fillId="0" borderId="17" applyAlignment="1" pivotButton="0" quotePrefix="0" xfId="1">
      <alignment horizontal="center"/>
    </xf>
    <xf numFmtId="164" fontId="0" fillId="0" borderId="0" applyAlignment="1" pivotButton="0" quotePrefix="0" xfId="1">
      <alignment horizontal="center"/>
    </xf>
    <xf numFmtId="164" fontId="0" fillId="0" borderId="13" applyAlignment="1" pivotButton="0" quotePrefix="0" xfId="1">
      <alignment horizontal="center"/>
    </xf>
    <xf numFmtId="164" fontId="0" fillId="0" borderId="5" applyAlignment="1" pivotButton="0" quotePrefix="0" xfId="1">
      <alignment horizontal="center"/>
    </xf>
    <xf numFmtId="164" fontId="0" fillId="0" borderId="15" applyAlignment="1" pivotButton="0" quotePrefix="0" xfId="1">
      <alignment horizontal="center"/>
    </xf>
    <xf numFmtId="9" fontId="2" fillId="7" borderId="21" applyAlignment="1" pivotButton="0" quotePrefix="0" xfId="1">
      <alignment horizontal="center"/>
    </xf>
    <xf numFmtId="9" fontId="2" fillId="7" borderId="22" applyAlignment="1" pivotButton="0" quotePrefix="0" xfId="1">
      <alignment horizontal="center"/>
    </xf>
    <xf numFmtId="0" fontId="0" fillId="2" borderId="12" pivotButton="0" quotePrefix="0" xfId="0"/>
    <xf numFmtId="0" fontId="2" fillId="2" borderId="13" applyAlignment="1" pivotButton="0" quotePrefix="0" xfId="0">
      <alignment horizontal="center" vertical="center" wrapText="1"/>
    </xf>
    <xf numFmtId="164" fontId="0" fillId="8" borderId="11" applyAlignment="1" pivotButton="0" quotePrefix="0" xfId="1">
      <alignment horizontal="center"/>
    </xf>
    <xf numFmtId="164" fontId="0" fillId="8" borderId="13" applyAlignment="1" pivotButton="0" quotePrefix="0" xfId="1">
      <alignment horizontal="center"/>
    </xf>
    <xf numFmtId="164" fontId="2" fillId="7" borderId="22" applyAlignment="1" pivotButton="0" quotePrefix="0" xfId="1">
      <alignment horizontal="center"/>
    </xf>
    <xf numFmtId="0" fontId="0" fillId="0" borderId="0" applyAlignment="1" pivotButton="0" quotePrefix="0" xfId="0">
      <alignment horizontal="center" vertical="center"/>
    </xf>
    <xf numFmtId="0" fontId="2" fillId="3" borderId="24" applyAlignment="1" pivotButton="0" quotePrefix="0" xfId="0">
      <alignment horizontal="center" vertical="center"/>
    </xf>
    <xf numFmtId="0" fontId="2" fillId="3" borderId="19" applyAlignment="1" pivotButton="0" quotePrefix="0" xfId="0">
      <alignment horizontal="center" vertical="center"/>
    </xf>
    <xf numFmtId="0" fontId="2" fillId="3" borderId="25" applyAlignment="1" pivotButton="0" quotePrefix="0" xfId="0">
      <alignment horizontal="center" vertical="center"/>
    </xf>
    <xf numFmtId="0" fontId="8" fillId="0" borderId="12" pivotButton="0" quotePrefix="0" xfId="0"/>
    <xf numFmtId="165" fontId="0" fillId="0" borderId="0" applyAlignment="1" pivotButton="0" quotePrefix="0" xfId="3">
      <alignment vertical="center"/>
    </xf>
    <xf numFmtId="165" fontId="0" fillId="0" borderId="0" applyAlignment="1" pivotButton="0" quotePrefix="0" xfId="3">
      <alignment horizontal="center" vertical="center"/>
    </xf>
    <xf numFmtId="0" fontId="8" fillId="0" borderId="16" pivotButton="0" quotePrefix="0" xfId="0"/>
    <xf numFmtId="0" fontId="0" fillId="0" borderId="17" applyAlignment="1" pivotButton="0" quotePrefix="0" xfId="0">
      <alignment horizontal="center" vertical="center"/>
    </xf>
    <xf numFmtId="165" fontId="0" fillId="0" borderId="17" applyAlignment="1" pivotButton="0" quotePrefix="0" xfId="3">
      <alignment vertical="center"/>
    </xf>
    <xf numFmtId="165" fontId="0" fillId="0" borderId="17" applyAlignment="1" pivotButton="0" quotePrefix="0" xfId="3">
      <alignment horizontal="center" vertical="center"/>
    </xf>
    <xf numFmtId="0" fontId="0" fillId="0" borderId="18" pivotButton="0" quotePrefix="0" xfId="0"/>
    <xf numFmtId="0" fontId="0" fillId="0" borderId="24" applyAlignment="1" pivotButton="0" quotePrefix="0" xfId="0">
      <alignment vertical="center"/>
    </xf>
    <xf numFmtId="0" fontId="0" fillId="0" borderId="19" applyAlignment="1" pivotButton="0" quotePrefix="0" xfId="0">
      <alignment vertical="center"/>
    </xf>
    <xf numFmtId="0" fontId="0" fillId="0" borderId="25" applyAlignment="1" pivotButton="0" quotePrefix="0" xfId="0">
      <alignment vertical="center"/>
    </xf>
    <xf numFmtId="0" fontId="0" fillId="0" borderId="12" applyAlignment="1" pivotButton="0" quotePrefix="0" xfId="0">
      <alignment vertical="center"/>
    </xf>
    <xf numFmtId="0" fontId="0" fillId="0" borderId="13" applyAlignment="1" pivotButton="0" quotePrefix="0" xfId="0">
      <alignment vertical="center"/>
    </xf>
    <xf numFmtId="0" fontId="0" fillId="0" borderId="16" applyAlignment="1" pivotButton="0" quotePrefix="0" xfId="0">
      <alignment vertical="center"/>
    </xf>
    <xf numFmtId="0" fontId="0" fillId="0" borderId="17" applyAlignment="1" pivotButton="0" quotePrefix="0" xfId="0">
      <alignment vertical="center"/>
    </xf>
    <xf numFmtId="0" fontId="0" fillId="0" borderId="18" applyAlignment="1" pivotButton="0" quotePrefix="0" xfId="0">
      <alignment vertical="center"/>
    </xf>
    <xf numFmtId="165" fontId="0" fillId="0" borderId="13" applyAlignment="1" pivotButton="0" quotePrefix="0" xfId="3">
      <alignment vertical="center"/>
    </xf>
    <xf numFmtId="165" fontId="0" fillId="0" borderId="18" applyAlignment="1" pivotButton="0" quotePrefix="0" xfId="3">
      <alignment vertical="center"/>
    </xf>
    <xf numFmtId="0" fontId="4" fillId="3" borderId="29" applyAlignment="1" pivotButton="0" quotePrefix="0" xfId="0">
      <alignment horizontal="center" vertical="center" wrapText="1"/>
    </xf>
    <xf numFmtId="0" fontId="4" fillId="3" borderId="30" applyAlignment="1" pivotButton="0" quotePrefix="0" xfId="0">
      <alignment horizontal="center" vertical="center" wrapText="1"/>
    </xf>
    <xf numFmtId="0" fontId="4" fillId="3" borderId="33" applyAlignment="1" pivotButton="0" quotePrefix="0" xfId="0">
      <alignment horizontal="center" vertical="center" wrapText="1"/>
    </xf>
    <xf numFmtId="0" fontId="5" fillId="3" borderId="34" applyAlignment="1" pivotButton="0" quotePrefix="0" xfId="0">
      <alignment horizontal="center" vertical="center" wrapText="1"/>
    </xf>
    <xf numFmtId="0" fontId="5" fillId="3" borderId="35" applyAlignment="1" pivotButton="0" quotePrefix="0" xfId="0">
      <alignment horizontal="center" vertical="center" wrapText="1"/>
    </xf>
    <xf numFmtId="0" fontId="4" fillId="3" borderId="36" applyAlignment="1" pivotButton="0" quotePrefix="0" xfId="0">
      <alignment horizontal="left" vertical="top" wrapText="1"/>
    </xf>
    <xf numFmtId="0" fontId="4" fillId="5" borderId="36" applyAlignment="1" pivotButton="0" quotePrefix="0" xfId="0">
      <alignment horizontal="center" vertical="center" wrapText="1"/>
    </xf>
    <xf numFmtId="0" fontId="11" fillId="3" borderId="38" applyAlignment="1" pivotButton="0" quotePrefix="0" xfId="0">
      <alignment horizontal="center" vertical="center" wrapText="1"/>
    </xf>
    <xf numFmtId="0" fontId="11" fillId="2" borderId="38" applyAlignment="1" pivotButton="0" quotePrefix="0" xfId="0">
      <alignment horizontal="center" vertical="center" wrapText="1"/>
    </xf>
    <xf numFmtId="0" fontId="0" fillId="0" borderId="0" applyAlignment="1" pivotButton="0" quotePrefix="0" xfId="0">
      <alignment wrapText="1"/>
    </xf>
    <xf numFmtId="0" fontId="10" fillId="9" borderId="37" applyAlignment="1" pivotButton="0" quotePrefix="0" xfId="0">
      <alignment horizontal="center" vertical="center" wrapText="1"/>
    </xf>
    <xf numFmtId="0" fontId="0" fillId="0" borderId="40" applyAlignment="1" pivotButton="0" quotePrefix="0" xfId="0">
      <alignment vertical="center" wrapText="1"/>
    </xf>
    <xf numFmtId="0" fontId="0" fillId="0" borderId="43" applyAlignment="1" pivotButton="0" quotePrefix="0" xfId="0">
      <alignment vertical="center" wrapText="1"/>
    </xf>
    <xf numFmtId="0" fontId="0" fillId="0" borderId="45" applyAlignment="1" pivotButton="0" quotePrefix="0" xfId="0">
      <alignment vertical="center" wrapText="1"/>
    </xf>
    <xf numFmtId="0" fontId="0" fillId="0" borderId="46" applyAlignment="1" pivotButton="0" quotePrefix="0" xfId="0">
      <alignment vertical="center" wrapText="1"/>
    </xf>
    <xf numFmtId="0" fontId="12" fillId="10" borderId="38" applyAlignment="1" pivotButton="0" quotePrefix="0" xfId="0">
      <alignment horizontal="center" vertical="center" wrapText="1"/>
    </xf>
    <xf numFmtId="0" fontId="12" fillId="10" borderId="39" applyAlignment="1" pivotButton="0" quotePrefix="0" xfId="0">
      <alignment horizontal="center" vertical="center" wrapText="1"/>
    </xf>
    <xf numFmtId="0" fontId="12" fillId="11" borderId="38" applyAlignment="1" pivotButton="0" quotePrefix="0" xfId="0">
      <alignment horizontal="center" vertical="center" wrapText="1"/>
    </xf>
    <xf numFmtId="0" fontId="12" fillId="11" borderId="47" applyAlignment="1" pivotButton="0" quotePrefix="0" xfId="0">
      <alignment horizontal="center" vertical="center" wrapText="1"/>
    </xf>
    <xf numFmtId="0" fontId="0" fillId="2" borderId="41" applyAlignment="1" pivotButton="0" quotePrefix="0" xfId="0">
      <alignment horizontal="center" vertical="center"/>
    </xf>
    <xf numFmtId="0" fontId="0" fillId="2" borderId="44" applyAlignment="1" pivotButton="0" quotePrefix="0" xfId="0">
      <alignment horizontal="center" vertical="center"/>
    </xf>
    <xf numFmtId="0" fontId="11" fillId="2" borderId="53" applyAlignment="1" pivotButton="0" quotePrefix="0" xfId="0">
      <alignment horizontal="center" vertical="center" wrapText="1"/>
    </xf>
    <xf numFmtId="0" fontId="11" fillId="3" borderId="53" applyAlignment="1" pivotButton="0" quotePrefix="0" xfId="0">
      <alignment horizontal="center" vertical="center" wrapText="1"/>
    </xf>
    <xf numFmtId="0" fontId="10" fillId="9" borderId="54" applyAlignment="1" pivotButton="0" quotePrefix="0" xfId="0">
      <alignment horizontal="center" vertical="center" wrapText="1"/>
    </xf>
    <xf numFmtId="16" fontId="4" fillId="6" borderId="23" applyAlignment="1" pivotButton="0" quotePrefix="0" xfId="0">
      <alignment horizontal="center" vertical="center" wrapText="1"/>
    </xf>
    <xf numFmtId="0" fontId="5" fillId="0" borderId="23" applyAlignment="1" pivotButton="0" quotePrefix="0" xfId="0">
      <alignment horizontal="center" vertical="center" wrapText="1"/>
    </xf>
    <xf numFmtId="0" fontId="0" fillId="0" borderId="41" applyAlignment="1" pivotButton="0" quotePrefix="0" xfId="0">
      <alignment horizontal="center" vertical="center"/>
    </xf>
    <xf numFmtId="0" fontId="7" fillId="0" borderId="48" applyAlignment="1" pivotButton="0" quotePrefix="0" xfId="0">
      <alignment vertical="center" wrapText="1"/>
    </xf>
    <xf numFmtId="0" fontId="7" fillId="0" borderId="50" applyAlignment="1" pivotButton="0" quotePrefix="0" xfId="0">
      <alignment vertical="center" wrapText="1"/>
    </xf>
    <xf numFmtId="0" fontId="2" fillId="2" borderId="38" applyAlignment="1" pivotButton="0" quotePrefix="0" xfId="0">
      <alignment horizontal="center" vertical="center" wrapText="1"/>
    </xf>
    <xf numFmtId="0" fontId="2" fillId="2" borderId="38" applyAlignment="1" pivotButton="0" quotePrefix="0" xfId="0">
      <alignment horizontal="center" vertical="center"/>
    </xf>
    <xf numFmtId="0" fontId="4" fillId="5" borderId="23" applyAlignment="1" pivotButton="0" quotePrefix="0" xfId="0">
      <alignment horizontal="center" vertical="center" wrapText="1"/>
    </xf>
    <xf numFmtId="0" fontId="11" fillId="3" borderId="59" applyAlignment="1" pivotButton="0" quotePrefix="0" xfId="0">
      <alignment horizontal="center" vertical="center" wrapText="1"/>
    </xf>
    <xf numFmtId="0" fontId="11" fillId="3" borderId="4" applyAlignment="1" pivotButton="0" quotePrefix="0" xfId="0">
      <alignment horizontal="center" vertical="center" wrapText="1"/>
    </xf>
    <xf numFmtId="0" fontId="11" fillId="3" borderId="6" applyAlignment="1" pivotButton="0" quotePrefix="0" xfId="0">
      <alignment horizontal="center" vertical="center" wrapText="1"/>
    </xf>
    <xf numFmtId="0" fontId="0" fillId="0" borderId="44" applyAlignment="1" pivotButton="0" quotePrefix="0" xfId="0">
      <alignment horizontal="center" vertical="center"/>
    </xf>
    <xf numFmtId="2" fontId="0" fillId="2" borderId="41" applyAlignment="1" pivotButton="0" quotePrefix="0" xfId="0">
      <alignment vertical="center"/>
    </xf>
    <xf numFmtId="2" fontId="0" fillId="0" borderId="13" applyAlignment="1" pivotButton="0" quotePrefix="0" xfId="0">
      <alignment vertical="center"/>
    </xf>
    <xf numFmtId="2" fontId="0" fillId="2" borderId="44" applyAlignment="1" pivotButton="0" quotePrefix="0" xfId="0">
      <alignment vertical="center"/>
    </xf>
    <xf numFmtId="2" fontId="0" fillId="0" borderId="18" applyAlignment="1" pivotButton="0" quotePrefix="0" xfId="0">
      <alignment vertical="center"/>
    </xf>
    <xf numFmtId="2" fontId="0" fillId="0" borderId="0" applyAlignment="1" pivotButton="0" quotePrefix="0" xfId="0">
      <alignment vertical="center"/>
    </xf>
    <xf numFmtId="0" fontId="2" fillId="0" borderId="14" applyAlignment="1" pivotButton="0" quotePrefix="0" xfId="0">
      <alignment horizontal="center" vertical="center"/>
    </xf>
    <xf numFmtId="0" fontId="2" fillId="0" borderId="5" applyAlignment="1" pivotButton="0" quotePrefix="0" xfId="0">
      <alignment horizontal="center" vertical="center"/>
    </xf>
    <xf numFmtId="2" fontId="0" fillId="2" borderId="48" applyAlignment="1" pivotButton="0" quotePrefix="0" xfId="0">
      <alignment vertical="center"/>
    </xf>
    <xf numFmtId="2" fontId="0" fillId="2" borderId="49" applyAlignment="1" pivotButton="0" quotePrefix="0" xfId="0">
      <alignment vertical="center"/>
    </xf>
    <xf numFmtId="2" fontId="0" fillId="2" borderId="50" applyAlignment="1" pivotButton="0" quotePrefix="0" xfId="0">
      <alignment vertical="center"/>
    </xf>
    <xf numFmtId="2" fontId="0" fillId="2" borderId="51" applyAlignment="1" pivotButton="0" quotePrefix="0" xfId="0">
      <alignment vertical="center"/>
    </xf>
    <xf numFmtId="0" fontId="2" fillId="14" borderId="48" applyAlignment="1" pivotButton="0" quotePrefix="0" xfId="0">
      <alignment horizontal="center" vertical="center"/>
    </xf>
    <xf numFmtId="0" fontId="2" fillId="14" borderId="41" applyAlignment="1" pivotButton="0" quotePrefix="0" xfId="0">
      <alignment horizontal="center" vertical="center"/>
    </xf>
    <xf numFmtId="0" fontId="2" fillId="0" borderId="24" applyAlignment="1" pivotButton="0" quotePrefix="0" xfId="0">
      <alignment vertical="center"/>
    </xf>
    <xf numFmtId="0" fontId="2" fillId="0" borderId="19" applyAlignment="1" pivotButton="0" quotePrefix="0" xfId="0">
      <alignment vertical="center"/>
    </xf>
    <xf numFmtId="0" fontId="2" fillId="2" borderId="25" applyAlignment="1" pivotButton="0" quotePrefix="0" xfId="0">
      <alignment horizontal="center" vertical="center"/>
    </xf>
    <xf numFmtId="0" fontId="9" fillId="2" borderId="13" applyAlignment="1" pivotButton="0" quotePrefix="0" xfId="0">
      <alignment horizontal="center" vertical="center"/>
    </xf>
    <xf numFmtId="164" fontId="0" fillId="8" borderId="1" applyAlignment="1" pivotButton="0" quotePrefix="0" xfId="1">
      <alignment horizontal="center"/>
    </xf>
    <xf numFmtId="0" fontId="0" fillId="0" borderId="41" applyAlignment="1" pivotButton="0" quotePrefix="0" xfId="0">
      <alignment vertical="center" wrapText="1"/>
    </xf>
    <xf numFmtId="9" fontId="6" fillId="0" borderId="0" pivotButton="0" quotePrefix="0" xfId="0"/>
    <xf numFmtId="0" fontId="5" fillId="3" borderId="63" applyAlignment="1" pivotButton="0" quotePrefix="0" xfId="0">
      <alignment horizontal="center" vertical="center" wrapText="1"/>
    </xf>
    <xf numFmtId="0" fontId="4" fillId="3" borderId="64" applyAlignment="1" pivotButton="0" quotePrefix="0" xfId="0">
      <alignment horizontal="left" vertical="top" wrapText="1"/>
    </xf>
    <xf numFmtId="0" fontId="4" fillId="3" borderId="66" applyAlignment="1" pivotButton="0" quotePrefix="0" xfId="0">
      <alignment horizontal="center" vertical="center" wrapText="1"/>
    </xf>
    <xf numFmtId="0" fontId="5" fillId="5" borderId="66" applyAlignment="1" pivotButton="0" quotePrefix="0" xfId="0">
      <alignment horizontal="center" vertical="center" wrapText="1"/>
    </xf>
    <xf numFmtId="0" fontId="5" fillId="0" borderId="66" applyAlignment="1" pivotButton="0" quotePrefix="0" xfId="0">
      <alignment horizontal="center" vertical="center" wrapText="1"/>
    </xf>
    <xf numFmtId="0" fontId="4" fillId="5" borderId="66" applyAlignment="1" pivotButton="0" quotePrefix="0" xfId="0">
      <alignment horizontal="center" vertical="center" wrapText="1"/>
    </xf>
    <xf numFmtId="0" fontId="5" fillId="6" borderId="23" applyAlignment="1" pivotButton="0" quotePrefix="0" xfId="0">
      <alignment horizontal="center" vertical="center" wrapText="1"/>
    </xf>
    <xf numFmtId="0" fontId="5" fillId="0" borderId="64" applyAlignment="1" pivotButton="0" quotePrefix="0" xfId="0">
      <alignment horizontal="center" vertical="center" wrapText="1"/>
    </xf>
    <xf numFmtId="0" fontId="5" fillId="3" borderId="67" applyAlignment="1" pivotButton="0" quotePrefix="0" xfId="0">
      <alignment horizontal="center" vertical="center" wrapText="1"/>
    </xf>
    <xf numFmtId="0" fontId="5" fillId="6" borderId="23" applyAlignment="1" pivotButton="0" quotePrefix="1" xfId="0">
      <alignment horizontal="center" vertical="center" wrapText="1"/>
    </xf>
    <xf numFmtId="46" fontId="5" fillId="5" borderId="23" applyAlignment="1" pivotButton="0" quotePrefix="0" xfId="0">
      <alignment horizontal="center" vertical="center" wrapText="1"/>
    </xf>
    <xf numFmtId="46" fontId="5" fillId="5" borderId="23" applyAlignment="1" pivotButton="0" quotePrefix="1" xfId="0">
      <alignment horizontal="center" vertical="center" wrapText="1"/>
    </xf>
    <xf numFmtId="0" fontId="5" fillId="5" borderId="23" applyAlignment="1" pivotButton="0" quotePrefix="1" xfId="0">
      <alignment horizontal="center" vertical="center" wrapText="1"/>
    </xf>
    <xf numFmtId="0" fontId="5" fillId="5" borderId="66" applyAlignment="1" pivotButton="0" quotePrefix="1" xfId="0">
      <alignment horizontal="center" vertical="center" wrapText="1"/>
    </xf>
    <xf numFmtId="0" fontId="5" fillId="0" borderId="64" applyAlignment="1" pivotButton="0" quotePrefix="1" xfId="0">
      <alignment horizontal="center" vertical="center" wrapText="1"/>
    </xf>
    <xf numFmtId="46" fontId="5" fillId="0" borderId="64" applyAlignment="1" pivotButton="0" quotePrefix="1" xfId="0">
      <alignment horizontal="center" vertical="center" wrapText="1"/>
    </xf>
    <xf numFmtId="16" fontId="5" fillId="6" borderId="23" applyAlignment="1" pivotButton="0" quotePrefix="0" xfId="0">
      <alignment horizontal="center" vertical="center" wrapText="1"/>
    </xf>
    <xf numFmtId="0" fontId="5" fillId="6" borderId="66" applyAlignment="1" pivotButton="0" quotePrefix="0" xfId="0">
      <alignment horizontal="center" vertical="center" wrapText="1"/>
    </xf>
    <xf numFmtId="0" fontId="5" fillId="6" borderId="36" applyAlignment="1" pivotButton="0" quotePrefix="0" xfId="0">
      <alignment horizontal="center" vertical="center" wrapText="1"/>
    </xf>
    <xf numFmtId="0" fontId="5" fillId="5" borderId="36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/>
    </xf>
    <xf numFmtId="0" fontId="2" fillId="2" borderId="42" applyAlignment="1" pivotButton="0" quotePrefix="0" xfId="0">
      <alignment horizontal="center" vertical="center"/>
    </xf>
    <xf numFmtId="0" fontId="0" fillId="0" borderId="68" applyAlignment="1" pivotButton="0" quotePrefix="0" xfId="0">
      <alignment horizontal="center" vertical="center"/>
    </xf>
    <xf numFmtId="0" fontId="2" fillId="2" borderId="47" applyAlignment="1" pivotButton="0" quotePrefix="0" xfId="0">
      <alignment vertical="center"/>
    </xf>
    <xf numFmtId="0" fontId="2" fillId="3" borderId="38" applyAlignment="1" pivotButton="0" quotePrefix="0" xfId="0">
      <alignment horizontal="center" vertical="center"/>
    </xf>
    <xf numFmtId="0" fontId="2" fillId="3" borderId="39" applyAlignment="1" pivotButton="0" quotePrefix="0" xfId="0">
      <alignment horizontal="center" vertical="center"/>
    </xf>
    <xf numFmtId="0" fontId="0" fillId="0" borderId="44" applyAlignment="1" pivotButton="0" quotePrefix="0" xfId="0">
      <alignment vertical="center" wrapText="1"/>
    </xf>
    <xf numFmtId="0" fontId="2" fillId="0" borderId="0" applyAlignment="1" pivotButton="0" quotePrefix="0" xfId="0">
      <alignment vertical="center"/>
    </xf>
    <xf numFmtId="0" fontId="2" fillId="0" borderId="0" applyAlignment="1" pivotButton="0" quotePrefix="0" xfId="0">
      <alignment horizontal="center" vertical="center"/>
    </xf>
    <xf numFmtId="0" fontId="0" fillId="2" borderId="0" applyAlignment="1" pivotButton="0" quotePrefix="0" xfId="0">
      <alignment horizontal="center" vertical="center"/>
    </xf>
    <xf numFmtId="0" fontId="0" fillId="2" borderId="17" applyAlignment="1" pivotButton="0" quotePrefix="0" xfId="0">
      <alignment horizontal="center" vertical="center"/>
    </xf>
    <xf numFmtId="0" fontId="0" fillId="0" borderId="69" applyAlignment="1" pivotButton="0" quotePrefix="0" xfId="0">
      <alignment horizontal="center" wrapText="1"/>
    </xf>
    <xf numFmtId="0" fontId="0" fillId="0" borderId="53" applyAlignment="1" pivotButton="0" quotePrefix="0" xfId="0">
      <alignment horizontal="center" wrapText="1"/>
    </xf>
    <xf numFmtId="0" fontId="0" fillId="0" borderId="70" applyAlignment="1" pivotButton="0" quotePrefix="0" xfId="0">
      <alignment horizontal="center" wrapText="1"/>
    </xf>
    <xf numFmtId="0" fontId="0" fillId="0" borderId="72" applyAlignment="1" pivotButton="0" quotePrefix="0" xfId="0">
      <alignment horizontal="center" wrapText="1"/>
    </xf>
    <xf numFmtId="0" fontId="2" fillId="0" borderId="12" applyAlignment="1" pivotButton="0" quotePrefix="0" xfId="0">
      <alignment wrapText="1"/>
    </xf>
    <xf numFmtId="0" fontId="12" fillId="11" borderId="53" applyAlignment="1" pivotButton="0" quotePrefix="0" xfId="0">
      <alignment horizontal="center" vertical="center" wrapText="1"/>
    </xf>
    <xf numFmtId="0" fontId="0" fillId="0" borderId="70" applyAlignment="1" pivotButton="0" quotePrefix="0" xfId="0">
      <alignment wrapText="1"/>
    </xf>
    <xf numFmtId="0" fontId="0" fillId="0" borderId="71" applyAlignment="1" pivotButton="0" quotePrefix="0" xfId="0">
      <alignment wrapText="1"/>
    </xf>
    <xf numFmtId="9" fontId="0" fillId="8" borderId="69" applyAlignment="1" pivotButton="0" quotePrefix="0" xfId="1">
      <alignment horizontal="center" wrapText="1"/>
    </xf>
    <xf numFmtId="9" fontId="0" fillId="8" borderId="1" applyAlignment="1" pivotButton="0" quotePrefix="0" xfId="1">
      <alignment horizontal="center" wrapText="1"/>
    </xf>
    <xf numFmtId="9" fontId="0" fillId="8" borderId="56" applyAlignment="1" pivotButton="0" quotePrefix="0" xfId="1">
      <alignment horizontal="center" wrapText="1"/>
    </xf>
    <xf numFmtId="0" fontId="2" fillId="2" borderId="8" applyAlignment="1" pivotButton="0" quotePrefix="0" xfId="0">
      <alignment horizontal="center" vertical="center" wrapText="1"/>
    </xf>
    <xf numFmtId="0" fontId="2" fillId="2" borderId="39" applyAlignment="1" pivotButton="0" quotePrefix="0" xfId="0">
      <alignment horizontal="center" vertical="center" wrapText="1"/>
    </xf>
    <xf numFmtId="0" fontId="0" fillId="0" borderId="69" applyAlignment="1" pivotButton="0" quotePrefix="0" xfId="0">
      <alignment horizontal="center" vertical="center" wrapText="1"/>
    </xf>
    <xf numFmtId="0" fontId="0" fillId="0" borderId="70" applyAlignment="1" pivotButton="0" quotePrefix="0" xfId="0">
      <alignment horizontal="center" vertical="center" wrapText="1"/>
    </xf>
    <xf numFmtId="0" fontId="0" fillId="0" borderId="53" applyAlignment="1" pivotButton="0" quotePrefix="0" xfId="0">
      <alignment horizontal="center" vertical="center" wrapText="1"/>
    </xf>
    <xf numFmtId="0" fontId="0" fillId="0" borderId="56" applyAlignment="1" pivotButton="0" quotePrefix="0" xfId="0">
      <alignment horizontal="center" vertical="center" wrapText="1"/>
    </xf>
    <xf numFmtId="0" fontId="0" fillId="0" borderId="71" applyAlignment="1" pivotButton="0" quotePrefix="0" xfId="0">
      <alignment horizontal="center" wrapText="1"/>
    </xf>
    <xf numFmtId="9" fontId="2" fillId="0" borderId="0" applyAlignment="1" pivotButton="0" quotePrefix="0" xfId="1">
      <alignment horizontal="center" wrapText="1"/>
    </xf>
    <xf numFmtId="9" fontId="2" fillId="0" borderId="13" applyAlignment="1" pivotButton="0" quotePrefix="0" xfId="1">
      <alignment horizontal="center" wrapText="1"/>
    </xf>
    <xf numFmtId="9" fontId="2" fillId="0" borderId="70" applyAlignment="1" pivotButton="0" quotePrefix="0" xfId="1">
      <alignment horizontal="center" wrapText="1"/>
    </xf>
    <xf numFmtId="164" fontId="1" fillId="0" borderId="70" applyAlignment="1" pivotButton="0" quotePrefix="0" xfId="1">
      <alignment horizontal="center" wrapText="1"/>
    </xf>
    <xf numFmtId="164" fontId="1" fillId="0" borderId="0" applyAlignment="1" pivotButton="0" quotePrefix="0" xfId="1">
      <alignment horizontal="center" wrapText="1"/>
    </xf>
    <xf numFmtId="164" fontId="1" fillId="0" borderId="71" applyAlignment="1" pivotButton="0" quotePrefix="0" xfId="1">
      <alignment horizontal="center" wrapText="1"/>
    </xf>
    <xf numFmtId="164" fontId="0" fillId="0" borderId="70" applyAlignment="1" pivotButton="0" quotePrefix="0" xfId="0">
      <alignment horizontal="center" wrapText="1"/>
    </xf>
    <xf numFmtId="164" fontId="0" fillId="0" borderId="70" applyAlignment="1" pivotButton="0" quotePrefix="0" xfId="0">
      <alignment horizontal="center" vertical="center" wrapText="1"/>
    </xf>
    <xf numFmtId="164" fontId="0" fillId="0" borderId="0" applyAlignment="1" pivotButton="0" quotePrefix="0" xfId="0">
      <alignment horizontal="center" vertical="center" wrapText="1"/>
    </xf>
    <xf numFmtId="164" fontId="1" fillId="0" borderId="53" applyAlignment="1" pivotButton="0" quotePrefix="0" xfId="1">
      <alignment horizontal="center" wrapText="1"/>
    </xf>
    <xf numFmtId="9" fontId="1" fillId="8" borderId="69" applyAlignment="1" pivotButton="0" quotePrefix="0" xfId="1">
      <alignment horizontal="center" wrapText="1"/>
    </xf>
    <xf numFmtId="9" fontId="1" fillId="8" borderId="1" applyAlignment="1" pivotButton="0" quotePrefix="0" xfId="1">
      <alignment horizontal="center" wrapText="1"/>
    </xf>
    <xf numFmtId="9" fontId="1" fillId="8" borderId="56" applyAlignment="1" pivotButton="0" quotePrefix="0" xfId="1">
      <alignment horizontal="center" wrapText="1"/>
    </xf>
    <xf numFmtId="9" fontId="1" fillId="0" borderId="53" applyAlignment="1" pivotButton="0" quotePrefix="0" xfId="1">
      <alignment horizontal="center" wrapText="1"/>
    </xf>
    <xf numFmtId="9" fontId="1" fillId="0" borderId="5" applyAlignment="1" pivotButton="0" quotePrefix="0" xfId="1">
      <alignment horizontal="center" wrapText="1"/>
    </xf>
    <xf numFmtId="9" fontId="1" fillId="0" borderId="57" applyAlignment="1" pivotButton="0" quotePrefix="0" xfId="1">
      <alignment horizontal="center" wrapText="1"/>
    </xf>
    <xf numFmtId="9" fontId="1" fillId="8" borderId="70" applyAlignment="1" pivotButton="0" quotePrefix="0" xfId="1">
      <alignment horizontal="center" wrapText="1"/>
    </xf>
    <xf numFmtId="9" fontId="1" fillId="8" borderId="0" applyAlignment="1" pivotButton="0" quotePrefix="0" xfId="1">
      <alignment horizontal="center" wrapText="1"/>
    </xf>
    <xf numFmtId="9" fontId="1" fillId="8" borderId="71" applyAlignment="1" pivotButton="0" quotePrefix="0" xfId="1">
      <alignment horizontal="center" wrapText="1"/>
    </xf>
    <xf numFmtId="9" fontId="1" fillId="0" borderId="70" applyAlignment="1" pivotButton="0" quotePrefix="0" xfId="1">
      <alignment horizontal="center" wrapText="1"/>
    </xf>
    <xf numFmtId="9" fontId="1" fillId="0" borderId="0" applyAlignment="1" pivotButton="0" quotePrefix="0" xfId="1">
      <alignment horizontal="center" wrapText="1"/>
    </xf>
    <xf numFmtId="9" fontId="1" fillId="0" borderId="71" applyAlignment="1" pivotButton="0" quotePrefix="0" xfId="1">
      <alignment horizontal="center" wrapText="1"/>
    </xf>
    <xf numFmtId="0" fontId="0" fillId="0" borderId="17" pivotButton="0" quotePrefix="0" xfId="0"/>
    <xf numFmtId="0" fontId="2" fillId="2" borderId="9" applyAlignment="1" pivotButton="0" quotePrefix="0" xfId="0">
      <alignment horizontal="center" vertical="center" wrapText="1"/>
    </xf>
    <xf numFmtId="9" fontId="0" fillId="8" borderId="11" applyAlignment="1" pivotButton="0" quotePrefix="0" xfId="1">
      <alignment horizontal="center" wrapText="1"/>
    </xf>
    <xf numFmtId="164" fontId="1" fillId="0" borderId="13" applyAlignment="1" pivotButton="0" quotePrefix="0" xfId="1">
      <alignment horizontal="center" wrapText="1"/>
    </xf>
    <xf numFmtId="164" fontId="0" fillId="0" borderId="13" applyAlignment="1" pivotButton="0" quotePrefix="0" xfId="0">
      <alignment horizontal="center" vertical="center" wrapText="1"/>
    </xf>
    <xf numFmtId="9" fontId="1" fillId="8" borderId="11" applyAlignment="1" pivotButton="0" quotePrefix="0" xfId="1">
      <alignment horizontal="center" wrapText="1"/>
    </xf>
    <xf numFmtId="9" fontId="1" fillId="0" borderId="15" applyAlignment="1" pivotButton="0" quotePrefix="0" xfId="1">
      <alignment horizontal="center" wrapText="1"/>
    </xf>
    <xf numFmtId="9" fontId="1" fillId="8" borderId="13" applyAlignment="1" pivotButton="0" quotePrefix="0" xfId="1">
      <alignment horizontal="center" wrapText="1"/>
    </xf>
    <xf numFmtId="9" fontId="1" fillId="0" borderId="13" applyAlignment="1" pivotButton="0" quotePrefix="0" xfId="1">
      <alignment horizontal="center" wrapText="1"/>
    </xf>
    <xf numFmtId="0" fontId="0" fillId="0" borderId="17" applyAlignment="1" pivotButton="0" quotePrefix="0" xfId="0">
      <alignment wrapText="1"/>
    </xf>
    <xf numFmtId="0" fontId="2" fillId="7" borderId="74" applyAlignment="1" pivotButton="0" quotePrefix="0" xfId="0">
      <alignment horizontal="center" vertical="center" wrapText="1"/>
    </xf>
    <xf numFmtId="0" fontId="2" fillId="7" borderId="69" applyAlignment="1" pivotButton="0" quotePrefix="0" xfId="0">
      <alignment horizontal="center" vertical="center" wrapText="1"/>
    </xf>
    <xf numFmtId="0" fontId="2" fillId="7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wrapText="1"/>
    </xf>
    <xf numFmtId="0" fontId="0" fillId="0" borderId="5" applyAlignment="1" pivotButton="0" quotePrefix="0" xfId="0">
      <alignment wrapText="1"/>
    </xf>
    <xf numFmtId="2" fontId="0" fillId="0" borderId="0" applyAlignment="1" pivotButton="0" quotePrefix="0" xfId="1">
      <alignment horizontal="center" vertical="center"/>
    </xf>
    <xf numFmtId="2" fontId="0" fillId="0" borderId="0" applyAlignment="1" pivotButton="0" quotePrefix="0" xfId="0">
      <alignment horizontal="center" vertical="center"/>
    </xf>
    <xf numFmtId="2" fontId="0" fillId="0" borderId="17" applyAlignment="1" pivotButton="0" quotePrefix="0" xfId="0">
      <alignment horizontal="center" vertical="center"/>
    </xf>
    <xf numFmtId="2" fontId="0" fillId="0" borderId="17" applyAlignment="1" pivotButton="0" quotePrefix="0" xfId="1">
      <alignment horizontal="center" vertical="center"/>
    </xf>
    <xf numFmtId="2" fontId="0" fillId="0" borderId="2" applyAlignment="1" pivotButton="0" quotePrefix="0" xfId="1">
      <alignment horizontal="center" vertical="center"/>
    </xf>
    <xf numFmtId="2" fontId="0" fillId="0" borderId="3" applyAlignment="1" pivotButton="0" quotePrefix="0" xfId="0">
      <alignment horizontal="center" vertical="center"/>
    </xf>
    <xf numFmtId="2" fontId="0" fillId="0" borderId="55" applyAlignment="1" pivotButton="0" quotePrefix="0" xfId="1">
      <alignment horizontal="center" vertical="center"/>
    </xf>
    <xf numFmtId="2" fontId="0" fillId="0" borderId="52" applyAlignment="1" pivotButton="0" quotePrefix="0" xfId="0">
      <alignment horizontal="center" vertical="center"/>
    </xf>
    <xf numFmtId="0" fontId="10" fillId="15" borderId="75" applyAlignment="1" pivotButton="0" quotePrefix="0" xfId="4">
      <alignment horizontal="center" vertical="center" wrapText="1"/>
    </xf>
    <xf numFmtId="0" fontId="10" fillId="15" borderId="75" applyAlignment="1" pivotButton="0" quotePrefix="0" xfId="4">
      <alignment horizontal="center" vertical="center"/>
    </xf>
    <xf numFmtId="0" fontId="15" fillId="0" borderId="0" applyAlignment="1" pivotButton="0" quotePrefix="0" xfId="4">
      <alignment horizontal="center" vertical="center" wrapText="1"/>
    </xf>
    <xf numFmtId="0" fontId="15" fillId="0" borderId="75" pivotButton="0" quotePrefix="0" xfId="4"/>
    <xf numFmtId="4" fontId="15" fillId="0" borderId="75" pivotButton="0" quotePrefix="0" xfId="4"/>
    <xf numFmtId="0" fontId="15" fillId="0" borderId="0" pivotButton="0" quotePrefix="0" xfId="4"/>
    <xf numFmtId="0" fontId="2" fillId="0" borderId="12" applyAlignment="1" pivotButton="0" quotePrefix="0" xfId="0">
      <alignment vertical="center"/>
    </xf>
    <xf numFmtId="0" fontId="10" fillId="16" borderId="75" applyAlignment="1" pivotButton="0" quotePrefix="0" xfId="4">
      <alignment horizontal="center" vertical="center" wrapText="1"/>
    </xf>
    <xf numFmtId="2" fontId="15" fillId="12" borderId="41" pivotButton="0" quotePrefix="0" xfId="4"/>
    <xf numFmtId="0" fontId="16" fillId="17" borderId="76" applyAlignment="1" pivotButton="0" quotePrefix="0" xfId="4">
      <alignment horizontal="center" vertical="center" wrapText="1"/>
    </xf>
    <xf numFmtId="0" fontId="15" fillId="3" borderId="0" applyAlignment="1" pivotButton="0" quotePrefix="0" xfId="4">
      <alignment horizontal="center" vertical="center" wrapText="1"/>
    </xf>
    <xf numFmtId="0" fontId="0" fillId="0" borderId="27" applyAlignment="1" pivotButton="0" quotePrefix="0" xfId="0">
      <alignment wrapText="1"/>
    </xf>
    <xf numFmtId="0" fontId="2" fillId="3" borderId="12" applyAlignment="1" pivotButton="0" quotePrefix="0" xfId="0">
      <alignment horizontal="center" vertical="center" wrapText="1"/>
    </xf>
    <xf numFmtId="0" fontId="0" fillId="0" borderId="74" applyAlignment="1" pivotButton="0" quotePrefix="0" xfId="0">
      <alignment wrapText="1"/>
    </xf>
    <xf numFmtId="0" fontId="0" fillId="0" borderId="77" applyAlignment="1" pivotButton="0" quotePrefix="0" xfId="0">
      <alignment horizontal="center" wrapText="1"/>
    </xf>
    <xf numFmtId="0" fontId="2" fillId="3" borderId="13" applyAlignment="1" pivotButton="0" quotePrefix="0" xfId="0">
      <alignment horizontal="center" vertical="center" wrapText="1"/>
    </xf>
    <xf numFmtId="0" fontId="0" fillId="0" borderId="13" applyAlignment="1" pivotButton="0" quotePrefix="0" xfId="0">
      <alignment horizontal="center" wrapText="1"/>
    </xf>
    <xf numFmtId="0" fontId="2" fillId="7" borderId="11" applyAlignment="1" pivotButton="0" quotePrefix="0" xfId="0">
      <alignment horizontal="center" vertical="center" wrapText="1"/>
    </xf>
    <xf numFmtId="0" fontId="0" fillId="0" borderId="15" applyAlignment="1" pivotButton="0" quotePrefix="0" xfId="0">
      <alignment horizontal="center" wrapText="1"/>
    </xf>
    <xf numFmtId="0" fontId="2" fillId="3" borderId="70" applyAlignment="1" pivotButton="0" quotePrefix="0" xfId="0">
      <alignment horizontal="center" vertical="center" wrapText="1"/>
    </xf>
    <xf numFmtId="0" fontId="0" fillId="0" borderId="41" applyAlignment="1" pivotButton="0" quotePrefix="0" xfId="0">
      <alignment horizontal="center" wrapText="1"/>
    </xf>
    <xf numFmtId="0" fontId="0" fillId="7" borderId="12" applyAlignment="1" pivotButton="0" quotePrefix="0" xfId="0">
      <alignment vertical="center"/>
    </xf>
    <xf numFmtId="9" fontId="0" fillId="0" borderId="72" applyAlignment="1" pivotButton="0" quotePrefix="0" xfId="1">
      <alignment horizontal="center"/>
    </xf>
    <xf numFmtId="9" fontId="0" fillId="0" borderId="73" applyAlignment="1" pivotButton="0" quotePrefix="0" xfId="1">
      <alignment horizontal="center"/>
    </xf>
    <xf numFmtId="0" fontId="10" fillId="3" borderId="53" applyAlignment="1" pivotButton="0" quotePrefix="0" xfId="0">
      <alignment horizontal="center" vertical="center" wrapText="1"/>
    </xf>
    <xf numFmtId="0" fontId="10" fillId="2" borderId="53" applyAlignment="1" pivotButton="0" quotePrefix="0" xfId="0">
      <alignment horizontal="center" vertical="center" wrapText="1"/>
    </xf>
    <xf numFmtId="0" fontId="10" fillId="2" borderId="38" applyAlignment="1" pivotButton="0" quotePrefix="0" xfId="0">
      <alignment horizontal="center" vertical="center" wrapText="1"/>
    </xf>
    <xf numFmtId="0" fontId="12" fillId="18" borderId="53" applyAlignment="1" pivotButton="0" quotePrefix="0" xfId="0">
      <alignment horizontal="center" vertical="center" wrapText="1"/>
    </xf>
    <xf numFmtId="0" fontId="10" fillId="3" borderId="38" applyAlignment="1" pivotButton="0" quotePrefix="0" xfId="6">
      <alignment horizontal="center" vertical="center" wrapText="1"/>
    </xf>
    <xf numFmtId="0" fontId="10" fillId="3" borderId="53" applyAlignment="1" pivotButton="0" quotePrefix="0" xfId="6">
      <alignment horizontal="center" vertical="center" wrapText="1"/>
    </xf>
    <xf numFmtId="0" fontId="17" fillId="0" borderId="0" pivotButton="0" quotePrefix="0" xfId="6"/>
    <xf numFmtId="0" fontId="17" fillId="0" borderId="75" pivotButton="0" quotePrefix="0" xfId="6"/>
    <xf numFmtId="2" fontId="15" fillId="0" borderId="0" pivotButton="0" quotePrefix="0" xfId="4"/>
    <xf numFmtId="2" fontId="15" fillId="12" borderId="0" pivotButton="0" quotePrefix="0" xfId="4"/>
    <xf numFmtId="10" fontId="0" fillId="0" borderId="69" applyAlignment="1" pivotButton="0" quotePrefix="0" xfId="0">
      <alignment horizontal="center" wrapText="1"/>
    </xf>
    <xf numFmtId="10" fontId="0" fillId="0" borderId="70" applyAlignment="1" pivotButton="0" quotePrefix="0" xfId="0">
      <alignment horizontal="center" wrapText="1"/>
    </xf>
    <xf numFmtId="10" fontId="0" fillId="0" borderId="72" applyAlignment="1" pivotButton="0" quotePrefix="0" xfId="0">
      <alignment horizontal="center" wrapText="1"/>
    </xf>
    <xf numFmtId="10" fontId="0" fillId="0" borderId="11" applyAlignment="1" pivotButton="0" quotePrefix="0" xfId="0">
      <alignment horizontal="center" wrapText="1"/>
    </xf>
    <xf numFmtId="10" fontId="0" fillId="0" borderId="13" applyAlignment="1" pivotButton="0" quotePrefix="0" xfId="0">
      <alignment horizontal="center" wrapText="1"/>
    </xf>
    <xf numFmtId="10" fontId="0" fillId="0" borderId="18" applyAlignment="1" pivotButton="0" quotePrefix="0" xfId="0">
      <alignment horizontal="center" wrapText="1"/>
    </xf>
    <xf numFmtId="0" fontId="15" fillId="4" borderId="75" pivotButton="0" quotePrefix="0" xfId="4"/>
    <xf numFmtId="0" fontId="0" fillId="0" borderId="72" applyAlignment="1" pivotButton="0" quotePrefix="0" xfId="0">
      <alignment horizontal="center" vertical="center" wrapText="1"/>
    </xf>
    <xf numFmtId="0" fontId="9" fillId="2" borderId="0" applyAlignment="1" pivotButton="0" quotePrefix="0" xfId="0">
      <alignment horizontal="center" vertical="center" wrapText="1"/>
    </xf>
    <xf numFmtId="166" fontId="0" fillId="0" borderId="56" applyAlignment="1" pivotButton="0" quotePrefix="0" xfId="0">
      <alignment horizontal="center" vertical="center" wrapText="1"/>
    </xf>
    <xf numFmtId="0" fontId="0" fillId="0" borderId="13" applyAlignment="1" pivotButton="0" quotePrefix="0" xfId="0">
      <alignment horizontal="center" vertical="center" wrapText="1"/>
    </xf>
    <xf numFmtId="0" fontId="0" fillId="0" borderId="15" applyAlignment="1" pivotButton="0" quotePrefix="0" xfId="0">
      <alignment horizontal="center" vertical="center" wrapText="1"/>
    </xf>
    <xf numFmtId="0" fontId="0" fillId="0" borderId="18" applyAlignment="1" pivotButton="0" quotePrefix="0" xfId="0">
      <alignment horizontal="center" vertical="center" wrapText="1"/>
    </xf>
    <xf numFmtId="2" fontId="2" fillId="7" borderId="9" applyAlignment="1" pivotButton="0" quotePrefix="0" xfId="0">
      <alignment vertical="center"/>
    </xf>
    <xf numFmtId="0" fontId="17" fillId="0" borderId="40" pivotButton="0" quotePrefix="0" xfId="6"/>
    <xf numFmtId="0" fontId="11" fillId="4" borderId="38" applyAlignment="1" pivotButton="0" quotePrefix="0" xfId="0">
      <alignment horizontal="center" vertical="center" wrapText="1"/>
    </xf>
    <xf numFmtId="0" fontId="11" fillId="4" borderId="42" applyAlignment="1" pivotButton="0" quotePrefix="0" xfId="0">
      <alignment horizontal="center" vertical="center" wrapText="1"/>
    </xf>
    <xf numFmtId="2" fontId="14" fillId="13" borderId="57" applyAlignment="1" pivotButton="0" quotePrefix="0" xfId="0">
      <alignment horizontal="center" vertical="center" wrapText="1"/>
    </xf>
    <xf numFmtId="0" fontId="13" fillId="12" borderId="21" applyAlignment="1" pivotButton="0" quotePrefix="0" xfId="0">
      <alignment vertical="center"/>
    </xf>
    <xf numFmtId="0" fontId="2" fillId="7" borderId="20" applyAlignment="1" pivotButton="0" quotePrefix="0" xfId="0">
      <alignment vertical="center"/>
    </xf>
    <xf numFmtId="0" fontId="2" fillId="7" borderId="21" applyAlignment="1" pivotButton="0" quotePrefix="0" xfId="0">
      <alignment vertical="center"/>
    </xf>
    <xf numFmtId="0" fontId="2" fillId="7" borderId="22" applyAlignment="1" pivotButton="0" quotePrefix="0" xfId="0">
      <alignment vertical="center"/>
    </xf>
    <xf numFmtId="0" fontId="0" fillId="2" borderId="69" applyAlignment="1" pivotButton="0" quotePrefix="0" xfId="0">
      <alignment horizontal="center" vertical="center"/>
    </xf>
    <xf numFmtId="2" fontId="0" fillId="2" borderId="69" applyAlignment="1" pivotButton="0" quotePrefix="0" xfId="0">
      <alignment vertical="center"/>
    </xf>
    <xf numFmtId="0" fontId="2" fillId="0" borderId="16" applyAlignment="1" pivotButton="0" quotePrefix="0" xfId="0">
      <alignment vertical="center"/>
    </xf>
    <xf numFmtId="0" fontId="2" fillId="0" borderId="17" applyAlignment="1" pivotButton="0" quotePrefix="0" xfId="0">
      <alignment vertical="center"/>
    </xf>
    <xf numFmtId="0" fontId="2" fillId="3" borderId="0" applyAlignment="1" pivotButton="0" quotePrefix="0" xfId="0">
      <alignment horizontal="center" vertical="center" wrapText="1"/>
    </xf>
    <xf numFmtId="0" fontId="0" fillId="0" borderId="12" pivotButton="0" quotePrefix="0" xfId="0"/>
    <xf numFmtId="0" fontId="0" fillId="0" borderId="16" pivotButton="0" quotePrefix="0" xfId="0"/>
    <xf numFmtId="0" fontId="0" fillId="0" borderId="14" pivotButton="0" quotePrefix="0" xfId="0"/>
    <xf numFmtId="0" fontId="0" fillId="0" borderId="49" applyAlignment="1" pivotButton="0" quotePrefix="0" xfId="0">
      <alignment horizontal="center" vertical="center" wrapText="1"/>
    </xf>
    <xf numFmtId="0" fontId="0" fillId="0" borderId="72" pivotButton="0" quotePrefix="0" xfId="0"/>
    <xf numFmtId="0" fontId="0" fillId="0" borderId="41" applyAlignment="1" pivotButton="0" quotePrefix="0" xfId="0">
      <alignment horizontal="center" vertical="center" wrapText="1"/>
    </xf>
    <xf numFmtId="0" fontId="0" fillId="0" borderId="26" applyAlignment="1" pivotButton="0" quotePrefix="0" xfId="0">
      <alignment horizontal="center" vertical="center"/>
    </xf>
    <xf numFmtId="0" fontId="0" fillId="0" borderId="2" pivotButton="0" quotePrefix="0" xfId="0"/>
    <xf numFmtId="0" fontId="0" fillId="0" borderId="4" pivotButton="0" quotePrefix="0" xfId="0"/>
    <xf numFmtId="2" fontId="14" fillId="13" borderId="25" applyAlignment="1" pivotButton="0" quotePrefix="0" xfId="0">
      <alignment horizontal="center" vertical="center" wrapText="1"/>
    </xf>
    <xf numFmtId="0" fontId="0" fillId="0" borderId="13" pivotButton="0" quotePrefix="0" xfId="0"/>
    <xf numFmtId="2" fontId="14" fillId="13" borderId="15" applyAlignment="1" pivotButton="0" quotePrefix="0" xfId="0">
      <alignment horizontal="center" vertical="center" wrapText="1"/>
    </xf>
    <xf numFmtId="0" fontId="19" fillId="0" borderId="0" applyAlignment="1" pivotButton="0" quotePrefix="0" xfId="7">
      <alignment horizontal="left" vertical="center"/>
    </xf>
    <xf numFmtId="0" fontId="19" fillId="0" borderId="90" applyAlignment="1" pivotButton="0" quotePrefix="0" xfId="7">
      <alignment horizontal="left" vertical="center" wrapText="1"/>
    </xf>
    <xf numFmtId="0" fontId="19" fillId="0" borderId="90" applyAlignment="1" pivotButton="0" quotePrefix="0" xfId="7">
      <alignment vertical="center" wrapText="1"/>
    </xf>
    <xf numFmtId="0" fontId="19" fillId="0" borderId="3" applyAlignment="1" pivotButton="0" quotePrefix="0" xfId="7">
      <alignment horizontal="left" vertical="center"/>
    </xf>
    <xf numFmtId="0" fontId="19" fillId="0" borderId="0" applyAlignment="1" pivotButton="0" quotePrefix="0" xfId="7">
      <alignment horizontal="left" vertical="center" wrapText="1"/>
    </xf>
    <xf numFmtId="0" fontId="19" fillId="0" borderId="2" applyAlignment="1" pivotButton="0" quotePrefix="0" xfId="7">
      <alignment vertical="center" wrapText="1"/>
    </xf>
    <xf numFmtId="0" fontId="19" fillId="0" borderId="0" applyAlignment="1" pivotButton="0" quotePrefix="0" xfId="7">
      <alignment vertical="center" wrapText="1"/>
    </xf>
    <xf numFmtId="0" fontId="19" fillId="0" borderId="3" applyAlignment="1" pivotButton="0" quotePrefix="0" xfId="7">
      <alignment horizontal="left" vertical="center" wrapText="1"/>
    </xf>
    <xf numFmtId="0" fontId="19" fillId="0" borderId="95" applyAlignment="1" pivotButton="0" quotePrefix="0" xfId="7">
      <alignment horizontal="left" vertical="center" wrapText="1"/>
    </xf>
    <xf numFmtId="0" fontId="23" fillId="20" borderId="92" applyAlignment="1" pivotButton="0" quotePrefix="0" xfId="7">
      <alignment horizontal="center" vertical="center" wrapText="1"/>
    </xf>
    <xf numFmtId="0" fontId="23" fillId="20" borderId="93" applyAlignment="1" pivotButton="0" quotePrefix="0" xfId="7">
      <alignment horizontal="center" vertical="center" wrapText="1"/>
    </xf>
    <xf numFmtId="0" fontId="24" fillId="0" borderId="92" applyAlignment="1" pivotButton="0" quotePrefix="0" xfId="7">
      <alignment horizontal="left" vertical="center" wrapText="1"/>
    </xf>
    <xf numFmtId="0" fontId="24" fillId="0" borderId="93" applyAlignment="1" pivotButton="0" quotePrefix="0" xfId="7">
      <alignment horizontal="left" vertical="center" wrapText="1"/>
    </xf>
    <xf numFmtId="0" fontId="23" fillId="20" borderId="93" applyAlignment="1" pivotButton="0" quotePrefix="0" xfId="7">
      <alignment horizontal="left" vertical="center" wrapText="1"/>
    </xf>
    <xf numFmtId="0" fontId="23" fillId="20" borderId="94" applyAlignment="1" pivotButton="0" quotePrefix="0" xfId="7">
      <alignment horizontal="center" vertical="center" wrapText="1"/>
    </xf>
    <xf numFmtId="10" fontId="26" fillId="0" borderId="93" applyAlignment="1" pivotButton="0" quotePrefix="0" xfId="7">
      <alignment horizontal="center" vertical="center" shrinkToFit="1"/>
    </xf>
    <xf numFmtId="10" fontId="26" fillId="0" borderId="94" applyAlignment="1" pivotButton="0" quotePrefix="0" xfId="7">
      <alignment horizontal="center" vertical="center" shrinkToFit="1"/>
    </xf>
    <xf numFmtId="10" fontId="19" fillId="0" borderId="93" applyAlignment="1" pivotButton="0" quotePrefix="0" xfId="7">
      <alignment horizontal="center" vertical="center" shrinkToFit="1"/>
    </xf>
    <xf numFmtId="10" fontId="19" fillId="0" borderId="94" applyAlignment="1" pivotButton="0" quotePrefix="0" xfId="7">
      <alignment horizontal="center" vertical="center" shrinkToFit="1"/>
    </xf>
    <xf numFmtId="0" fontId="23" fillId="0" borderId="92" applyAlignment="1" pivotButton="0" quotePrefix="0" xfId="7">
      <alignment horizontal="left" vertical="center" wrapText="1"/>
    </xf>
    <xf numFmtId="0" fontId="23" fillId="20" borderId="92" applyAlignment="1" pivotButton="0" quotePrefix="0" xfId="7">
      <alignment horizontal="left" vertical="center" wrapText="1"/>
    </xf>
    <xf numFmtId="0" fontId="23" fillId="0" borderId="93" applyAlignment="1" pivotButton="0" quotePrefix="0" xfId="7">
      <alignment horizontal="left" vertical="center" wrapText="1"/>
    </xf>
    <xf numFmtId="164" fontId="19" fillId="0" borderId="94" applyAlignment="1" pivotButton="0" quotePrefix="0" xfId="7">
      <alignment horizontal="center" vertical="center" shrinkToFit="1"/>
    </xf>
    <xf numFmtId="0" fontId="23" fillId="0" borderId="4" applyAlignment="1" pivotButton="0" quotePrefix="0" xfId="7">
      <alignment vertical="center" wrapText="1"/>
    </xf>
    <xf numFmtId="0" fontId="23" fillId="0" borderId="5" applyAlignment="1" pivotButton="0" quotePrefix="0" xfId="7">
      <alignment vertical="center" wrapText="1"/>
    </xf>
    <xf numFmtId="0" fontId="23" fillId="0" borderId="6" applyAlignment="1" pivotButton="0" quotePrefix="0" xfId="7">
      <alignment horizontal="right" vertical="center" wrapText="1" indent="1"/>
    </xf>
    <xf numFmtId="0" fontId="19" fillId="0" borderId="0" applyAlignment="1" pivotButton="0" quotePrefix="0" xfId="7">
      <alignment horizontal="left" vertical="top"/>
    </xf>
    <xf numFmtId="0" fontId="25" fillId="22" borderId="93" applyAlignment="1" pivotButton="0" quotePrefix="0" xfId="7">
      <alignment horizontal="left" vertical="center" wrapText="1"/>
    </xf>
    <xf numFmtId="0" fontId="23" fillId="22" borderId="93" applyAlignment="1" pivotButton="0" quotePrefix="0" xfId="7">
      <alignment horizontal="center" vertical="center" wrapText="1"/>
    </xf>
    <xf numFmtId="0" fontId="24" fillId="0" borderId="93" applyAlignment="1" pivotButton="0" quotePrefix="0" xfId="7">
      <alignment horizontal="center" vertical="center" wrapText="1"/>
    </xf>
    <xf numFmtId="0" fontId="21" fillId="0" borderId="93" applyAlignment="1" pivotButton="0" quotePrefix="0" xfId="7">
      <alignment horizontal="left" vertical="center" wrapText="1"/>
    </xf>
    <xf numFmtId="0" fontId="23" fillId="0" borderId="0" applyAlignment="1" pivotButton="0" quotePrefix="0" xfId="7">
      <alignment vertical="center" wrapText="1"/>
    </xf>
    <xf numFmtId="10" fontId="26" fillId="0" borderId="93" applyAlignment="1" pivotButton="0" quotePrefix="0" xfId="7">
      <alignment horizontal="center" vertical="center" shrinkToFit="1"/>
    </xf>
    <xf numFmtId="0" fontId="0" fillId="0" borderId="88" pivotButton="0" quotePrefix="0" xfId="0"/>
    <xf numFmtId="0" fontId="0" fillId="0" borderId="89" pivotButton="0" quotePrefix="0" xfId="0"/>
    <xf numFmtId="0" fontId="24" fillId="0" borderId="93" applyAlignment="1" pivotButton="0" quotePrefix="0" xfId="7">
      <alignment horizontal="center" vertical="center" wrapText="1"/>
    </xf>
    <xf numFmtId="0" fontId="24" fillId="0" borderId="93" applyAlignment="1" pivotButton="0" quotePrefix="0" xfId="7">
      <alignment horizontal="left" vertical="center" wrapText="1"/>
    </xf>
    <xf numFmtId="10" fontId="19" fillId="0" borderId="93" applyAlignment="1" pivotButton="0" quotePrefix="0" xfId="7">
      <alignment horizontal="center" vertical="center" shrinkToFit="1"/>
    </xf>
    <xf numFmtId="0" fontId="19" fillId="0" borderId="93" applyAlignment="1" pivotButton="0" quotePrefix="0" xfId="7">
      <alignment horizontal="left" vertical="center" wrapText="1"/>
    </xf>
    <xf numFmtId="0" fontId="23" fillId="20" borderId="93" applyAlignment="1" pivotButton="0" quotePrefix="0" xfId="7">
      <alignment horizontal="center" vertical="center" wrapText="1"/>
    </xf>
    <xf numFmtId="0" fontId="23" fillId="21" borderId="93" applyAlignment="1" pivotButton="0" quotePrefix="0" xfId="7">
      <alignment horizontal="center" vertical="center" wrapText="1"/>
    </xf>
    <xf numFmtId="0" fontId="22" fillId="19" borderId="93" applyAlignment="1" pivotButton="0" quotePrefix="0" xfId="7">
      <alignment horizontal="center" vertical="center" wrapText="1"/>
    </xf>
    <xf numFmtId="0" fontId="19" fillId="0" borderId="93" applyAlignment="1" pivotButton="0" quotePrefix="0" xfId="7">
      <alignment horizontal="center" vertical="center" wrapText="1"/>
    </xf>
    <xf numFmtId="0" fontId="20" fillId="19" borderId="93" applyAlignment="1" pivotButton="0" quotePrefix="0" xfId="7">
      <alignment horizontal="center" vertical="center" wrapText="1"/>
    </xf>
    <xf numFmtId="0" fontId="23" fillId="22" borderId="93" applyAlignment="1" pivotButton="0" quotePrefix="0" xfId="7">
      <alignment horizontal="center" vertical="center" wrapText="1"/>
    </xf>
    <xf numFmtId="0" fontId="2" fillId="3" borderId="79" applyAlignment="1" pivotButton="0" quotePrefix="0" xfId="0">
      <alignment horizontal="center"/>
    </xf>
    <xf numFmtId="0" fontId="0" fillId="0" borderId="22" pivotButton="0" quotePrefix="0" xfId="0"/>
    <xf numFmtId="3" fontId="23" fillId="0" borderId="93" applyAlignment="1" pivotButton="0" quotePrefix="0" xfId="7">
      <alignment horizontal="right" vertical="center" wrapText="1"/>
    </xf>
    <xf numFmtId="0" fontId="19" fillId="0" borderId="94" applyAlignment="1" pivotButton="0" quotePrefix="0" xfId="7">
      <alignment horizontal="left" vertical="center" wrapText="1"/>
    </xf>
    <xf numFmtId="0" fontId="0" fillId="0" borderId="91" pivotButton="0" quotePrefix="0" xfId="0"/>
    <xf numFmtId="0" fontId="19" fillId="0" borderId="90" applyAlignment="1" pivotButton="0" quotePrefix="0" xfId="7">
      <alignment horizontal="left" vertical="center" wrapText="1"/>
    </xf>
    <xf numFmtId="0" fontId="0" fillId="0" borderId="90" pivotButton="0" quotePrefix="0" xfId="0"/>
    <xf numFmtId="0" fontId="19" fillId="0" borderId="87" applyAlignment="1" pivotButton="0" quotePrefix="0" xfId="7">
      <alignment horizontal="left" vertical="center" wrapText="1"/>
    </xf>
    <xf numFmtId="0" fontId="22" fillId="19" borderId="92" applyAlignment="1" pivotButton="0" quotePrefix="0" xfId="7">
      <alignment horizontal="center" vertical="center" wrapText="1"/>
    </xf>
    <xf numFmtId="0" fontId="19" fillId="0" borderId="98" applyAlignment="1" pivotButton="0" quotePrefix="0" xfId="7">
      <alignment horizontal="left" vertical="center" wrapText="1"/>
    </xf>
    <xf numFmtId="0" fontId="0" fillId="0" borderId="85" pivotButton="0" quotePrefix="0" xfId="0"/>
    <xf numFmtId="0" fontId="0" fillId="0" borderId="86" pivotButton="0" quotePrefix="0" xfId="0"/>
    <xf numFmtId="0" fontId="19" fillId="0" borderId="92" applyAlignment="1" pivotButton="0" quotePrefix="0" xfId="7">
      <alignment horizontal="left" vertical="center" wrapText="1"/>
    </xf>
    <xf numFmtId="0" fontId="19" fillId="0" borderId="99" applyAlignment="1" pivotButton="0" quotePrefix="0" xfId="7">
      <alignment horizontal="left" vertical="center" wrapText="1"/>
    </xf>
    <xf numFmtId="0" fontId="19" fillId="0" borderId="0" applyAlignment="1" pivotButton="0" quotePrefix="0" xfId="7">
      <alignment horizontal="left" vertical="center"/>
    </xf>
    <xf numFmtId="0" fontId="0" fillId="0" borderId="3" pivotButton="0" quotePrefix="0" xfId="0"/>
    <xf numFmtId="0" fontId="19" fillId="0" borderId="96" applyAlignment="1" pivotButton="0" quotePrefix="0" xfId="7">
      <alignment horizontal="left" vertical="center" wrapText="1"/>
    </xf>
    <xf numFmtId="0" fontId="0" fillId="0" borderId="95" pivotButton="0" quotePrefix="0" xfId="0"/>
    <xf numFmtId="0" fontId="20" fillId="19" borderId="92" applyAlignment="1" pivotButton="0" quotePrefix="0" xfId="7">
      <alignment horizontal="center" vertical="center" wrapText="1"/>
    </xf>
    <xf numFmtId="0" fontId="20" fillId="19" borderId="97" applyAlignment="1" pivotButton="0" quotePrefix="0" xfId="7">
      <alignment horizontal="center" vertical="center" wrapText="1"/>
    </xf>
    <xf numFmtId="0" fontId="0" fillId="0" borderId="83" pivotButton="0" quotePrefix="0" xfId="0"/>
    <xf numFmtId="0" fontId="0" fillId="0" borderId="84" pivotButton="0" quotePrefix="0" xfId="0"/>
    <xf numFmtId="0" fontId="22" fillId="19" borderId="94" applyAlignment="1" pivotButton="0" quotePrefix="0" xfId="7">
      <alignment horizontal="center" vertical="center" wrapText="1"/>
    </xf>
    <xf numFmtId="0" fontId="2" fillId="12" borderId="74" applyAlignment="1" pivotButton="0" quotePrefix="0" xfId="0">
      <alignment horizontal="center" vertical="center" wrapText="1"/>
    </xf>
    <xf numFmtId="0" fontId="0" fillId="0" borderId="12" pivotButton="0" quotePrefix="0" xfId="0"/>
    <xf numFmtId="0" fontId="0" fillId="0" borderId="14" pivotButton="0" quotePrefix="0" xfId="0"/>
    <xf numFmtId="0" fontId="2" fillId="3" borderId="81" applyAlignment="1" pivotButton="0" quotePrefix="0" xfId="0">
      <alignment horizontal="center" wrapText="1"/>
    </xf>
    <xf numFmtId="0" fontId="0" fillId="0" borderId="8" pivotButton="0" quotePrefix="0" xfId="0"/>
    <xf numFmtId="0" fontId="0" fillId="0" borderId="9" pivotButton="0" quotePrefix="0" xfId="0"/>
    <xf numFmtId="0" fontId="2" fillId="12" borderId="80" applyAlignment="1" pivotButton="0" quotePrefix="0" xfId="0">
      <alignment horizontal="center" vertical="center" wrapText="1"/>
    </xf>
    <xf numFmtId="0" fontId="0" fillId="0" borderId="16" pivotButton="0" quotePrefix="0" xfId="0"/>
    <xf numFmtId="0" fontId="0" fillId="12" borderId="12" applyAlignment="1" pivotButton="0" quotePrefix="0" xfId="0">
      <alignment horizontal="center" vertical="center" wrapText="1"/>
    </xf>
    <xf numFmtId="0" fontId="2" fillId="12" borderId="10" applyAlignment="1" pivotButton="0" quotePrefix="0" xfId="0">
      <alignment horizontal="center" vertical="center" wrapText="1"/>
    </xf>
    <xf numFmtId="0" fontId="4" fillId="2" borderId="82" applyAlignment="1" pivotButton="0" quotePrefix="0" xfId="0">
      <alignment horizontal="center" vertical="center" wrapText="1"/>
    </xf>
    <xf numFmtId="0" fontId="0" fillId="0" borderId="32" pivotButton="0" quotePrefix="0" xfId="0"/>
    <xf numFmtId="0" fontId="0" fillId="0" borderId="65" pivotButton="0" quotePrefix="0" xfId="0"/>
    <xf numFmtId="0" fontId="7" fillId="2" borderId="81" applyAlignment="1" pivotButton="0" quotePrefix="0" xfId="0">
      <alignment horizontal="center" vertical="center" wrapText="1"/>
    </xf>
    <xf numFmtId="0" fontId="4" fillId="2" borderId="31" applyAlignment="1" pivotButton="0" quotePrefix="0" xfId="0">
      <alignment horizontal="center" vertical="center" wrapText="1"/>
    </xf>
    <xf numFmtId="0" fontId="0" fillId="0" borderId="49" applyAlignment="1" pivotButton="0" quotePrefix="0" xfId="0">
      <alignment horizontal="center" vertical="center" wrapText="1"/>
    </xf>
    <xf numFmtId="0" fontId="0" fillId="0" borderId="71" pivotButton="0" quotePrefix="0" xfId="0"/>
    <xf numFmtId="0" fontId="0" fillId="0" borderId="57" pivotButton="0" quotePrefix="0" xfId="0"/>
    <xf numFmtId="0" fontId="0" fillId="0" borderId="44" applyAlignment="1" pivotButton="0" quotePrefix="0" xfId="0">
      <alignment horizontal="center" vertical="center" wrapText="1"/>
    </xf>
    <xf numFmtId="0" fontId="0" fillId="0" borderId="72" pivotButton="0" quotePrefix="0" xfId="0"/>
    <xf numFmtId="0" fontId="0" fillId="0" borderId="41" applyAlignment="1" pivotButton="0" quotePrefix="0" xfId="0">
      <alignment horizontal="center" vertical="center" wrapText="1"/>
    </xf>
    <xf numFmtId="0" fontId="0" fillId="0" borderId="70" pivotButton="0" quotePrefix="0" xfId="0"/>
    <xf numFmtId="0" fontId="0" fillId="0" borderId="53" pivotButton="0" quotePrefix="0" xfId="0"/>
    <xf numFmtId="0" fontId="0" fillId="0" borderId="26" applyAlignment="1" pivotButton="0" quotePrefix="0" xfId="0">
      <alignment horizontal="center" vertical="center"/>
    </xf>
    <xf numFmtId="0" fontId="0" fillId="0" borderId="2" pivotButton="0" quotePrefix="0" xfId="0"/>
    <xf numFmtId="0" fontId="0" fillId="0" borderId="4" pivotButton="0" quotePrefix="0" xfId="0"/>
    <xf numFmtId="0" fontId="0" fillId="0" borderId="51" applyAlignment="1" pivotButton="0" quotePrefix="0" xfId="0">
      <alignment horizontal="center" vertical="center" wrapText="1"/>
    </xf>
    <xf numFmtId="0" fontId="0" fillId="0" borderId="73" pivotButton="0" quotePrefix="0" xfId="0"/>
    <xf numFmtId="0" fontId="13" fillId="12" borderId="21" applyAlignment="1" pivotButton="0" quotePrefix="0" xfId="0">
      <alignment horizontal="center" vertical="center"/>
    </xf>
    <xf numFmtId="0" fontId="0" fillId="0" borderId="21" pivotButton="0" quotePrefix="0" xfId="0"/>
    <xf numFmtId="0" fontId="13" fillId="12" borderId="58" applyAlignment="1" pivotButton="0" quotePrefix="0" xfId="0">
      <alignment horizontal="center" vertical="center"/>
    </xf>
    <xf numFmtId="0" fontId="13" fillId="12" borderId="22" applyAlignment="1" pivotButton="0" quotePrefix="0" xfId="0">
      <alignment horizontal="center" vertical="center"/>
    </xf>
    <xf numFmtId="0" fontId="2" fillId="7" borderId="79" applyAlignment="1" pivotButton="0" quotePrefix="0" xfId="0">
      <alignment horizontal="center" vertical="center"/>
    </xf>
    <xf numFmtId="2" fontId="14" fillId="13" borderId="25" applyAlignment="1" pivotButton="0" quotePrefix="0" xfId="0">
      <alignment horizontal="center" vertical="center" wrapText="1"/>
    </xf>
    <xf numFmtId="0" fontId="0" fillId="0" borderId="13" pivotButton="0" quotePrefix="0" xfId="0"/>
    <xf numFmtId="0" fontId="13" fillId="12" borderId="62" applyAlignment="1" pivotButton="0" quotePrefix="0" xfId="0">
      <alignment horizontal="center" vertical="center"/>
    </xf>
    <xf numFmtId="0" fontId="0" fillId="0" borderId="62" pivotButton="0" quotePrefix="0" xfId="0"/>
    <xf numFmtId="0" fontId="13" fillId="12" borderId="44" applyAlignment="1" pivotButton="0" quotePrefix="0" xfId="0">
      <alignment horizontal="center" vertical="center"/>
    </xf>
    <xf numFmtId="0" fontId="0" fillId="0" borderId="60" pivotButton="0" quotePrefix="0" xfId="0"/>
    <xf numFmtId="0" fontId="0" fillId="0" borderId="61" pivotButton="0" quotePrefix="0" xfId="0"/>
    <xf numFmtId="0" fontId="2" fillId="7" borderId="7" applyAlignment="1" pivotButton="0" quotePrefix="0" xfId="0">
      <alignment horizontal="center" vertical="center"/>
    </xf>
    <xf numFmtId="2" fontId="14" fillId="13" borderId="49" applyAlignment="1" pivotButton="0" quotePrefix="0" xfId="0">
      <alignment horizontal="center" vertical="center" wrapText="1"/>
    </xf>
    <xf numFmtId="0" fontId="13" fillId="12" borderId="69" applyAlignment="1" pivotButton="0" quotePrefix="0" xfId="0">
      <alignment horizontal="center" vertical="center"/>
    </xf>
    <xf numFmtId="0" fontId="0" fillId="0" borderId="1" pivotButton="0" quotePrefix="0" xfId="0"/>
    <xf numFmtId="0" fontId="0" fillId="0" borderId="78" pivotButton="0" quotePrefix="0" xfId="0"/>
    <xf numFmtId="2" fontId="14" fillId="13" borderId="15" applyAlignment="1" pivotButton="0" quotePrefix="0" xfId="0">
      <alignment horizontal="center" vertical="center" wrapText="1"/>
    </xf>
    <xf numFmtId="0" fontId="0" fillId="0" borderId="15" pivotButton="0" quotePrefix="0" xfId="0"/>
    <xf numFmtId="0" fontId="13" fillId="12" borderId="53" applyAlignment="1" pivotButton="0" quotePrefix="0" xfId="0">
      <alignment horizontal="center" vertical="center"/>
    </xf>
    <xf numFmtId="0" fontId="0" fillId="0" borderId="5" pivotButton="0" quotePrefix="0" xfId="0"/>
    <xf numFmtId="0" fontId="0" fillId="0" borderId="6" pivotButton="0" quotePrefix="0" xfId="0"/>
    <xf numFmtId="2" fontId="14" fillId="13" borderId="9" applyAlignment="1" pivotButton="0" quotePrefix="0" xfId="0">
      <alignment horizontal="center" vertical="center" wrapText="1"/>
    </xf>
    <xf numFmtId="0" fontId="13" fillId="12" borderId="38" applyAlignment="1" pivotButton="0" quotePrefix="0" xfId="0">
      <alignment horizontal="center" vertical="center"/>
    </xf>
    <xf numFmtId="0" fontId="0" fillId="0" borderId="59" pivotButton="0" quotePrefix="0" xfId="0"/>
    <xf numFmtId="0" fontId="9" fillId="2" borderId="5" applyAlignment="1" pivotButton="0" quotePrefix="0" xfId="0">
      <alignment horizontal="center" vertical="center" wrapText="1"/>
    </xf>
    <xf numFmtId="0" fontId="9" fillId="2" borderId="15" applyAlignment="1" pivotButton="0" quotePrefix="0" xfId="0">
      <alignment horizontal="center" vertical="center"/>
    </xf>
    <xf numFmtId="0" fontId="2" fillId="3" borderId="79" applyAlignment="1" pivotButton="0" quotePrefix="0" xfId="0">
      <alignment horizontal="center" vertical="center" wrapText="1"/>
    </xf>
    <xf numFmtId="0" fontId="2" fillId="3" borderId="79" applyAlignment="1" pivotButton="0" quotePrefix="0" xfId="0">
      <alignment horizontal="center" wrapText="1"/>
    </xf>
    <xf numFmtId="0" fontId="2" fillId="3" borderId="41" applyAlignment="1" pivotButton="0" quotePrefix="0" xfId="0">
      <alignment horizontal="center"/>
    </xf>
    <xf numFmtId="0" fontId="0" fillId="0" borderId="27" pivotButton="0" quotePrefix="0" xfId="0"/>
    <xf numFmtId="0" fontId="0" fillId="0" borderId="28" pivotButton="0" quotePrefix="0" xfId="0"/>
    <xf numFmtId="0" fontId="23" fillId="0" borderId="92" applyAlignment="1" pivotButton="0" quotePrefix="0" xfId="7">
      <alignment horizontal="left" vertical="center" wrapText="1"/>
    </xf>
    <xf numFmtId="0" fontId="25" fillId="0" borderId="92" applyAlignment="1" pivotButton="0" quotePrefix="0" xfId="7">
      <alignment horizontal="left" vertical="center" wrapText="1"/>
    </xf>
    <xf numFmtId="0" fontId="25" fillId="0" borderId="93" applyAlignment="1" pivotButton="0" quotePrefix="0" xfId="7">
      <alignment horizontal="left" vertical="center" wrapText="1"/>
    </xf>
    <xf numFmtId="0" fontId="23" fillId="0" borderId="93" applyAlignment="1" pivotButton="0" quotePrefix="0" xfId="7">
      <alignment horizontal="left" vertical="center" wrapText="1"/>
    </xf>
  </cellXfs>
  <cellStyles count="8">
    <cellStyle name="Normal" xfId="0" builtinId="0"/>
    <cellStyle name="Percent" xfId="1" builtinId="5"/>
    <cellStyle name="Hyperlink" xfId="2" builtinId="8"/>
    <cellStyle name="Comma" xfId="3" builtinId="3"/>
    <cellStyle name="Normal 2" xfId="4"/>
    <cellStyle name="Normal 3" xfId="5"/>
    <cellStyle name="Normal 4" xfId="6"/>
    <cellStyle name="Normal 5" xfId="7"/>
  </cellStyles>
  <dxfs count="8"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 patternType="solid">
          <fgColor rgb="FFFFFF00"/>
          <bgColor rgb="FF000000"/>
        </patternFill>
      </fill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externalLink" Target="/xl/externalLinks/externalLink1.xml" Id="rId20" /><Relationship Type="http://schemas.openxmlformats.org/officeDocument/2006/relationships/externalLink" Target="/xl/externalLinks/externalLink2.xml" Id="rId21" /><Relationship Type="http://schemas.openxmlformats.org/officeDocument/2006/relationships/styles" Target="styles.xml" Id="rId22" /><Relationship Type="http://schemas.openxmlformats.org/officeDocument/2006/relationships/theme" Target="theme/theme1.xml" Id="rId23" /></Relationships>
</file>

<file path=xl/externalLinks/_rels/externalLink1.xml.rels><Relationships xmlns="http://schemas.openxmlformats.org/package/2006/relationships"><Relationship Type="http://schemas.microsoft.com/office/2006/relationships/xlExternalLinkPath/xlPathMissing" Target="RecoveredExternalLink1" TargetMode="External" Id="rId1" /></Relationships>
</file>

<file path=xl/externalLinks/_rels/externalLink2.xml.rels><Relationships xmlns="http://schemas.openxmlformats.org/package/2006/relationships"><Relationship Type="http://schemas.microsoft.com/office/2006/relationships/xlExternalLinkPath/xlPathMissing" Target="RecoveredExternalLink2" TargetMode="External" Id="rId1" /></Relationships>
</file>

<file path=xl/externalLinks/externalLink1.xml><?xml version="1.0" encoding="utf-8"?>
<externalLink xmlns:r="http://schemas.openxmlformats.org/officeDocument/2006/relationships" xmlns="http://schemas.openxmlformats.org/spreadsheetml/2006/main">
  <externalBook r:id="rId1">
    <sheetNames>
      <sheetName val="Home"/>
      <sheetName val="Graph Data"/>
      <sheetName val="Market Performance"/>
      <sheetName val="Summary"/>
      <sheetName val="Kotak Schemes Equity"/>
      <sheetName val="Multicap"/>
      <sheetName val="Flexicap"/>
      <sheetName val="Largecap"/>
      <sheetName val="Large &amp; Mid"/>
      <sheetName val="Midcap"/>
      <sheetName val="Smallcap"/>
      <sheetName val="Dividend Yield Fund"/>
      <sheetName val="Focused Fund"/>
      <sheetName val="Contra Value Fund"/>
      <sheetName val="Sectoral-Infrastructure"/>
      <sheetName val="Sectoral-Thematic"/>
      <sheetName val="ELSS"/>
      <sheetName val="Equity Index Fund"/>
      <sheetName val="ETFs"/>
      <sheetName val="Gold ETFs"/>
      <sheetName val="FoF - Overseas"/>
      <sheetName val="FoF - Domestic"/>
      <sheetName val="Kotak Schemes Debt"/>
      <sheetName val="Overnight"/>
      <sheetName val="Liquid"/>
      <sheetName val="Ultra Short Duration"/>
      <sheetName val="Low Duration"/>
      <sheetName val="Money Market"/>
      <sheetName val="Short Duration"/>
      <sheetName val="Medium Duration"/>
      <sheetName val="Medium to Long Duration"/>
      <sheetName val="Long Duration"/>
      <sheetName val="Dynamic Bond"/>
      <sheetName val="Corporate Bond"/>
      <sheetName val="Credit Risk"/>
      <sheetName val="BPSU"/>
      <sheetName val="Gilt"/>
      <sheetName val="Gilt Fund with 10 years"/>
      <sheetName val="Floater"/>
      <sheetName val="Debt – ETFs, Index Funds, FOF"/>
      <sheetName val="Kotak Aggressive Hybrid"/>
      <sheetName val="Kotak Conservative Hybrid"/>
      <sheetName val="Aggressive Hybrid"/>
      <sheetName val="BAF"/>
      <sheetName val="EQ Savings"/>
      <sheetName val="Arbitrage"/>
      <sheetName val="Multi Asset"/>
      <sheetName val="Conservative Hybrid"/>
      <sheetName val="Balanced Hybrid"/>
      <sheetName val="NFOs"/>
      <sheetName val="Disclaimer"/>
      <sheetName val="Page002"/>
      <sheetName val="Page001"/>
      <sheetName val="Table001 (Page 1-2)"/>
      <sheetName val="Page005"/>
      <sheetName val="Page004"/>
      <sheetName val="Page002 (2)"/>
      <sheetName val="Page001 (2)"/>
      <sheetName val="Table004 (Page 4)"/>
      <sheetName val="Table003 (Page 3)"/>
      <sheetName val="Table002 (Page 2)"/>
      <sheetName val="Table001 (Page 1)"/>
      <sheetName val="Sheet1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>
        <row r="6">
          <cell r="BA6" t="str">
            <v>Sovereign</v>
          </cell>
          <cell r="BB6" t="str">
            <v>AAA/A1+</v>
          </cell>
          <cell r="BC6" t="str">
            <v>AA+</v>
          </cell>
          <cell r="BD6" t="str">
            <v>AA/AA-</v>
          </cell>
          <cell r="BE6" t="str">
            <v>Below AA-</v>
          </cell>
          <cell r="BF6" t="str">
            <v>Cash and Fixed Deposits</v>
          </cell>
        </row>
      </sheetData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 refreshError="1"/>
      <sheetData sheetId="52" refreshError="1"/>
      <sheetData sheetId="53">
        <row r="1">
          <cell r="A1" t="str">
            <v>Column1</v>
          </cell>
        </row>
      </sheetData>
      <sheetData sheetId="54" refreshError="1"/>
      <sheetData sheetId="55" refreshError="1"/>
      <sheetData sheetId="56"/>
      <sheetData sheetId="57">
        <row r="1">
          <cell r="A1" t="str">
            <v>Column1</v>
          </cell>
        </row>
      </sheetData>
      <sheetData sheetId="58" refreshError="1"/>
      <sheetData sheetId="59">
        <row r="2">
          <cell r="C2" t="str">
            <v>Index Statistics</v>
          </cell>
        </row>
      </sheetData>
      <sheetData sheetId="60" refreshError="1"/>
      <sheetData sheetId="61">
        <row r="2">
          <cell r="C2" t="str">
            <v>Index</v>
          </cell>
        </row>
      </sheetData>
      <sheetData sheetId="62" refreshError="1"/>
    </sheetDataSet>
  </externalBook>
</externalLink>
</file>

<file path=xl/externalLinks/externalLink2.xml><?xml version="1.0" encoding="utf-8"?>
<externalLink xmlns:r="http://schemas.openxmlformats.org/officeDocument/2006/relationships" xmlns="http://schemas.openxmlformats.org/spreadsheetml/2006/main">
  <externalBook r:id="rId1">
    <sheetNames>
      <sheetName val="fund-selector"/>
      <sheetName val="fund-selector (2)"/>
      <sheetName val="fund-selector (3)"/>
      <sheetName val="fund-selector (4)"/>
    </sheetNames>
    <sheetDataSet>
      <sheetData sheetId="0">
        <row r="2">
          <cell r="A2" t="str">
            <v>360 ONE Balanced Hybrid Fund - Regular Plan</v>
          </cell>
          <cell r="B2" t="str">
            <v>--</v>
          </cell>
          <cell r="C2">
            <v>4.8</v>
          </cell>
          <cell r="D2" t="str">
            <v>6/6</v>
          </cell>
          <cell r="E2" t="str">
            <v>High</v>
          </cell>
          <cell r="F2" t="str">
            <v>HY-BH</v>
          </cell>
        </row>
        <row r="3">
          <cell r="A3" t="str">
            <v>360 ONE FlexiCap Fund - Regular Plan</v>
          </cell>
          <cell r="B3" t="str">
            <v>--</v>
          </cell>
          <cell r="C3">
            <v>0.34</v>
          </cell>
          <cell r="D3" t="str">
            <v>72/91</v>
          </cell>
          <cell r="E3" t="str">
            <v>Very High</v>
          </cell>
          <cell r="F3" t="str">
            <v>EQ-FLX</v>
          </cell>
        </row>
        <row r="4">
          <cell r="A4" t="str">
            <v>360 ONE Focused Equity Fund - Regular Plan</v>
          </cell>
          <cell r="B4">
            <v>4</v>
          </cell>
          <cell r="C4">
            <v>-0.77</v>
          </cell>
          <cell r="D4" t="str">
            <v>74/91</v>
          </cell>
          <cell r="E4" t="str">
            <v>Very High</v>
          </cell>
          <cell r="F4" t="str">
            <v>EQ-FLX</v>
          </cell>
        </row>
        <row r="5">
          <cell r="A5" t="str">
            <v>360 ONE Quant Fund - Regular Plan</v>
          </cell>
          <cell r="B5" t="str">
            <v>--</v>
          </cell>
          <cell r="C5">
            <v>2.85</v>
          </cell>
          <cell r="D5" t="str">
            <v>20/78</v>
          </cell>
          <cell r="E5" t="str">
            <v>Very High</v>
          </cell>
          <cell r="F5" t="str">
            <v>EQ-THEMATIC</v>
          </cell>
        </row>
        <row r="6">
          <cell r="A6" t="str">
            <v>Aditya Birla Sun Life Arbitrage Fund - Regular Plan</v>
          </cell>
          <cell r="B6">
            <v>3</v>
          </cell>
          <cell r="C6">
            <v>6.99</v>
          </cell>
          <cell r="D6" t="str">
            <v>5/27</v>
          </cell>
          <cell r="E6" t="str">
            <v>Low</v>
          </cell>
          <cell r="F6" t="str">
            <v>HY-AR</v>
          </cell>
        </row>
        <row r="7">
          <cell r="A7" t="str">
            <v>Aditya Birla Sun Life Asset Allocator FoF - Regular Plan</v>
          </cell>
          <cell r="B7">
            <v>3</v>
          </cell>
          <cell r="C7">
            <v>8.1199999999999992</v>
          </cell>
          <cell r="D7" t="str">
            <v>20/37</v>
          </cell>
          <cell r="E7" t="str">
            <v>Very High</v>
          </cell>
          <cell r="F7" t="str">
            <v>HY-MAA</v>
          </cell>
        </row>
        <row r="8">
          <cell r="A8" t="str">
            <v>Aditya Birla Sun Life Balanced Advantage Fund - Regular Plan</v>
          </cell>
          <cell r="B8">
            <v>4</v>
          </cell>
          <cell r="C8">
            <v>7.95</v>
          </cell>
          <cell r="D8" t="str">
            <v>8/36</v>
          </cell>
          <cell r="E8" t="str">
            <v>Very High</v>
          </cell>
          <cell r="F8" t="str">
            <v>HY-DAA</v>
          </cell>
        </row>
        <row r="9">
          <cell r="A9" t="str">
            <v>Aditya Birla Sun Life Bal Bhavishya Yojna - Regular Plan</v>
          </cell>
          <cell r="B9">
            <v>2</v>
          </cell>
          <cell r="C9">
            <v>1.83</v>
          </cell>
          <cell r="D9" t="str">
            <v>60/91</v>
          </cell>
          <cell r="E9" t="str">
            <v>Very High</v>
          </cell>
          <cell r="F9" t="str">
            <v>EQ-FLX</v>
          </cell>
        </row>
        <row r="10">
          <cell r="A10" t="str">
            <v>Aditya Birla Sun Life BSE Sensex ETF</v>
          </cell>
          <cell r="B10" t="str">
            <v>--</v>
          </cell>
          <cell r="C10">
            <v>6.25</v>
          </cell>
          <cell r="D10" t="str">
            <v>30/144</v>
          </cell>
          <cell r="E10" t="str">
            <v>Very High</v>
          </cell>
          <cell r="F10" t="str">
            <v>EQ-LC</v>
          </cell>
        </row>
        <row r="11">
          <cell r="A11" t="str">
            <v>Aditya Birla Sun Life Business Cycle Fund - Regular Plan</v>
          </cell>
          <cell r="B11" t="str">
            <v>--</v>
          </cell>
          <cell r="C11">
            <v>3.91</v>
          </cell>
          <cell r="D11" t="str">
            <v>18/78</v>
          </cell>
          <cell r="E11" t="str">
            <v>Very High</v>
          </cell>
          <cell r="F11" t="str">
            <v>EQ-THEMATIC</v>
          </cell>
        </row>
        <row r="12">
          <cell r="A12" t="str">
            <v>Aditya Birla Sun Life Conglomerate - Regular Plan</v>
          </cell>
          <cell r="B12" t="str">
            <v>--</v>
          </cell>
          <cell r="C12" t="str">
            <v>--</v>
          </cell>
          <cell r="D12" t="str">
            <v>--</v>
          </cell>
          <cell r="E12" t="str">
            <v>Very High</v>
          </cell>
          <cell r="F12" t="str">
            <v>EQ-THEMATIC</v>
          </cell>
        </row>
        <row r="13">
          <cell r="A13" t="str">
            <v>Aditya Birla Sun Life Equity Advantage Fund - Regular Plan</v>
          </cell>
          <cell r="B13">
            <v>1</v>
          </cell>
          <cell r="C13">
            <v>1.1299999999999999</v>
          </cell>
          <cell r="D13" t="str">
            <v>28/54</v>
          </cell>
          <cell r="E13" t="str">
            <v>Very High</v>
          </cell>
          <cell r="F13" t="str">
            <v>EQ-L&amp;MC</v>
          </cell>
        </row>
        <row r="14">
          <cell r="A14" t="str">
            <v>Aditya Birla Sun Life Equity Hybrid '95 Fund - Regular Plan</v>
          </cell>
          <cell r="B14">
            <v>2</v>
          </cell>
          <cell r="C14">
            <v>4.88</v>
          </cell>
          <cell r="D14" t="str">
            <v>28/44</v>
          </cell>
          <cell r="E14" t="str">
            <v>Very High</v>
          </cell>
          <cell r="F14" t="str">
            <v>HY-AH</v>
          </cell>
        </row>
        <row r="15">
          <cell r="A15" t="str">
            <v>Aditya Birla Sun Life Financial Planning FoF - Aggressive Plan - Regular Plan</v>
          </cell>
          <cell r="B15">
            <v>2</v>
          </cell>
          <cell r="C15">
            <v>6.07</v>
          </cell>
          <cell r="D15" t="str">
            <v>28/37</v>
          </cell>
          <cell r="E15" t="str">
            <v>Very High</v>
          </cell>
          <cell r="F15" t="str">
            <v>HY-MAA</v>
          </cell>
        </row>
        <row r="16">
          <cell r="A16" t="str">
            <v>Aditya Birla Sun Life Financial Planning FoF - Conservative Plan - Regular Plan</v>
          </cell>
          <cell r="B16">
            <v>3</v>
          </cell>
          <cell r="C16">
            <v>7.92</v>
          </cell>
          <cell r="D16" t="str">
            <v>21/37</v>
          </cell>
          <cell r="E16" t="str">
            <v>High</v>
          </cell>
          <cell r="F16" t="str">
            <v>HY-MAA</v>
          </cell>
        </row>
        <row r="17">
          <cell r="A17" t="str">
            <v>Aditya Birla Sun Life Financial Planning FoF - Moderate Plan - Regular Plan</v>
          </cell>
          <cell r="B17">
            <v>3</v>
          </cell>
          <cell r="C17">
            <v>7.29</v>
          </cell>
          <cell r="D17" t="str">
            <v>23/37</v>
          </cell>
          <cell r="E17" t="str">
            <v>High</v>
          </cell>
          <cell r="F17" t="str">
            <v>HY-MAA</v>
          </cell>
        </row>
        <row r="18">
          <cell r="A18" t="str">
            <v>Aditya Birla Sun Life Flexi Cap Fund - Regular Plan</v>
          </cell>
          <cell r="B18">
            <v>3</v>
          </cell>
          <cell r="C18">
            <v>7.34</v>
          </cell>
          <cell r="D18" t="str">
            <v>17/91</v>
          </cell>
          <cell r="E18" t="str">
            <v>Very High</v>
          </cell>
          <cell r="F18" t="str">
            <v>EQ-FLX</v>
          </cell>
        </row>
        <row r="19">
          <cell r="A19" t="str">
            <v>Aditya Birla Sun Life Focused Fund - Regular Plan</v>
          </cell>
          <cell r="B19">
            <v>3</v>
          </cell>
          <cell r="C19">
            <v>7.43</v>
          </cell>
          <cell r="D19" t="str">
            <v>16/91</v>
          </cell>
          <cell r="E19" t="str">
            <v>Very High</v>
          </cell>
          <cell r="F19" t="str">
            <v>EQ-FLX</v>
          </cell>
        </row>
        <row r="20">
          <cell r="A20" t="str">
            <v>Aditya Birla Sun Life Frontline Equity Fund - Regular Plan</v>
          </cell>
          <cell r="B20">
            <v>4</v>
          </cell>
          <cell r="C20">
            <v>5.71</v>
          </cell>
          <cell r="D20" t="str">
            <v>60/144</v>
          </cell>
          <cell r="E20" t="str">
            <v>Very High</v>
          </cell>
          <cell r="F20" t="str">
            <v>EQ-LC</v>
          </cell>
        </row>
        <row r="21">
          <cell r="A21" t="str">
            <v>Aditya Birla Sun Life Manufacturing Equity Fund - Regular Plan</v>
          </cell>
          <cell r="B21" t="str">
            <v>--</v>
          </cell>
          <cell r="C21">
            <v>-1.62</v>
          </cell>
          <cell r="D21" t="str">
            <v>36/78</v>
          </cell>
          <cell r="E21" t="str">
            <v>Very High</v>
          </cell>
          <cell r="F21" t="str">
            <v>EQ-THEMATIC</v>
          </cell>
        </row>
        <row r="22">
          <cell r="A22" t="str">
            <v>Aditya Birla Sun Life Mid Cap Fund - Regular Plan</v>
          </cell>
          <cell r="B22">
            <v>2</v>
          </cell>
          <cell r="C22">
            <v>2.95</v>
          </cell>
          <cell r="D22" t="str">
            <v>15/53</v>
          </cell>
          <cell r="E22" t="str">
            <v>Very High</v>
          </cell>
          <cell r="F22" t="str">
            <v>EQ-MC</v>
          </cell>
        </row>
        <row r="23">
          <cell r="A23" t="str">
            <v>Aditya Birla Sun Life Multi Asset Allocation Fund - Regular Plan</v>
          </cell>
          <cell r="B23" t="str">
            <v>--</v>
          </cell>
          <cell r="C23">
            <v>9.16</v>
          </cell>
          <cell r="D23" t="str">
            <v>13/37</v>
          </cell>
          <cell r="E23" t="str">
            <v>Very High</v>
          </cell>
          <cell r="F23" t="str">
            <v>HY-MAA</v>
          </cell>
        </row>
        <row r="24">
          <cell r="A24" t="str">
            <v>Aditya Birla Sun Life Multi-Cap Fund - Regular Plan</v>
          </cell>
          <cell r="B24">
            <v>2</v>
          </cell>
          <cell r="C24">
            <v>2.14</v>
          </cell>
          <cell r="D24" t="str">
            <v>16/25</v>
          </cell>
          <cell r="E24" t="str">
            <v>Very High</v>
          </cell>
          <cell r="F24" t="str">
            <v>EQ-MLC</v>
          </cell>
        </row>
        <row r="25">
          <cell r="A25" t="str">
            <v>Aditya Birla Sun Life Multi - Index FoF - Regular Plan</v>
          </cell>
          <cell r="B25" t="str">
            <v>--</v>
          </cell>
          <cell r="C25">
            <v>4.49</v>
          </cell>
          <cell r="D25" t="str">
            <v>32/37</v>
          </cell>
          <cell r="E25" t="str">
            <v>Very High</v>
          </cell>
          <cell r="F25" t="str">
            <v>HY-MAA</v>
          </cell>
        </row>
        <row r="26">
          <cell r="A26" t="str">
            <v>Aditya Birla Sun Life Nifty 200 Momentum 30 ETF</v>
          </cell>
          <cell r="B26" t="str">
            <v>--</v>
          </cell>
          <cell r="C26">
            <v>-12.89</v>
          </cell>
          <cell r="D26" t="str">
            <v>48/54</v>
          </cell>
          <cell r="E26" t="str">
            <v>Very High</v>
          </cell>
          <cell r="F26" t="str">
            <v>EQ-L&amp;MC</v>
          </cell>
        </row>
        <row r="27">
          <cell r="A27" t="str">
            <v>Aditya Birla Sun Life Nifty 200 Quality 30 ETF</v>
          </cell>
          <cell r="B27" t="str">
            <v>--</v>
          </cell>
          <cell r="C27">
            <v>1.23</v>
          </cell>
          <cell r="D27" t="str">
            <v>27/54</v>
          </cell>
          <cell r="E27" t="str">
            <v>Very High</v>
          </cell>
          <cell r="F27" t="str">
            <v>EQ-L&amp;MC</v>
          </cell>
        </row>
        <row r="28">
          <cell r="A28" t="str">
            <v>Aditya Birla Sun Life Nifty 50 Equal Weight Index Fund - Regular Plan</v>
          </cell>
          <cell r="B28">
            <v>4</v>
          </cell>
          <cell r="C28">
            <v>3.92</v>
          </cell>
          <cell r="D28" t="str">
            <v>89/144</v>
          </cell>
          <cell r="E28" t="str">
            <v>Very High</v>
          </cell>
          <cell r="F28" t="str">
            <v>EQ-LC</v>
          </cell>
        </row>
        <row r="29">
          <cell r="A29" t="str">
            <v>Aditya Birla Sun Life Nifty 50 ETF</v>
          </cell>
          <cell r="B29" t="str">
            <v>--</v>
          </cell>
          <cell r="C29">
            <v>6.49</v>
          </cell>
          <cell r="D29" t="str">
            <v>8/144</v>
          </cell>
          <cell r="E29" t="str">
            <v>Very High</v>
          </cell>
          <cell r="F29" t="str">
            <v>EQ-LC</v>
          </cell>
        </row>
        <row r="30">
          <cell r="A30" t="str">
            <v>Aditya Birla Sun Life Nifty 50 Index Fund - Regular Plan</v>
          </cell>
          <cell r="B30">
            <v>3</v>
          </cell>
          <cell r="C30">
            <v>6.02</v>
          </cell>
          <cell r="D30" t="str">
            <v>42/144</v>
          </cell>
          <cell r="E30" t="str">
            <v>Very High</v>
          </cell>
          <cell r="F30" t="str">
            <v>EQ-LC</v>
          </cell>
        </row>
        <row r="31">
          <cell r="A31" t="str">
            <v>Aditya Birla Sun Life Nifty India Defence Index Fund - Regular Plan</v>
          </cell>
          <cell r="B31" t="str">
            <v>--</v>
          </cell>
          <cell r="C31" t="str">
            <v>--</v>
          </cell>
          <cell r="D31" t="str">
            <v>--</v>
          </cell>
          <cell r="E31" t="str">
            <v>Very High</v>
          </cell>
          <cell r="F31" t="str">
            <v>EQ-THEMATIC</v>
          </cell>
        </row>
        <row r="32">
          <cell r="A32" t="str">
            <v>Aditya Birla Sun Life Nifty Midcap 150 Index Fund - Regular Plan</v>
          </cell>
          <cell r="B32">
            <v>3</v>
          </cell>
          <cell r="C32">
            <v>1.58</v>
          </cell>
          <cell r="D32" t="str">
            <v>31/53</v>
          </cell>
          <cell r="E32" t="str">
            <v>Very High</v>
          </cell>
          <cell r="F32" t="str">
            <v>EQ-MC</v>
          </cell>
        </row>
        <row r="33">
          <cell r="A33" t="str">
            <v>Aditya Birla Sun Life Nifty Next 50 ETF</v>
          </cell>
          <cell r="B33" t="str">
            <v>--</v>
          </cell>
          <cell r="C33">
            <v>-7.34</v>
          </cell>
          <cell r="D33" t="str">
            <v>126/144</v>
          </cell>
          <cell r="E33" t="str">
            <v>Very High</v>
          </cell>
          <cell r="F33" t="str">
            <v>EQ-LC</v>
          </cell>
        </row>
        <row r="34">
          <cell r="A34" t="str">
            <v>Aditya Birla Sun Life Nifty Next 50 Index Fund - Regular Plan</v>
          </cell>
          <cell r="B34">
            <v>1</v>
          </cell>
          <cell r="C34">
            <v>-8.44</v>
          </cell>
          <cell r="D34" t="str">
            <v>144/144</v>
          </cell>
          <cell r="E34" t="str">
            <v>Very High</v>
          </cell>
          <cell r="F34" t="str">
            <v>EQ-LC</v>
          </cell>
        </row>
        <row r="35">
          <cell r="A35" t="str">
            <v>Aditya Birla Sun Life Nifty Smallcap 50 Index Fund - Regular Plan</v>
          </cell>
          <cell r="B35">
            <v>2</v>
          </cell>
          <cell r="C35">
            <v>1.81</v>
          </cell>
          <cell r="D35" t="str">
            <v>13/44</v>
          </cell>
          <cell r="E35" t="str">
            <v>Very High</v>
          </cell>
          <cell r="F35" t="str">
            <v>EQ-SC</v>
          </cell>
        </row>
        <row r="36">
          <cell r="A36" t="str">
            <v>Aditya Birla Sun Life Quant Fund - Regular Plan</v>
          </cell>
          <cell r="B36" t="str">
            <v>--</v>
          </cell>
          <cell r="C36" t="str">
            <v>--</v>
          </cell>
          <cell r="D36" t="str">
            <v>--</v>
          </cell>
          <cell r="E36" t="str">
            <v>Very High</v>
          </cell>
          <cell r="F36" t="str">
            <v>EQ-THEMATIC</v>
          </cell>
        </row>
        <row r="37">
          <cell r="A37" t="str">
            <v>Aditya Birla Sun Life Regular Savings Fund - Regular Plan</v>
          </cell>
          <cell r="B37">
            <v>4</v>
          </cell>
          <cell r="C37">
            <v>8.7899999999999991</v>
          </cell>
          <cell r="D37" t="str">
            <v>5/28</v>
          </cell>
          <cell r="E37" t="str">
            <v>Moderately High</v>
          </cell>
          <cell r="F37" t="str">
            <v>HY-CH</v>
          </cell>
        </row>
        <row r="38">
          <cell r="A38" t="str">
            <v>Aditya Birla Sun Life Retirement Fund - The 30s Plan - Regular Plan</v>
          </cell>
          <cell r="B38">
            <v>2</v>
          </cell>
          <cell r="C38">
            <v>5.12</v>
          </cell>
          <cell r="D38" t="str">
            <v>29/91</v>
          </cell>
          <cell r="E38" t="str">
            <v>Very High</v>
          </cell>
          <cell r="F38" t="str">
            <v>EQ-FLX</v>
          </cell>
        </row>
        <row r="39">
          <cell r="A39" t="str">
            <v>Aditya Birla Sun Life Retirement Fund - The 40s Plan - Regular Plan</v>
          </cell>
          <cell r="B39">
            <v>2</v>
          </cell>
          <cell r="C39">
            <v>7.45</v>
          </cell>
          <cell r="D39" t="str">
            <v>8/44</v>
          </cell>
          <cell r="E39" t="str">
            <v>Very High</v>
          </cell>
          <cell r="F39" t="str">
            <v>HY-AH</v>
          </cell>
        </row>
        <row r="40">
          <cell r="A40" t="str">
            <v>Aditya Birla Sun Life Retirement Fund - The 50s Plan - Regular Plan</v>
          </cell>
          <cell r="B40">
            <v>2</v>
          </cell>
          <cell r="C40">
            <v>6.57</v>
          </cell>
          <cell r="D40" t="str">
            <v>17/28</v>
          </cell>
          <cell r="E40" t="str">
            <v>Moderately High</v>
          </cell>
          <cell r="F40" t="str">
            <v>HY-CH</v>
          </cell>
        </row>
        <row r="41">
          <cell r="A41" t="str">
            <v>Aditya Birla Sun Life Small Cap Fund - Regular Plan</v>
          </cell>
          <cell r="B41">
            <v>1</v>
          </cell>
          <cell r="C41">
            <v>-0.93</v>
          </cell>
          <cell r="D41" t="str">
            <v>22/44</v>
          </cell>
          <cell r="E41" t="str">
            <v>Very High</v>
          </cell>
          <cell r="F41" t="str">
            <v>EQ-SC</v>
          </cell>
        </row>
        <row r="42">
          <cell r="A42" t="str">
            <v>Aditya Birla Sun Life Special Opportunities Fund - Regular Plan</v>
          </cell>
          <cell r="B42" t="str">
            <v>--</v>
          </cell>
          <cell r="C42">
            <v>5.43</v>
          </cell>
          <cell r="D42" t="str">
            <v>12/78</v>
          </cell>
          <cell r="E42" t="str">
            <v>Very High</v>
          </cell>
          <cell r="F42" t="str">
            <v>EQ-THEMATIC</v>
          </cell>
        </row>
        <row r="43">
          <cell r="A43" t="str">
            <v>Aditya Birla Sun Life Transportation and Logistics Fund - Regular Plan</v>
          </cell>
          <cell r="B43" t="str">
            <v>--</v>
          </cell>
          <cell r="C43">
            <v>-7.4</v>
          </cell>
          <cell r="D43" t="str">
            <v>65/78</v>
          </cell>
          <cell r="E43" t="str">
            <v>Very High</v>
          </cell>
          <cell r="F43" t="str">
            <v>EQ-THEMATIC</v>
          </cell>
        </row>
        <row r="44">
          <cell r="A44" t="str">
            <v>Angel One Nifty 50 ETF</v>
          </cell>
          <cell r="B44" t="str">
            <v>--</v>
          </cell>
          <cell r="C44" t="str">
            <v>--</v>
          </cell>
          <cell r="D44" t="str">
            <v>--</v>
          </cell>
          <cell r="E44" t="str">
            <v>Very High</v>
          </cell>
          <cell r="F44" t="str">
            <v>EQ-LC</v>
          </cell>
        </row>
        <row r="45">
          <cell r="A45" t="str">
            <v>Angel One Nifty 50 Index Fund - Regular Plan</v>
          </cell>
          <cell r="B45" t="str">
            <v>--</v>
          </cell>
          <cell r="C45" t="str">
            <v>--</v>
          </cell>
          <cell r="D45" t="str">
            <v>--</v>
          </cell>
          <cell r="E45" t="str">
            <v>Very High</v>
          </cell>
          <cell r="F45" t="str">
            <v>EQ-LC</v>
          </cell>
        </row>
        <row r="46">
          <cell r="A46" t="str">
            <v>Angel One Nifty Total Market ETF</v>
          </cell>
          <cell r="B46" t="str">
            <v>--</v>
          </cell>
          <cell r="C46" t="str">
            <v>--</v>
          </cell>
          <cell r="D46" t="str">
            <v>--</v>
          </cell>
          <cell r="E46" t="str">
            <v>Very High</v>
          </cell>
          <cell r="F46" t="str">
            <v>EQ-FLX</v>
          </cell>
        </row>
        <row r="47">
          <cell r="A47" t="str">
            <v>Angel One Nifty Total Market Index Fund - Regular Plan</v>
          </cell>
          <cell r="B47" t="str">
            <v>--</v>
          </cell>
          <cell r="C47" t="str">
            <v>--</v>
          </cell>
          <cell r="D47" t="str">
            <v>--</v>
          </cell>
          <cell r="E47" t="str">
            <v>Very High</v>
          </cell>
          <cell r="F47" t="str">
            <v>EQ-FLX</v>
          </cell>
        </row>
        <row r="48">
          <cell r="A48" t="str">
            <v>Axis Aggressive Hybrid Fund - Regular Plan</v>
          </cell>
          <cell r="B48">
            <v>1</v>
          </cell>
          <cell r="C48">
            <v>6.5</v>
          </cell>
          <cell r="D48" t="str">
            <v>12/44</v>
          </cell>
          <cell r="E48" t="str">
            <v>Very High</v>
          </cell>
          <cell r="F48" t="str">
            <v>HY-AH</v>
          </cell>
        </row>
        <row r="49">
          <cell r="A49" t="str">
            <v>Axis Arbitrage Fund - Regular Plan</v>
          </cell>
          <cell r="B49">
            <v>3</v>
          </cell>
          <cell r="C49">
            <v>6.89</v>
          </cell>
          <cell r="D49" t="str">
            <v>11/27</v>
          </cell>
          <cell r="E49" t="str">
            <v>Low</v>
          </cell>
          <cell r="F49" t="str">
            <v>HY-AR</v>
          </cell>
        </row>
        <row r="50">
          <cell r="A50" t="str">
            <v>Axis Balanced Advantage Fund - Regular Plan</v>
          </cell>
          <cell r="B50">
            <v>3</v>
          </cell>
          <cell r="C50">
            <v>7.96</v>
          </cell>
          <cell r="D50" t="str">
            <v>7/36</v>
          </cell>
          <cell r="E50" t="str">
            <v>Very High</v>
          </cell>
          <cell r="F50" t="str">
            <v>HY-DAA</v>
          </cell>
        </row>
        <row r="51">
          <cell r="A51" t="str">
            <v>Axis BSE Sensex ETF</v>
          </cell>
          <cell r="B51" t="str">
            <v>--</v>
          </cell>
          <cell r="C51">
            <v>6.27</v>
          </cell>
          <cell r="D51" t="str">
            <v>27/144</v>
          </cell>
          <cell r="E51" t="str">
            <v>Very High</v>
          </cell>
          <cell r="F51" t="str">
            <v>EQ-LC</v>
          </cell>
        </row>
        <row r="52">
          <cell r="A52" t="str">
            <v>Axis BSE Sensex Index Fund - Regular Plan</v>
          </cell>
          <cell r="B52" t="str">
            <v>--</v>
          </cell>
          <cell r="C52">
            <v>5.54</v>
          </cell>
          <cell r="D52" t="str">
            <v>64/144</v>
          </cell>
          <cell r="E52" t="str">
            <v>Very High</v>
          </cell>
          <cell r="F52" t="str">
            <v>EQ-LC</v>
          </cell>
        </row>
        <row r="53">
          <cell r="A53" t="str">
            <v>Axis Business Cycles Fund - Regular Plan</v>
          </cell>
          <cell r="B53" t="str">
            <v>--</v>
          </cell>
          <cell r="C53">
            <v>2.5499999999999998</v>
          </cell>
          <cell r="D53" t="str">
            <v>24/78</v>
          </cell>
          <cell r="E53" t="str">
            <v>Very High</v>
          </cell>
          <cell r="F53" t="str">
            <v>EQ-THEMATIC</v>
          </cell>
        </row>
        <row r="54">
          <cell r="A54" t="str">
            <v>Axis Children's - Regular Plan</v>
          </cell>
          <cell r="B54">
            <v>1</v>
          </cell>
          <cell r="C54">
            <v>6.76</v>
          </cell>
          <cell r="D54" t="str">
            <v>10/44</v>
          </cell>
          <cell r="E54" t="str">
            <v>Very High</v>
          </cell>
          <cell r="F54" t="str">
            <v>HY-AH</v>
          </cell>
        </row>
        <row r="55">
          <cell r="A55" t="str">
            <v>Axis Conservative Hybrid Fund - Regular Plan</v>
          </cell>
          <cell r="B55">
            <v>2</v>
          </cell>
          <cell r="C55">
            <v>7.14</v>
          </cell>
          <cell r="D55" t="str">
            <v>10/28</v>
          </cell>
          <cell r="E55" t="str">
            <v>Moderately High</v>
          </cell>
          <cell r="F55" t="str">
            <v>HY-CH</v>
          </cell>
        </row>
        <row r="56">
          <cell r="A56" t="str">
            <v>Axis Equity ETFs FoF - Regular Plan</v>
          </cell>
          <cell r="B56">
            <v>2</v>
          </cell>
          <cell r="C56">
            <v>-5.1100000000000003</v>
          </cell>
          <cell r="D56" t="str">
            <v>83/91</v>
          </cell>
          <cell r="E56" t="str">
            <v>Very High</v>
          </cell>
          <cell r="F56" t="str">
            <v>EQ-FLX</v>
          </cell>
        </row>
        <row r="57">
          <cell r="A57" t="str">
            <v>Axis Flexi Cap Fund - Regular Plan</v>
          </cell>
          <cell r="B57">
            <v>2</v>
          </cell>
          <cell r="C57">
            <v>4.3099999999999996</v>
          </cell>
          <cell r="D57" t="str">
            <v>38/91</v>
          </cell>
          <cell r="E57" t="str">
            <v>Very High</v>
          </cell>
          <cell r="F57" t="str">
            <v>EQ-FLX</v>
          </cell>
        </row>
        <row r="58">
          <cell r="A58" t="str">
            <v>Axis Focused Fund</v>
          </cell>
          <cell r="B58">
            <v>1</v>
          </cell>
          <cell r="C58">
            <v>4.41</v>
          </cell>
          <cell r="D58" t="str">
            <v>36/91</v>
          </cell>
          <cell r="E58" t="str">
            <v>Very High</v>
          </cell>
          <cell r="F58" t="str">
            <v>EQ-FLX</v>
          </cell>
        </row>
        <row r="59">
          <cell r="A59" t="str">
            <v>Axis India Manufacturing Fund - Regular Plan</v>
          </cell>
          <cell r="B59" t="str">
            <v>--</v>
          </cell>
          <cell r="C59">
            <v>-3.34</v>
          </cell>
          <cell r="D59" t="str">
            <v>49/78</v>
          </cell>
          <cell r="E59" t="str">
            <v>Very High</v>
          </cell>
          <cell r="F59" t="str">
            <v>EQ-THEMATIC</v>
          </cell>
        </row>
        <row r="60">
          <cell r="A60" t="str">
            <v>Axis Innovation Fund - Regular Plan</v>
          </cell>
          <cell r="B60" t="str">
            <v>--</v>
          </cell>
          <cell r="C60">
            <v>3.26</v>
          </cell>
          <cell r="D60" t="str">
            <v>19/78</v>
          </cell>
          <cell r="E60" t="str">
            <v>Very High</v>
          </cell>
          <cell r="F60" t="str">
            <v>EQ-THEMATIC</v>
          </cell>
        </row>
        <row r="61">
          <cell r="A61" t="str">
            <v>Axis Large Cap Fund - Regular Plan</v>
          </cell>
          <cell r="B61">
            <v>1</v>
          </cell>
          <cell r="C61">
            <v>3.08</v>
          </cell>
          <cell r="D61" t="str">
            <v>98/144</v>
          </cell>
          <cell r="E61" t="str">
            <v>Very High</v>
          </cell>
          <cell r="F61" t="str">
            <v>EQ-LC</v>
          </cell>
        </row>
        <row r="62">
          <cell r="A62" t="str">
            <v>Axis Large &amp; Mid Cap Fund - Regular Plan</v>
          </cell>
          <cell r="B62">
            <v>3</v>
          </cell>
          <cell r="C62">
            <v>3.22</v>
          </cell>
          <cell r="D62" t="str">
            <v>15/54</v>
          </cell>
          <cell r="E62" t="str">
            <v>Very High</v>
          </cell>
          <cell r="F62" t="str">
            <v>EQ-L&amp;MC</v>
          </cell>
        </row>
        <row r="63">
          <cell r="A63" t="str">
            <v>Axis Midcap Fund - Regular Plan</v>
          </cell>
          <cell r="B63">
            <v>2</v>
          </cell>
          <cell r="C63">
            <v>2.2999999999999998</v>
          </cell>
          <cell r="D63" t="str">
            <v>24/53</v>
          </cell>
          <cell r="E63" t="str">
            <v>Very High</v>
          </cell>
          <cell r="F63" t="str">
            <v>EQ-MC</v>
          </cell>
        </row>
        <row r="64">
          <cell r="A64" t="str">
            <v>Axis Momentum Fund - Regular Plan</v>
          </cell>
          <cell r="B64" t="str">
            <v>--</v>
          </cell>
          <cell r="C64" t="str">
            <v>--</v>
          </cell>
          <cell r="D64" t="str">
            <v>--</v>
          </cell>
          <cell r="E64" t="str">
            <v>Very High</v>
          </cell>
          <cell r="F64" t="str">
            <v>EQ-THEMATIC</v>
          </cell>
        </row>
        <row r="65">
          <cell r="A65" t="str">
            <v>Axis Multi Asset Allocation Fund - Regular Plan</v>
          </cell>
          <cell r="B65">
            <v>1</v>
          </cell>
          <cell r="C65">
            <v>7.74</v>
          </cell>
          <cell r="D65" t="str">
            <v>22/37</v>
          </cell>
          <cell r="E65" t="str">
            <v>Very High</v>
          </cell>
          <cell r="F65" t="str">
            <v>HY-MAA</v>
          </cell>
        </row>
        <row r="66">
          <cell r="A66" t="str">
            <v>Axis Multicap Fund - Regular Plan</v>
          </cell>
          <cell r="B66">
            <v>4</v>
          </cell>
          <cell r="C66">
            <v>5.68</v>
          </cell>
          <cell r="D66" t="str">
            <v>5/25</v>
          </cell>
          <cell r="E66" t="str">
            <v>Very High</v>
          </cell>
          <cell r="F66" t="str">
            <v>EQ-MLC</v>
          </cell>
        </row>
        <row r="67">
          <cell r="A67" t="str">
            <v>Axis Nifty 100 Index Fund - Regular Plan</v>
          </cell>
          <cell r="B67">
            <v>2</v>
          </cell>
          <cell r="C67">
            <v>3.02</v>
          </cell>
          <cell r="D67" t="str">
            <v>99/144</v>
          </cell>
          <cell r="E67" t="str">
            <v>Very High</v>
          </cell>
          <cell r="F67" t="str">
            <v>EQ-LC</v>
          </cell>
        </row>
        <row r="68">
          <cell r="A68" t="str">
            <v>Axis Nifty 500 Index Fund - Regular Plan</v>
          </cell>
          <cell r="B68" t="str">
            <v>--</v>
          </cell>
          <cell r="C68" t="str">
            <v>--</v>
          </cell>
          <cell r="D68" t="str">
            <v>--</v>
          </cell>
          <cell r="E68" t="str">
            <v>Very High</v>
          </cell>
          <cell r="F68" t="str">
            <v>EQ-FLX</v>
          </cell>
        </row>
        <row r="69">
          <cell r="A69" t="str">
            <v>Axis Nifty500 Momentum 50 Index Fund - Regular Plan</v>
          </cell>
          <cell r="B69" t="str">
            <v>--</v>
          </cell>
          <cell r="C69" t="str">
            <v>--</v>
          </cell>
          <cell r="D69" t="str">
            <v>--</v>
          </cell>
          <cell r="E69" t="str">
            <v>Very High</v>
          </cell>
          <cell r="F69" t="str">
            <v>EQ-FLX</v>
          </cell>
        </row>
        <row r="70">
          <cell r="A70" t="str">
            <v>Axis Nifty 50 ETF</v>
          </cell>
          <cell r="B70" t="str">
            <v>--</v>
          </cell>
          <cell r="C70">
            <v>6.49</v>
          </cell>
          <cell r="D70" t="str">
            <v>12/144</v>
          </cell>
          <cell r="E70" t="str">
            <v>Very High</v>
          </cell>
          <cell r="F70" t="str">
            <v>EQ-LC</v>
          </cell>
        </row>
        <row r="71">
          <cell r="A71" t="str">
            <v>Axis Nifty 50 Index Fund - Regular Plan</v>
          </cell>
          <cell r="B71">
            <v>3</v>
          </cell>
          <cell r="C71">
            <v>6.11</v>
          </cell>
          <cell r="D71" t="str">
            <v>40/144</v>
          </cell>
          <cell r="E71" t="str">
            <v>Very High</v>
          </cell>
          <cell r="F71" t="str">
            <v>EQ-LC</v>
          </cell>
        </row>
        <row r="72">
          <cell r="A72" t="str">
            <v>Axis Nifty Midcap 50 Index Fund - Regular Plan</v>
          </cell>
          <cell r="B72">
            <v>3</v>
          </cell>
          <cell r="C72">
            <v>3.67</v>
          </cell>
          <cell r="D72" t="str">
            <v>14/53</v>
          </cell>
          <cell r="E72" t="str">
            <v>Very High</v>
          </cell>
          <cell r="F72" t="str">
            <v>EQ-MC</v>
          </cell>
        </row>
        <row r="73">
          <cell r="A73" t="str">
            <v>Axis Nifty Next 50 Index Fund - Regular Plan</v>
          </cell>
          <cell r="B73">
            <v>2</v>
          </cell>
          <cell r="C73">
            <v>-8.19</v>
          </cell>
          <cell r="D73" t="str">
            <v>139/144</v>
          </cell>
          <cell r="E73" t="str">
            <v>Very High</v>
          </cell>
          <cell r="F73" t="str">
            <v>EQ-LC</v>
          </cell>
        </row>
        <row r="74">
          <cell r="A74" t="str">
            <v>Axis Nifty Smallcap 50 Index Fund - Regular Plan</v>
          </cell>
          <cell r="B74">
            <v>3</v>
          </cell>
          <cell r="C74">
            <v>1.26</v>
          </cell>
          <cell r="D74" t="str">
            <v>15/44</v>
          </cell>
          <cell r="E74" t="str">
            <v>Very High</v>
          </cell>
          <cell r="F74" t="str">
            <v>EQ-SC</v>
          </cell>
        </row>
        <row r="75">
          <cell r="A75" t="str">
            <v>Axis Quant Fund - Regular Plan</v>
          </cell>
          <cell r="B75" t="str">
            <v>--</v>
          </cell>
          <cell r="C75">
            <v>-4.5</v>
          </cell>
          <cell r="D75" t="str">
            <v>53/78</v>
          </cell>
          <cell r="E75" t="str">
            <v>Very High</v>
          </cell>
          <cell r="F75" t="str">
            <v>EQ-THEMATIC</v>
          </cell>
        </row>
        <row r="76">
          <cell r="A76" t="str">
            <v>Axis Retirement Fund - Aggressive Plan - Regular Plan</v>
          </cell>
          <cell r="B76">
            <v>1</v>
          </cell>
          <cell r="C76">
            <v>5.77</v>
          </cell>
          <cell r="D76" t="str">
            <v>19/44</v>
          </cell>
          <cell r="E76" t="str">
            <v>Very High</v>
          </cell>
          <cell r="F76" t="str">
            <v>HY-AH</v>
          </cell>
        </row>
        <row r="77">
          <cell r="A77" t="str">
            <v>Axis Retirement Fund - Conservative Plan - Regular Plan</v>
          </cell>
          <cell r="B77">
            <v>1</v>
          </cell>
          <cell r="C77">
            <v>5.43</v>
          </cell>
          <cell r="D77" t="str">
            <v>26/28</v>
          </cell>
          <cell r="E77" t="str">
            <v>High</v>
          </cell>
          <cell r="F77" t="str">
            <v>HY-CH</v>
          </cell>
        </row>
        <row r="78">
          <cell r="A78" t="str">
            <v>Axis Retirement Fund - Dynamic Plan - Regular Plan</v>
          </cell>
          <cell r="B78">
            <v>2</v>
          </cell>
          <cell r="C78">
            <v>5.23</v>
          </cell>
          <cell r="D78" t="str">
            <v>23/36</v>
          </cell>
          <cell r="E78" t="str">
            <v>Very High</v>
          </cell>
          <cell r="F78" t="str">
            <v>HY-DAA</v>
          </cell>
        </row>
        <row r="79">
          <cell r="A79" t="str">
            <v>Axis Small Cap Fund - Regular Plan</v>
          </cell>
          <cell r="B79">
            <v>3</v>
          </cell>
          <cell r="C79">
            <v>5.09</v>
          </cell>
          <cell r="D79" t="str">
            <v>7/44</v>
          </cell>
          <cell r="E79" t="str">
            <v>Very High</v>
          </cell>
          <cell r="F79" t="str">
            <v>EQ-SC</v>
          </cell>
        </row>
        <row r="80">
          <cell r="A80" t="str">
            <v>Bajaj Finserv Arbitrage Fund - Regular Plan</v>
          </cell>
          <cell r="B80" t="str">
            <v>--</v>
          </cell>
          <cell r="C80">
            <v>6.4</v>
          </cell>
          <cell r="D80" t="str">
            <v>24/27</v>
          </cell>
          <cell r="E80" t="str">
            <v>Low</v>
          </cell>
          <cell r="F80" t="str">
            <v>HY-AR</v>
          </cell>
        </row>
        <row r="81">
          <cell r="A81" t="str">
            <v>Bajaj Finserv Balanced Advantage Fund - Regular Plan</v>
          </cell>
          <cell r="B81" t="str">
            <v>--</v>
          </cell>
          <cell r="C81">
            <v>2.36</v>
          </cell>
          <cell r="D81" t="str">
            <v>29/36</v>
          </cell>
          <cell r="E81" t="str">
            <v>Very High</v>
          </cell>
          <cell r="F81" t="str">
            <v>HY-DAA</v>
          </cell>
        </row>
        <row r="82">
          <cell r="A82" t="str">
            <v>Bajaj Finserv Flexi Cap Fund - Regular Plan</v>
          </cell>
          <cell r="B82" t="str">
            <v>--</v>
          </cell>
          <cell r="C82">
            <v>5.51</v>
          </cell>
          <cell r="D82" t="str">
            <v>24/91</v>
          </cell>
          <cell r="E82" t="str">
            <v>Very High</v>
          </cell>
          <cell r="F82" t="str">
            <v>EQ-FLX</v>
          </cell>
        </row>
        <row r="83">
          <cell r="A83" t="str">
            <v>Bajaj Finserv Large and Mid Cap Fund - Regular Plan</v>
          </cell>
          <cell r="B83" t="str">
            <v>--</v>
          </cell>
          <cell r="C83">
            <v>3.69</v>
          </cell>
          <cell r="D83" t="str">
            <v>14/54</v>
          </cell>
          <cell r="E83" t="str">
            <v>Very High</v>
          </cell>
          <cell r="F83" t="str">
            <v>EQ-L&amp;MC</v>
          </cell>
        </row>
        <row r="84">
          <cell r="A84" t="str">
            <v>Bajaj Finserv Large Cap Fund - Regular Plan</v>
          </cell>
          <cell r="B84" t="str">
            <v>--</v>
          </cell>
          <cell r="C84" t="str">
            <v>--</v>
          </cell>
          <cell r="D84" t="str">
            <v>--</v>
          </cell>
          <cell r="E84" t="str">
            <v>Very High</v>
          </cell>
          <cell r="F84" t="str">
            <v>EQ-LC</v>
          </cell>
        </row>
        <row r="85">
          <cell r="A85" t="str">
            <v>Bajaj Finserv Multi Asset Allocation Fund - Regular Plan</v>
          </cell>
          <cell r="B85" t="str">
            <v>--</v>
          </cell>
          <cell r="C85">
            <v>5.84</v>
          </cell>
          <cell r="D85" t="str">
            <v>30/37</v>
          </cell>
          <cell r="E85" t="str">
            <v>Very High</v>
          </cell>
          <cell r="F85" t="str">
            <v>HY-MAA</v>
          </cell>
        </row>
        <row r="86">
          <cell r="A86" t="str">
            <v>Bajaj Finserv Multi Cap Fund - Regular Plan</v>
          </cell>
          <cell r="B86" t="str">
            <v>--</v>
          </cell>
          <cell r="C86" t="str">
            <v>--</v>
          </cell>
          <cell r="D86" t="str">
            <v>--</v>
          </cell>
          <cell r="E86" t="str">
            <v>Very High</v>
          </cell>
          <cell r="F86" t="str">
            <v>EQ-MLC</v>
          </cell>
        </row>
        <row r="87">
          <cell r="A87" t="str">
            <v>Bajaj Finserv Nifty 50 ETF</v>
          </cell>
          <cell r="B87" t="str">
            <v>--</v>
          </cell>
          <cell r="C87">
            <v>6.47</v>
          </cell>
          <cell r="D87" t="str">
            <v>16/144</v>
          </cell>
          <cell r="E87" t="str">
            <v>Very High</v>
          </cell>
          <cell r="F87" t="str">
            <v>EQ-LC</v>
          </cell>
        </row>
        <row r="88">
          <cell r="A88" t="str">
            <v>Bajaj Finserv Nifty 50 Index Fund - Regular Plan</v>
          </cell>
          <cell r="B88" t="str">
            <v>--</v>
          </cell>
          <cell r="C88" t="str">
            <v>--</v>
          </cell>
          <cell r="D88" t="str">
            <v>--</v>
          </cell>
          <cell r="E88" t="str">
            <v>Very High</v>
          </cell>
          <cell r="F88" t="str">
            <v>EQ-LC</v>
          </cell>
        </row>
        <row r="89">
          <cell r="A89" t="str">
            <v>Bajaj Finserv Nifty Next 50 Index Fund - Regular Plan</v>
          </cell>
          <cell r="B89" t="str">
            <v>--</v>
          </cell>
          <cell r="C89" t="str">
            <v>--</v>
          </cell>
          <cell r="D89" t="str">
            <v>--</v>
          </cell>
          <cell r="E89" t="str">
            <v>Very High</v>
          </cell>
          <cell r="F89" t="str">
            <v>EQ-LC</v>
          </cell>
        </row>
        <row r="90">
          <cell r="A90" t="str">
            <v>Bajaj Finserv Small Cap Fund - Regular Plan</v>
          </cell>
          <cell r="B90" t="str">
            <v>--</v>
          </cell>
          <cell r="C90" t="str">
            <v>--</v>
          </cell>
          <cell r="D90" t="str">
            <v>--</v>
          </cell>
          <cell r="E90" t="str">
            <v>Very High</v>
          </cell>
          <cell r="F90" t="str">
            <v>EQ-SC</v>
          </cell>
        </row>
        <row r="91">
          <cell r="A91" t="str">
            <v>Bandhan Aggressive Hybrid Fund - Regular Plan</v>
          </cell>
          <cell r="B91">
            <v>3</v>
          </cell>
          <cell r="C91">
            <v>10.72</v>
          </cell>
          <cell r="D91" t="str">
            <v>2/44</v>
          </cell>
          <cell r="E91" t="str">
            <v>Very High</v>
          </cell>
          <cell r="F91" t="str">
            <v>HY-AH</v>
          </cell>
        </row>
        <row r="92">
          <cell r="A92" t="str">
            <v>Bandhan Arbitrage Fund - Regular Plan</v>
          </cell>
          <cell r="B92">
            <v>3</v>
          </cell>
          <cell r="C92">
            <v>6.93</v>
          </cell>
          <cell r="D92" t="str">
            <v>10/27</v>
          </cell>
          <cell r="E92" t="str">
            <v>Low</v>
          </cell>
          <cell r="F92" t="str">
            <v>HY-AR</v>
          </cell>
        </row>
        <row r="93">
          <cell r="A93" t="str">
            <v>Bandhan Asset Allocation Fund - Aggressive Plan - Regular Plan</v>
          </cell>
          <cell r="B93">
            <v>3</v>
          </cell>
          <cell r="C93">
            <v>5.58</v>
          </cell>
          <cell r="D93" t="str">
            <v>22/44</v>
          </cell>
          <cell r="E93" t="str">
            <v>High</v>
          </cell>
          <cell r="F93" t="str">
            <v>HY-AH</v>
          </cell>
        </row>
        <row r="94">
          <cell r="A94" t="str">
            <v>Bandhan Asset Allocation Fund - Conservative Plan - Regular Plan</v>
          </cell>
          <cell r="B94">
            <v>3</v>
          </cell>
          <cell r="C94">
            <v>7.04</v>
          </cell>
          <cell r="D94" t="str">
            <v>12/28</v>
          </cell>
          <cell r="E94" t="str">
            <v>Moderately High</v>
          </cell>
          <cell r="F94" t="str">
            <v>HY-CH</v>
          </cell>
        </row>
        <row r="95">
          <cell r="A95" t="str">
            <v>Bandhan Asset Allocation Fund - Moderate Plan - Regular Plan</v>
          </cell>
          <cell r="B95" t="str">
            <v>--</v>
          </cell>
          <cell r="C95">
            <v>6.54</v>
          </cell>
          <cell r="D95" t="str">
            <v>4/6</v>
          </cell>
          <cell r="E95" t="str">
            <v>High</v>
          </cell>
          <cell r="F95" t="str">
            <v>HY-BH</v>
          </cell>
        </row>
        <row r="96">
          <cell r="A96" t="str">
            <v>Bandhan Balanced Advantage Fund - Regular Plan</v>
          </cell>
          <cell r="B96">
            <v>2</v>
          </cell>
          <cell r="C96">
            <v>5.74</v>
          </cell>
          <cell r="D96" t="str">
            <v>19/36</v>
          </cell>
          <cell r="E96" t="str">
            <v>Moderately High</v>
          </cell>
          <cell r="F96" t="str">
            <v>HY-DAA</v>
          </cell>
        </row>
        <row r="97">
          <cell r="A97" t="str">
            <v>Bandhan BSE Sensex ETF</v>
          </cell>
          <cell r="B97" t="str">
            <v>--</v>
          </cell>
          <cell r="C97">
            <v>5.93</v>
          </cell>
          <cell r="D97" t="str">
            <v>50/144</v>
          </cell>
          <cell r="E97" t="str">
            <v>Very High</v>
          </cell>
          <cell r="F97" t="str">
            <v>EQ-LC</v>
          </cell>
        </row>
        <row r="98">
          <cell r="A98" t="str">
            <v>Bandhan Business Cycle Fund - Regular Plan</v>
          </cell>
          <cell r="B98" t="str">
            <v>--</v>
          </cell>
          <cell r="C98" t="str">
            <v>--</v>
          </cell>
          <cell r="D98" t="str">
            <v>--</v>
          </cell>
          <cell r="E98" t="str">
            <v>Very High</v>
          </cell>
          <cell r="F98" t="str">
            <v>EQ-THEMATIC</v>
          </cell>
        </row>
        <row r="99">
          <cell r="A99" t="str">
            <v>Bandhan Conservative Hybrid Fund - Regular Plan</v>
          </cell>
          <cell r="B99">
            <v>2</v>
          </cell>
          <cell r="C99">
            <v>5.82</v>
          </cell>
          <cell r="D99" t="str">
            <v>24/28</v>
          </cell>
          <cell r="E99" t="str">
            <v>Moderately High</v>
          </cell>
          <cell r="F99" t="str">
            <v>HY-CH</v>
          </cell>
        </row>
        <row r="100">
          <cell r="A100" t="str">
            <v>Bandhan Flexi Cap Fund - Regular Plan</v>
          </cell>
          <cell r="B100">
            <v>3</v>
          </cell>
          <cell r="C100">
            <v>5.18</v>
          </cell>
          <cell r="D100" t="str">
            <v>28/91</v>
          </cell>
          <cell r="E100" t="str">
            <v>Very High</v>
          </cell>
          <cell r="F100" t="str">
            <v>EQ-FLX</v>
          </cell>
        </row>
        <row r="101">
          <cell r="A101" t="str">
            <v>Bandhan Focused Fund - Regular Plan</v>
          </cell>
          <cell r="B101">
            <v>3</v>
          </cell>
          <cell r="C101">
            <v>8.43</v>
          </cell>
          <cell r="D101" t="str">
            <v>8/91</v>
          </cell>
          <cell r="E101" t="str">
            <v>Very High</v>
          </cell>
          <cell r="F101" t="str">
            <v>EQ-FLX</v>
          </cell>
        </row>
        <row r="102">
          <cell r="A102" t="str">
            <v>Bandhan Innovation Fund - Regular Plan</v>
          </cell>
          <cell r="B102" t="str">
            <v>--</v>
          </cell>
          <cell r="C102">
            <v>14.38</v>
          </cell>
          <cell r="D102" t="str">
            <v>3/78</v>
          </cell>
          <cell r="E102" t="str">
            <v>Very High</v>
          </cell>
          <cell r="F102" t="str">
            <v>EQ-THEMATIC</v>
          </cell>
        </row>
        <row r="103">
          <cell r="A103" t="str">
            <v>Bandhan Large Cap Fund - Regular Plan</v>
          </cell>
          <cell r="B103">
            <v>4</v>
          </cell>
          <cell r="C103">
            <v>4.57</v>
          </cell>
          <cell r="D103" t="str">
            <v>78/144</v>
          </cell>
          <cell r="E103" t="str">
            <v>Very High</v>
          </cell>
          <cell r="F103" t="str">
            <v>EQ-LC</v>
          </cell>
        </row>
        <row r="104">
          <cell r="A104" t="str">
            <v>Bandhan Large &amp; Mid Cap Fund - Regular Plan</v>
          </cell>
          <cell r="B104">
            <v>5</v>
          </cell>
          <cell r="C104">
            <v>5.59</v>
          </cell>
          <cell r="D104" t="str">
            <v>8/54</v>
          </cell>
          <cell r="E104" t="str">
            <v>Very High</v>
          </cell>
          <cell r="F104" t="str">
            <v>EQ-L&amp;MC</v>
          </cell>
        </row>
        <row r="105">
          <cell r="A105" t="str">
            <v>Bandhan Midcap Fund - Regular Plan</v>
          </cell>
          <cell r="B105" t="str">
            <v>--</v>
          </cell>
          <cell r="C105">
            <v>1.4</v>
          </cell>
          <cell r="D105" t="str">
            <v>33/53</v>
          </cell>
          <cell r="E105" t="str">
            <v>Very High</v>
          </cell>
          <cell r="F105" t="str">
            <v>EQ-MC</v>
          </cell>
        </row>
        <row r="106">
          <cell r="A106" t="str">
            <v>Bandhan Multi Asset Allocation Fund - Regular Plan</v>
          </cell>
          <cell r="B106" t="str">
            <v>--</v>
          </cell>
          <cell r="C106">
            <v>8.65</v>
          </cell>
          <cell r="D106" t="str">
            <v>17/37</v>
          </cell>
          <cell r="E106" t="str">
            <v>Very High</v>
          </cell>
          <cell r="F106" t="str">
            <v>HY-MAA</v>
          </cell>
        </row>
        <row r="107">
          <cell r="A107" t="str">
            <v>Bandhan Multi Cap Fund - Regular Plan</v>
          </cell>
          <cell r="B107">
            <v>3</v>
          </cell>
          <cell r="C107">
            <v>2.79</v>
          </cell>
          <cell r="D107" t="str">
            <v>12/25</v>
          </cell>
          <cell r="E107" t="str">
            <v>Very High</v>
          </cell>
          <cell r="F107" t="str">
            <v>EQ-MLC</v>
          </cell>
        </row>
        <row r="108">
          <cell r="A108" t="str">
            <v>Bandhan Nifty 100 Index Fund - Regular Plan</v>
          </cell>
          <cell r="B108">
            <v>2</v>
          </cell>
          <cell r="C108">
            <v>3.26</v>
          </cell>
          <cell r="D108" t="str">
            <v>96/144</v>
          </cell>
          <cell r="E108" t="str">
            <v>Very High</v>
          </cell>
          <cell r="F108" t="str">
            <v>EQ-LC</v>
          </cell>
        </row>
        <row r="109">
          <cell r="A109" t="str">
            <v>Bandhan Nifty100 Low Volatility 30 Index Fund - Regular Plan</v>
          </cell>
          <cell r="B109" t="str">
            <v>--</v>
          </cell>
          <cell r="C109">
            <v>4.58</v>
          </cell>
          <cell r="D109" t="str">
            <v>77/144</v>
          </cell>
          <cell r="E109" t="str">
            <v>Very High</v>
          </cell>
          <cell r="F109" t="str">
            <v>EQ-LC</v>
          </cell>
        </row>
        <row r="110">
          <cell r="A110" t="str">
            <v>Bandhan Nifty200 Momentum 30 Index Fund - Regular Plan</v>
          </cell>
          <cell r="B110" t="str">
            <v>--</v>
          </cell>
          <cell r="C110">
            <v>-13.72</v>
          </cell>
          <cell r="D110" t="str">
            <v>54/54</v>
          </cell>
          <cell r="E110" t="str">
            <v>Very High</v>
          </cell>
          <cell r="F110" t="str">
            <v>EQ-L&amp;MC</v>
          </cell>
        </row>
        <row r="111">
          <cell r="A111" t="str">
            <v>Bandhan Nifty 200 Quality 30 Index Fund - Regular Plan</v>
          </cell>
          <cell r="B111" t="str">
            <v>--</v>
          </cell>
          <cell r="C111" t="str">
            <v>--</v>
          </cell>
          <cell r="D111" t="str">
            <v>--</v>
          </cell>
          <cell r="E111" t="str">
            <v>Very High</v>
          </cell>
          <cell r="F111" t="str">
            <v>EQ-L&amp;MC</v>
          </cell>
        </row>
        <row r="112">
          <cell r="A112" t="str">
            <v>Bandhan Nifty 500 Momentum 50 Index Fund - Regular Plan</v>
          </cell>
          <cell r="B112" t="str">
            <v>--</v>
          </cell>
          <cell r="C112" t="str">
            <v>--</v>
          </cell>
          <cell r="D112" t="str">
            <v>--</v>
          </cell>
          <cell r="E112" t="str">
            <v>Very High</v>
          </cell>
          <cell r="F112" t="str">
            <v>EQ-FLX</v>
          </cell>
        </row>
        <row r="113">
          <cell r="A113" t="str">
            <v>Bandhan Nifty 50 ETF</v>
          </cell>
          <cell r="B113" t="str">
            <v>--</v>
          </cell>
          <cell r="C113">
            <v>6.45</v>
          </cell>
          <cell r="D113" t="str">
            <v>18/144</v>
          </cell>
          <cell r="E113" t="str">
            <v>Very High</v>
          </cell>
          <cell r="F113" t="str">
            <v>EQ-LC</v>
          </cell>
        </row>
        <row r="114">
          <cell r="A114" t="str">
            <v>Bandhan Nifty 50 Index Fund - Regular Plan</v>
          </cell>
          <cell r="B114">
            <v>3</v>
          </cell>
          <cell r="C114">
            <v>5.75</v>
          </cell>
          <cell r="D114" t="str">
            <v>58/144</v>
          </cell>
          <cell r="E114" t="str">
            <v>Very High</v>
          </cell>
          <cell r="F114" t="str">
            <v>EQ-LC</v>
          </cell>
        </row>
        <row r="115">
          <cell r="A115" t="str">
            <v>Bandhan Nifty Alpha 50 Index Fund - Regular Plan</v>
          </cell>
          <cell r="B115" t="str">
            <v>--</v>
          </cell>
          <cell r="C115">
            <v>-9.31</v>
          </cell>
          <cell r="D115" t="str">
            <v>88/91</v>
          </cell>
          <cell r="E115" t="str">
            <v>Very High</v>
          </cell>
          <cell r="F115" t="str">
            <v>EQ-FLX</v>
          </cell>
        </row>
        <row r="116">
          <cell r="A116" t="str">
            <v>Bandhan Nifty Alpha Low Volatility 30 Index Fund - Regular Plan</v>
          </cell>
          <cell r="B116" t="str">
            <v>--</v>
          </cell>
          <cell r="C116" t="str">
            <v>--</v>
          </cell>
          <cell r="D116" t="str">
            <v>--</v>
          </cell>
          <cell r="E116" t="str">
            <v>Very High</v>
          </cell>
          <cell r="F116" t="str">
            <v>EQ-L&amp;MC</v>
          </cell>
        </row>
        <row r="117">
          <cell r="A117" t="str">
            <v>Bandhan Nifty Midcap 150 Index Fund - Regular Plan</v>
          </cell>
          <cell r="B117" t="str">
            <v>--</v>
          </cell>
          <cell r="C117" t="str">
            <v>--</v>
          </cell>
          <cell r="D117" t="str">
            <v>--</v>
          </cell>
          <cell r="E117" t="str">
            <v>Very High</v>
          </cell>
          <cell r="F117" t="str">
            <v>EQ-MC</v>
          </cell>
        </row>
        <row r="118">
          <cell r="A118" t="str">
            <v>Bandhan Nifty Next 50 Index Fund - Regular Plan</v>
          </cell>
          <cell r="B118" t="str">
            <v>--</v>
          </cell>
          <cell r="C118" t="str">
            <v>--</v>
          </cell>
          <cell r="D118" t="str">
            <v>--</v>
          </cell>
          <cell r="E118" t="str">
            <v>Very High</v>
          </cell>
          <cell r="F118" t="str">
            <v>EQ-LC</v>
          </cell>
        </row>
        <row r="119">
          <cell r="A119" t="str">
            <v>Bandhan Nifty Smallcap 250 Index Fund - Regular Plan</v>
          </cell>
          <cell r="B119" t="str">
            <v>--</v>
          </cell>
          <cell r="C119">
            <v>-1.61</v>
          </cell>
          <cell r="D119" t="str">
            <v>34/44</v>
          </cell>
          <cell r="E119" t="str">
            <v>Very High</v>
          </cell>
          <cell r="F119" t="str">
            <v>EQ-SC</v>
          </cell>
        </row>
        <row r="120">
          <cell r="A120" t="str">
            <v>Bandhan Nifty Total Market Index Fund - Regular Plan</v>
          </cell>
          <cell r="B120" t="str">
            <v>--</v>
          </cell>
          <cell r="C120" t="str">
            <v>--</v>
          </cell>
          <cell r="D120" t="str">
            <v>--</v>
          </cell>
          <cell r="E120" t="str">
            <v>Very High</v>
          </cell>
          <cell r="F120" t="str">
            <v>EQ-FLX</v>
          </cell>
        </row>
        <row r="121">
          <cell r="A121" t="str">
            <v>Bandhan Retirement Fund - Regular Plan</v>
          </cell>
          <cell r="B121" t="str">
            <v>--</v>
          </cell>
          <cell r="C121">
            <v>3.71</v>
          </cell>
          <cell r="D121" t="str">
            <v>34/44</v>
          </cell>
          <cell r="E121" t="str">
            <v>Very High</v>
          </cell>
          <cell r="F121" t="str">
            <v>HY-AH</v>
          </cell>
        </row>
        <row r="122">
          <cell r="A122" t="str">
            <v>Bandhan Small Cap Fund - Regular Plan</v>
          </cell>
          <cell r="B122">
            <v>4</v>
          </cell>
          <cell r="C122">
            <v>12.78</v>
          </cell>
          <cell r="D122" t="str">
            <v>2/44</v>
          </cell>
          <cell r="E122" t="str">
            <v>Very High</v>
          </cell>
          <cell r="F122" t="str">
            <v>EQ-SC</v>
          </cell>
        </row>
        <row r="123">
          <cell r="A123" t="str">
            <v>Bandhan Transportation and Logistics Fund - Regular Plan</v>
          </cell>
          <cell r="B123" t="str">
            <v>--</v>
          </cell>
          <cell r="C123">
            <v>-6.88</v>
          </cell>
          <cell r="D123" t="str">
            <v>62/78</v>
          </cell>
          <cell r="E123" t="str">
            <v>Very High</v>
          </cell>
          <cell r="F123" t="str">
            <v>EQ-THEMATIC</v>
          </cell>
        </row>
        <row r="124">
          <cell r="A124" t="str">
            <v>Bank of India Arbitrage Fund - Regular Plan</v>
          </cell>
          <cell r="B124">
            <v>1</v>
          </cell>
          <cell r="C124">
            <v>6.53</v>
          </cell>
          <cell r="D124" t="str">
            <v>23/27</v>
          </cell>
          <cell r="E124" t="str">
            <v>Low</v>
          </cell>
          <cell r="F124" t="str">
            <v>HY-AR</v>
          </cell>
        </row>
        <row r="125">
          <cell r="A125" t="str">
            <v>Bank of India Balanced Advantage Fund - Regular Plan</v>
          </cell>
          <cell r="B125">
            <v>2</v>
          </cell>
          <cell r="C125">
            <v>-0.13</v>
          </cell>
          <cell r="D125" t="str">
            <v>32/36</v>
          </cell>
          <cell r="E125" t="str">
            <v>Very High</v>
          </cell>
          <cell r="F125" t="str">
            <v>HY-DAA</v>
          </cell>
        </row>
        <row r="126">
          <cell r="A126" t="str">
            <v>Bank of India Bluechip Fund - Regular Plan</v>
          </cell>
          <cell r="B126">
            <v>4</v>
          </cell>
          <cell r="C126">
            <v>-4.07</v>
          </cell>
          <cell r="D126" t="str">
            <v>120/144</v>
          </cell>
          <cell r="E126" t="str">
            <v>Very High</v>
          </cell>
          <cell r="F126" t="str">
            <v>EQ-LC</v>
          </cell>
        </row>
        <row r="127">
          <cell r="A127" t="str">
            <v>Bank of India Business Cycle Fund - Regular Plan</v>
          </cell>
          <cell r="B127" t="str">
            <v>--</v>
          </cell>
          <cell r="C127" t="str">
            <v>--</v>
          </cell>
          <cell r="D127" t="str">
            <v>--</v>
          </cell>
          <cell r="E127" t="str">
            <v>Very High</v>
          </cell>
          <cell r="F127" t="str">
            <v>EQ-THEMATIC</v>
          </cell>
        </row>
        <row r="128">
          <cell r="A128" t="str">
            <v>Bank of India Conservative Hybrid Fund - Regular Plan</v>
          </cell>
          <cell r="B128">
            <v>3</v>
          </cell>
          <cell r="C128">
            <v>3.54</v>
          </cell>
          <cell r="D128" t="str">
            <v>28/28</v>
          </cell>
          <cell r="E128" t="str">
            <v>Moderately High</v>
          </cell>
          <cell r="F128" t="str">
            <v>HY-CH</v>
          </cell>
        </row>
        <row r="129">
          <cell r="A129" t="str">
            <v>Bank of India Flexi Cap Fund - Regular Plan</v>
          </cell>
          <cell r="B129">
            <v>4</v>
          </cell>
          <cell r="C129">
            <v>-4.55</v>
          </cell>
          <cell r="D129" t="str">
            <v>80/91</v>
          </cell>
          <cell r="E129" t="str">
            <v>Very High</v>
          </cell>
          <cell r="F129" t="str">
            <v>EQ-FLX</v>
          </cell>
        </row>
        <row r="130">
          <cell r="A130" t="str">
            <v>Bank of India Large &amp; Mid Cap Equity Fund - Regular Plan</v>
          </cell>
          <cell r="B130">
            <v>2</v>
          </cell>
          <cell r="C130">
            <v>-0.94</v>
          </cell>
          <cell r="D130" t="str">
            <v>36/54</v>
          </cell>
          <cell r="E130" t="str">
            <v>Very High</v>
          </cell>
          <cell r="F130" t="str">
            <v>EQ-L&amp;MC</v>
          </cell>
        </row>
        <row r="131">
          <cell r="A131" t="str">
            <v>Bank of India Mid &amp; Small Cap Equity &amp; Debt Fund - Regular Plan</v>
          </cell>
          <cell r="B131">
            <v>4</v>
          </cell>
          <cell r="C131">
            <v>1.21</v>
          </cell>
          <cell r="D131" t="str">
            <v>39/44</v>
          </cell>
          <cell r="E131" t="str">
            <v>Very High</v>
          </cell>
          <cell r="F131" t="str">
            <v>HY-AH</v>
          </cell>
        </row>
        <row r="132">
          <cell r="A132" t="str">
            <v>Bank of India Multi Asset Allocation Fund - Regular Plan</v>
          </cell>
          <cell r="B132" t="str">
            <v>--</v>
          </cell>
          <cell r="C132">
            <v>4.47</v>
          </cell>
          <cell r="D132" t="str">
            <v>33/37</v>
          </cell>
          <cell r="E132" t="str">
            <v>High</v>
          </cell>
          <cell r="F132" t="str">
            <v>HY-MAA</v>
          </cell>
        </row>
        <row r="133">
          <cell r="A133" t="str">
            <v>Bank of India Multi Cap Fund - Regular Plan</v>
          </cell>
          <cell r="B133" t="str">
            <v>--</v>
          </cell>
          <cell r="C133">
            <v>1.76</v>
          </cell>
          <cell r="D133" t="str">
            <v>17/25</v>
          </cell>
          <cell r="E133" t="str">
            <v>Very High</v>
          </cell>
          <cell r="F133" t="str">
            <v>EQ-MLC</v>
          </cell>
        </row>
        <row r="134">
          <cell r="A134" t="str">
            <v>Bank of India Small Cap Fund - Regular Plan</v>
          </cell>
          <cell r="B134">
            <v>3</v>
          </cell>
          <cell r="C134">
            <v>-0.55000000000000004</v>
          </cell>
          <cell r="D134" t="str">
            <v>19/44</v>
          </cell>
          <cell r="E134" t="str">
            <v>Very High</v>
          </cell>
          <cell r="F134" t="str">
            <v>EQ-SC</v>
          </cell>
        </row>
        <row r="135">
          <cell r="A135" t="str">
            <v>Baroda BNP Paribas Aggressive Hybrid Fund - Regular Plan</v>
          </cell>
          <cell r="B135">
            <v>3</v>
          </cell>
          <cell r="C135">
            <v>3.99</v>
          </cell>
          <cell r="D135" t="str">
            <v>32/44</v>
          </cell>
          <cell r="E135" t="str">
            <v>Very High</v>
          </cell>
          <cell r="F135" t="str">
            <v>HY-AH</v>
          </cell>
        </row>
        <row r="136">
          <cell r="A136" t="str">
            <v>Baroda BNP Paribas Arbitrage Fund - Regular Plan</v>
          </cell>
          <cell r="B136">
            <v>3</v>
          </cell>
          <cell r="C136">
            <v>6.65</v>
          </cell>
          <cell r="D136" t="str">
            <v>22/27</v>
          </cell>
          <cell r="E136" t="str">
            <v>Low</v>
          </cell>
          <cell r="F136" t="str">
            <v>HY-AR</v>
          </cell>
        </row>
        <row r="137">
          <cell r="A137" t="str">
            <v>Baroda BNP Paribas Balanced Advantage Fund - Regular Plan</v>
          </cell>
          <cell r="B137">
            <v>4</v>
          </cell>
          <cell r="C137">
            <v>6.78</v>
          </cell>
          <cell r="D137" t="str">
            <v>12/36</v>
          </cell>
          <cell r="E137" t="str">
            <v>Very High</v>
          </cell>
          <cell r="F137" t="str">
            <v>HY-DAA</v>
          </cell>
        </row>
        <row r="138">
          <cell r="A138" t="str">
            <v>Baroda BNP Paribas Business Cycle Fund - Regular Plan</v>
          </cell>
          <cell r="B138" t="str">
            <v>--</v>
          </cell>
          <cell r="C138">
            <v>-1.56</v>
          </cell>
          <cell r="D138" t="str">
            <v>35/78</v>
          </cell>
          <cell r="E138" t="str">
            <v>Very High</v>
          </cell>
          <cell r="F138" t="str">
            <v>EQ-THEMATIC</v>
          </cell>
        </row>
        <row r="139">
          <cell r="A139" t="str">
            <v>Baroda BNP Paribas Children's Fund - Regular Plan</v>
          </cell>
          <cell r="B139" t="str">
            <v>--</v>
          </cell>
          <cell r="C139" t="str">
            <v>--</v>
          </cell>
          <cell r="D139" t="str">
            <v>--</v>
          </cell>
          <cell r="E139" t="str">
            <v>Very High</v>
          </cell>
          <cell r="F139" t="str">
            <v>EQ-FLX</v>
          </cell>
        </row>
        <row r="140">
          <cell r="A140" t="str">
            <v>Baroda BNP Paribas Conservative Hybrid Fund - Regular Plan</v>
          </cell>
          <cell r="B140">
            <v>3</v>
          </cell>
          <cell r="C140">
            <v>6.33</v>
          </cell>
          <cell r="D140" t="str">
            <v>19/28</v>
          </cell>
          <cell r="E140" t="str">
            <v>Moderately High</v>
          </cell>
          <cell r="F140" t="str">
            <v>HY-CH</v>
          </cell>
        </row>
        <row r="141">
          <cell r="A141" t="str">
            <v>Baroda BNP Paribas Flexi Cap Fund - Regular Plan</v>
          </cell>
          <cell r="B141" t="str">
            <v>--</v>
          </cell>
          <cell r="C141">
            <v>1.39</v>
          </cell>
          <cell r="D141" t="str">
            <v>64/91</v>
          </cell>
          <cell r="E141" t="str">
            <v>Very High</v>
          </cell>
          <cell r="F141" t="str">
            <v>EQ-FLX</v>
          </cell>
        </row>
        <row r="142">
          <cell r="A142" t="str">
            <v>Baroda BNP Paribas Focused Fund - Regular Plan</v>
          </cell>
          <cell r="B142">
            <v>2</v>
          </cell>
          <cell r="C142">
            <v>-4.72</v>
          </cell>
          <cell r="D142" t="str">
            <v>82/91</v>
          </cell>
          <cell r="E142" t="str">
            <v>Very High</v>
          </cell>
          <cell r="F142" t="str">
            <v>EQ-FLX</v>
          </cell>
        </row>
        <row r="143">
          <cell r="A143" t="str">
            <v>Baroda BNP Paribas Innovation Fund - Regular Plan</v>
          </cell>
          <cell r="B143" t="str">
            <v>--</v>
          </cell>
          <cell r="C143">
            <v>1.85</v>
          </cell>
          <cell r="D143" t="str">
            <v>25/78</v>
          </cell>
          <cell r="E143" t="str">
            <v>Very High</v>
          </cell>
          <cell r="F143" t="str">
            <v>EQ-THEMATIC</v>
          </cell>
        </row>
        <row r="144">
          <cell r="A144" t="str">
            <v>Baroda BNP Paribas Large Cap Fund - Regular Plan</v>
          </cell>
          <cell r="B144">
            <v>4</v>
          </cell>
          <cell r="C144">
            <v>1.52</v>
          </cell>
          <cell r="D144" t="str">
            <v>105/144</v>
          </cell>
          <cell r="E144" t="str">
            <v>Very High</v>
          </cell>
          <cell r="F144" t="str">
            <v>EQ-LC</v>
          </cell>
        </row>
        <row r="145">
          <cell r="A145" t="str">
            <v>Baroda BNP Paribas Large &amp; Mid Cap Fund - Regular Plan</v>
          </cell>
          <cell r="B145">
            <v>3</v>
          </cell>
          <cell r="C145">
            <v>1.98</v>
          </cell>
          <cell r="D145" t="str">
            <v>21/54</v>
          </cell>
          <cell r="E145" t="str">
            <v>Very High</v>
          </cell>
          <cell r="F145" t="str">
            <v>EQ-L&amp;MC</v>
          </cell>
        </row>
        <row r="146">
          <cell r="A146" t="str">
            <v>Baroda BNP Paribas Manufacturing Fund - Regular Plan</v>
          </cell>
          <cell r="B146" t="str">
            <v>--</v>
          </cell>
          <cell r="C146" t="str">
            <v>--</v>
          </cell>
          <cell r="D146" t="str">
            <v>--</v>
          </cell>
          <cell r="E146" t="str">
            <v>Very High</v>
          </cell>
          <cell r="F146" t="str">
            <v>EQ-THEMATIC</v>
          </cell>
        </row>
        <row r="147">
          <cell r="A147" t="str">
            <v>Baroda BNP Paribas Midcap Fund - Regular Plan</v>
          </cell>
          <cell r="B147">
            <v>3</v>
          </cell>
          <cell r="C147">
            <v>0.34</v>
          </cell>
          <cell r="D147" t="str">
            <v>38/53</v>
          </cell>
          <cell r="E147" t="str">
            <v>Very High</v>
          </cell>
          <cell r="F147" t="str">
            <v>EQ-MC</v>
          </cell>
        </row>
        <row r="148">
          <cell r="A148" t="str">
            <v>Baroda BNP Paribas Multi Asset Active FoF - Regular Plan</v>
          </cell>
          <cell r="B148" t="str">
            <v>--</v>
          </cell>
          <cell r="C148" t="str">
            <v>--</v>
          </cell>
          <cell r="D148" t="str">
            <v>--</v>
          </cell>
          <cell r="E148" t="str">
            <v>Moderately High</v>
          </cell>
          <cell r="F148" t="str">
            <v>HY-MAA</v>
          </cell>
        </row>
        <row r="149">
          <cell r="A149" t="str">
            <v>Baroda BNP Paribas Multi Asset Fund - Regular Plan</v>
          </cell>
          <cell r="B149" t="str">
            <v>--</v>
          </cell>
          <cell r="C149">
            <v>6.87</v>
          </cell>
          <cell r="D149" t="str">
            <v>26/37</v>
          </cell>
          <cell r="E149" t="str">
            <v>Very High</v>
          </cell>
          <cell r="F149" t="str">
            <v>HY-MAA</v>
          </cell>
        </row>
        <row r="150">
          <cell r="A150" t="str">
            <v>Baroda BNP Paribas Multi Cap Fund - Regular Plan</v>
          </cell>
          <cell r="B150">
            <v>3</v>
          </cell>
          <cell r="C150">
            <v>0.72</v>
          </cell>
          <cell r="D150" t="str">
            <v>21/25</v>
          </cell>
          <cell r="E150" t="str">
            <v>Very High</v>
          </cell>
          <cell r="F150" t="str">
            <v>EQ-MLC</v>
          </cell>
        </row>
        <row r="151">
          <cell r="A151" t="str">
            <v>Baroda BNP Paribas Nifty200 Momentum 30 Index Fund - Regular Plan</v>
          </cell>
          <cell r="B151" t="str">
            <v>--</v>
          </cell>
          <cell r="C151" t="str">
            <v>--</v>
          </cell>
          <cell r="D151" t="str">
            <v>--</v>
          </cell>
          <cell r="E151" t="str">
            <v>Very High</v>
          </cell>
          <cell r="F151" t="str">
            <v>EQ-L&amp;MC</v>
          </cell>
        </row>
        <row r="152">
          <cell r="A152" t="str">
            <v>Baroda BNP Paribas NIFTY 50 Index Fund - Regular Plan</v>
          </cell>
          <cell r="B152" t="str">
            <v>--</v>
          </cell>
          <cell r="C152">
            <v>5.75</v>
          </cell>
          <cell r="D152" t="str">
            <v>59/144</v>
          </cell>
          <cell r="E152" t="str">
            <v>Very High</v>
          </cell>
          <cell r="F152" t="str">
            <v>EQ-LC</v>
          </cell>
        </row>
        <row r="153">
          <cell r="A153" t="str">
            <v>Baroda BNP Paribas Nifty Midcap 150 Index Fund - Regular Plan</v>
          </cell>
          <cell r="B153" t="str">
            <v>--</v>
          </cell>
          <cell r="C153" t="str">
            <v>--</v>
          </cell>
          <cell r="D153" t="str">
            <v>--</v>
          </cell>
          <cell r="E153" t="str">
            <v>Very High</v>
          </cell>
          <cell r="F153" t="str">
            <v>EQ-MC</v>
          </cell>
        </row>
        <row r="154">
          <cell r="A154" t="str">
            <v>Baroda BNP Paribas Retirement Fund - Regular Plan</v>
          </cell>
          <cell r="B154" t="str">
            <v>--</v>
          </cell>
          <cell r="C154">
            <v>5.64</v>
          </cell>
          <cell r="D154" t="str">
            <v>20/44</v>
          </cell>
          <cell r="E154" t="str">
            <v>Very High</v>
          </cell>
          <cell r="F154" t="str">
            <v>HY-AH</v>
          </cell>
        </row>
        <row r="155">
          <cell r="A155" t="str">
            <v>Baroda BNP Paribas Small Cap Fund - Regular Plan</v>
          </cell>
          <cell r="B155" t="str">
            <v>--</v>
          </cell>
          <cell r="C155">
            <v>-2.4700000000000002</v>
          </cell>
          <cell r="D155" t="str">
            <v>37/44</v>
          </cell>
          <cell r="E155" t="str">
            <v>Very High</v>
          </cell>
          <cell r="F155" t="str">
            <v>EQ-SC</v>
          </cell>
        </row>
        <row r="156">
          <cell r="A156" t="str">
            <v>BHARAT 22 ETF</v>
          </cell>
          <cell r="B156" t="str">
            <v>--</v>
          </cell>
          <cell r="C156">
            <v>-1.93</v>
          </cell>
          <cell r="D156" t="str">
            <v>118/144</v>
          </cell>
          <cell r="E156" t="str">
            <v>Very High</v>
          </cell>
          <cell r="F156" t="str">
            <v>EQ-LC</v>
          </cell>
        </row>
        <row r="157">
          <cell r="A157" t="str">
            <v>Canara Robeco Balanced Advantage Fund - Regular Plan</v>
          </cell>
          <cell r="B157" t="str">
            <v>--</v>
          </cell>
          <cell r="C157" t="str">
            <v>--</v>
          </cell>
          <cell r="D157" t="str">
            <v>--</v>
          </cell>
          <cell r="E157" t="str">
            <v>Very High</v>
          </cell>
          <cell r="F157" t="str">
            <v>HY-DAA</v>
          </cell>
        </row>
        <row r="158">
          <cell r="A158" t="str">
            <v>Canara Robeco Conservative Hybrid Fund - Regular Plan</v>
          </cell>
          <cell r="B158">
            <v>3</v>
          </cell>
          <cell r="C158">
            <v>7.72</v>
          </cell>
          <cell r="D158" t="str">
            <v>9/28</v>
          </cell>
          <cell r="E158" t="str">
            <v>Moderately High</v>
          </cell>
          <cell r="F158" t="str">
            <v>HY-CH</v>
          </cell>
        </row>
        <row r="159">
          <cell r="A159" t="str">
            <v>Canara Robeco Equity Hybrid Fund - Regular Plan</v>
          </cell>
          <cell r="B159">
            <v>3</v>
          </cell>
          <cell r="C159">
            <v>6.57</v>
          </cell>
          <cell r="D159" t="str">
            <v>11/44</v>
          </cell>
          <cell r="E159" t="str">
            <v>Very High</v>
          </cell>
          <cell r="F159" t="str">
            <v>HY-AH</v>
          </cell>
        </row>
        <row r="160">
          <cell r="A160" t="str">
            <v>Canara Robeco Flexi Cap Fund - Regular Plan</v>
          </cell>
          <cell r="B160">
            <v>3</v>
          </cell>
          <cell r="C160">
            <v>5.19</v>
          </cell>
          <cell r="D160" t="str">
            <v>27/91</v>
          </cell>
          <cell r="E160" t="str">
            <v>Very High</v>
          </cell>
          <cell r="F160" t="str">
            <v>EQ-FLX</v>
          </cell>
        </row>
        <row r="161">
          <cell r="A161" t="str">
            <v>Canara Robeco Focused Fund - Regular Plan</v>
          </cell>
          <cell r="B161">
            <v>4</v>
          </cell>
          <cell r="C161">
            <v>9.57</v>
          </cell>
          <cell r="D161" t="str">
            <v>4/91</v>
          </cell>
          <cell r="E161" t="str">
            <v>Very High</v>
          </cell>
          <cell r="F161" t="str">
            <v>EQ-FLX</v>
          </cell>
        </row>
        <row r="162">
          <cell r="A162" t="str">
            <v>Canara Robeco Large and Mid Cap Fund - Regular Plan</v>
          </cell>
          <cell r="B162">
            <v>3</v>
          </cell>
          <cell r="C162">
            <v>4.25</v>
          </cell>
          <cell r="D162" t="str">
            <v>12/54</v>
          </cell>
          <cell r="E162" t="str">
            <v>Very High</v>
          </cell>
          <cell r="F162" t="str">
            <v>EQ-L&amp;MC</v>
          </cell>
        </row>
        <row r="163">
          <cell r="A163" t="str">
            <v>Canara Robeco Large Cap Fund - Regular Plan</v>
          </cell>
          <cell r="B163">
            <v>4</v>
          </cell>
          <cell r="C163">
            <v>6.94</v>
          </cell>
          <cell r="D163" t="str">
            <v>4/144</v>
          </cell>
          <cell r="E163" t="str">
            <v>Very High</v>
          </cell>
          <cell r="F163" t="str">
            <v>EQ-LC</v>
          </cell>
        </row>
        <row r="164">
          <cell r="A164" t="str">
            <v>Canara Robeco Manufacturing Fund - Regular Plan</v>
          </cell>
          <cell r="B164" t="str">
            <v>--</v>
          </cell>
          <cell r="C164">
            <v>-1.95</v>
          </cell>
          <cell r="D164" t="str">
            <v>39/78</v>
          </cell>
          <cell r="E164" t="str">
            <v>Very High</v>
          </cell>
          <cell r="F164" t="str">
            <v>EQ-THEMATIC</v>
          </cell>
        </row>
        <row r="165">
          <cell r="A165" t="str">
            <v>Canara Robeco Mid Cap Fund - Regular Plan</v>
          </cell>
          <cell r="B165" t="str">
            <v>--</v>
          </cell>
          <cell r="C165">
            <v>4.4400000000000004</v>
          </cell>
          <cell r="D165" t="str">
            <v>10/53</v>
          </cell>
          <cell r="E165" t="str">
            <v>Very High</v>
          </cell>
          <cell r="F165" t="str">
            <v>EQ-MC</v>
          </cell>
        </row>
        <row r="166">
          <cell r="A166" t="str">
            <v>Canara Robeco Multi Asset Allocation Fund - Regular Plan</v>
          </cell>
          <cell r="B166" t="str">
            <v>--</v>
          </cell>
          <cell r="C166" t="str">
            <v>--</v>
          </cell>
          <cell r="D166" t="str">
            <v>--</v>
          </cell>
          <cell r="E166" t="str">
            <v>Low to Moderate</v>
          </cell>
          <cell r="F166" t="str">
            <v>HY-MAA</v>
          </cell>
        </row>
        <row r="167">
          <cell r="A167" t="str">
            <v>Canara Robeco Multi Cap Fund - Regular Plan</v>
          </cell>
          <cell r="B167" t="str">
            <v>--</v>
          </cell>
          <cell r="C167">
            <v>4.6500000000000004</v>
          </cell>
          <cell r="D167" t="str">
            <v>8/25</v>
          </cell>
          <cell r="E167" t="str">
            <v>Very High</v>
          </cell>
          <cell r="F167" t="str">
            <v>EQ-MLC</v>
          </cell>
        </row>
        <row r="168">
          <cell r="A168" t="str">
            <v>Canara Robeco Small Cap Fund - Regular Plan</v>
          </cell>
          <cell r="B168">
            <v>3</v>
          </cell>
          <cell r="C168">
            <v>-1.17</v>
          </cell>
          <cell r="D168" t="str">
            <v>24/44</v>
          </cell>
          <cell r="E168" t="str">
            <v>Very High</v>
          </cell>
          <cell r="F168" t="str">
            <v>EQ-SC</v>
          </cell>
        </row>
        <row r="169">
          <cell r="A169" t="str">
            <v>DSP Aggressive Hybrid Fund - Regular Plan</v>
          </cell>
          <cell r="B169">
            <v>4</v>
          </cell>
          <cell r="C169">
            <v>10.119999999999999</v>
          </cell>
          <cell r="D169" t="str">
            <v>3/44</v>
          </cell>
          <cell r="E169" t="str">
            <v>Very High</v>
          </cell>
          <cell r="F169" t="str">
            <v>HY-AH</v>
          </cell>
        </row>
        <row r="170">
          <cell r="A170" t="str">
            <v>DSP Arbitrage Fund - Regular Plan</v>
          </cell>
          <cell r="B170">
            <v>3</v>
          </cell>
          <cell r="C170">
            <v>6.85</v>
          </cell>
          <cell r="D170" t="str">
            <v>12/27</v>
          </cell>
          <cell r="E170" t="str">
            <v>Low</v>
          </cell>
          <cell r="F170" t="str">
            <v>HY-AR</v>
          </cell>
        </row>
        <row r="171">
          <cell r="A171" t="str">
            <v>DSP BSE Sensex ETF</v>
          </cell>
          <cell r="B171" t="str">
            <v>--</v>
          </cell>
          <cell r="C171">
            <v>6.12</v>
          </cell>
          <cell r="D171" t="str">
            <v>36/144</v>
          </cell>
          <cell r="E171" t="str">
            <v>Very High</v>
          </cell>
          <cell r="F171" t="str">
            <v>EQ-LC</v>
          </cell>
        </row>
        <row r="172">
          <cell r="A172" t="str">
            <v>DSP BSE Sensex Next 30 ETF</v>
          </cell>
          <cell r="B172" t="str">
            <v>--</v>
          </cell>
          <cell r="C172" t="str">
            <v>--</v>
          </cell>
          <cell r="D172" t="str">
            <v>--</v>
          </cell>
          <cell r="E172" t="str">
            <v>Very High</v>
          </cell>
          <cell r="F172" t="str">
            <v>EQ-LC</v>
          </cell>
        </row>
        <row r="173">
          <cell r="A173" t="str">
            <v>DSP BSE Sensex Next 30 Index Fund - Regular Plan</v>
          </cell>
          <cell r="B173" t="str">
            <v>--</v>
          </cell>
          <cell r="C173" t="str">
            <v>--</v>
          </cell>
          <cell r="D173" t="str">
            <v>--</v>
          </cell>
          <cell r="E173" t="str">
            <v>Very High</v>
          </cell>
          <cell r="F173" t="str">
            <v>EQ-LC</v>
          </cell>
        </row>
        <row r="174">
          <cell r="A174" t="str">
            <v>DSP Business Cycle Fund - Regular Plan</v>
          </cell>
          <cell r="B174" t="str">
            <v>--</v>
          </cell>
          <cell r="C174" t="str">
            <v>--</v>
          </cell>
          <cell r="D174" t="str">
            <v>--</v>
          </cell>
          <cell r="E174" t="str">
            <v>Very High</v>
          </cell>
          <cell r="F174" t="str">
            <v>EQ-THEMATIC</v>
          </cell>
        </row>
        <row r="175">
          <cell r="A175" t="str">
            <v>DSP Dynamic Asset Allocation Fund - Regular Plan</v>
          </cell>
          <cell r="B175">
            <v>3</v>
          </cell>
          <cell r="C175">
            <v>7.4</v>
          </cell>
          <cell r="D175" t="str">
            <v>9/36</v>
          </cell>
          <cell r="E175" t="str">
            <v>Moderately High</v>
          </cell>
          <cell r="F175" t="str">
            <v>HY-DAA</v>
          </cell>
        </row>
        <row r="176">
          <cell r="A176" t="str">
            <v>DSP Flexi Cap Fund - Regular Plan</v>
          </cell>
          <cell r="B176">
            <v>3</v>
          </cell>
          <cell r="C176">
            <v>4.3899999999999997</v>
          </cell>
          <cell r="D176" t="str">
            <v>37/91</v>
          </cell>
          <cell r="E176" t="str">
            <v>Very High</v>
          </cell>
          <cell r="F176" t="str">
            <v>EQ-FLX</v>
          </cell>
        </row>
        <row r="177">
          <cell r="A177" t="str">
            <v>DSP Focused Fund - Regular Plan</v>
          </cell>
          <cell r="B177">
            <v>4</v>
          </cell>
          <cell r="C177">
            <v>5.33</v>
          </cell>
          <cell r="D177" t="str">
            <v>25/91</v>
          </cell>
          <cell r="E177" t="str">
            <v>Very High</v>
          </cell>
          <cell r="F177" t="str">
            <v>EQ-FLX</v>
          </cell>
        </row>
        <row r="178">
          <cell r="A178" t="str">
            <v>DSP Large Cap Fund - Regular Plan</v>
          </cell>
          <cell r="B178">
            <v>4</v>
          </cell>
          <cell r="C178">
            <v>9.32</v>
          </cell>
          <cell r="D178" t="str">
            <v>2/144</v>
          </cell>
          <cell r="E178" t="str">
            <v>Very High</v>
          </cell>
          <cell r="F178" t="str">
            <v>EQ-LC</v>
          </cell>
        </row>
        <row r="179">
          <cell r="A179" t="str">
            <v>DSP Large &amp; Mid Cap Fund - Regular Plan</v>
          </cell>
          <cell r="B179">
            <v>3</v>
          </cell>
          <cell r="C179">
            <v>4.09</v>
          </cell>
          <cell r="D179" t="str">
            <v>13/54</v>
          </cell>
          <cell r="E179" t="str">
            <v>Very High</v>
          </cell>
          <cell r="F179" t="str">
            <v>EQ-L&amp;MC</v>
          </cell>
        </row>
        <row r="180">
          <cell r="A180" t="str">
            <v>DSP Midcap Fund - Regular Plan</v>
          </cell>
          <cell r="B180">
            <v>1</v>
          </cell>
          <cell r="C180">
            <v>0.73</v>
          </cell>
          <cell r="D180" t="str">
            <v>35/53</v>
          </cell>
          <cell r="E180" t="str">
            <v>Very High</v>
          </cell>
          <cell r="F180" t="str">
            <v>EQ-MC</v>
          </cell>
        </row>
        <row r="181">
          <cell r="A181" t="str">
            <v>DSP Multi Asset Allocation Fund - Regular Plan</v>
          </cell>
          <cell r="B181" t="str">
            <v>--</v>
          </cell>
          <cell r="C181">
            <v>13.14</v>
          </cell>
          <cell r="D181" t="str">
            <v>--</v>
          </cell>
          <cell r="E181" t="str">
            <v>Very High</v>
          </cell>
          <cell r="F181" t="str">
            <v>HY-MAA</v>
          </cell>
        </row>
        <row r="182">
          <cell r="A182" t="str">
            <v>DSP Multicap Fund - Regular Plan</v>
          </cell>
          <cell r="B182" t="str">
            <v>--</v>
          </cell>
          <cell r="C182">
            <v>1.02</v>
          </cell>
          <cell r="D182" t="str">
            <v>18/25</v>
          </cell>
          <cell r="E182" t="str">
            <v>Very High</v>
          </cell>
          <cell r="F182" t="str">
            <v>EQ-MLC</v>
          </cell>
        </row>
        <row r="183">
          <cell r="A183" t="str">
            <v>DSP NIFTY 50 Equal Weight ETF</v>
          </cell>
          <cell r="B183" t="str">
            <v>--</v>
          </cell>
          <cell r="C183">
            <v>4.76</v>
          </cell>
          <cell r="D183" t="str">
            <v>75/144</v>
          </cell>
          <cell r="E183" t="str">
            <v>Very High</v>
          </cell>
          <cell r="F183" t="str">
            <v>EQ-LC</v>
          </cell>
        </row>
        <row r="184">
          <cell r="A184" t="str">
            <v>DSP Nifty 50 Equal Weight Index Fund - Regular Plan</v>
          </cell>
          <cell r="B184">
            <v>5</v>
          </cell>
          <cell r="C184">
            <v>4.0199999999999996</v>
          </cell>
          <cell r="D184" t="str">
            <v>87/144</v>
          </cell>
          <cell r="E184" t="str">
            <v>Very High</v>
          </cell>
          <cell r="F184" t="str">
            <v>EQ-LC</v>
          </cell>
        </row>
        <row r="185">
          <cell r="A185" t="str">
            <v>DSP Nifty 50 ETF</v>
          </cell>
          <cell r="B185" t="str">
            <v>--</v>
          </cell>
          <cell r="C185">
            <v>6.47</v>
          </cell>
          <cell r="D185" t="str">
            <v>14/144</v>
          </cell>
          <cell r="E185" t="str">
            <v>Very High</v>
          </cell>
          <cell r="F185" t="str">
            <v>EQ-LC</v>
          </cell>
        </row>
        <row r="186">
          <cell r="A186" t="str">
            <v>DSP Nifty 50 Index Fund - Regular Plan</v>
          </cell>
          <cell r="B186">
            <v>3</v>
          </cell>
          <cell r="C186">
            <v>6.11</v>
          </cell>
          <cell r="D186" t="str">
            <v>38/144</v>
          </cell>
          <cell r="E186" t="str">
            <v>Very High</v>
          </cell>
          <cell r="F186" t="str">
            <v>EQ-LC</v>
          </cell>
        </row>
        <row r="187">
          <cell r="A187" t="str">
            <v>DSP Nifty Midcap 150 Quality 50 ETF</v>
          </cell>
          <cell r="B187" t="str">
            <v>--</v>
          </cell>
          <cell r="C187">
            <v>0.16</v>
          </cell>
          <cell r="D187" t="str">
            <v>40/53</v>
          </cell>
          <cell r="E187" t="str">
            <v>Very High</v>
          </cell>
          <cell r="F187" t="str">
            <v>EQ-MC</v>
          </cell>
        </row>
        <row r="188">
          <cell r="A188" t="str">
            <v>DSP Nifty Midcap 150 Quality 50 Index Fund - Regular Plan</v>
          </cell>
          <cell r="B188" t="str">
            <v>--</v>
          </cell>
          <cell r="C188">
            <v>-0.44</v>
          </cell>
          <cell r="D188" t="str">
            <v>43/53</v>
          </cell>
          <cell r="E188" t="str">
            <v>Very High</v>
          </cell>
          <cell r="F188" t="str">
            <v>EQ-MC</v>
          </cell>
        </row>
        <row r="189">
          <cell r="A189" t="str">
            <v>DSP Nifty Next 50 Index Fund - Regular Plan</v>
          </cell>
          <cell r="B189">
            <v>3</v>
          </cell>
          <cell r="C189">
            <v>-8</v>
          </cell>
          <cell r="D189" t="str">
            <v>135/144</v>
          </cell>
          <cell r="E189" t="str">
            <v>Very High</v>
          </cell>
          <cell r="F189" t="str">
            <v>EQ-LC</v>
          </cell>
        </row>
        <row r="190">
          <cell r="A190" t="str">
            <v>DSP Nifty Smallcap250 Quality 50 Index Fund - Regular Plan</v>
          </cell>
          <cell r="B190" t="str">
            <v>--</v>
          </cell>
          <cell r="C190">
            <v>-1.0900000000000001</v>
          </cell>
          <cell r="D190" t="str">
            <v>23/44</v>
          </cell>
          <cell r="E190" t="str">
            <v>Very High</v>
          </cell>
          <cell r="F190" t="str">
            <v>EQ-SC</v>
          </cell>
        </row>
        <row r="191">
          <cell r="A191" t="str">
            <v>DSP Nifty Top 10 Equal Weight ETF</v>
          </cell>
          <cell r="B191" t="str">
            <v>--</v>
          </cell>
          <cell r="C191" t="str">
            <v>--</v>
          </cell>
          <cell r="D191" t="str">
            <v>--</v>
          </cell>
          <cell r="E191" t="str">
            <v>Very High</v>
          </cell>
          <cell r="F191" t="str">
            <v>EQ-LC</v>
          </cell>
        </row>
        <row r="192">
          <cell r="A192" t="str">
            <v>DSP Nifty Top 10 Equal Weight Index Fund - Regular Plan</v>
          </cell>
          <cell r="B192" t="str">
            <v>--</v>
          </cell>
          <cell r="C192" t="str">
            <v>--</v>
          </cell>
          <cell r="D192" t="str">
            <v>--</v>
          </cell>
          <cell r="E192" t="str">
            <v>Very High</v>
          </cell>
          <cell r="F192" t="str">
            <v>EQ-LC</v>
          </cell>
        </row>
        <row r="193">
          <cell r="A193" t="str">
            <v>DSP Quant Fund - Regular Plan</v>
          </cell>
          <cell r="B193" t="str">
            <v>--</v>
          </cell>
          <cell r="C193">
            <v>2.76</v>
          </cell>
          <cell r="D193" t="str">
            <v>22/78</v>
          </cell>
          <cell r="E193" t="str">
            <v>Very High</v>
          </cell>
          <cell r="F193" t="str">
            <v>EQ-THEMATIC</v>
          </cell>
        </row>
        <row r="194">
          <cell r="A194" t="str">
            <v>DSP Regular Savings Fund - Regular Plan</v>
          </cell>
          <cell r="B194">
            <v>3</v>
          </cell>
          <cell r="C194">
            <v>9.66</v>
          </cell>
          <cell r="D194" t="str">
            <v>2/28</v>
          </cell>
          <cell r="E194" t="str">
            <v>Moderate</v>
          </cell>
          <cell r="F194" t="str">
            <v>HY-CH</v>
          </cell>
        </row>
        <row r="195">
          <cell r="A195" t="str">
            <v>DSP Small Cap Fund - Regular Plan</v>
          </cell>
          <cell r="B195">
            <v>2</v>
          </cell>
          <cell r="C195">
            <v>6.94</v>
          </cell>
          <cell r="D195" t="str">
            <v>4/44</v>
          </cell>
          <cell r="E195" t="str">
            <v>Very High</v>
          </cell>
          <cell r="F195" t="str">
            <v>EQ-SC</v>
          </cell>
        </row>
        <row r="196">
          <cell r="A196" t="str">
            <v>Edelweiss Aggressive Hybrid Fund - Regular Plan</v>
          </cell>
          <cell r="B196">
            <v>4</v>
          </cell>
          <cell r="C196">
            <v>7.55</v>
          </cell>
          <cell r="D196" t="str">
            <v>6/44</v>
          </cell>
          <cell r="E196" t="str">
            <v>Very High</v>
          </cell>
          <cell r="F196" t="str">
            <v>HY-AH</v>
          </cell>
        </row>
        <row r="197">
          <cell r="A197" t="str">
            <v>Edelweiss Arbitrage Fund - Regular Plan</v>
          </cell>
          <cell r="B197">
            <v>4</v>
          </cell>
          <cell r="C197">
            <v>6.96</v>
          </cell>
          <cell r="D197" t="str">
            <v>7/27</v>
          </cell>
          <cell r="E197" t="str">
            <v>Low</v>
          </cell>
          <cell r="F197" t="str">
            <v>HY-AR</v>
          </cell>
        </row>
        <row r="198">
          <cell r="A198" t="str">
            <v>Edelweiss Balanced Advantage Fund - Regular Plan</v>
          </cell>
          <cell r="B198">
            <v>3</v>
          </cell>
          <cell r="C198">
            <v>3.33</v>
          </cell>
          <cell r="D198" t="str">
            <v>28/36</v>
          </cell>
          <cell r="E198" t="str">
            <v>Very High</v>
          </cell>
          <cell r="F198" t="str">
            <v>HY-DAA</v>
          </cell>
        </row>
        <row r="199">
          <cell r="A199" t="str">
            <v>Edelweiss BSE Capital Markets &amp; Insurance ETF</v>
          </cell>
          <cell r="B199" t="str">
            <v>--</v>
          </cell>
          <cell r="C199" t="str">
            <v>--</v>
          </cell>
          <cell r="D199" t="str">
            <v>--</v>
          </cell>
          <cell r="E199" t="str">
            <v>Very High</v>
          </cell>
          <cell r="F199" t="str">
            <v>EQ-THEMATIC</v>
          </cell>
        </row>
        <row r="200">
          <cell r="A200" t="str">
            <v>Edelweiss BSE Internet Economy Index Fund - Regular Plan</v>
          </cell>
          <cell r="B200" t="str">
            <v>--</v>
          </cell>
          <cell r="C200" t="str">
            <v>--</v>
          </cell>
          <cell r="D200" t="str">
            <v>--</v>
          </cell>
          <cell r="E200" t="str">
            <v>Very High</v>
          </cell>
          <cell r="F200" t="str">
            <v>EQ-THEMATIC</v>
          </cell>
        </row>
        <row r="201">
          <cell r="A201" t="str">
            <v>Edelweiss Business Cycle Fund - Regular Plan</v>
          </cell>
          <cell r="B201" t="str">
            <v>--</v>
          </cell>
          <cell r="C201" t="str">
            <v>--</v>
          </cell>
          <cell r="D201" t="str">
            <v>--</v>
          </cell>
          <cell r="E201" t="str">
            <v>Very High</v>
          </cell>
          <cell r="F201" t="str">
            <v>EQ-THEMATIC</v>
          </cell>
        </row>
        <row r="202">
          <cell r="A202" t="str">
            <v>Edelweiss Flexi Cap Fund - Regular Plan</v>
          </cell>
          <cell r="B202">
            <v>4</v>
          </cell>
          <cell r="C202">
            <v>2.6</v>
          </cell>
          <cell r="D202" t="str">
            <v>52/91</v>
          </cell>
          <cell r="E202" t="str">
            <v>Very High</v>
          </cell>
          <cell r="F202" t="str">
            <v>EQ-FLX</v>
          </cell>
        </row>
        <row r="203">
          <cell r="A203" t="str">
            <v>Edelweiss Focused Fund - Regular Plan</v>
          </cell>
          <cell r="B203" t="str">
            <v>--</v>
          </cell>
          <cell r="C203">
            <v>2.95</v>
          </cell>
          <cell r="D203" t="str">
            <v>49/91</v>
          </cell>
          <cell r="E203" t="str">
            <v>Very High</v>
          </cell>
          <cell r="F203" t="str">
            <v>EQ-FLX</v>
          </cell>
        </row>
        <row r="204">
          <cell r="A204" t="str">
            <v>Edelweiss Large Cap Fund - Regular Plan</v>
          </cell>
          <cell r="B204">
            <v>4</v>
          </cell>
          <cell r="C204">
            <v>2.94</v>
          </cell>
          <cell r="D204" t="str">
            <v>100/144</v>
          </cell>
          <cell r="E204" t="str">
            <v>Very High</v>
          </cell>
          <cell r="F204" t="str">
            <v>EQ-LC</v>
          </cell>
        </row>
        <row r="205">
          <cell r="A205" t="str">
            <v>Edelweiss Large &amp; Mid Cap Fund - Regular Plan</v>
          </cell>
          <cell r="B205">
            <v>3</v>
          </cell>
          <cell r="C205">
            <v>4.34</v>
          </cell>
          <cell r="D205" t="str">
            <v>11/54</v>
          </cell>
          <cell r="E205" t="str">
            <v>Very High</v>
          </cell>
          <cell r="F205" t="str">
            <v>EQ-L&amp;MC</v>
          </cell>
        </row>
        <row r="206">
          <cell r="A206" t="str">
            <v>Edelweiss Mid Cap Fund - Regular Plan</v>
          </cell>
          <cell r="B206">
            <v>4</v>
          </cell>
          <cell r="C206">
            <v>8.73</v>
          </cell>
          <cell r="D206" t="str">
            <v>3/53</v>
          </cell>
          <cell r="E206" t="str">
            <v>Very High</v>
          </cell>
          <cell r="F206" t="str">
            <v>EQ-MC</v>
          </cell>
        </row>
        <row r="207">
          <cell r="A207" t="str">
            <v>Edelweiss Multi Asset Allocation Fund - Regular Plan</v>
          </cell>
          <cell r="B207" t="str">
            <v>--</v>
          </cell>
          <cell r="C207">
            <v>8.61</v>
          </cell>
          <cell r="D207" t="str">
            <v>18/37</v>
          </cell>
          <cell r="E207" t="str">
            <v>Low to Moderate</v>
          </cell>
          <cell r="F207" t="str">
            <v>HY-MAA</v>
          </cell>
        </row>
        <row r="208">
          <cell r="A208" t="str">
            <v>Edelweiss Multi Cap Fund - Regular Plan</v>
          </cell>
          <cell r="B208" t="str">
            <v>--</v>
          </cell>
          <cell r="C208">
            <v>3.62</v>
          </cell>
          <cell r="D208" t="str">
            <v>10/25</v>
          </cell>
          <cell r="E208" t="str">
            <v>Very High</v>
          </cell>
          <cell r="F208" t="str">
            <v>EQ-MLC</v>
          </cell>
        </row>
        <row r="209">
          <cell r="A209" t="str">
            <v>Edelweiss Nifty 100 Quality 30 Index Fund - Regular Plan</v>
          </cell>
          <cell r="B209">
            <v>1</v>
          </cell>
          <cell r="C209">
            <v>-0.27</v>
          </cell>
          <cell r="D209" t="str">
            <v>113/144</v>
          </cell>
          <cell r="E209" t="str">
            <v>Very High</v>
          </cell>
          <cell r="F209" t="str">
            <v>EQ-LC</v>
          </cell>
        </row>
        <row r="210">
          <cell r="A210" t="str">
            <v>Edelweiss Nifty500 Multicap Momentum Quality 50 ETF</v>
          </cell>
          <cell r="B210" t="str">
            <v>--</v>
          </cell>
          <cell r="C210" t="str">
            <v>--</v>
          </cell>
          <cell r="D210" t="str">
            <v>--</v>
          </cell>
          <cell r="E210" t="str">
            <v>Very High</v>
          </cell>
          <cell r="F210" t="str">
            <v>EQ-MLC</v>
          </cell>
        </row>
        <row r="211">
          <cell r="A211" t="str">
            <v>Edelweiss Nifty500 Multicap Momentum Quality 50 Index Fund - Regular Plan</v>
          </cell>
          <cell r="B211" t="str">
            <v>--</v>
          </cell>
          <cell r="C211" t="str">
            <v>--</v>
          </cell>
          <cell r="D211" t="str">
            <v>--</v>
          </cell>
          <cell r="E211" t="str">
            <v>Very High</v>
          </cell>
          <cell r="F211" t="str">
            <v>EQ-MLC</v>
          </cell>
        </row>
        <row r="212">
          <cell r="A212" t="str">
            <v>Edelweiss Nifty 50 Index Fund - Regular Plan</v>
          </cell>
          <cell r="B212">
            <v>1</v>
          </cell>
          <cell r="C212">
            <v>5.85</v>
          </cell>
          <cell r="D212" t="str">
            <v>54/144</v>
          </cell>
          <cell r="E212" t="str">
            <v>Very High</v>
          </cell>
          <cell r="F212" t="str">
            <v>EQ-LC</v>
          </cell>
        </row>
        <row r="213">
          <cell r="A213" t="str">
            <v>Edelweiss Nifty Alpha Low Volatility 30 Index Fund - Regular Plan</v>
          </cell>
          <cell r="B213" t="str">
            <v>--</v>
          </cell>
          <cell r="C213">
            <v>-4.3</v>
          </cell>
          <cell r="D213" t="str">
            <v>40/54</v>
          </cell>
          <cell r="E213" t="str">
            <v>Very High</v>
          </cell>
          <cell r="F213" t="str">
            <v>EQ-L&amp;MC</v>
          </cell>
        </row>
        <row r="214">
          <cell r="A214" t="str">
            <v>Edelweiss NIFTY Large Mid Cap 250 Index Fund - Regular Plan</v>
          </cell>
          <cell r="B214">
            <v>3</v>
          </cell>
          <cell r="C214">
            <v>2.4900000000000002</v>
          </cell>
          <cell r="D214" t="str">
            <v>17/54</v>
          </cell>
          <cell r="E214" t="str">
            <v>Very High</v>
          </cell>
          <cell r="F214" t="str">
            <v>EQ-L&amp;MC</v>
          </cell>
        </row>
        <row r="215">
          <cell r="A215" t="str">
            <v>Edelweiss Nifty Midcap150 Momentum 50 Index Fund - Regular Plan</v>
          </cell>
          <cell r="B215" t="str">
            <v>--</v>
          </cell>
          <cell r="C215">
            <v>-3.25</v>
          </cell>
          <cell r="D215" t="str">
            <v>47/53</v>
          </cell>
          <cell r="E215" t="str">
            <v>Very High</v>
          </cell>
          <cell r="F215" t="str">
            <v>EQ-MC</v>
          </cell>
        </row>
        <row r="216">
          <cell r="A216" t="str">
            <v>Edelweiss Nifty Next 50 Index Fund - Regular Plan</v>
          </cell>
          <cell r="B216" t="str">
            <v>--</v>
          </cell>
          <cell r="C216">
            <v>-8.2200000000000006</v>
          </cell>
          <cell r="D216" t="str">
            <v>142/144</v>
          </cell>
          <cell r="E216" t="str">
            <v>Very High</v>
          </cell>
          <cell r="F216" t="str">
            <v>EQ-LC</v>
          </cell>
        </row>
        <row r="217">
          <cell r="A217" t="str">
            <v>Edelweiss Nifty Smallcap 250 Index Fund - Regular Plan</v>
          </cell>
          <cell r="B217" t="str">
            <v>--</v>
          </cell>
          <cell r="C217">
            <v>-1.38</v>
          </cell>
          <cell r="D217" t="str">
            <v>28/44</v>
          </cell>
          <cell r="E217" t="str">
            <v>Very High</v>
          </cell>
          <cell r="F217" t="str">
            <v>EQ-SC</v>
          </cell>
        </row>
        <row r="218">
          <cell r="A218" t="str">
            <v>Edelweiss Recently Listed IPO Fund - Regular Plan</v>
          </cell>
          <cell r="B218" t="str">
            <v>--</v>
          </cell>
          <cell r="C218">
            <v>-2.56</v>
          </cell>
          <cell r="D218" t="str">
            <v>43/78</v>
          </cell>
          <cell r="E218" t="str">
            <v>Very High</v>
          </cell>
          <cell r="F218" t="str">
            <v>EQ-THEMATIC</v>
          </cell>
        </row>
        <row r="219">
          <cell r="A219" t="str">
            <v>Edelweiss Small Cap Fund - Regular Plan</v>
          </cell>
          <cell r="B219">
            <v>3</v>
          </cell>
          <cell r="C219">
            <v>1.24</v>
          </cell>
          <cell r="D219" t="str">
            <v>16/44</v>
          </cell>
          <cell r="E219" t="str">
            <v>Very High</v>
          </cell>
          <cell r="F219" t="str">
            <v>EQ-SC</v>
          </cell>
        </row>
        <row r="220">
          <cell r="A220" t="str">
            <v>Franklin India Arbitrage Fund - Regular Plan</v>
          </cell>
          <cell r="B220" t="str">
            <v>--</v>
          </cell>
          <cell r="C220" t="str">
            <v>--</v>
          </cell>
          <cell r="D220" t="str">
            <v>--</v>
          </cell>
          <cell r="E220" t="str">
            <v>Low</v>
          </cell>
          <cell r="F220" t="str">
            <v>HY-AR</v>
          </cell>
        </row>
        <row r="221">
          <cell r="A221" t="str">
            <v>Franklin India Balanced Advantage Fund - Regular Plan</v>
          </cell>
          <cell r="B221" t="str">
            <v>--</v>
          </cell>
          <cell r="C221">
            <v>6.21</v>
          </cell>
          <cell r="D221" t="str">
            <v>15/36</v>
          </cell>
          <cell r="E221" t="str">
            <v>High</v>
          </cell>
          <cell r="F221" t="str">
            <v>HY-DAA</v>
          </cell>
        </row>
        <row r="222">
          <cell r="A222" t="str">
            <v>Franklin India Bluechip Fund - Regular Plan</v>
          </cell>
          <cell r="B222">
            <v>4</v>
          </cell>
          <cell r="C222">
            <v>5.97</v>
          </cell>
          <cell r="D222" t="str">
            <v>49/144</v>
          </cell>
          <cell r="E222" t="str">
            <v>Very High</v>
          </cell>
          <cell r="F222" t="str">
            <v>EQ-LC</v>
          </cell>
        </row>
        <row r="223">
          <cell r="A223" t="str">
            <v>Franklin India Debt Hybrid Fund - Regular Plan</v>
          </cell>
          <cell r="B223">
            <v>3</v>
          </cell>
          <cell r="C223">
            <v>8.14</v>
          </cell>
          <cell r="D223" t="str">
            <v>8/28</v>
          </cell>
          <cell r="E223" t="str">
            <v>Moderately High</v>
          </cell>
          <cell r="F223" t="str">
            <v>HY-CH</v>
          </cell>
        </row>
        <row r="224">
          <cell r="A224" t="str">
            <v>Franklin India Dynamic Asset Allocation Fund of Fund - Regular Plan</v>
          </cell>
          <cell r="B224">
            <v>4</v>
          </cell>
          <cell r="C224">
            <v>7.09</v>
          </cell>
          <cell r="D224" t="str">
            <v>11/36</v>
          </cell>
          <cell r="E224" t="str">
            <v>High</v>
          </cell>
          <cell r="F224" t="str">
            <v>HY-DAA</v>
          </cell>
        </row>
        <row r="225">
          <cell r="A225" t="str">
            <v>Franklin India Equity Advantage Fund - Regular Plan</v>
          </cell>
          <cell r="B225">
            <v>3</v>
          </cell>
          <cell r="C225">
            <v>7.27</v>
          </cell>
          <cell r="D225" t="str">
            <v>5/54</v>
          </cell>
          <cell r="E225" t="str">
            <v>Very High</v>
          </cell>
          <cell r="F225" t="str">
            <v>EQ-L&amp;MC</v>
          </cell>
        </row>
        <row r="226">
          <cell r="A226" t="str">
            <v>Franklin India Equity Hybrid Fund - Regular Plan</v>
          </cell>
          <cell r="B226">
            <v>4</v>
          </cell>
          <cell r="C226">
            <v>6.3</v>
          </cell>
          <cell r="D226" t="str">
            <v>13/44</v>
          </cell>
          <cell r="E226" t="str">
            <v>Very High</v>
          </cell>
          <cell r="F226" t="str">
            <v>HY-AH</v>
          </cell>
        </row>
        <row r="227">
          <cell r="A227" t="str">
            <v>Franklin India Flexi Cap Fund - Regular Plan</v>
          </cell>
          <cell r="B227">
            <v>4</v>
          </cell>
          <cell r="C227">
            <v>6.13</v>
          </cell>
          <cell r="D227" t="str">
            <v>22/91</v>
          </cell>
          <cell r="E227" t="str">
            <v>Very High</v>
          </cell>
          <cell r="F227" t="str">
            <v>EQ-FLX</v>
          </cell>
        </row>
        <row r="228">
          <cell r="A228" t="str">
            <v>Franklin India Focused Equity Fund - Regular Plan</v>
          </cell>
          <cell r="B228">
            <v>4</v>
          </cell>
          <cell r="C228">
            <v>1.93</v>
          </cell>
          <cell r="D228" t="str">
            <v>58/91</v>
          </cell>
          <cell r="E228" t="str">
            <v>Very High</v>
          </cell>
          <cell r="F228" t="str">
            <v>EQ-FLX</v>
          </cell>
        </row>
        <row r="229">
          <cell r="A229" t="str">
            <v>Franklin India Multi Asset Solution Fund of Funds - Regular Plan</v>
          </cell>
          <cell r="B229">
            <v>4</v>
          </cell>
          <cell r="C229">
            <v>14.01</v>
          </cell>
          <cell r="D229" t="str">
            <v>2/37</v>
          </cell>
          <cell r="E229" t="str">
            <v>High</v>
          </cell>
          <cell r="F229" t="str">
            <v>HY-MAA</v>
          </cell>
        </row>
        <row r="230">
          <cell r="A230" t="str">
            <v>Franklin India Multi Cap Fund - Regular Plan</v>
          </cell>
          <cell r="B230" t="str">
            <v>--</v>
          </cell>
          <cell r="C230" t="str">
            <v>--</v>
          </cell>
          <cell r="D230" t="str">
            <v>--</v>
          </cell>
          <cell r="E230" t="str">
            <v>Very High</v>
          </cell>
          <cell r="F230" t="str">
            <v>EQ-MLC</v>
          </cell>
        </row>
        <row r="231">
          <cell r="A231" t="str">
            <v>Franklin India NSE Nifty 50 Index - Regular Plan</v>
          </cell>
          <cell r="B231">
            <v>3</v>
          </cell>
          <cell r="C231">
            <v>5.99</v>
          </cell>
          <cell r="D231" t="str">
            <v>47/144</v>
          </cell>
          <cell r="E231" t="str">
            <v>Very High</v>
          </cell>
          <cell r="F231" t="str">
            <v>EQ-LC</v>
          </cell>
        </row>
        <row r="232">
          <cell r="A232" t="str">
            <v>Franklin India Opportunities Fund - Regular Plan</v>
          </cell>
          <cell r="B232" t="str">
            <v>--</v>
          </cell>
          <cell r="C232">
            <v>2.72</v>
          </cell>
          <cell r="D232" t="str">
            <v>23/78</v>
          </cell>
          <cell r="E232" t="str">
            <v>Very High</v>
          </cell>
          <cell r="F232" t="str">
            <v>EQ-THEMATIC</v>
          </cell>
        </row>
        <row r="233">
          <cell r="A233" t="str">
            <v>Franklin India Pension Fund - Regular Plan</v>
          </cell>
          <cell r="B233" t="str">
            <v>--</v>
          </cell>
          <cell r="C233">
            <v>6.96</v>
          </cell>
          <cell r="D233" t="str">
            <v>3/6</v>
          </cell>
          <cell r="E233" t="str">
            <v>Moderately High</v>
          </cell>
          <cell r="F233" t="str">
            <v>HY-BH</v>
          </cell>
        </row>
        <row r="234">
          <cell r="A234" t="str">
            <v>Franklin India Prima Fund - Regular Plan</v>
          </cell>
          <cell r="B234">
            <v>3</v>
          </cell>
          <cell r="C234">
            <v>3.79</v>
          </cell>
          <cell r="D234" t="str">
            <v>13/53</v>
          </cell>
          <cell r="E234" t="str">
            <v>Very High</v>
          </cell>
          <cell r="F234" t="str">
            <v>EQ-MC</v>
          </cell>
        </row>
        <row r="235">
          <cell r="A235" t="str">
            <v>Franklin India Smaller Companies Fund - Regular Plan</v>
          </cell>
          <cell r="B235">
            <v>4</v>
          </cell>
          <cell r="C235">
            <v>-4.18</v>
          </cell>
          <cell r="D235" t="str">
            <v>40/44</v>
          </cell>
          <cell r="E235" t="str">
            <v>Very High</v>
          </cell>
          <cell r="F235" t="str">
            <v>EQ-SC</v>
          </cell>
        </row>
        <row r="236">
          <cell r="A236" t="str">
            <v>Groww Aggressive Hybrid Fund - Regular Plan</v>
          </cell>
          <cell r="B236">
            <v>2</v>
          </cell>
          <cell r="C236">
            <v>0.09</v>
          </cell>
          <cell r="D236" t="str">
            <v>41/44</v>
          </cell>
          <cell r="E236" t="str">
            <v>Very High</v>
          </cell>
          <cell r="F236" t="str">
            <v>HY-AH</v>
          </cell>
        </row>
        <row r="237">
          <cell r="A237" t="str">
            <v>Groww Large Cap Fund - Regular Plan</v>
          </cell>
          <cell r="B237">
            <v>2</v>
          </cell>
          <cell r="C237">
            <v>-0.26</v>
          </cell>
          <cell r="D237" t="str">
            <v>112/144</v>
          </cell>
          <cell r="E237" t="str">
            <v>Very High</v>
          </cell>
          <cell r="F237" t="str">
            <v>EQ-LC</v>
          </cell>
        </row>
        <row r="238">
          <cell r="A238" t="str">
            <v>Groww Multicap Fund - Regular Plan</v>
          </cell>
          <cell r="B238" t="str">
            <v>--</v>
          </cell>
          <cell r="C238" t="str">
            <v>--</v>
          </cell>
          <cell r="D238" t="str">
            <v>--</v>
          </cell>
          <cell r="E238" t="str">
            <v>Very High</v>
          </cell>
          <cell r="F238" t="str">
            <v>EQ-MLC</v>
          </cell>
        </row>
        <row r="239">
          <cell r="A239" t="str">
            <v>Groww Nifty 200 ETF</v>
          </cell>
          <cell r="B239" t="str">
            <v>--</v>
          </cell>
          <cell r="C239" t="str">
            <v>--</v>
          </cell>
          <cell r="D239" t="str">
            <v>--</v>
          </cell>
          <cell r="E239" t="str">
            <v>Very High</v>
          </cell>
          <cell r="F239" t="str">
            <v>EQ-L&amp;MC</v>
          </cell>
        </row>
        <row r="240">
          <cell r="A240" t="str">
            <v>Groww Nifty 200 ETF FoF - Regular Plan</v>
          </cell>
          <cell r="B240" t="str">
            <v>--</v>
          </cell>
          <cell r="C240" t="str">
            <v>--</v>
          </cell>
          <cell r="D240" t="str">
            <v>--</v>
          </cell>
          <cell r="E240" t="str">
            <v>Very High</v>
          </cell>
          <cell r="F240" t="str">
            <v>EQ-L&amp;MC</v>
          </cell>
        </row>
        <row r="241">
          <cell r="A241" t="str">
            <v>Groww Nifty 500 Low Volatility 50 ETF</v>
          </cell>
          <cell r="B241" t="str">
            <v>--</v>
          </cell>
          <cell r="C241" t="str">
            <v>--</v>
          </cell>
          <cell r="D241" t="str">
            <v>--</v>
          </cell>
          <cell r="E241" t="str">
            <v>Very High</v>
          </cell>
          <cell r="F241" t="str">
            <v>EQ-FLX</v>
          </cell>
        </row>
        <row r="242">
          <cell r="A242" t="str">
            <v>Groww Nifty 500 Momentum 50 ETF</v>
          </cell>
          <cell r="B242" t="str">
            <v>--</v>
          </cell>
          <cell r="C242" t="str">
            <v>--</v>
          </cell>
          <cell r="D242" t="str">
            <v>--</v>
          </cell>
          <cell r="E242" t="str">
            <v>Very High</v>
          </cell>
          <cell r="F242" t="str">
            <v>EQ-FLX</v>
          </cell>
        </row>
        <row r="243">
          <cell r="A243" t="str">
            <v>Groww Nifty 500 Momentum 50 ETF FoF - Regular Plan</v>
          </cell>
          <cell r="B243" t="str">
            <v>--</v>
          </cell>
          <cell r="C243" t="str">
            <v>--</v>
          </cell>
          <cell r="D243" t="str">
            <v>--</v>
          </cell>
          <cell r="E243" t="str">
            <v>Very High</v>
          </cell>
          <cell r="F243" t="str">
            <v>EQ-FLX</v>
          </cell>
        </row>
        <row r="244">
          <cell r="A244" t="str">
            <v>Groww Nifty EV &amp; New Age Automotive ETF</v>
          </cell>
          <cell r="B244" t="str">
            <v>--</v>
          </cell>
          <cell r="C244" t="str">
            <v>--</v>
          </cell>
          <cell r="D244" t="str">
            <v>--</v>
          </cell>
          <cell r="E244" t="str">
            <v>Very High</v>
          </cell>
          <cell r="F244" t="str">
            <v>EQ-THEMATIC</v>
          </cell>
        </row>
        <row r="245">
          <cell r="A245" t="str">
            <v>Groww Nifty EV &amp; New Age Automotive ETF FoF - Regular Plan</v>
          </cell>
          <cell r="B245" t="str">
            <v>--</v>
          </cell>
          <cell r="C245" t="str">
            <v>--</v>
          </cell>
          <cell r="D245" t="str">
            <v>--</v>
          </cell>
          <cell r="E245" t="str">
            <v>Very High</v>
          </cell>
          <cell r="F245" t="str">
            <v>EQ-THEMATIC</v>
          </cell>
        </row>
        <row r="246">
          <cell r="A246" t="str">
            <v>Groww Nifty India Defence ETF</v>
          </cell>
          <cell r="B246" t="str">
            <v>--</v>
          </cell>
          <cell r="C246" t="str">
            <v>--</v>
          </cell>
          <cell r="D246" t="str">
            <v>--</v>
          </cell>
          <cell r="E246" t="str">
            <v>Very High</v>
          </cell>
          <cell r="F246" t="str">
            <v>EQ-THEMATIC</v>
          </cell>
        </row>
        <row r="247">
          <cell r="A247" t="str">
            <v>Groww Nifty India Defence ETF FoF - Regular Plan</v>
          </cell>
          <cell r="B247" t="str">
            <v>--</v>
          </cell>
          <cell r="C247" t="str">
            <v>--</v>
          </cell>
          <cell r="D247" t="str">
            <v>--</v>
          </cell>
          <cell r="E247" t="str">
            <v>Very High</v>
          </cell>
          <cell r="F247" t="str">
            <v>EQ-THEMATIC</v>
          </cell>
        </row>
        <row r="248">
          <cell r="A248" t="str">
            <v>Groww Nifty India Internet ETF</v>
          </cell>
          <cell r="B248" t="str">
            <v>--</v>
          </cell>
          <cell r="C248" t="str">
            <v>--</v>
          </cell>
          <cell r="D248" t="str">
            <v>--</v>
          </cell>
          <cell r="E248" t="str">
            <v>Very High</v>
          </cell>
          <cell r="F248" t="str">
            <v>EQ-THEMATIC</v>
          </cell>
        </row>
        <row r="249">
          <cell r="A249" t="str">
            <v>Groww Nifty India Internet ETF FoF - Regular Plan</v>
          </cell>
          <cell r="B249" t="str">
            <v>--</v>
          </cell>
          <cell r="C249" t="str">
            <v>--</v>
          </cell>
          <cell r="D249" t="str">
            <v>--</v>
          </cell>
          <cell r="E249" t="str">
            <v>Very High</v>
          </cell>
          <cell r="F249" t="str">
            <v>EQ-THEMATIC</v>
          </cell>
        </row>
        <row r="250">
          <cell r="A250" t="str">
            <v>Groww Nifty Smallcap 250 Index Fund - Regular Plan</v>
          </cell>
          <cell r="B250" t="str">
            <v>--</v>
          </cell>
          <cell r="C250">
            <v>-1.42</v>
          </cell>
          <cell r="D250" t="str">
            <v>30/44</v>
          </cell>
          <cell r="E250" t="str">
            <v>Very High</v>
          </cell>
          <cell r="F250" t="str">
            <v>EQ-SC</v>
          </cell>
        </row>
        <row r="251">
          <cell r="A251" t="str">
            <v>Groww Nifty Total Market Index Fund - Regular Plan</v>
          </cell>
          <cell r="B251" t="str">
            <v>--</v>
          </cell>
          <cell r="C251">
            <v>2.1800000000000002</v>
          </cell>
          <cell r="D251" t="str">
            <v>57/91</v>
          </cell>
          <cell r="E251" t="str">
            <v>Very High</v>
          </cell>
          <cell r="F251" t="str">
            <v>EQ-FLX</v>
          </cell>
        </row>
        <row r="252">
          <cell r="A252" t="str">
            <v>HDFC Arbitrage Fund - Wholesale - Regular Plan</v>
          </cell>
          <cell r="B252">
            <v>3</v>
          </cell>
          <cell r="C252">
            <v>6.95</v>
          </cell>
          <cell r="D252" t="str">
            <v>8/27</v>
          </cell>
          <cell r="E252" t="str">
            <v>Low</v>
          </cell>
          <cell r="F252" t="str">
            <v>HY-AR</v>
          </cell>
        </row>
        <row r="253">
          <cell r="A253" t="str">
            <v>HDFC Balanced Advantage Fund - Regular Plan</v>
          </cell>
          <cell r="B253">
            <v>5</v>
          </cell>
          <cell r="C253">
            <v>5.04</v>
          </cell>
          <cell r="D253" t="str">
            <v>24/36</v>
          </cell>
          <cell r="E253" t="str">
            <v>Very High</v>
          </cell>
          <cell r="F253" t="str">
            <v>HY-DAA</v>
          </cell>
        </row>
        <row r="254">
          <cell r="A254" t="str">
            <v>HDFC BSE 500 ETF</v>
          </cell>
          <cell r="B254" t="str">
            <v>--</v>
          </cell>
          <cell r="C254">
            <v>2.4500000000000002</v>
          </cell>
          <cell r="D254" t="str">
            <v>55/91</v>
          </cell>
          <cell r="E254" t="str">
            <v>Very High</v>
          </cell>
          <cell r="F254" t="str">
            <v>EQ-FLX</v>
          </cell>
        </row>
        <row r="255">
          <cell r="A255" t="str">
            <v>HDFC BSE 500 Index Fund - Regular Plan</v>
          </cell>
          <cell r="B255" t="str">
            <v>--</v>
          </cell>
          <cell r="C255">
            <v>1.77</v>
          </cell>
          <cell r="D255" t="str">
            <v>62/91</v>
          </cell>
          <cell r="E255" t="str">
            <v>Very High</v>
          </cell>
          <cell r="F255" t="str">
            <v>EQ-FLX</v>
          </cell>
        </row>
        <row r="256">
          <cell r="A256" t="str">
            <v>HDFC BSE Sensex ETF</v>
          </cell>
          <cell r="B256" t="str">
            <v>--</v>
          </cell>
          <cell r="C256">
            <v>6.28</v>
          </cell>
          <cell r="D256" t="str">
            <v>24/144</v>
          </cell>
          <cell r="E256" t="str">
            <v>Very High</v>
          </cell>
          <cell r="F256" t="str">
            <v>EQ-LC</v>
          </cell>
        </row>
        <row r="257">
          <cell r="A257" t="str">
            <v>HDFC BSE Sensex Index Fund - Regular Plan</v>
          </cell>
          <cell r="B257">
            <v>3</v>
          </cell>
          <cell r="C257">
            <v>5.92</v>
          </cell>
          <cell r="D257" t="str">
            <v>52/144</v>
          </cell>
          <cell r="E257" t="str">
            <v>Very High</v>
          </cell>
          <cell r="F257" t="str">
            <v>EQ-LC</v>
          </cell>
        </row>
        <row r="258">
          <cell r="A258" t="str">
            <v>HDFC Business Cycle Fund - Regular Plan</v>
          </cell>
          <cell r="B258" t="str">
            <v>--</v>
          </cell>
          <cell r="C258">
            <v>0.93</v>
          </cell>
          <cell r="D258" t="str">
            <v>28/78</v>
          </cell>
          <cell r="E258" t="str">
            <v>Very High</v>
          </cell>
          <cell r="F258" t="str">
            <v>EQ-THEMATIC</v>
          </cell>
        </row>
        <row r="259">
          <cell r="A259" t="str">
            <v>HDFC Children's Fund - Regular Plan</v>
          </cell>
          <cell r="B259">
            <v>5</v>
          </cell>
          <cell r="C259">
            <v>3.92</v>
          </cell>
          <cell r="D259" t="str">
            <v>33/44</v>
          </cell>
          <cell r="E259" t="str">
            <v>Very High</v>
          </cell>
          <cell r="F259" t="str">
            <v>HY-AH</v>
          </cell>
        </row>
        <row r="260">
          <cell r="A260" t="str">
            <v>HDFC Defence Fund - Regular Plan</v>
          </cell>
          <cell r="B260" t="str">
            <v>--</v>
          </cell>
          <cell r="C260">
            <v>5.93</v>
          </cell>
          <cell r="D260" t="str">
            <v>11/78</v>
          </cell>
          <cell r="E260" t="str">
            <v>Very High</v>
          </cell>
          <cell r="F260" t="str">
            <v>EQ-THEMATIC</v>
          </cell>
        </row>
        <row r="261">
          <cell r="A261" t="str">
            <v>HDFC Flexi Cap Fund - Regular Plan</v>
          </cell>
          <cell r="B261">
            <v>5</v>
          </cell>
          <cell r="C261">
            <v>9.67</v>
          </cell>
          <cell r="D261" t="str">
            <v>3/91</v>
          </cell>
          <cell r="E261" t="str">
            <v>Very High</v>
          </cell>
          <cell r="F261" t="str">
            <v>EQ-FLX</v>
          </cell>
        </row>
        <row r="262">
          <cell r="A262" t="str">
            <v>HDFC Focused 30 Fund - Regular Plan</v>
          </cell>
          <cell r="B262">
            <v>5</v>
          </cell>
          <cell r="C262">
            <v>9.4499999999999993</v>
          </cell>
          <cell r="D262" t="str">
            <v>5/91</v>
          </cell>
          <cell r="E262" t="str">
            <v>Very High</v>
          </cell>
          <cell r="F262" t="str">
            <v>EQ-FLX</v>
          </cell>
        </row>
        <row r="263">
          <cell r="A263" t="str">
            <v>HDFC Housing Opportunities Fund - Regular Plan</v>
          </cell>
          <cell r="B263" t="str">
            <v>--</v>
          </cell>
          <cell r="C263">
            <v>-6.7</v>
          </cell>
          <cell r="D263" t="str">
            <v>60/78</v>
          </cell>
          <cell r="E263" t="str">
            <v>Very High</v>
          </cell>
          <cell r="F263" t="str">
            <v>EQ-THEMATIC</v>
          </cell>
        </row>
        <row r="264">
          <cell r="A264" t="str">
            <v>HDFC Hybrid Debt Fund - Regular Plan</v>
          </cell>
          <cell r="B264">
            <v>4</v>
          </cell>
          <cell r="C264">
            <v>6.76</v>
          </cell>
          <cell r="D264" t="str">
            <v>16/28</v>
          </cell>
          <cell r="E264" t="str">
            <v>Moderately High</v>
          </cell>
          <cell r="F264" t="str">
            <v>HY-CH</v>
          </cell>
        </row>
        <row r="265">
          <cell r="A265" t="str">
            <v>HDFC Hybrid Equity Fund - Regular Plan</v>
          </cell>
          <cell r="B265">
            <v>3</v>
          </cell>
          <cell r="C265">
            <v>5.94</v>
          </cell>
          <cell r="D265" t="str">
            <v>17/44</v>
          </cell>
          <cell r="E265" t="str">
            <v>Very High</v>
          </cell>
          <cell r="F265" t="str">
            <v>HY-AH</v>
          </cell>
        </row>
        <row r="266">
          <cell r="A266" t="str">
            <v>HDFC Large and Mid Cap Fund - Regular Plan</v>
          </cell>
          <cell r="B266">
            <v>4</v>
          </cell>
          <cell r="C266">
            <v>2.44</v>
          </cell>
          <cell r="D266" t="str">
            <v>18/54</v>
          </cell>
          <cell r="E266" t="str">
            <v>Very High</v>
          </cell>
          <cell r="F266" t="str">
            <v>EQ-L&amp;MC</v>
          </cell>
        </row>
        <row r="267">
          <cell r="A267" t="str">
            <v>HDFC Large Cap Fund - Regular Plan</v>
          </cell>
          <cell r="B267">
            <v>5</v>
          </cell>
          <cell r="C267">
            <v>2.94</v>
          </cell>
          <cell r="D267" t="str">
            <v>101/144</v>
          </cell>
          <cell r="E267" t="str">
            <v>Very High</v>
          </cell>
          <cell r="F267" t="str">
            <v>EQ-LC</v>
          </cell>
        </row>
        <row r="268">
          <cell r="A268" t="str">
            <v>HDFC Manufacturing Fund - Regular Plan</v>
          </cell>
          <cell r="B268" t="str">
            <v>--</v>
          </cell>
          <cell r="C268">
            <v>-3.17</v>
          </cell>
          <cell r="D268" t="str">
            <v>48/78</v>
          </cell>
          <cell r="E268" t="str">
            <v>Very High</v>
          </cell>
          <cell r="F268" t="str">
            <v>EQ-THEMATIC</v>
          </cell>
        </row>
        <row r="269">
          <cell r="A269" t="str">
            <v>HDFC Mid-Cap Opportunities Fund - Regular Plan</v>
          </cell>
          <cell r="B269">
            <v>5</v>
          </cell>
          <cell r="C269">
            <v>5.5</v>
          </cell>
          <cell r="D269" t="str">
            <v>6/53</v>
          </cell>
          <cell r="E269" t="str">
            <v>Very High</v>
          </cell>
          <cell r="F269" t="str">
            <v>EQ-MC</v>
          </cell>
        </row>
        <row r="270">
          <cell r="A270" t="str">
            <v>HDFC Multi-Asset Active FoF - Regular Plan</v>
          </cell>
          <cell r="B270">
            <v>4</v>
          </cell>
          <cell r="C270">
            <v>10.32</v>
          </cell>
          <cell r="D270" t="str">
            <v>10/37</v>
          </cell>
          <cell r="E270" t="str">
            <v>High</v>
          </cell>
          <cell r="F270" t="str">
            <v>HY-MAA</v>
          </cell>
        </row>
        <row r="271">
          <cell r="A271" t="str">
            <v>HDFC Multi Asset Fund - Regular Plan</v>
          </cell>
          <cell r="B271">
            <v>3</v>
          </cell>
          <cell r="C271">
            <v>8.89</v>
          </cell>
          <cell r="D271" t="str">
            <v>15/37</v>
          </cell>
          <cell r="E271" t="str">
            <v>High</v>
          </cell>
          <cell r="F271" t="str">
            <v>HY-MAA</v>
          </cell>
        </row>
        <row r="272">
          <cell r="A272" t="str">
            <v>HDFC Multi Cap Fund - Regular Plan</v>
          </cell>
          <cell r="B272">
            <v>4</v>
          </cell>
          <cell r="C272">
            <v>0.93</v>
          </cell>
          <cell r="D272" t="str">
            <v>20/25</v>
          </cell>
          <cell r="E272" t="str">
            <v>Very High</v>
          </cell>
          <cell r="F272" t="str">
            <v>EQ-MLC</v>
          </cell>
        </row>
        <row r="273">
          <cell r="A273" t="str">
            <v>HDFC NIFTY 100 Equal Weight Index Fund - Regular Plan</v>
          </cell>
          <cell r="B273">
            <v>4</v>
          </cell>
          <cell r="C273">
            <v>-1.32</v>
          </cell>
          <cell r="D273" t="str">
            <v>116/144</v>
          </cell>
          <cell r="E273" t="str">
            <v>Very High</v>
          </cell>
          <cell r="F273" t="str">
            <v>EQ-LC</v>
          </cell>
        </row>
        <row r="274">
          <cell r="A274" t="str">
            <v>HDFC NIFTY 100 ETF</v>
          </cell>
          <cell r="B274" t="str">
            <v>--</v>
          </cell>
          <cell r="C274">
            <v>3.62</v>
          </cell>
          <cell r="D274" t="str">
            <v>92/144</v>
          </cell>
          <cell r="E274" t="str">
            <v>Very High</v>
          </cell>
          <cell r="F274" t="str">
            <v>EQ-LC</v>
          </cell>
        </row>
        <row r="275">
          <cell r="A275" t="str">
            <v>HDFC NIFTY 100 Index Fund - Regular Plan</v>
          </cell>
          <cell r="B275">
            <v>2</v>
          </cell>
          <cell r="C275">
            <v>3.1</v>
          </cell>
          <cell r="D275" t="str">
            <v>97/144</v>
          </cell>
          <cell r="E275" t="str">
            <v>Very High</v>
          </cell>
          <cell r="F275" t="str">
            <v>EQ-LC</v>
          </cell>
        </row>
        <row r="276">
          <cell r="A276" t="str">
            <v>HDFC NIFTY100 Low Volatility 30 ETF</v>
          </cell>
          <cell r="B276" t="str">
            <v>--</v>
          </cell>
          <cell r="C276">
            <v>5.48</v>
          </cell>
          <cell r="D276" t="str">
            <v>65/144</v>
          </cell>
          <cell r="E276" t="str">
            <v>Very High</v>
          </cell>
          <cell r="F276" t="str">
            <v>EQ-LC</v>
          </cell>
        </row>
        <row r="277">
          <cell r="A277" t="str">
            <v>HDFC NIFTY100 Low Volatility 30 Index Fund - Regular Plan</v>
          </cell>
          <cell r="B277" t="str">
            <v>--</v>
          </cell>
          <cell r="C277" t="str">
            <v>--</v>
          </cell>
          <cell r="D277" t="str">
            <v>--</v>
          </cell>
          <cell r="E277" t="str">
            <v>Very High</v>
          </cell>
          <cell r="F277" t="str">
            <v>EQ-LC</v>
          </cell>
        </row>
        <row r="278">
          <cell r="A278" t="str">
            <v>HDFC NIFTY100 Quality 30 ETF</v>
          </cell>
          <cell r="B278" t="str">
            <v>--</v>
          </cell>
          <cell r="C278">
            <v>0.34</v>
          </cell>
          <cell r="D278" t="str">
            <v>110/144</v>
          </cell>
          <cell r="E278" t="str">
            <v>Very High</v>
          </cell>
          <cell r="F278" t="str">
            <v>EQ-LC</v>
          </cell>
        </row>
        <row r="279">
          <cell r="A279" t="str">
            <v>HDFC Nifty100 Quality 30 Index Fund - Regular Plan</v>
          </cell>
          <cell r="B279" t="str">
            <v>--</v>
          </cell>
          <cell r="C279" t="str">
            <v>--</v>
          </cell>
          <cell r="D279" t="str">
            <v>--</v>
          </cell>
          <cell r="E279" t="str">
            <v>Very High</v>
          </cell>
          <cell r="F279" t="str">
            <v>EQ-LC</v>
          </cell>
        </row>
        <row r="280">
          <cell r="A280" t="str">
            <v>HDFC NIFTY200 Momentum 30 ETF</v>
          </cell>
          <cell r="B280" t="str">
            <v>--</v>
          </cell>
          <cell r="C280">
            <v>-12.93</v>
          </cell>
          <cell r="D280" t="str">
            <v>49/54</v>
          </cell>
          <cell r="E280" t="str">
            <v>Very High</v>
          </cell>
          <cell r="F280" t="str">
            <v>EQ-L&amp;MC</v>
          </cell>
        </row>
        <row r="281">
          <cell r="A281" t="str">
            <v>HDFC NIFTY200 Momentum 30 Index Fund - Regular Plan</v>
          </cell>
          <cell r="B281" t="str">
            <v>--</v>
          </cell>
          <cell r="C281">
            <v>-13.49</v>
          </cell>
          <cell r="D281" t="str">
            <v>52/54</v>
          </cell>
          <cell r="E281" t="str">
            <v>Very High</v>
          </cell>
          <cell r="F281" t="str">
            <v>EQ-L&amp;MC</v>
          </cell>
        </row>
        <row r="282">
          <cell r="A282" t="str">
            <v>HDFC Nifty500 Multicap 50:25:25 Index Fund - Regular Plan</v>
          </cell>
          <cell r="B282" t="str">
            <v>--</v>
          </cell>
          <cell r="C282" t="str">
            <v>--</v>
          </cell>
          <cell r="D282" t="str">
            <v>--</v>
          </cell>
          <cell r="E282" t="str">
            <v>Very High</v>
          </cell>
          <cell r="F282" t="str">
            <v>EQ-MLC</v>
          </cell>
        </row>
        <row r="283">
          <cell r="A283" t="str">
            <v>HDFC NIFTY50 Equal Weight Index Fund - Regular Plan</v>
          </cell>
          <cell r="B283">
            <v>4</v>
          </cell>
          <cell r="C283">
            <v>4.09</v>
          </cell>
          <cell r="D283" t="str">
            <v>85/144</v>
          </cell>
          <cell r="E283" t="str">
            <v>Very High</v>
          </cell>
          <cell r="F283" t="str">
            <v>EQ-LC</v>
          </cell>
        </row>
        <row r="284">
          <cell r="A284" t="str">
            <v>HDFC NIFTY 50 ETF</v>
          </cell>
          <cell r="B284" t="str">
            <v>--</v>
          </cell>
          <cell r="C284">
            <v>6.49</v>
          </cell>
          <cell r="D284" t="str">
            <v>10/144</v>
          </cell>
          <cell r="E284" t="str">
            <v>Very High</v>
          </cell>
          <cell r="F284" t="str">
            <v>EQ-LC</v>
          </cell>
        </row>
        <row r="285">
          <cell r="A285" t="str">
            <v>HDFC NIFTY 50 Index Fund - Regular Plan</v>
          </cell>
          <cell r="B285">
            <v>3</v>
          </cell>
          <cell r="C285">
            <v>6.11</v>
          </cell>
          <cell r="D285" t="str">
            <v>39/144</v>
          </cell>
          <cell r="E285" t="str">
            <v>Very High</v>
          </cell>
          <cell r="F285" t="str">
            <v>EQ-LC</v>
          </cell>
        </row>
        <row r="286">
          <cell r="A286" t="str">
            <v>HDFC NIFTY Growth Sectors 15 ETF</v>
          </cell>
          <cell r="B286" t="str">
            <v>--</v>
          </cell>
          <cell r="C286">
            <v>4.24</v>
          </cell>
          <cell r="D286" t="str">
            <v>17/78</v>
          </cell>
          <cell r="E286" t="str">
            <v>Very High</v>
          </cell>
          <cell r="F286" t="str">
            <v>EQ-THEMATIC</v>
          </cell>
        </row>
        <row r="287">
          <cell r="A287" t="str">
            <v>HDFC Nifty LargeMidcap 250 Index Fund - Regular Plan</v>
          </cell>
          <cell r="B287" t="str">
            <v>--</v>
          </cell>
          <cell r="C287" t="str">
            <v>--</v>
          </cell>
          <cell r="D287" t="str">
            <v>--</v>
          </cell>
          <cell r="E287" t="str">
            <v>Very High</v>
          </cell>
          <cell r="F287" t="str">
            <v>EQ-L&amp;MC</v>
          </cell>
        </row>
        <row r="288">
          <cell r="A288" t="str">
            <v>HDFC NIFTY Midcap 150 ETF</v>
          </cell>
          <cell r="B288" t="str">
            <v>--</v>
          </cell>
          <cell r="C288">
            <v>2.44</v>
          </cell>
          <cell r="D288" t="str">
            <v>22/53</v>
          </cell>
          <cell r="E288" t="str">
            <v>Very High</v>
          </cell>
          <cell r="F288" t="str">
            <v>EQ-MC</v>
          </cell>
        </row>
        <row r="289">
          <cell r="A289" t="str">
            <v>HDFC NIFTY Midcap 150 Index Fund - Regular Plan</v>
          </cell>
          <cell r="B289" t="str">
            <v>--</v>
          </cell>
          <cell r="C289">
            <v>1.64</v>
          </cell>
          <cell r="D289" t="str">
            <v>30/53</v>
          </cell>
          <cell r="E289" t="str">
            <v>Very High</v>
          </cell>
          <cell r="F289" t="str">
            <v>EQ-MC</v>
          </cell>
        </row>
        <row r="290">
          <cell r="A290" t="str">
            <v>HDFC NIFTY Next 50 ETF</v>
          </cell>
          <cell r="B290" t="str">
            <v>--</v>
          </cell>
          <cell r="C290">
            <v>-7.47</v>
          </cell>
          <cell r="D290" t="str">
            <v>130/144</v>
          </cell>
          <cell r="E290" t="str">
            <v>Very High</v>
          </cell>
          <cell r="F290" t="str">
            <v>EQ-LC</v>
          </cell>
        </row>
        <row r="291">
          <cell r="A291" t="str">
            <v>HDFC NIFTY Next 50 Index Fund - Regular Plan</v>
          </cell>
          <cell r="B291">
            <v>2</v>
          </cell>
          <cell r="C291">
            <v>-8.1999999999999993</v>
          </cell>
          <cell r="D291" t="str">
            <v>140/144</v>
          </cell>
          <cell r="E291" t="str">
            <v>Very High</v>
          </cell>
          <cell r="F291" t="str">
            <v>EQ-LC</v>
          </cell>
        </row>
        <row r="292">
          <cell r="A292" t="str">
            <v>HDFC NIFTY Realty Index Fund - Regular Plan</v>
          </cell>
          <cell r="B292" t="str">
            <v>--</v>
          </cell>
          <cell r="C292">
            <v>-11.74</v>
          </cell>
          <cell r="D292" t="str">
            <v>75/78</v>
          </cell>
          <cell r="E292" t="str">
            <v>Very High</v>
          </cell>
          <cell r="F292" t="str">
            <v>EQ-THEMATIC</v>
          </cell>
        </row>
        <row r="293">
          <cell r="A293" t="str">
            <v>HDFC Nifty Smallcap 250 ETF</v>
          </cell>
          <cell r="B293" t="str">
            <v>--</v>
          </cell>
          <cell r="C293">
            <v>-0.64</v>
          </cell>
          <cell r="D293" t="str">
            <v>20/44</v>
          </cell>
          <cell r="E293" t="str">
            <v>Very High</v>
          </cell>
          <cell r="F293" t="str">
            <v>EQ-SC</v>
          </cell>
        </row>
        <row r="294">
          <cell r="A294" t="str">
            <v>HDFC Nifty Smallcap 250 Index Fund - Regular Plan</v>
          </cell>
          <cell r="B294" t="str">
            <v>--</v>
          </cell>
          <cell r="C294">
            <v>-1.34</v>
          </cell>
          <cell r="D294" t="str">
            <v>26/44</v>
          </cell>
          <cell r="E294" t="str">
            <v>Very High</v>
          </cell>
          <cell r="F294" t="str">
            <v>EQ-SC</v>
          </cell>
        </row>
        <row r="295">
          <cell r="A295" t="str">
            <v>HDFC Nifty Top 20 Equal Weight Index Fund - Regular Plan</v>
          </cell>
          <cell r="B295" t="str">
            <v>--</v>
          </cell>
          <cell r="C295" t="str">
            <v>--</v>
          </cell>
          <cell r="D295" t="str">
            <v>--</v>
          </cell>
          <cell r="E295" t="str">
            <v>Very High</v>
          </cell>
          <cell r="F295" t="str">
            <v>EQ-LC</v>
          </cell>
        </row>
        <row r="296">
          <cell r="A296" t="str">
            <v>HDFC Retirement Savings Fund Equity Plan - Regular Plan</v>
          </cell>
          <cell r="B296">
            <v>5</v>
          </cell>
          <cell r="C296">
            <v>3.36</v>
          </cell>
          <cell r="D296" t="str">
            <v>44/91</v>
          </cell>
          <cell r="E296" t="str">
            <v>Very High</v>
          </cell>
          <cell r="F296" t="str">
            <v>EQ-FLX</v>
          </cell>
        </row>
        <row r="297">
          <cell r="A297" t="str">
            <v>HDFC Retirement Savings Fund - Hybrid Debt Plan - Regular Plan</v>
          </cell>
          <cell r="B297">
            <v>3</v>
          </cell>
          <cell r="C297">
            <v>6.22</v>
          </cell>
          <cell r="D297" t="str">
            <v>21/28</v>
          </cell>
          <cell r="E297" t="str">
            <v>Moderately High</v>
          </cell>
          <cell r="F297" t="str">
            <v>HY-CH</v>
          </cell>
        </row>
        <row r="298">
          <cell r="A298" t="str">
            <v>HDFC Retirement Savings Fund - Hybrid Equity Plan - Regular Plan</v>
          </cell>
          <cell r="B298">
            <v>4</v>
          </cell>
          <cell r="C298">
            <v>4.24</v>
          </cell>
          <cell r="D298" t="str">
            <v>30/44</v>
          </cell>
          <cell r="E298" t="str">
            <v>Very High</v>
          </cell>
          <cell r="F298" t="str">
            <v>HY-AH</v>
          </cell>
        </row>
        <row r="299">
          <cell r="A299" t="str">
            <v>HDFC Small Cap Fund - Regular Plan</v>
          </cell>
          <cell r="B299">
            <v>4</v>
          </cell>
          <cell r="C299">
            <v>2.39</v>
          </cell>
          <cell r="D299" t="str">
            <v>11/44</v>
          </cell>
          <cell r="E299" t="str">
            <v>Very High</v>
          </cell>
          <cell r="F299" t="str">
            <v>EQ-SC</v>
          </cell>
        </row>
        <row r="300">
          <cell r="A300" t="str">
            <v>HDFC Transportation and Logistics Fund - Regular Plan</v>
          </cell>
          <cell r="B300" t="str">
            <v>--</v>
          </cell>
          <cell r="C300">
            <v>-4.53</v>
          </cell>
          <cell r="D300" t="str">
            <v>54/78</v>
          </cell>
          <cell r="E300" t="str">
            <v>Very High</v>
          </cell>
          <cell r="F300" t="str">
            <v>EQ-THEMATIC</v>
          </cell>
        </row>
        <row r="301">
          <cell r="A301" t="str">
            <v>Helios Balanced Advantage Fund - Regular Plan</v>
          </cell>
          <cell r="B301" t="str">
            <v>--</v>
          </cell>
          <cell r="C301">
            <v>1.01</v>
          </cell>
          <cell r="D301" t="str">
            <v>30/36</v>
          </cell>
          <cell r="E301" t="str">
            <v>High</v>
          </cell>
          <cell r="F301" t="str">
            <v>HY-DAA</v>
          </cell>
        </row>
        <row r="302">
          <cell r="A302" t="str">
            <v>Helios Flexi Cap Fund - Regular Plan</v>
          </cell>
          <cell r="B302" t="str">
            <v>--</v>
          </cell>
          <cell r="C302">
            <v>2.83</v>
          </cell>
          <cell r="D302" t="str">
            <v>50/91</v>
          </cell>
          <cell r="E302" t="str">
            <v>Very High</v>
          </cell>
          <cell r="F302" t="str">
            <v>EQ-FLX</v>
          </cell>
        </row>
        <row r="303">
          <cell r="A303" t="str">
            <v>Helios Large &amp; Mid Cap Fund - Regular Plan</v>
          </cell>
          <cell r="B303" t="str">
            <v>--</v>
          </cell>
          <cell r="C303" t="str">
            <v>--</v>
          </cell>
          <cell r="D303" t="str">
            <v>--</v>
          </cell>
          <cell r="E303" t="str">
            <v>Very High</v>
          </cell>
          <cell r="F303" t="str">
            <v>EQ-L&amp;MC</v>
          </cell>
        </row>
        <row r="304">
          <cell r="A304" t="str">
            <v>Helios Mid Cap Fund - Regular Plan</v>
          </cell>
          <cell r="B304" t="str">
            <v>--</v>
          </cell>
          <cell r="C304" t="str">
            <v>--</v>
          </cell>
          <cell r="D304" t="str">
            <v>--</v>
          </cell>
          <cell r="E304" t="str">
            <v>Very High</v>
          </cell>
          <cell r="F304" t="str">
            <v>EQ-MC</v>
          </cell>
        </row>
        <row r="305">
          <cell r="A305" t="str">
            <v>HSBC Aggressive Hybrid Active FoF - Regular Plan</v>
          </cell>
          <cell r="B305">
            <v>3</v>
          </cell>
          <cell r="C305">
            <v>3.62</v>
          </cell>
          <cell r="D305" t="str">
            <v>36/44</v>
          </cell>
          <cell r="E305" t="str">
            <v>Very High</v>
          </cell>
          <cell r="F305" t="str">
            <v>HY-AH</v>
          </cell>
        </row>
        <row r="306">
          <cell r="A306" t="str">
            <v>HSBC Aggressive Hybrid Fund</v>
          </cell>
          <cell r="B306">
            <v>2</v>
          </cell>
          <cell r="C306">
            <v>2.15</v>
          </cell>
          <cell r="D306" t="str">
            <v>38/44</v>
          </cell>
          <cell r="E306" t="str">
            <v>Very High</v>
          </cell>
          <cell r="F306" t="str">
            <v>HY-AH</v>
          </cell>
        </row>
        <row r="307">
          <cell r="A307" t="str">
            <v>HSBC Arbitrage Fund - Regular Plan</v>
          </cell>
          <cell r="B307">
            <v>3</v>
          </cell>
          <cell r="C307">
            <v>6.69</v>
          </cell>
          <cell r="D307" t="str">
            <v>20/27</v>
          </cell>
          <cell r="E307" t="str">
            <v>Low</v>
          </cell>
          <cell r="F307" t="str">
            <v>HY-AR</v>
          </cell>
        </row>
        <row r="308">
          <cell r="A308" t="str">
            <v>HSBC Balanced Advantage Fund</v>
          </cell>
          <cell r="B308">
            <v>3</v>
          </cell>
          <cell r="C308">
            <v>6.26</v>
          </cell>
          <cell r="D308" t="str">
            <v>14/36</v>
          </cell>
          <cell r="E308" t="str">
            <v>Moderately High</v>
          </cell>
          <cell r="F308" t="str">
            <v>HY-DAA</v>
          </cell>
        </row>
        <row r="309">
          <cell r="A309" t="str">
            <v>HSBC Business Cycles Fund - Regular Plan</v>
          </cell>
          <cell r="B309" t="str">
            <v>--</v>
          </cell>
          <cell r="C309">
            <v>4.59</v>
          </cell>
          <cell r="D309" t="str">
            <v>15/78</v>
          </cell>
          <cell r="E309" t="str">
            <v>Very High</v>
          </cell>
          <cell r="F309" t="str">
            <v>EQ-THEMATIC</v>
          </cell>
        </row>
        <row r="310">
          <cell r="A310" t="str">
            <v>HSBC Conservative Hybrid Fund</v>
          </cell>
          <cell r="B310">
            <v>3</v>
          </cell>
          <cell r="C310">
            <v>6.99</v>
          </cell>
          <cell r="D310" t="str">
            <v>13/28</v>
          </cell>
          <cell r="E310" t="str">
            <v>Moderately High</v>
          </cell>
          <cell r="F310" t="str">
            <v>HY-CH</v>
          </cell>
        </row>
        <row r="311">
          <cell r="A311" t="str">
            <v>HSBC Flexi Cap Fund</v>
          </cell>
          <cell r="B311">
            <v>4</v>
          </cell>
          <cell r="C311">
            <v>4.0599999999999996</v>
          </cell>
          <cell r="D311" t="str">
            <v>39/91</v>
          </cell>
          <cell r="E311" t="str">
            <v>Very High</v>
          </cell>
          <cell r="F311" t="str">
            <v>EQ-FLX</v>
          </cell>
        </row>
        <row r="312">
          <cell r="A312" t="str">
            <v>HSBC Focused Fund - Regular Plan</v>
          </cell>
          <cell r="B312">
            <v>2</v>
          </cell>
          <cell r="C312">
            <v>4.49</v>
          </cell>
          <cell r="D312" t="str">
            <v>35/91</v>
          </cell>
          <cell r="E312" t="str">
            <v>Very High</v>
          </cell>
          <cell r="F312" t="str">
            <v>EQ-FLX</v>
          </cell>
        </row>
        <row r="313">
          <cell r="A313" t="str">
            <v>HSBC India Export Opportunities Fund - Regular Plan</v>
          </cell>
          <cell r="B313" t="str">
            <v>--</v>
          </cell>
          <cell r="C313" t="str">
            <v>--</v>
          </cell>
          <cell r="D313" t="str">
            <v>--</v>
          </cell>
          <cell r="E313" t="str">
            <v>Very High</v>
          </cell>
          <cell r="F313" t="str">
            <v>EQ-THEMATIC</v>
          </cell>
        </row>
        <row r="314">
          <cell r="A314" t="str">
            <v>HSBC Large and Mid Cap Fund - Regular Plan</v>
          </cell>
          <cell r="B314">
            <v>3</v>
          </cell>
          <cell r="C314">
            <v>-0.41</v>
          </cell>
          <cell r="D314" t="str">
            <v>34/54</v>
          </cell>
          <cell r="E314" t="str">
            <v>Very High</v>
          </cell>
          <cell r="F314" t="str">
            <v>EQ-L&amp;MC</v>
          </cell>
        </row>
        <row r="315">
          <cell r="A315" t="str">
            <v>HSBC Large Cap Fund</v>
          </cell>
          <cell r="B315">
            <v>3</v>
          </cell>
          <cell r="C315">
            <v>2.2000000000000002</v>
          </cell>
          <cell r="D315" t="str">
            <v>103/144</v>
          </cell>
          <cell r="E315" t="str">
            <v>Very High</v>
          </cell>
          <cell r="F315" t="str">
            <v>EQ-LC</v>
          </cell>
        </row>
        <row r="316">
          <cell r="A316" t="str">
            <v>HSBC Midcap Fund</v>
          </cell>
          <cell r="B316">
            <v>3</v>
          </cell>
          <cell r="C316">
            <v>2.65</v>
          </cell>
          <cell r="D316" t="str">
            <v>17/53</v>
          </cell>
          <cell r="E316" t="str">
            <v>Very High</v>
          </cell>
          <cell r="F316" t="str">
            <v>EQ-MC</v>
          </cell>
        </row>
        <row r="317">
          <cell r="A317" t="str">
            <v>HSBC Multi Asset Active FoF - Regular Plan</v>
          </cell>
          <cell r="B317">
            <v>2</v>
          </cell>
          <cell r="C317">
            <v>6.75</v>
          </cell>
          <cell r="D317" t="str">
            <v>27/37</v>
          </cell>
          <cell r="E317" t="str">
            <v>High</v>
          </cell>
          <cell r="F317" t="str">
            <v>HY-MAA</v>
          </cell>
        </row>
        <row r="318">
          <cell r="A318" t="str">
            <v>HSBC Multi Asset Allocation Fund - Regular Plan</v>
          </cell>
          <cell r="B318" t="str">
            <v>--</v>
          </cell>
          <cell r="C318">
            <v>2.42</v>
          </cell>
          <cell r="D318" t="str">
            <v>35/37</v>
          </cell>
          <cell r="E318" t="str">
            <v>Very High</v>
          </cell>
          <cell r="F318" t="str">
            <v>HY-MAA</v>
          </cell>
        </row>
        <row r="319">
          <cell r="A319" t="str">
            <v>HSBC Multi Cap Fund - Regular Plan</v>
          </cell>
          <cell r="B319" t="str">
            <v>--</v>
          </cell>
          <cell r="C319">
            <v>0.99</v>
          </cell>
          <cell r="D319" t="str">
            <v>19/25</v>
          </cell>
          <cell r="E319" t="str">
            <v>Very High</v>
          </cell>
          <cell r="F319" t="str">
            <v>EQ-MLC</v>
          </cell>
        </row>
        <row r="320">
          <cell r="A320" t="str">
            <v>HSBC Nifty 50 Index Fund - Regular Plan</v>
          </cell>
          <cell r="B320">
            <v>3</v>
          </cell>
          <cell r="C320">
            <v>5.99</v>
          </cell>
          <cell r="D320" t="str">
            <v>46/144</v>
          </cell>
          <cell r="E320" t="str">
            <v>Very High</v>
          </cell>
          <cell r="F320" t="str">
            <v>EQ-LC</v>
          </cell>
        </row>
        <row r="321">
          <cell r="A321" t="str">
            <v>HSBC Nifty Next 50 Index Fund - Regular Plan</v>
          </cell>
          <cell r="B321">
            <v>1</v>
          </cell>
          <cell r="C321">
            <v>-8.26</v>
          </cell>
          <cell r="D321" t="str">
            <v>143/144</v>
          </cell>
          <cell r="E321" t="str">
            <v>Very High</v>
          </cell>
          <cell r="F321" t="str">
            <v>EQ-LC</v>
          </cell>
        </row>
        <row r="322">
          <cell r="A322" t="str">
            <v>HSBC Small Cap Fund</v>
          </cell>
          <cell r="B322">
            <v>3</v>
          </cell>
          <cell r="C322">
            <v>-3.65</v>
          </cell>
          <cell r="D322" t="str">
            <v>38/44</v>
          </cell>
          <cell r="E322" t="str">
            <v>Very High</v>
          </cell>
          <cell r="F322" t="str">
            <v>EQ-SC</v>
          </cell>
        </row>
        <row r="323">
          <cell r="A323" t="str">
            <v>ICICI Prudential Asset Allocator (FOF) Fund</v>
          </cell>
          <cell r="B323">
            <v>4</v>
          </cell>
          <cell r="C323">
            <v>10.09</v>
          </cell>
          <cell r="D323" t="str">
            <v>11/37</v>
          </cell>
          <cell r="E323" t="str">
            <v>High</v>
          </cell>
          <cell r="F323" t="str">
            <v>HY-MAA</v>
          </cell>
        </row>
        <row r="324">
          <cell r="A324" t="str">
            <v>ICICI Prudential Balanced Advantage Fund</v>
          </cell>
          <cell r="B324">
            <v>4</v>
          </cell>
          <cell r="C324">
            <v>9.09</v>
          </cell>
          <cell r="D324" t="str">
            <v>2/36</v>
          </cell>
          <cell r="E324" t="str">
            <v>High</v>
          </cell>
          <cell r="F324" t="str">
            <v>HY-DAA</v>
          </cell>
        </row>
        <row r="325">
          <cell r="A325" t="str">
            <v>ICICI Prudential BHARAT 22 FOF</v>
          </cell>
          <cell r="B325">
            <v>5</v>
          </cell>
          <cell r="C325">
            <v>-2.33</v>
          </cell>
          <cell r="D325" t="str">
            <v>119/144</v>
          </cell>
          <cell r="E325" t="str">
            <v>Very High</v>
          </cell>
          <cell r="F325" t="str">
            <v>EQ-LC</v>
          </cell>
        </row>
        <row r="326">
          <cell r="A326" t="str">
            <v>ICICI Prudential BSE 500 ETF</v>
          </cell>
          <cell r="B326" t="str">
            <v>--</v>
          </cell>
          <cell r="C326">
            <v>2.5</v>
          </cell>
          <cell r="D326" t="str">
            <v>54/91</v>
          </cell>
          <cell r="E326" t="str">
            <v>Very High</v>
          </cell>
          <cell r="F326" t="str">
            <v>EQ-FLX</v>
          </cell>
        </row>
        <row r="327">
          <cell r="A327" t="str">
            <v>ICICI Prudential BSE 500 ETF FOF</v>
          </cell>
          <cell r="B327">
            <v>3</v>
          </cell>
          <cell r="C327">
            <v>1.77</v>
          </cell>
          <cell r="D327" t="str">
            <v>61/91</v>
          </cell>
          <cell r="E327" t="str">
            <v>Very High</v>
          </cell>
          <cell r="F327" t="str">
            <v>EQ-FLX</v>
          </cell>
        </row>
        <row r="328">
          <cell r="A328" t="str">
            <v>ICICI Prudential BSE Midcap Select ETF</v>
          </cell>
          <cell r="B328" t="str">
            <v>--</v>
          </cell>
          <cell r="C328">
            <v>0.22</v>
          </cell>
          <cell r="D328" t="str">
            <v>39/53</v>
          </cell>
          <cell r="E328" t="str">
            <v>Very High</v>
          </cell>
          <cell r="F328" t="str">
            <v>EQ-MC</v>
          </cell>
        </row>
        <row r="329">
          <cell r="A329" t="str">
            <v>ICICI Prudential BSE Sensex ETF</v>
          </cell>
          <cell r="B329" t="str">
            <v>--</v>
          </cell>
          <cell r="C329">
            <v>6.31</v>
          </cell>
          <cell r="D329" t="str">
            <v>22/144</v>
          </cell>
          <cell r="E329" t="str">
            <v>Very High</v>
          </cell>
          <cell r="F329" t="str">
            <v>EQ-LC</v>
          </cell>
        </row>
        <row r="330">
          <cell r="A330" t="str">
            <v>ICICI Prudential BSE Sensex Index Fund</v>
          </cell>
          <cell r="B330">
            <v>3</v>
          </cell>
          <cell r="C330">
            <v>6</v>
          </cell>
          <cell r="D330" t="str">
            <v>44/144</v>
          </cell>
          <cell r="E330" t="str">
            <v>Very High</v>
          </cell>
          <cell r="F330" t="str">
            <v>EQ-LC</v>
          </cell>
        </row>
        <row r="331">
          <cell r="A331" t="str">
            <v>ICICI Prudential Business Cycle Fund</v>
          </cell>
          <cell r="B331" t="str">
            <v>--</v>
          </cell>
          <cell r="C331">
            <v>8.01</v>
          </cell>
          <cell r="D331" t="str">
            <v>7/78</v>
          </cell>
          <cell r="E331" t="str">
            <v>Very High</v>
          </cell>
          <cell r="F331" t="str">
            <v>EQ-THEMATIC</v>
          </cell>
        </row>
        <row r="332">
          <cell r="A332" t="str">
            <v>ICICI Prudential Child Care Fund - Gift Plan</v>
          </cell>
          <cell r="B332">
            <v>4</v>
          </cell>
          <cell r="C332">
            <v>5.07</v>
          </cell>
          <cell r="D332" t="str">
            <v>27/44</v>
          </cell>
          <cell r="E332" t="str">
            <v>Very High</v>
          </cell>
          <cell r="F332" t="str">
            <v>HY-AH</v>
          </cell>
        </row>
        <row r="333">
          <cell r="A333" t="str">
            <v>ICICI Prudential Commodities Fund</v>
          </cell>
          <cell r="B333" t="str">
            <v>--</v>
          </cell>
          <cell r="C333">
            <v>-5.0199999999999996</v>
          </cell>
          <cell r="D333" t="str">
            <v>56/78</v>
          </cell>
          <cell r="E333" t="str">
            <v>Very High</v>
          </cell>
          <cell r="F333" t="str">
            <v>EQ-THEMATIC</v>
          </cell>
        </row>
        <row r="334">
          <cell r="A334" t="str">
            <v>ICICI Prudential Equity Arbitrage Fund</v>
          </cell>
          <cell r="B334">
            <v>4</v>
          </cell>
          <cell r="C334">
            <v>7.08</v>
          </cell>
          <cell r="D334" t="str">
            <v>2/27</v>
          </cell>
          <cell r="E334" t="str">
            <v>Low</v>
          </cell>
          <cell r="F334" t="str">
            <v>HY-AR</v>
          </cell>
        </row>
        <row r="335">
          <cell r="A335" t="str">
            <v>ICICI Prudential Equity &amp; Debt Fund</v>
          </cell>
          <cell r="B335">
            <v>5</v>
          </cell>
          <cell r="C335">
            <v>9.25</v>
          </cell>
          <cell r="D335" t="str">
            <v>4/44</v>
          </cell>
          <cell r="E335" t="str">
            <v>Very High</v>
          </cell>
          <cell r="F335" t="str">
            <v>HY-AH</v>
          </cell>
        </row>
        <row r="336">
          <cell r="A336" t="str">
            <v>ICICI Prudential Equity Minimum Variance Fund - Regular Plan</v>
          </cell>
          <cell r="B336" t="str">
            <v>--</v>
          </cell>
          <cell r="C336" t="str">
            <v>--</v>
          </cell>
          <cell r="D336" t="str">
            <v>--</v>
          </cell>
          <cell r="E336" t="str">
            <v>Very High</v>
          </cell>
          <cell r="F336" t="str">
            <v>EQ-THEMATIC</v>
          </cell>
        </row>
        <row r="337">
          <cell r="A337" t="str">
            <v>ICICI Prudential Exports and Services Fund</v>
          </cell>
          <cell r="B337" t="str">
            <v>--</v>
          </cell>
          <cell r="C337">
            <v>10.23</v>
          </cell>
          <cell r="D337" t="str">
            <v>6/78</v>
          </cell>
          <cell r="E337" t="str">
            <v>Very High</v>
          </cell>
          <cell r="F337" t="str">
            <v>EQ-THEMATIC</v>
          </cell>
        </row>
        <row r="338">
          <cell r="A338" t="str">
            <v>ICICI Prudential Flexicap Fund</v>
          </cell>
          <cell r="B338">
            <v>4</v>
          </cell>
          <cell r="C338">
            <v>3.59</v>
          </cell>
          <cell r="D338" t="str">
            <v>43/91</v>
          </cell>
          <cell r="E338" t="str">
            <v>Very High</v>
          </cell>
          <cell r="F338" t="str">
            <v>EQ-FLX</v>
          </cell>
        </row>
        <row r="339">
          <cell r="A339" t="str">
            <v>ICICI Prudential FMCG Fund</v>
          </cell>
          <cell r="B339" t="str">
            <v>--</v>
          </cell>
          <cell r="C339">
            <v>-2.48</v>
          </cell>
          <cell r="D339" t="str">
            <v>42/78</v>
          </cell>
          <cell r="E339" t="str">
            <v>Very High</v>
          </cell>
          <cell r="F339" t="str">
            <v>EQ-THEMATIC</v>
          </cell>
        </row>
        <row r="340">
          <cell r="A340" t="str">
            <v>ICICI Prudential Focused Equity Fund</v>
          </cell>
          <cell r="B340">
            <v>4</v>
          </cell>
          <cell r="C340">
            <v>10.18</v>
          </cell>
          <cell r="D340" t="str">
            <v>2/91</v>
          </cell>
          <cell r="E340" t="str">
            <v>Very High</v>
          </cell>
          <cell r="F340" t="str">
            <v>EQ-FLX</v>
          </cell>
        </row>
        <row r="341">
          <cell r="A341" t="str">
            <v>ICICI Prudential Housing Opportunities Fund</v>
          </cell>
          <cell r="B341" t="str">
            <v>--</v>
          </cell>
          <cell r="C341">
            <v>2.8</v>
          </cell>
          <cell r="D341" t="str">
            <v>21/78</v>
          </cell>
          <cell r="E341" t="str">
            <v>Very High</v>
          </cell>
          <cell r="F341" t="str">
            <v>EQ-THEMATIC</v>
          </cell>
        </row>
        <row r="342">
          <cell r="A342" t="str">
            <v>ICICI Prudential India Equity FOF</v>
          </cell>
          <cell r="B342">
            <v>5</v>
          </cell>
          <cell r="C342">
            <v>7.17</v>
          </cell>
          <cell r="D342" t="str">
            <v>18/91</v>
          </cell>
          <cell r="E342" t="str">
            <v>Very High</v>
          </cell>
          <cell r="F342" t="str">
            <v>EQ-FLX</v>
          </cell>
        </row>
        <row r="343">
          <cell r="A343" t="str">
            <v>ICICI Prudential India Opportunities Fund</v>
          </cell>
          <cell r="B343" t="str">
            <v>--</v>
          </cell>
          <cell r="C343">
            <v>10.41</v>
          </cell>
          <cell r="D343" t="str">
            <v>5/78</v>
          </cell>
          <cell r="E343" t="str">
            <v>Very High</v>
          </cell>
          <cell r="F343" t="str">
            <v>EQ-THEMATIC</v>
          </cell>
        </row>
        <row r="344">
          <cell r="A344" t="str">
            <v>ICICI Prudential Innovation Fund</v>
          </cell>
          <cell r="B344" t="str">
            <v>--</v>
          </cell>
          <cell r="C344">
            <v>6.26</v>
          </cell>
          <cell r="D344" t="str">
            <v>10/78</v>
          </cell>
          <cell r="E344" t="str">
            <v>Very High</v>
          </cell>
          <cell r="F344" t="str">
            <v>EQ-THEMATIC</v>
          </cell>
        </row>
        <row r="345">
          <cell r="A345" t="str">
            <v>ICICI Prudential Large Cap Fund</v>
          </cell>
          <cell r="B345">
            <v>5</v>
          </cell>
          <cell r="C345">
            <v>7.19</v>
          </cell>
          <cell r="D345" t="str">
            <v>3/144</v>
          </cell>
          <cell r="E345" t="str">
            <v>Very High</v>
          </cell>
          <cell r="F345" t="str">
            <v>EQ-LC</v>
          </cell>
        </row>
        <row r="346">
          <cell r="A346" t="str">
            <v>ICICI Prudential Large &amp; Mid Cap Fund</v>
          </cell>
          <cell r="B346">
            <v>5</v>
          </cell>
          <cell r="C346">
            <v>7.7</v>
          </cell>
          <cell r="D346" t="str">
            <v>3/54</v>
          </cell>
          <cell r="E346" t="str">
            <v>Very High</v>
          </cell>
          <cell r="F346" t="str">
            <v>EQ-L&amp;MC</v>
          </cell>
        </row>
        <row r="347">
          <cell r="A347" t="str">
            <v>ICICI Prudential Manufacturing Fund</v>
          </cell>
          <cell r="B347" t="str">
            <v>--</v>
          </cell>
          <cell r="C347">
            <v>-3.84</v>
          </cell>
          <cell r="D347" t="str">
            <v>51/78</v>
          </cell>
          <cell r="E347" t="str">
            <v>Very High</v>
          </cell>
          <cell r="F347" t="str">
            <v>EQ-THEMATIC</v>
          </cell>
        </row>
        <row r="348">
          <cell r="A348" t="str">
            <v>ICICI Prudential Midcap Fund</v>
          </cell>
          <cell r="B348">
            <v>3</v>
          </cell>
          <cell r="C348">
            <v>2.2599999999999998</v>
          </cell>
          <cell r="D348" t="str">
            <v>25/53</v>
          </cell>
          <cell r="E348" t="str">
            <v>Very High</v>
          </cell>
          <cell r="F348" t="str">
            <v>EQ-MC</v>
          </cell>
        </row>
        <row r="349">
          <cell r="A349" t="str">
            <v>ICICI Prudential Multi Asset Fund</v>
          </cell>
          <cell r="B349">
            <v>5</v>
          </cell>
          <cell r="C349">
            <v>11.49</v>
          </cell>
          <cell r="D349" t="str">
            <v>3/37</v>
          </cell>
          <cell r="E349" t="str">
            <v>Very High</v>
          </cell>
          <cell r="F349" t="str">
            <v>HY-MAA</v>
          </cell>
        </row>
        <row r="350">
          <cell r="A350" t="str">
            <v>ICICI Prudential Multicap Fund</v>
          </cell>
          <cell r="B350">
            <v>4</v>
          </cell>
          <cell r="C350">
            <v>5.46</v>
          </cell>
          <cell r="D350" t="str">
            <v>6/25</v>
          </cell>
          <cell r="E350" t="str">
            <v>Very High</v>
          </cell>
          <cell r="F350" t="str">
            <v>EQ-MLC</v>
          </cell>
        </row>
        <row r="351">
          <cell r="A351" t="str">
            <v>ICICI Prudential Nifty 100 ETF</v>
          </cell>
          <cell r="B351" t="str">
            <v>--</v>
          </cell>
          <cell r="C351">
            <v>3.45</v>
          </cell>
          <cell r="D351" t="str">
            <v>93/144</v>
          </cell>
          <cell r="E351" t="str">
            <v>Very High</v>
          </cell>
          <cell r="F351" t="str">
            <v>EQ-LC</v>
          </cell>
        </row>
        <row r="352">
          <cell r="A352" t="str">
            <v>ICICI Prudential Nifty 100 Low Volatility 30 ETF</v>
          </cell>
          <cell r="B352" t="str">
            <v>--</v>
          </cell>
          <cell r="C352">
            <v>5.37</v>
          </cell>
          <cell r="D352" t="str">
            <v>68/144</v>
          </cell>
          <cell r="E352" t="str">
            <v>Very High</v>
          </cell>
          <cell r="F352" t="str">
            <v>EQ-LC</v>
          </cell>
        </row>
        <row r="353">
          <cell r="A353" t="str">
            <v>ICICI Prudential Nifty 100 Low Volatility 30 ETF FOF</v>
          </cell>
          <cell r="B353">
            <v>5</v>
          </cell>
          <cell r="C353">
            <v>4.3600000000000003</v>
          </cell>
          <cell r="D353" t="str">
            <v>81/144</v>
          </cell>
          <cell r="E353" t="str">
            <v>Very High</v>
          </cell>
          <cell r="F353" t="str">
            <v>EQ-LC</v>
          </cell>
        </row>
        <row r="354">
          <cell r="A354" t="str">
            <v>ICICI Prudential Nifty 200 Momentum 30 ETF</v>
          </cell>
          <cell r="B354" t="str">
            <v>--</v>
          </cell>
          <cell r="C354">
            <v>-13.02</v>
          </cell>
          <cell r="D354" t="str">
            <v>50/54</v>
          </cell>
          <cell r="E354" t="str">
            <v>Very High</v>
          </cell>
          <cell r="F354" t="str">
            <v>EQ-L&amp;MC</v>
          </cell>
        </row>
        <row r="355">
          <cell r="A355" t="str">
            <v>ICICI Prudential Nifty 200 Momentum 30 Index Fund</v>
          </cell>
          <cell r="B355" t="str">
            <v>--</v>
          </cell>
          <cell r="C355">
            <v>-13.63</v>
          </cell>
          <cell r="D355" t="str">
            <v>53/54</v>
          </cell>
          <cell r="E355" t="str">
            <v>Very High</v>
          </cell>
          <cell r="F355" t="str">
            <v>EQ-L&amp;MC</v>
          </cell>
        </row>
        <row r="356">
          <cell r="A356" t="str">
            <v>ICICI Prudential Nifty 200 Quality 30 ETF</v>
          </cell>
          <cell r="B356" t="str">
            <v>--</v>
          </cell>
          <cell r="C356">
            <v>1.25</v>
          </cell>
          <cell r="D356" t="str">
            <v>26/54</v>
          </cell>
          <cell r="E356" t="str">
            <v>Very High</v>
          </cell>
          <cell r="F356" t="str">
            <v>EQ-L&amp;MC</v>
          </cell>
        </row>
        <row r="357">
          <cell r="A357" t="str">
            <v>ICICI Prudential Nifty200 Quality 30 Index Fund</v>
          </cell>
          <cell r="B357" t="str">
            <v>--</v>
          </cell>
          <cell r="C357" t="str">
            <v>--</v>
          </cell>
          <cell r="D357" t="str">
            <v>--</v>
          </cell>
          <cell r="E357" t="str">
            <v>Very High</v>
          </cell>
          <cell r="F357" t="str">
            <v>EQ-L&amp;MC</v>
          </cell>
        </row>
        <row r="358">
          <cell r="A358" t="str">
            <v>ICICI Prudential Nifty 500 Index Fund - Regular Plan</v>
          </cell>
          <cell r="B358" t="str">
            <v>--</v>
          </cell>
          <cell r="C358" t="str">
            <v>--</v>
          </cell>
          <cell r="D358" t="str">
            <v>--</v>
          </cell>
          <cell r="E358" t="str">
            <v>Very High</v>
          </cell>
          <cell r="F358" t="str">
            <v>EQ-FLX</v>
          </cell>
        </row>
        <row r="359">
          <cell r="A359" t="str">
            <v>ICICI Prudential Nifty50 Equal Weight Index Fund</v>
          </cell>
          <cell r="B359" t="str">
            <v>--</v>
          </cell>
          <cell r="C359">
            <v>4.0199999999999996</v>
          </cell>
          <cell r="D359" t="str">
            <v>86/144</v>
          </cell>
          <cell r="E359" t="str">
            <v>Very High</v>
          </cell>
          <cell r="F359" t="str">
            <v>EQ-LC</v>
          </cell>
        </row>
        <row r="360">
          <cell r="A360" t="str">
            <v>ICICI Prudential Nifty 50 ETF</v>
          </cell>
          <cell r="B360" t="str">
            <v>--</v>
          </cell>
          <cell r="C360">
            <v>6.51</v>
          </cell>
          <cell r="D360" t="str">
            <v>5/144</v>
          </cell>
          <cell r="E360" t="str">
            <v>Very High</v>
          </cell>
          <cell r="F360" t="str">
            <v>EQ-LC</v>
          </cell>
        </row>
        <row r="361">
          <cell r="A361" t="str">
            <v>ICICI Prudential Nifty 50 Index Fund</v>
          </cell>
          <cell r="B361">
            <v>3</v>
          </cell>
          <cell r="C361">
            <v>6.07</v>
          </cell>
          <cell r="D361" t="str">
            <v>41/144</v>
          </cell>
          <cell r="E361" t="str">
            <v>Very High</v>
          </cell>
          <cell r="F361" t="str">
            <v>EQ-LC</v>
          </cell>
        </row>
        <row r="362">
          <cell r="A362" t="str">
            <v>ICICI Prudential Nifty Alpha Low Volatility 30 ETF</v>
          </cell>
          <cell r="B362" t="str">
            <v>--</v>
          </cell>
          <cell r="C362">
            <v>-3.71</v>
          </cell>
          <cell r="D362" t="str">
            <v>37/54</v>
          </cell>
          <cell r="E362" t="str">
            <v>Very High</v>
          </cell>
          <cell r="F362" t="str">
            <v>EQ-L&amp;MC</v>
          </cell>
        </row>
        <row r="363">
          <cell r="A363" t="str">
            <v>ICICI Prudential Nifty Alpha Low Volatility 30 ETF FOF</v>
          </cell>
          <cell r="B363">
            <v>2</v>
          </cell>
          <cell r="C363">
            <v>-4.12</v>
          </cell>
          <cell r="D363" t="str">
            <v>38/54</v>
          </cell>
          <cell r="E363" t="str">
            <v>Very High</v>
          </cell>
          <cell r="F363" t="str">
            <v>EQ-L&amp;MC</v>
          </cell>
        </row>
        <row r="364">
          <cell r="A364" t="str">
            <v>ICICI Prudential Nifty Auto ETF</v>
          </cell>
          <cell r="B364" t="str">
            <v>--</v>
          </cell>
          <cell r="C364">
            <v>-7.14</v>
          </cell>
          <cell r="D364" t="str">
            <v>63/78</v>
          </cell>
          <cell r="E364" t="str">
            <v>Very High</v>
          </cell>
          <cell r="F364" t="str">
            <v>EQ-THEMATIC</v>
          </cell>
        </row>
        <row r="365">
          <cell r="A365" t="str">
            <v>ICICI Prudential Nifty Auto Index Fund</v>
          </cell>
          <cell r="B365" t="str">
            <v>--</v>
          </cell>
          <cell r="C365">
            <v>-7.79</v>
          </cell>
          <cell r="D365" t="str">
            <v>67/78</v>
          </cell>
          <cell r="E365" t="str">
            <v>Very High</v>
          </cell>
          <cell r="F365" t="str">
            <v>EQ-THEMATIC</v>
          </cell>
        </row>
        <row r="366">
          <cell r="A366" t="str">
            <v>ICICI Prudential Nifty Commodities ETF</v>
          </cell>
          <cell r="B366" t="str">
            <v>--</v>
          </cell>
          <cell r="C366">
            <v>-5.3</v>
          </cell>
          <cell r="D366" t="str">
            <v>57/78</v>
          </cell>
          <cell r="E366" t="str">
            <v>Very High</v>
          </cell>
          <cell r="F366" t="str">
            <v>EQ-THEMATIC</v>
          </cell>
        </row>
        <row r="367">
          <cell r="A367" t="str">
            <v>ICICI Prudential Nifty EV &amp; New Age Automotive ETF</v>
          </cell>
          <cell r="B367" t="str">
            <v>--</v>
          </cell>
          <cell r="C367" t="str">
            <v>--</v>
          </cell>
          <cell r="D367" t="str">
            <v>--</v>
          </cell>
          <cell r="E367" t="str">
            <v>Very High</v>
          </cell>
          <cell r="F367" t="str">
            <v>EQ-THEMATIC</v>
          </cell>
        </row>
        <row r="368">
          <cell r="A368" t="str">
            <v>ICICI Prudential Nifty EV &amp; New Age Automotive ETF FoF - Regular Plan</v>
          </cell>
          <cell r="B368" t="str">
            <v>--</v>
          </cell>
          <cell r="C368" t="str">
            <v>--</v>
          </cell>
          <cell r="D368" t="str">
            <v>--</v>
          </cell>
          <cell r="E368" t="str">
            <v>Very High</v>
          </cell>
          <cell r="F368" t="str">
            <v>EQ-THEMATIC</v>
          </cell>
        </row>
        <row r="369">
          <cell r="A369" t="str">
            <v>ICICI Prudential Nifty FMCG ETF</v>
          </cell>
          <cell r="B369" t="str">
            <v>--</v>
          </cell>
          <cell r="C369">
            <v>-2.68</v>
          </cell>
          <cell r="D369" t="str">
            <v>44/78</v>
          </cell>
          <cell r="E369" t="str">
            <v>Very High</v>
          </cell>
          <cell r="F369" t="str">
            <v>EQ-THEMATIC</v>
          </cell>
        </row>
        <row r="370">
          <cell r="A370" t="str">
            <v>ICICI Prudential Nifty LargeMidcap 250 Index Fund</v>
          </cell>
          <cell r="B370" t="str">
            <v>--</v>
          </cell>
          <cell r="C370">
            <v>2.44</v>
          </cell>
          <cell r="D370" t="str">
            <v>19/54</v>
          </cell>
          <cell r="E370" t="str">
            <v>Very High</v>
          </cell>
          <cell r="F370" t="str">
            <v>EQ-L&amp;MC</v>
          </cell>
        </row>
        <row r="371">
          <cell r="A371" t="str">
            <v>ICICI Prudential Nifty Metal ETF</v>
          </cell>
          <cell r="B371" t="str">
            <v>--</v>
          </cell>
          <cell r="C371" t="str">
            <v>--</v>
          </cell>
          <cell r="D371" t="str">
            <v>--</v>
          </cell>
          <cell r="E371" t="str">
            <v>Very High</v>
          </cell>
          <cell r="F371" t="str">
            <v>EQ-THEMATIC</v>
          </cell>
        </row>
        <row r="372">
          <cell r="A372" t="str">
            <v>ICICI Prudential Nifty Midcap 150 ETF</v>
          </cell>
          <cell r="B372" t="str">
            <v>--</v>
          </cell>
          <cell r="C372">
            <v>2.4900000000000002</v>
          </cell>
          <cell r="D372" t="str">
            <v>20/53</v>
          </cell>
          <cell r="E372" t="str">
            <v>Very High</v>
          </cell>
          <cell r="F372" t="str">
            <v>EQ-MC</v>
          </cell>
        </row>
        <row r="373">
          <cell r="A373" t="str">
            <v>ICICI Prudential Nifty Midcap 150 Index Fund</v>
          </cell>
          <cell r="B373">
            <v>3</v>
          </cell>
          <cell r="C373">
            <v>1.54</v>
          </cell>
          <cell r="D373" t="str">
            <v>32/53</v>
          </cell>
          <cell r="E373" t="str">
            <v>Very High</v>
          </cell>
          <cell r="F373" t="str">
            <v>EQ-MC</v>
          </cell>
        </row>
        <row r="374">
          <cell r="A374" t="str">
            <v>ICICI Prudential Nifty Next 50 ETF</v>
          </cell>
          <cell r="B374" t="str">
            <v>--</v>
          </cell>
          <cell r="C374">
            <v>-7.34</v>
          </cell>
          <cell r="D374" t="str">
            <v>125/144</v>
          </cell>
          <cell r="E374" t="str">
            <v>Very High</v>
          </cell>
          <cell r="F374" t="str">
            <v>EQ-LC</v>
          </cell>
        </row>
        <row r="375">
          <cell r="A375" t="str">
            <v>ICICI Prudential Nifty Next 50 Index Fund</v>
          </cell>
          <cell r="B375">
            <v>3</v>
          </cell>
          <cell r="C375">
            <v>-8.1999999999999993</v>
          </cell>
          <cell r="D375" t="str">
            <v>141/144</v>
          </cell>
          <cell r="E375" t="str">
            <v>Very High</v>
          </cell>
          <cell r="F375" t="str">
            <v>EQ-LC</v>
          </cell>
        </row>
        <row r="376">
          <cell r="A376" t="str">
            <v>ICICI Prudential Nifty Oil &amp; Gas ETF</v>
          </cell>
          <cell r="B376" t="str">
            <v>--</v>
          </cell>
          <cell r="C376" t="str">
            <v>--</v>
          </cell>
          <cell r="D376" t="str">
            <v>--</v>
          </cell>
          <cell r="E376" t="str">
            <v>Very High</v>
          </cell>
          <cell r="F376" t="str">
            <v>EQ-THEMATIC</v>
          </cell>
        </row>
        <row r="377">
          <cell r="A377" t="str">
            <v>ICICI Prudential Nifty Smallcap 250 Index Fund</v>
          </cell>
          <cell r="B377">
            <v>2</v>
          </cell>
          <cell r="C377">
            <v>-1.45</v>
          </cell>
          <cell r="D377" t="str">
            <v>31/44</v>
          </cell>
          <cell r="E377" t="str">
            <v>Very High</v>
          </cell>
          <cell r="F377" t="str">
            <v>EQ-SC</v>
          </cell>
        </row>
        <row r="378">
          <cell r="A378" t="str">
            <v>ICICI Prudential Nifty Top 15 Equal Weight ETF</v>
          </cell>
          <cell r="B378" t="str">
            <v>--</v>
          </cell>
          <cell r="C378" t="str">
            <v>--</v>
          </cell>
          <cell r="D378" t="str">
            <v>--</v>
          </cell>
          <cell r="E378" t="str">
            <v>Very High</v>
          </cell>
          <cell r="F378" t="str">
            <v>EQ-LC</v>
          </cell>
        </row>
        <row r="379">
          <cell r="A379" t="str">
            <v>ICICI Prudential Nifty Top 15 Equal Weight Index Fund</v>
          </cell>
          <cell r="B379" t="str">
            <v>--</v>
          </cell>
          <cell r="C379" t="str">
            <v>--</v>
          </cell>
          <cell r="D379" t="str">
            <v>--</v>
          </cell>
          <cell r="E379" t="str">
            <v>Very High</v>
          </cell>
          <cell r="F379" t="str">
            <v>EQ-LC</v>
          </cell>
        </row>
        <row r="380">
          <cell r="A380" t="str">
            <v>ICICI Prudential Passive Multi-Asset FoF</v>
          </cell>
          <cell r="B380">
            <v>3</v>
          </cell>
          <cell r="C380">
            <v>12.97</v>
          </cell>
          <cell r="D380" t="str">
            <v>--</v>
          </cell>
          <cell r="E380" t="str">
            <v>High</v>
          </cell>
          <cell r="F380" t="str">
            <v>HY-MAA</v>
          </cell>
        </row>
        <row r="381">
          <cell r="A381" t="str">
            <v>ICICI Prudential Passive Strategy Fund (FOF)</v>
          </cell>
          <cell r="B381">
            <v>4</v>
          </cell>
          <cell r="C381">
            <v>8.0500000000000007</v>
          </cell>
          <cell r="D381" t="str">
            <v>10/91</v>
          </cell>
          <cell r="E381" t="str">
            <v>Very High</v>
          </cell>
          <cell r="F381" t="str">
            <v>EQ-FLX</v>
          </cell>
        </row>
        <row r="382">
          <cell r="A382" t="str">
            <v>ICICI Prudential Quality Fund</v>
          </cell>
          <cell r="B382" t="str">
            <v>--</v>
          </cell>
          <cell r="C382" t="str">
            <v>--</v>
          </cell>
          <cell r="D382" t="str">
            <v>--</v>
          </cell>
          <cell r="E382" t="str">
            <v>Very High</v>
          </cell>
          <cell r="F382" t="str">
            <v>EQ-THEMATIC</v>
          </cell>
        </row>
        <row r="383">
          <cell r="A383" t="str">
            <v>ICICI Prudential Quant Fund</v>
          </cell>
          <cell r="B383" t="str">
            <v>--</v>
          </cell>
          <cell r="C383">
            <v>6.91</v>
          </cell>
          <cell r="D383" t="str">
            <v>8/78</v>
          </cell>
          <cell r="E383" t="str">
            <v>Very High</v>
          </cell>
          <cell r="F383" t="str">
            <v>EQ-THEMATIC</v>
          </cell>
        </row>
        <row r="384">
          <cell r="A384" t="str">
            <v>ICICI Prudential Regular Savings Fund</v>
          </cell>
          <cell r="B384">
            <v>4</v>
          </cell>
          <cell r="C384">
            <v>8.84</v>
          </cell>
          <cell r="D384" t="str">
            <v>4/28</v>
          </cell>
          <cell r="E384" t="str">
            <v>High</v>
          </cell>
          <cell r="F384" t="str">
            <v>HY-CH</v>
          </cell>
        </row>
        <row r="385">
          <cell r="A385" t="str">
            <v>ICICI Prudential Retirement Fund - Hybrid Aggressive Plan</v>
          </cell>
          <cell r="B385">
            <v>4</v>
          </cell>
          <cell r="C385">
            <v>4.1500000000000004</v>
          </cell>
          <cell r="D385" t="str">
            <v>31/44</v>
          </cell>
          <cell r="E385" t="str">
            <v>Very High</v>
          </cell>
          <cell r="F385" t="str">
            <v>HY-AH</v>
          </cell>
        </row>
        <row r="386">
          <cell r="A386" t="str">
            <v>ICICI Prudential Retirement Fund - Hybrid Conservative Plan</v>
          </cell>
          <cell r="B386">
            <v>3</v>
          </cell>
          <cell r="C386">
            <v>6.77</v>
          </cell>
          <cell r="D386" t="str">
            <v>15/28</v>
          </cell>
          <cell r="E386" t="str">
            <v>Moderately High</v>
          </cell>
          <cell r="F386" t="str">
            <v>HY-CH</v>
          </cell>
        </row>
        <row r="387">
          <cell r="A387" t="str">
            <v>ICICI Prudential Retirement Fund - Pure Equity Plan</v>
          </cell>
          <cell r="B387">
            <v>4</v>
          </cell>
          <cell r="C387">
            <v>6.84</v>
          </cell>
          <cell r="D387" t="str">
            <v>19/91</v>
          </cell>
          <cell r="E387" t="str">
            <v>Very High</v>
          </cell>
          <cell r="F387" t="str">
            <v>EQ-FLX</v>
          </cell>
        </row>
        <row r="388">
          <cell r="A388" t="str">
            <v>ICICI Prudential Rural Opportunities Fund - Regular Plan</v>
          </cell>
          <cell r="B388" t="str">
            <v>--</v>
          </cell>
          <cell r="C388" t="str">
            <v>--</v>
          </cell>
          <cell r="D388" t="str">
            <v>--</v>
          </cell>
          <cell r="E388" t="str">
            <v>Very High</v>
          </cell>
          <cell r="F388" t="str">
            <v>EQ-THEMATIC</v>
          </cell>
        </row>
        <row r="389">
          <cell r="A389" t="str">
            <v>ICICI Prudential Smallcap Fund</v>
          </cell>
          <cell r="B389">
            <v>3</v>
          </cell>
          <cell r="C389">
            <v>-1.38</v>
          </cell>
          <cell r="D389" t="str">
            <v>27/44</v>
          </cell>
          <cell r="E389" t="str">
            <v>Very High</v>
          </cell>
          <cell r="F389" t="str">
            <v>EQ-SC</v>
          </cell>
        </row>
        <row r="390">
          <cell r="A390" t="str">
            <v>ICICI Prudential Thematic Advantage Fund (FOF)</v>
          </cell>
          <cell r="B390" t="str">
            <v>--</v>
          </cell>
          <cell r="C390">
            <v>14.93</v>
          </cell>
          <cell r="D390" t="str">
            <v>1/78</v>
          </cell>
          <cell r="E390" t="str">
            <v>Very High</v>
          </cell>
          <cell r="F390" t="str">
            <v>EQ-THEMATIC</v>
          </cell>
        </row>
        <row r="391">
          <cell r="A391" t="str">
            <v>ICICI Prudential Transportation and Logistics Fund</v>
          </cell>
          <cell r="B391" t="str">
            <v>--</v>
          </cell>
          <cell r="C391">
            <v>-1.91</v>
          </cell>
          <cell r="D391" t="str">
            <v>38/78</v>
          </cell>
          <cell r="E391" t="str">
            <v>Very High</v>
          </cell>
          <cell r="F391" t="str">
            <v>EQ-THEMATIC</v>
          </cell>
        </row>
        <row r="392">
          <cell r="A392" t="str">
            <v>Invesco India Aggressive Hybrid Fund - Regular Plan</v>
          </cell>
          <cell r="B392">
            <v>3</v>
          </cell>
          <cell r="C392">
            <v>5.99</v>
          </cell>
          <cell r="D392" t="str">
            <v>15/44</v>
          </cell>
          <cell r="E392" t="str">
            <v>Very High</v>
          </cell>
          <cell r="F392" t="str">
            <v>HY-AH</v>
          </cell>
        </row>
        <row r="393">
          <cell r="A393" t="str">
            <v>Invesco India Arbitrage Fund</v>
          </cell>
          <cell r="B393">
            <v>5</v>
          </cell>
          <cell r="C393">
            <v>6.98</v>
          </cell>
          <cell r="D393" t="str">
            <v>6/27</v>
          </cell>
          <cell r="E393" t="str">
            <v>Low</v>
          </cell>
          <cell r="F393" t="str">
            <v>HY-AR</v>
          </cell>
        </row>
        <row r="394">
          <cell r="A394" t="str">
            <v>Invesco India Balanced Advantage Fund</v>
          </cell>
          <cell r="B394">
            <v>3</v>
          </cell>
          <cell r="C394">
            <v>5.51</v>
          </cell>
          <cell r="D394" t="str">
            <v>22/36</v>
          </cell>
          <cell r="E394" t="str">
            <v>Very High</v>
          </cell>
          <cell r="F394" t="str">
            <v>HY-DAA</v>
          </cell>
        </row>
        <row r="395">
          <cell r="A395" t="str">
            <v>Invesco India Business Cycle Fund - Regular Plan</v>
          </cell>
          <cell r="B395" t="str">
            <v>--</v>
          </cell>
          <cell r="C395" t="str">
            <v>--</v>
          </cell>
          <cell r="D395" t="str">
            <v>--</v>
          </cell>
          <cell r="E395" t="str">
            <v>Very High</v>
          </cell>
          <cell r="F395" t="str">
            <v>EQ-THEMATIC</v>
          </cell>
        </row>
        <row r="396">
          <cell r="A396" t="str">
            <v>Invesco India Flexi Cap Fund - Regular Plan</v>
          </cell>
          <cell r="B396">
            <v>4</v>
          </cell>
          <cell r="C396">
            <v>7.54</v>
          </cell>
          <cell r="D396" t="str">
            <v>14/91</v>
          </cell>
          <cell r="E396" t="str">
            <v>Very High</v>
          </cell>
          <cell r="F396" t="str">
            <v>EQ-FLX</v>
          </cell>
        </row>
        <row r="397">
          <cell r="A397" t="str">
            <v>Invesco India Focused Fund - Regular Plan</v>
          </cell>
          <cell r="B397">
            <v>4</v>
          </cell>
          <cell r="C397">
            <v>7.53</v>
          </cell>
          <cell r="D397" t="str">
            <v>15/91</v>
          </cell>
          <cell r="E397" t="str">
            <v>Very High</v>
          </cell>
          <cell r="F397" t="str">
            <v>EQ-FLX</v>
          </cell>
        </row>
        <row r="398">
          <cell r="A398" t="str">
            <v>Invesco India Largecap Fund</v>
          </cell>
          <cell r="B398">
            <v>4</v>
          </cell>
          <cell r="C398">
            <v>5.18</v>
          </cell>
          <cell r="D398" t="str">
            <v>71/144</v>
          </cell>
          <cell r="E398" t="str">
            <v>Very High</v>
          </cell>
          <cell r="F398" t="str">
            <v>EQ-LC</v>
          </cell>
        </row>
        <row r="399">
          <cell r="A399" t="str">
            <v>Invesco India Large &amp; Mid Cap Fund</v>
          </cell>
          <cell r="B399">
            <v>3</v>
          </cell>
          <cell r="C399">
            <v>11.08</v>
          </cell>
          <cell r="D399" t="str">
            <v>2/54</v>
          </cell>
          <cell r="E399" t="str">
            <v>Very High</v>
          </cell>
          <cell r="F399" t="str">
            <v>EQ-L&amp;MC</v>
          </cell>
        </row>
        <row r="400">
          <cell r="A400" t="str">
            <v>Invesco India Manufacturing Fund - Regular Plan</v>
          </cell>
          <cell r="B400" t="str">
            <v>--</v>
          </cell>
          <cell r="C400" t="str">
            <v>--</v>
          </cell>
          <cell r="D400" t="str">
            <v>--</v>
          </cell>
          <cell r="E400" t="str">
            <v>Very High</v>
          </cell>
          <cell r="F400" t="str">
            <v>EQ-THEMATIC</v>
          </cell>
        </row>
        <row r="401">
          <cell r="A401" t="str">
            <v>Invesco India Mid Cap Fund</v>
          </cell>
          <cell r="B401">
            <v>4</v>
          </cell>
          <cell r="C401">
            <v>13.5</v>
          </cell>
          <cell r="D401" t="str">
            <v>1/53</v>
          </cell>
          <cell r="E401" t="str">
            <v>Very High</v>
          </cell>
          <cell r="F401" t="str">
            <v>EQ-MC</v>
          </cell>
        </row>
        <row r="402">
          <cell r="A402" t="str">
            <v>Invesco India Multi Asset Allocation Fund - Regular Plan</v>
          </cell>
          <cell r="B402" t="str">
            <v>--</v>
          </cell>
          <cell r="C402" t="str">
            <v>--</v>
          </cell>
          <cell r="D402" t="str">
            <v>--</v>
          </cell>
          <cell r="E402" t="str">
            <v>Very High</v>
          </cell>
          <cell r="F402" t="str">
            <v>HY-MAA</v>
          </cell>
        </row>
        <row r="403">
          <cell r="A403" t="str">
            <v>Invesco India Multicap Fund</v>
          </cell>
          <cell r="B403">
            <v>3</v>
          </cell>
          <cell r="C403">
            <v>4.84</v>
          </cell>
          <cell r="D403" t="str">
            <v>7/25</v>
          </cell>
          <cell r="E403" t="str">
            <v>Very High</v>
          </cell>
          <cell r="F403" t="str">
            <v>EQ-MLC</v>
          </cell>
        </row>
        <row r="404">
          <cell r="A404" t="str">
            <v>Invesco India Nifty 50 ETF</v>
          </cell>
          <cell r="B404" t="str">
            <v>--</v>
          </cell>
          <cell r="C404">
            <v>6.42</v>
          </cell>
          <cell r="D404" t="str">
            <v>21/144</v>
          </cell>
          <cell r="E404" t="str">
            <v>Very High</v>
          </cell>
          <cell r="F404" t="str">
            <v>EQ-LC</v>
          </cell>
        </row>
        <row r="405">
          <cell r="A405" t="str">
            <v>Invesco India Smallcap Fund - Regular Plan</v>
          </cell>
          <cell r="B405">
            <v>4</v>
          </cell>
          <cell r="C405">
            <v>7.71</v>
          </cell>
          <cell r="D405" t="str">
            <v>3/44</v>
          </cell>
          <cell r="E405" t="str">
            <v>Very High</v>
          </cell>
          <cell r="F405" t="str">
            <v>EQ-SC</v>
          </cell>
        </row>
        <row r="406">
          <cell r="A406" t="str">
            <v>ITI Arbitrage Fund - Regular Plan</v>
          </cell>
          <cell r="B406">
            <v>1</v>
          </cell>
          <cell r="C406">
            <v>6.84</v>
          </cell>
          <cell r="D406" t="str">
            <v>13/27</v>
          </cell>
          <cell r="E406" t="str">
            <v>Low</v>
          </cell>
          <cell r="F406" t="str">
            <v>HY-AR</v>
          </cell>
        </row>
        <row r="407">
          <cell r="A407" t="str">
            <v>ITI Balanced Advantage Fund - Regular Plan</v>
          </cell>
          <cell r="B407">
            <v>2</v>
          </cell>
          <cell r="C407">
            <v>5.72</v>
          </cell>
          <cell r="D407" t="str">
            <v>21/36</v>
          </cell>
          <cell r="E407" t="str">
            <v>Very High</v>
          </cell>
          <cell r="F407" t="str">
            <v>HY-DAA</v>
          </cell>
        </row>
        <row r="408">
          <cell r="A408" t="str">
            <v>ITI Flexi Cap Fund - Regular Plan</v>
          </cell>
          <cell r="B408" t="str">
            <v>--</v>
          </cell>
          <cell r="C408">
            <v>0.96</v>
          </cell>
          <cell r="D408" t="str">
            <v>68/91</v>
          </cell>
          <cell r="E408" t="str">
            <v>Very High</v>
          </cell>
          <cell r="F408" t="str">
            <v>EQ-FLX</v>
          </cell>
        </row>
        <row r="409">
          <cell r="A409" t="str">
            <v>ITI Focused Equity Fund - Regular Plan</v>
          </cell>
          <cell r="B409" t="str">
            <v>--</v>
          </cell>
          <cell r="C409">
            <v>4.7699999999999996</v>
          </cell>
          <cell r="D409" t="str">
            <v>31/91</v>
          </cell>
          <cell r="E409" t="str">
            <v>Very High</v>
          </cell>
          <cell r="F409" t="str">
            <v>EQ-FLX</v>
          </cell>
        </row>
        <row r="410">
          <cell r="A410" t="str">
            <v>ITI Large Cap Fund - Regular Plan</v>
          </cell>
          <cell r="B410">
            <v>3</v>
          </cell>
          <cell r="C410">
            <v>-1.1399999999999999</v>
          </cell>
          <cell r="D410" t="str">
            <v>115/144</v>
          </cell>
          <cell r="E410" t="str">
            <v>Very High</v>
          </cell>
          <cell r="F410" t="str">
            <v>EQ-LC</v>
          </cell>
        </row>
        <row r="411">
          <cell r="A411" t="str">
            <v>ITI Large &amp; Mid Cap Fund - Regular Plan</v>
          </cell>
          <cell r="B411" t="str">
            <v>--</v>
          </cell>
          <cell r="C411" t="str">
            <v>--</v>
          </cell>
          <cell r="D411" t="str">
            <v>--</v>
          </cell>
          <cell r="E411" t="str">
            <v>Very High</v>
          </cell>
          <cell r="F411" t="str">
            <v>EQ-L&amp;MC</v>
          </cell>
        </row>
        <row r="412">
          <cell r="A412" t="str">
            <v>ITI Mid Cap Fund - Regular Plan</v>
          </cell>
          <cell r="B412">
            <v>4</v>
          </cell>
          <cell r="C412">
            <v>-3.44</v>
          </cell>
          <cell r="D412" t="str">
            <v>48/53</v>
          </cell>
          <cell r="E412" t="str">
            <v>Very High</v>
          </cell>
          <cell r="F412" t="str">
            <v>EQ-MC</v>
          </cell>
        </row>
        <row r="413">
          <cell r="A413" t="str">
            <v>ITI Multi Cap Fund - Regular Plan</v>
          </cell>
          <cell r="B413">
            <v>3</v>
          </cell>
          <cell r="C413">
            <v>-1.94</v>
          </cell>
          <cell r="D413" t="str">
            <v>23/25</v>
          </cell>
          <cell r="E413" t="str">
            <v>Very High</v>
          </cell>
          <cell r="F413" t="str">
            <v>EQ-MLC</v>
          </cell>
        </row>
        <row r="414">
          <cell r="A414" t="str">
            <v>ITI Small Cap Fund - Regular Plan</v>
          </cell>
          <cell r="B414">
            <v>4</v>
          </cell>
          <cell r="C414">
            <v>1.93</v>
          </cell>
          <cell r="D414" t="str">
            <v>12/44</v>
          </cell>
          <cell r="E414" t="str">
            <v>Very High</v>
          </cell>
          <cell r="F414" t="str">
            <v>EQ-SC</v>
          </cell>
        </row>
        <row r="415">
          <cell r="A415" t="str">
            <v>JM Aggressive Hybrid Fund</v>
          </cell>
          <cell r="B415">
            <v>5</v>
          </cell>
          <cell r="C415">
            <v>-2.4</v>
          </cell>
          <cell r="D415" t="str">
            <v>42/44</v>
          </cell>
          <cell r="E415" t="str">
            <v>Very High</v>
          </cell>
          <cell r="F415" t="str">
            <v>HY-AH</v>
          </cell>
        </row>
        <row r="416">
          <cell r="A416" t="str">
            <v>JM Arbitrage Fund</v>
          </cell>
          <cell r="B416">
            <v>2</v>
          </cell>
          <cell r="C416">
            <v>6.37</v>
          </cell>
          <cell r="D416" t="str">
            <v>25/27</v>
          </cell>
          <cell r="E416" t="str">
            <v>Low</v>
          </cell>
          <cell r="F416" t="str">
            <v>HY-AR</v>
          </cell>
        </row>
        <row r="417">
          <cell r="A417" t="str">
            <v>JM Flexicap Fund</v>
          </cell>
          <cell r="B417">
            <v>4</v>
          </cell>
          <cell r="C417">
            <v>-5.26</v>
          </cell>
          <cell r="D417" t="str">
            <v>84/91</v>
          </cell>
          <cell r="E417" t="str">
            <v>Very High</v>
          </cell>
          <cell r="F417" t="str">
            <v>EQ-FLX</v>
          </cell>
        </row>
        <row r="418">
          <cell r="A418" t="str">
            <v>JM Focused Fund</v>
          </cell>
          <cell r="B418">
            <v>3</v>
          </cell>
          <cell r="C418">
            <v>-2.16</v>
          </cell>
          <cell r="D418" t="str">
            <v>77/91</v>
          </cell>
          <cell r="E418" t="str">
            <v>Very High</v>
          </cell>
          <cell r="F418" t="str">
            <v>EQ-FLX</v>
          </cell>
        </row>
        <row r="419">
          <cell r="A419" t="str">
            <v>JM Large Cap Fund</v>
          </cell>
          <cell r="B419">
            <v>4</v>
          </cell>
          <cell r="C419">
            <v>-4.3499999999999996</v>
          </cell>
          <cell r="D419" t="str">
            <v>122/144</v>
          </cell>
          <cell r="E419" t="str">
            <v>Very High</v>
          </cell>
          <cell r="F419" t="str">
            <v>EQ-LC</v>
          </cell>
        </row>
        <row r="420">
          <cell r="A420" t="str">
            <v>JM Midcap Fund - Regular Plan</v>
          </cell>
          <cell r="B420" t="str">
            <v>--</v>
          </cell>
          <cell r="C420">
            <v>-2.59</v>
          </cell>
          <cell r="D420" t="str">
            <v>45/53</v>
          </cell>
          <cell r="E420" t="str">
            <v>Very High</v>
          </cell>
          <cell r="F420" t="str">
            <v>EQ-MC</v>
          </cell>
        </row>
        <row r="421">
          <cell r="A421" t="str">
            <v>JM Small Cap Fund - Regular Plan</v>
          </cell>
          <cell r="B421" t="str">
            <v>--</v>
          </cell>
          <cell r="C421" t="str">
            <v>--</v>
          </cell>
          <cell r="D421" t="str">
            <v>--</v>
          </cell>
          <cell r="E421" t="str">
            <v>Very High</v>
          </cell>
          <cell r="F421" t="str">
            <v>EQ-SC</v>
          </cell>
        </row>
        <row r="422">
          <cell r="A422" t="str">
            <v>Kotak Balanced Advantage Fund - Regular Plan</v>
          </cell>
          <cell r="B422">
            <v>4</v>
          </cell>
          <cell r="C422">
            <v>7.24</v>
          </cell>
          <cell r="D422" t="str">
            <v>10/36</v>
          </cell>
          <cell r="E422" t="str">
            <v>Very High</v>
          </cell>
          <cell r="F422" t="str">
            <v>HY-DAA</v>
          </cell>
        </row>
        <row r="423">
          <cell r="A423" t="str">
            <v>Kotak Bluechip Fund - Regular Plan</v>
          </cell>
          <cell r="B423">
            <v>4</v>
          </cell>
          <cell r="C423">
            <v>4.75</v>
          </cell>
          <cell r="D423" t="str">
            <v>76/144</v>
          </cell>
          <cell r="E423" t="str">
            <v>Very High</v>
          </cell>
          <cell r="F423" t="str">
            <v>EQ-LC</v>
          </cell>
        </row>
        <row r="424">
          <cell r="A424" t="str">
            <v>Kotak BSE Housing Index Fund - Regular Plan</v>
          </cell>
          <cell r="B424" t="str">
            <v>--</v>
          </cell>
          <cell r="C424">
            <v>-8.1999999999999993</v>
          </cell>
          <cell r="D424" t="str">
            <v>71/78</v>
          </cell>
          <cell r="E424" t="str">
            <v>Very High</v>
          </cell>
          <cell r="F424" t="str">
            <v>EQ-THEMATIC</v>
          </cell>
        </row>
        <row r="425">
          <cell r="A425" t="str">
            <v>Kotak BSE Sensex ETF</v>
          </cell>
          <cell r="B425" t="str">
            <v>--</v>
          </cell>
          <cell r="C425">
            <v>6.12</v>
          </cell>
          <cell r="D425" t="str">
            <v>37/144</v>
          </cell>
          <cell r="E425" t="str">
            <v>Very High</v>
          </cell>
          <cell r="F425" t="str">
            <v>EQ-LC</v>
          </cell>
        </row>
        <row r="426">
          <cell r="A426" t="str">
            <v>Kotak BSE Sensex Index Fund - Regular Plan</v>
          </cell>
          <cell r="B426" t="str">
            <v>--</v>
          </cell>
          <cell r="C426" t="str">
            <v>--</v>
          </cell>
          <cell r="D426" t="str">
            <v>--</v>
          </cell>
          <cell r="E426" t="str">
            <v>Very High</v>
          </cell>
          <cell r="F426" t="str">
            <v>EQ-LC</v>
          </cell>
        </row>
        <row r="427">
          <cell r="A427" t="str">
            <v>Kotak Business Cycle Fund - Regular Plan</v>
          </cell>
          <cell r="B427" t="str">
            <v>--</v>
          </cell>
          <cell r="C427">
            <v>6.56</v>
          </cell>
          <cell r="D427" t="str">
            <v>9/78</v>
          </cell>
          <cell r="E427" t="str">
            <v>Very High</v>
          </cell>
          <cell r="F427" t="str">
            <v>EQ-THEMATIC</v>
          </cell>
        </row>
        <row r="428">
          <cell r="A428" t="str">
            <v>Kotak Debt Hybrid Fund - Regular Plan</v>
          </cell>
          <cell r="B428">
            <v>4</v>
          </cell>
          <cell r="C428">
            <v>6.19</v>
          </cell>
          <cell r="D428" t="str">
            <v>22/28</v>
          </cell>
          <cell r="E428" t="str">
            <v>Moderately High</v>
          </cell>
          <cell r="F428" t="str">
            <v>HY-CH</v>
          </cell>
        </row>
        <row r="429">
          <cell r="A429" t="str">
            <v>Kotak Emerging Equity Fund - Regular Plan</v>
          </cell>
          <cell r="B429">
            <v>4</v>
          </cell>
          <cell r="C429">
            <v>4.3099999999999996</v>
          </cell>
          <cell r="D429" t="str">
            <v>11/53</v>
          </cell>
          <cell r="E429" t="str">
            <v>Very High</v>
          </cell>
          <cell r="F429" t="str">
            <v>EQ-MC</v>
          </cell>
        </row>
        <row r="430">
          <cell r="A430" t="str">
            <v>Kotak Equity Arbitrage Fund - Regular Plan</v>
          </cell>
          <cell r="B430">
            <v>5</v>
          </cell>
          <cell r="C430">
            <v>7.08</v>
          </cell>
          <cell r="D430" t="str">
            <v>3/27</v>
          </cell>
          <cell r="E430" t="str">
            <v>Low</v>
          </cell>
          <cell r="F430" t="str">
            <v>HY-AR</v>
          </cell>
        </row>
        <row r="431">
          <cell r="A431" t="str">
            <v>Kotak Equity Hybrid Fund - Regular Plan</v>
          </cell>
          <cell r="B431">
            <v>4</v>
          </cell>
          <cell r="C431">
            <v>5.16</v>
          </cell>
          <cell r="D431" t="str">
            <v>26/44</v>
          </cell>
          <cell r="E431" t="str">
            <v>Very High</v>
          </cell>
          <cell r="F431" t="str">
            <v>HY-AH</v>
          </cell>
        </row>
        <row r="432">
          <cell r="A432" t="str">
            <v>Kotak Equity Opportunities Fund - Regular Plan</v>
          </cell>
          <cell r="B432">
            <v>3</v>
          </cell>
          <cell r="C432">
            <v>0.38</v>
          </cell>
          <cell r="D432" t="str">
            <v>31/54</v>
          </cell>
          <cell r="E432" t="str">
            <v>Very High</v>
          </cell>
          <cell r="F432" t="str">
            <v>EQ-L&amp;MC</v>
          </cell>
        </row>
        <row r="433">
          <cell r="A433" t="str">
            <v>Kotak Flexicap Fund - Regular Plan</v>
          </cell>
          <cell r="B433">
            <v>3</v>
          </cell>
          <cell r="C433">
            <v>4.6900000000000004</v>
          </cell>
          <cell r="D433" t="str">
            <v>32/91</v>
          </cell>
          <cell r="E433" t="str">
            <v>Very High</v>
          </cell>
          <cell r="F433" t="str">
            <v>EQ-FLX</v>
          </cell>
        </row>
        <row r="434">
          <cell r="A434" t="str">
            <v>Kotak Focused Equity Fund - Regular Plan</v>
          </cell>
          <cell r="B434">
            <v>3</v>
          </cell>
          <cell r="C434">
            <v>2.68</v>
          </cell>
          <cell r="D434" t="str">
            <v>51/91</v>
          </cell>
          <cell r="E434" t="str">
            <v>Very High</v>
          </cell>
          <cell r="F434" t="str">
            <v>EQ-FLX</v>
          </cell>
        </row>
        <row r="435">
          <cell r="A435" t="str">
            <v>Kotak Manufacture in India Fund - Regular Plan</v>
          </cell>
          <cell r="B435" t="str">
            <v>--</v>
          </cell>
          <cell r="C435">
            <v>-2.86</v>
          </cell>
          <cell r="D435" t="str">
            <v>45/78</v>
          </cell>
          <cell r="E435" t="str">
            <v>Very High</v>
          </cell>
          <cell r="F435" t="str">
            <v>EQ-THEMATIC</v>
          </cell>
        </row>
        <row r="436">
          <cell r="A436" t="str">
            <v>Kotak MSCI India ETF</v>
          </cell>
          <cell r="B436" t="str">
            <v>--</v>
          </cell>
          <cell r="C436" t="str">
            <v>--</v>
          </cell>
          <cell r="D436" t="str">
            <v>--</v>
          </cell>
          <cell r="E436" t="str">
            <v>Very High</v>
          </cell>
          <cell r="F436" t="str">
            <v>EQ-L&amp;MC</v>
          </cell>
        </row>
        <row r="437">
          <cell r="A437" t="str">
            <v>Kotak Multi Asset Allocation Fund - Regular Plan</v>
          </cell>
          <cell r="B437" t="str">
            <v>--</v>
          </cell>
          <cell r="C437">
            <v>3.57</v>
          </cell>
          <cell r="D437" t="str">
            <v>34/37</v>
          </cell>
          <cell r="E437" t="str">
            <v>Very High</v>
          </cell>
          <cell r="F437" t="str">
            <v>HY-MAA</v>
          </cell>
        </row>
        <row r="438">
          <cell r="A438" t="str">
            <v>Kotak Multi Asset Allocator FoF - Dynamic Regular Plan</v>
          </cell>
          <cell r="B438">
            <v>4</v>
          </cell>
          <cell r="C438">
            <v>7.07</v>
          </cell>
          <cell r="D438" t="str">
            <v>24/37</v>
          </cell>
          <cell r="E438" t="str">
            <v>Very High</v>
          </cell>
          <cell r="F438" t="str">
            <v>HY-MAA</v>
          </cell>
        </row>
        <row r="439">
          <cell r="A439" t="str">
            <v>Kotak Multicap Fund - Regular Plan</v>
          </cell>
          <cell r="B439">
            <v>4</v>
          </cell>
          <cell r="C439">
            <v>0.67</v>
          </cell>
          <cell r="D439" t="str">
            <v>22/25</v>
          </cell>
          <cell r="E439" t="str">
            <v>Very High</v>
          </cell>
          <cell r="F439" t="str">
            <v>EQ-MLC</v>
          </cell>
        </row>
        <row r="440">
          <cell r="A440" t="str">
            <v>Kotak Nifty 100 Equal Weight ETF</v>
          </cell>
          <cell r="B440" t="str">
            <v>--</v>
          </cell>
          <cell r="C440" t="str">
            <v>--</v>
          </cell>
          <cell r="D440" t="str">
            <v>--</v>
          </cell>
          <cell r="E440" t="str">
            <v>Very High</v>
          </cell>
          <cell r="F440" t="str">
            <v>EQ-LC</v>
          </cell>
        </row>
        <row r="441">
          <cell r="A441" t="str">
            <v>Kotak Nifty 100 Equal Weight Index Fund - Regular Plan</v>
          </cell>
          <cell r="B441" t="str">
            <v>--</v>
          </cell>
          <cell r="C441" t="str">
            <v>--</v>
          </cell>
          <cell r="D441" t="str">
            <v>--</v>
          </cell>
          <cell r="E441" t="str">
            <v>Very High</v>
          </cell>
          <cell r="F441" t="str">
            <v>EQ-LC</v>
          </cell>
        </row>
        <row r="442">
          <cell r="A442" t="str">
            <v>Kotak Nifty 100 Low Volatility 30 ETF</v>
          </cell>
          <cell r="B442" t="str">
            <v>--</v>
          </cell>
          <cell r="C442">
            <v>5.66</v>
          </cell>
          <cell r="D442" t="str">
            <v>61/144</v>
          </cell>
          <cell r="E442" t="str">
            <v>Very High</v>
          </cell>
          <cell r="F442" t="str">
            <v>EQ-LC</v>
          </cell>
        </row>
        <row r="443">
          <cell r="A443" t="str">
            <v>Kotak Nifty 100 Low Volatility 30 Index Fund - Regular Plan</v>
          </cell>
          <cell r="B443" t="str">
            <v>--</v>
          </cell>
          <cell r="C443">
            <v>4.4400000000000004</v>
          </cell>
          <cell r="D443" t="str">
            <v>79/144</v>
          </cell>
          <cell r="E443" t="str">
            <v>Very High</v>
          </cell>
          <cell r="F443" t="str">
            <v>EQ-LC</v>
          </cell>
        </row>
        <row r="444">
          <cell r="A444" t="str">
            <v>Kotak Nifty 200 Momentum 30 Index Fund - Regular Plan</v>
          </cell>
          <cell r="B444" t="str">
            <v>--</v>
          </cell>
          <cell r="C444">
            <v>-12.42</v>
          </cell>
          <cell r="D444" t="str">
            <v>45/54</v>
          </cell>
          <cell r="E444" t="str">
            <v>Very High</v>
          </cell>
          <cell r="F444" t="str">
            <v>EQ-L&amp;MC</v>
          </cell>
        </row>
        <row r="445">
          <cell r="A445" t="str">
            <v>Kotak Nifty200 Quality 30 ETF</v>
          </cell>
          <cell r="B445" t="str">
            <v>--</v>
          </cell>
          <cell r="C445" t="str">
            <v>--</v>
          </cell>
          <cell r="D445" t="str">
            <v>--</v>
          </cell>
          <cell r="E445" t="str">
            <v>Very High</v>
          </cell>
          <cell r="F445" t="str">
            <v>EQ-L&amp;MC</v>
          </cell>
        </row>
        <row r="446">
          <cell r="A446" t="str">
            <v>Kotak Nifty 200 Quality 30 Index Fund - Regular Plan</v>
          </cell>
          <cell r="B446" t="str">
            <v>--</v>
          </cell>
          <cell r="C446" t="str">
            <v>--</v>
          </cell>
          <cell r="D446" t="str">
            <v>--</v>
          </cell>
          <cell r="E446" t="str">
            <v>Very High</v>
          </cell>
          <cell r="F446" t="str">
            <v>EQ-L&amp;MC</v>
          </cell>
        </row>
        <row r="447">
          <cell r="A447" t="str">
            <v>Kotak Nifty 50 Equal Weight Index Fund - Regular Plan</v>
          </cell>
          <cell r="B447" t="str">
            <v>--</v>
          </cell>
          <cell r="C447" t="str">
            <v>--</v>
          </cell>
          <cell r="D447" t="str">
            <v>--</v>
          </cell>
          <cell r="E447" t="str">
            <v>Very High</v>
          </cell>
          <cell r="F447" t="str">
            <v>EQ-LC</v>
          </cell>
        </row>
        <row r="448">
          <cell r="A448" t="str">
            <v>Kotak Nifty 50 ETF</v>
          </cell>
          <cell r="B448" t="str">
            <v>--</v>
          </cell>
          <cell r="C448">
            <v>6.49</v>
          </cell>
          <cell r="D448" t="str">
            <v>11/144</v>
          </cell>
          <cell r="E448" t="str">
            <v>Very High</v>
          </cell>
          <cell r="F448" t="str">
            <v>EQ-LC</v>
          </cell>
        </row>
        <row r="449">
          <cell r="A449" t="str">
            <v>Kotak Nifty 50 Index Fund - Regular Plan</v>
          </cell>
          <cell r="B449">
            <v>3</v>
          </cell>
          <cell r="C449">
            <v>5.85</v>
          </cell>
          <cell r="D449" t="str">
            <v>53/144</v>
          </cell>
          <cell r="E449" t="str">
            <v>Very High</v>
          </cell>
          <cell r="F449" t="str">
            <v>EQ-LC</v>
          </cell>
        </row>
        <row r="450">
          <cell r="A450" t="str">
            <v>Kotak Nifty Alpha 50 ETF</v>
          </cell>
          <cell r="B450" t="str">
            <v>--</v>
          </cell>
          <cell r="C450">
            <v>-7.96</v>
          </cell>
          <cell r="D450" t="str">
            <v>87/91</v>
          </cell>
          <cell r="E450" t="str">
            <v>Very High</v>
          </cell>
          <cell r="F450" t="str">
            <v>EQ-FLX</v>
          </cell>
        </row>
        <row r="451">
          <cell r="A451" t="str">
            <v>Kotak Nifty Commodities Index Fund - Regular Plan</v>
          </cell>
          <cell r="B451" t="str">
            <v>--</v>
          </cell>
          <cell r="C451" t="str">
            <v>--</v>
          </cell>
          <cell r="D451" t="str">
            <v>--</v>
          </cell>
          <cell r="E451" t="str">
            <v>Very High</v>
          </cell>
          <cell r="F451" t="str">
            <v>EQ-THEMATIC</v>
          </cell>
        </row>
        <row r="452">
          <cell r="A452" t="str">
            <v>Kotak Nifty India Tourism Index Fund - Regular Plan</v>
          </cell>
          <cell r="B452" t="str">
            <v>--</v>
          </cell>
          <cell r="C452" t="str">
            <v>--</v>
          </cell>
          <cell r="D452" t="str">
            <v>--</v>
          </cell>
          <cell r="E452" t="str">
            <v>Very High</v>
          </cell>
          <cell r="F452" t="str">
            <v>EQ-THEMATIC</v>
          </cell>
        </row>
        <row r="453">
          <cell r="A453" t="str">
            <v>Kotak Nifty Midcap 150 ETF</v>
          </cell>
          <cell r="B453" t="str">
            <v>--</v>
          </cell>
          <cell r="C453" t="str">
            <v>--</v>
          </cell>
          <cell r="D453" t="str">
            <v>--</v>
          </cell>
          <cell r="E453" t="str">
            <v>Very High</v>
          </cell>
          <cell r="F453" t="str">
            <v>EQ-MC</v>
          </cell>
        </row>
        <row r="454">
          <cell r="A454" t="str">
            <v>Kotak Nifty Midcap 150 Index Fund - Regular Plan</v>
          </cell>
          <cell r="B454" t="str">
            <v>--</v>
          </cell>
          <cell r="C454" t="str">
            <v>--</v>
          </cell>
          <cell r="D454" t="str">
            <v>--</v>
          </cell>
          <cell r="E454" t="str">
            <v>Very High</v>
          </cell>
          <cell r="F454" t="str">
            <v>EQ-MC</v>
          </cell>
        </row>
        <row r="455">
          <cell r="A455" t="str">
            <v>Kotak Nifty Midcap 150 Momentum 50 Index Fund - Regular Plan</v>
          </cell>
          <cell r="B455" t="str">
            <v>--</v>
          </cell>
          <cell r="C455" t="str">
            <v>--</v>
          </cell>
          <cell r="D455" t="str">
            <v>--</v>
          </cell>
          <cell r="E455" t="str">
            <v>Very High</v>
          </cell>
          <cell r="F455" t="str">
            <v>EQ-MC</v>
          </cell>
        </row>
        <row r="456">
          <cell r="A456" t="str">
            <v>Kotak Nifty Midcap 50 ETF</v>
          </cell>
          <cell r="B456" t="str">
            <v>--</v>
          </cell>
          <cell r="C456">
            <v>4.5599999999999996</v>
          </cell>
          <cell r="D456" t="str">
            <v>8/53</v>
          </cell>
          <cell r="E456" t="str">
            <v>Very High</v>
          </cell>
          <cell r="F456" t="str">
            <v>EQ-MC</v>
          </cell>
        </row>
        <row r="457">
          <cell r="A457" t="str">
            <v>Kotak Nifty Midcap 50 Index Fund - Regular Plan</v>
          </cell>
          <cell r="B457" t="str">
            <v>--</v>
          </cell>
          <cell r="C457" t="str">
            <v>--</v>
          </cell>
          <cell r="D457" t="str">
            <v>--</v>
          </cell>
          <cell r="E457" t="str">
            <v>Very High</v>
          </cell>
          <cell r="F457" t="str">
            <v>EQ-MC</v>
          </cell>
        </row>
        <row r="458">
          <cell r="A458" t="str">
            <v>Kotak Nifty Next 50 Index Fund - Regular Plan</v>
          </cell>
          <cell r="B458">
            <v>3</v>
          </cell>
          <cell r="C458">
            <v>-7.89</v>
          </cell>
          <cell r="D458" t="str">
            <v>132/144</v>
          </cell>
          <cell r="E458" t="str">
            <v>Very High</v>
          </cell>
          <cell r="F458" t="str">
            <v>EQ-LC</v>
          </cell>
        </row>
        <row r="459">
          <cell r="A459" t="str">
            <v>Kotak Nifty Smallcap 250 Index Fund - Regular Plan</v>
          </cell>
          <cell r="B459" t="str">
            <v>--</v>
          </cell>
          <cell r="C459" t="str">
            <v>--</v>
          </cell>
          <cell r="D459" t="str">
            <v>--</v>
          </cell>
          <cell r="E459" t="str">
            <v>Very High</v>
          </cell>
          <cell r="F459" t="str">
            <v>EQ-SC</v>
          </cell>
        </row>
        <row r="460">
          <cell r="A460" t="str">
            <v>Kotak Nifty Smallcap 50 Index Fund - Regular Plan</v>
          </cell>
          <cell r="B460" t="str">
            <v>--</v>
          </cell>
          <cell r="C460">
            <v>1.78</v>
          </cell>
          <cell r="D460" t="str">
            <v>14/44</v>
          </cell>
          <cell r="E460" t="str">
            <v>Very High</v>
          </cell>
          <cell r="F460" t="str">
            <v>EQ-SC</v>
          </cell>
        </row>
        <row r="461">
          <cell r="A461" t="str">
            <v>Kotak Nifty Top 10 Equal Weight Index Fund - Regular Plan</v>
          </cell>
          <cell r="B461" t="str">
            <v>--</v>
          </cell>
          <cell r="C461" t="str">
            <v>--</v>
          </cell>
          <cell r="D461" t="str">
            <v>--</v>
          </cell>
          <cell r="E461" t="str">
            <v>Very High</v>
          </cell>
          <cell r="F461" t="str">
            <v>EQ-LC</v>
          </cell>
        </row>
        <row r="462">
          <cell r="A462" t="str">
            <v>Kotak Pioneer Fund - Regular Plan</v>
          </cell>
          <cell r="B462" t="str">
            <v>--</v>
          </cell>
          <cell r="C462">
            <v>5.01</v>
          </cell>
          <cell r="D462" t="str">
            <v>14/78</v>
          </cell>
          <cell r="E462" t="str">
            <v>Very High</v>
          </cell>
          <cell r="F462" t="str">
            <v>EQ-THEMATIC</v>
          </cell>
        </row>
        <row r="463">
          <cell r="A463" t="str">
            <v>Kotak Quant Fund - Regular Plan</v>
          </cell>
          <cell r="B463" t="str">
            <v>--</v>
          </cell>
          <cell r="C463">
            <v>-6.81</v>
          </cell>
          <cell r="D463" t="str">
            <v>61/78</v>
          </cell>
          <cell r="E463" t="str">
            <v>Very High</v>
          </cell>
          <cell r="F463" t="str">
            <v>EQ-THEMATIC</v>
          </cell>
        </row>
        <row r="464">
          <cell r="A464" t="str">
            <v>Kotak Small Cap Fund - Regular Plan</v>
          </cell>
          <cell r="B464">
            <v>2</v>
          </cell>
          <cell r="C464">
            <v>-1.57</v>
          </cell>
          <cell r="D464" t="str">
            <v>33/44</v>
          </cell>
          <cell r="E464" t="str">
            <v>Very High</v>
          </cell>
          <cell r="F464" t="str">
            <v>EQ-SC</v>
          </cell>
        </row>
        <row r="465">
          <cell r="A465" t="str">
            <v>Kotak Special Opportunities Fund - Regular Plan</v>
          </cell>
          <cell r="B465" t="str">
            <v>--</v>
          </cell>
          <cell r="C465" t="str">
            <v>--</v>
          </cell>
          <cell r="D465" t="str">
            <v>--</v>
          </cell>
          <cell r="E465" t="str">
            <v>Very High</v>
          </cell>
          <cell r="F465" t="str">
            <v>EQ-THEMATIC</v>
          </cell>
        </row>
        <row r="466">
          <cell r="A466" t="str">
            <v>Kotak Transportation &amp; Logistics Fund - Regular Plan</v>
          </cell>
          <cell r="B466" t="str">
            <v>--</v>
          </cell>
          <cell r="C466" t="str">
            <v>--</v>
          </cell>
          <cell r="D466" t="str">
            <v>--</v>
          </cell>
          <cell r="E466" t="str">
            <v>Very High</v>
          </cell>
          <cell r="F466" t="str">
            <v>EQ-THEMATIC</v>
          </cell>
        </row>
        <row r="467">
          <cell r="A467" t="str">
            <v>LIC MF Aggressive Hybrid Fund</v>
          </cell>
          <cell r="B467">
            <v>2</v>
          </cell>
          <cell r="C467">
            <v>4.6399999999999997</v>
          </cell>
          <cell r="D467" t="str">
            <v>29/44</v>
          </cell>
          <cell r="E467" t="str">
            <v>Very High</v>
          </cell>
          <cell r="F467" t="str">
            <v>HY-AH</v>
          </cell>
        </row>
        <row r="468">
          <cell r="A468" t="str">
            <v>LIC MF Arbitrage Fund - Regular Plan</v>
          </cell>
          <cell r="B468">
            <v>2</v>
          </cell>
          <cell r="C468">
            <v>6.66</v>
          </cell>
          <cell r="D468" t="str">
            <v>21/27</v>
          </cell>
          <cell r="E468" t="str">
            <v>Low</v>
          </cell>
          <cell r="F468" t="str">
            <v>HY-AR</v>
          </cell>
        </row>
        <row r="469">
          <cell r="A469" t="str">
            <v>LIC MF Balanced Advantage Fund - Regular Plan</v>
          </cell>
          <cell r="B469">
            <v>3</v>
          </cell>
          <cell r="C469">
            <v>8.8000000000000007</v>
          </cell>
          <cell r="D469" t="str">
            <v>4/36</v>
          </cell>
          <cell r="E469" t="str">
            <v>Very High</v>
          </cell>
          <cell r="F469" t="str">
            <v>HY-DAA</v>
          </cell>
        </row>
        <row r="470">
          <cell r="A470" t="str">
            <v>LIC MF BSE Sensex ETF</v>
          </cell>
          <cell r="B470" t="str">
            <v>--</v>
          </cell>
          <cell r="C470">
            <v>6.21</v>
          </cell>
          <cell r="D470" t="str">
            <v>33/144</v>
          </cell>
          <cell r="E470" t="str">
            <v>Very High</v>
          </cell>
          <cell r="F470" t="str">
            <v>EQ-LC</v>
          </cell>
        </row>
        <row r="471">
          <cell r="A471" t="str">
            <v>LIC MF BSE Sensex Index Plan</v>
          </cell>
          <cell r="B471">
            <v>2</v>
          </cell>
          <cell r="C471">
            <v>5.17</v>
          </cell>
          <cell r="D471" t="str">
            <v>72/144</v>
          </cell>
          <cell r="E471" t="str">
            <v>Very High</v>
          </cell>
          <cell r="F471" t="str">
            <v>EQ-LC</v>
          </cell>
        </row>
        <row r="472">
          <cell r="A472" t="str">
            <v>LIC MF Children's Fund</v>
          </cell>
          <cell r="B472">
            <v>2</v>
          </cell>
          <cell r="C472">
            <v>-2.2000000000000002</v>
          </cell>
          <cell r="D472" t="str">
            <v>79/91</v>
          </cell>
          <cell r="E472" t="str">
            <v>Very High</v>
          </cell>
          <cell r="F472" t="str">
            <v>EQ-FLX</v>
          </cell>
        </row>
        <row r="473">
          <cell r="A473" t="str">
            <v>LIC MF Conservative Hybrid Fund</v>
          </cell>
          <cell r="B473">
            <v>1</v>
          </cell>
          <cell r="C473">
            <v>7.08</v>
          </cell>
          <cell r="D473" t="str">
            <v>11/28</v>
          </cell>
          <cell r="E473" t="str">
            <v>Moderately High</v>
          </cell>
          <cell r="F473" t="str">
            <v>HY-CH</v>
          </cell>
        </row>
        <row r="474">
          <cell r="A474" t="str">
            <v>LIC MF Flexi Cap Fund</v>
          </cell>
          <cell r="B474">
            <v>2</v>
          </cell>
          <cell r="C474">
            <v>-4.63</v>
          </cell>
          <cell r="D474" t="str">
            <v>81/91</v>
          </cell>
          <cell r="E474" t="str">
            <v>Very High</v>
          </cell>
          <cell r="F474" t="str">
            <v>EQ-FLX</v>
          </cell>
        </row>
        <row r="475">
          <cell r="A475" t="str">
            <v>LIC MF Focused Fund - Regular Plan</v>
          </cell>
          <cell r="B475" t="str">
            <v>--</v>
          </cell>
          <cell r="C475">
            <v>4.5599999999999996</v>
          </cell>
          <cell r="D475" t="str">
            <v>--</v>
          </cell>
          <cell r="E475" t="str">
            <v>Very High</v>
          </cell>
          <cell r="F475" t="str">
            <v>EQ-FLX</v>
          </cell>
        </row>
        <row r="476">
          <cell r="A476" t="str">
            <v>LIC MF Large Cap Fund</v>
          </cell>
          <cell r="B476">
            <v>2</v>
          </cell>
          <cell r="C476">
            <v>4.24</v>
          </cell>
          <cell r="D476" t="str">
            <v>82/144</v>
          </cell>
          <cell r="E476" t="str">
            <v>Very High</v>
          </cell>
          <cell r="F476" t="str">
            <v>EQ-LC</v>
          </cell>
        </row>
        <row r="477">
          <cell r="A477" t="str">
            <v>LIC MF Large &amp; Mid Cap Fund - Regular Plan</v>
          </cell>
          <cell r="B477">
            <v>2</v>
          </cell>
          <cell r="C477">
            <v>2.67</v>
          </cell>
          <cell r="D477" t="str">
            <v>16/54</v>
          </cell>
          <cell r="E477" t="str">
            <v>Very High</v>
          </cell>
          <cell r="F477" t="str">
            <v>EQ-L&amp;MC</v>
          </cell>
        </row>
        <row r="478">
          <cell r="A478" t="str">
            <v>LIC MF Manufacturing Fund - Regular Plan</v>
          </cell>
          <cell r="B478" t="str">
            <v>--</v>
          </cell>
          <cell r="C478" t="str">
            <v>--</v>
          </cell>
          <cell r="D478" t="str">
            <v>--</v>
          </cell>
          <cell r="E478" t="str">
            <v>Very High</v>
          </cell>
          <cell r="F478" t="str">
            <v>EQ-THEMATIC</v>
          </cell>
        </row>
        <row r="479">
          <cell r="A479" t="str">
            <v>LIC MF Midcap Fund - Regular Plan</v>
          </cell>
          <cell r="B479">
            <v>2</v>
          </cell>
          <cell r="C479">
            <v>0.69</v>
          </cell>
          <cell r="D479" t="str">
            <v>36/53</v>
          </cell>
          <cell r="E479" t="str">
            <v>Very High</v>
          </cell>
          <cell r="F479" t="str">
            <v>EQ-MC</v>
          </cell>
        </row>
        <row r="480">
          <cell r="A480" t="str">
            <v>LIC MF Multi Asset Allocation Fund - Regular Plan</v>
          </cell>
          <cell r="B480" t="str">
            <v>--</v>
          </cell>
          <cell r="C480" t="str">
            <v>--</v>
          </cell>
          <cell r="D480" t="str">
            <v>--</v>
          </cell>
          <cell r="E480" t="str">
            <v>Very High</v>
          </cell>
          <cell r="F480" t="str">
            <v>HY-MAA</v>
          </cell>
        </row>
        <row r="481">
          <cell r="A481" t="str">
            <v>LIC MF Multi Cap Fund - Regular Plan</v>
          </cell>
          <cell r="B481" t="str">
            <v>--</v>
          </cell>
          <cell r="C481">
            <v>4.09</v>
          </cell>
          <cell r="D481" t="str">
            <v>9/25</v>
          </cell>
          <cell r="E481" t="str">
            <v>Very High</v>
          </cell>
          <cell r="F481" t="str">
            <v>EQ-MLC</v>
          </cell>
        </row>
        <row r="482">
          <cell r="A482" t="str">
            <v>LIC MF Nifty 100 ETF</v>
          </cell>
          <cell r="B482" t="str">
            <v>--</v>
          </cell>
          <cell r="C482">
            <v>3.68</v>
          </cell>
          <cell r="D482" t="str">
            <v>91/144</v>
          </cell>
          <cell r="E482" t="str">
            <v>Very High</v>
          </cell>
          <cell r="F482" t="str">
            <v>EQ-LC</v>
          </cell>
        </row>
        <row r="483">
          <cell r="A483" t="str">
            <v>LIC MF Nifty 50 ETF</v>
          </cell>
          <cell r="B483" t="str">
            <v>--</v>
          </cell>
          <cell r="C483">
            <v>6.46</v>
          </cell>
          <cell r="D483" t="str">
            <v>17/144</v>
          </cell>
          <cell r="E483" t="str">
            <v>Very High</v>
          </cell>
          <cell r="F483" t="str">
            <v>EQ-LC</v>
          </cell>
        </row>
        <row r="484">
          <cell r="A484" t="str">
            <v>LIC MF Nifty 50 Index Plan</v>
          </cell>
          <cell r="B484">
            <v>2</v>
          </cell>
          <cell r="C484">
            <v>5.42</v>
          </cell>
          <cell r="D484" t="str">
            <v>66/144</v>
          </cell>
          <cell r="E484" t="str">
            <v>Very High</v>
          </cell>
          <cell r="F484" t="str">
            <v>EQ-LC</v>
          </cell>
        </row>
        <row r="485">
          <cell r="A485" t="str">
            <v>LIC MF Nifty Midcap 100 ETF</v>
          </cell>
          <cell r="B485" t="str">
            <v>--</v>
          </cell>
          <cell r="C485">
            <v>4.25</v>
          </cell>
          <cell r="D485" t="str">
            <v>12/53</v>
          </cell>
          <cell r="E485" t="str">
            <v>Very High</v>
          </cell>
          <cell r="F485" t="str">
            <v>EQ-MC</v>
          </cell>
        </row>
        <row r="486">
          <cell r="A486" t="str">
            <v>LIC MF Nifty Next 50 Index Fund</v>
          </cell>
          <cell r="B486">
            <v>2</v>
          </cell>
          <cell r="C486">
            <v>-8.06</v>
          </cell>
          <cell r="D486" t="str">
            <v>137/144</v>
          </cell>
          <cell r="E486" t="str">
            <v>Very High</v>
          </cell>
          <cell r="F486" t="str">
            <v>EQ-LC</v>
          </cell>
        </row>
        <row r="487">
          <cell r="A487" t="str">
            <v>LIC MF Small Cap Fund - Regular Plan</v>
          </cell>
          <cell r="B487">
            <v>2</v>
          </cell>
          <cell r="C487">
            <v>-4.7300000000000004</v>
          </cell>
          <cell r="D487" t="str">
            <v>41/44</v>
          </cell>
          <cell r="E487" t="str">
            <v>Very High</v>
          </cell>
          <cell r="F487" t="str">
            <v>EQ-SC</v>
          </cell>
        </row>
        <row r="488">
          <cell r="A488" t="str">
            <v>LIC MF Unit Linked Insurance</v>
          </cell>
          <cell r="B488">
            <v>2</v>
          </cell>
          <cell r="C488">
            <v>5.9</v>
          </cell>
          <cell r="D488" t="str">
            <v>18/44</v>
          </cell>
          <cell r="E488" t="str">
            <v>Very High</v>
          </cell>
          <cell r="F488" t="str">
            <v>HY-AH</v>
          </cell>
        </row>
        <row r="489">
          <cell r="A489" t="str">
            <v>Mahindra Manulife Aggressive Hybrid Fund - Regular Plan</v>
          </cell>
          <cell r="B489">
            <v>4</v>
          </cell>
          <cell r="C489">
            <v>7.46</v>
          </cell>
          <cell r="D489" t="str">
            <v>7/44</v>
          </cell>
          <cell r="E489" t="str">
            <v>Very High</v>
          </cell>
          <cell r="F489" t="str">
            <v>HY-AH</v>
          </cell>
        </row>
        <row r="490">
          <cell r="A490" t="str">
            <v>Mahindra Manulife Arbitrage Fund - Regular Plan</v>
          </cell>
          <cell r="B490">
            <v>1</v>
          </cell>
          <cell r="C490">
            <v>5.52</v>
          </cell>
          <cell r="D490" t="str">
            <v>27/27</v>
          </cell>
          <cell r="E490" t="str">
            <v>Low</v>
          </cell>
          <cell r="F490" t="str">
            <v>HY-AR</v>
          </cell>
        </row>
        <row r="491">
          <cell r="A491" t="str">
            <v>Mahindra Manulife Balanced Advantage Fund - Regular Plan</v>
          </cell>
          <cell r="B491">
            <v>3</v>
          </cell>
          <cell r="C491">
            <v>4.3899999999999997</v>
          </cell>
          <cell r="D491" t="str">
            <v>25/36</v>
          </cell>
          <cell r="E491" t="str">
            <v>Very High</v>
          </cell>
          <cell r="F491" t="str">
            <v>HY-DAA</v>
          </cell>
        </row>
        <row r="492">
          <cell r="A492" t="str">
            <v>Mahindra Manulife Business Cycle Fund - Regular Plan</v>
          </cell>
          <cell r="B492" t="str">
            <v>--</v>
          </cell>
          <cell r="C492">
            <v>0.34</v>
          </cell>
          <cell r="D492" t="str">
            <v>31/78</v>
          </cell>
          <cell r="E492" t="str">
            <v>Very High</v>
          </cell>
          <cell r="F492" t="str">
            <v>EQ-THEMATIC</v>
          </cell>
        </row>
        <row r="493">
          <cell r="A493" t="str">
            <v>Mahindra Manulife Flexi Cap Fund - Regular Plan</v>
          </cell>
          <cell r="B493">
            <v>3</v>
          </cell>
          <cell r="C493">
            <v>3.35</v>
          </cell>
          <cell r="D493" t="str">
            <v>45/91</v>
          </cell>
          <cell r="E493" t="str">
            <v>Very High</v>
          </cell>
          <cell r="F493" t="str">
            <v>EQ-FLX</v>
          </cell>
        </row>
        <row r="494">
          <cell r="A494" t="str">
            <v>Mahindra Manulife Focused Fund - Regular Plan</v>
          </cell>
          <cell r="B494">
            <v>4</v>
          </cell>
          <cell r="C494">
            <v>2.5499999999999998</v>
          </cell>
          <cell r="D494" t="str">
            <v>53/91</v>
          </cell>
          <cell r="E494" t="str">
            <v>Very High</v>
          </cell>
          <cell r="F494" t="str">
            <v>EQ-FLX</v>
          </cell>
        </row>
        <row r="495">
          <cell r="A495" t="str">
            <v>Mahindra Manulife Large Cap Fund - Regular Plan</v>
          </cell>
          <cell r="B495">
            <v>4</v>
          </cell>
          <cell r="C495">
            <v>4.2300000000000004</v>
          </cell>
          <cell r="D495" t="str">
            <v>83/144</v>
          </cell>
          <cell r="E495" t="str">
            <v>Very High</v>
          </cell>
          <cell r="F495" t="str">
            <v>EQ-LC</v>
          </cell>
        </row>
        <row r="496">
          <cell r="A496" t="str">
            <v>Mahindra Manulife Large &amp; Mid Cap Fund - Regular Plan</v>
          </cell>
          <cell r="B496">
            <v>3</v>
          </cell>
          <cell r="C496">
            <v>-0.5</v>
          </cell>
          <cell r="D496" t="str">
            <v>35/54</v>
          </cell>
          <cell r="E496" t="str">
            <v>Very High</v>
          </cell>
          <cell r="F496" t="str">
            <v>EQ-L&amp;MC</v>
          </cell>
        </row>
        <row r="497">
          <cell r="A497" t="str">
            <v>Mahindra Manulife Manufacturing Fund - Regular Plan</v>
          </cell>
          <cell r="B497" t="str">
            <v>--</v>
          </cell>
          <cell r="C497" t="str">
            <v>--</v>
          </cell>
          <cell r="D497" t="str">
            <v>--</v>
          </cell>
          <cell r="E497" t="str">
            <v>Very High</v>
          </cell>
          <cell r="F497" t="str">
            <v>EQ-THEMATIC</v>
          </cell>
        </row>
        <row r="498">
          <cell r="A498" t="str">
            <v>Mahindra Manulife Mid Cap Fund - Regular Plan</v>
          </cell>
          <cell r="B498">
            <v>3</v>
          </cell>
          <cell r="C498">
            <v>0.13</v>
          </cell>
          <cell r="D498" t="str">
            <v>41/53</v>
          </cell>
          <cell r="E498" t="str">
            <v>Very High</v>
          </cell>
          <cell r="F498" t="str">
            <v>EQ-MC</v>
          </cell>
        </row>
        <row r="499">
          <cell r="A499" t="str">
            <v>Mahindra Manulife Multi Asset Allocation Fund - Regular Plan</v>
          </cell>
          <cell r="B499" t="str">
            <v>--</v>
          </cell>
          <cell r="C499">
            <v>9</v>
          </cell>
          <cell r="D499" t="str">
            <v>14/37</v>
          </cell>
          <cell r="E499" t="str">
            <v>Very High</v>
          </cell>
          <cell r="F499" t="str">
            <v>HY-MAA</v>
          </cell>
        </row>
        <row r="500">
          <cell r="A500" t="str">
            <v>Mahindra Manulife Multi Cap Fund - Regular Plan</v>
          </cell>
          <cell r="B500">
            <v>2</v>
          </cell>
          <cell r="C500">
            <v>2.68</v>
          </cell>
          <cell r="D500" t="str">
            <v>13/25</v>
          </cell>
          <cell r="E500" t="str">
            <v>Very High</v>
          </cell>
          <cell r="F500" t="str">
            <v>EQ-MLC</v>
          </cell>
        </row>
        <row r="501">
          <cell r="A501" t="str">
            <v>Mahindra Manulife Small Cap Fund - Regular Plan</v>
          </cell>
          <cell r="B501" t="str">
            <v>--</v>
          </cell>
          <cell r="C501">
            <v>-1.49</v>
          </cell>
          <cell r="D501" t="str">
            <v>32/44</v>
          </cell>
          <cell r="E501" t="str">
            <v>Very High</v>
          </cell>
          <cell r="F501" t="str">
            <v>EQ-SC</v>
          </cell>
        </row>
        <row r="502">
          <cell r="A502" t="str">
            <v>Mirae Asset Aggressive Hybrid Fund - Regular Plan</v>
          </cell>
          <cell r="B502">
            <v>3</v>
          </cell>
          <cell r="C502">
            <v>5.97</v>
          </cell>
          <cell r="D502" t="str">
            <v>16/44</v>
          </cell>
          <cell r="E502" t="str">
            <v>Very High</v>
          </cell>
          <cell r="F502" t="str">
            <v>HY-AH</v>
          </cell>
        </row>
        <row r="503">
          <cell r="A503" t="str">
            <v>Mirae Asset Arbitrage Fund - Regular Plan</v>
          </cell>
          <cell r="B503">
            <v>3</v>
          </cell>
          <cell r="C503">
            <v>6.71</v>
          </cell>
          <cell r="D503" t="str">
            <v>17/27</v>
          </cell>
          <cell r="E503" t="str">
            <v>Low</v>
          </cell>
          <cell r="F503" t="str">
            <v>HY-AR</v>
          </cell>
        </row>
        <row r="504">
          <cell r="A504" t="str">
            <v>Mirae Asset Balanced Advantage Fund - Regular Plan</v>
          </cell>
          <cell r="B504" t="str">
            <v>--</v>
          </cell>
          <cell r="C504">
            <v>6.65</v>
          </cell>
          <cell r="D504" t="str">
            <v>13/36</v>
          </cell>
          <cell r="E504" t="str">
            <v>Very High</v>
          </cell>
          <cell r="F504" t="str">
            <v>HY-DAA</v>
          </cell>
        </row>
        <row r="505">
          <cell r="A505" t="str">
            <v>Mirae Asset BSE 200 Equal Weight ETF</v>
          </cell>
          <cell r="B505" t="str">
            <v>--</v>
          </cell>
          <cell r="C505" t="str">
            <v>--</v>
          </cell>
          <cell r="D505" t="str">
            <v>--</v>
          </cell>
          <cell r="E505" t="str">
            <v>Low</v>
          </cell>
          <cell r="F505" t="str">
            <v>EQ-L&amp;MC</v>
          </cell>
        </row>
        <row r="506">
          <cell r="A506" t="str">
            <v>Mirae Asset BSE 200 Equal Weight ETF FoF - Regular Plan</v>
          </cell>
          <cell r="B506" t="str">
            <v>--</v>
          </cell>
          <cell r="C506" t="str">
            <v>--</v>
          </cell>
          <cell r="D506" t="str">
            <v>--</v>
          </cell>
          <cell r="E506" t="str">
            <v>Low</v>
          </cell>
          <cell r="F506" t="str">
            <v>EQ-L&amp;MC</v>
          </cell>
        </row>
        <row r="507">
          <cell r="A507" t="str">
            <v>Mirae Asset BSE Select IPO ETF</v>
          </cell>
          <cell r="B507" t="str">
            <v>--</v>
          </cell>
          <cell r="C507" t="str">
            <v>--</v>
          </cell>
          <cell r="D507" t="str">
            <v>--</v>
          </cell>
          <cell r="E507" t="str">
            <v>Low</v>
          </cell>
          <cell r="F507" t="str">
            <v>EQ-THEMATIC</v>
          </cell>
        </row>
        <row r="508">
          <cell r="A508" t="str">
            <v>Mirae Asset BSE Select IPO ETF FoF - Regular Plan</v>
          </cell>
          <cell r="B508" t="str">
            <v>--</v>
          </cell>
          <cell r="C508" t="str">
            <v>--</v>
          </cell>
          <cell r="D508" t="str">
            <v>--</v>
          </cell>
          <cell r="E508" t="str">
            <v>Low</v>
          </cell>
          <cell r="F508" t="str">
            <v>EQ-THEMATIC</v>
          </cell>
        </row>
        <row r="509">
          <cell r="A509" t="str">
            <v>Mirae Asset BSE Sensex ETF</v>
          </cell>
          <cell r="B509" t="str">
            <v>--</v>
          </cell>
          <cell r="C509">
            <v>6.28</v>
          </cell>
          <cell r="D509" t="str">
            <v>26/144</v>
          </cell>
          <cell r="E509" t="str">
            <v>Very High</v>
          </cell>
          <cell r="F509" t="str">
            <v>EQ-LC</v>
          </cell>
        </row>
        <row r="510">
          <cell r="A510" t="str">
            <v>Mirae Asset Diversified Equity Allocator Passive FoF - Regular Plan</v>
          </cell>
          <cell r="B510">
            <v>4</v>
          </cell>
          <cell r="C510">
            <v>2.88</v>
          </cell>
          <cell r="D510" t="str">
            <v>102/144</v>
          </cell>
          <cell r="E510" t="str">
            <v>Very High</v>
          </cell>
          <cell r="F510" t="str">
            <v>EQ-LC</v>
          </cell>
        </row>
        <row r="511">
          <cell r="A511" t="str">
            <v>Mirae Asset Flexi Cap Fund - Regular Plan</v>
          </cell>
          <cell r="B511" t="str">
            <v>--</v>
          </cell>
          <cell r="C511">
            <v>5.03</v>
          </cell>
          <cell r="D511" t="str">
            <v>30/91</v>
          </cell>
          <cell r="E511" t="str">
            <v>Very High</v>
          </cell>
          <cell r="F511" t="str">
            <v>EQ-FLX</v>
          </cell>
        </row>
        <row r="512">
          <cell r="A512" t="str">
            <v>Mirae Asset Focused Fund - Regular Plan</v>
          </cell>
          <cell r="B512">
            <v>2</v>
          </cell>
          <cell r="C512">
            <v>8.89</v>
          </cell>
          <cell r="D512" t="str">
            <v>7/91</v>
          </cell>
          <cell r="E512" t="str">
            <v>Very High</v>
          </cell>
          <cell r="F512" t="str">
            <v>EQ-FLX</v>
          </cell>
        </row>
        <row r="513">
          <cell r="A513" t="str">
            <v>Mirae Asset Large Cap Fund - Regular Plan</v>
          </cell>
          <cell r="B513">
            <v>3</v>
          </cell>
          <cell r="C513">
            <v>6.13</v>
          </cell>
          <cell r="D513" t="str">
            <v>35/144</v>
          </cell>
          <cell r="E513" t="str">
            <v>Very High</v>
          </cell>
          <cell r="F513" t="str">
            <v>EQ-LC</v>
          </cell>
        </row>
        <row r="514">
          <cell r="A514" t="str">
            <v>Mirae Asset Large &amp; Midcap Fund - Regular Plan</v>
          </cell>
          <cell r="B514">
            <v>2</v>
          </cell>
          <cell r="C514">
            <v>2.37</v>
          </cell>
          <cell r="D514" t="str">
            <v>20/54</v>
          </cell>
          <cell r="E514" t="str">
            <v>Very High</v>
          </cell>
          <cell r="F514" t="str">
            <v>EQ-L&amp;MC</v>
          </cell>
        </row>
        <row r="515">
          <cell r="A515" t="str">
            <v>Mirae Asset Midcap Fund - Regular Plan</v>
          </cell>
          <cell r="B515">
            <v>2</v>
          </cell>
          <cell r="C515">
            <v>1.68</v>
          </cell>
          <cell r="D515" t="str">
            <v>27/53</v>
          </cell>
          <cell r="E515" t="str">
            <v>Very High</v>
          </cell>
          <cell r="F515" t="str">
            <v>EQ-MC</v>
          </cell>
        </row>
        <row r="516">
          <cell r="A516" t="str">
            <v>Mirae Asset Multi Asset Allocation Fund - Regular Plan</v>
          </cell>
          <cell r="B516" t="str">
            <v>--</v>
          </cell>
          <cell r="C516">
            <v>10.58</v>
          </cell>
          <cell r="D516" t="str">
            <v>7/37</v>
          </cell>
          <cell r="E516" t="str">
            <v>Very High</v>
          </cell>
          <cell r="F516" t="str">
            <v>HY-MAA</v>
          </cell>
        </row>
        <row r="517">
          <cell r="A517" t="str">
            <v>Mirae Asset Multicap Fund - Regular Plan</v>
          </cell>
          <cell r="B517" t="str">
            <v>--</v>
          </cell>
          <cell r="C517">
            <v>5.94</v>
          </cell>
          <cell r="D517" t="str">
            <v>4/25</v>
          </cell>
          <cell r="E517" t="str">
            <v>Very High</v>
          </cell>
          <cell r="F517" t="str">
            <v>EQ-MLC</v>
          </cell>
        </row>
        <row r="518">
          <cell r="A518" t="str">
            <v>Mirae Asset Nifty 100 Low Volatility 30 ETF</v>
          </cell>
          <cell r="B518" t="str">
            <v>--</v>
          </cell>
          <cell r="C518">
            <v>5.59</v>
          </cell>
          <cell r="D518" t="str">
            <v>63/144</v>
          </cell>
          <cell r="E518" t="str">
            <v>Very High</v>
          </cell>
          <cell r="F518" t="str">
            <v>EQ-LC</v>
          </cell>
        </row>
        <row r="519">
          <cell r="A519" t="str">
            <v>Mirae Asset Nifty 200 Alpha 30 ETF</v>
          </cell>
          <cell r="B519" t="str">
            <v>--</v>
          </cell>
          <cell r="C519">
            <v>-9.7899999999999991</v>
          </cell>
          <cell r="D519" t="str">
            <v>44/54</v>
          </cell>
          <cell r="E519" t="str">
            <v>Very High</v>
          </cell>
          <cell r="F519" t="str">
            <v>EQ-L&amp;MC</v>
          </cell>
        </row>
        <row r="520">
          <cell r="A520" t="str">
            <v>Mirae Asset Nifty 200 Alpha 30 ETF FoF - Regular Plan</v>
          </cell>
          <cell r="B520" t="str">
            <v>--</v>
          </cell>
          <cell r="C520" t="str">
            <v>--</v>
          </cell>
          <cell r="D520" t="str">
            <v>--</v>
          </cell>
          <cell r="E520" t="str">
            <v>Very High</v>
          </cell>
          <cell r="F520" t="str">
            <v>EQ-L&amp;MC</v>
          </cell>
        </row>
        <row r="521">
          <cell r="A521" t="str">
            <v>Mirae Asset Nifty500 Multicap 50:25:25 ETF</v>
          </cell>
          <cell r="B521" t="str">
            <v>--</v>
          </cell>
          <cell r="C521" t="str">
            <v>--</v>
          </cell>
          <cell r="D521" t="str">
            <v>--</v>
          </cell>
          <cell r="E521" t="str">
            <v>Very High</v>
          </cell>
          <cell r="F521" t="str">
            <v>EQ-MLC</v>
          </cell>
        </row>
        <row r="522">
          <cell r="A522" t="str">
            <v>Mirae Asset Nifty50 Equal Weight ETF</v>
          </cell>
          <cell r="B522" t="str">
            <v>--</v>
          </cell>
          <cell r="C522" t="str">
            <v>--</v>
          </cell>
          <cell r="D522" t="str">
            <v>--</v>
          </cell>
          <cell r="E522" t="str">
            <v>Very High</v>
          </cell>
          <cell r="F522" t="str">
            <v>EQ-LC</v>
          </cell>
        </row>
        <row r="523">
          <cell r="A523" t="str">
            <v>Mirae Asset Nifty 50 ETF</v>
          </cell>
          <cell r="B523" t="str">
            <v>--</v>
          </cell>
          <cell r="C523">
            <v>6.49</v>
          </cell>
          <cell r="D523" t="str">
            <v>9/144</v>
          </cell>
          <cell r="E523" t="str">
            <v>Very High</v>
          </cell>
          <cell r="F523" t="str">
            <v>EQ-LC</v>
          </cell>
        </row>
        <row r="524">
          <cell r="A524" t="str">
            <v>Mirae Asset Nifty 50 Index Fund - Regular Plan</v>
          </cell>
          <cell r="B524" t="str">
            <v>--</v>
          </cell>
          <cell r="C524" t="str">
            <v>--</v>
          </cell>
          <cell r="D524" t="str">
            <v>--</v>
          </cell>
          <cell r="E524" t="str">
            <v>Very High</v>
          </cell>
          <cell r="F524" t="str">
            <v>EQ-LC</v>
          </cell>
        </row>
        <row r="525">
          <cell r="A525" t="str">
            <v>Mirae Asset Nifty EV and New Age Automotive ETF</v>
          </cell>
          <cell r="B525" t="str">
            <v>--</v>
          </cell>
          <cell r="C525" t="str">
            <v>--</v>
          </cell>
          <cell r="D525" t="str">
            <v>--</v>
          </cell>
          <cell r="E525" t="str">
            <v>Very High</v>
          </cell>
          <cell r="F525" t="str">
            <v>EQ-THEMATIC</v>
          </cell>
        </row>
        <row r="526">
          <cell r="A526" t="str">
            <v>Mirae Asset Nifty India Internet ETF</v>
          </cell>
          <cell r="B526" t="str">
            <v>--</v>
          </cell>
          <cell r="C526" t="str">
            <v>--</v>
          </cell>
          <cell r="D526" t="str">
            <v>--</v>
          </cell>
          <cell r="E526" t="str">
            <v>Very High</v>
          </cell>
          <cell r="F526" t="str">
            <v>EQ-THEMATIC</v>
          </cell>
        </row>
        <row r="527">
          <cell r="A527" t="str">
            <v>Mirae Asset Nifty India Manufacturing ETF</v>
          </cell>
          <cell r="B527" t="str">
            <v>--</v>
          </cell>
          <cell r="C527">
            <v>-3.09</v>
          </cell>
          <cell r="D527" t="str">
            <v>47/78</v>
          </cell>
          <cell r="E527" t="str">
            <v>Very High</v>
          </cell>
          <cell r="F527" t="str">
            <v>EQ-THEMATIC</v>
          </cell>
        </row>
        <row r="528">
          <cell r="A528" t="str">
            <v>Mirae Asset Nifty India Manufacturing ETF FoF - Regular Plan</v>
          </cell>
          <cell r="B528" t="str">
            <v>--</v>
          </cell>
          <cell r="C528">
            <v>-3.74</v>
          </cell>
          <cell r="D528" t="str">
            <v>50/78</v>
          </cell>
          <cell r="E528" t="str">
            <v>Very High</v>
          </cell>
          <cell r="F528" t="str">
            <v>EQ-THEMATIC</v>
          </cell>
        </row>
        <row r="529">
          <cell r="A529" t="str">
            <v>Mirae Asset Nifty LargeMidcap 250 Index Fund - Regular Plan</v>
          </cell>
          <cell r="B529" t="str">
            <v>--</v>
          </cell>
          <cell r="C529" t="str">
            <v>--</v>
          </cell>
          <cell r="D529" t="str">
            <v>--</v>
          </cell>
          <cell r="E529" t="str">
            <v>Very High</v>
          </cell>
          <cell r="F529" t="str">
            <v>EQ-L&amp;MC</v>
          </cell>
        </row>
        <row r="530">
          <cell r="A530" t="str">
            <v>Mirae Asset Nifty Metal ETF</v>
          </cell>
          <cell r="B530" t="str">
            <v>--</v>
          </cell>
          <cell r="C530" t="str">
            <v>--</v>
          </cell>
          <cell r="D530" t="str">
            <v>--</v>
          </cell>
          <cell r="E530" t="str">
            <v>Very High</v>
          </cell>
          <cell r="F530" t="str">
            <v>EQ-THEMATIC</v>
          </cell>
        </row>
        <row r="531">
          <cell r="A531" t="str">
            <v>Mirae Asset Nifty Midcap 150 ETF</v>
          </cell>
          <cell r="B531" t="str">
            <v>--</v>
          </cell>
          <cell r="C531">
            <v>2.5499999999999998</v>
          </cell>
          <cell r="D531" t="str">
            <v>18/53</v>
          </cell>
          <cell r="E531" t="str">
            <v>Very High</v>
          </cell>
          <cell r="F531" t="str">
            <v>EQ-MC</v>
          </cell>
        </row>
        <row r="532">
          <cell r="A532" t="str">
            <v>Mirae Asset Nifty MidSmallcap400 Momentum Quality 100 ETF</v>
          </cell>
          <cell r="B532" t="str">
            <v>--</v>
          </cell>
          <cell r="C532">
            <v>-4.8499999999999996</v>
          </cell>
          <cell r="D532" t="str">
            <v>51/53</v>
          </cell>
          <cell r="E532" t="str">
            <v>Very High</v>
          </cell>
          <cell r="F532" t="str">
            <v>EQ-MC</v>
          </cell>
        </row>
        <row r="533">
          <cell r="A533" t="str">
            <v>Mirae Asset Nifty MidSmallcap400 Momentum Quality 100 ETF FoF - Regular Plan</v>
          </cell>
          <cell r="B533" t="str">
            <v>--</v>
          </cell>
          <cell r="C533">
            <v>-6.2</v>
          </cell>
          <cell r="D533" t="str">
            <v>52/53</v>
          </cell>
          <cell r="E533" t="str">
            <v>Very High</v>
          </cell>
          <cell r="F533" t="str">
            <v>EQ-MC</v>
          </cell>
        </row>
        <row r="534">
          <cell r="A534" t="str">
            <v>Mirae Asset Nifty Next 50 ETF</v>
          </cell>
          <cell r="B534" t="str">
            <v>--</v>
          </cell>
          <cell r="C534">
            <v>-7.35</v>
          </cell>
          <cell r="D534" t="str">
            <v>127/144</v>
          </cell>
          <cell r="E534" t="str">
            <v>Very High</v>
          </cell>
          <cell r="F534" t="str">
            <v>EQ-LC</v>
          </cell>
        </row>
        <row r="535">
          <cell r="A535" t="str">
            <v>Mirae Asset Nifty Smallcap 250 Momentum Quality 100 ETF</v>
          </cell>
          <cell r="B535" t="str">
            <v>--</v>
          </cell>
          <cell r="C535">
            <v>-8.6999999999999993</v>
          </cell>
          <cell r="D535" t="str">
            <v>43/44</v>
          </cell>
          <cell r="E535" t="str">
            <v>Very High</v>
          </cell>
          <cell r="F535" t="str">
            <v>EQ-SC</v>
          </cell>
        </row>
        <row r="536">
          <cell r="A536" t="str">
            <v>Mirae Asset Nifty Smallcap 250 Momentum Quality 100 ETF FoF - Regular Plan</v>
          </cell>
          <cell r="B536" t="str">
            <v>--</v>
          </cell>
          <cell r="C536">
            <v>-9.7799999999999994</v>
          </cell>
          <cell r="D536" t="str">
            <v>44/44</v>
          </cell>
          <cell r="E536" t="str">
            <v>Very High</v>
          </cell>
          <cell r="F536" t="str">
            <v>EQ-SC</v>
          </cell>
        </row>
        <row r="537">
          <cell r="A537" t="str">
            <v>Mirae Asset Nifty Total Market Index Fund - Regular Plan</v>
          </cell>
          <cell r="B537" t="str">
            <v>--</v>
          </cell>
          <cell r="C537" t="str">
            <v>--</v>
          </cell>
          <cell r="D537" t="str">
            <v>--</v>
          </cell>
          <cell r="E537" t="str">
            <v>Very High</v>
          </cell>
          <cell r="F537" t="str">
            <v>EQ-FLX</v>
          </cell>
        </row>
        <row r="538">
          <cell r="A538" t="str">
            <v>Mirae Asset Small Cap Fund - Regular Plan</v>
          </cell>
          <cell r="B538" t="str">
            <v>--</v>
          </cell>
          <cell r="C538" t="str">
            <v>--</v>
          </cell>
          <cell r="D538" t="str">
            <v>--</v>
          </cell>
          <cell r="E538" t="str">
            <v>Very High</v>
          </cell>
          <cell r="F538" t="str">
            <v>EQ-SC</v>
          </cell>
        </row>
        <row r="539">
          <cell r="A539" t="str">
            <v>Motilal Oswal Active Momentum Fund - Regular Plan</v>
          </cell>
          <cell r="B539" t="str">
            <v>--</v>
          </cell>
          <cell r="C539" t="str">
            <v>--</v>
          </cell>
          <cell r="D539" t="str">
            <v>--</v>
          </cell>
          <cell r="E539" t="str">
            <v>Very High</v>
          </cell>
          <cell r="F539" t="str">
            <v>EQ-THEMATIC</v>
          </cell>
        </row>
        <row r="540">
          <cell r="A540" t="str">
            <v>Motilal Oswal Arbitrage Fund - Regular Plan</v>
          </cell>
          <cell r="B540" t="str">
            <v>--</v>
          </cell>
          <cell r="C540" t="str">
            <v>--</v>
          </cell>
          <cell r="D540" t="str">
            <v>--</v>
          </cell>
          <cell r="E540" t="str">
            <v>Low</v>
          </cell>
          <cell r="F540" t="str">
            <v>HY-AR</v>
          </cell>
        </row>
        <row r="541">
          <cell r="A541" t="str">
            <v>Motilal Oswal Asset Allocation Passive FoF - Aggressive - Regular Plan</v>
          </cell>
          <cell r="B541">
            <v>2</v>
          </cell>
          <cell r="C541">
            <v>9.66</v>
          </cell>
          <cell r="D541" t="str">
            <v>12/37</v>
          </cell>
          <cell r="E541" t="str">
            <v>Very High</v>
          </cell>
          <cell r="F541" t="str">
            <v>HY-MAA</v>
          </cell>
        </row>
        <row r="542">
          <cell r="A542" t="str">
            <v>Motilal Oswal Asset Allocation Passive FoF - Conservative - Regular Plan</v>
          </cell>
          <cell r="B542">
            <v>3</v>
          </cell>
          <cell r="C542">
            <v>10.78</v>
          </cell>
          <cell r="D542" t="str">
            <v>6/37</v>
          </cell>
          <cell r="E542" t="str">
            <v>High</v>
          </cell>
          <cell r="F542" t="str">
            <v>HY-MAA</v>
          </cell>
        </row>
        <row r="543">
          <cell r="A543" t="str">
            <v>Motilal Oswal Balanced Advantage Fund - Regular Plan</v>
          </cell>
          <cell r="B543">
            <v>1</v>
          </cell>
          <cell r="C543">
            <v>-9.5</v>
          </cell>
          <cell r="D543" t="str">
            <v>36/36</v>
          </cell>
          <cell r="E543" t="str">
            <v>Very High</v>
          </cell>
          <cell r="F543" t="str">
            <v>HY-DAA</v>
          </cell>
        </row>
        <row r="544">
          <cell r="A544" t="str">
            <v>Motilal Oswal BSE 1000 Index Fund - Regular Plan</v>
          </cell>
          <cell r="B544" t="str">
            <v>--</v>
          </cell>
          <cell r="C544" t="str">
            <v>--</v>
          </cell>
          <cell r="D544" t="str">
            <v>--</v>
          </cell>
          <cell r="E544" t="str">
            <v>Very High</v>
          </cell>
          <cell r="F544" t="str">
            <v>EQ-FLX</v>
          </cell>
        </row>
        <row r="545">
          <cell r="A545" t="str">
            <v>Motilal Oswal BSE Low Volatility ETF</v>
          </cell>
          <cell r="B545" t="str">
            <v>--</v>
          </cell>
          <cell r="C545">
            <v>1.03</v>
          </cell>
          <cell r="D545" t="str">
            <v>29/54</v>
          </cell>
          <cell r="E545" t="str">
            <v>Very High</v>
          </cell>
          <cell r="F545" t="str">
            <v>EQ-L&amp;MC</v>
          </cell>
        </row>
        <row r="546">
          <cell r="A546" t="str">
            <v>Motilal Oswal BSE Low Volatility Index Fund - Regular Plan</v>
          </cell>
          <cell r="B546">
            <v>3</v>
          </cell>
          <cell r="C546">
            <v>0.12</v>
          </cell>
          <cell r="D546" t="str">
            <v>33/54</v>
          </cell>
          <cell r="E546" t="str">
            <v>Very High</v>
          </cell>
          <cell r="F546" t="str">
            <v>EQ-L&amp;MC</v>
          </cell>
        </row>
        <row r="547">
          <cell r="A547" t="str">
            <v>Motilal Oswal BSE Quality ETF</v>
          </cell>
          <cell r="B547" t="str">
            <v>--</v>
          </cell>
          <cell r="C547">
            <v>-4.32</v>
          </cell>
          <cell r="D547" t="str">
            <v>41/54</v>
          </cell>
          <cell r="E547" t="str">
            <v>Very High</v>
          </cell>
          <cell r="F547" t="str">
            <v>EQ-L&amp;MC</v>
          </cell>
        </row>
        <row r="548">
          <cell r="A548" t="str">
            <v>Motilal Oswal BSE Quality Index Fund - Regular Plan</v>
          </cell>
          <cell r="B548" t="str">
            <v>--</v>
          </cell>
          <cell r="C548">
            <v>-4.8899999999999997</v>
          </cell>
          <cell r="D548" t="str">
            <v>42/54</v>
          </cell>
          <cell r="E548" t="str">
            <v>Very High</v>
          </cell>
          <cell r="F548" t="str">
            <v>EQ-L&amp;MC</v>
          </cell>
        </row>
        <row r="549">
          <cell r="A549" t="str">
            <v>Motilal Oswal Business Cycle Fund - Regular Plan</v>
          </cell>
          <cell r="B549" t="str">
            <v>--</v>
          </cell>
          <cell r="C549" t="str">
            <v>--</v>
          </cell>
          <cell r="D549" t="str">
            <v>--</v>
          </cell>
          <cell r="E549" t="str">
            <v>Very High</v>
          </cell>
          <cell r="F549" t="str">
            <v>EQ-THEMATIC</v>
          </cell>
        </row>
        <row r="550">
          <cell r="A550" t="str">
            <v>Motilal Oswal Flexi Cap Fund - Regular Plan</v>
          </cell>
          <cell r="B550">
            <v>4</v>
          </cell>
          <cell r="C550">
            <v>9.27</v>
          </cell>
          <cell r="D550" t="str">
            <v>6/91</v>
          </cell>
          <cell r="E550" t="str">
            <v>Very High</v>
          </cell>
          <cell r="F550" t="str">
            <v>EQ-FLX</v>
          </cell>
        </row>
        <row r="551">
          <cell r="A551" t="str">
            <v>Motilal Oswal Focused Fund - Regular Plan</v>
          </cell>
          <cell r="B551">
            <v>1</v>
          </cell>
          <cell r="C551">
            <v>-6.97</v>
          </cell>
          <cell r="D551" t="str">
            <v>86/91</v>
          </cell>
          <cell r="E551" t="str">
            <v>Very High</v>
          </cell>
          <cell r="F551" t="str">
            <v>EQ-FLX</v>
          </cell>
        </row>
        <row r="552">
          <cell r="A552" t="str">
            <v>Motilal Oswal Innovation Opportunities Fund - Regular Plan</v>
          </cell>
          <cell r="B552" t="str">
            <v>--</v>
          </cell>
          <cell r="C552" t="str">
            <v>--</v>
          </cell>
          <cell r="D552" t="str">
            <v>--</v>
          </cell>
          <cell r="E552" t="str">
            <v>Very High</v>
          </cell>
          <cell r="F552" t="str">
            <v>EQ-THEMATIC</v>
          </cell>
        </row>
        <row r="553">
          <cell r="A553" t="str">
            <v>Motilal Oswal Large and Midcap Fund - Regular Plan</v>
          </cell>
          <cell r="B553">
            <v>5</v>
          </cell>
          <cell r="C553">
            <v>11.4</v>
          </cell>
          <cell r="D553" t="str">
            <v>1/54</v>
          </cell>
          <cell r="E553" t="str">
            <v>Very High</v>
          </cell>
          <cell r="F553" t="str">
            <v>EQ-L&amp;MC</v>
          </cell>
        </row>
        <row r="554">
          <cell r="A554" t="str">
            <v>Motilal Oswal Large Cap Fund - Regular Plan</v>
          </cell>
          <cell r="B554" t="str">
            <v>--</v>
          </cell>
          <cell r="C554">
            <v>16.5</v>
          </cell>
          <cell r="D554" t="str">
            <v>1/144</v>
          </cell>
          <cell r="E554" t="str">
            <v>Very High</v>
          </cell>
          <cell r="F554" t="str">
            <v>EQ-LC</v>
          </cell>
        </row>
        <row r="555">
          <cell r="A555" t="str">
            <v>Motilal Oswal Manufacturing Fund - Regular Plan</v>
          </cell>
          <cell r="B555" t="str">
            <v>--</v>
          </cell>
          <cell r="C555" t="str">
            <v>--</v>
          </cell>
          <cell r="D555" t="str">
            <v>--</v>
          </cell>
          <cell r="E555" t="str">
            <v>Very High</v>
          </cell>
          <cell r="F555" t="str">
            <v>EQ-THEMATIC</v>
          </cell>
        </row>
        <row r="556">
          <cell r="A556" t="str">
            <v>Motilal Oswal Midcap Fund - Regular Plan</v>
          </cell>
          <cell r="B556">
            <v>5</v>
          </cell>
          <cell r="C556">
            <v>7.47</v>
          </cell>
          <cell r="D556" t="str">
            <v>4/53</v>
          </cell>
          <cell r="E556" t="str">
            <v>Very High</v>
          </cell>
          <cell r="F556" t="str">
            <v>EQ-MC</v>
          </cell>
        </row>
        <row r="557">
          <cell r="A557" t="str">
            <v>Motilal Oswal Multi Asset Fund - Regular Plan</v>
          </cell>
          <cell r="B557">
            <v>1</v>
          </cell>
          <cell r="C557">
            <v>-9.14</v>
          </cell>
          <cell r="D557" t="str">
            <v>37/37</v>
          </cell>
          <cell r="E557" t="str">
            <v>High</v>
          </cell>
          <cell r="F557" t="str">
            <v>HY-MAA</v>
          </cell>
        </row>
        <row r="558">
          <cell r="A558" t="str">
            <v>Motilal Oswal Multi Cap Fund - Regular Plan</v>
          </cell>
          <cell r="B558" t="str">
            <v>--</v>
          </cell>
          <cell r="C558" t="str">
            <v>--</v>
          </cell>
          <cell r="D558" t="str">
            <v>--</v>
          </cell>
          <cell r="E558" t="str">
            <v>Very High</v>
          </cell>
          <cell r="F558" t="str">
            <v>EQ-MLC</v>
          </cell>
        </row>
        <row r="559">
          <cell r="A559" t="str">
            <v>Motilal Oswal Nifty 200 Momentum 30 ETF</v>
          </cell>
          <cell r="B559" t="str">
            <v>--</v>
          </cell>
          <cell r="C559">
            <v>-12.81</v>
          </cell>
          <cell r="D559" t="str">
            <v>46/54</v>
          </cell>
          <cell r="E559" t="str">
            <v>Very High</v>
          </cell>
          <cell r="F559" t="str">
            <v>EQ-L&amp;MC</v>
          </cell>
        </row>
        <row r="560">
          <cell r="A560" t="str">
            <v>Motilal Oswal Nifty 200 Momentum 30 Index Fund - Regular Plan</v>
          </cell>
          <cell r="B560">
            <v>1</v>
          </cell>
          <cell r="C560">
            <v>-13.39</v>
          </cell>
          <cell r="D560" t="str">
            <v>51/54</v>
          </cell>
          <cell r="E560" t="str">
            <v>Very High</v>
          </cell>
          <cell r="F560" t="str">
            <v>EQ-L&amp;MC</v>
          </cell>
        </row>
        <row r="561">
          <cell r="A561" t="str">
            <v>Motilal Oswal Nifty 500 ETF</v>
          </cell>
          <cell r="B561" t="str">
            <v>--</v>
          </cell>
          <cell r="C561">
            <v>3.13</v>
          </cell>
          <cell r="D561" t="str">
            <v>48/91</v>
          </cell>
          <cell r="E561" t="str">
            <v>Very High</v>
          </cell>
          <cell r="F561" t="str">
            <v>EQ-FLX</v>
          </cell>
        </row>
        <row r="562">
          <cell r="A562" t="str">
            <v>Motilal Oswal Nifty 500 Index Fund - Regular Plan</v>
          </cell>
          <cell r="B562">
            <v>3</v>
          </cell>
          <cell r="C562">
            <v>2.4300000000000002</v>
          </cell>
          <cell r="D562" t="str">
            <v>56/91</v>
          </cell>
          <cell r="E562" t="str">
            <v>Very High</v>
          </cell>
          <cell r="F562" t="str">
            <v>EQ-FLX</v>
          </cell>
        </row>
        <row r="563">
          <cell r="A563" t="str">
            <v>Motilal Oswal Nifty 500 Momentum 50 ETF</v>
          </cell>
          <cell r="B563" t="str">
            <v>--</v>
          </cell>
          <cell r="C563" t="str">
            <v>--</v>
          </cell>
          <cell r="D563" t="str">
            <v>--</v>
          </cell>
          <cell r="E563" t="str">
            <v>Very High</v>
          </cell>
          <cell r="F563" t="str">
            <v>EQ-FLX</v>
          </cell>
        </row>
        <row r="564">
          <cell r="A564" t="str">
            <v>Motilal Oswal Nifty 500 Momentum 50 Index Fund - Regular Plan</v>
          </cell>
          <cell r="B564" t="str">
            <v>--</v>
          </cell>
          <cell r="C564" t="str">
            <v>--</v>
          </cell>
          <cell r="D564" t="str">
            <v>--</v>
          </cell>
          <cell r="E564" t="str">
            <v>Very High</v>
          </cell>
          <cell r="F564" t="str">
            <v>EQ-FLX</v>
          </cell>
        </row>
        <row r="565">
          <cell r="A565" t="str">
            <v>Motilal Oswal Nifty 50 Equal Weight ETF</v>
          </cell>
          <cell r="B565" t="str">
            <v>--</v>
          </cell>
          <cell r="C565" t="str">
            <v>--</v>
          </cell>
          <cell r="D565" t="str">
            <v>--</v>
          </cell>
          <cell r="E565" t="str">
            <v>Very High</v>
          </cell>
          <cell r="F565" t="str">
            <v>EQ-LC</v>
          </cell>
        </row>
        <row r="566">
          <cell r="A566" t="str">
            <v>Motilal Oswal Nifty 50 ETF</v>
          </cell>
          <cell r="B566" t="str">
            <v>--</v>
          </cell>
          <cell r="C566">
            <v>6.47</v>
          </cell>
          <cell r="D566" t="str">
            <v>15/144</v>
          </cell>
          <cell r="E566" t="str">
            <v>Very High</v>
          </cell>
          <cell r="F566" t="str">
            <v>EQ-LC</v>
          </cell>
        </row>
        <row r="567">
          <cell r="A567" t="str">
            <v>Motilal Oswal Nifty 50 Index Fund - Regular Plan</v>
          </cell>
          <cell r="B567">
            <v>3</v>
          </cell>
          <cell r="C567">
            <v>5.93</v>
          </cell>
          <cell r="D567" t="str">
            <v>51/144</v>
          </cell>
          <cell r="E567" t="str">
            <v>Very High</v>
          </cell>
          <cell r="F567" t="str">
            <v>EQ-LC</v>
          </cell>
        </row>
        <row r="568">
          <cell r="A568" t="str">
            <v>Motilal Oswal Nifty Capital Market ETF</v>
          </cell>
          <cell r="B568" t="str">
            <v>--</v>
          </cell>
          <cell r="C568" t="str">
            <v>--</v>
          </cell>
          <cell r="D568" t="str">
            <v>--</v>
          </cell>
          <cell r="E568" t="str">
            <v>Very High</v>
          </cell>
          <cell r="F568" t="str">
            <v>EQ-THEMATIC</v>
          </cell>
        </row>
        <row r="569">
          <cell r="A569" t="str">
            <v>Motilal Oswal Nifty Capital Market Index Fund - Regular Plan</v>
          </cell>
          <cell r="B569" t="str">
            <v>--</v>
          </cell>
          <cell r="C569" t="str">
            <v>--</v>
          </cell>
          <cell r="D569" t="str">
            <v>--</v>
          </cell>
          <cell r="E569" t="str">
            <v>Very High</v>
          </cell>
          <cell r="F569" t="str">
            <v>EQ-THEMATIC</v>
          </cell>
        </row>
        <row r="570">
          <cell r="A570" t="str">
            <v>Motilal Oswal Nifty India Defence ETF</v>
          </cell>
          <cell r="B570" t="str">
            <v>--</v>
          </cell>
          <cell r="C570" t="str">
            <v>--</v>
          </cell>
          <cell r="D570" t="str">
            <v>--</v>
          </cell>
          <cell r="E570" t="str">
            <v>Very High</v>
          </cell>
          <cell r="F570" t="str">
            <v>EQ-THEMATIC</v>
          </cell>
        </row>
        <row r="571">
          <cell r="A571" t="str">
            <v>Motilal Oswal Nifty India Defence Index Fund - Regular Plan</v>
          </cell>
          <cell r="B571" t="str">
            <v>--</v>
          </cell>
          <cell r="C571" t="str">
            <v>--</v>
          </cell>
          <cell r="D571" t="str">
            <v>--</v>
          </cell>
          <cell r="E571" t="str">
            <v>Very High</v>
          </cell>
          <cell r="F571" t="str">
            <v>EQ-THEMATIC</v>
          </cell>
        </row>
        <row r="572">
          <cell r="A572" t="str">
            <v>Motilal Oswal Nifty India Manufacturing ETF</v>
          </cell>
          <cell r="B572" t="str">
            <v>--</v>
          </cell>
          <cell r="C572" t="str">
            <v>--</v>
          </cell>
          <cell r="D572" t="str">
            <v>--</v>
          </cell>
          <cell r="E572" t="str">
            <v>Very High</v>
          </cell>
          <cell r="F572" t="str">
            <v>EQ-THEMATIC</v>
          </cell>
        </row>
        <row r="573">
          <cell r="A573" t="str">
            <v>Motilal Oswal Nifty India Tourism ETF</v>
          </cell>
          <cell r="B573" t="str">
            <v>--</v>
          </cell>
          <cell r="C573" t="str">
            <v>--</v>
          </cell>
          <cell r="D573" t="str">
            <v>--</v>
          </cell>
          <cell r="E573" t="str">
            <v>Very High</v>
          </cell>
          <cell r="F573" t="str">
            <v>EQ-THEMATIC</v>
          </cell>
        </row>
        <row r="574">
          <cell r="A574" t="str">
            <v>Motilal Oswal Nifty Microcap 250 Index Fund - Regular Plan</v>
          </cell>
          <cell r="B574" t="str">
            <v>--</v>
          </cell>
          <cell r="C574">
            <v>0.75</v>
          </cell>
          <cell r="D574" t="str">
            <v>17/44</v>
          </cell>
          <cell r="E574" t="str">
            <v>Very High</v>
          </cell>
          <cell r="F574" t="str">
            <v>EQ-SC</v>
          </cell>
        </row>
        <row r="575">
          <cell r="A575" t="str">
            <v>Motilal Oswal Nifty Midcap 100 ETF</v>
          </cell>
          <cell r="B575" t="str">
            <v>--</v>
          </cell>
          <cell r="C575">
            <v>4.5199999999999996</v>
          </cell>
          <cell r="D575" t="str">
            <v>9/53</v>
          </cell>
          <cell r="E575" t="str">
            <v>Very High</v>
          </cell>
          <cell r="F575" t="str">
            <v>EQ-MC</v>
          </cell>
        </row>
        <row r="576">
          <cell r="A576" t="str">
            <v>Motilal Oswal Nifty Midcap 150 Index Fund - Regular Plan</v>
          </cell>
          <cell r="B576">
            <v>3</v>
          </cell>
          <cell r="C576">
            <v>1.75</v>
          </cell>
          <cell r="D576" t="str">
            <v>26/53</v>
          </cell>
          <cell r="E576" t="str">
            <v>Very High</v>
          </cell>
          <cell r="F576" t="str">
            <v>EQ-MC</v>
          </cell>
        </row>
        <row r="577">
          <cell r="A577" t="str">
            <v>Motilal Oswal Nifty MidSmall IT and Telecom Index Fund - Regular Plan</v>
          </cell>
          <cell r="B577" t="str">
            <v>--</v>
          </cell>
          <cell r="C577" t="str">
            <v>--</v>
          </cell>
          <cell r="D577" t="str">
            <v>--</v>
          </cell>
          <cell r="E577" t="str">
            <v>Very High</v>
          </cell>
          <cell r="F577" t="str">
            <v>EQ-THEMATIC</v>
          </cell>
        </row>
        <row r="578">
          <cell r="A578" t="str">
            <v>Motilal Oswal Nifty Next 50 ETF</v>
          </cell>
          <cell r="B578" t="str">
            <v>--</v>
          </cell>
          <cell r="C578" t="str">
            <v>--</v>
          </cell>
          <cell r="D578" t="str">
            <v>--</v>
          </cell>
          <cell r="E578" t="str">
            <v>Very High</v>
          </cell>
          <cell r="F578" t="str">
            <v>EQ-LC</v>
          </cell>
        </row>
        <row r="579">
          <cell r="A579" t="str">
            <v>Motilal Oswal Nifty Next 50 Index Fund - Regular Plan</v>
          </cell>
          <cell r="B579">
            <v>2</v>
          </cell>
          <cell r="C579">
            <v>-8.16</v>
          </cell>
          <cell r="D579" t="str">
            <v>138/144</v>
          </cell>
          <cell r="E579" t="str">
            <v>Very High</v>
          </cell>
          <cell r="F579" t="str">
            <v>EQ-LC</v>
          </cell>
        </row>
        <row r="580">
          <cell r="A580" t="str">
            <v>Motilal Oswal Nifty Realty ETF</v>
          </cell>
          <cell r="B580" t="str">
            <v>--</v>
          </cell>
          <cell r="C580">
            <v>-11.24</v>
          </cell>
          <cell r="D580" t="str">
            <v>74/78</v>
          </cell>
          <cell r="E580" t="str">
            <v>Very High</v>
          </cell>
          <cell r="F580" t="str">
            <v>EQ-THEMATIC</v>
          </cell>
        </row>
        <row r="581">
          <cell r="A581" t="str">
            <v>Motilal Oswal Nifty Smallcap 250 ETF</v>
          </cell>
          <cell r="B581" t="str">
            <v>--</v>
          </cell>
          <cell r="C581">
            <v>-0.85</v>
          </cell>
          <cell r="D581" t="str">
            <v>21/44</v>
          </cell>
          <cell r="E581" t="str">
            <v>Very High</v>
          </cell>
          <cell r="F581" t="str">
            <v>EQ-SC</v>
          </cell>
        </row>
        <row r="582">
          <cell r="A582" t="str">
            <v>Motilal Oswal Nifty Smallcap 250 Index Fund - Regular Plan</v>
          </cell>
          <cell r="B582">
            <v>1</v>
          </cell>
          <cell r="C582">
            <v>-1.26</v>
          </cell>
          <cell r="D582" t="str">
            <v>25/44</v>
          </cell>
          <cell r="E582" t="str">
            <v>Very High</v>
          </cell>
          <cell r="F582" t="str">
            <v>EQ-SC</v>
          </cell>
        </row>
        <row r="583">
          <cell r="A583" t="str">
            <v>Motilal Oswal Quant Fund - Regular Plan</v>
          </cell>
          <cell r="B583" t="str">
            <v>--</v>
          </cell>
          <cell r="C583" t="str">
            <v>--</v>
          </cell>
          <cell r="D583" t="str">
            <v>--</v>
          </cell>
          <cell r="E583" t="str">
            <v>Very High</v>
          </cell>
          <cell r="F583" t="str">
            <v>EQ-THEMATIC</v>
          </cell>
        </row>
        <row r="584">
          <cell r="A584" t="str">
            <v>Motilal Oswal Services Fund - Regular Plan</v>
          </cell>
          <cell r="B584" t="str">
            <v>--</v>
          </cell>
          <cell r="C584" t="str">
            <v>--</v>
          </cell>
          <cell r="D584" t="str">
            <v>--</v>
          </cell>
          <cell r="E584" t="str">
            <v>Very High</v>
          </cell>
          <cell r="F584" t="str">
            <v>EQ-THEMATIC</v>
          </cell>
        </row>
        <row r="585">
          <cell r="A585" t="str">
            <v>Motilal Oswal Small Cap Fund - Regular Plan</v>
          </cell>
          <cell r="B585" t="str">
            <v>--</v>
          </cell>
          <cell r="C585">
            <v>14.07</v>
          </cell>
          <cell r="D585" t="str">
            <v>1/44</v>
          </cell>
          <cell r="E585" t="str">
            <v>Very High</v>
          </cell>
          <cell r="F585" t="str">
            <v>EQ-SC</v>
          </cell>
        </row>
        <row r="586">
          <cell r="A586" t="str">
            <v>Navi Aggressive Hybrid Fund - Regular Plan</v>
          </cell>
          <cell r="B586">
            <v>2</v>
          </cell>
          <cell r="C586">
            <v>3.63</v>
          </cell>
          <cell r="D586" t="str">
            <v>35/44</v>
          </cell>
          <cell r="E586" t="str">
            <v>Very High</v>
          </cell>
          <cell r="F586" t="str">
            <v>HY-AH</v>
          </cell>
        </row>
        <row r="587">
          <cell r="A587" t="str">
            <v>Navi BSE Sensex Index Fund - Regular Plan</v>
          </cell>
          <cell r="B587" t="str">
            <v>--</v>
          </cell>
          <cell r="C587">
            <v>5.41</v>
          </cell>
          <cell r="D587" t="str">
            <v>67/144</v>
          </cell>
          <cell r="E587" t="str">
            <v>Very High</v>
          </cell>
          <cell r="F587" t="str">
            <v>EQ-LC</v>
          </cell>
        </row>
        <row r="588">
          <cell r="A588" t="str">
            <v>Navi Flexi Cap Fund - Regular Plan</v>
          </cell>
          <cell r="B588">
            <v>2</v>
          </cell>
          <cell r="C588">
            <v>-1.73</v>
          </cell>
          <cell r="D588" t="str">
            <v>76/91</v>
          </cell>
          <cell r="E588" t="str">
            <v>Very High</v>
          </cell>
          <cell r="F588" t="str">
            <v>EQ-FLX</v>
          </cell>
        </row>
        <row r="589">
          <cell r="A589" t="str">
            <v>Navi Large &amp; Midcap Fund</v>
          </cell>
          <cell r="B589">
            <v>1</v>
          </cell>
          <cell r="C589">
            <v>1.44</v>
          </cell>
          <cell r="D589" t="str">
            <v>23/54</v>
          </cell>
          <cell r="E589" t="str">
            <v>Very High</v>
          </cell>
          <cell r="F589" t="str">
            <v>EQ-L&amp;MC</v>
          </cell>
        </row>
        <row r="590">
          <cell r="A590" t="str">
            <v>Navi Nifty 500 Multicap 50:25:25 Index Fund - Regular Plan</v>
          </cell>
          <cell r="B590" t="str">
            <v>--</v>
          </cell>
          <cell r="C590" t="str">
            <v>--</v>
          </cell>
          <cell r="D590" t="str">
            <v>--</v>
          </cell>
          <cell r="E590" t="str">
            <v>Very High</v>
          </cell>
          <cell r="F590" t="str">
            <v>EQ-MLC</v>
          </cell>
        </row>
        <row r="591">
          <cell r="A591" t="str">
            <v>Navi Nifty 50 Index Fund - Regular Plan</v>
          </cell>
          <cell r="B591">
            <v>3</v>
          </cell>
          <cell r="C591">
            <v>6.14</v>
          </cell>
          <cell r="D591" t="str">
            <v>34/144</v>
          </cell>
          <cell r="E591" t="str">
            <v>Very High</v>
          </cell>
          <cell r="F591" t="str">
            <v>EQ-LC</v>
          </cell>
        </row>
        <row r="592">
          <cell r="A592" t="str">
            <v>Navi Nifty India Manufacturing Index Fund - Regular Plan</v>
          </cell>
          <cell r="B592" t="str">
            <v>--</v>
          </cell>
          <cell r="C592">
            <v>-3.99</v>
          </cell>
          <cell r="D592" t="str">
            <v>52/78</v>
          </cell>
          <cell r="E592" t="str">
            <v>Very High</v>
          </cell>
          <cell r="F592" t="str">
            <v>EQ-THEMATIC</v>
          </cell>
        </row>
        <row r="593">
          <cell r="A593" t="str">
            <v>Navi Nifty Midcap 150 Index Fund - Regular Plan</v>
          </cell>
          <cell r="B593">
            <v>3</v>
          </cell>
          <cell r="C593">
            <v>1.38</v>
          </cell>
          <cell r="D593" t="str">
            <v>34/53</v>
          </cell>
          <cell r="E593" t="str">
            <v>Very High</v>
          </cell>
          <cell r="F593" t="str">
            <v>EQ-MC</v>
          </cell>
        </row>
        <row r="594">
          <cell r="A594" t="str">
            <v>Navi Nifty Next 50 Index Fund - Regular Plan</v>
          </cell>
          <cell r="B594">
            <v>2</v>
          </cell>
          <cell r="C594">
            <v>-7.95</v>
          </cell>
          <cell r="D594" t="str">
            <v>133/144</v>
          </cell>
          <cell r="E594" t="str">
            <v>Very High</v>
          </cell>
          <cell r="F594" t="str">
            <v>EQ-LC</v>
          </cell>
        </row>
        <row r="595">
          <cell r="A595" t="str">
            <v>Navi Nifty Smallcap250 Momentum Quality 100 Index Fund - Regular Plan</v>
          </cell>
          <cell r="B595" t="str">
            <v>--</v>
          </cell>
          <cell r="C595" t="str">
            <v>--</v>
          </cell>
          <cell r="D595" t="str">
            <v>--</v>
          </cell>
          <cell r="E595" t="str">
            <v>Very High</v>
          </cell>
          <cell r="F595" t="str">
            <v>EQ-SC</v>
          </cell>
        </row>
        <row r="596">
          <cell r="A596" t="str">
            <v>Nippon India Active Momentum Fund - Regular Plan</v>
          </cell>
          <cell r="B596" t="str">
            <v>--</v>
          </cell>
          <cell r="C596" t="str">
            <v>--</v>
          </cell>
          <cell r="D596" t="str">
            <v>--</v>
          </cell>
          <cell r="E596" t="str">
            <v>Very High</v>
          </cell>
          <cell r="F596" t="str">
            <v>EQ-THEMATIC</v>
          </cell>
        </row>
        <row r="597">
          <cell r="A597" t="str">
            <v>Nippon India Arbitrage Fund</v>
          </cell>
          <cell r="B597">
            <v>3</v>
          </cell>
          <cell r="C597">
            <v>6.76</v>
          </cell>
          <cell r="D597" t="str">
            <v>15/27</v>
          </cell>
          <cell r="E597" t="str">
            <v>Low</v>
          </cell>
          <cell r="F597" t="str">
            <v>HY-AR</v>
          </cell>
        </row>
        <row r="598">
          <cell r="A598" t="str">
            <v>Nippon India Balanced Advantage Fund</v>
          </cell>
          <cell r="B598">
            <v>4</v>
          </cell>
          <cell r="C598">
            <v>5.95</v>
          </cell>
          <cell r="D598" t="str">
            <v>17/36</v>
          </cell>
          <cell r="E598" t="str">
            <v>Very High</v>
          </cell>
          <cell r="F598" t="str">
            <v>HY-DAA</v>
          </cell>
        </row>
        <row r="599">
          <cell r="A599" t="str">
            <v>Nippon India BSE Sensex Next 30 ETF</v>
          </cell>
          <cell r="B599" t="str">
            <v>--</v>
          </cell>
          <cell r="C599" t="str">
            <v>--</v>
          </cell>
          <cell r="D599" t="str">
            <v>--</v>
          </cell>
          <cell r="E599" t="str">
            <v>Very High</v>
          </cell>
          <cell r="F599" t="str">
            <v>EQ-LC</v>
          </cell>
        </row>
        <row r="600">
          <cell r="A600" t="str">
            <v>Nippon India BSE Sensex Next 30 Index Fund - Regular Plan</v>
          </cell>
          <cell r="B600" t="str">
            <v>--</v>
          </cell>
          <cell r="C600" t="str">
            <v>--</v>
          </cell>
          <cell r="D600" t="str">
            <v>--</v>
          </cell>
          <cell r="E600" t="str">
            <v>Very High</v>
          </cell>
          <cell r="F600" t="str">
            <v>EQ-LC</v>
          </cell>
        </row>
        <row r="601">
          <cell r="A601" t="str">
            <v>Nippon India Diversified Equity Flexicap Passive FoF - Regular Plan</v>
          </cell>
          <cell r="B601">
            <v>3</v>
          </cell>
          <cell r="C601">
            <v>1.84</v>
          </cell>
          <cell r="D601" t="str">
            <v>59/91</v>
          </cell>
          <cell r="E601" t="str">
            <v>Very High</v>
          </cell>
          <cell r="F601" t="str">
            <v>EQ-FLX</v>
          </cell>
        </row>
        <row r="602">
          <cell r="A602" t="str">
            <v>Nippon India Equity Hybrid Fund</v>
          </cell>
          <cell r="B602">
            <v>4</v>
          </cell>
          <cell r="C602">
            <v>5.35</v>
          </cell>
          <cell r="D602" t="str">
            <v>25/44</v>
          </cell>
          <cell r="E602" t="str">
            <v>Very High</v>
          </cell>
          <cell r="F602" t="str">
            <v>HY-AH</v>
          </cell>
        </row>
        <row r="603">
          <cell r="A603" t="str">
            <v>Nippon India ETF BSE Sensex</v>
          </cell>
          <cell r="B603" t="str">
            <v>--</v>
          </cell>
          <cell r="C603">
            <v>6.29</v>
          </cell>
          <cell r="D603" t="str">
            <v>23/144</v>
          </cell>
          <cell r="E603" t="str">
            <v>Very High</v>
          </cell>
          <cell r="F603" t="str">
            <v>EQ-LC</v>
          </cell>
        </row>
        <row r="604">
          <cell r="A604" t="str">
            <v>Nippon India ETF BSE Sensex Next 50</v>
          </cell>
          <cell r="B604" t="str">
            <v>--</v>
          </cell>
          <cell r="C604">
            <v>1.06</v>
          </cell>
          <cell r="D604" t="str">
            <v>109/144</v>
          </cell>
          <cell r="E604" t="str">
            <v>Very High</v>
          </cell>
          <cell r="F604" t="str">
            <v>EQ-LC</v>
          </cell>
        </row>
        <row r="605">
          <cell r="A605" t="str">
            <v>Nippon India ETF Nifty 100</v>
          </cell>
          <cell r="B605" t="str">
            <v>--</v>
          </cell>
          <cell r="C605">
            <v>3.42</v>
          </cell>
          <cell r="D605" t="str">
            <v>94/144</v>
          </cell>
          <cell r="E605" t="str">
            <v>Very High</v>
          </cell>
          <cell r="F605" t="str">
            <v>EQ-LC</v>
          </cell>
        </row>
        <row r="606">
          <cell r="A606" t="str">
            <v>Nippon India ETF Nifty 50 BeES</v>
          </cell>
          <cell r="B606" t="str">
            <v>--</v>
          </cell>
          <cell r="C606">
            <v>6.5</v>
          </cell>
          <cell r="D606" t="str">
            <v>6/144</v>
          </cell>
          <cell r="E606" t="str">
            <v>Very High</v>
          </cell>
          <cell r="F606" t="str">
            <v>EQ-LC</v>
          </cell>
        </row>
        <row r="607">
          <cell r="A607" t="str">
            <v>Nippon India ETF Nifty 50 Shariah BeES</v>
          </cell>
          <cell r="B607" t="str">
            <v>--</v>
          </cell>
          <cell r="C607">
            <v>-0.46</v>
          </cell>
          <cell r="D607" t="str">
            <v>114/144</v>
          </cell>
          <cell r="E607" t="str">
            <v>Very High</v>
          </cell>
          <cell r="F607" t="str">
            <v>EQ-LC</v>
          </cell>
        </row>
        <row r="608">
          <cell r="A608" t="str">
            <v>Nippon India ETF Nifty Dividend Opportunities 50</v>
          </cell>
          <cell r="B608" t="str">
            <v>--</v>
          </cell>
          <cell r="C608">
            <v>-1.72</v>
          </cell>
          <cell r="D608" t="str">
            <v>37/78</v>
          </cell>
          <cell r="E608" t="str">
            <v>Very High</v>
          </cell>
          <cell r="F608" t="str">
            <v>EQ-THEMATIC</v>
          </cell>
        </row>
        <row r="609">
          <cell r="A609" t="str">
            <v>Nippon India ETF Nifty Midcap 150</v>
          </cell>
          <cell r="B609" t="str">
            <v>--</v>
          </cell>
          <cell r="C609">
            <v>2.37</v>
          </cell>
          <cell r="D609" t="str">
            <v>23/53</v>
          </cell>
          <cell r="E609" t="str">
            <v>Very High</v>
          </cell>
          <cell r="F609" t="str">
            <v>EQ-MC</v>
          </cell>
        </row>
        <row r="610">
          <cell r="A610" t="str">
            <v>Nippon India ETF Nifty Next 50 Junior BeES</v>
          </cell>
          <cell r="B610" t="str">
            <v>--</v>
          </cell>
          <cell r="C610">
            <v>-7.42</v>
          </cell>
          <cell r="D610" t="str">
            <v>129/144</v>
          </cell>
          <cell r="E610" t="str">
            <v>Very High</v>
          </cell>
          <cell r="F610" t="str">
            <v>EQ-LC</v>
          </cell>
        </row>
        <row r="611">
          <cell r="A611" t="str">
            <v>Nippon India Flexi Cap Fund - Regular Plan</v>
          </cell>
          <cell r="B611">
            <v>3</v>
          </cell>
          <cell r="C611">
            <v>-0.71</v>
          </cell>
          <cell r="D611" t="str">
            <v>73/91</v>
          </cell>
          <cell r="E611" t="str">
            <v>Very High</v>
          </cell>
          <cell r="F611" t="str">
            <v>EQ-FLX</v>
          </cell>
        </row>
        <row r="612">
          <cell r="A612" t="str">
            <v>Nippon India Focused Equity Fund</v>
          </cell>
          <cell r="B612">
            <v>3</v>
          </cell>
          <cell r="C612">
            <v>3.73</v>
          </cell>
          <cell r="D612" t="str">
            <v>41/91</v>
          </cell>
          <cell r="E612" t="str">
            <v>Very High</v>
          </cell>
          <cell r="F612" t="str">
            <v>EQ-FLX</v>
          </cell>
        </row>
        <row r="613">
          <cell r="A613" t="str">
            <v>Nippon India Growth Fund</v>
          </cell>
          <cell r="B613">
            <v>5</v>
          </cell>
          <cell r="C613">
            <v>4.96</v>
          </cell>
          <cell r="D613" t="str">
            <v>7/53</v>
          </cell>
          <cell r="E613" t="str">
            <v>Very High</v>
          </cell>
          <cell r="F613" t="str">
            <v>EQ-MC</v>
          </cell>
        </row>
        <row r="614">
          <cell r="A614" t="str">
            <v>Nippon India Hybrid Bond Fund</v>
          </cell>
          <cell r="B614">
            <v>3</v>
          </cell>
          <cell r="C614">
            <v>8.5</v>
          </cell>
          <cell r="D614" t="str">
            <v>6/28</v>
          </cell>
          <cell r="E614" t="str">
            <v>High</v>
          </cell>
          <cell r="F614" t="str">
            <v>HY-CH</v>
          </cell>
        </row>
        <row r="615">
          <cell r="A615" t="str">
            <v>Nippon India Index Fund - BSE Sensex Plan</v>
          </cell>
          <cell r="B615">
            <v>3</v>
          </cell>
          <cell r="C615">
            <v>5.8</v>
          </cell>
          <cell r="D615" t="str">
            <v>56/144</v>
          </cell>
          <cell r="E615" t="str">
            <v>Very High</v>
          </cell>
          <cell r="F615" t="str">
            <v>EQ-LC</v>
          </cell>
        </row>
        <row r="616">
          <cell r="A616" t="str">
            <v>Nippon India Index Fund - Nifty 50 Plan</v>
          </cell>
          <cell r="B616">
            <v>3</v>
          </cell>
          <cell r="C616">
            <v>6</v>
          </cell>
          <cell r="D616" t="str">
            <v>45/144</v>
          </cell>
          <cell r="E616" t="str">
            <v>Very High</v>
          </cell>
          <cell r="F616" t="str">
            <v>EQ-LC</v>
          </cell>
        </row>
        <row r="617">
          <cell r="A617" t="str">
            <v>Nippon India Innovation Fund - Regular Plan</v>
          </cell>
          <cell r="B617" t="str">
            <v>--</v>
          </cell>
          <cell r="C617">
            <v>-0.94</v>
          </cell>
          <cell r="D617" t="str">
            <v>33/78</v>
          </cell>
          <cell r="E617" t="str">
            <v>Very High</v>
          </cell>
          <cell r="F617" t="str">
            <v>EQ-THEMATIC</v>
          </cell>
        </row>
        <row r="618">
          <cell r="A618" t="str">
            <v>Nippon India Large Cap Fund</v>
          </cell>
          <cell r="B618">
            <v>5</v>
          </cell>
          <cell r="C618">
            <v>5.19</v>
          </cell>
          <cell r="D618" t="str">
            <v>70/144</v>
          </cell>
          <cell r="E618" t="str">
            <v>Very High</v>
          </cell>
          <cell r="F618" t="str">
            <v>EQ-LC</v>
          </cell>
        </row>
        <row r="619">
          <cell r="A619" t="str">
            <v>Nippon India Multi Asset Active FoF - Regular Plan</v>
          </cell>
          <cell r="B619">
            <v>5</v>
          </cell>
          <cell r="C619">
            <v>11.04</v>
          </cell>
          <cell r="D619" t="str">
            <v>4/37</v>
          </cell>
          <cell r="E619" t="str">
            <v>Very High</v>
          </cell>
          <cell r="F619" t="str">
            <v>HY-MAA</v>
          </cell>
        </row>
        <row r="620">
          <cell r="A620" t="str">
            <v>Nippon India Multi Asset Allocation Fund - Regular Plan</v>
          </cell>
          <cell r="B620">
            <v>3</v>
          </cell>
          <cell r="C620">
            <v>10.32</v>
          </cell>
          <cell r="D620" t="str">
            <v>9/37</v>
          </cell>
          <cell r="E620" t="str">
            <v>Very High</v>
          </cell>
          <cell r="F620" t="str">
            <v>HY-MAA</v>
          </cell>
        </row>
        <row r="621">
          <cell r="A621" t="str">
            <v>Nippon India Multi Cap Fund</v>
          </cell>
          <cell r="B621">
            <v>5</v>
          </cell>
          <cell r="C621">
            <v>2.4</v>
          </cell>
          <cell r="D621" t="str">
            <v>14/25</v>
          </cell>
          <cell r="E621" t="str">
            <v>Very High</v>
          </cell>
          <cell r="F621" t="str">
            <v>EQ-MLC</v>
          </cell>
        </row>
        <row r="622">
          <cell r="A622" t="str">
            <v>Nippon India Nifty 500 Equal Weight Index Fund - Regular Plan</v>
          </cell>
          <cell r="B622" t="str">
            <v>--</v>
          </cell>
          <cell r="C622" t="str">
            <v>--</v>
          </cell>
          <cell r="D622" t="str">
            <v>--</v>
          </cell>
          <cell r="E622" t="str">
            <v>Very High</v>
          </cell>
          <cell r="F622" t="str">
            <v>EQ-MLC</v>
          </cell>
        </row>
        <row r="623">
          <cell r="A623" t="str">
            <v>Nippon India Nifty 500 Low Volatility 50 Index Fund - Regular Plan</v>
          </cell>
          <cell r="B623" t="str">
            <v>--</v>
          </cell>
          <cell r="C623" t="str">
            <v>--</v>
          </cell>
          <cell r="D623" t="str">
            <v>--</v>
          </cell>
          <cell r="E623" t="str">
            <v>Very High</v>
          </cell>
          <cell r="F623" t="str">
            <v>EQ-FLX</v>
          </cell>
        </row>
        <row r="624">
          <cell r="A624" t="str">
            <v>Nippon India Nifty 500 Momentum 50 Index Fund - Regular Plan</v>
          </cell>
          <cell r="B624" t="str">
            <v>--</v>
          </cell>
          <cell r="C624" t="str">
            <v>--</v>
          </cell>
          <cell r="D624" t="str">
            <v>--</v>
          </cell>
          <cell r="E624" t="str">
            <v>Very High</v>
          </cell>
          <cell r="F624" t="str">
            <v>EQ-FLX</v>
          </cell>
        </row>
        <row r="625">
          <cell r="A625" t="str">
            <v>Nippon India Nifty 500 Quality 50 Index Fund - Regular Plan</v>
          </cell>
          <cell r="B625" t="str">
            <v>--</v>
          </cell>
          <cell r="C625" t="str">
            <v>--</v>
          </cell>
          <cell r="D625" t="str">
            <v>--</v>
          </cell>
          <cell r="E625" t="str">
            <v>Very High</v>
          </cell>
          <cell r="F625" t="str">
            <v>EQ-FLX</v>
          </cell>
        </row>
        <row r="626">
          <cell r="A626" t="str">
            <v>Nippon India Nifty Alpha Low Volatility 30 Index Fund - Regular Plan</v>
          </cell>
          <cell r="B626" t="str">
            <v>--</v>
          </cell>
          <cell r="C626">
            <v>-4.2699999999999996</v>
          </cell>
          <cell r="D626" t="str">
            <v>39/54</v>
          </cell>
          <cell r="E626" t="str">
            <v>Very High</v>
          </cell>
          <cell r="F626" t="str">
            <v>EQ-L&amp;MC</v>
          </cell>
        </row>
        <row r="627">
          <cell r="A627" t="str">
            <v>Nippon India Nifty Auto ETF</v>
          </cell>
          <cell r="B627" t="str">
            <v>--</v>
          </cell>
          <cell r="C627">
            <v>-7.22</v>
          </cell>
          <cell r="D627" t="str">
            <v>64/78</v>
          </cell>
          <cell r="E627" t="str">
            <v>Very High</v>
          </cell>
          <cell r="F627" t="str">
            <v>EQ-THEMATIC</v>
          </cell>
        </row>
        <row r="628">
          <cell r="A628" t="str">
            <v>Nippon India Nifty Auto Index Fund - Regular Plan</v>
          </cell>
          <cell r="B628" t="str">
            <v>--</v>
          </cell>
          <cell r="C628" t="str">
            <v>--</v>
          </cell>
          <cell r="D628" t="str">
            <v>--</v>
          </cell>
          <cell r="E628" t="str">
            <v>Very High</v>
          </cell>
          <cell r="F628" t="str">
            <v>EQ-THEMATIC</v>
          </cell>
        </row>
        <row r="629">
          <cell r="A629" t="str">
            <v>Nippon India Nifty Midcap 150 Index Fund - Regular Plan</v>
          </cell>
          <cell r="B629">
            <v>3</v>
          </cell>
          <cell r="C629">
            <v>1.68</v>
          </cell>
          <cell r="D629" t="str">
            <v>28/53</v>
          </cell>
          <cell r="E629" t="str">
            <v>Very High</v>
          </cell>
          <cell r="F629" t="str">
            <v>EQ-MC</v>
          </cell>
        </row>
        <row r="630">
          <cell r="A630" t="str">
            <v>Nippon India Nifty Next 50 Junior BeES FoF - Regular Plan</v>
          </cell>
          <cell r="B630">
            <v>3</v>
          </cell>
          <cell r="C630">
            <v>-7.69</v>
          </cell>
          <cell r="D630" t="str">
            <v>131/144</v>
          </cell>
          <cell r="E630" t="str">
            <v>Very High</v>
          </cell>
          <cell r="F630" t="str">
            <v>EQ-LC</v>
          </cell>
        </row>
        <row r="631">
          <cell r="A631" t="str">
            <v>Nippon India Nifty Realty Index Fund - Regular Plan</v>
          </cell>
          <cell r="B631" t="str">
            <v>--</v>
          </cell>
          <cell r="C631" t="str">
            <v>--</v>
          </cell>
          <cell r="D631" t="str">
            <v>--</v>
          </cell>
          <cell r="E631" t="str">
            <v>Very High</v>
          </cell>
          <cell r="F631" t="str">
            <v>EQ-THEMATIC</v>
          </cell>
        </row>
        <row r="632">
          <cell r="A632" t="str">
            <v>Nippon India Nifty Smallcap 250 Index Fund - Regular Plan</v>
          </cell>
          <cell r="B632">
            <v>2</v>
          </cell>
          <cell r="C632">
            <v>-1.88</v>
          </cell>
          <cell r="D632" t="str">
            <v>36/44</v>
          </cell>
          <cell r="E632" t="str">
            <v>Very High</v>
          </cell>
          <cell r="F632" t="str">
            <v>EQ-SC</v>
          </cell>
        </row>
        <row r="633">
          <cell r="A633" t="str">
            <v>Nippon India Quant Fund - Retail Plan</v>
          </cell>
          <cell r="B633" t="str">
            <v>--</v>
          </cell>
          <cell r="C633">
            <v>4.5599999999999996</v>
          </cell>
          <cell r="D633" t="str">
            <v>16/78</v>
          </cell>
          <cell r="E633" t="str">
            <v>Very High</v>
          </cell>
          <cell r="F633" t="str">
            <v>EQ-THEMATIC</v>
          </cell>
        </row>
        <row r="634">
          <cell r="A634" t="str">
            <v>Nippon India Retirement Fund - Income Generation Scheme</v>
          </cell>
          <cell r="B634">
            <v>2</v>
          </cell>
          <cell r="C634">
            <v>6.29</v>
          </cell>
          <cell r="D634" t="str">
            <v>20/28</v>
          </cell>
          <cell r="E634" t="str">
            <v>Moderately High</v>
          </cell>
          <cell r="F634" t="str">
            <v>HY-CH</v>
          </cell>
        </row>
        <row r="635">
          <cell r="A635" t="str">
            <v>Nippon India Retirement Fund - Wealth Creation Scheme</v>
          </cell>
          <cell r="B635">
            <v>3</v>
          </cell>
          <cell r="C635">
            <v>1.01</v>
          </cell>
          <cell r="D635" t="str">
            <v>67/91</v>
          </cell>
          <cell r="E635" t="str">
            <v>Very High</v>
          </cell>
          <cell r="F635" t="str">
            <v>EQ-FLX</v>
          </cell>
        </row>
        <row r="636">
          <cell r="A636" t="str">
            <v>Nippon India Small Cap Fund</v>
          </cell>
          <cell r="B636">
            <v>5</v>
          </cell>
          <cell r="C636">
            <v>-1.87</v>
          </cell>
          <cell r="D636" t="str">
            <v>35/44</v>
          </cell>
          <cell r="E636" t="str">
            <v>Very High</v>
          </cell>
          <cell r="F636" t="str">
            <v>EQ-SC</v>
          </cell>
        </row>
        <row r="637">
          <cell r="A637" t="str">
            <v>Nippon India Vision Fund</v>
          </cell>
          <cell r="B637">
            <v>4</v>
          </cell>
          <cell r="C637">
            <v>4.76</v>
          </cell>
          <cell r="D637" t="str">
            <v>10/54</v>
          </cell>
          <cell r="E637" t="str">
            <v>Very High</v>
          </cell>
          <cell r="F637" t="str">
            <v>EQ-L&amp;MC</v>
          </cell>
        </row>
        <row r="638">
          <cell r="A638" t="str">
            <v>NJ Arbitrage Fund - Regular Plan</v>
          </cell>
          <cell r="B638" t="str">
            <v>--</v>
          </cell>
          <cell r="C638">
            <v>6.04</v>
          </cell>
          <cell r="D638" t="str">
            <v>26/27</v>
          </cell>
          <cell r="E638" t="str">
            <v>Low</v>
          </cell>
          <cell r="F638" t="str">
            <v>HY-AR</v>
          </cell>
        </row>
        <row r="639">
          <cell r="A639" t="str">
            <v>NJ Balanced Advantage Fund - Regular Plan</v>
          </cell>
          <cell r="B639">
            <v>2</v>
          </cell>
          <cell r="C639">
            <v>0.15</v>
          </cell>
          <cell r="D639" t="str">
            <v>31/36</v>
          </cell>
          <cell r="E639" t="str">
            <v>Very High</v>
          </cell>
          <cell r="F639" t="str">
            <v>HY-DAA</v>
          </cell>
        </row>
        <row r="640">
          <cell r="A640" t="str">
            <v>NJ Flexi Cap Fund - Regular Plan</v>
          </cell>
          <cell r="B640" t="str">
            <v>--</v>
          </cell>
          <cell r="C640">
            <v>-5.87</v>
          </cell>
          <cell r="D640" t="str">
            <v>85/91</v>
          </cell>
          <cell r="E640" t="str">
            <v>Very High</v>
          </cell>
          <cell r="F640" t="str">
            <v>EQ-FLX</v>
          </cell>
        </row>
        <row r="641">
          <cell r="A641" t="str">
            <v>Old Bridge Focused Equity Fund - Regular Plan</v>
          </cell>
          <cell r="B641" t="str">
            <v>--</v>
          </cell>
          <cell r="C641">
            <v>6.69</v>
          </cell>
          <cell r="D641" t="str">
            <v>20/91</v>
          </cell>
          <cell r="E641" t="str">
            <v>Very High</v>
          </cell>
          <cell r="F641" t="str">
            <v>EQ-FLX</v>
          </cell>
        </row>
        <row r="642">
          <cell r="A642" t="str">
            <v>Parag Parikh Arbitrage Fund - Regular Plan</v>
          </cell>
          <cell r="B642" t="str">
            <v>--</v>
          </cell>
          <cell r="C642">
            <v>6.78</v>
          </cell>
          <cell r="D642" t="str">
            <v>14/27</v>
          </cell>
          <cell r="E642" t="str">
            <v>Low</v>
          </cell>
          <cell r="F642" t="str">
            <v>HY-AR</v>
          </cell>
        </row>
        <row r="643">
          <cell r="A643" t="str">
            <v>Parag Parikh Conservative Hybrid Fund - Regular Plan</v>
          </cell>
          <cell r="B643">
            <v>5</v>
          </cell>
          <cell r="C643">
            <v>9.43</v>
          </cell>
          <cell r="D643" t="str">
            <v>3/28</v>
          </cell>
          <cell r="E643" t="str">
            <v>Moderately High</v>
          </cell>
          <cell r="F643" t="str">
            <v>HY-CH</v>
          </cell>
        </row>
        <row r="644">
          <cell r="A644" t="str">
            <v>Parag Parikh Dynamic Asset Allocation Fund - Regular Plan</v>
          </cell>
          <cell r="B644" t="str">
            <v>--</v>
          </cell>
          <cell r="C644">
            <v>8.1</v>
          </cell>
          <cell r="D644" t="str">
            <v>6/36</v>
          </cell>
          <cell r="E644" t="str">
            <v>Moderate</v>
          </cell>
          <cell r="F644" t="str">
            <v>HY-DAA</v>
          </cell>
        </row>
        <row r="645">
          <cell r="A645" t="str">
            <v>Parag Parikh Flexi Cap Fund - Regular Plan</v>
          </cell>
          <cell r="B645">
            <v>5</v>
          </cell>
          <cell r="C645">
            <v>11.39</v>
          </cell>
          <cell r="D645" t="str">
            <v>1/91</v>
          </cell>
          <cell r="E645" t="str">
            <v>Very High</v>
          </cell>
          <cell r="F645" t="str">
            <v>EQ-FLX</v>
          </cell>
        </row>
        <row r="646">
          <cell r="A646" t="str">
            <v>PGIM India Aggressive Hybrid Equity Fund</v>
          </cell>
          <cell r="B646">
            <v>2</v>
          </cell>
          <cell r="C646">
            <v>5.37</v>
          </cell>
          <cell r="D646" t="str">
            <v>24/44</v>
          </cell>
          <cell r="E646" t="str">
            <v>Very High</v>
          </cell>
          <cell r="F646" t="str">
            <v>HY-AH</v>
          </cell>
        </row>
        <row r="647">
          <cell r="A647" t="str">
            <v>PGIM India Arbitrage Fund - Regular Plan</v>
          </cell>
          <cell r="B647">
            <v>2</v>
          </cell>
          <cell r="C647">
            <v>6.7</v>
          </cell>
          <cell r="D647" t="str">
            <v>18/27</v>
          </cell>
          <cell r="E647" t="str">
            <v>Low</v>
          </cell>
          <cell r="F647" t="str">
            <v>HY-AR</v>
          </cell>
        </row>
        <row r="648">
          <cell r="A648" t="str">
            <v>PGIM India Balanced Advantage Fund - Regular Plan</v>
          </cell>
          <cell r="B648">
            <v>1</v>
          </cell>
          <cell r="C648">
            <v>5.86</v>
          </cell>
          <cell r="D648" t="str">
            <v>18/36</v>
          </cell>
          <cell r="E648" t="str">
            <v>Very High</v>
          </cell>
          <cell r="F648" t="str">
            <v>HY-DAA</v>
          </cell>
        </row>
        <row r="649">
          <cell r="A649" t="str">
            <v>PGIM India Flexi Cap Fund - Regular Plan</v>
          </cell>
          <cell r="B649">
            <v>2</v>
          </cell>
          <cell r="C649">
            <v>5.26</v>
          </cell>
          <cell r="D649" t="str">
            <v>26/91</v>
          </cell>
          <cell r="E649" t="str">
            <v>Very High</v>
          </cell>
          <cell r="F649" t="str">
            <v>EQ-FLX</v>
          </cell>
        </row>
        <row r="650">
          <cell r="A650" t="str">
            <v>PGIM India Large and Mid Cap Fund - Regular Plan</v>
          </cell>
          <cell r="B650" t="str">
            <v>--</v>
          </cell>
          <cell r="C650">
            <v>7.28</v>
          </cell>
          <cell r="D650" t="str">
            <v>4/54</v>
          </cell>
          <cell r="E650" t="str">
            <v>Very High</v>
          </cell>
          <cell r="F650" t="str">
            <v>EQ-L&amp;MC</v>
          </cell>
        </row>
        <row r="651">
          <cell r="A651" t="str">
            <v>PGIM India Large Cap Fund</v>
          </cell>
          <cell r="B651">
            <v>1</v>
          </cell>
          <cell r="C651">
            <v>4.22</v>
          </cell>
          <cell r="D651" t="str">
            <v>84/144</v>
          </cell>
          <cell r="E651" t="str">
            <v>Very High</v>
          </cell>
          <cell r="F651" t="str">
            <v>EQ-LC</v>
          </cell>
        </row>
        <row r="652">
          <cell r="A652" t="str">
            <v>PGIM India Midcap Fund - Regular Plan</v>
          </cell>
          <cell r="B652">
            <v>2</v>
          </cell>
          <cell r="C652">
            <v>2.83</v>
          </cell>
          <cell r="D652" t="str">
            <v>16/53</v>
          </cell>
          <cell r="E652" t="str">
            <v>Very High</v>
          </cell>
          <cell r="F652" t="str">
            <v>EQ-MC</v>
          </cell>
        </row>
        <row r="653">
          <cell r="A653" t="str">
            <v>PGIM India Multi Cap Fund - Regular Plan</v>
          </cell>
          <cell r="B653" t="str">
            <v>--</v>
          </cell>
          <cell r="C653" t="str">
            <v>--</v>
          </cell>
          <cell r="D653" t="str">
            <v>--</v>
          </cell>
          <cell r="E653" t="str">
            <v>Very High</v>
          </cell>
          <cell r="F653" t="str">
            <v>EQ-MLC</v>
          </cell>
        </row>
        <row r="654">
          <cell r="A654" t="str">
            <v>PGIM India Retirement Fund - Regular Plan</v>
          </cell>
          <cell r="B654" t="str">
            <v>--</v>
          </cell>
          <cell r="C654">
            <v>7.85</v>
          </cell>
          <cell r="D654" t="str">
            <v>3/25</v>
          </cell>
          <cell r="E654" t="str">
            <v>Very High</v>
          </cell>
          <cell r="F654" t="str">
            <v>EQ-MLC</v>
          </cell>
        </row>
        <row r="655">
          <cell r="A655" t="str">
            <v>PGIM India Small Cap Fund - Regular Plan</v>
          </cell>
          <cell r="B655">
            <v>1</v>
          </cell>
          <cell r="C655">
            <v>2.92</v>
          </cell>
          <cell r="D655" t="str">
            <v>8/44</v>
          </cell>
          <cell r="E655" t="str">
            <v>Very High</v>
          </cell>
          <cell r="F655" t="str">
            <v>EQ-SC</v>
          </cell>
        </row>
        <row r="656">
          <cell r="A656" t="str">
            <v>Quant Absolute Fund</v>
          </cell>
          <cell r="B656">
            <v>3</v>
          </cell>
          <cell r="C656">
            <v>-3.28</v>
          </cell>
          <cell r="D656" t="str">
            <v>43/44</v>
          </cell>
          <cell r="E656" t="str">
            <v>Very High</v>
          </cell>
          <cell r="F656" t="str">
            <v>HY-AH</v>
          </cell>
        </row>
        <row r="657">
          <cell r="A657" t="str">
            <v>Quant Active Fund</v>
          </cell>
          <cell r="B657">
            <v>1</v>
          </cell>
          <cell r="C657">
            <v>-12.58</v>
          </cell>
          <cell r="D657" t="str">
            <v>25/25</v>
          </cell>
          <cell r="E657" t="str">
            <v>Very High</v>
          </cell>
          <cell r="F657" t="str">
            <v>EQ-MLC</v>
          </cell>
        </row>
        <row r="658">
          <cell r="A658" t="str">
            <v>Quant Arbitrage Fund - Regular Plan</v>
          </cell>
          <cell r="B658" t="str">
            <v>--</v>
          </cell>
          <cell r="C658" t="str">
            <v>--</v>
          </cell>
          <cell r="D658" t="str">
            <v>--</v>
          </cell>
          <cell r="E658" t="str">
            <v>Low</v>
          </cell>
          <cell r="F658" t="str">
            <v>HY-AR</v>
          </cell>
        </row>
        <row r="659">
          <cell r="A659" t="str">
            <v>Quant Business Cycle Fund - Regular Plan</v>
          </cell>
          <cell r="B659" t="str">
            <v>--</v>
          </cell>
          <cell r="C659">
            <v>-8.08</v>
          </cell>
          <cell r="D659" t="str">
            <v>69/78</v>
          </cell>
          <cell r="E659" t="str">
            <v>Very High</v>
          </cell>
          <cell r="F659" t="str">
            <v>EQ-THEMATIC</v>
          </cell>
        </row>
        <row r="660">
          <cell r="A660" t="str">
            <v>Quant Commodities Fund - Regular Plan</v>
          </cell>
          <cell r="B660" t="str">
            <v>--</v>
          </cell>
          <cell r="C660">
            <v>-2.12</v>
          </cell>
          <cell r="D660" t="str">
            <v>40/78</v>
          </cell>
          <cell r="E660" t="str">
            <v>Very High</v>
          </cell>
          <cell r="F660" t="str">
            <v>EQ-THEMATIC</v>
          </cell>
        </row>
        <row r="661">
          <cell r="A661" t="str">
            <v>Quant Dynamic Asset Allocation Fund - Regular Plan</v>
          </cell>
          <cell r="B661" t="str">
            <v>--</v>
          </cell>
          <cell r="C661">
            <v>-2.66</v>
          </cell>
          <cell r="D661" t="str">
            <v>33/36</v>
          </cell>
          <cell r="E661" t="str">
            <v>Very High</v>
          </cell>
          <cell r="F661" t="str">
            <v>HY-DAA</v>
          </cell>
        </row>
        <row r="662">
          <cell r="A662" t="str">
            <v>Quant Flexi Cap Fund</v>
          </cell>
          <cell r="B662">
            <v>3</v>
          </cell>
          <cell r="C662">
            <v>-9.82</v>
          </cell>
          <cell r="D662" t="str">
            <v>89/91</v>
          </cell>
          <cell r="E662" t="str">
            <v>Very High</v>
          </cell>
          <cell r="F662" t="str">
            <v>EQ-FLX</v>
          </cell>
        </row>
        <row r="663">
          <cell r="A663" t="str">
            <v>Quant Focused Fund</v>
          </cell>
          <cell r="B663">
            <v>4</v>
          </cell>
          <cell r="C663">
            <v>-6.2</v>
          </cell>
          <cell r="D663" t="str">
            <v>123/144</v>
          </cell>
          <cell r="E663" t="str">
            <v>Very High</v>
          </cell>
          <cell r="F663" t="str">
            <v>EQ-LC</v>
          </cell>
        </row>
        <row r="664">
          <cell r="A664" t="str">
            <v>Quant Large and Mid Cap Fund</v>
          </cell>
          <cell r="B664">
            <v>3</v>
          </cell>
          <cell r="C664">
            <v>-9.59</v>
          </cell>
          <cell r="D664" t="str">
            <v>43/54</v>
          </cell>
          <cell r="E664" t="str">
            <v>Very High</v>
          </cell>
          <cell r="F664" t="str">
            <v>EQ-L&amp;MC</v>
          </cell>
        </row>
        <row r="665">
          <cell r="A665" t="str">
            <v>Quant Large Cap Fund - Regular Plan</v>
          </cell>
          <cell r="B665" t="str">
            <v>--</v>
          </cell>
          <cell r="C665">
            <v>-4.3</v>
          </cell>
          <cell r="D665" t="str">
            <v>121/144</v>
          </cell>
          <cell r="E665" t="str">
            <v>Very High</v>
          </cell>
          <cell r="F665" t="str">
            <v>EQ-LC</v>
          </cell>
        </row>
        <row r="666">
          <cell r="A666" t="str">
            <v>Quant Manufacturing Fund - Regular Plan</v>
          </cell>
          <cell r="B666" t="str">
            <v>--</v>
          </cell>
          <cell r="C666">
            <v>-11.8</v>
          </cell>
          <cell r="D666" t="str">
            <v>76/78</v>
          </cell>
          <cell r="E666" t="str">
            <v>Very High</v>
          </cell>
          <cell r="F666" t="str">
            <v>EQ-THEMATIC</v>
          </cell>
        </row>
        <row r="667">
          <cell r="A667" t="str">
            <v>Quant Mid Cap Fund</v>
          </cell>
          <cell r="B667">
            <v>3</v>
          </cell>
          <cell r="C667">
            <v>-13</v>
          </cell>
          <cell r="D667" t="str">
            <v>53/53</v>
          </cell>
          <cell r="E667" t="str">
            <v>Very High</v>
          </cell>
          <cell r="F667" t="str">
            <v>EQ-MC</v>
          </cell>
        </row>
        <row r="668">
          <cell r="A668" t="str">
            <v>Quant Momentum Fund - Regular Plan</v>
          </cell>
          <cell r="B668" t="str">
            <v>--</v>
          </cell>
          <cell r="C668">
            <v>-7.77</v>
          </cell>
          <cell r="D668" t="str">
            <v>66/78</v>
          </cell>
          <cell r="E668" t="str">
            <v>Very High</v>
          </cell>
          <cell r="F668" t="str">
            <v>EQ-THEMATIC</v>
          </cell>
        </row>
        <row r="669">
          <cell r="A669" t="str">
            <v>Quant Multi Asset Fund</v>
          </cell>
          <cell r="B669">
            <v>4</v>
          </cell>
          <cell r="C669">
            <v>4.9400000000000004</v>
          </cell>
          <cell r="D669" t="str">
            <v>31/37</v>
          </cell>
          <cell r="E669" t="str">
            <v>High</v>
          </cell>
          <cell r="F669" t="str">
            <v>HY-MAA</v>
          </cell>
        </row>
        <row r="670">
          <cell r="A670" t="str">
            <v>Quant Quantamental Fund - Regular Plan</v>
          </cell>
          <cell r="B670" t="str">
            <v>--</v>
          </cell>
          <cell r="C670">
            <v>-9.48</v>
          </cell>
          <cell r="D670" t="str">
            <v>72/78</v>
          </cell>
          <cell r="E670" t="str">
            <v>Very High</v>
          </cell>
          <cell r="F670" t="str">
            <v>EQ-THEMATIC</v>
          </cell>
        </row>
        <row r="671">
          <cell r="A671" t="str">
            <v>Quant Small Cap Fund</v>
          </cell>
          <cell r="B671">
            <v>5</v>
          </cell>
          <cell r="C671">
            <v>-6.78</v>
          </cell>
          <cell r="D671" t="str">
            <v>42/44</v>
          </cell>
          <cell r="E671" t="str">
            <v>Very High</v>
          </cell>
          <cell r="F671" t="str">
            <v>EQ-SC</v>
          </cell>
        </row>
        <row r="672">
          <cell r="A672" t="str">
            <v>Quantum Equity FoF - Regular Plan</v>
          </cell>
          <cell r="B672">
            <v>3</v>
          </cell>
          <cell r="C672">
            <v>4.63</v>
          </cell>
          <cell r="D672" t="str">
            <v>33/91</v>
          </cell>
          <cell r="E672" t="str">
            <v>Very High</v>
          </cell>
          <cell r="F672" t="str">
            <v>EQ-FLX</v>
          </cell>
        </row>
        <row r="673">
          <cell r="A673" t="str">
            <v>Quantum Ethical Fund - Regular Plan</v>
          </cell>
          <cell r="B673" t="str">
            <v>--</v>
          </cell>
          <cell r="C673" t="str">
            <v>--</v>
          </cell>
          <cell r="D673" t="str">
            <v>--</v>
          </cell>
          <cell r="E673" t="str">
            <v>Very High</v>
          </cell>
          <cell r="F673" t="str">
            <v>EQ-THEMATIC</v>
          </cell>
        </row>
        <row r="674">
          <cell r="A674" t="str">
            <v>Quantum Multi Asset Allocation Fund - Regular Plan</v>
          </cell>
          <cell r="B674" t="str">
            <v>--</v>
          </cell>
          <cell r="C674">
            <v>8.5399999999999991</v>
          </cell>
          <cell r="D674" t="str">
            <v>19/37</v>
          </cell>
          <cell r="E674" t="str">
            <v>High</v>
          </cell>
          <cell r="F674" t="str">
            <v>HY-MAA</v>
          </cell>
        </row>
        <row r="675">
          <cell r="A675" t="str">
            <v>Quantum Multi Asset Fund of Funds - Regular Plan</v>
          </cell>
          <cell r="B675">
            <v>3</v>
          </cell>
          <cell r="C675">
            <v>11.04</v>
          </cell>
          <cell r="D675" t="str">
            <v>5/37</v>
          </cell>
          <cell r="E675" t="str">
            <v>High</v>
          </cell>
          <cell r="F675" t="str">
            <v>HY-MAA</v>
          </cell>
        </row>
        <row r="676">
          <cell r="A676" t="str">
            <v>Quantum Nifty 50 ETF</v>
          </cell>
          <cell r="B676" t="str">
            <v>--</v>
          </cell>
          <cell r="C676">
            <v>6.43</v>
          </cell>
          <cell r="D676" t="str">
            <v>20/144</v>
          </cell>
          <cell r="E676" t="str">
            <v>Very High</v>
          </cell>
          <cell r="F676" t="str">
            <v>EQ-LC</v>
          </cell>
        </row>
        <row r="677">
          <cell r="A677" t="str">
            <v>Quantum Nifty 50 ETF FoF - Regular Plan</v>
          </cell>
          <cell r="B677" t="str">
            <v>--</v>
          </cell>
          <cell r="C677">
            <v>6.25</v>
          </cell>
          <cell r="D677" t="str">
            <v>29/144</v>
          </cell>
          <cell r="E677" t="str">
            <v>Very High</v>
          </cell>
          <cell r="F677" t="str">
            <v>EQ-LC</v>
          </cell>
        </row>
        <row r="678">
          <cell r="A678" t="str">
            <v>Quantum Small Cap Fund - Regular Plan</v>
          </cell>
          <cell r="B678" t="str">
            <v>--</v>
          </cell>
          <cell r="C678">
            <v>5.75</v>
          </cell>
          <cell r="D678" t="str">
            <v>6/44</v>
          </cell>
          <cell r="E678" t="str">
            <v>Very High</v>
          </cell>
          <cell r="F678" t="str">
            <v>EQ-SC</v>
          </cell>
        </row>
        <row r="679">
          <cell r="A679" t="str">
            <v>Samco Active Momentum Fund - Regular Plan</v>
          </cell>
          <cell r="B679" t="str">
            <v>--</v>
          </cell>
          <cell r="C679">
            <v>0.44</v>
          </cell>
          <cell r="D679" t="str">
            <v>30/78</v>
          </cell>
          <cell r="E679" t="str">
            <v>Very High</v>
          </cell>
          <cell r="F679" t="str">
            <v>EQ-THEMATIC</v>
          </cell>
        </row>
        <row r="680">
          <cell r="A680" t="str">
            <v>Samco Arbitrage Fund - Regular Plan</v>
          </cell>
          <cell r="B680" t="str">
            <v>--</v>
          </cell>
          <cell r="C680" t="str">
            <v>--</v>
          </cell>
          <cell r="D680" t="str">
            <v>--</v>
          </cell>
          <cell r="E680" t="str">
            <v>Low</v>
          </cell>
          <cell r="F680" t="str">
            <v>HY-AR</v>
          </cell>
        </row>
        <row r="681">
          <cell r="A681" t="str">
            <v>Samco Dynamic Asset Allocation Fund - Regular Plan</v>
          </cell>
          <cell r="B681" t="str">
            <v>--</v>
          </cell>
          <cell r="C681">
            <v>-3.55</v>
          </cell>
          <cell r="D681" t="str">
            <v>34/36</v>
          </cell>
          <cell r="E681" t="str">
            <v>Very High</v>
          </cell>
          <cell r="F681" t="str">
            <v>HY-DAA</v>
          </cell>
        </row>
        <row r="682">
          <cell r="A682" t="str">
            <v>Samco Flexi Cap Fund - Regular Plan</v>
          </cell>
          <cell r="B682">
            <v>1</v>
          </cell>
          <cell r="C682">
            <v>-14.81</v>
          </cell>
          <cell r="D682" t="str">
            <v>91/91</v>
          </cell>
          <cell r="E682" t="str">
            <v>Very High</v>
          </cell>
          <cell r="F682" t="str">
            <v>EQ-FLX</v>
          </cell>
        </row>
        <row r="683">
          <cell r="A683" t="str">
            <v>Samco Large Cap Fund - Regular Plan</v>
          </cell>
          <cell r="B683" t="str">
            <v>--</v>
          </cell>
          <cell r="C683" t="str">
            <v>--</v>
          </cell>
          <cell r="D683" t="str">
            <v>--</v>
          </cell>
          <cell r="E683" t="str">
            <v>Very High</v>
          </cell>
          <cell r="F683" t="str">
            <v>EQ-LC</v>
          </cell>
        </row>
        <row r="684">
          <cell r="A684" t="str">
            <v>Samco Large &amp; Mid Cap Fund - Regular Plan</v>
          </cell>
          <cell r="B684" t="str">
            <v>--</v>
          </cell>
          <cell r="C684" t="str">
            <v>--</v>
          </cell>
          <cell r="D684" t="str">
            <v>--</v>
          </cell>
          <cell r="E684" t="str">
            <v>Very High</v>
          </cell>
          <cell r="F684" t="str">
            <v>EQ-L&amp;MC</v>
          </cell>
        </row>
        <row r="685">
          <cell r="A685" t="str">
            <v>Samco Multi Asset Allocation Fund - Regular Plan</v>
          </cell>
          <cell r="B685" t="str">
            <v>--</v>
          </cell>
          <cell r="C685" t="str">
            <v>--</v>
          </cell>
          <cell r="D685" t="str">
            <v>--</v>
          </cell>
          <cell r="E685" t="str">
            <v>Very High</v>
          </cell>
          <cell r="F685" t="str">
            <v>HY-MAA</v>
          </cell>
        </row>
        <row r="686">
          <cell r="A686" t="str">
            <v>Samco Multi Cap Fund - Regular Plan</v>
          </cell>
          <cell r="B686" t="str">
            <v>--</v>
          </cell>
          <cell r="C686" t="str">
            <v>--</v>
          </cell>
          <cell r="D686" t="str">
            <v>--</v>
          </cell>
          <cell r="E686" t="str">
            <v>Very High</v>
          </cell>
          <cell r="F686" t="str">
            <v>EQ-MLC</v>
          </cell>
        </row>
        <row r="687">
          <cell r="A687" t="str">
            <v>Samco Special Opportunities Fund - Regular Plan</v>
          </cell>
          <cell r="B687" t="str">
            <v>--</v>
          </cell>
          <cell r="C687">
            <v>-19.23</v>
          </cell>
          <cell r="D687" t="str">
            <v>78/78</v>
          </cell>
          <cell r="E687" t="str">
            <v>Very High</v>
          </cell>
          <cell r="F687" t="str">
            <v>EQ-THEMATIC</v>
          </cell>
        </row>
        <row r="688">
          <cell r="A688" t="str">
            <v>SBI Arbitrage Opportunities Fund</v>
          </cell>
          <cell r="B688">
            <v>4</v>
          </cell>
          <cell r="C688">
            <v>7.04</v>
          </cell>
          <cell r="D688" t="str">
            <v>4/27</v>
          </cell>
          <cell r="E688" t="str">
            <v>Low</v>
          </cell>
          <cell r="F688" t="str">
            <v>HY-AR</v>
          </cell>
        </row>
        <row r="689">
          <cell r="A689" t="str">
            <v>SBI Automotive Opportunities Fund - Regular Plan</v>
          </cell>
          <cell r="B689" t="str">
            <v>--</v>
          </cell>
          <cell r="C689">
            <v>-9.61</v>
          </cell>
          <cell r="D689" t="str">
            <v>73/78</v>
          </cell>
          <cell r="E689" t="str">
            <v>Very High</v>
          </cell>
          <cell r="F689" t="str">
            <v>EQ-THEMATIC</v>
          </cell>
        </row>
        <row r="690">
          <cell r="A690" t="str">
            <v>SBI Balanced Advantage Fund - Regular Plan</v>
          </cell>
          <cell r="B690">
            <v>5</v>
          </cell>
          <cell r="C690">
            <v>6.02</v>
          </cell>
          <cell r="D690" t="str">
            <v>16/36</v>
          </cell>
          <cell r="E690" t="str">
            <v>Very High</v>
          </cell>
          <cell r="F690" t="str">
            <v>HY-DAA</v>
          </cell>
        </row>
        <row r="691">
          <cell r="A691" t="str">
            <v>SBI Bluechip Fund</v>
          </cell>
          <cell r="B691">
            <v>4</v>
          </cell>
          <cell r="C691">
            <v>5.0999999999999996</v>
          </cell>
          <cell r="D691" t="str">
            <v>73/144</v>
          </cell>
          <cell r="E691" t="str">
            <v>Very High</v>
          </cell>
          <cell r="F691" t="str">
            <v>EQ-LC</v>
          </cell>
        </row>
        <row r="692">
          <cell r="A692" t="str">
            <v>SBI BSE 100 ETF</v>
          </cell>
          <cell r="B692" t="str">
            <v>--</v>
          </cell>
          <cell r="C692">
            <v>4.83</v>
          </cell>
          <cell r="D692" t="str">
            <v>74/144</v>
          </cell>
          <cell r="E692" t="str">
            <v>Very High</v>
          </cell>
          <cell r="F692" t="str">
            <v>EQ-LC</v>
          </cell>
        </row>
        <row r="693">
          <cell r="A693" t="str">
            <v>SBI BSE Sensex ETF</v>
          </cell>
          <cell r="B693" t="str">
            <v>--</v>
          </cell>
          <cell r="C693">
            <v>6.27</v>
          </cell>
          <cell r="D693" t="str">
            <v>28/144</v>
          </cell>
          <cell r="E693" t="str">
            <v>Very High</v>
          </cell>
          <cell r="F693" t="str">
            <v>EQ-LC</v>
          </cell>
        </row>
        <row r="694">
          <cell r="A694" t="str">
            <v>SBI BSE Sensex Index Fund - Regular Plan</v>
          </cell>
          <cell r="B694" t="str">
            <v>--</v>
          </cell>
          <cell r="C694">
            <v>5.77</v>
          </cell>
          <cell r="D694" t="str">
            <v>57/144</v>
          </cell>
          <cell r="E694" t="str">
            <v>Very High</v>
          </cell>
          <cell r="F694" t="str">
            <v>EQ-LC</v>
          </cell>
        </row>
        <row r="695">
          <cell r="A695" t="str">
            <v>SBI BSE Sensex Next 50 ETF</v>
          </cell>
          <cell r="B695" t="str">
            <v>--</v>
          </cell>
          <cell r="C695">
            <v>1.1299999999999999</v>
          </cell>
          <cell r="D695" t="str">
            <v>108/144</v>
          </cell>
          <cell r="E695" t="str">
            <v>Very High</v>
          </cell>
          <cell r="F695" t="str">
            <v>EQ-LC</v>
          </cell>
        </row>
        <row r="696">
          <cell r="A696" t="str">
            <v>SBI Conservative Hybrid Fund</v>
          </cell>
          <cell r="B696">
            <v>5</v>
          </cell>
          <cell r="C696">
            <v>6.49</v>
          </cell>
          <cell r="D696" t="str">
            <v>18/28</v>
          </cell>
          <cell r="E696" t="str">
            <v>High</v>
          </cell>
          <cell r="F696" t="str">
            <v>HY-CH</v>
          </cell>
        </row>
        <row r="697">
          <cell r="A697" t="str">
            <v>SBI Equity Hybrid Fund</v>
          </cell>
          <cell r="B697">
            <v>3</v>
          </cell>
          <cell r="C697">
            <v>10.88</v>
          </cell>
          <cell r="D697" t="str">
            <v>1/44</v>
          </cell>
          <cell r="E697" t="str">
            <v>Very High</v>
          </cell>
          <cell r="F697" t="str">
            <v>HY-AH</v>
          </cell>
        </row>
        <row r="698">
          <cell r="A698" t="str">
            <v>SBI Equity Minimum Variance Fund - Regular Plan</v>
          </cell>
          <cell r="B698" t="str">
            <v>--</v>
          </cell>
          <cell r="C698">
            <v>0.99</v>
          </cell>
          <cell r="D698" t="str">
            <v>27/78</v>
          </cell>
          <cell r="E698" t="str">
            <v>Very High</v>
          </cell>
          <cell r="F698" t="str">
            <v>EQ-THEMATIC</v>
          </cell>
        </row>
        <row r="699">
          <cell r="A699" t="str">
            <v>SBI Flexicap Fund</v>
          </cell>
          <cell r="B699">
            <v>3</v>
          </cell>
          <cell r="C699">
            <v>1.3</v>
          </cell>
          <cell r="D699" t="str">
            <v>66/91</v>
          </cell>
          <cell r="E699" t="str">
            <v>Very High</v>
          </cell>
          <cell r="F699" t="str">
            <v>EQ-FLX</v>
          </cell>
        </row>
        <row r="700">
          <cell r="A700" t="str">
            <v>SBI Focused Equity Fund</v>
          </cell>
          <cell r="B700">
            <v>3</v>
          </cell>
          <cell r="C700">
            <v>8.01</v>
          </cell>
          <cell r="D700" t="str">
            <v>11/91</v>
          </cell>
          <cell r="E700" t="str">
            <v>Very High</v>
          </cell>
          <cell r="F700" t="str">
            <v>EQ-FLX</v>
          </cell>
        </row>
        <row r="701">
          <cell r="A701" t="str">
            <v>SBI Innovative Opportunities Fund - Regular Plan</v>
          </cell>
          <cell r="B701" t="str">
            <v>--</v>
          </cell>
          <cell r="C701" t="str">
            <v>--</v>
          </cell>
          <cell r="D701" t="str">
            <v>--</v>
          </cell>
          <cell r="E701" t="str">
            <v>Very High</v>
          </cell>
          <cell r="F701" t="str">
            <v>EQ-THEMATIC</v>
          </cell>
        </row>
        <row r="702">
          <cell r="A702" t="str">
            <v>SBI Large &amp; Midcap Fund</v>
          </cell>
          <cell r="B702">
            <v>4</v>
          </cell>
          <cell r="C702">
            <v>4.8600000000000003</v>
          </cell>
          <cell r="D702" t="str">
            <v>9/54</v>
          </cell>
          <cell r="E702" t="str">
            <v>Very High</v>
          </cell>
          <cell r="F702" t="str">
            <v>EQ-L&amp;MC</v>
          </cell>
        </row>
        <row r="703">
          <cell r="A703" t="str">
            <v>SBI Magnum Children's Benefit Fund - Investment Plan - Regular Plan</v>
          </cell>
          <cell r="B703">
            <v>5</v>
          </cell>
          <cell r="C703">
            <v>8.02</v>
          </cell>
          <cell r="D703" t="str">
            <v>5/44</v>
          </cell>
          <cell r="E703" t="str">
            <v>Very High</v>
          </cell>
          <cell r="F703" t="str">
            <v>HY-AH</v>
          </cell>
        </row>
        <row r="704">
          <cell r="A704" t="str">
            <v>SBI Magnum Children's Benefit Fund - Savings Plan</v>
          </cell>
          <cell r="B704">
            <v>5</v>
          </cell>
          <cell r="C704">
            <v>9.7200000000000006</v>
          </cell>
          <cell r="D704" t="str">
            <v>1/28</v>
          </cell>
          <cell r="E704" t="str">
            <v>Moderately High</v>
          </cell>
          <cell r="F704" t="str">
            <v>HY-CH</v>
          </cell>
        </row>
        <row r="705">
          <cell r="A705" t="str">
            <v>SBI Magnum COMMA Fund</v>
          </cell>
          <cell r="B705" t="str">
            <v>--</v>
          </cell>
          <cell r="C705">
            <v>0.88</v>
          </cell>
          <cell r="D705" t="str">
            <v>29/78</v>
          </cell>
          <cell r="E705" t="str">
            <v>Very High</v>
          </cell>
          <cell r="F705" t="str">
            <v>EQ-THEMATIC</v>
          </cell>
        </row>
        <row r="706">
          <cell r="A706" t="str">
            <v>SBI Magnum Midcap Fund</v>
          </cell>
          <cell r="B706">
            <v>4</v>
          </cell>
          <cell r="C706">
            <v>-0.73</v>
          </cell>
          <cell r="D706" t="str">
            <v>44/53</v>
          </cell>
          <cell r="E706" t="str">
            <v>Very High</v>
          </cell>
          <cell r="F706" t="str">
            <v>EQ-MC</v>
          </cell>
        </row>
        <row r="707">
          <cell r="A707" t="str">
            <v>SBI Multi Asset Allocation Fund</v>
          </cell>
          <cell r="B707">
            <v>4</v>
          </cell>
          <cell r="C707">
            <v>8.6999999999999993</v>
          </cell>
          <cell r="D707" t="str">
            <v>16/37</v>
          </cell>
          <cell r="E707" t="str">
            <v>Very High</v>
          </cell>
          <cell r="F707" t="str">
            <v>HY-MAA</v>
          </cell>
        </row>
        <row r="708">
          <cell r="A708" t="str">
            <v>SBI Multicap Fund - Regular Plan</v>
          </cell>
          <cell r="B708">
            <v>3</v>
          </cell>
          <cell r="C708">
            <v>8.6199999999999992</v>
          </cell>
          <cell r="D708" t="str">
            <v>2/25</v>
          </cell>
          <cell r="E708" t="str">
            <v>Very High</v>
          </cell>
          <cell r="F708" t="str">
            <v>EQ-MLC</v>
          </cell>
        </row>
        <row r="709">
          <cell r="A709" t="str">
            <v>SBI Nifty200 Momentum 30 Index Fund - Regular Plan</v>
          </cell>
          <cell r="B709" t="str">
            <v>--</v>
          </cell>
          <cell r="C709" t="str">
            <v>--</v>
          </cell>
          <cell r="D709" t="str">
            <v>--</v>
          </cell>
          <cell r="E709" t="str">
            <v>Very High</v>
          </cell>
          <cell r="F709" t="str">
            <v>EQ-L&amp;MC</v>
          </cell>
        </row>
        <row r="710">
          <cell r="A710" t="str">
            <v>SBI Nifty 200 Quality 30 ETF</v>
          </cell>
          <cell r="B710" t="str">
            <v>--</v>
          </cell>
          <cell r="C710">
            <v>1.02</v>
          </cell>
          <cell r="D710" t="str">
            <v>30/54</v>
          </cell>
          <cell r="E710" t="str">
            <v>Very High</v>
          </cell>
          <cell r="F710" t="str">
            <v>EQ-L&amp;MC</v>
          </cell>
        </row>
        <row r="711">
          <cell r="A711" t="str">
            <v>SBI Nifty200 Quality 30 Index Fund - Regular Plan</v>
          </cell>
          <cell r="B711" t="str">
            <v>--</v>
          </cell>
          <cell r="C711" t="str">
            <v>--</v>
          </cell>
          <cell r="D711" t="str">
            <v>--</v>
          </cell>
          <cell r="E711" t="str">
            <v>Very High</v>
          </cell>
          <cell r="F711" t="str">
            <v>EQ-L&amp;MC</v>
          </cell>
        </row>
        <row r="712">
          <cell r="A712" t="str">
            <v>SBI Nifty 500 Index Fund - Regular Plan</v>
          </cell>
          <cell r="B712" t="str">
            <v>--</v>
          </cell>
          <cell r="C712" t="str">
            <v>--</v>
          </cell>
          <cell r="D712" t="str">
            <v>--</v>
          </cell>
          <cell r="E712" t="str">
            <v>Very High</v>
          </cell>
          <cell r="F712" t="str">
            <v>EQ-FLX</v>
          </cell>
        </row>
        <row r="713">
          <cell r="A713" t="str">
            <v>SBI Nifty 50 Equal Weight ETF</v>
          </cell>
          <cell r="B713" t="str">
            <v>--</v>
          </cell>
          <cell r="C713" t="str">
            <v>--</v>
          </cell>
          <cell r="D713" t="str">
            <v>--</v>
          </cell>
          <cell r="E713" t="str">
            <v>Very High</v>
          </cell>
          <cell r="F713" t="str">
            <v>EQ-LC</v>
          </cell>
        </row>
        <row r="714">
          <cell r="A714" t="str">
            <v>SBI Nifty50 Equal Weight Index Fund - Regular Plan</v>
          </cell>
          <cell r="B714" t="str">
            <v>--</v>
          </cell>
          <cell r="C714">
            <v>3.93</v>
          </cell>
          <cell r="D714" t="str">
            <v>88/144</v>
          </cell>
          <cell r="E714" t="str">
            <v>Very High</v>
          </cell>
          <cell r="F714" t="str">
            <v>EQ-LC</v>
          </cell>
        </row>
        <row r="715">
          <cell r="A715" t="str">
            <v>SBI Nifty 50 ETF</v>
          </cell>
          <cell r="B715" t="str">
            <v>--</v>
          </cell>
          <cell r="C715">
            <v>6.48</v>
          </cell>
          <cell r="D715" t="str">
            <v>13/144</v>
          </cell>
          <cell r="E715" t="str">
            <v>Very High</v>
          </cell>
          <cell r="F715" t="str">
            <v>EQ-LC</v>
          </cell>
        </row>
        <row r="716">
          <cell r="A716" t="str">
            <v>SBI Nifty Index Fund</v>
          </cell>
          <cell r="B716">
            <v>3</v>
          </cell>
          <cell r="C716">
            <v>6.01</v>
          </cell>
          <cell r="D716" t="str">
            <v>43/144</v>
          </cell>
          <cell r="E716" t="str">
            <v>Very High</v>
          </cell>
          <cell r="F716" t="str">
            <v>EQ-LC</v>
          </cell>
        </row>
        <row r="717">
          <cell r="A717" t="str">
            <v>SBI Nifty Midcap 150 Index Fund - Regular Plan</v>
          </cell>
          <cell r="B717" t="str">
            <v>--</v>
          </cell>
          <cell r="C717">
            <v>1.65</v>
          </cell>
          <cell r="D717" t="str">
            <v>29/53</v>
          </cell>
          <cell r="E717" t="str">
            <v>Very High</v>
          </cell>
          <cell r="F717" t="str">
            <v>EQ-MC</v>
          </cell>
        </row>
        <row r="718">
          <cell r="A718" t="str">
            <v>SBI Nifty Next 50 ETF</v>
          </cell>
          <cell r="B718" t="str">
            <v>--</v>
          </cell>
          <cell r="C718">
            <v>-7.39</v>
          </cell>
          <cell r="D718" t="str">
            <v>128/144</v>
          </cell>
          <cell r="E718" t="str">
            <v>Very High</v>
          </cell>
          <cell r="F718" t="str">
            <v>EQ-LC</v>
          </cell>
        </row>
        <row r="719">
          <cell r="A719" t="str">
            <v>SBI Nifty Next 50 Index Fund - Regular Plan</v>
          </cell>
          <cell r="B719">
            <v>2</v>
          </cell>
          <cell r="C719">
            <v>-8.0299999999999994</v>
          </cell>
          <cell r="D719" t="str">
            <v>136/144</v>
          </cell>
          <cell r="E719" t="str">
            <v>Very High</v>
          </cell>
          <cell r="F719" t="str">
            <v>EQ-LC</v>
          </cell>
        </row>
        <row r="720">
          <cell r="A720" t="str">
            <v>SBI Nifty Smallcap 250 Index Fund - Regular Plan</v>
          </cell>
          <cell r="B720" t="str">
            <v>--</v>
          </cell>
          <cell r="C720">
            <v>-1.38</v>
          </cell>
          <cell r="D720" t="str">
            <v>29/44</v>
          </cell>
          <cell r="E720" t="str">
            <v>Very High</v>
          </cell>
          <cell r="F720" t="str">
            <v>EQ-SC</v>
          </cell>
        </row>
        <row r="721">
          <cell r="A721" t="str">
            <v>SBI Quant Fund - Regular Plan</v>
          </cell>
          <cell r="B721" t="str">
            <v>--</v>
          </cell>
          <cell r="C721" t="str">
            <v>--</v>
          </cell>
          <cell r="D721" t="str">
            <v>--</v>
          </cell>
          <cell r="E721" t="str">
            <v>Very High</v>
          </cell>
          <cell r="F721" t="str">
            <v>EQ-THEMATIC</v>
          </cell>
        </row>
        <row r="722">
          <cell r="A722" t="str">
            <v>SBI Retirement Benefit Fund - Aggressive Hybrid Plan - Regular Plan</v>
          </cell>
          <cell r="B722">
            <v>3</v>
          </cell>
          <cell r="C722">
            <v>0.51</v>
          </cell>
          <cell r="D722" t="str">
            <v>40/44</v>
          </cell>
          <cell r="E722" t="str">
            <v>Very High</v>
          </cell>
          <cell r="F722" t="str">
            <v>HY-AH</v>
          </cell>
        </row>
        <row r="723">
          <cell r="A723" t="str">
            <v>SBI Retirement Benefit Fund - Aggressive Plan - Regular Plan</v>
          </cell>
          <cell r="B723">
            <v>3</v>
          </cell>
          <cell r="C723">
            <v>-1.52</v>
          </cell>
          <cell r="D723" t="str">
            <v>75/91</v>
          </cell>
          <cell r="E723" t="str">
            <v>Very High</v>
          </cell>
          <cell r="F723" t="str">
            <v>EQ-FLX</v>
          </cell>
        </row>
        <row r="724">
          <cell r="A724" t="str">
            <v>SBI Retirement Benefit Fund - Conservative Hybrid Plan - Regular Plan</v>
          </cell>
          <cell r="B724">
            <v>3</v>
          </cell>
          <cell r="C724">
            <v>4.47</v>
          </cell>
          <cell r="D724" t="str">
            <v>27/28</v>
          </cell>
          <cell r="E724" t="str">
            <v>High</v>
          </cell>
          <cell r="F724" t="str">
            <v>HY-CH</v>
          </cell>
        </row>
        <row r="725">
          <cell r="A725" t="str">
            <v>SBI Retirement Benefit Fund - Conservative Plan - Regular Plan</v>
          </cell>
          <cell r="B725">
            <v>4</v>
          </cell>
          <cell r="C725">
            <v>6.94</v>
          </cell>
          <cell r="D725" t="str">
            <v>14/28</v>
          </cell>
          <cell r="E725" t="str">
            <v>Moderately High</v>
          </cell>
          <cell r="F725" t="str">
            <v>HY-CH</v>
          </cell>
        </row>
        <row r="726">
          <cell r="A726" t="str">
            <v>SBI Small Cap Fund</v>
          </cell>
          <cell r="B726">
            <v>3</v>
          </cell>
          <cell r="C726">
            <v>-3.74</v>
          </cell>
          <cell r="D726" t="str">
            <v>39/44</v>
          </cell>
          <cell r="E726" t="str">
            <v>Very High</v>
          </cell>
          <cell r="F726" t="str">
            <v>EQ-SC</v>
          </cell>
        </row>
        <row r="727">
          <cell r="A727" t="str">
            <v>Shriram Aggressive Hybrid Fund</v>
          </cell>
          <cell r="B727">
            <v>1</v>
          </cell>
          <cell r="C727">
            <v>-3.31</v>
          </cell>
          <cell r="D727" t="str">
            <v>44/44</v>
          </cell>
          <cell r="E727" t="str">
            <v>Very High</v>
          </cell>
          <cell r="F727" t="str">
            <v>HY-AH</v>
          </cell>
        </row>
        <row r="728">
          <cell r="A728" t="str">
            <v>Shriram Balanced Advantage Fund - Regular Plan</v>
          </cell>
          <cell r="B728">
            <v>2</v>
          </cell>
          <cell r="C728">
            <v>-4.75</v>
          </cell>
          <cell r="D728" t="str">
            <v>35/36</v>
          </cell>
          <cell r="E728" t="str">
            <v>Very High</v>
          </cell>
          <cell r="F728" t="str">
            <v>HY-DAA</v>
          </cell>
        </row>
        <row r="729">
          <cell r="A729" t="str">
            <v>Shriram Flexi Cap Fund - Regular Plan</v>
          </cell>
          <cell r="B729">
            <v>1</v>
          </cell>
          <cell r="C729">
            <v>-11.72</v>
          </cell>
          <cell r="D729" t="str">
            <v>90/91</v>
          </cell>
          <cell r="E729" t="str">
            <v>Very High</v>
          </cell>
          <cell r="F729" t="str">
            <v>EQ-FLX</v>
          </cell>
        </row>
        <row r="730">
          <cell r="A730" t="str">
            <v>Shriram Multi Asset Allocation Fund - Regular Plan</v>
          </cell>
          <cell r="B730" t="str">
            <v>--</v>
          </cell>
          <cell r="C730">
            <v>-5.01</v>
          </cell>
          <cell r="D730" t="str">
            <v>36/37</v>
          </cell>
          <cell r="E730" t="str">
            <v>Very High</v>
          </cell>
          <cell r="F730" t="str">
            <v>HY-MAA</v>
          </cell>
        </row>
        <row r="731">
          <cell r="A731" t="str">
            <v>Shriram Multi Sector Rotation Fund - Regular Plan</v>
          </cell>
          <cell r="B731" t="str">
            <v>--</v>
          </cell>
          <cell r="C731" t="str">
            <v>--</v>
          </cell>
          <cell r="D731" t="str">
            <v>--</v>
          </cell>
          <cell r="E731" t="str">
            <v>Very High</v>
          </cell>
          <cell r="F731" t="str">
            <v>EQ-THEMATIC</v>
          </cell>
        </row>
        <row r="732">
          <cell r="A732" t="str">
            <v>Sundaram Aggressive Hybrid Fund</v>
          </cell>
          <cell r="B732">
            <v>3</v>
          </cell>
          <cell r="C732">
            <v>5.44</v>
          </cell>
          <cell r="D732" t="str">
            <v>23/44</v>
          </cell>
          <cell r="E732" t="str">
            <v>High</v>
          </cell>
          <cell r="F732" t="str">
            <v>HY-AH</v>
          </cell>
        </row>
        <row r="733">
          <cell r="A733" t="str">
            <v>Sundaram Arbitrage Fund - Regular Plan</v>
          </cell>
          <cell r="B733">
            <v>2</v>
          </cell>
          <cell r="C733">
            <v>6.75</v>
          </cell>
          <cell r="D733" t="str">
            <v>16/27</v>
          </cell>
          <cell r="E733" t="str">
            <v>Low</v>
          </cell>
          <cell r="F733" t="str">
            <v>HY-AR</v>
          </cell>
        </row>
        <row r="734">
          <cell r="A734" t="str">
            <v>Sundaram Balanced Advantage Fund</v>
          </cell>
          <cell r="B734">
            <v>4</v>
          </cell>
          <cell r="C734">
            <v>5.73</v>
          </cell>
          <cell r="D734" t="str">
            <v>20/36</v>
          </cell>
          <cell r="E734" t="str">
            <v>High</v>
          </cell>
          <cell r="F734" t="str">
            <v>HY-DAA</v>
          </cell>
        </row>
        <row r="735">
          <cell r="A735" t="str">
            <v>Sundaram Business Cycle Fund - Regular Plan</v>
          </cell>
          <cell r="B735" t="str">
            <v>--</v>
          </cell>
          <cell r="C735" t="str">
            <v>--</v>
          </cell>
          <cell r="D735" t="str">
            <v>--</v>
          </cell>
          <cell r="E735" t="str">
            <v>Very High</v>
          </cell>
          <cell r="F735" t="str">
            <v>EQ-THEMATIC</v>
          </cell>
        </row>
        <row r="736">
          <cell r="A736" t="str">
            <v>Sundaram Conservative Hybrid Fund</v>
          </cell>
          <cell r="B736">
            <v>3</v>
          </cell>
          <cell r="C736">
            <v>5.95</v>
          </cell>
          <cell r="D736" t="str">
            <v>23/28</v>
          </cell>
          <cell r="E736" t="str">
            <v>Moderately High</v>
          </cell>
          <cell r="F736" t="str">
            <v>HY-CH</v>
          </cell>
        </row>
        <row r="737">
          <cell r="A737" t="str">
            <v>Sundaram Flexi Cap Fund - Regular Plan</v>
          </cell>
          <cell r="B737" t="str">
            <v>--</v>
          </cell>
          <cell r="C737">
            <v>6.46</v>
          </cell>
          <cell r="D737" t="str">
            <v>21/91</v>
          </cell>
          <cell r="E737" t="str">
            <v>Very High</v>
          </cell>
          <cell r="F737" t="str">
            <v>EQ-FLX</v>
          </cell>
        </row>
        <row r="738">
          <cell r="A738" t="str">
            <v>Sundaram Focused Fund</v>
          </cell>
          <cell r="B738">
            <v>3</v>
          </cell>
          <cell r="C738">
            <v>0.95</v>
          </cell>
          <cell r="D738" t="str">
            <v>69/91</v>
          </cell>
          <cell r="E738" t="str">
            <v>Very High</v>
          </cell>
          <cell r="F738" t="str">
            <v>EQ-FLX</v>
          </cell>
        </row>
        <row r="739">
          <cell r="A739" t="str">
            <v>Sundaram Large and Mid Cap Fund</v>
          </cell>
          <cell r="B739">
            <v>2</v>
          </cell>
          <cell r="C739">
            <v>1.32</v>
          </cell>
          <cell r="D739" t="str">
            <v>24/54</v>
          </cell>
          <cell r="E739" t="str">
            <v>Very High</v>
          </cell>
          <cell r="F739" t="str">
            <v>EQ-L&amp;MC</v>
          </cell>
        </row>
        <row r="740">
          <cell r="A740" t="str">
            <v>Sundaram Large Cap Fund - Regular Plan</v>
          </cell>
          <cell r="B740">
            <v>2</v>
          </cell>
          <cell r="C740">
            <v>3.27</v>
          </cell>
          <cell r="D740" t="str">
            <v>95/144</v>
          </cell>
          <cell r="E740" t="str">
            <v>Very High</v>
          </cell>
          <cell r="F740" t="str">
            <v>EQ-LC</v>
          </cell>
        </row>
        <row r="741">
          <cell r="A741" t="str">
            <v>Sundaram Mid Cap Fund - Regular Plan</v>
          </cell>
          <cell r="B741">
            <v>4</v>
          </cell>
          <cell r="C741">
            <v>5.78</v>
          </cell>
          <cell r="D741" t="str">
            <v>5/53</v>
          </cell>
          <cell r="E741" t="str">
            <v>Very High</v>
          </cell>
          <cell r="F741" t="str">
            <v>EQ-MC</v>
          </cell>
        </row>
        <row r="742">
          <cell r="A742" t="str">
            <v>Sundaram Multi Asset Allocation Fund - Regular Plan</v>
          </cell>
          <cell r="B742" t="str">
            <v>--</v>
          </cell>
          <cell r="C742">
            <v>10.5</v>
          </cell>
          <cell r="D742" t="str">
            <v>8/37</v>
          </cell>
          <cell r="E742" t="str">
            <v>High</v>
          </cell>
          <cell r="F742" t="str">
            <v>HY-MAA</v>
          </cell>
        </row>
        <row r="743">
          <cell r="A743" t="str">
            <v>Sundaram Multi Cap Fund</v>
          </cell>
          <cell r="B743">
            <v>2</v>
          </cell>
          <cell r="C743">
            <v>3.5</v>
          </cell>
          <cell r="D743" t="str">
            <v>11/25</v>
          </cell>
          <cell r="E743" t="str">
            <v>Very High</v>
          </cell>
          <cell r="F743" t="str">
            <v>EQ-MLC</v>
          </cell>
        </row>
        <row r="744">
          <cell r="A744" t="str">
            <v>Sundaram Nifty 100 Equal Weight Fund</v>
          </cell>
          <cell r="B744">
            <v>4</v>
          </cell>
          <cell r="C744">
            <v>-1.36</v>
          </cell>
          <cell r="D744" t="str">
            <v>117/144</v>
          </cell>
          <cell r="E744" t="str">
            <v>Very High</v>
          </cell>
          <cell r="F744" t="str">
            <v>EQ-LC</v>
          </cell>
        </row>
        <row r="745">
          <cell r="A745" t="str">
            <v>Sundaram Services Fund - Regular Plan</v>
          </cell>
          <cell r="B745" t="str">
            <v>--</v>
          </cell>
          <cell r="C745">
            <v>14.09</v>
          </cell>
          <cell r="D745" t="str">
            <v>4/78</v>
          </cell>
          <cell r="E745" t="str">
            <v>Very High</v>
          </cell>
          <cell r="F745" t="str">
            <v>EQ-THEMATIC</v>
          </cell>
        </row>
        <row r="746">
          <cell r="A746" t="str">
            <v>Sundaram Small Cap Fund - Regular Plan</v>
          </cell>
          <cell r="B746">
            <v>3</v>
          </cell>
          <cell r="C746">
            <v>2.77</v>
          </cell>
          <cell r="D746" t="str">
            <v>9/44</v>
          </cell>
          <cell r="E746" t="str">
            <v>Very High</v>
          </cell>
          <cell r="F746" t="str">
            <v>EQ-SC</v>
          </cell>
        </row>
        <row r="747">
          <cell r="A747" t="str">
            <v>Tata Arbitrage Fund - Regular Plan</v>
          </cell>
          <cell r="B747">
            <v>4</v>
          </cell>
          <cell r="C747">
            <v>6.94</v>
          </cell>
          <cell r="D747" t="str">
            <v>9/27</v>
          </cell>
          <cell r="E747" t="str">
            <v>Low</v>
          </cell>
          <cell r="F747" t="str">
            <v>HY-AR</v>
          </cell>
        </row>
        <row r="748">
          <cell r="A748" t="str">
            <v>Tata Balanced Advantage Fund - Regular Plan</v>
          </cell>
          <cell r="B748">
            <v>4</v>
          </cell>
          <cell r="C748">
            <v>3.49</v>
          </cell>
          <cell r="D748" t="str">
            <v>27/36</v>
          </cell>
          <cell r="E748" t="str">
            <v>High</v>
          </cell>
          <cell r="F748" t="str">
            <v>HY-DAA</v>
          </cell>
        </row>
        <row r="749">
          <cell r="A749" t="str">
            <v>Tata BSE Quality Index Fund - Regular Plan</v>
          </cell>
          <cell r="B749" t="str">
            <v>--</v>
          </cell>
          <cell r="C749" t="str">
            <v>--</v>
          </cell>
          <cell r="D749" t="str">
            <v>--</v>
          </cell>
          <cell r="E749" t="str">
            <v>Very High</v>
          </cell>
          <cell r="F749" t="str">
            <v>EQ-L&amp;MC</v>
          </cell>
        </row>
        <row r="750">
          <cell r="A750" t="str">
            <v>Tata BSE Select Business Groups Index Fund - Regular Plan</v>
          </cell>
          <cell r="B750" t="str">
            <v>--</v>
          </cell>
          <cell r="C750" t="str">
            <v>--</v>
          </cell>
          <cell r="D750" t="str">
            <v>--</v>
          </cell>
          <cell r="E750" t="str">
            <v>Very High</v>
          </cell>
          <cell r="F750" t="str">
            <v>EQ-THEMATIC</v>
          </cell>
        </row>
        <row r="751">
          <cell r="A751" t="str">
            <v>Tata BSE Sensex Index Fund - Regular Plan</v>
          </cell>
          <cell r="B751">
            <v>2</v>
          </cell>
          <cell r="C751">
            <v>5.64</v>
          </cell>
          <cell r="D751" t="str">
            <v>62/144</v>
          </cell>
          <cell r="E751" t="str">
            <v>Very High</v>
          </cell>
          <cell r="F751" t="str">
            <v>EQ-LC</v>
          </cell>
        </row>
        <row r="752">
          <cell r="A752" t="str">
            <v>Tata Business Cycle Fund - Regular Plan</v>
          </cell>
          <cell r="B752" t="str">
            <v>--</v>
          </cell>
          <cell r="C752">
            <v>-2.95</v>
          </cell>
          <cell r="D752" t="str">
            <v>46/78</v>
          </cell>
          <cell r="E752" t="str">
            <v>Very High</v>
          </cell>
          <cell r="F752" t="str">
            <v>EQ-THEMATIC</v>
          </cell>
        </row>
        <row r="753">
          <cell r="A753" t="str">
            <v>Tata Ethical Fund - Regular Plan</v>
          </cell>
          <cell r="B753" t="str">
            <v>--</v>
          </cell>
          <cell r="C753">
            <v>-4.9400000000000004</v>
          </cell>
          <cell r="D753" t="str">
            <v>55/78</v>
          </cell>
          <cell r="E753" t="str">
            <v>Very High</v>
          </cell>
          <cell r="F753" t="str">
            <v>EQ-THEMATIC</v>
          </cell>
        </row>
        <row r="754">
          <cell r="A754" t="str">
            <v>Tata Flexi Cap Fund - Regular Plan</v>
          </cell>
          <cell r="B754">
            <v>3</v>
          </cell>
          <cell r="C754">
            <v>7.74</v>
          </cell>
          <cell r="D754" t="str">
            <v>12/91</v>
          </cell>
          <cell r="E754" t="str">
            <v>Very High</v>
          </cell>
          <cell r="F754" t="str">
            <v>EQ-FLX</v>
          </cell>
        </row>
        <row r="755">
          <cell r="A755" t="str">
            <v>Tata Focused Equity Fund - Regular Plan</v>
          </cell>
          <cell r="B755">
            <v>3</v>
          </cell>
          <cell r="C755">
            <v>0.74</v>
          </cell>
          <cell r="D755" t="str">
            <v>70/91</v>
          </cell>
          <cell r="E755" t="str">
            <v>Very High</v>
          </cell>
          <cell r="F755" t="str">
            <v>EQ-FLX</v>
          </cell>
        </row>
        <row r="756">
          <cell r="A756" t="str">
            <v>Tata Housing Opportunities Fund - Regular Plan</v>
          </cell>
          <cell r="B756" t="str">
            <v>--</v>
          </cell>
          <cell r="C756">
            <v>-5.82</v>
          </cell>
          <cell r="D756" t="str">
            <v>58/78</v>
          </cell>
          <cell r="E756" t="str">
            <v>Very High</v>
          </cell>
          <cell r="F756" t="str">
            <v>EQ-THEMATIC</v>
          </cell>
        </row>
        <row r="757">
          <cell r="A757" t="str">
            <v>Tata Hybrid Equity Fund - Regular Plan</v>
          </cell>
          <cell r="B757">
            <v>3</v>
          </cell>
          <cell r="C757">
            <v>2.8</v>
          </cell>
          <cell r="D757" t="str">
            <v>37/44</v>
          </cell>
          <cell r="E757" t="str">
            <v>Very High</v>
          </cell>
          <cell r="F757" t="str">
            <v>HY-AH</v>
          </cell>
        </row>
        <row r="758">
          <cell r="A758" t="str">
            <v>Tata India Innovation Fund - Regular Plan</v>
          </cell>
          <cell r="B758" t="str">
            <v>--</v>
          </cell>
          <cell r="C758" t="str">
            <v>--</v>
          </cell>
          <cell r="D758" t="str">
            <v>--</v>
          </cell>
          <cell r="E758" t="str">
            <v>Very High</v>
          </cell>
          <cell r="F758" t="str">
            <v>EQ-THEMATIC</v>
          </cell>
        </row>
        <row r="759">
          <cell r="A759" t="str">
            <v>Tata Large Cap Fund - Regular Plan</v>
          </cell>
          <cell r="B759">
            <v>4</v>
          </cell>
          <cell r="C759">
            <v>1.58</v>
          </cell>
          <cell r="D759" t="str">
            <v>104/144</v>
          </cell>
          <cell r="E759" t="str">
            <v>Very High</v>
          </cell>
          <cell r="F759" t="str">
            <v>EQ-LC</v>
          </cell>
        </row>
        <row r="760">
          <cell r="A760" t="str">
            <v>Tata Large &amp; Mid Cap Fund - Regular Plan</v>
          </cell>
          <cell r="B760">
            <v>3</v>
          </cell>
          <cell r="C760">
            <v>1.46</v>
          </cell>
          <cell r="D760" t="str">
            <v>22/54</v>
          </cell>
          <cell r="E760" t="str">
            <v>Very High</v>
          </cell>
          <cell r="F760" t="str">
            <v>EQ-L&amp;MC</v>
          </cell>
        </row>
        <row r="761">
          <cell r="A761" t="str">
            <v>Tata Midcap Growth Fund - Regular Plan</v>
          </cell>
          <cell r="B761">
            <v>3</v>
          </cell>
          <cell r="C761">
            <v>-2.96</v>
          </cell>
          <cell r="D761" t="str">
            <v>46/53</v>
          </cell>
          <cell r="E761" t="str">
            <v>Very High</v>
          </cell>
          <cell r="F761" t="str">
            <v>EQ-MC</v>
          </cell>
        </row>
        <row r="762">
          <cell r="A762" t="str">
            <v>Tata Multi Asset Opportunities Fund - Regular Plan</v>
          </cell>
          <cell r="B762">
            <v>2</v>
          </cell>
          <cell r="C762">
            <v>5.89</v>
          </cell>
          <cell r="D762" t="str">
            <v>29/37</v>
          </cell>
          <cell r="E762" t="str">
            <v>Very High</v>
          </cell>
          <cell r="F762" t="str">
            <v>HY-MAA</v>
          </cell>
        </row>
        <row r="763">
          <cell r="A763" t="str">
            <v>Tata Multicap Fund - Regular Plan</v>
          </cell>
          <cell r="B763" t="str">
            <v>--</v>
          </cell>
          <cell r="C763">
            <v>-2.99</v>
          </cell>
          <cell r="D763" t="str">
            <v>24/25</v>
          </cell>
          <cell r="E763" t="str">
            <v>Very High</v>
          </cell>
          <cell r="F763" t="str">
            <v>EQ-MLC</v>
          </cell>
        </row>
        <row r="764">
          <cell r="A764" t="str">
            <v>Tata Nifty200 Alpha 30 Index Fund - Regular Plan</v>
          </cell>
          <cell r="B764" t="str">
            <v>--</v>
          </cell>
          <cell r="C764" t="str">
            <v>--</v>
          </cell>
          <cell r="D764" t="str">
            <v>--</v>
          </cell>
          <cell r="E764" t="str">
            <v>Very High</v>
          </cell>
          <cell r="F764" t="str">
            <v>EQ-L&amp;MC</v>
          </cell>
        </row>
        <row r="765">
          <cell r="A765" t="str">
            <v>Tata Nifty500 Multicap India Manufacturing 50:30:20 Index Fund - Regular Plan</v>
          </cell>
          <cell r="B765" t="str">
            <v>--</v>
          </cell>
          <cell r="C765">
            <v>-1.28</v>
          </cell>
          <cell r="D765" t="str">
            <v>34/78</v>
          </cell>
          <cell r="E765" t="str">
            <v>Very High</v>
          </cell>
          <cell r="F765" t="str">
            <v>EQ-THEMATIC</v>
          </cell>
        </row>
        <row r="766">
          <cell r="A766" t="str">
            <v>Tata Nifty 50 Exchange Traded Fund</v>
          </cell>
          <cell r="B766" t="str">
            <v>--</v>
          </cell>
          <cell r="C766">
            <v>6.44</v>
          </cell>
          <cell r="D766" t="str">
            <v>19/144</v>
          </cell>
          <cell r="E766" t="str">
            <v>Very High</v>
          </cell>
          <cell r="F766" t="str">
            <v>EQ-LC</v>
          </cell>
        </row>
        <row r="767">
          <cell r="A767" t="str">
            <v>Tata Nifty 50 Index Fund - Regular Plan</v>
          </cell>
          <cell r="B767">
            <v>3</v>
          </cell>
          <cell r="C767">
            <v>5.85</v>
          </cell>
          <cell r="D767" t="str">
            <v>55/144</v>
          </cell>
          <cell r="E767" t="str">
            <v>Very High</v>
          </cell>
          <cell r="F767" t="str">
            <v>EQ-LC</v>
          </cell>
        </row>
        <row r="768">
          <cell r="A768" t="str">
            <v>Tata Nifty Auto Index Fund - Regular Plan</v>
          </cell>
          <cell r="B768" t="str">
            <v>--</v>
          </cell>
          <cell r="C768">
            <v>-7.99</v>
          </cell>
          <cell r="D768" t="str">
            <v>68/78</v>
          </cell>
          <cell r="E768" t="str">
            <v>Very High</v>
          </cell>
          <cell r="F768" t="str">
            <v>EQ-THEMATIC</v>
          </cell>
        </row>
        <row r="769">
          <cell r="A769" t="str">
            <v>Tata Nifty Capital Markets Index Fund - Regular Plan</v>
          </cell>
          <cell r="B769" t="str">
            <v>--</v>
          </cell>
          <cell r="C769" t="str">
            <v>--</v>
          </cell>
          <cell r="D769" t="str">
            <v>--</v>
          </cell>
          <cell r="E769" t="str">
            <v>Very High</v>
          </cell>
          <cell r="F769" t="str">
            <v>EQ-THEMATIC</v>
          </cell>
        </row>
        <row r="770">
          <cell r="A770" t="str">
            <v>Tata Nifty India Tourism Index Fund - Regular Plan</v>
          </cell>
          <cell r="B770" t="str">
            <v>--</v>
          </cell>
          <cell r="C770" t="str">
            <v>--</v>
          </cell>
          <cell r="D770" t="str">
            <v>--</v>
          </cell>
          <cell r="E770" t="str">
            <v>Very High</v>
          </cell>
          <cell r="F770" t="str">
            <v>EQ-THEMATIC</v>
          </cell>
        </row>
        <row r="771">
          <cell r="A771" t="str">
            <v>Tata Nifty Midcap 150 Index Fund - Regular Plan</v>
          </cell>
          <cell r="B771" t="str">
            <v>--</v>
          </cell>
          <cell r="C771" t="str">
            <v>--</v>
          </cell>
          <cell r="D771" t="str">
            <v>--</v>
          </cell>
          <cell r="E771" t="str">
            <v>Very High</v>
          </cell>
          <cell r="F771" t="str">
            <v>EQ-MC</v>
          </cell>
        </row>
        <row r="772">
          <cell r="A772" t="str">
            <v>Tata Nifty Midcap 150 Momentum 50 Index Fund - Regular Plan</v>
          </cell>
          <cell r="B772" t="str">
            <v>--</v>
          </cell>
          <cell r="C772">
            <v>-3.9</v>
          </cell>
          <cell r="D772" t="str">
            <v>49/53</v>
          </cell>
          <cell r="E772" t="str">
            <v>Very High</v>
          </cell>
          <cell r="F772" t="str">
            <v>EQ-MC</v>
          </cell>
        </row>
        <row r="773">
          <cell r="A773" t="str">
            <v>Tata Nifty Realty Index Fund - Regular Plan</v>
          </cell>
          <cell r="B773" t="str">
            <v>--</v>
          </cell>
          <cell r="C773">
            <v>-12.08</v>
          </cell>
          <cell r="D773" t="str">
            <v>77/78</v>
          </cell>
          <cell r="E773" t="str">
            <v>Very High</v>
          </cell>
          <cell r="F773" t="str">
            <v>EQ-THEMATIC</v>
          </cell>
        </row>
        <row r="774">
          <cell r="A774" t="str">
            <v>Tata Retirement Savings Fund - Conservative Plan - Regular Plan</v>
          </cell>
          <cell r="B774">
            <v>2</v>
          </cell>
          <cell r="C774">
            <v>5.49</v>
          </cell>
          <cell r="D774" t="str">
            <v>25/28</v>
          </cell>
          <cell r="E774" t="str">
            <v>High</v>
          </cell>
          <cell r="F774" t="str">
            <v>HY-CH</v>
          </cell>
        </row>
        <row r="775">
          <cell r="A775" t="str">
            <v>Tata Retirement Savings Fund - Moderate Plan - Regular Plan</v>
          </cell>
          <cell r="B775">
            <v>3</v>
          </cell>
          <cell r="C775">
            <v>6.02</v>
          </cell>
          <cell r="D775" t="str">
            <v>14/44</v>
          </cell>
          <cell r="E775" t="str">
            <v>Very High</v>
          </cell>
          <cell r="F775" t="str">
            <v>HY-AH</v>
          </cell>
        </row>
        <row r="776">
          <cell r="A776" t="str">
            <v>Tata Retirement Savings Fund - Progressive Plan - Regular Plan</v>
          </cell>
          <cell r="B776">
            <v>3</v>
          </cell>
          <cell r="C776">
            <v>4.6100000000000003</v>
          </cell>
          <cell r="D776" t="str">
            <v>34/91</v>
          </cell>
          <cell r="E776" t="str">
            <v>Very High</v>
          </cell>
          <cell r="F776" t="str">
            <v>EQ-FLX</v>
          </cell>
        </row>
        <row r="777">
          <cell r="A777" t="str">
            <v>Tata Small Cap Fund - Regular Plan</v>
          </cell>
          <cell r="B777">
            <v>4</v>
          </cell>
          <cell r="C777">
            <v>2.5099999999999998</v>
          </cell>
          <cell r="D777" t="str">
            <v>10/44</v>
          </cell>
          <cell r="E777" t="str">
            <v>Very High</v>
          </cell>
          <cell r="F777" t="str">
            <v>EQ-SC</v>
          </cell>
        </row>
        <row r="778">
          <cell r="A778" t="str">
            <v>Tata Young Citizens Fund - Regular Plan</v>
          </cell>
          <cell r="B778">
            <v>3</v>
          </cell>
          <cell r="C778">
            <v>3.13</v>
          </cell>
          <cell r="D778" t="str">
            <v>47/91</v>
          </cell>
          <cell r="E778" t="str">
            <v>Very High</v>
          </cell>
          <cell r="F778" t="str">
            <v>EQ-FLX</v>
          </cell>
        </row>
        <row r="779">
          <cell r="A779" t="str">
            <v>Taurus Ethical Fund - Regular Plan</v>
          </cell>
          <cell r="B779" t="str">
            <v>--</v>
          </cell>
          <cell r="C779">
            <v>-0.92</v>
          </cell>
          <cell r="D779" t="str">
            <v>32/78</v>
          </cell>
          <cell r="E779" t="str">
            <v>Very High</v>
          </cell>
          <cell r="F779" t="str">
            <v>EQ-THEMATIC</v>
          </cell>
        </row>
        <row r="780">
          <cell r="A780" t="str">
            <v>Taurus Flexi Cap Fund - Regular Plan</v>
          </cell>
          <cell r="B780">
            <v>2</v>
          </cell>
          <cell r="C780">
            <v>-2.2000000000000002</v>
          </cell>
          <cell r="D780" t="str">
            <v>78/91</v>
          </cell>
          <cell r="E780" t="str">
            <v>Very High</v>
          </cell>
          <cell r="F780" t="str">
            <v>EQ-FLX</v>
          </cell>
        </row>
        <row r="781">
          <cell r="A781" t="str">
            <v>Taurus Large Cap Fund - Regular Plan</v>
          </cell>
          <cell r="B781">
            <v>2</v>
          </cell>
          <cell r="C781">
            <v>1.1499999999999999</v>
          </cell>
          <cell r="D781" t="str">
            <v>107/144</v>
          </cell>
          <cell r="E781" t="str">
            <v>Very High</v>
          </cell>
          <cell r="F781" t="str">
            <v>EQ-LC</v>
          </cell>
        </row>
        <row r="782">
          <cell r="A782" t="str">
            <v>Taurus Mid Cap Fund - Regular Plan</v>
          </cell>
          <cell r="B782">
            <v>1</v>
          </cell>
          <cell r="C782">
            <v>-4.28</v>
          </cell>
          <cell r="D782" t="str">
            <v>50/53</v>
          </cell>
          <cell r="E782" t="str">
            <v>Very High</v>
          </cell>
          <cell r="F782" t="str">
            <v>EQ-MC</v>
          </cell>
        </row>
        <row r="783">
          <cell r="A783" t="str">
            <v>Taurus Nifty 50 Index Fund - Regular Plan</v>
          </cell>
          <cell r="B783">
            <v>3</v>
          </cell>
          <cell r="C783">
            <v>5.31</v>
          </cell>
          <cell r="D783" t="str">
            <v>69/144</v>
          </cell>
          <cell r="E783" t="str">
            <v>Very High</v>
          </cell>
          <cell r="F783" t="str">
            <v>EQ-LC</v>
          </cell>
        </row>
        <row r="784">
          <cell r="A784" t="str">
            <v>TRUSTMF Flexi Cap Fund - Regular Plan</v>
          </cell>
          <cell r="B784" t="str">
            <v>--</v>
          </cell>
          <cell r="C784">
            <v>3.98</v>
          </cell>
          <cell r="D784" t="str">
            <v>40/91</v>
          </cell>
          <cell r="E784" t="str">
            <v>Very High</v>
          </cell>
          <cell r="F784" t="str">
            <v>EQ-FLX</v>
          </cell>
        </row>
        <row r="785">
          <cell r="A785" t="str">
            <v>TRUSTMF Small Cap Fund - Regular Plan</v>
          </cell>
          <cell r="B785" t="str">
            <v>--</v>
          </cell>
          <cell r="C785" t="str">
            <v>--</v>
          </cell>
          <cell r="D785" t="str">
            <v>--</v>
          </cell>
          <cell r="E785" t="str">
            <v>Very High</v>
          </cell>
          <cell r="F785" t="str">
            <v>EQ-SC</v>
          </cell>
        </row>
        <row r="786">
          <cell r="A786" t="str">
            <v>Unifi Dynamic Asset Allocation Fund - Regular Plan</v>
          </cell>
          <cell r="B786" t="str">
            <v>--</v>
          </cell>
          <cell r="C786" t="str">
            <v>--</v>
          </cell>
          <cell r="D786" t="str">
            <v>--</v>
          </cell>
          <cell r="E786" t="str">
            <v>Moderate</v>
          </cell>
          <cell r="F786" t="str">
            <v>HY-DAA</v>
          </cell>
        </row>
        <row r="787">
          <cell r="A787" t="str">
            <v>Unifi Flexi Cap Fund - Regular Plan</v>
          </cell>
          <cell r="B787" t="str">
            <v>--</v>
          </cell>
          <cell r="C787" t="str">
            <v>--</v>
          </cell>
          <cell r="D787" t="str">
            <v>--</v>
          </cell>
          <cell r="E787" t="str">
            <v>Very High</v>
          </cell>
          <cell r="F787" t="str">
            <v>EQ-FLX</v>
          </cell>
        </row>
        <row r="788">
          <cell r="A788" t="str">
            <v>Union Active Momentum Fund - Regular Plan</v>
          </cell>
          <cell r="B788" t="str">
            <v>--</v>
          </cell>
          <cell r="C788" t="str">
            <v>--</v>
          </cell>
          <cell r="D788" t="str">
            <v>--</v>
          </cell>
          <cell r="E788" t="str">
            <v>Very High</v>
          </cell>
          <cell r="F788" t="str">
            <v>EQ-THEMATIC</v>
          </cell>
        </row>
        <row r="789">
          <cell r="A789" t="str">
            <v>Union Aggressive Hybrid Fund - Regular Plan</v>
          </cell>
          <cell r="B789">
            <v>2</v>
          </cell>
          <cell r="C789">
            <v>5.6</v>
          </cell>
          <cell r="D789" t="str">
            <v>21/44</v>
          </cell>
          <cell r="E789" t="str">
            <v>High</v>
          </cell>
          <cell r="F789" t="str">
            <v>HY-AH</v>
          </cell>
        </row>
        <row r="790">
          <cell r="A790" t="str">
            <v>Union Arbitrage Fund - Regular Plan</v>
          </cell>
          <cell r="B790">
            <v>2</v>
          </cell>
          <cell r="C790">
            <v>6.69</v>
          </cell>
          <cell r="D790" t="str">
            <v>19/27</v>
          </cell>
          <cell r="E790" t="str">
            <v>Low</v>
          </cell>
          <cell r="F790" t="str">
            <v>HY-AR</v>
          </cell>
        </row>
        <row r="791">
          <cell r="A791" t="str">
            <v>Union Balanced Advantage Fund - Regular Plan</v>
          </cell>
          <cell r="B791">
            <v>3</v>
          </cell>
          <cell r="C791">
            <v>3.87</v>
          </cell>
          <cell r="D791" t="str">
            <v>26/36</v>
          </cell>
          <cell r="E791" t="str">
            <v>Very High</v>
          </cell>
          <cell r="F791" t="str">
            <v>HY-DAA</v>
          </cell>
        </row>
        <row r="792">
          <cell r="A792" t="str">
            <v>Union Business Cycle Fund - Regular Plan</v>
          </cell>
          <cell r="B792" t="str">
            <v>--</v>
          </cell>
          <cell r="C792">
            <v>-2.33</v>
          </cell>
          <cell r="D792" t="str">
            <v>41/78</v>
          </cell>
          <cell r="E792" t="str">
            <v>Very High</v>
          </cell>
          <cell r="F792" t="str">
            <v>EQ-THEMATIC</v>
          </cell>
        </row>
        <row r="793">
          <cell r="A793" t="str">
            <v>Union Children's Fund - Regular Plan</v>
          </cell>
          <cell r="B793" t="str">
            <v>--</v>
          </cell>
          <cell r="C793">
            <v>6.05</v>
          </cell>
          <cell r="D793" t="str">
            <v>23/91</v>
          </cell>
          <cell r="E793" t="str">
            <v>Very High</v>
          </cell>
          <cell r="F793" t="str">
            <v>EQ-FLX</v>
          </cell>
        </row>
        <row r="794">
          <cell r="A794" t="str">
            <v>Union Flexi Cap Fund</v>
          </cell>
          <cell r="B794">
            <v>3</v>
          </cell>
          <cell r="C794">
            <v>3.24</v>
          </cell>
          <cell r="D794" t="str">
            <v>46/91</v>
          </cell>
          <cell r="E794" t="str">
            <v>Very High</v>
          </cell>
          <cell r="F794" t="str">
            <v>EQ-FLX</v>
          </cell>
        </row>
        <row r="795">
          <cell r="A795" t="str">
            <v>Union Focused Fund - Regular Plan</v>
          </cell>
          <cell r="B795">
            <v>2</v>
          </cell>
          <cell r="C795">
            <v>0.49</v>
          </cell>
          <cell r="D795" t="str">
            <v>71/91</v>
          </cell>
          <cell r="E795" t="str">
            <v>Very High</v>
          </cell>
          <cell r="F795" t="str">
            <v>EQ-FLX</v>
          </cell>
        </row>
        <row r="796">
          <cell r="A796" t="str">
            <v>Union Innovation &amp; Opportunities Fund - Regular Plan</v>
          </cell>
          <cell r="B796" t="str">
            <v>--</v>
          </cell>
          <cell r="C796">
            <v>5.27</v>
          </cell>
          <cell r="D796" t="str">
            <v>13/78</v>
          </cell>
          <cell r="E796" t="str">
            <v>Very High</v>
          </cell>
          <cell r="F796" t="str">
            <v>EQ-THEMATIC</v>
          </cell>
        </row>
        <row r="797">
          <cell r="A797" t="str">
            <v>Union Largecap Fund - Regular Plan</v>
          </cell>
          <cell r="B797">
            <v>2</v>
          </cell>
          <cell r="C797">
            <v>0.09</v>
          </cell>
          <cell r="D797" t="str">
            <v>111/144</v>
          </cell>
          <cell r="E797" t="str">
            <v>Very High</v>
          </cell>
          <cell r="F797" t="str">
            <v>EQ-LC</v>
          </cell>
        </row>
        <row r="798">
          <cell r="A798" t="str">
            <v>Union Large &amp; Midcap Fund - Regular Plan</v>
          </cell>
          <cell r="B798">
            <v>2</v>
          </cell>
          <cell r="C798">
            <v>1.3</v>
          </cell>
          <cell r="D798" t="str">
            <v>25/54</v>
          </cell>
          <cell r="E798" t="str">
            <v>Very High</v>
          </cell>
          <cell r="F798" t="str">
            <v>EQ-L&amp;MC</v>
          </cell>
        </row>
        <row r="799">
          <cell r="A799" t="str">
            <v>Union Midcap Fund - Regular Plan</v>
          </cell>
          <cell r="B799">
            <v>3</v>
          </cell>
          <cell r="C799">
            <v>2.5099999999999998</v>
          </cell>
          <cell r="D799" t="str">
            <v>19/53</v>
          </cell>
          <cell r="E799" t="str">
            <v>Very High</v>
          </cell>
          <cell r="F799" t="str">
            <v>EQ-MC</v>
          </cell>
        </row>
        <row r="800">
          <cell r="A800" t="str">
            <v>Union Multi Asset Allocation Fund - Regular Plan</v>
          </cell>
          <cell r="B800" t="str">
            <v>--</v>
          </cell>
          <cell r="C800" t="str">
            <v>--</v>
          </cell>
          <cell r="D800" t="str">
            <v>--</v>
          </cell>
          <cell r="E800" t="str">
            <v>Very High</v>
          </cell>
          <cell r="F800" t="str">
            <v>HY-MAA</v>
          </cell>
        </row>
        <row r="801">
          <cell r="A801" t="str">
            <v>Union Multicap Fund - Regular Plan</v>
          </cell>
          <cell r="B801" t="str">
            <v>--</v>
          </cell>
          <cell r="C801">
            <v>2.2000000000000002</v>
          </cell>
          <cell r="D801" t="str">
            <v>15/25</v>
          </cell>
          <cell r="E801" t="str">
            <v>Very High</v>
          </cell>
          <cell r="F801" t="str">
            <v>EQ-MLC</v>
          </cell>
        </row>
        <row r="802">
          <cell r="A802" t="str">
            <v>Union Retirement Fund - Regular Plan</v>
          </cell>
          <cell r="B802" t="str">
            <v>--</v>
          </cell>
          <cell r="C802">
            <v>3.73</v>
          </cell>
          <cell r="D802" t="str">
            <v>42/91</v>
          </cell>
          <cell r="E802" t="str">
            <v>Very High</v>
          </cell>
          <cell r="F802" t="str">
            <v>EQ-FLX</v>
          </cell>
        </row>
        <row r="803">
          <cell r="A803" t="str">
            <v>Union Small Cap Fund - Regular Plan</v>
          </cell>
          <cell r="B803">
            <v>2</v>
          </cell>
          <cell r="C803">
            <v>0.54</v>
          </cell>
          <cell r="D803" t="str">
            <v>18/44</v>
          </cell>
          <cell r="E803" t="str">
            <v>Very High</v>
          </cell>
          <cell r="F803" t="str">
            <v>EQ-SC</v>
          </cell>
        </row>
        <row r="804">
          <cell r="A804" t="str">
            <v>UTI Aggressive Hybrid Fund - Regular Plan</v>
          </cell>
          <cell r="B804">
            <v>5</v>
          </cell>
          <cell r="C804">
            <v>6.92</v>
          </cell>
          <cell r="D804" t="str">
            <v>9/44</v>
          </cell>
          <cell r="E804" t="str">
            <v>Very High</v>
          </cell>
          <cell r="F804" t="str">
            <v>HY-AH</v>
          </cell>
        </row>
        <row r="805">
          <cell r="A805" t="str">
            <v>UTI Arbitrage Fund - Regular Plan</v>
          </cell>
          <cell r="B805">
            <v>4</v>
          </cell>
          <cell r="C805">
            <v>7.12</v>
          </cell>
          <cell r="D805" t="str">
            <v>1/27</v>
          </cell>
          <cell r="E805" t="str">
            <v>Low</v>
          </cell>
          <cell r="F805" t="str">
            <v>HY-AR</v>
          </cell>
        </row>
        <row r="806">
          <cell r="A806" t="str">
            <v>UTI Balanced Advantage Fund - Regular Plan</v>
          </cell>
          <cell r="B806" t="str">
            <v>--</v>
          </cell>
          <cell r="C806">
            <v>8.23</v>
          </cell>
          <cell r="D806" t="str">
            <v>5/36</v>
          </cell>
          <cell r="E806" t="str">
            <v>Very High</v>
          </cell>
          <cell r="F806" t="str">
            <v>HY-DAA</v>
          </cell>
        </row>
        <row r="807">
          <cell r="A807" t="str">
            <v>UTI BSE Housing Index Fund - Regular Plan</v>
          </cell>
          <cell r="B807" t="str">
            <v>--</v>
          </cell>
          <cell r="C807">
            <v>-8.18</v>
          </cell>
          <cell r="D807" t="str">
            <v>70/78</v>
          </cell>
          <cell r="E807" t="str">
            <v>Very High</v>
          </cell>
          <cell r="F807" t="str">
            <v>EQ-THEMATIC</v>
          </cell>
        </row>
        <row r="808">
          <cell r="A808" t="str">
            <v>UTI BSE Low Volatility Index Fund - Regular Plan</v>
          </cell>
          <cell r="B808">
            <v>3</v>
          </cell>
          <cell r="C808">
            <v>0.36</v>
          </cell>
          <cell r="D808" t="str">
            <v>32/54</v>
          </cell>
          <cell r="E808" t="str">
            <v>Very High</v>
          </cell>
          <cell r="F808" t="str">
            <v>EQ-L&amp;MC</v>
          </cell>
        </row>
        <row r="809">
          <cell r="A809" t="str">
            <v>UTI BSE Sensex ETF</v>
          </cell>
          <cell r="B809" t="str">
            <v>--</v>
          </cell>
          <cell r="C809">
            <v>6.28</v>
          </cell>
          <cell r="D809" t="str">
            <v>25/144</v>
          </cell>
          <cell r="E809" t="str">
            <v>Very High</v>
          </cell>
          <cell r="F809" t="str">
            <v>EQ-LC</v>
          </cell>
        </row>
        <row r="810">
          <cell r="A810" t="str">
            <v>UTI BSE Sensex Index Fund - Regular Plan</v>
          </cell>
          <cell r="B810">
            <v>4</v>
          </cell>
          <cell r="C810">
            <v>5.98</v>
          </cell>
          <cell r="D810" t="str">
            <v>48/144</v>
          </cell>
          <cell r="E810" t="str">
            <v>Very High</v>
          </cell>
          <cell r="F810" t="str">
            <v>EQ-LC</v>
          </cell>
        </row>
        <row r="811">
          <cell r="A811" t="str">
            <v>UTI BSE Sensex Next 50 ETF</v>
          </cell>
          <cell r="B811" t="str">
            <v>--</v>
          </cell>
          <cell r="C811">
            <v>1.17</v>
          </cell>
          <cell r="D811" t="str">
            <v>106/144</v>
          </cell>
          <cell r="E811" t="str">
            <v>Very High</v>
          </cell>
          <cell r="F811" t="str">
            <v>EQ-LC</v>
          </cell>
        </row>
        <row r="812">
          <cell r="A812" t="str">
            <v>UTI Children's Equity Fund - Regular Plan</v>
          </cell>
          <cell r="B812">
            <v>2</v>
          </cell>
          <cell r="C812">
            <v>1.38</v>
          </cell>
          <cell r="D812" t="str">
            <v>65/91</v>
          </cell>
          <cell r="E812" t="str">
            <v>Very High</v>
          </cell>
          <cell r="F812" t="str">
            <v>EQ-FLX</v>
          </cell>
        </row>
        <row r="813">
          <cell r="A813" t="str">
            <v>UTI Children's Hybrid Fund - Regular Plan</v>
          </cell>
          <cell r="B813" t="str">
            <v>--</v>
          </cell>
          <cell r="C813">
            <v>6.21</v>
          </cell>
          <cell r="D813" t="str">
            <v>5/6</v>
          </cell>
          <cell r="E813" t="str">
            <v>High</v>
          </cell>
          <cell r="F813" t="str">
            <v>HY-BH</v>
          </cell>
        </row>
        <row r="814">
          <cell r="A814" t="str">
            <v>UTI Conservative Hybrid Fund - Regular Plan</v>
          </cell>
          <cell r="B814">
            <v>4</v>
          </cell>
          <cell r="C814">
            <v>8.26</v>
          </cell>
          <cell r="D814" t="str">
            <v>7/28</v>
          </cell>
          <cell r="E814" t="str">
            <v>Moderately High</v>
          </cell>
          <cell r="F814" t="str">
            <v>HY-CH</v>
          </cell>
        </row>
        <row r="815">
          <cell r="A815" t="str">
            <v>UTI Flexi Cap Fund - Regular Plan</v>
          </cell>
          <cell r="B815">
            <v>1</v>
          </cell>
          <cell r="C815">
            <v>7.63</v>
          </cell>
          <cell r="D815" t="str">
            <v>13/91</v>
          </cell>
          <cell r="E815" t="str">
            <v>Very High</v>
          </cell>
          <cell r="F815" t="str">
            <v>EQ-FLX</v>
          </cell>
        </row>
        <row r="816">
          <cell r="A816" t="str">
            <v>UTI Focused Fund - Regular Plan</v>
          </cell>
          <cell r="B816">
            <v>3</v>
          </cell>
          <cell r="C816">
            <v>1.4</v>
          </cell>
          <cell r="D816" t="str">
            <v>63/91</v>
          </cell>
          <cell r="E816" t="str">
            <v>Very High</v>
          </cell>
          <cell r="F816" t="str">
            <v>EQ-FLX</v>
          </cell>
        </row>
        <row r="817">
          <cell r="A817" t="str">
            <v>UTI Innovation Fund - Regular Plan</v>
          </cell>
          <cell r="B817" t="str">
            <v>--</v>
          </cell>
          <cell r="C817">
            <v>1.1100000000000001</v>
          </cell>
          <cell r="D817" t="str">
            <v>26/78</v>
          </cell>
          <cell r="E817" t="str">
            <v>Very High</v>
          </cell>
          <cell r="F817" t="str">
            <v>EQ-THEMATIC</v>
          </cell>
        </row>
        <row r="818">
          <cell r="A818" t="str">
            <v>UTI Large Cap Fund - Regular Plan</v>
          </cell>
          <cell r="B818">
            <v>2</v>
          </cell>
          <cell r="C818">
            <v>4.4000000000000004</v>
          </cell>
          <cell r="D818" t="str">
            <v>80/144</v>
          </cell>
          <cell r="E818" t="str">
            <v>Very High</v>
          </cell>
          <cell r="F818" t="str">
            <v>EQ-LC</v>
          </cell>
        </row>
        <row r="819">
          <cell r="A819" t="str">
            <v>UTI Large &amp; Mid Cap Fund - Regular Plan</v>
          </cell>
          <cell r="B819">
            <v>5</v>
          </cell>
          <cell r="C819">
            <v>6.5</v>
          </cell>
          <cell r="D819" t="str">
            <v>7/54</v>
          </cell>
          <cell r="E819" t="str">
            <v>Very High</v>
          </cell>
          <cell r="F819" t="str">
            <v>EQ-L&amp;MC</v>
          </cell>
        </row>
        <row r="820">
          <cell r="A820" t="str">
            <v>UTI Mid Cap Fund - Regular Plan</v>
          </cell>
          <cell r="B820">
            <v>2</v>
          </cell>
          <cell r="C820">
            <v>0.45</v>
          </cell>
          <cell r="D820" t="str">
            <v>37/53</v>
          </cell>
          <cell r="E820" t="str">
            <v>Very High</v>
          </cell>
          <cell r="F820" t="str">
            <v>EQ-MC</v>
          </cell>
        </row>
        <row r="821">
          <cell r="A821" t="str">
            <v>UTI Multi Asset Allocation Fund - Regular Plan</v>
          </cell>
          <cell r="B821">
            <v>4</v>
          </cell>
          <cell r="C821">
            <v>6.98</v>
          </cell>
          <cell r="D821" t="str">
            <v>25/37</v>
          </cell>
          <cell r="E821" t="str">
            <v>Very High</v>
          </cell>
          <cell r="F821" t="str">
            <v>HY-MAA</v>
          </cell>
        </row>
        <row r="822">
          <cell r="A822" t="str">
            <v>UTI Multi Cap Fund - Regular Plan</v>
          </cell>
          <cell r="B822" t="str">
            <v>--</v>
          </cell>
          <cell r="C822" t="str">
            <v>--</v>
          </cell>
          <cell r="D822" t="str">
            <v>--</v>
          </cell>
          <cell r="E822" t="str">
            <v>Very High</v>
          </cell>
          <cell r="F822" t="str">
            <v>EQ-MLC</v>
          </cell>
        </row>
        <row r="823">
          <cell r="A823" t="str">
            <v>UTI Nifty200 Momentum 30 Index Fund - Regular Plan</v>
          </cell>
          <cell r="B823">
            <v>1</v>
          </cell>
          <cell r="C823">
            <v>-12.85</v>
          </cell>
          <cell r="D823" t="str">
            <v>47/54</v>
          </cell>
          <cell r="E823" t="str">
            <v>Very High</v>
          </cell>
          <cell r="F823" t="str">
            <v>EQ-L&amp;MC</v>
          </cell>
        </row>
        <row r="824">
          <cell r="A824" t="str">
            <v>UTI Nifty200 Quality 30 Index Fund - Regular Plan</v>
          </cell>
          <cell r="B824" t="str">
            <v>--</v>
          </cell>
          <cell r="C824" t="str">
            <v>--</v>
          </cell>
          <cell r="D824" t="str">
            <v>--</v>
          </cell>
          <cell r="E824" t="str">
            <v>Very High</v>
          </cell>
          <cell r="F824" t="str">
            <v>EQ-L&amp;MC</v>
          </cell>
        </row>
        <row r="825">
          <cell r="A825" t="str">
            <v>UTI NIFTY50 Equal Weight Index Fund - Regular Plan</v>
          </cell>
          <cell r="B825" t="str">
            <v>--</v>
          </cell>
          <cell r="C825">
            <v>3.88</v>
          </cell>
          <cell r="D825" t="str">
            <v>90/144</v>
          </cell>
          <cell r="E825" t="str">
            <v>Very High</v>
          </cell>
          <cell r="F825" t="str">
            <v>EQ-LC</v>
          </cell>
        </row>
        <row r="826">
          <cell r="A826" t="str">
            <v>UTI Nifty 50 ETF</v>
          </cell>
          <cell r="B826" t="str">
            <v>--</v>
          </cell>
          <cell r="C826">
            <v>6.49</v>
          </cell>
          <cell r="D826" t="str">
            <v>7/144</v>
          </cell>
          <cell r="E826" t="str">
            <v>Very High</v>
          </cell>
          <cell r="F826" t="str">
            <v>EQ-LC</v>
          </cell>
        </row>
        <row r="827">
          <cell r="A827" t="str">
            <v>UTI Nifty 50 Index Fund - Regular Plan</v>
          </cell>
          <cell r="B827">
            <v>3</v>
          </cell>
          <cell r="C827">
            <v>6.23</v>
          </cell>
          <cell r="D827" t="str">
            <v>31/144</v>
          </cell>
          <cell r="E827" t="str">
            <v>Very High</v>
          </cell>
          <cell r="F827" t="str">
            <v>EQ-LC</v>
          </cell>
        </row>
        <row r="828">
          <cell r="A828" t="str">
            <v>UTI Nifty Alpha Low-Volatility 30 Index Fund - Regular Plan</v>
          </cell>
          <cell r="B828" t="str">
            <v>--</v>
          </cell>
          <cell r="C828" t="str">
            <v>--</v>
          </cell>
          <cell r="D828" t="str">
            <v>--</v>
          </cell>
          <cell r="E828" t="str">
            <v>Very High</v>
          </cell>
          <cell r="F828" t="str">
            <v>EQ-L&amp;MC</v>
          </cell>
        </row>
        <row r="829">
          <cell r="A829" t="str">
            <v>UTI Nifty India Manufacturing Index Fund - Regular Plan</v>
          </cell>
          <cell r="B829" t="str">
            <v>--</v>
          </cell>
          <cell r="C829" t="str">
            <v>--</v>
          </cell>
          <cell r="D829" t="str">
            <v>--</v>
          </cell>
          <cell r="E829" t="str">
            <v>Very High</v>
          </cell>
          <cell r="F829" t="str">
            <v>EQ-THEMATIC</v>
          </cell>
        </row>
        <row r="830">
          <cell r="A830" t="str">
            <v>UTI Nifty Midcap 150 ETF</v>
          </cell>
          <cell r="B830" t="str">
            <v>--</v>
          </cell>
          <cell r="C830">
            <v>2.46</v>
          </cell>
          <cell r="D830" t="str">
            <v>21/53</v>
          </cell>
          <cell r="E830" t="str">
            <v>Very High</v>
          </cell>
          <cell r="F830" t="str">
            <v>EQ-MC</v>
          </cell>
        </row>
        <row r="831">
          <cell r="A831" t="str">
            <v>UTI Nifty Midcap 150 Index Fund - Regular Plan</v>
          </cell>
          <cell r="B831" t="str">
            <v>--</v>
          </cell>
          <cell r="C831" t="str">
            <v>--</v>
          </cell>
          <cell r="D831" t="str">
            <v>--</v>
          </cell>
          <cell r="E831" t="str">
            <v>Very High</v>
          </cell>
          <cell r="F831" t="str">
            <v>EQ-MC</v>
          </cell>
        </row>
        <row r="832">
          <cell r="A832" t="str">
            <v>UTI Nifty Midcap 150 Quality 50 Index Fund - Regular Plan</v>
          </cell>
          <cell r="B832">
            <v>1</v>
          </cell>
          <cell r="C832">
            <v>-0.28000000000000003</v>
          </cell>
          <cell r="D832" t="str">
            <v>42/53</v>
          </cell>
          <cell r="E832" t="str">
            <v>Very High</v>
          </cell>
          <cell r="F832" t="str">
            <v>EQ-MC</v>
          </cell>
        </row>
        <row r="833">
          <cell r="A833" t="str">
            <v>UTI Nifty Midsmallcap 400 Momentum Quality 100 Index Fund - Regular Plan</v>
          </cell>
          <cell r="B833" t="str">
            <v>--</v>
          </cell>
          <cell r="C833" t="str">
            <v>--</v>
          </cell>
          <cell r="D833" t="str">
            <v>--</v>
          </cell>
          <cell r="E833" t="str">
            <v>Very High</v>
          </cell>
          <cell r="F833" t="str">
            <v>EQ-MC</v>
          </cell>
        </row>
        <row r="834">
          <cell r="A834" t="str">
            <v>UTI Nifty Next 50 Exchange Traded Fund</v>
          </cell>
          <cell r="B834" t="str">
            <v>--</v>
          </cell>
          <cell r="C834">
            <v>-7.28</v>
          </cell>
          <cell r="D834" t="str">
            <v>124/144</v>
          </cell>
          <cell r="E834" t="str">
            <v>Very High</v>
          </cell>
          <cell r="F834" t="str">
            <v>EQ-LC</v>
          </cell>
        </row>
        <row r="835">
          <cell r="A835" t="str">
            <v>UTI Nifty Next 50 Index Fund - Regular Plan</v>
          </cell>
          <cell r="B835">
            <v>3</v>
          </cell>
          <cell r="C835">
            <v>-7.97</v>
          </cell>
          <cell r="D835" t="str">
            <v>134/144</v>
          </cell>
          <cell r="E835" t="str">
            <v>Very High</v>
          </cell>
          <cell r="F835" t="str">
            <v>EQ-LC</v>
          </cell>
        </row>
        <row r="836">
          <cell r="A836" t="str">
            <v>UTI Quant Fund - Regular Plan</v>
          </cell>
          <cell r="B836" t="str">
            <v>--</v>
          </cell>
          <cell r="C836" t="str">
            <v>--</v>
          </cell>
          <cell r="D836" t="str">
            <v>--</v>
          </cell>
          <cell r="E836" t="str">
            <v>Very High</v>
          </cell>
          <cell r="F836" t="str">
            <v>EQ-THEMATIC</v>
          </cell>
        </row>
        <row r="837">
          <cell r="A837" t="str">
            <v>UTI Retirement Fund - Regular Plan</v>
          </cell>
          <cell r="B837" t="str">
            <v>--</v>
          </cell>
          <cell r="C837">
            <v>7.9</v>
          </cell>
          <cell r="D837" t="str">
            <v>1/6</v>
          </cell>
          <cell r="E837" t="str">
            <v>High</v>
          </cell>
          <cell r="F837" t="str">
            <v>HY-BH</v>
          </cell>
        </row>
        <row r="838">
          <cell r="A838" t="str">
            <v>UTI Small Cap Fund - Regular Plan</v>
          </cell>
          <cell r="B838">
            <v>3</v>
          </cell>
          <cell r="C838">
            <v>6.7</v>
          </cell>
          <cell r="D838" t="str">
            <v>5/44</v>
          </cell>
          <cell r="E838" t="str">
            <v>Very High</v>
          </cell>
          <cell r="F838" t="str">
            <v>EQ-SC</v>
          </cell>
        </row>
        <row r="839">
          <cell r="A839" t="str">
            <v>UTI Transportation and Logistics Fund - Regular Plan</v>
          </cell>
          <cell r="B839" t="str">
            <v>--</v>
          </cell>
          <cell r="C839">
            <v>-6.15</v>
          </cell>
          <cell r="D839" t="str">
            <v>59/78</v>
          </cell>
          <cell r="E839" t="str">
            <v>Very High</v>
          </cell>
          <cell r="F839" t="str">
            <v>EQ-THEMATIC</v>
          </cell>
        </row>
        <row r="840">
          <cell r="A840" t="str">
            <v>UTI Unit Linked Insurance Plan</v>
          </cell>
          <cell r="B840">
            <v>2</v>
          </cell>
          <cell r="C840">
            <v>9.52</v>
          </cell>
          <cell r="D840" t="str">
            <v>1/36</v>
          </cell>
          <cell r="E840" t="str">
            <v>High</v>
          </cell>
          <cell r="F840" t="str">
            <v>HY-DAA</v>
          </cell>
        </row>
        <row r="841">
          <cell r="A841" t="str">
            <v>WhiteOak Capital Arbitrage Fund - Regular Plan</v>
          </cell>
          <cell r="B841" t="str">
            <v>--</v>
          </cell>
          <cell r="C841" t="str">
            <v>--</v>
          </cell>
          <cell r="D841" t="str">
            <v>--</v>
          </cell>
          <cell r="E841" t="str">
            <v>Low</v>
          </cell>
          <cell r="F841" t="str">
            <v>HY-AR</v>
          </cell>
        </row>
        <row r="842">
          <cell r="A842" t="str">
            <v>WhiteOak Capital Balanced Advantage Fund - Regular Plan</v>
          </cell>
          <cell r="B842" t="str">
            <v>--</v>
          </cell>
          <cell r="C842">
            <v>8.93</v>
          </cell>
          <cell r="D842" t="str">
            <v>3/36</v>
          </cell>
          <cell r="E842" t="str">
            <v>Very High</v>
          </cell>
          <cell r="F842" t="str">
            <v>HY-DAA</v>
          </cell>
        </row>
        <row r="843">
          <cell r="A843" t="str">
            <v>WhiteOak Capital Balanced Hybrid Fund - Regular Plan</v>
          </cell>
          <cell r="B843" t="str">
            <v>--</v>
          </cell>
          <cell r="C843">
            <v>7.3</v>
          </cell>
          <cell r="D843" t="str">
            <v>2/6</v>
          </cell>
          <cell r="E843" t="str">
            <v>Very High</v>
          </cell>
          <cell r="F843" t="str">
            <v>HY-BH</v>
          </cell>
        </row>
        <row r="844">
          <cell r="A844" t="str">
            <v>WhiteOak Capital Flexi Cap Fund - Regular Plan</v>
          </cell>
          <cell r="B844" t="str">
            <v>--</v>
          </cell>
          <cell r="C844">
            <v>8.31</v>
          </cell>
          <cell r="D844" t="str">
            <v>9/91</v>
          </cell>
          <cell r="E844" t="str">
            <v>Very High</v>
          </cell>
          <cell r="F844" t="str">
            <v>EQ-FLX</v>
          </cell>
        </row>
        <row r="845">
          <cell r="A845" t="str">
            <v>WhiteOak Capital Large Cap Fund - Regular Plan</v>
          </cell>
          <cell r="B845" t="str">
            <v>--</v>
          </cell>
          <cell r="C845">
            <v>6.22</v>
          </cell>
          <cell r="D845" t="str">
            <v>32/144</v>
          </cell>
          <cell r="E845" t="str">
            <v>Very High</v>
          </cell>
          <cell r="F845" t="str">
            <v>EQ-LC</v>
          </cell>
        </row>
        <row r="846">
          <cell r="A846" t="str">
            <v>WhiteOak Capital Large &amp; Mid Cap Fund - Regular Plan</v>
          </cell>
          <cell r="B846" t="str">
            <v>--</v>
          </cell>
          <cell r="C846">
            <v>6.81</v>
          </cell>
          <cell r="D846" t="str">
            <v>6/54</v>
          </cell>
          <cell r="E846" t="str">
            <v>Very High</v>
          </cell>
          <cell r="F846" t="str">
            <v>EQ-L&amp;MC</v>
          </cell>
        </row>
        <row r="847">
          <cell r="A847" t="str">
            <v>WhiteOak Capital Mid Cap Fund - Regular Plan</v>
          </cell>
          <cell r="B847" t="str">
            <v>--</v>
          </cell>
          <cell r="C847">
            <v>10.25</v>
          </cell>
          <cell r="D847" t="str">
            <v>2/53</v>
          </cell>
          <cell r="E847" t="str">
            <v>Very High</v>
          </cell>
          <cell r="F847" t="str">
            <v>EQ-MC</v>
          </cell>
        </row>
        <row r="848">
          <cell r="A848" t="str">
            <v>WhiteOak Capital Multi Asset Allocation Fund - Regular Plan</v>
          </cell>
          <cell r="B848" t="str">
            <v>--</v>
          </cell>
          <cell r="C848">
            <v>15.18</v>
          </cell>
          <cell r="D848" t="str">
            <v>1/37</v>
          </cell>
          <cell r="E848" t="str">
            <v>High</v>
          </cell>
          <cell r="F848" t="str">
            <v>HY-MAA</v>
          </cell>
        </row>
        <row r="849">
          <cell r="A849" t="str">
            <v>WhiteOak Capital Multi Cap Fund - Regular Plan</v>
          </cell>
          <cell r="B849" t="str">
            <v>--</v>
          </cell>
          <cell r="C849">
            <v>9.8000000000000007</v>
          </cell>
          <cell r="D849" t="str">
            <v>1/25</v>
          </cell>
          <cell r="E849" t="str">
            <v>Very High</v>
          </cell>
          <cell r="F849" t="str">
            <v>EQ-MLC</v>
          </cell>
        </row>
        <row r="850">
          <cell r="A850" t="str">
            <v>WhiteOak Capital Quality Equity Fund - Regular Plan</v>
          </cell>
          <cell r="B850" t="str">
            <v>--</v>
          </cell>
          <cell r="C850" t="str">
            <v>--</v>
          </cell>
          <cell r="D850" t="str">
            <v>--</v>
          </cell>
          <cell r="E850" t="str">
            <v>Very High</v>
          </cell>
          <cell r="F850" t="str">
            <v>EQ-THEMATIC</v>
          </cell>
        </row>
        <row r="851">
          <cell r="A851" t="str">
            <v>WhiteOak Capital Special Opportunities Fund - Regular Plan</v>
          </cell>
          <cell r="B851" t="str">
            <v>--</v>
          </cell>
          <cell r="C851">
            <v>14.93</v>
          </cell>
          <cell r="D851" t="str">
            <v>2/78</v>
          </cell>
          <cell r="E851" t="str">
            <v>Very High</v>
          </cell>
          <cell r="F851" t="str">
            <v>EQ-THEMATIC</v>
          </cell>
        </row>
        <row r="852">
          <cell r="A852" t="str">
            <v>Zerodha Nifty 100 ETF</v>
          </cell>
          <cell r="B852" t="str">
            <v>--</v>
          </cell>
          <cell r="C852">
            <v>3.87</v>
          </cell>
          <cell r="D852" t="str">
            <v>59/93</v>
          </cell>
          <cell r="E852" t="str">
            <v>Very High</v>
          </cell>
          <cell r="F852" t="str">
            <v>EQ-LC</v>
          </cell>
        </row>
        <row r="853">
          <cell r="A853" t="str">
            <v>Zerodha Nifty Midcap 150 ETF</v>
          </cell>
          <cell r="B853" t="str">
            <v>--</v>
          </cell>
          <cell r="C853">
            <v>3.01</v>
          </cell>
          <cell r="D853" t="str">
            <v>18/43</v>
          </cell>
          <cell r="E853" t="str">
            <v>Very High</v>
          </cell>
          <cell r="F853" t="str">
            <v>EQ-MC</v>
          </cell>
        </row>
      </sheetData>
      <sheetData sheetId="1"/>
      <sheetData sheetId="2"/>
      <sheetData sheetId="3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9.xml.rels><Relationships xmlns="http://schemas.openxmlformats.org/package/2006/relationships"><Relationship Type="http://schemas.openxmlformats.org/officeDocument/2006/relationships/hyperlink" Target="https://www.amfiindia.com/research-information/other-data/listofbenchmarkindices?utm_source=chatgpt.com" TargetMode="External" Id="rId1" /></Relationships>
</file>

<file path=xl/worksheets/sheet1.xml><?xml version="1.0" encoding="utf-8"?>
<worksheet xmlns="http://schemas.openxmlformats.org/spreadsheetml/2006/main">
  <sheetPr codeName="Sheet1">
    <outlinePr summaryBelow="1" summaryRight="1"/>
    <pageSetUpPr/>
  </sheetPr>
  <dimension ref="A3:C18"/>
  <sheetViews>
    <sheetView topLeftCell="A2" zoomScale="103" workbookViewId="0">
      <selection activeCell="F11" sqref="F11"/>
    </sheetView>
  </sheetViews>
  <sheetFormatPr baseColWidth="8" defaultRowHeight="15"/>
  <cols>
    <col width="34.42578125" customWidth="1" min="2" max="2"/>
    <col width="21" customWidth="1" min="3" max="3"/>
  </cols>
  <sheetData>
    <row r="2" ht="15" customHeight="1" thickBot="1"/>
    <row r="3" ht="15" customHeight="1" thickBot="1">
      <c r="B3" s="374" t="inlineStr">
        <is>
          <t>Weightage for AMC Ranking</t>
        </is>
      </c>
      <c r="C3" s="375" t="n"/>
    </row>
    <row r="4">
      <c r="B4" s="79" t="inlineStr">
        <is>
          <t>Category</t>
        </is>
      </c>
      <c r="C4" s="80" t="inlineStr">
        <is>
          <t>Weightage</t>
        </is>
      </c>
    </row>
    <row r="5">
      <c r="A5" s="54" t="n"/>
      <c r="B5" s="40" t="inlineStr">
        <is>
          <t>Market Position &amp; Scale</t>
        </is>
      </c>
      <c r="C5" s="81">
        <f>SUM(C6:C7)</f>
        <v/>
      </c>
    </row>
    <row r="6">
      <c r="A6" s="54" t="n"/>
      <c r="B6" s="398" t="inlineStr">
        <is>
          <t>AUM</t>
        </is>
      </c>
      <c r="C6" s="74" t="n">
        <v>0.15</v>
      </c>
    </row>
    <row r="7">
      <c r="A7" s="54" t="n"/>
      <c r="B7" s="398" t="inlineStr">
        <is>
          <t>No. of Schemes</t>
        </is>
      </c>
      <c r="C7" s="74" t="n">
        <v>0.1</v>
      </c>
    </row>
    <row r="8">
      <c r="A8" s="54" t="n"/>
      <c r="B8" s="40" t="inlineStr">
        <is>
          <t>Performance Metrics</t>
        </is>
      </c>
      <c r="C8" s="81">
        <f>SUM(C9:C11)</f>
        <v/>
      </c>
    </row>
    <row r="9">
      <c r="B9" s="398" t="inlineStr">
        <is>
          <t>3-Year Return</t>
        </is>
      </c>
      <c r="C9" s="74" t="n">
        <v>0.15</v>
      </c>
    </row>
    <row r="10">
      <c r="B10" s="398" t="inlineStr">
        <is>
          <t>5-Year Return</t>
        </is>
      </c>
      <c r="C10" s="74" t="n">
        <v>0.1</v>
      </c>
    </row>
    <row r="11">
      <c r="B11" s="398" t="inlineStr">
        <is>
          <t>10 Year Return</t>
        </is>
      </c>
      <c r="C11" s="74" t="n">
        <v>0.075</v>
      </c>
    </row>
    <row r="12">
      <c r="B12" s="40" t="inlineStr">
        <is>
          <t>Risk-Adjusted Returns</t>
        </is>
      </c>
      <c r="C12" s="81">
        <f>SUM(C13:C15)</f>
        <v/>
      </c>
    </row>
    <row r="13">
      <c r="B13" s="398" t="inlineStr">
        <is>
          <t>Sharpe</t>
        </is>
      </c>
      <c r="C13" s="74" t="n">
        <v>0.05</v>
      </c>
    </row>
    <row r="14">
      <c r="B14" s="398" t="inlineStr">
        <is>
          <t>Sortino</t>
        </is>
      </c>
      <c r="C14" s="74" t="n">
        <v>0.075</v>
      </c>
    </row>
    <row r="15">
      <c r="B15" s="399" t="inlineStr">
        <is>
          <t>Alpha</t>
        </is>
      </c>
      <c r="C15" s="76" t="n">
        <v>0.1</v>
      </c>
    </row>
    <row r="16">
      <c r="B16" s="38" t="inlineStr">
        <is>
          <t>Fund Management &amp; Expense Efficiency</t>
        </is>
      </c>
      <c r="C16" s="82">
        <f>C17</f>
        <v/>
      </c>
    </row>
    <row r="17" ht="15" customHeight="1" thickBot="1">
      <c r="B17" s="398" t="inlineStr">
        <is>
          <t>Expense Ratio</t>
        </is>
      </c>
      <c r="C17" s="74" t="n">
        <v>0.2</v>
      </c>
    </row>
    <row r="18" ht="15" customHeight="1" thickBot="1">
      <c r="B18" s="56" t="inlineStr">
        <is>
          <t>Total Weightage</t>
        </is>
      </c>
      <c r="C18" s="83">
        <f>SUM(C5,C8,C12,C16)</f>
        <v/>
      </c>
    </row>
  </sheetData>
  <mergeCells count="1">
    <mergeCell ref="B3:C3"/>
  </mergeCells>
  <pageMargins left="0.7" right="0.7" top="0.75" bottom="0.75" header="0.3" footer="0.3"/>
  <pageSetup orientation="portrait"/>
</worksheet>
</file>

<file path=xl/worksheets/sheet2.xml><?xml version="1.0" encoding="utf-8"?>
<worksheet xmlns="http://schemas.openxmlformats.org/spreadsheetml/2006/main">
  <sheetPr filterMode="1">
    <outlinePr summaryBelow="1" summaryRight="1"/>
    <pageSetUpPr/>
  </sheetPr>
  <dimension ref="A1:L818"/>
  <sheetViews>
    <sheetView showGridLines="0" showRuler="0" zoomScaleNormal="100" workbookViewId="0">
      <pane xSplit="1" ySplit="1" topLeftCell="C2" activePane="bottomRight" state="frozenSplit"/>
      <selection pane="topRight" activeCell="A1" sqref="A1"/>
      <selection pane="bottomLeft" activeCell="A1" sqref="A1"/>
      <selection pane="bottomRight" activeCell="L1" sqref="L1"/>
    </sheetView>
  </sheetViews>
  <sheetFormatPr baseColWidth="8" defaultRowHeight="15"/>
  <cols>
    <col width="63.42578125" customWidth="1" style="261" min="1" max="1"/>
    <col width="10.42578125" customWidth="1" style="261" min="2" max="2"/>
    <col width="16.140625" customWidth="1" style="261" min="3" max="3"/>
    <col width="8.7109375" customWidth="1" style="261" min="4" max="11"/>
    <col width="15.140625" bestFit="1" customWidth="1" style="261" min="12" max="12"/>
    <col width="8.7109375" customWidth="1" style="261" min="13" max="256"/>
    <col width="63.42578125" customWidth="1" style="261" min="257" max="257"/>
    <col width="10.42578125" customWidth="1" style="261" min="258" max="258"/>
    <col width="16.140625" customWidth="1" style="261" min="259" max="259"/>
    <col width="8.7109375" customWidth="1" style="261" min="260" max="267"/>
    <col width="15.140625" bestFit="1" customWidth="1" style="261" min="268" max="268"/>
    <col width="8.7109375" customWidth="1" style="261" min="269" max="512"/>
    <col width="63.42578125" customWidth="1" style="261" min="513" max="513"/>
    <col width="10.42578125" customWidth="1" style="261" min="514" max="514"/>
    <col width="16.140625" customWidth="1" style="261" min="515" max="515"/>
    <col width="8.7109375" customWidth="1" style="261" min="516" max="523"/>
    <col width="15.140625" bestFit="1" customWidth="1" style="261" min="524" max="524"/>
    <col width="8.7109375" customWidth="1" style="261" min="525" max="768"/>
    <col width="63.42578125" customWidth="1" style="261" min="769" max="769"/>
    <col width="10.42578125" customWidth="1" style="261" min="770" max="770"/>
    <col width="16.140625" customWidth="1" style="261" min="771" max="771"/>
    <col width="8.7109375" customWidth="1" style="261" min="772" max="779"/>
    <col width="15.140625" bestFit="1" customWidth="1" style="261" min="780" max="780"/>
    <col width="8.7109375" customWidth="1" style="261" min="781" max="1024"/>
    <col width="63.42578125" customWidth="1" style="261" min="1025" max="1025"/>
    <col width="10.42578125" customWidth="1" style="261" min="1026" max="1026"/>
    <col width="16.140625" customWidth="1" style="261" min="1027" max="1027"/>
    <col width="8.7109375" customWidth="1" style="261" min="1028" max="1035"/>
    <col width="15.140625" bestFit="1" customWidth="1" style="261" min="1036" max="1036"/>
    <col width="8.7109375" customWidth="1" style="261" min="1037" max="1280"/>
    <col width="63.42578125" customWidth="1" style="261" min="1281" max="1281"/>
    <col width="10.42578125" customWidth="1" style="261" min="1282" max="1282"/>
    <col width="16.140625" customWidth="1" style="261" min="1283" max="1283"/>
    <col width="8.7109375" customWidth="1" style="261" min="1284" max="1291"/>
    <col width="15.140625" bestFit="1" customWidth="1" style="261" min="1292" max="1292"/>
    <col width="8.7109375" customWidth="1" style="261" min="1293" max="1536"/>
    <col width="63.42578125" customWidth="1" style="261" min="1537" max="1537"/>
    <col width="10.42578125" customWidth="1" style="261" min="1538" max="1538"/>
    <col width="16.140625" customWidth="1" style="261" min="1539" max="1539"/>
    <col width="8.7109375" customWidth="1" style="261" min="1540" max="1547"/>
    <col width="15.140625" bestFit="1" customWidth="1" style="261" min="1548" max="1548"/>
    <col width="8.7109375" customWidth="1" style="261" min="1549" max="1792"/>
    <col width="63.42578125" customWidth="1" style="261" min="1793" max="1793"/>
    <col width="10.42578125" customWidth="1" style="261" min="1794" max="1794"/>
    <col width="16.140625" customWidth="1" style="261" min="1795" max="1795"/>
    <col width="8.7109375" customWidth="1" style="261" min="1796" max="1803"/>
    <col width="15.140625" bestFit="1" customWidth="1" style="261" min="1804" max="1804"/>
    <col width="8.7109375" customWidth="1" style="261" min="1805" max="2048"/>
    <col width="63.42578125" customWidth="1" style="261" min="2049" max="2049"/>
    <col width="10.42578125" customWidth="1" style="261" min="2050" max="2050"/>
    <col width="16.140625" customWidth="1" style="261" min="2051" max="2051"/>
    <col width="8.7109375" customWidth="1" style="261" min="2052" max="2059"/>
    <col width="15.140625" bestFit="1" customWidth="1" style="261" min="2060" max="2060"/>
    <col width="8.7109375" customWidth="1" style="261" min="2061" max="2304"/>
    <col width="63.42578125" customWidth="1" style="261" min="2305" max="2305"/>
    <col width="10.42578125" customWidth="1" style="261" min="2306" max="2306"/>
    <col width="16.140625" customWidth="1" style="261" min="2307" max="2307"/>
    <col width="8.7109375" customWidth="1" style="261" min="2308" max="2315"/>
    <col width="15.140625" bestFit="1" customWidth="1" style="261" min="2316" max="2316"/>
    <col width="8.7109375" customWidth="1" style="261" min="2317" max="2560"/>
    <col width="63.42578125" customWidth="1" style="261" min="2561" max="2561"/>
    <col width="10.42578125" customWidth="1" style="261" min="2562" max="2562"/>
    <col width="16.140625" customWidth="1" style="261" min="2563" max="2563"/>
    <col width="8.7109375" customWidth="1" style="261" min="2564" max="2571"/>
    <col width="15.140625" bestFit="1" customWidth="1" style="261" min="2572" max="2572"/>
    <col width="8.7109375" customWidth="1" style="261" min="2573" max="2816"/>
    <col width="63.42578125" customWidth="1" style="261" min="2817" max="2817"/>
    <col width="10.42578125" customWidth="1" style="261" min="2818" max="2818"/>
    <col width="16.140625" customWidth="1" style="261" min="2819" max="2819"/>
    <col width="8.7109375" customWidth="1" style="261" min="2820" max="2827"/>
    <col width="15.140625" bestFit="1" customWidth="1" style="261" min="2828" max="2828"/>
    <col width="8.7109375" customWidth="1" style="261" min="2829" max="3072"/>
    <col width="63.42578125" customWidth="1" style="261" min="3073" max="3073"/>
    <col width="10.42578125" customWidth="1" style="261" min="3074" max="3074"/>
    <col width="16.140625" customWidth="1" style="261" min="3075" max="3075"/>
    <col width="8.7109375" customWidth="1" style="261" min="3076" max="3083"/>
    <col width="15.140625" bestFit="1" customWidth="1" style="261" min="3084" max="3084"/>
    <col width="8.7109375" customWidth="1" style="261" min="3085" max="3328"/>
    <col width="63.42578125" customWidth="1" style="261" min="3329" max="3329"/>
    <col width="10.42578125" customWidth="1" style="261" min="3330" max="3330"/>
    <col width="16.140625" customWidth="1" style="261" min="3331" max="3331"/>
    <col width="8.7109375" customWidth="1" style="261" min="3332" max="3339"/>
    <col width="15.140625" bestFit="1" customWidth="1" style="261" min="3340" max="3340"/>
    <col width="8.7109375" customWidth="1" style="261" min="3341" max="3584"/>
    <col width="63.42578125" customWidth="1" style="261" min="3585" max="3585"/>
    <col width="10.42578125" customWidth="1" style="261" min="3586" max="3586"/>
    <col width="16.140625" customWidth="1" style="261" min="3587" max="3587"/>
    <col width="8.7109375" customWidth="1" style="261" min="3588" max="3595"/>
    <col width="15.140625" bestFit="1" customWidth="1" style="261" min="3596" max="3596"/>
    <col width="8.7109375" customWidth="1" style="261" min="3597" max="3840"/>
    <col width="63.42578125" customWidth="1" style="261" min="3841" max="3841"/>
    <col width="10.42578125" customWidth="1" style="261" min="3842" max="3842"/>
    <col width="16.140625" customWidth="1" style="261" min="3843" max="3843"/>
    <col width="8.7109375" customWidth="1" style="261" min="3844" max="3851"/>
    <col width="15.140625" bestFit="1" customWidth="1" style="261" min="3852" max="3852"/>
    <col width="8.7109375" customWidth="1" style="261" min="3853" max="4096"/>
    <col width="63.42578125" customWidth="1" style="261" min="4097" max="4097"/>
    <col width="10.42578125" customWidth="1" style="261" min="4098" max="4098"/>
    <col width="16.140625" customWidth="1" style="261" min="4099" max="4099"/>
    <col width="8.7109375" customWidth="1" style="261" min="4100" max="4107"/>
    <col width="15.140625" bestFit="1" customWidth="1" style="261" min="4108" max="4108"/>
    <col width="8.7109375" customWidth="1" style="261" min="4109" max="4352"/>
    <col width="63.42578125" customWidth="1" style="261" min="4353" max="4353"/>
    <col width="10.42578125" customWidth="1" style="261" min="4354" max="4354"/>
    <col width="16.140625" customWidth="1" style="261" min="4355" max="4355"/>
    <col width="8.7109375" customWidth="1" style="261" min="4356" max="4363"/>
    <col width="15.140625" bestFit="1" customWidth="1" style="261" min="4364" max="4364"/>
    <col width="8.7109375" customWidth="1" style="261" min="4365" max="4608"/>
    <col width="63.42578125" customWidth="1" style="261" min="4609" max="4609"/>
    <col width="10.42578125" customWidth="1" style="261" min="4610" max="4610"/>
    <col width="16.140625" customWidth="1" style="261" min="4611" max="4611"/>
    <col width="8.7109375" customWidth="1" style="261" min="4612" max="4619"/>
    <col width="15.140625" bestFit="1" customWidth="1" style="261" min="4620" max="4620"/>
    <col width="8.7109375" customWidth="1" style="261" min="4621" max="4864"/>
    <col width="63.42578125" customWidth="1" style="261" min="4865" max="4865"/>
    <col width="10.42578125" customWidth="1" style="261" min="4866" max="4866"/>
    <col width="16.140625" customWidth="1" style="261" min="4867" max="4867"/>
    <col width="8.7109375" customWidth="1" style="261" min="4868" max="4875"/>
    <col width="15.140625" bestFit="1" customWidth="1" style="261" min="4876" max="4876"/>
    <col width="8.7109375" customWidth="1" style="261" min="4877" max="5120"/>
    <col width="63.42578125" customWidth="1" style="261" min="5121" max="5121"/>
    <col width="10.42578125" customWidth="1" style="261" min="5122" max="5122"/>
    <col width="16.140625" customWidth="1" style="261" min="5123" max="5123"/>
    <col width="8.7109375" customWidth="1" style="261" min="5124" max="5131"/>
    <col width="15.140625" bestFit="1" customWidth="1" style="261" min="5132" max="5132"/>
    <col width="8.7109375" customWidth="1" style="261" min="5133" max="5376"/>
    <col width="63.42578125" customWidth="1" style="261" min="5377" max="5377"/>
    <col width="10.42578125" customWidth="1" style="261" min="5378" max="5378"/>
    <col width="16.140625" customWidth="1" style="261" min="5379" max="5379"/>
    <col width="8.7109375" customWidth="1" style="261" min="5380" max="5387"/>
    <col width="15.140625" bestFit="1" customWidth="1" style="261" min="5388" max="5388"/>
    <col width="8.7109375" customWidth="1" style="261" min="5389" max="5632"/>
    <col width="63.42578125" customWidth="1" style="261" min="5633" max="5633"/>
    <col width="10.42578125" customWidth="1" style="261" min="5634" max="5634"/>
    <col width="16.140625" customWidth="1" style="261" min="5635" max="5635"/>
    <col width="8.7109375" customWidth="1" style="261" min="5636" max="5643"/>
    <col width="15.140625" bestFit="1" customWidth="1" style="261" min="5644" max="5644"/>
    <col width="8.7109375" customWidth="1" style="261" min="5645" max="5888"/>
    <col width="63.42578125" customWidth="1" style="261" min="5889" max="5889"/>
    <col width="10.42578125" customWidth="1" style="261" min="5890" max="5890"/>
    <col width="16.140625" customWidth="1" style="261" min="5891" max="5891"/>
    <col width="8.7109375" customWidth="1" style="261" min="5892" max="5899"/>
    <col width="15.140625" bestFit="1" customWidth="1" style="261" min="5900" max="5900"/>
    <col width="8.7109375" customWidth="1" style="261" min="5901" max="6144"/>
    <col width="63.42578125" customWidth="1" style="261" min="6145" max="6145"/>
    <col width="10.42578125" customWidth="1" style="261" min="6146" max="6146"/>
    <col width="16.140625" customWidth="1" style="261" min="6147" max="6147"/>
    <col width="8.7109375" customWidth="1" style="261" min="6148" max="6155"/>
    <col width="15.140625" bestFit="1" customWidth="1" style="261" min="6156" max="6156"/>
    <col width="8.7109375" customWidth="1" style="261" min="6157" max="6400"/>
    <col width="63.42578125" customWidth="1" style="261" min="6401" max="6401"/>
    <col width="10.42578125" customWidth="1" style="261" min="6402" max="6402"/>
    <col width="16.140625" customWidth="1" style="261" min="6403" max="6403"/>
    <col width="8.7109375" customWidth="1" style="261" min="6404" max="6411"/>
    <col width="15.140625" bestFit="1" customWidth="1" style="261" min="6412" max="6412"/>
    <col width="8.7109375" customWidth="1" style="261" min="6413" max="6656"/>
    <col width="63.42578125" customWidth="1" style="261" min="6657" max="6657"/>
    <col width="10.42578125" customWidth="1" style="261" min="6658" max="6658"/>
    <col width="16.140625" customWidth="1" style="261" min="6659" max="6659"/>
    <col width="8.7109375" customWidth="1" style="261" min="6660" max="6667"/>
    <col width="15.140625" bestFit="1" customWidth="1" style="261" min="6668" max="6668"/>
    <col width="8.7109375" customWidth="1" style="261" min="6669" max="6912"/>
    <col width="63.42578125" customWidth="1" style="261" min="6913" max="6913"/>
    <col width="10.42578125" customWidth="1" style="261" min="6914" max="6914"/>
    <col width="16.140625" customWidth="1" style="261" min="6915" max="6915"/>
    <col width="8.7109375" customWidth="1" style="261" min="6916" max="6923"/>
    <col width="15.140625" bestFit="1" customWidth="1" style="261" min="6924" max="6924"/>
    <col width="8.7109375" customWidth="1" style="261" min="6925" max="7168"/>
    <col width="63.42578125" customWidth="1" style="261" min="7169" max="7169"/>
    <col width="10.42578125" customWidth="1" style="261" min="7170" max="7170"/>
    <col width="16.140625" customWidth="1" style="261" min="7171" max="7171"/>
    <col width="8.7109375" customWidth="1" style="261" min="7172" max="7179"/>
    <col width="15.140625" bestFit="1" customWidth="1" style="261" min="7180" max="7180"/>
    <col width="8.7109375" customWidth="1" style="261" min="7181" max="7424"/>
    <col width="63.42578125" customWidth="1" style="261" min="7425" max="7425"/>
    <col width="10.42578125" customWidth="1" style="261" min="7426" max="7426"/>
    <col width="16.140625" customWidth="1" style="261" min="7427" max="7427"/>
    <col width="8.7109375" customWidth="1" style="261" min="7428" max="7435"/>
    <col width="15.140625" bestFit="1" customWidth="1" style="261" min="7436" max="7436"/>
    <col width="8.7109375" customWidth="1" style="261" min="7437" max="7680"/>
    <col width="63.42578125" customWidth="1" style="261" min="7681" max="7681"/>
    <col width="10.42578125" customWidth="1" style="261" min="7682" max="7682"/>
    <col width="16.140625" customWidth="1" style="261" min="7683" max="7683"/>
    <col width="8.7109375" customWidth="1" style="261" min="7684" max="7691"/>
    <col width="15.140625" bestFit="1" customWidth="1" style="261" min="7692" max="7692"/>
    <col width="8.7109375" customWidth="1" style="261" min="7693" max="7936"/>
    <col width="63.42578125" customWidth="1" style="261" min="7937" max="7937"/>
    <col width="10.42578125" customWidth="1" style="261" min="7938" max="7938"/>
    <col width="16.140625" customWidth="1" style="261" min="7939" max="7939"/>
    <col width="8.7109375" customWidth="1" style="261" min="7940" max="7947"/>
    <col width="15.140625" bestFit="1" customWidth="1" style="261" min="7948" max="7948"/>
    <col width="8.7109375" customWidth="1" style="261" min="7949" max="8192"/>
    <col width="63.42578125" customWidth="1" style="261" min="8193" max="8193"/>
    <col width="10.42578125" customWidth="1" style="261" min="8194" max="8194"/>
    <col width="16.140625" customWidth="1" style="261" min="8195" max="8195"/>
    <col width="8.7109375" customWidth="1" style="261" min="8196" max="8203"/>
    <col width="15.140625" bestFit="1" customWidth="1" style="261" min="8204" max="8204"/>
    <col width="8.7109375" customWidth="1" style="261" min="8205" max="8448"/>
    <col width="63.42578125" customWidth="1" style="261" min="8449" max="8449"/>
    <col width="10.42578125" customWidth="1" style="261" min="8450" max="8450"/>
    <col width="16.140625" customWidth="1" style="261" min="8451" max="8451"/>
    <col width="8.7109375" customWidth="1" style="261" min="8452" max="8459"/>
    <col width="15.140625" bestFit="1" customWidth="1" style="261" min="8460" max="8460"/>
    <col width="8.7109375" customWidth="1" style="261" min="8461" max="8704"/>
    <col width="63.42578125" customWidth="1" style="261" min="8705" max="8705"/>
    <col width="10.42578125" customWidth="1" style="261" min="8706" max="8706"/>
    <col width="16.140625" customWidth="1" style="261" min="8707" max="8707"/>
    <col width="8.7109375" customWidth="1" style="261" min="8708" max="8715"/>
    <col width="15.140625" bestFit="1" customWidth="1" style="261" min="8716" max="8716"/>
    <col width="8.7109375" customWidth="1" style="261" min="8717" max="8960"/>
    <col width="63.42578125" customWidth="1" style="261" min="8961" max="8961"/>
    <col width="10.42578125" customWidth="1" style="261" min="8962" max="8962"/>
    <col width="16.140625" customWidth="1" style="261" min="8963" max="8963"/>
    <col width="8.7109375" customWidth="1" style="261" min="8964" max="8971"/>
    <col width="15.140625" bestFit="1" customWidth="1" style="261" min="8972" max="8972"/>
    <col width="8.7109375" customWidth="1" style="261" min="8973" max="9216"/>
    <col width="63.42578125" customWidth="1" style="261" min="9217" max="9217"/>
    <col width="10.42578125" customWidth="1" style="261" min="9218" max="9218"/>
    <col width="16.140625" customWidth="1" style="261" min="9219" max="9219"/>
    <col width="8.7109375" customWidth="1" style="261" min="9220" max="9227"/>
    <col width="15.140625" bestFit="1" customWidth="1" style="261" min="9228" max="9228"/>
    <col width="8.7109375" customWidth="1" style="261" min="9229" max="9472"/>
    <col width="63.42578125" customWidth="1" style="261" min="9473" max="9473"/>
    <col width="10.42578125" customWidth="1" style="261" min="9474" max="9474"/>
    <col width="16.140625" customWidth="1" style="261" min="9475" max="9475"/>
    <col width="8.7109375" customWidth="1" style="261" min="9476" max="9483"/>
    <col width="15.140625" bestFit="1" customWidth="1" style="261" min="9484" max="9484"/>
    <col width="8.7109375" customWidth="1" style="261" min="9485" max="9728"/>
    <col width="63.42578125" customWidth="1" style="261" min="9729" max="9729"/>
    <col width="10.42578125" customWidth="1" style="261" min="9730" max="9730"/>
    <col width="16.140625" customWidth="1" style="261" min="9731" max="9731"/>
    <col width="8.7109375" customWidth="1" style="261" min="9732" max="9739"/>
    <col width="15.140625" bestFit="1" customWidth="1" style="261" min="9740" max="9740"/>
    <col width="8.7109375" customWidth="1" style="261" min="9741" max="9984"/>
    <col width="63.42578125" customWidth="1" style="261" min="9985" max="9985"/>
    <col width="10.42578125" customWidth="1" style="261" min="9986" max="9986"/>
    <col width="16.140625" customWidth="1" style="261" min="9987" max="9987"/>
    <col width="8.7109375" customWidth="1" style="261" min="9988" max="9995"/>
    <col width="15.140625" bestFit="1" customWidth="1" style="261" min="9996" max="9996"/>
    <col width="8.7109375" customWidth="1" style="261" min="9997" max="10240"/>
    <col width="63.42578125" customWidth="1" style="261" min="10241" max="10241"/>
    <col width="10.42578125" customWidth="1" style="261" min="10242" max="10242"/>
    <col width="16.140625" customWidth="1" style="261" min="10243" max="10243"/>
    <col width="8.7109375" customWidth="1" style="261" min="10244" max="10251"/>
    <col width="15.140625" bestFit="1" customWidth="1" style="261" min="10252" max="10252"/>
    <col width="8.7109375" customWidth="1" style="261" min="10253" max="10496"/>
    <col width="63.42578125" customWidth="1" style="261" min="10497" max="10497"/>
    <col width="10.42578125" customWidth="1" style="261" min="10498" max="10498"/>
    <col width="16.140625" customWidth="1" style="261" min="10499" max="10499"/>
    <col width="8.7109375" customWidth="1" style="261" min="10500" max="10507"/>
    <col width="15.140625" bestFit="1" customWidth="1" style="261" min="10508" max="10508"/>
    <col width="8.7109375" customWidth="1" style="261" min="10509" max="10752"/>
    <col width="63.42578125" customWidth="1" style="261" min="10753" max="10753"/>
    <col width="10.42578125" customWidth="1" style="261" min="10754" max="10754"/>
    <col width="16.140625" customWidth="1" style="261" min="10755" max="10755"/>
    <col width="8.7109375" customWidth="1" style="261" min="10756" max="10763"/>
    <col width="15.140625" bestFit="1" customWidth="1" style="261" min="10764" max="10764"/>
    <col width="8.7109375" customWidth="1" style="261" min="10765" max="11008"/>
    <col width="63.42578125" customWidth="1" style="261" min="11009" max="11009"/>
    <col width="10.42578125" customWidth="1" style="261" min="11010" max="11010"/>
    <col width="16.140625" customWidth="1" style="261" min="11011" max="11011"/>
    <col width="8.7109375" customWidth="1" style="261" min="11012" max="11019"/>
    <col width="15.140625" bestFit="1" customWidth="1" style="261" min="11020" max="11020"/>
    <col width="8.7109375" customWidth="1" style="261" min="11021" max="11264"/>
    <col width="63.42578125" customWidth="1" style="261" min="11265" max="11265"/>
    <col width="10.42578125" customWidth="1" style="261" min="11266" max="11266"/>
    <col width="16.140625" customWidth="1" style="261" min="11267" max="11267"/>
    <col width="8.7109375" customWidth="1" style="261" min="11268" max="11275"/>
    <col width="15.140625" bestFit="1" customWidth="1" style="261" min="11276" max="11276"/>
    <col width="8.7109375" customWidth="1" style="261" min="11277" max="11520"/>
    <col width="63.42578125" customWidth="1" style="261" min="11521" max="11521"/>
    <col width="10.42578125" customWidth="1" style="261" min="11522" max="11522"/>
    <col width="16.140625" customWidth="1" style="261" min="11523" max="11523"/>
    <col width="8.7109375" customWidth="1" style="261" min="11524" max="11531"/>
    <col width="15.140625" bestFit="1" customWidth="1" style="261" min="11532" max="11532"/>
    <col width="8.7109375" customWidth="1" style="261" min="11533" max="11776"/>
    <col width="63.42578125" customWidth="1" style="261" min="11777" max="11777"/>
    <col width="10.42578125" customWidth="1" style="261" min="11778" max="11778"/>
    <col width="16.140625" customWidth="1" style="261" min="11779" max="11779"/>
    <col width="8.7109375" customWidth="1" style="261" min="11780" max="11787"/>
    <col width="15.140625" bestFit="1" customWidth="1" style="261" min="11788" max="11788"/>
    <col width="8.7109375" customWidth="1" style="261" min="11789" max="12032"/>
    <col width="63.42578125" customWidth="1" style="261" min="12033" max="12033"/>
    <col width="10.42578125" customWidth="1" style="261" min="12034" max="12034"/>
    <col width="16.140625" customWidth="1" style="261" min="12035" max="12035"/>
    <col width="8.7109375" customWidth="1" style="261" min="12036" max="12043"/>
    <col width="15.140625" bestFit="1" customWidth="1" style="261" min="12044" max="12044"/>
    <col width="8.7109375" customWidth="1" style="261" min="12045" max="12288"/>
    <col width="63.42578125" customWidth="1" style="261" min="12289" max="12289"/>
    <col width="10.42578125" customWidth="1" style="261" min="12290" max="12290"/>
    <col width="16.140625" customWidth="1" style="261" min="12291" max="12291"/>
    <col width="8.7109375" customWidth="1" style="261" min="12292" max="12299"/>
    <col width="15.140625" bestFit="1" customWidth="1" style="261" min="12300" max="12300"/>
    <col width="8.7109375" customWidth="1" style="261" min="12301" max="12544"/>
    <col width="63.42578125" customWidth="1" style="261" min="12545" max="12545"/>
    <col width="10.42578125" customWidth="1" style="261" min="12546" max="12546"/>
    <col width="16.140625" customWidth="1" style="261" min="12547" max="12547"/>
    <col width="8.7109375" customWidth="1" style="261" min="12548" max="12555"/>
    <col width="15.140625" bestFit="1" customWidth="1" style="261" min="12556" max="12556"/>
    <col width="8.7109375" customWidth="1" style="261" min="12557" max="12800"/>
    <col width="63.42578125" customWidth="1" style="261" min="12801" max="12801"/>
    <col width="10.42578125" customWidth="1" style="261" min="12802" max="12802"/>
    <col width="16.140625" customWidth="1" style="261" min="12803" max="12803"/>
    <col width="8.7109375" customWidth="1" style="261" min="12804" max="12811"/>
    <col width="15.140625" bestFit="1" customWidth="1" style="261" min="12812" max="12812"/>
    <col width="8.7109375" customWidth="1" style="261" min="12813" max="13056"/>
    <col width="63.42578125" customWidth="1" style="261" min="13057" max="13057"/>
    <col width="10.42578125" customWidth="1" style="261" min="13058" max="13058"/>
    <col width="16.140625" customWidth="1" style="261" min="13059" max="13059"/>
    <col width="8.7109375" customWidth="1" style="261" min="13060" max="13067"/>
    <col width="15.140625" bestFit="1" customWidth="1" style="261" min="13068" max="13068"/>
    <col width="8.7109375" customWidth="1" style="261" min="13069" max="13312"/>
    <col width="63.42578125" customWidth="1" style="261" min="13313" max="13313"/>
    <col width="10.42578125" customWidth="1" style="261" min="13314" max="13314"/>
    <col width="16.140625" customWidth="1" style="261" min="13315" max="13315"/>
    <col width="8.7109375" customWidth="1" style="261" min="13316" max="13323"/>
    <col width="15.140625" bestFit="1" customWidth="1" style="261" min="13324" max="13324"/>
    <col width="8.7109375" customWidth="1" style="261" min="13325" max="13568"/>
    <col width="63.42578125" customWidth="1" style="261" min="13569" max="13569"/>
    <col width="10.42578125" customWidth="1" style="261" min="13570" max="13570"/>
    <col width="16.140625" customWidth="1" style="261" min="13571" max="13571"/>
    <col width="8.7109375" customWidth="1" style="261" min="13572" max="13579"/>
    <col width="15.140625" bestFit="1" customWidth="1" style="261" min="13580" max="13580"/>
    <col width="8.7109375" customWidth="1" style="261" min="13581" max="13824"/>
    <col width="63.42578125" customWidth="1" style="261" min="13825" max="13825"/>
    <col width="10.42578125" customWidth="1" style="261" min="13826" max="13826"/>
    <col width="16.140625" customWidth="1" style="261" min="13827" max="13827"/>
    <col width="8.7109375" customWidth="1" style="261" min="13828" max="13835"/>
    <col width="15.140625" bestFit="1" customWidth="1" style="261" min="13836" max="13836"/>
    <col width="8.7109375" customWidth="1" style="261" min="13837" max="14080"/>
    <col width="63.42578125" customWidth="1" style="261" min="14081" max="14081"/>
    <col width="10.42578125" customWidth="1" style="261" min="14082" max="14082"/>
    <col width="16.140625" customWidth="1" style="261" min="14083" max="14083"/>
    <col width="8.7109375" customWidth="1" style="261" min="14084" max="14091"/>
    <col width="15.140625" bestFit="1" customWidth="1" style="261" min="14092" max="14092"/>
    <col width="8.7109375" customWidth="1" style="261" min="14093" max="14336"/>
    <col width="63.42578125" customWidth="1" style="261" min="14337" max="14337"/>
    <col width="10.42578125" customWidth="1" style="261" min="14338" max="14338"/>
    <col width="16.140625" customWidth="1" style="261" min="14339" max="14339"/>
    <col width="8.7109375" customWidth="1" style="261" min="14340" max="14347"/>
    <col width="15.140625" bestFit="1" customWidth="1" style="261" min="14348" max="14348"/>
    <col width="8.7109375" customWidth="1" style="261" min="14349" max="14592"/>
    <col width="63.42578125" customWidth="1" style="261" min="14593" max="14593"/>
    <col width="10.42578125" customWidth="1" style="261" min="14594" max="14594"/>
    <col width="16.140625" customWidth="1" style="261" min="14595" max="14595"/>
    <col width="8.7109375" customWidth="1" style="261" min="14596" max="14603"/>
    <col width="15.140625" bestFit="1" customWidth="1" style="261" min="14604" max="14604"/>
    <col width="8.7109375" customWidth="1" style="261" min="14605" max="14848"/>
    <col width="63.42578125" customWidth="1" style="261" min="14849" max="14849"/>
    <col width="10.42578125" customWidth="1" style="261" min="14850" max="14850"/>
    <col width="16.140625" customWidth="1" style="261" min="14851" max="14851"/>
    <col width="8.7109375" customWidth="1" style="261" min="14852" max="14859"/>
    <col width="15.140625" bestFit="1" customWidth="1" style="261" min="14860" max="14860"/>
    <col width="8.7109375" customWidth="1" style="261" min="14861" max="15104"/>
    <col width="63.42578125" customWidth="1" style="261" min="15105" max="15105"/>
    <col width="10.42578125" customWidth="1" style="261" min="15106" max="15106"/>
    <col width="16.140625" customWidth="1" style="261" min="15107" max="15107"/>
    <col width="8.7109375" customWidth="1" style="261" min="15108" max="15115"/>
    <col width="15.140625" bestFit="1" customWidth="1" style="261" min="15116" max="15116"/>
    <col width="8.7109375" customWidth="1" style="261" min="15117" max="15360"/>
    <col width="63.42578125" customWidth="1" style="261" min="15361" max="15361"/>
    <col width="10.42578125" customWidth="1" style="261" min="15362" max="15362"/>
    <col width="16.140625" customWidth="1" style="261" min="15363" max="15363"/>
    <col width="8.7109375" customWidth="1" style="261" min="15364" max="15371"/>
    <col width="15.140625" bestFit="1" customWidth="1" style="261" min="15372" max="15372"/>
    <col width="8.7109375" customWidth="1" style="261" min="15373" max="15616"/>
    <col width="63.42578125" customWidth="1" style="261" min="15617" max="15617"/>
    <col width="10.42578125" customWidth="1" style="261" min="15618" max="15618"/>
    <col width="16.140625" customWidth="1" style="261" min="15619" max="15619"/>
    <col width="8.7109375" customWidth="1" style="261" min="15620" max="15627"/>
    <col width="15.140625" bestFit="1" customWidth="1" style="261" min="15628" max="15628"/>
    <col width="8.7109375" customWidth="1" style="261" min="15629" max="15872"/>
    <col width="63.42578125" customWidth="1" style="261" min="15873" max="15873"/>
    <col width="10.42578125" customWidth="1" style="261" min="15874" max="15874"/>
    <col width="16.140625" customWidth="1" style="261" min="15875" max="15875"/>
    <col width="8.7109375" customWidth="1" style="261" min="15876" max="15883"/>
    <col width="15.140625" bestFit="1" customWidth="1" style="261" min="15884" max="15884"/>
    <col width="8.7109375" customWidth="1" style="261" min="15885" max="16128"/>
    <col width="63.42578125" customWidth="1" style="261" min="16129" max="16129"/>
    <col width="10.42578125" customWidth="1" style="261" min="16130" max="16130"/>
    <col width="16.140625" customWidth="1" style="261" min="16131" max="16131"/>
    <col width="8.7109375" customWidth="1" style="261" min="16132" max="16139"/>
    <col width="15.140625" bestFit="1" customWidth="1" style="261" min="16140" max="16140"/>
    <col width="8.7109375" customWidth="1" style="261" min="16141" max="16384"/>
  </cols>
  <sheetData>
    <row r="1" ht="27" customFormat="1" customHeight="1" s="258">
      <c r="A1" s="256" t="inlineStr">
        <is>
          <t>Funds</t>
        </is>
      </c>
      <c r="B1" s="256" t="inlineStr">
        <is>
          <t>1 Yr Ret (%)</t>
        </is>
      </c>
      <c r="C1" s="256" t="inlineStr">
        <is>
          <t>Expense Ratio (%)</t>
        </is>
      </c>
      <c r="D1" s="256" t="inlineStr">
        <is>
          <t>3 Yr Ret (%)</t>
        </is>
      </c>
      <c r="E1" s="256" t="inlineStr">
        <is>
          <t>5 Yr Ret (%)</t>
        </is>
      </c>
      <c r="F1" s="256" t="inlineStr">
        <is>
          <t>Expense Ratio (%)</t>
        </is>
      </c>
      <c r="G1" s="256" t="inlineStr">
        <is>
          <t>Standard Deviation</t>
        </is>
      </c>
      <c r="H1" s="256" t="inlineStr">
        <is>
          <t>Sharpe Ratio</t>
        </is>
      </c>
      <c r="I1" s="256" t="inlineStr">
        <is>
          <t>Sortino Ratio</t>
        </is>
      </c>
      <c r="J1" s="256" t="inlineStr">
        <is>
          <t>Beta</t>
        </is>
      </c>
      <c r="K1" s="256" t="inlineStr">
        <is>
          <t>Alpha</t>
        </is>
      </c>
      <c r="L1" s="257" t="inlineStr">
        <is>
          <t>Category</t>
        </is>
      </c>
    </row>
    <row r="2">
      <c r="A2" s="259" t="inlineStr">
        <is>
          <t>360 ONE FlexiCap Fund - Regular Plan</t>
        </is>
      </c>
      <c r="B2" s="260" t="n">
        <v>4.23</v>
      </c>
      <c r="C2" s="260" t="n">
        <v>2.03</v>
      </c>
      <c r="D2" s="259" t="inlineStr">
        <is>
          <t>--</t>
        </is>
      </c>
      <c r="E2" s="259" t="inlineStr">
        <is>
          <t>--</t>
        </is>
      </c>
      <c r="F2" s="260" t="n">
        <v>2.03</v>
      </c>
      <c r="G2" s="259" t="inlineStr">
        <is>
          <t>--</t>
        </is>
      </c>
      <c r="H2" s="259" t="inlineStr">
        <is>
          <t>--</t>
        </is>
      </c>
      <c r="I2" s="259" t="inlineStr">
        <is>
          <t>--</t>
        </is>
      </c>
      <c r="J2" s="259" t="inlineStr">
        <is>
          <t>--</t>
        </is>
      </c>
      <c r="K2" s="259" t="inlineStr">
        <is>
          <t>--</t>
        </is>
      </c>
      <c r="L2" s="259" t="inlineStr">
        <is>
          <t>EQ-FLX</t>
        </is>
      </c>
    </row>
    <row r="3">
      <c r="A3" s="259" t="inlineStr">
        <is>
          <t>360 ONE Focused Equity Fund - Regular Plan</t>
        </is>
      </c>
      <c r="B3" s="260" t="n">
        <v>1.94</v>
      </c>
      <c r="C3" s="260" t="n">
        <v>1.8</v>
      </c>
      <c r="D3" s="260" t="n">
        <v>20.36</v>
      </c>
      <c r="E3" s="260" t="n">
        <v>24.2</v>
      </c>
      <c r="F3" s="260" t="n">
        <v>1.8</v>
      </c>
      <c r="G3" s="260" t="n">
        <v>13.28</v>
      </c>
      <c r="H3" s="260" t="n">
        <v>0.9399999999999999</v>
      </c>
      <c r="I3" s="260" t="n">
        <v>1.58</v>
      </c>
      <c r="J3" s="260" t="n">
        <v>0.88</v>
      </c>
      <c r="K3" s="260" t="n">
        <v>2.4</v>
      </c>
      <c r="L3" s="259" t="inlineStr">
        <is>
          <t>EQ-FLX</t>
        </is>
      </c>
    </row>
    <row r="4" hidden="1">
      <c r="A4" s="259" t="inlineStr">
        <is>
          <t>360 ONE Quant Fund - Regular Plan</t>
        </is>
      </c>
      <c r="B4" s="260" t="n">
        <v>6.46</v>
      </c>
      <c r="C4" s="260" t="n">
        <v>1.95</v>
      </c>
      <c r="D4" s="260" t="n">
        <v>28.72</v>
      </c>
      <c r="E4" s="259" t="inlineStr">
        <is>
          <t>--</t>
        </is>
      </c>
      <c r="F4" s="260" t="n">
        <v>1.95</v>
      </c>
      <c r="G4" s="260" t="n">
        <v>18.03</v>
      </c>
      <c r="H4" s="260" t="n">
        <v>1.07</v>
      </c>
      <c r="I4" s="260" t="n">
        <v>1.6</v>
      </c>
      <c r="J4" s="260" t="n">
        <v>1.19</v>
      </c>
      <c r="K4" s="260" t="n">
        <v>5.59</v>
      </c>
      <c r="L4" s="259" t="inlineStr">
        <is>
          <t>EQ-THEMATIC</t>
        </is>
      </c>
    </row>
    <row r="5">
      <c r="A5" s="259" t="inlineStr">
        <is>
          <t>Aditya Birla Sun Life Asset Allocator FoF - Regular Plan</t>
        </is>
      </c>
      <c r="B5" s="260" t="n">
        <v>9.609999999999999</v>
      </c>
      <c r="C5" s="260" t="n">
        <v>1.27</v>
      </c>
      <c r="D5" s="260" t="n">
        <v>17.35</v>
      </c>
      <c r="E5" s="260" t="n">
        <v>18.19</v>
      </c>
      <c r="F5" s="260" t="n">
        <v>1.27</v>
      </c>
      <c r="G5" s="260" t="n">
        <v>8.449999999999999</v>
      </c>
      <c r="H5" s="260" t="n">
        <v>1.12</v>
      </c>
      <c r="I5" s="260" t="n">
        <v>1.9</v>
      </c>
      <c r="J5" s="260" t="n">
        <v>0.84</v>
      </c>
      <c r="K5" s="260" t="n">
        <v>1.96</v>
      </c>
      <c r="L5" s="259" t="inlineStr">
        <is>
          <t>HY-MAA</t>
        </is>
      </c>
    </row>
    <row r="6">
      <c r="A6" s="259" t="inlineStr">
        <is>
          <t>Aditya Birla Sun Life Balanced Advantage Fund - Regular Plan</t>
        </is>
      </c>
      <c r="B6" s="260" t="n">
        <v>9.56</v>
      </c>
      <c r="C6" s="260" t="n">
        <v>1.79</v>
      </c>
      <c r="D6" s="260" t="n">
        <v>14.63</v>
      </c>
      <c r="E6" s="260" t="n">
        <v>15.62</v>
      </c>
      <c r="F6" s="260" t="n">
        <v>1.79</v>
      </c>
      <c r="G6" s="260" t="n">
        <v>7.75</v>
      </c>
      <c r="H6" s="260" t="n">
        <v>0.91</v>
      </c>
      <c r="I6" s="260" t="n">
        <v>1.39</v>
      </c>
      <c r="J6" s="260" t="n">
        <v>0.74</v>
      </c>
      <c r="K6" s="260" t="n">
        <v>1.17</v>
      </c>
      <c r="L6" s="259" t="inlineStr">
        <is>
          <t>HY-DAA</t>
        </is>
      </c>
    </row>
    <row r="7">
      <c r="A7" s="259" t="inlineStr">
        <is>
          <t>Aditya Birla Sun Life Bal Bhavishya Yojna - Regular Plan</t>
        </is>
      </c>
      <c r="B7" s="260" t="n">
        <v>4.02</v>
      </c>
      <c r="C7" s="260" t="n">
        <v>2.16</v>
      </c>
      <c r="D7" s="260" t="n">
        <v>16.53</v>
      </c>
      <c r="E7" s="260" t="n">
        <v>15.7</v>
      </c>
      <c r="F7" s="260" t="n">
        <v>2.16</v>
      </c>
      <c r="G7" s="260" t="n">
        <v>13.97</v>
      </c>
      <c r="H7" s="260" t="n">
        <v>0.65</v>
      </c>
      <c r="I7" s="260" t="n">
        <v>0.98</v>
      </c>
      <c r="J7" s="260" t="n">
        <v>0.9399999999999999</v>
      </c>
      <c r="K7" s="260" t="n">
        <v>-1.75</v>
      </c>
      <c r="L7" s="259" t="inlineStr">
        <is>
          <t>EQ-FLX</t>
        </is>
      </c>
    </row>
    <row r="8">
      <c r="A8" s="259" t="inlineStr">
        <is>
          <t>Aditya Birla Sun Life BSE Sensex ETF</t>
        </is>
      </c>
      <c r="B8" s="260" t="n">
        <v>7.71</v>
      </c>
      <c r="C8" s="260" t="n">
        <v>0.04</v>
      </c>
      <c r="D8" s="260" t="n">
        <v>15.85</v>
      </c>
      <c r="E8" s="260" t="n">
        <v>20.64</v>
      </c>
      <c r="F8" s="260" t="n">
        <v>0.04</v>
      </c>
      <c r="G8" s="260" t="n">
        <v>12.69</v>
      </c>
      <c r="H8" s="260" t="n">
        <v>0.66</v>
      </c>
      <c r="I8" s="260" t="n">
        <v>1.1</v>
      </c>
      <c r="J8" s="260" t="n">
        <v>0.91</v>
      </c>
      <c r="K8" s="260" t="n">
        <v>-0.96</v>
      </c>
      <c r="L8" s="259" t="inlineStr">
        <is>
          <t>EQ-LC</t>
        </is>
      </c>
    </row>
    <row r="9" hidden="1">
      <c r="A9" s="259" t="inlineStr">
        <is>
          <t>Aditya Birla Sun Life Business Cycle Fund - Regular Plan</t>
        </is>
      </c>
      <c r="B9" s="260" t="n">
        <v>6.65</v>
      </c>
      <c r="C9" s="260" t="n">
        <v>2.14</v>
      </c>
      <c r="D9" s="260" t="n">
        <v>17.85</v>
      </c>
      <c r="E9" s="259" t="inlineStr">
        <is>
          <t>--</t>
        </is>
      </c>
      <c r="F9" s="260" t="n">
        <v>2.14</v>
      </c>
      <c r="G9" s="260" t="n">
        <v>14.21</v>
      </c>
      <c r="H9" s="260" t="n">
        <v>0.68</v>
      </c>
      <c r="I9" s="260" t="n">
        <v>1.09</v>
      </c>
      <c r="J9" s="260" t="n">
        <v>0.96</v>
      </c>
      <c r="K9" s="260" t="n">
        <v>-1.45</v>
      </c>
      <c r="L9" s="259" t="inlineStr">
        <is>
          <t>EQ-THEMATIC</t>
        </is>
      </c>
    </row>
    <row r="10" hidden="1">
      <c r="A10" s="259" t="inlineStr">
        <is>
          <t>Aditya Birla Sun Life Conglomerate - Regular Plan</t>
        </is>
      </c>
      <c r="B10" s="259" t="inlineStr">
        <is>
          <t>--</t>
        </is>
      </c>
      <c r="C10" s="260" t="n">
        <v>2.07</v>
      </c>
      <c r="D10" s="259" t="inlineStr">
        <is>
          <t>--</t>
        </is>
      </c>
      <c r="E10" s="259" t="inlineStr">
        <is>
          <t>--</t>
        </is>
      </c>
      <c r="F10" s="260" t="n">
        <v>2.07</v>
      </c>
      <c r="G10" s="259" t="inlineStr">
        <is>
          <t>--</t>
        </is>
      </c>
      <c r="H10" s="259" t="inlineStr">
        <is>
          <t>--</t>
        </is>
      </c>
      <c r="I10" s="259" t="inlineStr">
        <is>
          <t>--</t>
        </is>
      </c>
      <c r="J10" s="259" t="inlineStr">
        <is>
          <t>--</t>
        </is>
      </c>
      <c r="K10" s="259" t="inlineStr">
        <is>
          <t>--</t>
        </is>
      </c>
      <c r="L10" s="259" t="inlineStr">
        <is>
          <t>EQ-THEMATIC</t>
        </is>
      </c>
    </row>
    <row r="11" hidden="1">
      <c r="A11" s="259" t="inlineStr">
        <is>
          <t>Aditya Birla Sun Life Dividend Yield Fund - Regular Plan</t>
        </is>
      </c>
      <c r="B11" s="260" t="n">
        <v>1.84</v>
      </c>
      <c r="C11" s="260" t="n">
        <v>2.22</v>
      </c>
      <c r="D11" s="260" t="n">
        <v>23.93</v>
      </c>
      <c r="E11" s="260" t="n">
        <v>26.23</v>
      </c>
      <c r="F11" s="260" t="n">
        <v>2.22</v>
      </c>
      <c r="G11" s="260" t="n">
        <v>15.2</v>
      </c>
      <c r="H11" s="260" t="n">
        <v>1</v>
      </c>
      <c r="I11" s="260" t="n">
        <v>1.56</v>
      </c>
      <c r="J11" s="260" t="n">
        <v>0.97</v>
      </c>
      <c r="K11" s="260" t="n">
        <v>4.06</v>
      </c>
      <c r="L11" s="259" t="inlineStr">
        <is>
          <t>EQ-DIV Y</t>
        </is>
      </c>
    </row>
    <row r="12">
      <c r="A12" s="259" t="inlineStr">
        <is>
          <t>Aditya Birla Sun Life Equity Advantage Fund - Regular Plan</t>
        </is>
      </c>
      <c r="B12" s="260" t="n">
        <v>4.58</v>
      </c>
      <c r="C12" s="260" t="n">
        <v>1.9</v>
      </c>
      <c r="D12" s="260" t="n">
        <v>17.54</v>
      </c>
      <c r="E12" s="260" t="n">
        <v>20.91</v>
      </c>
      <c r="F12" s="260" t="n">
        <v>1.9</v>
      </c>
      <c r="G12" s="260" t="n">
        <v>15.21</v>
      </c>
      <c r="H12" s="260" t="n">
        <v>0.62</v>
      </c>
      <c r="I12" s="260" t="n">
        <v>0.86</v>
      </c>
      <c r="J12" s="260" t="n">
        <v>1.01</v>
      </c>
      <c r="K12" s="260" t="n">
        <v>-1.71</v>
      </c>
      <c r="L12" s="259" t="inlineStr">
        <is>
          <t>EQ-L&amp;MC</t>
        </is>
      </c>
    </row>
    <row r="13" hidden="1">
      <c r="A13" s="259" t="inlineStr">
        <is>
          <t>Aditya Birla Sun Life ESG Integration Strategy Fund - Regular Plan</t>
        </is>
      </c>
      <c r="B13" s="260" t="n">
        <v>9.699999999999999</v>
      </c>
      <c r="C13" s="260" t="n">
        <v>2.44</v>
      </c>
      <c r="D13" s="260" t="n">
        <v>17.21</v>
      </c>
      <c r="E13" s="259" t="inlineStr">
        <is>
          <t>--</t>
        </is>
      </c>
      <c r="F13" s="260" t="n">
        <v>2.44</v>
      </c>
      <c r="G13" s="260" t="n">
        <v>14.57</v>
      </c>
      <c r="H13" s="260" t="n">
        <v>0.62</v>
      </c>
      <c r="I13" s="260" t="n">
        <v>0.98</v>
      </c>
      <c r="J13" s="260" t="n">
        <v>0.98</v>
      </c>
      <c r="K13" s="260" t="n">
        <v>-1</v>
      </c>
      <c r="L13" s="259" t="inlineStr">
        <is>
          <t>EQ-T-ESG</t>
        </is>
      </c>
    </row>
    <row r="14">
      <c r="A14" s="259" t="inlineStr">
        <is>
          <t>Aditya Birla Sun Life Financial Planning FoF - Aggressive Plan - Regular Plan</t>
        </is>
      </c>
      <c r="B14" s="260" t="n">
        <v>7.96</v>
      </c>
      <c r="C14" s="260" t="n">
        <v>1.13</v>
      </c>
      <c r="D14" s="260" t="n">
        <v>18.57</v>
      </c>
      <c r="E14" s="260" t="n">
        <v>19.56</v>
      </c>
      <c r="F14" s="260" t="n">
        <v>1.13</v>
      </c>
      <c r="G14" s="260" t="n">
        <v>10.49</v>
      </c>
      <c r="H14" s="260" t="n">
        <v>1</v>
      </c>
      <c r="I14" s="260" t="n">
        <v>1.44</v>
      </c>
      <c r="J14" s="260" t="n">
        <v>1.07</v>
      </c>
      <c r="K14" s="260" t="n">
        <v>1.02</v>
      </c>
      <c r="L14" s="259" t="inlineStr">
        <is>
          <t>HY-MAA</t>
        </is>
      </c>
    </row>
    <row r="15">
      <c r="A15" s="259" t="inlineStr">
        <is>
          <t>Aditya Birla Sun Life Financial Planning FoF - Conservative Plan - Regular Plan</t>
        </is>
      </c>
      <c r="B15" s="260" t="n">
        <v>8.83</v>
      </c>
      <c r="C15" s="260" t="n">
        <v>0.9399999999999999</v>
      </c>
      <c r="D15" s="260" t="n">
        <v>12.79</v>
      </c>
      <c r="E15" s="260" t="n">
        <v>12.42</v>
      </c>
      <c r="F15" s="260" t="n">
        <v>0.9399999999999999</v>
      </c>
      <c r="G15" s="260" t="n">
        <v>4.72</v>
      </c>
      <c r="H15" s="260" t="n">
        <v>1.21</v>
      </c>
      <c r="I15" s="260" t="n">
        <v>1.84</v>
      </c>
      <c r="J15" s="260" t="n">
        <v>0.47</v>
      </c>
      <c r="K15" s="260" t="n">
        <v>1.49</v>
      </c>
      <c r="L15" s="259" t="inlineStr">
        <is>
          <t>HY-MAA</t>
        </is>
      </c>
    </row>
    <row r="16">
      <c r="A16" s="259" t="inlineStr">
        <is>
          <t>Aditya Birla Sun Life Financial Planning FoF - Moderate Plan - Regular Plan</t>
        </is>
      </c>
      <c r="B16" s="260" t="n">
        <v>8.83</v>
      </c>
      <c r="C16" s="260" t="n">
        <v>1.09</v>
      </c>
      <c r="D16" s="260" t="n">
        <v>15.69</v>
      </c>
      <c r="E16" s="260" t="n">
        <v>16.02</v>
      </c>
      <c r="F16" s="260" t="n">
        <v>1.09</v>
      </c>
      <c r="G16" s="260" t="n">
        <v>7.64</v>
      </c>
      <c r="H16" s="260" t="n">
        <v>1.06</v>
      </c>
      <c r="I16" s="260" t="n">
        <v>1.54</v>
      </c>
      <c r="J16" s="260" t="n">
        <v>0.77</v>
      </c>
      <c r="K16" s="260" t="n">
        <v>1.24</v>
      </c>
      <c r="L16" s="259" t="inlineStr">
        <is>
          <t>HY-MAA</t>
        </is>
      </c>
    </row>
    <row r="17">
      <c r="A17" s="259" t="inlineStr">
        <is>
          <t>Aditya Birla Sun Life Flexi Cap Fund - Regular Plan</t>
        </is>
      </c>
      <c r="B17" s="260" t="n">
        <v>9.73</v>
      </c>
      <c r="C17" s="260" t="n">
        <v>1.67</v>
      </c>
      <c r="D17" s="260" t="n">
        <v>20.22</v>
      </c>
      <c r="E17" s="260" t="n">
        <v>23.12</v>
      </c>
      <c r="F17" s="260" t="n">
        <v>1.67</v>
      </c>
      <c r="G17" s="260" t="n">
        <v>13.82</v>
      </c>
      <c r="H17" s="260" t="n">
        <v>0.87</v>
      </c>
      <c r="I17" s="260" t="n">
        <v>1.43</v>
      </c>
      <c r="J17" s="260" t="n">
        <v>0.9399999999999999</v>
      </c>
      <c r="K17" s="260" t="n">
        <v>1.15</v>
      </c>
      <c r="L17" s="259" t="inlineStr">
        <is>
          <t>EQ-FLX</t>
        </is>
      </c>
    </row>
    <row r="18">
      <c r="A18" s="259" t="inlineStr">
        <is>
          <t>Aditya Birla Sun Life Focused Fund - Regular Plan</t>
        </is>
      </c>
      <c r="B18" s="260" t="n">
        <v>9.279999999999999</v>
      </c>
      <c r="C18" s="260" t="n">
        <v>1.81</v>
      </c>
      <c r="D18" s="260" t="n">
        <v>18.92</v>
      </c>
      <c r="E18" s="260" t="n">
        <v>21.84</v>
      </c>
      <c r="F18" s="260" t="n">
        <v>1.81</v>
      </c>
      <c r="G18" s="260" t="n">
        <v>13.24</v>
      </c>
      <c r="H18" s="260" t="n">
        <v>0.8</v>
      </c>
      <c r="I18" s="260" t="n">
        <v>1.57</v>
      </c>
      <c r="J18" s="260" t="n">
        <v>0.9</v>
      </c>
      <c r="K18" s="260" t="n">
        <v>0.3</v>
      </c>
      <c r="L18" s="259" t="inlineStr">
        <is>
          <t>EQ-FLX</t>
        </is>
      </c>
    </row>
    <row r="19">
      <c r="A19" s="259" t="inlineStr">
        <is>
          <t>Aditya Birla Sun Life Frontline Equity Fund - Regular Plan</t>
        </is>
      </c>
      <c r="B19" s="260" t="n">
        <v>7.48</v>
      </c>
      <c r="C19" s="260" t="n">
        <v>1.64</v>
      </c>
      <c r="D19" s="260" t="n">
        <v>18.54</v>
      </c>
      <c r="E19" s="260" t="n">
        <v>22.33</v>
      </c>
      <c r="F19" s="260" t="n">
        <v>1.64</v>
      </c>
      <c r="G19" s="260" t="n">
        <v>13.13</v>
      </c>
      <c r="H19" s="260" t="n">
        <v>0.8100000000000001</v>
      </c>
      <c r="I19" s="260" t="n">
        <v>1.3</v>
      </c>
      <c r="J19" s="260" t="n">
        <v>0.95</v>
      </c>
      <c r="K19" s="260" t="n">
        <v>0.83</v>
      </c>
      <c r="L19" s="259" t="inlineStr">
        <is>
          <t>EQ-LC</t>
        </is>
      </c>
    </row>
    <row r="20" hidden="1">
      <c r="A20" s="259" t="inlineStr">
        <is>
          <t>Aditya Birla Sun Life India GenNext Fund - Regular Plan</t>
        </is>
      </c>
      <c r="B20" s="260" t="n">
        <v>4.63</v>
      </c>
      <c r="C20" s="260" t="n">
        <v>1.85</v>
      </c>
      <c r="D20" s="260" t="n">
        <v>18.95</v>
      </c>
      <c r="E20" s="260" t="n">
        <v>22.13</v>
      </c>
      <c r="F20" s="260" t="n">
        <v>1.85</v>
      </c>
      <c r="G20" s="260" t="n">
        <v>14.6</v>
      </c>
      <c r="H20" s="260" t="n">
        <v>0.75</v>
      </c>
      <c r="I20" s="260" t="n">
        <v>1.16</v>
      </c>
      <c r="J20" s="260" t="n">
        <v>0.79</v>
      </c>
      <c r="K20" s="260" t="n">
        <v>-0.37</v>
      </c>
      <c r="L20" s="259" t="inlineStr">
        <is>
          <t>EQ-Consumption</t>
        </is>
      </c>
    </row>
    <row r="21" hidden="1">
      <c r="A21" s="259" t="inlineStr">
        <is>
          <t>Aditya Birla Sun Life Manufacturing Equity Fund - Regular Plan</t>
        </is>
      </c>
      <c r="B21" s="260" t="n">
        <v>2.01</v>
      </c>
      <c r="C21" s="260" t="n">
        <v>2.29</v>
      </c>
      <c r="D21" s="260" t="n">
        <v>20.58</v>
      </c>
      <c r="E21" s="260" t="n">
        <v>21.32</v>
      </c>
      <c r="F21" s="260" t="n">
        <v>2.29</v>
      </c>
      <c r="G21" s="260" t="n">
        <v>16.43</v>
      </c>
      <c r="H21" s="260" t="n">
        <v>0.8</v>
      </c>
      <c r="I21" s="260" t="n">
        <v>1.25</v>
      </c>
      <c r="J21" s="260" t="n">
        <v>1.07</v>
      </c>
      <c r="K21" s="260" t="n">
        <v>0.88</v>
      </c>
      <c r="L21" s="259" t="inlineStr">
        <is>
          <t>EQ-THEMATIC</t>
        </is>
      </c>
    </row>
    <row r="22">
      <c r="A22" s="259" t="inlineStr">
        <is>
          <t>Aditya Birla Sun Life Mid Cap Fund - Regular Plan</t>
        </is>
      </c>
      <c r="B22" s="260" t="n">
        <v>6.66</v>
      </c>
      <c r="C22" s="260" t="n">
        <v>1.89</v>
      </c>
      <c r="D22" s="260" t="n">
        <v>22.4</v>
      </c>
      <c r="E22" s="260" t="n">
        <v>28.63</v>
      </c>
      <c r="F22" s="260" t="n">
        <v>1.89</v>
      </c>
      <c r="G22" s="260" t="n">
        <v>16.24</v>
      </c>
      <c r="H22" s="260" t="n">
        <v>0.85</v>
      </c>
      <c r="I22" s="260" t="n">
        <v>1.39</v>
      </c>
      <c r="J22" s="260" t="n">
        <v>0.92</v>
      </c>
      <c r="K22" s="260" t="n">
        <v>-2.87</v>
      </c>
      <c r="L22" s="259" t="inlineStr">
        <is>
          <t>EQ-MC</t>
        </is>
      </c>
    </row>
    <row r="23" hidden="1">
      <c r="A23" s="259" t="inlineStr">
        <is>
          <t>Aditya Birla Sun Life MNC Fund - Regular Plan</t>
        </is>
      </c>
      <c r="B23" s="260" t="n">
        <v>-0.79</v>
      </c>
      <c r="C23" s="260" t="n">
        <v>2.01</v>
      </c>
      <c r="D23" s="260" t="n">
        <v>14.75</v>
      </c>
      <c r="E23" s="260" t="n">
        <v>13.98</v>
      </c>
      <c r="F23" s="260" t="n">
        <v>2.01</v>
      </c>
      <c r="G23" s="260" t="n">
        <v>14.9</v>
      </c>
      <c r="H23" s="260" t="n">
        <v>0.52</v>
      </c>
      <c r="I23" s="260" t="n">
        <v>0.89</v>
      </c>
      <c r="J23" s="260" t="n">
        <v>0.9</v>
      </c>
      <c r="K23" s="260" t="n">
        <v>-2.66</v>
      </c>
      <c r="L23" s="259" t="inlineStr">
        <is>
          <t>EQ-MNC</t>
        </is>
      </c>
    </row>
    <row r="24">
      <c r="A24" s="259" t="inlineStr">
        <is>
          <t>Aditya Birla Sun Life Multi Asset Allocation Fund - Regular Plan</t>
        </is>
      </c>
      <c r="B24" s="260" t="n">
        <v>10.57</v>
      </c>
      <c r="C24" s="260" t="n">
        <v>1.83</v>
      </c>
      <c r="D24" s="259" t="inlineStr">
        <is>
          <t>--</t>
        </is>
      </c>
      <c r="E24" s="259" t="inlineStr">
        <is>
          <t>--</t>
        </is>
      </c>
      <c r="F24" s="260" t="n">
        <v>1.83</v>
      </c>
      <c r="G24" s="259" t="inlineStr">
        <is>
          <t>--</t>
        </is>
      </c>
      <c r="H24" s="259" t="inlineStr">
        <is>
          <t>--</t>
        </is>
      </c>
      <c r="I24" s="259" t="inlineStr">
        <is>
          <t>--</t>
        </is>
      </c>
      <c r="J24" s="259" t="inlineStr">
        <is>
          <t>--</t>
        </is>
      </c>
      <c r="K24" s="259" t="inlineStr">
        <is>
          <t>--</t>
        </is>
      </c>
      <c r="L24" s="259" t="inlineStr">
        <is>
          <t>HY-MAA</t>
        </is>
      </c>
    </row>
    <row r="25">
      <c r="A25" s="259" t="inlineStr">
        <is>
          <t>Aditya Birla Sun Life Multi-Cap Fund - Regular Plan</t>
        </is>
      </c>
      <c r="B25" s="260" t="n">
        <v>4.72</v>
      </c>
      <c r="C25" s="260" t="n">
        <v>1.84</v>
      </c>
      <c r="D25" s="260" t="n">
        <v>19.48</v>
      </c>
      <c r="E25" s="259" t="inlineStr">
        <is>
          <t>--</t>
        </is>
      </c>
      <c r="F25" s="260" t="n">
        <v>1.84</v>
      </c>
      <c r="G25" s="260" t="n">
        <v>14.3</v>
      </c>
      <c r="H25" s="260" t="n">
        <v>0.8</v>
      </c>
      <c r="I25" s="260" t="n">
        <v>1.06</v>
      </c>
      <c r="J25" s="260" t="n">
        <v>0.88</v>
      </c>
      <c r="K25" s="260" t="n">
        <v>-1.43</v>
      </c>
      <c r="L25" s="259" t="inlineStr">
        <is>
          <t>EQ-MLC</t>
        </is>
      </c>
    </row>
    <row r="26">
      <c r="A26" s="259" t="inlineStr">
        <is>
          <t>Aditya Birla Sun Life Multi - Index FoF - Regular Plan</t>
        </is>
      </c>
      <c r="B26" s="260" t="n">
        <v>6.41</v>
      </c>
      <c r="C26" s="260" t="n">
        <v>0.61</v>
      </c>
      <c r="D26" s="259" t="inlineStr">
        <is>
          <t>--</t>
        </is>
      </c>
      <c r="E26" s="259" t="inlineStr">
        <is>
          <t>--</t>
        </is>
      </c>
      <c r="F26" s="260" t="n">
        <v>0.61</v>
      </c>
      <c r="G26" s="259" t="inlineStr">
        <is>
          <t>--</t>
        </is>
      </c>
      <c r="H26" s="259" t="inlineStr">
        <is>
          <t>--</t>
        </is>
      </c>
      <c r="I26" s="259" t="inlineStr">
        <is>
          <t>--</t>
        </is>
      </c>
      <c r="J26" s="259" t="inlineStr">
        <is>
          <t>--</t>
        </is>
      </c>
      <c r="K26" s="259" t="inlineStr">
        <is>
          <t>--</t>
        </is>
      </c>
      <c r="L26" s="259" t="inlineStr">
        <is>
          <t>HY-MAA</t>
        </is>
      </c>
    </row>
    <row r="27">
      <c r="A27" s="259" t="inlineStr">
        <is>
          <t>Aditya Birla Sun Life Nifty 200 Momentum 30 ETF</t>
        </is>
      </c>
      <c r="B27" s="260" t="n">
        <v>-11.83</v>
      </c>
      <c r="C27" s="260" t="n">
        <v>0.29</v>
      </c>
      <c r="D27" s="259" t="inlineStr">
        <is>
          <t>--</t>
        </is>
      </c>
      <c r="E27" s="259" t="inlineStr">
        <is>
          <t>--</t>
        </is>
      </c>
      <c r="F27" s="260" t="n">
        <v>0.29</v>
      </c>
      <c r="G27" s="259" t="inlineStr">
        <is>
          <t>--</t>
        </is>
      </c>
      <c r="H27" s="259" t="inlineStr">
        <is>
          <t>--</t>
        </is>
      </c>
      <c r="I27" s="259" t="inlineStr">
        <is>
          <t>--</t>
        </is>
      </c>
      <c r="J27" s="259" t="inlineStr">
        <is>
          <t>--</t>
        </is>
      </c>
      <c r="K27" s="259" t="inlineStr">
        <is>
          <t>--</t>
        </is>
      </c>
      <c r="L27" s="259" t="inlineStr">
        <is>
          <t>EQ-L&amp;MC</t>
        </is>
      </c>
    </row>
    <row r="28">
      <c r="A28" s="259" t="inlineStr">
        <is>
          <t>Aditya Birla Sun Life Nifty 200 Quality 30 ETF</t>
        </is>
      </c>
      <c r="B28" s="260" t="n">
        <v>2.39</v>
      </c>
      <c r="C28" s="260" t="n">
        <v>0.29</v>
      </c>
      <c r="D28" s="259" t="inlineStr">
        <is>
          <t>--</t>
        </is>
      </c>
      <c r="E28" s="259" t="inlineStr">
        <is>
          <t>--</t>
        </is>
      </c>
      <c r="F28" s="260" t="n">
        <v>0.29</v>
      </c>
      <c r="G28" s="259" t="inlineStr">
        <is>
          <t>--</t>
        </is>
      </c>
      <c r="H28" s="259" t="inlineStr">
        <is>
          <t>--</t>
        </is>
      </c>
      <c r="I28" s="259" t="inlineStr">
        <is>
          <t>--</t>
        </is>
      </c>
      <c r="J28" s="259" t="inlineStr">
        <is>
          <t>--</t>
        </is>
      </c>
      <c r="K28" s="259" t="inlineStr">
        <is>
          <t>--</t>
        </is>
      </c>
      <c r="L28" s="259" t="inlineStr">
        <is>
          <t>EQ-L&amp;MC</t>
        </is>
      </c>
    </row>
    <row r="29">
      <c r="A29" s="259" t="inlineStr">
        <is>
          <t>Aditya Birla Sun Life Nifty 50 Equal Weight Index Fund - Regular Plan</t>
        </is>
      </c>
      <c r="B29" s="260" t="n">
        <v>4.87</v>
      </c>
      <c r="C29" s="260" t="n">
        <v>1.02</v>
      </c>
      <c r="D29" s="260" t="n">
        <v>19.35</v>
      </c>
      <c r="E29" s="259" t="inlineStr">
        <is>
          <t>--</t>
        </is>
      </c>
      <c r="F29" s="260" t="n">
        <v>1.02</v>
      </c>
      <c r="G29" s="260" t="n">
        <v>14.76</v>
      </c>
      <c r="H29" s="260" t="n">
        <v>0.77</v>
      </c>
      <c r="I29" s="260" t="n">
        <v>1.17</v>
      </c>
      <c r="J29" s="260" t="n">
        <v>1.04</v>
      </c>
      <c r="K29" s="260" t="n">
        <v>0.57</v>
      </c>
      <c r="L29" s="259" t="inlineStr">
        <is>
          <t>EQ-LC</t>
        </is>
      </c>
    </row>
    <row r="30">
      <c r="A30" s="259" t="inlineStr">
        <is>
          <t>Aditya Birla Sun Life Nifty 50 ETF</t>
        </is>
      </c>
      <c r="B30" s="260" t="n">
        <v>7.81</v>
      </c>
      <c r="C30" s="260" t="n">
        <v>0.04</v>
      </c>
      <c r="D30" s="260" t="n">
        <v>16.6</v>
      </c>
      <c r="E30" s="260" t="n">
        <v>21.4</v>
      </c>
      <c r="F30" s="260" t="n">
        <v>0.04</v>
      </c>
      <c r="G30" s="260" t="n">
        <v>13.14</v>
      </c>
      <c r="H30" s="260" t="n">
        <v>0.6899999999999999</v>
      </c>
      <c r="I30" s="260" t="n">
        <v>1.18</v>
      </c>
      <c r="J30" s="260" t="n">
        <v>0.95</v>
      </c>
      <c r="K30" s="260" t="n">
        <v>-0.72</v>
      </c>
      <c r="L30" s="259" t="inlineStr">
        <is>
          <t>EQ-LC</t>
        </is>
      </c>
    </row>
    <row r="31">
      <c r="A31" s="259" t="inlineStr">
        <is>
          <t>Aditya Birla Sun Life Nifty 50 Index Fund - Regular Plan</t>
        </is>
      </c>
      <c r="B31" s="260" t="n">
        <v>7.33</v>
      </c>
      <c r="C31" s="260" t="n">
        <v>0.47</v>
      </c>
      <c r="D31" s="260" t="n">
        <v>15.98</v>
      </c>
      <c r="E31" s="260" t="n">
        <v>20.62</v>
      </c>
      <c r="F31" s="260" t="n">
        <v>0.47</v>
      </c>
      <c r="G31" s="260" t="n">
        <v>13.12</v>
      </c>
      <c r="H31" s="260" t="n">
        <v>0.65</v>
      </c>
      <c r="I31" s="260" t="n">
        <v>1.11</v>
      </c>
      <c r="J31" s="260" t="n">
        <v>0.95</v>
      </c>
      <c r="K31" s="260" t="n">
        <v>-1.25</v>
      </c>
      <c r="L31" s="259" t="inlineStr">
        <is>
          <t>EQ-LC</t>
        </is>
      </c>
    </row>
    <row r="32" hidden="1">
      <c r="A32" s="259" t="inlineStr">
        <is>
          <t>Aditya Birla Sun Life Nifty India Defence Index Fund - Regular Plan</t>
        </is>
      </c>
      <c r="B32" s="259" t="inlineStr">
        <is>
          <t>--</t>
        </is>
      </c>
      <c r="C32" s="260" t="n">
        <v>1.06</v>
      </c>
      <c r="D32" s="259" t="inlineStr">
        <is>
          <t>--</t>
        </is>
      </c>
      <c r="E32" s="259" t="inlineStr">
        <is>
          <t>--</t>
        </is>
      </c>
      <c r="F32" s="260" t="n">
        <v>1.06</v>
      </c>
      <c r="G32" s="259" t="inlineStr">
        <is>
          <t>--</t>
        </is>
      </c>
      <c r="H32" s="259" t="inlineStr">
        <is>
          <t>--</t>
        </is>
      </c>
      <c r="I32" s="259" t="inlineStr">
        <is>
          <t>--</t>
        </is>
      </c>
      <c r="J32" s="259" t="inlineStr">
        <is>
          <t>--</t>
        </is>
      </c>
      <c r="K32" s="259" t="inlineStr">
        <is>
          <t>--</t>
        </is>
      </c>
      <c r="L32" s="259" t="inlineStr">
        <is>
          <t>EQ-THEMATIC</t>
        </is>
      </c>
    </row>
    <row r="33">
      <c r="A33" s="259" t="inlineStr">
        <is>
          <t>Aditya Birla Sun Life Nifty Midcap 150 Index Fund - Regular Plan</t>
        </is>
      </c>
      <c r="B33" s="260" t="n">
        <v>5.32</v>
      </c>
      <c r="C33" s="260" t="n">
        <v>1.01</v>
      </c>
      <c r="D33" s="260" t="n">
        <v>27.02</v>
      </c>
      <c r="E33" s="259" t="inlineStr">
        <is>
          <t>--</t>
        </is>
      </c>
      <c r="F33" s="260" t="n">
        <v>1.01</v>
      </c>
      <c r="G33" s="260" t="n">
        <v>17.01</v>
      </c>
      <c r="H33" s="260" t="n">
        <v>1.06</v>
      </c>
      <c r="I33" s="260" t="n">
        <v>1.53</v>
      </c>
      <c r="J33" s="260" t="n">
        <v>1</v>
      </c>
      <c r="K33" s="260" t="n">
        <v>-0.09</v>
      </c>
      <c r="L33" s="259" t="inlineStr">
        <is>
          <t>EQ-MC</t>
        </is>
      </c>
    </row>
    <row r="34">
      <c r="A34" s="259" t="inlineStr">
        <is>
          <t>Aditya Birla Sun Life Nifty Next 50 ETF</t>
        </is>
      </c>
      <c r="B34" s="260" t="n">
        <v>-3.18</v>
      </c>
      <c r="C34" s="260" t="n">
        <v>0.09</v>
      </c>
      <c r="D34" s="260" t="n">
        <v>22.13</v>
      </c>
      <c r="E34" s="260" t="n">
        <v>22.68</v>
      </c>
      <c r="F34" s="260" t="n">
        <v>0.09</v>
      </c>
      <c r="G34" s="260" t="n">
        <v>19.54</v>
      </c>
      <c r="H34" s="260" t="n">
        <v>0.73</v>
      </c>
      <c r="I34" s="260" t="n">
        <v>1.09</v>
      </c>
      <c r="J34" s="260" t="n">
        <v>1.3</v>
      </c>
      <c r="K34" s="260" t="n">
        <v>0.85</v>
      </c>
      <c r="L34" s="259" t="inlineStr">
        <is>
          <t>EQ-LC</t>
        </is>
      </c>
    </row>
    <row r="35">
      <c r="A35" s="259" t="inlineStr">
        <is>
          <t>Aditya Birla Sun Life Nifty Next 50 Index Fund - Regular Plan</t>
        </is>
      </c>
      <c r="B35" s="260" t="n">
        <v>-4.32</v>
      </c>
      <c r="C35" s="260" t="n">
        <v>0.88</v>
      </c>
      <c r="D35" s="260" t="n">
        <v>20.8</v>
      </c>
      <c r="E35" s="259" t="inlineStr">
        <is>
          <t>--</t>
        </is>
      </c>
      <c r="F35" s="260" t="n">
        <v>0.88</v>
      </c>
      <c r="G35" s="260" t="n">
        <v>19.52</v>
      </c>
      <c r="H35" s="260" t="n">
        <v>0.67</v>
      </c>
      <c r="I35" s="260" t="n">
        <v>1</v>
      </c>
      <c r="J35" s="260" t="n">
        <v>1.3</v>
      </c>
      <c r="K35" s="260" t="n">
        <v>-0.25</v>
      </c>
      <c r="L35" s="259" t="inlineStr">
        <is>
          <t>EQ-LC</t>
        </is>
      </c>
    </row>
    <row r="36" hidden="1">
      <c r="A36" s="259" t="inlineStr">
        <is>
          <t>Aditya Birla Sun Life Nifty PSE ETF</t>
        </is>
      </c>
      <c r="B36" s="260" t="n">
        <v>-4.83</v>
      </c>
      <c r="C36" s="260" t="n">
        <v>0.2</v>
      </c>
      <c r="D36" s="259" t="inlineStr">
        <is>
          <t>--</t>
        </is>
      </c>
      <c r="E36" s="259" t="inlineStr">
        <is>
          <t>--</t>
        </is>
      </c>
      <c r="F36" s="260" t="n">
        <v>0.2</v>
      </c>
      <c r="G36" s="259" t="inlineStr">
        <is>
          <t>--</t>
        </is>
      </c>
      <c r="H36" s="259" t="inlineStr">
        <is>
          <t>--</t>
        </is>
      </c>
      <c r="I36" s="259" t="inlineStr">
        <is>
          <t>--</t>
        </is>
      </c>
      <c r="J36" s="259" t="inlineStr">
        <is>
          <t>--</t>
        </is>
      </c>
      <c r="K36" s="259" t="inlineStr">
        <is>
          <t>--</t>
        </is>
      </c>
      <c r="L36" s="259" t="inlineStr">
        <is>
          <t>EQ-PSU</t>
        </is>
      </c>
    </row>
    <row r="37">
      <c r="A37" s="259" t="inlineStr">
        <is>
          <t>Aditya Birla Sun Life Nifty Smallcap 50 Index Fund - Regular Plan</t>
        </is>
      </c>
      <c r="B37" s="260" t="n">
        <v>6.38</v>
      </c>
      <c r="C37" s="260" t="n">
        <v>1.01</v>
      </c>
      <c r="D37" s="260" t="n">
        <v>28.75</v>
      </c>
      <c r="E37" s="259" t="inlineStr">
        <is>
          <t>--</t>
        </is>
      </c>
      <c r="F37" s="260" t="n">
        <v>1.01</v>
      </c>
      <c r="G37" s="260" t="n">
        <v>20.71</v>
      </c>
      <c r="H37" s="260" t="n">
        <v>0.92</v>
      </c>
      <c r="I37" s="260" t="n">
        <v>1.48</v>
      </c>
      <c r="J37" s="260" t="n">
        <v>1.03</v>
      </c>
      <c r="K37" s="260" t="n">
        <v>0.22</v>
      </c>
      <c r="L37" s="259" t="inlineStr">
        <is>
          <t>EQ-SC</t>
        </is>
      </c>
    </row>
    <row r="38" hidden="1">
      <c r="A38" s="259" t="inlineStr">
        <is>
          <t>Aditya Birla Sun Life PSU Equity Fund - Regular Plan</t>
        </is>
      </c>
      <c r="B38" s="260" t="n">
        <v>-5.53</v>
      </c>
      <c r="C38" s="260" t="n">
        <v>1.79</v>
      </c>
      <c r="D38" s="260" t="n">
        <v>32.4</v>
      </c>
      <c r="E38" s="260" t="n">
        <v>32.39</v>
      </c>
      <c r="F38" s="260" t="n">
        <v>1.79</v>
      </c>
      <c r="G38" s="260" t="n">
        <v>22.36</v>
      </c>
      <c r="H38" s="260" t="n">
        <v>1.07</v>
      </c>
      <c r="I38" s="260" t="n">
        <v>1.95</v>
      </c>
      <c r="J38" s="260" t="n">
        <v>0.97</v>
      </c>
      <c r="K38" s="260" t="n">
        <v>-2.99</v>
      </c>
      <c r="L38" s="259" t="inlineStr">
        <is>
          <t>EQ-PSU</t>
        </is>
      </c>
    </row>
    <row r="39" hidden="1">
      <c r="A39" s="259" t="inlineStr">
        <is>
          <t>Aditya Birla Sun Life Quant Fund - Regular Plan</t>
        </is>
      </c>
      <c r="B39" s="259" t="inlineStr">
        <is>
          <t>--</t>
        </is>
      </c>
      <c r="C39" s="260" t="n">
        <v>1.97</v>
      </c>
      <c r="D39" s="259" t="inlineStr">
        <is>
          <t>--</t>
        </is>
      </c>
      <c r="E39" s="259" t="inlineStr">
        <is>
          <t>--</t>
        </is>
      </c>
      <c r="F39" s="260" t="n">
        <v>1.97</v>
      </c>
      <c r="G39" s="259" t="inlineStr">
        <is>
          <t>--</t>
        </is>
      </c>
      <c r="H39" s="259" t="inlineStr">
        <is>
          <t>--</t>
        </is>
      </c>
      <c r="I39" s="259" t="inlineStr">
        <is>
          <t>--</t>
        </is>
      </c>
      <c r="J39" s="259" t="inlineStr">
        <is>
          <t>--</t>
        </is>
      </c>
      <c r="K39" s="259" t="inlineStr">
        <is>
          <t>--</t>
        </is>
      </c>
      <c r="L39" s="259" t="inlineStr">
        <is>
          <t>EQ-THEMATIC</t>
        </is>
      </c>
    </row>
    <row r="40">
      <c r="A40" s="259" t="inlineStr">
        <is>
          <t>Aditya Birla Sun Life Retirement Fund - The 30s Plan - Regular Plan</t>
        </is>
      </c>
      <c r="B40" s="260" t="n">
        <v>8.279999999999999</v>
      </c>
      <c r="C40" s="260" t="n">
        <v>2.41</v>
      </c>
      <c r="D40" s="260" t="n">
        <v>17.78</v>
      </c>
      <c r="E40" s="260" t="n">
        <v>16.73</v>
      </c>
      <c r="F40" s="260" t="n">
        <v>2.41</v>
      </c>
      <c r="G40" s="260" t="n">
        <v>14.35</v>
      </c>
      <c r="H40" s="260" t="n">
        <v>0.6899999999999999</v>
      </c>
      <c r="I40" s="260" t="n">
        <v>1.1</v>
      </c>
      <c r="J40" s="260" t="n">
        <v>0.9399999999999999</v>
      </c>
      <c r="K40" s="260" t="n">
        <v>-0.98</v>
      </c>
      <c r="L40" s="259" t="inlineStr">
        <is>
          <t>EQ-FLX</t>
        </is>
      </c>
    </row>
    <row r="41">
      <c r="A41" s="259" t="inlineStr">
        <is>
          <t>Aditya Birla Sun Life Small Cap Fund - Regular Plan</t>
        </is>
      </c>
      <c r="B41" s="260" t="n">
        <v>2.38</v>
      </c>
      <c r="C41" s="260" t="n">
        <v>1.92</v>
      </c>
      <c r="D41" s="260" t="n">
        <v>21.9</v>
      </c>
      <c r="E41" s="260" t="n">
        <v>29.2</v>
      </c>
      <c r="F41" s="260" t="n">
        <v>1.92</v>
      </c>
      <c r="G41" s="260" t="n">
        <v>17.91</v>
      </c>
      <c r="H41" s="260" t="n">
        <v>0.78</v>
      </c>
      <c r="I41" s="260" t="n">
        <v>1.18</v>
      </c>
      <c r="J41" s="260" t="n">
        <v>0.89</v>
      </c>
      <c r="K41" s="260" t="n">
        <v>-2.19</v>
      </c>
      <c r="L41" s="259" t="inlineStr">
        <is>
          <t>EQ-SC</t>
        </is>
      </c>
    </row>
    <row r="42" hidden="1">
      <c r="A42" s="259" t="inlineStr">
        <is>
          <t>Aditya Birla Sun Life Special Opportunities Fund - Regular Plan</t>
        </is>
      </c>
      <c r="B42" s="260" t="n">
        <v>8.140000000000001</v>
      </c>
      <c r="C42" s="260" t="n">
        <v>2.39</v>
      </c>
      <c r="D42" s="260" t="n">
        <v>20.35</v>
      </c>
      <c r="E42" s="259" t="inlineStr">
        <is>
          <t>--</t>
        </is>
      </c>
      <c r="F42" s="260" t="n">
        <v>2.39</v>
      </c>
      <c r="G42" s="260" t="n">
        <v>14.79</v>
      </c>
      <c r="H42" s="260" t="n">
        <v>0.79</v>
      </c>
      <c r="I42" s="260" t="n">
        <v>1.39</v>
      </c>
      <c r="J42" s="260" t="n">
        <v>0.99</v>
      </c>
      <c r="K42" s="260" t="n">
        <v>0.3</v>
      </c>
      <c r="L42" s="259" t="inlineStr">
        <is>
          <t>EQ-THEMATIC</t>
        </is>
      </c>
    </row>
    <row r="43" hidden="1">
      <c r="A43" s="259" t="inlineStr">
        <is>
          <t>Aditya Birla Sun Life Transportation and Logistics Fund - Regular Plan</t>
        </is>
      </c>
      <c r="B43" s="260" t="n">
        <v>-4.45</v>
      </c>
      <c r="C43" s="260" t="n">
        <v>2.11</v>
      </c>
      <c r="D43" s="259" t="inlineStr">
        <is>
          <t>--</t>
        </is>
      </c>
      <c r="E43" s="259" t="inlineStr">
        <is>
          <t>--</t>
        </is>
      </c>
      <c r="F43" s="260" t="n">
        <v>2.11</v>
      </c>
      <c r="G43" s="259" t="inlineStr">
        <is>
          <t>--</t>
        </is>
      </c>
      <c r="H43" s="259" t="inlineStr">
        <is>
          <t>--</t>
        </is>
      </c>
      <c r="I43" s="259" t="inlineStr">
        <is>
          <t>--</t>
        </is>
      </c>
      <c r="J43" s="259" t="inlineStr">
        <is>
          <t>--</t>
        </is>
      </c>
      <c r="K43" s="259" t="inlineStr">
        <is>
          <t>--</t>
        </is>
      </c>
      <c r="L43" s="259" t="inlineStr">
        <is>
          <t>EQ-THEMATIC</t>
        </is>
      </c>
    </row>
    <row r="44">
      <c r="A44" s="259" t="inlineStr">
        <is>
          <t>Angel One Nifty 50 ETF</t>
        </is>
      </c>
      <c r="B44" s="259" t="inlineStr">
        <is>
          <t>--</t>
        </is>
      </c>
      <c r="C44" s="260" t="n">
        <v>0.09</v>
      </c>
      <c r="D44" s="259" t="inlineStr">
        <is>
          <t>--</t>
        </is>
      </c>
      <c r="E44" s="259" t="inlineStr">
        <is>
          <t>--</t>
        </is>
      </c>
      <c r="F44" s="260" t="n">
        <v>0.09</v>
      </c>
      <c r="G44" s="259" t="inlineStr">
        <is>
          <t>--</t>
        </is>
      </c>
      <c r="H44" s="259" t="inlineStr">
        <is>
          <t>--</t>
        </is>
      </c>
      <c r="I44" s="259" t="inlineStr">
        <is>
          <t>--</t>
        </is>
      </c>
      <c r="J44" s="259" t="inlineStr">
        <is>
          <t>--</t>
        </is>
      </c>
      <c r="K44" s="259" t="inlineStr">
        <is>
          <t>--</t>
        </is>
      </c>
      <c r="L44" s="259" t="inlineStr">
        <is>
          <t>EQ-LC</t>
        </is>
      </c>
    </row>
    <row r="45">
      <c r="A45" s="259" t="inlineStr">
        <is>
          <t>Angel One Nifty 50 Index Fund - Regular Plan</t>
        </is>
      </c>
      <c r="B45" s="259" t="inlineStr">
        <is>
          <t>--</t>
        </is>
      </c>
      <c r="C45" s="260" t="n">
        <v>0.7</v>
      </c>
      <c r="D45" s="259" t="inlineStr">
        <is>
          <t>--</t>
        </is>
      </c>
      <c r="E45" s="259" t="inlineStr">
        <is>
          <t>--</t>
        </is>
      </c>
      <c r="F45" s="260" t="n">
        <v>0.7</v>
      </c>
      <c r="G45" s="259" t="inlineStr">
        <is>
          <t>--</t>
        </is>
      </c>
      <c r="H45" s="259" t="inlineStr">
        <is>
          <t>--</t>
        </is>
      </c>
      <c r="I45" s="259" t="inlineStr">
        <is>
          <t>--</t>
        </is>
      </c>
      <c r="J45" s="259" t="inlineStr">
        <is>
          <t>--</t>
        </is>
      </c>
      <c r="K45" s="259" t="inlineStr">
        <is>
          <t>--</t>
        </is>
      </c>
      <c r="L45" s="259" t="inlineStr">
        <is>
          <t>EQ-LC</t>
        </is>
      </c>
    </row>
    <row r="46">
      <c r="A46" s="259" t="inlineStr">
        <is>
          <t>Angel One Nifty Total Market ETF</t>
        </is>
      </c>
      <c r="B46" s="259" t="inlineStr">
        <is>
          <t>--</t>
        </is>
      </c>
      <c r="C46" s="260" t="n">
        <v>0.28</v>
      </c>
      <c r="D46" s="259" t="inlineStr">
        <is>
          <t>--</t>
        </is>
      </c>
      <c r="E46" s="259" t="inlineStr">
        <is>
          <t>--</t>
        </is>
      </c>
      <c r="F46" s="260" t="n">
        <v>0.28</v>
      </c>
      <c r="G46" s="259" t="inlineStr">
        <is>
          <t>--</t>
        </is>
      </c>
      <c r="H46" s="259" t="inlineStr">
        <is>
          <t>--</t>
        </is>
      </c>
      <c r="I46" s="259" t="inlineStr">
        <is>
          <t>--</t>
        </is>
      </c>
      <c r="J46" s="259" t="inlineStr">
        <is>
          <t>--</t>
        </is>
      </c>
      <c r="K46" s="259" t="inlineStr">
        <is>
          <t>--</t>
        </is>
      </c>
      <c r="L46" s="259" t="inlineStr">
        <is>
          <t>EQ-FLX</t>
        </is>
      </c>
    </row>
    <row r="47">
      <c r="A47" s="259" t="inlineStr">
        <is>
          <t>Angel One Nifty Total Market Index Fund - Regular Plan</t>
        </is>
      </c>
      <c r="B47" s="259" t="inlineStr">
        <is>
          <t>--</t>
        </is>
      </c>
      <c r="C47" s="260" t="n">
        <v>1.03</v>
      </c>
      <c r="D47" s="259" t="inlineStr">
        <is>
          <t>--</t>
        </is>
      </c>
      <c r="E47" s="259" t="inlineStr">
        <is>
          <t>--</t>
        </is>
      </c>
      <c r="F47" s="260" t="n">
        <v>1.03</v>
      </c>
      <c r="G47" s="259" t="inlineStr">
        <is>
          <t>--</t>
        </is>
      </c>
      <c r="H47" s="259" t="inlineStr">
        <is>
          <t>--</t>
        </is>
      </c>
      <c r="I47" s="259" t="inlineStr">
        <is>
          <t>--</t>
        </is>
      </c>
      <c r="J47" s="259" t="inlineStr">
        <is>
          <t>--</t>
        </is>
      </c>
      <c r="K47" s="259" t="inlineStr">
        <is>
          <t>--</t>
        </is>
      </c>
      <c r="L47" s="259" t="inlineStr">
        <is>
          <t>EQ-FLX</t>
        </is>
      </c>
    </row>
    <row r="48">
      <c r="A48" s="259" t="inlineStr">
        <is>
          <t>Axis Balanced Advantage Fund - Regular Plan</t>
        </is>
      </c>
      <c r="B48" s="260" t="n">
        <v>9.34</v>
      </c>
      <c r="C48" s="260" t="n">
        <v>1.94</v>
      </c>
      <c r="D48" s="260" t="n">
        <v>15.53</v>
      </c>
      <c r="E48" s="260" t="n">
        <v>14.3</v>
      </c>
      <c r="F48" s="260" t="n">
        <v>1.94</v>
      </c>
      <c r="G48" s="260" t="n">
        <v>8.06</v>
      </c>
      <c r="H48" s="260" t="n">
        <v>1.01</v>
      </c>
      <c r="I48" s="260" t="n">
        <v>1.7</v>
      </c>
      <c r="J48" s="260" t="n">
        <v>0.75</v>
      </c>
      <c r="K48" s="260" t="n">
        <v>2.22</v>
      </c>
      <c r="L48" s="259" t="inlineStr">
        <is>
          <t>HY-DAA</t>
        </is>
      </c>
    </row>
    <row r="49">
      <c r="A49" s="259" t="inlineStr">
        <is>
          <t>Axis BSE Sensex ETF</t>
        </is>
      </c>
      <c r="B49" s="260" t="n">
        <v>7.73</v>
      </c>
      <c r="C49" s="260" t="n">
        <v>0.04</v>
      </c>
      <c r="D49" s="259" t="inlineStr">
        <is>
          <t>--</t>
        </is>
      </c>
      <c r="E49" s="259" t="inlineStr">
        <is>
          <t>--</t>
        </is>
      </c>
      <c r="F49" s="260" t="n">
        <v>0.04</v>
      </c>
      <c r="G49" s="259" t="inlineStr">
        <is>
          <t>--</t>
        </is>
      </c>
      <c r="H49" s="259" t="inlineStr">
        <is>
          <t>--</t>
        </is>
      </c>
      <c r="I49" s="259" t="inlineStr">
        <is>
          <t>--</t>
        </is>
      </c>
      <c r="J49" s="259" t="inlineStr">
        <is>
          <t>--</t>
        </is>
      </c>
      <c r="K49" s="259" t="inlineStr">
        <is>
          <t>--</t>
        </is>
      </c>
      <c r="L49" s="259" t="inlineStr">
        <is>
          <t>EQ-LC</t>
        </is>
      </c>
    </row>
    <row r="50">
      <c r="A50" s="259" t="inlineStr">
        <is>
          <t>Axis BSE Sensex Index Fund - Regular Plan</t>
        </is>
      </c>
      <c r="B50" s="260" t="n">
        <v>7</v>
      </c>
      <c r="C50" s="260" t="n">
        <v>0.7</v>
      </c>
      <c r="D50" s="259" t="inlineStr">
        <is>
          <t>--</t>
        </is>
      </c>
      <c r="E50" s="259" t="inlineStr">
        <is>
          <t>--</t>
        </is>
      </c>
      <c r="F50" s="260" t="n">
        <v>0.7</v>
      </c>
      <c r="G50" s="259" t="inlineStr">
        <is>
          <t>--</t>
        </is>
      </c>
      <c r="H50" s="259" t="inlineStr">
        <is>
          <t>--</t>
        </is>
      </c>
      <c r="I50" s="259" t="inlineStr">
        <is>
          <t>--</t>
        </is>
      </c>
      <c r="J50" s="259" t="inlineStr">
        <is>
          <t>--</t>
        </is>
      </c>
      <c r="K50" s="259" t="inlineStr">
        <is>
          <t>--</t>
        </is>
      </c>
      <c r="L50" s="259" t="inlineStr">
        <is>
          <t>EQ-LC</t>
        </is>
      </c>
    </row>
    <row r="51" hidden="1">
      <c r="A51" s="259" t="inlineStr">
        <is>
          <t>Axis Business Cycles Fund - Regular Plan</t>
        </is>
      </c>
      <c r="B51" s="260" t="n">
        <v>5.03</v>
      </c>
      <c r="C51" s="260" t="n">
        <v>1.99</v>
      </c>
      <c r="D51" s="259" t="inlineStr">
        <is>
          <t>--</t>
        </is>
      </c>
      <c r="E51" s="259" t="inlineStr">
        <is>
          <t>--</t>
        </is>
      </c>
      <c r="F51" s="260" t="n">
        <v>1.99</v>
      </c>
      <c r="G51" s="259" t="inlineStr">
        <is>
          <t>--</t>
        </is>
      </c>
      <c r="H51" s="259" t="inlineStr">
        <is>
          <t>--</t>
        </is>
      </c>
      <c r="I51" s="259" t="inlineStr">
        <is>
          <t>--</t>
        </is>
      </c>
      <c r="J51" s="259" t="inlineStr">
        <is>
          <t>--</t>
        </is>
      </c>
      <c r="K51" s="259" t="inlineStr">
        <is>
          <t>--</t>
        </is>
      </c>
      <c r="L51" s="259" t="inlineStr">
        <is>
          <t>EQ-THEMATIC</t>
        </is>
      </c>
    </row>
    <row r="52" hidden="1">
      <c r="A52" s="259" t="inlineStr">
        <is>
          <t>Axis Consumption Fund - Regular Plan</t>
        </is>
      </c>
      <c r="B52" s="259" t="inlineStr">
        <is>
          <t>--</t>
        </is>
      </c>
      <c r="C52" s="260" t="n">
        <v>1.86</v>
      </c>
      <c r="D52" s="259" t="inlineStr">
        <is>
          <t>--</t>
        </is>
      </c>
      <c r="E52" s="259" t="inlineStr">
        <is>
          <t>--</t>
        </is>
      </c>
      <c r="F52" s="260" t="n">
        <v>1.86</v>
      </c>
      <c r="G52" s="259" t="inlineStr">
        <is>
          <t>--</t>
        </is>
      </c>
      <c r="H52" s="259" t="inlineStr">
        <is>
          <t>--</t>
        </is>
      </c>
      <c r="I52" s="259" t="inlineStr">
        <is>
          <t>--</t>
        </is>
      </c>
      <c r="J52" s="259" t="inlineStr">
        <is>
          <t>--</t>
        </is>
      </c>
      <c r="K52" s="259" t="inlineStr">
        <is>
          <t>--</t>
        </is>
      </c>
      <c r="L52" s="259" t="inlineStr">
        <is>
          <t>EQ-Consumption</t>
        </is>
      </c>
    </row>
    <row r="53">
      <c r="A53" s="259" t="inlineStr">
        <is>
          <t>Axis Equity ETFs FoF - Regular Plan</t>
        </is>
      </c>
      <c r="B53" s="260" t="n">
        <v>-2.44</v>
      </c>
      <c r="C53" s="260" t="n">
        <v>0.7</v>
      </c>
      <c r="D53" s="260" t="n">
        <v>16.12</v>
      </c>
      <c r="E53" s="259" t="inlineStr">
        <is>
          <t>--</t>
        </is>
      </c>
      <c r="F53" s="260" t="n">
        <v>0.7</v>
      </c>
      <c r="G53" s="260" t="n">
        <v>14.4</v>
      </c>
      <c r="H53" s="260" t="n">
        <v>0.6</v>
      </c>
      <c r="I53" s="260" t="n">
        <v>0.89</v>
      </c>
      <c r="J53" s="260" t="n">
        <v>0.98</v>
      </c>
      <c r="K53" s="260" t="n">
        <v>-2.69</v>
      </c>
      <c r="L53" s="259" t="inlineStr">
        <is>
          <t>EQ-FLX</t>
        </is>
      </c>
    </row>
    <row r="54" hidden="1">
      <c r="A54" s="259" t="inlineStr">
        <is>
          <t>Axis ESG Integration Strategy Fund - Regular Plan</t>
        </is>
      </c>
      <c r="B54" s="260" t="n">
        <v>4.24</v>
      </c>
      <c r="C54" s="260" t="n">
        <v>2.22</v>
      </c>
      <c r="D54" s="260" t="n">
        <v>15.27</v>
      </c>
      <c r="E54" s="260" t="n">
        <v>16.68</v>
      </c>
      <c r="F54" s="260" t="n">
        <v>2.22</v>
      </c>
      <c r="G54" s="260" t="n">
        <v>14.28</v>
      </c>
      <c r="H54" s="260" t="n">
        <v>0.52</v>
      </c>
      <c r="I54" s="260" t="n">
        <v>0.79</v>
      </c>
      <c r="J54" s="260" t="n">
        <v>0.9399999999999999</v>
      </c>
      <c r="K54" s="260" t="n">
        <v>-2.24</v>
      </c>
      <c r="L54" s="259" t="inlineStr">
        <is>
          <t>EQ-T-ESG</t>
        </is>
      </c>
    </row>
    <row r="55">
      <c r="A55" s="259" t="inlineStr">
        <is>
          <t>Axis Flexi Cap Fund - Regular Plan</t>
        </is>
      </c>
      <c r="B55" s="260" t="n">
        <v>7.13</v>
      </c>
      <c r="C55" s="260" t="n">
        <v>1.71</v>
      </c>
      <c r="D55" s="260" t="n">
        <v>17.07</v>
      </c>
      <c r="E55" s="260" t="n">
        <v>18.82</v>
      </c>
      <c r="F55" s="260" t="n">
        <v>1.71</v>
      </c>
      <c r="G55" s="260" t="n">
        <v>14.62</v>
      </c>
      <c r="H55" s="260" t="n">
        <v>0.64</v>
      </c>
      <c r="I55" s="260" t="n">
        <v>0.9</v>
      </c>
      <c r="J55" s="260" t="n">
        <v>0.96</v>
      </c>
      <c r="K55" s="260" t="n">
        <v>-1.74</v>
      </c>
      <c r="L55" s="259" t="inlineStr">
        <is>
          <t>EQ-FLX</t>
        </is>
      </c>
    </row>
    <row r="56">
      <c r="A56" s="259" t="inlineStr">
        <is>
          <t>Axis Focused Fund</t>
        </is>
      </c>
      <c r="B56" s="260" t="n">
        <v>6.48</v>
      </c>
      <c r="C56" s="260" t="n">
        <v>1.74</v>
      </c>
      <c r="D56" s="260" t="n">
        <v>13.14</v>
      </c>
      <c r="E56" s="260" t="n">
        <v>15.91</v>
      </c>
      <c r="F56" s="260" t="n">
        <v>1.74</v>
      </c>
      <c r="G56" s="260" t="n">
        <v>15.7</v>
      </c>
      <c r="H56" s="260" t="n">
        <v>0.36</v>
      </c>
      <c r="I56" s="260" t="n">
        <v>0.61</v>
      </c>
      <c r="J56" s="260" t="n">
        <v>0.99</v>
      </c>
      <c r="K56" s="260" t="n">
        <v>-5.72</v>
      </c>
      <c r="L56" s="259" t="inlineStr">
        <is>
          <t>EQ-FLX</t>
        </is>
      </c>
    </row>
    <row r="57" hidden="1">
      <c r="A57" s="259" t="inlineStr">
        <is>
          <t>Axis India Manufacturing Fund - Regular Plan</t>
        </is>
      </c>
      <c r="B57" s="260" t="n">
        <v>-0.07000000000000001</v>
      </c>
      <c r="C57" s="260" t="n">
        <v>1.81</v>
      </c>
      <c r="D57" s="259" t="inlineStr">
        <is>
          <t>--</t>
        </is>
      </c>
      <c r="E57" s="259" t="inlineStr">
        <is>
          <t>--</t>
        </is>
      </c>
      <c r="F57" s="260" t="n">
        <v>1.81</v>
      </c>
      <c r="G57" s="259" t="inlineStr">
        <is>
          <t>--</t>
        </is>
      </c>
      <c r="H57" s="259" t="inlineStr">
        <is>
          <t>--</t>
        </is>
      </c>
      <c r="I57" s="259" t="inlineStr">
        <is>
          <t>--</t>
        </is>
      </c>
      <c r="J57" s="259" t="inlineStr">
        <is>
          <t>--</t>
        </is>
      </c>
      <c r="K57" s="259" t="inlineStr">
        <is>
          <t>--</t>
        </is>
      </c>
      <c r="L57" s="259" t="inlineStr">
        <is>
          <t>EQ-THEMATIC</t>
        </is>
      </c>
    </row>
    <row r="58" hidden="1">
      <c r="A58" s="259" t="inlineStr">
        <is>
          <t>Axis Innovation Fund - Regular Plan</t>
        </is>
      </c>
      <c r="B58" s="260" t="n">
        <v>7.03</v>
      </c>
      <c r="C58" s="260" t="n">
        <v>2.25</v>
      </c>
      <c r="D58" s="260" t="n">
        <v>17.48</v>
      </c>
      <c r="E58" s="259" t="inlineStr">
        <is>
          <t>--</t>
        </is>
      </c>
      <c r="F58" s="260" t="n">
        <v>2.25</v>
      </c>
      <c r="G58" s="260" t="n">
        <v>14.04</v>
      </c>
      <c r="H58" s="260" t="n">
        <v>0.68</v>
      </c>
      <c r="I58" s="260" t="n">
        <v>0.93</v>
      </c>
      <c r="J58" s="260" t="n">
        <v>0.86</v>
      </c>
      <c r="K58" s="260" t="n">
        <v>-0.41</v>
      </c>
      <c r="L58" s="259" t="inlineStr">
        <is>
          <t>EQ-THEMATIC</t>
        </is>
      </c>
    </row>
    <row r="59">
      <c r="A59" s="259" t="inlineStr">
        <is>
          <t>Axis Large Cap Fund - Regular Plan</t>
        </is>
      </c>
      <c r="B59" s="260" t="n">
        <v>4.99</v>
      </c>
      <c r="C59" s="260" t="n">
        <v>1.57</v>
      </c>
      <c r="D59" s="260" t="n">
        <v>14.29</v>
      </c>
      <c r="E59" s="260" t="n">
        <v>16.47</v>
      </c>
      <c r="F59" s="260" t="n">
        <v>1.57</v>
      </c>
      <c r="G59" s="260" t="n">
        <v>13.3</v>
      </c>
      <c r="H59" s="260" t="n">
        <v>0.51</v>
      </c>
      <c r="I59" s="260" t="n">
        <v>0.85</v>
      </c>
      <c r="J59" s="260" t="n">
        <v>0.93</v>
      </c>
      <c r="K59" s="260" t="n">
        <v>-2.78</v>
      </c>
      <c r="L59" s="259" t="inlineStr">
        <is>
          <t>EQ-LC</t>
        </is>
      </c>
    </row>
    <row r="60">
      <c r="A60" s="259" t="inlineStr">
        <is>
          <t>Axis Large &amp; Mid Cap Fund - Regular Plan</t>
        </is>
      </c>
      <c r="B60" s="260" t="n">
        <v>5.78</v>
      </c>
      <c r="C60" s="260" t="n">
        <v>1.68</v>
      </c>
      <c r="D60" s="260" t="n">
        <v>20.83</v>
      </c>
      <c r="E60" s="260" t="n">
        <v>24.15</v>
      </c>
      <c r="F60" s="260" t="n">
        <v>1.68</v>
      </c>
      <c r="G60" s="260" t="n">
        <v>14.14</v>
      </c>
      <c r="H60" s="260" t="n">
        <v>0.88</v>
      </c>
      <c r="I60" s="260" t="n">
        <v>1.32</v>
      </c>
      <c r="J60" s="260" t="n">
        <v>0.88</v>
      </c>
      <c r="K60" s="260" t="n">
        <v>2.71</v>
      </c>
      <c r="L60" s="259" t="inlineStr">
        <is>
          <t>EQ-L&amp;MC</t>
        </is>
      </c>
    </row>
    <row r="61">
      <c r="A61" s="259" t="inlineStr">
        <is>
          <t>Axis Midcap Fund - Regular Plan</t>
        </is>
      </c>
      <c r="B61" s="260" t="n">
        <v>6.2</v>
      </c>
      <c r="C61" s="260" t="n">
        <v>1.57</v>
      </c>
      <c r="D61" s="260" t="n">
        <v>22.4</v>
      </c>
      <c r="E61" s="260" t="n">
        <v>24.84</v>
      </c>
      <c r="F61" s="260" t="n">
        <v>1.57</v>
      </c>
      <c r="G61" s="260" t="n">
        <v>15.55</v>
      </c>
      <c r="H61" s="260" t="n">
        <v>0.88</v>
      </c>
      <c r="I61" s="260" t="n">
        <v>1.23</v>
      </c>
      <c r="J61" s="260" t="n">
        <v>0.85</v>
      </c>
      <c r="K61" s="260" t="n">
        <v>-1.78</v>
      </c>
      <c r="L61" s="259" t="inlineStr">
        <is>
          <t>EQ-MC</t>
        </is>
      </c>
    </row>
    <row r="62" hidden="1">
      <c r="A62" s="259" t="inlineStr">
        <is>
          <t>Axis Momentum Fund - Regular Plan</t>
        </is>
      </c>
      <c r="B62" s="259" t="inlineStr">
        <is>
          <t>--</t>
        </is>
      </c>
      <c r="C62" s="260" t="n">
        <v>2.11</v>
      </c>
      <c r="D62" s="259" t="inlineStr">
        <is>
          <t>--</t>
        </is>
      </c>
      <c r="E62" s="259" t="inlineStr">
        <is>
          <t>--</t>
        </is>
      </c>
      <c r="F62" s="260" t="n">
        <v>2.11</v>
      </c>
      <c r="G62" s="259" t="inlineStr">
        <is>
          <t>--</t>
        </is>
      </c>
      <c r="H62" s="259" t="inlineStr">
        <is>
          <t>--</t>
        </is>
      </c>
      <c r="I62" s="259" t="inlineStr">
        <is>
          <t>--</t>
        </is>
      </c>
      <c r="J62" s="259" t="inlineStr">
        <is>
          <t>--</t>
        </is>
      </c>
      <c r="K62" s="259" t="inlineStr">
        <is>
          <t>--</t>
        </is>
      </c>
      <c r="L62" s="259" t="inlineStr">
        <is>
          <t>EQ-THEMATIC</t>
        </is>
      </c>
    </row>
    <row r="63">
      <c r="A63" s="259" t="inlineStr">
        <is>
          <t>Axis Multi Asset Allocation Fund - Regular Plan</t>
        </is>
      </c>
      <c r="B63" s="260" t="n">
        <v>9.029999999999999</v>
      </c>
      <c r="C63" s="260" t="n">
        <v>2.08</v>
      </c>
      <c r="D63" s="260" t="n">
        <v>12.84</v>
      </c>
      <c r="E63" s="260" t="n">
        <v>15.25</v>
      </c>
      <c r="F63" s="260" t="n">
        <v>2.08</v>
      </c>
      <c r="G63" s="260" t="n">
        <v>10</v>
      </c>
      <c r="H63" s="260" t="n">
        <v>0.52</v>
      </c>
      <c r="I63" s="260" t="n">
        <v>0.99</v>
      </c>
      <c r="J63" s="260" t="n">
        <v>0.98</v>
      </c>
      <c r="K63" s="260" t="n">
        <v>-3.51</v>
      </c>
      <c r="L63" s="259" t="inlineStr">
        <is>
          <t>HY-MAA</t>
        </is>
      </c>
    </row>
    <row r="64">
      <c r="A64" s="259" t="inlineStr">
        <is>
          <t>Axis Multicap Fund - Regular Plan</t>
        </is>
      </c>
      <c r="B64" s="260" t="n">
        <v>9.49</v>
      </c>
      <c r="C64" s="260" t="n">
        <v>1.79</v>
      </c>
      <c r="D64" s="260" t="n">
        <v>25.63</v>
      </c>
      <c r="E64" s="259" t="inlineStr">
        <is>
          <t>--</t>
        </is>
      </c>
      <c r="F64" s="260" t="n">
        <v>1.79</v>
      </c>
      <c r="G64" s="260" t="n">
        <v>14.9</v>
      </c>
      <c r="H64" s="260" t="n">
        <v>1.12</v>
      </c>
      <c r="I64" s="260" t="n">
        <v>1.49</v>
      </c>
      <c r="J64" s="260" t="n">
        <v>0.91</v>
      </c>
      <c r="K64" s="260" t="n">
        <v>3.3</v>
      </c>
      <c r="L64" s="259" t="inlineStr">
        <is>
          <t>EQ-MLC</t>
        </is>
      </c>
    </row>
    <row r="65">
      <c r="A65" s="259" t="inlineStr">
        <is>
          <t>Axis Nifty 100 Index Fund - Regular Plan</t>
        </is>
      </c>
      <c r="B65" s="260" t="n">
        <v>4.89</v>
      </c>
      <c r="C65" s="260" t="n">
        <v>0.92</v>
      </c>
      <c r="D65" s="260" t="n">
        <v>16.04</v>
      </c>
      <c r="E65" s="260" t="n">
        <v>20.19</v>
      </c>
      <c r="F65" s="260" t="n">
        <v>0.92</v>
      </c>
      <c r="G65" s="260" t="n">
        <v>13.94</v>
      </c>
      <c r="H65" s="260" t="n">
        <v>0.61</v>
      </c>
      <c r="I65" s="260" t="n">
        <v>1</v>
      </c>
      <c r="J65" s="260" t="n">
        <v>1.01</v>
      </c>
      <c r="K65" s="260" t="n">
        <v>-1.81</v>
      </c>
      <c r="L65" s="259" t="inlineStr">
        <is>
          <t>EQ-LC</t>
        </is>
      </c>
    </row>
    <row r="66">
      <c r="A66" s="259" t="inlineStr">
        <is>
          <t>Axis Nifty 500 Index Fund - Regular Plan</t>
        </is>
      </c>
      <c r="B66" s="259" t="inlineStr">
        <is>
          <t>--</t>
        </is>
      </c>
      <c r="C66" s="260" t="n">
        <v>1</v>
      </c>
      <c r="D66" s="259" t="inlineStr">
        <is>
          <t>--</t>
        </is>
      </c>
      <c r="E66" s="259" t="inlineStr">
        <is>
          <t>--</t>
        </is>
      </c>
      <c r="F66" s="260" t="n">
        <v>1</v>
      </c>
      <c r="G66" s="259" t="inlineStr">
        <is>
          <t>--</t>
        </is>
      </c>
      <c r="H66" s="259" t="inlineStr">
        <is>
          <t>--</t>
        </is>
      </c>
      <c r="I66" s="259" t="inlineStr">
        <is>
          <t>--</t>
        </is>
      </c>
      <c r="J66" s="259" t="inlineStr">
        <is>
          <t>--</t>
        </is>
      </c>
      <c r="K66" s="259" t="inlineStr">
        <is>
          <t>--</t>
        </is>
      </c>
      <c r="L66" s="259" t="inlineStr">
        <is>
          <t>EQ-FLX</t>
        </is>
      </c>
    </row>
    <row r="67">
      <c r="A67" s="259" t="inlineStr">
        <is>
          <t>Axis Nifty500 Momentum 50 Index Fund - Regular Plan</t>
        </is>
      </c>
      <c r="B67" s="259" t="inlineStr">
        <is>
          <t>--</t>
        </is>
      </c>
      <c r="C67" s="260" t="n">
        <v>1.06</v>
      </c>
      <c r="D67" s="259" t="inlineStr">
        <is>
          <t>--</t>
        </is>
      </c>
      <c r="E67" s="259" t="inlineStr">
        <is>
          <t>--</t>
        </is>
      </c>
      <c r="F67" s="260" t="n">
        <v>1.06</v>
      </c>
      <c r="G67" s="259" t="inlineStr">
        <is>
          <t>--</t>
        </is>
      </c>
      <c r="H67" s="259" t="inlineStr">
        <is>
          <t>--</t>
        </is>
      </c>
      <c r="I67" s="259" t="inlineStr">
        <is>
          <t>--</t>
        </is>
      </c>
      <c r="J67" s="259" t="inlineStr">
        <is>
          <t>--</t>
        </is>
      </c>
      <c r="K67" s="259" t="inlineStr">
        <is>
          <t>--</t>
        </is>
      </c>
      <c r="L67" s="259" t="inlineStr">
        <is>
          <t>EQ-FLX</t>
        </is>
      </c>
    </row>
    <row r="68">
      <c r="A68" s="259" t="inlineStr">
        <is>
          <t>Axis Nifty 50 ETF</t>
        </is>
      </c>
      <c r="B68" s="260" t="n">
        <v>7.81</v>
      </c>
      <c r="C68" s="260" t="n">
        <v>0.04</v>
      </c>
      <c r="D68" s="260" t="n">
        <v>16.59</v>
      </c>
      <c r="E68" s="260" t="n">
        <v>21.37</v>
      </c>
      <c r="F68" s="260" t="n">
        <v>0.04</v>
      </c>
      <c r="G68" s="260" t="n">
        <v>13.12</v>
      </c>
      <c r="H68" s="260" t="n">
        <v>0.6899999999999999</v>
      </c>
      <c r="I68" s="260" t="n">
        <v>1.18</v>
      </c>
      <c r="J68" s="260" t="n">
        <v>0.95</v>
      </c>
      <c r="K68" s="260" t="n">
        <v>-0.72</v>
      </c>
      <c r="L68" s="259" t="inlineStr">
        <is>
          <t>EQ-LC</t>
        </is>
      </c>
    </row>
    <row r="69">
      <c r="A69" s="259" t="inlineStr">
        <is>
          <t>Axis Nifty 50 Index Fund - Regular Plan</t>
        </is>
      </c>
      <c r="B69" s="260" t="n">
        <v>7.42</v>
      </c>
      <c r="C69" s="260" t="n">
        <v>0.42</v>
      </c>
      <c r="D69" s="260" t="n">
        <v>16.06</v>
      </c>
      <c r="E69" s="259" t="inlineStr">
        <is>
          <t>--</t>
        </is>
      </c>
      <c r="F69" s="260" t="n">
        <v>0.42</v>
      </c>
      <c r="G69" s="260" t="n">
        <v>13.08</v>
      </c>
      <c r="H69" s="260" t="n">
        <v>0.65</v>
      </c>
      <c r="I69" s="260" t="n">
        <v>1.12</v>
      </c>
      <c r="J69" s="260" t="n">
        <v>0.9399999999999999</v>
      </c>
      <c r="K69" s="260" t="n">
        <v>-1.15</v>
      </c>
      <c r="L69" s="259" t="inlineStr">
        <is>
          <t>EQ-LC</t>
        </is>
      </c>
    </row>
    <row r="70" hidden="1">
      <c r="A70" s="259" t="inlineStr">
        <is>
          <t>Axis NIFTY India Consumption ETF</t>
        </is>
      </c>
      <c r="B70" s="260" t="n">
        <v>3.75</v>
      </c>
      <c r="C70" s="260" t="n">
        <v>0.38</v>
      </c>
      <c r="D70" s="260" t="n">
        <v>20.38</v>
      </c>
      <c r="E70" s="259" t="inlineStr">
        <is>
          <t>--</t>
        </is>
      </c>
      <c r="F70" s="260" t="n">
        <v>0.38</v>
      </c>
      <c r="G70" s="260" t="n">
        <v>15.94</v>
      </c>
      <c r="H70" s="260" t="n">
        <v>0.77</v>
      </c>
      <c r="I70" s="260" t="n">
        <v>1.12</v>
      </c>
      <c r="J70" s="260" t="n">
        <v>0.85</v>
      </c>
      <c r="K70" s="260" t="n">
        <v>0.05</v>
      </c>
      <c r="L70" s="259" t="inlineStr">
        <is>
          <t>EQ-Consumption</t>
        </is>
      </c>
    </row>
    <row r="71">
      <c r="A71" s="259" t="inlineStr">
        <is>
          <t>Axis Nifty Midcap 50 Index Fund - Regular Plan</t>
        </is>
      </c>
      <c r="B71" s="260" t="n">
        <v>7.29</v>
      </c>
      <c r="C71" s="260" t="n">
        <v>1.03</v>
      </c>
      <c r="D71" s="260" t="n">
        <v>28.42</v>
      </c>
      <c r="E71" s="259" t="inlineStr">
        <is>
          <t>--</t>
        </is>
      </c>
      <c r="F71" s="260" t="n">
        <v>1.03</v>
      </c>
      <c r="G71" s="260" t="n">
        <v>17.57</v>
      </c>
      <c r="H71" s="260" t="n">
        <v>1.07</v>
      </c>
      <c r="I71" s="260" t="n">
        <v>1.52</v>
      </c>
      <c r="J71" s="260" t="n">
        <v>1.01</v>
      </c>
      <c r="K71" s="260" t="n">
        <v>0.41</v>
      </c>
      <c r="L71" s="259" t="inlineStr">
        <is>
          <t>EQ-MC</t>
        </is>
      </c>
    </row>
    <row r="72">
      <c r="A72" s="259" t="inlineStr">
        <is>
          <t>Axis Nifty Next 50 Index Fund - Regular Plan</t>
        </is>
      </c>
      <c r="B72" s="260" t="n">
        <v>-4.11</v>
      </c>
      <c r="C72" s="260" t="n">
        <v>1.01</v>
      </c>
      <c r="D72" s="260" t="n">
        <v>21.1</v>
      </c>
      <c r="E72" s="259" t="inlineStr">
        <is>
          <t>--</t>
        </is>
      </c>
      <c r="F72" s="260" t="n">
        <v>1.01</v>
      </c>
      <c r="G72" s="260" t="n">
        <v>19.43</v>
      </c>
      <c r="H72" s="260" t="n">
        <v>0.6899999999999999</v>
      </c>
      <c r="I72" s="260" t="n">
        <v>1.03</v>
      </c>
      <c r="J72" s="260" t="n">
        <v>1.29</v>
      </c>
      <c r="K72" s="260" t="n">
        <v>0.08</v>
      </c>
      <c r="L72" s="259" t="inlineStr">
        <is>
          <t>EQ-LC</t>
        </is>
      </c>
    </row>
    <row r="73">
      <c r="A73" s="259" t="inlineStr">
        <is>
          <t>Axis Nifty Smallcap 50 Index Fund - Regular Plan</t>
        </is>
      </c>
      <c r="B73" s="260" t="n">
        <v>5.82</v>
      </c>
      <c r="C73" s="260" t="n">
        <v>1.02</v>
      </c>
      <c r="D73" s="260" t="n">
        <v>28.38</v>
      </c>
      <c r="E73" s="259" t="inlineStr">
        <is>
          <t>--</t>
        </is>
      </c>
      <c r="F73" s="260" t="n">
        <v>1.02</v>
      </c>
      <c r="G73" s="260" t="n">
        <v>20.53</v>
      </c>
      <c r="H73" s="260" t="n">
        <v>0.91</v>
      </c>
      <c r="I73" s="260" t="n">
        <v>1.48</v>
      </c>
      <c r="J73" s="260" t="n">
        <v>1.02</v>
      </c>
      <c r="K73" s="260" t="n">
        <v>0.09</v>
      </c>
      <c r="L73" s="259" t="inlineStr">
        <is>
          <t>EQ-SC</t>
        </is>
      </c>
    </row>
    <row r="74" hidden="1">
      <c r="A74" s="259" t="inlineStr">
        <is>
          <t>Axis Quant Fund - Regular Plan</t>
        </is>
      </c>
      <c r="B74" s="260" t="n">
        <v>-3.4</v>
      </c>
      <c r="C74" s="260" t="n">
        <v>2.22</v>
      </c>
      <c r="D74" s="260" t="n">
        <v>16.25</v>
      </c>
      <c r="E74" s="259" t="inlineStr">
        <is>
          <t>--</t>
        </is>
      </c>
      <c r="F74" s="260" t="n">
        <v>2.22</v>
      </c>
      <c r="G74" s="260" t="n">
        <v>14.8</v>
      </c>
      <c r="H74" s="260" t="n">
        <v>0.61</v>
      </c>
      <c r="I74" s="260" t="n">
        <v>0.86</v>
      </c>
      <c r="J74" s="260" t="n">
        <v>0.97</v>
      </c>
      <c r="K74" s="260" t="n">
        <v>-2.21</v>
      </c>
      <c r="L74" s="259" t="inlineStr">
        <is>
          <t>EQ-THEMATIC</t>
        </is>
      </c>
    </row>
    <row r="75">
      <c r="A75" s="259" t="inlineStr">
        <is>
          <t>Axis Retirement Fund - Dynamic Plan - Regular Plan</t>
        </is>
      </c>
      <c r="B75" s="260" t="n">
        <v>8.17</v>
      </c>
      <c r="C75" s="260" t="n">
        <v>2.43</v>
      </c>
      <c r="D75" s="260" t="n">
        <v>17.04</v>
      </c>
      <c r="E75" s="260" t="n">
        <v>15.72</v>
      </c>
      <c r="F75" s="260" t="n">
        <v>2.43</v>
      </c>
      <c r="G75" s="260" t="n">
        <v>12.64</v>
      </c>
      <c r="H75" s="260" t="n">
        <v>0.75</v>
      </c>
      <c r="I75" s="260" t="n">
        <v>1.08</v>
      </c>
      <c r="J75" s="260" t="n">
        <v>1.15</v>
      </c>
      <c r="K75" s="260" t="n">
        <v>0.41</v>
      </c>
      <c r="L75" s="259" t="inlineStr">
        <is>
          <t>HY-DAA</t>
        </is>
      </c>
    </row>
    <row r="76">
      <c r="A76" s="259" t="inlineStr">
        <is>
          <t>Axis Small Cap Fund - Regular Plan</t>
        </is>
      </c>
      <c r="B76" s="260" t="n">
        <v>8.75</v>
      </c>
      <c r="C76" s="260" t="n">
        <v>1.6</v>
      </c>
      <c r="D76" s="260" t="n">
        <v>22.99</v>
      </c>
      <c r="E76" s="260" t="n">
        <v>31.14</v>
      </c>
      <c r="F76" s="260" t="n">
        <v>1.6</v>
      </c>
      <c r="G76" s="260" t="n">
        <v>14.41</v>
      </c>
      <c r="H76" s="260" t="n">
        <v>1.01</v>
      </c>
      <c r="I76" s="260" t="n">
        <v>1.36</v>
      </c>
      <c r="J76" s="260" t="n">
        <v>0.71</v>
      </c>
      <c r="K76" s="260" t="n">
        <v>1.64</v>
      </c>
      <c r="L76" s="259" t="inlineStr">
        <is>
          <t>EQ-SC</t>
        </is>
      </c>
    </row>
    <row r="77">
      <c r="A77" s="259" t="inlineStr">
        <is>
          <t>Bajaj Finserv Balanced Advantage Fund - Regular Plan</t>
        </is>
      </c>
      <c r="B77" s="260" t="n">
        <v>3.66</v>
      </c>
      <c r="C77" s="260" t="n">
        <v>2.05</v>
      </c>
      <c r="D77" s="259" t="inlineStr">
        <is>
          <t>--</t>
        </is>
      </c>
      <c r="E77" s="259" t="inlineStr">
        <is>
          <t>--</t>
        </is>
      </c>
      <c r="F77" s="260" t="n">
        <v>2.05</v>
      </c>
      <c r="G77" s="259" t="inlineStr">
        <is>
          <t>--</t>
        </is>
      </c>
      <c r="H77" s="259" t="inlineStr">
        <is>
          <t>--</t>
        </is>
      </c>
      <c r="I77" s="259" t="inlineStr">
        <is>
          <t>--</t>
        </is>
      </c>
      <c r="J77" s="259" t="inlineStr">
        <is>
          <t>--</t>
        </is>
      </c>
      <c r="K77" s="259" t="inlineStr">
        <is>
          <t>--</t>
        </is>
      </c>
      <c r="L77" s="259" t="inlineStr">
        <is>
          <t>HY-DAA</t>
        </is>
      </c>
    </row>
    <row r="78" hidden="1">
      <c r="A78" s="259" t="inlineStr">
        <is>
          <t>Bajaj Finserv Consumption Fund - Regular Plan</t>
        </is>
      </c>
      <c r="B78" s="259" t="inlineStr">
        <is>
          <t>--</t>
        </is>
      </c>
      <c r="C78" s="260" t="n">
        <v>2.33</v>
      </c>
      <c r="D78" s="259" t="inlineStr">
        <is>
          <t>--</t>
        </is>
      </c>
      <c r="E78" s="259" t="inlineStr">
        <is>
          <t>--</t>
        </is>
      </c>
      <c r="F78" s="260" t="n">
        <v>2.33</v>
      </c>
      <c r="G78" s="259" t="inlineStr">
        <is>
          <t>--</t>
        </is>
      </c>
      <c r="H78" s="259" t="inlineStr">
        <is>
          <t>--</t>
        </is>
      </c>
      <c r="I78" s="259" t="inlineStr">
        <is>
          <t>--</t>
        </is>
      </c>
      <c r="J78" s="259" t="inlineStr">
        <is>
          <t>--</t>
        </is>
      </c>
      <c r="K78" s="259" t="inlineStr">
        <is>
          <t>--</t>
        </is>
      </c>
      <c r="L78" s="259" t="inlineStr">
        <is>
          <t>EQ-Consumption</t>
        </is>
      </c>
    </row>
    <row r="79">
      <c r="A79" s="259" t="inlineStr">
        <is>
          <t>Bajaj Finserv Flexi Cap Fund - Regular Plan</t>
        </is>
      </c>
      <c r="B79" s="260" t="n">
        <v>9.02</v>
      </c>
      <c r="C79" s="260" t="n">
        <v>1.83</v>
      </c>
      <c r="D79" s="259" t="inlineStr">
        <is>
          <t>--</t>
        </is>
      </c>
      <c r="E79" s="259" t="inlineStr">
        <is>
          <t>--</t>
        </is>
      </c>
      <c r="F79" s="260" t="n">
        <v>1.83</v>
      </c>
      <c r="G79" s="259" t="inlineStr">
        <is>
          <t>--</t>
        </is>
      </c>
      <c r="H79" s="259" t="inlineStr">
        <is>
          <t>--</t>
        </is>
      </c>
      <c r="I79" s="259" t="inlineStr">
        <is>
          <t>--</t>
        </is>
      </c>
      <c r="J79" s="259" t="inlineStr">
        <is>
          <t>--</t>
        </is>
      </c>
      <c r="K79" s="259" t="inlineStr">
        <is>
          <t>--</t>
        </is>
      </c>
      <c r="L79" s="259" t="inlineStr">
        <is>
          <t>EQ-FLX</t>
        </is>
      </c>
    </row>
    <row r="80">
      <c r="A80" s="259" t="inlineStr">
        <is>
          <t>Bajaj Finserv Large and Mid Cap Fund - Regular Plan</t>
        </is>
      </c>
      <c r="B80" s="260" t="n">
        <v>7.02</v>
      </c>
      <c r="C80" s="260" t="n">
        <v>2.02</v>
      </c>
      <c r="D80" s="259" t="inlineStr">
        <is>
          <t>--</t>
        </is>
      </c>
      <c r="E80" s="259" t="inlineStr">
        <is>
          <t>--</t>
        </is>
      </c>
      <c r="F80" s="260" t="n">
        <v>2.02</v>
      </c>
      <c r="G80" s="259" t="inlineStr">
        <is>
          <t>--</t>
        </is>
      </c>
      <c r="H80" s="259" t="inlineStr">
        <is>
          <t>--</t>
        </is>
      </c>
      <c r="I80" s="259" t="inlineStr">
        <is>
          <t>--</t>
        </is>
      </c>
      <c r="J80" s="259" t="inlineStr">
        <is>
          <t>--</t>
        </is>
      </c>
      <c r="K80" s="259" t="inlineStr">
        <is>
          <t>--</t>
        </is>
      </c>
      <c r="L80" s="259" t="inlineStr">
        <is>
          <t>EQ-L&amp;MC</t>
        </is>
      </c>
    </row>
    <row r="81">
      <c r="A81" s="259" t="inlineStr">
        <is>
          <t>Bajaj Finserv Large Cap Fund - Regular Plan</t>
        </is>
      </c>
      <c r="B81" s="259" t="inlineStr">
        <is>
          <t>--</t>
        </is>
      </c>
      <c r="C81" s="260" t="n">
        <v>2.07</v>
      </c>
      <c r="D81" s="259" t="inlineStr">
        <is>
          <t>--</t>
        </is>
      </c>
      <c r="E81" s="259" t="inlineStr">
        <is>
          <t>--</t>
        </is>
      </c>
      <c r="F81" s="260" t="n">
        <v>2.07</v>
      </c>
      <c r="G81" s="259" t="inlineStr">
        <is>
          <t>--</t>
        </is>
      </c>
      <c r="H81" s="259" t="inlineStr">
        <is>
          <t>--</t>
        </is>
      </c>
      <c r="I81" s="259" t="inlineStr">
        <is>
          <t>--</t>
        </is>
      </c>
      <c r="J81" s="259" t="inlineStr">
        <is>
          <t>--</t>
        </is>
      </c>
      <c r="K81" s="259" t="inlineStr">
        <is>
          <t>--</t>
        </is>
      </c>
      <c r="L81" s="259" t="inlineStr">
        <is>
          <t>EQ-LC</t>
        </is>
      </c>
    </row>
    <row r="82">
      <c r="A82" s="259" t="inlineStr">
        <is>
          <t>Bajaj Finserv Multi Asset Allocation Fund - Regular Plan</t>
        </is>
      </c>
      <c r="B82" s="260" t="n">
        <v>7.06</v>
      </c>
      <c r="C82" s="260" t="n">
        <v>2.03</v>
      </c>
      <c r="D82" s="259" t="inlineStr">
        <is>
          <t>--</t>
        </is>
      </c>
      <c r="E82" s="259" t="inlineStr">
        <is>
          <t>--</t>
        </is>
      </c>
      <c r="F82" s="260" t="n">
        <v>2.03</v>
      </c>
      <c r="G82" s="259" t="inlineStr">
        <is>
          <t>--</t>
        </is>
      </c>
      <c r="H82" s="259" t="inlineStr">
        <is>
          <t>--</t>
        </is>
      </c>
      <c r="I82" s="259" t="inlineStr">
        <is>
          <t>--</t>
        </is>
      </c>
      <c r="J82" s="259" t="inlineStr">
        <is>
          <t>--</t>
        </is>
      </c>
      <c r="K82" s="259" t="inlineStr">
        <is>
          <t>--</t>
        </is>
      </c>
      <c r="L82" s="259" t="inlineStr">
        <is>
          <t>HY-MAA</t>
        </is>
      </c>
    </row>
    <row r="83">
      <c r="A83" s="259" t="inlineStr">
        <is>
          <t>Bajaj Finserv Multi Cap Fund - Regular Plan</t>
        </is>
      </c>
      <c r="B83" s="259" t="inlineStr">
        <is>
          <t>--</t>
        </is>
      </c>
      <c r="C83" s="260" t="n">
        <v>2.3</v>
      </c>
      <c r="D83" s="259" t="inlineStr">
        <is>
          <t>--</t>
        </is>
      </c>
      <c r="E83" s="259" t="inlineStr">
        <is>
          <t>--</t>
        </is>
      </c>
      <c r="F83" s="260" t="n">
        <v>2.3</v>
      </c>
      <c r="G83" s="259" t="inlineStr">
        <is>
          <t>--</t>
        </is>
      </c>
      <c r="H83" s="259" t="inlineStr">
        <is>
          <t>--</t>
        </is>
      </c>
      <c r="I83" s="259" t="inlineStr">
        <is>
          <t>--</t>
        </is>
      </c>
      <c r="J83" s="259" t="inlineStr">
        <is>
          <t>--</t>
        </is>
      </c>
      <c r="K83" s="259" t="inlineStr">
        <is>
          <t>--</t>
        </is>
      </c>
      <c r="L83" s="259" t="inlineStr">
        <is>
          <t>EQ-MLC</t>
        </is>
      </c>
    </row>
    <row r="84">
      <c r="A84" s="259" t="inlineStr">
        <is>
          <t>Bajaj Finserv Nifty 50 ETF</t>
        </is>
      </c>
      <c r="B84" s="260" t="n">
        <v>7.79</v>
      </c>
      <c r="C84" s="260" t="n">
        <v>0.07000000000000001</v>
      </c>
      <c r="D84" s="259" t="inlineStr">
        <is>
          <t>--</t>
        </is>
      </c>
      <c r="E84" s="259" t="inlineStr">
        <is>
          <t>--</t>
        </is>
      </c>
      <c r="F84" s="260" t="n">
        <v>0.07000000000000001</v>
      </c>
      <c r="G84" s="259" t="inlineStr">
        <is>
          <t>--</t>
        </is>
      </c>
      <c r="H84" s="259" t="inlineStr">
        <is>
          <t>--</t>
        </is>
      </c>
      <c r="I84" s="259" t="inlineStr">
        <is>
          <t>--</t>
        </is>
      </c>
      <c r="J84" s="259" t="inlineStr">
        <is>
          <t>--</t>
        </is>
      </c>
      <c r="K84" s="259" t="inlineStr">
        <is>
          <t>--</t>
        </is>
      </c>
      <c r="L84" s="259" t="inlineStr">
        <is>
          <t>EQ-LC</t>
        </is>
      </c>
    </row>
    <row r="85">
      <c r="A85" s="259" t="inlineStr">
        <is>
          <t>Bajaj Finserv Nifty 50 Index Fund - Regular Plan</t>
        </is>
      </c>
      <c r="B85" s="259" t="inlineStr">
        <is>
          <t>--</t>
        </is>
      </c>
      <c r="C85" s="260" t="n">
        <v>0.9</v>
      </c>
      <c r="D85" s="259" t="inlineStr">
        <is>
          <t>--</t>
        </is>
      </c>
      <c r="E85" s="259" t="inlineStr">
        <is>
          <t>--</t>
        </is>
      </c>
      <c r="F85" s="260" t="n">
        <v>0.9</v>
      </c>
      <c r="G85" s="259" t="inlineStr">
        <is>
          <t>--</t>
        </is>
      </c>
      <c r="H85" s="259" t="inlineStr">
        <is>
          <t>--</t>
        </is>
      </c>
      <c r="I85" s="259" t="inlineStr">
        <is>
          <t>--</t>
        </is>
      </c>
      <c r="J85" s="259" t="inlineStr">
        <is>
          <t>--</t>
        </is>
      </c>
      <c r="K85" s="259" t="inlineStr">
        <is>
          <t>--</t>
        </is>
      </c>
      <c r="L85" s="259" t="inlineStr">
        <is>
          <t>EQ-LC</t>
        </is>
      </c>
    </row>
    <row r="86">
      <c r="A86" s="259" t="inlineStr">
        <is>
          <t>Bajaj Finserv Nifty Next 50 Index Fund - Regular Plan</t>
        </is>
      </c>
      <c r="B86" s="259" t="inlineStr">
        <is>
          <t>--</t>
        </is>
      </c>
      <c r="C86" s="260" t="n">
        <v>0.95</v>
      </c>
      <c r="D86" s="259" t="inlineStr">
        <is>
          <t>--</t>
        </is>
      </c>
      <c r="E86" s="259" t="inlineStr">
        <is>
          <t>--</t>
        </is>
      </c>
      <c r="F86" s="260" t="n">
        <v>0.95</v>
      </c>
      <c r="G86" s="259" t="inlineStr">
        <is>
          <t>--</t>
        </is>
      </c>
      <c r="H86" s="259" t="inlineStr">
        <is>
          <t>--</t>
        </is>
      </c>
      <c r="I86" s="259" t="inlineStr">
        <is>
          <t>--</t>
        </is>
      </c>
      <c r="J86" s="259" t="inlineStr">
        <is>
          <t>--</t>
        </is>
      </c>
      <c r="K86" s="259" t="inlineStr">
        <is>
          <t>--</t>
        </is>
      </c>
      <c r="L86" s="259" t="inlineStr">
        <is>
          <t>EQ-LC</t>
        </is>
      </c>
    </row>
    <row r="87">
      <c r="A87" s="259" t="inlineStr">
        <is>
          <t>Bandhan Balanced Advantage Fund - Regular Plan</t>
        </is>
      </c>
      <c r="B87" s="260" t="n">
        <v>7.09</v>
      </c>
      <c r="C87" s="260" t="n">
        <v>2.02</v>
      </c>
      <c r="D87" s="260" t="n">
        <v>12.7</v>
      </c>
      <c r="E87" s="260" t="n">
        <v>12.28</v>
      </c>
      <c r="F87" s="260" t="n">
        <v>2.02</v>
      </c>
      <c r="G87" s="260" t="n">
        <v>7.5</v>
      </c>
      <c r="H87" s="260" t="n">
        <v>0.6899999999999999</v>
      </c>
      <c r="I87" s="260" t="n">
        <v>0.99</v>
      </c>
      <c r="J87" s="260" t="n">
        <v>0.6899999999999999</v>
      </c>
      <c r="K87" s="260" t="n">
        <v>-0.25</v>
      </c>
      <c r="L87" s="259" t="inlineStr">
        <is>
          <t>HY-DAA</t>
        </is>
      </c>
    </row>
    <row r="88">
      <c r="A88" s="259" t="inlineStr">
        <is>
          <t>Bandhan BSE Sensex ETF</t>
        </is>
      </c>
      <c r="B88" s="260" t="n">
        <v>7.39</v>
      </c>
      <c r="C88" s="260" t="n">
        <v>0.38</v>
      </c>
      <c r="D88" s="260" t="n">
        <v>15.48</v>
      </c>
      <c r="E88" s="260" t="n">
        <v>20.13</v>
      </c>
      <c r="F88" s="260" t="n">
        <v>0.38</v>
      </c>
      <c r="G88" s="260" t="n">
        <v>12.69</v>
      </c>
      <c r="H88" s="260" t="n">
        <v>0.64</v>
      </c>
      <c r="I88" s="260" t="n">
        <v>1.06</v>
      </c>
      <c r="J88" s="260" t="n">
        <v>0.91</v>
      </c>
      <c r="K88" s="260" t="n">
        <v>-1.29</v>
      </c>
      <c r="L88" s="259" t="inlineStr">
        <is>
          <t>EQ-LC</t>
        </is>
      </c>
    </row>
    <row r="89" hidden="1">
      <c r="A89" s="259" t="inlineStr">
        <is>
          <t>Bandhan Business Cycle Fund - Regular Plan</t>
        </is>
      </c>
      <c r="B89" s="259" t="inlineStr">
        <is>
          <t>--</t>
        </is>
      </c>
      <c r="C89" s="260" t="n">
        <v>2.05</v>
      </c>
      <c r="D89" s="259" t="inlineStr">
        <is>
          <t>--</t>
        </is>
      </c>
      <c r="E89" s="259" t="inlineStr">
        <is>
          <t>--</t>
        </is>
      </c>
      <c r="F89" s="260" t="n">
        <v>2.05</v>
      </c>
      <c r="G89" s="259" t="inlineStr">
        <is>
          <t>--</t>
        </is>
      </c>
      <c r="H89" s="259" t="inlineStr">
        <is>
          <t>--</t>
        </is>
      </c>
      <c r="I89" s="259" t="inlineStr">
        <is>
          <t>--</t>
        </is>
      </c>
      <c r="J89" s="259" t="inlineStr">
        <is>
          <t>--</t>
        </is>
      </c>
      <c r="K89" s="259" t="inlineStr">
        <is>
          <t>--</t>
        </is>
      </c>
      <c r="L89" s="259" t="inlineStr">
        <is>
          <t>EQ-THEMATIC</t>
        </is>
      </c>
    </row>
    <row r="90">
      <c r="A90" s="259" t="inlineStr">
        <is>
          <t>Bandhan Flexi Cap Fund - Regular Plan</t>
        </is>
      </c>
      <c r="B90" s="260" t="n">
        <v>7.21</v>
      </c>
      <c r="C90" s="260" t="n">
        <v>1.86</v>
      </c>
      <c r="D90" s="260" t="n">
        <v>19.28</v>
      </c>
      <c r="E90" s="260" t="n">
        <v>21.3</v>
      </c>
      <c r="F90" s="260" t="n">
        <v>1.86</v>
      </c>
      <c r="G90" s="260" t="n">
        <v>13.24</v>
      </c>
      <c r="H90" s="260" t="n">
        <v>0.82</v>
      </c>
      <c r="I90" s="260" t="n">
        <v>1.33</v>
      </c>
      <c r="J90" s="260" t="n">
        <v>0.88</v>
      </c>
      <c r="K90" s="260" t="n">
        <v>0.73</v>
      </c>
      <c r="L90" s="259" t="inlineStr">
        <is>
          <t>EQ-FLX</t>
        </is>
      </c>
    </row>
    <row r="91">
      <c r="A91" s="259" t="inlineStr">
        <is>
          <t>Bandhan Focused Fund - Regular Plan</t>
        </is>
      </c>
      <c r="B91" s="260" t="n">
        <v>13.29</v>
      </c>
      <c r="C91" s="260" t="n">
        <v>2.09</v>
      </c>
      <c r="D91" s="260" t="n">
        <v>21.38</v>
      </c>
      <c r="E91" s="260" t="n">
        <v>21.44</v>
      </c>
      <c r="F91" s="260" t="n">
        <v>2.09</v>
      </c>
      <c r="G91" s="260" t="n">
        <v>14.89</v>
      </c>
      <c r="H91" s="260" t="n">
        <v>0.87</v>
      </c>
      <c r="I91" s="260" t="n">
        <v>1.27</v>
      </c>
      <c r="J91" s="260" t="n">
        <v>0.9</v>
      </c>
      <c r="K91" s="260" t="n">
        <v>2.48</v>
      </c>
      <c r="L91" s="259" t="inlineStr">
        <is>
          <t>EQ-FLX</t>
        </is>
      </c>
    </row>
    <row r="92" hidden="1">
      <c r="A92" s="259" t="inlineStr">
        <is>
          <t>Bandhan Innovation Fund - Regular Plan</t>
        </is>
      </c>
      <c r="B92" s="260" t="n">
        <v>17.96</v>
      </c>
      <c r="C92" s="260" t="n">
        <v>2.08</v>
      </c>
      <c r="D92" s="259" t="inlineStr">
        <is>
          <t>--</t>
        </is>
      </c>
      <c r="E92" s="259" t="inlineStr">
        <is>
          <t>--</t>
        </is>
      </c>
      <c r="F92" s="260" t="n">
        <v>2.08</v>
      </c>
      <c r="G92" s="259" t="inlineStr">
        <is>
          <t>--</t>
        </is>
      </c>
      <c r="H92" s="259" t="inlineStr">
        <is>
          <t>--</t>
        </is>
      </c>
      <c r="I92" s="259" t="inlineStr">
        <is>
          <t>--</t>
        </is>
      </c>
      <c r="J92" s="259" t="inlineStr">
        <is>
          <t>--</t>
        </is>
      </c>
      <c r="K92" s="259" t="inlineStr">
        <is>
          <t>--</t>
        </is>
      </c>
      <c r="L92" s="259" t="inlineStr">
        <is>
          <t>EQ-THEMATIC</t>
        </is>
      </c>
    </row>
    <row r="93">
      <c r="A93" s="259" t="inlineStr">
        <is>
          <t>Bandhan Large Cap Fund - Regular Plan</t>
        </is>
      </c>
      <c r="B93" s="260" t="n">
        <v>6.92</v>
      </c>
      <c r="C93" s="260" t="n">
        <v>2.04</v>
      </c>
      <c r="D93" s="260" t="n">
        <v>19.15</v>
      </c>
      <c r="E93" s="260" t="n">
        <v>20.77</v>
      </c>
      <c r="F93" s="260" t="n">
        <v>2.04</v>
      </c>
      <c r="G93" s="260" t="n">
        <v>14.13</v>
      </c>
      <c r="H93" s="260" t="n">
        <v>0.79</v>
      </c>
      <c r="I93" s="260" t="n">
        <v>1.32</v>
      </c>
      <c r="J93" s="260" t="n">
        <v>1</v>
      </c>
      <c r="K93" s="260" t="n">
        <v>0.9399999999999999</v>
      </c>
      <c r="L93" s="259" t="inlineStr">
        <is>
          <t>EQ-LC</t>
        </is>
      </c>
    </row>
    <row r="94">
      <c r="A94" s="259" t="inlineStr">
        <is>
          <t>Bandhan Large &amp; Mid Cap Fund - Regular Plan</t>
        </is>
      </c>
      <c r="B94" s="260" t="n">
        <v>9.01</v>
      </c>
      <c r="C94" s="260" t="n">
        <v>1.74</v>
      </c>
      <c r="D94" s="260" t="n">
        <v>27.88</v>
      </c>
      <c r="E94" s="260" t="n">
        <v>28.9</v>
      </c>
      <c r="F94" s="260" t="n">
        <v>1.74</v>
      </c>
      <c r="G94" s="260" t="n">
        <v>14.42</v>
      </c>
      <c r="H94" s="260" t="n">
        <v>1.26</v>
      </c>
      <c r="I94" s="260" t="n">
        <v>1.82</v>
      </c>
      <c r="J94" s="260" t="n">
        <v>0.95</v>
      </c>
      <c r="K94" s="260" t="n">
        <v>7.63</v>
      </c>
      <c r="L94" s="259" t="inlineStr">
        <is>
          <t>EQ-L&amp;MC</t>
        </is>
      </c>
    </row>
    <row r="95">
      <c r="A95" s="259" t="inlineStr">
        <is>
          <t>Bandhan Midcap Fund - Regular Plan</t>
        </is>
      </c>
      <c r="B95" s="260" t="n">
        <v>5.35</v>
      </c>
      <c r="C95" s="260" t="n">
        <v>2.07</v>
      </c>
      <c r="D95" s="259" t="inlineStr">
        <is>
          <t>--</t>
        </is>
      </c>
      <c r="E95" s="259" t="inlineStr">
        <is>
          <t>--</t>
        </is>
      </c>
      <c r="F95" s="260" t="n">
        <v>2.07</v>
      </c>
      <c r="G95" s="259" t="inlineStr">
        <is>
          <t>--</t>
        </is>
      </c>
      <c r="H95" s="259" t="inlineStr">
        <is>
          <t>--</t>
        </is>
      </c>
      <c r="I95" s="259" t="inlineStr">
        <is>
          <t>--</t>
        </is>
      </c>
      <c r="J95" s="259" t="inlineStr">
        <is>
          <t>--</t>
        </is>
      </c>
      <c r="K95" s="259" t="inlineStr">
        <is>
          <t>--</t>
        </is>
      </c>
      <c r="L95" s="259" t="inlineStr">
        <is>
          <t>EQ-MC</t>
        </is>
      </c>
    </row>
    <row r="96">
      <c r="A96" s="259" t="inlineStr">
        <is>
          <t>Bandhan Multi Asset Allocation Fund - Regular Plan</t>
        </is>
      </c>
      <c r="B96" s="260" t="n">
        <v>9.76</v>
      </c>
      <c r="C96" s="260" t="n">
        <v>1.98</v>
      </c>
      <c r="D96" s="259" t="inlineStr">
        <is>
          <t>--</t>
        </is>
      </c>
      <c r="E96" s="259" t="inlineStr">
        <is>
          <t>--</t>
        </is>
      </c>
      <c r="F96" s="260" t="n">
        <v>1.98</v>
      </c>
      <c r="G96" s="259" t="inlineStr">
        <is>
          <t>--</t>
        </is>
      </c>
      <c r="H96" s="259" t="inlineStr">
        <is>
          <t>--</t>
        </is>
      </c>
      <c r="I96" s="259" t="inlineStr">
        <is>
          <t>--</t>
        </is>
      </c>
      <c r="J96" s="259" t="inlineStr">
        <is>
          <t>--</t>
        </is>
      </c>
      <c r="K96" s="259" t="inlineStr">
        <is>
          <t>--</t>
        </is>
      </c>
      <c r="L96" s="259" t="inlineStr">
        <is>
          <t>HY-MAA</t>
        </is>
      </c>
    </row>
    <row r="97">
      <c r="A97" s="259" t="inlineStr">
        <is>
          <t>Bandhan Multi Cap Fund - Regular Plan</t>
        </is>
      </c>
      <c r="B97" s="260" t="n">
        <v>5.03</v>
      </c>
      <c r="C97" s="260" t="n">
        <v>1.95</v>
      </c>
      <c r="D97" s="260" t="n">
        <v>22.08</v>
      </c>
      <c r="E97" s="259" t="inlineStr">
        <is>
          <t>--</t>
        </is>
      </c>
      <c r="F97" s="260" t="n">
        <v>1.95</v>
      </c>
      <c r="G97" s="260" t="n">
        <v>13.66</v>
      </c>
      <c r="H97" s="260" t="n">
        <v>0.99</v>
      </c>
      <c r="I97" s="260" t="n">
        <v>1.49</v>
      </c>
      <c r="J97" s="260" t="n">
        <v>0.86</v>
      </c>
      <c r="K97" s="260" t="n">
        <v>1.05</v>
      </c>
      <c r="L97" s="259" t="inlineStr">
        <is>
          <t>EQ-MLC</t>
        </is>
      </c>
    </row>
    <row r="98">
      <c r="A98" s="259" t="inlineStr">
        <is>
          <t>Bandhan Nifty 100 Index Fund - Regular Plan</t>
        </is>
      </c>
      <c r="B98" s="260" t="n">
        <v>5.12</v>
      </c>
      <c r="C98" s="260" t="n">
        <v>0.61</v>
      </c>
      <c r="D98" s="260" t="n">
        <v>16.35</v>
      </c>
      <c r="E98" s="259" t="inlineStr">
        <is>
          <t>--</t>
        </is>
      </c>
      <c r="F98" s="260" t="n">
        <v>0.61</v>
      </c>
      <c r="G98" s="260" t="n">
        <v>13.96</v>
      </c>
      <c r="H98" s="260" t="n">
        <v>0.63</v>
      </c>
      <c r="I98" s="260" t="n">
        <v>1.03</v>
      </c>
      <c r="J98" s="260" t="n">
        <v>1.01</v>
      </c>
      <c r="K98" s="260" t="n">
        <v>-1.55</v>
      </c>
      <c r="L98" s="259" t="inlineStr">
        <is>
          <t>EQ-LC</t>
        </is>
      </c>
    </row>
    <row r="99">
      <c r="A99" s="259" t="inlineStr">
        <is>
          <t>Bandhan Nifty100 Low Volatility 30 Index Fund - Regular Plan</t>
        </is>
      </c>
      <c r="B99" s="260" t="n">
        <v>4.78</v>
      </c>
      <c r="C99" s="260" t="n">
        <v>1.04</v>
      </c>
      <c r="D99" s="259" t="inlineStr">
        <is>
          <t>--</t>
        </is>
      </c>
      <c r="E99" s="259" t="inlineStr">
        <is>
          <t>--</t>
        </is>
      </c>
      <c r="F99" s="260" t="n">
        <v>1.04</v>
      </c>
      <c r="G99" s="259" t="inlineStr">
        <is>
          <t>--</t>
        </is>
      </c>
      <c r="H99" s="259" t="inlineStr">
        <is>
          <t>--</t>
        </is>
      </c>
      <c r="I99" s="259" t="inlineStr">
        <is>
          <t>--</t>
        </is>
      </c>
      <c r="J99" s="259" t="inlineStr">
        <is>
          <t>--</t>
        </is>
      </c>
      <c r="K99" s="259" t="inlineStr">
        <is>
          <t>--</t>
        </is>
      </c>
      <c r="L99" s="259" t="inlineStr">
        <is>
          <t>EQ-LC</t>
        </is>
      </c>
    </row>
    <row r="100">
      <c r="A100" s="259" t="inlineStr">
        <is>
          <t>Bandhan Nifty200 Momentum 30 Index Fund - Regular Plan</t>
        </is>
      </c>
      <c r="B100" s="260" t="n">
        <v>-12.71</v>
      </c>
      <c r="C100" s="260" t="n">
        <v>1.07</v>
      </c>
      <c r="D100" s="259" t="inlineStr">
        <is>
          <t>--</t>
        </is>
      </c>
      <c r="E100" s="259" t="inlineStr">
        <is>
          <t>--</t>
        </is>
      </c>
      <c r="F100" s="260" t="n">
        <v>1.07</v>
      </c>
      <c r="G100" s="259" t="inlineStr">
        <is>
          <t>--</t>
        </is>
      </c>
      <c r="H100" s="259" t="inlineStr">
        <is>
          <t>--</t>
        </is>
      </c>
      <c r="I100" s="259" t="inlineStr">
        <is>
          <t>--</t>
        </is>
      </c>
      <c r="J100" s="259" t="inlineStr">
        <is>
          <t>--</t>
        </is>
      </c>
      <c r="K100" s="259" t="inlineStr">
        <is>
          <t>--</t>
        </is>
      </c>
      <c r="L100" s="259" t="inlineStr">
        <is>
          <t>EQ-L&amp;MC</t>
        </is>
      </c>
    </row>
    <row r="101">
      <c r="A101" s="259" t="inlineStr">
        <is>
          <t>Bandhan Nifty 200 Quality 30 Index Fund - Regular Plan</t>
        </is>
      </c>
      <c r="B101" s="259" t="inlineStr">
        <is>
          <t>--</t>
        </is>
      </c>
      <c r="C101" s="260" t="n">
        <v>0.98</v>
      </c>
      <c r="D101" s="259" t="inlineStr">
        <is>
          <t>--</t>
        </is>
      </c>
      <c r="E101" s="259" t="inlineStr">
        <is>
          <t>--</t>
        </is>
      </c>
      <c r="F101" s="260" t="n">
        <v>0.98</v>
      </c>
      <c r="G101" s="259" t="inlineStr">
        <is>
          <t>--</t>
        </is>
      </c>
      <c r="H101" s="259" t="inlineStr">
        <is>
          <t>--</t>
        </is>
      </c>
      <c r="I101" s="259" t="inlineStr">
        <is>
          <t>--</t>
        </is>
      </c>
      <c r="J101" s="259" t="inlineStr">
        <is>
          <t>--</t>
        </is>
      </c>
      <c r="K101" s="259" t="inlineStr">
        <is>
          <t>--</t>
        </is>
      </c>
      <c r="L101" s="259" t="inlineStr">
        <is>
          <t>EQ-L&amp;MC</t>
        </is>
      </c>
    </row>
    <row r="102">
      <c r="A102" s="259" t="inlineStr">
        <is>
          <t>Bandhan Nifty 500 Momentum 50 Index Fund - Regular Plan</t>
        </is>
      </c>
      <c r="B102" s="259" t="inlineStr">
        <is>
          <t>--</t>
        </is>
      </c>
      <c r="C102" s="260" t="n">
        <v>1.01</v>
      </c>
      <c r="D102" s="259" t="inlineStr">
        <is>
          <t>--</t>
        </is>
      </c>
      <c r="E102" s="259" t="inlineStr">
        <is>
          <t>--</t>
        </is>
      </c>
      <c r="F102" s="260" t="n">
        <v>1.01</v>
      </c>
      <c r="G102" s="259" t="inlineStr">
        <is>
          <t>--</t>
        </is>
      </c>
      <c r="H102" s="259" t="inlineStr">
        <is>
          <t>--</t>
        </is>
      </c>
      <c r="I102" s="259" t="inlineStr">
        <is>
          <t>--</t>
        </is>
      </c>
      <c r="J102" s="259" t="inlineStr">
        <is>
          <t>--</t>
        </is>
      </c>
      <c r="K102" s="259" t="inlineStr">
        <is>
          <t>--</t>
        </is>
      </c>
      <c r="L102" s="259" t="inlineStr">
        <is>
          <t>EQ-FLX</t>
        </is>
      </c>
    </row>
    <row r="103">
      <c r="A103" s="259" t="inlineStr">
        <is>
          <t>Bandhan Nifty 50 ETF</t>
        </is>
      </c>
      <c r="B103" s="260" t="n">
        <v>7.77</v>
      </c>
      <c r="C103" s="260" t="n">
        <v>0.09</v>
      </c>
      <c r="D103" s="260" t="n">
        <v>16.56</v>
      </c>
      <c r="E103" s="260" t="n">
        <v>21.15</v>
      </c>
      <c r="F103" s="260" t="n">
        <v>0.09</v>
      </c>
      <c r="G103" s="260" t="n">
        <v>13.12</v>
      </c>
      <c r="H103" s="260" t="n">
        <v>0.6899999999999999</v>
      </c>
      <c r="I103" s="260" t="n">
        <v>1.17</v>
      </c>
      <c r="J103" s="260" t="n">
        <v>0.95</v>
      </c>
      <c r="K103" s="260" t="n">
        <v>-0.74</v>
      </c>
      <c r="L103" s="259" t="inlineStr">
        <is>
          <t>EQ-LC</t>
        </is>
      </c>
    </row>
    <row r="104">
      <c r="A104" s="259" t="inlineStr">
        <is>
          <t>Bandhan Nifty 50 Index Fund - Regular Plan</t>
        </is>
      </c>
      <c r="B104" s="260" t="n">
        <v>7.07</v>
      </c>
      <c r="C104" s="260" t="n">
        <v>0.6</v>
      </c>
      <c r="D104" s="260" t="n">
        <v>15.88</v>
      </c>
      <c r="E104" s="260" t="n">
        <v>20.68</v>
      </c>
      <c r="F104" s="260" t="n">
        <v>0.6</v>
      </c>
      <c r="G104" s="260" t="n">
        <v>13.13</v>
      </c>
      <c r="H104" s="260" t="n">
        <v>0.64</v>
      </c>
      <c r="I104" s="260" t="n">
        <v>1.1</v>
      </c>
      <c r="J104" s="260" t="n">
        <v>0.95</v>
      </c>
      <c r="K104" s="260" t="n">
        <v>-1.34</v>
      </c>
      <c r="L104" s="259" t="inlineStr">
        <is>
          <t>EQ-LC</t>
        </is>
      </c>
    </row>
    <row r="105">
      <c r="A105" s="259" t="inlineStr">
        <is>
          <t>Bandhan Nifty Alpha 50 Index Fund - Regular Plan</t>
        </is>
      </c>
      <c r="B105" s="260" t="n">
        <v>-7.18</v>
      </c>
      <c r="C105" s="260" t="n">
        <v>1.02</v>
      </c>
      <c r="D105" s="259" t="inlineStr">
        <is>
          <t>--</t>
        </is>
      </c>
      <c r="E105" s="259" t="inlineStr">
        <is>
          <t>--</t>
        </is>
      </c>
      <c r="F105" s="260" t="n">
        <v>1.02</v>
      </c>
      <c r="G105" s="259" t="inlineStr">
        <is>
          <t>--</t>
        </is>
      </c>
      <c r="H105" s="259" t="inlineStr">
        <is>
          <t>--</t>
        </is>
      </c>
      <c r="I105" s="259" t="inlineStr">
        <is>
          <t>--</t>
        </is>
      </c>
      <c r="J105" s="259" t="inlineStr">
        <is>
          <t>--</t>
        </is>
      </c>
      <c r="K105" s="259" t="inlineStr">
        <is>
          <t>--</t>
        </is>
      </c>
      <c r="L105" s="259" t="inlineStr">
        <is>
          <t>EQ-FLX</t>
        </is>
      </c>
    </row>
    <row r="106">
      <c r="A106" s="259" t="inlineStr">
        <is>
          <t>Bandhan Nifty Alpha Low Volatility 30 Index Fund - Regular Plan</t>
        </is>
      </c>
      <c r="B106" s="259" t="inlineStr">
        <is>
          <t>--</t>
        </is>
      </c>
      <c r="C106" s="260" t="n">
        <v>1</v>
      </c>
      <c r="D106" s="259" t="inlineStr">
        <is>
          <t>--</t>
        </is>
      </c>
      <c r="E106" s="259" t="inlineStr">
        <is>
          <t>--</t>
        </is>
      </c>
      <c r="F106" s="260" t="n">
        <v>1</v>
      </c>
      <c r="G106" s="259" t="inlineStr">
        <is>
          <t>--</t>
        </is>
      </c>
      <c r="H106" s="259" t="inlineStr">
        <is>
          <t>--</t>
        </is>
      </c>
      <c r="I106" s="259" t="inlineStr">
        <is>
          <t>--</t>
        </is>
      </c>
      <c r="J106" s="259" t="inlineStr">
        <is>
          <t>--</t>
        </is>
      </c>
      <c r="K106" s="259" t="inlineStr">
        <is>
          <t>--</t>
        </is>
      </c>
      <c r="L106" s="259" t="inlineStr">
        <is>
          <t>EQ-L&amp;MC</t>
        </is>
      </c>
    </row>
    <row r="107">
      <c r="A107" s="259" t="inlineStr">
        <is>
          <t>Bandhan Nifty Midcap 150 Index Fund - Regular Plan</t>
        </is>
      </c>
      <c r="B107" s="259" t="inlineStr">
        <is>
          <t>--</t>
        </is>
      </c>
      <c r="C107" s="260" t="n">
        <v>0.85</v>
      </c>
      <c r="D107" s="259" t="inlineStr">
        <is>
          <t>--</t>
        </is>
      </c>
      <c r="E107" s="259" t="inlineStr">
        <is>
          <t>--</t>
        </is>
      </c>
      <c r="F107" s="260" t="n">
        <v>0.85</v>
      </c>
      <c r="G107" s="259" t="inlineStr">
        <is>
          <t>--</t>
        </is>
      </c>
      <c r="H107" s="259" t="inlineStr">
        <is>
          <t>--</t>
        </is>
      </c>
      <c r="I107" s="259" t="inlineStr">
        <is>
          <t>--</t>
        </is>
      </c>
      <c r="J107" s="259" t="inlineStr">
        <is>
          <t>--</t>
        </is>
      </c>
      <c r="K107" s="259" t="inlineStr">
        <is>
          <t>--</t>
        </is>
      </c>
      <c r="L107" s="259" t="inlineStr">
        <is>
          <t>EQ-MC</t>
        </is>
      </c>
    </row>
    <row r="108">
      <c r="A108" s="259" t="inlineStr">
        <is>
          <t>Bandhan Nifty Next 50 Index Fund - Regular Plan</t>
        </is>
      </c>
      <c r="B108" s="259" t="inlineStr">
        <is>
          <t>--</t>
        </is>
      </c>
      <c r="C108" s="260" t="n">
        <v>1</v>
      </c>
      <c r="D108" s="259" t="inlineStr">
        <is>
          <t>--</t>
        </is>
      </c>
      <c r="E108" s="259" t="inlineStr">
        <is>
          <t>--</t>
        </is>
      </c>
      <c r="F108" s="260" t="n">
        <v>1</v>
      </c>
      <c r="G108" s="259" t="inlineStr">
        <is>
          <t>--</t>
        </is>
      </c>
      <c r="H108" s="259" t="inlineStr">
        <is>
          <t>--</t>
        </is>
      </c>
      <c r="I108" s="259" t="inlineStr">
        <is>
          <t>--</t>
        </is>
      </c>
      <c r="J108" s="259" t="inlineStr">
        <is>
          <t>--</t>
        </is>
      </c>
      <c r="K108" s="259" t="inlineStr">
        <is>
          <t>--</t>
        </is>
      </c>
      <c r="L108" s="259" t="inlineStr">
        <is>
          <t>EQ-LC</t>
        </is>
      </c>
    </row>
    <row r="109">
      <c r="A109" s="259" t="inlineStr">
        <is>
          <t>Bandhan Nifty Smallcap 250 Index Fund - Regular Plan</t>
        </is>
      </c>
      <c r="B109" s="260" t="n">
        <v>3.39</v>
      </c>
      <c r="C109" s="260" t="n">
        <v>0.89</v>
      </c>
      <c r="D109" s="259" t="inlineStr">
        <is>
          <t>--</t>
        </is>
      </c>
      <c r="E109" s="259" t="inlineStr">
        <is>
          <t>--</t>
        </is>
      </c>
      <c r="F109" s="260" t="n">
        <v>0.89</v>
      </c>
      <c r="G109" s="259" t="inlineStr">
        <is>
          <t>--</t>
        </is>
      </c>
      <c r="H109" s="259" t="inlineStr">
        <is>
          <t>--</t>
        </is>
      </c>
      <c r="I109" s="259" t="inlineStr">
        <is>
          <t>--</t>
        </is>
      </c>
      <c r="J109" s="259" t="inlineStr">
        <is>
          <t>--</t>
        </is>
      </c>
      <c r="K109" s="259" t="inlineStr">
        <is>
          <t>--</t>
        </is>
      </c>
      <c r="L109" s="259" t="inlineStr">
        <is>
          <t>EQ-SC</t>
        </is>
      </c>
    </row>
    <row r="110">
      <c r="A110" s="259" t="inlineStr">
        <is>
          <t>Bandhan Nifty Total Market Index Fund - Regular Plan</t>
        </is>
      </c>
      <c r="B110" s="259" t="inlineStr">
        <is>
          <t>--</t>
        </is>
      </c>
      <c r="C110" s="260" t="n">
        <v>1.05</v>
      </c>
      <c r="D110" s="259" t="inlineStr">
        <is>
          <t>--</t>
        </is>
      </c>
      <c r="E110" s="259" t="inlineStr">
        <is>
          <t>--</t>
        </is>
      </c>
      <c r="F110" s="260" t="n">
        <v>1.05</v>
      </c>
      <c r="G110" s="259" t="inlineStr">
        <is>
          <t>--</t>
        </is>
      </c>
      <c r="H110" s="259" t="inlineStr">
        <is>
          <t>--</t>
        </is>
      </c>
      <c r="I110" s="259" t="inlineStr">
        <is>
          <t>--</t>
        </is>
      </c>
      <c r="J110" s="259" t="inlineStr">
        <is>
          <t>--</t>
        </is>
      </c>
      <c r="K110" s="259" t="inlineStr">
        <is>
          <t>--</t>
        </is>
      </c>
      <c r="L110" s="259" t="inlineStr">
        <is>
          <t>EQ-FLX</t>
        </is>
      </c>
    </row>
    <row r="111">
      <c r="A111" s="259" t="inlineStr">
        <is>
          <t>Bandhan Small Cap Fund - Regular Plan</t>
        </is>
      </c>
      <c r="B111" s="260" t="n">
        <v>17.56</v>
      </c>
      <c r="C111" s="260" t="n">
        <v>1.68</v>
      </c>
      <c r="D111" s="260" t="n">
        <v>33.68</v>
      </c>
      <c r="E111" s="260" t="n">
        <v>36.69</v>
      </c>
      <c r="F111" s="260" t="n">
        <v>1.68</v>
      </c>
      <c r="G111" s="260" t="n">
        <v>18.17</v>
      </c>
      <c r="H111" s="260" t="n">
        <v>1.29</v>
      </c>
      <c r="I111" s="260" t="n">
        <v>2.02</v>
      </c>
      <c r="J111" s="260" t="n">
        <v>0.9</v>
      </c>
      <c r="K111" s="260" t="n">
        <v>7.06</v>
      </c>
      <c r="L111" s="259" t="inlineStr">
        <is>
          <t>EQ-SC</t>
        </is>
      </c>
    </row>
    <row r="112" hidden="1">
      <c r="A112" s="259" t="inlineStr">
        <is>
          <t>Bandhan Transportation and Logistics Fund - Regular Plan</t>
        </is>
      </c>
      <c r="B112" s="260" t="n">
        <v>-5.19</v>
      </c>
      <c r="C112" s="260" t="n">
        <v>2.4</v>
      </c>
      <c r="D112" s="259" t="inlineStr">
        <is>
          <t>--</t>
        </is>
      </c>
      <c r="E112" s="259" t="inlineStr">
        <is>
          <t>--</t>
        </is>
      </c>
      <c r="F112" s="260" t="n">
        <v>2.4</v>
      </c>
      <c r="G112" s="259" t="inlineStr">
        <is>
          <t>--</t>
        </is>
      </c>
      <c r="H112" s="259" t="inlineStr">
        <is>
          <t>--</t>
        </is>
      </c>
      <c r="I112" s="259" t="inlineStr">
        <is>
          <t>--</t>
        </is>
      </c>
      <c r="J112" s="259" t="inlineStr">
        <is>
          <t>--</t>
        </is>
      </c>
      <c r="K112" s="259" t="inlineStr">
        <is>
          <t>--</t>
        </is>
      </c>
      <c r="L112" s="259" t="inlineStr">
        <is>
          <t>EQ-THEMATIC</t>
        </is>
      </c>
    </row>
    <row r="113">
      <c r="A113" s="259" t="inlineStr">
        <is>
          <t>Bank of India Balanced Advantage Fund - Regular Plan</t>
        </is>
      </c>
      <c r="B113" s="260" t="n">
        <v>1.06</v>
      </c>
      <c r="C113" s="260" t="n">
        <v>2.51</v>
      </c>
      <c r="D113" s="260" t="n">
        <v>12.45</v>
      </c>
      <c r="E113" s="260" t="n">
        <v>12.27</v>
      </c>
      <c r="F113" s="260" t="n">
        <v>2.51</v>
      </c>
      <c r="G113" s="260" t="n">
        <v>10.19</v>
      </c>
      <c r="H113" s="260" t="n">
        <v>0.52</v>
      </c>
      <c r="I113" s="260" t="n">
        <v>1.02</v>
      </c>
      <c r="J113" s="260" t="n">
        <v>0.95</v>
      </c>
      <c r="K113" s="260" t="n">
        <v>-2.16</v>
      </c>
      <c r="L113" s="259" t="inlineStr">
        <is>
          <t>HY-DAA</t>
        </is>
      </c>
    </row>
    <row r="114">
      <c r="A114" s="259" t="inlineStr">
        <is>
          <t>Bank of India Bluechip Fund - Regular Plan</t>
        </is>
      </c>
      <c r="B114" s="260" t="n">
        <v>-1.44</v>
      </c>
      <c r="C114" s="260" t="n">
        <v>2.44</v>
      </c>
      <c r="D114" s="260" t="n">
        <v>18.38</v>
      </c>
      <c r="E114" s="259" t="inlineStr">
        <is>
          <t>--</t>
        </is>
      </c>
      <c r="F114" s="260" t="n">
        <v>2.44</v>
      </c>
      <c r="G114" s="260" t="n">
        <v>15.33</v>
      </c>
      <c r="H114" s="260" t="n">
        <v>0.6899999999999999</v>
      </c>
      <c r="I114" s="260" t="n">
        <v>1.13</v>
      </c>
      <c r="J114" s="260" t="n">
        <v>1.06</v>
      </c>
      <c r="K114" s="260" t="n">
        <v>-0.3</v>
      </c>
      <c r="L114" s="259" t="inlineStr">
        <is>
          <t>EQ-LC</t>
        </is>
      </c>
    </row>
    <row r="115" hidden="1">
      <c r="A115" s="259" t="inlineStr">
        <is>
          <t>Bank of India Business Cycle Fund - Regular Plan</t>
        </is>
      </c>
      <c r="B115" s="259" t="inlineStr">
        <is>
          <t>--</t>
        </is>
      </c>
      <c r="C115" s="260" t="n">
        <v>2.45</v>
      </c>
      <c r="D115" s="259" t="inlineStr">
        <is>
          <t>--</t>
        </is>
      </c>
      <c r="E115" s="259" t="inlineStr">
        <is>
          <t>--</t>
        </is>
      </c>
      <c r="F115" s="260" t="n">
        <v>2.45</v>
      </c>
      <c r="G115" s="259" t="inlineStr">
        <is>
          <t>--</t>
        </is>
      </c>
      <c r="H115" s="259" t="inlineStr">
        <is>
          <t>--</t>
        </is>
      </c>
      <c r="I115" s="259" t="inlineStr">
        <is>
          <t>--</t>
        </is>
      </c>
      <c r="J115" s="259" t="inlineStr">
        <is>
          <t>--</t>
        </is>
      </c>
      <c r="K115" s="259" t="inlineStr">
        <is>
          <t>--</t>
        </is>
      </c>
      <c r="L115" s="259" t="inlineStr">
        <is>
          <t>EQ-THEMATIC</t>
        </is>
      </c>
    </row>
    <row r="116" hidden="1">
      <c r="A116" s="259" t="inlineStr">
        <is>
          <t>Bank of India Consumption Fund - Regular Plan</t>
        </is>
      </c>
      <c r="B116" s="259" t="inlineStr">
        <is>
          <t>--</t>
        </is>
      </c>
      <c r="C116" s="260" t="n">
        <v>2.46</v>
      </c>
      <c r="D116" s="259" t="inlineStr">
        <is>
          <t>--</t>
        </is>
      </c>
      <c r="E116" s="259" t="inlineStr">
        <is>
          <t>--</t>
        </is>
      </c>
      <c r="F116" s="260" t="n">
        <v>2.46</v>
      </c>
      <c r="G116" s="259" t="inlineStr">
        <is>
          <t>--</t>
        </is>
      </c>
      <c r="H116" s="259" t="inlineStr">
        <is>
          <t>--</t>
        </is>
      </c>
      <c r="I116" s="259" t="inlineStr">
        <is>
          <t>--</t>
        </is>
      </c>
      <c r="J116" s="259" t="inlineStr">
        <is>
          <t>--</t>
        </is>
      </c>
      <c r="K116" s="259" t="inlineStr">
        <is>
          <t>--</t>
        </is>
      </c>
      <c r="L116" s="259" t="inlineStr">
        <is>
          <t>EQ-Consumption</t>
        </is>
      </c>
    </row>
    <row r="117">
      <c r="A117" s="259" t="inlineStr">
        <is>
          <t>Bank of India Flexi Cap Fund - Regular Plan</t>
        </is>
      </c>
      <c r="B117" s="260" t="n">
        <v>-0.29</v>
      </c>
      <c r="C117" s="260" t="n">
        <v>1.99</v>
      </c>
      <c r="D117" s="260" t="n">
        <v>24.51</v>
      </c>
      <c r="E117" s="259" t="inlineStr">
        <is>
          <t>--</t>
        </is>
      </c>
      <c r="F117" s="260" t="n">
        <v>1.99</v>
      </c>
      <c r="G117" s="260" t="n">
        <v>18.12</v>
      </c>
      <c r="H117" s="260" t="n">
        <v>0.91</v>
      </c>
      <c r="I117" s="260" t="n">
        <v>1.35</v>
      </c>
      <c r="J117" s="260" t="n">
        <v>1.13</v>
      </c>
      <c r="K117" s="260" t="n">
        <v>3.39</v>
      </c>
      <c r="L117" s="259" t="inlineStr">
        <is>
          <t>EQ-FLX</t>
        </is>
      </c>
    </row>
    <row r="118">
      <c r="A118" s="259" t="inlineStr">
        <is>
          <t>Bank of India Large &amp; Mid Cap Equity Fund - Eco Plan</t>
        </is>
      </c>
      <c r="B118" s="260" t="n">
        <v>2.56</v>
      </c>
      <c r="C118" s="260" t="n">
        <v>1.58</v>
      </c>
      <c r="D118" s="260" t="n">
        <v>21.89</v>
      </c>
      <c r="E118" s="260" t="n">
        <v>24.35</v>
      </c>
      <c r="F118" s="260" t="n">
        <v>1.58</v>
      </c>
      <c r="G118" s="260" t="n">
        <v>15.45</v>
      </c>
      <c r="H118" s="260" t="n">
        <v>0.87</v>
      </c>
      <c r="I118" s="260" t="n">
        <v>1.32</v>
      </c>
      <c r="J118" s="260" t="n">
        <v>1.03</v>
      </c>
      <c r="K118" s="260" t="n">
        <v>2.12</v>
      </c>
      <c r="L118" s="259" t="inlineStr">
        <is>
          <t>EQ-L&amp;MC</t>
        </is>
      </c>
    </row>
    <row r="119">
      <c r="A119" s="259" t="inlineStr">
        <is>
          <t>Bank of India Large &amp; Mid Cap Equity Fund - Regular Plan</t>
        </is>
      </c>
      <c r="B119" s="260" t="n">
        <v>1.82</v>
      </c>
      <c r="C119" s="260" t="n">
        <v>2.48</v>
      </c>
      <c r="D119" s="260" t="n">
        <v>21.13</v>
      </c>
      <c r="E119" s="260" t="n">
        <v>23.65</v>
      </c>
      <c r="F119" s="260" t="n">
        <v>2.48</v>
      </c>
      <c r="G119" s="260" t="n">
        <v>15.43</v>
      </c>
      <c r="H119" s="260" t="n">
        <v>0.83</v>
      </c>
      <c r="I119" s="260" t="n">
        <v>1.26</v>
      </c>
      <c r="J119" s="260" t="n">
        <v>1.03</v>
      </c>
      <c r="K119" s="260" t="n">
        <v>1.51</v>
      </c>
      <c r="L119" s="259" t="inlineStr">
        <is>
          <t>EQ-L&amp;MC</t>
        </is>
      </c>
    </row>
    <row r="120">
      <c r="A120" s="259" t="inlineStr">
        <is>
          <t>Bank of India Multi Asset Allocation Fund - Regular Plan</t>
        </is>
      </c>
      <c r="B120" s="260" t="n">
        <v>6.39</v>
      </c>
      <c r="C120" s="260" t="n">
        <v>2.04</v>
      </c>
      <c r="D120" s="259" t="inlineStr">
        <is>
          <t>--</t>
        </is>
      </c>
      <c r="E120" s="259" t="inlineStr">
        <is>
          <t>--</t>
        </is>
      </c>
      <c r="F120" s="260" t="n">
        <v>2.04</v>
      </c>
      <c r="G120" s="259" t="inlineStr">
        <is>
          <t>--</t>
        </is>
      </c>
      <c r="H120" s="259" t="inlineStr">
        <is>
          <t>--</t>
        </is>
      </c>
      <c r="I120" s="259" t="inlineStr">
        <is>
          <t>--</t>
        </is>
      </c>
      <c r="J120" s="259" t="inlineStr">
        <is>
          <t>--</t>
        </is>
      </c>
      <c r="K120" s="259" t="inlineStr">
        <is>
          <t>--</t>
        </is>
      </c>
      <c r="L120" s="259" t="inlineStr">
        <is>
          <t>HY-MAA</t>
        </is>
      </c>
    </row>
    <row r="121">
      <c r="A121" s="259" t="inlineStr">
        <is>
          <t>Bank of India Multi Cap Fund - Regular Plan</t>
        </is>
      </c>
      <c r="B121" s="260" t="n">
        <v>5</v>
      </c>
      <c r="C121" s="260" t="n">
        <v>2.31</v>
      </c>
      <c r="D121" s="259" t="inlineStr">
        <is>
          <t>--</t>
        </is>
      </c>
      <c r="E121" s="259" t="inlineStr">
        <is>
          <t>--</t>
        </is>
      </c>
      <c r="F121" s="260" t="n">
        <v>2.31</v>
      </c>
      <c r="G121" s="259" t="inlineStr">
        <is>
          <t>--</t>
        </is>
      </c>
      <c r="H121" s="259" t="inlineStr">
        <is>
          <t>--</t>
        </is>
      </c>
      <c r="I121" s="259" t="inlineStr">
        <is>
          <t>--</t>
        </is>
      </c>
      <c r="J121" s="259" t="inlineStr">
        <is>
          <t>--</t>
        </is>
      </c>
      <c r="K121" s="259" t="inlineStr">
        <is>
          <t>--</t>
        </is>
      </c>
      <c r="L121" s="259" t="inlineStr">
        <is>
          <t>EQ-MLC</t>
        </is>
      </c>
    </row>
    <row r="122">
      <c r="A122" s="259" t="inlineStr">
        <is>
          <t>Bank of India Small Cap Fund - Regular Plan</t>
        </is>
      </c>
      <c r="B122" s="260" t="n">
        <v>4.54</v>
      </c>
      <c r="C122" s="260" t="n">
        <v>2.03</v>
      </c>
      <c r="D122" s="260" t="n">
        <v>25.32</v>
      </c>
      <c r="E122" s="260" t="n">
        <v>35.23</v>
      </c>
      <c r="F122" s="260" t="n">
        <v>2.03</v>
      </c>
      <c r="G122" s="260" t="n">
        <v>18.22</v>
      </c>
      <c r="H122" s="260" t="n">
        <v>0.95</v>
      </c>
      <c r="I122" s="260" t="n">
        <v>1.27</v>
      </c>
      <c r="J122" s="260" t="n">
        <v>0.89</v>
      </c>
      <c r="K122" s="260" t="n">
        <v>1.16</v>
      </c>
      <c r="L122" s="259" t="inlineStr">
        <is>
          <t>EQ-SC</t>
        </is>
      </c>
    </row>
    <row r="123">
      <c r="A123" s="259" t="inlineStr">
        <is>
          <t>Baroda BNP Paribas Balanced Advantage Fund - Regular Plan</t>
        </is>
      </c>
      <c r="B123" s="260" t="n">
        <v>8.48</v>
      </c>
      <c r="C123" s="260" t="n">
        <v>1.89</v>
      </c>
      <c r="D123" s="260" t="n">
        <v>16.91</v>
      </c>
      <c r="E123" s="260" t="n">
        <v>17.3</v>
      </c>
      <c r="F123" s="260" t="n">
        <v>1.89</v>
      </c>
      <c r="G123" s="260" t="n">
        <v>10.14</v>
      </c>
      <c r="H123" s="260" t="n">
        <v>0.9</v>
      </c>
      <c r="I123" s="260" t="n">
        <v>1.3</v>
      </c>
      <c r="J123" s="260" t="n">
        <v>0.9399999999999999</v>
      </c>
      <c r="K123" s="260" t="n">
        <v>1.68</v>
      </c>
      <c r="L123" s="259" t="inlineStr">
        <is>
          <t>HY-DAA</t>
        </is>
      </c>
    </row>
    <row r="124" hidden="1">
      <c r="A124" s="259" t="inlineStr">
        <is>
          <t>Baroda BNP Paribas Business Cycle Fund - Regular Plan</t>
        </is>
      </c>
      <c r="B124" s="260" t="n">
        <v>1.53</v>
      </c>
      <c r="C124" s="260" t="n">
        <v>2.38</v>
      </c>
      <c r="D124" s="260" t="n">
        <v>20.38</v>
      </c>
      <c r="E124" s="259" t="inlineStr">
        <is>
          <t>--</t>
        </is>
      </c>
      <c r="F124" s="260" t="n">
        <v>2.38</v>
      </c>
      <c r="G124" s="260" t="n">
        <v>15.21</v>
      </c>
      <c r="H124" s="260" t="n">
        <v>0.82</v>
      </c>
      <c r="I124" s="260" t="n">
        <v>1.2</v>
      </c>
      <c r="J124" s="260" t="n">
        <v>1.02</v>
      </c>
      <c r="K124" s="260" t="n">
        <v>0.6899999999999999</v>
      </c>
      <c r="L124" s="259" t="inlineStr">
        <is>
          <t>EQ-THEMATIC</t>
        </is>
      </c>
    </row>
    <row r="125">
      <c r="A125" s="259" t="inlineStr">
        <is>
          <t>Baroda BNP Paribas Children's Fund - Regular Plan</t>
        </is>
      </c>
      <c r="B125" s="259" t="inlineStr">
        <is>
          <t>--</t>
        </is>
      </c>
      <c r="C125" s="260" t="n">
        <v>2.34</v>
      </c>
      <c r="D125" s="259" t="inlineStr">
        <is>
          <t>--</t>
        </is>
      </c>
      <c r="E125" s="259" t="inlineStr">
        <is>
          <t>--</t>
        </is>
      </c>
      <c r="F125" s="260" t="n">
        <v>2.34</v>
      </c>
      <c r="G125" s="259" t="inlineStr">
        <is>
          <t>--</t>
        </is>
      </c>
      <c r="H125" s="259" t="inlineStr">
        <is>
          <t>--</t>
        </is>
      </c>
      <c r="I125" s="259" t="inlineStr">
        <is>
          <t>--</t>
        </is>
      </c>
      <c r="J125" s="259" t="inlineStr">
        <is>
          <t>--</t>
        </is>
      </c>
      <c r="K125" s="259" t="inlineStr">
        <is>
          <t>--</t>
        </is>
      </c>
      <c r="L125" s="259" t="inlineStr">
        <is>
          <t>EQ-FLX</t>
        </is>
      </c>
    </row>
    <row r="126" hidden="1">
      <c r="A126" s="259" t="inlineStr">
        <is>
          <t>Baroda BNP Paribas Dividend Yield Fund - Regular Plan</t>
        </is>
      </c>
      <c r="B126" s="259" t="inlineStr">
        <is>
          <t>--</t>
        </is>
      </c>
      <c r="C126" s="260" t="n">
        <v>2.17</v>
      </c>
      <c r="D126" s="259" t="inlineStr">
        <is>
          <t>--</t>
        </is>
      </c>
      <c r="E126" s="259" t="inlineStr">
        <is>
          <t>--</t>
        </is>
      </c>
      <c r="F126" s="260" t="n">
        <v>2.17</v>
      </c>
      <c r="G126" s="259" t="inlineStr">
        <is>
          <t>--</t>
        </is>
      </c>
      <c r="H126" s="259" t="inlineStr">
        <is>
          <t>--</t>
        </is>
      </c>
      <c r="I126" s="259" t="inlineStr">
        <is>
          <t>--</t>
        </is>
      </c>
      <c r="J126" s="259" t="inlineStr">
        <is>
          <t>--</t>
        </is>
      </c>
      <c r="K126" s="259" t="inlineStr">
        <is>
          <t>--</t>
        </is>
      </c>
      <c r="L126" s="259" t="inlineStr">
        <is>
          <t>EQ-DIV Y</t>
        </is>
      </c>
    </row>
    <row r="127" hidden="1">
      <c r="A127" s="259" t="inlineStr">
        <is>
          <t>Baroda BNP Paribas Energy Opportunities Fund - Regular Plan</t>
        </is>
      </c>
      <c r="B127" s="259" t="inlineStr">
        <is>
          <t>--</t>
        </is>
      </c>
      <c r="C127" s="260" t="n">
        <v>2.3</v>
      </c>
      <c r="D127" s="259" t="inlineStr">
        <is>
          <t>--</t>
        </is>
      </c>
      <c r="E127" s="259" t="inlineStr">
        <is>
          <t>--</t>
        </is>
      </c>
      <c r="F127" s="260" t="n">
        <v>2.3</v>
      </c>
      <c r="G127" s="259" t="inlineStr">
        <is>
          <t>--</t>
        </is>
      </c>
      <c r="H127" s="259" t="inlineStr">
        <is>
          <t>--</t>
        </is>
      </c>
      <c r="I127" s="259" t="inlineStr">
        <is>
          <t>--</t>
        </is>
      </c>
      <c r="J127" s="259" t="inlineStr">
        <is>
          <t>--</t>
        </is>
      </c>
      <c r="K127" s="259" t="inlineStr">
        <is>
          <t>--</t>
        </is>
      </c>
      <c r="L127" s="259" t="inlineStr">
        <is>
          <t>EQ-Energy</t>
        </is>
      </c>
    </row>
    <row r="128">
      <c r="A128" s="259" t="inlineStr">
        <is>
          <t>Baroda BNP Paribas Flexi Cap Fund - Regular Plan</t>
        </is>
      </c>
      <c r="B128" s="260" t="n">
        <v>4.02</v>
      </c>
      <c r="C128" s="260" t="n">
        <v>2.17</v>
      </c>
      <c r="D128" s="259" t="inlineStr">
        <is>
          <t>--</t>
        </is>
      </c>
      <c r="E128" s="259" t="inlineStr">
        <is>
          <t>--</t>
        </is>
      </c>
      <c r="F128" s="260" t="n">
        <v>2.17</v>
      </c>
      <c r="G128" s="259" t="inlineStr">
        <is>
          <t>--</t>
        </is>
      </c>
      <c r="H128" s="259" t="inlineStr">
        <is>
          <t>--</t>
        </is>
      </c>
      <c r="I128" s="259" t="inlineStr">
        <is>
          <t>--</t>
        </is>
      </c>
      <c r="J128" s="259" t="inlineStr">
        <is>
          <t>--</t>
        </is>
      </c>
      <c r="K128" s="259" t="inlineStr">
        <is>
          <t>--</t>
        </is>
      </c>
      <c r="L128" s="259" t="inlineStr">
        <is>
          <t>EQ-FLX</t>
        </is>
      </c>
    </row>
    <row r="129">
      <c r="A129" s="259" t="inlineStr">
        <is>
          <t>Baroda BNP Paribas Focused Fund - Regular Plan</t>
        </is>
      </c>
      <c r="B129" s="260" t="n">
        <v>-1.6</v>
      </c>
      <c r="C129" s="260" t="n">
        <v>2.29</v>
      </c>
      <c r="D129" s="260" t="n">
        <v>17.11</v>
      </c>
      <c r="E129" s="260" t="n">
        <v>19.82</v>
      </c>
      <c r="F129" s="260" t="n">
        <v>2.29</v>
      </c>
      <c r="G129" s="260" t="n">
        <v>15.32</v>
      </c>
      <c r="H129" s="260" t="n">
        <v>0.66</v>
      </c>
      <c r="I129" s="260" t="n">
        <v>0.86</v>
      </c>
      <c r="J129" s="260" t="n">
        <v>0.99</v>
      </c>
      <c r="K129" s="260" t="n">
        <v>-1.35</v>
      </c>
      <c r="L129" s="259" t="inlineStr">
        <is>
          <t>EQ-FLX</t>
        </is>
      </c>
    </row>
    <row r="130" hidden="1">
      <c r="A130" s="259" t="inlineStr">
        <is>
          <t>Baroda BNP Paribas India Consumption Fund - Regular Plan</t>
        </is>
      </c>
      <c r="B130" s="260" t="n">
        <v>2.38</v>
      </c>
      <c r="C130" s="260" t="n">
        <v>2.09</v>
      </c>
      <c r="D130" s="260" t="n">
        <v>19.02</v>
      </c>
      <c r="E130" s="260" t="n">
        <v>20.86</v>
      </c>
      <c r="F130" s="260" t="n">
        <v>2.09</v>
      </c>
      <c r="G130" s="260" t="n">
        <v>14.79</v>
      </c>
      <c r="H130" s="260" t="n">
        <v>0.76</v>
      </c>
      <c r="I130" s="260" t="n">
        <v>1.08</v>
      </c>
      <c r="J130" s="260" t="n">
        <v>0.8</v>
      </c>
      <c r="K130" s="260" t="n">
        <v>-0.31</v>
      </c>
      <c r="L130" s="259" t="inlineStr">
        <is>
          <t>EQ-Consumption</t>
        </is>
      </c>
    </row>
    <row r="131" hidden="1">
      <c r="A131" s="259" t="inlineStr">
        <is>
          <t>Baroda BNP Paribas Innovation Fund - Regular Plan</t>
        </is>
      </c>
      <c r="B131" s="260" t="n">
        <v>4.43</v>
      </c>
      <c r="C131" s="260" t="n">
        <v>2.26</v>
      </c>
      <c r="D131" s="259" t="inlineStr">
        <is>
          <t>--</t>
        </is>
      </c>
      <c r="E131" s="259" t="inlineStr">
        <is>
          <t>--</t>
        </is>
      </c>
      <c r="F131" s="260" t="n">
        <v>2.26</v>
      </c>
      <c r="G131" s="259" t="inlineStr">
        <is>
          <t>--</t>
        </is>
      </c>
      <c r="H131" s="259" t="inlineStr">
        <is>
          <t>--</t>
        </is>
      </c>
      <c r="I131" s="259" t="inlineStr">
        <is>
          <t>--</t>
        </is>
      </c>
      <c r="J131" s="259" t="inlineStr">
        <is>
          <t>--</t>
        </is>
      </c>
      <c r="K131" s="259" t="inlineStr">
        <is>
          <t>--</t>
        </is>
      </c>
      <c r="L131" s="259" t="inlineStr">
        <is>
          <t>EQ-THEMATIC</t>
        </is>
      </c>
    </row>
    <row r="132">
      <c r="A132" s="259" t="inlineStr">
        <is>
          <t>Baroda BNP Paribas Large Cap Fund - Regular Plan</t>
        </is>
      </c>
      <c r="B132" s="260" t="n">
        <v>3.45</v>
      </c>
      <c r="C132" s="260" t="n">
        <v>1.98</v>
      </c>
      <c r="D132" s="260" t="n">
        <v>19</v>
      </c>
      <c r="E132" s="260" t="n">
        <v>20.89</v>
      </c>
      <c r="F132" s="260" t="n">
        <v>1.98</v>
      </c>
      <c r="G132" s="260" t="n">
        <v>13.37</v>
      </c>
      <c r="H132" s="260" t="n">
        <v>0.85</v>
      </c>
      <c r="I132" s="260" t="n">
        <v>1.31</v>
      </c>
      <c r="J132" s="260" t="n">
        <v>0.95</v>
      </c>
      <c r="K132" s="260" t="n">
        <v>1.58</v>
      </c>
      <c r="L132" s="259" t="inlineStr">
        <is>
          <t>EQ-LC</t>
        </is>
      </c>
    </row>
    <row r="133">
      <c r="A133" s="259" t="inlineStr">
        <is>
          <t>Baroda BNP Paribas Large &amp; Mid Cap Fund - Regular Plan</t>
        </is>
      </c>
      <c r="B133" s="260" t="n">
        <v>5.28</v>
      </c>
      <c r="C133" s="260" t="n">
        <v>2.11</v>
      </c>
      <c r="D133" s="260" t="n">
        <v>22.24</v>
      </c>
      <c r="E133" s="259" t="inlineStr">
        <is>
          <t>--</t>
        </is>
      </c>
      <c r="F133" s="260" t="n">
        <v>2.11</v>
      </c>
      <c r="G133" s="260" t="n">
        <v>14.99</v>
      </c>
      <c r="H133" s="260" t="n">
        <v>0.93</v>
      </c>
      <c r="I133" s="260" t="n">
        <v>1.22</v>
      </c>
      <c r="J133" s="260" t="n">
        <v>0.98</v>
      </c>
      <c r="K133" s="260" t="n">
        <v>3.16</v>
      </c>
      <c r="L133" s="259" t="inlineStr">
        <is>
          <t>EQ-L&amp;MC</t>
        </is>
      </c>
    </row>
    <row r="134" hidden="1">
      <c r="A134" s="259" t="inlineStr">
        <is>
          <t>Baroda BNP Paribas Manufacturing Fund - Regular Plan</t>
        </is>
      </c>
      <c r="B134" s="259" t="inlineStr">
        <is>
          <t>--</t>
        </is>
      </c>
      <c r="C134" s="260" t="n">
        <v>2.12</v>
      </c>
      <c r="D134" s="259" t="inlineStr">
        <is>
          <t>--</t>
        </is>
      </c>
      <c r="E134" s="259" t="inlineStr">
        <is>
          <t>--</t>
        </is>
      </c>
      <c r="F134" s="260" t="n">
        <v>2.12</v>
      </c>
      <c r="G134" s="259" t="inlineStr">
        <is>
          <t>--</t>
        </is>
      </c>
      <c r="H134" s="259" t="inlineStr">
        <is>
          <t>--</t>
        </is>
      </c>
      <c r="I134" s="259" t="inlineStr">
        <is>
          <t>--</t>
        </is>
      </c>
      <c r="J134" s="259" t="inlineStr">
        <is>
          <t>--</t>
        </is>
      </c>
      <c r="K134" s="259" t="inlineStr">
        <is>
          <t>--</t>
        </is>
      </c>
      <c r="L134" s="259" t="inlineStr">
        <is>
          <t>EQ-THEMATIC</t>
        </is>
      </c>
    </row>
    <row r="135">
      <c r="A135" s="259" t="inlineStr">
        <is>
          <t>Baroda BNP Paribas Midcap Fund - Regular Plan</t>
        </is>
      </c>
      <c r="B135" s="260" t="n">
        <v>3.65</v>
      </c>
      <c r="C135" s="260" t="n">
        <v>2.01</v>
      </c>
      <c r="D135" s="260" t="n">
        <v>23.19</v>
      </c>
      <c r="E135" s="260" t="n">
        <v>27.86</v>
      </c>
      <c r="F135" s="260" t="n">
        <v>2.01</v>
      </c>
      <c r="G135" s="260" t="n">
        <v>14.39</v>
      </c>
      <c r="H135" s="260" t="n">
        <v>1.03</v>
      </c>
      <c r="I135" s="260" t="n">
        <v>1.45</v>
      </c>
      <c r="J135" s="260" t="n">
        <v>0.83</v>
      </c>
      <c r="K135" s="260" t="n">
        <v>-0.12</v>
      </c>
      <c r="L135" s="259" t="inlineStr">
        <is>
          <t>EQ-MC</t>
        </is>
      </c>
    </row>
    <row r="136">
      <c r="A136" s="259" t="inlineStr">
        <is>
          <t>Baroda BNP Paribas Multi Asset Active FoF - Regular Plan</t>
        </is>
      </c>
      <c r="B136" s="259" t="inlineStr">
        <is>
          <t>--</t>
        </is>
      </c>
      <c r="C136" s="259" t="inlineStr">
        <is>
          <t>--</t>
        </is>
      </c>
      <c r="D136" s="259" t="inlineStr">
        <is>
          <t>--</t>
        </is>
      </c>
      <c r="E136" s="259" t="inlineStr">
        <is>
          <t>--</t>
        </is>
      </c>
      <c r="F136" s="259" t="inlineStr">
        <is>
          <t>--</t>
        </is>
      </c>
      <c r="G136" s="259" t="inlineStr">
        <is>
          <t>--</t>
        </is>
      </c>
      <c r="H136" s="259" t="inlineStr">
        <is>
          <t>--</t>
        </is>
      </c>
      <c r="I136" s="259" t="inlineStr">
        <is>
          <t>--</t>
        </is>
      </c>
      <c r="J136" s="259" t="inlineStr">
        <is>
          <t>--</t>
        </is>
      </c>
      <c r="K136" s="259" t="inlineStr">
        <is>
          <t>--</t>
        </is>
      </c>
      <c r="L136" s="259" t="inlineStr">
        <is>
          <t>HY-MAA</t>
        </is>
      </c>
    </row>
    <row r="137">
      <c r="A137" s="259" t="inlineStr">
        <is>
          <t>Baroda BNP Paribas Multi Asset Fund - Regular Plan</t>
        </is>
      </c>
      <c r="B137" s="260" t="n">
        <v>7.89</v>
      </c>
      <c r="C137" s="260" t="n">
        <v>2.11</v>
      </c>
      <c r="D137" s="259" t="inlineStr">
        <is>
          <t>--</t>
        </is>
      </c>
      <c r="E137" s="259" t="inlineStr">
        <is>
          <t>--</t>
        </is>
      </c>
      <c r="F137" s="260" t="n">
        <v>2.11</v>
      </c>
      <c r="G137" s="259" t="inlineStr">
        <is>
          <t>--</t>
        </is>
      </c>
      <c r="H137" s="259" t="inlineStr">
        <is>
          <t>--</t>
        </is>
      </c>
      <c r="I137" s="259" t="inlineStr">
        <is>
          <t>--</t>
        </is>
      </c>
      <c r="J137" s="259" t="inlineStr">
        <is>
          <t>--</t>
        </is>
      </c>
      <c r="K137" s="259" t="inlineStr">
        <is>
          <t>--</t>
        </is>
      </c>
      <c r="L137" s="259" t="inlineStr">
        <is>
          <t>HY-MAA</t>
        </is>
      </c>
    </row>
    <row r="138">
      <c r="A138" s="259" t="inlineStr">
        <is>
          <t>Baroda BNP Paribas Multi Cap Fund - Regular Plan</t>
        </is>
      </c>
      <c r="B138" s="260" t="n">
        <v>4.02</v>
      </c>
      <c r="C138" s="260" t="n">
        <v>1.99</v>
      </c>
      <c r="D138" s="260" t="n">
        <v>22.28</v>
      </c>
      <c r="E138" s="260" t="n">
        <v>25.95</v>
      </c>
      <c r="F138" s="260" t="n">
        <v>1.99</v>
      </c>
      <c r="G138" s="260" t="n">
        <v>14.5</v>
      </c>
      <c r="H138" s="260" t="n">
        <v>0.97</v>
      </c>
      <c r="I138" s="260" t="n">
        <v>1.2</v>
      </c>
      <c r="J138" s="260" t="n">
        <v>0.88</v>
      </c>
      <c r="K138" s="260" t="n">
        <v>1.18</v>
      </c>
      <c r="L138" s="259" t="inlineStr">
        <is>
          <t>EQ-MLC</t>
        </is>
      </c>
    </row>
    <row r="139">
      <c r="A139" s="259" t="inlineStr">
        <is>
          <t>Baroda BNP Paribas Nifty200 Momentum 30 Index Fund - Regular Plan</t>
        </is>
      </c>
      <c r="B139" s="259" t="inlineStr">
        <is>
          <t>--</t>
        </is>
      </c>
      <c r="C139" s="260" t="n">
        <v>1.1</v>
      </c>
      <c r="D139" s="259" t="inlineStr">
        <is>
          <t>--</t>
        </is>
      </c>
      <c r="E139" s="259" t="inlineStr">
        <is>
          <t>--</t>
        </is>
      </c>
      <c r="F139" s="260" t="n">
        <v>1.1</v>
      </c>
      <c r="G139" s="259" t="inlineStr">
        <is>
          <t>--</t>
        </is>
      </c>
      <c r="H139" s="259" t="inlineStr">
        <is>
          <t>--</t>
        </is>
      </c>
      <c r="I139" s="259" t="inlineStr">
        <is>
          <t>--</t>
        </is>
      </c>
      <c r="J139" s="259" t="inlineStr">
        <is>
          <t>--</t>
        </is>
      </c>
      <c r="K139" s="259" t="inlineStr">
        <is>
          <t>--</t>
        </is>
      </c>
      <c r="L139" s="259" t="inlineStr">
        <is>
          <t>EQ-L&amp;MC</t>
        </is>
      </c>
    </row>
    <row r="140">
      <c r="A140" s="259" t="inlineStr">
        <is>
          <t>Baroda BNP Paribas NIFTY 50 Index Fund - Regular Plan</t>
        </is>
      </c>
      <c r="B140" s="260" t="n">
        <v>7.06</v>
      </c>
      <c r="C140" s="260" t="n">
        <v>0.5600000000000001</v>
      </c>
      <c r="D140" s="259" t="inlineStr">
        <is>
          <t>--</t>
        </is>
      </c>
      <c r="E140" s="259" t="inlineStr">
        <is>
          <t>--</t>
        </is>
      </c>
      <c r="F140" s="260" t="n">
        <v>0.5600000000000001</v>
      </c>
      <c r="G140" s="259" t="inlineStr">
        <is>
          <t>--</t>
        </is>
      </c>
      <c r="H140" s="259" t="inlineStr">
        <is>
          <t>--</t>
        </is>
      </c>
      <c r="I140" s="259" t="inlineStr">
        <is>
          <t>--</t>
        </is>
      </c>
      <c r="J140" s="259" t="inlineStr">
        <is>
          <t>--</t>
        </is>
      </c>
      <c r="K140" s="259" t="inlineStr">
        <is>
          <t>--</t>
        </is>
      </c>
      <c r="L140" s="259" t="inlineStr">
        <is>
          <t>EQ-LC</t>
        </is>
      </c>
    </row>
    <row r="141">
      <c r="A141" s="259" t="inlineStr">
        <is>
          <t>Baroda BNP Paribas Nifty Midcap 150 Index Fund - Regular Plan</t>
        </is>
      </c>
      <c r="B141" s="259" t="inlineStr">
        <is>
          <t>--</t>
        </is>
      </c>
      <c r="C141" s="260" t="n">
        <v>1.08</v>
      </c>
      <c r="D141" s="259" t="inlineStr">
        <is>
          <t>--</t>
        </is>
      </c>
      <c r="E141" s="259" t="inlineStr">
        <is>
          <t>--</t>
        </is>
      </c>
      <c r="F141" s="260" t="n">
        <v>1.08</v>
      </c>
      <c r="G141" s="259" t="inlineStr">
        <is>
          <t>--</t>
        </is>
      </c>
      <c r="H141" s="259" t="inlineStr">
        <is>
          <t>--</t>
        </is>
      </c>
      <c r="I141" s="259" t="inlineStr">
        <is>
          <t>--</t>
        </is>
      </c>
      <c r="J141" s="259" t="inlineStr">
        <is>
          <t>--</t>
        </is>
      </c>
      <c r="K141" s="259" t="inlineStr">
        <is>
          <t>--</t>
        </is>
      </c>
      <c r="L141" s="259" t="inlineStr">
        <is>
          <t>EQ-MC</t>
        </is>
      </c>
    </row>
    <row r="142">
      <c r="A142" s="259" t="inlineStr">
        <is>
          <t>Baroda BNP Paribas Small Cap Fund - Regular Plan</t>
        </is>
      </c>
      <c r="B142" s="260" t="n">
        <v>1.38</v>
      </c>
      <c r="C142" s="260" t="n">
        <v>2.16</v>
      </c>
      <c r="D142" s="259" t="inlineStr">
        <is>
          <t>--</t>
        </is>
      </c>
      <c r="E142" s="259" t="inlineStr">
        <is>
          <t>--</t>
        </is>
      </c>
      <c r="F142" s="260" t="n">
        <v>2.16</v>
      </c>
      <c r="G142" s="259" t="inlineStr">
        <is>
          <t>--</t>
        </is>
      </c>
      <c r="H142" s="259" t="inlineStr">
        <is>
          <t>--</t>
        </is>
      </c>
      <c r="I142" s="259" t="inlineStr">
        <is>
          <t>--</t>
        </is>
      </c>
      <c r="J142" s="259" t="inlineStr">
        <is>
          <t>--</t>
        </is>
      </c>
      <c r="K142" s="259" t="inlineStr">
        <is>
          <t>--</t>
        </is>
      </c>
      <c r="L142" s="259" t="inlineStr">
        <is>
          <t>EQ-SC</t>
        </is>
      </c>
    </row>
    <row r="143">
      <c r="A143" s="259" t="inlineStr">
        <is>
          <t>BHARAT 22 ETF</t>
        </is>
      </c>
      <c r="B143" s="260" t="n">
        <v>-0.88</v>
      </c>
      <c r="C143" s="260" t="n">
        <v>0.07000000000000001</v>
      </c>
      <c r="D143" s="260" t="n">
        <v>31.54</v>
      </c>
      <c r="E143" s="260" t="n">
        <v>34.39</v>
      </c>
      <c r="F143" s="260" t="n">
        <v>0.07000000000000001</v>
      </c>
      <c r="G143" s="260" t="n">
        <v>17.89</v>
      </c>
      <c r="H143" s="260" t="n">
        <v>1.27</v>
      </c>
      <c r="I143" s="260" t="n">
        <v>2.06</v>
      </c>
      <c r="J143" s="260" t="n">
        <v>1.12</v>
      </c>
      <c r="K143" s="260" t="n">
        <v>11.19</v>
      </c>
      <c r="L143" s="259" t="inlineStr">
        <is>
          <t>EQ-LC</t>
        </is>
      </c>
    </row>
    <row r="144">
      <c r="A144" s="259" t="inlineStr">
        <is>
          <t>Canara Robeco Balanced Advantage Fund - Regular Plan</t>
        </is>
      </c>
      <c r="B144" s="259" t="inlineStr">
        <is>
          <t>--</t>
        </is>
      </c>
      <c r="C144" s="260" t="n">
        <v>2.09</v>
      </c>
      <c r="D144" s="259" t="inlineStr">
        <is>
          <t>--</t>
        </is>
      </c>
      <c r="E144" s="259" t="inlineStr">
        <is>
          <t>--</t>
        </is>
      </c>
      <c r="F144" s="260" t="n">
        <v>2.09</v>
      </c>
      <c r="G144" s="259" t="inlineStr">
        <is>
          <t>--</t>
        </is>
      </c>
      <c r="H144" s="259" t="inlineStr">
        <is>
          <t>--</t>
        </is>
      </c>
      <c r="I144" s="259" t="inlineStr">
        <is>
          <t>--</t>
        </is>
      </c>
      <c r="J144" s="259" t="inlineStr">
        <is>
          <t>--</t>
        </is>
      </c>
      <c r="K144" s="259" t="inlineStr">
        <is>
          <t>--</t>
        </is>
      </c>
      <c r="L144" s="259" t="inlineStr">
        <is>
          <t>HY-DAA</t>
        </is>
      </c>
    </row>
    <row r="145">
      <c r="A145" s="259" t="inlineStr">
        <is>
          <t>Canara Robeco Bluechip Equity Fund - Regular Plan</t>
        </is>
      </c>
      <c r="B145" s="260" t="n">
        <v>8.74</v>
      </c>
      <c r="C145" s="260" t="n">
        <v>1.65</v>
      </c>
      <c r="D145" s="260" t="n">
        <v>18.27</v>
      </c>
      <c r="E145" s="260" t="n">
        <v>20.66</v>
      </c>
      <c r="F145" s="260" t="n">
        <v>1.65</v>
      </c>
      <c r="G145" s="260" t="n">
        <v>12.49</v>
      </c>
      <c r="H145" s="260" t="n">
        <v>0.83</v>
      </c>
      <c r="I145" s="260" t="n">
        <v>1.33</v>
      </c>
      <c r="J145" s="260" t="n">
        <v>0.9</v>
      </c>
      <c r="K145" s="260" t="n">
        <v>1.05</v>
      </c>
      <c r="L145" s="259" t="inlineStr">
        <is>
          <t>EQ-LC</t>
        </is>
      </c>
    </row>
    <row r="146" hidden="1">
      <c r="A146" s="259" t="inlineStr">
        <is>
          <t>Canara Robeco Consumer Trends Fund - Regular Plan</t>
        </is>
      </c>
      <c r="B146" s="260" t="n">
        <v>5.54</v>
      </c>
      <c r="C146" s="260" t="n">
        <v>2.07</v>
      </c>
      <c r="D146" s="260" t="n">
        <v>21.26</v>
      </c>
      <c r="E146" s="260" t="n">
        <v>23.91</v>
      </c>
      <c r="F146" s="260" t="n">
        <v>2.07</v>
      </c>
      <c r="G146" s="260" t="n">
        <v>14.75</v>
      </c>
      <c r="H146" s="260" t="n">
        <v>0.88</v>
      </c>
      <c r="I146" s="260" t="n">
        <v>1.52</v>
      </c>
      <c r="J146" s="260" t="n">
        <v>0.8</v>
      </c>
      <c r="K146" s="260" t="n">
        <v>1.49</v>
      </c>
      <c r="L146" s="259" t="inlineStr">
        <is>
          <t>EQ-Consumption</t>
        </is>
      </c>
    </row>
    <row r="147">
      <c r="A147" s="259" t="inlineStr">
        <is>
          <t>Canara Robeco Emerging Equities Fund - Regular Plan</t>
        </is>
      </c>
      <c r="B147" s="260" t="n">
        <v>7.76</v>
      </c>
      <c r="C147" s="260" t="n">
        <v>1.6</v>
      </c>
      <c r="D147" s="260" t="n">
        <v>20.17</v>
      </c>
      <c r="E147" s="260" t="n">
        <v>24.4</v>
      </c>
      <c r="F147" s="260" t="n">
        <v>1.6</v>
      </c>
      <c r="G147" s="260" t="n">
        <v>14.62</v>
      </c>
      <c r="H147" s="260" t="n">
        <v>0.82</v>
      </c>
      <c r="I147" s="260" t="n">
        <v>1.17</v>
      </c>
      <c r="J147" s="260" t="n">
        <v>0.97</v>
      </c>
      <c r="K147" s="260" t="n">
        <v>1.31</v>
      </c>
      <c r="L147" s="259" t="inlineStr">
        <is>
          <t>EQ-L&amp;MC</t>
        </is>
      </c>
    </row>
    <row r="148">
      <c r="A148" s="259" t="inlineStr">
        <is>
          <t>Canara Robeco Flexi Cap Fund - Regular Plan</t>
        </is>
      </c>
      <c r="B148" s="260" t="n">
        <v>7.25</v>
      </c>
      <c r="C148" s="260" t="n">
        <v>1.68</v>
      </c>
      <c r="D148" s="260" t="n">
        <v>18.18</v>
      </c>
      <c r="E148" s="260" t="n">
        <v>21.47</v>
      </c>
      <c r="F148" s="260" t="n">
        <v>1.68</v>
      </c>
      <c r="G148" s="260" t="n">
        <v>13.46</v>
      </c>
      <c r="H148" s="260" t="n">
        <v>0.75</v>
      </c>
      <c r="I148" s="260" t="n">
        <v>1.15</v>
      </c>
      <c r="J148" s="260" t="n">
        <v>0.91</v>
      </c>
      <c r="K148" s="260" t="n">
        <v>-0.37</v>
      </c>
      <c r="L148" s="259" t="inlineStr">
        <is>
          <t>EQ-FLX</t>
        </is>
      </c>
    </row>
    <row r="149">
      <c r="A149" s="259" t="inlineStr">
        <is>
          <t>Canara Robeco Focused Equity Fund - Regular Plan</t>
        </is>
      </c>
      <c r="B149" s="260" t="n">
        <v>11.99</v>
      </c>
      <c r="C149" s="260" t="n">
        <v>1.93</v>
      </c>
      <c r="D149" s="260" t="n">
        <v>21.25</v>
      </c>
      <c r="E149" s="259" t="inlineStr">
        <is>
          <t>--</t>
        </is>
      </c>
      <c r="F149" s="260" t="n">
        <v>1.93</v>
      </c>
      <c r="G149" s="260" t="n">
        <v>13.44</v>
      </c>
      <c r="H149" s="260" t="n">
        <v>0.9399999999999999</v>
      </c>
      <c r="I149" s="260" t="n">
        <v>1.45</v>
      </c>
      <c r="J149" s="260" t="n">
        <v>0.89</v>
      </c>
      <c r="K149" s="260" t="n">
        <v>2.37</v>
      </c>
      <c r="L149" s="259" t="inlineStr">
        <is>
          <t>EQ-FLX</t>
        </is>
      </c>
    </row>
    <row r="150" hidden="1">
      <c r="A150" s="259" t="inlineStr">
        <is>
          <t>Canara Robeco Manufacturing Fund - Regular Plan</t>
        </is>
      </c>
      <c r="B150" s="260" t="n">
        <v>2.01</v>
      </c>
      <c r="C150" s="260" t="n">
        <v>2.08</v>
      </c>
      <c r="D150" s="259" t="inlineStr">
        <is>
          <t>--</t>
        </is>
      </c>
      <c r="E150" s="259" t="inlineStr">
        <is>
          <t>--</t>
        </is>
      </c>
      <c r="F150" s="260" t="n">
        <v>2.08</v>
      </c>
      <c r="G150" s="259" t="inlineStr">
        <is>
          <t>--</t>
        </is>
      </c>
      <c r="H150" s="259" t="inlineStr">
        <is>
          <t>--</t>
        </is>
      </c>
      <c r="I150" s="259" t="inlineStr">
        <is>
          <t>--</t>
        </is>
      </c>
      <c r="J150" s="259" t="inlineStr">
        <is>
          <t>--</t>
        </is>
      </c>
      <c r="K150" s="259" t="inlineStr">
        <is>
          <t>--</t>
        </is>
      </c>
      <c r="L150" s="259" t="inlineStr">
        <is>
          <t>EQ-THEMATIC</t>
        </is>
      </c>
    </row>
    <row r="151">
      <c r="A151" s="259" t="inlineStr">
        <is>
          <t>Canara Robeco Mid Cap Fund - Regular Plan</t>
        </is>
      </c>
      <c r="B151" s="260" t="n">
        <v>8.59</v>
      </c>
      <c r="C151" s="260" t="n">
        <v>1.93</v>
      </c>
      <c r="D151" s="259" t="inlineStr">
        <is>
          <t>--</t>
        </is>
      </c>
      <c r="E151" s="259" t="inlineStr">
        <is>
          <t>--</t>
        </is>
      </c>
      <c r="F151" s="260" t="n">
        <v>1.93</v>
      </c>
      <c r="G151" s="259" t="inlineStr">
        <is>
          <t>--</t>
        </is>
      </c>
      <c r="H151" s="259" t="inlineStr">
        <is>
          <t>--</t>
        </is>
      </c>
      <c r="I151" s="259" t="inlineStr">
        <is>
          <t>--</t>
        </is>
      </c>
      <c r="J151" s="259" t="inlineStr">
        <is>
          <t>--</t>
        </is>
      </c>
      <c r="K151" s="259" t="inlineStr">
        <is>
          <t>--</t>
        </is>
      </c>
      <c r="L151" s="259" t="inlineStr">
        <is>
          <t>EQ-MC</t>
        </is>
      </c>
    </row>
    <row r="152">
      <c r="A152" s="259" t="inlineStr">
        <is>
          <t>Canara Robeco Multi Asset Allocation Fund - Regular Plan</t>
        </is>
      </c>
      <c r="B152" s="259" t="inlineStr">
        <is>
          <t>--</t>
        </is>
      </c>
      <c r="C152" s="259" t="inlineStr">
        <is>
          <t>--</t>
        </is>
      </c>
      <c r="D152" s="259" t="inlineStr">
        <is>
          <t>--</t>
        </is>
      </c>
      <c r="E152" s="259" t="inlineStr">
        <is>
          <t>--</t>
        </is>
      </c>
      <c r="F152" s="259" t="inlineStr">
        <is>
          <t>--</t>
        </is>
      </c>
      <c r="G152" s="259" t="inlineStr">
        <is>
          <t>--</t>
        </is>
      </c>
      <c r="H152" s="259" t="inlineStr">
        <is>
          <t>--</t>
        </is>
      </c>
      <c r="I152" s="259" t="inlineStr">
        <is>
          <t>--</t>
        </is>
      </c>
      <c r="J152" s="259" t="inlineStr">
        <is>
          <t>--</t>
        </is>
      </c>
      <c r="K152" s="259" t="inlineStr">
        <is>
          <t>--</t>
        </is>
      </c>
      <c r="L152" s="259" t="inlineStr">
        <is>
          <t>HY-MAA</t>
        </is>
      </c>
    </row>
    <row r="153">
      <c r="A153" s="259" t="inlineStr">
        <is>
          <t>Canara Robeco Multi Cap Fund - Regular Plan</t>
        </is>
      </c>
      <c r="B153" s="260" t="n">
        <v>7.71</v>
      </c>
      <c r="C153" s="260" t="n">
        <v>1.84</v>
      </c>
      <c r="D153" s="259" t="inlineStr">
        <is>
          <t>--</t>
        </is>
      </c>
      <c r="E153" s="259" t="inlineStr">
        <is>
          <t>--</t>
        </is>
      </c>
      <c r="F153" s="260" t="n">
        <v>1.84</v>
      </c>
      <c r="G153" s="259" t="inlineStr">
        <is>
          <t>--</t>
        </is>
      </c>
      <c r="H153" s="259" t="inlineStr">
        <is>
          <t>--</t>
        </is>
      </c>
      <c r="I153" s="259" t="inlineStr">
        <is>
          <t>--</t>
        </is>
      </c>
      <c r="J153" s="259" t="inlineStr">
        <is>
          <t>--</t>
        </is>
      </c>
      <c r="K153" s="259" t="inlineStr">
        <is>
          <t>--</t>
        </is>
      </c>
      <c r="L153" s="259" t="inlineStr">
        <is>
          <t>EQ-MLC</t>
        </is>
      </c>
    </row>
    <row r="154">
      <c r="A154" s="259" t="inlineStr">
        <is>
          <t>Canara Robeco Small Cap Fund - Regular Plan</t>
        </is>
      </c>
      <c r="B154" s="260" t="n">
        <v>2.9</v>
      </c>
      <c r="C154" s="260" t="n">
        <v>1.68</v>
      </c>
      <c r="D154" s="260" t="n">
        <v>19.89</v>
      </c>
      <c r="E154" s="260" t="n">
        <v>34.29</v>
      </c>
      <c r="F154" s="260" t="n">
        <v>1.68</v>
      </c>
      <c r="G154" s="260" t="n">
        <v>16.23</v>
      </c>
      <c r="H154" s="260" t="n">
        <v>0.74</v>
      </c>
      <c r="I154" s="260" t="n">
        <v>0.98</v>
      </c>
      <c r="J154" s="260" t="n">
        <v>0.8</v>
      </c>
      <c r="K154" s="260" t="n">
        <v>-2.66</v>
      </c>
      <c r="L154" s="259" t="inlineStr">
        <is>
          <t>EQ-SC</t>
        </is>
      </c>
    </row>
    <row r="155" hidden="1">
      <c r="A155" s="259" t="inlineStr">
        <is>
          <t>CPSE ETF</t>
        </is>
      </c>
      <c r="B155" s="260" t="n">
        <v>-0.63</v>
      </c>
      <c r="C155" s="260" t="n">
        <v>0.07000000000000001</v>
      </c>
      <c r="D155" s="260" t="n">
        <v>37.31</v>
      </c>
      <c r="E155" s="260" t="n">
        <v>39.45</v>
      </c>
      <c r="F155" s="260" t="n">
        <v>0.07000000000000001</v>
      </c>
      <c r="G155" s="260" t="n">
        <v>21.95</v>
      </c>
      <c r="H155" s="260" t="n">
        <v>1.3</v>
      </c>
      <c r="I155" s="260" t="n">
        <v>2.04</v>
      </c>
      <c r="J155" s="260" t="n">
        <v>0.9</v>
      </c>
      <c r="K155" s="260" t="n">
        <v>3.32</v>
      </c>
      <c r="L155" s="259" t="inlineStr">
        <is>
          <t>EQ-PSU</t>
        </is>
      </c>
    </row>
    <row r="156">
      <c r="A156" s="259" t="inlineStr">
        <is>
          <t>DSP BSE Sensex ETF</t>
        </is>
      </c>
      <c r="B156" s="260" t="n">
        <v>7.58</v>
      </c>
      <c r="C156" s="260" t="n">
        <v>0.07000000000000001</v>
      </c>
      <c r="D156" s="259" t="inlineStr">
        <is>
          <t>--</t>
        </is>
      </c>
      <c r="E156" s="259" t="inlineStr">
        <is>
          <t>--</t>
        </is>
      </c>
      <c r="F156" s="260" t="n">
        <v>0.07000000000000001</v>
      </c>
      <c r="G156" s="259" t="inlineStr">
        <is>
          <t>--</t>
        </is>
      </c>
      <c r="H156" s="259" t="inlineStr">
        <is>
          <t>--</t>
        </is>
      </c>
      <c r="I156" s="259" t="inlineStr">
        <is>
          <t>--</t>
        </is>
      </c>
      <c r="J156" s="259" t="inlineStr">
        <is>
          <t>--</t>
        </is>
      </c>
      <c r="K156" s="259" t="inlineStr">
        <is>
          <t>--</t>
        </is>
      </c>
      <c r="L156" s="259" t="inlineStr">
        <is>
          <t>EQ-LC</t>
        </is>
      </c>
    </row>
    <row r="157">
      <c r="A157" s="259" t="inlineStr">
        <is>
          <t>DSP BSE Sensex Next 30 ETF</t>
        </is>
      </c>
      <c r="B157" s="259" t="inlineStr">
        <is>
          <t>--</t>
        </is>
      </c>
      <c r="C157" s="260" t="n">
        <v>0.15</v>
      </c>
      <c r="D157" s="259" t="inlineStr">
        <is>
          <t>--</t>
        </is>
      </c>
      <c r="E157" s="259" t="inlineStr">
        <is>
          <t>--</t>
        </is>
      </c>
      <c r="F157" s="260" t="n">
        <v>0.15</v>
      </c>
      <c r="G157" s="259" t="inlineStr">
        <is>
          <t>--</t>
        </is>
      </c>
      <c r="H157" s="259" t="inlineStr">
        <is>
          <t>--</t>
        </is>
      </c>
      <c r="I157" s="259" t="inlineStr">
        <is>
          <t>--</t>
        </is>
      </c>
      <c r="J157" s="259" t="inlineStr">
        <is>
          <t>--</t>
        </is>
      </c>
      <c r="K157" s="259" t="inlineStr">
        <is>
          <t>--</t>
        </is>
      </c>
      <c r="L157" s="259" t="inlineStr">
        <is>
          <t>EQ-LC</t>
        </is>
      </c>
    </row>
    <row r="158">
      <c r="A158" s="259" t="inlineStr">
        <is>
          <t>DSP BSE Sensex Next 30 Index Fund - Regular Plan</t>
        </is>
      </c>
      <c r="B158" s="259" t="inlineStr">
        <is>
          <t>--</t>
        </is>
      </c>
      <c r="C158" s="260" t="n">
        <v>0.83</v>
      </c>
      <c r="D158" s="259" t="inlineStr">
        <is>
          <t>--</t>
        </is>
      </c>
      <c r="E158" s="259" t="inlineStr">
        <is>
          <t>--</t>
        </is>
      </c>
      <c r="F158" s="260" t="n">
        <v>0.83</v>
      </c>
      <c r="G158" s="259" t="inlineStr">
        <is>
          <t>--</t>
        </is>
      </c>
      <c r="H158" s="259" t="inlineStr">
        <is>
          <t>--</t>
        </is>
      </c>
      <c r="I158" s="259" t="inlineStr">
        <is>
          <t>--</t>
        </is>
      </c>
      <c r="J158" s="259" t="inlineStr">
        <is>
          <t>--</t>
        </is>
      </c>
      <c r="K158" s="259" t="inlineStr">
        <is>
          <t>--</t>
        </is>
      </c>
      <c r="L158" s="259" t="inlineStr">
        <is>
          <t>EQ-LC</t>
        </is>
      </c>
    </row>
    <row r="159" hidden="1">
      <c r="A159" s="259" t="inlineStr">
        <is>
          <t>DSP Business Cycle Fund - Regular Plan</t>
        </is>
      </c>
      <c r="B159" s="259" t="inlineStr">
        <is>
          <t>--</t>
        </is>
      </c>
      <c r="C159" s="260" t="n">
        <v>2.18</v>
      </c>
      <c r="D159" s="259" t="inlineStr">
        <is>
          <t>--</t>
        </is>
      </c>
      <c r="E159" s="259" t="inlineStr">
        <is>
          <t>--</t>
        </is>
      </c>
      <c r="F159" s="260" t="n">
        <v>2.18</v>
      </c>
      <c r="G159" s="259" t="inlineStr">
        <is>
          <t>--</t>
        </is>
      </c>
      <c r="H159" s="259" t="inlineStr">
        <is>
          <t>--</t>
        </is>
      </c>
      <c r="I159" s="259" t="inlineStr">
        <is>
          <t>--</t>
        </is>
      </c>
      <c r="J159" s="259" t="inlineStr">
        <is>
          <t>--</t>
        </is>
      </c>
      <c r="K159" s="259" t="inlineStr">
        <is>
          <t>--</t>
        </is>
      </c>
      <c r="L159" s="259" t="inlineStr">
        <is>
          <t>EQ-THEMATIC</t>
        </is>
      </c>
    </row>
    <row r="160">
      <c r="A160" s="259" t="inlineStr">
        <is>
          <t>DSP Dynamic Asset Allocation Fund - Regular Plan</t>
        </is>
      </c>
      <c r="B160" s="260" t="n">
        <v>9.08</v>
      </c>
      <c r="C160" s="260" t="n">
        <v>1.9</v>
      </c>
      <c r="D160" s="260" t="n">
        <v>13.22</v>
      </c>
      <c r="E160" s="260" t="n">
        <v>11.85</v>
      </c>
      <c r="F160" s="260" t="n">
        <v>1.9</v>
      </c>
      <c r="G160" s="260" t="n">
        <v>6.77</v>
      </c>
      <c r="H160" s="260" t="n">
        <v>0.86</v>
      </c>
      <c r="I160" s="260" t="n">
        <v>1.73</v>
      </c>
      <c r="J160" s="260" t="n">
        <v>0.6</v>
      </c>
      <c r="K160" s="260" t="n">
        <v>1.15</v>
      </c>
      <c r="L160" s="259" t="inlineStr">
        <is>
          <t>HY-DAA</t>
        </is>
      </c>
    </row>
    <row r="161">
      <c r="A161" s="259" t="inlineStr">
        <is>
          <t>DSP Flexi Cap Fund - Regular Plan</t>
        </is>
      </c>
      <c r="B161" s="260" t="n">
        <v>8.449999999999999</v>
      </c>
      <c r="C161" s="260" t="n">
        <v>1.74</v>
      </c>
      <c r="D161" s="260" t="n">
        <v>21.47</v>
      </c>
      <c r="E161" s="260" t="n">
        <v>22.69</v>
      </c>
      <c r="F161" s="260" t="n">
        <v>1.74</v>
      </c>
      <c r="G161" s="260" t="n">
        <v>14.97</v>
      </c>
      <c r="H161" s="260" t="n">
        <v>0.86</v>
      </c>
      <c r="I161" s="260" t="n">
        <v>1.58</v>
      </c>
      <c r="J161" s="260" t="n">
        <v>0.98</v>
      </c>
      <c r="K161" s="260" t="n">
        <v>1.67</v>
      </c>
      <c r="L161" s="259" t="inlineStr">
        <is>
          <t>EQ-FLX</t>
        </is>
      </c>
    </row>
    <row r="162">
      <c r="A162" s="259" t="inlineStr">
        <is>
          <t>DSP Focused Fund - Regular Plan</t>
        </is>
      </c>
      <c r="B162" s="260" t="n">
        <v>9.359999999999999</v>
      </c>
      <c r="C162" s="260" t="n">
        <v>2.03</v>
      </c>
      <c r="D162" s="260" t="n">
        <v>21.79</v>
      </c>
      <c r="E162" s="260" t="n">
        <v>21.52</v>
      </c>
      <c r="F162" s="260" t="n">
        <v>2.03</v>
      </c>
      <c r="G162" s="260" t="n">
        <v>15.24</v>
      </c>
      <c r="H162" s="260" t="n">
        <v>0.88</v>
      </c>
      <c r="I162" s="260" t="n">
        <v>1.56</v>
      </c>
      <c r="J162" s="260" t="n">
        <v>0.97</v>
      </c>
      <c r="K162" s="260" t="n">
        <v>2.21</v>
      </c>
      <c r="L162" s="259" t="inlineStr">
        <is>
          <t>EQ-FLX</t>
        </is>
      </c>
    </row>
    <row r="163">
      <c r="A163" s="259" t="inlineStr">
        <is>
          <t>DSP Large Cap Fund - Regular Plan</t>
        </is>
      </c>
      <c r="B163" s="260" t="n">
        <v>11.94</v>
      </c>
      <c r="C163" s="260" t="n">
        <v>1.87</v>
      </c>
      <c r="D163" s="260" t="n">
        <v>21.91</v>
      </c>
      <c r="E163" s="260" t="n">
        <v>21.48</v>
      </c>
      <c r="F163" s="260" t="n">
        <v>1.87</v>
      </c>
      <c r="G163" s="260" t="n">
        <v>12.85</v>
      </c>
      <c r="H163" s="260" t="n">
        <v>1.03</v>
      </c>
      <c r="I163" s="260" t="n">
        <v>1.96</v>
      </c>
      <c r="J163" s="260" t="n">
        <v>0.9</v>
      </c>
      <c r="K163" s="260" t="n">
        <v>3.96</v>
      </c>
      <c r="L163" s="259" t="inlineStr">
        <is>
          <t>EQ-LC</t>
        </is>
      </c>
    </row>
    <row r="164">
      <c r="A164" s="259" t="inlineStr">
        <is>
          <t>DSP Large &amp; Mid Cap Fund - Regular Plan</t>
        </is>
      </c>
      <c r="B164" s="260" t="n">
        <v>7.37</v>
      </c>
      <c r="C164" s="260" t="n">
        <v>1.7</v>
      </c>
      <c r="D164" s="260" t="n">
        <v>24.17</v>
      </c>
      <c r="E164" s="260" t="n">
        <v>25.6</v>
      </c>
      <c r="F164" s="260" t="n">
        <v>1.7</v>
      </c>
      <c r="G164" s="260" t="n">
        <v>14.57</v>
      </c>
      <c r="H164" s="260" t="n">
        <v>1.06</v>
      </c>
      <c r="I164" s="260" t="n">
        <v>1.79</v>
      </c>
      <c r="J164" s="260" t="n">
        <v>0.97</v>
      </c>
      <c r="K164" s="260" t="n">
        <v>4.76</v>
      </c>
      <c r="L164" s="259" t="inlineStr">
        <is>
          <t>EQ-L&amp;MC</t>
        </is>
      </c>
    </row>
    <row r="165">
      <c r="A165" s="259" t="inlineStr">
        <is>
          <t>DSP Midcap Fund - Regular Plan</t>
        </is>
      </c>
      <c r="B165" s="260" t="n">
        <v>3.99</v>
      </c>
      <c r="C165" s="260" t="n">
        <v>1.68</v>
      </c>
      <c r="D165" s="260" t="n">
        <v>21.93</v>
      </c>
      <c r="E165" s="260" t="n">
        <v>22.6</v>
      </c>
      <c r="F165" s="260" t="n">
        <v>1.68</v>
      </c>
      <c r="G165" s="260" t="n">
        <v>17.33</v>
      </c>
      <c r="H165" s="260" t="n">
        <v>0.79</v>
      </c>
      <c r="I165" s="260" t="n">
        <v>1.21</v>
      </c>
      <c r="J165" s="260" t="n">
        <v>0.98</v>
      </c>
      <c r="K165" s="260" t="n">
        <v>-4.17</v>
      </c>
      <c r="L165" s="259" t="inlineStr">
        <is>
          <t>EQ-MC</t>
        </is>
      </c>
    </row>
    <row r="166">
      <c r="A166" s="259" t="inlineStr">
        <is>
          <t>DSP Multi Asset Allocation Fund - Regular Plan</t>
        </is>
      </c>
      <c r="B166" s="260" t="n">
        <v>13.89</v>
      </c>
      <c r="C166" s="260" t="n">
        <v>1.58</v>
      </c>
      <c r="D166" s="259" t="inlineStr">
        <is>
          <t>--</t>
        </is>
      </c>
      <c r="E166" s="259" t="inlineStr">
        <is>
          <t>--</t>
        </is>
      </c>
      <c r="F166" s="260" t="n">
        <v>1.58</v>
      </c>
      <c r="G166" s="259" t="inlineStr">
        <is>
          <t>--</t>
        </is>
      </c>
      <c r="H166" s="259" t="inlineStr">
        <is>
          <t>--</t>
        </is>
      </c>
      <c r="I166" s="259" t="inlineStr">
        <is>
          <t>--</t>
        </is>
      </c>
      <c r="J166" s="259" t="inlineStr">
        <is>
          <t>--</t>
        </is>
      </c>
      <c r="K166" s="259" t="inlineStr">
        <is>
          <t>--</t>
        </is>
      </c>
      <c r="L166" s="259" t="inlineStr">
        <is>
          <t>HY-MAA</t>
        </is>
      </c>
    </row>
    <row r="167">
      <c r="A167" s="259" t="inlineStr">
        <is>
          <t>DSP Multicap Fund - Regular Plan</t>
        </is>
      </c>
      <c r="B167" s="260" t="n">
        <v>4.61</v>
      </c>
      <c r="C167" s="260" t="n">
        <v>1.99</v>
      </c>
      <c r="D167" s="259" t="inlineStr">
        <is>
          <t>--</t>
        </is>
      </c>
      <c r="E167" s="259" t="inlineStr">
        <is>
          <t>--</t>
        </is>
      </c>
      <c r="F167" s="260" t="n">
        <v>1.99</v>
      </c>
      <c r="G167" s="259" t="inlineStr">
        <is>
          <t>--</t>
        </is>
      </c>
      <c r="H167" s="259" t="inlineStr">
        <is>
          <t>--</t>
        </is>
      </c>
      <c r="I167" s="259" t="inlineStr">
        <is>
          <t>--</t>
        </is>
      </c>
      <c r="J167" s="259" t="inlineStr">
        <is>
          <t>--</t>
        </is>
      </c>
      <c r="K167" s="259" t="inlineStr">
        <is>
          <t>--</t>
        </is>
      </c>
      <c r="L167" s="259" t="inlineStr">
        <is>
          <t>EQ-MLC</t>
        </is>
      </c>
    </row>
    <row r="168" hidden="1">
      <c r="A168" s="259" t="inlineStr">
        <is>
          <t>DSP Natural Resources and New Energy Fund - Regular Plan</t>
        </is>
      </c>
      <c r="B168" s="260" t="n">
        <v>-3.74</v>
      </c>
      <c r="C168" s="260" t="n">
        <v>2.11</v>
      </c>
      <c r="D168" s="260" t="n">
        <v>20.01</v>
      </c>
      <c r="E168" s="260" t="n">
        <v>28.02</v>
      </c>
      <c r="F168" s="260" t="n">
        <v>2.11</v>
      </c>
      <c r="G168" s="260" t="n">
        <v>18.16</v>
      </c>
      <c r="H168" s="260" t="n">
        <v>0.6899999999999999</v>
      </c>
      <c r="I168" s="260" t="n">
        <v>0.99</v>
      </c>
      <c r="J168" s="260" t="n">
        <v>0.64</v>
      </c>
      <c r="K168" s="260" t="n">
        <v>5.54</v>
      </c>
      <c r="L168" s="259" t="inlineStr">
        <is>
          <t>EQ-Energy</t>
        </is>
      </c>
    </row>
    <row r="169">
      <c r="A169" s="259" t="inlineStr">
        <is>
          <t>DSP NIFTY 50 Equal Weight ETF</t>
        </is>
      </c>
      <c r="B169" s="260" t="n">
        <v>5.72</v>
      </c>
      <c r="C169" s="260" t="n">
        <v>0.2</v>
      </c>
      <c r="D169" s="260" t="n">
        <v>20.47</v>
      </c>
      <c r="E169" s="259" t="inlineStr">
        <is>
          <t>--</t>
        </is>
      </c>
      <c r="F169" s="260" t="n">
        <v>0.2</v>
      </c>
      <c r="G169" s="260" t="n">
        <v>14.78</v>
      </c>
      <c r="H169" s="260" t="n">
        <v>0.83</v>
      </c>
      <c r="I169" s="260" t="n">
        <v>1.26</v>
      </c>
      <c r="J169" s="260" t="n">
        <v>1.05</v>
      </c>
      <c r="K169" s="260" t="n">
        <v>1.5</v>
      </c>
      <c r="L169" s="259" t="inlineStr">
        <is>
          <t>EQ-LC</t>
        </is>
      </c>
    </row>
    <row r="170">
      <c r="A170" s="259" t="inlineStr">
        <is>
          <t>DSP Nifty 50 Equal Weight Index Fund - Regular Plan</t>
        </is>
      </c>
      <c r="B170" s="260" t="n">
        <v>4.97</v>
      </c>
      <c r="C170" s="260" t="n">
        <v>0.92</v>
      </c>
      <c r="D170" s="260" t="n">
        <v>19.66</v>
      </c>
      <c r="E170" s="260" t="n">
        <v>24.84</v>
      </c>
      <c r="F170" s="260" t="n">
        <v>0.92</v>
      </c>
      <c r="G170" s="260" t="n">
        <v>14.77</v>
      </c>
      <c r="H170" s="260" t="n">
        <v>0.78</v>
      </c>
      <c r="I170" s="260" t="n">
        <v>1.19</v>
      </c>
      <c r="J170" s="260" t="n">
        <v>1.05</v>
      </c>
      <c r="K170" s="260" t="n">
        <v>0.82</v>
      </c>
      <c r="L170" s="259" t="inlineStr">
        <is>
          <t>EQ-LC</t>
        </is>
      </c>
    </row>
    <row r="171">
      <c r="A171" s="259" t="inlineStr">
        <is>
          <t>DSP Nifty 50 ETF</t>
        </is>
      </c>
      <c r="B171" s="260" t="n">
        <v>7.8</v>
      </c>
      <c r="C171" s="260" t="n">
        <v>0.06</v>
      </c>
      <c r="D171" s="260" t="n">
        <v>16.56</v>
      </c>
      <c r="E171" s="259" t="inlineStr">
        <is>
          <t>--</t>
        </is>
      </c>
      <c r="F171" s="260" t="n">
        <v>0.06</v>
      </c>
      <c r="G171" s="260" t="n">
        <v>13.11</v>
      </c>
      <c r="H171" s="260" t="n">
        <v>0.6899999999999999</v>
      </c>
      <c r="I171" s="260" t="n">
        <v>1.17</v>
      </c>
      <c r="J171" s="260" t="n">
        <v>0.95</v>
      </c>
      <c r="K171" s="260" t="n">
        <v>-0.74</v>
      </c>
      <c r="L171" s="259" t="inlineStr">
        <is>
          <t>EQ-LC</t>
        </is>
      </c>
    </row>
    <row r="172">
      <c r="A172" s="259" t="inlineStr">
        <is>
          <t>DSP Nifty 50 Index Fund - Regular Plan</t>
        </is>
      </c>
      <c r="B172" s="260" t="n">
        <v>7.43</v>
      </c>
      <c r="C172" s="260" t="n">
        <v>0.36</v>
      </c>
      <c r="D172" s="260" t="n">
        <v>16.14</v>
      </c>
      <c r="E172" s="260" t="n">
        <v>20.86</v>
      </c>
      <c r="F172" s="260" t="n">
        <v>0.36</v>
      </c>
      <c r="G172" s="260" t="n">
        <v>13.13</v>
      </c>
      <c r="H172" s="260" t="n">
        <v>0.66</v>
      </c>
      <c r="I172" s="260" t="n">
        <v>1.13</v>
      </c>
      <c r="J172" s="260" t="n">
        <v>0.95</v>
      </c>
      <c r="K172" s="260" t="n">
        <v>-1.11</v>
      </c>
      <c r="L172" s="259" t="inlineStr">
        <is>
          <t>EQ-LC</t>
        </is>
      </c>
    </row>
    <row r="173">
      <c r="A173" s="259" t="inlineStr">
        <is>
          <t>DSP Nifty Midcap 150 Quality 50 ETF</t>
        </is>
      </c>
      <c r="B173" s="260" t="n">
        <v>3.43</v>
      </c>
      <c r="C173" s="260" t="n">
        <v>0.3</v>
      </c>
      <c r="D173" s="260" t="n">
        <v>17.56</v>
      </c>
      <c r="E173" s="259" t="inlineStr">
        <is>
          <t>--</t>
        </is>
      </c>
      <c r="F173" s="260" t="n">
        <v>0.3</v>
      </c>
      <c r="G173" s="260" t="n">
        <v>15.59</v>
      </c>
      <c r="H173" s="260" t="n">
        <v>0.65</v>
      </c>
      <c r="I173" s="260" t="n">
        <v>1</v>
      </c>
      <c r="J173" s="260" t="n">
        <v>0.87</v>
      </c>
      <c r="K173" s="260" t="n">
        <v>-5.73</v>
      </c>
      <c r="L173" s="259" t="inlineStr">
        <is>
          <t>EQ-MC</t>
        </is>
      </c>
    </row>
    <row r="174">
      <c r="A174" s="259" t="inlineStr">
        <is>
          <t>DSP Nifty Midcap 150 Quality 50 Index Fund - Regular Plan</t>
        </is>
      </c>
      <c r="B174" s="260" t="n">
        <v>2.82</v>
      </c>
      <c r="C174" s="260" t="n">
        <v>0.86</v>
      </c>
      <c r="D174" s="259" t="inlineStr">
        <is>
          <t>--</t>
        </is>
      </c>
      <c r="E174" s="259" t="inlineStr">
        <is>
          <t>--</t>
        </is>
      </c>
      <c r="F174" s="260" t="n">
        <v>0.86</v>
      </c>
      <c r="G174" s="259" t="inlineStr">
        <is>
          <t>--</t>
        </is>
      </c>
      <c r="H174" s="259" t="inlineStr">
        <is>
          <t>--</t>
        </is>
      </c>
      <c r="I174" s="259" t="inlineStr">
        <is>
          <t>--</t>
        </is>
      </c>
      <c r="J174" s="259" t="inlineStr">
        <is>
          <t>--</t>
        </is>
      </c>
      <c r="K174" s="259" t="inlineStr">
        <is>
          <t>--</t>
        </is>
      </c>
      <c r="L174" s="259" t="inlineStr">
        <is>
          <t>EQ-MC</t>
        </is>
      </c>
    </row>
    <row r="175">
      <c r="A175" s="259" t="inlineStr">
        <is>
          <t>DSP Nifty Next 50 Index Fund - Regular Plan</t>
        </is>
      </c>
      <c r="B175" s="260" t="n">
        <v>-3.86</v>
      </c>
      <c r="C175" s="260" t="n">
        <v>0.61</v>
      </c>
      <c r="D175" s="260" t="n">
        <v>21.45</v>
      </c>
      <c r="E175" s="260" t="n">
        <v>22</v>
      </c>
      <c r="F175" s="260" t="n">
        <v>0.61</v>
      </c>
      <c r="G175" s="260" t="n">
        <v>19.54</v>
      </c>
      <c r="H175" s="260" t="n">
        <v>0.7</v>
      </c>
      <c r="I175" s="260" t="n">
        <v>1.04</v>
      </c>
      <c r="J175" s="260" t="n">
        <v>1.3</v>
      </c>
      <c r="K175" s="260" t="n">
        <v>0.28</v>
      </c>
      <c r="L175" s="259" t="inlineStr">
        <is>
          <t>EQ-LC</t>
        </is>
      </c>
    </row>
    <row r="176">
      <c r="A176" s="259" t="inlineStr">
        <is>
          <t>DSP Nifty Smallcap250 Quality 50 Index Fund - Regular Plan</t>
        </is>
      </c>
      <c r="B176" s="260" t="n">
        <v>3.67</v>
      </c>
      <c r="C176" s="260" t="n">
        <v>0.98</v>
      </c>
      <c r="D176" s="259" t="inlineStr">
        <is>
          <t>--</t>
        </is>
      </c>
      <c r="E176" s="259" t="inlineStr">
        <is>
          <t>--</t>
        </is>
      </c>
      <c r="F176" s="260" t="n">
        <v>0.98</v>
      </c>
      <c r="G176" s="259" t="inlineStr">
        <is>
          <t>--</t>
        </is>
      </c>
      <c r="H176" s="259" t="inlineStr">
        <is>
          <t>--</t>
        </is>
      </c>
      <c r="I176" s="259" t="inlineStr">
        <is>
          <t>--</t>
        </is>
      </c>
      <c r="J176" s="259" t="inlineStr">
        <is>
          <t>--</t>
        </is>
      </c>
      <c r="K176" s="259" t="inlineStr">
        <is>
          <t>--</t>
        </is>
      </c>
      <c r="L176" s="259" t="inlineStr">
        <is>
          <t>EQ-SC</t>
        </is>
      </c>
    </row>
    <row r="177">
      <c r="A177" s="259" t="inlineStr">
        <is>
          <t>DSP Nifty Top 10 Equal Weight ETF</t>
        </is>
      </c>
      <c r="B177" s="259" t="inlineStr">
        <is>
          <t>--</t>
        </is>
      </c>
      <c r="C177" s="260" t="n">
        <v>0.15</v>
      </c>
      <c r="D177" s="259" t="inlineStr">
        <is>
          <t>--</t>
        </is>
      </c>
      <c r="E177" s="259" t="inlineStr">
        <is>
          <t>--</t>
        </is>
      </c>
      <c r="F177" s="260" t="n">
        <v>0.15</v>
      </c>
      <c r="G177" s="259" t="inlineStr">
        <is>
          <t>--</t>
        </is>
      </c>
      <c r="H177" s="259" t="inlineStr">
        <is>
          <t>--</t>
        </is>
      </c>
      <c r="I177" s="259" t="inlineStr">
        <is>
          <t>--</t>
        </is>
      </c>
      <c r="J177" s="259" t="inlineStr">
        <is>
          <t>--</t>
        </is>
      </c>
      <c r="K177" s="259" t="inlineStr">
        <is>
          <t>--</t>
        </is>
      </c>
      <c r="L177" s="259" t="inlineStr">
        <is>
          <t>EQ-LC</t>
        </is>
      </c>
    </row>
    <row r="178">
      <c r="A178" s="259" t="inlineStr">
        <is>
          <t>DSP Nifty Top 10 Equal Weight Index Fund - Regular Plan</t>
        </is>
      </c>
      <c r="B178" s="259" t="inlineStr">
        <is>
          <t>--</t>
        </is>
      </c>
      <c r="C178" s="260" t="n">
        <v>0.9399999999999999</v>
      </c>
      <c r="D178" s="259" t="inlineStr">
        <is>
          <t>--</t>
        </is>
      </c>
      <c r="E178" s="259" t="inlineStr">
        <is>
          <t>--</t>
        </is>
      </c>
      <c r="F178" s="260" t="n">
        <v>0.9399999999999999</v>
      </c>
      <c r="G178" s="259" t="inlineStr">
        <is>
          <t>--</t>
        </is>
      </c>
      <c r="H178" s="259" t="inlineStr">
        <is>
          <t>--</t>
        </is>
      </c>
      <c r="I178" s="259" t="inlineStr">
        <is>
          <t>--</t>
        </is>
      </c>
      <c r="J178" s="259" t="inlineStr">
        <is>
          <t>--</t>
        </is>
      </c>
      <c r="K178" s="259" t="inlineStr">
        <is>
          <t>--</t>
        </is>
      </c>
      <c r="L178" s="259" t="inlineStr">
        <is>
          <t>EQ-LC</t>
        </is>
      </c>
    </row>
    <row r="179" hidden="1">
      <c r="A179" s="259" t="inlineStr">
        <is>
          <t>DSP Quant Fund - Regular Plan</t>
        </is>
      </c>
      <c r="B179" s="260" t="n">
        <v>4</v>
      </c>
      <c r="C179" s="260" t="n">
        <v>1.28</v>
      </c>
      <c r="D179" s="260" t="n">
        <v>13.47</v>
      </c>
      <c r="E179" s="260" t="n">
        <v>17.13</v>
      </c>
      <c r="F179" s="260" t="n">
        <v>1.28</v>
      </c>
      <c r="G179" s="260" t="n">
        <v>14.11</v>
      </c>
      <c r="H179" s="260" t="n">
        <v>0.39</v>
      </c>
      <c r="I179" s="260" t="n">
        <v>0.67</v>
      </c>
      <c r="J179" s="260" t="n">
        <v>0.92</v>
      </c>
      <c r="K179" s="260" t="n">
        <v>-5.12</v>
      </c>
      <c r="L179" s="259" t="inlineStr">
        <is>
          <t>EQ-THEMATIC</t>
        </is>
      </c>
    </row>
    <row r="180">
      <c r="A180" s="259" t="inlineStr">
        <is>
          <t>DSP Small Cap Fund - Regular Plan</t>
        </is>
      </c>
      <c r="B180" s="260" t="n">
        <v>11.19</v>
      </c>
      <c r="C180" s="260" t="n">
        <v>1.71</v>
      </c>
      <c r="D180" s="260" t="n">
        <v>24.21</v>
      </c>
      <c r="E180" s="260" t="n">
        <v>33.56</v>
      </c>
      <c r="F180" s="260" t="n">
        <v>1.71</v>
      </c>
      <c r="G180" s="260" t="n">
        <v>19.32</v>
      </c>
      <c r="H180" s="260" t="n">
        <v>0.83</v>
      </c>
      <c r="I180" s="260" t="n">
        <v>1.29</v>
      </c>
      <c r="J180" s="260" t="n">
        <v>0.9399999999999999</v>
      </c>
      <c r="K180" s="260" t="n">
        <v>-1.15</v>
      </c>
      <c r="L180" s="259" t="inlineStr">
        <is>
          <t>EQ-SC</t>
        </is>
      </c>
    </row>
    <row r="181">
      <c r="A181" s="259" t="inlineStr">
        <is>
          <t>Edelweiss Balanced Advantage Fund - Regular Plan</t>
        </is>
      </c>
      <c r="B181" s="260" t="n">
        <v>4.98</v>
      </c>
      <c r="C181" s="260" t="n">
        <v>1.68</v>
      </c>
      <c r="D181" s="260" t="n">
        <v>13.89</v>
      </c>
      <c r="E181" s="260" t="n">
        <v>15.54</v>
      </c>
      <c r="F181" s="260" t="n">
        <v>1.68</v>
      </c>
      <c r="G181" s="260" t="n">
        <v>8.56</v>
      </c>
      <c r="H181" s="260" t="n">
        <v>0.76</v>
      </c>
      <c r="I181" s="260" t="n">
        <v>1.14</v>
      </c>
      <c r="J181" s="260" t="n">
        <v>0.8100000000000001</v>
      </c>
      <c r="K181" s="260" t="n">
        <v>0.09</v>
      </c>
      <c r="L181" s="259" t="inlineStr">
        <is>
          <t>HY-DAA</t>
        </is>
      </c>
    </row>
    <row r="182" hidden="1">
      <c r="A182" s="259" t="inlineStr">
        <is>
          <t>Edelweiss BSE Capital Markets &amp; Insurance ETF</t>
        </is>
      </c>
      <c r="B182" s="259" t="inlineStr">
        <is>
          <t>--</t>
        </is>
      </c>
      <c r="C182" s="260" t="n">
        <v>0.25</v>
      </c>
      <c r="D182" s="259" t="inlineStr">
        <is>
          <t>--</t>
        </is>
      </c>
      <c r="E182" s="259" t="inlineStr">
        <is>
          <t>--</t>
        </is>
      </c>
      <c r="F182" s="260" t="n">
        <v>0.25</v>
      </c>
      <c r="G182" s="259" t="inlineStr">
        <is>
          <t>--</t>
        </is>
      </c>
      <c r="H182" s="259" t="inlineStr">
        <is>
          <t>--</t>
        </is>
      </c>
      <c r="I182" s="259" t="inlineStr">
        <is>
          <t>--</t>
        </is>
      </c>
      <c r="J182" s="259" t="inlineStr">
        <is>
          <t>--</t>
        </is>
      </c>
      <c r="K182" s="259" t="inlineStr">
        <is>
          <t>--</t>
        </is>
      </c>
      <c r="L182" s="259" t="inlineStr">
        <is>
          <t>EQ-THEMATIC</t>
        </is>
      </c>
    </row>
    <row r="183" hidden="1">
      <c r="A183" s="259" t="inlineStr">
        <is>
          <t>Edelweiss BSE Internet Economy Index Fund - Regular Plan</t>
        </is>
      </c>
      <c r="B183" s="259" t="inlineStr">
        <is>
          <t>--</t>
        </is>
      </c>
      <c r="C183" s="260" t="n">
        <v>1.09</v>
      </c>
      <c r="D183" s="259" t="inlineStr">
        <is>
          <t>--</t>
        </is>
      </c>
      <c r="E183" s="259" t="inlineStr">
        <is>
          <t>--</t>
        </is>
      </c>
      <c r="F183" s="260" t="n">
        <v>1.09</v>
      </c>
      <c r="G183" s="259" t="inlineStr">
        <is>
          <t>--</t>
        </is>
      </c>
      <c r="H183" s="259" t="inlineStr">
        <is>
          <t>--</t>
        </is>
      </c>
      <c r="I183" s="259" t="inlineStr">
        <is>
          <t>--</t>
        </is>
      </c>
      <c r="J183" s="259" t="inlineStr">
        <is>
          <t>--</t>
        </is>
      </c>
      <c r="K183" s="259" t="inlineStr">
        <is>
          <t>--</t>
        </is>
      </c>
      <c r="L183" s="259" t="inlineStr">
        <is>
          <t>EQ-THEMATIC</t>
        </is>
      </c>
    </row>
    <row r="184" hidden="1">
      <c r="A184" s="259" t="inlineStr">
        <is>
          <t>Edelweiss Business Cycle Fund - Regular Plan</t>
        </is>
      </c>
      <c r="B184" s="259" t="inlineStr">
        <is>
          <t>--</t>
        </is>
      </c>
      <c r="C184" s="260" t="n">
        <v>2.02</v>
      </c>
      <c r="D184" s="259" t="inlineStr">
        <is>
          <t>--</t>
        </is>
      </c>
      <c r="E184" s="259" t="inlineStr">
        <is>
          <t>--</t>
        </is>
      </c>
      <c r="F184" s="260" t="n">
        <v>2.02</v>
      </c>
      <c r="G184" s="259" t="inlineStr">
        <is>
          <t>--</t>
        </is>
      </c>
      <c r="H184" s="259" t="inlineStr">
        <is>
          <t>--</t>
        </is>
      </c>
      <c r="I184" s="259" t="inlineStr">
        <is>
          <t>--</t>
        </is>
      </c>
      <c r="J184" s="259" t="inlineStr">
        <is>
          <t>--</t>
        </is>
      </c>
      <c r="K184" s="259" t="inlineStr">
        <is>
          <t>--</t>
        </is>
      </c>
      <c r="L184" s="259" t="inlineStr">
        <is>
          <t>EQ-THEMATIC</t>
        </is>
      </c>
    </row>
    <row r="185" hidden="1">
      <c r="A185" s="259" t="inlineStr">
        <is>
          <t>Edelweiss Consumption Fund - Regular Plan</t>
        </is>
      </c>
      <c r="B185" s="259" t="inlineStr">
        <is>
          <t>--</t>
        </is>
      </c>
      <c r="C185" s="260" t="n">
        <v>2.38</v>
      </c>
      <c r="D185" s="259" t="inlineStr">
        <is>
          <t>--</t>
        </is>
      </c>
      <c r="E185" s="259" t="inlineStr">
        <is>
          <t>--</t>
        </is>
      </c>
      <c r="F185" s="260" t="n">
        <v>2.38</v>
      </c>
      <c r="G185" s="259" t="inlineStr">
        <is>
          <t>--</t>
        </is>
      </c>
      <c r="H185" s="259" t="inlineStr">
        <is>
          <t>--</t>
        </is>
      </c>
      <c r="I185" s="259" t="inlineStr">
        <is>
          <t>--</t>
        </is>
      </c>
      <c r="J185" s="259" t="inlineStr">
        <is>
          <t>--</t>
        </is>
      </c>
      <c r="K185" s="259" t="inlineStr">
        <is>
          <t>--</t>
        </is>
      </c>
      <c r="L185" s="259" t="inlineStr">
        <is>
          <t>EQ-Consumption</t>
        </is>
      </c>
    </row>
    <row r="186">
      <c r="A186" s="259" t="inlineStr">
        <is>
          <t>Edelweiss Flexi Cap Fund - Regular Plan</t>
        </is>
      </c>
      <c r="B186" s="260" t="n">
        <v>5.31</v>
      </c>
      <c r="C186" s="260" t="n">
        <v>1.93</v>
      </c>
      <c r="D186" s="260" t="n">
        <v>21.75</v>
      </c>
      <c r="E186" s="260" t="n">
        <v>24.81</v>
      </c>
      <c r="F186" s="260" t="n">
        <v>1.93</v>
      </c>
      <c r="G186" s="260" t="n">
        <v>14.47</v>
      </c>
      <c r="H186" s="260" t="n">
        <v>0.91</v>
      </c>
      <c r="I186" s="260" t="n">
        <v>1.32</v>
      </c>
      <c r="J186" s="260" t="n">
        <v>0.97</v>
      </c>
      <c r="K186" s="260" t="n">
        <v>1.92</v>
      </c>
      <c r="L186" s="259" t="inlineStr">
        <is>
          <t>EQ-FLX</t>
        </is>
      </c>
    </row>
    <row r="187">
      <c r="A187" s="259" t="inlineStr">
        <is>
          <t>Edelweiss Focused Fund - Regular Plan</t>
        </is>
      </c>
      <c r="B187" s="260" t="n">
        <v>5.39</v>
      </c>
      <c r="C187" s="260" t="n">
        <v>2.21</v>
      </c>
      <c r="D187" s="259" t="inlineStr">
        <is>
          <t>--</t>
        </is>
      </c>
      <c r="E187" s="259" t="inlineStr">
        <is>
          <t>--</t>
        </is>
      </c>
      <c r="F187" s="260" t="n">
        <v>2.21</v>
      </c>
      <c r="G187" s="259" t="inlineStr">
        <is>
          <t>--</t>
        </is>
      </c>
      <c r="H187" s="259" t="inlineStr">
        <is>
          <t>--</t>
        </is>
      </c>
      <c r="I187" s="259" t="inlineStr">
        <is>
          <t>--</t>
        </is>
      </c>
      <c r="J187" s="259" t="inlineStr">
        <is>
          <t>--</t>
        </is>
      </c>
      <c r="K187" s="259" t="inlineStr">
        <is>
          <t>--</t>
        </is>
      </c>
      <c r="L187" s="259" t="inlineStr">
        <is>
          <t>EQ-FLX</t>
        </is>
      </c>
    </row>
    <row r="188">
      <c r="A188" s="259" t="inlineStr">
        <is>
          <t>Edelweiss Large Cap Fund - Plan B</t>
        </is>
      </c>
      <c r="B188" s="260" t="n">
        <v>4.78</v>
      </c>
      <c r="C188" s="260" t="n">
        <v>2.4</v>
      </c>
      <c r="D188" s="260" t="n">
        <v>18.58</v>
      </c>
      <c r="E188" s="260" t="n">
        <v>21.22</v>
      </c>
      <c r="F188" s="260" t="n">
        <v>2.4</v>
      </c>
      <c r="G188" s="260" t="n">
        <v>13.04</v>
      </c>
      <c r="H188" s="260" t="n">
        <v>0.83</v>
      </c>
      <c r="I188" s="260" t="n">
        <v>1.35</v>
      </c>
      <c r="J188" s="260" t="n">
        <v>0.9399999999999999</v>
      </c>
      <c r="K188" s="260" t="n">
        <v>1.13</v>
      </c>
      <c r="L188" s="259" t="inlineStr">
        <is>
          <t>EQ-LC</t>
        </is>
      </c>
    </row>
    <row r="189">
      <c r="A189" s="259" t="inlineStr">
        <is>
          <t>Edelweiss Large Cap Fund - Plan C</t>
        </is>
      </c>
      <c r="B189" s="260" t="n">
        <v>4.78</v>
      </c>
      <c r="C189" s="260" t="n">
        <v>2.4</v>
      </c>
      <c r="D189" s="260" t="n">
        <v>18.58</v>
      </c>
      <c r="E189" s="260" t="n">
        <v>21.22</v>
      </c>
      <c r="F189" s="260" t="n">
        <v>2.4</v>
      </c>
      <c r="G189" s="260" t="n">
        <v>13.04</v>
      </c>
      <c r="H189" s="260" t="n">
        <v>0.83</v>
      </c>
      <c r="I189" s="260" t="n">
        <v>1.35</v>
      </c>
      <c r="J189" s="260" t="n">
        <v>0.9399999999999999</v>
      </c>
      <c r="K189" s="260" t="n">
        <v>1.13</v>
      </c>
      <c r="L189" s="259" t="inlineStr">
        <is>
          <t>EQ-LC</t>
        </is>
      </c>
    </row>
    <row r="190">
      <c r="A190" s="259" t="inlineStr">
        <is>
          <t>Edelweiss Large Cap Fund - Regular Plan</t>
        </is>
      </c>
      <c r="B190" s="260" t="n">
        <v>4.78</v>
      </c>
      <c r="C190" s="260" t="n">
        <v>2.12</v>
      </c>
      <c r="D190" s="260" t="n">
        <v>18.56</v>
      </c>
      <c r="E190" s="260" t="n">
        <v>21.19</v>
      </c>
      <c r="F190" s="260" t="n">
        <v>2.12</v>
      </c>
      <c r="G190" s="260" t="n">
        <v>13.04</v>
      </c>
      <c r="H190" s="260" t="n">
        <v>0.83</v>
      </c>
      <c r="I190" s="260" t="n">
        <v>1.34</v>
      </c>
      <c r="J190" s="260" t="n">
        <v>0.9399999999999999</v>
      </c>
      <c r="K190" s="260" t="n">
        <v>1.1</v>
      </c>
      <c r="L190" s="259" t="inlineStr">
        <is>
          <t>EQ-LC</t>
        </is>
      </c>
    </row>
    <row r="191">
      <c r="A191" s="259" t="inlineStr">
        <is>
          <t>Edelweiss Large &amp; Mid Cap Fund - Regular Plan</t>
        </is>
      </c>
      <c r="B191" s="260" t="n">
        <v>7.94</v>
      </c>
      <c r="C191" s="260" t="n">
        <v>1.86</v>
      </c>
      <c r="D191" s="260" t="n">
        <v>21.73</v>
      </c>
      <c r="E191" s="260" t="n">
        <v>25.24</v>
      </c>
      <c r="F191" s="260" t="n">
        <v>1.86</v>
      </c>
      <c r="G191" s="260" t="n">
        <v>14.81</v>
      </c>
      <c r="H191" s="260" t="n">
        <v>0.88</v>
      </c>
      <c r="I191" s="260" t="n">
        <v>1.23</v>
      </c>
      <c r="J191" s="260" t="n">
        <v>0.99</v>
      </c>
      <c r="K191" s="260" t="n">
        <v>2.12</v>
      </c>
      <c r="L191" s="259" t="inlineStr">
        <is>
          <t>EQ-L&amp;MC</t>
        </is>
      </c>
    </row>
    <row r="192">
      <c r="A192" s="259" t="inlineStr">
        <is>
          <t>Edelweiss Mid Cap Fund - Regular Plan</t>
        </is>
      </c>
      <c r="B192" s="260" t="n">
        <v>13.7</v>
      </c>
      <c r="C192" s="260" t="n">
        <v>1.7</v>
      </c>
      <c r="D192" s="260" t="n">
        <v>29.58</v>
      </c>
      <c r="E192" s="260" t="n">
        <v>33.57</v>
      </c>
      <c r="F192" s="260" t="n">
        <v>1.7</v>
      </c>
      <c r="G192" s="260" t="n">
        <v>16.63</v>
      </c>
      <c r="H192" s="260" t="n">
        <v>1.17</v>
      </c>
      <c r="I192" s="260" t="n">
        <v>1.58</v>
      </c>
      <c r="J192" s="260" t="n">
        <v>0.95</v>
      </c>
      <c r="K192" s="260" t="n">
        <v>2.35</v>
      </c>
      <c r="L192" s="259" t="inlineStr">
        <is>
          <t>EQ-MC</t>
        </is>
      </c>
    </row>
    <row r="193">
      <c r="A193" s="259" t="inlineStr">
        <is>
          <t>Edelweiss Multi Asset Allocation Fund - Regular Plan</t>
        </is>
      </c>
      <c r="B193" s="260" t="n">
        <v>8.710000000000001</v>
      </c>
      <c r="C193" s="260" t="n">
        <v>0.72</v>
      </c>
      <c r="D193" s="259" t="inlineStr">
        <is>
          <t>--</t>
        </is>
      </c>
      <c r="E193" s="259" t="inlineStr">
        <is>
          <t>--</t>
        </is>
      </c>
      <c r="F193" s="260" t="n">
        <v>0.72</v>
      </c>
      <c r="G193" s="259" t="inlineStr">
        <is>
          <t>--</t>
        </is>
      </c>
      <c r="H193" s="259" t="inlineStr">
        <is>
          <t>--</t>
        </is>
      </c>
      <c r="I193" s="259" t="inlineStr">
        <is>
          <t>--</t>
        </is>
      </c>
      <c r="J193" s="259" t="inlineStr">
        <is>
          <t>--</t>
        </is>
      </c>
      <c r="K193" s="259" t="inlineStr">
        <is>
          <t>--</t>
        </is>
      </c>
      <c r="L193" s="259" t="inlineStr">
        <is>
          <t>HY-MAA</t>
        </is>
      </c>
    </row>
    <row r="194">
      <c r="A194" s="259" t="inlineStr">
        <is>
          <t>Edelweiss Multi Cap Fund - Regular Plan</t>
        </is>
      </c>
      <c r="B194" s="260" t="n">
        <v>6.93</v>
      </c>
      <c r="C194" s="260" t="n">
        <v>1.92</v>
      </c>
      <c r="D194" s="259" t="inlineStr">
        <is>
          <t>--</t>
        </is>
      </c>
      <c r="E194" s="259" t="inlineStr">
        <is>
          <t>--</t>
        </is>
      </c>
      <c r="F194" s="260" t="n">
        <v>1.92</v>
      </c>
      <c r="G194" s="259" t="inlineStr">
        <is>
          <t>--</t>
        </is>
      </c>
      <c r="H194" s="259" t="inlineStr">
        <is>
          <t>--</t>
        </is>
      </c>
      <c r="I194" s="259" t="inlineStr">
        <is>
          <t>--</t>
        </is>
      </c>
      <c r="J194" s="259" t="inlineStr">
        <is>
          <t>--</t>
        </is>
      </c>
      <c r="K194" s="259" t="inlineStr">
        <is>
          <t>--</t>
        </is>
      </c>
      <c r="L194" s="259" t="inlineStr">
        <is>
          <t>EQ-MLC</t>
        </is>
      </c>
    </row>
    <row r="195">
      <c r="A195" s="259" t="inlineStr">
        <is>
          <t>Edelweiss Nifty 100 Quality 30 Index Fund - Regular Plan</t>
        </is>
      </c>
      <c r="B195" s="260" t="n">
        <v>0.3</v>
      </c>
      <c r="C195" s="260" t="n">
        <v>0.85</v>
      </c>
      <c r="D195" s="260" t="n">
        <v>17.15</v>
      </c>
      <c r="E195" s="259" t="inlineStr">
        <is>
          <t>--</t>
        </is>
      </c>
      <c r="F195" s="260" t="n">
        <v>0.85</v>
      </c>
      <c r="G195" s="260" t="n">
        <v>14.51</v>
      </c>
      <c r="H195" s="260" t="n">
        <v>0.64</v>
      </c>
      <c r="I195" s="260" t="n">
        <v>0.86</v>
      </c>
      <c r="J195" s="260" t="n">
        <v>0.98</v>
      </c>
      <c r="K195" s="260" t="n">
        <v>-0.88</v>
      </c>
      <c r="L195" s="259" t="inlineStr">
        <is>
          <t>EQ-LC</t>
        </is>
      </c>
    </row>
    <row r="196">
      <c r="A196" s="259" t="inlineStr">
        <is>
          <t>Edelweiss Nifty500 Multicap Momentum Quality 50 ETF</t>
        </is>
      </c>
      <c r="B196" s="259" t="inlineStr">
        <is>
          <t>--</t>
        </is>
      </c>
      <c r="C196" s="260" t="n">
        <v>0.3</v>
      </c>
      <c r="D196" s="259" t="inlineStr">
        <is>
          <t>--</t>
        </is>
      </c>
      <c r="E196" s="259" t="inlineStr">
        <is>
          <t>--</t>
        </is>
      </c>
      <c r="F196" s="260" t="n">
        <v>0.3</v>
      </c>
      <c r="G196" s="259" t="inlineStr">
        <is>
          <t>--</t>
        </is>
      </c>
      <c r="H196" s="259" t="inlineStr">
        <is>
          <t>--</t>
        </is>
      </c>
      <c r="I196" s="259" t="inlineStr">
        <is>
          <t>--</t>
        </is>
      </c>
      <c r="J196" s="259" t="inlineStr">
        <is>
          <t>--</t>
        </is>
      </c>
      <c r="K196" s="259" t="inlineStr">
        <is>
          <t>--</t>
        </is>
      </c>
      <c r="L196" s="259" t="inlineStr">
        <is>
          <t>EQ-MLC</t>
        </is>
      </c>
    </row>
    <row r="197">
      <c r="A197" s="259" t="inlineStr">
        <is>
          <t>Edelweiss Nifty500 Multicap Momentum Quality 50 Index Fund - Regular Plan</t>
        </is>
      </c>
      <c r="B197" s="259" t="inlineStr">
        <is>
          <t>--</t>
        </is>
      </c>
      <c r="C197" s="260" t="n">
        <v>1.02</v>
      </c>
      <c r="D197" s="259" t="inlineStr">
        <is>
          <t>--</t>
        </is>
      </c>
      <c r="E197" s="259" t="inlineStr">
        <is>
          <t>--</t>
        </is>
      </c>
      <c r="F197" s="260" t="n">
        <v>1.02</v>
      </c>
      <c r="G197" s="259" t="inlineStr">
        <is>
          <t>--</t>
        </is>
      </c>
      <c r="H197" s="259" t="inlineStr">
        <is>
          <t>--</t>
        </is>
      </c>
      <c r="I197" s="259" t="inlineStr">
        <is>
          <t>--</t>
        </is>
      </c>
      <c r="J197" s="259" t="inlineStr">
        <is>
          <t>--</t>
        </is>
      </c>
      <c r="K197" s="259" t="inlineStr">
        <is>
          <t>--</t>
        </is>
      </c>
      <c r="L197" s="259" t="inlineStr">
        <is>
          <t>EQ-MLC</t>
        </is>
      </c>
    </row>
    <row r="198">
      <c r="A198" s="259" t="inlineStr">
        <is>
          <t>Edelweiss Nifty 50 Index Fund - Regular Plan</t>
        </is>
      </c>
      <c r="B198" s="260" t="n">
        <v>7.16</v>
      </c>
      <c r="C198" s="260" t="n">
        <v>0.5</v>
      </c>
      <c r="D198" s="260" t="n">
        <v>15.76</v>
      </c>
      <c r="E198" s="259" t="inlineStr">
        <is>
          <t>--</t>
        </is>
      </c>
      <c r="F198" s="260" t="n">
        <v>0.5</v>
      </c>
      <c r="G198" s="260" t="n">
        <v>13.09</v>
      </c>
      <c r="H198" s="260" t="n">
        <v>0.63</v>
      </c>
      <c r="I198" s="260" t="n">
        <v>1.08</v>
      </c>
      <c r="J198" s="260" t="n">
        <v>0.9399999999999999</v>
      </c>
      <c r="K198" s="260" t="n">
        <v>-1.43</v>
      </c>
      <c r="L198" s="259" t="inlineStr">
        <is>
          <t>EQ-LC</t>
        </is>
      </c>
    </row>
    <row r="199">
      <c r="A199" s="259" t="inlineStr">
        <is>
          <t>Edelweiss Nifty Alpha Low Volatility 30 Index Fund - Regular Plan</t>
        </is>
      </c>
      <c r="B199" s="260" t="n">
        <v>-4.25</v>
      </c>
      <c r="C199" s="260" t="n">
        <v>1.1</v>
      </c>
      <c r="D199" s="259" t="inlineStr">
        <is>
          <t>--</t>
        </is>
      </c>
      <c r="E199" s="259" t="inlineStr">
        <is>
          <t>--</t>
        </is>
      </c>
      <c r="F199" s="260" t="n">
        <v>1.1</v>
      </c>
      <c r="G199" s="259" t="inlineStr">
        <is>
          <t>--</t>
        </is>
      </c>
      <c r="H199" s="259" t="inlineStr">
        <is>
          <t>--</t>
        </is>
      </c>
      <c r="I199" s="259" t="inlineStr">
        <is>
          <t>--</t>
        </is>
      </c>
      <c r="J199" s="259" t="inlineStr">
        <is>
          <t>--</t>
        </is>
      </c>
      <c r="K199" s="259" t="inlineStr">
        <is>
          <t>--</t>
        </is>
      </c>
      <c r="L199" s="259" t="inlineStr">
        <is>
          <t>EQ-L&amp;MC</t>
        </is>
      </c>
    </row>
    <row r="200">
      <c r="A200" s="259" t="inlineStr">
        <is>
          <t>Edelweiss NIFTY Large Mid Cap 250 Index Fund - Regular Plan</t>
        </is>
      </c>
      <c r="B200" s="260" t="n">
        <v>5.33</v>
      </c>
      <c r="C200" s="260" t="n">
        <v>0.9</v>
      </c>
      <c r="D200" s="260" t="n">
        <v>21.5</v>
      </c>
      <c r="E200" s="259" t="inlineStr">
        <is>
          <t>--</t>
        </is>
      </c>
      <c r="F200" s="260" t="n">
        <v>0.9</v>
      </c>
      <c r="G200" s="260" t="n">
        <v>14.9</v>
      </c>
      <c r="H200" s="260" t="n">
        <v>0.89</v>
      </c>
      <c r="I200" s="260" t="n">
        <v>1.33</v>
      </c>
      <c r="J200" s="260" t="n">
        <v>1.03</v>
      </c>
      <c r="K200" s="260" t="n">
        <v>1.94</v>
      </c>
      <c r="L200" s="259" t="inlineStr">
        <is>
          <t>EQ-L&amp;MC</t>
        </is>
      </c>
    </row>
    <row r="201">
      <c r="A201" s="259" t="inlineStr">
        <is>
          <t>Edelweiss Nifty Midcap150 Momentum 50 Index Fund - Regular Plan</t>
        </is>
      </c>
      <c r="B201" s="260" t="n">
        <v>-0.37</v>
      </c>
      <c r="C201" s="260" t="n">
        <v>1.1</v>
      </c>
      <c r="D201" s="259" t="inlineStr">
        <is>
          <t>--</t>
        </is>
      </c>
      <c r="E201" s="259" t="inlineStr">
        <is>
          <t>--</t>
        </is>
      </c>
      <c r="F201" s="260" t="n">
        <v>1.1</v>
      </c>
      <c r="G201" s="259" t="inlineStr">
        <is>
          <t>--</t>
        </is>
      </c>
      <c r="H201" s="259" t="inlineStr">
        <is>
          <t>--</t>
        </is>
      </c>
      <c r="I201" s="259" t="inlineStr">
        <is>
          <t>--</t>
        </is>
      </c>
      <c r="J201" s="259" t="inlineStr">
        <is>
          <t>--</t>
        </is>
      </c>
      <c r="K201" s="259" t="inlineStr">
        <is>
          <t>--</t>
        </is>
      </c>
      <c r="L201" s="259" t="inlineStr">
        <is>
          <t>EQ-MC</t>
        </is>
      </c>
    </row>
    <row r="202">
      <c r="A202" s="259" t="inlineStr">
        <is>
          <t>Edelweiss Nifty Next 50 Index Fund - Regular Plan</t>
        </is>
      </c>
      <c r="B202" s="260" t="n">
        <v>-4.21</v>
      </c>
      <c r="C202" s="260" t="n">
        <v>0.75</v>
      </c>
      <c r="D202" s="259" t="inlineStr">
        <is>
          <t>--</t>
        </is>
      </c>
      <c r="E202" s="259" t="inlineStr">
        <is>
          <t>--</t>
        </is>
      </c>
      <c r="F202" s="260" t="n">
        <v>0.75</v>
      </c>
      <c r="G202" s="259" t="inlineStr">
        <is>
          <t>--</t>
        </is>
      </c>
      <c r="H202" s="259" t="inlineStr">
        <is>
          <t>--</t>
        </is>
      </c>
      <c r="I202" s="259" t="inlineStr">
        <is>
          <t>--</t>
        </is>
      </c>
      <c r="J202" s="259" t="inlineStr">
        <is>
          <t>--</t>
        </is>
      </c>
      <c r="K202" s="259" t="inlineStr">
        <is>
          <t>--</t>
        </is>
      </c>
      <c r="L202" s="259" t="inlineStr">
        <is>
          <t>EQ-LC</t>
        </is>
      </c>
    </row>
    <row r="203">
      <c r="A203" s="259" t="inlineStr">
        <is>
          <t>Edelweiss Nifty Smallcap 250 Index Fund - Regular Plan</t>
        </is>
      </c>
      <c r="B203" s="260" t="n">
        <v>3.64</v>
      </c>
      <c r="C203" s="260" t="n">
        <v>0.78</v>
      </c>
      <c r="D203" s="259" t="inlineStr">
        <is>
          <t>--</t>
        </is>
      </c>
      <c r="E203" s="259" t="inlineStr">
        <is>
          <t>--</t>
        </is>
      </c>
      <c r="F203" s="260" t="n">
        <v>0.78</v>
      </c>
      <c r="G203" s="259" t="inlineStr">
        <is>
          <t>--</t>
        </is>
      </c>
      <c r="H203" s="259" t="inlineStr">
        <is>
          <t>--</t>
        </is>
      </c>
      <c r="I203" s="259" t="inlineStr">
        <is>
          <t>--</t>
        </is>
      </c>
      <c r="J203" s="259" t="inlineStr">
        <is>
          <t>--</t>
        </is>
      </c>
      <c r="K203" s="259" t="inlineStr">
        <is>
          <t>--</t>
        </is>
      </c>
      <c r="L203" s="259" t="inlineStr">
        <is>
          <t>EQ-SC</t>
        </is>
      </c>
    </row>
    <row r="204" hidden="1">
      <c r="A204" s="259" t="inlineStr">
        <is>
          <t>Edelweiss Recently Listed IPO Fund - Regular Plan</t>
        </is>
      </c>
      <c r="B204" s="260" t="n">
        <v>3.03</v>
      </c>
      <c r="C204" s="260" t="n">
        <v>2.29</v>
      </c>
      <c r="D204" s="260" t="n">
        <v>15.32</v>
      </c>
      <c r="E204" s="260" t="n">
        <v>22.04</v>
      </c>
      <c r="F204" s="260" t="n">
        <v>2.29</v>
      </c>
      <c r="G204" s="260" t="n">
        <v>18.53</v>
      </c>
      <c r="H204" s="260" t="n">
        <v>0.5</v>
      </c>
      <c r="I204" s="260" t="n">
        <v>0.6899999999999999</v>
      </c>
      <c r="J204" s="260" t="n">
        <v>0.99</v>
      </c>
      <c r="K204" s="260" t="n">
        <v>-2.22</v>
      </c>
      <c r="L204" s="259" t="inlineStr">
        <is>
          <t>EQ-THEMATIC</t>
        </is>
      </c>
    </row>
    <row r="205">
      <c r="A205" s="259" t="inlineStr">
        <is>
          <t>Edelweiss Small Cap Fund - Regular Plan</t>
        </is>
      </c>
      <c r="B205" s="260" t="n">
        <v>5.1</v>
      </c>
      <c r="C205" s="260" t="n">
        <v>1.83</v>
      </c>
      <c r="D205" s="260" t="n">
        <v>24.91</v>
      </c>
      <c r="E205" s="260" t="n">
        <v>34.62</v>
      </c>
      <c r="F205" s="260" t="n">
        <v>1.83</v>
      </c>
      <c r="G205" s="260" t="n">
        <v>16.79</v>
      </c>
      <c r="H205" s="260" t="n">
        <v>0.95</v>
      </c>
      <c r="I205" s="260" t="n">
        <v>1.34</v>
      </c>
      <c r="J205" s="260" t="n">
        <v>0.83</v>
      </c>
      <c r="K205" s="260" t="n">
        <v>0.76</v>
      </c>
      <c r="L205" s="259" t="inlineStr">
        <is>
          <t>EQ-SC</t>
        </is>
      </c>
    </row>
    <row r="206">
      <c r="A206" s="259" t="inlineStr">
        <is>
          <t>Franklin India Balanced Advantage Fund - Regular Plan</t>
        </is>
      </c>
      <c r="B206" s="260" t="n">
        <v>7.46</v>
      </c>
      <c r="C206" s="260" t="n">
        <v>1.94</v>
      </c>
      <c r="D206" s="259" t="inlineStr">
        <is>
          <t>--</t>
        </is>
      </c>
      <c r="E206" s="259" t="inlineStr">
        <is>
          <t>--</t>
        </is>
      </c>
      <c r="F206" s="260" t="n">
        <v>1.94</v>
      </c>
      <c r="G206" s="259" t="inlineStr">
        <is>
          <t>--</t>
        </is>
      </c>
      <c r="H206" s="259" t="inlineStr">
        <is>
          <t>--</t>
        </is>
      </c>
      <c r="I206" s="259" t="inlineStr">
        <is>
          <t>--</t>
        </is>
      </c>
      <c r="J206" s="259" t="inlineStr">
        <is>
          <t>--</t>
        </is>
      </c>
      <c r="K206" s="259" t="inlineStr">
        <is>
          <t>--</t>
        </is>
      </c>
      <c r="L206" s="259" t="inlineStr">
        <is>
          <t>HY-DAA</t>
        </is>
      </c>
    </row>
    <row r="207">
      <c r="A207" s="259" t="inlineStr">
        <is>
          <t>Franklin India Bluechip Fund - Regular Plan</t>
        </is>
      </c>
      <c r="B207" s="260" t="n">
        <v>8.289999999999999</v>
      </c>
      <c r="C207" s="260" t="n">
        <v>1.84</v>
      </c>
      <c r="D207" s="260" t="n">
        <v>16.19</v>
      </c>
      <c r="E207" s="260" t="n">
        <v>20.29</v>
      </c>
      <c r="F207" s="260" t="n">
        <v>1.84</v>
      </c>
      <c r="G207" s="260" t="n">
        <v>12.8</v>
      </c>
      <c r="H207" s="260" t="n">
        <v>0.65</v>
      </c>
      <c r="I207" s="260" t="n">
        <v>1</v>
      </c>
      <c r="J207" s="260" t="n">
        <v>0.91</v>
      </c>
      <c r="K207" s="260" t="n">
        <v>-1.03</v>
      </c>
      <c r="L207" s="259" t="inlineStr">
        <is>
          <t>EQ-LC</t>
        </is>
      </c>
    </row>
    <row r="208">
      <c r="A208" s="259" t="inlineStr">
        <is>
          <t>Franklin India Dynamic Asset Allocation Fund of Fund - Regular Plan</t>
        </is>
      </c>
      <c r="B208" s="260" t="n">
        <v>8.050000000000001</v>
      </c>
      <c r="C208" s="260" t="n">
        <v>2.01</v>
      </c>
      <c r="D208" s="260" t="n">
        <v>15.69</v>
      </c>
      <c r="E208" s="260" t="n">
        <v>19.87</v>
      </c>
      <c r="F208" s="260" t="n">
        <v>2.01</v>
      </c>
      <c r="G208" s="260" t="n">
        <v>7.14</v>
      </c>
      <c r="H208" s="260" t="n">
        <v>1.12</v>
      </c>
      <c r="I208" s="260" t="n">
        <v>1.64</v>
      </c>
      <c r="J208" s="260" t="n">
        <v>0.66</v>
      </c>
      <c r="K208" s="260" t="n">
        <v>2.84</v>
      </c>
      <c r="L208" s="259" t="inlineStr">
        <is>
          <t>HY-DAA</t>
        </is>
      </c>
    </row>
    <row r="209">
      <c r="A209" s="259" t="inlineStr">
        <is>
          <t>Franklin India Equity Advantage Fund - Regular Plan</t>
        </is>
      </c>
      <c r="B209" s="260" t="n">
        <v>10.61</v>
      </c>
      <c r="C209" s="260" t="n">
        <v>2.02</v>
      </c>
      <c r="D209" s="260" t="n">
        <v>18.92</v>
      </c>
      <c r="E209" s="260" t="n">
        <v>24.77</v>
      </c>
      <c r="F209" s="260" t="n">
        <v>2.02</v>
      </c>
      <c r="G209" s="260" t="n">
        <v>14.1</v>
      </c>
      <c r="H209" s="260" t="n">
        <v>0.74</v>
      </c>
      <c r="I209" s="260" t="n">
        <v>1.11</v>
      </c>
      <c r="J209" s="260" t="n">
        <v>0.95</v>
      </c>
      <c r="K209" s="260" t="n">
        <v>-0.01</v>
      </c>
      <c r="L209" s="259" t="inlineStr">
        <is>
          <t>EQ-L&amp;MC</t>
        </is>
      </c>
    </row>
    <row r="210">
      <c r="A210" s="259" t="inlineStr">
        <is>
          <t>Franklin India Flexi Cap Fund - Regular Plan</t>
        </is>
      </c>
      <c r="B210" s="260" t="n">
        <v>8.109999999999999</v>
      </c>
      <c r="C210" s="260" t="n">
        <v>1.7</v>
      </c>
      <c r="D210" s="260" t="n">
        <v>22.64</v>
      </c>
      <c r="E210" s="260" t="n">
        <v>26.81</v>
      </c>
      <c r="F210" s="260" t="n">
        <v>1.7</v>
      </c>
      <c r="G210" s="260" t="n">
        <v>13.6</v>
      </c>
      <c r="H210" s="260" t="n">
        <v>1.03</v>
      </c>
      <c r="I210" s="260" t="n">
        <v>1.52</v>
      </c>
      <c r="J210" s="260" t="n">
        <v>0.92</v>
      </c>
      <c r="K210" s="260" t="n">
        <v>3.47</v>
      </c>
      <c r="L210" s="259" t="inlineStr">
        <is>
          <t>EQ-FLX</t>
        </is>
      </c>
    </row>
    <row r="211">
      <c r="A211" s="259" t="inlineStr">
        <is>
          <t>Franklin India Focused Equity Fund - Regular Plan</t>
        </is>
      </c>
      <c r="B211" s="260" t="n">
        <v>3.93</v>
      </c>
      <c r="C211" s="260" t="n">
        <v>1.76</v>
      </c>
      <c r="D211" s="260" t="n">
        <v>20.07</v>
      </c>
      <c r="E211" s="260" t="n">
        <v>24.82</v>
      </c>
      <c r="F211" s="260" t="n">
        <v>1.76</v>
      </c>
      <c r="G211" s="260" t="n">
        <v>13.24</v>
      </c>
      <c r="H211" s="260" t="n">
        <v>0.92</v>
      </c>
      <c r="I211" s="260" t="n">
        <v>1.43</v>
      </c>
      <c r="J211" s="260" t="n">
        <v>0.87</v>
      </c>
      <c r="K211" s="260" t="n">
        <v>2.09</v>
      </c>
      <c r="L211" s="259" t="inlineStr">
        <is>
          <t>EQ-FLX</t>
        </is>
      </c>
    </row>
    <row r="212">
      <c r="A212" s="259" t="inlineStr">
        <is>
          <t>Franklin India Multi Asset Solution Fund of Funds - Regular Plan</t>
        </is>
      </c>
      <c r="B212" s="260" t="n">
        <v>14.77</v>
      </c>
      <c r="C212" s="260" t="n">
        <v>2.13</v>
      </c>
      <c r="D212" s="260" t="n">
        <v>13.97</v>
      </c>
      <c r="E212" s="260" t="n">
        <v>15.78</v>
      </c>
      <c r="F212" s="260" t="n">
        <v>2.13</v>
      </c>
      <c r="G212" s="260" t="n">
        <v>5.15</v>
      </c>
      <c r="H212" s="260" t="n">
        <v>1.25</v>
      </c>
      <c r="I212" s="260" t="n">
        <v>2.04</v>
      </c>
      <c r="J212" s="260" t="n">
        <v>0.43</v>
      </c>
      <c r="K212" s="260" t="n">
        <v>2.56</v>
      </c>
      <c r="L212" s="259" t="inlineStr">
        <is>
          <t>HY-MAA</t>
        </is>
      </c>
    </row>
    <row r="213">
      <c r="A213" s="259" t="inlineStr">
        <is>
          <t>Franklin India Multi Cap Fund - Regular Plan</t>
        </is>
      </c>
      <c r="B213" s="259" t="inlineStr">
        <is>
          <t>--</t>
        </is>
      </c>
      <c r="C213" s="260" t="n">
        <v>1.81</v>
      </c>
      <c r="D213" s="259" t="inlineStr">
        <is>
          <t>--</t>
        </is>
      </c>
      <c r="E213" s="259" t="inlineStr">
        <is>
          <t>--</t>
        </is>
      </c>
      <c r="F213" s="260" t="n">
        <v>1.81</v>
      </c>
      <c r="G213" s="259" t="inlineStr">
        <is>
          <t>--</t>
        </is>
      </c>
      <c r="H213" s="259" t="inlineStr">
        <is>
          <t>--</t>
        </is>
      </c>
      <c r="I213" s="259" t="inlineStr">
        <is>
          <t>--</t>
        </is>
      </c>
      <c r="J213" s="259" t="inlineStr">
        <is>
          <t>--</t>
        </is>
      </c>
      <c r="K213" s="259" t="inlineStr">
        <is>
          <t>--</t>
        </is>
      </c>
      <c r="L213" s="259" t="inlineStr">
        <is>
          <t>EQ-MLC</t>
        </is>
      </c>
    </row>
    <row r="214">
      <c r="A214" s="259" t="inlineStr">
        <is>
          <t>Franklin India NSE Nifty 50 Index - Regular Plan</t>
        </is>
      </c>
      <c r="B214" s="260" t="n">
        <v>7.31</v>
      </c>
      <c r="C214" s="260" t="n">
        <v>0.63</v>
      </c>
      <c r="D214" s="260" t="n">
        <v>15.84</v>
      </c>
      <c r="E214" s="260" t="n">
        <v>20.5</v>
      </c>
      <c r="F214" s="260" t="n">
        <v>0.63</v>
      </c>
      <c r="G214" s="260" t="n">
        <v>13.03</v>
      </c>
      <c r="H214" s="260" t="n">
        <v>0.64</v>
      </c>
      <c r="I214" s="260" t="n">
        <v>1.1</v>
      </c>
      <c r="J214" s="260" t="n">
        <v>0.9399999999999999</v>
      </c>
      <c r="K214" s="260" t="n">
        <v>-1.3</v>
      </c>
      <c r="L214" s="259" t="inlineStr">
        <is>
          <t>EQ-LC</t>
        </is>
      </c>
    </row>
    <row r="215" hidden="1">
      <c r="A215" s="259" t="inlineStr">
        <is>
          <t>Franklin India Opportunities Fund - Regular Plan</t>
        </is>
      </c>
      <c r="B215" s="260" t="n">
        <v>5.74</v>
      </c>
      <c r="C215" s="260" t="n">
        <v>1.77</v>
      </c>
      <c r="D215" s="260" t="n">
        <v>33.91</v>
      </c>
      <c r="E215" s="260" t="n">
        <v>31.67</v>
      </c>
      <c r="F215" s="260" t="n">
        <v>1.77</v>
      </c>
      <c r="G215" s="260" t="n">
        <v>16.41</v>
      </c>
      <c r="H215" s="260" t="n">
        <v>1.43</v>
      </c>
      <c r="I215" s="260" t="n">
        <v>2.03</v>
      </c>
      <c r="J215" s="260" t="n">
        <v>1</v>
      </c>
      <c r="K215" s="260" t="n">
        <v>12</v>
      </c>
      <c r="L215" s="259" t="inlineStr">
        <is>
          <t>EQ-THEMATIC</t>
        </is>
      </c>
    </row>
    <row r="216">
      <c r="A216" s="259" t="inlineStr">
        <is>
          <t>Franklin India Prima Fund - Regular Plan</t>
        </is>
      </c>
      <c r="B216" s="260" t="n">
        <v>8.109999999999999</v>
      </c>
      <c r="C216" s="260" t="n">
        <v>1.76</v>
      </c>
      <c r="D216" s="260" t="n">
        <v>27.8</v>
      </c>
      <c r="E216" s="260" t="n">
        <v>27.73</v>
      </c>
      <c r="F216" s="260" t="n">
        <v>1.76</v>
      </c>
      <c r="G216" s="260" t="n">
        <v>15.83</v>
      </c>
      <c r="H216" s="260" t="n">
        <v>1.15</v>
      </c>
      <c r="I216" s="260" t="n">
        <v>1.64</v>
      </c>
      <c r="J216" s="260" t="n">
        <v>0.91</v>
      </c>
      <c r="K216" s="260" t="n">
        <v>1.78</v>
      </c>
      <c r="L216" s="259" t="inlineStr">
        <is>
          <t>EQ-MC</t>
        </is>
      </c>
    </row>
    <row r="217">
      <c r="A217" s="259" t="inlineStr">
        <is>
          <t>Franklin India Smaller Companies Fund - Regular Plan</t>
        </is>
      </c>
      <c r="B217" s="260" t="n">
        <v>-0.14</v>
      </c>
      <c r="C217" s="260" t="n">
        <v>1.74</v>
      </c>
      <c r="D217" s="260" t="n">
        <v>28.58</v>
      </c>
      <c r="E217" s="260" t="n">
        <v>35.32</v>
      </c>
      <c r="F217" s="260" t="n">
        <v>1.74</v>
      </c>
      <c r="G217" s="260" t="n">
        <v>17.06</v>
      </c>
      <c r="H217" s="260" t="n">
        <v>1.14</v>
      </c>
      <c r="I217" s="260" t="n">
        <v>1.49</v>
      </c>
      <c r="J217" s="260" t="n">
        <v>0.83</v>
      </c>
      <c r="K217" s="260" t="n">
        <v>4.29</v>
      </c>
      <c r="L217" s="259" t="inlineStr">
        <is>
          <t>EQ-SC</t>
        </is>
      </c>
    </row>
    <row r="218">
      <c r="A218" s="259" t="inlineStr">
        <is>
          <t>Groww Large Cap Fund - Regular Plan</t>
        </is>
      </c>
      <c r="B218" s="260" t="n">
        <v>1.44</v>
      </c>
      <c r="C218" s="260" t="n">
        <v>2.46</v>
      </c>
      <c r="D218" s="260" t="n">
        <v>16.62</v>
      </c>
      <c r="E218" s="260" t="n">
        <v>18.5</v>
      </c>
      <c r="F218" s="260" t="n">
        <v>2.46</v>
      </c>
      <c r="G218" s="260" t="n">
        <v>13.83</v>
      </c>
      <c r="H218" s="260" t="n">
        <v>0.64</v>
      </c>
      <c r="I218" s="260" t="n">
        <v>1.12</v>
      </c>
      <c r="J218" s="260" t="n">
        <v>0.98</v>
      </c>
      <c r="K218" s="260" t="n">
        <v>-1.2</v>
      </c>
      <c r="L218" s="259" t="inlineStr">
        <is>
          <t>EQ-LC</t>
        </is>
      </c>
    </row>
    <row r="219">
      <c r="A219" s="259" t="inlineStr">
        <is>
          <t>Groww Multicap Fund - Regular Plan</t>
        </is>
      </c>
      <c r="B219" s="259" t="inlineStr">
        <is>
          <t>--</t>
        </is>
      </c>
      <c r="C219" s="260" t="n">
        <v>2.3</v>
      </c>
      <c r="D219" s="259" t="inlineStr">
        <is>
          <t>--</t>
        </is>
      </c>
      <c r="E219" s="259" t="inlineStr">
        <is>
          <t>--</t>
        </is>
      </c>
      <c r="F219" s="260" t="n">
        <v>2.3</v>
      </c>
      <c r="G219" s="259" t="inlineStr">
        <is>
          <t>--</t>
        </is>
      </c>
      <c r="H219" s="259" t="inlineStr">
        <is>
          <t>--</t>
        </is>
      </c>
      <c r="I219" s="259" t="inlineStr">
        <is>
          <t>--</t>
        </is>
      </c>
      <c r="J219" s="259" t="inlineStr">
        <is>
          <t>--</t>
        </is>
      </c>
      <c r="K219" s="259" t="inlineStr">
        <is>
          <t>--</t>
        </is>
      </c>
      <c r="L219" s="259" t="inlineStr">
        <is>
          <t>EQ-MLC</t>
        </is>
      </c>
    </row>
    <row r="220">
      <c r="A220" s="259" t="inlineStr">
        <is>
          <t>Groww Nifty 200 ETF</t>
        </is>
      </c>
      <c r="B220" s="259" t="inlineStr">
        <is>
          <t>--</t>
        </is>
      </c>
      <c r="C220" s="260" t="n">
        <v>0.35</v>
      </c>
      <c r="D220" s="259" t="inlineStr">
        <is>
          <t>--</t>
        </is>
      </c>
      <c r="E220" s="259" t="inlineStr">
        <is>
          <t>--</t>
        </is>
      </c>
      <c r="F220" s="260" t="n">
        <v>0.35</v>
      </c>
      <c r="G220" s="259" t="inlineStr">
        <is>
          <t>--</t>
        </is>
      </c>
      <c r="H220" s="259" t="inlineStr">
        <is>
          <t>--</t>
        </is>
      </c>
      <c r="I220" s="259" t="inlineStr">
        <is>
          <t>--</t>
        </is>
      </c>
      <c r="J220" s="259" t="inlineStr">
        <is>
          <t>--</t>
        </is>
      </c>
      <c r="K220" s="259" t="inlineStr">
        <is>
          <t>--</t>
        </is>
      </c>
      <c r="L220" s="259" t="inlineStr">
        <is>
          <t>EQ-L&amp;MC</t>
        </is>
      </c>
    </row>
    <row r="221">
      <c r="A221" s="259" t="inlineStr">
        <is>
          <t>Groww Nifty 200 ETF FoF - Regular Plan</t>
        </is>
      </c>
      <c r="B221" s="259" t="inlineStr">
        <is>
          <t>--</t>
        </is>
      </c>
      <c r="C221" s="260" t="n">
        <v>0.7</v>
      </c>
      <c r="D221" s="259" t="inlineStr">
        <is>
          <t>--</t>
        </is>
      </c>
      <c r="E221" s="259" t="inlineStr">
        <is>
          <t>--</t>
        </is>
      </c>
      <c r="F221" s="260" t="n">
        <v>0.7</v>
      </c>
      <c r="G221" s="259" t="inlineStr">
        <is>
          <t>--</t>
        </is>
      </c>
      <c r="H221" s="259" t="inlineStr">
        <is>
          <t>--</t>
        </is>
      </c>
      <c r="I221" s="259" t="inlineStr">
        <is>
          <t>--</t>
        </is>
      </c>
      <c r="J221" s="259" t="inlineStr">
        <is>
          <t>--</t>
        </is>
      </c>
      <c r="K221" s="259" t="inlineStr">
        <is>
          <t>--</t>
        </is>
      </c>
      <c r="L221" s="259" t="inlineStr">
        <is>
          <t>EQ-L&amp;MC</t>
        </is>
      </c>
    </row>
    <row r="222">
      <c r="A222" s="259" t="inlineStr">
        <is>
          <t>Groww Nifty 500 Low Volatility 50 ETF</t>
        </is>
      </c>
      <c r="B222" s="259" t="inlineStr">
        <is>
          <t>--</t>
        </is>
      </c>
      <c r="C222" s="259" t="inlineStr">
        <is>
          <t>--</t>
        </is>
      </c>
      <c r="D222" s="259" t="inlineStr">
        <is>
          <t>--</t>
        </is>
      </c>
      <c r="E222" s="259" t="inlineStr">
        <is>
          <t>--</t>
        </is>
      </c>
      <c r="F222" s="259" t="inlineStr">
        <is>
          <t>--</t>
        </is>
      </c>
      <c r="G222" s="259" t="inlineStr">
        <is>
          <t>--</t>
        </is>
      </c>
      <c r="H222" s="259" t="inlineStr">
        <is>
          <t>--</t>
        </is>
      </c>
      <c r="I222" s="259" t="inlineStr">
        <is>
          <t>--</t>
        </is>
      </c>
      <c r="J222" s="259" t="inlineStr">
        <is>
          <t>--</t>
        </is>
      </c>
      <c r="K222" s="259" t="inlineStr">
        <is>
          <t>--</t>
        </is>
      </c>
      <c r="L222" s="259" t="inlineStr">
        <is>
          <t>EQ-FLX</t>
        </is>
      </c>
    </row>
    <row r="223">
      <c r="A223" s="259" t="inlineStr">
        <is>
          <t>Groww Nifty 500 Momentum 50 ETF</t>
        </is>
      </c>
      <c r="B223" s="259" t="inlineStr">
        <is>
          <t>--</t>
        </is>
      </c>
      <c r="C223" s="260" t="n">
        <v>0.44</v>
      </c>
      <c r="D223" s="259" t="inlineStr">
        <is>
          <t>--</t>
        </is>
      </c>
      <c r="E223" s="259" t="inlineStr">
        <is>
          <t>--</t>
        </is>
      </c>
      <c r="F223" s="260" t="n">
        <v>0.44</v>
      </c>
      <c r="G223" s="259" t="inlineStr">
        <is>
          <t>--</t>
        </is>
      </c>
      <c r="H223" s="259" t="inlineStr">
        <is>
          <t>--</t>
        </is>
      </c>
      <c r="I223" s="259" t="inlineStr">
        <is>
          <t>--</t>
        </is>
      </c>
      <c r="J223" s="259" t="inlineStr">
        <is>
          <t>--</t>
        </is>
      </c>
      <c r="K223" s="259" t="inlineStr">
        <is>
          <t>--</t>
        </is>
      </c>
      <c r="L223" s="259" t="inlineStr">
        <is>
          <t>EQ-FLX</t>
        </is>
      </c>
    </row>
    <row r="224">
      <c r="A224" s="259" t="inlineStr">
        <is>
          <t>Groww Nifty 500 Momentum 50 ETF FoF - Regular Plan</t>
        </is>
      </c>
      <c r="B224" s="259" t="inlineStr">
        <is>
          <t>--</t>
        </is>
      </c>
      <c r="C224" s="260" t="n">
        <v>0.65</v>
      </c>
      <c r="D224" s="259" t="inlineStr">
        <is>
          <t>--</t>
        </is>
      </c>
      <c r="E224" s="259" t="inlineStr">
        <is>
          <t>--</t>
        </is>
      </c>
      <c r="F224" s="260" t="n">
        <v>0.65</v>
      </c>
      <c r="G224" s="259" t="inlineStr">
        <is>
          <t>--</t>
        </is>
      </c>
      <c r="H224" s="259" t="inlineStr">
        <is>
          <t>--</t>
        </is>
      </c>
      <c r="I224" s="259" t="inlineStr">
        <is>
          <t>--</t>
        </is>
      </c>
      <c r="J224" s="259" t="inlineStr">
        <is>
          <t>--</t>
        </is>
      </c>
      <c r="K224" s="259" t="inlineStr">
        <is>
          <t>--</t>
        </is>
      </c>
      <c r="L224" s="259" t="inlineStr">
        <is>
          <t>EQ-FLX</t>
        </is>
      </c>
    </row>
    <row r="225" hidden="1">
      <c r="A225" s="259" t="inlineStr">
        <is>
          <t>Groww Nifty EV &amp; New Age Automotive ETF</t>
        </is>
      </c>
      <c r="B225" s="259" t="inlineStr">
        <is>
          <t>--</t>
        </is>
      </c>
      <c r="C225" s="260" t="n">
        <v>0.47</v>
      </c>
      <c r="D225" s="259" t="inlineStr">
        <is>
          <t>--</t>
        </is>
      </c>
      <c r="E225" s="259" t="inlineStr">
        <is>
          <t>--</t>
        </is>
      </c>
      <c r="F225" s="260" t="n">
        <v>0.47</v>
      </c>
      <c r="G225" s="259" t="inlineStr">
        <is>
          <t>--</t>
        </is>
      </c>
      <c r="H225" s="259" t="inlineStr">
        <is>
          <t>--</t>
        </is>
      </c>
      <c r="I225" s="259" t="inlineStr">
        <is>
          <t>--</t>
        </is>
      </c>
      <c r="J225" s="259" t="inlineStr">
        <is>
          <t>--</t>
        </is>
      </c>
      <c r="K225" s="259" t="inlineStr">
        <is>
          <t>--</t>
        </is>
      </c>
      <c r="L225" s="259" t="inlineStr">
        <is>
          <t>EQ-THEMATIC</t>
        </is>
      </c>
    </row>
    <row r="226" hidden="1">
      <c r="A226" s="259" t="inlineStr">
        <is>
          <t>Groww Nifty EV &amp; New Age Automotive ETF FoF - Regular Plan</t>
        </is>
      </c>
      <c r="B226" s="259" t="inlineStr">
        <is>
          <t>--</t>
        </is>
      </c>
      <c r="C226" s="260" t="n">
        <v>0.62</v>
      </c>
      <c r="D226" s="259" t="inlineStr">
        <is>
          <t>--</t>
        </is>
      </c>
      <c r="E226" s="259" t="inlineStr">
        <is>
          <t>--</t>
        </is>
      </c>
      <c r="F226" s="260" t="n">
        <v>0.62</v>
      </c>
      <c r="G226" s="259" t="inlineStr">
        <is>
          <t>--</t>
        </is>
      </c>
      <c r="H226" s="259" t="inlineStr">
        <is>
          <t>--</t>
        </is>
      </c>
      <c r="I226" s="259" t="inlineStr">
        <is>
          <t>--</t>
        </is>
      </c>
      <c r="J226" s="259" t="inlineStr">
        <is>
          <t>--</t>
        </is>
      </c>
      <c r="K226" s="259" t="inlineStr">
        <is>
          <t>--</t>
        </is>
      </c>
      <c r="L226" s="259" t="inlineStr">
        <is>
          <t>EQ-THEMATIC</t>
        </is>
      </c>
    </row>
    <row r="227" hidden="1">
      <c r="A227" s="259" t="inlineStr">
        <is>
          <t>Groww Nifty India Defence ETF</t>
        </is>
      </c>
      <c r="B227" s="259" t="inlineStr">
        <is>
          <t>--</t>
        </is>
      </c>
      <c r="C227" s="260" t="n">
        <v>0.43</v>
      </c>
      <c r="D227" s="259" t="inlineStr">
        <is>
          <t>--</t>
        </is>
      </c>
      <c r="E227" s="259" t="inlineStr">
        <is>
          <t>--</t>
        </is>
      </c>
      <c r="F227" s="260" t="n">
        <v>0.43</v>
      </c>
      <c r="G227" s="259" t="inlineStr">
        <is>
          <t>--</t>
        </is>
      </c>
      <c r="H227" s="259" t="inlineStr">
        <is>
          <t>--</t>
        </is>
      </c>
      <c r="I227" s="259" t="inlineStr">
        <is>
          <t>--</t>
        </is>
      </c>
      <c r="J227" s="259" t="inlineStr">
        <is>
          <t>--</t>
        </is>
      </c>
      <c r="K227" s="259" t="inlineStr">
        <is>
          <t>--</t>
        </is>
      </c>
      <c r="L227" s="259" t="inlineStr">
        <is>
          <t>EQ-THEMATIC</t>
        </is>
      </c>
    </row>
    <row r="228" hidden="1">
      <c r="A228" s="259" t="inlineStr">
        <is>
          <t>Groww Nifty India Defence ETF FoF - Regular Plan</t>
        </is>
      </c>
      <c r="B228" s="259" t="inlineStr">
        <is>
          <t>--</t>
        </is>
      </c>
      <c r="C228" s="260" t="n">
        <v>0.63</v>
      </c>
      <c r="D228" s="259" t="inlineStr">
        <is>
          <t>--</t>
        </is>
      </c>
      <c r="E228" s="259" t="inlineStr">
        <is>
          <t>--</t>
        </is>
      </c>
      <c r="F228" s="260" t="n">
        <v>0.63</v>
      </c>
      <c r="G228" s="259" t="inlineStr">
        <is>
          <t>--</t>
        </is>
      </c>
      <c r="H228" s="259" t="inlineStr">
        <is>
          <t>--</t>
        </is>
      </c>
      <c r="I228" s="259" t="inlineStr">
        <is>
          <t>--</t>
        </is>
      </c>
      <c r="J228" s="259" t="inlineStr">
        <is>
          <t>--</t>
        </is>
      </c>
      <c r="K228" s="259" t="inlineStr">
        <is>
          <t>--</t>
        </is>
      </c>
      <c r="L228" s="259" t="inlineStr">
        <is>
          <t>EQ-THEMATIC</t>
        </is>
      </c>
    </row>
    <row r="229" hidden="1">
      <c r="A229" s="259" t="inlineStr">
        <is>
          <t>Groww Nifty India Internet ETF</t>
        </is>
      </c>
      <c r="B229" s="259" t="inlineStr">
        <is>
          <t>--</t>
        </is>
      </c>
      <c r="C229" s="259" t="inlineStr">
        <is>
          <t>--</t>
        </is>
      </c>
      <c r="D229" s="259" t="inlineStr">
        <is>
          <t>--</t>
        </is>
      </c>
      <c r="E229" s="259" t="inlineStr">
        <is>
          <t>--</t>
        </is>
      </c>
      <c r="F229" s="259" t="inlineStr">
        <is>
          <t>--</t>
        </is>
      </c>
      <c r="G229" s="259" t="inlineStr">
        <is>
          <t>--</t>
        </is>
      </c>
      <c r="H229" s="259" t="inlineStr">
        <is>
          <t>--</t>
        </is>
      </c>
      <c r="I229" s="259" t="inlineStr">
        <is>
          <t>--</t>
        </is>
      </c>
      <c r="J229" s="259" t="inlineStr">
        <is>
          <t>--</t>
        </is>
      </c>
      <c r="K229" s="259" t="inlineStr">
        <is>
          <t>--</t>
        </is>
      </c>
      <c r="L229" s="259" t="inlineStr">
        <is>
          <t>EQ-THEMATIC</t>
        </is>
      </c>
    </row>
    <row r="230" hidden="1">
      <c r="A230" s="259" t="inlineStr">
        <is>
          <t>Groww Nifty India Internet ETF FoF - Regular Plan</t>
        </is>
      </c>
      <c r="B230" s="259" t="inlineStr">
        <is>
          <t>--</t>
        </is>
      </c>
      <c r="C230" s="259" t="inlineStr">
        <is>
          <t>--</t>
        </is>
      </c>
      <c r="D230" s="259" t="inlineStr">
        <is>
          <t>--</t>
        </is>
      </c>
      <c r="E230" s="259" t="inlineStr">
        <is>
          <t>--</t>
        </is>
      </c>
      <c r="F230" s="259" t="inlineStr">
        <is>
          <t>--</t>
        </is>
      </c>
      <c r="G230" s="259" t="inlineStr">
        <is>
          <t>--</t>
        </is>
      </c>
      <c r="H230" s="259" t="inlineStr">
        <is>
          <t>--</t>
        </is>
      </c>
      <c r="I230" s="259" t="inlineStr">
        <is>
          <t>--</t>
        </is>
      </c>
      <c r="J230" s="259" t="inlineStr">
        <is>
          <t>--</t>
        </is>
      </c>
      <c r="K230" s="259" t="inlineStr">
        <is>
          <t>--</t>
        </is>
      </c>
      <c r="L230" s="259" t="inlineStr">
        <is>
          <t>EQ-THEMATIC</t>
        </is>
      </c>
    </row>
    <row r="231" hidden="1">
      <c r="A231" s="259" t="inlineStr">
        <is>
          <t>Groww Nifty India Railways PSU ETF</t>
        </is>
      </c>
      <c r="B231" s="259" t="inlineStr">
        <is>
          <t>--</t>
        </is>
      </c>
      <c r="C231" s="260" t="n">
        <v>0.49</v>
      </c>
      <c r="D231" s="259" t="inlineStr">
        <is>
          <t>--</t>
        </is>
      </c>
      <c r="E231" s="259" t="inlineStr">
        <is>
          <t>--</t>
        </is>
      </c>
      <c r="F231" s="260" t="n">
        <v>0.49</v>
      </c>
      <c r="G231" s="259" t="inlineStr">
        <is>
          <t>--</t>
        </is>
      </c>
      <c r="H231" s="259" t="inlineStr">
        <is>
          <t>--</t>
        </is>
      </c>
      <c r="I231" s="259" t="inlineStr">
        <is>
          <t>--</t>
        </is>
      </c>
      <c r="J231" s="259" t="inlineStr">
        <is>
          <t>--</t>
        </is>
      </c>
      <c r="K231" s="259" t="inlineStr">
        <is>
          <t>--</t>
        </is>
      </c>
      <c r="L231" s="259" t="inlineStr">
        <is>
          <t>EQ-PSU</t>
        </is>
      </c>
    </row>
    <row r="232" hidden="1">
      <c r="A232" s="259" t="inlineStr">
        <is>
          <t>Groww Nifty India Railways PSU Index Fund - Regular Plan</t>
        </is>
      </c>
      <c r="B232" s="259" t="inlineStr">
        <is>
          <t>--</t>
        </is>
      </c>
      <c r="C232" s="260" t="n">
        <v>1.07</v>
      </c>
      <c r="D232" s="259" t="inlineStr">
        <is>
          <t>--</t>
        </is>
      </c>
      <c r="E232" s="259" t="inlineStr">
        <is>
          <t>--</t>
        </is>
      </c>
      <c r="F232" s="260" t="n">
        <v>1.07</v>
      </c>
      <c r="G232" s="259" t="inlineStr">
        <is>
          <t>--</t>
        </is>
      </c>
      <c r="H232" s="259" t="inlineStr">
        <is>
          <t>--</t>
        </is>
      </c>
      <c r="I232" s="259" t="inlineStr">
        <is>
          <t>--</t>
        </is>
      </c>
      <c r="J232" s="259" t="inlineStr">
        <is>
          <t>--</t>
        </is>
      </c>
      <c r="K232" s="259" t="inlineStr">
        <is>
          <t>--</t>
        </is>
      </c>
      <c r="L232" s="259" t="inlineStr">
        <is>
          <t>EQ-PSU</t>
        </is>
      </c>
    </row>
    <row r="233" hidden="1">
      <c r="A233" s="259" t="inlineStr">
        <is>
          <t>Groww Nifty Non-Cyclical Consumer Index Fund - Regular Plan</t>
        </is>
      </c>
      <c r="B233" s="260" t="n">
        <v>2.87</v>
      </c>
      <c r="C233" s="260" t="n">
        <v>1</v>
      </c>
      <c r="D233" s="259" t="inlineStr">
        <is>
          <t>--</t>
        </is>
      </c>
      <c r="E233" s="259" t="inlineStr">
        <is>
          <t>--</t>
        </is>
      </c>
      <c r="F233" s="260" t="n">
        <v>1</v>
      </c>
      <c r="G233" s="259" t="inlineStr">
        <is>
          <t>--</t>
        </is>
      </c>
      <c r="H233" s="259" t="inlineStr">
        <is>
          <t>--</t>
        </is>
      </c>
      <c r="I233" s="259" t="inlineStr">
        <is>
          <t>--</t>
        </is>
      </c>
      <c r="J233" s="259" t="inlineStr">
        <is>
          <t>--</t>
        </is>
      </c>
      <c r="K233" s="259" t="inlineStr">
        <is>
          <t>--</t>
        </is>
      </c>
      <c r="L233" s="259" t="inlineStr">
        <is>
          <t>EQ-Consumption</t>
        </is>
      </c>
    </row>
    <row r="234">
      <c r="A234" s="259" t="inlineStr">
        <is>
          <t>Groww Nifty Smallcap 250 Index Fund - Regular Plan</t>
        </is>
      </c>
      <c r="B234" s="260" t="n">
        <v>3.59</v>
      </c>
      <c r="C234" s="260" t="n">
        <v>1.05</v>
      </c>
      <c r="D234" s="259" t="inlineStr">
        <is>
          <t>--</t>
        </is>
      </c>
      <c r="E234" s="259" t="inlineStr">
        <is>
          <t>--</t>
        </is>
      </c>
      <c r="F234" s="260" t="n">
        <v>1.05</v>
      </c>
      <c r="G234" s="259" t="inlineStr">
        <is>
          <t>--</t>
        </is>
      </c>
      <c r="H234" s="259" t="inlineStr">
        <is>
          <t>--</t>
        </is>
      </c>
      <c r="I234" s="259" t="inlineStr">
        <is>
          <t>--</t>
        </is>
      </c>
      <c r="J234" s="259" t="inlineStr">
        <is>
          <t>--</t>
        </is>
      </c>
      <c r="K234" s="259" t="inlineStr">
        <is>
          <t>--</t>
        </is>
      </c>
      <c r="L234" s="259" t="inlineStr">
        <is>
          <t>EQ-SC</t>
        </is>
      </c>
    </row>
    <row r="235">
      <c r="A235" s="259" t="inlineStr">
        <is>
          <t>Groww Nifty Total Market Index Fund - Regular Plan</t>
        </is>
      </c>
      <c r="B235" s="260" t="n">
        <v>4.81</v>
      </c>
      <c r="C235" s="260" t="n">
        <v>1.05</v>
      </c>
      <c r="D235" s="259" t="inlineStr">
        <is>
          <t>--</t>
        </is>
      </c>
      <c r="E235" s="259" t="inlineStr">
        <is>
          <t>--</t>
        </is>
      </c>
      <c r="F235" s="260" t="n">
        <v>1.05</v>
      </c>
      <c r="G235" s="259" t="inlineStr">
        <is>
          <t>--</t>
        </is>
      </c>
      <c r="H235" s="259" t="inlineStr">
        <is>
          <t>--</t>
        </is>
      </c>
      <c r="I235" s="259" t="inlineStr">
        <is>
          <t>--</t>
        </is>
      </c>
      <c r="J235" s="259" t="inlineStr">
        <is>
          <t>--</t>
        </is>
      </c>
      <c r="K235" s="259" t="inlineStr">
        <is>
          <t>--</t>
        </is>
      </c>
      <c r="L235" s="259" t="inlineStr">
        <is>
          <t>EQ-FLX</t>
        </is>
      </c>
    </row>
    <row r="236">
      <c r="A236" s="259" t="inlineStr">
        <is>
          <t>HDFC Balanced Advantage Fund - Regular Plan</t>
        </is>
      </c>
      <c r="B236" s="260" t="n">
        <v>6.63</v>
      </c>
      <c r="C236" s="260" t="n">
        <v>1.37</v>
      </c>
      <c r="D236" s="260" t="n">
        <v>21.92</v>
      </c>
      <c r="E236" s="260" t="n">
        <v>25.35</v>
      </c>
      <c r="F236" s="260" t="n">
        <v>1.37</v>
      </c>
      <c r="G236" s="260" t="n">
        <v>9.74</v>
      </c>
      <c r="H236" s="260" t="n">
        <v>1.42</v>
      </c>
      <c r="I236" s="260" t="n">
        <v>2.51</v>
      </c>
      <c r="J236" s="260" t="n">
        <v>0.88</v>
      </c>
      <c r="K236" s="260" t="n">
        <v>6.9</v>
      </c>
      <c r="L236" s="259" t="inlineStr">
        <is>
          <t>HY-DAA</t>
        </is>
      </c>
    </row>
    <row r="237">
      <c r="A237" s="259" t="inlineStr">
        <is>
          <t>HDFC BSE 500 ETF</t>
        </is>
      </c>
      <c r="B237" s="260" t="n">
        <v>4.88</v>
      </c>
      <c r="C237" s="260" t="n">
        <v>0.3</v>
      </c>
      <c r="D237" s="259" t="inlineStr">
        <is>
          <t>--</t>
        </is>
      </c>
      <c r="E237" s="259" t="inlineStr">
        <is>
          <t>--</t>
        </is>
      </c>
      <c r="F237" s="260" t="n">
        <v>0.3</v>
      </c>
      <c r="G237" s="259" t="inlineStr">
        <is>
          <t>--</t>
        </is>
      </c>
      <c r="H237" s="259" t="inlineStr">
        <is>
          <t>--</t>
        </is>
      </c>
      <c r="I237" s="259" t="inlineStr">
        <is>
          <t>--</t>
        </is>
      </c>
      <c r="J237" s="259" t="inlineStr">
        <is>
          <t>--</t>
        </is>
      </c>
      <c r="K237" s="259" t="inlineStr">
        <is>
          <t>--</t>
        </is>
      </c>
      <c r="L237" s="259" t="inlineStr">
        <is>
          <t>EQ-FLX</t>
        </is>
      </c>
    </row>
    <row r="238">
      <c r="A238" s="259" t="inlineStr">
        <is>
          <t>HDFC BSE 500 Index Fund - Regular Plan</t>
        </is>
      </c>
      <c r="B238" s="260" t="n">
        <v>4.19</v>
      </c>
      <c r="C238" s="260" t="n">
        <v>0.8100000000000001</v>
      </c>
      <c r="D238" s="259" t="inlineStr">
        <is>
          <t>--</t>
        </is>
      </c>
      <c r="E238" s="259" t="inlineStr">
        <is>
          <t>--</t>
        </is>
      </c>
      <c r="F238" s="260" t="n">
        <v>0.8100000000000001</v>
      </c>
      <c r="G238" s="259" t="inlineStr">
        <is>
          <t>--</t>
        </is>
      </c>
      <c r="H238" s="259" t="inlineStr">
        <is>
          <t>--</t>
        </is>
      </c>
      <c r="I238" s="259" t="inlineStr">
        <is>
          <t>--</t>
        </is>
      </c>
      <c r="J238" s="259" t="inlineStr">
        <is>
          <t>--</t>
        </is>
      </c>
      <c r="K238" s="259" t="inlineStr">
        <is>
          <t>--</t>
        </is>
      </c>
      <c r="L238" s="259" t="inlineStr">
        <is>
          <t>EQ-FLX</t>
        </is>
      </c>
    </row>
    <row r="239">
      <c r="A239" s="259" t="inlineStr">
        <is>
          <t>HDFC BSE Sensex ETF</t>
        </is>
      </c>
      <c r="B239" s="260" t="n">
        <v>7.74</v>
      </c>
      <c r="C239" s="260" t="n">
        <v>0.05</v>
      </c>
      <c r="D239" s="260" t="n">
        <v>15.88</v>
      </c>
      <c r="E239" s="260" t="n">
        <v>20.68</v>
      </c>
      <c r="F239" s="260" t="n">
        <v>0.05</v>
      </c>
      <c r="G239" s="260" t="n">
        <v>12.7</v>
      </c>
      <c r="H239" s="260" t="n">
        <v>0.66</v>
      </c>
      <c r="I239" s="260" t="n">
        <v>1.11</v>
      </c>
      <c r="J239" s="260" t="n">
        <v>0.91</v>
      </c>
      <c r="K239" s="260" t="n">
        <v>-0.93</v>
      </c>
      <c r="L239" s="259" t="inlineStr">
        <is>
          <t>EQ-LC</t>
        </is>
      </c>
    </row>
    <row r="240">
      <c r="A240" s="259" t="inlineStr">
        <is>
          <t>HDFC BSE Sensex Index Fund - Regular Plan</t>
        </is>
      </c>
      <c r="B240" s="260" t="n">
        <v>7.38</v>
      </c>
      <c r="C240" s="260" t="n">
        <v>0.36</v>
      </c>
      <c r="D240" s="260" t="n">
        <v>15.45</v>
      </c>
      <c r="E240" s="260" t="n">
        <v>20.24</v>
      </c>
      <c r="F240" s="260" t="n">
        <v>0.36</v>
      </c>
      <c r="G240" s="260" t="n">
        <v>12.71</v>
      </c>
      <c r="H240" s="260" t="n">
        <v>0.63</v>
      </c>
      <c r="I240" s="260" t="n">
        <v>1.06</v>
      </c>
      <c r="J240" s="260" t="n">
        <v>0.91</v>
      </c>
      <c r="K240" s="260" t="n">
        <v>-1.31</v>
      </c>
      <c r="L240" s="259" t="inlineStr">
        <is>
          <t>EQ-LC</t>
        </is>
      </c>
    </row>
    <row r="241" hidden="1">
      <c r="A241" s="259" t="inlineStr">
        <is>
          <t>HDFC Business Cycle Fund - Regular Plan</t>
        </is>
      </c>
      <c r="B241" s="260" t="n">
        <v>4.6</v>
      </c>
      <c r="C241" s="260" t="n">
        <v>1.97</v>
      </c>
      <c r="D241" s="259" t="inlineStr">
        <is>
          <t>--</t>
        </is>
      </c>
      <c r="E241" s="259" t="inlineStr">
        <is>
          <t>--</t>
        </is>
      </c>
      <c r="F241" s="260" t="n">
        <v>1.97</v>
      </c>
      <c r="G241" s="259" t="inlineStr">
        <is>
          <t>--</t>
        </is>
      </c>
      <c r="H241" s="259" t="inlineStr">
        <is>
          <t>--</t>
        </is>
      </c>
      <c r="I241" s="259" t="inlineStr">
        <is>
          <t>--</t>
        </is>
      </c>
      <c r="J241" s="259" t="inlineStr">
        <is>
          <t>--</t>
        </is>
      </c>
      <c r="K241" s="259" t="inlineStr">
        <is>
          <t>--</t>
        </is>
      </c>
      <c r="L241" s="259" t="inlineStr">
        <is>
          <t>EQ-THEMATIC</t>
        </is>
      </c>
    </row>
    <row r="242" hidden="1">
      <c r="A242" s="259" t="inlineStr">
        <is>
          <t>HDFC Defence Fund - Regular Plan</t>
        </is>
      </c>
      <c r="B242" s="260" t="n">
        <v>14.82</v>
      </c>
      <c r="C242" s="260" t="n">
        <v>1.77</v>
      </c>
      <c r="D242" s="259" t="inlineStr">
        <is>
          <t>--</t>
        </is>
      </c>
      <c r="E242" s="259" t="inlineStr">
        <is>
          <t>--</t>
        </is>
      </c>
      <c r="F242" s="260" t="n">
        <v>1.77</v>
      </c>
      <c r="G242" s="259" t="inlineStr">
        <is>
          <t>--</t>
        </is>
      </c>
      <c r="H242" s="259" t="inlineStr">
        <is>
          <t>--</t>
        </is>
      </c>
      <c r="I242" s="259" t="inlineStr">
        <is>
          <t>--</t>
        </is>
      </c>
      <c r="J242" s="259" t="inlineStr">
        <is>
          <t>--</t>
        </is>
      </c>
      <c r="K242" s="259" t="inlineStr">
        <is>
          <t>--</t>
        </is>
      </c>
      <c r="L242" s="259" t="inlineStr">
        <is>
          <t>EQ-THEMATIC</t>
        </is>
      </c>
    </row>
    <row r="243" hidden="1">
      <c r="A243" s="259" t="inlineStr">
        <is>
          <t>HDFC Dividend Yield Fund - Regular Plan</t>
        </is>
      </c>
      <c r="B243" s="260" t="n">
        <v>2.76</v>
      </c>
      <c r="C243" s="260" t="n">
        <v>1.81</v>
      </c>
      <c r="D243" s="260" t="n">
        <v>22.25</v>
      </c>
      <c r="E243" s="259" t="inlineStr">
        <is>
          <t>--</t>
        </is>
      </c>
      <c r="F243" s="260" t="n">
        <v>1.81</v>
      </c>
      <c r="G243" s="260" t="n">
        <v>14.66</v>
      </c>
      <c r="H243" s="260" t="n">
        <v>0.95</v>
      </c>
      <c r="I243" s="260" t="n">
        <v>1.44</v>
      </c>
      <c r="J243" s="260" t="n">
        <v>0.98</v>
      </c>
      <c r="K243" s="260" t="n">
        <v>2.65</v>
      </c>
      <c r="L243" s="259" t="inlineStr">
        <is>
          <t>EQ-DIV Y</t>
        </is>
      </c>
    </row>
    <row r="244">
      <c r="A244" s="259" t="inlineStr">
        <is>
          <t>HDFC Flexi Cap Fund - Regular Plan</t>
        </is>
      </c>
      <c r="B244" s="260" t="n">
        <v>11.37</v>
      </c>
      <c r="C244" s="260" t="n">
        <v>1.39</v>
      </c>
      <c r="D244" s="260" t="n">
        <v>25.56</v>
      </c>
      <c r="E244" s="260" t="n">
        <v>30.17</v>
      </c>
      <c r="F244" s="260" t="n">
        <v>1.39</v>
      </c>
      <c r="G244" s="260" t="n">
        <v>12.4</v>
      </c>
      <c r="H244" s="260" t="n">
        <v>1.37</v>
      </c>
      <c r="I244" s="260" t="n">
        <v>2.36</v>
      </c>
      <c r="J244" s="260" t="n">
        <v>0.83</v>
      </c>
      <c r="K244" s="260" t="n">
        <v>7.35</v>
      </c>
      <c r="L244" s="259" t="inlineStr">
        <is>
          <t>EQ-FLX</t>
        </is>
      </c>
    </row>
    <row r="245">
      <c r="A245" s="259" t="inlineStr">
        <is>
          <t>HDFC Focused 30 Fund - Regular Plan</t>
        </is>
      </c>
      <c r="B245" s="260" t="n">
        <v>11.37</v>
      </c>
      <c r="C245" s="260" t="n">
        <v>1.66</v>
      </c>
      <c r="D245" s="260" t="n">
        <v>25.56</v>
      </c>
      <c r="E245" s="260" t="n">
        <v>29.95</v>
      </c>
      <c r="F245" s="260" t="n">
        <v>1.66</v>
      </c>
      <c r="G245" s="260" t="n">
        <v>11.27</v>
      </c>
      <c r="H245" s="260" t="n">
        <v>1.48</v>
      </c>
      <c r="I245" s="260" t="n">
        <v>2.41</v>
      </c>
      <c r="J245" s="260" t="n">
        <v>0.75</v>
      </c>
      <c r="K245" s="260" t="n">
        <v>8.039999999999999</v>
      </c>
      <c r="L245" s="259" t="inlineStr">
        <is>
          <t>EQ-FLX</t>
        </is>
      </c>
    </row>
    <row r="246" hidden="1">
      <c r="A246" s="259" t="inlineStr">
        <is>
          <t>HDFC Housing Opportunities Fund - Regular Plan</t>
        </is>
      </c>
      <c r="B246" s="260" t="n">
        <v>-5.83</v>
      </c>
      <c r="C246" s="260" t="n">
        <v>2.21</v>
      </c>
      <c r="D246" s="260" t="n">
        <v>24.1</v>
      </c>
      <c r="E246" s="260" t="n">
        <v>25.66</v>
      </c>
      <c r="F246" s="260" t="n">
        <v>2.21</v>
      </c>
      <c r="G246" s="260" t="n">
        <v>16.97</v>
      </c>
      <c r="H246" s="260" t="n">
        <v>0.92</v>
      </c>
      <c r="I246" s="260" t="n">
        <v>1.43</v>
      </c>
      <c r="J246" s="260" t="n">
        <v>1.09</v>
      </c>
      <c r="K246" s="260" t="n">
        <v>3.08</v>
      </c>
      <c r="L246" s="259" t="inlineStr">
        <is>
          <t>EQ-THEMATIC</t>
        </is>
      </c>
    </row>
    <row r="247">
      <c r="A247" s="259" t="inlineStr">
        <is>
          <t>HDFC Large and Mid Cap Fund - Regular Plan</t>
        </is>
      </c>
      <c r="B247" s="260" t="n">
        <v>5.34</v>
      </c>
      <c r="C247" s="260" t="n">
        <v>1.65</v>
      </c>
      <c r="D247" s="260" t="n">
        <v>24.04</v>
      </c>
      <c r="E247" s="260" t="n">
        <v>29.05</v>
      </c>
      <c r="F247" s="260" t="n">
        <v>1.65</v>
      </c>
      <c r="G247" s="260" t="n">
        <v>14.9</v>
      </c>
      <c r="H247" s="260" t="n">
        <v>1.03</v>
      </c>
      <c r="I247" s="260" t="n">
        <v>1.57</v>
      </c>
      <c r="J247" s="260" t="n">
        <v>1.01</v>
      </c>
      <c r="K247" s="260" t="n">
        <v>4.28</v>
      </c>
      <c r="L247" s="259" t="inlineStr">
        <is>
          <t>EQ-L&amp;MC</t>
        </is>
      </c>
    </row>
    <row r="248">
      <c r="A248" s="259" t="inlineStr">
        <is>
          <t>HDFC Large Cap Fund - Regular Plan</t>
        </is>
      </c>
      <c r="B248" s="260" t="n">
        <v>4.31</v>
      </c>
      <c r="C248" s="260" t="n">
        <v>1.61</v>
      </c>
      <c r="D248" s="260" t="n">
        <v>19.06</v>
      </c>
      <c r="E248" s="260" t="n">
        <v>23.37</v>
      </c>
      <c r="F248" s="260" t="n">
        <v>1.61</v>
      </c>
      <c r="G248" s="260" t="n">
        <v>13.01</v>
      </c>
      <c r="H248" s="260" t="n">
        <v>0.88</v>
      </c>
      <c r="I248" s="260" t="n">
        <v>1.44</v>
      </c>
      <c r="J248" s="260" t="n">
        <v>0.92</v>
      </c>
      <c r="K248" s="260" t="n">
        <v>1.97</v>
      </c>
      <c r="L248" s="259" t="inlineStr">
        <is>
          <t>EQ-LC</t>
        </is>
      </c>
    </row>
    <row r="249" hidden="1">
      <c r="A249" s="259" t="inlineStr">
        <is>
          <t>HDFC Manufacturing Fund - Regular Plan</t>
        </is>
      </c>
      <c r="B249" s="260" t="n">
        <v>-1.02</v>
      </c>
      <c r="C249" s="260" t="n">
        <v>1.69</v>
      </c>
      <c r="D249" s="259" t="inlineStr">
        <is>
          <t>--</t>
        </is>
      </c>
      <c r="E249" s="259" t="inlineStr">
        <is>
          <t>--</t>
        </is>
      </c>
      <c r="F249" s="260" t="n">
        <v>1.69</v>
      </c>
      <c r="G249" s="259" t="inlineStr">
        <is>
          <t>--</t>
        </is>
      </c>
      <c r="H249" s="259" t="inlineStr">
        <is>
          <t>--</t>
        </is>
      </c>
      <c r="I249" s="259" t="inlineStr">
        <is>
          <t>--</t>
        </is>
      </c>
      <c r="J249" s="259" t="inlineStr">
        <is>
          <t>--</t>
        </is>
      </c>
      <c r="K249" s="259" t="inlineStr">
        <is>
          <t>--</t>
        </is>
      </c>
      <c r="L249" s="259" t="inlineStr">
        <is>
          <t>EQ-THEMATIC</t>
        </is>
      </c>
    </row>
    <row r="250">
      <c r="A250" s="259" t="inlineStr">
        <is>
          <t>HDFC Mid-Cap Opportunities Fund - Regular Plan</t>
        </is>
      </c>
      <c r="B250" s="260" t="n">
        <v>8.789999999999999</v>
      </c>
      <c r="C250" s="260" t="n">
        <v>1.4</v>
      </c>
      <c r="D250" s="260" t="n">
        <v>30.58</v>
      </c>
      <c r="E250" s="260" t="n">
        <v>33.24</v>
      </c>
      <c r="F250" s="260" t="n">
        <v>1.4</v>
      </c>
      <c r="G250" s="260" t="n">
        <v>15.1</v>
      </c>
      <c r="H250" s="260" t="n">
        <v>1.36</v>
      </c>
      <c r="I250" s="260" t="n">
        <v>2.02</v>
      </c>
      <c r="J250" s="260" t="n">
        <v>0.87</v>
      </c>
      <c r="K250" s="260" t="n">
        <v>4.83</v>
      </c>
      <c r="L250" s="259" t="inlineStr">
        <is>
          <t>EQ-MC</t>
        </is>
      </c>
    </row>
    <row r="251" hidden="1">
      <c r="A251" s="259" t="inlineStr">
        <is>
          <t>HDFC MNC Fund - Regular Plan</t>
        </is>
      </c>
      <c r="B251" s="260" t="n">
        <v>-8.460000000000001</v>
      </c>
      <c r="C251" s="260" t="n">
        <v>2.43</v>
      </c>
      <c r="D251" s="259" t="inlineStr">
        <is>
          <t>--</t>
        </is>
      </c>
      <c r="E251" s="259" t="inlineStr">
        <is>
          <t>--</t>
        </is>
      </c>
      <c r="F251" s="260" t="n">
        <v>2.43</v>
      </c>
      <c r="G251" s="259" t="inlineStr">
        <is>
          <t>--</t>
        </is>
      </c>
      <c r="H251" s="259" t="inlineStr">
        <is>
          <t>--</t>
        </is>
      </c>
      <c r="I251" s="259" t="inlineStr">
        <is>
          <t>--</t>
        </is>
      </c>
      <c r="J251" s="259" t="inlineStr">
        <is>
          <t>--</t>
        </is>
      </c>
      <c r="K251" s="259" t="inlineStr">
        <is>
          <t>--</t>
        </is>
      </c>
      <c r="L251" s="259" t="inlineStr">
        <is>
          <t>EQ-MNC</t>
        </is>
      </c>
    </row>
    <row r="252">
      <c r="A252" s="259" t="inlineStr">
        <is>
          <t>HDFC Multi-Asset Active FoF - Regular Plan</t>
        </is>
      </c>
      <c r="B252" s="260" t="n">
        <v>11.26</v>
      </c>
      <c r="C252" s="260" t="n">
        <v>1.16</v>
      </c>
      <c r="D252" s="260" t="n">
        <v>17.42</v>
      </c>
      <c r="E252" s="259" t="inlineStr">
        <is>
          <t>--</t>
        </is>
      </c>
      <c r="F252" s="260" t="n">
        <v>1.16</v>
      </c>
      <c r="G252" s="260" t="n">
        <v>6.67</v>
      </c>
      <c r="H252" s="260" t="n">
        <v>1.45</v>
      </c>
      <c r="I252" s="260" t="n">
        <v>2.4</v>
      </c>
      <c r="J252" s="260" t="n">
        <v>0.67</v>
      </c>
      <c r="K252" s="260" t="n">
        <v>3.68</v>
      </c>
      <c r="L252" s="259" t="inlineStr">
        <is>
          <t>HY-MAA</t>
        </is>
      </c>
    </row>
    <row r="253">
      <c r="A253" s="259" t="inlineStr">
        <is>
          <t>HDFC Multi Asset Fund - Regular Plan</t>
        </is>
      </c>
      <c r="B253" s="260" t="n">
        <v>10.11</v>
      </c>
      <c r="C253" s="260" t="n">
        <v>1.89</v>
      </c>
      <c r="D253" s="260" t="n">
        <v>15.47</v>
      </c>
      <c r="E253" s="260" t="n">
        <v>17.89</v>
      </c>
      <c r="F253" s="260" t="n">
        <v>1.89</v>
      </c>
      <c r="G253" s="260" t="n">
        <v>6.67</v>
      </c>
      <c r="H253" s="260" t="n">
        <v>1.16</v>
      </c>
      <c r="I253" s="260" t="n">
        <v>2.32</v>
      </c>
      <c r="J253" s="260" t="n">
        <v>0.68</v>
      </c>
      <c r="K253" s="260" t="n">
        <v>1.7</v>
      </c>
      <c r="L253" s="259" t="inlineStr">
        <is>
          <t>HY-MAA</t>
        </is>
      </c>
    </row>
    <row r="254">
      <c r="A254" s="259" t="inlineStr">
        <is>
          <t>HDFC Multi Cap Fund - Regular Plan</t>
        </is>
      </c>
      <c r="B254" s="260" t="n">
        <v>4</v>
      </c>
      <c r="C254" s="260" t="n">
        <v>1.68</v>
      </c>
      <c r="D254" s="260" t="n">
        <v>25.91</v>
      </c>
      <c r="E254" s="259" t="inlineStr">
        <is>
          <t>--</t>
        </is>
      </c>
      <c r="F254" s="260" t="n">
        <v>1.68</v>
      </c>
      <c r="G254" s="260" t="n">
        <v>15.11</v>
      </c>
      <c r="H254" s="260" t="n">
        <v>1.14</v>
      </c>
      <c r="I254" s="260" t="n">
        <v>1.7</v>
      </c>
      <c r="J254" s="260" t="n">
        <v>0.95</v>
      </c>
      <c r="K254" s="260" t="n">
        <v>3.31</v>
      </c>
      <c r="L254" s="259" t="inlineStr">
        <is>
          <t>EQ-MLC</t>
        </is>
      </c>
    </row>
    <row r="255">
      <c r="A255" s="259" t="inlineStr">
        <is>
          <t>HDFC NIFTY 100 Equal Weight Index Fund - Regular Plan</t>
        </is>
      </c>
      <c r="B255" s="260" t="n">
        <v>1.12</v>
      </c>
      <c r="C255" s="260" t="n">
        <v>0.83</v>
      </c>
      <c r="D255" s="260" t="n">
        <v>19.62</v>
      </c>
      <c r="E255" s="259" t="inlineStr">
        <is>
          <t>--</t>
        </is>
      </c>
      <c r="F255" s="260" t="n">
        <v>0.83</v>
      </c>
      <c r="G255" s="260" t="n">
        <v>16.09</v>
      </c>
      <c r="H255" s="260" t="n">
        <v>0.72</v>
      </c>
      <c r="I255" s="260" t="n">
        <v>1.24</v>
      </c>
      <c r="J255" s="260" t="n">
        <v>1.13</v>
      </c>
      <c r="K255" s="260" t="n">
        <v>0.01</v>
      </c>
      <c r="L255" s="259" t="inlineStr">
        <is>
          <t>EQ-LC</t>
        </is>
      </c>
    </row>
    <row r="256">
      <c r="A256" s="259" t="inlineStr">
        <is>
          <t>HDFC NIFTY 100 ETF</t>
        </is>
      </c>
      <c r="B256" s="260" t="n">
        <v>5.5</v>
      </c>
      <c r="C256" s="260" t="n">
        <v>0.3</v>
      </c>
      <c r="D256" s="259" t="inlineStr">
        <is>
          <t>--</t>
        </is>
      </c>
      <c r="E256" s="259" t="inlineStr">
        <is>
          <t>--</t>
        </is>
      </c>
      <c r="F256" s="260" t="n">
        <v>0.3</v>
      </c>
      <c r="G256" s="259" t="inlineStr">
        <is>
          <t>--</t>
        </is>
      </c>
      <c r="H256" s="259" t="inlineStr">
        <is>
          <t>--</t>
        </is>
      </c>
      <c r="I256" s="259" t="inlineStr">
        <is>
          <t>--</t>
        </is>
      </c>
      <c r="J256" s="259" t="inlineStr">
        <is>
          <t>--</t>
        </is>
      </c>
      <c r="K256" s="259" t="inlineStr">
        <is>
          <t>--</t>
        </is>
      </c>
      <c r="L256" s="259" t="inlineStr">
        <is>
          <t>EQ-LC</t>
        </is>
      </c>
    </row>
    <row r="257">
      <c r="A257" s="259" t="inlineStr">
        <is>
          <t>HDFC NIFTY 100 Index Fund - Regular Plan</t>
        </is>
      </c>
      <c r="B257" s="260" t="n">
        <v>4.97</v>
      </c>
      <c r="C257" s="260" t="n">
        <v>0.75</v>
      </c>
      <c r="D257" s="260" t="n">
        <v>16.07</v>
      </c>
      <c r="E257" s="259" t="inlineStr">
        <is>
          <t>--</t>
        </is>
      </c>
      <c r="F257" s="260" t="n">
        <v>0.75</v>
      </c>
      <c r="G257" s="260" t="n">
        <v>13.91</v>
      </c>
      <c r="H257" s="260" t="n">
        <v>0.62</v>
      </c>
      <c r="I257" s="260" t="n">
        <v>1.01</v>
      </c>
      <c r="J257" s="260" t="n">
        <v>1.01</v>
      </c>
      <c r="K257" s="260" t="n">
        <v>-1.76</v>
      </c>
      <c r="L257" s="259" t="inlineStr">
        <is>
          <t>EQ-LC</t>
        </is>
      </c>
    </row>
    <row r="258">
      <c r="A258" s="259" t="inlineStr">
        <is>
          <t>HDFC NIFTY100 Low Volatility 30 ETF</t>
        </is>
      </c>
      <c r="B258" s="260" t="n">
        <v>5.69</v>
      </c>
      <c r="C258" s="260" t="n">
        <v>0.3</v>
      </c>
      <c r="D258" s="259" t="inlineStr">
        <is>
          <t>--</t>
        </is>
      </c>
      <c r="E258" s="259" t="inlineStr">
        <is>
          <t>--</t>
        </is>
      </c>
      <c r="F258" s="260" t="n">
        <v>0.3</v>
      </c>
      <c r="G258" s="259" t="inlineStr">
        <is>
          <t>--</t>
        </is>
      </c>
      <c r="H258" s="259" t="inlineStr">
        <is>
          <t>--</t>
        </is>
      </c>
      <c r="I258" s="259" t="inlineStr">
        <is>
          <t>--</t>
        </is>
      </c>
      <c r="J258" s="259" t="inlineStr">
        <is>
          <t>--</t>
        </is>
      </c>
      <c r="K258" s="259" t="inlineStr">
        <is>
          <t>--</t>
        </is>
      </c>
      <c r="L258" s="259" t="inlineStr">
        <is>
          <t>EQ-LC</t>
        </is>
      </c>
    </row>
    <row r="259">
      <c r="A259" s="259" t="inlineStr">
        <is>
          <t>HDFC NIFTY100 Low Volatility 30 Index Fund - Regular Plan</t>
        </is>
      </c>
      <c r="B259" s="259" t="inlineStr">
        <is>
          <t>--</t>
        </is>
      </c>
      <c r="C259" s="260" t="n">
        <v>0.9</v>
      </c>
      <c r="D259" s="259" t="inlineStr">
        <is>
          <t>--</t>
        </is>
      </c>
      <c r="E259" s="259" t="inlineStr">
        <is>
          <t>--</t>
        </is>
      </c>
      <c r="F259" s="260" t="n">
        <v>0.9</v>
      </c>
      <c r="G259" s="259" t="inlineStr">
        <is>
          <t>--</t>
        </is>
      </c>
      <c r="H259" s="259" t="inlineStr">
        <is>
          <t>--</t>
        </is>
      </c>
      <c r="I259" s="259" t="inlineStr">
        <is>
          <t>--</t>
        </is>
      </c>
      <c r="J259" s="259" t="inlineStr">
        <is>
          <t>--</t>
        </is>
      </c>
      <c r="K259" s="259" t="inlineStr">
        <is>
          <t>--</t>
        </is>
      </c>
      <c r="L259" s="259" t="inlineStr">
        <is>
          <t>EQ-LC</t>
        </is>
      </c>
    </row>
    <row r="260">
      <c r="A260" s="259" t="inlineStr">
        <is>
          <t>HDFC NIFTY100 Quality 30 ETF</t>
        </is>
      </c>
      <c r="B260" s="260" t="n">
        <v>0.92</v>
      </c>
      <c r="C260" s="260" t="n">
        <v>0.3</v>
      </c>
      <c r="D260" s="259" t="inlineStr">
        <is>
          <t>--</t>
        </is>
      </c>
      <c r="E260" s="259" t="inlineStr">
        <is>
          <t>--</t>
        </is>
      </c>
      <c r="F260" s="260" t="n">
        <v>0.3</v>
      </c>
      <c r="G260" s="259" t="inlineStr">
        <is>
          <t>--</t>
        </is>
      </c>
      <c r="H260" s="259" t="inlineStr">
        <is>
          <t>--</t>
        </is>
      </c>
      <c r="I260" s="259" t="inlineStr">
        <is>
          <t>--</t>
        </is>
      </c>
      <c r="J260" s="259" t="inlineStr">
        <is>
          <t>--</t>
        </is>
      </c>
      <c r="K260" s="259" t="inlineStr">
        <is>
          <t>--</t>
        </is>
      </c>
      <c r="L260" s="259" t="inlineStr">
        <is>
          <t>EQ-LC</t>
        </is>
      </c>
    </row>
    <row r="261">
      <c r="A261" s="259" t="inlineStr">
        <is>
          <t>HDFC Nifty100 Quality 30 Index Fund - Regular Plan</t>
        </is>
      </c>
      <c r="B261" s="259" t="inlineStr">
        <is>
          <t>--</t>
        </is>
      </c>
      <c r="C261" s="260" t="n">
        <v>0.89</v>
      </c>
      <c r="D261" s="259" t="inlineStr">
        <is>
          <t>--</t>
        </is>
      </c>
      <c r="E261" s="259" t="inlineStr">
        <is>
          <t>--</t>
        </is>
      </c>
      <c r="F261" s="260" t="n">
        <v>0.89</v>
      </c>
      <c r="G261" s="259" t="inlineStr">
        <is>
          <t>--</t>
        </is>
      </c>
      <c r="H261" s="259" t="inlineStr">
        <is>
          <t>--</t>
        </is>
      </c>
      <c r="I261" s="259" t="inlineStr">
        <is>
          <t>--</t>
        </is>
      </c>
      <c r="J261" s="259" t="inlineStr">
        <is>
          <t>--</t>
        </is>
      </c>
      <c r="K261" s="259" t="inlineStr">
        <is>
          <t>--</t>
        </is>
      </c>
      <c r="L261" s="259" t="inlineStr">
        <is>
          <t>EQ-LC</t>
        </is>
      </c>
    </row>
    <row r="262">
      <c r="A262" s="259" t="inlineStr">
        <is>
          <t>HDFC NIFTY200 Momentum 30 ETF</t>
        </is>
      </c>
      <c r="B262" s="260" t="n">
        <v>-11.86</v>
      </c>
      <c r="C262" s="260" t="n">
        <v>0.3</v>
      </c>
      <c r="D262" s="259" t="inlineStr">
        <is>
          <t>--</t>
        </is>
      </c>
      <c r="E262" s="259" t="inlineStr">
        <is>
          <t>--</t>
        </is>
      </c>
      <c r="F262" s="260" t="n">
        <v>0.3</v>
      </c>
      <c r="G262" s="259" t="inlineStr">
        <is>
          <t>--</t>
        </is>
      </c>
      <c r="H262" s="259" t="inlineStr">
        <is>
          <t>--</t>
        </is>
      </c>
      <c r="I262" s="259" t="inlineStr">
        <is>
          <t>--</t>
        </is>
      </c>
      <c r="J262" s="259" t="inlineStr">
        <is>
          <t>--</t>
        </is>
      </c>
      <c r="K262" s="259" t="inlineStr">
        <is>
          <t>--</t>
        </is>
      </c>
      <c r="L262" s="259" t="inlineStr">
        <is>
          <t>EQ-L&amp;MC</t>
        </is>
      </c>
    </row>
    <row r="263">
      <c r="A263" s="259" t="inlineStr">
        <is>
          <t>HDFC NIFTY200 Momentum 30 Index Fund - Regular Plan</t>
        </is>
      </c>
      <c r="B263" s="260" t="n">
        <v>-12.43</v>
      </c>
      <c r="C263" s="260" t="n">
        <v>0.89</v>
      </c>
      <c r="D263" s="259" t="inlineStr">
        <is>
          <t>--</t>
        </is>
      </c>
      <c r="E263" s="259" t="inlineStr">
        <is>
          <t>--</t>
        </is>
      </c>
      <c r="F263" s="260" t="n">
        <v>0.89</v>
      </c>
      <c r="G263" s="259" t="inlineStr">
        <is>
          <t>--</t>
        </is>
      </c>
      <c r="H263" s="259" t="inlineStr">
        <is>
          <t>--</t>
        </is>
      </c>
      <c r="I263" s="259" t="inlineStr">
        <is>
          <t>--</t>
        </is>
      </c>
      <c r="J263" s="259" t="inlineStr">
        <is>
          <t>--</t>
        </is>
      </c>
      <c r="K263" s="259" t="inlineStr">
        <is>
          <t>--</t>
        </is>
      </c>
      <c r="L263" s="259" t="inlineStr">
        <is>
          <t>EQ-L&amp;MC</t>
        </is>
      </c>
    </row>
    <row r="264">
      <c r="A264" s="259" t="inlineStr">
        <is>
          <t>HDFC Nifty500 Multicap 50:25:25 Index Fund - Regular Plan</t>
        </is>
      </c>
      <c r="B264" s="259" t="inlineStr">
        <is>
          <t>--</t>
        </is>
      </c>
      <c r="C264" s="260" t="n">
        <v>0.8</v>
      </c>
      <c r="D264" s="259" t="inlineStr">
        <is>
          <t>--</t>
        </is>
      </c>
      <c r="E264" s="259" t="inlineStr">
        <is>
          <t>--</t>
        </is>
      </c>
      <c r="F264" s="260" t="n">
        <v>0.8</v>
      </c>
      <c r="G264" s="259" t="inlineStr">
        <is>
          <t>--</t>
        </is>
      </c>
      <c r="H264" s="259" t="inlineStr">
        <is>
          <t>--</t>
        </is>
      </c>
      <c r="I264" s="259" t="inlineStr">
        <is>
          <t>--</t>
        </is>
      </c>
      <c r="J264" s="259" t="inlineStr">
        <is>
          <t>--</t>
        </is>
      </c>
      <c r="K264" s="259" t="inlineStr">
        <is>
          <t>--</t>
        </is>
      </c>
      <c r="L264" s="259" t="inlineStr">
        <is>
          <t>EQ-MLC</t>
        </is>
      </c>
    </row>
    <row r="265">
      <c r="A265" s="259" t="inlineStr">
        <is>
          <t>HDFC NIFTY50 Equal Weight Index Fund - Regular Plan</t>
        </is>
      </c>
      <c r="B265" s="260" t="n">
        <v>5.04</v>
      </c>
      <c r="C265" s="260" t="n">
        <v>0.86</v>
      </c>
      <c r="D265" s="260" t="n">
        <v>19.64</v>
      </c>
      <c r="E265" s="259" t="inlineStr">
        <is>
          <t>--</t>
        </is>
      </c>
      <c r="F265" s="260" t="n">
        <v>0.86</v>
      </c>
      <c r="G265" s="260" t="n">
        <v>14.77</v>
      </c>
      <c r="H265" s="260" t="n">
        <v>0.78</v>
      </c>
      <c r="I265" s="260" t="n">
        <v>1.22</v>
      </c>
      <c r="J265" s="260" t="n">
        <v>1.05</v>
      </c>
      <c r="K265" s="260" t="n">
        <v>0.8100000000000001</v>
      </c>
      <c r="L265" s="259" t="inlineStr">
        <is>
          <t>EQ-LC</t>
        </is>
      </c>
    </row>
    <row r="266">
      <c r="A266" s="259" t="inlineStr">
        <is>
          <t>HDFC NIFTY 50 ETF</t>
        </is>
      </c>
      <c r="B266" s="260" t="n">
        <v>7.81</v>
      </c>
      <c r="C266" s="260" t="n">
        <v>0.05</v>
      </c>
      <c r="D266" s="260" t="n">
        <v>16.58</v>
      </c>
      <c r="E266" s="260" t="n">
        <v>21.38</v>
      </c>
      <c r="F266" s="260" t="n">
        <v>0.05</v>
      </c>
      <c r="G266" s="260" t="n">
        <v>13.13</v>
      </c>
      <c r="H266" s="260" t="n">
        <v>0.6899999999999999</v>
      </c>
      <c r="I266" s="260" t="n">
        <v>1.17</v>
      </c>
      <c r="J266" s="260" t="n">
        <v>0.95</v>
      </c>
      <c r="K266" s="260" t="n">
        <v>-0.73</v>
      </c>
      <c r="L266" s="259" t="inlineStr">
        <is>
          <t>EQ-LC</t>
        </is>
      </c>
    </row>
    <row r="267">
      <c r="A267" s="259" t="inlineStr">
        <is>
          <t>HDFC NIFTY 50 Index Fund - Regular Plan</t>
        </is>
      </c>
      <c r="B267" s="260" t="n">
        <v>7.42</v>
      </c>
      <c r="C267" s="260" t="n">
        <v>0.35</v>
      </c>
      <c r="D267" s="260" t="n">
        <v>16.15</v>
      </c>
      <c r="E267" s="260" t="n">
        <v>20.92</v>
      </c>
      <c r="F267" s="260" t="n">
        <v>0.35</v>
      </c>
      <c r="G267" s="260" t="n">
        <v>13.12</v>
      </c>
      <c r="H267" s="260" t="n">
        <v>0.66</v>
      </c>
      <c r="I267" s="260" t="n">
        <v>1.13</v>
      </c>
      <c r="J267" s="260" t="n">
        <v>0.95</v>
      </c>
      <c r="K267" s="260" t="n">
        <v>-1.1</v>
      </c>
      <c r="L267" s="259" t="inlineStr">
        <is>
          <t>EQ-LC</t>
        </is>
      </c>
    </row>
    <row r="268" hidden="1">
      <c r="A268" s="259" t="inlineStr">
        <is>
          <t>HDFC NIFTY Growth Sectors 15 ETF</t>
        </is>
      </c>
      <c r="B268" s="260" t="n">
        <v>3.57</v>
      </c>
      <c r="C268" s="260" t="n">
        <v>0.3</v>
      </c>
      <c r="D268" s="259" t="inlineStr">
        <is>
          <t>--</t>
        </is>
      </c>
      <c r="E268" s="259" t="inlineStr">
        <is>
          <t>--</t>
        </is>
      </c>
      <c r="F268" s="260" t="n">
        <v>0.3</v>
      </c>
      <c r="G268" s="259" t="inlineStr">
        <is>
          <t>--</t>
        </is>
      </c>
      <c r="H268" s="259" t="inlineStr">
        <is>
          <t>--</t>
        </is>
      </c>
      <c r="I268" s="259" t="inlineStr">
        <is>
          <t>--</t>
        </is>
      </c>
      <c r="J268" s="259" t="inlineStr">
        <is>
          <t>--</t>
        </is>
      </c>
      <c r="K268" s="259" t="inlineStr">
        <is>
          <t>--</t>
        </is>
      </c>
      <c r="L268" s="259" t="inlineStr">
        <is>
          <t>EQ-THEMATIC</t>
        </is>
      </c>
    </row>
    <row r="269">
      <c r="A269" s="259" t="inlineStr">
        <is>
          <t>HDFC Nifty LargeMidcap 250 Index Fund - Regular Plan</t>
        </is>
      </c>
      <c r="B269" s="259" t="inlineStr">
        <is>
          <t>--</t>
        </is>
      </c>
      <c r="C269" s="260" t="n">
        <v>0.75</v>
      </c>
      <c r="D269" s="259" t="inlineStr">
        <is>
          <t>--</t>
        </is>
      </c>
      <c r="E269" s="259" t="inlineStr">
        <is>
          <t>--</t>
        </is>
      </c>
      <c r="F269" s="260" t="n">
        <v>0.75</v>
      </c>
      <c r="G269" s="259" t="inlineStr">
        <is>
          <t>--</t>
        </is>
      </c>
      <c r="H269" s="259" t="inlineStr">
        <is>
          <t>--</t>
        </is>
      </c>
      <c r="I269" s="259" t="inlineStr">
        <is>
          <t>--</t>
        </is>
      </c>
      <c r="J269" s="259" t="inlineStr">
        <is>
          <t>--</t>
        </is>
      </c>
      <c r="K269" s="259" t="inlineStr">
        <is>
          <t>--</t>
        </is>
      </c>
      <c r="L269" s="259" t="inlineStr">
        <is>
          <t>EQ-L&amp;MC</t>
        </is>
      </c>
    </row>
    <row r="270">
      <c r="A270" s="259" t="inlineStr">
        <is>
          <t>HDFC NIFTY Midcap 150 ETF</t>
        </is>
      </c>
      <c r="B270" s="260" t="n">
        <v>6.22</v>
      </c>
      <c r="C270" s="260" t="n">
        <v>0.2</v>
      </c>
      <c r="D270" s="259" t="inlineStr">
        <is>
          <t>--</t>
        </is>
      </c>
      <c r="E270" s="259" t="inlineStr">
        <is>
          <t>--</t>
        </is>
      </c>
      <c r="F270" s="260" t="n">
        <v>0.2</v>
      </c>
      <c r="G270" s="259" t="inlineStr">
        <is>
          <t>--</t>
        </is>
      </c>
      <c r="H270" s="259" t="inlineStr">
        <is>
          <t>--</t>
        </is>
      </c>
      <c r="I270" s="259" t="inlineStr">
        <is>
          <t>--</t>
        </is>
      </c>
      <c r="J270" s="259" t="inlineStr">
        <is>
          <t>--</t>
        </is>
      </c>
      <c r="K270" s="259" t="inlineStr">
        <is>
          <t>--</t>
        </is>
      </c>
      <c r="L270" s="259" t="inlineStr">
        <is>
          <t>EQ-MC</t>
        </is>
      </c>
    </row>
    <row r="271">
      <c r="A271" s="259" t="inlineStr">
        <is>
          <t>HDFC NIFTY Midcap 150 Index Fund - Regular Plan</t>
        </is>
      </c>
      <c r="B271" s="260" t="n">
        <v>5.39</v>
      </c>
      <c r="C271" s="260" t="n">
        <v>0.83</v>
      </c>
      <c r="D271" s="259" t="inlineStr">
        <is>
          <t>--</t>
        </is>
      </c>
      <c r="E271" s="259" t="inlineStr">
        <is>
          <t>--</t>
        </is>
      </c>
      <c r="F271" s="260" t="n">
        <v>0.83</v>
      </c>
      <c r="G271" s="259" t="inlineStr">
        <is>
          <t>--</t>
        </is>
      </c>
      <c r="H271" s="259" t="inlineStr">
        <is>
          <t>--</t>
        </is>
      </c>
      <c r="I271" s="259" t="inlineStr">
        <is>
          <t>--</t>
        </is>
      </c>
      <c r="J271" s="259" t="inlineStr">
        <is>
          <t>--</t>
        </is>
      </c>
      <c r="K271" s="259" t="inlineStr">
        <is>
          <t>--</t>
        </is>
      </c>
      <c r="L271" s="259" t="inlineStr">
        <is>
          <t>EQ-MC</t>
        </is>
      </c>
    </row>
    <row r="272">
      <c r="A272" s="259" t="inlineStr">
        <is>
          <t>HDFC NIFTY Next 50 ETF</t>
        </is>
      </c>
      <c r="B272" s="260" t="n">
        <v>-3.3</v>
      </c>
      <c r="C272" s="260" t="n">
        <v>0.25</v>
      </c>
      <c r="D272" s="259" t="inlineStr">
        <is>
          <t>--</t>
        </is>
      </c>
      <c r="E272" s="259" t="inlineStr">
        <is>
          <t>--</t>
        </is>
      </c>
      <c r="F272" s="260" t="n">
        <v>0.25</v>
      </c>
      <c r="G272" s="259" t="inlineStr">
        <is>
          <t>--</t>
        </is>
      </c>
      <c r="H272" s="259" t="inlineStr">
        <is>
          <t>--</t>
        </is>
      </c>
      <c r="I272" s="259" t="inlineStr">
        <is>
          <t>--</t>
        </is>
      </c>
      <c r="J272" s="259" t="inlineStr">
        <is>
          <t>--</t>
        </is>
      </c>
      <c r="K272" s="259" t="inlineStr">
        <is>
          <t>--</t>
        </is>
      </c>
      <c r="L272" s="259" t="inlineStr">
        <is>
          <t>EQ-LC</t>
        </is>
      </c>
    </row>
    <row r="273">
      <c r="A273" s="259" t="inlineStr">
        <is>
          <t>HDFC NIFTY Next 50 Index Fund - Regular Plan</t>
        </is>
      </c>
      <c r="B273" s="260" t="n">
        <v>-4.08</v>
      </c>
      <c r="C273" s="260" t="n">
        <v>0.66</v>
      </c>
      <c r="D273" s="260" t="n">
        <v>21.05</v>
      </c>
      <c r="E273" s="259" t="inlineStr">
        <is>
          <t>--</t>
        </is>
      </c>
      <c r="F273" s="260" t="n">
        <v>0.66</v>
      </c>
      <c r="G273" s="260" t="n">
        <v>19.53</v>
      </c>
      <c r="H273" s="260" t="n">
        <v>0.68</v>
      </c>
      <c r="I273" s="260" t="n">
        <v>1.02</v>
      </c>
      <c r="J273" s="260" t="n">
        <v>1.3</v>
      </c>
      <c r="K273" s="260" t="n">
        <v>-0.04</v>
      </c>
      <c r="L273" s="259" t="inlineStr">
        <is>
          <t>EQ-LC</t>
        </is>
      </c>
    </row>
    <row r="274" hidden="1">
      <c r="A274" s="259" t="inlineStr">
        <is>
          <t>HDFC NIFTY Realty Index Fund - Regular Plan</t>
        </is>
      </c>
      <c r="B274" s="260" t="n">
        <v>-8.720000000000001</v>
      </c>
      <c r="C274" s="260" t="n">
        <v>0.89</v>
      </c>
      <c r="D274" s="259" t="inlineStr">
        <is>
          <t>--</t>
        </is>
      </c>
      <c r="E274" s="259" t="inlineStr">
        <is>
          <t>--</t>
        </is>
      </c>
      <c r="F274" s="260" t="n">
        <v>0.89</v>
      </c>
      <c r="G274" s="259" t="inlineStr">
        <is>
          <t>--</t>
        </is>
      </c>
      <c r="H274" s="259" t="inlineStr">
        <is>
          <t>--</t>
        </is>
      </c>
      <c r="I274" s="259" t="inlineStr">
        <is>
          <t>--</t>
        </is>
      </c>
      <c r="J274" s="259" t="inlineStr">
        <is>
          <t>--</t>
        </is>
      </c>
      <c r="K274" s="259" t="inlineStr">
        <is>
          <t>--</t>
        </is>
      </c>
      <c r="L274" s="259" t="inlineStr">
        <is>
          <t>EQ-THEMATIC</t>
        </is>
      </c>
    </row>
    <row r="275">
      <c r="A275" s="259" t="inlineStr">
        <is>
          <t>HDFC Nifty Smallcap 250 ETF</t>
        </is>
      </c>
      <c r="B275" s="260" t="n">
        <v>4.41</v>
      </c>
      <c r="C275" s="260" t="n">
        <v>0.2</v>
      </c>
      <c r="D275" s="259" t="inlineStr">
        <is>
          <t>--</t>
        </is>
      </c>
      <c r="E275" s="259" t="inlineStr">
        <is>
          <t>--</t>
        </is>
      </c>
      <c r="F275" s="260" t="n">
        <v>0.2</v>
      </c>
      <c r="G275" s="259" t="inlineStr">
        <is>
          <t>--</t>
        </is>
      </c>
      <c r="H275" s="259" t="inlineStr">
        <is>
          <t>--</t>
        </is>
      </c>
      <c r="I275" s="259" t="inlineStr">
        <is>
          <t>--</t>
        </is>
      </c>
      <c r="J275" s="259" t="inlineStr">
        <is>
          <t>--</t>
        </is>
      </c>
      <c r="K275" s="259" t="inlineStr">
        <is>
          <t>--</t>
        </is>
      </c>
      <c r="L275" s="259" t="inlineStr">
        <is>
          <t>EQ-SC</t>
        </is>
      </c>
    </row>
    <row r="276">
      <c r="A276" s="259" t="inlineStr">
        <is>
          <t>HDFC Nifty Smallcap 250 Index Fund - Regular Plan</t>
        </is>
      </c>
      <c r="B276" s="260" t="n">
        <v>3.66</v>
      </c>
      <c r="C276" s="260" t="n">
        <v>0.8100000000000001</v>
      </c>
      <c r="D276" s="259" t="inlineStr">
        <is>
          <t>--</t>
        </is>
      </c>
      <c r="E276" s="259" t="inlineStr">
        <is>
          <t>--</t>
        </is>
      </c>
      <c r="F276" s="260" t="n">
        <v>0.8100000000000001</v>
      </c>
      <c r="G276" s="259" t="inlineStr">
        <is>
          <t>--</t>
        </is>
      </c>
      <c r="H276" s="259" t="inlineStr">
        <is>
          <t>--</t>
        </is>
      </c>
      <c r="I276" s="259" t="inlineStr">
        <is>
          <t>--</t>
        </is>
      </c>
      <c r="J276" s="259" t="inlineStr">
        <is>
          <t>--</t>
        </is>
      </c>
      <c r="K276" s="259" t="inlineStr">
        <is>
          <t>--</t>
        </is>
      </c>
      <c r="L276" s="259" t="inlineStr">
        <is>
          <t>EQ-SC</t>
        </is>
      </c>
    </row>
    <row r="277">
      <c r="A277" s="259" t="inlineStr">
        <is>
          <t>HDFC Nifty Top 20 Equal Weight Index Fund - Regular Plan</t>
        </is>
      </c>
      <c r="B277" s="259" t="inlineStr">
        <is>
          <t>--</t>
        </is>
      </c>
      <c r="C277" s="260" t="n">
        <v>0.9</v>
      </c>
      <c r="D277" s="259" t="inlineStr">
        <is>
          <t>--</t>
        </is>
      </c>
      <c r="E277" s="259" t="inlineStr">
        <is>
          <t>--</t>
        </is>
      </c>
      <c r="F277" s="260" t="n">
        <v>0.9</v>
      </c>
      <c r="G277" s="259" t="inlineStr">
        <is>
          <t>--</t>
        </is>
      </c>
      <c r="H277" s="259" t="inlineStr">
        <is>
          <t>--</t>
        </is>
      </c>
      <c r="I277" s="259" t="inlineStr">
        <is>
          <t>--</t>
        </is>
      </c>
      <c r="J277" s="259" t="inlineStr">
        <is>
          <t>--</t>
        </is>
      </c>
      <c r="K277" s="259" t="inlineStr">
        <is>
          <t>--</t>
        </is>
      </c>
      <c r="L277" s="259" t="inlineStr">
        <is>
          <t>EQ-LC</t>
        </is>
      </c>
    </row>
    <row r="278" hidden="1">
      <c r="A278" s="259" t="inlineStr">
        <is>
          <t>HDFC Non-Cyclical Consumer Fund - Regular Plan</t>
        </is>
      </c>
      <c r="B278" s="260" t="n">
        <v>4.68</v>
      </c>
      <c r="C278" s="260" t="n">
        <v>2.25</v>
      </c>
      <c r="D278" s="259" t="inlineStr">
        <is>
          <t>--</t>
        </is>
      </c>
      <c r="E278" s="259" t="inlineStr">
        <is>
          <t>--</t>
        </is>
      </c>
      <c r="F278" s="260" t="n">
        <v>2.25</v>
      </c>
      <c r="G278" s="259" t="inlineStr">
        <is>
          <t>--</t>
        </is>
      </c>
      <c r="H278" s="259" t="inlineStr">
        <is>
          <t>--</t>
        </is>
      </c>
      <c r="I278" s="259" t="inlineStr">
        <is>
          <t>--</t>
        </is>
      </c>
      <c r="J278" s="259" t="inlineStr">
        <is>
          <t>--</t>
        </is>
      </c>
      <c r="K278" s="259" t="inlineStr">
        <is>
          <t>--</t>
        </is>
      </c>
      <c r="L278" s="259" t="inlineStr">
        <is>
          <t>EQ-Consumption</t>
        </is>
      </c>
    </row>
    <row r="279">
      <c r="A279" s="259" t="inlineStr">
        <is>
          <t>HDFC Retirement Savings Fund Equity Plan - Regular Plan</t>
        </is>
      </c>
      <c r="B279" s="260" t="n">
        <v>5.75</v>
      </c>
      <c r="C279" s="260" t="n">
        <v>1.77</v>
      </c>
      <c r="D279" s="260" t="n">
        <v>22.22</v>
      </c>
      <c r="E279" s="260" t="n">
        <v>28.01</v>
      </c>
      <c r="F279" s="260" t="n">
        <v>1.77</v>
      </c>
      <c r="G279" s="260" t="n">
        <v>11.86</v>
      </c>
      <c r="H279" s="260" t="n">
        <v>1.18</v>
      </c>
      <c r="I279" s="260" t="n">
        <v>1.8</v>
      </c>
      <c r="J279" s="260" t="n">
        <v>0.8</v>
      </c>
      <c r="K279" s="260" t="n">
        <v>4.81</v>
      </c>
      <c r="L279" s="259" t="inlineStr">
        <is>
          <t>EQ-FLX</t>
        </is>
      </c>
    </row>
    <row r="280">
      <c r="A280" s="259" t="inlineStr">
        <is>
          <t>HDFC Small Cap Fund - Regular Plan</t>
        </is>
      </c>
      <c r="B280" s="260" t="n">
        <v>5.88</v>
      </c>
      <c r="C280" s="260" t="n">
        <v>1.59</v>
      </c>
      <c r="D280" s="260" t="n">
        <v>27.34</v>
      </c>
      <c r="E280" s="260" t="n">
        <v>35.25</v>
      </c>
      <c r="F280" s="260" t="n">
        <v>1.59</v>
      </c>
      <c r="G280" s="260" t="n">
        <v>16.33</v>
      </c>
      <c r="H280" s="260" t="n">
        <v>1.13</v>
      </c>
      <c r="I280" s="260" t="n">
        <v>1.67</v>
      </c>
      <c r="J280" s="260" t="n">
        <v>0.8100000000000001</v>
      </c>
      <c r="K280" s="260" t="n">
        <v>3.63</v>
      </c>
      <c r="L280" s="259" t="inlineStr">
        <is>
          <t>EQ-SC</t>
        </is>
      </c>
    </row>
    <row r="281" hidden="1">
      <c r="A281" s="259" t="inlineStr">
        <is>
          <t>HDFC Transportation and Logistics Fund - Regular Plan</t>
        </is>
      </c>
      <c r="B281" s="260" t="n">
        <v>-1.2</v>
      </c>
      <c r="C281" s="260" t="n">
        <v>2.12</v>
      </c>
      <c r="D281" s="259" t="inlineStr">
        <is>
          <t>--</t>
        </is>
      </c>
      <c r="E281" s="259" t="inlineStr">
        <is>
          <t>--</t>
        </is>
      </c>
      <c r="F281" s="260" t="n">
        <v>2.12</v>
      </c>
      <c r="G281" s="259" t="inlineStr">
        <is>
          <t>--</t>
        </is>
      </c>
      <c r="H281" s="259" t="inlineStr">
        <is>
          <t>--</t>
        </is>
      </c>
      <c r="I281" s="259" t="inlineStr">
        <is>
          <t>--</t>
        </is>
      </c>
      <c r="J281" s="259" t="inlineStr">
        <is>
          <t>--</t>
        </is>
      </c>
      <c r="K281" s="259" t="inlineStr">
        <is>
          <t>--</t>
        </is>
      </c>
      <c r="L281" s="259" t="inlineStr">
        <is>
          <t>EQ-THEMATIC</t>
        </is>
      </c>
    </row>
    <row r="282">
      <c r="A282" s="259" t="inlineStr">
        <is>
          <t>Helios Balanced Advantage Fund - Regular Plan</t>
        </is>
      </c>
      <c r="B282" s="260" t="n">
        <v>3.75</v>
      </c>
      <c r="C282" s="260" t="n">
        <v>2.4</v>
      </c>
      <c r="D282" s="259" t="inlineStr">
        <is>
          <t>--</t>
        </is>
      </c>
      <c r="E282" s="259" t="inlineStr">
        <is>
          <t>--</t>
        </is>
      </c>
      <c r="F282" s="260" t="n">
        <v>2.4</v>
      </c>
      <c r="G282" s="259" t="inlineStr">
        <is>
          <t>--</t>
        </is>
      </c>
      <c r="H282" s="259" t="inlineStr">
        <is>
          <t>--</t>
        </is>
      </c>
      <c r="I282" s="259" t="inlineStr">
        <is>
          <t>--</t>
        </is>
      </c>
      <c r="J282" s="259" t="inlineStr">
        <is>
          <t>--</t>
        </is>
      </c>
      <c r="K282" s="259" t="inlineStr">
        <is>
          <t>--</t>
        </is>
      </c>
      <c r="L282" s="259" t="inlineStr">
        <is>
          <t>HY-DAA</t>
        </is>
      </c>
    </row>
    <row r="283">
      <c r="A283" s="259" t="inlineStr">
        <is>
          <t>Helios Flexi Cap Fund - Regular Plan</t>
        </is>
      </c>
      <c r="B283" s="260" t="n">
        <v>6.72</v>
      </c>
      <c r="C283" s="260" t="n">
        <v>1.9</v>
      </c>
      <c r="D283" s="259" t="inlineStr">
        <is>
          <t>--</t>
        </is>
      </c>
      <c r="E283" s="259" t="inlineStr">
        <is>
          <t>--</t>
        </is>
      </c>
      <c r="F283" s="260" t="n">
        <v>1.9</v>
      </c>
      <c r="G283" s="259" t="inlineStr">
        <is>
          <t>--</t>
        </is>
      </c>
      <c r="H283" s="259" t="inlineStr">
        <is>
          <t>--</t>
        </is>
      </c>
      <c r="I283" s="259" t="inlineStr">
        <is>
          <t>--</t>
        </is>
      </c>
      <c r="J283" s="259" t="inlineStr">
        <is>
          <t>--</t>
        </is>
      </c>
      <c r="K283" s="259" t="inlineStr">
        <is>
          <t>--</t>
        </is>
      </c>
      <c r="L283" s="259" t="inlineStr">
        <is>
          <t>EQ-FLX</t>
        </is>
      </c>
    </row>
    <row r="284">
      <c r="A284" s="259" t="inlineStr">
        <is>
          <t>Helios Large &amp; Mid Cap Fund - Regular Plan</t>
        </is>
      </c>
      <c r="B284" s="259" t="inlineStr">
        <is>
          <t>--</t>
        </is>
      </c>
      <c r="C284" s="260" t="n">
        <v>2.38</v>
      </c>
      <c r="D284" s="259" t="inlineStr">
        <is>
          <t>--</t>
        </is>
      </c>
      <c r="E284" s="259" t="inlineStr">
        <is>
          <t>--</t>
        </is>
      </c>
      <c r="F284" s="260" t="n">
        <v>2.38</v>
      </c>
      <c r="G284" s="259" t="inlineStr">
        <is>
          <t>--</t>
        </is>
      </c>
      <c r="H284" s="259" t="inlineStr">
        <is>
          <t>--</t>
        </is>
      </c>
      <c r="I284" s="259" t="inlineStr">
        <is>
          <t>--</t>
        </is>
      </c>
      <c r="J284" s="259" t="inlineStr">
        <is>
          <t>--</t>
        </is>
      </c>
      <c r="K284" s="259" t="inlineStr">
        <is>
          <t>--</t>
        </is>
      </c>
      <c r="L284" s="259" t="inlineStr">
        <is>
          <t>EQ-L&amp;MC</t>
        </is>
      </c>
    </row>
    <row r="285">
      <c r="A285" s="259" t="inlineStr">
        <is>
          <t>Helios Mid Cap Fund - Regular Plan</t>
        </is>
      </c>
      <c r="B285" s="259" t="inlineStr">
        <is>
          <t>--</t>
        </is>
      </c>
      <c r="C285" s="260" t="n">
        <v>2.39</v>
      </c>
      <c r="D285" s="259" t="inlineStr">
        <is>
          <t>--</t>
        </is>
      </c>
      <c r="E285" s="259" t="inlineStr">
        <is>
          <t>--</t>
        </is>
      </c>
      <c r="F285" s="260" t="n">
        <v>2.39</v>
      </c>
      <c r="G285" s="259" t="inlineStr">
        <is>
          <t>--</t>
        </is>
      </c>
      <c r="H285" s="259" t="inlineStr">
        <is>
          <t>--</t>
        </is>
      </c>
      <c r="I285" s="259" t="inlineStr">
        <is>
          <t>--</t>
        </is>
      </c>
      <c r="J285" s="259" t="inlineStr">
        <is>
          <t>--</t>
        </is>
      </c>
      <c r="K285" s="259" t="inlineStr">
        <is>
          <t>--</t>
        </is>
      </c>
      <c r="L285" s="259" t="inlineStr">
        <is>
          <t>EQ-MC</t>
        </is>
      </c>
    </row>
    <row r="286">
      <c r="A286" s="259" t="inlineStr">
        <is>
          <t>HSBC Balanced Advantage Fund</t>
        </is>
      </c>
      <c r="B286" s="260" t="n">
        <v>7.89</v>
      </c>
      <c r="C286" s="260" t="n">
        <v>2.11</v>
      </c>
      <c r="D286" s="260" t="n">
        <v>12.75</v>
      </c>
      <c r="E286" s="260" t="n">
        <v>11.67</v>
      </c>
      <c r="F286" s="260" t="n">
        <v>2.11</v>
      </c>
      <c r="G286" s="260" t="n">
        <v>6.95</v>
      </c>
      <c r="H286" s="260" t="n">
        <v>0.8</v>
      </c>
      <c r="I286" s="260" t="n">
        <v>1.18</v>
      </c>
      <c r="J286" s="260" t="n">
        <v>0.61</v>
      </c>
      <c r="K286" s="260" t="n">
        <v>0.74</v>
      </c>
      <c r="L286" s="259" t="inlineStr">
        <is>
          <t>HY-DAA</t>
        </is>
      </c>
    </row>
    <row r="287" hidden="1">
      <c r="A287" s="259" t="inlineStr">
        <is>
          <t>HSBC Business Cycles Fund - Regular Plan</t>
        </is>
      </c>
      <c r="B287" s="260" t="n">
        <v>8.119999999999999</v>
      </c>
      <c r="C287" s="260" t="n">
        <v>2.24</v>
      </c>
      <c r="D287" s="260" t="n">
        <v>26.66</v>
      </c>
      <c r="E287" s="260" t="n">
        <v>28.72</v>
      </c>
      <c r="F287" s="260" t="n">
        <v>2.24</v>
      </c>
      <c r="G287" s="260" t="n">
        <v>17.87</v>
      </c>
      <c r="H287" s="260" t="n">
        <v>0.99</v>
      </c>
      <c r="I287" s="260" t="n">
        <v>1.39</v>
      </c>
      <c r="J287" s="260" t="n">
        <v>1.11</v>
      </c>
      <c r="K287" s="260" t="n">
        <v>4.87</v>
      </c>
      <c r="L287" s="259" t="inlineStr">
        <is>
          <t>EQ-THEMATIC</t>
        </is>
      </c>
    </row>
    <row r="288" hidden="1">
      <c r="A288" s="259" t="inlineStr">
        <is>
          <t>HSBC Consumption Fund - Regular Plan</t>
        </is>
      </c>
      <c r="B288" s="260" t="n">
        <v>7.21</v>
      </c>
      <c r="C288" s="260" t="n">
        <v>2.11</v>
      </c>
      <c r="D288" s="259" t="inlineStr">
        <is>
          <t>--</t>
        </is>
      </c>
      <c r="E288" s="259" t="inlineStr">
        <is>
          <t>--</t>
        </is>
      </c>
      <c r="F288" s="260" t="n">
        <v>2.11</v>
      </c>
      <c r="G288" s="259" t="inlineStr">
        <is>
          <t>--</t>
        </is>
      </c>
      <c r="H288" s="259" t="inlineStr">
        <is>
          <t>--</t>
        </is>
      </c>
      <c r="I288" s="259" t="inlineStr">
        <is>
          <t>--</t>
        </is>
      </c>
      <c r="J288" s="259" t="inlineStr">
        <is>
          <t>--</t>
        </is>
      </c>
      <c r="K288" s="259" t="inlineStr">
        <is>
          <t>--</t>
        </is>
      </c>
      <c r="L288" s="259" t="inlineStr">
        <is>
          <t>EQ-Consumption</t>
        </is>
      </c>
    </row>
    <row r="289">
      <c r="A289" s="259" t="inlineStr">
        <is>
          <t>HSBC Flexi Cap Fund</t>
        </is>
      </c>
      <c r="B289" s="260" t="n">
        <v>7.46</v>
      </c>
      <c r="C289" s="260" t="n">
        <v>1.93</v>
      </c>
      <c r="D289" s="260" t="n">
        <v>22.84</v>
      </c>
      <c r="E289" s="260" t="n">
        <v>23.93</v>
      </c>
      <c r="F289" s="260" t="n">
        <v>1.93</v>
      </c>
      <c r="G289" s="260" t="n">
        <v>14.83</v>
      </c>
      <c r="H289" s="260" t="n">
        <v>0.98</v>
      </c>
      <c r="I289" s="260" t="n">
        <v>1.27</v>
      </c>
      <c r="J289" s="260" t="n">
        <v>0.97</v>
      </c>
      <c r="K289" s="260" t="n">
        <v>3.32</v>
      </c>
      <c r="L289" s="259" t="inlineStr">
        <is>
          <t>EQ-FLX</t>
        </is>
      </c>
    </row>
    <row r="290">
      <c r="A290" s="259" t="inlineStr">
        <is>
          <t>HSBC Focused Fund - Regular Plan</t>
        </is>
      </c>
      <c r="B290" s="260" t="n">
        <v>6.25</v>
      </c>
      <c r="C290" s="260" t="n">
        <v>2.12</v>
      </c>
      <c r="D290" s="260" t="n">
        <v>18.3</v>
      </c>
      <c r="E290" s="259" t="inlineStr">
        <is>
          <t>--</t>
        </is>
      </c>
      <c r="F290" s="260" t="n">
        <v>2.12</v>
      </c>
      <c r="G290" s="260" t="n">
        <v>15.13</v>
      </c>
      <c r="H290" s="260" t="n">
        <v>0.6899999999999999</v>
      </c>
      <c r="I290" s="260" t="n">
        <v>0.96</v>
      </c>
      <c r="J290" s="260" t="n">
        <v>0.96</v>
      </c>
      <c r="K290" s="260" t="n">
        <v>-0.64</v>
      </c>
      <c r="L290" s="259" t="inlineStr">
        <is>
          <t>EQ-FLX</t>
        </is>
      </c>
    </row>
    <row r="291" hidden="1">
      <c r="A291" s="259" t="inlineStr">
        <is>
          <t>HSBC India Export Opportunities Fund - Regular Plan</t>
        </is>
      </c>
      <c r="B291" s="259" t="inlineStr">
        <is>
          <t>--</t>
        </is>
      </c>
      <c r="C291" s="260" t="n">
        <v>2.07</v>
      </c>
      <c r="D291" s="259" t="inlineStr">
        <is>
          <t>--</t>
        </is>
      </c>
      <c r="E291" s="259" t="inlineStr">
        <is>
          <t>--</t>
        </is>
      </c>
      <c r="F291" s="260" t="n">
        <v>2.07</v>
      </c>
      <c r="G291" s="259" t="inlineStr">
        <is>
          <t>--</t>
        </is>
      </c>
      <c r="H291" s="259" t="inlineStr">
        <is>
          <t>--</t>
        </is>
      </c>
      <c r="I291" s="259" t="inlineStr">
        <is>
          <t>--</t>
        </is>
      </c>
      <c r="J291" s="259" t="inlineStr">
        <is>
          <t>--</t>
        </is>
      </c>
      <c r="K291" s="259" t="inlineStr">
        <is>
          <t>--</t>
        </is>
      </c>
      <c r="L291" s="259" t="inlineStr">
        <is>
          <t>EQ-THEMATIC</t>
        </is>
      </c>
    </row>
    <row r="292">
      <c r="A292" s="259" t="inlineStr">
        <is>
          <t>HSBC Large and Mid Cap Fund - Regular Plan</t>
        </is>
      </c>
      <c r="B292" s="260" t="n">
        <v>2.83</v>
      </c>
      <c r="C292" s="260" t="n">
        <v>1.91</v>
      </c>
      <c r="D292" s="260" t="n">
        <v>23.17</v>
      </c>
      <c r="E292" s="260" t="n">
        <v>23.96</v>
      </c>
      <c r="F292" s="260" t="n">
        <v>1.91</v>
      </c>
      <c r="G292" s="260" t="n">
        <v>16.95</v>
      </c>
      <c r="H292" s="260" t="n">
        <v>0.88</v>
      </c>
      <c r="I292" s="260" t="n">
        <v>0.98</v>
      </c>
      <c r="J292" s="260" t="n">
        <v>0.99</v>
      </c>
      <c r="K292" s="260" t="n">
        <v>4.02</v>
      </c>
      <c r="L292" s="259" t="inlineStr">
        <is>
          <t>EQ-L&amp;MC</t>
        </is>
      </c>
    </row>
    <row r="293">
      <c r="A293" s="259" t="inlineStr">
        <is>
          <t>HSBC Large Cap Fund</t>
        </is>
      </c>
      <c r="B293" s="260" t="n">
        <v>4.13</v>
      </c>
      <c r="C293" s="260" t="n">
        <v>2.14</v>
      </c>
      <c r="D293" s="260" t="n">
        <v>17.51</v>
      </c>
      <c r="E293" s="260" t="n">
        <v>19.78</v>
      </c>
      <c r="F293" s="260" t="n">
        <v>2.14</v>
      </c>
      <c r="G293" s="260" t="n">
        <v>13.9</v>
      </c>
      <c r="H293" s="260" t="n">
        <v>0.7</v>
      </c>
      <c r="I293" s="260" t="n">
        <v>1.07</v>
      </c>
      <c r="J293" s="260" t="n">
        <v>0.98</v>
      </c>
      <c r="K293" s="260" t="n">
        <v>-0.36</v>
      </c>
      <c r="L293" s="259" t="inlineStr">
        <is>
          <t>EQ-LC</t>
        </is>
      </c>
    </row>
    <row r="294">
      <c r="A294" s="259" t="inlineStr">
        <is>
          <t>HSBC Midcap Fund</t>
        </is>
      </c>
      <c r="B294" s="260" t="n">
        <v>5.53</v>
      </c>
      <c r="C294" s="260" t="n">
        <v>1.73</v>
      </c>
      <c r="D294" s="260" t="n">
        <v>26.1</v>
      </c>
      <c r="E294" s="260" t="n">
        <v>26.82</v>
      </c>
      <c r="F294" s="260" t="n">
        <v>1.73</v>
      </c>
      <c r="G294" s="260" t="n">
        <v>17.34</v>
      </c>
      <c r="H294" s="260" t="n">
        <v>1.01</v>
      </c>
      <c r="I294" s="260" t="n">
        <v>1.12</v>
      </c>
      <c r="J294" s="260" t="n">
        <v>0.95</v>
      </c>
      <c r="K294" s="260" t="n">
        <v>0.36</v>
      </c>
      <c r="L294" s="259" t="inlineStr">
        <is>
          <t>EQ-MC</t>
        </is>
      </c>
    </row>
    <row r="295">
      <c r="A295" s="259" t="inlineStr">
        <is>
          <t>HSBC Multi Asset Active FoF - Regular Plan</t>
        </is>
      </c>
      <c r="B295" s="260" t="n">
        <v>8.640000000000001</v>
      </c>
      <c r="C295" s="260" t="n">
        <v>1.45</v>
      </c>
      <c r="D295" s="260" t="n">
        <v>16.32</v>
      </c>
      <c r="E295" s="260" t="n">
        <v>17.69</v>
      </c>
      <c r="F295" s="260" t="n">
        <v>1.45</v>
      </c>
      <c r="G295" s="260" t="n">
        <v>9.630000000000001</v>
      </c>
      <c r="H295" s="260" t="n">
        <v>0.85</v>
      </c>
      <c r="I295" s="260" t="n">
        <v>1.21</v>
      </c>
      <c r="J295" s="260" t="n">
        <v>0.95</v>
      </c>
      <c r="K295" s="260" t="n">
        <v>-0.26</v>
      </c>
      <c r="L295" s="259" t="inlineStr">
        <is>
          <t>HY-MAA</t>
        </is>
      </c>
    </row>
    <row r="296">
      <c r="A296" s="259" t="inlineStr">
        <is>
          <t>HSBC Multi Asset Allocation Fund - Regular Plan</t>
        </is>
      </c>
      <c r="B296" s="260" t="n">
        <v>3.61</v>
      </c>
      <c r="C296" s="260" t="n">
        <v>1.87</v>
      </c>
      <c r="D296" s="259" t="inlineStr">
        <is>
          <t>--</t>
        </is>
      </c>
      <c r="E296" s="259" t="inlineStr">
        <is>
          <t>--</t>
        </is>
      </c>
      <c r="F296" s="260" t="n">
        <v>1.87</v>
      </c>
      <c r="G296" s="259" t="inlineStr">
        <is>
          <t>--</t>
        </is>
      </c>
      <c r="H296" s="259" t="inlineStr">
        <is>
          <t>--</t>
        </is>
      </c>
      <c r="I296" s="259" t="inlineStr">
        <is>
          <t>--</t>
        </is>
      </c>
      <c r="J296" s="259" t="inlineStr">
        <is>
          <t>--</t>
        </is>
      </c>
      <c r="K296" s="259" t="inlineStr">
        <is>
          <t>--</t>
        </is>
      </c>
      <c r="L296" s="259" t="inlineStr">
        <is>
          <t>HY-MAA</t>
        </is>
      </c>
    </row>
    <row r="297">
      <c r="A297" s="259" t="inlineStr">
        <is>
          <t>HSBC Multi Cap Fund - Regular Plan</t>
        </is>
      </c>
      <c r="B297" s="260" t="n">
        <v>4.17</v>
      </c>
      <c r="C297" s="260" t="n">
        <v>1.85</v>
      </c>
      <c r="D297" s="259" t="inlineStr">
        <is>
          <t>--</t>
        </is>
      </c>
      <c r="E297" s="259" t="inlineStr">
        <is>
          <t>--</t>
        </is>
      </c>
      <c r="F297" s="260" t="n">
        <v>1.85</v>
      </c>
      <c r="G297" s="259" t="inlineStr">
        <is>
          <t>--</t>
        </is>
      </c>
      <c r="H297" s="259" t="inlineStr">
        <is>
          <t>--</t>
        </is>
      </c>
      <c r="I297" s="259" t="inlineStr">
        <is>
          <t>--</t>
        </is>
      </c>
      <c r="J297" s="259" t="inlineStr">
        <is>
          <t>--</t>
        </is>
      </c>
      <c r="K297" s="259" t="inlineStr">
        <is>
          <t>--</t>
        </is>
      </c>
      <c r="L297" s="259" t="inlineStr">
        <is>
          <t>EQ-MLC</t>
        </is>
      </c>
    </row>
    <row r="298">
      <c r="A298" s="259" t="inlineStr">
        <is>
          <t>HSBC Nifty 50 Index Fund - Regular Plan</t>
        </is>
      </c>
      <c r="B298" s="260" t="n">
        <v>7.31</v>
      </c>
      <c r="C298" s="260" t="n">
        <v>0.44</v>
      </c>
      <c r="D298" s="260" t="n">
        <v>16.04</v>
      </c>
      <c r="E298" s="260" t="n">
        <v>20.7</v>
      </c>
      <c r="F298" s="260" t="n">
        <v>0.44</v>
      </c>
      <c r="G298" s="260" t="n">
        <v>13.1</v>
      </c>
      <c r="H298" s="260" t="n">
        <v>0.65</v>
      </c>
      <c r="I298" s="260" t="n">
        <v>1.12</v>
      </c>
      <c r="J298" s="260" t="n">
        <v>0.95</v>
      </c>
      <c r="K298" s="260" t="n">
        <v>-1.18</v>
      </c>
      <c r="L298" s="259" t="inlineStr">
        <is>
          <t>EQ-LC</t>
        </is>
      </c>
    </row>
    <row r="299">
      <c r="A299" s="259" t="inlineStr">
        <is>
          <t>HSBC Nifty Next 50 Index Fund - Regular Plan</t>
        </is>
      </c>
      <c r="B299" s="260" t="n">
        <v>-4.22</v>
      </c>
      <c r="C299" s="260" t="n">
        <v>0.72</v>
      </c>
      <c r="D299" s="260" t="n">
        <v>20.92</v>
      </c>
      <c r="E299" s="260" t="n">
        <v>21.57</v>
      </c>
      <c r="F299" s="260" t="n">
        <v>0.72</v>
      </c>
      <c r="G299" s="260" t="n">
        <v>19.49</v>
      </c>
      <c r="H299" s="260" t="n">
        <v>0.68</v>
      </c>
      <c r="I299" s="260" t="n">
        <v>1.01</v>
      </c>
      <c r="J299" s="260" t="n">
        <v>1.3</v>
      </c>
      <c r="K299" s="260" t="n">
        <v>-0.14</v>
      </c>
      <c r="L299" s="259" t="inlineStr">
        <is>
          <t>EQ-LC</t>
        </is>
      </c>
    </row>
    <row r="300">
      <c r="A300" s="259" t="inlineStr">
        <is>
          <t>HSBC Small Cap Fund</t>
        </is>
      </c>
      <c r="B300" s="260" t="n">
        <v>0.54</v>
      </c>
      <c r="C300" s="260" t="n">
        <v>1.68</v>
      </c>
      <c r="D300" s="260" t="n">
        <v>24.89</v>
      </c>
      <c r="E300" s="260" t="n">
        <v>35.75</v>
      </c>
      <c r="F300" s="260" t="n">
        <v>1.68</v>
      </c>
      <c r="G300" s="260" t="n">
        <v>18.41</v>
      </c>
      <c r="H300" s="260" t="n">
        <v>0.9</v>
      </c>
      <c r="I300" s="260" t="n">
        <v>1.16</v>
      </c>
      <c r="J300" s="260" t="n">
        <v>0.9</v>
      </c>
      <c r="K300" s="260" t="n">
        <v>0.12</v>
      </c>
      <c r="L300" s="259" t="inlineStr">
        <is>
          <t>EQ-SC</t>
        </is>
      </c>
    </row>
    <row r="301">
      <c r="A301" s="259" t="inlineStr">
        <is>
          <t>ICICI Prudential Asset Allocator (FOF) Fund</t>
        </is>
      </c>
      <c r="B301" s="260" t="n">
        <v>11.15</v>
      </c>
      <c r="C301" s="260" t="n">
        <v>1.27</v>
      </c>
      <c r="D301" s="260" t="n">
        <v>15.17</v>
      </c>
      <c r="E301" s="260" t="n">
        <v>17.01</v>
      </c>
      <c r="F301" s="260" t="n">
        <v>1.27</v>
      </c>
      <c r="G301" s="260" t="n">
        <v>5.27</v>
      </c>
      <c r="H301" s="260" t="n">
        <v>1.45</v>
      </c>
      <c r="I301" s="260" t="n">
        <v>1.94</v>
      </c>
      <c r="J301" s="260" t="n">
        <v>0.52</v>
      </c>
      <c r="K301" s="260" t="n">
        <v>3.02</v>
      </c>
      <c r="L301" s="259" t="inlineStr">
        <is>
          <t>HY-MAA</t>
        </is>
      </c>
    </row>
    <row r="302">
      <c r="A302" s="259" t="inlineStr">
        <is>
          <t>ICICI Prudential Balanced Advantage Fund</t>
        </is>
      </c>
      <c r="B302" s="260" t="n">
        <v>9.720000000000001</v>
      </c>
      <c r="C302" s="260" t="n">
        <v>1.45</v>
      </c>
      <c r="D302" s="260" t="n">
        <v>14.26</v>
      </c>
      <c r="E302" s="260" t="n">
        <v>16.26</v>
      </c>
      <c r="F302" s="260" t="n">
        <v>1.45</v>
      </c>
      <c r="G302" s="260" t="n">
        <v>5.76</v>
      </c>
      <c r="H302" s="260" t="n">
        <v>1.18</v>
      </c>
      <c r="I302" s="260" t="n">
        <v>1.86</v>
      </c>
      <c r="J302" s="260" t="n">
        <v>0.54</v>
      </c>
      <c r="K302" s="260" t="n">
        <v>2.57</v>
      </c>
      <c r="L302" s="259" t="inlineStr">
        <is>
          <t>HY-DAA</t>
        </is>
      </c>
    </row>
    <row r="303">
      <c r="A303" s="259" t="inlineStr">
        <is>
          <t>ICICI Prudential BHARAT 22 FOF</t>
        </is>
      </c>
      <c r="B303" s="260" t="n">
        <v>-0.9399999999999999</v>
      </c>
      <c r="C303" s="260" t="n">
        <v>0.13</v>
      </c>
      <c r="D303" s="260" t="n">
        <v>31.2</v>
      </c>
      <c r="E303" s="260" t="n">
        <v>34.12</v>
      </c>
      <c r="F303" s="260" t="n">
        <v>0.13</v>
      </c>
      <c r="G303" s="260" t="n">
        <v>17.7</v>
      </c>
      <c r="H303" s="260" t="n">
        <v>1.27</v>
      </c>
      <c r="I303" s="260" t="n">
        <v>2.07</v>
      </c>
      <c r="J303" s="260" t="n">
        <v>1.1</v>
      </c>
      <c r="K303" s="260" t="n">
        <v>11.14</v>
      </c>
      <c r="L303" s="259" t="inlineStr">
        <is>
          <t>EQ-LC</t>
        </is>
      </c>
    </row>
    <row r="304" hidden="1">
      <c r="A304" s="259" t="inlineStr">
        <is>
          <t>ICICI Prudential Bharat Consumption Fund</t>
        </is>
      </c>
      <c r="B304" s="260" t="n">
        <v>1.98</v>
      </c>
      <c r="C304" s="260" t="n">
        <v>2</v>
      </c>
      <c r="D304" s="260" t="n">
        <v>19.48</v>
      </c>
      <c r="E304" s="260" t="n">
        <v>21.69</v>
      </c>
      <c r="F304" s="260" t="n">
        <v>2</v>
      </c>
      <c r="G304" s="260" t="n">
        <v>12.78</v>
      </c>
      <c r="H304" s="260" t="n">
        <v>0.93</v>
      </c>
      <c r="I304" s="260" t="n">
        <v>1.18</v>
      </c>
      <c r="J304" s="260" t="n">
        <v>0.67</v>
      </c>
      <c r="K304" s="260" t="n">
        <v>2.29</v>
      </c>
      <c r="L304" s="259" t="inlineStr">
        <is>
          <t>EQ-Consumption</t>
        </is>
      </c>
    </row>
    <row r="305">
      <c r="A305" s="259" t="inlineStr">
        <is>
          <t>ICICI Prudential Bluechip Fund</t>
        </is>
      </c>
      <c r="B305" s="260" t="n">
        <v>7.75</v>
      </c>
      <c r="C305" s="260" t="n">
        <v>1.42</v>
      </c>
      <c r="D305" s="260" t="n">
        <v>20.81</v>
      </c>
      <c r="E305" s="260" t="n">
        <v>24.12</v>
      </c>
      <c r="F305" s="260" t="n">
        <v>1.42</v>
      </c>
      <c r="G305" s="260" t="n">
        <v>12.53</v>
      </c>
      <c r="H305" s="260" t="n">
        <v>1.01</v>
      </c>
      <c r="I305" s="260" t="n">
        <v>1.79</v>
      </c>
      <c r="J305" s="260" t="n">
        <v>0.89</v>
      </c>
      <c r="K305" s="260" t="n">
        <v>3.56</v>
      </c>
      <c r="L305" s="259" t="inlineStr">
        <is>
          <t>EQ-LC</t>
        </is>
      </c>
    </row>
    <row r="306">
      <c r="A306" s="259" t="inlineStr">
        <is>
          <t>ICICI Prudential BSE 500 ETF</t>
        </is>
      </c>
      <c r="B306" s="260" t="n">
        <v>4.93</v>
      </c>
      <c r="C306" s="260" t="n">
        <v>0.32</v>
      </c>
      <c r="D306" s="260" t="n">
        <v>19.07</v>
      </c>
      <c r="E306" s="260" t="n">
        <v>23.79</v>
      </c>
      <c r="F306" s="260" t="n">
        <v>0.32</v>
      </c>
      <c r="G306" s="260" t="n">
        <v>14.5</v>
      </c>
      <c r="H306" s="260" t="n">
        <v>0.77</v>
      </c>
      <c r="I306" s="260" t="n">
        <v>1.22</v>
      </c>
      <c r="J306" s="260" t="n">
        <v>1</v>
      </c>
      <c r="K306" s="260" t="n">
        <v>-0.32</v>
      </c>
      <c r="L306" s="259" t="inlineStr">
        <is>
          <t>EQ-FLX</t>
        </is>
      </c>
    </row>
    <row r="307">
      <c r="A307" s="259" t="inlineStr">
        <is>
          <t>ICICI Prudential BSE 500 ETF FOF</t>
        </is>
      </c>
      <c r="B307" s="260" t="n">
        <v>4.36</v>
      </c>
      <c r="C307" s="260" t="n">
        <v>0.58</v>
      </c>
      <c r="D307" s="260" t="n">
        <v>17.76</v>
      </c>
      <c r="E307" s="259" t="inlineStr">
        <is>
          <t>--</t>
        </is>
      </c>
      <c r="F307" s="260" t="n">
        <v>0.58</v>
      </c>
      <c r="G307" s="260" t="n">
        <v>14.05</v>
      </c>
      <c r="H307" s="260" t="n">
        <v>0.74</v>
      </c>
      <c r="I307" s="260" t="n">
        <v>1.12</v>
      </c>
      <c r="J307" s="260" t="n">
        <v>0.96</v>
      </c>
      <c r="K307" s="260" t="n">
        <v>-0.66</v>
      </c>
      <c r="L307" s="259" t="inlineStr">
        <is>
          <t>EQ-FLX</t>
        </is>
      </c>
    </row>
    <row r="308">
      <c r="A308" s="259" t="inlineStr">
        <is>
          <t>ICICI Prudential BSE Midcap Select ETF</t>
        </is>
      </c>
      <c r="B308" s="260" t="n">
        <v>4.06</v>
      </c>
      <c r="C308" s="260" t="n">
        <v>0.15</v>
      </c>
      <c r="D308" s="260" t="n">
        <v>22.75</v>
      </c>
      <c r="E308" s="260" t="n">
        <v>25.93</v>
      </c>
      <c r="F308" s="260" t="n">
        <v>0.15</v>
      </c>
      <c r="G308" s="260" t="n">
        <v>18.08</v>
      </c>
      <c r="H308" s="260" t="n">
        <v>0.8</v>
      </c>
      <c r="I308" s="260" t="n">
        <v>1.11</v>
      </c>
      <c r="J308" s="260" t="n">
        <v>1.02</v>
      </c>
      <c r="K308" s="260" t="n">
        <v>-4.03</v>
      </c>
      <c r="L308" s="259" t="inlineStr">
        <is>
          <t>EQ-MC</t>
        </is>
      </c>
    </row>
    <row r="309">
      <c r="A309" s="259" t="inlineStr">
        <is>
          <t>ICICI Prudential BSE Sensex ETF</t>
        </is>
      </c>
      <c r="B309" s="260" t="n">
        <v>7.78</v>
      </c>
      <c r="C309" s="260" t="n">
        <v>0.03</v>
      </c>
      <c r="D309" s="260" t="n">
        <v>15.91</v>
      </c>
      <c r="E309" s="260" t="n">
        <v>20.69</v>
      </c>
      <c r="F309" s="260" t="n">
        <v>0.03</v>
      </c>
      <c r="G309" s="260" t="n">
        <v>12.71</v>
      </c>
      <c r="H309" s="260" t="n">
        <v>0.67</v>
      </c>
      <c r="I309" s="260" t="n">
        <v>1.11</v>
      </c>
      <c r="J309" s="260" t="n">
        <v>0.91</v>
      </c>
      <c r="K309" s="260" t="n">
        <v>-0.91</v>
      </c>
      <c r="L309" s="259" t="inlineStr">
        <is>
          <t>EQ-LC</t>
        </is>
      </c>
    </row>
    <row r="310">
      <c r="A310" s="259" t="inlineStr">
        <is>
          <t>ICICI Prudential BSE Sensex Index Fund</t>
        </is>
      </c>
      <c r="B310" s="260" t="n">
        <v>7.46</v>
      </c>
      <c r="C310" s="260" t="n">
        <v>0.28</v>
      </c>
      <c r="D310" s="260" t="n">
        <v>15.53</v>
      </c>
      <c r="E310" s="260" t="n">
        <v>20.21</v>
      </c>
      <c r="F310" s="260" t="n">
        <v>0.28</v>
      </c>
      <c r="G310" s="260" t="n">
        <v>12.71</v>
      </c>
      <c r="H310" s="260" t="n">
        <v>0.64</v>
      </c>
      <c r="I310" s="260" t="n">
        <v>1.07</v>
      </c>
      <c r="J310" s="260" t="n">
        <v>0.91</v>
      </c>
      <c r="K310" s="260" t="n">
        <v>-1.24</v>
      </c>
      <c r="L310" s="259" t="inlineStr">
        <is>
          <t>EQ-LC</t>
        </is>
      </c>
    </row>
    <row r="311" hidden="1">
      <c r="A311" s="259" t="inlineStr">
        <is>
          <t>ICICI Prudential Business Cycle Fund</t>
        </is>
      </c>
      <c r="B311" s="260" t="n">
        <v>8.800000000000001</v>
      </c>
      <c r="C311" s="260" t="n">
        <v>1.7</v>
      </c>
      <c r="D311" s="260" t="n">
        <v>24.46</v>
      </c>
      <c r="E311" s="259" t="inlineStr">
        <is>
          <t>--</t>
        </is>
      </c>
      <c r="F311" s="260" t="n">
        <v>1.7</v>
      </c>
      <c r="G311" s="260" t="n">
        <v>12.98</v>
      </c>
      <c r="H311" s="260" t="n">
        <v>1.21</v>
      </c>
      <c r="I311" s="260" t="n">
        <v>2.53</v>
      </c>
      <c r="J311" s="260" t="n">
        <v>0.85</v>
      </c>
      <c r="K311" s="260" t="n">
        <v>6</v>
      </c>
      <c r="L311" s="259" t="inlineStr">
        <is>
          <t>EQ-THEMATIC</t>
        </is>
      </c>
    </row>
    <row r="312" hidden="1">
      <c r="A312" s="259" t="inlineStr">
        <is>
          <t>ICICI Prudential Commodities Fund</t>
        </is>
      </c>
      <c r="B312" s="260" t="n">
        <v>-2.29</v>
      </c>
      <c r="C312" s="260" t="n">
        <v>2</v>
      </c>
      <c r="D312" s="260" t="n">
        <v>21.24</v>
      </c>
      <c r="E312" s="260" t="n">
        <v>36</v>
      </c>
      <c r="F312" s="260" t="n">
        <v>2</v>
      </c>
      <c r="G312" s="260" t="n">
        <v>16.79</v>
      </c>
      <c r="H312" s="260" t="n">
        <v>0.76</v>
      </c>
      <c r="I312" s="260" t="n">
        <v>1.17</v>
      </c>
      <c r="J312" s="260" t="n">
        <v>1.03</v>
      </c>
      <c r="K312" s="260" t="n">
        <v>0.88</v>
      </c>
      <c r="L312" s="259" t="inlineStr">
        <is>
          <t>EQ-THEMATIC</t>
        </is>
      </c>
    </row>
    <row r="313" hidden="1">
      <c r="A313" s="259" t="inlineStr">
        <is>
          <t>ICICI Prudential Dividend Yield Equity Fund</t>
        </is>
      </c>
      <c r="B313" s="260" t="n">
        <v>7.4</v>
      </c>
      <c r="C313" s="260" t="n">
        <v>1.83</v>
      </c>
      <c r="D313" s="260" t="n">
        <v>25.74</v>
      </c>
      <c r="E313" s="260" t="n">
        <v>31.39</v>
      </c>
      <c r="F313" s="260" t="n">
        <v>1.83</v>
      </c>
      <c r="G313" s="260" t="n">
        <v>13.04</v>
      </c>
      <c r="H313" s="260" t="n">
        <v>1.31</v>
      </c>
      <c r="I313" s="260" t="n">
        <v>2.12</v>
      </c>
      <c r="J313" s="260" t="n">
        <v>0.84</v>
      </c>
      <c r="K313" s="260" t="n">
        <v>7.34</v>
      </c>
      <c r="L313" s="259" t="inlineStr">
        <is>
          <t>EQ-DIV Y</t>
        </is>
      </c>
    </row>
    <row r="314" hidden="1">
      <c r="A314" s="259" t="inlineStr">
        <is>
          <t>ICICI Prudential Energy Opportunities Fund - Regular Plan</t>
        </is>
      </c>
      <c r="B314" s="259" t="inlineStr">
        <is>
          <t>--</t>
        </is>
      </c>
      <c r="C314" s="260" t="n">
        <v>1.72</v>
      </c>
      <c r="D314" s="259" t="inlineStr">
        <is>
          <t>--</t>
        </is>
      </c>
      <c r="E314" s="259" t="inlineStr">
        <is>
          <t>--</t>
        </is>
      </c>
      <c r="F314" s="260" t="n">
        <v>1.72</v>
      </c>
      <c r="G314" s="259" t="inlineStr">
        <is>
          <t>--</t>
        </is>
      </c>
      <c r="H314" s="259" t="inlineStr">
        <is>
          <t>--</t>
        </is>
      </c>
      <c r="I314" s="259" t="inlineStr">
        <is>
          <t>--</t>
        </is>
      </c>
      <c r="J314" s="259" t="inlineStr">
        <is>
          <t>--</t>
        </is>
      </c>
      <c r="K314" s="259" t="inlineStr">
        <is>
          <t>--</t>
        </is>
      </c>
      <c r="L314" s="259" t="inlineStr">
        <is>
          <t>EQ-Energy</t>
        </is>
      </c>
    </row>
    <row r="315" hidden="1">
      <c r="A315" s="259" t="inlineStr">
        <is>
          <t>ICICI Prudential Equity Minimum Variance Fund - Regular Plan</t>
        </is>
      </c>
      <c r="B315" s="259" t="inlineStr">
        <is>
          <t>--</t>
        </is>
      </c>
      <c r="C315" s="260" t="n">
        <v>1.91</v>
      </c>
      <c r="D315" s="259" t="inlineStr">
        <is>
          <t>--</t>
        </is>
      </c>
      <c r="E315" s="259" t="inlineStr">
        <is>
          <t>--</t>
        </is>
      </c>
      <c r="F315" s="260" t="n">
        <v>1.91</v>
      </c>
      <c r="G315" s="259" t="inlineStr">
        <is>
          <t>--</t>
        </is>
      </c>
      <c r="H315" s="259" t="inlineStr">
        <is>
          <t>--</t>
        </is>
      </c>
      <c r="I315" s="259" t="inlineStr">
        <is>
          <t>--</t>
        </is>
      </c>
      <c r="J315" s="259" t="inlineStr">
        <is>
          <t>--</t>
        </is>
      </c>
      <c r="K315" s="259" t="inlineStr">
        <is>
          <t>--</t>
        </is>
      </c>
      <c r="L315" s="259" t="inlineStr">
        <is>
          <t>EQ-THEMATIC</t>
        </is>
      </c>
    </row>
    <row r="316" hidden="1">
      <c r="A316" s="259" t="inlineStr">
        <is>
          <t>ICICI Prudential ESG Exclusionary Strategy Fund</t>
        </is>
      </c>
      <c r="B316" s="260" t="n">
        <v>13.09</v>
      </c>
      <c r="C316" s="260" t="n">
        <v>2.14</v>
      </c>
      <c r="D316" s="260" t="n">
        <v>21.92</v>
      </c>
      <c r="E316" s="259" t="inlineStr">
        <is>
          <t>--</t>
        </is>
      </c>
      <c r="F316" s="260" t="n">
        <v>2.14</v>
      </c>
      <c r="G316" s="260" t="n">
        <v>12.84</v>
      </c>
      <c r="H316" s="260" t="n">
        <v>1.09</v>
      </c>
      <c r="I316" s="260" t="n">
        <v>1.76</v>
      </c>
      <c r="J316" s="260" t="n">
        <v>0.86</v>
      </c>
      <c r="K316" s="260" t="n">
        <v>5.21</v>
      </c>
      <c r="L316" s="259" t="inlineStr">
        <is>
          <t>EQ-T-ESG</t>
        </is>
      </c>
    </row>
    <row r="317" hidden="1">
      <c r="A317" s="259" t="inlineStr">
        <is>
          <t>ICICI Prudential Exports and Services Fund</t>
        </is>
      </c>
      <c r="B317" s="260" t="n">
        <v>12.86</v>
      </c>
      <c r="C317" s="260" t="n">
        <v>2.27</v>
      </c>
      <c r="D317" s="260" t="n">
        <v>23.16</v>
      </c>
      <c r="E317" s="260" t="n">
        <v>27.03</v>
      </c>
      <c r="F317" s="260" t="n">
        <v>2.27</v>
      </c>
      <c r="G317" s="260" t="n">
        <v>11.63</v>
      </c>
      <c r="H317" s="260" t="n">
        <v>1.23</v>
      </c>
      <c r="I317" s="260" t="n">
        <v>2.49</v>
      </c>
      <c r="J317" s="260" t="n">
        <v>0.76</v>
      </c>
      <c r="K317" s="260" t="n">
        <v>5.59</v>
      </c>
      <c r="L317" s="259" t="inlineStr">
        <is>
          <t>EQ-THEMATIC</t>
        </is>
      </c>
    </row>
    <row r="318">
      <c r="A318" s="259" t="inlineStr">
        <is>
          <t>ICICI Prudential Flexicap Fund</t>
        </is>
      </c>
      <c r="B318" s="260" t="n">
        <v>5.85</v>
      </c>
      <c r="C318" s="260" t="n">
        <v>1.69</v>
      </c>
      <c r="D318" s="260" t="n">
        <v>20.99</v>
      </c>
      <c r="E318" s="259" t="inlineStr">
        <is>
          <t>--</t>
        </is>
      </c>
      <c r="F318" s="260" t="n">
        <v>1.69</v>
      </c>
      <c r="G318" s="260" t="n">
        <v>13.5</v>
      </c>
      <c r="H318" s="260" t="n">
        <v>0.97</v>
      </c>
      <c r="I318" s="260" t="n">
        <v>1.48</v>
      </c>
      <c r="J318" s="260" t="n">
        <v>0.89</v>
      </c>
      <c r="K318" s="260" t="n">
        <v>2.95</v>
      </c>
      <c r="L318" s="259" t="inlineStr">
        <is>
          <t>EQ-FLX</t>
        </is>
      </c>
    </row>
    <row r="319" hidden="1">
      <c r="A319" s="259" t="inlineStr">
        <is>
          <t>ICICI Prudential FMCG Fund</t>
        </is>
      </c>
      <c r="B319" s="260" t="n">
        <v>-2.67</v>
      </c>
      <c r="C319" s="260" t="n">
        <v>2.13</v>
      </c>
      <c r="D319" s="260" t="n">
        <v>12.6</v>
      </c>
      <c r="E319" s="260" t="n">
        <v>15.78</v>
      </c>
      <c r="F319" s="260" t="n">
        <v>2.13</v>
      </c>
      <c r="G319" s="260" t="n">
        <v>13.18</v>
      </c>
      <c r="H319" s="260" t="n">
        <v>0.43</v>
      </c>
      <c r="I319" s="260" t="n">
        <v>0.5600000000000001</v>
      </c>
      <c r="J319" s="260" t="n">
        <v>0.73</v>
      </c>
      <c r="K319" s="260" t="n">
        <v>-2.76</v>
      </c>
      <c r="L319" s="259" t="inlineStr">
        <is>
          <t>EQ-THEMATIC</t>
        </is>
      </c>
    </row>
    <row r="320">
      <c r="A320" s="259" t="inlineStr">
        <is>
          <t>ICICI Prudential Focused Equity Fund</t>
        </is>
      </c>
      <c r="B320" s="260" t="n">
        <v>11.89</v>
      </c>
      <c r="C320" s="260" t="n">
        <v>1.72</v>
      </c>
      <c r="D320" s="260" t="n">
        <v>25.23</v>
      </c>
      <c r="E320" s="260" t="n">
        <v>26.49</v>
      </c>
      <c r="F320" s="260" t="n">
        <v>1.72</v>
      </c>
      <c r="G320" s="260" t="n">
        <v>13.93</v>
      </c>
      <c r="H320" s="260" t="n">
        <v>1.16</v>
      </c>
      <c r="I320" s="260" t="n">
        <v>2.08</v>
      </c>
      <c r="J320" s="260" t="n">
        <v>0.92</v>
      </c>
      <c r="K320" s="260" t="n">
        <v>5.61</v>
      </c>
      <c r="L320" s="259" t="inlineStr">
        <is>
          <t>EQ-FLX</t>
        </is>
      </c>
    </row>
    <row r="321" hidden="1">
      <c r="A321" s="259" t="inlineStr">
        <is>
          <t>ICICI Prudential Housing Opportunities Fund</t>
        </is>
      </c>
      <c r="B321" s="260" t="n">
        <v>4.48</v>
      </c>
      <c r="C321" s="260" t="n">
        <v>2.05</v>
      </c>
      <c r="D321" s="260" t="n">
        <v>21.16</v>
      </c>
      <c r="E321" s="259" t="inlineStr">
        <is>
          <t>--</t>
        </is>
      </c>
      <c r="F321" s="260" t="n">
        <v>2.05</v>
      </c>
      <c r="G321" s="260" t="n">
        <v>12.77</v>
      </c>
      <c r="H321" s="260" t="n">
        <v>1.01</v>
      </c>
      <c r="I321" s="260" t="n">
        <v>1.74</v>
      </c>
      <c r="J321" s="260" t="n">
        <v>0.83</v>
      </c>
      <c r="K321" s="260" t="n">
        <v>3.35</v>
      </c>
      <c r="L321" s="259" t="inlineStr">
        <is>
          <t>EQ-THEMATIC</t>
        </is>
      </c>
    </row>
    <row r="322">
      <c r="A322" s="259" t="inlineStr">
        <is>
          <t>ICICI Prudential India Equity FOF</t>
        </is>
      </c>
      <c r="B322" s="260" t="n">
        <v>9.23</v>
      </c>
      <c r="C322" s="260" t="n">
        <v>1.24</v>
      </c>
      <c r="D322" s="260" t="n">
        <v>23.36</v>
      </c>
      <c r="E322" s="260" t="n">
        <v>28.73</v>
      </c>
      <c r="F322" s="260" t="n">
        <v>1.24</v>
      </c>
      <c r="G322" s="260" t="n">
        <v>12.57</v>
      </c>
      <c r="H322" s="260" t="n">
        <v>1.17</v>
      </c>
      <c r="I322" s="260" t="n">
        <v>1.93</v>
      </c>
      <c r="J322" s="260" t="n">
        <v>0.84</v>
      </c>
      <c r="K322" s="260" t="n">
        <v>4.99</v>
      </c>
      <c r="L322" s="259" t="inlineStr">
        <is>
          <t>EQ-FLX</t>
        </is>
      </c>
    </row>
    <row r="323" hidden="1">
      <c r="A323" s="259" t="inlineStr">
        <is>
          <t>ICICI Prudential India Opportunities Fund</t>
        </is>
      </c>
      <c r="B323" s="260" t="n">
        <v>12.08</v>
      </c>
      <c r="C323" s="260" t="n">
        <v>1.6</v>
      </c>
      <c r="D323" s="260" t="n">
        <v>26.36</v>
      </c>
      <c r="E323" s="260" t="n">
        <v>32.35</v>
      </c>
      <c r="F323" s="260" t="n">
        <v>1.6</v>
      </c>
      <c r="G323" s="260" t="n">
        <v>12.31</v>
      </c>
      <c r="H323" s="260" t="n">
        <v>1.43</v>
      </c>
      <c r="I323" s="260" t="n">
        <v>2.83</v>
      </c>
      <c r="J323" s="260" t="n">
        <v>0.8</v>
      </c>
      <c r="K323" s="260" t="n">
        <v>8.41</v>
      </c>
      <c r="L323" s="259" t="inlineStr">
        <is>
          <t>EQ-THEMATIC</t>
        </is>
      </c>
    </row>
    <row r="324" hidden="1">
      <c r="A324" s="259" t="inlineStr">
        <is>
          <t>ICICI Prudential Innovation Fund</t>
        </is>
      </c>
      <c r="B324" s="260" t="n">
        <v>8.07</v>
      </c>
      <c r="C324" s="260" t="n">
        <v>1.81</v>
      </c>
      <c r="D324" s="259" t="inlineStr">
        <is>
          <t>--</t>
        </is>
      </c>
      <c r="E324" s="259" t="inlineStr">
        <is>
          <t>--</t>
        </is>
      </c>
      <c r="F324" s="260" t="n">
        <v>1.81</v>
      </c>
      <c r="G324" s="259" t="inlineStr">
        <is>
          <t>--</t>
        </is>
      </c>
      <c r="H324" s="259" t="inlineStr">
        <is>
          <t>--</t>
        </is>
      </c>
      <c r="I324" s="259" t="inlineStr">
        <is>
          <t>--</t>
        </is>
      </c>
      <c r="J324" s="259" t="inlineStr">
        <is>
          <t>--</t>
        </is>
      </c>
      <c r="K324" s="259" t="inlineStr">
        <is>
          <t>--</t>
        </is>
      </c>
      <c r="L324" s="259" t="inlineStr">
        <is>
          <t>EQ-THEMATIC</t>
        </is>
      </c>
    </row>
    <row r="325">
      <c r="A325" s="259" t="inlineStr">
        <is>
          <t>ICICI Prudential Large &amp; Mid Cap Fund</t>
        </is>
      </c>
      <c r="B325" s="260" t="n">
        <v>9.85</v>
      </c>
      <c r="C325" s="260" t="n">
        <v>1.66</v>
      </c>
      <c r="D325" s="260" t="n">
        <v>24.58</v>
      </c>
      <c r="E325" s="260" t="n">
        <v>29.49</v>
      </c>
      <c r="F325" s="260" t="n">
        <v>1.66</v>
      </c>
      <c r="G325" s="260" t="n">
        <v>12.58</v>
      </c>
      <c r="H325" s="260" t="n">
        <v>1.26</v>
      </c>
      <c r="I325" s="260" t="n">
        <v>2.04</v>
      </c>
      <c r="J325" s="260" t="n">
        <v>0.84</v>
      </c>
      <c r="K325" s="260" t="n">
        <v>6.58</v>
      </c>
      <c r="L325" s="259" t="inlineStr">
        <is>
          <t>EQ-L&amp;MC</t>
        </is>
      </c>
    </row>
    <row r="326" hidden="1">
      <c r="A326" s="259" t="inlineStr">
        <is>
          <t>ICICI Prudential Manufacturing Fund</t>
        </is>
      </c>
      <c r="B326" s="260" t="n">
        <v>-1.1</v>
      </c>
      <c r="C326" s="260" t="n">
        <v>1.82</v>
      </c>
      <c r="D326" s="260" t="n">
        <v>27.84</v>
      </c>
      <c r="E326" s="260" t="n">
        <v>30.64</v>
      </c>
      <c r="F326" s="260" t="n">
        <v>1.82</v>
      </c>
      <c r="G326" s="260" t="n">
        <v>16.92</v>
      </c>
      <c r="H326" s="260" t="n">
        <v>1.11</v>
      </c>
      <c r="I326" s="260" t="n">
        <v>1.63</v>
      </c>
      <c r="J326" s="260" t="n">
        <v>1.08</v>
      </c>
      <c r="K326" s="260" t="n">
        <v>6.38</v>
      </c>
      <c r="L326" s="259" t="inlineStr">
        <is>
          <t>EQ-THEMATIC</t>
        </is>
      </c>
    </row>
    <row r="327">
      <c r="A327" s="259" t="inlineStr">
        <is>
          <t>ICICI Prudential Midcap Fund</t>
        </is>
      </c>
      <c r="B327" s="260" t="n">
        <v>5.16</v>
      </c>
      <c r="C327" s="260" t="n">
        <v>1.87</v>
      </c>
      <c r="D327" s="260" t="n">
        <v>25.83</v>
      </c>
      <c r="E327" s="260" t="n">
        <v>31.05</v>
      </c>
      <c r="F327" s="260" t="n">
        <v>1.87</v>
      </c>
      <c r="G327" s="260" t="n">
        <v>16.6</v>
      </c>
      <c r="H327" s="260" t="n">
        <v>1</v>
      </c>
      <c r="I327" s="260" t="n">
        <v>1.45</v>
      </c>
      <c r="J327" s="260" t="n">
        <v>0.93</v>
      </c>
      <c r="K327" s="260" t="n">
        <v>-0.31</v>
      </c>
      <c r="L327" s="259" t="inlineStr">
        <is>
          <t>EQ-MC</t>
        </is>
      </c>
    </row>
    <row r="328" hidden="1">
      <c r="A328" s="259" t="inlineStr">
        <is>
          <t>ICICI Prudential MNC Fund</t>
        </is>
      </c>
      <c r="B328" s="260" t="n">
        <v>-0.14</v>
      </c>
      <c r="C328" s="260" t="n">
        <v>2.14</v>
      </c>
      <c r="D328" s="260" t="n">
        <v>16.24</v>
      </c>
      <c r="E328" s="260" t="n">
        <v>23.65</v>
      </c>
      <c r="F328" s="260" t="n">
        <v>2.14</v>
      </c>
      <c r="G328" s="260" t="n">
        <v>12.47</v>
      </c>
      <c r="H328" s="260" t="n">
        <v>0.68</v>
      </c>
      <c r="I328" s="260" t="n">
        <v>0.88</v>
      </c>
      <c r="J328" s="260" t="n">
        <v>0.79</v>
      </c>
      <c r="K328" s="260" t="n">
        <v>-0.63</v>
      </c>
      <c r="L328" s="259" t="inlineStr">
        <is>
          <t>EQ-MNC</t>
        </is>
      </c>
    </row>
    <row r="329">
      <c r="A329" s="259" t="inlineStr">
        <is>
          <t>ICICI Prudential Multi Asset Fund</t>
        </is>
      </c>
      <c r="B329" s="260" t="n">
        <v>12.08</v>
      </c>
      <c r="C329" s="260" t="n">
        <v>1.4</v>
      </c>
      <c r="D329" s="260" t="n">
        <v>20.66</v>
      </c>
      <c r="E329" s="260" t="n">
        <v>24.94</v>
      </c>
      <c r="F329" s="260" t="n">
        <v>1.4</v>
      </c>
      <c r="G329" s="260" t="n">
        <v>7.57</v>
      </c>
      <c r="H329" s="260" t="n">
        <v>1.61</v>
      </c>
      <c r="I329" s="260" t="n">
        <v>2.76</v>
      </c>
      <c r="J329" s="260" t="n">
        <v>0.72</v>
      </c>
      <c r="K329" s="260" t="n">
        <v>5.85</v>
      </c>
      <c r="L329" s="259" t="inlineStr">
        <is>
          <t>HY-MAA</t>
        </is>
      </c>
    </row>
    <row r="330">
      <c r="A330" s="259" t="inlineStr">
        <is>
          <t>ICICI Prudential Multicap Fund</t>
        </is>
      </c>
      <c r="B330" s="260" t="n">
        <v>7.66</v>
      </c>
      <c r="C330" s="260" t="n">
        <v>1.74</v>
      </c>
      <c r="D330" s="260" t="n">
        <v>24.54</v>
      </c>
      <c r="E330" s="260" t="n">
        <v>26.91</v>
      </c>
      <c r="F330" s="260" t="n">
        <v>1.74</v>
      </c>
      <c r="G330" s="260" t="n">
        <v>13.41</v>
      </c>
      <c r="H330" s="260" t="n">
        <v>1.18</v>
      </c>
      <c r="I330" s="260" t="n">
        <v>1.95</v>
      </c>
      <c r="J330" s="260" t="n">
        <v>0.83</v>
      </c>
      <c r="K330" s="260" t="n">
        <v>3.71</v>
      </c>
      <c r="L330" s="259" t="inlineStr">
        <is>
          <t>EQ-MLC</t>
        </is>
      </c>
    </row>
    <row r="331">
      <c r="A331" s="259" t="inlineStr">
        <is>
          <t>ICICI Prudential Nifty 100 ETF</t>
        </is>
      </c>
      <c r="B331" s="260" t="n">
        <v>5.33</v>
      </c>
      <c r="C331" s="260" t="n">
        <v>0.48</v>
      </c>
      <c r="D331" s="260" t="n">
        <v>16.58</v>
      </c>
      <c r="E331" s="260" t="n">
        <v>20.94</v>
      </c>
      <c r="F331" s="260" t="n">
        <v>0.48</v>
      </c>
      <c r="G331" s="260" t="n">
        <v>13.96</v>
      </c>
      <c r="H331" s="260" t="n">
        <v>0.65</v>
      </c>
      <c r="I331" s="260" t="n">
        <v>1.05</v>
      </c>
      <c r="J331" s="260" t="n">
        <v>1.01</v>
      </c>
      <c r="K331" s="260" t="n">
        <v>-1.36</v>
      </c>
      <c r="L331" s="259" t="inlineStr">
        <is>
          <t>EQ-LC</t>
        </is>
      </c>
    </row>
    <row r="332">
      <c r="A332" s="259" t="inlineStr">
        <is>
          <t>ICICI Prudential Nifty 100 Low Volatility 30 ETF</t>
        </is>
      </c>
      <c r="B332" s="260" t="n">
        <v>5.57</v>
      </c>
      <c r="C332" s="260" t="n">
        <v>0.41</v>
      </c>
      <c r="D332" s="260" t="n">
        <v>18.09</v>
      </c>
      <c r="E332" s="260" t="n">
        <v>20.7</v>
      </c>
      <c r="F332" s="260" t="n">
        <v>0.41</v>
      </c>
      <c r="G332" s="260" t="n">
        <v>13.91</v>
      </c>
      <c r="H332" s="260" t="n">
        <v>0.72</v>
      </c>
      <c r="I332" s="260" t="n">
        <v>1.06</v>
      </c>
      <c r="J332" s="260" t="n">
        <v>0.96</v>
      </c>
      <c r="K332" s="260" t="n">
        <v>0.16</v>
      </c>
      <c r="L332" s="259" t="inlineStr">
        <is>
          <t>EQ-LC</t>
        </is>
      </c>
    </row>
    <row r="333">
      <c r="A333" s="259" t="inlineStr">
        <is>
          <t>ICICI Prudential Nifty 100 Low Volatility 30 ETF FOF</t>
        </is>
      </c>
      <c r="B333" s="260" t="n">
        <v>5.15</v>
      </c>
      <c r="C333" s="260" t="n">
        <v>0.54</v>
      </c>
      <c r="D333" s="260" t="n">
        <v>17.33</v>
      </c>
      <c r="E333" s="259" t="inlineStr">
        <is>
          <t>--</t>
        </is>
      </c>
      <c r="F333" s="260" t="n">
        <v>0.54</v>
      </c>
      <c r="G333" s="260" t="n">
        <v>13.46</v>
      </c>
      <c r="H333" s="260" t="n">
        <v>0.6899999999999999</v>
      </c>
      <c r="I333" s="260" t="n">
        <v>1.04</v>
      </c>
      <c r="J333" s="260" t="n">
        <v>0.92</v>
      </c>
      <c r="K333" s="260" t="n">
        <v>-0.11</v>
      </c>
      <c r="L333" s="259" t="inlineStr">
        <is>
          <t>EQ-LC</t>
        </is>
      </c>
    </row>
    <row r="334">
      <c r="A334" s="259" t="inlineStr">
        <is>
          <t>ICICI Prudential Nifty 200 Momentum 30 ETF</t>
        </is>
      </c>
      <c r="B334" s="260" t="n">
        <v>-11.97</v>
      </c>
      <c r="C334" s="260" t="n">
        <v>0.3</v>
      </c>
      <c r="D334" s="259" t="inlineStr">
        <is>
          <t>--</t>
        </is>
      </c>
      <c r="E334" s="259" t="inlineStr">
        <is>
          <t>--</t>
        </is>
      </c>
      <c r="F334" s="260" t="n">
        <v>0.3</v>
      </c>
      <c r="G334" s="259" t="inlineStr">
        <is>
          <t>--</t>
        </is>
      </c>
      <c r="H334" s="259" t="inlineStr">
        <is>
          <t>--</t>
        </is>
      </c>
      <c r="I334" s="259" t="inlineStr">
        <is>
          <t>--</t>
        </is>
      </c>
      <c r="J334" s="259" t="inlineStr">
        <is>
          <t>--</t>
        </is>
      </c>
      <c r="K334" s="259" t="inlineStr">
        <is>
          <t>--</t>
        </is>
      </c>
      <c r="L334" s="259" t="inlineStr">
        <is>
          <t>EQ-L&amp;MC</t>
        </is>
      </c>
    </row>
    <row r="335">
      <c r="A335" s="259" t="inlineStr">
        <is>
          <t>ICICI Prudential Nifty 200 Momentum 30 Index Fund</t>
        </is>
      </c>
      <c r="B335" s="260" t="n">
        <v>-12.57</v>
      </c>
      <c r="C335" s="260" t="n">
        <v>1</v>
      </c>
      <c r="D335" s="259" t="inlineStr">
        <is>
          <t>--</t>
        </is>
      </c>
      <c r="E335" s="259" t="inlineStr">
        <is>
          <t>--</t>
        </is>
      </c>
      <c r="F335" s="260" t="n">
        <v>1</v>
      </c>
      <c r="G335" s="259" t="inlineStr">
        <is>
          <t>--</t>
        </is>
      </c>
      <c r="H335" s="259" t="inlineStr">
        <is>
          <t>--</t>
        </is>
      </c>
      <c r="I335" s="259" t="inlineStr">
        <is>
          <t>--</t>
        </is>
      </c>
      <c r="J335" s="259" t="inlineStr">
        <is>
          <t>--</t>
        </is>
      </c>
      <c r="K335" s="259" t="inlineStr">
        <is>
          <t>--</t>
        </is>
      </c>
      <c r="L335" s="259" t="inlineStr">
        <is>
          <t>EQ-L&amp;MC</t>
        </is>
      </c>
    </row>
    <row r="336">
      <c r="A336" s="259" t="inlineStr">
        <is>
          <t>ICICI Prudential Nifty 200 Quality 30 ETF</t>
        </is>
      </c>
      <c r="B336" s="260" t="n">
        <v>2.41</v>
      </c>
      <c r="C336" s="260" t="n">
        <v>0.3</v>
      </c>
      <c r="D336" s="259" t="inlineStr">
        <is>
          <t>--</t>
        </is>
      </c>
      <c r="E336" s="259" t="inlineStr">
        <is>
          <t>--</t>
        </is>
      </c>
      <c r="F336" s="260" t="n">
        <v>0.3</v>
      </c>
      <c r="G336" s="259" t="inlineStr">
        <is>
          <t>--</t>
        </is>
      </c>
      <c r="H336" s="259" t="inlineStr">
        <is>
          <t>--</t>
        </is>
      </c>
      <c r="I336" s="259" t="inlineStr">
        <is>
          <t>--</t>
        </is>
      </c>
      <c r="J336" s="259" t="inlineStr">
        <is>
          <t>--</t>
        </is>
      </c>
      <c r="K336" s="259" t="inlineStr">
        <is>
          <t>--</t>
        </is>
      </c>
      <c r="L336" s="259" t="inlineStr">
        <is>
          <t>EQ-L&amp;MC</t>
        </is>
      </c>
    </row>
    <row r="337">
      <c r="A337" s="259" t="inlineStr">
        <is>
          <t>ICICI Prudential Nifty200 Quality 30 Index Fund</t>
        </is>
      </c>
      <c r="B337" s="259" t="inlineStr">
        <is>
          <t>--</t>
        </is>
      </c>
      <c r="C337" s="259" t="inlineStr">
        <is>
          <t>--</t>
        </is>
      </c>
      <c r="D337" s="259" t="inlineStr">
        <is>
          <t>--</t>
        </is>
      </c>
      <c r="E337" s="259" t="inlineStr">
        <is>
          <t>--</t>
        </is>
      </c>
      <c r="F337" s="259" t="inlineStr">
        <is>
          <t>--</t>
        </is>
      </c>
      <c r="G337" s="259" t="inlineStr">
        <is>
          <t>--</t>
        </is>
      </c>
      <c r="H337" s="259" t="inlineStr">
        <is>
          <t>--</t>
        </is>
      </c>
      <c r="I337" s="259" t="inlineStr">
        <is>
          <t>--</t>
        </is>
      </c>
      <c r="J337" s="259" t="inlineStr">
        <is>
          <t>--</t>
        </is>
      </c>
      <c r="K337" s="259" t="inlineStr">
        <is>
          <t>--</t>
        </is>
      </c>
      <c r="L337" s="259" t="inlineStr">
        <is>
          <t>EQ-L&amp;MC</t>
        </is>
      </c>
    </row>
    <row r="338">
      <c r="A338" s="259" t="inlineStr">
        <is>
          <t>ICICI Prudential Nifty 500 Index Fund - Regular Plan</t>
        </is>
      </c>
      <c r="B338" s="259" t="inlineStr">
        <is>
          <t>--</t>
        </is>
      </c>
      <c r="C338" s="260" t="n">
        <v>0.88</v>
      </c>
      <c r="D338" s="259" t="inlineStr">
        <is>
          <t>--</t>
        </is>
      </c>
      <c r="E338" s="259" t="inlineStr">
        <is>
          <t>--</t>
        </is>
      </c>
      <c r="F338" s="260" t="n">
        <v>0.88</v>
      </c>
      <c r="G338" s="259" t="inlineStr">
        <is>
          <t>--</t>
        </is>
      </c>
      <c r="H338" s="259" t="inlineStr">
        <is>
          <t>--</t>
        </is>
      </c>
      <c r="I338" s="259" t="inlineStr">
        <is>
          <t>--</t>
        </is>
      </c>
      <c r="J338" s="259" t="inlineStr">
        <is>
          <t>--</t>
        </is>
      </c>
      <c r="K338" s="259" t="inlineStr">
        <is>
          <t>--</t>
        </is>
      </c>
      <c r="L338" s="259" t="inlineStr">
        <is>
          <t>EQ-FLX</t>
        </is>
      </c>
    </row>
    <row r="339">
      <c r="A339" s="259" t="inlineStr">
        <is>
          <t>ICICI Prudential Nifty50 Equal Weight Index Fund</t>
        </is>
      </c>
      <c r="B339" s="260" t="n">
        <v>4.97</v>
      </c>
      <c r="C339" s="260" t="n">
        <v>0.99</v>
      </c>
      <c r="D339" s="259" t="inlineStr">
        <is>
          <t>--</t>
        </is>
      </c>
      <c r="E339" s="259" t="inlineStr">
        <is>
          <t>--</t>
        </is>
      </c>
      <c r="F339" s="260" t="n">
        <v>0.99</v>
      </c>
      <c r="G339" s="259" t="inlineStr">
        <is>
          <t>--</t>
        </is>
      </c>
      <c r="H339" s="259" t="inlineStr">
        <is>
          <t>--</t>
        </is>
      </c>
      <c r="I339" s="259" t="inlineStr">
        <is>
          <t>--</t>
        </is>
      </c>
      <c r="J339" s="259" t="inlineStr">
        <is>
          <t>--</t>
        </is>
      </c>
      <c r="K339" s="259" t="inlineStr">
        <is>
          <t>--</t>
        </is>
      </c>
      <c r="L339" s="259" t="inlineStr">
        <is>
          <t>EQ-LC</t>
        </is>
      </c>
    </row>
    <row r="340">
      <c r="A340" s="259" t="inlineStr">
        <is>
          <t>ICICI Prudential Nifty 50 ETF</t>
        </is>
      </c>
      <c r="B340" s="260" t="n">
        <v>7.84</v>
      </c>
      <c r="C340" s="260" t="n">
        <v>0.03</v>
      </c>
      <c r="D340" s="260" t="n">
        <v>16.61</v>
      </c>
      <c r="E340" s="260" t="n">
        <v>21.4</v>
      </c>
      <c r="F340" s="260" t="n">
        <v>0.03</v>
      </c>
      <c r="G340" s="260" t="n">
        <v>13.13</v>
      </c>
      <c r="H340" s="260" t="n">
        <v>0.6899999999999999</v>
      </c>
      <c r="I340" s="260" t="n">
        <v>1.18</v>
      </c>
      <c r="J340" s="260" t="n">
        <v>0.95</v>
      </c>
      <c r="K340" s="260" t="n">
        <v>-0.7</v>
      </c>
      <c r="L340" s="259" t="inlineStr">
        <is>
          <t>EQ-LC</t>
        </is>
      </c>
    </row>
    <row r="341">
      <c r="A341" s="259" t="inlineStr">
        <is>
          <t>ICICI Prudential Nifty 50 Index Fund</t>
        </is>
      </c>
      <c r="B341" s="260" t="n">
        <v>7.39</v>
      </c>
      <c r="C341" s="260" t="n">
        <v>0.36</v>
      </c>
      <c r="D341" s="260" t="n">
        <v>16.13</v>
      </c>
      <c r="E341" s="260" t="n">
        <v>20.85</v>
      </c>
      <c r="F341" s="260" t="n">
        <v>0.36</v>
      </c>
      <c r="G341" s="260" t="n">
        <v>13.12</v>
      </c>
      <c r="H341" s="260" t="n">
        <v>0.66</v>
      </c>
      <c r="I341" s="260" t="n">
        <v>1.12</v>
      </c>
      <c r="J341" s="260" t="n">
        <v>0.95</v>
      </c>
      <c r="K341" s="260" t="n">
        <v>-1.11</v>
      </c>
      <c r="L341" s="259" t="inlineStr">
        <is>
          <t>EQ-LC</t>
        </is>
      </c>
    </row>
    <row r="342">
      <c r="A342" s="259" t="inlineStr">
        <is>
          <t>ICICI Prudential Nifty Alpha Low Volatility 30 ETF</t>
        </is>
      </c>
      <c r="B342" s="260" t="n">
        <v>-3.51</v>
      </c>
      <c r="C342" s="260" t="n">
        <v>0.41</v>
      </c>
      <c r="D342" s="260" t="n">
        <v>21.07</v>
      </c>
      <c r="E342" s="259" t="inlineStr">
        <is>
          <t>--</t>
        </is>
      </c>
      <c r="F342" s="260" t="n">
        <v>0.41</v>
      </c>
      <c r="G342" s="260" t="n">
        <v>16.07</v>
      </c>
      <c r="H342" s="260" t="n">
        <v>0.79</v>
      </c>
      <c r="I342" s="260" t="n">
        <v>1.14</v>
      </c>
      <c r="J342" s="260" t="n">
        <v>1.05</v>
      </c>
      <c r="K342" s="260" t="n">
        <v>1.01</v>
      </c>
      <c r="L342" s="259" t="inlineStr">
        <is>
          <t>EQ-L&amp;MC</t>
        </is>
      </c>
    </row>
    <row r="343">
      <c r="A343" s="259" t="inlineStr">
        <is>
          <t>ICICI Prudential Nifty Alpha Low Volatility 30 ETF FOF</t>
        </is>
      </c>
      <c r="B343" s="260" t="n">
        <v>-3.82</v>
      </c>
      <c r="C343" s="260" t="n">
        <v>0.53</v>
      </c>
      <c r="D343" s="260" t="n">
        <v>20.34</v>
      </c>
      <c r="E343" s="259" t="inlineStr">
        <is>
          <t>--</t>
        </is>
      </c>
      <c r="F343" s="260" t="n">
        <v>0.53</v>
      </c>
      <c r="G343" s="260" t="n">
        <v>15.96</v>
      </c>
      <c r="H343" s="260" t="n">
        <v>0.76</v>
      </c>
      <c r="I343" s="260" t="n">
        <v>1.03</v>
      </c>
      <c r="J343" s="260" t="n">
        <v>1.03</v>
      </c>
      <c r="K343" s="260" t="n">
        <v>0.66</v>
      </c>
      <c r="L343" s="259" t="inlineStr">
        <is>
          <t>EQ-L&amp;MC</t>
        </is>
      </c>
    </row>
    <row r="344" hidden="1">
      <c r="A344" s="259" t="inlineStr">
        <is>
          <t>ICICI Prudential Nifty Auto ETF</t>
        </is>
      </c>
      <c r="B344" s="260" t="n">
        <v>-6.55</v>
      </c>
      <c r="C344" s="260" t="n">
        <v>0.2</v>
      </c>
      <c r="D344" s="260" t="n">
        <v>27.89</v>
      </c>
      <c r="E344" s="259" t="inlineStr">
        <is>
          <t>--</t>
        </is>
      </c>
      <c r="F344" s="260" t="n">
        <v>0.2</v>
      </c>
      <c r="G344" s="260" t="n">
        <v>18.11</v>
      </c>
      <c r="H344" s="260" t="n">
        <v>1.08</v>
      </c>
      <c r="I344" s="260" t="n">
        <v>1.4</v>
      </c>
      <c r="J344" s="260" t="n">
        <v>1</v>
      </c>
      <c r="K344" s="260" t="n">
        <v>8.029999999999999</v>
      </c>
      <c r="L344" s="259" t="inlineStr">
        <is>
          <t>EQ-THEMATIC</t>
        </is>
      </c>
    </row>
    <row r="345" hidden="1">
      <c r="A345" s="259" t="inlineStr">
        <is>
          <t>ICICI Prudential Nifty Auto Index Fund</t>
        </is>
      </c>
      <c r="B345" s="260" t="n">
        <v>-7.21</v>
      </c>
      <c r="C345" s="260" t="n">
        <v>0.9399999999999999</v>
      </c>
      <c r="D345" s="259" t="inlineStr">
        <is>
          <t>--</t>
        </is>
      </c>
      <c r="E345" s="259" t="inlineStr">
        <is>
          <t>--</t>
        </is>
      </c>
      <c r="F345" s="260" t="n">
        <v>0.9399999999999999</v>
      </c>
      <c r="G345" s="259" t="inlineStr">
        <is>
          <t>--</t>
        </is>
      </c>
      <c r="H345" s="259" t="inlineStr">
        <is>
          <t>--</t>
        </is>
      </c>
      <c r="I345" s="259" t="inlineStr">
        <is>
          <t>--</t>
        </is>
      </c>
      <c r="J345" s="259" t="inlineStr">
        <is>
          <t>--</t>
        </is>
      </c>
      <c r="K345" s="259" t="inlineStr">
        <is>
          <t>--</t>
        </is>
      </c>
      <c r="L345" s="259" t="inlineStr">
        <is>
          <t>EQ-THEMATIC</t>
        </is>
      </c>
    </row>
    <row r="346" hidden="1">
      <c r="A346" s="259" t="inlineStr">
        <is>
          <t>ICICI Prudential Nifty Commodities ETF</t>
        </is>
      </c>
      <c r="B346" s="260" t="n">
        <v>-4.45</v>
      </c>
      <c r="C346" s="260" t="n">
        <v>0.3</v>
      </c>
      <c r="D346" s="259" t="inlineStr">
        <is>
          <t>--</t>
        </is>
      </c>
      <c r="E346" s="259" t="inlineStr">
        <is>
          <t>--</t>
        </is>
      </c>
      <c r="F346" s="260" t="n">
        <v>0.3</v>
      </c>
      <c r="G346" s="259" t="inlineStr">
        <is>
          <t>--</t>
        </is>
      </c>
      <c r="H346" s="259" t="inlineStr">
        <is>
          <t>--</t>
        </is>
      </c>
      <c r="I346" s="259" t="inlineStr">
        <is>
          <t>--</t>
        </is>
      </c>
      <c r="J346" s="259" t="inlineStr">
        <is>
          <t>--</t>
        </is>
      </c>
      <c r="K346" s="259" t="inlineStr">
        <is>
          <t>--</t>
        </is>
      </c>
      <c r="L346" s="259" t="inlineStr">
        <is>
          <t>EQ-THEMATIC</t>
        </is>
      </c>
    </row>
    <row r="347" hidden="1">
      <c r="A347" s="259" t="inlineStr">
        <is>
          <t>ICICI Prudential Nifty EV &amp; New Age Automotive ETF</t>
        </is>
      </c>
      <c r="B347" s="259" t="inlineStr">
        <is>
          <t>--</t>
        </is>
      </c>
      <c r="C347" s="260" t="n">
        <v>0.44</v>
      </c>
      <c r="D347" s="259" t="inlineStr">
        <is>
          <t>--</t>
        </is>
      </c>
      <c r="E347" s="259" t="inlineStr">
        <is>
          <t>--</t>
        </is>
      </c>
      <c r="F347" s="260" t="n">
        <v>0.44</v>
      </c>
      <c r="G347" s="259" t="inlineStr">
        <is>
          <t>--</t>
        </is>
      </c>
      <c r="H347" s="259" t="inlineStr">
        <is>
          <t>--</t>
        </is>
      </c>
      <c r="I347" s="259" t="inlineStr">
        <is>
          <t>--</t>
        </is>
      </c>
      <c r="J347" s="259" t="inlineStr">
        <is>
          <t>--</t>
        </is>
      </c>
      <c r="K347" s="259" t="inlineStr">
        <is>
          <t>--</t>
        </is>
      </c>
      <c r="L347" s="259" t="inlineStr">
        <is>
          <t>EQ-THEMATIC</t>
        </is>
      </c>
    </row>
    <row r="348" hidden="1">
      <c r="A348" s="259" t="inlineStr">
        <is>
          <t>ICICI Prudential Nifty EV &amp; New Age Automotive ETF FoF - Regular Plan</t>
        </is>
      </c>
      <c r="B348" s="259" t="inlineStr">
        <is>
          <t>--</t>
        </is>
      </c>
      <c r="C348" s="260" t="n">
        <v>0.61</v>
      </c>
      <c r="D348" s="259" t="inlineStr">
        <is>
          <t>--</t>
        </is>
      </c>
      <c r="E348" s="259" t="inlineStr">
        <is>
          <t>--</t>
        </is>
      </c>
      <c r="F348" s="260" t="n">
        <v>0.61</v>
      </c>
      <c r="G348" s="259" t="inlineStr">
        <is>
          <t>--</t>
        </is>
      </c>
      <c r="H348" s="259" t="inlineStr">
        <is>
          <t>--</t>
        </is>
      </c>
      <c r="I348" s="259" t="inlineStr">
        <is>
          <t>--</t>
        </is>
      </c>
      <c r="J348" s="259" t="inlineStr">
        <is>
          <t>--</t>
        </is>
      </c>
      <c r="K348" s="259" t="inlineStr">
        <is>
          <t>--</t>
        </is>
      </c>
      <c r="L348" s="259" t="inlineStr">
        <is>
          <t>EQ-THEMATIC</t>
        </is>
      </c>
    </row>
    <row r="349" hidden="1">
      <c r="A349" s="259" t="inlineStr">
        <is>
          <t>ICICI Prudential Nifty FMCG ETF</t>
        </is>
      </c>
      <c r="B349" s="260" t="n">
        <v>-2.48</v>
      </c>
      <c r="C349" s="260" t="n">
        <v>0.2</v>
      </c>
      <c r="D349" s="260" t="n">
        <v>15.39</v>
      </c>
      <c r="E349" s="259" t="inlineStr">
        <is>
          <t>--</t>
        </is>
      </c>
      <c r="F349" s="260" t="n">
        <v>0.2</v>
      </c>
      <c r="G349" s="260" t="n">
        <v>15.7</v>
      </c>
      <c r="H349" s="260" t="n">
        <v>0.53</v>
      </c>
      <c r="I349" s="260" t="n">
        <v>0.77</v>
      </c>
      <c r="J349" s="260" t="n">
        <v>0.86</v>
      </c>
      <c r="K349" s="260" t="n">
        <v>-1.55</v>
      </c>
      <c r="L349" s="259" t="inlineStr">
        <is>
          <t>EQ-THEMATIC</t>
        </is>
      </c>
    </row>
    <row r="350" hidden="1">
      <c r="A350" s="259" t="inlineStr">
        <is>
          <t>ICICI Prudential Nifty India Consumption ETF</t>
        </is>
      </c>
      <c r="B350" s="260" t="n">
        <v>3.91</v>
      </c>
      <c r="C350" s="260" t="n">
        <v>0.2</v>
      </c>
      <c r="D350" s="260" t="n">
        <v>20.57</v>
      </c>
      <c r="E350" s="259" t="inlineStr">
        <is>
          <t>--</t>
        </is>
      </c>
      <c r="F350" s="260" t="n">
        <v>0.2</v>
      </c>
      <c r="G350" s="260" t="n">
        <v>15.98</v>
      </c>
      <c r="H350" s="260" t="n">
        <v>0.78</v>
      </c>
      <c r="I350" s="260" t="n">
        <v>1.13</v>
      </c>
      <c r="J350" s="260" t="n">
        <v>0.85</v>
      </c>
      <c r="K350" s="260" t="n">
        <v>0.18</v>
      </c>
      <c r="L350" s="259" t="inlineStr">
        <is>
          <t>EQ-Consumption</t>
        </is>
      </c>
    </row>
    <row r="351">
      <c r="A351" s="259" t="inlineStr">
        <is>
          <t>ICICI Prudential Nifty LargeMidcap 250 Index Fund</t>
        </is>
      </c>
      <c r="B351" s="260" t="n">
        <v>5.29</v>
      </c>
      <c r="C351" s="260" t="n">
        <v>0.8</v>
      </c>
      <c r="D351" s="259" t="inlineStr">
        <is>
          <t>--</t>
        </is>
      </c>
      <c r="E351" s="259" t="inlineStr">
        <is>
          <t>--</t>
        </is>
      </c>
      <c r="F351" s="260" t="n">
        <v>0.8</v>
      </c>
      <c r="G351" s="259" t="inlineStr">
        <is>
          <t>--</t>
        </is>
      </c>
      <c r="H351" s="259" t="inlineStr">
        <is>
          <t>--</t>
        </is>
      </c>
      <c r="I351" s="259" t="inlineStr">
        <is>
          <t>--</t>
        </is>
      </c>
      <c r="J351" s="259" t="inlineStr">
        <is>
          <t>--</t>
        </is>
      </c>
      <c r="K351" s="259" t="inlineStr">
        <is>
          <t>--</t>
        </is>
      </c>
      <c r="L351" s="259" t="inlineStr">
        <is>
          <t>EQ-L&amp;MC</t>
        </is>
      </c>
    </row>
    <row r="352" hidden="1">
      <c r="A352" s="259" t="inlineStr">
        <is>
          <t>ICICI Prudential Nifty Metal ETF</t>
        </is>
      </c>
      <c r="B352" s="259" t="inlineStr">
        <is>
          <t>--</t>
        </is>
      </c>
      <c r="C352" s="260" t="n">
        <v>0.4</v>
      </c>
      <c r="D352" s="259" t="inlineStr">
        <is>
          <t>--</t>
        </is>
      </c>
      <c r="E352" s="259" t="inlineStr">
        <is>
          <t>--</t>
        </is>
      </c>
      <c r="F352" s="260" t="n">
        <v>0.4</v>
      </c>
      <c r="G352" s="259" t="inlineStr">
        <is>
          <t>--</t>
        </is>
      </c>
      <c r="H352" s="259" t="inlineStr">
        <is>
          <t>--</t>
        </is>
      </c>
      <c r="I352" s="259" t="inlineStr">
        <is>
          <t>--</t>
        </is>
      </c>
      <c r="J352" s="259" t="inlineStr">
        <is>
          <t>--</t>
        </is>
      </c>
      <c r="K352" s="259" t="inlineStr">
        <is>
          <t>--</t>
        </is>
      </c>
      <c r="L352" s="259" t="inlineStr">
        <is>
          <t>EQ-THEMATIC</t>
        </is>
      </c>
    </row>
    <row r="353">
      <c r="A353" s="259" t="inlineStr">
        <is>
          <t>ICICI Prudential Nifty Midcap 150 ETF</t>
        </is>
      </c>
      <c r="B353" s="260" t="n">
        <v>6.28</v>
      </c>
      <c r="C353" s="260" t="n">
        <v>0.15</v>
      </c>
      <c r="D353" s="260" t="n">
        <v>27.99</v>
      </c>
      <c r="E353" s="260" t="n">
        <v>32.17</v>
      </c>
      <c r="F353" s="260" t="n">
        <v>0.15</v>
      </c>
      <c r="G353" s="260" t="n">
        <v>16.99</v>
      </c>
      <c r="H353" s="260" t="n">
        <v>1.1</v>
      </c>
      <c r="I353" s="260" t="n">
        <v>1.6</v>
      </c>
      <c r="J353" s="260" t="n">
        <v>1</v>
      </c>
      <c r="K353" s="260" t="n">
        <v>0.6899999999999999</v>
      </c>
      <c r="L353" s="259" t="inlineStr">
        <is>
          <t>EQ-MC</t>
        </is>
      </c>
    </row>
    <row r="354">
      <c r="A354" s="259" t="inlineStr">
        <is>
          <t>ICICI Prudential Nifty Midcap 150 Index Fund</t>
        </is>
      </c>
      <c r="B354" s="260" t="n">
        <v>5.29</v>
      </c>
      <c r="C354" s="260" t="n">
        <v>0.92</v>
      </c>
      <c r="D354" s="260" t="n">
        <v>26.7</v>
      </c>
      <c r="E354" s="259" t="inlineStr">
        <is>
          <t>--</t>
        </is>
      </c>
      <c r="F354" s="260" t="n">
        <v>0.92</v>
      </c>
      <c r="G354" s="260" t="n">
        <v>16.94</v>
      </c>
      <c r="H354" s="260" t="n">
        <v>1.05</v>
      </c>
      <c r="I354" s="260" t="n">
        <v>1.51</v>
      </c>
      <c r="J354" s="260" t="n">
        <v>0.99</v>
      </c>
      <c r="K354" s="260" t="n">
        <v>-0.29</v>
      </c>
      <c r="L354" s="259" t="inlineStr">
        <is>
          <t>EQ-MC</t>
        </is>
      </c>
    </row>
    <row r="355">
      <c r="A355" s="259" t="inlineStr">
        <is>
          <t>ICICI Prudential Nifty Next 50 ETF</t>
        </is>
      </c>
      <c r="B355" s="260" t="n">
        <v>-3.16</v>
      </c>
      <c r="C355" s="260" t="n">
        <v>0.1</v>
      </c>
      <c r="D355" s="260" t="n">
        <v>22.11</v>
      </c>
      <c r="E355" s="260" t="n">
        <v>22.79</v>
      </c>
      <c r="F355" s="260" t="n">
        <v>0.1</v>
      </c>
      <c r="G355" s="260" t="n">
        <v>19.54</v>
      </c>
      <c r="H355" s="260" t="n">
        <v>0.73</v>
      </c>
      <c r="I355" s="260" t="n">
        <v>1.08</v>
      </c>
      <c r="J355" s="260" t="n">
        <v>1.3</v>
      </c>
      <c r="K355" s="260" t="n">
        <v>0.83</v>
      </c>
      <c r="L355" s="259" t="inlineStr">
        <is>
          <t>EQ-LC</t>
        </is>
      </c>
    </row>
    <row r="356">
      <c r="A356" s="259" t="inlineStr">
        <is>
          <t>ICICI Prudential Nifty Next 50 Index Fund</t>
        </is>
      </c>
      <c r="B356" s="260" t="n">
        <v>-4.07</v>
      </c>
      <c r="C356" s="260" t="n">
        <v>0.68</v>
      </c>
      <c r="D356" s="260" t="n">
        <v>21.27</v>
      </c>
      <c r="E356" s="260" t="n">
        <v>21.78</v>
      </c>
      <c r="F356" s="260" t="n">
        <v>0.68</v>
      </c>
      <c r="G356" s="260" t="n">
        <v>19.55</v>
      </c>
      <c r="H356" s="260" t="n">
        <v>0.6899999999999999</v>
      </c>
      <c r="I356" s="260" t="n">
        <v>1.03</v>
      </c>
      <c r="J356" s="260" t="n">
        <v>1.3</v>
      </c>
      <c r="K356" s="260" t="n">
        <v>0.13</v>
      </c>
      <c r="L356" s="259" t="inlineStr">
        <is>
          <t>EQ-LC</t>
        </is>
      </c>
    </row>
    <row r="357" hidden="1">
      <c r="A357" s="259" t="inlineStr">
        <is>
          <t>ICICI Prudential Nifty Oil &amp; Gas ETF</t>
        </is>
      </c>
      <c r="B357" s="259" t="inlineStr">
        <is>
          <t>--</t>
        </is>
      </c>
      <c r="C357" s="260" t="n">
        <v>0.4</v>
      </c>
      <c r="D357" s="259" t="inlineStr">
        <is>
          <t>--</t>
        </is>
      </c>
      <c r="E357" s="259" t="inlineStr">
        <is>
          <t>--</t>
        </is>
      </c>
      <c r="F357" s="260" t="n">
        <v>0.4</v>
      </c>
      <c r="G357" s="259" t="inlineStr">
        <is>
          <t>--</t>
        </is>
      </c>
      <c r="H357" s="259" t="inlineStr">
        <is>
          <t>--</t>
        </is>
      </c>
      <c r="I357" s="259" t="inlineStr">
        <is>
          <t>--</t>
        </is>
      </c>
      <c r="J357" s="259" t="inlineStr">
        <is>
          <t>--</t>
        </is>
      </c>
      <c r="K357" s="259" t="inlineStr">
        <is>
          <t>--</t>
        </is>
      </c>
      <c r="L357" s="259" t="inlineStr">
        <is>
          <t>EQ-THEMATIC</t>
        </is>
      </c>
    </row>
    <row r="358">
      <c r="A358" s="259" t="inlineStr">
        <is>
          <t>ICICI Prudential Nifty Smallcap 250 Index Fund</t>
        </is>
      </c>
      <c r="B358" s="260" t="n">
        <v>3.55</v>
      </c>
      <c r="C358" s="260" t="n">
        <v>0.84</v>
      </c>
      <c r="D358" s="260" t="n">
        <v>25.88</v>
      </c>
      <c r="E358" s="259" t="inlineStr">
        <is>
          <t>--</t>
        </is>
      </c>
      <c r="F358" s="260" t="n">
        <v>0.84</v>
      </c>
      <c r="G358" s="260" t="n">
        <v>19.89</v>
      </c>
      <c r="H358" s="260" t="n">
        <v>0.88</v>
      </c>
      <c r="I358" s="260" t="n">
        <v>1.28</v>
      </c>
      <c r="J358" s="260" t="n">
        <v>1.01</v>
      </c>
      <c r="K358" s="260" t="n">
        <v>-1.03</v>
      </c>
      <c r="L358" s="259" t="inlineStr">
        <is>
          <t>EQ-SC</t>
        </is>
      </c>
    </row>
    <row r="359">
      <c r="A359" s="259" t="inlineStr">
        <is>
          <t>ICICI Prudential Nifty Top 15 Equal Weight ETF</t>
        </is>
      </c>
      <c r="B359" s="259" t="inlineStr">
        <is>
          <t>--</t>
        </is>
      </c>
      <c r="C359" s="259" t="inlineStr">
        <is>
          <t>--</t>
        </is>
      </c>
      <c r="D359" s="259" t="inlineStr">
        <is>
          <t>--</t>
        </is>
      </c>
      <c r="E359" s="259" t="inlineStr">
        <is>
          <t>--</t>
        </is>
      </c>
      <c r="F359" s="259" t="inlineStr">
        <is>
          <t>--</t>
        </is>
      </c>
      <c r="G359" s="259" t="inlineStr">
        <is>
          <t>--</t>
        </is>
      </c>
      <c r="H359" s="259" t="inlineStr">
        <is>
          <t>--</t>
        </is>
      </c>
      <c r="I359" s="259" t="inlineStr">
        <is>
          <t>--</t>
        </is>
      </c>
      <c r="J359" s="259" t="inlineStr">
        <is>
          <t>--</t>
        </is>
      </c>
      <c r="K359" s="259" t="inlineStr">
        <is>
          <t>--</t>
        </is>
      </c>
      <c r="L359" s="259" t="inlineStr">
        <is>
          <t>EQ-LC</t>
        </is>
      </c>
    </row>
    <row r="360">
      <c r="A360" s="259" t="inlineStr">
        <is>
          <t>ICICI Prudential Nifty Top 15 Equal Weight Index Fund</t>
        </is>
      </c>
      <c r="B360" s="259" t="inlineStr">
        <is>
          <t>--</t>
        </is>
      </c>
      <c r="C360" s="259" t="inlineStr">
        <is>
          <t>--</t>
        </is>
      </c>
      <c r="D360" s="259" t="inlineStr">
        <is>
          <t>--</t>
        </is>
      </c>
      <c r="E360" s="259" t="inlineStr">
        <is>
          <t>--</t>
        </is>
      </c>
      <c r="F360" s="259" t="inlineStr">
        <is>
          <t>--</t>
        </is>
      </c>
      <c r="G360" s="259" t="inlineStr">
        <is>
          <t>--</t>
        </is>
      </c>
      <c r="H360" s="259" t="inlineStr">
        <is>
          <t>--</t>
        </is>
      </c>
      <c r="I360" s="259" t="inlineStr">
        <is>
          <t>--</t>
        </is>
      </c>
      <c r="J360" s="259" t="inlineStr">
        <is>
          <t>--</t>
        </is>
      </c>
      <c r="K360" s="259" t="inlineStr">
        <is>
          <t>--</t>
        </is>
      </c>
      <c r="L360" s="259" t="inlineStr">
        <is>
          <t>EQ-LC</t>
        </is>
      </c>
    </row>
    <row r="361">
      <c r="A361" s="259" t="inlineStr">
        <is>
          <t>ICICI Prudential Passive Multi-Asset FoF</t>
        </is>
      </c>
      <c r="B361" s="260" t="n">
        <v>13.4</v>
      </c>
      <c r="C361" s="260" t="n">
        <v>0.59</v>
      </c>
      <c r="D361" s="260" t="n">
        <v>15.28</v>
      </c>
      <c r="E361" s="259" t="inlineStr">
        <is>
          <t>--</t>
        </is>
      </c>
      <c r="F361" s="260" t="n">
        <v>0.59</v>
      </c>
      <c r="G361" s="260" t="n">
        <v>6.62</v>
      </c>
      <c r="H361" s="260" t="n">
        <v>1.1</v>
      </c>
      <c r="I361" s="260" t="n">
        <v>1.87</v>
      </c>
      <c r="J361" s="260" t="n">
        <v>0.54</v>
      </c>
      <c r="K361" s="260" t="n">
        <v>2.52</v>
      </c>
      <c r="L361" s="259" t="inlineStr">
        <is>
          <t>HY-MAA</t>
        </is>
      </c>
    </row>
    <row r="362">
      <c r="A362" s="259" t="inlineStr">
        <is>
          <t>ICICI Prudential Passive Strategy Fund (FOF)</t>
        </is>
      </c>
      <c r="B362" s="260" t="n">
        <v>10.06</v>
      </c>
      <c r="C362" s="260" t="n">
        <v>0.44</v>
      </c>
      <c r="D362" s="260" t="n">
        <v>20.92</v>
      </c>
      <c r="E362" s="260" t="n">
        <v>24.26</v>
      </c>
      <c r="F362" s="260" t="n">
        <v>0.44</v>
      </c>
      <c r="G362" s="260" t="n">
        <v>12.54</v>
      </c>
      <c r="H362" s="260" t="n">
        <v>1.01</v>
      </c>
      <c r="I362" s="260" t="n">
        <v>1.7</v>
      </c>
      <c r="J362" s="260" t="n">
        <v>0.84</v>
      </c>
      <c r="K362" s="260" t="n">
        <v>2.98</v>
      </c>
      <c r="L362" s="259" t="inlineStr">
        <is>
          <t>EQ-FLX</t>
        </is>
      </c>
    </row>
    <row r="363" hidden="1">
      <c r="A363" s="259" t="inlineStr">
        <is>
          <t>ICICI Prudential PSU Equity Fund</t>
        </is>
      </c>
      <c r="B363" s="260" t="n">
        <v>-1.34</v>
      </c>
      <c r="C363" s="260" t="n">
        <v>2.07</v>
      </c>
      <c r="D363" s="259" t="inlineStr">
        <is>
          <t>--</t>
        </is>
      </c>
      <c r="E363" s="259" t="inlineStr">
        <is>
          <t>--</t>
        </is>
      </c>
      <c r="F363" s="260" t="n">
        <v>2.07</v>
      </c>
      <c r="G363" s="259" t="inlineStr">
        <is>
          <t>--</t>
        </is>
      </c>
      <c r="H363" s="259" t="inlineStr">
        <is>
          <t>--</t>
        </is>
      </c>
      <c r="I363" s="259" t="inlineStr">
        <is>
          <t>--</t>
        </is>
      </c>
      <c r="J363" s="259" t="inlineStr">
        <is>
          <t>--</t>
        </is>
      </c>
      <c r="K363" s="259" t="inlineStr">
        <is>
          <t>--</t>
        </is>
      </c>
      <c r="L363" s="259" t="inlineStr">
        <is>
          <t>EQ-PSU</t>
        </is>
      </c>
    </row>
    <row r="364" hidden="1">
      <c r="A364" s="259" t="inlineStr">
        <is>
          <t>ICICI Prudential Quality Fund</t>
        </is>
      </c>
      <c r="B364" s="259" t="inlineStr">
        <is>
          <t>--</t>
        </is>
      </c>
      <c r="C364" s="260" t="n">
        <v>2.07</v>
      </c>
      <c r="D364" s="259" t="inlineStr">
        <is>
          <t>--</t>
        </is>
      </c>
      <c r="E364" s="259" t="inlineStr">
        <is>
          <t>--</t>
        </is>
      </c>
      <c r="F364" s="260" t="n">
        <v>2.07</v>
      </c>
      <c r="G364" s="259" t="inlineStr">
        <is>
          <t>--</t>
        </is>
      </c>
      <c r="H364" s="259" t="inlineStr">
        <is>
          <t>--</t>
        </is>
      </c>
      <c r="I364" s="259" t="inlineStr">
        <is>
          <t>--</t>
        </is>
      </c>
      <c r="J364" s="259" t="inlineStr">
        <is>
          <t>--</t>
        </is>
      </c>
      <c r="K364" s="259" t="inlineStr">
        <is>
          <t>--</t>
        </is>
      </c>
      <c r="L364" s="259" t="inlineStr">
        <is>
          <t>EQ-THEMATIC</t>
        </is>
      </c>
    </row>
    <row r="365" hidden="1">
      <c r="A365" s="259" t="inlineStr">
        <is>
          <t>ICICI Prudential Quant Fund</t>
        </is>
      </c>
      <c r="B365" s="260" t="n">
        <v>8.27</v>
      </c>
      <c r="C365" s="260" t="n">
        <v>2.32</v>
      </c>
      <c r="D365" s="260" t="n">
        <v>19.46</v>
      </c>
      <c r="E365" s="259" t="inlineStr">
        <is>
          <t>--</t>
        </is>
      </c>
      <c r="F365" s="260" t="n">
        <v>2.32</v>
      </c>
      <c r="G365" s="260" t="n">
        <v>11.89</v>
      </c>
      <c r="H365" s="260" t="n">
        <v>0.9399999999999999</v>
      </c>
      <c r="I365" s="260" t="n">
        <v>1.42</v>
      </c>
      <c r="J365" s="260" t="n">
        <v>0.78</v>
      </c>
      <c r="K365" s="260" t="n">
        <v>2.11</v>
      </c>
      <c r="L365" s="259" t="inlineStr">
        <is>
          <t>EQ-THEMATIC</t>
        </is>
      </c>
    </row>
    <row r="366">
      <c r="A366" s="259" t="inlineStr">
        <is>
          <t>ICICI Prudential Retirement Fund - Pure Equity Plan</t>
        </is>
      </c>
      <c r="B366" s="260" t="n">
        <v>8.25</v>
      </c>
      <c r="C366" s="260" t="n">
        <v>2.11</v>
      </c>
      <c r="D366" s="260" t="n">
        <v>25.85</v>
      </c>
      <c r="E366" s="260" t="n">
        <v>29.83</v>
      </c>
      <c r="F366" s="260" t="n">
        <v>2.11</v>
      </c>
      <c r="G366" s="260" t="n">
        <v>14.67</v>
      </c>
      <c r="H366" s="260" t="n">
        <v>1.08</v>
      </c>
      <c r="I366" s="260" t="n">
        <v>1.6</v>
      </c>
      <c r="J366" s="260" t="n">
        <v>0.95</v>
      </c>
      <c r="K366" s="260" t="n">
        <v>4.91</v>
      </c>
      <c r="L366" s="259" t="inlineStr">
        <is>
          <t>EQ-FLX</t>
        </is>
      </c>
    </row>
    <row r="367" hidden="1">
      <c r="A367" s="259" t="inlineStr">
        <is>
          <t>ICICI Prudential Rural Opportunities Fund - Regular Plan</t>
        </is>
      </c>
      <c r="B367" s="259" t="inlineStr">
        <is>
          <t>--</t>
        </is>
      </c>
      <c r="C367" s="260" t="n">
        <v>2.17</v>
      </c>
      <c r="D367" s="259" t="inlineStr">
        <is>
          <t>--</t>
        </is>
      </c>
      <c r="E367" s="259" t="inlineStr">
        <is>
          <t>--</t>
        </is>
      </c>
      <c r="F367" s="260" t="n">
        <v>2.17</v>
      </c>
      <c r="G367" s="259" t="inlineStr">
        <is>
          <t>--</t>
        </is>
      </c>
      <c r="H367" s="259" t="inlineStr">
        <is>
          <t>--</t>
        </is>
      </c>
      <c r="I367" s="259" t="inlineStr">
        <is>
          <t>--</t>
        </is>
      </c>
      <c r="J367" s="259" t="inlineStr">
        <is>
          <t>--</t>
        </is>
      </c>
      <c r="K367" s="259" t="inlineStr">
        <is>
          <t>--</t>
        </is>
      </c>
      <c r="L367" s="259" t="inlineStr">
        <is>
          <t>EQ-THEMATIC</t>
        </is>
      </c>
    </row>
    <row r="368">
      <c r="A368" s="259" t="inlineStr">
        <is>
          <t>ICICI Prudential Smallcap Fund</t>
        </is>
      </c>
      <c r="B368" s="260" t="n">
        <v>1.22</v>
      </c>
      <c r="C368" s="260" t="n">
        <v>1.78</v>
      </c>
      <c r="D368" s="260" t="n">
        <v>21.11</v>
      </c>
      <c r="E368" s="260" t="n">
        <v>33.99</v>
      </c>
      <c r="F368" s="260" t="n">
        <v>1.78</v>
      </c>
      <c r="G368" s="260" t="n">
        <v>15.46</v>
      </c>
      <c r="H368" s="260" t="n">
        <v>0.87</v>
      </c>
      <c r="I368" s="260" t="n">
        <v>1.27</v>
      </c>
      <c r="J368" s="260" t="n">
        <v>0.75</v>
      </c>
      <c r="K368" s="260" t="n">
        <v>-0.14</v>
      </c>
      <c r="L368" s="259" t="inlineStr">
        <is>
          <t>EQ-SC</t>
        </is>
      </c>
    </row>
    <row r="369" hidden="1">
      <c r="A369" s="259" t="inlineStr">
        <is>
          <t>ICICI Prudential Thematic Advantage Fund (FOF)</t>
        </is>
      </c>
      <c r="B369" s="260" t="n">
        <v>16.76</v>
      </c>
      <c r="C369" s="260" t="n">
        <v>1.52</v>
      </c>
      <c r="D369" s="260" t="n">
        <v>22.36</v>
      </c>
      <c r="E369" s="260" t="n">
        <v>27.78</v>
      </c>
      <c r="F369" s="260" t="n">
        <v>1.52</v>
      </c>
      <c r="G369" s="260" t="n">
        <v>11.07</v>
      </c>
      <c r="H369" s="260" t="n">
        <v>1.25</v>
      </c>
      <c r="I369" s="260" t="n">
        <v>2.36</v>
      </c>
      <c r="J369" s="260" t="n">
        <v>0.73</v>
      </c>
      <c r="K369" s="260" t="n">
        <v>5.41</v>
      </c>
      <c r="L369" s="259" t="inlineStr">
        <is>
          <t>EQ-THEMATIC</t>
        </is>
      </c>
    </row>
    <row r="370" hidden="1">
      <c r="A370" s="259" t="inlineStr">
        <is>
          <t>ICICI Prudential Transportation and Logistics Fund</t>
        </is>
      </c>
      <c r="B370" s="260" t="n">
        <v>0.83</v>
      </c>
      <c r="C370" s="260" t="n">
        <v>1.98</v>
      </c>
      <c r="D370" s="259" t="inlineStr">
        <is>
          <t>--</t>
        </is>
      </c>
      <c r="E370" s="259" t="inlineStr">
        <is>
          <t>--</t>
        </is>
      </c>
      <c r="F370" s="260" t="n">
        <v>1.98</v>
      </c>
      <c r="G370" s="259" t="inlineStr">
        <is>
          <t>--</t>
        </is>
      </c>
      <c r="H370" s="259" t="inlineStr">
        <is>
          <t>--</t>
        </is>
      </c>
      <c r="I370" s="259" t="inlineStr">
        <is>
          <t>--</t>
        </is>
      </c>
      <c r="J370" s="259" t="inlineStr">
        <is>
          <t>--</t>
        </is>
      </c>
      <c r="K370" s="259" t="inlineStr">
        <is>
          <t>--</t>
        </is>
      </c>
      <c r="L370" s="259" t="inlineStr">
        <is>
          <t>EQ-THEMATIC</t>
        </is>
      </c>
    </row>
    <row r="371">
      <c r="A371" s="259" t="inlineStr">
        <is>
          <t>Invesco India Balanced Advantage Fund</t>
        </is>
      </c>
      <c r="B371" s="260" t="n">
        <v>7.19</v>
      </c>
      <c r="C371" s="260" t="n">
        <v>2.13</v>
      </c>
      <c r="D371" s="260" t="n">
        <v>15</v>
      </c>
      <c r="E371" s="260" t="n">
        <v>14.03</v>
      </c>
      <c r="F371" s="260" t="n">
        <v>2.13</v>
      </c>
      <c r="G371" s="260" t="n">
        <v>8.390000000000001</v>
      </c>
      <c r="H371" s="260" t="n">
        <v>0.89</v>
      </c>
      <c r="I371" s="260" t="n">
        <v>1.27</v>
      </c>
      <c r="J371" s="260" t="n">
        <v>0.79</v>
      </c>
      <c r="K371" s="260" t="n">
        <v>1.24</v>
      </c>
      <c r="L371" s="259" t="inlineStr">
        <is>
          <t>HY-DAA</t>
        </is>
      </c>
    </row>
    <row r="372" hidden="1">
      <c r="A372" s="259" t="inlineStr">
        <is>
          <t>Invesco India Business Cycle Fund - Regular Plan</t>
        </is>
      </c>
      <c r="B372" s="259" t="inlineStr">
        <is>
          <t>--</t>
        </is>
      </c>
      <c r="C372" s="260" t="n">
        <v>2.38</v>
      </c>
      <c r="D372" s="259" t="inlineStr">
        <is>
          <t>--</t>
        </is>
      </c>
      <c r="E372" s="259" t="inlineStr">
        <is>
          <t>--</t>
        </is>
      </c>
      <c r="F372" s="260" t="n">
        <v>2.38</v>
      </c>
      <c r="G372" s="259" t="inlineStr">
        <is>
          <t>--</t>
        </is>
      </c>
      <c r="H372" s="259" t="inlineStr">
        <is>
          <t>--</t>
        </is>
      </c>
      <c r="I372" s="259" t="inlineStr">
        <is>
          <t>--</t>
        </is>
      </c>
      <c r="J372" s="259" t="inlineStr">
        <is>
          <t>--</t>
        </is>
      </c>
      <c r="K372" s="259" t="inlineStr">
        <is>
          <t>--</t>
        </is>
      </c>
      <c r="L372" s="259" t="inlineStr">
        <is>
          <t>EQ-THEMATIC</t>
        </is>
      </c>
    </row>
    <row r="373" hidden="1">
      <c r="A373" s="259" t="inlineStr">
        <is>
          <t>Invesco India ESG Integration Strategy Fund - Regular Plan</t>
        </is>
      </c>
      <c r="B373" s="260" t="n">
        <v>7.14</v>
      </c>
      <c r="C373" s="260" t="n">
        <v>2.43</v>
      </c>
      <c r="D373" s="260" t="n">
        <v>16.32</v>
      </c>
      <c r="E373" s="259" t="inlineStr">
        <is>
          <t>--</t>
        </is>
      </c>
      <c r="F373" s="260" t="n">
        <v>2.43</v>
      </c>
      <c r="G373" s="260" t="n">
        <v>13.95</v>
      </c>
      <c r="H373" s="260" t="n">
        <v>0.64</v>
      </c>
      <c r="I373" s="260" t="n">
        <v>0.89</v>
      </c>
      <c r="J373" s="260" t="n">
        <v>0.9399999999999999</v>
      </c>
      <c r="K373" s="260" t="n">
        <v>-0.77</v>
      </c>
      <c r="L373" s="259" t="inlineStr">
        <is>
          <t>EQ-T-ESG</t>
        </is>
      </c>
    </row>
    <row r="374">
      <c r="A374" s="259" t="inlineStr">
        <is>
          <t>Invesco India Flexi Cap Fund - Regular Plan</t>
        </is>
      </c>
      <c r="B374" s="260" t="n">
        <v>12.02</v>
      </c>
      <c r="C374" s="260" t="n">
        <v>1.94</v>
      </c>
      <c r="D374" s="260" t="n">
        <v>25.35</v>
      </c>
      <c r="E374" s="259" t="inlineStr">
        <is>
          <t>--</t>
        </is>
      </c>
      <c r="F374" s="260" t="n">
        <v>1.94</v>
      </c>
      <c r="G374" s="260" t="n">
        <v>14.81</v>
      </c>
      <c r="H374" s="260" t="n">
        <v>1.11</v>
      </c>
      <c r="I374" s="260" t="n">
        <v>1.33</v>
      </c>
      <c r="J374" s="260" t="n">
        <v>0.9399999999999999</v>
      </c>
      <c r="K374" s="260" t="n">
        <v>5.55</v>
      </c>
      <c r="L374" s="259" t="inlineStr">
        <is>
          <t>EQ-FLX</t>
        </is>
      </c>
    </row>
    <row r="375">
      <c r="A375" s="259" t="inlineStr">
        <is>
          <t>Invesco India Focused Fund - Regular Plan</t>
        </is>
      </c>
      <c r="B375" s="260" t="n">
        <v>12.53</v>
      </c>
      <c r="C375" s="260" t="n">
        <v>1.88</v>
      </c>
      <c r="D375" s="260" t="n">
        <v>26.3</v>
      </c>
      <c r="E375" s="259" t="inlineStr">
        <is>
          <t>--</t>
        </is>
      </c>
      <c r="F375" s="260" t="n">
        <v>1.88</v>
      </c>
      <c r="G375" s="260" t="n">
        <v>15.57</v>
      </c>
      <c r="H375" s="260" t="n">
        <v>1.16</v>
      </c>
      <c r="I375" s="260" t="n">
        <v>1.61</v>
      </c>
      <c r="J375" s="260" t="n">
        <v>0.96</v>
      </c>
      <c r="K375" s="260" t="n">
        <v>6.93</v>
      </c>
      <c r="L375" s="259" t="inlineStr">
        <is>
          <t>EQ-FLX</t>
        </is>
      </c>
    </row>
    <row r="376">
      <c r="A376" s="259" t="inlineStr">
        <is>
          <t>Invesco India Largecap Fund</t>
        </is>
      </c>
      <c r="B376" s="260" t="n">
        <v>8.19</v>
      </c>
      <c r="C376" s="260" t="n">
        <v>2.06</v>
      </c>
      <c r="D376" s="260" t="n">
        <v>19.81</v>
      </c>
      <c r="E376" s="260" t="n">
        <v>21.68</v>
      </c>
      <c r="F376" s="260" t="n">
        <v>2.06</v>
      </c>
      <c r="G376" s="260" t="n">
        <v>14.58</v>
      </c>
      <c r="H376" s="260" t="n">
        <v>0.8100000000000001</v>
      </c>
      <c r="I376" s="260" t="n">
        <v>1.17</v>
      </c>
      <c r="J376" s="260" t="n">
        <v>1.02</v>
      </c>
      <c r="K376" s="260" t="n">
        <v>1.24</v>
      </c>
      <c r="L376" s="259" t="inlineStr">
        <is>
          <t>EQ-LC</t>
        </is>
      </c>
    </row>
    <row r="377">
      <c r="A377" s="259" t="inlineStr">
        <is>
          <t>Invesco India Large &amp; Mid Cap Fund</t>
        </is>
      </c>
      <c r="B377" s="260" t="n">
        <v>15.89</v>
      </c>
      <c r="C377" s="260" t="n">
        <v>1.79</v>
      </c>
      <c r="D377" s="260" t="n">
        <v>27.8</v>
      </c>
      <c r="E377" s="260" t="n">
        <v>26.13</v>
      </c>
      <c r="F377" s="260" t="n">
        <v>1.79</v>
      </c>
      <c r="G377" s="260" t="n">
        <v>15.45</v>
      </c>
      <c r="H377" s="260" t="n">
        <v>1.16</v>
      </c>
      <c r="I377" s="260" t="n">
        <v>1.49</v>
      </c>
      <c r="J377" s="260" t="n">
        <v>0.99</v>
      </c>
      <c r="K377" s="260" t="n">
        <v>7.08</v>
      </c>
      <c r="L377" s="259" t="inlineStr">
        <is>
          <t>EQ-L&amp;MC</t>
        </is>
      </c>
    </row>
    <row r="378" hidden="1">
      <c r="A378" s="259" t="inlineStr">
        <is>
          <t>Invesco India Manufacturing Fund - Regular Plan</t>
        </is>
      </c>
      <c r="B378" s="259" t="inlineStr">
        <is>
          <t>--</t>
        </is>
      </c>
      <c r="C378" s="260" t="n">
        <v>2.28</v>
      </c>
      <c r="D378" s="259" t="inlineStr">
        <is>
          <t>--</t>
        </is>
      </c>
      <c r="E378" s="259" t="inlineStr">
        <is>
          <t>--</t>
        </is>
      </c>
      <c r="F378" s="260" t="n">
        <v>2.28</v>
      </c>
      <c r="G378" s="259" t="inlineStr">
        <is>
          <t>--</t>
        </is>
      </c>
      <c r="H378" s="259" t="inlineStr">
        <is>
          <t>--</t>
        </is>
      </c>
      <c r="I378" s="259" t="inlineStr">
        <is>
          <t>--</t>
        </is>
      </c>
      <c r="J378" s="259" t="inlineStr">
        <is>
          <t>--</t>
        </is>
      </c>
      <c r="K378" s="259" t="inlineStr">
        <is>
          <t>--</t>
        </is>
      </c>
      <c r="L378" s="259" t="inlineStr">
        <is>
          <t>EQ-THEMATIC</t>
        </is>
      </c>
    </row>
    <row r="379">
      <c r="A379" s="259" t="inlineStr">
        <is>
          <t>Invesco India Mid Cap Fund</t>
        </is>
      </c>
      <c r="B379" s="260" t="n">
        <v>17.98</v>
      </c>
      <c r="C379" s="260" t="n">
        <v>1.8</v>
      </c>
      <c r="D379" s="260" t="n">
        <v>30.27</v>
      </c>
      <c r="E379" s="260" t="n">
        <v>30.52</v>
      </c>
      <c r="F379" s="260" t="n">
        <v>1.8</v>
      </c>
      <c r="G379" s="260" t="n">
        <v>16.83</v>
      </c>
      <c r="H379" s="260" t="n">
        <v>1.18</v>
      </c>
      <c r="I379" s="260" t="n">
        <v>1.51</v>
      </c>
      <c r="J379" s="260" t="n">
        <v>0.9399999999999999</v>
      </c>
      <c r="K379" s="260" t="n">
        <v>2.9</v>
      </c>
      <c r="L379" s="259" t="inlineStr">
        <is>
          <t>EQ-MC</t>
        </is>
      </c>
    </row>
    <row r="380">
      <c r="A380" s="259" t="inlineStr">
        <is>
          <t>Invesco India Multi Asset Allocation Fund - Regular Plan</t>
        </is>
      </c>
      <c r="B380" s="259" t="inlineStr">
        <is>
          <t>--</t>
        </is>
      </c>
      <c r="C380" s="260" t="n">
        <v>1.86</v>
      </c>
      <c r="D380" s="259" t="inlineStr">
        <is>
          <t>--</t>
        </is>
      </c>
      <c r="E380" s="259" t="inlineStr">
        <is>
          <t>--</t>
        </is>
      </c>
      <c r="F380" s="260" t="n">
        <v>1.86</v>
      </c>
      <c r="G380" s="259" t="inlineStr">
        <is>
          <t>--</t>
        </is>
      </c>
      <c r="H380" s="259" t="inlineStr">
        <is>
          <t>--</t>
        </is>
      </c>
      <c r="I380" s="259" t="inlineStr">
        <is>
          <t>--</t>
        </is>
      </c>
      <c r="J380" s="259" t="inlineStr">
        <is>
          <t>--</t>
        </is>
      </c>
      <c r="K380" s="259" t="inlineStr">
        <is>
          <t>--</t>
        </is>
      </c>
      <c r="L380" s="259" t="inlineStr">
        <is>
          <t>HY-MAA</t>
        </is>
      </c>
    </row>
    <row r="381">
      <c r="A381" s="259" t="inlineStr">
        <is>
          <t>Invesco India Multicap Fund</t>
        </is>
      </c>
      <c r="B381" s="260" t="n">
        <v>8.98</v>
      </c>
      <c r="C381" s="260" t="n">
        <v>1.89</v>
      </c>
      <c r="D381" s="260" t="n">
        <v>23.02</v>
      </c>
      <c r="E381" s="260" t="n">
        <v>25.39</v>
      </c>
      <c r="F381" s="260" t="n">
        <v>1.89</v>
      </c>
      <c r="G381" s="260" t="n">
        <v>15.02</v>
      </c>
      <c r="H381" s="260" t="n">
        <v>0.97</v>
      </c>
      <c r="I381" s="260" t="n">
        <v>1.23</v>
      </c>
      <c r="J381" s="260" t="n">
        <v>0.93</v>
      </c>
      <c r="K381" s="260" t="n">
        <v>1.05</v>
      </c>
      <c r="L381" s="259" t="inlineStr">
        <is>
          <t>EQ-MLC</t>
        </is>
      </c>
    </row>
    <row r="382">
      <c r="A382" s="259" t="inlineStr">
        <is>
          <t>Invesco India Nifty 50 ETF</t>
        </is>
      </c>
      <c r="B382" s="260" t="n">
        <v>7.74</v>
      </c>
      <c r="C382" s="260" t="n">
        <v>0.1</v>
      </c>
      <c r="D382" s="260" t="n">
        <v>16.51</v>
      </c>
      <c r="E382" s="260" t="n">
        <v>21.31</v>
      </c>
      <c r="F382" s="260" t="n">
        <v>0.1</v>
      </c>
      <c r="G382" s="260" t="n">
        <v>13.13</v>
      </c>
      <c r="H382" s="260" t="n">
        <v>0.68</v>
      </c>
      <c r="I382" s="260" t="n">
        <v>1.17</v>
      </c>
      <c r="J382" s="260" t="n">
        <v>0.95</v>
      </c>
      <c r="K382" s="260" t="n">
        <v>-0.79</v>
      </c>
      <c r="L382" s="259" t="inlineStr">
        <is>
          <t>EQ-LC</t>
        </is>
      </c>
    </row>
    <row r="383" hidden="1">
      <c r="A383" s="259" t="inlineStr">
        <is>
          <t>Invesco India PSU Equity Fund</t>
        </is>
      </c>
      <c r="B383" s="260" t="n">
        <v>-2.17</v>
      </c>
      <c r="C383" s="260" t="n">
        <v>2.14</v>
      </c>
      <c r="D383" s="260" t="n">
        <v>35.3</v>
      </c>
      <c r="E383" s="260" t="n">
        <v>29.81</v>
      </c>
      <c r="F383" s="260" t="n">
        <v>2.14</v>
      </c>
      <c r="G383" s="260" t="n">
        <v>22.95</v>
      </c>
      <c r="H383" s="260" t="n">
        <v>1.18</v>
      </c>
      <c r="I383" s="260" t="n">
        <v>2.05</v>
      </c>
      <c r="J383" s="260" t="n">
        <v>0.97</v>
      </c>
      <c r="K383" s="260" t="n">
        <v>0.03</v>
      </c>
      <c r="L383" s="259" t="inlineStr">
        <is>
          <t>EQ-PSU</t>
        </is>
      </c>
    </row>
    <row r="384">
      <c r="A384" s="259" t="inlineStr">
        <is>
          <t>Invesco India Smallcap Fund - Regular Plan</t>
        </is>
      </c>
      <c r="B384" s="260" t="n">
        <v>13.35</v>
      </c>
      <c r="C384" s="260" t="n">
        <v>1.76</v>
      </c>
      <c r="D384" s="260" t="n">
        <v>29.48</v>
      </c>
      <c r="E384" s="260" t="n">
        <v>34.26</v>
      </c>
      <c r="F384" s="260" t="n">
        <v>1.76</v>
      </c>
      <c r="G384" s="260" t="n">
        <v>16.67</v>
      </c>
      <c r="H384" s="260" t="n">
        <v>1.19</v>
      </c>
      <c r="I384" s="260" t="n">
        <v>1.43</v>
      </c>
      <c r="J384" s="260" t="n">
        <v>0.8</v>
      </c>
      <c r="K384" s="260" t="n">
        <v>5.17</v>
      </c>
      <c r="L384" s="259" t="inlineStr">
        <is>
          <t>EQ-SC</t>
        </is>
      </c>
    </row>
    <row r="385">
      <c r="A385" s="259" t="inlineStr">
        <is>
          <t>ITI Balanced Advantage Fund - Regular Plan</t>
        </is>
      </c>
      <c r="B385" s="260" t="n">
        <v>7.6</v>
      </c>
      <c r="C385" s="260" t="n">
        <v>2.37</v>
      </c>
      <c r="D385" s="260" t="n">
        <v>12.37</v>
      </c>
      <c r="E385" s="260" t="n">
        <v>10.9</v>
      </c>
      <c r="F385" s="260" t="n">
        <v>2.37</v>
      </c>
      <c r="G385" s="260" t="n">
        <v>7.31</v>
      </c>
      <c r="H385" s="260" t="n">
        <v>0.7</v>
      </c>
      <c r="I385" s="260" t="n">
        <v>1.19</v>
      </c>
      <c r="J385" s="260" t="n">
        <v>0.64</v>
      </c>
      <c r="K385" s="260" t="n">
        <v>0.05</v>
      </c>
      <c r="L385" s="259" t="inlineStr">
        <is>
          <t>HY-DAA</t>
        </is>
      </c>
    </row>
    <row r="386" hidden="1">
      <c r="A386" s="259" t="inlineStr">
        <is>
          <t>ITI Bharat Consumption Fund - Regular Plan</t>
        </is>
      </c>
      <c r="B386" s="259" t="inlineStr">
        <is>
          <t>--</t>
        </is>
      </c>
      <c r="C386" s="260" t="n">
        <v>2.34</v>
      </c>
      <c r="D386" s="259" t="inlineStr">
        <is>
          <t>--</t>
        </is>
      </c>
      <c r="E386" s="259" t="inlineStr">
        <is>
          <t>--</t>
        </is>
      </c>
      <c r="F386" s="260" t="n">
        <v>2.34</v>
      </c>
      <c r="G386" s="259" t="inlineStr">
        <is>
          <t>--</t>
        </is>
      </c>
      <c r="H386" s="259" t="inlineStr">
        <is>
          <t>--</t>
        </is>
      </c>
      <c r="I386" s="259" t="inlineStr">
        <is>
          <t>--</t>
        </is>
      </c>
      <c r="J386" s="259" t="inlineStr">
        <is>
          <t>--</t>
        </is>
      </c>
      <c r="K386" s="259" t="inlineStr">
        <is>
          <t>--</t>
        </is>
      </c>
      <c r="L386" s="259" t="inlineStr">
        <is>
          <t>EQ-Consumption</t>
        </is>
      </c>
    </row>
    <row r="387">
      <c r="A387" s="259" t="inlineStr">
        <is>
          <t>ITI Flexi Cap Fund - Regular Plan</t>
        </is>
      </c>
      <c r="B387" s="260" t="n">
        <v>4.61</v>
      </c>
      <c r="C387" s="260" t="n">
        <v>2.05</v>
      </c>
      <c r="D387" s="259" t="inlineStr">
        <is>
          <t>--</t>
        </is>
      </c>
      <c r="E387" s="259" t="inlineStr">
        <is>
          <t>--</t>
        </is>
      </c>
      <c r="F387" s="260" t="n">
        <v>2.05</v>
      </c>
      <c r="G387" s="259" t="inlineStr">
        <is>
          <t>--</t>
        </is>
      </c>
      <c r="H387" s="259" t="inlineStr">
        <is>
          <t>--</t>
        </is>
      </c>
      <c r="I387" s="259" t="inlineStr">
        <is>
          <t>--</t>
        </is>
      </c>
      <c r="J387" s="259" t="inlineStr">
        <is>
          <t>--</t>
        </is>
      </c>
      <c r="K387" s="259" t="inlineStr">
        <is>
          <t>--</t>
        </is>
      </c>
      <c r="L387" s="259" t="inlineStr">
        <is>
          <t>EQ-FLX</t>
        </is>
      </c>
    </row>
    <row r="388">
      <c r="A388" s="259" t="inlineStr">
        <is>
          <t>ITI Focused Equity Fund - Regular Plan</t>
        </is>
      </c>
      <c r="B388" s="260" t="n">
        <v>7.55</v>
      </c>
      <c r="C388" s="260" t="n">
        <v>2.37</v>
      </c>
      <c r="D388" s="259" t="inlineStr">
        <is>
          <t>--</t>
        </is>
      </c>
      <c r="E388" s="259" t="inlineStr">
        <is>
          <t>--</t>
        </is>
      </c>
      <c r="F388" s="260" t="n">
        <v>2.37</v>
      </c>
      <c r="G388" s="259" t="inlineStr">
        <is>
          <t>--</t>
        </is>
      </c>
      <c r="H388" s="259" t="inlineStr">
        <is>
          <t>--</t>
        </is>
      </c>
      <c r="I388" s="259" t="inlineStr">
        <is>
          <t>--</t>
        </is>
      </c>
      <c r="J388" s="259" t="inlineStr">
        <is>
          <t>--</t>
        </is>
      </c>
      <c r="K388" s="259" t="inlineStr">
        <is>
          <t>--</t>
        </is>
      </c>
      <c r="L388" s="259" t="inlineStr">
        <is>
          <t>EQ-FLX</t>
        </is>
      </c>
    </row>
    <row r="389">
      <c r="A389" s="259" t="inlineStr">
        <is>
          <t>ITI Large Cap Fund - Regular Plan</t>
        </is>
      </c>
      <c r="B389" s="260" t="n">
        <v>1.56</v>
      </c>
      <c r="C389" s="260" t="n">
        <v>2.35</v>
      </c>
      <c r="D389" s="260" t="n">
        <v>17.37</v>
      </c>
      <c r="E389" s="259" t="inlineStr">
        <is>
          <t>--</t>
        </is>
      </c>
      <c r="F389" s="260" t="n">
        <v>2.35</v>
      </c>
      <c r="G389" s="260" t="n">
        <v>14.44</v>
      </c>
      <c r="H389" s="260" t="n">
        <v>0.68</v>
      </c>
      <c r="I389" s="260" t="n">
        <v>1.1</v>
      </c>
      <c r="J389" s="260" t="n">
        <v>1.01</v>
      </c>
      <c r="K389" s="260" t="n">
        <v>-0.58</v>
      </c>
      <c r="L389" s="259" t="inlineStr">
        <is>
          <t>EQ-LC</t>
        </is>
      </c>
    </row>
    <row r="390">
      <c r="A390" s="259" t="inlineStr">
        <is>
          <t>ITI Large &amp; Mid Cap Fund - Regular Plan</t>
        </is>
      </c>
      <c r="B390" s="259" t="inlineStr">
        <is>
          <t>--</t>
        </is>
      </c>
      <c r="C390" s="260" t="n">
        <v>2.15</v>
      </c>
      <c r="D390" s="259" t="inlineStr">
        <is>
          <t>--</t>
        </is>
      </c>
      <c r="E390" s="259" t="inlineStr">
        <is>
          <t>--</t>
        </is>
      </c>
      <c r="F390" s="260" t="n">
        <v>2.15</v>
      </c>
      <c r="G390" s="259" t="inlineStr">
        <is>
          <t>--</t>
        </is>
      </c>
      <c r="H390" s="259" t="inlineStr">
        <is>
          <t>--</t>
        </is>
      </c>
      <c r="I390" s="259" t="inlineStr">
        <is>
          <t>--</t>
        </is>
      </c>
      <c r="J390" s="259" t="inlineStr">
        <is>
          <t>--</t>
        </is>
      </c>
      <c r="K390" s="259" t="inlineStr">
        <is>
          <t>--</t>
        </is>
      </c>
      <c r="L390" s="259" t="inlineStr">
        <is>
          <t>EQ-L&amp;MC</t>
        </is>
      </c>
    </row>
    <row r="391">
      <c r="A391" s="259" t="inlineStr">
        <is>
          <t>ITI Mid Cap Fund - Regular Plan</t>
        </is>
      </c>
      <c r="B391" s="260" t="n">
        <v>0.86</v>
      </c>
      <c r="C391" s="260" t="n">
        <v>2.06</v>
      </c>
      <c r="D391" s="260" t="n">
        <v>27.01</v>
      </c>
      <c r="E391" s="259" t="inlineStr">
        <is>
          <t>--</t>
        </is>
      </c>
      <c r="F391" s="260" t="n">
        <v>2.06</v>
      </c>
      <c r="G391" s="260" t="n">
        <v>16.92</v>
      </c>
      <c r="H391" s="260" t="n">
        <v>1.11</v>
      </c>
      <c r="I391" s="260" t="n">
        <v>1.59</v>
      </c>
      <c r="J391" s="260" t="n">
        <v>0.96</v>
      </c>
      <c r="K391" s="260" t="n">
        <v>1.39</v>
      </c>
      <c r="L391" s="259" t="inlineStr">
        <is>
          <t>EQ-MC</t>
        </is>
      </c>
    </row>
    <row r="392">
      <c r="A392" s="259" t="inlineStr">
        <is>
          <t>ITI Multi Cap Fund - Regular Plan</t>
        </is>
      </c>
      <c r="B392" s="260" t="n">
        <v>1.06</v>
      </c>
      <c r="C392" s="260" t="n">
        <v>2.02</v>
      </c>
      <c r="D392" s="260" t="n">
        <v>22.96</v>
      </c>
      <c r="E392" s="260" t="n">
        <v>20.48</v>
      </c>
      <c r="F392" s="260" t="n">
        <v>2.02</v>
      </c>
      <c r="G392" s="260" t="n">
        <v>15.61</v>
      </c>
      <c r="H392" s="260" t="n">
        <v>0.98</v>
      </c>
      <c r="I392" s="260" t="n">
        <v>1.26</v>
      </c>
      <c r="J392" s="260" t="n">
        <v>0.97</v>
      </c>
      <c r="K392" s="260" t="n">
        <v>1.16</v>
      </c>
      <c r="L392" s="259" t="inlineStr">
        <is>
          <t>EQ-MLC</t>
        </is>
      </c>
    </row>
    <row r="393">
      <c r="A393" s="259" t="inlineStr">
        <is>
          <t>ITI Small Cap Fund - Regular Plan</t>
        </is>
      </c>
      <c r="B393" s="260" t="n">
        <v>6.5</v>
      </c>
      <c r="C393" s="260" t="n">
        <v>1.93</v>
      </c>
      <c r="D393" s="260" t="n">
        <v>30.32</v>
      </c>
      <c r="E393" s="260" t="n">
        <v>29.58</v>
      </c>
      <c r="F393" s="260" t="n">
        <v>1.93</v>
      </c>
      <c r="G393" s="260" t="n">
        <v>17.19</v>
      </c>
      <c r="H393" s="260" t="n">
        <v>1.24</v>
      </c>
      <c r="I393" s="260" t="n">
        <v>1.55</v>
      </c>
      <c r="J393" s="260" t="n">
        <v>0.84</v>
      </c>
      <c r="K393" s="260" t="n">
        <v>6.01</v>
      </c>
      <c r="L393" s="259" t="inlineStr">
        <is>
          <t>EQ-SC</t>
        </is>
      </c>
    </row>
    <row r="394">
      <c r="A394" s="259" t="inlineStr">
        <is>
          <t>JM Flexicap Fund</t>
        </is>
      </c>
      <c r="B394" s="260" t="n">
        <v>-2.29</v>
      </c>
      <c r="C394" s="260" t="n">
        <v>1.77</v>
      </c>
      <c r="D394" s="260" t="n">
        <v>26.56</v>
      </c>
      <c r="E394" s="260" t="n">
        <v>27.29</v>
      </c>
      <c r="F394" s="260" t="n">
        <v>1.77</v>
      </c>
      <c r="G394" s="260" t="n">
        <v>15.55</v>
      </c>
      <c r="H394" s="260" t="n">
        <v>1.16</v>
      </c>
      <c r="I394" s="260" t="n">
        <v>1.66</v>
      </c>
      <c r="J394" s="260" t="n">
        <v>0.98</v>
      </c>
      <c r="K394" s="260" t="n">
        <v>6.73</v>
      </c>
      <c r="L394" s="259" t="inlineStr">
        <is>
          <t>EQ-FLX</t>
        </is>
      </c>
    </row>
    <row r="395">
      <c r="A395" s="259" t="inlineStr">
        <is>
          <t>JM Focused Fund</t>
        </is>
      </c>
      <c r="B395" s="260" t="n">
        <v>0.27</v>
      </c>
      <c r="C395" s="260" t="n">
        <v>2.37</v>
      </c>
      <c r="D395" s="260" t="n">
        <v>21.76</v>
      </c>
      <c r="E395" s="260" t="n">
        <v>21.22</v>
      </c>
      <c r="F395" s="260" t="n">
        <v>2.37</v>
      </c>
      <c r="G395" s="260" t="n">
        <v>14.92</v>
      </c>
      <c r="H395" s="260" t="n">
        <v>0.93</v>
      </c>
      <c r="I395" s="260" t="n">
        <v>1.41</v>
      </c>
      <c r="J395" s="260" t="n">
        <v>0.9399999999999999</v>
      </c>
      <c r="K395" s="260" t="n">
        <v>3.02</v>
      </c>
      <c r="L395" s="259" t="inlineStr">
        <is>
          <t>EQ-FLX</t>
        </is>
      </c>
    </row>
    <row r="396">
      <c r="A396" s="259" t="inlineStr">
        <is>
          <t>JM Large Cap Fund</t>
        </is>
      </c>
      <c r="B396" s="260" t="n">
        <v>-2.66</v>
      </c>
      <c r="C396" s="260" t="n">
        <v>2.36</v>
      </c>
      <c r="D396" s="260" t="n">
        <v>18.63</v>
      </c>
      <c r="E396" s="260" t="n">
        <v>18.68</v>
      </c>
      <c r="F396" s="260" t="n">
        <v>2.36</v>
      </c>
      <c r="G396" s="260" t="n">
        <v>13.89</v>
      </c>
      <c r="H396" s="260" t="n">
        <v>0.78</v>
      </c>
      <c r="I396" s="260" t="n">
        <v>1.32</v>
      </c>
      <c r="J396" s="260" t="n">
        <v>0.95</v>
      </c>
      <c r="K396" s="260" t="n">
        <v>1.03</v>
      </c>
      <c r="L396" s="259" t="inlineStr">
        <is>
          <t>EQ-LC</t>
        </is>
      </c>
    </row>
    <row r="397">
      <c r="A397" s="259" t="inlineStr">
        <is>
          <t>JM Midcap Fund - Regular Plan</t>
        </is>
      </c>
      <c r="B397" s="260" t="n">
        <v>0.73</v>
      </c>
      <c r="C397" s="260" t="n">
        <v>2.05</v>
      </c>
      <c r="D397" s="259" t="inlineStr">
        <is>
          <t>--</t>
        </is>
      </c>
      <c r="E397" s="259" t="inlineStr">
        <is>
          <t>--</t>
        </is>
      </c>
      <c r="F397" s="260" t="n">
        <v>2.05</v>
      </c>
      <c r="G397" s="259" t="inlineStr">
        <is>
          <t>--</t>
        </is>
      </c>
      <c r="H397" s="259" t="inlineStr">
        <is>
          <t>--</t>
        </is>
      </c>
      <c r="I397" s="259" t="inlineStr">
        <is>
          <t>--</t>
        </is>
      </c>
      <c r="J397" s="259" t="inlineStr">
        <is>
          <t>--</t>
        </is>
      </c>
      <c r="K397" s="259" t="inlineStr">
        <is>
          <t>--</t>
        </is>
      </c>
      <c r="L397" s="259" t="inlineStr">
        <is>
          <t>EQ-MC</t>
        </is>
      </c>
    </row>
    <row r="398">
      <c r="A398" s="259" t="inlineStr">
        <is>
          <t>JM Small Cap Fund - Regular Plan</t>
        </is>
      </c>
      <c r="B398" s="259" t="inlineStr">
        <is>
          <t>--</t>
        </is>
      </c>
      <c r="C398" s="260" t="n">
        <v>2.27</v>
      </c>
      <c r="D398" s="259" t="inlineStr">
        <is>
          <t>--</t>
        </is>
      </c>
      <c r="E398" s="259" t="inlineStr">
        <is>
          <t>--</t>
        </is>
      </c>
      <c r="F398" s="260" t="n">
        <v>2.27</v>
      </c>
      <c r="G398" s="259" t="inlineStr">
        <is>
          <t>--</t>
        </is>
      </c>
      <c r="H398" s="259" t="inlineStr">
        <is>
          <t>--</t>
        </is>
      </c>
      <c r="I398" s="259" t="inlineStr">
        <is>
          <t>--</t>
        </is>
      </c>
      <c r="J398" s="259" t="inlineStr">
        <is>
          <t>--</t>
        </is>
      </c>
      <c r="K398" s="259" t="inlineStr">
        <is>
          <t>--</t>
        </is>
      </c>
      <c r="L398" s="259" t="inlineStr">
        <is>
          <t>EQ-SC</t>
        </is>
      </c>
    </row>
    <row r="399">
      <c r="A399" s="259" t="inlineStr">
        <is>
          <t>Kotak Balanced Advantage Fund - Regular Plan</t>
        </is>
      </c>
      <c r="B399" s="260" t="n">
        <v>8.66</v>
      </c>
      <c r="C399" s="260" t="n">
        <v>1.66</v>
      </c>
      <c r="D399" s="260" t="n">
        <v>13.59</v>
      </c>
      <c r="E399" s="260" t="n">
        <v>14.28</v>
      </c>
      <c r="F399" s="260" t="n">
        <v>1.66</v>
      </c>
      <c r="G399" s="260" t="n">
        <v>7.54</v>
      </c>
      <c r="H399" s="260" t="n">
        <v>0.82</v>
      </c>
      <c r="I399" s="260" t="n">
        <v>1.07</v>
      </c>
      <c r="J399" s="260" t="n">
        <v>0.71</v>
      </c>
      <c r="K399" s="260" t="n">
        <v>0.62</v>
      </c>
      <c r="L399" s="259" t="inlineStr">
        <is>
          <t>HY-DAA</t>
        </is>
      </c>
    </row>
    <row r="400">
      <c r="A400" s="259" t="inlineStr">
        <is>
          <t>Kotak Bluechip Fund - Regular Plan</t>
        </is>
      </c>
      <c r="B400" s="260" t="n">
        <v>6.46</v>
      </c>
      <c r="C400" s="260" t="n">
        <v>1.73</v>
      </c>
      <c r="D400" s="260" t="n">
        <v>18.15</v>
      </c>
      <c r="E400" s="260" t="n">
        <v>21.85</v>
      </c>
      <c r="F400" s="260" t="n">
        <v>1.73</v>
      </c>
      <c r="G400" s="260" t="n">
        <v>13.04</v>
      </c>
      <c r="H400" s="260" t="n">
        <v>0.78</v>
      </c>
      <c r="I400" s="260" t="n">
        <v>1.21</v>
      </c>
      <c r="J400" s="260" t="n">
        <v>0.9399999999999999</v>
      </c>
      <c r="K400" s="260" t="n">
        <v>0.53</v>
      </c>
      <c r="L400" s="259" t="inlineStr">
        <is>
          <t>EQ-LC</t>
        </is>
      </c>
    </row>
    <row r="401" hidden="1">
      <c r="A401" s="259" t="inlineStr">
        <is>
          <t>Kotak BSE Housing Index Fund - Regular Plan</t>
        </is>
      </c>
      <c r="B401" s="260" t="n">
        <v>-5.97</v>
      </c>
      <c r="C401" s="260" t="n">
        <v>0.72</v>
      </c>
      <c r="D401" s="259" t="inlineStr">
        <is>
          <t>--</t>
        </is>
      </c>
      <c r="E401" s="259" t="inlineStr">
        <is>
          <t>--</t>
        </is>
      </c>
      <c r="F401" s="260" t="n">
        <v>0.72</v>
      </c>
      <c r="G401" s="259" t="inlineStr">
        <is>
          <t>--</t>
        </is>
      </c>
      <c r="H401" s="259" t="inlineStr">
        <is>
          <t>--</t>
        </is>
      </c>
      <c r="I401" s="259" t="inlineStr">
        <is>
          <t>--</t>
        </is>
      </c>
      <c r="J401" s="259" t="inlineStr">
        <is>
          <t>--</t>
        </is>
      </c>
      <c r="K401" s="259" t="inlineStr">
        <is>
          <t>--</t>
        </is>
      </c>
      <c r="L401" s="259" t="inlineStr">
        <is>
          <t>EQ-THEMATIC</t>
        </is>
      </c>
    </row>
    <row r="402" hidden="1">
      <c r="A402" s="259" t="inlineStr">
        <is>
          <t>Kotak BSE PSU Index Fund - Regular Plan</t>
        </is>
      </c>
      <c r="B402" s="259" t="inlineStr">
        <is>
          <t>--</t>
        </is>
      </c>
      <c r="C402" s="260" t="n">
        <v>1.04</v>
      </c>
      <c r="D402" s="259" t="inlineStr">
        <is>
          <t>--</t>
        </is>
      </c>
      <c r="E402" s="259" t="inlineStr">
        <is>
          <t>--</t>
        </is>
      </c>
      <c r="F402" s="260" t="n">
        <v>1.04</v>
      </c>
      <c r="G402" s="259" t="inlineStr">
        <is>
          <t>--</t>
        </is>
      </c>
      <c r="H402" s="259" t="inlineStr">
        <is>
          <t>--</t>
        </is>
      </c>
      <c r="I402" s="259" t="inlineStr">
        <is>
          <t>--</t>
        </is>
      </c>
      <c r="J402" s="259" t="inlineStr">
        <is>
          <t>--</t>
        </is>
      </c>
      <c r="K402" s="259" t="inlineStr">
        <is>
          <t>--</t>
        </is>
      </c>
      <c r="L402" s="259" t="inlineStr">
        <is>
          <t>EQ-PSU</t>
        </is>
      </c>
    </row>
    <row r="403">
      <c r="A403" s="259" t="inlineStr">
        <is>
          <t>Kotak BSE Sensex ETF</t>
        </is>
      </c>
      <c r="B403" s="260" t="n">
        <v>7.58</v>
      </c>
      <c r="C403" s="260" t="n">
        <v>0.18</v>
      </c>
      <c r="D403" s="260" t="n">
        <v>15.63</v>
      </c>
      <c r="E403" s="260" t="n">
        <v>20.43</v>
      </c>
      <c r="F403" s="260" t="n">
        <v>0.18</v>
      </c>
      <c r="G403" s="260" t="n">
        <v>12.69</v>
      </c>
      <c r="H403" s="260" t="n">
        <v>0.65</v>
      </c>
      <c r="I403" s="260" t="n">
        <v>1.08</v>
      </c>
      <c r="J403" s="260" t="n">
        <v>0.91</v>
      </c>
      <c r="K403" s="260" t="n">
        <v>-1.15</v>
      </c>
      <c r="L403" s="259" t="inlineStr">
        <is>
          <t>EQ-LC</t>
        </is>
      </c>
    </row>
    <row r="404">
      <c r="A404" s="259" t="inlineStr">
        <is>
          <t>Kotak BSE Sensex Index Fund - Regular Plan</t>
        </is>
      </c>
      <c r="B404" s="259" t="inlineStr">
        <is>
          <t>--</t>
        </is>
      </c>
      <c r="C404" s="260" t="n">
        <v>0.31</v>
      </c>
      <c r="D404" s="259" t="inlineStr">
        <is>
          <t>--</t>
        </is>
      </c>
      <c r="E404" s="259" t="inlineStr">
        <is>
          <t>--</t>
        </is>
      </c>
      <c r="F404" s="260" t="n">
        <v>0.31</v>
      </c>
      <c r="G404" s="259" t="inlineStr">
        <is>
          <t>--</t>
        </is>
      </c>
      <c r="H404" s="259" t="inlineStr">
        <is>
          <t>--</t>
        </is>
      </c>
      <c r="I404" s="259" t="inlineStr">
        <is>
          <t>--</t>
        </is>
      </c>
      <c r="J404" s="259" t="inlineStr">
        <is>
          <t>--</t>
        </is>
      </c>
      <c r="K404" s="259" t="inlineStr">
        <is>
          <t>--</t>
        </is>
      </c>
      <c r="L404" s="259" t="inlineStr">
        <is>
          <t>EQ-LC</t>
        </is>
      </c>
    </row>
    <row r="405" hidden="1">
      <c r="A405" s="259" t="inlineStr">
        <is>
          <t>Kotak Business Cycle Fund - Regular Plan</t>
        </is>
      </c>
      <c r="B405" s="260" t="n">
        <v>9.02</v>
      </c>
      <c r="C405" s="260" t="n">
        <v>1.95</v>
      </c>
      <c r="D405" s="259" t="inlineStr">
        <is>
          <t>--</t>
        </is>
      </c>
      <c r="E405" s="259" t="inlineStr">
        <is>
          <t>--</t>
        </is>
      </c>
      <c r="F405" s="260" t="n">
        <v>1.95</v>
      </c>
      <c r="G405" s="259" t="inlineStr">
        <is>
          <t>--</t>
        </is>
      </c>
      <c r="H405" s="259" t="inlineStr">
        <is>
          <t>--</t>
        </is>
      </c>
      <c r="I405" s="259" t="inlineStr">
        <is>
          <t>--</t>
        </is>
      </c>
      <c r="J405" s="259" t="inlineStr">
        <is>
          <t>--</t>
        </is>
      </c>
      <c r="K405" s="259" t="inlineStr">
        <is>
          <t>--</t>
        </is>
      </c>
      <c r="L405" s="259" t="inlineStr">
        <is>
          <t>EQ-THEMATIC</t>
        </is>
      </c>
    </row>
    <row r="406" hidden="1">
      <c r="A406" s="259" t="inlineStr">
        <is>
          <t>Kotak Consumption Fund - Regular Plan</t>
        </is>
      </c>
      <c r="B406" s="260" t="n">
        <v>6.83</v>
      </c>
      <c r="C406" s="260" t="n">
        <v>2.12</v>
      </c>
      <c r="D406" s="259" t="inlineStr">
        <is>
          <t>--</t>
        </is>
      </c>
      <c r="E406" s="259" t="inlineStr">
        <is>
          <t>--</t>
        </is>
      </c>
      <c r="F406" s="260" t="n">
        <v>2.12</v>
      </c>
      <c r="G406" s="259" t="inlineStr">
        <is>
          <t>--</t>
        </is>
      </c>
      <c r="H406" s="259" t="inlineStr">
        <is>
          <t>--</t>
        </is>
      </c>
      <c r="I406" s="259" t="inlineStr">
        <is>
          <t>--</t>
        </is>
      </c>
      <c r="J406" s="259" t="inlineStr">
        <is>
          <t>--</t>
        </is>
      </c>
      <c r="K406" s="259" t="inlineStr">
        <is>
          <t>--</t>
        </is>
      </c>
      <c r="L406" s="259" t="inlineStr">
        <is>
          <t>EQ-Consumption</t>
        </is>
      </c>
    </row>
    <row r="407">
      <c r="A407" s="259" t="inlineStr">
        <is>
          <t>Kotak Emerging Equity Fund - Regular Plan</t>
        </is>
      </c>
      <c r="B407" s="260" t="n">
        <v>8.01</v>
      </c>
      <c r="C407" s="260" t="n">
        <v>1.42</v>
      </c>
      <c r="D407" s="260" t="n">
        <v>25.55</v>
      </c>
      <c r="E407" s="260" t="n">
        <v>30.87</v>
      </c>
      <c r="F407" s="260" t="n">
        <v>1.42</v>
      </c>
      <c r="G407" s="260" t="n">
        <v>16.23</v>
      </c>
      <c r="H407" s="260" t="n">
        <v>1</v>
      </c>
      <c r="I407" s="260" t="n">
        <v>1.31</v>
      </c>
      <c r="J407" s="260" t="n">
        <v>0.91</v>
      </c>
      <c r="K407" s="260" t="n">
        <v>-0.12</v>
      </c>
      <c r="L407" s="259" t="inlineStr">
        <is>
          <t>EQ-MC</t>
        </is>
      </c>
    </row>
    <row r="408" hidden="1">
      <c r="A408" s="259" t="inlineStr">
        <is>
          <t>Kotak Energy Opportunities Fund - Regular Plan</t>
        </is>
      </c>
      <c r="B408" s="259" t="inlineStr">
        <is>
          <t>--</t>
        </is>
      </c>
      <c r="C408" s="260" t="n">
        <v>2.42</v>
      </c>
      <c r="D408" s="259" t="inlineStr">
        <is>
          <t>--</t>
        </is>
      </c>
      <c r="E408" s="259" t="inlineStr">
        <is>
          <t>--</t>
        </is>
      </c>
      <c r="F408" s="260" t="n">
        <v>2.42</v>
      </c>
      <c r="G408" s="259" t="inlineStr">
        <is>
          <t>--</t>
        </is>
      </c>
      <c r="H408" s="259" t="inlineStr">
        <is>
          <t>--</t>
        </is>
      </c>
      <c r="I408" s="259" t="inlineStr">
        <is>
          <t>--</t>
        </is>
      </c>
      <c r="J408" s="259" t="inlineStr">
        <is>
          <t>--</t>
        </is>
      </c>
      <c r="K408" s="259" t="inlineStr">
        <is>
          <t>--</t>
        </is>
      </c>
      <c r="L408" s="259" t="inlineStr">
        <is>
          <t>EQ-Energy</t>
        </is>
      </c>
    </row>
    <row r="409">
      <c r="A409" s="259" t="inlineStr">
        <is>
          <t>Kotak Equity Opportunities Fund - Regular Plan</t>
        </is>
      </c>
      <c r="B409" s="260" t="n">
        <v>2.76</v>
      </c>
      <c r="C409" s="260" t="n">
        <v>1.59</v>
      </c>
      <c r="D409" s="260" t="n">
        <v>22.77</v>
      </c>
      <c r="E409" s="260" t="n">
        <v>24.97</v>
      </c>
      <c r="F409" s="260" t="n">
        <v>1.59</v>
      </c>
      <c r="G409" s="260" t="n">
        <v>14.06</v>
      </c>
      <c r="H409" s="260" t="n">
        <v>1</v>
      </c>
      <c r="I409" s="260" t="n">
        <v>1.4</v>
      </c>
      <c r="J409" s="260" t="n">
        <v>0.93</v>
      </c>
      <c r="K409" s="260" t="n">
        <v>3.75</v>
      </c>
      <c r="L409" s="259" t="inlineStr">
        <is>
          <t>EQ-L&amp;MC</t>
        </is>
      </c>
    </row>
    <row r="410" hidden="1">
      <c r="A410" s="259" t="inlineStr">
        <is>
          <t>Kotak ESG Exclusionary Strategy Fund - Regular Plan</t>
        </is>
      </c>
      <c r="B410" s="260" t="n">
        <v>2.36</v>
      </c>
      <c r="C410" s="260" t="n">
        <v>2.28</v>
      </c>
      <c r="D410" s="260" t="n">
        <v>16.84</v>
      </c>
      <c r="E410" s="259" t="inlineStr">
        <is>
          <t>--</t>
        </is>
      </c>
      <c r="F410" s="260" t="n">
        <v>2.28</v>
      </c>
      <c r="G410" s="260" t="n">
        <v>13.58</v>
      </c>
      <c r="H410" s="260" t="n">
        <v>0.65</v>
      </c>
      <c r="I410" s="260" t="n">
        <v>1.03</v>
      </c>
      <c r="J410" s="260" t="n">
        <v>0.96</v>
      </c>
      <c r="K410" s="260" t="n">
        <v>-1.03</v>
      </c>
      <c r="L410" s="259" t="inlineStr">
        <is>
          <t>EQ-T-ESG</t>
        </is>
      </c>
    </row>
    <row r="411">
      <c r="A411" s="259" t="inlineStr">
        <is>
          <t>Kotak Flexicap Fund - Regular Plan</t>
        </is>
      </c>
      <c r="B411" s="260" t="n">
        <v>6.64</v>
      </c>
      <c r="C411" s="260" t="n">
        <v>1.46</v>
      </c>
      <c r="D411" s="260" t="n">
        <v>20.63</v>
      </c>
      <c r="E411" s="260" t="n">
        <v>22.04</v>
      </c>
      <c r="F411" s="260" t="n">
        <v>1.46</v>
      </c>
      <c r="G411" s="260" t="n">
        <v>13.86</v>
      </c>
      <c r="H411" s="260" t="n">
        <v>0.87</v>
      </c>
      <c r="I411" s="260" t="n">
        <v>1.38</v>
      </c>
      <c r="J411" s="260" t="n">
        <v>0.93</v>
      </c>
      <c r="K411" s="260" t="n">
        <v>1.31</v>
      </c>
      <c r="L411" s="259" t="inlineStr">
        <is>
          <t>EQ-FLX</t>
        </is>
      </c>
    </row>
    <row r="412">
      <c r="A412" s="259" t="inlineStr">
        <is>
          <t>Kotak Focused Equity Fund - Regular Plan</t>
        </is>
      </c>
      <c r="B412" s="260" t="n">
        <v>4.91</v>
      </c>
      <c r="C412" s="260" t="n">
        <v>1.89</v>
      </c>
      <c r="D412" s="260" t="n">
        <v>18.31</v>
      </c>
      <c r="E412" s="260" t="n">
        <v>22.07</v>
      </c>
      <c r="F412" s="260" t="n">
        <v>1.89</v>
      </c>
      <c r="G412" s="260" t="n">
        <v>13.28</v>
      </c>
      <c r="H412" s="260" t="n">
        <v>0.75</v>
      </c>
      <c r="I412" s="260" t="n">
        <v>1.15</v>
      </c>
      <c r="J412" s="260" t="n">
        <v>0.9</v>
      </c>
      <c r="K412" s="260" t="n">
        <v>-0.33</v>
      </c>
      <c r="L412" s="259" t="inlineStr">
        <is>
          <t>EQ-FLX</t>
        </is>
      </c>
    </row>
    <row r="413" hidden="1">
      <c r="A413" s="259" t="inlineStr">
        <is>
          <t>Kotak Manufacture in India Fund - Regular Plan</t>
        </is>
      </c>
      <c r="B413" s="260" t="n">
        <v>-0.11</v>
      </c>
      <c r="C413" s="260" t="n">
        <v>1.97</v>
      </c>
      <c r="D413" s="260" t="n">
        <v>21.76</v>
      </c>
      <c r="E413" s="259" t="inlineStr">
        <is>
          <t>--</t>
        </is>
      </c>
      <c r="F413" s="260" t="n">
        <v>1.97</v>
      </c>
      <c r="G413" s="260" t="n">
        <v>15.85</v>
      </c>
      <c r="H413" s="260" t="n">
        <v>0.88</v>
      </c>
      <c r="I413" s="260" t="n">
        <v>1.17</v>
      </c>
      <c r="J413" s="260" t="n">
        <v>1</v>
      </c>
      <c r="K413" s="260" t="n">
        <v>2.38</v>
      </c>
      <c r="L413" s="259" t="inlineStr">
        <is>
          <t>EQ-THEMATIC</t>
        </is>
      </c>
    </row>
    <row r="414" hidden="1">
      <c r="A414" s="259" t="inlineStr">
        <is>
          <t>Kotak MNC Fund - Regular Plan</t>
        </is>
      </c>
      <c r="B414" s="259" t="inlineStr">
        <is>
          <t>--</t>
        </is>
      </c>
      <c r="C414" s="260" t="n">
        <v>1.99</v>
      </c>
      <c r="D414" s="259" t="inlineStr">
        <is>
          <t>--</t>
        </is>
      </c>
      <c r="E414" s="259" t="inlineStr">
        <is>
          <t>--</t>
        </is>
      </c>
      <c r="F414" s="260" t="n">
        <v>1.99</v>
      </c>
      <c r="G414" s="259" t="inlineStr">
        <is>
          <t>--</t>
        </is>
      </c>
      <c r="H414" s="259" t="inlineStr">
        <is>
          <t>--</t>
        </is>
      </c>
      <c r="I414" s="259" t="inlineStr">
        <is>
          <t>--</t>
        </is>
      </c>
      <c r="J414" s="259" t="inlineStr">
        <is>
          <t>--</t>
        </is>
      </c>
      <c r="K414" s="259" t="inlineStr">
        <is>
          <t>--</t>
        </is>
      </c>
      <c r="L414" s="259" t="inlineStr">
        <is>
          <t>EQ-MNC</t>
        </is>
      </c>
    </row>
    <row r="415">
      <c r="A415" s="259" t="inlineStr">
        <is>
          <t>Kotak MSCI India ETF</t>
        </is>
      </c>
      <c r="B415" s="259" t="inlineStr">
        <is>
          <t>--</t>
        </is>
      </c>
      <c r="C415" s="260" t="n">
        <v>0.4</v>
      </c>
      <c r="D415" s="259" t="inlineStr">
        <is>
          <t>--</t>
        </is>
      </c>
      <c r="E415" s="259" t="inlineStr">
        <is>
          <t>--</t>
        </is>
      </c>
      <c r="F415" s="260" t="n">
        <v>0.4</v>
      </c>
      <c r="G415" s="259" t="inlineStr">
        <is>
          <t>--</t>
        </is>
      </c>
      <c r="H415" s="259" t="inlineStr">
        <is>
          <t>--</t>
        </is>
      </c>
      <c r="I415" s="259" t="inlineStr">
        <is>
          <t>--</t>
        </is>
      </c>
      <c r="J415" s="259" t="inlineStr">
        <is>
          <t>--</t>
        </is>
      </c>
      <c r="K415" s="259" t="inlineStr">
        <is>
          <t>--</t>
        </is>
      </c>
      <c r="L415" s="259" t="inlineStr">
        <is>
          <t>EQ-L&amp;MC</t>
        </is>
      </c>
    </row>
    <row r="416">
      <c r="A416" s="259" t="inlineStr">
        <is>
          <t>Kotak Multi Asset Allocation Fund - Regular Plan</t>
        </is>
      </c>
      <c r="B416" s="260" t="n">
        <v>4.87</v>
      </c>
      <c r="C416" s="260" t="n">
        <v>1.74</v>
      </c>
      <c r="D416" s="259" t="inlineStr">
        <is>
          <t>--</t>
        </is>
      </c>
      <c r="E416" s="259" t="inlineStr">
        <is>
          <t>--</t>
        </is>
      </c>
      <c r="F416" s="260" t="n">
        <v>1.74</v>
      </c>
      <c r="G416" s="259" t="inlineStr">
        <is>
          <t>--</t>
        </is>
      </c>
      <c r="H416" s="259" t="inlineStr">
        <is>
          <t>--</t>
        </is>
      </c>
      <c r="I416" s="259" t="inlineStr">
        <is>
          <t>--</t>
        </is>
      </c>
      <c r="J416" s="259" t="inlineStr">
        <is>
          <t>--</t>
        </is>
      </c>
      <c r="K416" s="259" t="inlineStr">
        <is>
          <t>--</t>
        </is>
      </c>
      <c r="L416" s="259" t="inlineStr">
        <is>
          <t>HY-MAA</t>
        </is>
      </c>
    </row>
    <row r="417">
      <c r="A417" s="259" t="inlineStr">
        <is>
          <t>Kotak Multi Asset Allocator FoF - Dynamic Regular Plan</t>
        </is>
      </c>
      <c r="B417" s="260" t="n">
        <v>8.9</v>
      </c>
      <c r="C417" s="260" t="n">
        <v>0.99</v>
      </c>
      <c r="D417" s="260" t="n">
        <v>21.31</v>
      </c>
      <c r="E417" s="260" t="n">
        <v>21.98</v>
      </c>
      <c r="F417" s="260" t="n">
        <v>0.99</v>
      </c>
      <c r="G417" s="260" t="n">
        <v>9.16</v>
      </c>
      <c r="H417" s="260" t="n">
        <v>1.38</v>
      </c>
      <c r="I417" s="260" t="n">
        <v>1.9</v>
      </c>
      <c r="J417" s="260" t="n">
        <v>0.91</v>
      </c>
      <c r="K417" s="260" t="n">
        <v>4.56</v>
      </c>
      <c r="L417" s="259" t="inlineStr">
        <is>
          <t>HY-MAA</t>
        </is>
      </c>
    </row>
    <row r="418">
      <c r="A418" s="259" t="inlineStr">
        <is>
          <t>Kotak Multicap Fund - Regular Plan</t>
        </is>
      </c>
      <c r="B418" s="260" t="n">
        <v>3.08</v>
      </c>
      <c r="C418" s="260" t="n">
        <v>1.63</v>
      </c>
      <c r="D418" s="260" t="n">
        <v>27.34</v>
      </c>
      <c r="E418" s="259" t="inlineStr">
        <is>
          <t>--</t>
        </is>
      </c>
      <c r="F418" s="260" t="n">
        <v>1.63</v>
      </c>
      <c r="G418" s="260" t="n">
        <v>16.12</v>
      </c>
      <c r="H418" s="260" t="n">
        <v>1.15</v>
      </c>
      <c r="I418" s="260" t="n">
        <v>1.58</v>
      </c>
      <c r="J418" s="260" t="n">
        <v>1</v>
      </c>
      <c r="K418" s="260" t="n">
        <v>4.02</v>
      </c>
      <c r="L418" s="259" t="inlineStr">
        <is>
          <t>EQ-MLC</t>
        </is>
      </c>
    </row>
    <row r="419">
      <c r="A419" s="259" t="inlineStr">
        <is>
          <t>Kotak Nifty 100 Equal Weight ETF</t>
        </is>
      </c>
      <c r="B419" s="259" t="inlineStr">
        <is>
          <t>--</t>
        </is>
      </c>
      <c r="C419" s="260" t="n">
        <v>0.25</v>
      </c>
      <c r="D419" s="259" t="inlineStr">
        <is>
          <t>--</t>
        </is>
      </c>
      <c r="E419" s="259" t="inlineStr">
        <is>
          <t>--</t>
        </is>
      </c>
      <c r="F419" s="260" t="n">
        <v>0.25</v>
      </c>
      <c r="G419" s="259" t="inlineStr">
        <is>
          <t>--</t>
        </is>
      </c>
      <c r="H419" s="259" t="inlineStr">
        <is>
          <t>--</t>
        </is>
      </c>
      <c r="I419" s="259" t="inlineStr">
        <is>
          <t>--</t>
        </is>
      </c>
      <c r="J419" s="259" t="inlineStr">
        <is>
          <t>--</t>
        </is>
      </c>
      <c r="K419" s="259" t="inlineStr">
        <is>
          <t>--</t>
        </is>
      </c>
      <c r="L419" s="259" t="inlineStr">
        <is>
          <t>EQ-LC</t>
        </is>
      </c>
    </row>
    <row r="420">
      <c r="A420" s="259" t="inlineStr">
        <is>
          <t>Kotak Nifty 100 Equal Weight Index Fund - Regular Plan</t>
        </is>
      </c>
      <c r="B420" s="259" t="inlineStr">
        <is>
          <t>--</t>
        </is>
      </c>
      <c r="C420" s="260" t="n">
        <v>0.72</v>
      </c>
      <c r="D420" s="259" t="inlineStr">
        <is>
          <t>--</t>
        </is>
      </c>
      <c r="E420" s="259" t="inlineStr">
        <is>
          <t>--</t>
        </is>
      </c>
      <c r="F420" s="260" t="n">
        <v>0.72</v>
      </c>
      <c r="G420" s="259" t="inlineStr">
        <is>
          <t>--</t>
        </is>
      </c>
      <c r="H420" s="259" t="inlineStr">
        <is>
          <t>--</t>
        </is>
      </c>
      <c r="I420" s="259" t="inlineStr">
        <is>
          <t>--</t>
        </is>
      </c>
      <c r="J420" s="259" t="inlineStr">
        <is>
          <t>--</t>
        </is>
      </c>
      <c r="K420" s="259" t="inlineStr">
        <is>
          <t>--</t>
        </is>
      </c>
      <c r="L420" s="259" t="inlineStr">
        <is>
          <t>EQ-LC</t>
        </is>
      </c>
    </row>
    <row r="421">
      <c r="A421" s="259" t="inlineStr">
        <is>
          <t>Kotak Nifty 100 Low Volatility 30 ETF</t>
        </is>
      </c>
      <c r="B421" s="260" t="n">
        <v>5.87</v>
      </c>
      <c r="C421" s="260" t="n">
        <v>0.09</v>
      </c>
      <c r="D421" s="260" t="n">
        <v>18.47</v>
      </c>
      <c r="E421" s="259" t="inlineStr">
        <is>
          <t>--</t>
        </is>
      </c>
      <c r="F421" s="260" t="n">
        <v>0.09</v>
      </c>
      <c r="G421" s="260" t="n">
        <v>13.86</v>
      </c>
      <c r="H421" s="260" t="n">
        <v>0.75</v>
      </c>
      <c r="I421" s="260" t="n">
        <v>1.1</v>
      </c>
      <c r="J421" s="260" t="n">
        <v>0.95</v>
      </c>
      <c r="K421" s="260" t="n">
        <v>0.52</v>
      </c>
      <c r="L421" s="259" t="inlineStr">
        <is>
          <t>EQ-LC</t>
        </is>
      </c>
    </row>
    <row r="422">
      <c r="A422" s="259" t="inlineStr">
        <is>
          <t>Kotak Nifty 100 Low Volatility 30 Index Fund - Regular Plan</t>
        </is>
      </c>
      <c r="B422" s="260" t="n">
        <v>4.7</v>
      </c>
      <c r="C422" s="260" t="n">
        <v>0.9399999999999999</v>
      </c>
      <c r="D422" s="259" t="inlineStr">
        <is>
          <t>--</t>
        </is>
      </c>
      <c r="E422" s="259" t="inlineStr">
        <is>
          <t>--</t>
        </is>
      </c>
      <c r="F422" s="260" t="n">
        <v>0.9399999999999999</v>
      </c>
      <c r="G422" s="259" t="inlineStr">
        <is>
          <t>--</t>
        </is>
      </c>
      <c r="H422" s="259" t="inlineStr">
        <is>
          <t>--</t>
        </is>
      </c>
      <c r="I422" s="259" t="inlineStr">
        <is>
          <t>--</t>
        </is>
      </c>
      <c r="J422" s="259" t="inlineStr">
        <is>
          <t>--</t>
        </is>
      </c>
      <c r="K422" s="259" t="inlineStr">
        <is>
          <t>--</t>
        </is>
      </c>
      <c r="L422" s="259" t="inlineStr">
        <is>
          <t>EQ-LC</t>
        </is>
      </c>
    </row>
    <row r="423">
      <c r="A423" s="259" t="inlineStr">
        <is>
          <t>Kotak Nifty 200 Momentum 30 Index Fund - Regular Plan</t>
        </is>
      </c>
      <c r="B423" s="260" t="n">
        <v>-11.34</v>
      </c>
      <c r="C423" s="260" t="n">
        <v>0.79</v>
      </c>
      <c r="D423" s="259" t="inlineStr">
        <is>
          <t>--</t>
        </is>
      </c>
      <c r="E423" s="259" t="inlineStr">
        <is>
          <t>--</t>
        </is>
      </c>
      <c r="F423" s="260" t="n">
        <v>0.79</v>
      </c>
      <c r="G423" s="259" t="inlineStr">
        <is>
          <t>--</t>
        </is>
      </c>
      <c r="H423" s="259" t="inlineStr">
        <is>
          <t>--</t>
        </is>
      </c>
      <c r="I423" s="259" t="inlineStr">
        <is>
          <t>--</t>
        </is>
      </c>
      <c r="J423" s="259" t="inlineStr">
        <is>
          <t>--</t>
        </is>
      </c>
      <c r="K423" s="259" t="inlineStr">
        <is>
          <t>--</t>
        </is>
      </c>
      <c r="L423" s="259" t="inlineStr">
        <is>
          <t>EQ-L&amp;MC</t>
        </is>
      </c>
    </row>
    <row r="424">
      <c r="A424" s="259" t="inlineStr">
        <is>
          <t>Kotak Nifty 50 Equal Weight Index Fund - Regular Plan</t>
        </is>
      </c>
      <c r="B424" s="259" t="inlineStr">
        <is>
          <t>--</t>
        </is>
      </c>
      <c r="C424" s="260" t="n">
        <v>0.72</v>
      </c>
      <c r="D424" s="259" t="inlineStr">
        <is>
          <t>--</t>
        </is>
      </c>
      <c r="E424" s="259" t="inlineStr">
        <is>
          <t>--</t>
        </is>
      </c>
      <c r="F424" s="260" t="n">
        <v>0.72</v>
      </c>
      <c r="G424" s="259" t="inlineStr">
        <is>
          <t>--</t>
        </is>
      </c>
      <c r="H424" s="259" t="inlineStr">
        <is>
          <t>--</t>
        </is>
      </c>
      <c r="I424" s="259" t="inlineStr">
        <is>
          <t>--</t>
        </is>
      </c>
      <c r="J424" s="259" t="inlineStr">
        <is>
          <t>--</t>
        </is>
      </c>
      <c r="K424" s="259" t="inlineStr">
        <is>
          <t>--</t>
        </is>
      </c>
      <c r="L424" s="259" t="inlineStr">
        <is>
          <t>EQ-LC</t>
        </is>
      </c>
    </row>
    <row r="425">
      <c r="A425" s="259" t="inlineStr">
        <is>
          <t>Kotak Nifty 50 ETF</t>
        </is>
      </c>
      <c r="B425" s="260" t="n">
        <v>7.81</v>
      </c>
      <c r="C425" s="260" t="n">
        <v>0.04</v>
      </c>
      <c r="D425" s="260" t="n">
        <v>16.52</v>
      </c>
      <c r="E425" s="260" t="n">
        <v>21.31</v>
      </c>
      <c r="F425" s="260" t="n">
        <v>0.04</v>
      </c>
      <c r="G425" s="260" t="n">
        <v>13.13</v>
      </c>
      <c r="H425" s="260" t="n">
        <v>0.68</v>
      </c>
      <c r="I425" s="260" t="n">
        <v>1.17</v>
      </c>
      <c r="J425" s="260" t="n">
        <v>0.95</v>
      </c>
      <c r="K425" s="260" t="n">
        <v>-0.78</v>
      </c>
      <c r="L425" s="259" t="inlineStr">
        <is>
          <t>EQ-LC</t>
        </is>
      </c>
    </row>
    <row r="426">
      <c r="A426" s="259" t="inlineStr">
        <is>
          <t>Kotak Nifty 50 Index Fund - Regular Plan</t>
        </is>
      </c>
      <c r="B426" s="260" t="n">
        <v>7.17</v>
      </c>
      <c r="C426" s="260" t="n">
        <v>0.35</v>
      </c>
      <c r="D426" s="260" t="n">
        <v>15.87</v>
      </c>
      <c r="E426" s="259" t="inlineStr">
        <is>
          <t>--</t>
        </is>
      </c>
      <c r="F426" s="260" t="n">
        <v>0.35</v>
      </c>
      <c r="G426" s="260" t="n">
        <v>13.11</v>
      </c>
      <c r="H426" s="260" t="n">
        <v>0.64</v>
      </c>
      <c r="I426" s="260" t="n">
        <v>1.1</v>
      </c>
      <c r="J426" s="260" t="n">
        <v>0.95</v>
      </c>
      <c r="K426" s="260" t="n">
        <v>-1.34</v>
      </c>
      <c r="L426" s="259" t="inlineStr">
        <is>
          <t>EQ-LC</t>
        </is>
      </c>
    </row>
    <row r="427">
      <c r="A427" s="259" t="inlineStr">
        <is>
          <t>Kotak Nifty Alpha 50 ETF</t>
        </is>
      </c>
      <c r="B427" s="260" t="n">
        <v>-5.82</v>
      </c>
      <c r="C427" s="260" t="n">
        <v>0.3</v>
      </c>
      <c r="D427" s="260" t="n">
        <v>20.39</v>
      </c>
      <c r="E427" s="259" t="inlineStr">
        <is>
          <t>--</t>
        </is>
      </c>
      <c r="F427" s="260" t="n">
        <v>0.3</v>
      </c>
      <c r="G427" s="260" t="n">
        <v>23.27</v>
      </c>
      <c r="H427" s="260" t="n">
        <v>0.59</v>
      </c>
      <c r="I427" s="260" t="n">
        <v>0.74</v>
      </c>
      <c r="J427" s="260" t="n">
        <v>1.4</v>
      </c>
      <c r="K427" s="260" t="n">
        <v>-2.51</v>
      </c>
      <c r="L427" s="259" t="inlineStr">
        <is>
          <t>EQ-FLX</t>
        </is>
      </c>
    </row>
    <row r="428" hidden="1">
      <c r="A428" s="259" t="inlineStr">
        <is>
          <t>Kotak Nifty Commodities Index Fund - Regular Plan</t>
        </is>
      </c>
      <c r="B428" s="259" t="inlineStr">
        <is>
          <t>--</t>
        </is>
      </c>
      <c r="C428" s="260" t="n">
        <v>0.48</v>
      </c>
      <c r="D428" s="259" t="inlineStr">
        <is>
          <t>--</t>
        </is>
      </c>
      <c r="E428" s="259" t="inlineStr">
        <is>
          <t>--</t>
        </is>
      </c>
      <c r="F428" s="260" t="n">
        <v>0.48</v>
      </c>
      <c r="G428" s="259" t="inlineStr">
        <is>
          <t>--</t>
        </is>
      </c>
      <c r="H428" s="259" t="inlineStr">
        <is>
          <t>--</t>
        </is>
      </c>
      <c r="I428" s="259" t="inlineStr">
        <is>
          <t>--</t>
        </is>
      </c>
      <c r="J428" s="259" t="inlineStr">
        <is>
          <t>--</t>
        </is>
      </c>
      <c r="K428" s="259" t="inlineStr">
        <is>
          <t>--</t>
        </is>
      </c>
      <c r="L428" s="259" t="inlineStr">
        <is>
          <t>EQ-THEMATIC</t>
        </is>
      </c>
    </row>
    <row r="429" hidden="1">
      <c r="A429" s="259" t="inlineStr">
        <is>
          <t>Kotak NIFTY India Consumption ETF</t>
        </is>
      </c>
      <c r="B429" s="260" t="n">
        <v>4.08</v>
      </c>
      <c r="C429" s="260" t="n">
        <v>0.1</v>
      </c>
      <c r="D429" s="259" t="inlineStr">
        <is>
          <t>--</t>
        </is>
      </c>
      <c r="E429" s="259" t="inlineStr">
        <is>
          <t>--</t>
        </is>
      </c>
      <c r="F429" s="260" t="n">
        <v>0.1</v>
      </c>
      <c r="G429" s="259" t="inlineStr">
        <is>
          <t>--</t>
        </is>
      </c>
      <c r="H429" s="259" t="inlineStr">
        <is>
          <t>--</t>
        </is>
      </c>
      <c r="I429" s="259" t="inlineStr">
        <is>
          <t>--</t>
        </is>
      </c>
      <c r="J429" s="259" t="inlineStr">
        <is>
          <t>--</t>
        </is>
      </c>
      <c r="K429" s="259" t="inlineStr">
        <is>
          <t>--</t>
        </is>
      </c>
      <c r="L429" s="259" t="inlineStr">
        <is>
          <t>EQ-Consumption</t>
        </is>
      </c>
    </row>
    <row r="430" hidden="1">
      <c r="A430" s="259" t="inlineStr">
        <is>
          <t>Kotak Nifty India Tourism Index Fund - Regular Plan</t>
        </is>
      </c>
      <c r="B430" s="259" t="inlineStr">
        <is>
          <t>--</t>
        </is>
      </c>
      <c r="C430" s="260" t="n">
        <v>0.96</v>
      </c>
      <c r="D430" s="259" t="inlineStr">
        <is>
          <t>--</t>
        </is>
      </c>
      <c r="E430" s="259" t="inlineStr">
        <is>
          <t>--</t>
        </is>
      </c>
      <c r="F430" s="260" t="n">
        <v>0.96</v>
      </c>
      <c r="G430" s="259" t="inlineStr">
        <is>
          <t>--</t>
        </is>
      </c>
      <c r="H430" s="259" t="inlineStr">
        <is>
          <t>--</t>
        </is>
      </c>
      <c r="I430" s="259" t="inlineStr">
        <is>
          <t>--</t>
        </is>
      </c>
      <c r="J430" s="259" t="inlineStr">
        <is>
          <t>--</t>
        </is>
      </c>
      <c r="K430" s="259" t="inlineStr">
        <is>
          <t>--</t>
        </is>
      </c>
      <c r="L430" s="259" t="inlineStr">
        <is>
          <t>EQ-THEMATIC</t>
        </is>
      </c>
    </row>
    <row r="431">
      <c r="A431" s="259" t="inlineStr">
        <is>
          <t>Kotak Nifty Midcap 150 ETF</t>
        </is>
      </c>
      <c r="B431" s="259" t="inlineStr">
        <is>
          <t>--</t>
        </is>
      </c>
      <c r="C431" s="260" t="n">
        <v>0.1</v>
      </c>
      <c r="D431" s="259" t="inlineStr">
        <is>
          <t>--</t>
        </is>
      </c>
      <c r="E431" s="259" t="inlineStr">
        <is>
          <t>--</t>
        </is>
      </c>
      <c r="F431" s="260" t="n">
        <v>0.1</v>
      </c>
      <c r="G431" s="259" t="inlineStr">
        <is>
          <t>--</t>
        </is>
      </c>
      <c r="H431" s="259" t="inlineStr">
        <is>
          <t>--</t>
        </is>
      </c>
      <c r="I431" s="259" t="inlineStr">
        <is>
          <t>--</t>
        </is>
      </c>
      <c r="J431" s="259" t="inlineStr">
        <is>
          <t>--</t>
        </is>
      </c>
      <c r="K431" s="259" t="inlineStr">
        <is>
          <t>--</t>
        </is>
      </c>
      <c r="L431" s="259" t="inlineStr">
        <is>
          <t>EQ-MC</t>
        </is>
      </c>
    </row>
    <row r="432">
      <c r="A432" s="259" t="inlineStr">
        <is>
          <t>Kotak Nifty Midcap 150 Index Fund - Regular Plan</t>
        </is>
      </c>
      <c r="B432" s="259" t="inlineStr">
        <is>
          <t>--</t>
        </is>
      </c>
      <c r="C432" s="260" t="n">
        <v>0.78</v>
      </c>
      <c r="D432" s="259" t="inlineStr">
        <is>
          <t>--</t>
        </is>
      </c>
      <c r="E432" s="259" t="inlineStr">
        <is>
          <t>--</t>
        </is>
      </c>
      <c r="F432" s="260" t="n">
        <v>0.78</v>
      </c>
      <c r="G432" s="259" t="inlineStr">
        <is>
          <t>--</t>
        </is>
      </c>
      <c r="H432" s="259" t="inlineStr">
        <is>
          <t>--</t>
        </is>
      </c>
      <c r="I432" s="259" t="inlineStr">
        <is>
          <t>--</t>
        </is>
      </c>
      <c r="J432" s="259" t="inlineStr">
        <is>
          <t>--</t>
        </is>
      </c>
      <c r="K432" s="259" t="inlineStr">
        <is>
          <t>--</t>
        </is>
      </c>
      <c r="L432" s="259" t="inlineStr">
        <is>
          <t>EQ-MC</t>
        </is>
      </c>
    </row>
    <row r="433">
      <c r="A433" s="259" t="inlineStr">
        <is>
          <t>Kotak Nifty Midcap 150 Momentum 50 Index Fund - Regular Plan</t>
        </is>
      </c>
      <c r="B433" s="259" t="inlineStr">
        <is>
          <t>--</t>
        </is>
      </c>
      <c r="C433" s="260" t="n">
        <v>0.93</v>
      </c>
      <c r="D433" s="259" t="inlineStr">
        <is>
          <t>--</t>
        </is>
      </c>
      <c r="E433" s="259" t="inlineStr">
        <is>
          <t>--</t>
        </is>
      </c>
      <c r="F433" s="260" t="n">
        <v>0.93</v>
      </c>
      <c r="G433" s="259" t="inlineStr">
        <is>
          <t>--</t>
        </is>
      </c>
      <c r="H433" s="259" t="inlineStr">
        <is>
          <t>--</t>
        </is>
      </c>
      <c r="I433" s="259" t="inlineStr">
        <is>
          <t>--</t>
        </is>
      </c>
      <c r="J433" s="259" t="inlineStr">
        <is>
          <t>--</t>
        </is>
      </c>
      <c r="K433" s="259" t="inlineStr">
        <is>
          <t>--</t>
        </is>
      </c>
      <c r="L433" s="259" t="inlineStr">
        <is>
          <t>EQ-MC</t>
        </is>
      </c>
    </row>
    <row r="434">
      <c r="A434" s="259" t="inlineStr">
        <is>
          <t>Kotak Nifty Midcap 50 ETF</t>
        </is>
      </c>
      <c r="B434" s="260" t="n">
        <v>8.210000000000001</v>
      </c>
      <c r="C434" s="260" t="n">
        <v>0.05</v>
      </c>
      <c r="D434" s="260" t="n">
        <v>29.83</v>
      </c>
      <c r="E434" s="259" t="inlineStr">
        <is>
          <t>--</t>
        </is>
      </c>
      <c r="F434" s="260" t="n">
        <v>0.05</v>
      </c>
      <c r="G434" s="260" t="n">
        <v>17.7</v>
      </c>
      <c r="H434" s="260" t="n">
        <v>1.13</v>
      </c>
      <c r="I434" s="260" t="n">
        <v>1.6</v>
      </c>
      <c r="J434" s="260" t="n">
        <v>1.02</v>
      </c>
      <c r="K434" s="260" t="n">
        <v>1.41</v>
      </c>
      <c r="L434" s="259" t="inlineStr">
        <is>
          <t>EQ-MC</t>
        </is>
      </c>
    </row>
    <row r="435">
      <c r="A435" s="259" t="inlineStr">
        <is>
          <t>Kotak Nifty Midcap 50 Index Fund - Regular Plan</t>
        </is>
      </c>
      <c r="B435" s="259" t="inlineStr">
        <is>
          <t>--</t>
        </is>
      </c>
      <c r="C435" s="260" t="n">
        <v>0.86</v>
      </c>
      <c r="D435" s="259" t="inlineStr">
        <is>
          <t>--</t>
        </is>
      </c>
      <c r="E435" s="259" t="inlineStr">
        <is>
          <t>--</t>
        </is>
      </c>
      <c r="F435" s="260" t="n">
        <v>0.86</v>
      </c>
      <c r="G435" s="259" t="inlineStr">
        <is>
          <t>--</t>
        </is>
      </c>
      <c r="H435" s="259" t="inlineStr">
        <is>
          <t>--</t>
        </is>
      </c>
      <c r="I435" s="259" t="inlineStr">
        <is>
          <t>--</t>
        </is>
      </c>
      <c r="J435" s="259" t="inlineStr">
        <is>
          <t>--</t>
        </is>
      </c>
      <c r="K435" s="259" t="inlineStr">
        <is>
          <t>--</t>
        </is>
      </c>
      <c r="L435" s="259" t="inlineStr">
        <is>
          <t>EQ-MC</t>
        </is>
      </c>
    </row>
    <row r="436" hidden="1">
      <c r="A436" s="259" t="inlineStr">
        <is>
          <t>Kotak Nifty MNC ETF</t>
        </is>
      </c>
      <c r="B436" s="260" t="n">
        <v>-5.24</v>
      </c>
      <c r="C436" s="260" t="n">
        <v>0.3</v>
      </c>
      <c r="D436" s="259" t="inlineStr">
        <is>
          <t>--</t>
        </is>
      </c>
      <c r="E436" s="259" t="inlineStr">
        <is>
          <t>--</t>
        </is>
      </c>
      <c r="F436" s="260" t="n">
        <v>0.3</v>
      </c>
      <c r="G436" s="259" t="inlineStr">
        <is>
          <t>--</t>
        </is>
      </c>
      <c r="H436" s="259" t="inlineStr">
        <is>
          <t>--</t>
        </is>
      </c>
      <c r="I436" s="259" t="inlineStr">
        <is>
          <t>--</t>
        </is>
      </c>
      <c r="J436" s="259" t="inlineStr">
        <is>
          <t>--</t>
        </is>
      </c>
      <c r="K436" s="259" t="inlineStr">
        <is>
          <t>--</t>
        </is>
      </c>
      <c r="L436" s="259" t="inlineStr">
        <is>
          <t>EQ-MNC</t>
        </is>
      </c>
    </row>
    <row r="437">
      <c r="A437" s="259" t="inlineStr">
        <is>
          <t>Kotak Nifty Next 50 Index Fund - Regular Plan</t>
        </is>
      </c>
      <c r="B437" s="260" t="n">
        <v>-3.75</v>
      </c>
      <c r="C437" s="260" t="n">
        <v>0.57</v>
      </c>
      <c r="D437" s="260" t="n">
        <v>21.41</v>
      </c>
      <c r="E437" s="259" t="inlineStr">
        <is>
          <t>--</t>
        </is>
      </c>
      <c r="F437" s="260" t="n">
        <v>0.57</v>
      </c>
      <c r="G437" s="260" t="n">
        <v>19.43</v>
      </c>
      <c r="H437" s="260" t="n">
        <v>0.7</v>
      </c>
      <c r="I437" s="260" t="n">
        <v>1.04</v>
      </c>
      <c r="J437" s="260" t="n">
        <v>1.29</v>
      </c>
      <c r="K437" s="260" t="n">
        <v>0.31</v>
      </c>
      <c r="L437" s="259" t="inlineStr">
        <is>
          <t>EQ-LC</t>
        </is>
      </c>
    </row>
    <row r="438">
      <c r="A438" s="259" t="inlineStr">
        <is>
          <t>Kotak Nifty Smallcap 250 Index Fund - Regular Plan</t>
        </is>
      </c>
      <c r="B438" s="259" t="inlineStr">
        <is>
          <t>--</t>
        </is>
      </c>
      <c r="C438" s="260" t="n">
        <v>0.73</v>
      </c>
      <c r="D438" s="259" t="inlineStr">
        <is>
          <t>--</t>
        </is>
      </c>
      <c r="E438" s="259" t="inlineStr">
        <is>
          <t>--</t>
        </is>
      </c>
      <c r="F438" s="260" t="n">
        <v>0.73</v>
      </c>
      <c r="G438" s="259" t="inlineStr">
        <is>
          <t>--</t>
        </is>
      </c>
      <c r="H438" s="259" t="inlineStr">
        <is>
          <t>--</t>
        </is>
      </c>
      <c r="I438" s="259" t="inlineStr">
        <is>
          <t>--</t>
        </is>
      </c>
      <c r="J438" s="259" t="inlineStr">
        <is>
          <t>--</t>
        </is>
      </c>
      <c r="K438" s="259" t="inlineStr">
        <is>
          <t>--</t>
        </is>
      </c>
      <c r="L438" s="259" t="inlineStr">
        <is>
          <t>EQ-SC</t>
        </is>
      </c>
    </row>
    <row r="439">
      <c r="A439" s="259" t="inlineStr">
        <is>
          <t>Kotak Nifty Smallcap 50 Index Fund - Regular Plan</t>
        </is>
      </c>
      <c r="B439" s="260" t="n">
        <v>6.36</v>
      </c>
      <c r="C439" s="260" t="n">
        <v>0.9</v>
      </c>
      <c r="D439" s="259" t="inlineStr">
        <is>
          <t>--</t>
        </is>
      </c>
      <c r="E439" s="259" t="inlineStr">
        <is>
          <t>--</t>
        </is>
      </c>
      <c r="F439" s="260" t="n">
        <v>0.9</v>
      </c>
      <c r="G439" s="259" t="inlineStr">
        <is>
          <t>--</t>
        </is>
      </c>
      <c r="H439" s="259" t="inlineStr">
        <is>
          <t>--</t>
        </is>
      </c>
      <c r="I439" s="259" t="inlineStr">
        <is>
          <t>--</t>
        </is>
      </c>
      <c r="J439" s="259" t="inlineStr">
        <is>
          <t>--</t>
        </is>
      </c>
      <c r="K439" s="259" t="inlineStr">
        <is>
          <t>--</t>
        </is>
      </c>
      <c r="L439" s="259" t="inlineStr">
        <is>
          <t>EQ-SC</t>
        </is>
      </c>
    </row>
    <row r="440">
      <c r="A440" s="259" t="inlineStr">
        <is>
          <t>Kotak Nifty Top 10 Equal Weight Index Fund - Regular Plan</t>
        </is>
      </c>
      <c r="B440" s="259" t="inlineStr">
        <is>
          <t>--</t>
        </is>
      </c>
      <c r="C440" s="260" t="n">
        <v>0.92</v>
      </c>
      <c r="D440" s="259" t="inlineStr">
        <is>
          <t>--</t>
        </is>
      </c>
      <c r="E440" s="259" t="inlineStr">
        <is>
          <t>--</t>
        </is>
      </c>
      <c r="F440" s="260" t="n">
        <v>0.92</v>
      </c>
      <c r="G440" s="259" t="inlineStr">
        <is>
          <t>--</t>
        </is>
      </c>
      <c r="H440" s="259" t="inlineStr">
        <is>
          <t>--</t>
        </is>
      </c>
      <c r="I440" s="259" t="inlineStr">
        <is>
          <t>--</t>
        </is>
      </c>
      <c r="J440" s="259" t="inlineStr">
        <is>
          <t>--</t>
        </is>
      </c>
      <c r="K440" s="259" t="inlineStr">
        <is>
          <t>--</t>
        </is>
      </c>
      <c r="L440" s="259" t="inlineStr">
        <is>
          <t>EQ-LC</t>
        </is>
      </c>
    </row>
    <row r="441" hidden="1">
      <c r="A441" s="259" t="inlineStr">
        <is>
          <t>Kotak Pioneer Fund - Regular Plan</t>
        </is>
      </c>
      <c r="B441" s="260" t="n">
        <v>7.93</v>
      </c>
      <c r="C441" s="260" t="n">
        <v>1.88</v>
      </c>
      <c r="D441" s="260" t="n">
        <v>22.57</v>
      </c>
      <c r="E441" s="260" t="n">
        <v>26.85</v>
      </c>
      <c r="F441" s="260" t="n">
        <v>1.88</v>
      </c>
      <c r="G441" s="260" t="n">
        <v>14.37</v>
      </c>
      <c r="H441" s="260" t="n">
        <v>1</v>
      </c>
      <c r="I441" s="260" t="n">
        <v>1.26</v>
      </c>
      <c r="J441" s="260" t="n">
        <v>0.88</v>
      </c>
      <c r="K441" s="260" t="n">
        <v>4.19</v>
      </c>
      <c r="L441" s="259" t="inlineStr">
        <is>
          <t>EQ-THEMATIC</t>
        </is>
      </c>
    </row>
    <row r="442" hidden="1">
      <c r="A442" s="259" t="inlineStr">
        <is>
          <t>Kotak Quant Fund - Regular Plan</t>
        </is>
      </c>
      <c r="B442" s="260" t="n">
        <v>-3.7</v>
      </c>
      <c r="C442" s="260" t="n">
        <v>1.66</v>
      </c>
      <c r="D442" s="259" t="inlineStr">
        <is>
          <t>--</t>
        </is>
      </c>
      <c r="E442" s="259" t="inlineStr">
        <is>
          <t>--</t>
        </is>
      </c>
      <c r="F442" s="260" t="n">
        <v>1.66</v>
      </c>
      <c r="G442" s="259" t="inlineStr">
        <is>
          <t>--</t>
        </is>
      </c>
      <c r="H442" s="259" t="inlineStr">
        <is>
          <t>--</t>
        </is>
      </c>
      <c r="I442" s="259" t="inlineStr">
        <is>
          <t>--</t>
        </is>
      </c>
      <c r="J442" s="259" t="inlineStr">
        <is>
          <t>--</t>
        </is>
      </c>
      <c r="K442" s="259" t="inlineStr">
        <is>
          <t>--</t>
        </is>
      </c>
      <c r="L442" s="259" t="inlineStr">
        <is>
          <t>EQ-THEMATIC</t>
        </is>
      </c>
    </row>
    <row r="443">
      <c r="A443" s="259" t="inlineStr">
        <is>
          <t>Kotak Small Cap Fund - Regular Plan</t>
        </is>
      </c>
      <c r="B443" s="260" t="n">
        <v>1.56</v>
      </c>
      <c r="C443" s="260" t="n">
        <v>1.66</v>
      </c>
      <c r="D443" s="260" t="n">
        <v>20.12</v>
      </c>
      <c r="E443" s="260" t="n">
        <v>33.59</v>
      </c>
      <c r="F443" s="260" t="n">
        <v>1.66</v>
      </c>
      <c r="G443" s="260" t="n">
        <v>17.11</v>
      </c>
      <c r="H443" s="260" t="n">
        <v>0.73</v>
      </c>
      <c r="I443" s="260" t="n">
        <v>1.06</v>
      </c>
      <c r="J443" s="260" t="n">
        <v>0.83</v>
      </c>
      <c r="K443" s="260" t="n">
        <v>-2.64</v>
      </c>
      <c r="L443" s="259" t="inlineStr">
        <is>
          <t>EQ-SC</t>
        </is>
      </c>
    </row>
    <row r="444" hidden="1">
      <c r="A444" s="259" t="inlineStr">
        <is>
          <t>Kotak Special Opportunities Fund - Regular Plan</t>
        </is>
      </c>
      <c r="B444" s="259" t="inlineStr">
        <is>
          <t>--</t>
        </is>
      </c>
      <c r="C444" s="260" t="n">
        <v>2.02</v>
      </c>
      <c r="D444" s="259" t="inlineStr">
        <is>
          <t>--</t>
        </is>
      </c>
      <c r="E444" s="259" t="inlineStr">
        <is>
          <t>--</t>
        </is>
      </c>
      <c r="F444" s="260" t="n">
        <v>2.02</v>
      </c>
      <c r="G444" s="259" t="inlineStr">
        <is>
          <t>--</t>
        </is>
      </c>
      <c r="H444" s="259" t="inlineStr">
        <is>
          <t>--</t>
        </is>
      </c>
      <c r="I444" s="259" t="inlineStr">
        <is>
          <t>--</t>
        </is>
      </c>
      <c r="J444" s="259" t="inlineStr">
        <is>
          <t>--</t>
        </is>
      </c>
      <c r="K444" s="259" t="inlineStr">
        <is>
          <t>--</t>
        </is>
      </c>
      <c r="L444" s="259" t="inlineStr">
        <is>
          <t>EQ-THEMATIC</t>
        </is>
      </c>
    </row>
    <row r="445" hidden="1">
      <c r="A445" s="259" t="inlineStr">
        <is>
          <t>Kotak Transportation &amp; Logistics Fund - Regular Plan</t>
        </is>
      </c>
      <c r="B445" s="259" t="inlineStr">
        <is>
          <t>--</t>
        </is>
      </c>
      <c r="C445" s="260" t="n">
        <v>2.41</v>
      </c>
      <c r="D445" s="259" t="inlineStr">
        <is>
          <t>--</t>
        </is>
      </c>
      <c r="E445" s="259" t="inlineStr">
        <is>
          <t>--</t>
        </is>
      </c>
      <c r="F445" s="260" t="n">
        <v>2.41</v>
      </c>
      <c r="G445" s="259" t="inlineStr">
        <is>
          <t>--</t>
        </is>
      </c>
      <c r="H445" s="259" t="inlineStr">
        <is>
          <t>--</t>
        </is>
      </c>
      <c r="I445" s="259" t="inlineStr">
        <is>
          <t>--</t>
        </is>
      </c>
      <c r="J445" s="259" t="inlineStr">
        <is>
          <t>--</t>
        </is>
      </c>
      <c r="K445" s="259" t="inlineStr">
        <is>
          <t>--</t>
        </is>
      </c>
      <c r="L445" s="259" t="inlineStr">
        <is>
          <t>EQ-THEMATIC</t>
        </is>
      </c>
    </row>
    <row r="446">
      <c r="A446" s="259" t="inlineStr">
        <is>
          <t>LIC MF Balanced Advantage Fund - Regular Plan</t>
        </is>
      </c>
      <c r="B446" s="260" t="n">
        <v>10.84</v>
      </c>
      <c r="C446" s="260" t="n">
        <v>2.27</v>
      </c>
      <c r="D446" s="260" t="n">
        <v>12.63</v>
      </c>
      <c r="E446" s="259" t="inlineStr">
        <is>
          <t>--</t>
        </is>
      </c>
      <c r="F446" s="260" t="n">
        <v>2.27</v>
      </c>
      <c r="G446" s="260" t="n">
        <v>8.050000000000001</v>
      </c>
      <c r="H446" s="260" t="n">
        <v>0.66</v>
      </c>
      <c r="I446" s="260" t="n">
        <v>1.02</v>
      </c>
      <c r="J446" s="260" t="n">
        <v>0.74</v>
      </c>
      <c r="K446" s="260" t="n">
        <v>-0.5</v>
      </c>
      <c r="L446" s="259" t="inlineStr">
        <is>
          <t>HY-DAA</t>
        </is>
      </c>
    </row>
    <row r="447">
      <c r="A447" s="259" t="inlineStr">
        <is>
          <t>LIC MF BSE Sensex ETF</t>
        </is>
      </c>
      <c r="B447" s="260" t="n">
        <v>7.68</v>
      </c>
      <c r="C447" s="260" t="n">
        <v>0.1</v>
      </c>
      <c r="D447" s="260" t="n">
        <v>15.82</v>
      </c>
      <c r="E447" s="260" t="n">
        <v>20.62</v>
      </c>
      <c r="F447" s="260" t="n">
        <v>0.1</v>
      </c>
      <c r="G447" s="260" t="n">
        <v>12.7</v>
      </c>
      <c r="H447" s="260" t="n">
        <v>0.66</v>
      </c>
      <c r="I447" s="260" t="n">
        <v>1.1</v>
      </c>
      <c r="J447" s="260" t="n">
        <v>0.91</v>
      </c>
      <c r="K447" s="260" t="n">
        <v>-0.99</v>
      </c>
      <c r="L447" s="259" t="inlineStr">
        <is>
          <t>EQ-LC</t>
        </is>
      </c>
    </row>
    <row r="448">
      <c r="A448" s="259" t="inlineStr">
        <is>
          <t>LIC MF BSE Sensex Index Plan</t>
        </is>
      </c>
      <c r="B448" s="260" t="n">
        <v>6.61</v>
      </c>
      <c r="C448" s="260" t="n">
        <v>1.08</v>
      </c>
      <c r="D448" s="260" t="n">
        <v>14.71</v>
      </c>
      <c r="E448" s="260" t="n">
        <v>19.4</v>
      </c>
      <c r="F448" s="260" t="n">
        <v>1.08</v>
      </c>
      <c r="G448" s="260" t="n">
        <v>12.66</v>
      </c>
      <c r="H448" s="260" t="n">
        <v>0.59</v>
      </c>
      <c r="I448" s="260" t="n">
        <v>0.97</v>
      </c>
      <c r="J448" s="260" t="n">
        <v>0.91</v>
      </c>
      <c r="K448" s="260" t="n">
        <v>-1.94</v>
      </c>
      <c r="L448" s="259" t="inlineStr">
        <is>
          <t>EQ-LC</t>
        </is>
      </c>
    </row>
    <row r="449">
      <c r="A449" s="259" t="inlineStr">
        <is>
          <t>LIC MF Children's Fund</t>
        </is>
      </c>
      <c r="B449" s="260" t="n">
        <v>1.46</v>
      </c>
      <c r="C449" s="260" t="n">
        <v>2.45</v>
      </c>
      <c r="D449" s="260" t="n">
        <v>13.65</v>
      </c>
      <c r="E449" s="260" t="n">
        <v>15.21</v>
      </c>
      <c r="F449" s="260" t="n">
        <v>2.45</v>
      </c>
      <c r="G449" s="260" t="n">
        <v>13.96</v>
      </c>
      <c r="H449" s="260" t="n">
        <v>0.45</v>
      </c>
      <c r="I449" s="260" t="n">
        <v>0.54</v>
      </c>
      <c r="J449" s="260" t="n">
        <v>0.88</v>
      </c>
      <c r="K449" s="260" t="n">
        <v>-3.89</v>
      </c>
      <c r="L449" s="259" t="inlineStr">
        <is>
          <t>EQ-FLX</t>
        </is>
      </c>
    </row>
    <row r="450" hidden="1">
      <c r="A450" s="259" t="inlineStr">
        <is>
          <t>LIC MF Dividend Yield Fund - Regular Plan</t>
        </is>
      </c>
      <c r="B450" s="260" t="n">
        <v>8.23</v>
      </c>
      <c r="C450" s="260" t="n">
        <v>2.35</v>
      </c>
      <c r="D450" s="260" t="n">
        <v>25.64</v>
      </c>
      <c r="E450" s="260" t="n">
        <v>25.45</v>
      </c>
      <c r="F450" s="260" t="n">
        <v>2.35</v>
      </c>
      <c r="G450" s="260" t="n">
        <v>15.86</v>
      </c>
      <c r="H450" s="260" t="n">
        <v>1.06</v>
      </c>
      <c r="I450" s="260" t="n">
        <v>1.58</v>
      </c>
      <c r="J450" s="260" t="n">
        <v>1.04</v>
      </c>
      <c r="K450" s="260" t="n">
        <v>4.9</v>
      </c>
      <c r="L450" s="259" t="inlineStr">
        <is>
          <t>EQ-DIV Y</t>
        </is>
      </c>
    </row>
    <row r="451">
      <c r="A451" s="259" t="inlineStr">
        <is>
          <t>LIC MF Flexi Cap Fund</t>
        </is>
      </c>
      <c r="B451" s="260" t="n">
        <v>-1.17</v>
      </c>
      <c r="C451" s="260" t="n">
        <v>2.28</v>
      </c>
      <c r="D451" s="260" t="n">
        <v>15.83</v>
      </c>
      <c r="E451" s="260" t="n">
        <v>18.94</v>
      </c>
      <c r="F451" s="260" t="n">
        <v>2.28</v>
      </c>
      <c r="G451" s="260" t="n">
        <v>15.52</v>
      </c>
      <c r="H451" s="260" t="n">
        <v>0.52</v>
      </c>
      <c r="I451" s="260" t="n">
        <v>0.68</v>
      </c>
      <c r="J451" s="260" t="n">
        <v>1.01</v>
      </c>
      <c r="K451" s="260" t="n">
        <v>-3.62</v>
      </c>
      <c r="L451" s="259" t="inlineStr">
        <is>
          <t>EQ-FLX</t>
        </is>
      </c>
    </row>
    <row r="452">
      <c r="A452" s="259" t="inlineStr">
        <is>
          <t>LIC MF Focused Fund - Regular Plan</t>
        </is>
      </c>
      <c r="B452" s="260" t="n">
        <v>9.220000000000001</v>
      </c>
      <c r="C452" s="260" t="n">
        <v>2.52</v>
      </c>
      <c r="D452" s="260" t="n">
        <v>16.28</v>
      </c>
      <c r="E452" s="260" t="n">
        <v>19.9</v>
      </c>
      <c r="F452" s="260" t="n">
        <v>2.52</v>
      </c>
      <c r="G452" s="260" t="n">
        <v>14.48</v>
      </c>
      <c r="H452" s="260" t="n">
        <v>0.58</v>
      </c>
      <c r="I452" s="260" t="n">
        <v>0.84</v>
      </c>
      <c r="J452" s="260" t="n">
        <v>0.9399999999999999</v>
      </c>
      <c r="K452" s="260" t="n">
        <v>-2.51</v>
      </c>
      <c r="L452" s="259" t="inlineStr">
        <is>
          <t>EQ-FLX</t>
        </is>
      </c>
    </row>
    <row r="453">
      <c r="A453" s="259" t="inlineStr">
        <is>
          <t>LIC MF Large Cap Fund</t>
        </is>
      </c>
      <c r="B453" s="260" t="n">
        <v>6.73</v>
      </c>
      <c r="C453" s="260" t="n">
        <v>2.12</v>
      </c>
      <c r="D453" s="260" t="n">
        <v>15.86</v>
      </c>
      <c r="E453" s="260" t="n">
        <v>19.63</v>
      </c>
      <c r="F453" s="260" t="n">
        <v>2.12</v>
      </c>
      <c r="G453" s="260" t="n">
        <v>14.26</v>
      </c>
      <c r="H453" s="260" t="n">
        <v>0.58</v>
      </c>
      <c r="I453" s="260" t="n">
        <v>0.88</v>
      </c>
      <c r="J453" s="260" t="n">
        <v>1.02</v>
      </c>
      <c r="K453" s="260" t="n">
        <v>-2.31</v>
      </c>
      <c r="L453" s="259" t="inlineStr">
        <is>
          <t>EQ-LC</t>
        </is>
      </c>
    </row>
    <row r="454">
      <c r="A454" s="259" t="inlineStr">
        <is>
          <t>LIC MF Large &amp; Mid Cap Fund - Regular Plan</t>
        </is>
      </c>
      <c r="B454" s="260" t="n">
        <v>7.47</v>
      </c>
      <c r="C454" s="260" t="n">
        <v>1.91</v>
      </c>
      <c r="D454" s="260" t="n">
        <v>20.09</v>
      </c>
      <c r="E454" s="260" t="n">
        <v>23.76</v>
      </c>
      <c r="F454" s="260" t="n">
        <v>1.91</v>
      </c>
      <c r="G454" s="260" t="n">
        <v>15.78</v>
      </c>
      <c r="H454" s="260" t="n">
        <v>0.76</v>
      </c>
      <c r="I454" s="260" t="n">
        <v>1.15</v>
      </c>
      <c r="J454" s="260" t="n">
        <v>0.99</v>
      </c>
      <c r="K454" s="260" t="n">
        <v>1.11</v>
      </c>
      <c r="L454" s="259" t="inlineStr">
        <is>
          <t>EQ-L&amp;MC</t>
        </is>
      </c>
    </row>
    <row r="455" hidden="1">
      <c r="A455" s="259" t="inlineStr">
        <is>
          <t>LIC MF Manufacturing Fund - Regular Plan</t>
        </is>
      </c>
      <c r="B455" s="259" t="inlineStr">
        <is>
          <t>--</t>
        </is>
      </c>
      <c r="C455" s="260" t="n">
        <v>2.21</v>
      </c>
      <c r="D455" s="259" t="inlineStr">
        <is>
          <t>--</t>
        </is>
      </c>
      <c r="E455" s="259" t="inlineStr">
        <is>
          <t>--</t>
        </is>
      </c>
      <c r="F455" s="260" t="n">
        <v>2.21</v>
      </c>
      <c r="G455" s="259" t="inlineStr">
        <is>
          <t>--</t>
        </is>
      </c>
      <c r="H455" s="259" t="inlineStr">
        <is>
          <t>--</t>
        </is>
      </c>
      <c r="I455" s="259" t="inlineStr">
        <is>
          <t>--</t>
        </is>
      </c>
      <c r="J455" s="259" t="inlineStr">
        <is>
          <t>--</t>
        </is>
      </c>
      <c r="K455" s="259" t="inlineStr">
        <is>
          <t>--</t>
        </is>
      </c>
      <c r="L455" s="259" t="inlineStr">
        <is>
          <t>EQ-THEMATIC</t>
        </is>
      </c>
    </row>
    <row r="456">
      <c r="A456" s="259" t="inlineStr">
        <is>
          <t>LIC MF Midcap Fund - Regular Plan</t>
        </is>
      </c>
      <c r="B456" s="260" t="n">
        <v>4.92</v>
      </c>
      <c r="C456" s="260" t="n">
        <v>2.48</v>
      </c>
      <c r="D456" s="260" t="n">
        <v>24.88</v>
      </c>
      <c r="E456" s="260" t="n">
        <v>26.22</v>
      </c>
      <c r="F456" s="260" t="n">
        <v>2.48</v>
      </c>
      <c r="G456" s="260" t="n">
        <v>17.55</v>
      </c>
      <c r="H456" s="260" t="n">
        <v>0.9</v>
      </c>
      <c r="I456" s="260" t="n">
        <v>1.33</v>
      </c>
      <c r="J456" s="260" t="n">
        <v>1</v>
      </c>
      <c r="K456" s="260" t="n">
        <v>-2.33</v>
      </c>
      <c r="L456" s="259" t="inlineStr">
        <is>
          <t>EQ-MC</t>
        </is>
      </c>
    </row>
    <row r="457">
      <c r="A457" s="259" t="inlineStr">
        <is>
          <t>LIC MF Multi Asset Allocation Fund - Regular Plan</t>
        </is>
      </c>
      <c r="B457" s="259" t="inlineStr">
        <is>
          <t>--</t>
        </is>
      </c>
      <c r="C457" s="260" t="n">
        <v>2.25</v>
      </c>
      <c r="D457" s="259" t="inlineStr">
        <is>
          <t>--</t>
        </is>
      </c>
      <c r="E457" s="259" t="inlineStr">
        <is>
          <t>--</t>
        </is>
      </c>
      <c r="F457" s="260" t="n">
        <v>2.25</v>
      </c>
      <c r="G457" s="259" t="inlineStr">
        <is>
          <t>--</t>
        </is>
      </c>
      <c r="H457" s="259" t="inlineStr">
        <is>
          <t>--</t>
        </is>
      </c>
      <c r="I457" s="259" t="inlineStr">
        <is>
          <t>--</t>
        </is>
      </c>
      <c r="J457" s="259" t="inlineStr">
        <is>
          <t>--</t>
        </is>
      </c>
      <c r="K457" s="259" t="inlineStr">
        <is>
          <t>--</t>
        </is>
      </c>
      <c r="L457" s="259" t="inlineStr">
        <is>
          <t>HY-MAA</t>
        </is>
      </c>
    </row>
    <row r="458">
      <c r="A458" s="259" t="inlineStr">
        <is>
          <t>LIC MF Multi Cap Fund - Regular Plan</t>
        </is>
      </c>
      <c r="B458" s="260" t="n">
        <v>8.699999999999999</v>
      </c>
      <c r="C458" s="260" t="n">
        <v>2.04</v>
      </c>
      <c r="D458" s="259" t="inlineStr">
        <is>
          <t>--</t>
        </is>
      </c>
      <c r="E458" s="259" t="inlineStr">
        <is>
          <t>--</t>
        </is>
      </c>
      <c r="F458" s="260" t="n">
        <v>2.04</v>
      </c>
      <c r="G458" s="259" t="inlineStr">
        <is>
          <t>--</t>
        </is>
      </c>
      <c r="H458" s="259" t="inlineStr">
        <is>
          <t>--</t>
        </is>
      </c>
      <c r="I458" s="259" t="inlineStr">
        <is>
          <t>--</t>
        </is>
      </c>
      <c r="J458" s="259" t="inlineStr">
        <is>
          <t>--</t>
        </is>
      </c>
      <c r="K458" s="259" t="inlineStr">
        <is>
          <t>--</t>
        </is>
      </c>
      <c r="L458" s="259" t="inlineStr">
        <is>
          <t>EQ-MLC</t>
        </is>
      </c>
    </row>
    <row r="459">
      <c r="A459" s="259" t="inlineStr">
        <is>
          <t>LIC MF Nifty 100 ETF</t>
        </is>
      </c>
      <c r="B459" s="260" t="n">
        <v>5.52</v>
      </c>
      <c r="C459" s="260" t="n">
        <v>0.28</v>
      </c>
      <c r="D459" s="260" t="n">
        <v>16.79</v>
      </c>
      <c r="E459" s="260" t="n">
        <v>21.17</v>
      </c>
      <c r="F459" s="260" t="n">
        <v>0.28</v>
      </c>
      <c r="G459" s="260" t="n">
        <v>13.97</v>
      </c>
      <c r="H459" s="260" t="n">
        <v>0.66</v>
      </c>
      <c r="I459" s="260" t="n">
        <v>1.08</v>
      </c>
      <c r="J459" s="260" t="n">
        <v>1.01</v>
      </c>
      <c r="K459" s="260" t="n">
        <v>-1.17</v>
      </c>
      <c r="L459" s="259" t="inlineStr">
        <is>
          <t>EQ-LC</t>
        </is>
      </c>
    </row>
    <row r="460">
      <c r="A460" s="259" t="inlineStr">
        <is>
          <t>LIC MF Nifty 50 ETF</t>
        </is>
      </c>
      <c r="B460" s="260" t="n">
        <v>7.79</v>
      </c>
      <c r="C460" s="260" t="n">
        <v>0.06</v>
      </c>
      <c r="D460" s="260" t="n">
        <v>16.51</v>
      </c>
      <c r="E460" s="260" t="n">
        <v>21.33</v>
      </c>
      <c r="F460" s="260" t="n">
        <v>0.06</v>
      </c>
      <c r="G460" s="260" t="n">
        <v>13.14</v>
      </c>
      <c r="H460" s="260" t="n">
        <v>0.68</v>
      </c>
      <c r="I460" s="260" t="n">
        <v>1.17</v>
      </c>
      <c r="J460" s="260" t="n">
        <v>0.95</v>
      </c>
      <c r="K460" s="260" t="n">
        <v>-0.79</v>
      </c>
      <c r="L460" s="259" t="inlineStr">
        <is>
          <t>EQ-LC</t>
        </is>
      </c>
    </row>
    <row r="461">
      <c r="A461" s="259" t="inlineStr">
        <is>
          <t>LIC MF Nifty 50 Index Plan</t>
        </is>
      </c>
      <c r="B461" s="260" t="n">
        <v>6.72</v>
      </c>
      <c r="C461" s="260" t="n">
        <v>1.01</v>
      </c>
      <c r="D461" s="260" t="n">
        <v>15.43</v>
      </c>
      <c r="E461" s="260" t="n">
        <v>20.08</v>
      </c>
      <c r="F461" s="260" t="n">
        <v>1.01</v>
      </c>
      <c r="G461" s="260" t="n">
        <v>13.12</v>
      </c>
      <c r="H461" s="260" t="n">
        <v>0.61</v>
      </c>
      <c r="I461" s="260" t="n">
        <v>1.04</v>
      </c>
      <c r="J461" s="260" t="n">
        <v>0.95</v>
      </c>
      <c r="K461" s="260" t="n">
        <v>-1.73</v>
      </c>
      <c r="L461" s="259" t="inlineStr">
        <is>
          <t>EQ-LC</t>
        </is>
      </c>
    </row>
    <row r="462">
      <c r="A462" s="259" t="inlineStr">
        <is>
          <t>LIC MF Nifty Midcap 100 ETF</t>
        </is>
      </c>
      <c r="B462" s="260" t="n">
        <v>8.029999999999999</v>
      </c>
      <c r="C462" s="260" t="n">
        <v>0.16</v>
      </c>
      <c r="D462" s="259" t="inlineStr">
        <is>
          <t>--</t>
        </is>
      </c>
      <c r="E462" s="259" t="inlineStr">
        <is>
          <t>--</t>
        </is>
      </c>
      <c r="F462" s="260" t="n">
        <v>0.16</v>
      </c>
      <c r="G462" s="259" t="inlineStr">
        <is>
          <t>--</t>
        </is>
      </c>
      <c r="H462" s="259" t="inlineStr">
        <is>
          <t>--</t>
        </is>
      </c>
      <c r="I462" s="259" t="inlineStr">
        <is>
          <t>--</t>
        </is>
      </c>
      <c r="J462" s="259" t="inlineStr">
        <is>
          <t>--</t>
        </is>
      </c>
      <c r="K462" s="259" t="inlineStr">
        <is>
          <t>--</t>
        </is>
      </c>
      <c r="L462" s="259" t="inlineStr">
        <is>
          <t>EQ-MC</t>
        </is>
      </c>
    </row>
    <row r="463">
      <c r="A463" s="259" t="inlineStr">
        <is>
          <t>LIC MF Nifty Next 50 Index Fund</t>
        </is>
      </c>
      <c r="B463" s="260" t="n">
        <v>-4.14</v>
      </c>
      <c r="C463" s="260" t="n">
        <v>0.9</v>
      </c>
      <c r="D463" s="260" t="n">
        <v>21.01</v>
      </c>
      <c r="E463" s="260" t="n">
        <v>21.42</v>
      </c>
      <c r="F463" s="260" t="n">
        <v>0.9</v>
      </c>
      <c r="G463" s="260" t="n">
        <v>19.44</v>
      </c>
      <c r="H463" s="260" t="n">
        <v>0.68</v>
      </c>
      <c r="I463" s="260" t="n">
        <v>1.02</v>
      </c>
      <c r="J463" s="260" t="n">
        <v>1.29</v>
      </c>
      <c r="K463" s="260" t="n">
        <v>-0.02</v>
      </c>
      <c r="L463" s="259" t="inlineStr">
        <is>
          <t>EQ-LC</t>
        </is>
      </c>
    </row>
    <row r="464">
      <c r="A464" s="259" t="inlineStr">
        <is>
          <t>LIC MF Small Cap Fund - Regular Plan</t>
        </is>
      </c>
      <c r="B464" s="260" t="n">
        <v>1.09</v>
      </c>
      <c r="C464" s="260" t="n">
        <v>2.38</v>
      </c>
      <c r="D464" s="260" t="n">
        <v>22.5</v>
      </c>
      <c r="E464" s="260" t="n">
        <v>32.83</v>
      </c>
      <c r="F464" s="260" t="n">
        <v>2.38</v>
      </c>
      <c r="G464" s="260" t="n">
        <v>19.31</v>
      </c>
      <c r="H464" s="260" t="n">
        <v>0.78</v>
      </c>
      <c r="I464" s="260" t="n">
        <v>0.97</v>
      </c>
      <c r="J464" s="260" t="n">
        <v>0.93</v>
      </c>
      <c r="K464" s="260" t="n">
        <v>-1.83</v>
      </c>
      <c r="L464" s="259" t="inlineStr">
        <is>
          <t>EQ-SC</t>
        </is>
      </c>
    </row>
    <row r="465">
      <c r="A465" s="259" t="inlineStr">
        <is>
          <t>Mahindra Manulife Balanced Advantage Fund - Regular Plan</t>
        </is>
      </c>
      <c r="B465" s="260" t="n">
        <v>6.27</v>
      </c>
      <c r="C465" s="260" t="n">
        <v>2.22</v>
      </c>
      <c r="D465" s="260" t="n">
        <v>14.15</v>
      </c>
      <c r="E465" s="259" t="inlineStr">
        <is>
          <t>--</t>
        </is>
      </c>
      <c r="F465" s="260" t="n">
        <v>2.22</v>
      </c>
      <c r="G465" s="260" t="n">
        <v>8.69</v>
      </c>
      <c r="H465" s="260" t="n">
        <v>0.79</v>
      </c>
      <c r="I465" s="260" t="n">
        <v>1.22</v>
      </c>
      <c r="J465" s="260" t="n">
        <v>0.79</v>
      </c>
      <c r="K465" s="260" t="n">
        <v>0.62</v>
      </c>
      <c r="L465" s="259" t="inlineStr">
        <is>
          <t>HY-DAA</t>
        </is>
      </c>
    </row>
    <row r="466" hidden="1">
      <c r="A466" s="259" t="inlineStr">
        <is>
          <t>Mahindra Manulife Business Cycle Fund - Regular Plan</t>
        </is>
      </c>
      <c r="B466" s="260" t="n">
        <v>3.64</v>
      </c>
      <c r="C466" s="260" t="n">
        <v>2.11</v>
      </c>
      <c r="D466" s="259" t="inlineStr">
        <is>
          <t>--</t>
        </is>
      </c>
      <c r="E466" s="259" t="inlineStr">
        <is>
          <t>--</t>
        </is>
      </c>
      <c r="F466" s="260" t="n">
        <v>2.11</v>
      </c>
      <c r="G466" s="259" t="inlineStr">
        <is>
          <t>--</t>
        </is>
      </c>
      <c r="H466" s="259" t="inlineStr">
        <is>
          <t>--</t>
        </is>
      </c>
      <c r="I466" s="259" t="inlineStr">
        <is>
          <t>--</t>
        </is>
      </c>
      <c r="J466" s="259" t="inlineStr">
        <is>
          <t>--</t>
        </is>
      </c>
      <c r="K466" s="259" t="inlineStr">
        <is>
          <t>--</t>
        </is>
      </c>
      <c r="L466" s="259" t="inlineStr">
        <is>
          <t>EQ-THEMATIC</t>
        </is>
      </c>
    </row>
    <row r="467" hidden="1">
      <c r="A467" s="259" t="inlineStr">
        <is>
          <t>Mahindra Manulife Consumption Fund - Regular Plan</t>
        </is>
      </c>
      <c r="B467" s="260" t="n">
        <v>-1.1</v>
      </c>
      <c r="C467" s="260" t="n">
        <v>2.38</v>
      </c>
      <c r="D467" s="260" t="n">
        <v>18.9</v>
      </c>
      <c r="E467" s="260" t="n">
        <v>20.42</v>
      </c>
      <c r="F467" s="260" t="n">
        <v>2.38</v>
      </c>
      <c r="G467" s="260" t="n">
        <v>14.96</v>
      </c>
      <c r="H467" s="260" t="n">
        <v>0.74</v>
      </c>
      <c r="I467" s="260" t="n">
        <v>0.98</v>
      </c>
      <c r="J467" s="260" t="n">
        <v>0.82</v>
      </c>
      <c r="K467" s="260" t="n">
        <v>-0.7</v>
      </c>
      <c r="L467" s="259" t="inlineStr">
        <is>
          <t>EQ-Consumption</t>
        </is>
      </c>
    </row>
    <row r="468">
      <c r="A468" s="259" t="inlineStr">
        <is>
          <t>Mahindra Manulife Flexi Cap Fund - Regular Plan</t>
        </is>
      </c>
      <c r="B468" s="260" t="n">
        <v>5.19</v>
      </c>
      <c r="C468" s="260" t="n">
        <v>2.05</v>
      </c>
      <c r="D468" s="260" t="n">
        <v>19.72</v>
      </c>
      <c r="E468" s="259" t="inlineStr">
        <is>
          <t>--</t>
        </is>
      </c>
      <c r="F468" s="260" t="n">
        <v>2.05</v>
      </c>
      <c r="G468" s="260" t="n">
        <v>13.82</v>
      </c>
      <c r="H468" s="260" t="n">
        <v>0.84</v>
      </c>
      <c r="I468" s="260" t="n">
        <v>1.24</v>
      </c>
      <c r="J468" s="260" t="n">
        <v>0.93</v>
      </c>
      <c r="K468" s="260" t="n">
        <v>0.84</v>
      </c>
      <c r="L468" s="259" t="inlineStr">
        <is>
          <t>EQ-FLX</t>
        </is>
      </c>
    </row>
    <row r="469">
      <c r="A469" s="259" t="inlineStr">
        <is>
          <t>Mahindra Manulife Focused Fund - Regular Plan</t>
        </is>
      </c>
      <c r="B469" s="260" t="n">
        <v>4.4</v>
      </c>
      <c r="C469" s="260" t="n">
        <v>1.98</v>
      </c>
      <c r="D469" s="260" t="n">
        <v>22.83</v>
      </c>
      <c r="E469" s="259" t="inlineStr">
        <is>
          <t>--</t>
        </is>
      </c>
      <c r="F469" s="260" t="n">
        <v>1.98</v>
      </c>
      <c r="G469" s="260" t="n">
        <v>13.72</v>
      </c>
      <c r="H469" s="260" t="n">
        <v>1.04</v>
      </c>
      <c r="I469" s="260" t="n">
        <v>1.58</v>
      </c>
      <c r="J469" s="260" t="n">
        <v>0.9</v>
      </c>
      <c r="K469" s="260" t="n">
        <v>3.94</v>
      </c>
      <c r="L469" s="259" t="inlineStr">
        <is>
          <t>EQ-FLX</t>
        </is>
      </c>
    </row>
    <row r="470">
      <c r="A470" s="259" t="inlineStr">
        <is>
          <t>Mahindra Manulife Large Cap Fund - Regular Plan</t>
        </is>
      </c>
      <c r="B470" s="260" t="n">
        <v>5.97</v>
      </c>
      <c r="C470" s="260" t="n">
        <v>2.31</v>
      </c>
      <c r="D470" s="260" t="n">
        <v>16.67</v>
      </c>
      <c r="E470" s="260" t="n">
        <v>20.82</v>
      </c>
      <c r="F470" s="260" t="n">
        <v>2.31</v>
      </c>
      <c r="G470" s="260" t="n">
        <v>13.09</v>
      </c>
      <c r="H470" s="260" t="n">
        <v>0.6899999999999999</v>
      </c>
      <c r="I470" s="260" t="n">
        <v>1.09</v>
      </c>
      <c r="J470" s="260" t="n">
        <v>0.93</v>
      </c>
      <c r="K470" s="260" t="n">
        <v>-0.59</v>
      </c>
      <c r="L470" s="259" t="inlineStr">
        <is>
          <t>EQ-LC</t>
        </is>
      </c>
    </row>
    <row r="471">
      <c r="A471" s="259" t="inlineStr">
        <is>
          <t>Mahindra Manulife Large &amp; Mid Cap Fund - Regular Plan</t>
        </is>
      </c>
      <c r="B471" s="260" t="n">
        <v>1.29</v>
      </c>
      <c r="C471" s="260" t="n">
        <v>1.93</v>
      </c>
      <c r="D471" s="260" t="n">
        <v>19.27</v>
      </c>
      <c r="E471" s="260" t="n">
        <v>25.49</v>
      </c>
      <c r="F471" s="260" t="n">
        <v>1.93</v>
      </c>
      <c r="G471" s="260" t="n">
        <v>14.59</v>
      </c>
      <c r="H471" s="260" t="n">
        <v>0.79</v>
      </c>
      <c r="I471" s="260" t="n">
        <v>1.17</v>
      </c>
      <c r="J471" s="260" t="n">
        <v>0.95</v>
      </c>
      <c r="K471" s="260" t="n">
        <v>1.03</v>
      </c>
      <c r="L471" s="259" t="inlineStr">
        <is>
          <t>EQ-L&amp;MC</t>
        </is>
      </c>
    </row>
    <row r="472" hidden="1">
      <c r="A472" s="259" t="inlineStr">
        <is>
          <t>Mahindra Manulife Manufacturing Fund - Regular Plan</t>
        </is>
      </c>
      <c r="B472" s="259" t="inlineStr">
        <is>
          <t>--</t>
        </is>
      </c>
      <c r="C472" s="260" t="n">
        <v>2.24</v>
      </c>
      <c r="D472" s="259" t="inlineStr">
        <is>
          <t>--</t>
        </is>
      </c>
      <c r="E472" s="259" t="inlineStr">
        <is>
          <t>--</t>
        </is>
      </c>
      <c r="F472" s="260" t="n">
        <v>2.24</v>
      </c>
      <c r="G472" s="259" t="inlineStr">
        <is>
          <t>--</t>
        </is>
      </c>
      <c r="H472" s="259" t="inlineStr">
        <is>
          <t>--</t>
        </is>
      </c>
      <c r="I472" s="259" t="inlineStr">
        <is>
          <t>--</t>
        </is>
      </c>
      <c r="J472" s="259" t="inlineStr">
        <is>
          <t>--</t>
        </is>
      </c>
      <c r="K472" s="259" t="inlineStr">
        <is>
          <t>--</t>
        </is>
      </c>
      <c r="L472" s="259" t="inlineStr">
        <is>
          <t>EQ-THEMATIC</t>
        </is>
      </c>
    </row>
    <row r="473">
      <c r="A473" s="259" t="inlineStr">
        <is>
          <t>Mahindra Manulife Mid Cap Fund - Regular Plan</t>
        </is>
      </c>
      <c r="B473" s="260" t="n">
        <v>4.08</v>
      </c>
      <c r="C473" s="260" t="n">
        <v>1.86</v>
      </c>
      <c r="D473" s="260" t="n">
        <v>27.42</v>
      </c>
      <c r="E473" s="260" t="n">
        <v>30.25</v>
      </c>
      <c r="F473" s="260" t="n">
        <v>1.86</v>
      </c>
      <c r="G473" s="260" t="n">
        <v>16.48</v>
      </c>
      <c r="H473" s="260" t="n">
        <v>1.12</v>
      </c>
      <c r="I473" s="260" t="n">
        <v>1.58</v>
      </c>
      <c r="J473" s="260" t="n">
        <v>0.96</v>
      </c>
      <c r="K473" s="260" t="n">
        <v>1.01</v>
      </c>
      <c r="L473" s="259" t="inlineStr">
        <is>
          <t>EQ-MC</t>
        </is>
      </c>
    </row>
    <row r="474">
      <c r="A474" s="259" t="inlineStr">
        <is>
          <t>Mahindra Manulife Multi Asset Allocation Fund - Regular Plan</t>
        </is>
      </c>
      <c r="B474" s="260" t="n">
        <v>10.3</v>
      </c>
      <c r="C474" s="260" t="n">
        <v>2.04</v>
      </c>
      <c r="D474" s="259" t="inlineStr">
        <is>
          <t>--</t>
        </is>
      </c>
      <c r="E474" s="259" t="inlineStr">
        <is>
          <t>--</t>
        </is>
      </c>
      <c r="F474" s="260" t="n">
        <v>2.04</v>
      </c>
      <c r="G474" s="259" t="inlineStr">
        <is>
          <t>--</t>
        </is>
      </c>
      <c r="H474" s="259" t="inlineStr">
        <is>
          <t>--</t>
        </is>
      </c>
      <c r="I474" s="259" t="inlineStr">
        <is>
          <t>--</t>
        </is>
      </c>
      <c r="J474" s="259" t="inlineStr">
        <is>
          <t>--</t>
        </is>
      </c>
      <c r="K474" s="259" t="inlineStr">
        <is>
          <t>--</t>
        </is>
      </c>
      <c r="L474" s="259" t="inlineStr">
        <is>
          <t>HY-MAA</t>
        </is>
      </c>
    </row>
    <row r="475">
      <c r="A475" s="259" t="inlineStr">
        <is>
          <t>Mahindra Manulife Multi Cap Fund - Regular Plan</t>
        </is>
      </c>
      <c r="B475" s="260" t="n">
        <v>5.8</v>
      </c>
      <c r="C475" s="260" t="n">
        <v>1.8</v>
      </c>
      <c r="D475" s="260" t="n">
        <v>22.56</v>
      </c>
      <c r="E475" s="260" t="n">
        <v>28</v>
      </c>
      <c r="F475" s="260" t="n">
        <v>1.8</v>
      </c>
      <c r="G475" s="260" t="n">
        <v>15.64</v>
      </c>
      <c r="H475" s="260" t="n">
        <v>0.91</v>
      </c>
      <c r="I475" s="260" t="n">
        <v>1.25</v>
      </c>
      <c r="J475" s="260" t="n">
        <v>0.96</v>
      </c>
      <c r="K475" s="260" t="n">
        <v>0.24</v>
      </c>
      <c r="L475" s="259" t="inlineStr">
        <is>
          <t>EQ-MLC</t>
        </is>
      </c>
    </row>
    <row r="476">
      <c r="A476" s="259" t="inlineStr">
        <is>
          <t>Mahindra Manulife Small Cap Fund - Regular Plan</t>
        </is>
      </c>
      <c r="B476" s="260" t="n">
        <v>2.32</v>
      </c>
      <c r="C476" s="260" t="n">
        <v>1.85</v>
      </c>
      <c r="D476" s="259" t="inlineStr">
        <is>
          <t>--</t>
        </is>
      </c>
      <c r="E476" s="259" t="inlineStr">
        <is>
          <t>--</t>
        </is>
      </c>
      <c r="F476" s="260" t="n">
        <v>1.85</v>
      </c>
      <c r="G476" s="259" t="inlineStr">
        <is>
          <t>--</t>
        </is>
      </c>
      <c r="H476" s="259" t="inlineStr">
        <is>
          <t>--</t>
        </is>
      </c>
      <c r="I476" s="259" t="inlineStr">
        <is>
          <t>--</t>
        </is>
      </c>
      <c r="J476" s="259" t="inlineStr">
        <is>
          <t>--</t>
        </is>
      </c>
      <c r="K476" s="259" t="inlineStr">
        <is>
          <t>--</t>
        </is>
      </c>
      <c r="L476" s="259" t="inlineStr">
        <is>
          <t>EQ-SC</t>
        </is>
      </c>
    </row>
    <row r="477">
      <c r="A477" s="259" t="inlineStr">
        <is>
          <t>Mirae Asset Balanced Advantage Fund - Regular Plan</t>
        </is>
      </c>
      <c r="B477" s="260" t="n">
        <v>8.050000000000001</v>
      </c>
      <c r="C477" s="260" t="n">
        <v>2.06</v>
      </c>
      <c r="D477" s="259" t="inlineStr">
        <is>
          <t>--</t>
        </is>
      </c>
      <c r="E477" s="259" t="inlineStr">
        <is>
          <t>--</t>
        </is>
      </c>
      <c r="F477" s="260" t="n">
        <v>2.06</v>
      </c>
      <c r="G477" s="259" t="inlineStr">
        <is>
          <t>--</t>
        </is>
      </c>
      <c r="H477" s="259" t="inlineStr">
        <is>
          <t>--</t>
        </is>
      </c>
      <c r="I477" s="259" t="inlineStr">
        <is>
          <t>--</t>
        </is>
      </c>
      <c r="J477" s="259" t="inlineStr">
        <is>
          <t>--</t>
        </is>
      </c>
      <c r="K477" s="259" t="inlineStr">
        <is>
          <t>--</t>
        </is>
      </c>
      <c r="L477" s="259" t="inlineStr">
        <is>
          <t>HY-DAA</t>
        </is>
      </c>
    </row>
    <row r="478">
      <c r="A478" s="259" t="inlineStr">
        <is>
          <t>Mirae Asset BSE 200 Equal Weight ETF</t>
        </is>
      </c>
      <c r="B478" s="259" t="inlineStr">
        <is>
          <t>--</t>
        </is>
      </c>
      <c r="C478" s="260" t="n">
        <v>0.36</v>
      </c>
      <c r="D478" s="259" t="inlineStr">
        <is>
          <t>--</t>
        </is>
      </c>
      <c r="E478" s="259" t="inlineStr">
        <is>
          <t>--</t>
        </is>
      </c>
      <c r="F478" s="260" t="n">
        <v>0.36</v>
      </c>
      <c r="G478" s="259" t="inlineStr">
        <is>
          <t>--</t>
        </is>
      </c>
      <c r="H478" s="259" t="inlineStr">
        <is>
          <t>--</t>
        </is>
      </c>
      <c r="I478" s="259" t="inlineStr">
        <is>
          <t>--</t>
        </is>
      </c>
      <c r="J478" s="259" t="inlineStr">
        <is>
          <t>--</t>
        </is>
      </c>
      <c r="K478" s="259" t="inlineStr">
        <is>
          <t>--</t>
        </is>
      </c>
      <c r="L478" s="259" t="inlineStr">
        <is>
          <t>EQ-L&amp;MC</t>
        </is>
      </c>
    </row>
    <row r="479">
      <c r="A479" s="259" t="inlineStr">
        <is>
          <t>Mirae Asset BSE 200 Equal Weight ETF FoF - Regular Plan</t>
        </is>
      </c>
      <c r="B479" s="259" t="inlineStr">
        <is>
          <t>--</t>
        </is>
      </c>
      <c r="C479" s="260" t="n">
        <v>0.64</v>
      </c>
      <c r="D479" s="259" t="inlineStr">
        <is>
          <t>--</t>
        </is>
      </c>
      <c r="E479" s="259" t="inlineStr">
        <is>
          <t>--</t>
        </is>
      </c>
      <c r="F479" s="260" t="n">
        <v>0.64</v>
      </c>
      <c r="G479" s="259" t="inlineStr">
        <is>
          <t>--</t>
        </is>
      </c>
      <c r="H479" s="259" t="inlineStr">
        <is>
          <t>--</t>
        </is>
      </c>
      <c r="I479" s="259" t="inlineStr">
        <is>
          <t>--</t>
        </is>
      </c>
      <c r="J479" s="259" t="inlineStr">
        <is>
          <t>--</t>
        </is>
      </c>
      <c r="K479" s="259" t="inlineStr">
        <is>
          <t>--</t>
        </is>
      </c>
      <c r="L479" s="259" t="inlineStr">
        <is>
          <t>EQ-L&amp;MC</t>
        </is>
      </c>
    </row>
    <row r="480" hidden="1">
      <c r="A480" s="259" t="inlineStr">
        <is>
          <t>Mirae Asset BSE Select IPO ETF</t>
        </is>
      </c>
      <c r="B480" s="259" t="inlineStr">
        <is>
          <t>--</t>
        </is>
      </c>
      <c r="C480" s="260" t="n">
        <v>0.36</v>
      </c>
      <c r="D480" s="259" t="inlineStr">
        <is>
          <t>--</t>
        </is>
      </c>
      <c r="E480" s="259" t="inlineStr">
        <is>
          <t>--</t>
        </is>
      </c>
      <c r="F480" s="260" t="n">
        <v>0.36</v>
      </c>
      <c r="G480" s="259" t="inlineStr">
        <is>
          <t>--</t>
        </is>
      </c>
      <c r="H480" s="259" t="inlineStr">
        <is>
          <t>--</t>
        </is>
      </c>
      <c r="I480" s="259" t="inlineStr">
        <is>
          <t>--</t>
        </is>
      </c>
      <c r="J480" s="259" t="inlineStr">
        <is>
          <t>--</t>
        </is>
      </c>
      <c r="K480" s="259" t="inlineStr">
        <is>
          <t>--</t>
        </is>
      </c>
      <c r="L480" s="259" t="inlineStr">
        <is>
          <t>EQ-THEMATIC</t>
        </is>
      </c>
    </row>
    <row r="481" hidden="1">
      <c r="A481" s="259" t="inlineStr">
        <is>
          <t>Mirae Asset BSE Select IPO ETF FoF - Regular Plan</t>
        </is>
      </c>
      <c r="B481" s="259" t="inlineStr">
        <is>
          <t>--</t>
        </is>
      </c>
      <c r="C481" s="260" t="n">
        <v>0.64</v>
      </c>
      <c r="D481" s="259" t="inlineStr">
        <is>
          <t>--</t>
        </is>
      </c>
      <c r="E481" s="259" t="inlineStr">
        <is>
          <t>--</t>
        </is>
      </c>
      <c r="F481" s="260" t="n">
        <v>0.64</v>
      </c>
      <c r="G481" s="259" t="inlineStr">
        <is>
          <t>--</t>
        </is>
      </c>
      <c r="H481" s="259" t="inlineStr">
        <is>
          <t>--</t>
        </is>
      </c>
      <c r="I481" s="259" t="inlineStr">
        <is>
          <t>--</t>
        </is>
      </c>
      <c r="J481" s="259" t="inlineStr">
        <is>
          <t>--</t>
        </is>
      </c>
      <c r="K481" s="259" t="inlineStr">
        <is>
          <t>--</t>
        </is>
      </c>
      <c r="L481" s="259" t="inlineStr">
        <is>
          <t>EQ-THEMATIC</t>
        </is>
      </c>
    </row>
    <row r="482">
      <c r="A482" s="259" t="inlineStr">
        <is>
          <t>Mirae Asset BSE Sensex ETF</t>
        </is>
      </c>
      <c r="B482" s="260" t="n">
        <v>7.74</v>
      </c>
      <c r="C482" s="260" t="n">
        <v>0.05</v>
      </c>
      <c r="D482" s="259" t="inlineStr">
        <is>
          <t>--</t>
        </is>
      </c>
      <c r="E482" s="259" t="inlineStr">
        <is>
          <t>--</t>
        </is>
      </c>
      <c r="F482" s="260" t="n">
        <v>0.05</v>
      </c>
      <c r="G482" s="259" t="inlineStr">
        <is>
          <t>--</t>
        </is>
      </c>
      <c r="H482" s="259" t="inlineStr">
        <is>
          <t>--</t>
        </is>
      </c>
      <c r="I482" s="259" t="inlineStr">
        <is>
          <t>--</t>
        </is>
      </c>
      <c r="J482" s="259" t="inlineStr">
        <is>
          <t>--</t>
        </is>
      </c>
      <c r="K482" s="259" t="inlineStr">
        <is>
          <t>--</t>
        </is>
      </c>
      <c r="L482" s="259" t="inlineStr">
        <is>
          <t>EQ-LC</t>
        </is>
      </c>
    </row>
    <row r="483">
      <c r="A483" s="259" t="inlineStr">
        <is>
          <t>Mirae Asset Diversified Equity Allocator Passive FoF - Regular Plan</t>
        </is>
      </c>
      <c r="B483" s="260" t="n">
        <v>5.18</v>
      </c>
      <c r="C483" s="260" t="n">
        <v>0.11</v>
      </c>
      <c r="D483" s="260" t="n">
        <v>19.02</v>
      </c>
      <c r="E483" s="259" t="inlineStr">
        <is>
          <t>--</t>
        </is>
      </c>
      <c r="F483" s="260" t="n">
        <v>0.11</v>
      </c>
      <c r="G483" s="260" t="n">
        <v>14.05</v>
      </c>
      <c r="H483" s="260" t="n">
        <v>0.79</v>
      </c>
      <c r="I483" s="260" t="n">
        <v>1.22</v>
      </c>
      <c r="J483" s="260" t="n">
        <v>1.01</v>
      </c>
      <c r="K483" s="260" t="n">
        <v>0.73</v>
      </c>
      <c r="L483" s="259" t="inlineStr">
        <is>
          <t>EQ-LC</t>
        </is>
      </c>
    </row>
    <row r="484">
      <c r="A484" s="259" t="inlineStr">
        <is>
          <t>Mirae Asset Flexi Cap Fund - Regular Plan</t>
        </is>
      </c>
      <c r="B484" s="260" t="n">
        <v>8.07</v>
      </c>
      <c r="C484" s="260" t="n">
        <v>1.93</v>
      </c>
      <c r="D484" s="259" t="inlineStr">
        <is>
          <t>--</t>
        </is>
      </c>
      <c r="E484" s="259" t="inlineStr">
        <is>
          <t>--</t>
        </is>
      </c>
      <c r="F484" s="260" t="n">
        <v>1.93</v>
      </c>
      <c r="G484" s="259" t="inlineStr">
        <is>
          <t>--</t>
        </is>
      </c>
      <c r="H484" s="259" t="inlineStr">
        <is>
          <t>--</t>
        </is>
      </c>
      <c r="I484" s="259" t="inlineStr">
        <is>
          <t>--</t>
        </is>
      </c>
      <c r="J484" s="259" t="inlineStr">
        <is>
          <t>--</t>
        </is>
      </c>
      <c r="K484" s="259" t="inlineStr">
        <is>
          <t>--</t>
        </is>
      </c>
      <c r="L484" s="259" t="inlineStr">
        <is>
          <t>EQ-FLX</t>
        </is>
      </c>
    </row>
    <row r="485">
      <c r="A485" s="259" t="inlineStr">
        <is>
          <t>Mirae Asset Focused Fund - Regular Plan</t>
        </is>
      </c>
      <c r="B485" s="260" t="n">
        <v>11.89</v>
      </c>
      <c r="C485" s="260" t="n">
        <v>1.77</v>
      </c>
      <c r="D485" s="260" t="n">
        <v>13.16</v>
      </c>
      <c r="E485" s="260" t="n">
        <v>21.05</v>
      </c>
      <c r="F485" s="260" t="n">
        <v>1.77</v>
      </c>
      <c r="G485" s="260" t="n">
        <v>12.75</v>
      </c>
      <c r="H485" s="260" t="n">
        <v>0.47</v>
      </c>
      <c r="I485" s="260" t="n">
        <v>0.74</v>
      </c>
      <c r="J485" s="260" t="n">
        <v>0.8100000000000001</v>
      </c>
      <c r="K485" s="260" t="n">
        <v>-3.36</v>
      </c>
      <c r="L485" s="259" t="inlineStr">
        <is>
          <t>EQ-FLX</t>
        </is>
      </c>
    </row>
    <row r="486" hidden="1">
      <c r="A486" s="259" t="inlineStr">
        <is>
          <t>Mirae Asset Great Consumer Fund - Regular Plan</t>
        </is>
      </c>
      <c r="B486" s="260" t="n">
        <v>2.28</v>
      </c>
      <c r="C486" s="260" t="n">
        <v>1.85</v>
      </c>
      <c r="D486" s="260" t="n">
        <v>20.81</v>
      </c>
      <c r="E486" s="260" t="n">
        <v>23.55</v>
      </c>
      <c r="F486" s="260" t="n">
        <v>1.85</v>
      </c>
      <c r="G486" s="260" t="n">
        <v>15.84</v>
      </c>
      <c r="H486" s="260" t="n">
        <v>0.8100000000000001</v>
      </c>
      <c r="I486" s="260" t="n">
        <v>1.13</v>
      </c>
      <c r="J486" s="260" t="n">
        <v>0.86</v>
      </c>
      <c r="K486" s="260" t="n">
        <v>0.5</v>
      </c>
      <c r="L486" s="259" t="inlineStr">
        <is>
          <t>EQ-Consumption</t>
        </is>
      </c>
    </row>
    <row r="487">
      <c r="A487" s="259" t="inlineStr">
        <is>
          <t>Mirae Asset Large Cap Fund - Regular Plan</t>
        </is>
      </c>
      <c r="B487" s="260" t="n">
        <v>8.369999999999999</v>
      </c>
      <c r="C487" s="260" t="n">
        <v>1.52</v>
      </c>
      <c r="D487" s="260" t="n">
        <v>15.37</v>
      </c>
      <c r="E487" s="260" t="n">
        <v>20.06</v>
      </c>
      <c r="F487" s="260" t="n">
        <v>1.52</v>
      </c>
      <c r="G487" s="260" t="n">
        <v>12.52</v>
      </c>
      <c r="H487" s="260" t="n">
        <v>0.63</v>
      </c>
      <c r="I487" s="260" t="n">
        <v>1.01</v>
      </c>
      <c r="J487" s="260" t="n">
        <v>0.9</v>
      </c>
      <c r="K487" s="260" t="n">
        <v>-1.36</v>
      </c>
      <c r="L487" s="259" t="inlineStr">
        <is>
          <t>EQ-LC</t>
        </is>
      </c>
    </row>
    <row r="488">
      <c r="A488" s="259" t="inlineStr">
        <is>
          <t>Mirae Asset Large &amp; Midcap Fund - Regular Plan</t>
        </is>
      </c>
      <c r="B488" s="260" t="n">
        <v>4.77</v>
      </c>
      <c r="C488" s="260" t="n">
        <v>1.53</v>
      </c>
      <c r="D488" s="260" t="n">
        <v>18.71</v>
      </c>
      <c r="E488" s="260" t="n">
        <v>24.51</v>
      </c>
      <c r="F488" s="260" t="n">
        <v>1.53</v>
      </c>
      <c r="G488" s="260" t="n">
        <v>14.51</v>
      </c>
      <c r="H488" s="260" t="n">
        <v>0.73</v>
      </c>
      <c r="I488" s="260" t="n">
        <v>1.08</v>
      </c>
      <c r="J488" s="260" t="n">
        <v>0.98</v>
      </c>
      <c r="K488" s="260" t="n">
        <v>-0.19</v>
      </c>
      <c r="L488" s="259" t="inlineStr">
        <is>
          <t>EQ-L&amp;MC</t>
        </is>
      </c>
    </row>
    <row r="489">
      <c r="A489" s="259" t="inlineStr">
        <is>
          <t>Mirae Asset Midcap Fund - Regular Plan</t>
        </is>
      </c>
      <c r="B489" s="260" t="n">
        <v>4.55</v>
      </c>
      <c r="C489" s="260" t="n">
        <v>1.67</v>
      </c>
      <c r="D489" s="260" t="n">
        <v>22.76</v>
      </c>
      <c r="E489" s="260" t="n">
        <v>30.05</v>
      </c>
      <c r="F489" s="260" t="n">
        <v>1.67</v>
      </c>
      <c r="G489" s="260" t="n">
        <v>16.88</v>
      </c>
      <c r="H489" s="260" t="n">
        <v>0.84</v>
      </c>
      <c r="I489" s="260" t="n">
        <v>1.21</v>
      </c>
      <c r="J489" s="260" t="n">
        <v>0.97</v>
      </c>
      <c r="K489" s="260" t="n">
        <v>-3.37</v>
      </c>
      <c r="L489" s="259" t="inlineStr">
        <is>
          <t>EQ-MC</t>
        </is>
      </c>
    </row>
    <row r="490">
      <c r="A490" s="259" t="inlineStr">
        <is>
          <t>Mirae Asset Multi Asset Allocation Fund - Regular Plan</t>
        </is>
      </c>
      <c r="B490" s="260" t="n">
        <v>11.78</v>
      </c>
      <c r="C490" s="260" t="n">
        <v>1.98</v>
      </c>
      <c r="D490" s="259" t="inlineStr">
        <is>
          <t>--</t>
        </is>
      </c>
      <c r="E490" s="259" t="inlineStr">
        <is>
          <t>--</t>
        </is>
      </c>
      <c r="F490" s="260" t="n">
        <v>1.98</v>
      </c>
      <c r="G490" s="259" t="inlineStr">
        <is>
          <t>--</t>
        </is>
      </c>
      <c r="H490" s="259" t="inlineStr">
        <is>
          <t>--</t>
        </is>
      </c>
      <c r="I490" s="259" t="inlineStr">
        <is>
          <t>--</t>
        </is>
      </c>
      <c r="J490" s="259" t="inlineStr">
        <is>
          <t>--</t>
        </is>
      </c>
      <c r="K490" s="259" t="inlineStr">
        <is>
          <t>--</t>
        </is>
      </c>
      <c r="L490" s="259" t="inlineStr">
        <is>
          <t>HY-MAA</t>
        </is>
      </c>
    </row>
    <row r="491">
      <c r="A491" s="259" t="inlineStr">
        <is>
          <t>Mirae Asset Multicap Fund - Regular Plan</t>
        </is>
      </c>
      <c r="B491" s="260" t="n">
        <v>8.210000000000001</v>
      </c>
      <c r="C491" s="260" t="n">
        <v>1.87</v>
      </c>
      <c r="D491" s="259" t="inlineStr">
        <is>
          <t>--</t>
        </is>
      </c>
      <c r="E491" s="259" t="inlineStr">
        <is>
          <t>--</t>
        </is>
      </c>
      <c r="F491" s="260" t="n">
        <v>1.87</v>
      </c>
      <c r="G491" s="259" t="inlineStr">
        <is>
          <t>--</t>
        </is>
      </c>
      <c r="H491" s="259" t="inlineStr">
        <is>
          <t>--</t>
        </is>
      </c>
      <c r="I491" s="259" t="inlineStr">
        <is>
          <t>--</t>
        </is>
      </c>
      <c r="J491" s="259" t="inlineStr">
        <is>
          <t>--</t>
        </is>
      </c>
      <c r="K491" s="259" t="inlineStr">
        <is>
          <t>--</t>
        </is>
      </c>
      <c r="L491" s="259" t="inlineStr">
        <is>
          <t>EQ-MLC</t>
        </is>
      </c>
    </row>
    <row r="492" hidden="1">
      <c r="A492" s="259" t="inlineStr">
        <is>
          <t>Mirae Asset Nifty 100 ESG Sector Leaders ETF</t>
        </is>
      </c>
      <c r="B492" s="260" t="n">
        <v>7.65</v>
      </c>
      <c r="C492" s="260" t="n">
        <v>0.41</v>
      </c>
      <c r="D492" s="260" t="n">
        <v>15.88</v>
      </c>
      <c r="E492" s="259" t="inlineStr">
        <is>
          <t>--</t>
        </is>
      </c>
      <c r="F492" s="260" t="n">
        <v>0.41</v>
      </c>
      <c r="G492" s="260" t="n">
        <v>13.45</v>
      </c>
      <c r="H492" s="260" t="n">
        <v>0.62</v>
      </c>
      <c r="I492" s="260" t="n">
        <v>1.01</v>
      </c>
      <c r="J492" s="260" t="n">
        <v>0.97</v>
      </c>
      <c r="K492" s="260" t="n">
        <v>-1.59</v>
      </c>
      <c r="L492" s="259" t="inlineStr">
        <is>
          <t>EQ-T-ESG</t>
        </is>
      </c>
    </row>
    <row r="493" hidden="1">
      <c r="A493" s="259" t="inlineStr">
        <is>
          <t>Mirae Asset Nifty 100 ESG Sector Leaders FoF - Regular Plan</t>
        </is>
      </c>
      <c r="B493" s="260" t="n">
        <v>6.9</v>
      </c>
      <c r="C493" s="260" t="n">
        <v>0.43</v>
      </c>
      <c r="D493" s="260" t="n">
        <v>15.25</v>
      </c>
      <c r="E493" s="259" t="inlineStr">
        <is>
          <t>--</t>
        </is>
      </c>
      <c r="F493" s="260" t="n">
        <v>0.43</v>
      </c>
      <c r="G493" s="260" t="n">
        <v>13.38</v>
      </c>
      <c r="H493" s="260" t="n">
        <v>0.59</v>
      </c>
      <c r="I493" s="260" t="n">
        <v>0.96</v>
      </c>
      <c r="J493" s="260" t="n">
        <v>0.96</v>
      </c>
      <c r="K493" s="260" t="n">
        <v>-2.02</v>
      </c>
      <c r="L493" s="259" t="inlineStr">
        <is>
          <t>EQ-T-ESG</t>
        </is>
      </c>
    </row>
    <row r="494">
      <c r="A494" s="259" t="inlineStr">
        <is>
          <t>Mirae Asset Nifty 100 Low Volatility 30 ETF</t>
        </is>
      </c>
      <c r="B494" s="260" t="n">
        <v>5.8</v>
      </c>
      <c r="C494" s="260" t="n">
        <v>0.33</v>
      </c>
      <c r="D494" s="259" t="inlineStr">
        <is>
          <t>--</t>
        </is>
      </c>
      <c r="E494" s="259" t="inlineStr">
        <is>
          <t>--</t>
        </is>
      </c>
      <c r="F494" s="260" t="n">
        <v>0.33</v>
      </c>
      <c r="G494" s="259" t="inlineStr">
        <is>
          <t>--</t>
        </is>
      </c>
      <c r="H494" s="259" t="inlineStr">
        <is>
          <t>--</t>
        </is>
      </c>
      <c r="I494" s="259" t="inlineStr">
        <is>
          <t>--</t>
        </is>
      </c>
      <c r="J494" s="259" t="inlineStr">
        <is>
          <t>--</t>
        </is>
      </c>
      <c r="K494" s="259" t="inlineStr">
        <is>
          <t>--</t>
        </is>
      </c>
      <c r="L494" s="259" t="inlineStr">
        <is>
          <t>EQ-LC</t>
        </is>
      </c>
    </row>
    <row r="495">
      <c r="A495" s="259" t="inlineStr">
        <is>
          <t>Mirae Asset Nifty 200 Alpha 30 ETF</t>
        </is>
      </c>
      <c r="B495" s="260" t="n">
        <v>-6.42</v>
      </c>
      <c r="C495" s="260" t="n">
        <v>0.47</v>
      </c>
      <c r="D495" s="259" t="inlineStr">
        <is>
          <t>--</t>
        </is>
      </c>
      <c r="E495" s="259" t="inlineStr">
        <is>
          <t>--</t>
        </is>
      </c>
      <c r="F495" s="260" t="n">
        <v>0.47</v>
      </c>
      <c r="G495" s="259" t="inlineStr">
        <is>
          <t>--</t>
        </is>
      </c>
      <c r="H495" s="259" t="inlineStr">
        <is>
          <t>--</t>
        </is>
      </c>
      <c r="I495" s="259" t="inlineStr">
        <is>
          <t>--</t>
        </is>
      </c>
      <c r="J495" s="259" t="inlineStr">
        <is>
          <t>--</t>
        </is>
      </c>
      <c r="K495" s="259" t="inlineStr">
        <is>
          <t>--</t>
        </is>
      </c>
      <c r="L495" s="259" t="inlineStr">
        <is>
          <t>EQ-L&amp;MC</t>
        </is>
      </c>
    </row>
    <row r="496">
      <c r="A496" s="259" t="inlineStr">
        <is>
          <t>Mirae Asset Nifty 200 Alpha 30 ETF FoF - Regular Plan</t>
        </is>
      </c>
      <c r="B496" s="259" t="inlineStr">
        <is>
          <t>--</t>
        </is>
      </c>
      <c r="C496" s="260" t="n">
        <v>0.63</v>
      </c>
      <c r="D496" s="259" t="inlineStr">
        <is>
          <t>--</t>
        </is>
      </c>
      <c r="E496" s="259" t="inlineStr">
        <is>
          <t>--</t>
        </is>
      </c>
      <c r="F496" s="260" t="n">
        <v>0.63</v>
      </c>
      <c r="G496" s="259" t="inlineStr">
        <is>
          <t>--</t>
        </is>
      </c>
      <c r="H496" s="259" t="inlineStr">
        <is>
          <t>--</t>
        </is>
      </c>
      <c r="I496" s="259" t="inlineStr">
        <is>
          <t>--</t>
        </is>
      </c>
      <c r="J496" s="259" t="inlineStr">
        <is>
          <t>--</t>
        </is>
      </c>
      <c r="K496" s="259" t="inlineStr">
        <is>
          <t>--</t>
        </is>
      </c>
      <c r="L496" s="259" t="inlineStr">
        <is>
          <t>EQ-L&amp;MC</t>
        </is>
      </c>
    </row>
    <row r="497">
      <c r="A497" s="259" t="inlineStr">
        <is>
          <t>Mirae Asset Nifty500 Multicap 50:25:25 ETF</t>
        </is>
      </c>
      <c r="B497" s="259" t="inlineStr">
        <is>
          <t>--</t>
        </is>
      </c>
      <c r="C497" s="260" t="n">
        <v>0.16</v>
      </c>
      <c r="D497" s="259" t="inlineStr">
        <is>
          <t>--</t>
        </is>
      </c>
      <c r="E497" s="259" t="inlineStr">
        <is>
          <t>--</t>
        </is>
      </c>
      <c r="F497" s="260" t="n">
        <v>0.16</v>
      </c>
      <c r="G497" s="259" t="inlineStr">
        <is>
          <t>--</t>
        </is>
      </c>
      <c r="H497" s="259" t="inlineStr">
        <is>
          <t>--</t>
        </is>
      </c>
      <c r="I497" s="259" t="inlineStr">
        <is>
          <t>--</t>
        </is>
      </c>
      <c r="J497" s="259" t="inlineStr">
        <is>
          <t>--</t>
        </is>
      </c>
      <c r="K497" s="259" t="inlineStr">
        <is>
          <t>--</t>
        </is>
      </c>
      <c r="L497" s="259" t="inlineStr">
        <is>
          <t>EQ-MLC</t>
        </is>
      </c>
    </row>
    <row r="498">
      <c r="A498" s="259" t="inlineStr">
        <is>
          <t>Mirae Asset Nifty50 Equal Weight ETF</t>
        </is>
      </c>
      <c r="B498" s="259" t="inlineStr">
        <is>
          <t>--</t>
        </is>
      </c>
      <c r="C498" s="260" t="n">
        <v>0.07000000000000001</v>
      </c>
      <c r="D498" s="259" t="inlineStr">
        <is>
          <t>--</t>
        </is>
      </c>
      <c r="E498" s="259" t="inlineStr">
        <is>
          <t>--</t>
        </is>
      </c>
      <c r="F498" s="260" t="n">
        <v>0.07000000000000001</v>
      </c>
      <c r="G498" s="259" t="inlineStr">
        <is>
          <t>--</t>
        </is>
      </c>
      <c r="H498" s="259" t="inlineStr">
        <is>
          <t>--</t>
        </is>
      </c>
      <c r="I498" s="259" t="inlineStr">
        <is>
          <t>--</t>
        </is>
      </c>
      <c r="J498" s="259" t="inlineStr">
        <is>
          <t>--</t>
        </is>
      </c>
      <c r="K498" s="259" t="inlineStr">
        <is>
          <t>--</t>
        </is>
      </c>
      <c r="L498" s="259" t="inlineStr">
        <is>
          <t>EQ-LC</t>
        </is>
      </c>
    </row>
    <row r="499">
      <c r="A499" s="259" t="inlineStr">
        <is>
          <t>Mirae Asset Nifty 50 ETF</t>
        </is>
      </c>
      <c r="B499" s="260" t="n">
        <v>7.81</v>
      </c>
      <c r="C499" s="260" t="n">
        <v>0.04</v>
      </c>
      <c r="D499" s="260" t="n">
        <v>16.58</v>
      </c>
      <c r="E499" s="260" t="n">
        <v>21.41</v>
      </c>
      <c r="F499" s="260" t="n">
        <v>0.04</v>
      </c>
      <c r="G499" s="260" t="n">
        <v>13.13</v>
      </c>
      <c r="H499" s="260" t="n">
        <v>0.6899999999999999</v>
      </c>
      <c r="I499" s="260" t="n">
        <v>1.17</v>
      </c>
      <c r="J499" s="260" t="n">
        <v>0.95</v>
      </c>
      <c r="K499" s="260" t="n">
        <v>-0.73</v>
      </c>
      <c r="L499" s="259" t="inlineStr">
        <is>
          <t>EQ-LC</t>
        </is>
      </c>
    </row>
    <row r="500">
      <c r="A500" s="259" t="inlineStr">
        <is>
          <t>Mirae Asset Nifty 50 Index Fund - Regular Plan</t>
        </is>
      </c>
      <c r="B500" s="259" t="inlineStr">
        <is>
          <t>--</t>
        </is>
      </c>
      <c r="C500" s="260" t="n">
        <v>0.75</v>
      </c>
      <c r="D500" s="259" t="inlineStr">
        <is>
          <t>--</t>
        </is>
      </c>
      <c r="E500" s="259" t="inlineStr">
        <is>
          <t>--</t>
        </is>
      </c>
      <c r="F500" s="260" t="n">
        <v>0.75</v>
      </c>
      <c r="G500" s="259" t="inlineStr">
        <is>
          <t>--</t>
        </is>
      </c>
      <c r="H500" s="259" t="inlineStr">
        <is>
          <t>--</t>
        </is>
      </c>
      <c r="I500" s="259" t="inlineStr">
        <is>
          <t>--</t>
        </is>
      </c>
      <c r="J500" s="259" t="inlineStr">
        <is>
          <t>--</t>
        </is>
      </c>
      <c r="K500" s="259" t="inlineStr">
        <is>
          <t>--</t>
        </is>
      </c>
      <c r="L500" s="259" t="inlineStr">
        <is>
          <t>EQ-LC</t>
        </is>
      </c>
    </row>
    <row r="501" hidden="1">
      <c r="A501" s="259" t="inlineStr">
        <is>
          <t>Mirae Asset Nifty EV and New Age Automotive ETF</t>
        </is>
      </c>
      <c r="B501" s="259" t="inlineStr">
        <is>
          <t>--</t>
        </is>
      </c>
      <c r="C501" s="260" t="n">
        <v>0.44</v>
      </c>
      <c r="D501" s="259" t="inlineStr">
        <is>
          <t>--</t>
        </is>
      </c>
      <c r="E501" s="259" t="inlineStr">
        <is>
          <t>--</t>
        </is>
      </c>
      <c r="F501" s="260" t="n">
        <v>0.44</v>
      </c>
      <c r="G501" s="259" t="inlineStr">
        <is>
          <t>--</t>
        </is>
      </c>
      <c r="H501" s="259" t="inlineStr">
        <is>
          <t>--</t>
        </is>
      </c>
      <c r="I501" s="259" t="inlineStr">
        <is>
          <t>--</t>
        </is>
      </c>
      <c r="J501" s="259" t="inlineStr">
        <is>
          <t>--</t>
        </is>
      </c>
      <c r="K501" s="259" t="inlineStr">
        <is>
          <t>--</t>
        </is>
      </c>
      <c r="L501" s="259" t="inlineStr">
        <is>
          <t>EQ-THEMATIC</t>
        </is>
      </c>
    </row>
    <row r="502" hidden="1">
      <c r="A502" s="259" t="inlineStr">
        <is>
          <t>Mirae Asset Nifty India Internet ETF</t>
        </is>
      </c>
      <c r="B502" s="259" t="inlineStr">
        <is>
          <t>--</t>
        </is>
      </c>
      <c r="C502" s="259" t="inlineStr">
        <is>
          <t>--</t>
        </is>
      </c>
      <c r="D502" s="259" t="inlineStr">
        <is>
          <t>--</t>
        </is>
      </c>
      <c r="E502" s="259" t="inlineStr">
        <is>
          <t>--</t>
        </is>
      </c>
      <c r="F502" s="259" t="inlineStr">
        <is>
          <t>--</t>
        </is>
      </c>
      <c r="G502" s="259" t="inlineStr">
        <is>
          <t>--</t>
        </is>
      </c>
      <c r="H502" s="259" t="inlineStr">
        <is>
          <t>--</t>
        </is>
      </c>
      <c r="I502" s="259" t="inlineStr">
        <is>
          <t>--</t>
        </is>
      </c>
      <c r="J502" s="259" t="inlineStr">
        <is>
          <t>--</t>
        </is>
      </c>
      <c r="K502" s="259" t="inlineStr">
        <is>
          <t>--</t>
        </is>
      </c>
      <c r="L502" s="259" t="inlineStr">
        <is>
          <t>EQ-THEMATIC</t>
        </is>
      </c>
    </row>
    <row r="503" hidden="1">
      <c r="A503" s="259" t="inlineStr">
        <is>
          <t>Mirae Asset Nifty India Manufacturing ETF</t>
        </is>
      </c>
      <c r="B503" s="260" t="n">
        <v>-0.63</v>
      </c>
      <c r="C503" s="260" t="n">
        <v>0.5</v>
      </c>
      <c r="D503" s="260" t="n">
        <v>24.16</v>
      </c>
      <c r="E503" s="259" t="inlineStr">
        <is>
          <t>--</t>
        </is>
      </c>
      <c r="F503" s="260" t="n">
        <v>0.5</v>
      </c>
      <c r="G503" s="260" t="n">
        <v>16.42</v>
      </c>
      <c r="H503" s="260" t="n">
        <v>0.97</v>
      </c>
      <c r="I503" s="260" t="n">
        <v>1.41</v>
      </c>
      <c r="J503" s="260" t="n">
        <v>1.07</v>
      </c>
      <c r="K503" s="260" t="n">
        <v>3.62</v>
      </c>
      <c r="L503" s="259" t="inlineStr">
        <is>
          <t>EQ-THEMATIC</t>
        </is>
      </c>
    </row>
    <row r="504" hidden="1">
      <c r="A504" s="259" t="inlineStr">
        <is>
          <t>Mirae Asset Nifty India Manufacturing ETF FoF - Regular Plan</t>
        </is>
      </c>
      <c r="B504" s="260" t="n">
        <v>-1.52</v>
      </c>
      <c r="C504" s="260" t="n">
        <v>0.46</v>
      </c>
      <c r="D504" s="260" t="n">
        <v>23.22</v>
      </c>
      <c r="E504" s="259" t="inlineStr">
        <is>
          <t>--</t>
        </is>
      </c>
      <c r="F504" s="260" t="n">
        <v>0.46</v>
      </c>
      <c r="G504" s="260" t="n">
        <v>16.35</v>
      </c>
      <c r="H504" s="260" t="n">
        <v>0.93</v>
      </c>
      <c r="I504" s="260" t="n">
        <v>1.35</v>
      </c>
      <c r="J504" s="260" t="n">
        <v>1.06</v>
      </c>
      <c r="K504" s="260" t="n">
        <v>2.96</v>
      </c>
      <c r="L504" s="259" t="inlineStr">
        <is>
          <t>EQ-THEMATIC</t>
        </is>
      </c>
    </row>
    <row r="505" hidden="1">
      <c r="A505" s="259" t="inlineStr">
        <is>
          <t>Mirae Asset Nifty India New Age Consumption ETF</t>
        </is>
      </c>
      <c r="B505" s="259" t="inlineStr">
        <is>
          <t>--</t>
        </is>
      </c>
      <c r="C505" s="260" t="n">
        <v>0.33</v>
      </c>
      <c r="D505" s="259" t="inlineStr">
        <is>
          <t>--</t>
        </is>
      </c>
      <c r="E505" s="259" t="inlineStr">
        <is>
          <t>--</t>
        </is>
      </c>
      <c r="F505" s="260" t="n">
        <v>0.33</v>
      </c>
      <c r="G505" s="259" t="inlineStr">
        <is>
          <t>--</t>
        </is>
      </c>
      <c r="H505" s="259" t="inlineStr">
        <is>
          <t>--</t>
        </is>
      </c>
      <c r="I505" s="259" t="inlineStr">
        <is>
          <t>--</t>
        </is>
      </c>
      <c r="J505" s="259" t="inlineStr">
        <is>
          <t>--</t>
        </is>
      </c>
      <c r="K505" s="259" t="inlineStr">
        <is>
          <t>--</t>
        </is>
      </c>
      <c r="L505" s="259" t="inlineStr">
        <is>
          <t>EQ-Consumption</t>
        </is>
      </c>
    </row>
    <row r="506" hidden="1">
      <c r="A506" s="259" t="inlineStr">
        <is>
          <t>Mirae Asset Nifty India New Age Consumption ETF FoF - Regular Plan</t>
        </is>
      </c>
      <c r="B506" s="259" t="inlineStr">
        <is>
          <t>--</t>
        </is>
      </c>
      <c r="C506" s="260" t="n">
        <v>0.62</v>
      </c>
      <c r="D506" s="259" t="inlineStr">
        <is>
          <t>--</t>
        </is>
      </c>
      <c r="E506" s="259" t="inlineStr">
        <is>
          <t>--</t>
        </is>
      </c>
      <c r="F506" s="260" t="n">
        <v>0.62</v>
      </c>
      <c r="G506" s="259" t="inlineStr">
        <is>
          <t>--</t>
        </is>
      </c>
      <c r="H506" s="259" t="inlineStr">
        <is>
          <t>--</t>
        </is>
      </c>
      <c r="I506" s="259" t="inlineStr">
        <is>
          <t>--</t>
        </is>
      </c>
      <c r="J506" s="259" t="inlineStr">
        <is>
          <t>--</t>
        </is>
      </c>
      <c r="K506" s="259" t="inlineStr">
        <is>
          <t>--</t>
        </is>
      </c>
      <c r="L506" s="259" t="inlineStr">
        <is>
          <t>EQ-Consumption</t>
        </is>
      </c>
    </row>
    <row r="507">
      <c r="A507" s="259" t="inlineStr">
        <is>
          <t>Mirae Asset Nifty LargeMidcap 250 Index Fund - Regular Plan</t>
        </is>
      </c>
      <c r="B507" s="259" t="inlineStr">
        <is>
          <t>--</t>
        </is>
      </c>
      <c r="C507" s="260" t="n">
        <v>0.86</v>
      </c>
      <c r="D507" s="259" t="inlineStr">
        <is>
          <t>--</t>
        </is>
      </c>
      <c r="E507" s="259" t="inlineStr">
        <is>
          <t>--</t>
        </is>
      </c>
      <c r="F507" s="260" t="n">
        <v>0.86</v>
      </c>
      <c r="G507" s="259" t="inlineStr">
        <is>
          <t>--</t>
        </is>
      </c>
      <c r="H507" s="259" t="inlineStr">
        <is>
          <t>--</t>
        </is>
      </c>
      <c r="I507" s="259" t="inlineStr">
        <is>
          <t>--</t>
        </is>
      </c>
      <c r="J507" s="259" t="inlineStr">
        <is>
          <t>--</t>
        </is>
      </c>
      <c r="K507" s="259" t="inlineStr">
        <is>
          <t>--</t>
        </is>
      </c>
      <c r="L507" s="259" t="inlineStr">
        <is>
          <t>EQ-L&amp;MC</t>
        </is>
      </c>
    </row>
    <row r="508" hidden="1">
      <c r="A508" s="259" t="inlineStr">
        <is>
          <t>Mirae Asset Nifty Metal ETF</t>
        </is>
      </c>
      <c r="B508" s="259" t="inlineStr">
        <is>
          <t>--</t>
        </is>
      </c>
      <c r="C508" s="260" t="n">
        <v>0.27</v>
      </c>
      <c r="D508" s="259" t="inlineStr">
        <is>
          <t>--</t>
        </is>
      </c>
      <c r="E508" s="259" t="inlineStr">
        <is>
          <t>--</t>
        </is>
      </c>
      <c r="F508" s="260" t="n">
        <v>0.27</v>
      </c>
      <c r="G508" s="259" t="inlineStr">
        <is>
          <t>--</t>
        </is>
      </c>
      <c r="H508" s="259" t="inlineStr">
        <is>
          <t>--</t>
        </is>
      </c>
      <c r="I508" s="259" t="inlineStr">
        <is>
          <t>--</t>
        </is>
      </c>
      <c r="J508" s="259" t="inlineStr">
        <is>
          <t>--</t>
        </is>
      </c>
      <c r="K508" s="259" t="inlineStr">
        <is>
          <t>--</t>
        </is>
      </c>
      <c r="L508" s="259" t="inlineStr">
        <is>
          <t>EQ-THEMATIC</t>
        </is>
      </c>
    </row>
    <row r="509">
      <c r="A509" s="259" t="inlineStr">
        <is>
          <t>Mirae Asset Nifty Midcap 150 ETF</t>
        </is>
      </c>
      <c r="B509" s="260" t="n">
        <v>6.33</v>
      </c>
      <c r="C509" s="260" t="n">
        <v>0.05</v>
      </c>
      <c r="D509" s="260" t="n">
        <v>28.07</v>
      </c>
      <c r="E509" s="259" t="inlineStr">
        <is>
          <t>--</t>
        </is>
      </c>
      <c r="F509" s="260" t="n">
        <v>0.05</v>
      </c>
      <c r="G509" s="260" t="n">
        <v>16.99</v>
      </c>
      <c r="H509" s="260" t="n">
        <v>1.11</v>
      </c>
      <c r="I509" s="260" t="n">
        <v>1.6</v>
      </c>
      <c r="J509" s="260" t="n">
        <v>1</v>
      </c>
      <c r="K509" s="260" t="n">
        <v>0.75</v>
      </c>
      <c r="L509" s="259" t="inlineStr">
        <is>
          <t>EQ-MC</t>
        </is>
      </c>
    </row>
    <row r="510">
      <c r="A510" s="259" t="inlineStr">
        <is>
          <t>Mirae Asset Nifty MidSmallcap400 Momentum Quality 100 ETF</t>
        </is>
      </c>
      <c r="B510" s="260" t="n">
        <v>-1.12</v>
      </c>
      <c r="C510" s="260" t="n">
        <v>0.46</v>
      </c>
      <c r="D510" s="259" t="inlineStr">
        <is>
          <t>--</t>
        </is>
      </c>
      <c r="E510" s="259" t="inlineStr">
        <is>
          <t>--</t>
        </is>
      </c>
      <c r="F510" s="260" t="n">
        <v>0.46</v>
      </c>
      <c r="G510" s="259" t="inlineStr">
        <is>
          <t>--</t>
        </is>
      </c>
      <c r="H510" s="259" t="inlineStr">
        <is>
          <t>--</t>
        </is>
      </c>
      <c r="I510" s="259" t="inlineStr">
        <is>
          <t>--</t>
        </is>
      </c>
      <c r="J510" s="259" t="inlineStr">
        <is>
          <t>--</t>
        </is>
      </c>
      <c r="K510" s="259" t="inlineStr">
        <is>
          <t>--</t>
        </is>
      </c>
      <c r="L510" s="259" t="inlineStr">
        <is>
          <t>EQ-MC</t>
        </is>
      </c>
    </row>
    <row r="511">
      <c r="A511" s="259" t="inlineStr">
        <is>
          <t>Mirae Asset Nifty MidSmallcap400 Momentum Quality 100 ETF FoF - Regular Plan</t>
        </is>
      </c>
      <c r="B511" s="260" t="n">
        <v>-2.6</v>
      </c>
      <c r="C511" s="260" t="n">
        <v>0.66</v>
      </c>
      <c r="D511" s="259" t="inlineStr">
        <is>
          <t>--</t>
        </is>
      </c>
      <c r="E511" s="259" t="inlineStr">
        <is>
          <t>--</t>
        </is>
      </c>
      <c r="F511" s="260" t="n">
        <v>0.66</v>
      </c>
      <c r="G511" s="259" t="inlineStr">
        <is>
          <t>--</t>
        </is>
      </c>
      <c r="H511" s="259" t="inlineStr">
        <is>
          <t>--</t>
        </is>
      </c>
      <c r="I511" s="259" t="inlineStr">
        <is>
          <t>--</t>
        </is>
      </c>
      <c r="J511" s="259" t="inlineStr">
        <is>
          <t>--</t>
        </is>
      </c>
      <c r="K511" s="259" t="inlineStr">
        <is>
          <t>--</t>
        </is>
      </c>
      <c r="L511" s="259" t="inlineStr">
        <is>
          <t>EQ-MC</t>
        </is>
      </c>
    </row>
    <row r="512">
      <c r="A512" s="259" t="inlineStr">
        <is>
          <t>Mirae Asset Nifty Next 50 ETF</t>
        </is>
      </c>
      <c r="B512" s="260" t="n">
        <v>-3.17</v>
      </c>
      <c r="C512" s="260" t="n">
        <v>0.05</v>
      </c>
      <c r="D512" s="260" t="n">
        <v>21.98</v>
      </c>
      <c r="E512" s="260" t="n">
        <v>22.38</v>
      </c>
      <c r="F512" s="260" t="n">
        <v>0.05</v>
      </c>
      <c r="G512" s="260" t="n">
        <v>19.55</v>
      </c>
      <c r="H512" s="260" t="n">
        <v>0.72</v>
      </c>
      <c r="I512" s="260" t="n">
        <v>1.08</v>
      </c>
      <c r="J512" s="260" t="n">
        <v>1.3</v>
      </c>
      <c r="K512" s="260" t="n">
        <v>0.73</v>
      </c>
      <c r="L512" s="259" t="inlineStr">
        <is>
          <t>EQ-LC</t>
        </is>
      </c>
    </row>
    <row r="513">
      <c r="A513" s="259" t="inlineStr">
        <is>
          <t>Mirae Asset Nifty Smallcap 250 Momentum Quality 100 ETF</t>
        </is>
      </c>
      <c r="B513" s="260" t="n">
        <v>-4.66</v>
      </c>
      <c r="C513" s="260" t="n">
        <v>0.47</v>
      </c>
      <c r="D513" s="259" t="inlineStr">
        <is>
          <t>--</t>
        </is>
      </c>
      <c r="E513" s="259" t="inlineStr">
        <is>
          <t>--</t>
        </is>
      </c>
      <c r="F513" s="260" t="n">
        <v>0.47</v>
      </c>
      <c r="G513" s="259" t="inlineStr">
        <is>
          <t>--</t>
        </is>
      </c>
      <c r="H513" s="259" t="inlineStr">
        <is>
          <t>--</t>
        </is>
      </c>
      <c r="I513" s="259" t="inlineStr">
        <is>
          <t>--</t>
        </is>
      </c>
      <c r="J513" s="259" t="inlineStr">
        <is>
          <t>--</t>
        </is>
      </c>
      <c r="K513" s="259" t="inlineStr">
        <is>
          <t>--</t>
        </is>
      </c>
      <c r="L513" s="259" t="inlineStr">
        <is>
          <t>EQ-SC</t>
        </is>
      </c>
    </row>
    <row r="514">
      <c r="A514" s="259" t="inlineStr">
        <is>
          <t>Mirae Asset Nifty Smallcap 250 Momentum Quality 100 ETF FoF - Regular Plan</t>
        </is>
      </c>
      <c r="B514" s="260" t="n">
        <v>-5.81</v>
      </c>
      <c r="C514" s="260" t="n">
        <v>0.64</v>
      </c>
      <c r="D514" s="259" t="inlineStr">
        <is>
          <t>--</t>
        </is>
      </c>
      <c r="E514" s="259" t="inlineStr">
        <is>
          <t>--</t>
        </is>
      </c>
      <c r="F514" s="260" t="n">
        <v>0.64</v>
      </c>
      <c r="G514" s="259" t="inlineStr">
        <is>
          <t>--</t>
        </is>
      </c>
      <c r="H514" s="259" t="inlineStr">
        <is>
          <t>--</t>
        </is>
      </c>
      <c r="I514" s="259" t="inlineStr">
        <is>
          <t>--</t>
        </is>
      </c>
      <c r="J514" s="259" t="inlineStr">
        <is>
          <t>--</t>
        </is>
      </c>
      <c r="K514" s="259" t="inlineStr">
        <is>
          <t>--</t>
        </is>
      </c>
      <c r="L514" s="259" t="inlineStr">
        <is>
          <t>EQ-SC</t>
        </is>
      </c>
    </row>
    <row r="515">
      <c r="A515" s="259" t="inlineStr">
        <is>
          <t>Mirae Asset Nifty Total Market Index Fund - Regular Plan</t>
        </is>
      </c>
      <c r="B515" s="259" t="inlineStr">
        <is>
          <t>--</t>
        </is>
      </c>
      <c r="C515" s="260" t="n">
        <v>0.91</v>
      </c>
      <c r="D515" s="259" t="inlineStr">
        <is>
          <t>--</t>
        </is>
      </c>
      <c r="E515" s="259" t="inlineStr">
        <is>
          <t>--</t>
        </is>
      </c>
      <c r="F515" s="260" t="n">
        <v>0.91</v>
      </c>
      <c r="G515" s="259" t="inlineStr">
        <is>
          <t>--</t>
        </is>
      </c>
      <c r="H515" s="259" t="inlineStr">
        <is>
          <t>--</t>
        </is>
      </c>
      <c r="I515" s="259" t="inlineStr">
        <is>
          <t>--</t>
        </is>
      </c>
      <c r="J515" s="259" t="inlineStr">
        <is>
          <t>--</t>
        </is>
      </c>
      <c r="K515" s="259" t="inlineStr">
        <is>
          <t>--</t>
        </is>
      </c>
      <c r="L515" s="259" t="inlineStr">
        <is>
          <t>EQ-FLX</t>
        </is>
      </c>
    </row>
    <row r="516">
      <c r="A516" s="259" t="inlineStr">
        <is>
          <t>Mirae Asset Small Cap Fund - Regular Plan</t>
        </is>
      </c>
      <c r="B516" s="259" t="inlineStr">
        <is>
          <t>--</t>
        </is>
      </c>
      <c r="C516" s="260" t="n">
        <v>2.05</v>
      </c>
      <c r="D516" s="259" t="inlineStr">
        <is>
          <t>--</t>
        </is>
      </c>
      <c r="E516" s="259" t="inlineStr">
        <is>
          <t>--</t>
        </is>
      </c>
      <c r="F516" s="260" t="n">
        <v>2.05</v>
      </c>
      <c r="G516" s="259" t="inlineStr">
        <is>
          <t>--</t>
        </is>
      </c>
      <c r="H516" s="259" t="inlineStr">
        <is>
          <t>--</t>
        </is>
      </c>
      <c r="I516" s="259" t="inlineStr">
        <is>
          <t>--</t>
        </is>
      </c>
      <c r="J516" s="259" t="inlineStr">
        <is>
          <t>--</t>
        </is>
      </c>
      <c r="K516" s="259" t="inlineStr">
        <is>
          <t>--</t>
        </is>
      </c>
      <c r="L516" s="259" t="inlineStr">
        <is>
          <t>EQ-SC</t>
        </is>
      </c>
    </row>
    <row r="517" hidden="1">
      <c r="A517" s="259" t="inlineStr">
        <is>
          <t>Motilal Oswal Active Momentum Fund - Regular Plan</t>
        </is>
      </c>
      <c r="B517" s="259" t="inlineStr">
        <is>
          <t>--</t>
        </is>
      </c>
      <c r="C517" s="260" t="n">
        <v>2.68</v>
      </c>
      <c r="D517" s="259" t="inlineStr">
        <is>
          <t>--</t>
        </is>
      </c>
      <c r="E517" s="259" t="inlineStr">
        <is>
          <t>--</t>
        </is>
      </c>
      <c r="F517" s="260" t="n">
        <v>2.68</v>
      </c>
      <c r="G517" s="259" t="inlineStr">
        <is>
          <t>--</t>
        </is>
      </c>
      <c r="H517" s="259" t="inlineStr">
        <is>
          <t>--</t>
        </is>
      </c>
      <c r="I517" s="259" t="inlineStr">
        <is>
          <t>--</t>
        </is>
      </c>
      <c r="J517" s="259" t="inlineStr">
        <is>
          <t>--</t>
        </is>
      </c>
      <c r="K517" s="259" t="inlineStr">
        <is>
          <t>--</t>
        </is>
      </c>
      <c r="L517" s="259" t="inlineStr">
        <is>
          <t>EQ-THEMATIC</t>
        </is>
      </c>
    </row>
    <row r="518">
      <c r="A518" s="259" t="inlineStr">
        <is>
          <t>Motilal Oswal Asset Allocation Passive FoF - Aggressive - Regular Plan</t>
        </is>
      </c>
      <c r="B518" s="260" t="n">
        <v>11.14</v>
      </c>
      <c r="C518" s="260" t="n">
        <v>0.51</v>
      </c>
      <c r="D518" s="260" t="n">
        <v>17.22</v>
      </c>
      <c r="E518" s="259" t="inlineStr">
        <is>
          <t>--</t>
        </is>
      </c>
      <c r="F518" s="260" t="n">
        <v>0.51</v>
      </c>
      <c r="G518" s="260" t="n">
        <v>8.869999999999999</v>
      </c>
      <c r="H518" s="260" t="n">
        <v>1.02</v>
      </c>
      <c r="I518" s="260" t="n">
        <v>1.74</v>
      </c>
      <c r="J518" s="260" t="n">
        <v>0.84</v>
      </c>
      <c r="K518" s="260" t="n">
        <v>1.53</v>
      </c>
      <c r="L518" s="259" t="inlineStr">
        <is>
          <t>HY-MAA</t>
        </is>
      </c>
    </row>
    <row r="519">
      <c r="A519" s="259" t="inlineStr">
        <is>
          <t>Motilal Oswal Asset Allocation Passive FoF - Conservative - Regular Plan</t>
        </is>
      </c>
      <c r="B519" s="260" t="n">
        <v>11.87</v>
      </c>
      <c r="C519" s="260" t="n">
        <v>0.49</v>
      </c>
      <c r="D519" s="260" t="n">
        <v>14.01</v>
      </c>
      <c r="E519" s="259" t="inlineStr">
        <is>
          <t>--</t>
        </is>
      </c>
      <c r="F519" s="260" t="n">
        <v>0.49</v>
      </c>
      <c r="G519" s="260" t="n">
        <v>5.5</v>
      </c>
      <c r="H519" s="260" t="n">
        <v>1.17</v>
      </c>
      <c r="I519" s="260" t="n">
        <v>1.87</v>
      </c>
      <c r="J519" s="260" t="n">
        <v>0.48</v>
      </c>
      <c r="K519" s="260" t="n">
        <v>2.16</v>
      </c>
      <c r="L519" s="259" t="inlineStr">
        <is>
          <t>HY-MAA</t>
        </is>
      </c>
    </row>
    <row r="520">
      <c r="A520" s="259" t="inlineStr">
        <is>
          <t>Motilal Oswal Balanced Advantage Fund - Regular Plan</t>
        </is>
      </c>
      <c r="B520" s="260" t="n">
        <v>-7.48</v>
      </c>
      <c r="C520" s="260" t="n">
        <v>2.27</v>
      </c>
      <c r="D520" s="260" t="n">
        <v>9.67</v>
      </c>
      <c r="E520" s="260" t="n">
        <v>8.960000000000001</v>
      </c>
      <c r="F520" s="260" t="n">
        <v>2.27</v>
      </c>
      <c r="G520" s="260" t="n">
        <v>14.27</v>
      </c>
      <c r="H520" s="260" t="n">
        <v>0.28</v>
      </c>
      <c r="I520" s="260" t="n">
        <v>0.39</v>
      </c>
      <c r="J520" s="260" t="n">
        <v>1.04</v>
      </c>
      <c r="K520" s="260" t="n">
        <v>-4.19</v>
      </c>
      <c r="L520" s="259" t="inlineStr">
        <is>
          <t>HY-DAA</t>
        </is>
      </c>
    </row>
    <row r="521">
      <c r="A521" s="259" t="inlineStr">
        <is>
          <t>Motilal Oswal BSE 1000 Index Fund - Regular Plan</t>
        </is>
      </c>
      <c r="B521" s="259" t="inlineStr">
        <is>
          <t>--</t>
        </is>
      </c>
      <c r="C521" s="259" t="inlineStr">
        <is>
          <t>--</t>
        </is>
      </c>
      <c r="D521" s="259" t="inlineStr">
        <is>
          <t>--</t>
        </is>
      </c>
      <c r="E521" s="259" t="inlineStr">
        <is>
          <t>--</t>
        </is>
      </c>
      <c r="F521" s="259" t="inlineStr">
        <is>
          <t>--</t>
        </is>
      </c>
      <c r="G521" s="259" t="inlineStr">
        <is>
          <t>--</t>
        </is>
      </c>
      <c r="H521" s="259" t="inlineStr">
        <is>
          <t>--</t>
        </is>
      </c>
      <c r="I521" s="259" t="inlineStr">
        <is>
          <t>--</t>
        </is>
      </c>
      <c r="J521" s="259" t="inlineStr">
        <is>
          <t>--</t>
        </is>
      </c>
      <c r="K521" s="259" t="inlineStr">
        <is>
          <t>--</t>
        </is>
      </c>
      <c r="L521" s="259" t="inlineStr">
        <is>
          <t>EQ-FLX</t>
        </is>
      </c>
    </row>
    <row r="522">
      <c r="A522" s="259" t="inlineStr">
        <is>
          <t>Motilal Oswal BSE Low Volatility ETF</t>
        </is>
      </c>
      <c r="B522" s="260" t="n">
        <v>1.42</v>
      </c>
      <c r="C522" s="260" t="n">
        <v>0.37</v>
      </c>
      <c r="D522" s="260" t="n">
        <v>18.75</v>
      </c>
      <c r="E522" s="259" t="inlineStr">
        <is>
          <t>--</t>
        </is>
      </c>
      <c r="F522" s="260" t="n">
        <v>0.37</v>
      </c>
      <c r="G522" s="260" t="n">
        <v>13.56</v>
      </c>
      <c r="H522" s="260" t="n">
        <v>0.79</v>
      </c>
      <c r="I522" s="260" t="n">
        <v>1.21</v>
      </c>
      <c r="J522" s="260" t="n">
        <v>0.9</v>
      </c>
      <c r="K522" s="260" t="n">
        <v>0.78</v>
      </c>
      <c r="L522" s="259" t="inlineStr">
        <is>
          <t>EQ-L&amp;MC</t>
        </is>
      </c>
    </row>
    <row r="523">
      <c r="A523" s="259" t="inlineStr">
        <is>
          <t>Motilal Oswal BSE Low Volatility Index Fund - Regular Plan</t>
        </is>
      </c>
      <c r="B523" s="260" t="n">
        <v>0.51</v>
      </c>
      <c r="C523" s="260" t="n">
        <v>1.05</v>
      </c>
      <c r="D523" s="260" t="n">
        <v>17.55</v>
      </c>
      <c r="E523" s="259" t="inlineStr">
        <is>
          <t>--</t>
        </is>
      </c>
      <c r="F523" s="260" t="n">
        <v>1.05</v>
      </c>
      <c r="G523" s="260" t="n">
        <v>13.56</v>
      </c>
      <c r="H523" s="260" t="n">
        <v>0.71</v>
      </c>
      <c r="I523" s="260" t="n">
        <v>1.08</v>
      </c>
      <c r="J523" s="260" t="n">
        <v>0.9</v>
      </c>
      <c r="K523" s="260" t="n">
        <v>-0.24</v>
      </c>
      <c r="L523" s="259" t="inlineStr">
        <is>
          <t>EQ-L&amp;MC</t>
        </is>
      </c>
    </row>
    <row r="524">
      <c r="A524" s="259" t="inlineStr">
        <is>
          <t>Motilal Oswal BSE Quality ETF</t>
        </is>
      </c>
      <c r="B524" s="260" t="n">
        <v>-3.14</v>
      </c>
      <c r="C524" s="260" t="n">
        <v>0.31</v>
      </c>
      <c r="D524" s="259" t="inlineStr">
        <is>
          <t>--</t>
        </is>
      </c>
      <c r="E524" s="259" t="inlineStr">
        <is>
          <t>--</t>
        </is>
      </c>
      <c r="F524" s="260" t="n">
        <v>0.31</v>
      </c>
      <c r="G524" s="259" t="inlineStr">
        <is>
          <t>--</t>
        </is>
      </c>
      <c r="H524" s="259" t="inlineStr">
        <is>
          <t>--</t>
        </is>
      </c>
      <c r="I524" s="259" t="inlineStr">
        <is>
          <t>--</t>
        </is>
      </c>
      <c r="J524" s="259" t="inlineStr">
        <is>
          <t>--</t>
        </is>
      </c>
      <c r="K524" s="259" t="inlineStr">
        <is>
          <t>--</t>
        </is>
      </c>
      <c r="L524" s="259" t="inlineStr">
        <is>
          <t>EQ-L&amp;MC</t>
        </is>
      </c>
    </row>
    <row r="525">
      <c r="A525" s="259" t="inlineStr">
        <is>
          <t>Motilal Oswal BSE Quality Index Fund - Regular Plan</t>
        </is>
      </c>
      <c r="B525" s="260" t="n">
        <v>-3.72</v>
      </c>
      <c r="C525" s="260" t="n">
        <v>1.05</v>
      </c>
      <c r="D525" s="259" t="inlineStr">
        <is>
          <t>--</t>
        </is>
      </c>
      <c r="E525" s="259" t="inlineStr">
        <is>
          <t>--</t>
        </is>
      </c>
      <c r="F525" s="260" t="n">
        <v>1.05</v>
      </c>
      <c r="G525" s="259" t="inlineStr">
        <is>
          <t>--</t>
        </is>
      </c>
      <c r="H525" s="259" t="inlineStr">
        <is>
          <t>--</t>
        </is>
      </c>
      <c r="I525" s="259" t="inlineStr">
        <is>
          <t>--</t>
        </is>
      </c>
      <c r="J525" s="259" t="inlineStr">
        <is>
          <t>--</t>
        </is>
      </c>
      <c r="K525" s="259" t="inlineStr">
        <is>
          <t>--</t>
        </is>
      </c>
      <c r="L525" s="259" t="inlineStr">
        <is>
          <t>EQ-L&amp;MC</t>
        </is>
      </c>
    </row>
    <row r="526" hidden="1">
      <c r="A526" s="259" t="inlineStr">
        <is>
          <t>Motilal Oswal Business Cycle Fund - Regular Plan</t>
        </is>
      </c>
      <c r="B526" s="259" t="inlineStr">
        <is>
          <t>--</t>
        </is>
      </c>
      <c r="C526" s="260" t="n">
        <v>2.02</v>
      </c>
      <c r="D526" s="259" t="inlineStr">
        <is>
          <t>--</t>
        </is>
      </c>
      <c r="E526" s="259" t="inlineStr">
        <is>
          <t>--</t>
        </is>
      </c>
      <c r="F526" s="260" t="n">
        <v>2.02</v>
      </c>
      <c r="G526" s="259" t="inlineStr">
        <is>
          <t>--</t>
        </is>
      </c>
      <c r="H526" s="259" t="inlineStr">
        <is>
          <t>--</t>
        </is>
      </c>
      <c r="I526" s="259" t="inlineStr">
        <is>
          <t>--</t>
        </is>
      </c>
      <c r="J526" s="259" t="inlineStr">
        <is>
          <t>--</t>
        </is>
      </c>
      <c r="K526" s="259" t="inlineStr">
        <is>
          <t>--</t>
        </is>
      </c>
      <c r="L526" s="259" t="inlineStr">
        <is>
          <t>EQ-THEMATIC</t>
        </is>
      </c>
    </row>
    <row r="527">
      <c r="A527" s="259" t="inlineStr">
        <is>
          <t>Motilal Oswal Flexi Cap Fund - Regular Plan</t>
        </is>
      </c>
      <c r="B527" s="260" t="n">
        <v>12.92</v>
      </c>
      <c r="C527" s="260" t="n">
        <v>1.72</v>
      </c>
      <c r="D527" s="260" t="n">
        <v>25.78</v>
      </c>
      <c r="E527" s="260" t="n">
        <v>22.17</v>
      </c>
      <c r="F527" s="260" t="n">
        <v>1.72</v>
      </c>
      <c r="G527" s="260" t="n">
        <v>16.01</v>
      </c>
      <c r="H527" s="260" t="n">
        <v>1.07</v>
      </c>
      <c r="I527" s="260" t="n">
        <v>1.35</v>
      </c>
      <c r="J527" s="260" t="n">
        <v>0.9</v>
      </c>
      <c r="K527" s="260" t="n">
        <v>6.75</v>
      </c>
      <c r="L527" s="259" t="inlineStr">
        <is>
          <t>EQ-FLX</t>
        </is>
      </c>
    </row>
    <row r="528">
      <c r="A528" s="259" t="inlineStr">
        <is>
          <t>Motilal Oswal Focused Fund - Regular Plan</t>
        </is>
      </c>
      <c r="B528" s="260" t="n">
        <v>-3.06</v>
      </c>
      <c r="C528" s="260" t="n">
        <v>2.14</v>
      </c>
      <c r="D528" s="260" t="n">
        <v>12.64</v>
      </c>
      <c r="E528" s="260" t="n">
        <v>15.44</v>
      </c>
      <c r="F528" s="260" t="n">
        <v>2.14</v>
      </c>
      <c r="G528" s="260" t="n">
        <v>18.5</v>
      </c>
      <c r="H528" s="260" t="n">
        <v>0.37</v>
      </c>
      <c r="I528" s="260" t="n">
        <v>0.51</v>
      </c>
      <c r="J528" s="260" t="n">
        <v>1.1</v>
      </c>
      <c r="K528" s="260" t="n">
        <v>-5.82</v>
      </c>
      <c r="L528" s="259" t="inlineStr">
        <is>
          <t>EQ-FLX</t>
        </is>
      </c>
    </row>
    <row r="529" hidden="1">
      <c r="A529" s="259" t="inlineStr">
        <is>
          <t>Motilal Oswal Innovation Opportunities Fund - Regular Plan</t>
        </is>
      </c>
      <c r="B529" s="259" t="inlineStr">
        <is>
          <t>--</t>
        </is>
      </c>
      <c r="C529" s="260" t="n">
        <v>2.43</v>
      </c>
      <c r="D529" s="259" t="inlineStr">
        <is>
          <t>--</t>
        </is>
      </c>
      <c r="E529" s="259" t="inlineStr">
        <is>
          <t>--</t>
        </is>
      </c>
      <c r="F529" s="260" t="n">
        <v>2.43</v>
      </c>
      <c r="G529" s="259" t="inlineStr">
        <is>
          <t>--</t>
        </is>
      </c>
      <c r="H529" s="259" t="inlineStr">
        <is>
          <t>--</t>
        </is>
      </c>
      <c r="I529" s="259" t="inlineStr">
        <is>
          <t>--</t>
        </is>
      </c>
      <c r="J529" s="259" t="inlineStr">
        <is>
          <t>--</t>
        </is>
      </c>
      <c r="K529" s="259" t="inlineStr">
        <is>
          <t>--</t>
        </is>
      </c>
      <c r="L529" s="259" t="inlineStr">
        <is>
          <t>EQ-THEMATIC</t>
        </is>
      </c>
    </row>
    <row r="530">
      <c r="A530" s="259" t="inlineStr">
        <is>
          <t>Motilal Oswal Large and Midcap Fund - Regular Plan</t>
        </is>
      </c>
      <c r="B530" s="260" t="n">
        <v>16.44</v>
      </c>
      <c r="C530" s="260" t="n">
        <v>1.73</v>
      </c>
      <c r="D530" s="260" t="n">
        <v>32.15</v>
      </c>
      <c r="E530" s="260" t="n">
        <v>30.31</v>
      </c>
      <c r="F530" s="260" t="n">
        <v>1.73</v>
      </c>
      <c r="G530" s="260" t="n">
        <v>19.22</v>
      </c>
      <c r="H530" s="260" t="n">
        <v>1.19</v>
      </c>
      <c r="I530" s="260" t="n">
        <v>1.32</v>
      </c>
      <c r="J530" s="260" t="n">
        <v>1.09</v>
      </c>
      <c r="K530" s="260" t="n">
        <v>10.73</v>
      </c>
      <c r="L530" s="259" t="inlineStr">
        <is>
          <t>EQ-L&amp;MC</t>
        </is>
      </c>
    </row>
    <row r="531">
      <c r="A531" s="259" t="inlineStr">
        <is>
          <t>Motilal Oswal Large Cap Fund - Regular Plan</t>
        </is>
      </c>
      <c r="B531" s="260" t="n">
        <v>20.48</v>
      </c>
      <c r="C531" s="260" t="n">
        <v>2.01</v>
      </c>
      <c r="D531" s="259" t="inlineStr">
        <is>
          <t>--</t>
        </is>
      </c>
      <c r="E531" s="259" t="inlineStr">
        <is>
          <t>--</t>
        </is>
      </c>
      <c r="F531" s="260" t="n">
        <v>2.01</v>
      </c>
      <c r="G531" s="259" t="inlineStr">
        <is>
          <t>--</t>
        </is>
      </c>
      <c r="H531" s="259" t="inlineStr">
        <is>
          <t>--</t>
        </is>
      </c>
      <c r="I531" s="259" t="inlineStr">
        <is>
          <t>--</t>
        </is>
      </c>
      <c r="J531" s="259" t="inlineStr">
        <is>
          <t>--</t>
        </is>
      </c>
      <c r="K531" s="259" t="inlineStr">
        <is>
          <t>--</t>
        </is>
      </c>
      <c r="L531" s="259" t="inlineStr">
        <is>
          <t>EQ-LC</t>
        </is>
      </c>
    </row>
    <row r="532" hidden="1">
      <c r="A532" s="259" t="inlineStr">
        <is>
          <t>Motilal Oswal Manufacturing Fund - Regular Plan</t>
        </is>
      </c>
      <c r="B532" s="259" t="inlineStr">
        <is>
          <t>--</t>
        </is>
      </c>
      <c r="C532" s="260" t="n">
        <v>2.3</v>
      </c>
      <c r="D532" s="259" t="inlineStr">
        <is>
          <t>--</t>
        </is>
      </c>
      <c r="E532" s="259" t="inlineStr">
        <is>
          <t>--</t>
        </is>
      </c>
      <c r="F532" s="260" t="n">
        <v>2.3</v>
      </c>
      <c r="G532" s="259" t="inlineStr">
        <is>
          <t>--</t>
        </is>
      </c>
      <c r="H532" s="259" t="inlineStr">
        <is>
          <t>--</t>
        </is>
      </c>
      <c r="I532" s="259" t="inlineStr">
        <is>
          <t>--</t>
        </is>
      </c>
      <c r="J532" s="259" t="inlineStr">
        <is>
          <t>--</t>
        </is>
      </c>
      <c r="K532" s="259" t="inlineStr">
        <is>
          <t>--</t>
        </is>
      </c>
      <c r="L532" s="259" t="inlineStr">
        <is>
          <t>EQ-THEMATIC</t>
        </is>
      </c>
    </row>
    <row r="533">
      <c r="A533" s="259" t="inlineStr">
        <is>
          <t>Motilal Oswal Midcap Fund - Regular Plan</t>
        </is>
      </c>
      <c r="B533" s="260" t="n">
        <v>11.79</v>
      </c>
      <c r="C533" s="260" t="n">
        <v>1.58</v>
      </c>
      <c r="D533" s="260" t="n">
        <v>33.95</v>
      </c>
      <c r="E533" s="260" t="n">
        <v>36.57</v>
      </c>
      <c r="F533" s="260" t="n">
        <v>1.58</v>
      </c>
      <c r="G533" s="260" t="n">
        <v>18.2</v>
      </c>
      <c r="H533" s="260" t="n">
        <v>1.27</v>
      </c>
      <c r="I533" s="260" t="n">
        <v>1.56</v>
      </c>
      <c r="J533" s="260" t="n">
        <v>0.89</v>
      </c>
      <c r="K533" s="260" t="n">
        <v>7.1</v>
      </c>
      <c r="L533" s="259" t="inlineStr">
        <is>
          <t>EQ-MC</t>
        </is>
      </c>
    </row>
    <row r="534">
      <c r="A534" s="259" t="inlineStr">
        <is>
          <t>Motilal Oswal Multi Asset Fund - Regular Plan</t>
        </is>
      </c>
      <c r="B534" s="260" t="n">
        <v>-6.86</v>
      </c>
      <c r="C534" s="260" t="n">
        <v>2.04</v>
      </c>
      <c r="D534" s="260" t="n">
        <v>4.65</v>
      </c>
      <c r="E534" s="259" t="inlineStr">
        <is>
          <t>--</t>
        </is>
      </c>
      <c r="F534" s="260" t="n">
        <v>2.04</v>
      </c>
      <c r="G534" s="260" t="n">
        <v>9.630000000000001</v>
      </c>
      <c r="H534" s="260" t="n">
        <v>-0.16</v>
      </c>
      <c r="I534" s="260" t="n">
        <v>-0.19</v>
      </c>
      <c r="J534" s="260" t="n">
        <v>0.73</v>
      </c>
      <c r="K534" s="260" t="n">
        <v>-8.029999999999999</v>
      </c>
      <c r="L534" s="259" t="inlineStr">
        <is>
          <t>HY-MAA</t>
        </is>
      </c>
    </row>
    <row r="535">
      <c r="A535" s="259" t="inlineStr">
        <is>
          <t>Motilal Oswal Multi Cap Fund - Regular Plan</t>
        </is>
      </c>
      <c r="B535" s="259" t="inlineStr">
        <is>
          <t>--</t>
        </is>
      </c>
      <c r="C535" s="260" t="n">
        <v>1.88</v>
      </c>
      <c r="D535" s="259" t="inlineStr">
        <is>
          <t>--</t>
        </is>
      </c>
      <c r="E535" s="259" t="inlineStr">
        <is>
          <t>--</t>
        </is>
      </c>
      <c r="F535" s="260" t="n">
        <v>1.88</v>
      </c>
      <c r="G535" s="259" t="inlineStr">
        <is>
          <t>--</t>
        </is>
      </c>
      <c r="H535" s="259" t="inlineStr">
        <is>
          <t>--</t>
        </is>
      </c>
      <c r="I535" s="259" t="inlineStr">
        <is>
          <t>--</t>
        </is>
      </c>
      <c r="J535" s="259" t="inlineStr">
        <is>
          <t>--</t>
        </is>
      </c>
      <c r="K535" s="259" t="inlineStr">
        <is>
          <t>--</t>
        </is>
      </c>
      <c r="L535" s="259" t="inlineStr">
        <is>
          <t>EQ-MLC</t>
        </is>
      </c>
    </row>
    <row r="536">
      <c r="A536" s="259" t="inlineStr">
        <is>
          <t>Motilal Oswal Nifty 200 Momentum 30 ETF</t>
        </is>
      </c>
      <c r="B536" s="260" t="n">
        <v>-11.79</v>
      </c>
      <c r="C536" s="260" t="n">
        <v>0.3</v>
      </c>
      <c r="D536" s="260" t="n">
        <v>21.96</v>
      </c>
      <c r="E536" s="259" t="inlineStr">
        <is>
          <t>--</t>
        </is>
      </c>
      <c r="F536" s="260" t="n">
        <v>0.3</v>
      </c>
      <c r="G536" s="260" t="n">
        <v>19.37</v>
      </c>
      <c r="H536" s="260" t="n">
        <v>0.71</v>
      </c>
      <c r="I536" s="260" t="n">
        <v>1.01</v>
      </c>
      <c r="J536" s="260" t="n">
        <v>1.23</v>
      </c>
      <c r="K536" s="260" t="n">
        <v>0.22</v>
      </c>
      <c r="L536" s="259" t="inlineStr">
        <is>
          <t>EQ-L&amp;MC</t>
        </is>
      </c>
    </row>
    <row r="537">
      <c r="A537" s="259" t="inlineStr">
        <is>
          <t>Motilal Oswal Nifty 200 Momentum 30 Index Fund - Regular Plan</t>
        </is>
      </c>
      <c r="B537" s="260" t="n">
        <v>-12.37</v>
      </c>
      <c r="C537" s="260" t="n">
        <v>1</v>
      </c>
      <c r="D537" s="260" t="n">
        <v>21.24</v>
      </c>
      <c r="E537" s="259" t="inlineStr">
        <is>
          <t>--</t>
        </is>
      </c>
      <c r="F537" s="260" t="n">
        <v>1</v>
      </c>
      <c r="G537" s="260" t="n">
        <v>19.3</v>
      </c>
      <c r="H537" s="260" t="n">
        <v>0.68</v>
      </c>
      <c r="I537" s="260" t="n">
        <v>0.97</v>
      </c>
      <c r="J537" s="260" t="n">
        <v>1.22</v>
      </c>
      <c r="K537" s="260" t="n">
        <v>-0.34</v>
      </c>
      <c r="L537" s="259" t="inlineStr">
        <is>
          <t>EQ-L&amp;MC</t>
        </is>
      </c>
    </row>
    <row r="538">
      <c r="A538" s="259" t="inlineStr">
        <is>
          <t>Motilal Oswal Nifty 500 ETF</t>
        </is>
      </c>
      <c r="B538" s="260" t="n">
        <v>5.68</v>
      </c>
      <c r="C538" s="260" t="n">
        <v>0.21</v>
      </c>
      <c r="D538" s="259" t="inlineStr">
        <is>
          <t>--</t>
        </is>
      </c>
      <c r="E538" s="259" t="inlineStr">
        <is>
          <t>--</t>
        </is>
      </c>
      <c r="F538" s="260" t="n">
        <v>0.21</v>
      </c>
      <c r="G538" s="259" t="inlineStr">
        <is>
          <t>--</t>
        </is>
      </c>
      <c r="H538" s="259" t="inlineStr">
        <is>
          <t>--</t>
        </is>
      </c>
      <c r="I538" s="259" t="inlineStr">
        <is>
          <t>--</t>
        </is>
      </c>
      <c r="J538" s="259" t="inlineStr">
        <is>
          <t>--</t>
        </is>
      </c>
      <c r="K538" s="259" t="inlineStr">
        <is>
          <t>--</t>
        </is>
      </c>
      <c r="L538" s="259" t="inlineStr">
        <is>
          <t>EQ-FLX</t>
        </is>
      </c>
    </row>
    <row r="539">
      <c r="A539" s="259" t="inlineStr">
        <is>
          <t>Motilal Oswal Nifty 500 Index Fund - Regular Plan</t>
        </is>
      </c>
      <c r="B539" s="260" t="n">
        <v>4.96</v>
      </c>
      <c r="C539" s="260" t="n">
        <v>0.88</v>
      </c>
      <c r="D539" s="260" t="n">
        <v>18.53</v>
      </c>
      <c r="E539" s="260" t="n">
        <v>22.73</v>
      </c>
      <c r="F539" s="260" t="n">
        <v>0.88</v>
      </c>
      <c r="G539" s="260" t="n">
        <v>14.47</v>
      </c>
      <c r="H539" s="260" t="n">
        <v>0.74</v>
      </c>
      <c r="I539" s="260" t="n">
        <v>1.17</v>
      </c>
      <c r="J539" s="260" t="n">
        <v>1</v>
      </c>
      <c r="K539" s="260" t="n">
        <v>-0.78</v>
      </c>
      <c r="L539" s="259" t="inlineStr">
        <is>
          <t>EQ-FLX</t>
        </is>
      </c>
    </row>
    <row r="540">
      <c r="A540" s="259" t="inlineStr">
        <is>
          <t>Motilal Oswal Nifty 500 Momentum 50 ETF</t>
        </is>
      </c>
      <c r="B540" s="259" t="inlineStr">
        <is>
          <t>--</t>
        </is>
      </c>
      <c r="C540" s="260" t="n">
        <v>0.41</v>
      </c>
      <c r="D540" s="259" t="inlineStr">
        <is>
          <t>--</t>
        </is>
      </c>
      <c r="E540" s="259" t="inlineStr">
        <is>
          <t>--</t>
        </is>
      </c>
      <c r="F540" s="260" t="n">
        <v>0.41</v>
      </c>
      <c r="G540" s="259" t="inlineStr">
        <is>
          <t>--</t>
        </is>
      </c>
      <c r="H540" s="259" t="inlineStr">
        <is>
          <t>--</t>
        </is>
      </c>
      <c r="I540" s="259" t="inlineStr">
        <is>
          <t>--</t>
        </is>
      </c>
      <c r="J540" s="259" t="inlineStr">
        <is>
          <t>--</t>
        </is>
      </c>
      <c r="K540" s="259" t="inlineStr">
        <is>
          <t>--</t>
        </is>
      </c>
      <c r="L540" s="259" t="inlineStr">
        <is>
          <t>EQ-FLX</t>
        </is>
      </c>
    </row>
    <row r="541">
      <c r="A541" s="259" t="inlineStr">
        <is>
          <t>Motilal Oswal Nifty 500 Momentum 50 Index Fund - Regular Plan</t>
        </is>
      </c>
      <c r="B541" s="259" t="inlineStr">
        <is>
          <t>--</t>
        </is>
      </c>
      <c r="C541" s="260" t="n">
        <v>1.09</v>
      </c>
      <c r="D541" s="259" t="inlineStr">
        <is>
          <t>--</t>
        </is>
      </c>
      <c r="E541" s="259" t="inlineStr">
        <is>
          <t>--</t>
        </is>
      </c>
      <c r="F541" s="260" t="n">
        <v>1.09</v>
      </c>
      <c r="G541" s="259" t="inlineStr">
        <is>
          <t>--</t>
        </is>
      </c>
      <c r="H541" s="259" t="inlineStr">
        <is>
          <t>--</t>
        </is>
      </c>
      <c r="I541" s="259" t="inlineStr">
        <is>
          <t>--</t>
        </is>
      </c>
      <c r="J541" s="259" t="inlineStr">
        <is>
          <t>--</t>
        </is>
      </c>
      <c r="K541" s="259" t="inlineStr">
        <is>
          <t>--</t>
        </is>
      </c>
      <c r="L541" s="259" t="inlineStr">
        <is>
          <t>EQ-FLX</t>
        </is>
      </c>
    </row>
    <row r="542">
      <c r="A542" s="259" t="inlineStr">
        <is>
          <t>Motilal Oswal Nifty 50 Equal Weight ETF</t>
        </is>
      </c>
      <c r="B542" s="259" t="inlineStr">
        <is>
          <t>--</t>
        </is>
      </c>
      <c r="C542" s="260" t="n">
        <v>0.15</v>
      </c>
      <c r="D542" s="259" t="inlineStr">
        <is>
          <t>--</t>
        </is>
      </c>
      <c r="E542" s="259" t="inlineStr">
        <is>
          <t>--</t>
        </is>
      </c>
      <c r="F542" s="260" t="n">
        <v>0.15</v>
      </c>
      <c r="G542" s="259" t="inlineStr">
        <is>
          <t>--</t>
        </is>
      </c>
      <c r="H542" s="259" t="inlineStr">
        <is>
          <t>--</t>
        </is>
      </c>
      <c r="I542" s="259" t="inlineStr">
        <is>
          <t>--</t>
        </is>
      </c>
      <c r="J542" s="259" t="inlineStr">
        <is>
          <t>--</t>
        </is>
      </c>
      <c r="K542" s="259" t="inlineStr">
        <is>
          <t>--</t>
        </is>
      </c>
      <c r="L542" s="259" t="inlineStr">
        <is>
          <t>EQ-LC</t>
        </is>
      </c>
    </row>
    <row r="543">
      <c r="A543" s="259" t="inlineStr">
        <is>
          <t>Motilal Oswal Nifty 50 ETF</t>
        </is>
      </c>
      <c r="B543" s="260" t="n">
        <v>7.8</v>
      </c>
      <c r="C543" s="260" t="n">
        <v>0.06</v>
      </c>
      <c r="D543" s="260" t="n">
        <v>16.57</v>
      </c>
      <c r="E543" s="260" t="n">
        <v>21.34</v>
      </c>
      <c r="F543" s="260" t="n">
        <v>0.06</v>
      </c>
      <c r="G543" s="260" t="n">
        <v>13.14</v>
      </c>
      <c r="H543" s="260" t="n">
        <v>0.6899999999999999</v>
      </c>
      <c r="I543" s="260" t="n">
        <v>1.17</v>
      </c>
      <c r="J543" s="260" t="n">
        <v>0.95</v>
      </c>
      <c r="K543" s="260" t="n">
        <v>-0.74</v>
      </c>
      <c r="L543" s="259" t="inlineStr">
        <is>
          <t>EQ-LC</t>
        </is>
      </c>
    </row>
    <row r="544">
      <c r="A544" s="259" t="inlineStr">
        <is>
          <t>Motilal Oswal Nifty 50 Index Fund - Regular Plan</t>
        </is>
      </c>
      <c r="B544" s="260" t="n">
        <v>7.24</v>
      </c>
      <c r="C544" s="260" t="n">
        <v>0.51</v>
      </c>
      <c r="D544" s="260" t="n">
        <v>15.97</v>
      </c>
      <c r="E544" s="260" t="n">
        <v>20.64</v>
      </c>
      <c r="F544" s="260" t="n">
        <v>0.51</v>
      </c>
      <c r="G544" s="260" t="n">
        <v>13.14</v>
      </c>
      <c r="H544" s="260" t="n">
        <v>0.65</v>
      </c>
      <c r="I544" s="260" t="n">
        <v>1.11</v>
      </c>
      <c r="J544" s="260" t="n">
        <v>0.95</v>
      </c>
      <c r="K544" s="260" t="n">
        <v>-1.27</v>
      </c>
      <c r="L544" s="259" t="inlineStr">
        <is>
          <t>EQ-LC</t>
        </is>
      </c>
    </row>
    <row r="545" hidden="1">
      <c r="A545" s="259" t="inlineStr">
        <is>
          <t>Motilal Oswal Nifty Capital Market ETF</t>
        </is>
      </c>
      <c r="B545" s="259" t="inlineStr">
        <is>
          <t>--</t>
        </is>
      </c>
      <c r="C545" s="260" t="n">
        <v>0.52</v>
      </c>
      <c r="D545" s="259" t="inlineStr">
        <is>
          <t>--</t>
        </is>
      </c>
      <c r="E545" s="259" t="inlineStr">
        <is>
          <t>--</t>
        </is>
      </c>
      <c r="F545" s="260" t="n">
        <v>0.52</v>
      </c>
      <c r="G545" s="259" t="inlineStr">
        <is>
          <t>--</t>
        </is>
      </c>
      <c r="H545" s="259" t="inlineStr">
        <is>
          <t>--</t>
        </is>
      </c>
      <c r="I545" s="259" t="inlineStr">
        <is>
          <t>--</t>
        </is>
      </c>
      <c r="J545" s="259" t="inlineStr">
        <is>
          <t>--</t>
        </is>
      </c>
      <c r="K545" s="259" t="inlineStr">
        <is>
          <t>--</t>
        </is>
      </c>
      <c r="L545" s="259" t="inlineStr">
        <is>
          <t>EQ-THEMATIC</t>
        </is>
      </c>
    </row>
    <row r="546" hidden="1">
      <c r="A546" s="259" t="inlineStr">
        <is>
          <t>Motilal Oswal Nifty Capital Market Index Fund - Regular Plan</t>
        </is>
      </c>
      <c r="B546" s="259" t="inlineStr">
        <is>
          <t>--</t>
        </is>
      </c>
      <c r="C546" s="260" t="n">
        <v>1.1</v>
      </c>
      <c r="D546" s="259" t="inlineStr">
        <is>
          <t>--</t>
        </is>
      </c>
      <c r="E546" s="259" t="inlineStr">
        <is>
          <t>--</t>
        </is>
      </c>
      <c r="F546" s="260" t="n">
        <v>1.1</v>
      </c>
      <c r="G546" s="259" t="inlineStr">
        <is>
          <t>--</t>
        </is>
      </c>
      <c r="H546" s="259" t="inlineStr">
        <is>
          <t>--</t>
        </is>
      </c>
      <c r="I546" s="259" t="inlineStr">
        <is>
          <t>--</t>
        </is>
      </c>
      <c r="J546" s="259" t="inlineStr">
        <is>
          <t>--</t>
        </is>
      </c>
      <c r="K546" s="259" t="inlineStr">
        <is>
          <t>--</t>
        </is>
      </c>
      <c r="L546" s="259" t="inlineStr">
        <is>
          <t>EQ-THEMATIC</t>
        </is>
      </c>
    </row>
    <row r="547" hidden="1">
      <c r="A547" s="259" t="inlineStr">
        <is>
          <t>Motilal Oswal Nifty India Defence ETF</t>
        </is>
      </c>
      <c r="B547" s="259" t="inlineStr">
        <is>
          <t>--</t>
        </is>
      </c>
      <c r="C547" s="260" t="n">
        <v>0.41</v>
      </c>
      <c r="D547" s="259" t="inlineStr">
        <is>
          <t>--</t>
        </is>
      </c>
      <c r="E547" s="259" t="inlineStr">
        <is>
          <t>--</t>
        </is>
      </c>
      <c r="F547" s="260" t="n">
        <v>0.41</v>
      </c>
      <c r="G547" s="259" t="inlineStr">
        <is>
          <t>--</t>
        </is>
      </c>
      <c r="H547" s="259" t="inlineStr">
        <is>
          <t>--</t>
        </is>
      </c>
      <c r="I547" s="259" t="inlineStr">
        <is>
          <t>--</t>
        </is>
      </c>
      <c r="J547" s="259" t="inlineStr">
        <is>
          <t>--</t>
        </is>
      </c>
      <c r="K547" s="259" t="inlineStr">
        <is>
          <t>--</t>
        </is>
      </c>
      <c r="L547" s="259" t="inlineStr">
        <is>
          <t>EQ-THEMATIC</t>
        </is>
      </c>
    </row>
    <row r="548" hidden="1">
      <c r="A548" s="259" t="inlineStr">
        <is>
          <t>Motilal Oswal Nifty India Defence Index Fund - Regular Plan</t>
        </is>
      </c>
      <c r="B548" s="259" t="inlineStr">
        <is>
          <t>--</t>
        </is>
      </c>
      <c r="C548" s="260" t="n">
        <v>1.1</v>
      </c>
      <c r="D548" s="259" t="inlineStr">
        <is>
          <t>--</t>
        </is>
      </c>
      <c r="E548" s="259" t="inlineStr">
        <is>
          <t>--</t>
        </is>
      </c>
      <c r="F548" s="260" t="n">
        <v>1.1</v>
      </c>
      <c r="G548" s="259" t="inlineStr">
        <is>
          <t>--</t>
        </is>
      </c>
      <c r="H548" s="259" t="inlineStr">
        <is>
          <t>--</t>
        </is>
      </c>
      <c r="I548" s="259" t="inlineStr">
        <is>
          <t>--</t>
        </is>
      </c>
      <c r="J548" s="259" t="inlineStr">
        <is>
          <t>--</t>
        </is>
      </c>
      <c r="K548" s="259" t="inlineStr">
        <is>
          <t>--</t>
        </is>
      </c>
      <c r="L548" s="259" t="inlineStr">
        <is>
          <t>EQ-THEMATIC</t>
        </is>
      </c>
    </row>
    <row r="549" hidden="1">
      <c r="A549" s="259" t="inlineStr">
        <is>
          <t>Motilal Oswal Nifty India Manufacturing ETF</t>
        </is>
      </c>
      <c r="B549" s="259" t="inlineStr">
        <is>
          <t>--</t>
        </is>
      </c>
      <c r="C549" s="260" t="n">
        <v>0.31</v>
      </c>
      <c r="D549" s="259" t="inlineStr">
        <is>
          <t>--</t>
        </is>
      </c>
      <c r="E549" s="259" t="inlineStr">
        <is>
          <t>--</t>
        </is>
      </c>
      <c r="F549" s="260" t="n">
        <v>0.31</v>
      </c>
      <c r="G549" s="259" t="inlineStr">
        <is>
          <t>--</t>
        </is>
      </c>
      <c r="H549" s="259" t="inlineStr">
        <is>
          <t>--</t>
        </is>
      </c>
      <c r="I549" s="259" t="inlineStr">
        <is>
          <t>--</t>
        </is>
      </c>
      <c r="J549" s="259" t="inlineStr">
        <is>
          <t>--</t>
        </is>
      </c>
      <c r="K549" s="259" t="inlineStr">
        <is>
          <t>--</t>
        </is>
      </c>
      <c r="L549" s="259" t="inlineStr">
        <is>
          <t>EQ-THEMATIC</t>
        </is>
      </c>
    </row>
    <row r="550" hidden="1">
      <c r="A550" s="259" t="inlineStr">
        <is>
          <t>Motilal Oswal Nifty India Tourism ETF</t>
        </is>
      </c>
      <c r="B550" s="259" t="inlineStr">
        <is>
          <t>--</t>
        </is>
      </c>
      <c r="C550" s="259" t="inlineStr">
        <is>
          <t>--</t>
        </is>
      </c>
      <c r="D550" s="259" t="inlineStr">
        <is>
          <t>--</t>
        </is>
      </c>
      <c r="E550" s="259" t="inlineStr">
        <is>
          <t>--</t>
        </is>
      </c>
      <c r="F550" s="259" t="inlineStr">
        <is>
          <t>--</t>
        </is>
      </c>
      <c r="G550" s="259" t="inlineStr">
        <is>
          <t>--</t>
        </is>
      </c>
      <c r="H550" s="259" t="inlineStr">
        <is>
          <t>--</t>
        </is>
      </c>
      <c r="I550" s="259" t="inlineStr">
        <is>
          <t>--</t>
        </is>
      </c>
      <c r="J550" s="259" t="inlineStr">
        <is>
          <t>--</t>
        </is>
      </c>
      <c r="K550" s="259" t="inlineStr">
        <is>
          <t>--</t>
        </is>
      </c>
      <c r="L550" s="259" t="inlineStr">
        <is>
          <t>EQ-THEMATIC</t>
        </is>
      </c>
    </row>
    <row r="551">
      <c r="A551" s="259" t="inlineStr">
        <is>
          <t>Motilal Oswal Nifty Microcap 250 Index Fund - Regular Plan</t>
        </is>
      </c>
      <c r="B551" s="260" t="n">
        <v>6.12</v>
      </c>
      <c r="C551" s="260" t="n">
        <v>1.11</v>
      </c>
      <c r="D551" s="259" t="inlineStr">
        <is>
          <t>--</t>
        </is>
      </c>
      <c r="E551" s="259" t="inlineStr">
        <is>
          <t>--</t>
        </is>
      </c>
      <c r="F551" s="260" t="n">
        <v>1.11</v>
      </c>
      <c r="G551" s="259" t="inlineStr">
        <is>
          <t>--</t>
        </is>
      </c>
      <c r="H551" s="259" t="inlineStr">
        <is>
          <t>--</t>
        </is>
      </c>
      <c r="I551" s="259" t="inlineStr">
        <is>
          <t>--</t>
        </is>
      </c>
      <c r="J551" s="259" t="inlineStr">
        <is>
          <t>--</t>
        </is>
      </c>
      <c r="K551" s="259" t="inlineStr">
        <is>
          <t>--</t>
        </is>
      </c>
      <c r="L551" s="259" t="inlineStr">
        <is>
          <t>EQ-SC</t>
        </is>
      </c>
    </row>
    <row r="552">
      <c r="A552" s="259" t="inlineStr">
        <is>
          <t>Motilal Oswal Nifty Midcap 100 ETF</t>
        </is>
      </c>
      <c r="B552" s="260" t="n">
        <v>8.33</v>
      </c>
      <c r="C552" s="260" t="n">
        <v>0.23</v>
      </c>
      <c r="D552" s="260" t="n">
        <v>28.99</v>
      </c>
      <c r="E552" s="260" t="n">
        <v>32.9</v>
      </c>
      <c r="F552" s="260" t="n">
        <v>0.23</v>
      </c>
      <c r="G552" s="260" t="n">
        <v>17.89</v>
      </c>
      <c r="H552" s="260" t="n">
        <v>1.1</v>
      </c>
      <c r="I552" s="260" t="n">
        <v>1.6</v>
      </c>
      <c r="J552" s="260" t="n">
        <v>1.05</v>
      </c>
      <c r="K552" s="260" t="n">
        <v>0.67</v>
      </c>
      <c r="L552" s="259" t="inlineStr">
        <is>
          <t>EQ-MC</t>
        </is>
      </c>
    </row>
    <row r="553">
      <c r="A553" s="259" t="inlineStr">
        <is>
          <t>Motilal Oswal Nifty Midcap 150 Index Fund - Regular Plan</t>
        </is>
      </c>
      <c r="B553" s="260" t="n">
        <v>5.52</v>
      </c>
      <c r="C553" s="260" t="n">
        <v>1</v>
      </c>
      <c r="D553" s="260" t="n">
        <v>27.01</v>
      </c>
      <c r="E553" s="260" t="n">
        <v>31.03</v>
      </c>
      <c r="F553" s="260" t="n">
        <v>1</v>
      </c>
      <c r="G553" s="260" t="n">
        <v>17</v>
      </c>
      <c r="H553" s="260" t="n">
        <v>1.06</v>
      </c>
      <c r="I553" s="260" t="n">
        <v>1.53</v>
      </c>
      <c r="J553" s="260" t="n">
        <v>1</v>
      </c>
      <c r="K553" s="260" t="n">
        <v>-0.09</v>
      </c>
      <c r="L553" s="259" t="inlineStr">
        <is>
          <t>EQ-MC</t>
        </is>
      </c>
    </row>
    <row r="554" hidden="1">
      <c r="A554" s="259" t="inlineStr">
        <is>
          <t>Motilal Oswal Nifty MidSmall India Consumption Index Fund - Regular Plan</t>
        </is>
      </c>
      <c r="B554" s="259" t="inlineStr">
        <is>
          <t>--</t>
        </is>
      </c>
      <c r="C554" s="260" t="n">
        <v>1.11</v>
      </c>
      <c r="D554" s="259" t="inlineStr">
        <is>
          <t>--</t>
        </is>
      </c>
      <c r="E554" s="259" t="inlineStr">
        <is>
          <t>--</t>
        </is>
      </c>
      <c r="F554" s="260" t="n">
        <v>1.11</v>
      </c>
      <c r="G554" s="259" t="inlineStr">
        <is>
          <t>--</t>
        </is>
      </c>
      <c r="H554" s="259" t="inlineStr">
        <is>
          <t>--</t>
        </is>
      </c>
      <c r="I554" s="259" t="inlineStr">
        <is>
          <t>--</t>
        </is>
      </c>
      <c r="J554" s="259" t="inlineStr">
        <is>
          <t>--</t>
        </is>
      </c>
      <c r="K554" s="259" t="inlineStr">
        <is>
          <t>--</t>
        </is>
      </c>
      <c r="L554" s="259" t="inlineStr">
        <is>
          <t>EQ-Consumption</t>
        </is>
      </c>
    </row>
    <row r="555" hidden="1">
      <c r="A555" s="259" t="inlineStr">
        <is>
          <t>Motilal Oswal Nifty MidSmall IT and Telecom Index Fund - Regular Plan</t>
        </is>
      </c>
      <c r="B555" s="259" t="inlineStr">
        <is>
          <t>--</t>
        </is>
      </c>
      <c r="C555" s="260" t="n">
        <v>1.1</v>
      </c>
      <c r="D555" s="259" t="inlineStr">
        <is>
          <t>--</t>
        </is>
      </c>
      <c r="E555" s="259" t="inlineStr">
        <is>
          <t>--</t>
        </is>
      </c>
      <c r="F555" s="260" t="n">
        <v>1.1</v>
      </c>
      <c r="G555" s="259" t="inlineStr">
        <is>
          <t>--</t>
        </is>
      </c>
      <c r="H555" s="259" t="inlineStr">
        <is>
          <t>--</t>
        </is>
      </c>
      <c r="I555" s="259" t="inlineStr">
        <is>
          <t>--</t>
        </is>
      </c>
      <c r="J555" s="259" t="inlineStr">
        <is>
          <t>--</t>
        </is>
      </c>
      <c r="K555" s="259" t="inlineStr">
        <is>
          <t>--</t>
        </is>
      </c>
      <c r="L555" s="259" t="inlineStr">
        <is>
          <t>EQ-THEMATIC</t>
        </is>
      </c>
    </row>
    <row r="556">
      <c r="A556" s="259" t="inlineStr">
        <is>
          <t>Motilal Oswal Nifty Next 50 ETF</t>
        </is>
      </c>
      <c r="B556" s="259" t="inlineStr">
        <is>
          <t>--</t>
        </is>
      </c>
      <c r="C556" s="260" t="n">
        <v>0.2</v>
      </c>
      <c r="D556" s="259" t="inlineStr">
        <is>
          <t>--</t>
        </is>
      </c>
      <c r="E556" s="259" t="inlineStr">
        <is>
          <t>--</t>
        </is>
      </c>
      <c r="F556" s="260" t="n">
        <v>0.2</v>
      </c>
      <c r="G556" s="259" t="inlineStr">
        <is>
          <t>--</t>
        </is>
      </c>
      <c r="H556" s="259" t="inlineStr">
        <is>
          <t>--</t>
        </is>
      </c>
      <c r="I556" s="259" t="inlineStr">
        <is>
          <t>--</t>
        </is>
      </c>
      <c r="J556" s="259" t="inlineStr">
        <is>
          <t>--</t>
        </is>
      </c>
      <c r="K556" s="259" t="inlineStr">
        <is>
          <t>--</t>
        </is>
      </c>
      <c r="L556" s="259" t="inlineStr">
        <is>
          <t>EQ-LC</t>
        </is>
      </c>
    </row>
    <row r="557">
      <c r="A557" s="259" t="inlineStr">
        <is>
          <t>Motilal Oswal Nifty Next 50 Index Fund - Regular Plan</t>
        </is>
      </c>
      <c r="B557" s="260" t="n">
        <v>-4.06</v>
      </c>
      <c r="C557" s="260" t="n">
        <v>1.04</v>
      </c>
      <c r="D557" s="260" t="n">
        <v>21.05</v>
      </c>
      <c r="E557" s="260" t="n">
        <v>21.31</v>
      </c>
      <c r="F557" s="260" t="n">
        <v>1.04</v>
      </c>
      <c r="G557" s="260" t="n">
        <v>19.5</v>
      </c>
      <c r="H557" s="260" t="n">
        <v>0.68</v>
      </c>
      <c r="I557" s="260" t="n">
        <v>1.01</v>
      </c>
      <c r="J557" s="260" t="n">
        <v>1.3</v>
      </c>
      <c r="K557" s="260" t="n">
        <v>-0.03</v>
      </c>
      <c r="L557" s="259" t="inlineStr">
        <is>
          <t>EQ-LC</t>
        </is>
      </c>
    </row>
    <row r="558" hidden="1">
      <c r="A558" s="259" t="inlineStr">
        <is>
          <t>Motilal Oswal Nifty PSE ETF</t>
        </is>
      </c>
      <c r="B558" s="259" t="inlineStr">
        <is>
          <t>--</t>
        </is>
      </c>
      <c r="C558" s="259" t="inlineStr">
        <is>
          <t>--</t>
        </is>
      </c>
      <c r="D558" s="259" t="inlineStr">
        <is>
          <t>--</t>
        </is>
      </c>
      <c r="E558" s="259" t="inlineStr">
        <is>
          <t>--</t>
        </is>
      </c>
      <c r="F558" s="259" t="inlineStr">
        <is>
          <t>--</t>
        </is>
      </c>
      <c r="G558" s="259" t="inlineStr">
        <is>
          <t>--</t>
        </is>
      </c>
      <c r="H558" s="259" t="inlineStr">
        <is>
          <t>--</t>
        </is>
      </c>
      <c r="I558" s="259" t="inlineStr">
        <is>
          <t>--</t>
        </is>
      </c>
      <c r="J558" s="259" t="inlineStr">
        <is>
          <t>--</t>
        </is>
      </c>
      <c r="K558" s="259" t="inlineStr">
        <is>
          <t>--</t>
        </is>
      </c>
      <c r="L558" s="259" t="inlineStr">
        <is>
          <t>EQ-PSU</t>
        </is>
      </c>
    </row>
    <row r="559" hidden="1">
      <c r="A559" s="259" t="inlineStr">
        <is>
          <t>Motilal Oswal Nifty Realty ETF</t>
        </is>
      </c>
      <c r="B559" s="260" t="n">
        <v>-8.210000000000001</v>
      </c>
      <c r="C559" s="260" t="n">
        <v>0.41</v>
      </c>
      <c r="D559" s="259" t="inlineStr">
        <is>
          <t>--</t>
        </is>
      </c>
      <c r="E559" s="259" t="inlineStr">
        <is>
          <t>--</t>
        </is>
      </c>
      <c r="F559" s="260" t="n">
        <v>0.41</v>
      </c>
      <c r="G559" s="259" t="inlineStr">
        <is>
          <t>--</t>
        </is>
      </c>
      <c r="H559" s="259" t="inlineStr">
        <is>
          <t>--</t>
        </is>
      </c>
      <c r="I559" s="259" t="inlineStr">
        <is>
          <t>--</t>
        </is>
      </c>
      <c r="J559" s="259" t="inlineStr">
        <is>
          <t>--</t>
        </is>
      </c>
      <c r="K559" s="259" t="inlineStr">
        <is>
          <t>--</t>
        </is>
      </c>
      <c r="L559" s="259" t="inlineStr">
        <is>
          <t>EQ-THEMATIC</t>
        </is>
      </c>
    </row>
    <row r="560">
      <c r="A560" s="259" t="inlineStr">
        <is>
          <t>Motilal Oswal Nifty Smallcap 250 ETF</t>
        </is>
      </c>
      <c r="B560" s="260" t="n">
        <v>4.19</v>
      </c>
      <c r="C560" s="260" t="n">
        <v>0.31</v>
      </c>
      <c r="D560" s="259" t="inlineStr">
        <is>
          <t>--</t>
        </is>
      </c>
      <c r="E560" s="259" t="inlineStr">
        <is>
          <t>--</t>
        </is>
      </c>
      <c r="F560" s="260" t="n">
        <v>0.31</v>
      </c>
      <c r="G560" s="259" t="inlineStr">
        <is>
          <t>--</t>
        </is>
      </c>
      <c r="H560" s="259" t="inlineStr">
        <is>
          <t>--</t>
        </is>
      </c>
      <c r="I560" s="259" t="inlineStr">
        <is>
          <t>--</t>
        </is>
      </c>
      <c r="J560" s="259" t="inlineStr">
        <is>
          <t>--</t>
        </is>
      </c>
      <c r="K560" s="259" t="inlineStr">
        <is>
          <t>--</t>
        </is>
      </c>
      <c r="L560" s="259" t="inlineStr">
        <is>
          <t>EQ-SC</t>
        </is>
      </c>
    </row>
    <row r="561">
      <c r="A561" s="259" t="inlineStr">
        <is>
          <t>Motilal Oswal Nifty Smallcap 250 Index Fund - Regular Plan</t>
        </is>
      </c>
      <c r="B561" s="260" t="n">
        <v>3.76</v>
      </c>
      <c r="C561" s="260" t="n">
        <v>1.04</v>
      </c>
      <c r="D561" s="260" t="n">
        <v>25.9</v>
      </c>
      <c r="E561" s="260" t="n">
        <v>33.75</v>
      </c>
      <c r="F561" s="260" t="n">
        <v>1.04</v>
      </c>
      <c r="G561" s="260" t="n">
        <v>19.96</v>
      </c>
      <c r="H561" s="260" t="n">
        <v>0.87</v>
      </c>
      <c r="I561" s="260" t="n">
        <v>1.28</v>
      </c>
      <c r="J561" s="260" t="n">
        <v>1.02</v>
      </c>
      <c r="K561" s="260" t="n">
        <v>-1.07</v>
      </c>
      <c r="L561" s="259" t="inlineStr">
        <is>
          <t>EQ-SC</t>
        </is>
      </c>
    </row>
    <row r="562" hidden="1">
      <c r="A562" s="259" t="inlineStr">
        <is>
          <t>Motilal Oswal Quant Fund - Regular Plan</t>
        </is>
      </c>
      <c r="B562" s="259" t="inlineStr">
        <is>
          <t>--</t>
        </is>
      </c>
      <c r="C562" s="260" t="n">
        <v>0.96</v>
      </c>
      <c r="D562" s="259" t="inlineStr">
        <is>
          <t>--</t>
        </is>
      </c>
      <c r="E562" s="259" t="inlineStr">
        <is>
          <t>--</t>
        </is>
      </c>
      <c r="F562" s="260" t="n">
        <v>0.96</v>
      </c>
      <c r="G562" s="259" t="inlineStr">
        <is>
          <t>--</t>
        </is>
      </c>
      <c r="H562" s="259" t="inlineStr">
        <is>
          <t>--</t>
        </is>
      </c>
      <c r="I562" s="259" t="inlineStr">
        <is>
          <t>--</t>
        </is>
      </c>
      <c r="J562" s="259" t="inlineStr">
        <is>
          <t>--</t>
        </is>
      </c>
      <c r="K562" s="259" t="inlineStr">
        <is>
          <t>--</t>
        </is>
      </c>
      <c r="L562" s="259" t="inlineStr">
        <is>
          <t>EQ-THEMATIC</t>
        </is>
      </c>
    </row>
    <row r="563" hidden="1">
      <c r="A563" s="259" t="inlineStr">
        <is>
          <t>Motilal Oswal Services Fund - Regular Plan</t>
        </is>
      </c>
      <c r="B563" s="259" t="inlineStr">
        <is>
          <t>--</t>
        </is>
      </c>
      <c r="C563" s="259" t="inlineStr">
        <is>
          <t>--</t>
        </is>
      </c>
      <c r="D563" s="259" t="inlineStr">
        <is>
          <t>--</t>
        </is>
      </c>
      <c r="E563" s="259" t="inlineStr">
        <is>
          <t>--</t>
        </is>
      </c>
      <c r="F563" s="259" t="inlineStr">
        <is>
          <t>--</t>
        </is>
      </c>
      <c r="G563" s="259" t="inlineStr">
        <is>
          <t>--</t>
        </is>
      </c>
      <c r="H563" s="259" t="inlineStr">
        <is>
          <t>--</t>
        </is>
      </c>
      <c r="I563" s="259" t="inlineStr">
        <is>
          <t>--</t>
        </is>
      </c>
      <c r="J563" s="259" t="inlineStr">
        <is>
          <t>--</t>
        </is>
      </c>
      <c r="K563" s="259" t="inlineStr">
        <is>
          <t>--</t>
        </is>
      </c>
      <c r="L563" s="259" t="inlineStr">
        <is>
          <t>EQ-THEMATIC</t>
        </is>
      </c>
    </row>
    <row r="564">
      <c r="A564" s="259" t="inlineStr">
        <is>
          <t>Motilal Oswal Small Cap Fund - Regular Plan</t>
        </is>
      </c>
      <c r="B564" s="260" t="n">
        <v>18.04</v>
      </c>
      <c r="C564" s="260" t="n">
        <v>1.84</v>
      </c>
      <c r="D564" s="259" t="inlineStr">
        <is>
          <t>--</t>
        </is>
      </c>
      <c r="E564" s="259" t="inlineStr">
        <is>
          <t>--</t>
        </is>
      </c>
      <c r="F564" s="260" t="n">
        <v>1.84</v>
      </c>
      <c r="G564" s="259" t="inlineStr">
        <is>
          <t>--</t>
        </is>
      </c>
      <c r="H564" s="259" t="inlineStr">
        <is>
          <t>--</t>
        </is>
      </c>
      <c r="I564" s="259" t="inlineStr">
        <is>
          <t>--</t>
        </is>
      </c>
      <c r="J564" s="259" t="inlineStr">
        <is>
          <t>--</t>
        </is>
      </c>
      <c r="K564" s="259" t="inlineStr">
        <is>
          <t>--</t>
        </is>
      </c>
      <c r="L564" s="259" t="inlineStr">
        <is>
          <t>EQ-SC</t>
        </is>
      </c>
    </row>
    <row r="565">
      <c r="A565" s="259" t="inlineStr">
        <is>
          <t>Navi BSE Sensex Index Fund - Regular Plan</t>
        </is>
      </c>
      <c r="B565" s="260" t="n">
        <v>6.86</v>
      </c>
      <c r="C565" s="260" t="n">
        <v>0.9</v>
      </c>
      <c r="D565" s="259" t="inlineStr">
        <is>
          <t>--</t>
        </is>
      </c>
      <c r="E565" s="259" t="inlineStr">
        <is>
          <t>--</t>
        </is>
      </c>
      <c r="F565" s="260" t="n">
        <v>0.9</v>
      </c>
      <c r="G565" s="259" t="inlineStr">
        <is>
          <t>--</t>
        </is>
      </c>
      <c r="H565" s="259" t="inlineStr">
        <is>
          <t>--</t>
        </is>
      </c>
      <c r="I565" s="259" t="inlineStr">
        <is>
          <t>--</t>
        </is>
      </c>
      <c r="J565" s="259" t="inlineStr">
        <is>
          <t>--</t>
        </is>
      </c>
      <c r="K565" s="259" t="inlineStr">
        <is>
          <t>--</t>
        </is>
      </c>
      <c r="L565" s="259" t="inlineStr">
        <is>
          <t>EQ-LC</t>
        </is>
      </c>
    </row>
    <row r="566">
      <c r="A566" s="259" t="inlineStr">
        <is>
          <t>Navi Flexi Cap Fund - Regular Plan</t>
        </is>
      </c>
      <c r="B566" s="260" t="n">
        <v>1.67</v>
      </c>
      <c r="C566" s="260" t="n">
        <v>2.29</v>
      </c>
      <c r="D566" s="260" t="n">
        <v>15.59</v>
      </c>
      <c r="E566" s="260" t="n">
        <v>19.57</v>
      </c>
      <c r="F566" s="260" t="n">
        <v>2.29</v>
      </c>
      <c r="G566" s="260" t="n">
        <v>14.08</v>
      </c>
      <c r="H566" s="260" t="n">
        <v>0.59</v>
      </c>
      <c r="I566" s="260" t="n">
        <v>0.95</v>
      </c>
      <c r="J566" s="260" t="n">
        <v>0.93</v>
      </c>
      <c r="K566" s="260" t="n">
        <v>-2.5</v>
      </c>
      <c r="L566" s="259" t="inlineStr">
        <is>
          <t>EQ-FLX</t>
        </is>
      </c>
    </row>
    <row r="567">
      <c r="A567" s="259" t="inlineStr">
        <is>
          <t>Navi Large &amp; Midcap Fund</t>
        </is>
      </c>
      <c r="B567" s="260" t="n">
        <v>5.23</v>
      </c>
      <c r="C567" s="260" t="n">
        <v>2.26</v>
      </c>
      <c r="D567" s="260" t="n">
        <v>16.37</v>
      </c>
      <c r="E567" s="260" t="n">
        <v>22.16</v>
      </c>
      <c r="F567" s="260" t="n">
        <v>2.26</v>
      </c>
      <c r="G567" s="260" t="n">
        <v>14.96</v>
      </c>
      <c r="H567" s="260" t="n">
        <v>0.59</v>
      </c>
      <c r="I567" s="260" t="n">
        <v>0.89</v>
      </c>
      <c r="J567" s="260" t="n">
        <v>0.97</v>
      </c>
      <c r="K567" s="260" t="n">
        <v>-1.93</v>
      </c>
      <c r="L567" s="259" t="inlineStr">
        <is>
          <t>EQ-L&amp;MC</t>
        </is>
      </c>
    </row>
    <row r="568">
      <c r="A568" s="259" t="inlineStr">
        <is>
          <t>Navi Nifty 500 Multicap 50:25:25 Index Fund - Regular Plan</t>
        </is>
      </c>
      <c r="B568" s="259" t="inlineStr">
        <is>
          <t>--</t>
        </is>
      </c>
      <c r="C568" s="260" t="n">
        <v>0.99</v>
      </c>
      <c r="D568" s="259" t="inlineStr">
        <is>
          <t>--</t>
        </is>
      </c>
      <c r="E568" s="259" t="inlineStr">
        <is>
          <t>--</t>
        </is>
      </c>
      <c r="F568" s="260" t="n">
        <v>0.99</v>
      </c>
      <c r="G568" s="259" t="inlineStr">
        <is>
          <t>--</t>
        </is>
      </c>
      <c r="H568" s="259" t="inlineStr">
        <is>
          <t>--</t>
        </is>
      </c>
      <c r="I568" s="259" t="inlineStr">
        <is>
          <t>--</t>
        </is>
      </c>
      <c r="J568" s="259" t="inlineStr">
        <is>
          <t>--</t>
        </is>
      </c>
      <c r="K568" s="259" t="inlineStr">
        <is>
          <t>--</t>
        </is>
      </c>
      <c r="L568" s="259" t="inlineStr">
        <is>
          <t>EQ-MLC</t>
        </is>
      </c>
    </row>
    <row r="569">
      <c r="A569" s="259" t="inlineStr">
        <is>
          <t>Navi Nifty 50 Index Fund - Regular Plan</t>
        </is>
      </c>
      <c r="B569" s="260" t="n">
        <v>7.46</v>
      </c>
      <c r="C569" s="260" t="n">
        <v>0.26</v>
      </c>
      <c r="D569" s="260" t="n">
        <v>16.18</v>
      </c>
      <c r="E569" s="259" t="inlineStr">
        <is>
          <t>--</t>
        </is>
      </c>
      <c r="F569" s="260" t="n">
        <v>0.26</v>
      </c>
      <c r="G569" s="260" t="n">
        <v>13.13</v>
      </c>
      <c r="H569" s="260" t="n">
        <v>0.66</v>
      </c>
      <c r="I569" s="260" t="n">
        <v>1.13</v>
      </c>
      <c r="J569" s="260" t="n">
        <v>0.95</v>
      </c>
      <c r="K569" s="260" t="n">
        <v>-1.08</v>
      </c>
      <c r="L569" s="259" t="inlineStr">
        <is>
          <t>EQ-LC</t>
        </is>
      </c>
    </row>
    <row r="570" hidden="1">
      <c r="A570" s="259" t="inlineStr">
        <is>
          <t>Navi Nifty India Manufacturing Index Fund - Regular Plan</t>
        </is>
      </c>
      <c r="B570" s="260" t="n">
        <v>-1.55</v>
      </c>
      <c r="C570" s="260" t="n">
        <v>1</v>
      </c>
      <c r="D570" s="259" t="inlineStr">
        <is>
          <t>--</t>
        </is>
      </c>
      <c r="E570" s="259" t="inlineStr">
        <is>
          <t>--</t>
        </is>
      </c>
      <c r="F570" s="260" t="n">
        <v>1</v>
      </c>
      <c r="G570" s="259" t="inlineStr">
        <is>
          <t>--</t>
        </is>
      </c>
      <c r="H570" s="259" t="inlineStr">
        <is>
          <t>--</t>
        </is>
      </c>
      <c r="I570" s="259" t="inlineStr">
        <is>
          <t>--</t>
        </is>
      </c>
      <c r="J570" s="259" t="inlineStr">
        <is>
          <t>--</t>
        </is>
      </c>
      <c r="K570" s="259" t="inlineStr">
        <is>
          <t>--</t>
        </is>
      </c>
      <c r="L570" s="259" t="inlineStr">
        <is>
          <t>EQ-THEMATIC</t>
        </is>
      </c>
    </row>
    <row r="571">
      <c r="A571" s="259" t="inlineStr">
        <is>
          <t>Navi Nifty Midcap 150 Index Fund - Regular Plan</t>
        </is>
      </c>
      <c r="B571" s="260" t="n">
        <v>5.12</v>
      </c>
      <c r="C571" s="260" t="n">
        <v>1</v>
      </c>
      <c r="D571" s="260" t="n">
        <v>26.51</v>
      </c>
      <c r="E571" s="259" t="inlineStr">
        <is>
          <t>--</t>
        </is>
      </c>
      <c r="F571" s="260" t="n">
        <v>1</v>
      </c>
      <c r="G571" s="260" t="n">
        <v>16.92</v>
      </c>
      <c r="H571" s="260" t="n">
        <v>1.04</v>
      </c>
      <c r="I571" s="260" t="n">
        <v>1.5</v>
      </c>
      <c r="J571" s="260" t="n">
        <v>0.99</v>
      </c>
      <c r="K571" s="260" t="n">
        <v>-0.42</v>
      </c>
      <c r="L571" s="259" t="inlineStr">
        <is>
          <t>EQ-MC</t>
        </is>
      </c>
    </row>
    <row r="572">
      <c r="A572" s="259" t="inlineStr">
        <is>
          <t>Navi Nifty Next 50 Index Fund - Regular Plan</t>
        </is>
      </c>
      <c r="B572" s="260" t="n">
        <v>-3.79</v>
      </c>
      <c r="C572" s="260" t="n">
        <v>0.58</v>
      </c>
      <c r="D572" s="260" t="n">
        <v>21.24</v>
      </c>
      <c r="E572" s="259" t="inlineStr">
        <is>
          <t>--</t>
        </is>
      </c>
      <c r="F572" s="260" t="n">
        <v>0.58</v>
      </c>
      <c r="G572" s="260" t="n">
        <v>19.47</v>
      </c>
      <c r="H572" s="260" t="n">
        <v>0.6899999999999999</v>
      </c>
      <c r="I572" s="260" t="n">
        <v>1.03</v>
      </c>
      <c r="J572" s="260" t="n">
        <v>1.29</v>
      </c>
      <c r="K572" s="260" t="n">
        <v>0.14</v>
      </c>
      <c r="L572" s="259" t="inlineStr">
        <is>
          <t>EQ-LC</t>
        </is>
      </c>
    </row>
    <row r="573">
      <c r="A573" s="259" t="inlineStr">
        <is>
          <t>Navi Nifty Smallcap250 Momentum Quality 100 Index Fund - Regular Plan</t>
        </is>
      </c>
      <c r="B573" s="259" t="inlineStr">
        <is>
          <t>--</t>
        </is>
      </c>
      <c r="C573" s="260" t="n">
        <v>1</v>
      </c>
      <c r="D573" s="259" t="inlineStr">
        <is>
          <t>--</t>
        </is>
      </c>
      <c r="E573" s="259" t="inlineStr">
        <is>
          <t>--</t>
        </is>
      </c>
      <c r="F573" s="260" t="n">
        <v>1</v>
      </c>
      <c r="G573" s="259" t="inlineStr">
        <is>
          <t>--</t>
        </is>
      </c>
      <c r="H573" s="259" t="inlineStr">
        <is>
          <t>--</t>
        </is>
      </c>
      <c r="I573" s="259" t="inlineStr">
        <is>
          <t>--</t>
        </is>
      </c>
      <c r="J573" s="259" t="inlineStr">
        <is>
          <t>--</t>
        </is>
      </c>
      <c r="K573" s="259" t="inlineStr">
        <is>
          <t>--</t>
        </is>
      </c>
      <c r="L573" s="259" t="inlineStr">
        <is>
          <t>EQ-SC</t>
        </is>
      </c>
    </row>
    <row r="574" hidden="1">
      <c r="A574" s="259" t="inlineStr">
        <is>
          <t>Nippon India Active Momentum Fund - Regular Plan</t>
        </is>
      </c>
      <c r="B574" s="259" t="inlineStr">
        <is>
          <t>--</t>
        </is>
      </c>
      <c r="C574" s="260" t="n">
        <v>1.66</v>
      </c>
      <c r="D574" s="259" t="inlineStr">
        <is>
          <t>--</t>
        </is>
      </c>
      <c r="E574" s="259" t="inlineStr">
        <is>
          <t>--</t>
        </is>
      </c>
      <c r="F574" s="260" t="n">
        <v>1.66</v>
      </c>
      <c r="G574" s="259" t="inlineStr">
        <is>
          <t>--</t>
        </is>
      </c>
      <c r="H574" s="259" t="inlineStr">
        <is>
          <t>--</t>
        </is>
      </c>
      <c r="I574" s="259" t="inlineStr">
        <is>
          <t>--</t>
        </is>
      </c>
      <c r="J574" s="259" t="inlineStr">
        <is>
          <t>--</t>
        </is>
      </c>
      <c r="K574" s="259" t="inlineStr">
        <is>
          <t>--</t>
        </is>
      </c>
      <c r="L574" s="259" t="inlineStr">
        <is>
          <t>EQ-THEMATIC</t>
        </is>
      </c>
    </row>
    <row r="575">
      <c r="A575" s="259" t="inlineStr">
        <is>
          <t>Nippon India Balanced Advantage Fund</t>
        </is>
      </c>
      <c r="B575" s="260" t="n">
        <v>7.22</v>
      </c>
      <c r="C575" s="260" t="n">
        <v>1.74</v>
      </c>
      <c r="D575" s="260" t="n">
        <v>13.91</v>
      </c>
      <c r="E575" s="260" t="n">
        <v>15.31</v>
      </c>
      <c r="F575" s="260" t="n">
        <v>1.74</v>
      </c>
      <c r="G575" s="260" t="n">
        <v>7.42</v>
      </c>
      <c r="H575" s="260" t="n">
        <v>0.91</v>
      </c>
      <c r="I575" s="260" t="n">
        <v>1.38</v>
      </c>
      <c r="J575" s="260" t="n">
        <v>0.71</v>
      </c>
      <c r="K575" s="260" t="n">
        <v>1.16</v>
      </c>
      <c r="L575" s="259" t="inlineStr">
        <is>
          <t>HY-DAA</t>
        </is>
      </c>
    </row>
    <row r="576">
      <c r="A576" s="259" t="inlineStr">
        <is>
          <t>Nippon India BSE Sensex Next 30 ETF</t>
        </is>
      </c>
      <c r="B576" s="259" t="inlineStr">
        <is>
          <t>--</t>
        </is>
      </c>
      <c r="C576" s="259" t="inlineStr">
        <is>
          <t>--</t>
        </is>
      </c>
      <c r="D576" s="259" t="inlineStr">
        <is>
          <t>--</t>
        </is>
      </c>
      <c r="E576" s="259" t="inlineStr">
        <is>
          <t>--</t>
        </is>
      </c>
      <c r="F576" s="259" t="inlineStr">
        <is>
          <t>--</t>
        </is>
      </c>
      <c r="G576" s="259" t="inlineStr">
        <is>
          <t>--</t>
        </is>
      </c>
      <c r="H576" s="259" t="inlineStr">
        <is>
          <t>--</t>
        </is>
      </c>
      <c r="I576" s="259" t="inlineStr">
        <is>
          <t>--</t>
        </is>
      </c>
      <c r="J576" s="259" t="inlineStr">
        <is>
          <t>--</t>
        </is>
      </c>
      <c r="K576" s="259" t="inlineStr">
        <is>
          <t>--</t>
        </is>
      </c>
      <c r="L576" s="259" t="inlineStr">
        <is>
          <t>EQ-LC</t>
        </is>
      </c>
    </row>
    <row r="577">
      <c r="A577" s="259" t="inlineStr">
        <is>
          <t>Nippon India BSE Sensex Next 30 Index Fund - Regular Plan</t>
        </is>
      </c>
      <c r="B577" s="259" t="inlineStr">
        <is>
          <t>--</t>
        </is>
      </c>
      <c r="C577" s="259" t="inlineStr">
        <is>
          <t>--</t>
        </is>
      </c>
      <c r="D577" s="259" t="inlineStr">
        <is>
          <t>--</t>
        </is>
      </c>
      <c r="E577" s="259" t="inlineStr">
        <is>
          <t>--</t>
        </is>
      </c>
      <c r="F577" s="259" t="inlineStr">
        <is>
          <t>--</t>
        </is>
      </c>
      <c r="G577" s="259" t="inlineStr">
        <is>
          <t>--</t>
        </is>
      </c>
      <c r="H577" s="259" t="inlineStr">
        <is>
          <t>--</t>
        </is>
      </c>
      <c r="I577" s="259" t="inlineStr">
        <is>
          <t>--</t>
        </is>
      </c>
      <c r="J577" s="259" t="inlineStr">
        <is>
          <t>--</t>
        </is>
      </c>
      <c r="K577" s="259" t="inlineStr">
        <is>
          <t>--</t>
        </is>
      </c>
      <c r="L577" s="259" t="inlineStr">
        <is>
          <t>EQ-LC</t>
        </is>
      </c>
    </row>
    <row r="578" hidden="1">
      <c r="A578" s="259" t="inlineStr">
        <is>
          <t>Nippon India Consumption Fund</t>
        </is>
      </c>
      <c r="B578" s="260" t="n">
        <v>0.43</v>
      </c>
      <c r="C578" s="260" t="n">
        <v>1.97</v>
      </c>
      <c r="D578" s="260" t="n">
        <v>21.31</v>
      </c>
      <c r="E578" s="260" t="n">
        <v>25.2</v>
      </c>
      <c r="F578" s="260" t="n">
        <v>1.97</v>
      </c>
      <c r="G578" s="260" t="n">
        <v>14.88</v>
      </c>
      <c r="H578" s="260" t="n">
        <v>0.89</v>
      </c>
      <c r="I578" s="260" t="n">
        <v>1.19</v>
      </c>
      <c r="J578" s="260" t="n">
        <v>0.78</v>
      </c>
      <c r="K578" s="260" t="n">
        <v>1.98</v>
      </c>
      <c r="L578" s="259" t="inlineStr">
        <is>
          <t>EQ-Consumption</t>
        </is>
      </c>
    </row>
    <row r="579">
      <c r="A579" s="259" t="inlineStr">
        <is>
          <t>Nippon India Diversified Equity Flexicap Passive FoF - Regular Plan</t>
        </is>
      </c>
      <c r="B579" s="260" t="n">
        <v>4.7</v>
      </c>
      <c r="C579" s="260" t="n">
        <v>0.58</v>
      </c>
      <c r="D579" s="260" t="n">
        <v>18.52</v>
      </c>
      <c r="E579" s="259" t="inlineStr">
        <is>
          <t>--</t>
        </is>
      </c>
      <c r="F579" s="260" t="n">
        <v>0.58</v>
      </c>
      <c r="G579" s="260" t="n">
        <v>14.36</v>
      </c>
      <c r="H579" s="260" t="n">
        <v>0.74</v>
      </c>
      <c r="I579" s="260" t="n">
        <v>1.29</v>
      </c>
      <c r="J579" s="260" t="n">
        <v>0.98</v>
      </c>
      <c r="K579" s="260" t="n">
        <v>-0.66</v>
      </c>
      <c r="L579" s="259" t="inlineStr">
        <is>
          <t>EQ-FLX</t>
        </is>
      </c>
    </row>
    <row r="580">
      <c r="A580" s="259" t="inlineStr">
        <is>
          <t>Nippon India ETF BSE Sensex</t>
        </is>
      </c>
      <c r="B580" s="260" t="n">
        <v>7.75</v>
      </c>
      <c r="C580" s="260" t="n">
        <v>0.04</v>
      </c>
      <c r="D580" s="260" t="n">
        <v>15.9</v>
      </c>
      <c r="E580" s="260" t="n">
        <v>20.67</v>
      </c>
      <c r="F580" s="260" t="n">
        <v>0.04</v>
      </c>
      <c r="G580" s="260" t="n">
        <v>12.7</v>
      </c>
      <c r="H580" s="260" t="n">
        <v>0.67</v>
      </c>
      <c r="I580" s="260" t="n">
        <v>1.11</v>
      </c>
      <c r="J580" s="260" t="n">
        <v>0.91</v>
      </c>
      <c r="K580" s="260" t="n">
        <v>-0.91</v>
      </c>
      <c r="L580" s="259" t="inlineStr">
        <is>
          <t>EQ-LC</t>
        </is>
      </c>
    </row>
    <row r="581">
      <c r="A581" s="259" t="inlineStr">
        <is>
          <t>Nippon India ETF BSE Sensex Next 50</t>
        </is>
      </c>
      <c r="B581" s="260" t="n">
        <v>5.88</v>
      </c>
      <c r="C581" s="260" t="n">
        <v>0.23</v>
      </c>
      <c r="D581" s="260" t="n">
        <v>24.53</v>
      </c>
      <c r="E581" s="260" t="n">
        <v>26.23</v>
      </c>
      <c r="F581" s="260" t="n">
        <v>0.23</v>
      </c>
      <c r="G581" s="260" t="n">
        <v>17.72</v>
      </c>
      <c r="H581" s="260" t="n">
        <v>0.88</v>
      </c>
      <c r="I581" s="260" t="n">
        <v>1.29</v>
      </c>
      <c r="J581" s="260" t="n">
        <v>1.21</v>
      </c>
      <c r="K581" s="260" t="n">
        <v>3.15</v>
      </c>
      <c r="L581" s="259" t="inlineStr">
        <is>
          <t>EQ-LC</t>
        </is>
      </c>
    </row>
    <row r="582">
      <c r="A582" s="259" t="inlineStr">
        <is>
          <t>Nippon India ETF Nifty 100</t>
        </is>
      </c>
      <c r="B582" s="260" t="n">
        <v>5.29</v>
      </c>
      <c r="C582" s="260" t="n">
        <v>0.5</v>
      </c>
      <c r="D582" s="260" t="n">
        <v>16.53</v>
      </c>
      <c r="E582" s="260" t="n">
        <v>20.8</v>
      </c>
      <c r="F582" s="260" t="n">
        <v>0.5</v>
      </c>
      <c r="G582" s="260" t="n">
        <v>13.95</v>
      </c>
      <c r="H582" s="260" t="n">
        <v>0.65</v>
      </c>
      <c r="I582" s="260" t="n">
        <v>1.05</v>
      </c>
      <c r="J582" s="260" t="n">
        <v>1.01</v>
      </c>
      <c r="K582" s="260" t="n">
        <v>-1.39</v>
      </c>
      <c r="L582" s="259" t="inlineStr">
        <is>
          <t>EQ-LC</t>
        </is>
      </c>
    </row>
    <row r="583">
      <c r="A583" s="259" t="inlineStr">
        <is>
          <t>Nippon India ETF Nifty 50 BeES</t>
        </is>
      </c>
      <c r="B583" s="260" t="n">
        <v>7.82</v>
      </c>
      <c r="C583" s="260" t="n">
        <v>0.04</v>
      </c>
      <c r="D583" s="260" t="n">
        <v>16.59</v>
      </c>
      <c r="E583" s="260" t="n">
        <v>21.4</v>
      </c>
      <c r="F583" s="260" t="n">
        <v>0.04</v>
      </c>
      <c r="G583" s="260" t="n">
        <v>13.13</v>
      </c>
      <c r="H583" s="260" t="n">
        <v>0.6899999999999999</v>
      </c>
      <c r="I583" s="260" t="n">
        <v>1.18</v>
      </c>
      <c r="J583" s="260" t="n">
        <v>0.95</v>
      </c>
      <c r="K583" s="260" t="n">
        <v>-0.72</v>
      </c>
      <c r="L583" s="259" t="inlineStr">
        <is>
          <t>EQ-LC</t>
        </is>
      </c>
    </row>
    <row r="584">
      <c r="A584" s="259" t="inlineStr">
        <is>
          <t>Nippon India ETF Nifty 50 Shariah BeES</t>
        </is>
      </c>
      <c r="B584" s="260" t="n">
        <v>-0.29</v>
      </c>
      <c r="C584" s="260" t="n">
        <v>0.96</v>
      </c>
      <c r="D584" s="260" t="n">
        <v>8.92</v>
      </c>
      <c r="E584" s="260" t="n">
        <v>15.6</v>
      </c>
      <c r="F584" s="260" t="n">
        <v>0.96</v>
      </c>
      <c r="G584" s="260" t="n">
        <v>15.97</v>
      </c>
      <c r="H584" s="260" t="n">
        <v>0.14</v>
      </c>
      <c r="I584" s="260" t="n">
        <v>0.22</v>
      </c>
      <c r="J584" s="260" t="n">
        <v>0.99</v>
      </c>
      <c r="K584" s="260" t="n">
        <v>-7.96</v>
      </c>
      <c r="L584" s="259" t="inlineStr">
        <is>
          <t>EQ-LC</t>
        </is>
      </c>
    </row>
    <row r="585" hidden="1">
      <c r="A585" s="259" t="inlineStr">
        <is>
          <t>Nippon India ETF Nifty Dividend Opportunities 50</t>
        </is>
      </c>
      <c r="B585" s="260" t="n">
        <v>-0.12</v>
      </c>
      <c r="C585" s="260" t="n">
        <v>0.37</v>
      </c>
      <c r="D585" s="260" t="n">
        <v>22.45</v>
      </c>
      <c r="E585" s="260" t="n">
        <v>24.93</v>
      </c>
      <c r="F585" s="260" t="n">
        <v>0.37</v>
      </c>
      <c r="G585" s="260" t="n">
        <v>15.6</v>
      </c>
      <c r="H585" s="260" t="n">
        <v>0.91</v>
      </c>
      <c r="I585" s="260" t="n">
        <v>1.3</v>
      </c>
      <c r="J585" s="260" t="n">
        <v>0.97</v>
      </c>
      <c r="K585" s="260" t="n">
        <v>3.01</v>
      </c>
      <c r="L585" s="259" t="inlineStr">
        <is>
          <t>EQ-THEMATIC</t>
        </is>
      </c>
    </row>
    <row r="586" hidden="1">
      <c r="A586" s="259" t="inlineStr">
        <is>
          <t>Nippon India ETF Nifty India Consumption</t>
        </is>
      </c>
      <c r="B586" s="260" t="n">
        <v>3.8</v>
      </c>
      <c r="C586" s="260" t="n">
        <v>0.31</v>
      </c>
      <c r="D586" s="260" t="n">
        <v>20.41</v>
      </c>
      <c r="E586" s="260" t="n">
        <v>20.41</v>
      </c>
      <c r="F586" s="260" t="n">
        <v>0.31</v>
      </c>
      <c r="G586" s="260" t="n">
        <v>15.96</v>
      </c>
      <c r="H586" s="260" t="n">
        <v>0.77</v>
      </c>
      <c r="I586" s="260" t="n">
        <v>1.12</v>
      </c>
      <c r="J586" s="260" t="n">
        <v>0.85</v>
      </c>
      <c r="K586" s="260" t="n">
        <v>0.06</v>
      </c>
      <c r="L586" s="259" t="inlineStr">
        <is>
          <t>EQ-Consumption</t>
        </is>
      </c>
    </row>
    <row r="587">
      <c r="A587" s="259" t="inlineStr">
        <is>
          <t>Nippon India ETF Nifty Midcap 150</t>
        </is>
      </c>
      <c r="B587" s="260" t="n">
        <v>6.16</v>
      </c>
      <c r="C587" s="260" t="n">
        <v>0.21</v>
      </c>
      <c r="D587" s="260" t="n">
        <v>27.95</v>
      </c>
      <c r="E587" s="260" t="n">
        <v>32.33</v>
      </c>
      <c r="F587" s="260" t="n">
        <v>0.21</v>
      </c>
      <c r="G587" s="260" t="n">
        <v>16.98</v>
      </c>
      <c r="H587" s="260" t="n">
        <v>1.1</v>
      </c>
      <c r="I587" s="260" t="n">
        <v>1.6</v>
      </c>
      <c r="J587" s="260" t="n">
        <v>1</v>
      </c>
      <c r="K587" s="260" t="n">
        <v>0.66</v>
      </c>
      <c r="L587" s="259" t="inlineStr">
        <is>
          <t>EQ-MC</t>
        </is>
      </c>
    </row>
    <row r="588">
      <c r="A588" s="259" t="inlineStr">
        <is>
          <t>Nippon India ETF Nifty Next 50 Junior BeES</t>
        </is>
      </c>
      <c r="B588" s="260" t="n">
        <v>-3.26</v>
      </c>
      <c r="C588" s="260" t="n">
        <v>0.17</v>
      </c>
      <c r="D588" s="260" t="n">
        <v>22.02</v>
      </c>
      <c r="E588" s="260" t="n">
        <v>22.56</v>
      </c>
      <c r="F588" s="260" t="n">
        <v>0.17</v>
      </c>
      <c r="G588" s="260" t="n">
        <v>19.54</v>
      </c>
      <c r="H588" s="260" t="n">
        <v>0.72</v>
      </c>
      <c r="I588" s="260" t="n">
        <v>1.08</v>
      </c>
      <c r="J588" s="260" t="n">
        <v>1.3</v>
      </c>
      <c r="K588" s="260" t="n">
        <v>0.76</v>
      </c>
      <c r="L588" s="259" t="inlineStr">
        <is>
          <t>EQ-LC</t>
        </is>
      </c>
    </row>
    <row r="589">
      <c r="A589" s="259" t="inlineStr">
        <is>
          <t>Nippon India Flexi Cap Fund - Regular Plan</t>
        </is>
      </c>
      <c r="B589" s="260" t="n">
        <v>1.53</v>
      </c>
      <c r="C589" s="260" t="n">
        <v>1.72</v>
      </c>
      <c r="D589" s="260" t="n">
        <v>18.25</v>
      </c>
      <c r="E589" s="259" t="inlineStr">
        <is>
          <t>--</t>
        </is>
      </c>
      <c r="F589" s="260" t="n">
        <v>1.72</v>
      </c>
      <c r="G589" s="260" t="n">
        <v>14.07</v>
      </c>
      <c r="H589" s="260" t="n">
        <v>0.75</v>
      </c>
      <c r="I589" s="260" t="n">
        <v>1.13</v>
      </c>
      <c r="J589" s="260" t="n">
        <v>0.9399999999999999</v>
      </c>
      <c r="K589" s="260" t="n">
        <v>-0.26</v>
      </c>
      <c r="L589" s="259" t="inlineStr">
        <is>
          <t>EQ-FLX</t>
        </is>
      </c>
    </row>
    <row r="590">
      <c r="A590" s="259" t="inlineStr">
        <is>
          <t>Nippon India Focused Equity Fund</t>
        </is>
      </c>
      <c r="B590" s="260" t="n">
        <v>6.65</v>
      </c>
      <c r="C590" s="260" t="n">
        <v>1.84</v>
      </c>
      <c r="D590" s="260" t="n">
        <v>18.2</v>
      </c>
      <c r="E590" s="260" t="n">
        <v>25.7</v>
      </c>
      <c r="F590" s="260" t="n">
        <v>1.84</v>
      </c>
      <c r="G590" s="260" t="n">
        <v>13.84</v>
      </c>
      <c r="H590" s="260" t="n">
        <v>0.76</v>
      </c>
      <c r="I590" s="260" t="n">
        <v>1.58</v>
      </c>
      <c r="J590" s="260" t="n">
        <v>0.91</v>
      </c>
      <c r="K590" s="260" t="n">
        <v>-0.02</v>
      </c>
      <c r="L590" s="259" t="inlineStr">
        <is>
          <t>EQ-FLX</t>
        </is>
      </c>
    </row>
    <row r="591">
      <c r="A591" s="259" t="inlineStr">
        <is>
          <t>Nippon India Growth Fund</t>
        </is>
      </c>
      <c r="B591" s="260" t="n">
        <v>8.619999999999999</v>
      </c>
      <c r="C591" s="260" t="n">
        <v>1.56</v>
      </c>
      <c r="D591" s="260" t="n">
        <v>29.08</v>
      </c>
      <c r="E591" s="260" t="n">
        <v>33.49</v>
      </c>
      <c r="F591" s="260" t="n">
        <v>1.56</v>
      </c>
      <c r="G591" s="260" t="n">
        <v>16.21</v>
      </c>
      <c r="H591" s="260" t="n">
        <v>1.23</v>
      </c>
      <c r="I591" s="260" t="n">
        <v>1.83</v>
      </c>
      <c r="J591" s="260" t="n">
        <v>0.93</v>
      </c>
      <c r="K591" s="260" t="n">
        <v>2.96</v>
      </c>
      <c r="L591" s="259" t="inlineStr">
        <is>
          <t>EQ-MC</t>
        </is>
      </c>
    </row>
    <row r="592">
      <c r="A592" s="259" t="inlineStr">
        <is>
          <t>Nippon India Growth Fund - Institutional Plan</t>
        </is>
      </c>
      <c r="B592" s="260" t="n">
        <v>2.04</v>
      </c>
      <c r="C592" s="259" t="inlineStr">
        <is>
          <t>--</t>
        </is>
      </c>
      <c r="D592" s="260" t="n">
        <v>26.69</v>
      </c>
      <c r="E592" s="260" t="n">
        <v>32.16</v>
      </c>
      <c r="F592" s="259" t="inlineStr">
        <is>
          <t>--</t>
        </is>
      </c>
      <c r="G592" s="260" t="n">
        <v>15.76</v>
      </c>
      <c r="H592" s="260" t="n">
        <v>1.14</v>
      </c>
      <c r="I592" s="260" t="n">
        <v>1.65</v>
      </c>
      <c r="J592" s="260" t="n">
        <v>0.89</v>
      </c>
      <c r="K592" s="260" t="n">
        <v>1.84</v>
      </c>
      <c r="L592" s="259" t="inlineStr">
        <is>
          <t>EQ-MC</t>
        </is>
      </c>
    </row>
    <row r="593">
      <c r="A593" s="259" t="inlineStr">
        <is>
          <t>Nippon India Index Fund - BSE Sensex Plan</t>
        </is>
      </c>
      <c r="B593" s="260" t="n">
        <v>7.25</v>
      </c>
      <c r="C593" s="260" t="n">
        <v>0.49</v>
      </c>
      <c r="D593" s="260" t="n">
        <v>15.18</v>
      </c>
      <c r="E593" s="260" t="n">
        <v>19.97</v>
      </c>
      <c r="F593" s="260" t="n">
        <v>0.49</v>
      </c>
      <c r="G593" s="260" t="n">
        <v>12.69</v>
      </c>
      <c r="H593" s="260" t="n">
        <v>0.62</v>
      </c>
      <c r="I593" s="260" t="n">
        <v>1.03</v>
      </c>
      <c r="J593" s="260" t="n">
        <v>0.91</v>
      </c>
      <c r="K593" s="260" t="n">
        <v>-1.54</v>
      </c>
      <c r="L593" s="259" t="inlineStr">
        <is>
          <t>EQ-LC</t>
        </is>
      </c>
    </row>
    <row r="594">
      <c r="A594" s="259" t="inlineStr">
        <is>
          <t>Nippon India Index Fund - Nifty 50 Plan</t>
        </is>
      </c>
      <c r="B594" s="260" t="n">
        <v>7.31</v>
      </c>
      <c r="C594" s="260" t="n">
        <v>0.42</v>
      </c>
      <c r="D594" s="260" t="n">
        <v>15.9</v>
      </c>
      <c r="E594" s="260" t="n">
        <v>20.38</v>
      </c>
      <c r="F594" s="260" t="n">
        <v>0.42</v>
      </c>
      <c r="G594" s="260" t="n">
        <v>13.11</v>
      </c>
      <c r="H594" s="260" t="n">
        <v>0.64</v>
      </c>
      <c r="I594" s="260" t="n">
        <v>1.1</v>
      </c>
      <c r="J594" s="260" t="n">
        <v>0.95</v>
      </c>
      <c r="K594" s="260" t="n">
        <v>-1.32</v>
      </c>
      <c r="L594" s="259" t="inlineStr">
        <is>
          <t>EQ-LC</t>
        </is>
      </c>
    </row>
    <row r="595" hidden="1">
      <c r="A595" s="259" t="inlineStr">
        <is>
          <t>Nippon India Innovation Fund - Regular Plan</t>
        </is>
      </c>
      <c r="B595" s="260" t="n">
        <v>2.29</v>
      </c>
      <c r="C595" s="260" t="n">
        <v>1.97</v>
      </c>
      <c r="D595" s="259" t="inlineStr">
        <is>
          <t>--</t>
        </is>
      </c>
      <c r="E595" s="259" t="inlineStr">
        <is>
          <t>--</t>
        </is>
      </c>
      <c r="F595" s="260" t="n">
        <v>1.97</v>
      </c>
      <c r="G595" s="259" t="inlineStr">
        <is>
          <t>--</t>
        </is>
      </c>
      <c r="H595" s="259" t="inlineStr">
        <is>
          <t>--</t>
        </is>
      </c>
      <c r="I595" s="259" t="inlineStr">
        <is>
          <t>--</t>
        </is>
      </c>
      <c r="J595" s="259" t="inlineStr">
        <is>
          <t>--</t>
        </is>
      </c>
      <c r="K595" s="259" t="inlineStr">
        <is>
          <t>--</t>
        </is>
      </c>
      <c r="L595" s="259" t="inlineStr">
        <is>
          <t>EQ-THEMATIC</t>
        </is>
      </c>
    </row>
    <row r="596">
      <c r="A596" s="259" t="inlineStr">
        <is>
          <t>Nippon India Large Cap Fund</t>
        </is>
      </c>
      <c r="B596" s="260" t="n">
        <v>7.14</v>
      </c>
      <c r="C596" s="260" t="n">
        <v>1.53</v>
      </c>
      <c r="D596" s="260" t="n">
        <v>23.54</v>
      </c>
      <c r="E596" s="260" t="n">
        <v>26.8</v>
      </c>
      <c r="F596" s="260" t="n">
        <v>1.53</v>
      </c>
      <c r="G596" s="260" t="n">
        <v>13.18</v>
      </c>
      <c r="H596" s="260" t="n">
        <v>1.12</v>
      </c>
      <c r="I596" s="260" t="n">
        <v>1.9</v>
      </c>
      <c r="J596" s="260" t="n">
        <v>0.9399999999999999</v>
      </c>
      <c r="K596" s="260" t="n">
        <v>5.13</v>
      </c>
      <c r="L596" s="259" t="inlineStr">
        <is>
          <t>EQ-LC</t>
        </is>
      </c>
    </row>
    <row r="597">
      <c r="A597" s="259" t="inlineStr">
        <is>
          <t>Nippon India Multi Asset Active FoF - Regular Plan</t>
        </is>
      </c>
      <c r="B597" s="260" t="n">
        <v>13.07</v>
      </c>
      <c r="C597" s="260" t="n">
        <v>1.16</v>
      </c>
      <c r="D597" s="260" t="n">
        <v>21.62</v>
      </c>
      <c r="E597" s="259" t="inlineStr">
        <is>
          <t>--</t>
        </is>
      </c>
      <c r="F597" s="260" t="n">
        <v>1.16</v>
      </c>
      <c r="G597" s="260" t="n">
        <v>7.86</v>
      </c>
      <c r="H597" s="260" t="n">
        <v>1.66</v>
      </c>
      <c r="I597" s="260" t="n">
        <v>2.73</v>
      </c>
      <c r="J597" s="260" t="n">
        <v>0.77</v>
      </c>
      <c r="K597" s="260" t="n">
        <v>6.2</v>
      </c>
      <c r="L597" s="259" t="inlineStr">
        <is>
          <t>HY-MAA</t>
        </is>
      </c>
    </row>
    <row r="598">
      <c r="A598" s="259" t="inlineStr">
        <is>
          <t>Nippon India Multi Asset Allocation Fund - Regular Plan</t>
        </is>
      </c>
      <c r="B598" s="260" t="n">
        <v>11.74</v>
      </c>
      <c r="C598" s="260" t="n">
        <v>1.45</v>
      </c>
      <c r="D598" s="260" t="n">
        <v>19.08</v>
      </c>
      <c r="E598" s="259" t="inlineStr">
        <is>
          <t>--</t>
        </is>
      </c>
      <c r="F598" s="260" t="n">
        <v>1.45</v>
      </c>
      <c r="G598" s="260" t="n">
        <v>8.76</v>
      </c>
      <c r="H598" s="260" t="n">
        <v>1.23</v>
      </c>
      <c r="I598" s="260" t="n">
        <v>2.17</v>
      </c>
      <c r="J598" s="260" t="n">
        <v>0.86</v>
      </c>
      <c r="K598" s="260" t="n">
        <v>3.12</v>
      </c>
      <c r="L598" s="259" t="inlineStr">
        <is>
          <t>HY-MAA</t>
        </is>
      </c>
    </row>
    <row r="599">
      <c r="A599" s="259" t="inlineStr">
        <is>
          <t>Nippon India Multi Cap Fund</t>
        </is>
      </c>
      <c r="B599" s="260" t="n">
        <v>5.56</v>
      </c>
      <c r="C599" s="260" t="n">
        <v>1.53</v>
      </c>
      <c r="D599" s="260" t="n">
        <v>28.15</v>
      </c>
      <c r="E599" s="260" t="n">
        <v>33.09</v>
      </c>
      <c r="F599" s="260" t="n">
        <v>1.53</v>
      </c>
      <c r="G599" s="260" t="n">
        <v>14.43</v>
      </c>
      <c r="H599" s="260" t="n">
        <v>1.31</v>
      </c>
      <c r="I599" s="260" t="n">
        <v>1.91</v>
      </c>
      <c r="J599" s="260" t="n">
        <v>0.88</v>
      </c>
      <c r="K599" s="260" t="n">
        <v>6.18</v>
      </c>
      <c r="L599" s="259" t="inlineStr">
        <is>
          <t>EQ-MLC</t>
        </is>
      </c>
    </row>
    <row r="600">
      <c r="A600" s="259" t="inlineStr">
        <is>
          <t>Nippon India Nifty 500 Equal Weight Index Fund - Regular Plan</t>
        </is>
      </c>
      <c r="B600" s="259" t="inlineStr">
        <is>
          <t>--</t>
        </is>
      </c>
      <c r="C600" s="260" t="n">
        <v>0.89</v>
      </c>
      <c r="D600" s="259" t="inlineStr">
        <is>
          <t>--</t>
        </is>
      </c>
      <c r="E600" s="259" t="inlineStr">
        <is>
          <t>--</t>
        </is>
      </c>
      <c r="F600" s="260" t="n">
        <v>0.89</v>
      </c>
      <c r="G600" s="259" t="inlineStr">
        <is>
          <t>--</t>
        </is>
      </c>
      <c r="H600" s="259" t="inlineStr">
        <is>
          <t>--</t>
        </is>
      </c>
      <c r="I600" s="259" t="inlineStr">
        <is>
          <t>--</t>
        </is>
      </c>
      <c r="J600" s="259" t="inlineStr">
        <is>
          <t>--</t>
        </is>
      </c>
      <c r="K600" s="259" t="inlineStr">
        <is>
          <t>--</t>
        </is>
      </c>
      <c r="L600" s="259" t="inlineStr">
        <is>
          <t>EQ-MLC</t>
        </is>
      </c>
    </row>
    <row r="601">
      <c r="A601" s="259" t="inlineStr">
        <is>
          <t>Nippon India Nifty 500 Low Volatility 50 Index Fund - Regular Plan</t>
        </is>
      </c>
      <c r="B601" s="259" t="inlineStr">
        <is>
          <t>--</t>
        </is>
      </c>
      <c r="C601" s="260" t="n">
        <v>0.9</v>
      </c>
      <c r="D601" s="259" t="inlineStr">
        <is>
          <t>--</t>
        </is>
      </c>
      <c r="E601" s="259" t="inlineStr">
        <is>
          <t>--</t>
        </is>
      </c>
      <c r="F601" s="260" t="n">
        <v>0.9</v>
      </c>
      <c r="G601" s="259" t="inlineStr">
        <is>
          <t>--</t>
        </is>
      </c>
      <c r="H601" s="259" t="inlineStr">
        <is>
          <t>--</t>
        </is>
      </c>
      <c r="I601" s="259" t="inlineStr">
        <is>
          <t>--</t>
        </is>
      </c>
      <c r="J601" s="259" t="inlineStr">
        <is>
          <t>--</t>
        </is>
      </c>
      <c r="K601" s="259" t="inlineStr">
        <is>
          <t>--</t>
        </is>
      </c>
      <c r="L601" s="259" t="inlineStr">
        <is>
          <t>EQ-FLX</t>
        </is>
      </c>
    </row>
    <row r="602">
      <c r="A602" s="259" t="inlineStr">
        <is>
          <t>Nippon India Nifty 500 Momentum 50 Index Fund - Regular Plan</t>
        </is>
      </c>
      <c r="B602" s="259" t="inlineStr">
        <is>
          <t>--</t>
        </is>
      </c>
      <c r="C602" s="260" t="n">
        <v>0.87</v>
      </c>
      <c r="D602" s="259" t="inlineStr">
        <is>
          <t>--</t>
        </is>
      </c>
      <c r="E602" s="259" t="inlineStr">
        <is>
          <t>--</t>
        </is>
      </c>
      <c r="F602" s="260" t="n">
        <v>0.87</v>
      </c>
      <c r="G602" s="259" t="inlineStr">
        <is>
          <t>--</t>
        </is>
      </c>
      <c r="H602" s="259" t="inlineStr">
        <is>
          <t>--</t>
        </is>
      </c>
      <c r="I602" s="259" t="inlineStr">
        <is>
          <t>--</t>
        </is>
      </c>
      <c r="J602" s="259" t="inlineStr">
        <is>
          <t>--</t>
        </is>
      </c>
      <c r="K602" s="259" t="inlineStr">
        <is>
          <t>--</t>
        </is>
      </c>
      <c r="L602" s="259" t="inlineStr">
        <is>
          <t>EQ-FLX</t>
        </is>
      </c>
    </row>
    <row r="603">
      <c r="A603" s="259" t="inlineStr">
        <is>
          <t>Nippon India Nifty 500 Quality 50 Index Fund - Regular Plan</t>
        </is>
      </c>
      <c r="B603" s="259" t="inlineStr">
        <is>
          <t>--</t>
        </is>
      </c>
      <c r="C603" s="260" t="n">
        <v>0.91</v>
      </c>
      <c r="D603" s="259" t="inlineStr">
        <is>
          <t>--</t>
        </is>
      </c>
      <c r="E603" s="259" t="inlineStr">
        <is>
          <t>--</t>
        </is>
      </c>
      <c r="F603" s="260" t="n">
        <v>0.91</v>
      </c>
      <c r="G603" s="259" t="inlineStr">
        <is>
          <t>--</t>
        </is>
      </c>
      <c r="H603" s="259" t="inlineStr">
        <is>
          <t>--</t>
        </is>
      </c>
      <c r="I603" s="259" t="inlineStr">
        <is>
          <t>--</t>
        </is>
      </c>
      <c r="J603" s="259" t="inlineStr">
        <is>
          <t>--</t>
        </is>
      </c>
      <c r="K603" s="259" t="inlineStr">
        <is>
          <t>--</t>
        </is>
      </c>
      <c r="L603" s="259" t="inlineStr">
        <is>
          <t>EQ-FLX</t>
        </is>
      </c>
    </row>
    <row r="604">
      <c r="A604" s="259" t="inlineStr">
        <is>
          <t>Nippon India Nifty Alpha Low Volatility 30 Index Fund - Regular Plan</t>
        </is>
      </c>
      <c r="B604" s="260" t="n">
        <v>-4.06</v>
      </c>
      <c r="C604" s="260" t="n">
        <v>0.89</v>
      </c>
      <c r="D604" s="259" t="inlineStr">
        <is>
          <t>--</t>
        </is>
      </c>
      <c r="E604" s="259" t="inlineStr">
        <is>
          <t>--</t>
        </is>
      </c>
      <c r="F604" s="260" t="n">
        <v>0.89</v>
      </c>
      <c r="G604" s="259" t="inlineStr">
        <is>
          <t>--</t>
        </is>
      </c>
      <c r="H604" s="259" t="inlineStr">
        <is>
          <t>--</t>
        </is>
      </c>
      <c r="I604" s="259" t="inlineStr">
        <is>
          <t>--</t>
        </is>
      </c>
      <c r="J604" s="259" t="inlineStr">
        <is>
          <t>--</t>
        </is>
      </c>
      <c r="K604" s="259" t="inlineStr">
        <is>
          <t>--</t>
        </is>
      </c>
      <c r="L604" s="259" t="inlineStr">
        <is>
          <t>EQ-L&amp;MC</t>
        </is>
      </c>
    </row>
    <row r="605" hidden="1">
      <c r="A605" s="259" t="inlineStr">
        <is>
          <t>Nippon India Nifty Auto ETF</t>
        </is>
      </c>
      <c r="B605" s="260" t="n">
        <v>-6.63</v>
      </c>
      <c r="C605" s="260" t="n">
        <v>0.22</v>
      </c>
      <c r="D605" s="260" t="n">
        <v>27.83</v>
      </c>
      <c r="E605" s="259" t="inlineStr">
        <is>
          <t>--</t>
        </is>
      </c>
      <c r="F605" s="260" t="n">
        <v>0.22</v>
      </c>
      <c r="G605" s="260" t="n">
        <v>18.1</v>
      </c>
      <c r="H605" s="260" t="n">
        <v>1.08</v>
      </c>
      <c r="I605" s="260" t="n">
        <v>1.4</v>
      </c>
      <c r="J605" s="260" t="n">
        <v>1</v>
      </c>
      <c r="K605" s="260" t="n">
        <v>7.99</v>
      </c>
      <c r="L605" s="259" t="inlineStr">
        <is>
          <t>EQ-THEMATIC</t>
        </is>
      </c>
    </row>
    <row r="606" hidden="1">
      <c r="A606" s="259" t="inlineStr">
        <is>
          <t>Nippon India Nifty Auto Index Fund - Regular Plan</t>
        </is>
      </c>
      <c r="B606" s="259" t="inlineStr">
        <is>
          <t>--</t>
        </is>
      </c>
      <c r="C606" s="260" t="n">
        <v>0.86</v>
      </c>
      <c r="D606" s="259" t="inlineStr">
        <is>
          <t>--</t>
        </is>
      </c>
      <c r="E606" s="259" t="inlineStr">
        <is>
          <t>--</t>
        </is>
      </c>
      <c r="F606" s="260" t="n">
        <v>0.86</v>
      </c>
      <c r="G606" s="259" t="inlineStr">
        <is>
          <t>--</t>
        </is>
      </c>
      <c r="H606" s="259" t="inlineStr">
        <is>
          <t>--</t>
        </is>
      </c>
      <c r="I606" s="259" t="inlineStr">
        <is>
          <t>--</t>
        </is>
      </c>
      <c r="J606" s="259" t="inlineStr">
        <is>
          <t>--</t>
        </is>
      </c>
      <c r="K606" s="259" t="inlineStr">
        <is>
          <t>--</t>
        </is>
      </c>
      <c r="L606" s="259" t="inlineStr">
        <is>
          <t>EQ-THEMATIC</t>
        </is>
      </c>
    </row>
    <row r="607">
      <c r="A607" s="259" t="inlineStr">
        <is>
          <t>Nippon India Nifty Midcap 150 Index Fund - Regular Plan</t>
        </is>
      </c>
      <c r="B607" s="260" t="n">
        <v>5.44</v>
      </c>
      <c r="C607" s="260" t="n">
        <v>0.8</v>
      </c>
      <c r="D607" s="260" t="n">
        <v>27.03</v>
      </c>
      <c r="E607" s="259" t="inlineStr">
        <is>
          <t>--</t>
        </is>
      </c>
      <c r="F607" s="260" t="n">
        <v>0.8</v>
      </c>
      <c r="G607" s="260" t="n">
        <v>16.97</v>
      </c>
      <c r="H607" s="260" t="n">
        <v>1.06</v>
      </c>
      <c r="I607" s="260" t="n">
        <v>1.53</v>
      </c>
      <c r="J607" s="260" t="n">
        <v>1</v>
      </c>
      <c r="K607" s="260" t="n">
        <v>-0.06</v>
      </c>
      <c r="L607" s="259" t="inlineStr">
        <is>
          <t>EQ-MC</t>
        </is>
      </c>
    </row>
    <row r="608">
      <c r="A608" s="259" t="inlineStr">
        <is>
          <t>Nippon India Nifty Next 50 Junior BeES FoF - Regular Plan</t>
        </is>
      </c>
      <c r="B608" s="260" t="n">
        <v>-3.5</v>
      </c>
      <c r="C608" s="260" t="n">
        <v>0.29</v>
      </c>
      <c r="D608" s="260" t="n">
        <v>21.61</v>
      </c>
      <c r="E608" s="260" t="n">
        <v>22.2</v>
      </c>
      <c r="F608" s="260" t="n">
        <v>0.29</v>
      </c>
      <c r="G608" s="260" t="n">
        <v>19.33</v>
      </c>
      <c r="H608" s="260" t="n">
        <v>0.71</v>
      </c>
      <c r="I608" s="260" t="n">
        <v>1.05</v>
      </c>
      <c r="J608" s="260" t="n">
        <v>1.28</v>
      </c>
      <c r="K608" s="260" t="n">
        <v>0.57</v>
      </c>
      <c r="L608" s="259" t="inlineStr">
        <is>
          <t>EQ-LC</t>
        </is>
      </c>
    </row>
    <row r="609" hidden="1">
      <c r="A609" s="259" t="inlineStr">
        <is>
          <t>Nippon India Nifty Realty Index Fund - Regular Plan</t>
        </is>
      </c>
      <c r="B609" s="259" t="inlineStr">
        <is>
          <t>--</t>
        </is>
      </c>
      <c r="C609" s="260" t="n">
        <v>0.88</v>
      </c>
      <c r="D609" s="259" t="inlineStr">
        <is>
          <t>--</t>
        </is>
      </c>
      <c r="E609" s="259" t="inlineStr">
        <is>
          <t>--</t>
        </is>
      </c>
      <c r="F609" s="260" t="n">
        <v>0.88</v>
      </c>
      <c r="G609" s="259" t="inlineStr">
        <is>
          <t>--</t>
        </is>
      </c>
      <c r="H609" s="259" t="inlineStr">
        <is>
          <t>--</t>
        </is>
      </c>
      <c r="I609" s="259" t="inlineStr">
        <is>
          <t>--</t>
        </is>
      </c>
      <c r="J609" s="259" t="inlineStr">
        <is>
          <t>--</t>
        </is>
      </c>
      <c r="K609" s="259" t="inlineStr">
        <is>
          <t>--</t>
        </is>
      </c>
      <c r="L609" s="259" t="inlineStr">
        <is>
          <t>EQ-THEMATIC</t>
        </is>
      </c>
    </row>
    <row r="610">
      <c r="A610" s="259" t="inlineStr">
        <is>
          <t>Nippon India Nifty Smallcap 250 Index Fund - Regular Plan</t>
        </is>
      </c>
      <c r="B610" s="260" t="n">
        <v>3.12</v>
      </c>
      <c r="C610" s="260" t="n">
        <v>0.95</v>
      </c>
      <c r="D610" s="260" t="n">
        <v>25.55</v>
      </c>
      <c r="E610" s="259" t="inlineStr">
        <is>
          <t>--</t>
        </is>
      </c>
      <c r="F610" s="260" t="n">
        <v>0.95</v>
      </c>
      <c r="G610" s="260" t="n">
        <v>19.85</v>
      </c>
      <c r="H610" s="260" t="n">
        <v>0.86</v>
      </c>
      <c r="I610" s="260" t="n">
        <v>1.26</v>
      </c>
      <c r="J610" s="260" t="n">
        <v>1.01</v>
      </c>
      <c r="K610" s="260" t="n">
        <v>-1.28</v>
      </c>
      <c r="L610" s="259" t="inlineStr">
        <is>
          <t>EQ-SC</t>
        </is>
      </c>
    </row>
    <row r="611" hidden="1">
      <c r="A611" s="259" t="inlineStr">
        <is>
          <t>Nippon India Quant Fund - Retail Plan</t>
        </is>
      </c>
      <c r="B611" s="260" t="n">
        <v>6.97</v>
      </c>
      <c r="C611" s="260" t="n">
        <v>0.9399999999999999</v>
      </c>
      <c r="D611" s="260" t="n">
        <v>23.56</v>
      </c>
      <c r="E611" s="260" t="n">
        <v>24.6</v>
      </c>
      <c r="F611" s="260" t="n">
        <v>0.9399999999999999</v>
      </c>
      <c r="G611" s="260" t="n">
        <v>14.43</v>
      </c>
      <c r="H611" s="260" t="n">
        <v>1.05</v>
      </c>
      <c r="I611" s="260" t="n">
        <v>1.69</v>
      </c>
      <c r="J611" s="260" t="n">
        <v>0.96</v>
      </c>
      <c r="K611" s="260" t="n">
        <v>4.08</v>
      </c>
      <c r="L611" s="259" t="inlineStr">
        <is>
          <t>EQ-THEMATIC</t>
        </is>
      </c>
    </row>
    <row r="612">
      <c r="A612" s="259" t="inlineStr">
        <is>
          <t>Nippon India Retirement Fund - Wealth Creation Scheme</t>
        </is>
      </c>
      <c r="B612" s="260" t="n">
        <v>4.54</v>
      </c>
      <c r="C612" s="260" t="n">
        <v>1.93</v>
      </c>
      <c r="D612" s="260" t="n">
        <v>20.84</v>
      </c>
      <c r="E612" s="260" t="n">
        <v>23.24</v>
      </c>
      <c r="F612" s="260" t="n">
        <v>1.93</v>
      </c>
      <c r="G612" s="260" t="n">
        <v>14.44</v>
      </c>
      <c r="H612" s="260" t="n">
        <v>0.88</v>
      </c>
      <c r="I612" s="260" t="n">
        <v>1.28</v>
      </c>
      <c r="J612" s="260" t="n">
        <v>0.97</v>
      </c>
      <c r="K612" s="260" t="n">
        <v>1.53</v>
      </c>
      <c r="L612" s="259" t="inlineStr">
        <is>
          <t>EQ-FLX</t>
        </is>
      </c>
    </row>
    <row r="613">
      <c r="A613" s="259" t="inlineStr">
        <is>
          <t>Nippon India Small Cap Fund</t>
        </is>
      </c>
      <c r="B613" s="260" t="n">
        <v>1.98</v>
      </c>
      <c r="C613" s="260" t="n">
        <v>1.41</v>
      </c>
      <c r="D613" s="260" t="n">
        <v>28.56</v>
      </c>
      <c r="E613" s="260" t="n">
        <v>38.79</v>
      </c>
      <c r="F613" s="260" t="n">
        <v>1.41</v>
      </c>
      <c r="G613" s="260" t="n">
        <v>16.86</v>
      </c>
      <c r="H613" s="260" t="n">
        <v>1.15</v>
      </c>
      <c r="I613" s="260" t="n">
        <v>1.59</v>
      </c>
      <c r="J613" s="260" t="n">
        <v>0.84</v>
      </c>
      <c r="K613" s="260" t="n">
        <v>4.08</v>
      </c>
      <c r="L613" s="259" t="inlineStr">
        <is>
          <t>EQ-SC</t>
        </is>
      </c>
    </row>
    <row r="614">
      <c r="A614" s="259" t="inlineStr">
        <is>
          <t>Nippon India Vision Fund</t>
        </is>
      </c>
      <c r="B614" s="260" t="n">
        <v>7.4</v>
      </c>
      <c r="C614" s="260" t="n">
        <v>1.93</v>
      </c>
      <c r="D614" s="260" t="n">
        <v>23.8</v>
      </c>
      <c r="E614" s="260" t="n">
        <v>27.19</v>
      </c>
      <c r="F614" s="260" t="n">
        <v>1.93</v>
      </c>
      <c r="G614" s="260" t="n">
        <v>14.06</v>
      </c>
      <c r="H614" s="260" t="n">
        <v>1.08</v>
      </c>
      <c r="I614" s="260" t="n">
        <v>1.47</v>
      </c>
      <c r="J614" s="260" t="n">
        <v>0.95</v>
      </c>
      <c r="K614" s="260" t="n">
        <v>4.63</v>
      </c>
      <c r="L614" s="259" t="inlineStr">
        <is>
          <t>EQ-L&amp;MC</t>
        </is>
      </c>
    </row>
    <row r="615">
      <c r="A615" s="259" t="inlineStr">
        <is>
          <t>NJ Balanced Advantage Fund - Regular Plan</t>
        </is>
      </c>
      <c r="B615" s="260" t="n">
        <v>1.5</v>
      </c>
      <c r="C615" s="260" t="n">
        <v>1.89</v>
      </c>
      <c r="D615" s="260" t="n">
        <v>13.27</v>
      </c>
      <c r="E615" s="259" t="inlineStr">
        <is>
          <t>--</t>
        </is>
      </c>
      <c r="F615" s="260" t="n">
        <v>1.89</v>
      </c>
      <c r="G615" s="260" t="n">
        <v>9.06</v>
      </c>
      <c r="H615" s="260" t="n">
        <v>0.65</v>
      </c>
      <c r="I615" s="260" t="n">
        <v>0.91</v>
      </c>
      <c r="J615" s="260" t="n">
        <v>0.8100000000000001</v>
      </c>
      <c r="K615" s="260" t="n">
        <v>-0.5</v>
      </c>
      <c r="L615" s="259" t="inlineStr">
        <is>
          <t>HY-DAA</t>
        </is>
      </c>
    </row>
    <row r="616">
      <c r="A616" s="259" t="inlineStr">
        <is>
          <t>NJ Flexi Cap Fund - Regular Plan</t>
        </is>
      </c>
      <c r="B616" s="260" t="n">
        <v>-3.97</v>
      </c>
      <c r="C616" s="260" t="n">
        <v>1.99</v>
      </c>
      <c r="D616" s="259" t="inlineStr">
        <is>
          <t>--</t>
        </is>
      </c>
      <c r="E616" s="259" t="inlineStr">
        <is>
          <t>--</t>
        </is>
      </c>
      <c r="F616" s="260" t="n">
        <v>1.99</v>
      </c>
      <c r="G616" s="259" t="inlineStr">
        <is>
          <t>--</t>
        </is>
      </c>
      <c r="H616" s="259" t="inlineStr">
        <is>
          <t>--</t>
        </is>
      </c>
      <c r="I616" s="259" t="inlineStr">
        <is>
          <t>--</t>
        </is>
      </c>
      <c r="J616" s="259" t="inlineStr">
        <is>
          <t>--</t>
        </is>
      </c>
      <c r="K616" s="259" t="inlineStr">
        <is>
          <t>--</t>
        </is>
      </c>
      <c r="L616" s="259" t="inlineStr">
        <is>
          <t>EQ-FLX</t>
        </is>
      </c>
    </row>
    <row r="617">
      <c r="A617" s="259" t="inlineStr">
        <is>
          <t>Old Bridge Focused Equity Fund - Regular Plan</t>
        </is>
      </c>
      <c r="B617" s="260" t="n">
        <v>9.09</v>
      </c>
      <c r="C617" s="260" t="n">
        <v>2.12</v>
      </c>
      <c r="D617" s="259" t="inlineStr">
        <is>
          <t>--</t>
        </is>
      </c>
      <c r="E617" s="259" t="inlineStr">
        <is>
          <t>--</t>
        </is>
      </c>
      <c r="F617" s="260" t="n">
        <v>2.12</v>
      </c>
      <c r="G617" s="259" t="inlineStr">
        <is>
          <t>--</t>
        </is>
      </c>
      <c r="H617" s="259" t="inlineStr">
        <is>
          <t>--</t>
        </is>
      </c>
      <c r="I617" s="259" t="inlineStr">
        <is>
          <t>--</t>
        </is>
      </c>
      <c r="J617" s="259" t="inlineStr">
        <is>
          <t>--</t>
        </is>
      </c>
      <c r="K617" s="259" t="inlineStr">
        <is>
          <t>--</t>
        </is>
      </c>
      <c r="L617" s="259" t="inlineStr">
        <is>
          <t>EQ-FLX</t>
        </is>
      </c>
    </row>
    <row r="618">
      <c r="A618" s="259" t="inlineStr">
        <is>
          <t>Parag Parikh Dynamic Asset Allocation Fund - Regular Plan</t>
        </is>
      </c>
      <c r="B618" s="260" t="n">
        <v>8.31</v>
      </c>
      <c r="C618" s="260" t="n">
        <v>0.63</v>
      </c>
      <c r="D618" s="259" t="inlineStr">
        <is>
          <t>--</t>
        </is>
      </c>
      <c r="E618" s="259" t="inlineStr">
        <is>
          <t>--</t>
        </is>
      </c>
      <c r="F618" s="260" t="n">
        <v>0.63</v>
      </c>
      <c r="G618" s="259" t="inlineStr">
        <is>
          <t>--</t>
        </is>
      </c>
      <c r="H618" s="259" t="inlineStr">
        <is>
          <t>--</t>
        </is>
      </c>
      <c r="I618" s="259" t="inlineStr">
        <is>
          <t>--</t>
        </is>
      </c>
      <c r="J618" s="259" t="inlineStr">
        <is>
          <t>--</t>
        </is>
      </c>
      <c r="K618" s="259" t="inlineStr">
        <is>
          <t>--</t>
        </is>
      </c>
      <c r="L618" s="259" t="inlineStr">
        <is>
          <t>HY-DAA</t>
        </is>
      </c>
    </row>
    <row r="619">
      <c r="A619" s="259" t="inlineStr">
        <is>
          <t>Parag Parikh Flexi Cap Fund - Regular Plan</t>
        </is>
      </c>
      <c r="B619" s="260" t="n">
        <v>12.01</v>
      </c>
      <c r="C619" s="260" t="n">
        <v>1.28</v>
      </c>
      <c r="D619" s="260" t="n">
        <v>22.57</v>
      </c>
      <c r="E619" s="260" t="n">
        <v>26.41</v>
      </c>
      <c r="F619" s="260" t="n">
        <v>1.28</v>
      </c>
      <c r="G619" s="260" t="n">
        <v>10</v>
      </c>
      <c r="H619" s="260" t="n">
        <v>1.34</v>
      </c>
      <c r="I619" s="260" t="n">
        <v>1.75</v>
      </c>
      <c r="J619" s="260" t="n">
        <v>0.61</v>
      </c>
      <c r="K619" s="260" t="n">
        <v>6.3</v>
      </c>
      <c r="L619" s="259" t="inlineStr">
        <is>
          <t>EQ-FLX</t>
        </is>
      </c>
    </row>
    <row r="620">
      <c r="A620" s="259" t="inlineStr">
        <is>
          <t>PGIM India Balanced Advantage Fund - Regular Plan</t>
        </is>
      </c>
      <c r="B620" s="260" t="n">
        <v>7.92</v>
      </c>
      <c r="C620" s="260" t="n">
        <v>2.19</v>
      </c>
      <c r="D620" s="260" t="n">
        <v>12.28</v>
      </c>
      <c r="E620" s="259" t="inlineStr">
        <is>
          <t>--</t>
        </is>
      </c>
      <c r="F620" s="260" t="n">
        <v>2.19</v>
      </c>
      <c r="G620" s="260" t="n">
        <v>9.25</v>
      </c>
      <c r="H620" s="260" t="n">
        <v>0.54</v>
      </c>
      <c r="I620" s="260" t="n">
        <v>0.9399999999999999</v>
      </c>
      <c r="J620" s="260" t="n">
        <v>0.85</v>
      </c>
      <c r="K620" s="260" t="n">
        <v>-1.78</v>
      </c>
      <c r="L620" s="259" t="inlineStr">
        <is>
          <t>HY-DAA</t>
        </is>
      </c>
    </row>
    <row r="621">
      <c r="A621" s="259" t="inlineStr">
        <is>
          <t>PGIM India Flexi Cap Fund - Regular Plan</t>
        </is>
      </c>
      <c r="B621" s="260" t="n">
        <v>8.52</v>
      </c>
      <c r="C621" s="260" t="n">
        <v>1.78</v>
      </c>
      <c r="D621" s="260" t="n">
        <v>15.64</v>
      </c>
      <c r="E621" s="260" t="n">
        <v>23.04</v>
      </c>
      <c r="F621" s="260" t="n">
        <v>1.78</v>
      </c>
      <c r="G621" s="260" t="n">
        <v>13.54</v>
      </c>
      <c r="H621" s="260" t="n">
        <v>0.58</v>
      </c>
      <c r="I621" s="260" t="n">
        <v>0.91</v>
      </c>
      <c r="J621" s="260" t="n">
        <v>0.89</v>
      </c>
      <c r="K621" s="260" t="n">
        <v>-2.34</v>
      </c>
      <c r="L621" s="259" t="inlineStr">
        <is>
          <t>EQ-FLX</t>
        </is>
      </c>
    </row>
    <row r="622">
      <c r="A622" s="259" t="inlineStr">
        <is>
          <t>PGIM India Large and Mid Cap Fund - Regular Plan</t>
        </is>
      </c>
      <c r="B622" s="260" t="n">
        <v>10.19</v>
      </c>
      <c r="C622" s="260" t="n">
        <v>2.31</v>
      </c>
      <c r="D622" s="259" t="inlineStr">
        <is>
          <t>--</t>
        </is>
      </c>
      <c r="E622" s="259" t="inlineStr">
        <is>
          <t>--</t>
        </is>
      </c>
      <c r="F622" s="260" t="n">
        <v>2.31</v>
      </c>
      <c r="G622" s="259" t="inlineStr">
        <is>
          <t>--</t>
        </is>
      </c>
      <c r="H622" s="259" t="inlineStr">
        <is>
          <t>--</t>
        </is>
      </c>
      <c r="I622" s="259" t="inlineStr">
        <is>
          <t>--</t>
        </is>
      </c>
      <c r="J622" s="259" t="inlineStr">
        <is>
          <t>--</t>
        </is>
      </c>
      <c r="K622" s="259" t="inlineStr">
        <is>
          <t>--</t>
        </is>
      </c>
      <c r="L622" s="259" t="inlineStr">
        <is>
          <t>EQ-L&amp;MC</t>
        </is>
      </c>
    </row>
    <row r="623">
      <c r="A623" s="259" t="inlineStr">
        <is>
          <t>PGIM India Large Cap Fund</t>
        </is>
      </c>
      <c r="B623" s="260" t="n">
        <v>5.93</v>
      </c>
      <c r="C623" s="260" t="n">
        <v>2.38</v>
      </c>
      <c r="D623" s="260" t="n">
        <v>15.04</v>
      </c>
      <c r="E623" s="260" t="n">
        <v>18.11</v>
      </c>
      <c r="F623" s="260" t="n">
        <v>2.38</v>
      </c>
      <c r="G623" s="260" t="n">
        <v>12.88</v>
      </c>
      <c r="H623" s="260" t="n">
        <v>0.59</v>
      </c>
      <c r="I623" s="260" t="n">
        <v>0.92</v>
      </c>
      <c r="J623" s="260" t="n">
        <v>0.92</v>
      </c>
      <c r="K623" s="260" t="n">
        <v>-1.77</v>
      </c>
      <c r="L623" s="259" t="inlineStr">
        <is>
          <t>EQ-LC</t>
        </is>
      </c>
    </row>
    <row r="624">
      <c r="A624" s="259" t="inlineStr">
        <is>
          <t>PGIM India Midcap Opportunities Fund - Regular Plan</t>
        </is>
      </c>
      <c r="B624" s="260" t="n">
        <v>6.51</v>
      </c>
      <c r="C624" s="260" t="n">
        <v>1.7</v>
      </c>
      <c r="D624" s="260" t="n">
        <v>17.63</v>
      </c>
      <c r="E624" s="260" t="n">
        <v>29.59</v>
      </c>
      <c r="F624" s="260" t="n">
        <v>1.7</v>
      </c>
      <c r="G624" s="260" t="n">
        <v>15.11</v>
      </c>
      <c r="H624" s="260" t="n">
        <v>0.65</v>
      </c>
      <c r="I624" s="260" t="n">
        <v>0.9399999999999999</v>
      </c>
      <c r="J624" s="260" t="n">
        <v>0.83</v>
      </c>
      <c r="K624" s="260" t="n">
        <v>-5.26</v>
      </c>
      <c r="L624" s="259" t="inlineStr">
        <is>
          <t>EQ-MC</t>
        </is>
      </c>
    </row>
    <row r="625">
      <c r="A625" s="259" t="inlineStr">
        <is>
          <t>PGIM India Multi Cap Fund - Regular Plan</t>
        </is>
      </c>
      <c r="B625" s="259" t="inlineStr">
        <is>
          <t>--</t>
        </is>
      </c>
      <c r="C625" s="260" t="n">
        <v>2.38</v>
      </c>
      <c r="D625" s="259" t="inlineStr">
        <is>
          <t>--</t>
        </is>
      </c>
      <c r="E625" s="259" t="inlineStr">
        <is>
          <t>--</t>
        </is>
      </c>
      <c r="F625" s="260" t="n">
        <v>2.38</v>
      </c>
      <c r="G625" s="259" t="inlineStr">
        <is>
          <t>--</t>
        </is>
      </c>
      <c r="H625" s="259" t="inlineStr">
        <is>
          <t>--</t>
        </is>
      </c>
      <c r="I625" s="259" t="inlineStr">
        <is>
          <t>--</t>
        </is>
      </c>
      <c r="J625" s="259" t="inlineStr">
        <is>
          <t>--</t>
        </is>
      </c>
      <c r="K625" s="259" t="inlineStr">
        <is>
          <t>--</t>
        </is>
      </c>
      <c r="L625" s="259" t="inlineStr">
        <is>
          <t>EQ-MLC</t>
        </is>
      </c>
    </row>
    <row r="626">
      <c r="A626" s="259" t="inlineStr">
        <is>
          <t>PGIM India Retirement Fund - Regular Plan</t>
        </is>
      </c>
      <c r="B626" s="260" t="n">
        <v>11.1</v>
      </c>
      <c r="C626" s="260" t="n">
        <v>2.32</v>
      </c>
      <c r="D626" s="259" t="inlineStr">
        <is>
          <t>--</t>
        </is>
      </c>
      <c r="E626" s="259" t="inlineStr">
        <is>
          <t>--</t>
        </is>
      </c>
      <c r="F626" s="260" t="n">
        <v>2.32</v>
      </c>
      <c r="G626" s="259" t="inlineStr">
        <is>
          <t>--</t>
        </is>
      </c>
      <c r="H626" s="259" t="inlineStr">
        <is>
          <t>--</t>
        </is>
      </c>
      <c r="I626" s="259" t="inlineStr">
        <is>
          <t>--</t>
        </is>
      </c>
      <c r="J626" s="259" t="inlineStr">
        <is>
          <t>--</t>
        </is>
      </c>
      <c r="K626" s="259" t="inlineStr">
        <is>
          <t>--</t>
        </is>
      </c>
      <c r="L626" s="259" t="inlineStr">
        <is>
          <t>EQ-MLC</t>
        </is>
      </c>
    </row>
    <row r="627">
      <c r="A627" s="259" t="inlineStr">
        <is>
          <t>PGIM India Small Cap Fund - Regular Plan</t>
        </is>
      </c>
      <c r="B627" s="260" t="n">
        <v>5.97</v>
      </c>
      <c r="C627" s="260" t="n">
        <v>2.08</v>
      </c>
      <c r="D627" s="260" t="n">
        <v>16.32</v>
      </c>
      <c r="E627" s="259" t="inlineStr">
        <is>
          <t>--</t>
        </is>
      </c>
      <c r="F627" s="260" t="n">
        <v>2.08</v>
      </c>
      <c r="G627" s="260" t="n">
        <v>16.17</v>
      </c>
      <c r="H627" s="260" t="n">
        <v>0.57</v>
      </c>
      <c r="I627" s="260" t="n">
        <v>0.89</v>
      </c>
      <c r="J627" s="260" t="n">
        <v>0.78</v>
      </c>
      <c r="K627" s="260" t="n">
        <v>-4.96</v>
      </c>
      <c r="L627" s="259" t="inlineStr">
        <is>
          <t>EQ-SC</t>
        </is>
      </c>
    </row>
    <row r="628">
      <c r="A628" s="259" t="inlineStr">
        <is>
          <t>Quant Active Fund</t>
        </is>
      </c>
      <c r="B628" s="260" t="n">
        <v>-9.51</v>
      </c>
      <c r="C628" s="260" t="n">
        <v>1.73</v>
      </c>
      <c r="D628" s="260" t="n">
        <v>17.04</v>
      </c>
      <c r="E628" s="260" t="n">
        <v>29.54</v>
      </c>
      <c r="F628" s="260" t="n">
        <v>1.73</v>
      </c>
      <c r="G628" s="260" t="n">
        <v>17.33</v>
      </c>
      <c r="H628" s="260" t="n">
        <v>0.6</v>
      </c>
      <c r="I628" s="260" t="n">
        <v>0.88</v>
      </c>
      <c r="J628" s="260" t="n">
        <v>1.04</v>
      </c>
      <c r="K628" s="260" t="n">
        <v>-4.79</v>
      </c>
      <c r="L628" s="259" t="inlineStr">
        <is>
          <t>EQ-MLC</t>
        </is>
      </c>
    </row>
    <row r="629" hidden="1">
      <c r="A629" s="259" t="inlineStr">
        <is>
          <t>Quant Business Cycle Fund - Regular Plan</t>
        </is>
      </c>
      <c r="B629" s="260" t="n">
        <v>-4.28</v>
      </c>
      <c r="C629" s="260" t="n">
        <v>2.09</v>
      </c>
      <c r="D629" s="259" t="inlineStr">
        <is>
          <t>--</t>
        </is>
      </c>
      <c r="E629" s="259" t="inlineStr">
        <is>
          <t>--</t>
        </is>
      </c>
      <c r="F629" s="260" t="n">
        <v>2.09</v>
      </c>
      <c r="G629" s="259" t="inlineStr">
        <is>
          <t>--</t>
        </is>
      </c>
      <c r="H629" s="259" t="inlineStr">
        <is>
          <t>--</t>
        </is>
      </c>
      <c r="I629" s="259" t="inlineStr">
        <is>
          <t>--</t>
        </is>
      </c>
      <c r="J629" s="259" t="inlineStr">
        <is>
          <t>--</t>
        </is>
      </c>
      <c r="K629" s="259" t="inlineStr">
        <is>
          <t>--</t>
        </is>
      </c>
      <c r="L629" s="259" t="inlineStr">
        <is>
          <t>EQ-THEMATIC</t>
        </is>
      </c>
    </row>
    <row r="630" hidden="1">
      <c r="A630" s="259" t="inlineStr">
        <is>
          <t>Quant Commodities Fund - Regular Plan</t>
        </is>
      </c>
      <c r="B630" s="260" t="n">
        <v>1.78</v>
      </c>
      <c r="C630" s="260" t="n">
        <v>2.42</v>
      </c>
      <c r="D630" s="259" t="inlineStr">
        <is>
          <t>--</t>
        </is>
      </c>
      <c r="E630" s="259" t="inlineStr">
        <is>
          <t>--</t>
        </is>
      </c>
      <c r="F630" s="260" t="n">
        <v>2.42</v>
      </c>
      <c r="G630" s="259" t="inlineStr">
        <is>
          <t>--</t>
        </is>
      </c>
      <c r="H630" s="259" t="inlineStr">
        <is>
          <t>--</t>
        </is>
      </c>
      <c r="I630" s="259" t="inlineStr">
        <is>
          <t>--</t>
        </is>
      </c>
      <c r="J630" s="259" t="inlineStr">
        <is>
          <t>--</t>
        </is>
      </c>
      <c r="K630" s="259" t="inlineStr">
        <is>
          <t>--</t>
        </is>
      </c>
      <c r="L630" s="259" t="inlineStr">
        <is>
          <t>EQ-THEMATIC</t>
        </is>
      </c>
    </row>
    <row r="631" hidden="1">
      <c r="A631" s="259" t="inlineStr">
        <is>
          <t>Quant Consumption Fund - Regular Plan</t>
        </is>
      </c>
      <c r="B631" s="260" t="n">
        <v>-6.35</v>
      </c>
      <c r="C631" s="260" t="n">
        <v>2.42</v>
      </c>
      <c r="D631" s="259" t="inlineStr">
        <is>
          <t>--</t>
        </is>
      </c>
      <c r="E631" s="259" t="inlineStr">
        <is>
          <t>--</t>
        </is>
      </c>
      <c r="F631" s="260" t="n">
        <v>2.42</v>
      </c>
      <c r="G631" s="259" t="inlineStr">
        <is>
          <t>--</t>
        </is>
      </c>
      <c r="H631" s="259" t="inlineStr">
        <is>
          <t>--</t>
        </is>
      </c>
      <c r="I631" s="259" t="inlineStr">
        <is>
          <t>--</t>
        </is>
      </c>
      <c r="J631" s="259" t="inlineStr">
        <is>
          <t>--</t>
        </is>
      </c>
      <c r="K631" s="259" t="inlineStr">
        <is>
          <t>--</t>
        </is>
      </c>
      <c r="L631" s="259" t="inlineStr">
        <is>
          <t>EQ-Consumption</t>
        </is>
      </c>
    </row>
    <row r="632">
      <c r="A632" s="259" t="inlineStr">
        <is>
          <t>Quant Dynamic Asset Allocation Fund - Regular Plan</t>
        </is>
      </c>
      <c r="B632" s="260" t="n">
        <v>1.07</v>
      </c>
      <c r="C632" s="260" t="n">
        <v>2.13</v>
      </c>
      <c r="D632" s="259" t="inlineStr">
        <is>
          <t>--</t>
        </is>
      </c>
      <c r="E632" s="259" t="inlineStr">
        <is>
          <t>--</t>
        </is>
      </c>
      <c r="F632" s="260" t="n">
        <v>2.13</v>
      </c>
      <c r="G632" s="259" t="inlineStr">
        <is>
          <t>--</t>
        </is>
      </c>
      <c r="H632" s="259" t="inlineStr">
        <is>
          <t>--</t>
        </is>
      </c>
      <c r="I632" s="259" t="inlineStr">
        <is>
          <t>--</t>
        </is>
      </c>
      <c r="J632" s="259" t="inlineStr">
        <is>
          <t>--</t>
        </is>
      </c>
      <c r="K632" s="259" t="inlineStr">
        <is>
          <t>--</t>
        </is>
      </c>
      <c r="L632" s="259" t="inlineStr">
        <is>
          <t>HY-DAA</t>
        </is>
      </c>
    </row>
    <row r="633" hidden="1">
      <c r="A633" s="259" t="inlineStr">
        <is>
          <t>Quant ESG Equity Fund - Regular Plan</t>
        </is>
      </c>
      <c r="B633" s="260" t="n">
        <v>-1.05</v>
      </c>
      <c r="C633" s="260" t="n">
        <v>2.41</v>
      </c>
      <c r="D633" s="260" t="n">
        <v>21.46</v>
      </c>
      <c r="E633" s="259" t="inlineStr">
        <is>
          <t>--</t>
        </is>
      </c>
      <c r="F633" s="260" t="n">
        <v>2.41</v>
      </c>
      <c r="G633" s="260" t="n">
        <v>17.2</v>
      </c>
      <c r="H633" s="260" t="n">
        <v>0.79</v>
      </c>
      <c r="I633" s="260" t="n">
        <v>1.29</v>
      </c>
      <c r="J633" s="260" t="n">
        <v>1.07</v>
      </c>
      <c r="K633" s="260" t="n">
        <v>2.51</v>
      </c>
      <c r="L633" s="259" t="inlineStr">
        <is>
          <t>EQ-T-ESG</t>
        </is>
      </c>
    </row>
    <row r="634">
      <c r="A634" s="259" t="inlineStr">
        <is>
          <t>Quant Flexi Cap Fund</t>
        </is>
      </c>
      <c r="B634" s="260" t="n">
        <v>-6.34</v>
      </c>
      <c r="C634" s="260" t="n">
        <v>1.78</v>
      </c>
      <c r="D634" s="260" t="n">
        <v>21.86</v>
      </c>
      <c r="E634" s="260" t="n">
        <v>32.81</v>
      </c>
      <c r="F634" s="260" t="n">
        <v>1.78</v>
      </c>
      <c r="G634" s="260" t="n">
        <v>17.13</v>
      </c>
      <c r="H634" s="260" t="n">
        <v>0.83</v>
      </c>
      <c r="I634" s="260" t="n">
        <v>1.27</v>
      </c>
      <c r="J634" s="260" t="n">
        <v>1.07</v>
      </c>
      <c r="K634" s="260" t="n">
        <v>1.79</v>
      </c>
      <c r="L634" s="259" t="inlineStr">
        <is>
          <t>EQ-FLX</t>
        </is>
      </c>
    </row>
    <row r="635">
      <c r="A635" s="259" t="inlineStr">
        <is>
          <t>Quant Focused Fund</t>
        </is>
      </c>
      <c r="B635" s="260" t="n">
        <v>-4.03</v>
      </c>
      <c r="C635" s="260" t="n">
        <v>2.18</v>
      </c>
      <c r="D635" s="260" t="n">
        <v>18.47</v>
      </c>
      <c r="E635" s="260" t="n">
        <v>24.28</v>
      </c>
      <c r="F635" s="260" t="n">
        <v>2.18</v>
      </c>
      <c r="G635" s="260" t="n">
        <v>16.06</v>
      </c>
      <c r="H635" s="260" t="n">
        <v>0.68</v>
      </c>
      <c r="I635" s="260" t="n">
        <v>1.1</v>
      </c>
      <c r="J635" s="260" t="n">
        <v>1.05</v>
      </c>
      <c r="K635" s="260" t="n">
        <v>0.09</v>
      </c>
      <c r="L635" s="259" t="inlineStr">
        <is>
          <t>EQ-LC</t>
        </is>
      </c>
    </row>
    <row r="636">
      <c r="A636" s="259" t="inlineStr">
        <is>
          <t>Quant Large and Mid Cap Fund</t>
        </is>
      </c>
      <c r="B636" s="260" t="n">
        <v>-7.31</v>
      </c>
      <c r="C636" s="260" t="n">
        <v>1.88</v>
      </c>
      <c r="D636" s="260" t="n">
        <v>21.87</v>
      </c>
      <c r="E636" s="260" t="n">
        <v>25.57</v>
      </c>
      <c r="F636" s="260" t="n">
        <v>1.88</v>
      </c>
      <c r="G636" s="260" t="n">
        <v>16.88</v>
      </c>
      <c r="H636" s="260" t="n">
        <v>0.82</v>
      </c>
      <c r="I636" s="260" t="n">
        <v>1.31</v>
      </c>
      <c r="J636" s="260" t="n">
        <v>1.09</v>
      </c>
      <c r="K636" s="260" t="n">
        <v>1.95</v>
      </c>
      <c r="L636" s="259" t="inlineStr">
        <is>
          <t>EQ-L&amp;MC</t>
        </is>
      </c>
    </row>
    <row r="637">
      <c r="A637" s="259" t="inlineStr">
        <is>
          <t>Quant Large Cap Fund - Regular Plan</t>
        </is>
      </c>
      <c r="B637" s="260" t="n">
        <v>-2.36</v>
      </c>
      <c r="C637" s="260" t="n">
        <v>1.92</v>
      </c>
      <c r="D637" s="259" t="inlineStr">
        <is>
          <t>--</t>
        </is>
      </c>
      <c r="E637" s="259" t="inlineStr">
        <is>
          <t>--</t>
        </is>
      </c>
      <c r="F637" s="260" t="n">
        <v>1.92</v>
      </c>
      <c r="G637" s="259" t="inlineStr">
        <is>
          <t>--</t>
        </is>
      </c>
      <c r="H637" s="259" t="inlineStr">
        <is>
          <t>--</t>
        </is>
      </c>
      <c r="I637" s="259" t="inlineStr">
        <is>
          <t>--</t>
        </is>
      </c>
      <c r="J637" s="259" t="inlineStr">
        <is>
          <t>--</t>
        </is>
      </c>
      <c r="K637" s="259" t="inlineStr">
        <is>
          <t>--</t>
        </is>
      </c>
      <c r="L637" s="259" t="inlineStr">
        <is>
          <t>EQ-LC</t>
        </is>
      </c>
    </row>
    <row r="638" hidden="1">
      <c r="A638" s="259" t="inlineStr">
        <is>
          <t>Quant Manufacturing Fund - Regular Plan</t>
        </is>
      </c>
      <c r="B638" s="260" t="n">
        <v>-7.93</v>
      </c>
      <c r="C638" s="260" t="n">
        <v>2.25</v>
      </c>
      <c r="D638" s="259" t="inlineStr">
        <is>
          <t>--</t>
        </is>
      </c>
      <c r="E638" s="259" t="inlineStr">
        <is>
          <t>--</t>
        </is>
      </c>
      <c r="F638" s="260" t="n">
        <v>2.25</v>
      </c>
      <c r="G638" s="259" t="inlineStr">
        <is>
          <t>--</t>
        </is>
      </c>
      <c r="H638" s="259" t="inlineStr">
        <is>
          <t>--</t>
        </is>
      </c>
      <c r="I638" s="259" t="inlineStr">
        <is>
          <t>--</t>
        </is>
      </c>
      <c r="J638" s="259" t="inlineStr">
        <is>
          <t>--</t>
        </is>
      </c>
      <c r="K638" s="259" t="inlineStr">
        <is>
          <t>--</t>
        </is>
      </c>
      <c r="L638" s="259" t="inlineStr">
        <is>
          <t>EQ-THEMATIC</t>
        </is>
      </c>
    </row>
    <row r="639">
      <c r="A639" s="259" t="inlineStr">
        <is>
          <t>Quant Mid Cap Fund</t>
        </is>
      </c>
      <c r="B639" s="260" t="n">
        <v>-10.31</v>
      </c>
      <c r="C639" s="260" t="n">
        <v>1.74</v>
      </c>
      <c r="D639" s="260" t="n">
        <v>23.01</v>
      </c>
      <c r="E639" s="260" t="n">
        <v>32.73</v>
      </c>
      <c r="F639" s="260" t="n">
        <v>1.74</v>
      </c>
      <c r="G639" s="260" t="n">
        <v>17.67</v>
      </c>
      <c r="H639" s="260" t="n">
        <v>0.87</v>
      </c>
      <c r="I639" s="260" t="n">
        <v>1.23</v>
      </c>
      <c r="J639" s="260" t="n">
        <v>0.95</v>
      </c>
      <c r="K639" s="260" t="n">
        <v>-1.82</v>
      </c>
      <c r="L639" s="259" t="inlineStr">
        <is>
          <t>EQ-MC</t>
        </is>
      </c>
    </row>
    <row r="640" hidden="1">
      <c r="A640" s="259" t="inlineStr">
        <is>
          <t>Quant Momentum Fund - Regular Plan</t>
        </is>
      </c>
      <c r="B640" s="260" t="n">
        <v>-4.37</v>
      </c>
      <c r="C640" s="260" t="n">
        <v>2.09</v>
      </c>
      <c r="D640" s="259" t="inlineStr">
        <is>
          <t>--</t>
        </is>
      </c>
      <c r="E640" s="259" t="inlineStr">
        <is>
          <t>--</t>
        </is>
      </c>
      <c r="F640" s="260" t="n">
        <v>2.09</v>
      </c>
      <c r="G640" s="259" t="inlineStr">
        <is>
          <t>--</t>
        </is>
      </c>
      <c r="H640" s="259" t="inlineStr">
        <is>
          <t>--</t>
        </is>
      </c>
      <c r="I640" s="259" t="inlineStr">
        <is>
          <t>--</t>
        </is>
      </c>
      <c r="J640" s="259" t="inlineStr">
        <is>
          <t>--</t>
        </is>
      </c>
      <c r="K640" s="259" t="inlineStr">
        <is>
          <t>--</t>
        </is>
      </c>
      <c r="L640" s="259" t="inlineStr">
        <is>
          <t>EQ-THEMATIC</t>
        </is>
      </c>
    </row>
    <row r="641">
      <c r="A641" s="259" t="inlineStr">
        <is>
          <t>Quant Multi Asset Fund</t>
        </is>
      </c>
      <c r="B641" s="260" t="n">
        <v>5.97</v>
      </c>
      <c r="C641" s="260" t="n">
        <v>1.88</v>
      </c>
      <c r="D641" s="260" t="n">
        <v>22.09</v>
      </c>
      <c r="E641" s="260" t="n">
        <v>32.69</v>
      </c>
      <c r="F641" s="260" t="n">
        <v>1.88</v>
      </c>
      <c r="G641" s="260" t="n">
        <v>12.15</v>
      </c>
      <c r="H641" s="260" t="n">
        <v>1.16</v>
      </c>
      <c r="I641" s="260" t="n">
        <v>1.87</v>
      </c>
      <c r="J641" s="260" t="n">
        <v>1.05</v>
      </c>
      <c r="K641" s="260" t="n">
        <v>4.73</v>
      </c>
      <c r="L641" s="259" t="inlineStr">
        <is>
          <t>HY-MAA</t>
        </is>
      </c>
    </row>
    <row r="642" hidden="1">
      <c r="A642" s="259" t="inlineStr">
        <is>
          <t>Quant PSU Fund - Regular Plan</t>
        </is>
      </c>
      <c r="B642" s="260" t="n">
        <v>-9.470000000000001</v>
      </c>
      <c r="C642" s="260" t="n">
        <v>2.34</v>
      </c>
      <c r="D642" s="259" t="inlineStr">
        <is>
          <t>--</t>
        </is>
      </c>
      <c r="E642" s="259" t="inlineStr">
        <is>
          <t>--</t>
        </is>
      </c>
      <c r="F642" s="260" t="n">
        <v>2.34</v>
      </c>
      <c r="G642" s="259" t="inlineStr">
        <is>
          <t>--</t>
        </is>
      </c>
      <c r="H642" s="259" t="inlineStr">
        <is>
          <t>--</t>
        </is>
      </c>
      <c r="I642" s="259" t="inlineStr">
        <is>
          <t>--</t>
        </is>
      </c>
      <c r="J642" s="259" t="inlineStr">
        <is>
          <t>--</t>
        </is>
      </c>
      <c r="K642" s="259" t="inlineStr">
        <is>
          <t>--</t>
        </is>
      </c>
      <c r="L642" s="259" t="inlineStr">
        <is>
          <t>EQ-PSU</t>
        </is>
      </c>
    </row>
    <row r="643" hidden="1">
      <c r="A643" s="259" t="inlineStr">
        <is>
          <t>Quant Quantamental Fund - Regular Plan</t>
        </is>
      </c>
      <c r="B643" s="260" t="n">
        <v>-7.21</v>
      </c>
      <c r="C643" s="260" t="n">
        <v>2.04</v>
      </c>
      <c r="D643" s="260" t="n">
        <v>26.28</v>
      </c>
      <c r="E643" s="259" t="inlineStr">
        <is>
          <t>--</t>
        </is>
      </c>
      <c r="F643" s="260" t="n">
        <v>2.04</v>
      </c>
      <c r="G643" s="260" t="n">
        <v>16.42</v>
      </c>
      <c r="H643" s="260" t="n">
        <v>1.07</v>
      </c>
      <c r="I643" s="260" t="n">
        <v>1.54</v>
      </c>
      <c r="J643" s="260" t="n">
        <v>1.02</v>
      </c>
      <c r="K643" s="260" t="n">
        <v>5.86</v>
      </c>
      <c r="L643" s="259" t="inlineStr">
        <is>
          <t>EQ-THEMATIC</t>
        </is>
      </c>
    </row>
    <row r="644">
      <c r="A644" s="259" t="inlineStr">
        <is>
          <t>Quant Small Cap Fund</t>
        </is>
      </c>
      <c r="B644" s="260" t="n">
        <v>-2.6</v>
      </c>
      <c r="C644" s="260" t="n">
        <v>1.58</v>
      </c>
      <c r="D644" s="260" t="n">
        <v>28.18</v>
      </c>
      <c r="E644" s="260" t="n">
        <v>46.34</v>
      </c>
      <c r="F644" s="260" t="n">
        <v>1.58</v>
      </c>
      <c r="G644" s="260" t="n">
        <v>17.97</v>
      </c>
      <c r="H644" s="260" t="n">
        <v>1.1</v>
      </c>
      <c r="I644" s="260" t="n">
        <v>1.67</v>
      </c>
      <c r="J644" s="260" t="n">
        <v>0.87</v>
      </c>
      <c r="K644" s="260" t="n">
        <v>3.86</v>
      </c>
      <c r="L644" s="259" t="inlineStr">
        <is>
          <t>EQ-SC</t>
        </is>
      </c>
    </row>
    <row r="645">
      <c r="A645" s="259" t="inlineStr">
        <is>
          <t>Quantum Equity FoF - Regular Plan</t>
        </is>
      </c>
      <c r="B645" s="260" t="n">
        <v>7.2</v>
      </c>
      <c r="C645" s="260" t="n">
        <v>0.75</v>
      </c>
      <c r="D645" s="260" t="n">
        <v>19.63</v>
      </c>
      <c r="E645" s="260" t="n">
        <v>21.79</v>
      </c>
      <c r="F645" s="260" t="n">
        <v>0.75</v>
      </c>
      <c r="G645" s="260" t="n">
        <v>13.11</v>
      </c>
      <c r="H645" s="260" t="n">
        <v>0.87</v>
      </c>
      <c r="I645" s="260" t="n">
        <v>1.36</v>
      </c>
      <c r="J645" s="260" t="n">
        <v>0.89</v>
      </c>
      <c r="K645" s="260" t="n">
        <v>1.11</v>
      </c>
      <c r="L645" s="259" t="inlineStr">
        <is>
          <t>EQ-FLX</t>
        </is>
      </c>
    </row>
    <row r="646" hidden="1">
      <c r="A646" s="259" t="inlineStr">
        <is>
          <t>Quantum ESG Best In Class Strategy Fund - Regular Plan</t>
        </is>
      </c>
      <c r="B646" s="260" t="n">
        <v>5.72</v>
      </c>
      <c r="C646" s="260" t="n">
        <v>2.1</v>
      </c>
      <c r="D646" s="260" t="n">
        <v>16.25</v>
      </c>
      <c r="E646" s="260" t="n">
        <v>20.54</v>
      </c>
      <c r="F646" s="260" t="n">
        <v>2.1</v>
      </c>
      <c r="G646" s="260" t="n">
        <v>13.58</v>
      </c>
      <c r="H646" s="260" t="n">
        <v>0.64</v>
      </c>
      <c r="I646" s="260" t="n">
        <v>0.96</v>
      </c>
      <c r="J646" s="260" t="n">
        <v>0.9399999999999999</v>
      </c>
      <c r="K646" s="260" t="n">
        <v>-1.02</v>
      </c>
      <c r="L646" s="259" t="inlineStr">
        <is>
          <t>EQ-T-ESG</t>
        </is>
      </c>
    </row>
    <row r="647" hidden="1">
      <c r="A647" s="259" t="inlineStr">
        <is>
          <t>Quantum Ethical Fund - Regular Plan</t>
        </is>
      </c>
      <c r="B647" s="259" t="inlineStr">
        <is>
          <t>--</t>
        </is>
      </c>
      <c r="C647" s="260" t="n">
        <v>2.1</v>
      </c>
      <c r="D647" s="259" t="inlineStr">
        <is>
          <t>--</t>
        </is>
      </c>
      <c r="E647" s="259" t="inlineStr">
        <is>
          <t>--</t>
        </is>
      </c>
      <c r="F647" s="260" t="n">
        <v>2.1</v>
      </c>
      <c r="G647" s="259" t="inlineStr">
        <is>
          <t>--</t>
        </is>
      </c>
      <c r="H647" s="259" t="inlineStr">
        <is>
          <t>--</t>
        </is>
      </c>
      <c r="I647" s="259" t="inlineStr">
        <is>
          <t>--</t>
        </is>
      </c>
      <c r="J647" s="259" t="inlineStr">
        <is>
          <t>--</t>
        </is>
      </c>
      <c r="K647" s="259" t="inlineStr">
        <is>
          <t>--</t>
        </is>
      </c>
      <c r="L647" s="259" t="inlineStr">
        <is>
          <t>EQ-THEMATIC</t>
        </is>
      </c>
    </row>
    <row r="648">
      <c r="A648" s="259" t="inlineStr">
        <is>
          <t>Quantum Multi Asset Allocation Fund - Regular Plan</t>
        </is>
      </c>
      <c r="B648" s="260" t="n">
        <v>9.359999999999999</v>
      </c>
      <c r="C648" s="260" t="n">
        <v>1.96</v>
      </c>
      <c r="D648" s="259" t="inlineStr">
        <is>
          <t>--</t>
        </is>
      </c>
      <c r="E648" s="259" t="inlineStr">
        <is>
          <t>--</t>
        </is>
      </c>
      <c r="F648" s="260" t="n">
        <v>1.96</v>
      </c>
      <c r="G648" s="259" t="inlineStr">
        <is>
          <t>--</t>
        </is>
      </c>
      <c r="H648" s="259" t="inlineStr">
        <is>
          <t>--</t>
        </is>
      </c>
      <c r="I648" s="259" t="inlineStr">
        <is>
          <t>--</t>
        </is>
      </c>
      <c r="J648" s="259" t="inlineStr">
        <is>
          <t>--</t>
        </is>
      </c>
      <c r="K648" s="259" t="inlineStr">
        <is>
          <t>--</t>
        </is>
      </c>
      <c r="L648" s="259" t="inlineStr">
        <is>
          <t>HY-MAA</t>
        </is>
      </c>
    </row>
    <row r="649">
      <c r="A649" s="259" t="inlineStr">
        <is>
          <t>Quantum Multi Asset Fund of Funds - Regular Plan</t>
        </is>
      </c>
      <c r="B649" s="260" t="n">
        <v>11.73</v>
      </c>
      <c r="C649" s="260" t="n">
        <v>0.47</v>
      </c>
      <c r="D649" s="260" t="n">
        <v>13.32</v>
      </c>
      <c r="E649" s="260" t="n">
        <v>11.98</v>
      </c>
      <c r="F649" s="260" t="n">
        <v>0.47</v>
      </c>
      <c r="G649" s="260" t="n">
        <v>5.09</v>
      </c>
      <c r="H649" s="260" t="n">
        <v>1.18</v>
      </c>
      <c r="I649" s="260" t="n">
        <v>1.88</v>
      </c>
      <c r="J649" s="260" t="n">
        <v>0.5</v>
      </c>
      <c r="K649" s="260" t="n">
        <v>1.6</v>
      </c>
      <c r="L649" s="259" t="inlineStr">
        <is>
          <t>HY-MAA</t>
        </is>
      </c>
    </row>
    <row r="650">
      <c r="A650" s="259" t="inlineStr">
        <is>
          <t>Quantum Nifty 50 ETF</t>
        </is>
      </c>
      <c r="B650" s="260" t="n">
        <v>7.76</v>
      </c>
      <c r="C650" s="260" t="n">
        <v>0.09</v>
      </c>
      <c r="D650" s="260" t="n">
        <v>16.54</v>
      </c>
      <c r="E650" s="260" t="n">
        <v>21.35</v>
      </c>
      <c r="F650" s="260" t="n">
        <v>0.09</v>
      </c>
      <c r="G650" s="260" t="n">
        <v>13.13</v>
      </c>
      <c r="H650" s="260" t="n">
        <v>0.68</v>
      </c>
      <c r="I650" s="260" t="n">
        <v>1.17</v>
      </c>
      <c r="J650" s="260" t="n">
        <v>0.95</v>
      </c>
      <c r="K650" s="260" t="n">
        <v>-0.76</v>
      </c>
      <c r="L650" s="259" t="inlineStr">
        <is>
          <t>EQ-LC</t>
        </is>
      </c>
    </row>
    <row r="651">
      <c r="A651" s="259" t="inlineStr">
        <is>
          <t>Quantum Nifty 50 ETF FoF - Regular Plan</t>
        </is>
      </c>
      <c r="B651" s="260" t="n">
        <v>7.76</v>
      </c>
      <c r="C651" s="260" t="n">
        <v>0.18</v>
      </c>
      <c r="D651" s="259" t="inlineStr">
        <is>
          <t>--</t>
        </is>
      </c>
      <c r="E651" s="259" t="inlineStr">
        <is>
          <t>--</t>
        </is>
      </c>
      <c r="F651" s="260" t="n">
        <v>0.18</v>
      </c>
      <c r="G651" s="259" t="inlineStr">
        <is>
          <t>--</t>
        </is>
      </c>
      <c r="H651" s="259" t="inlineStr">
        <is>
          <t>--</t>
        </is>
      </c>
      <c r="I651" s="259" t="inlineStr">
        <is>
          <t>--</t>
        </is>
      </c>
      <c r="J651" s="259" t="inlineStr">
        <is>
          <t>--</t>
        </is>
      </c>
      <c r="K651" s="259" t="inlineStr">
        <is>
          <t>--</t>
        </is>
      </c>
      <c r="L651" s="259" t="inlineStr">
        <is>
          <t>EQ-LC</t>
        </is>
      </c>
    </row>
    <row r="652">
      <c r="A652" s="259" t="inlineStr">
        <is>
          <t>Quantum Small Cap Fund - Regular Plan</t>
        </is>
      </c>
      <c r="B652" s="260" t="n">
        <v>9.23</v>
      </c>
      <c r="C652" s="260" t="n">
        <v>2.1</v>
      </c>
      <c r="D652" s="259" t="inlineStr">
        <is>
          <t>--</t>
        </is>
      </c>
      <c r="E652" s="259" t="inlineStr">
        <is>
          <t>--</t>
        </is>
      </c>
      <c r="F652" s="260" t="n">
        <v>2.1</v>
      </c>
      <c r="G652" s="259" t="inlineStr">
        <is>
          <t>--</t>
        </is>
      </c>
      <c r="H652" s="259" t="inlineStr">
        <is>
          <t>--</t>
        </is>
      </c>
      <c r="I652" s="259" t="inlineStr">
        <is>
          <t>--</t>
        </is>
      </c>
      <c r="J652" s="259" t="inlineStr">
        <is>
          <t>--</t>
        </is>
      </c>
      <c r="K652" s="259" t="inlineStr">
        <is>
          <t>--</t>
        </is>
      </c>
      <c r="L652" s="259" t="inlineStr">
        <is>
          <t>EQ-SC</t>
        </is>
      </c>
    </row>
    <row r="653" hidden="1">
      <c r="A653" s="259" t="inlineStr">
        <is>
          <t>Samco Active Momentum Fund - Regular Plan</t>
        </is>
      </c>
      <c r="B653" s="260" t="n">
        <v>3.9</v>
      </c>
      <c r="C653" s="260" t="n">
        <v>2.25</v>
      </c>
      <c r="D653" s="259" t="inlineStr">
        <is>
          <t>--</t>
        </is>
      </c>
      <c r="E653" s="259" t="inlineStr">
        <is>
          <t>--</t>
        </is>
      </c>
      <c r="F653" s="260" t="n">
        <v>2.25</v>
      </c>
      <c r="G653" s="259" t="inlineStr">
        <is>
          <t>--</t>
        </is>
      </c>
      <c r="H653" s="259" t="inlineStr">
        <is>
          <t>--</t>
        </is>
      </c>
      <c r="I653" s="259" t="inlineStr">
        <is>
          <t>--</t>
        </is>
      </c>
      <c r="J653" s="259" t="inlineStr">
        <is>
          <t>--</t>
        </is>
      </c>
      <c r="K653" s="259" t="inlineStr">
        <is>
          <t>--</t>
        </is>
      </c>
      <c r="L653" s="259" t="inlineStr">
        <is>
          <t>EQ-THEMATIC</t>
        </is>
      </c>
    </row>
    <row r="654">
      <c r="A654" s="259" t="inlineStr">
        <is>
          <t>Samco Dynamic Asset Allocation Fund - Regular Plan</t>
        </is>
      </c>
      <c r="B654" s="260" t="n">
        <v>-0.67</v>
      </c>
      <c r="C654" s="260" t="n">
        <v>2.41</v>
      </c>
      <c r="D654" s="259" t="inlineStr">
        <is>
          <t>--</t>
        </is>
      </c>
      <c r="E654" s="259" t="inlineStr">
        <is>
          <t>--</t>
        </is>
      </c>
      <c r="F654" s="260" t="n">
        <v>2.41</v>
      </c>
      <c r="G654" s="259" t="inlineStr">
        <is>
          <t>--</t>
        </is>
      </c>
      <c r="H654" s="259" t="inlineStr">
        <is>
          <t>--</t>
        </is>
      </c>
      <c r="I654" s="259" t="inlineStr">
        <is>
          <t>--</t>
        </is>
      </c>
      <c r="J654" s="259" t="inlineStr">
        <is>
          <t>--</t>
        </is>
      </c>
      <c r="K654" s="259" t="inlineStr">
        <is>
          <t>--</t>
        </is>
      </c>
      <c r="L654" s="259" t="inlineStr">
        <is>
          <t>HY-DAA</t>
        </is>
      </c>
    </row>
    <row r="655">
      <c r="A655" s="259" t="inlineStr">
        <is>
          <t>Samco Flexi Cap Fund - Regular Plan</t>
        </is>
      </c>
      <c r="B655" s="260" t="n">
        <v>-12.79</v>
      </c>
      <c r="C655" s="260" t="n">
        <v>2.41</v>
      </c>
      <c r="D655" s="260" t="n">
        <v>7.72</v>
      </c>
      <c r="E655" s="259" t="inlineStr">
        <is>
          <t>--</t>
        </is>
      </c>
      <c r="F655" s="260" t="n">
        <v>2.41</v>
      </c>
      <c r="G655" s="260" t="n">
        <v>19.05</v>
      </c>
      <c r="H655" s="260" t="n">
        <v>0.04</v>
      </c>
      <c r="I655" s="260" t="n">
        <v>0.05</v>
      </c>
      <c r="J655" s="260" t="n">
        <v>1.08</v>
      </c>
      <c r="K655" s="260" t="n">
        <v>-11.72</v>
      </c>
      <c r="L655" s="259" t="inlineStr">
        <is>
          <t>EQ-FLX</t>
        </is>
      </c>
    </row>
    <row r="656">
      <c r="A656" s="259" t="inlineStr">
        <is>
          <t>Samco Large Cap Fund - Regular Plan</t>
        </is>
      </c>
      <c r="B656" s="259" t="inlineStr">
        <is>
          <t>--</t>
        </is>
      </c>
      <c r="C656" s="260" t="n">
        <v>2.37</v>
      </c>
      <c r="D656" s="259" t="inlineStr">
        <is>
          <t>--</t>
        </is>
      </c>
      <c r="E656" s="259" t="inlineStr">
        <is>
          <t>--</t>
        </is>
      </c>
      <c r="F656" s="260" t="n">
        <v>2.37</v>
      </c>
      <c r="G656" s="259" t="inlineStr">
        <is>
          <t>--</t>
        </is>
      </c>
      <c r="H656" s="259" t="inlineStr">
        <is>
          <t>--</t>
        </is>
      </c>
      <c r="I656" s="259" t="inlineStr">
        <is>
          <t>--</t>
        </is>
      </c>
      <c r="J656" s="259" t="inlineStr">
        <is>
          <t>--</t>
        </is>
      </c>
      <c r="K656" s="259" t="inlineStr">
        <is>
          <t>--</t>
        </is>
      </c>
      <c r="L656" s="259" t="inlineStr">
        <is>
          <t>EQ-LC</t>
        </is>
      </c>
    </row>
    <row r="657">
      <c r="A657" s="259" t="inlineStr">
        <is>
          <t>Samco Large &amp; Mid Cap Fund - Regular Plan</t>
        </is>
      </c>
      <c r="B657" s="259" t="inlineStr">
        <is>
          <t>--</t>
        </is>
      </c>
      <c r="C657" s="259" t="inlineStr">
        <is>
          <t>--</t>
        </is>
      </c>
      <c r="D657" s="259" t="inlineStr">
        <is>
          <t>--</t>
        </is>
      </c>
      <c r="E657" s="259" t="inlineStr">
        <is>
          <t>--</t>
        </is>
      </c>
      <c r="F657" s="259" t="inlineStr">
        <is>
          <t>--</t>
        </is>
      </c>
      <c r="G657" s="259" t="inlineStr">
        <is>
          <t>--</t>
        </is>
      </c>
      <c r="H657" s="259" t="inlineStr">
        <is>
          <t>--</t>
        </is>
      </c>
      <c r="I657" s="259" t="inlineStr">
        <is>
          <t>--</t>
        </is>
      </c>
      <c r="J657" s="259" t="inlineStr">
        <is>
          <t>--</t>
        </is>
      </c>
      <c r="K657" s="259" t="inlineStr">
        <is>
          <t>--</t>
        </is>
      </c>
      <c r="L657" s="259" t="inlineStr">
        <is>
          <t>EQ-L&amp;MC</t>
        </is>
      </c>
    </row>
    <row r="658">
      <c r="A658" s="259" t="inlineStr">
        <is>
          <t>Samco Multi Asset Allocation Fund - Regular Plan</t>
        </is>
      </c>
      <c r="B658" s="259" t="inlineStr">
        <is>
          <t>--</t>
        </is>
      </c>
      <c r="C658" s="260" t="n">
        <v>2.21</v>
      </c>
      <c r="D658" s="259" t="inlineStr">
        <is>
          <t>--</t>
        </is>
      </c>
      <c r="E658" s="259" t="inlineStr">
        <is>
          <t>--</t>
        </is>
      </c>
      <c r="F658" s="260" t="n">
        <v>2.21</v>
      </c>
      <c r="G658" s="259" t="inlineStr">
        <is>
          <t>--</t>
        </is>
      </c>
      <c r="H658" s="259" t="inlineStr">
        <is>
          <t>--</t>
        </is>
      </c>
      <c r="I658" s="259" t="inlineStr">
        <is>
          <t>--</t>
        </is>
      </c>
      <c r="J658" s="259" t="inlineStr">
        <is>
          <t>--</t>
        </is>
      </c>
      <c r="K658" s="259" t="inlineStr">
        <is>
          <t>--</t>
        </is>
      </c>
      <c r="L658" s="259" t="inlineStr">
        <is>
          <t>HY-MAA</t>
        </is>
      </c>
    </row>
    <row r="659">
      <c r="A659" s="259" t="inlineStr">
        <is>
          <t>Samco Multi Cap Fund - Regular Plan</t>
        </is>
      </c>
      <c r="B659" s="259" t="inlineStr">
        <is>
          <t>--</t>
        </is>
      </c>
      <c r="C659" s="260" t="n">
        <v>2.39</v>
      </c>
      <c r="D659" s="259" t="inlineStr">
        <is>
          <t>--</t>
        </is>
      </c>
      <c r="E659" s="259" t="inlineStr">
        <is>
          <t>--</t>
        </is>
      </c>
      <c r="F659" s="260" t="n">
        <v>2.39</v>
      </c>
      <c r="G659" s="259" t="inlineStr">
        <is>
          <t>--</t>
        </is>
      </c>
      <c r="H659" s="259" t="inlineStr">
        <is>
          <t>--</t>
        </is>
      </c>
      <c r="I659" s="259" t="inlineStr">
        <is>
          <t>--</t>
        </is>
      </c>
      <c r="J659" s="259" t="inlineStr">
        <is>
          <t>--</t>
        </is>
      </c>
      <c r="K659" s="259" t="inlineStr">
        <is>
          <t>--</t>
        </is>
      </c>
      <c r="L659" s="259" t="inlineStr">
        <is>
          <t>EQ-MLC</t>
        </is>
      </c>
    </row>
    <row r="660" hidden="1">
      <c r="A660" s="259" t="inlineStr">
        <is>
          <t>Samco Special Opportunities Fund - Regular Plan</t>
        </is>
      </c>
      <c r="B660" s="259" t="inlineStr">
        <is>
          <t>--</t>
        </is>
      </c>
      <c r="C660" s="260" t="n">
        <v>2.41</v>
      </c>
      <c r="D660" s="259" t="inlineStr">
        <is>
          <t>--</t>
        </is>
      </c>
      <c r="E660" s="259" t="inlineStr">
        <is>
          <t>--</t>
        </is>
      </c>
      <c r="F660" s="260" t="n">
        <v>2.41</v>
      </c>
      <c r="G660" s="259" t="inlineStr">
        <is>
          <t>--</t>
        </is>
      </c>
      <c r="H660" s="259" t="inlineStr">
        <is>
          <t>--</t>
        </is>
      </c>
      <c r="I660" s="259" t="inlineStr">
        <is>
          <t>--</t>
        </is>
      </c>
      <c r="J660" s="259" t="inlineStr">
        <is>
          <t>--</t>
        </is>
      </c>
      <c r="K660" s="259" t="inlineStr">
        <is>
          <t>--</t>
        </is>
      </c>
      <c r="L660" s="259" t="inlineStr">
        <is>
          <t>EQ-THEMATIC</t>
        </is>
      </c>
    </row>
    <row r="661" hidden="1">
      <c r="A661" s="259" t="inlineStr">
        <is>
          <t>SBI Automotive Opportunities Fund - Regular Plan</t>
        </is>
      </c>
      <c r="B661" s="260" t="n">
        <v>-8.44</v>
      </c>
      <c r="C661" s="260" t="n">
        <v>1.84</v>
      </c>
      <c r="D661" s="259" t="inlineStr">
        <is>
          <t>--</t>
        </is>
      </c>
      <c r="E661" s="259" t="inlineStr">
        <is>
          <t>--</t>
        </is>
      </c>
      <c r="F661" s="260" t="n">
        <v>1.84</v>
      </c>
      <c r="G661" s="259" t="inlineStr">
        <is>
          <t>--</t>
        </is>
      </c>
      <c r="H661" s="259" t="inlineStr">
        <is>
          <t>--</t>
        </is>
      </c>
      <c r="I661" s="259" t="inlineStr">
        <is>
          <t>--</t>
        </is>
      </c>
      <c r="J661" s="259" t="inlineStr">
        <is>
          <t>--</t>
        </is>
      </c>
      <c r="K661" s="259" t="inlineStr">
        <is>
          <t>--</t>
        </is>
      </c>
      <c r="L661" s="259" t="inlineStr">
        <is>
          <t>EQ-THEMATIC</t>
        </is>
      </c>
    </row>
    <row r="662">
      <c r="A662" s="259" t="inlineStr">
        <is>
          <t>SBI Balanced Advantage Fund - Regular Plan</t>
        </is>
      </c>
      <c r="B662" s="260" t="n">
        <v>6.96</v>
      </c>
      <c r="C662" s="260" t="n">
        <v>1.57</v>
      </c>
      <c r="D662" s="260" t="n">
        <v>15.24</v>
      </c>
      <c r="E662" s="259" t="inlineStr">
        <is>
          <t>--</t>
        </is>
      </c>
      <c r="F662" s="260" t="n">
        <v>1.57</v>
      </c>
      <c r="G662" s="260" t="n">
        <v>6.44</v>
      </c>
      <c r="H662" s="260" t="n">
        <v>1.18</v>
      </c>
      <c r="I662" s="260" t="n">
        <v>1.88</v>
      </c>
      <c r="J662" s="260" t="n">
        <v>0.6</v>
      </c>
      <c r="K662" s="260" t="n">
        <v>2.88</v>
      </c>
      <c r="L662" s="259" t="inlineStr">
        <is>
          <t>HY-DAA</t>
        </is>
      </c>
    </row>
    <row r="663">
      <c r="A663" s="259" t="inlineStr">
        <is>
          <t>SBI Bluechip Fund</t>
        </is>
      </c>
      <c r="B663" s="260" t="n">
        <v>7.23</v>
      </c>
      <c r="C663" s="260" t="n">
        <v>1.49</v>
      </c>
      <c r="D663" s="260" t="n">
        <v>17.55</v>
      </c>
      <c r="E663" s="260" t="n">
        <v>21.63</v>
      </c>
      <c r="F663" s="260" t="n">
        <v>1.49</v>
      </c>
      <c r="G663" s="260" t="n">
        <v>12.69</v>
      </c>
      <c r="H663" s="260" t="n">
        <v>0.77</v>
      </c>
      <c r="I663" s="260" t="n">
        <v>1.41</v>
      </c>
      <c r="J663" s="260" t="n">
        <v>0.9</v>
      </c>
      <c r="K663" s="260" t="n">
        <v>0.43</v>
      </c>
      <c r="L663" s="259" t="inlineStr">
        <is>
          <t>EQ-LC</t>
        </is>
      </c>
    </row>
    <row r="664">
      <c r="A664" s="259" t="inlineStr">
        <is>
          <t>SBI BSE 100 ETF</t>
        </is>
      </c>
      <c r="B664" s="260" t="n">
        <v>6.82</v>
      </c>
      <c r="C664" s="260" t="n">
        <v>0.14</v>
      </c>
      <c r="D664" s="260" t="n">
        <v>17.87</v>
      </c>
      <c r="E664" s="260" t="n">
        <v>22.3</v>
      </c>
      <c r="F664" s="260" t="n">
        <v>0.14</v>
      </c>
      <c r="G664" s="260" t="n">
        <v>13.75</v>
      </c>
      <c r="H664" s="260" t="n">
        <v>0.74</v>
      </c>
      <c r="I664" s="260" t="n">
        <v>1.2</v>
      </c>
      <c r="J664" s="260" t="n">
        <v>1</v>
      </c>
      <c r="K664" s="260" t="n">
        <v>-0.14</v>
      </c>
      <c r="L664" s="259" t="inlineStr">
        <is>
          <t>EQ-LC</t>
        </is>
      </c>
    </row>
    <row r="665">
      <c r="A665" s="259" t="inlineStr">
        <is>
          <t>SBI BSE Sensex ETF</t>
        </is>
      </c>
      <c r="B665" s="260" t="n">
        <v>7.74</v>
      </c>
      <c r="C665" s="260" t="n">
        <v>0.04</v>
      </c>
      <c r="D665" s="260" t="n">
        <v>15.86</v>
      </c>
      <c r="E665" s="260" t="n">
        <v>20.68</v>
      </c>
      <c r="F665" s="260" t="n">
        <v>0.04</v>
      </c>
      <c r="G665" s="260" t="n">
        <v>12.71</v>
      </c>
      <c r="H665" s="260" t="n">
        <v>0.66</v>
      </c>
      <c r="I665" s="260" t="n">
        <v>1.1</v>
      </c>
      <c r="J665" s="260" t="n">
        <v>0.91</v>
      </c>
      <c r="K665" s="260" t="n">
        <v>-0.96</v>
      </c>
      <c r="L665" s="259" t="inlineStr">
        <is>
          <t>EQ-LC</t>
        </is>
      </c>
    </row>
    <row r="666">
      <c r="A666" s="259" t="inlineStr">
        <is>
          <t>SBI BSE Sensex Index Fund - Regular Plan</t>
        </is>
      </c>
      <c r="B666" s="260" t="n">
        <v>7.22</v>
      </c>
      <c r="C666" s="260" t="n">
        <v>0.43</v>
      </c>
      <c r="D666" s="259" t="inlineStr">
        <is>
          <t>--</t>
        </is>
      </c>
      <c r="E666" s="259" t="inlineStr">
        <is>
          <t>--</t>
        </is>
      </c>
      <c r="F666" s="260" t="n">
        <v>0.43</v>
      </c>
      <c r="G666" s="259" t="inlineStr">
        <is>
          <t>--</t>
        </is>
      </c>
      <c r="H666" s="259" t="inlineStr">
        <is>
          <t>--</t>
        </is>
      </c>
      <c r="I666" s="259" t="inlineStr">
        <is>
          <t>--</t>
        </is>
      </c>
      <c r="J666" s="259" t="inlineStr">
        <is>
          <t>--</t>
        </is>
      </c>
      <c r="K666" s="259" t="inlineStr">
        <is>
          <t>--</t>
        </is>
      </c>
      <c r="L666" s="259" t="inlineStr">
        <is>
          <t>EQ-LC</t>
        </is>
      </c>
    </row>
    <row r="667">
      <c r="A667" s="259" t="inlineStr">
        <is>
          <t>SBI BSE Sensex Next 50 ETF</t>
        </is>
      </c>
      <c r="B667" s="260" t="n">
        <v>5.96</v>
      </c>
      <c r="C667" s="260" t="n">
        <v>0.12</v>
      </c>
      <c r="D667" s="260" t="n">
        <v>24.78</v>
      </c>
      <c r="E667" s="260" t="n">
        <v>26.52</v>
      </c>
      <c r="F667" s="260" t="n">
        <v>0.12</v>
      </c>
      <c r="G667" s="260" t="n">
        <v>17.75</v>
      </c>
      <c r="H667" s="260" t="n">
        <v>0.89</v>
      </c>
      <c r="I667" s="260" t="n">
        <v>1.3</v>
      </c>
      <c r="J667" s="260" t="n">
        <v>1.22</v>
      </c>
      <c r="K667" s="260" t="n">
        <v>3.33</v>
      </c>
      <c r="L667" s="259" t="inlineStr">
        <is>
          <t>EQ-LC</t>
        </is>
      </c>
    </row>
    <row r="668" hidden="1">
      <c r="A668" s="259" t="inlineStr">
        <is>
          <t>SBI Consumption Opportunities Fund</t>
        </is>
      </c>
      <c r="B668" s="260" t="n">
        <v>0.09</v>
      </c>
      <c r="C668" s="260" t="n">
        <v>1.98</v>
      </c>
      <c r="D668" s="260" t="n">
        <v>19.27</v>
      </c>
      <c r="E668" s="260" t="n">
        <v>26.52</v>
      </c>
      <c r="F668" s="260" t="n">
        <v>1.98</v>
      </c>
      <c r="G668" s="260" t="n">
        <v>14.56</v>
      </c>
      <c r="H668" s="260" t="n">
        <v>0.8</v>
      </c>
      <c r="I668" s="260" t="n">
        <v>1.07</v>
      </c>
      <c r="J668" s="260" t="n">
        <v>0.76</v>
      </c>
      <c r="K668" s="260" t="n">
        <v>0.66</v>
      </c>
      <c r="L668" s="259" t="inlineStr">
        <is>
          <t>EQ-Consumption</t>
        </is>
      </c>
    </row>
    <row r="669" hidden="1">
      <c r="A669" s="259" t="inlineStr">
        <is>
          <t>SBI Dividend Yield Fund - Regular Plan</t>
        </is>
      </c>
      <c r="B669" s="260" t="n">
        <v>0.84</v>
      </c>
      <c r="C669" s="260" t="n">
        <v>1.78</v>
      </c>
      <c r="D669" s="259" t="inlineStr">
        <is>
          <t>--</t>
        </is>
      </c>
      <c r="E669" s="259" t="inlineStr">
        <is>
          <t>--</t>
        </is>
      </c>
      <c r="F669" s="260" t="n">
        <v>1.78</v>
      </c>
      <c r="G669" s="259" t="inlineStr">
        <is>
          <t>--</t>
        </is>
      </c>
      <c r="H669" s="259" t="inlineStr">
        <is>
          <t>--</t>
        </is>
      </c>
      <c r="I669" s="259" t="inlineStr">
        <is>
          <t>--</t>
        </is>
      </c>
      <c r="J669" s="259" t="inlineStr">
        <is>
          <t>--</t>
        </is>
      </c>
      <c r="K669" s="259" t="inlineStr">
        <is>
          <t>--</t>
        </is>
      </c>
      <c r="L669" s="259" t="inlineStr">
        <is>
          <t>EQ-DIV Y</t>
        </is>
      </c>
    </row>
    <row r="670" hidden="1">
      <c r="A670" s="259" t="inlineStr">
        <is>
          <t>SBI Energy Opportunities Fund - Regular Plan</t>
        </is>
      </c>
      <c r="B670" s="260" t="n">
        <v>-3.37</v>
      </c>
      <c r="C670" s="260" t="n">
        <v>1.75</v>
      </c>
      <c r="D670" s="259" t="inlineStr">
        <is>
          <t>--</t>
        </is>
      </c>
      <c r="E670" s="259" t="inlineStr">
        <is>
          <t>--</t>
        </is>
      </c>
      <c r="F670" s="260" t="n">
        <v>1.75</v>
      </c>
      <c r="G670" s="259" t="inlineStr">
        <is>
          <t>--</t>
        </is>
      </c>
      <c r="H670" s="259" t="inlineStr">
        <is>
          <t>--</t>
        </is>
      </c>
      <c r="I670" s="259" t="inlineStr">
        <is>
          <t>--</t>
        </is>
      </c>
      <c r="J670" s="259" t="inlineStr">
        <is>
          <t>--</t>
        </is>
      </c>
      <c r="K670" s="259" t="inlineStr">
        <is>
          <t>--</t>
        </is>
      </c>
      <c r="L670" s="259" t="inlineStr">
        <is>
          <t>EQ-Energy</t>
        </is>
      </c>
    </row>
    <row r="671" hidden="1">
      <c r="A671" s="259" t="inlineStr">
        <is>
          <t>SBI Equity Minimum Variance Fund - Regular Plan</t>
        </is>
      </c>
      <c r="B671" s="260" t="n">
        <v>1.54</v>
      </c>
      <c r="C671" s="260" t="n">
        <v>0.75</v>
      </c>
      <c r="D671" s="260" t="n">
        <v>16.77</v>
      </c>
      <c r="E671" s="260" t="n">
        <v>20.3</v>
      </c>
      <c r="F671" s="260" t="n">
        <v>0.75</v>
      </c>
      <c r="G671" s="260" t="n">
        <v>14.22</v>
      </c>
      <c r="H671" s="260" t="n">
        <v>0.62</v>
      </c>
      <c r="I671" s="260" t="n">
        <v>0.91</v>
      </c>
      <c r="J671" s="260" t="n">
        <v>0.91</v>
      </c>
      <c r="K671" s="260" t="n">
        <v>-1.65</v>
      </c>
      <c r="L671" s="259" t="inlineStr">
        <is>
          <t>EQ-THEMATIC</t>
        </is>
      </c>
    </row>
    <row r="672" hidden="1">
      <c r="A672" s="259" t="inlineStr">
        <is>
          <t>SBI ESG Exclusionary Strategy Fund</t>
        </is>
      </c>
      <c r="B672" s="260" t="n">
        <v>5.28</v>
      </c>
      <c r="C672" s="260" t="n">
        <v>1.93</v>
      </c>
      <c r="D672" s="260" t="n">
        <v>17.11</v>
      </c>
      <c r="E672" s="260" t="n">
        <v>20.77</v>
      </c>
      <c r="F672" s="260" t="n">
        <v>1.93</v>
      </c>
      <c r="G672" s="260" t="n">
        <v>13.16</v>
      </c>
      <c r="H672" s="260" t="n">
        <v>0.7</v>
      </c>
      <c r="I672" s="260" t="n">
        <v>1.11</v>
      </c>
      <c r="J672" s="260" t="n">
        <v>0.93</v>
      </c>
      <c r="K672" s="260" t="n">
        <v>-0.35</v>
      </c>
      <c r="L672" s="259" t="inlineStr">
        <is>
          <t>EQ-T-ESG</t>
        </is>
      </c>
    </row>
    <row r="673">
      <c r="A673" s="259" t="inlineStr">
        <is>
          <t>SBI Flexicap Fund</t>
        </is>
      </c>
      <c r="B673" s="260" t="n">
        <v>2.64</v>
      </c>
      <c r="C673" s="260" t="n">
        <v>1.67</v>
      </c>
      <c r="D673" s="260" t="n">
        <v>14.96</v>
      </c>
      <c r="E673" s="260" t="n">
        <v>20.54</v>
      </c>
      <c r="F673" s="260" t="n">
        <v>1.67</v>
      </c>
      <c r="G673" s="260" t="n">
        <v>12.31</v>
      </c>
      <c r="H673" s="260" t="n">
        <v>0.61</v>
      </c>
      <c r="I673" s="260" t="n">
        <v>0.91</v>
      </c>
      <c r="J673" s="260" t="n">
        <v>0.82</v>
      </c>
      <c r="K673" s="260" t="n">
        <v>-2.03</v>
      </c>
      <c r="L673" s="259" t="inlineStr">
        <is>
          <t>EQ-FLX</t>
        </is>
      </c>
    </row>
    <row r="674">
      <c r="A674" s="259" t="inlineStr">
        <is>
          <t>SBI Focused Equity Fund</t>
        </is>
      </c>
      <c r="B674" s="260" t="n">
        <v>8.890000000000001</v>
      </c>
      <c r="C674" s="260" t="n">
        <v>1.56</v>
      </c>
      <c r="D674" s="260" t="n">
        <v>18.32</v>
      </c>
      <c r="E674" s="260" t="n">
        <v>21.14</v>
      </c>
      <c r="F674" s="260" t="n">
        <v>1.56</v>
      </c>
      <c r="G674" s="260" t="n">
        <v>11.41</v>
      </c>
      <c r="H674" s="260" t="n">
        <v>0.87</v>
      </c>
      <c r="I674" s="260" t="n">
        <v>1.45</v>
      </c>
      <c r="J674" s="260" t="n">
        <v>0.71</v>
      </c>
      <c r="K674" s="260" t="n">
        <v>1.81</v>
      </c>
      <c r="L674" s="259" t="inlineStr">
        <is>
          <t>EQ-FLX</t>
        </is>
      </c>
    </row>
    <row r="675" hidden="1">
      <c r="A675" s="259" t="inlineStr">
        <is>
          <t>SBI Innovative Opportunities Fund - Regular Plan</t>
        </is>
      </c>
      <c r="B675" s="259" t="inlineStr">
        <is>
          <t>--</t>
        </is>
      </c>
      <c r="C675" s="260" t="n">
        <v>1.78</v>
      </c>
      <c r="D675" s="259" t="inlineStr">
        <is>
          <t>--</t>
        </is>
      </c>
      <c r="E675" s="259" t="inlineStr">
        <is>
          <t>--</t>
        </is>
      </c>
      <c r="F675" s="260" t="n">
        <v>1.78</v>
      </c>
      <c r="G675" s="259" t="inlineStr">
        <is>
          <t>--</t>
        </is>
      </c>
      <c r="H675" s="259" t="inlineStr">
        <is>
          <t>--</t>
        </is>
      </c>
      <c r="I675" s="259" t="inlineStr">
        <is>
          <t>--</t>
        </is>
      </c>
      <c r="J675" s="259" t="inlineStr">
        <is>
          <t>--</t>
        </is>
      </c>
      <c r="K675" s="259" t="inlineStr">
        <is>
          <t>--</t>
        </is>
      </c>
      <c r="L675" s="259" t="inlineStr">
        <is>
          <t>EQ-THEMATIC</t>
        </is>
      </c>
    </row>
    <row r="676">
      <c r="A676" s="259" t="inlineStr">
        <is>
          <t>SBI Large &amp; Midcap Fund</t>
        </is>
      </c>
      <c r="B676" s="260" t="n">
        <v>7.12</v>
      </c>
      <c r="C676" s="260" t="n">
        <v>1.59</v>
      </c>
      <c r="D676" s="260" t="n">
        <v>21.14</v>
      </c>
      <c r="E676" s="260" t="n">
        <v>26.05</v>
      </c>
      <c r="F676" s="260" t="n">
        <v>1.59</v>
      </c>
      <c r="G676" s="260" t="n">
        <v>12.51</v>
      </c>
      <c r="H676" s="260" t="n">
        <v>1.02</v>
      </c>
      <c r="I676" s="260" t="n">
        <v>1.66</v>
      </c>
      <c r="J676" s="260" t="n">
        <v>0.84</v>
      </c>
      <c r="K676" s="260" t="n">
        <v>3.47</v>
      </c>
      <c r="L676" s="259" t="inlineStr">
        <is>
          <t>EQ-L&amp;MC</t>
        </is>
      </c>
    </row>
    <row r="677" hidden="1">
      <c r="A677" s="259" t="inlineStr">
        <is>
          <t>SBI Magnum COMMA Fund</t>
        </is>
      </c>
      <c r="B677" s="260" t="n">
        <v>2.92</v>
      </c>
      <c r="C677" s="260" t="n">
        <v>2.5</v>
      </c>
      <c r="D677" s="260" t="n">
        <v>16.72</v>
      </c>
      <c r="E677" s="260" t="n">
        <v>24.47</v>
      </c>
      <c r="F677" s="260" t="n">
        <v>2.5</v>
      </c>
      <c r="G677" s="260" t="n">
        <v>17.07</v>
      </c>
      <c r="H677" s="260" t="n">
        <v>0.57</v>
      </c>
      <c r="I677" s="260" t="n">
        <v>0.89</v>
      </c>
      <c r="J677" s="260" t="n">
        <v>1.08</v>
      </c>
      <c r="K677" s="260" t="n">
        <v>-2.73</v>
      </c>
      <c r="L677" s="259" t="inlineStr">
        <is>
          <t>EQ-THEMATIC</t>
        </is>
      </c>
    </row>
    <row r="678" hidden="1">
      <c r="A678" s="259" t="inlineStr">
        <is>
          <t>SBI Magnum Global Fund</t>
        </is>
      </c>
      <c r="B678" s="260" t="n">
        <v>-0.15</v>
      </c>
      <c r="C678" s="260" t="n">
        <v>1.89</v>
      </c>
      <c r="D678" s="260" t="n">
        <v>12.92</v>
      </c>
      <c r="E678" s="260" t="n">
        <v>17.27</v>
      </c>
      <c r="F678" s="260" t="n">
        <v>1.89</v>
      </c>
      <c r="G678" s="260" t="n">
        <v>11.45</v>
      </c>
      <c r="H678" s="260" t="n">
        <v>0.53</v>
      </c>
      <c r="I678" s="260" t="n">
        <v>0.74</v>
      </c>
      <c r="J678" s="260" t="n">
        <v>0.66</v>
      </c>
      <c r="K678" s="260" t="n">
        <v>-1.51</v>
      </c>
      <c r="L678" s="259" t="inlineStr">
        <is>
          <t>EQ-MNC</t>
        </is>
      </c>
    </row>
    <row r="679">
      <c r="A679" s="259" t="inlineStr">
        <is>
          <t>SBI Magnum Midcap Fund</t>
        </is>
      </c>
      <c r="B679" s="260" t="n">
        <v>3.54</v>
      </c>
      <c r="C679" s="260" t="n">
        <v>1.66</v>
      </c>
      <c r="D679" s="260" t="n">
        <v>21.87</v>
      </c>
      <c r="E679" s="260" t="n">
        <v>30.51</v>
      </c>
      <c r="F679" s="260" t="n">
        <v>1.66</v>
      </c>
      <c r="G679" s="260" t="n">
        <v>13.88</v>
      </c>
      <c r="H679" s="260" t="n">
        <v>0.95</v>
      </c>
      <c r="I679" s="260" t="n">
        <v>1.37</v>
      </c>
      <c r="J679" s="260" t="n">
        <v>0.77</v>
      </c>
      <c r="K679" s="260" t="n">
        <v>-0.8</v>
      </c>
      <c r="L679" s="259" t="inlineStr">
        <is>
          <t>EQ-MC</t>
        </is>
      </c>
    </row>
    <row r="680">
      <c r="A680" s="259" t="inlineStr">
        <is>
          <t>SBI Multi Asset Allocation Fund</t>
        </is>
      </c>
      <c r="B680" s="260" t="n">
        <v>9.279999999999999</v>
      </c>
      <c r="C680" s="260" t="n">
        <v>1.44</v>
      </c>
      <c r="D680" s="260" t="n">
        <v>17.53</v>
      </c>
      <c r="E680" s="260" t="n">
        <v>15.28</v>
      </c>
      <c r="F680" s="260" t="n">
        <v>1.44</v>
      </c>
      <c r="G680" s="260" t="n">
        <v>7.39</v>
      </c>
      <c r="H680" s="260" t="n">
        <v>1.26</v>
      </c>
      <c r="I680" s="260" t="n">
        <v>2.16</v>
      </c>
      <c r="J680" s="260" t="n">
        <v>0.7</v>
      </c>
      <c r="K680" s="260" t="n">
        <v>3.14</v>
      </c>
      <c r="L680" s="259" t="inlineStr">
        <is>
          <t>HY-MAA</t>
        </is>
      </c>
    </row>
    <row r="681">
      <c r="A681" s="259" t="inlineStr">
        <is>
          <t>SBI Multicap Fund - Regular Plan</t>
        </is>
      </c>
      <c r="B681" s="260" t="n">
        <v>10.38</v>
      </c>
      <c r="C681" s="260" t="n">
        <v>1.68</v>
      </c>
      <c r="D681" s="260" t="n">
        <v>20.06</v>
      </c>
      <c r="E681" s="259" t="inlineStr">
        <is>
          <t>--</t>
        </is>
      </c>
      <c r="F681" s="260" t="n">
        <v>1.68</v>
      </c>
      <c r="G681" s="260" t="n">
        <v>13.5</v>
      </c>
      <c r="H681" s="260" t="n">
        <v>0.85</v>
      </c>
      <c r="I681" s="260" t="n">
        <v>1.33</v>
      </c>
      <c r="J681" s="260" t="n">
        <v>0.82</v>
      </c>
      <c r="K681" s="260" t="n">
        <v>-0.35</v>
      </c>
      <c r="L681" s="259" t="inlineStr">
        <is>
          <t>EQ-MLC</t>
        </is>
      </c>
    </row>
    <row r="682">
      <c r="A682" s="259" t="inlineStr">
        <is>
          <t>SBI Nifty 200 Quality 30 ETF</t>
        </is>
      </c>
      <c r="B682" s="260" t="n">
        <v>2.17</v>
      </c>
      <c r="C682" s="260" t="n">
        <v>0.5</v>
      </c>
      <c r="D682" s="260" t="n">
        <v>17.05</v>
      </c>
      <c r="E682" s="260" t="n">
        <v>19.37</v>
      </c>
      <c r="F682" s="260" t="n">
        <v>0.5</v>
      </c>
      <c r="G682" s="260" t="n">
        <v>15.29</v>
      </c>
      <c r="H682" s="260" t="n">
        <v>0.6</v>
      </c>
      <c r="I682" s="260" t="n">
        <v>0.78</v>
      </c>
      <c r="J682" s="260" t="n">
        <v>0.99</v>
      </c>
      <c r="K682" s="260" t="n">
        <v>-1.75</v>
      </c>
      <c r="L682" s="259" t="inlineStr">
        <is>
          <t>EQ-L&amp;MC</t>
        </is>
      </c>
    </row>
    <row r="683">
      <c r="A683" s="259" t="inlineStr">
        <is>
          <t>SBI Nifty200 Quality 30 Index Fund - Regular Plan</t>
        </is>
      </c>
      <c r="B683" s="259" t="inlineStr">
        <is>
          <t>--</t>
        </is>
      </c>
      <c r="C683" s="259" t="inlineStr">
        <is>
          <t>--</t>
        </is>
      </c>
      <c r="D683" s="259" t="inlineStr">
        <is>
          <t>--</t>
        </is>
      </c>
      <c r="E683" s="259" t="inlineStr">
        <is>
          <t>--</t>
        </is>
      </c>
      <c r="F683" s="259" t="inlineStr">
        <is>
          <t>--</t>
        </is>
      </c>
      <c r="G683" s="259" t="inlineStr">
        <is>
          <t>--</t>
        </is>
      </c>
      <c r="H683" s="259" t="inlineStr">
        <is>
          <t>--</t>
        </is>
      </c>
      <c r="I683" s="259" t="inlineStr">
        <is>
          <t>--</t>
        </is>
      </c>
      <c r="J683" s="259" t="inlineStr">
        <is>
          <t>--</t>
        </is>
      </c>
      <c r="K683" s="259" t="inlineStr">
        <is>
          <t>--</t>
        </is>
      </c>
      <c r="L683" s="259" t="inlineStr">
        <is>
          <t>EQ-L&amp;MC</t>
        </is>
      </c>
    </row>
    <row r="684">
      <c r="A684" s="259" t="inlineStr">
        <is>
          <t>SBI Nifty 500 Index Fund - Regular Plan</t>
        </is>
      </c>
      <c r="B684" s="259" t="inlineStr">
        <is>
          <t>--</t>
        </is>
      </c>
      <c r="C684" s="260" t="n">
        <v>0.87</v>
      </c>
      <c r="D684" s="259" t="inlineStr">
        <is>
          <t>--</t>
        </is>
      </c>
      <c r="E684" s="259" t="inlineStr">
        <is>
          <t>--</t>
        </is>
      </c>
      <c r="F684" s="260" t="n">
        <v>0.87</v>
      </c>
      <c r="G684" s="259" t="inlineStr">
        <is>
          <t>--</t>
        </is>
      </c>
      <c r="H684" s="259" t="inlineStr">
        <is>
          <t>--</t>
        </is>
      </c>
      <c r="I684" s="259" t="inlineStr">
        <is>
          <t>--</t>
        </is>
      </c>
      <c r="J684" s="259" t="inlineStr">
        <is>
          <t>--</t>
        </is>
      </c>
      <c r="K684" s="259" t="inlineStr">
        <is>
          <t>--</t>
        </is>
      </c>
      <c r="L684" s="259" t="inlineStr">
        <is>
          <t>EQ-FLX</t>
        </is>
      </c>
    </row>
    <row r="685">
      <c r="A685" s="259" t="inlineStr">
        <is>
          <t>SBI Nifty 50 Equal Weight ETF</t>
        </is>
      </c>
      <c r="B685" s="259" t="inlineStr">
        <is>
          <t>--</t>
        </is>
      </c>
      <c r="C685" s="260" t="n">
        <v>0.3</v>
      </c>
      <c r="D685" s="259" t="inlineStr">
        <is>
          <t>--</t>
        </is>
      </c>
      <c r="E685" s="259" t="inlineStr">
        <is>
          <t>--</t>
        </is>
      </c>
      <c r="F685" s="260" t="n">
        <v>0.3</v>
      </c>
      <c r="G685" s="259" t="inlineStr">
        <is>
          <t>--</t>
        </is>
      </c>
      <c r="H685" s="259" t="inlineStr">
        <is>
          <t>--</t>
        </is>
      </c>
      <c r="I685" s="259" t="inlineStr">
        <is>
          <t>--</t>
        </is>
      </c>
      <c r="J685" s="259" t="inlineStr">
        <is>
          <t>--</t>
        </is>
      </c>
      <c r="K685" s="259" t="inlineStr">
        <is>
          <t>--</t>
        </is>
      </c>
      <c r="L685" s="259" t="inlineStr">
        <is>
          <t>EQ-LC</t>
        </is>
      </c>
    </row>
    <row r="686">
      <c r="A686" s="259" t="inlineStr">
        <is>
          <t>SBI Nifty50 Equal Weight Index Fund - Regular Plan</t>
        </is>
      </c>
      <c r="B686" s="260" t="n">
        <v>4.87</v>
      </c>
      <c r="C686" s="260" t="n">
        <v>1.02</v>
      </c>
      <c r="D686" s="259" t="inlineStr">
        <is>
          <t>--</t>
        </is>
      </c>
      <c r="E686" s="259" t="inlineStr">
        <is>
          <t>--</t>
        </is>
      </c>
      <c r="F686" s="260" t="n">
        <v>1.02</v>
      </c>
      <c r="G686" s="259" t="inlineStr">
        <is>
          <t>--</t>
        </is>
      </c>
      <c r="H686" s="259" t="inlineStr">
        <is>
          <t>--</t>
        </is>
      </c>
      <c r="I686" s="259" t="inlineStr">
        <is>
          <t>--</t>
        </is>
      </c>
      <c r="J686" s="259" t="inlineStr">
        <is>
          <t>--</t>
        </is>
      </c>
      <c r="K686" s="259" t="inlineStr">
        <is>
          <t>--</t>
        </is>
      </c>
      <c r="L686" s="259" t="inlineStr">
        <is>
          <t>EQ-LC</t>
        </is>
      </c>
    </row>
    <row r="687">
      <c r="A687" s="259" t="inlineStr">
        <is>
          <t>SBI Nifty 50 ETF</t>
        </is>
      </c>
      <c r="B687" s="260" t="n">
        <v>7.81</v>
      </c>
      <c r="C687" s="260" t="n">
        <v>0.04</v>
      </c>
      <c r="D687" s="260" t="n">
        <v>16.57</v>
      </c>
      <c r="E687" s="260" t="n">
        <v>21.38</v>
      </c>
      <c r="F687" s="260" t="n">
        <v>0.04</v>
      </c>
      <c r="G687" s="260" t="n">
        <v>13.13</v>
      </c>
      <c r="H687" s="260" t="n">
        <v>0.6899999999999999</v>
      </c>
      <c r="I687" s="260" t="n">
        <v>1.17</v>
      </c>
      <c r="J687" s="260" t="n">
        <v>0.95</v>
      </c>
      <c r="K687" s="260" t="n">
        <v>-0.74</v>
      </c>
      <c r="L687" s="259" t="inlineStr">
        <is>
          <t>EQ-LC</t>
        </is>
      </c>
    </row>
    <row r="688" hidden="1">
      <c r="A688" s="259" t="inlineStr">
        <is>
          <t>SBI Nifty Consumption ETF</t>
        </is>
      </c>
      <c r="B688" s="260" t="n">
        <v>3.84</v>
      </c>
      <c r="C688" s="260" t="n">
        <v>0.3</v>
      </c>
      <c r="D688" s="260" t="n">
        <v>20.46</v>
      </c>
      <c r="E688" s="259" t="inlineStr">
        <is>
          <t>--</t>
        </is>
      </c>
      <c r="F688" s="260" t="n">
        <v>0.3</v>
      </c>
      <c r="G688" s="260" t="n">
        <v>15.98</v>
      </c>
      <c r="H688" s="260" t="n">
        <v>0.77</v>
      </c>
      <c r="I688" s="260" t="n">
        <v>1.13</v>
      </c>
      <c r="J688" s="260" t="n">
        <v>0.85</v>
      </c>
      <c r="K688" s="260" t="n">
        <v>0.09</v>
      </c>
      <c r="L688" s="259" t="inlineStr">
        <is>
          <t>EQ-Consumption</t>
        </is>
      </c>
    </row>
    <row r="689">
      <c r="A689" s="259" t="inlineStr">
        <is>
          <t>SBI Nifty Index Fund</t>
        </is>
      </c>
      <c r="B689" s="260" t="n">
        <v>7.33</v>
      </c>
      <c r="C689" s="260" t="n">
        <v>0.44</v>
      </c>
      <c r="D689" s="260" t="n">
        <v>16.03</v>
      </c>
      <c r="E689" s="260" t="n">
        <v>20.76</v>
      </c>
      <c r="F689" s="260" t="n">
        <v>0.44</v>
      </c>
      <c r="G689" s="260" t="n">
        <v>13.14</v>
      </c>
      <c r="H689" s="260" t="n">
        <v>0.65</v>
      </c>
      <c r="I689" s="260" t="n">
        <v>1.11</v>
      </c>
      <c r="J689" s="260" t="n">
        <v>0.95</v>
      </c>
      <c r="K689" s="260" t="n">
        <v>-1.22</v>
      </c>
      <c r="L689" s="259" t="inlineStr">
        <is>
          <t>EQ-LC</t>
        </is>
      </c>
    </row>
    <row r="690" hidden="1">
      <c r="A690" s="259" t="inlineStr">
        <is>
          <t>SBI Nifty India Consumption Index Fund - Regular Plan</t>
        </is>
      </c>
      <c r="B690" s="259" t="inlineStr">
        <is>
          <t>--</t>
        </is>
      </c>
      <c r="C690" s="260" t="n">
        <v>0.87</v>
      </c>
      <c r="D690" s="259" t="inlineStr">
        <is>
          <t>--</t>
        </is>
      </c>
      <c r="E690" s="259" t="inlineStr">
        <is>
          <t>--</t>
        </is>
      </c>
      <c r="F690" s="260" t="n">
        <v>0.87</v>
      </c>
      <c r="G690" s="259" t="inlineStr">
        <is>
          <t>--</t>
        </is>
      </c>
      <c r="H690" s="259" t="inlineStr">
        <is>
          <t>--</t>
        </is>
      </c>
      <c r="I690" s="259" t="inlineStr">
        <is>
          <t>--</t>
        </is>
      </c>
      <c r="J690" s="259" t="inlineStr">
        <is>
          <t>--</t>
        </is>
      </c>
      <c r="K690" s="259" t="inlineStr">
        <is>
          <t>--</t>
        </is>
      </c>
      <c r="L690" s="259" t="inlineStr">
        <is>
          <t>EQ-Consumption</t>
        </is>
      </c>
    </row>
    <row r="691">
      <c r="A691" s="259" t="inlineStr">
        <is>
          <t>SBI Nifty Midcap 150 Index Fund - Regular Plan</t>
        </is>
      </c>
      <c r="B691" s="260" t="n">
        <v>5.41</v>
      </c>
      <c r="C691" s="260" t="n">
        <v>0.87</v>
      </c>
      <c r="D691" s="259" t="inlineStr">
        <is>
          <t>--</t>
        </is>
      </c>
      <c r="E691" s="259" t="inlineStr">
        <is>
          <t>--</t>
        </is>
      </c>
      <c r="F691" s="260" t="n">
        <v>0.87</v>
      </c>
      <c r="G691" s="259" t="inlineStr">
        <is>
          <t>--</t>
        </is>
      </c>
      <c r="H691" s="259" t="inlineStr">
        <is>
          <t>--</t>
        </is>
      </c>
      <c r="I691" s="259" t="inlineStr">
        <is>
          <t>--</t>
        </is>
      </c>
      <c r="J691" s="259" t="inlineStr">
        <is>
          <t>--</t>
        </is>
      </c>
      <c r="K691" s="259" t="inlineStr">
        <is>
          <t>--</t>
        </is>
      </c>
      <c r="L691" s="259" t="inlineStr">
        <is>
          <t>EQ-MC</t>
        </is>
      </c>
    </row>
    <row r="692">
      <c r="A692" s="259" t="inlineStr">
        <is>
          <t>SBI Nifty Next 50 ETF</t>
        </is>
      </c>
      <c r="B692" s="260" t="n">
        <v>-3.25</v>
      </c>
      <c r="C692" s="260" t="n">
        <v>0.15</v>
      </c>
      <c r="D692" s="260" t="n">
        <v>22.07</v>
      </c>
      <c r="E692" s="260" t="n">
        <v>22.61</v>
      </c>
      <c r="F692" s="260" t="n">
        <v>0.15</v>
      </c>
      <c r="G692" s="260" t="n">
        <v>19.54</v>
      </c>
      <c r="H692" s="260" t="n">
        <v>0.72</v>
      </c>
      <c r="I692" s="260" t="n">
        <v>1.08</v>
      </c>
      <c r="J692" s="260" t="n">
        <v>1.3</v>
      </c>
      <c r="K692" s="260" t="n">
        <v>0.8</v>
      </c>
      <c r="L692" s="259" t="inlineStr">
        <is>
          <t>EQ-LC</t>
        </is>
      </c>
    </row>
    <row r="693">
      <c r="A693" s="259" t="inlineStr">
        <is>
          <t>SBI Nifty Next 50 Index Fund - Regular Plan</t>
        </is>
      </c>
      <c r="B693" s="260" t="n">
        <v>-3.89</v>
      </c>
      <c r="C693" s="260" t="n">
        <v>0.75</v>
      </c>
      <c r="D693" s="260" t="n">
        <v>21.24</v>
      </c>
      <c r="E693" s="259" t="inlineStr">
        <is>
          <t>--</t>
        </is>
      </c>
      <c r="F693" s="260" t="n">
        <v>0.75</v>
      </c>
      <c r="G693" s="260" t="n">
        <v>19.53</v>
      </c>
      <c r="H693" s="260" t="n">
        <v>0.6899999999999999</v>
      </c>
      <c r="I693" s="260" t="n">
        <v>1.03</v>
      </c>
      <c r="J693" s="260" t="n">
        <v>1.3</v>
      </c>
      <c r="K693" s="260" t="n">
        <v>0.11</v>
      </c>
      <c r="L693" s="259" t="inlineStr">
        <is>
          <t>EQ-LC</t>
        </is>
      </c>
    </row>
    <row r="694">
      <c r="A694" s="259" t="inlineStr">
        <is>
          <t>SBI Nifty Smallcap 250 Index Fund - Regular Plan</t>
        </is>
      </c>
      <c r="B694" s="260" t="n">
        <v>3.63</v>
      </c>
      <c r="C694" s="260" t="n">
        <v>0.88</v>
      </c>
      <c r="D694" s="259" t="inlineStr">
        <is>
          <t>--</t>
        </is>
      </c>
      <c r="E694" s="259" t="inlineStr">
        <is>
          <t>--</t>
        </is>
      </c>
      <c r="F694" s="260" t="n">
        <v>0.88</v>
      </c>
      <c r="G694" s="259" t="inlineStr">
        <is>
          <t>--</t>
        </is>
      </c>
      <c r="H694" s="259" t="inlineStr">
        <is>
          <t>--</t>
        </is>
      </c>
      <c r="I694" s="259" t="inlineStr">
        <is>
          <t>--</t>
        </is>
      </c>
      <c r="J694" s="259" t="inlineStr">
        <is>
          <t>--</t>
        </is>
      </c>
      <c r="K694" s="259" t="inlineStr">
        <is>
          <t>--</t>
        </is>
      </c>
      <c r="L694" s="259" t="inlineStr">
        <is>
          <t>EQ-SC</t>
        </is>
      </c>
    </row>
    <row r="695" hidden="1">
      <c r="A695" s="259" t="inlineStr">
        <is>
          <t>SBI PSU Fund</t>
        </is>
      </c>
      <c r="B695" s="260" t="n">
        <v>-1.27</v>
      </c>
      <c r="C695" s="260" t="n">
        <v>1.86</v>
      </c>
      <c r="D695" s="260" t="n">
        <v>34.97</v>
      </c>
      <c r="E695" s="260" t="n">
        <v>31.4</v>
      </c>
      <c r="F695" s="260" t="n">
        <v>1.86</v>
      </c>
      <c r="G695" s="260" t="n">
        <v>22.74</v>
      </c>
      <c r="H695" s="260" t="n">
        <v>1.16</v>
      </c>
      <c r="I695" s="260" t="n">
        <v>2.13</v>
      </c>
      <c r="J695" s="260" t="n">
        <v>0.97</v>
      </c>
      <c r="K695" s="260" t="n">
        <v>-0.73</v>
      </c>
      <c r="L695" s="259" t="inlineStr">
        <is>
          <t>EQ-PSU</t>
        </is>
      </c>
    </row>
    <row r="696" hidden="1">
      <c r="A696" s="259" t="inlineStr">
        <is>
          <t>SBI Quant Fund - Regular Plan</t>
        </is>
      </c>
      <c r="B696" s="259" t="inlineStr">
        <is>
          <t>--</t>
        </is>
      </c>
      <c r="C696" s="260" t="n">
        <v>1.9</v>
      </c>
      <c r="D696" s="259" t="inlineStr">
        <is>
          <t>--</t>
        </is>
      </c>
      <c r="E696" s="259" t="inlineStr">
        <is>
          <t>--</t>
        </is>
      </c>
      <c r="F696" s="260" t="n">
        <v>1.9</v>
      </c>
      <c r="G696" s="259" t="inlineStr">
        <is>
          <t>--</t>
        </is>
      </c>
      <c r="H696" s="259" t="inlineStr">
        <is>
          <t>--</t>
        </is>
      </c>
      <c r="I696" s="259" t="inlineStr">
        <is>
          <t>--</t>
        </is>
      </c>
      <c r="J696" s="259" t="inlineStr">
        <is>
          <t>--</t>
        </is>
      </c>
      <c r="K696" s="259" t="inlineStr">
        <is>
          <t>--</t>
        </is>
      </c>
      <c r="L696" s="259" t="inlineStr">
        <is>
          <t>EQ-THEMATIC</t>
        </is>
      </c>
    </row>
    <row r="697">
      <c r="A697" s="259" t="inlineStr">
        <is>
          <t>SBI Retirement Benefit Fund - Aggressive Plan - Regular Plan</t>
        </is>
      </c>
      <c r="B697" s="260" t="n">
        <v>1.42</v>
      </c>
      <c r="C697" s="260" t="n">
        <v>1.93</v>
      </c>
      <c r="D697" s="260" t="n">
        <v>18</v>
      </c>
      <c r="E697" s="259" t="inlineStr">
        <is>
          <t>--</t>
        </is>
      </c>
      <c r="F697" s="260" t="n">
        <v>1.93</v>
      </c>
      <c r="G697" s="260" t="n">
        <v>13.05</v>
      </c>
      <c r="H697" s="260" t="n">
        <v>0.77</v>
      </c>
      <c r="I697" s="260" t="n">
        <v>1.2</v>
      </c>
      <c r="J697" s="260" t="n">
        <v>0.86</v>
      </c>
      <c r="K697" s="260" t="n">
        <v>0.08</v>
      </c>
      <c r="L697" s="259" t="inlineStr">
        <is>
          <t>EQ-FLX</t>
        </is>
      </c>
    </row>
    <row r="698">
      <c r="A698" s="259" t="inlineStr">
        <is>
          <t>SBI Small Cap Fund</t>
        </is>
      </c>
      <c r="B698" s="260" t="n">
        <v>-1.46</v>
      </c>
      <c r="C698" s="260" t="n">
        <v>1.56</v>
      </c>
      <c r="D698" s="260" t="n">
        <v>19.52</v>
      </c>
      <c r="E698" s="260" t="n">
        <v>29.41</v>
      </c>
      <c r="F698" s="260" t="n">
        <v>1.56</v>
      </c>
      <c r="G698" s="260" t="n">
        <v>15.01</v>
      </c>
      <c r="H698" s="260" t="n">
        <v>0.8100000000000001</v>
      </c>
      <c r="I698" s="260" t="n">
        <v>1.13</v>
      </c>
      <c r="J698" s="260" t="n">
        <v>0.74</v>
      </c>
      <c r="K698" s="260" t="n">
        <v>-1.24</v>
      </c>
      <c r="L698" s="259" t="inlineStr">
        <is>
          <t>EQ-SC</t>
        </is>
      </c>
    </row>
    <row r="699">
      <c r="A699" s="259" t="inlineStr">
        <is>
          <t>Shriram Balanced Advantage Fund - Regular Plan</t>
        </is>
      </c>
      <c r="B699" s="260" t="n">
        <v>-4.03</v>
      </c>
      <c r="C699" s="260" t="n">
        <v>2.39</v>
      </c>
      <c r="D699" s="260" t="n">
        <v>9.85</v>
      </c>
      <c r="E699" s="260" t="n">
        <v>10.84</v>
      </c>
      <c r="F699" s="260" t="n">
        <v>2.39</v>
      </c>
      <c r="G699" s="260" t="n">
        <v>9.970000000000001</v>
      </c>
      <c r="H699" s="260" t="n">
        <v>0.31</v>
      </c>
      <c r="I699" s="260" t="n">
        <v>0.39</v>
      </c>
      <c r="J699" s="260" t="n">
        <v>0.84</v>
      </c>
      <c r="K699" s="260" t="n">
        <v>-3.5</v>
      </c>
      <c r="L699" s="259" t="inlineStr">
        <is>
          <t>HY-DAA</t>
        </is>
      </c>
    </row>
    <row r="700">
      <c r="A700" s="259" t="inlineStr">
        <is>
          <t>Shriram Flexi Cap Fund - Regular Plan</t>
        </is>
      </c>
      <c r="B700" s="260" t="n">
        <v>-9.25</v>
      </c>
      <c r="C700" s="260" t="n">
        <v>2.4</v>
      </c>
      <c r="D700" s="260" t="n">
        <v>14.24</v>
      </c>
      <c r="E700" s="260" t="n">
        <v>16.56</v>
      </c>
      <c r="F700" s="260" t="n">
        <v>2.4</v>
      </c>
      <c r="G700" s="260" t="n">
        <v>16.01</v>
      </c>
      <c r="H700" s="260" t="n">
        <v>0.44</v>
      </c>
      <c r="I700" s="260" t="n">
        <v>0.58</v>
      </c>
      <c r="J700" s="260" t="n">
        <v>0.99</v>
      </c>
      <c r="K700" s="260" t="n">
        <v>-4.33</v>
      </c>
      <c r="L700" s="259" t="inlineStr">
        <is>
          <t>EQ-FLX</t>
        </is>
      </c>
    </row>
    <row r="701">
      <c r="A701" s="259" t="inlineStr">
        <is>
          <t>Shriram Multi Asset Allocation Fund - Regular Plan</t>
        </is>
      </c>
      <c r="B701" s="260" t="n">
        <v>-4.17</v>
      </c>
      <c r="C701" s="260" t="n">
        <v>2.35</v>
      </c>
      <c r="D701" s="259" t="inlineStr">
        <is>
          <t>--</t>
        </is>
      </c>
      <c r="E701" s="259" t="inlineStr">
        <is>
          <t>--</t>
        </is>
      </c>
      <c r="F701" s="260" t="n">
        <v>2.35</v>
      </c>
      <c r="G701" s="259" t="inlineStr">
        <is>
          <t>--</t>
        </is>
      </c>
      <c r="H701" s="259" t="inlineStr">
        <is>
          <t>--</t>
        </is>
      </c>
      <c r="I701" s="259" t="inlineStr">
        <is>
          <t>--</t>
        </is>
      </c>
      <c r="J701" s="259" t="inlineStr">
        <is>
          <t>--</t>
        </is>
      </c>
      <c r="K701" s="259" t="inlineStr">
        <is>
          <t>--</t>
        </is>
      </c>
      <c r="L701" s="259" t="inlineStr">
        <is>
          <t>HY-MAA</t>
        </is>
      </c>
    </row>
    <row r="702" hidden="1">
      <c r="A702" s="259" t="inlineStr">
        <is>
          <t>Shriram Multi Sector Rotation Fund - Regular Plan</t>
        </is>
      </c>
      <c r="B702" s="259" t="inlineStr">
        <is>
          <t>--</t>
        </is>
      </c>
      <c r="C702" s="260" t="n">
        <v>2.35</v>
      </c>
      <c r="D702" s="259" t="inlineStr">
        <is>
          <t>--</t>
        </is>
      </c>
      <c r="E702" s="259" t="inlineStr">
        <is>
          <t>--</t>
        </is>
      </c>
      <c r="F702" s="260" t="n">
        <v>2.35</v>
      </c>
      <c r="G702" s="259" t="inlineStr">
        <is>
          <t>--</t>
        </is>
      </c>
      <c r="H702" s="259" t="inlineStr">
        <is>
          <t>--</t>
        </is>
      </c>
      <c r="I702" s="259" t="inlineStr">
        <is>
          <t>--</t>
        </is>
      </c>
      <c r="J702" s="259" t="inlineStr">
        <is>
          <t>--</t>
        </is>
      </c>
      <c r="K702" s="259" t="inlineStr">
        <is>
          <t>--</t>
        </is>
      </c>
      <c r="L702" s="259" t="inlineStr">
        <is>
          <t>EQ-THEMATIC</t>
        </is>
      </c>
    </row>
    <row r="703">
      <c r="A703" s="259" t="inlineStr">
        <is>
          <t>Sundaram Balanced Advantage Fund</t>
        </is>
      </c>
      <c r="B703" s="260" t="n">
        <v>7.11</v>
      </c>
      <c r="C703" s="260" t="n">
        <v>2.08</v>
      </c>
      <c r="D703" s="260" t="n">
        <v>12.84</v>
      </c>
      <c r="E703" s="260" t="n">
        <v>13.51</v>
      </c>
      <c r="F703" s="260" t="n">
        <v>2.08</v>
      </c>
      <c r="G703" s="260" t="n">
        <v>7.9</v>
      </c>
      <c r="H703" s="260" t="n">
        <v>0.73</v>
      </c>
      <c r="I703" s="260" t="n">
        <v>1.16</v>
      </c>
      <c r="J703" s="260" t="n">
        <v>0.75</v>
      </c>
      <c r="K703" s="260" t="n">
        <v>-0.12</v>
      </c>
      <c r="L703" s="259" t="inlineStr">
        <is>
          <t>HY-DAA</t>
        </is>
      </c>
    </row>
    <row r="704" hidden="1">
      <c r="A704" s="259" t="inlineStr">
        <is>
          <t>Sundaram Business Cycle Fund - Regular Plan</t>
        </is>
      </c>
      <c r="B704" s="259" t="inlineStr">
        <is>
          <t>--</t>
        </is>
      </c>
      <c r="C704" s="260" t="n">
        <v>2.03</v>
      </c>
      <c r="D704" s="259" t="inlineStr">
        <is>
          <t>--</t>
        </is>
      </c>
      <c r="E704" s="259" t="inlineStr">
        <is>
          <t>--</t>
        </is>
      </c>
      <c r="F704" s="260" t="n">
        <v>2.03</v>
      </c>
      <c r="G704" s="259" t="inlineStr">
        <is>
          <t>--</t>
        </is>
      </c>
      <c r="H704" s="259" t="inlineStr">
        <is>
          <t>--</t>
        </is>
      </c>
      <c r="I704" s="259" t="inlineStr">
        <is>
          <t>--</t>
        </is>
      </c>
      <c r="J704" s="259" t="inlineStr">
        <is>
          <t>--</t>
        </is>
      </c>
      <c r="K704" s="259" t="inlineStr">
        <is>
          <t>--</t>
        </is>
      </c>
      <c r="L704" s="259" t="inlineStr">
        <is>
          <t>EQ-THEMATIC</t>
        </is>
      </c>
    </row>
    <row r="705" hidden="1">
      <c r="A705" s="259" t="inlineStr">
        <is>
          <t>Sundaram Consumption Fund - Regular Plan</t>
        </is>
      </c>
      <c r="B705" s="260" t="n">
        <v>7</v>
      </c>
      <c r="C705" s="260" t="n">
        <v>2.19</v>
      </c>
      <c r="D705" s="260" t="n">
        <v>20.99</v>
      </c>
      <c r="E705" s="260" t="n">
        <v>21.25</v>
      </c>
      <c r="F705" s="260" t="n">
        <v>2.19</v>
      </c>
      <c r="G705" s="260" t="n">
        <v>15.23</v>
      </c>
      <c r="H705" s="260" t="n">
        <v>0.85</v>
      </c>
      <c r="I705" s="260" t="n">
        <v>1.24</v>
      </c>
      <c r="J705" s="260" t="n">
        <v>0.8100000000000001</v>
      </c>
      <c r="K705" s="260" t="n">
        <v>1.32</v>
      </c>
      <c r="L705" s="259" t="inlineStr">
        <is>
          <t>EQ-Consumption</t>
        </is>
      </c>
    </row>
    <row r="706" hidden="1">
      <c r="A706" s="259" t="inlineStr">
        <is>
          <t>Sundaram Dividend Yield Fund</t>
        </is>
      </c>
      <c r="B706" s="260" t="n">
        <v>0.64</v>
      </c>
      <c r="C706" s="260" t="n">
        <v>2.29</v>
      </c>
      <c r="D706" s="260" t="n">
        <v>18.58</v>
      </c>
      <c r="E706" s="260" t="n">
        <v>22.53</v>
      </c>
      <c r="F706" s="260" t="n">
        <v>2.29</v>
      </c>
      <c r="G706" s="260" t="n">
        <v>13.68</v>
      </c>
      <c r="H706" s="260" t="n">
        <v>0.8</v>
      </c>
      <c r="I706" s="260" t="n">
        <v>1.19</v>
      </c>
      <c r="J706" s="260" t="n">
        <v>0.91</v>
      </c>
      <c r="K706" s="260" t="n">
        <v>0.51</v>
      </c>
      <c r="L706" s="259" t="inlineStr">
        <is>
          <t>EQ-DIV Y</t>
        </is>
      </c>
    </row>
    <row r="707">
      <c r="A707" s="259" t="inlineStr">
        <is>
          <t>Sundaram Flexi Cap Fund - Regular Plan</t>
        </is>
      </c>
      <c r="B707" s="260" t="n">
        <v>8.02</v>
      </c>
      <c r="C707" s="260" t="n">
        <v>2.03</v>
      </c>
      <c r="D707" s="259" t="inlineStr">
        <is>
          <t>--</t>
        </is>
      </c>
      <c r="E707" s="259" t="inlineStr">
        <is>
          <t>--</t>
        </is>
      </c>
      <c r="F707" s="260" t="n">
        <v>2.03</v>
      </c>
      <c r="G707" s="259" t="inlineStr">
        <is>
          <t>--</t>
        </is>
      </c>
      <c r="H707" s="259" t="inlineStr">
        <is>
          <t>--</t>
        </is>
      </c>
      <c r="I707" s="259" t="inlineStr">
        <is>
          <t>--</t>
        </is>
      </c>
      <c r="J707" s="259" t="inlineStr">
        <is>
          <t>--</t>
        </is>
      </c>
      <c r="K707" s="259" t="inlineStr">
        <is>
          <t>--</t>
        </is>
      </c>
      <c r="L707" s="259" t="inlineStr">
        <is>
          <t>EQ-FLX</t>
        </is>
      </c>
    </row>
    <row r="708">
      <c r="A708" s="259" t="inlineStr">
        <is>
          <t>Sundaram Focused Fund</t>
        </is>
      </c>
      <c r="B708" s="260" t="n">
        <v>3.15</v>
      </c>
      <c r="C708" s="260" t="n">
        <v>2.27</v>
      </c>
      <c r="D708" s="260" t="n">
        <v>16.99</v>
      </c>
      <c r="E708" s="260" t="n">
        <v>21.11</v>
      </c>
      <c r="F708" s="260" t="n">
        <v>2.27</v>
      </c>
      <c r="G708" s="260" t="n">
        <v>13.22</v>
      </c>
      <c r="H708" s="260" t="n">
        <v>0.7</v>
      </c>
      <c r="I708" s="260" t="n">
        <v>1.19</v>
      </c>
      <c r="J708" s="260" t="n">
        <v>0.87</v>
      </c>
      <c r="K708" s="260" t="n">
        <v>-0.8</v>
      </c>
      <c r="L708" s="259" t="inlineStr">
        <is>
          <t>EQ-FLX</t>
        </is>
      </c>
    </row>
    <row r="709">
      <c r="A709" s="259" t="inlineStr">
        <is>
          <t>Sundaram Large and Mid Cap Fund</t>
        </is>
      </c>
      <c r="B709" s="260" t="n">
        <v>4.15</v>
      </c>
      <c r="C709" s="260" t="n">
        <v>1.82</v>
      </c>
      <c r="D709" s="260" t="n">
        <v>19.25</v>
      </c>
      <c r="E709" s="260" t="n">
        <v>23.67</v>
      </c>
      <c r="F709" s="260" t="n">
        <v>1.82</v>
      </c>
      <c r="G709" s="260" t="n">
        <v>14.95</v>
      </c>
      <c r="H709" s="260" t="n">
        <v>0.75</v>
      </c>
      <c r="I709" s="260" t="n">
        <v>1.1</v>
      </c>
      <c r="J709" s="260" t="n">
        <v>1</v>
      </c>
      <c r="K709" s="260" t="n">
        <v>0.21</v>
      </c>
      <c r="L709" s="259" t="inlineStr">
        <is>
          <t>EQ-L&amp;MC</t>
        </is>
      </c>
    </row>
    <row r="710">
      <c r="A710" s="259" t="inlineStr">
        <is>
          <t>Sundaram Large Cap Fund - Regular Plan</t>
        </is>
      </c>
      <c r="B710" s="260" t="n">
        <v>4.39</v>
      </c>
      <c r="C710" s="260" t="n">
        <v>1.91</v>
      </c>
      <c r="D710" s="260" t="n">
        <v>15.53</v>
      </c>
      <c r="E710" s="260" t="n">
        <v>18.73</v>
      </c>
      <c r="F710" s="260" t="n">
        <v>1.91</v>
      </c>
      <c r="G710" s="260" t="n">
        <v>12.61</v>
      </c>
      <c r="H710" s="260" t="n">
        <v>0.64</v>
      </c>
      <c r="I710" s="260" t="n">
        <v>1.07</v>
      </c>
      <c r="J710" s="260" t="n">
        <v>0.9</v>
      </c>
      <c r="K710" s="260" t="n">
        <v>-1.27</v>
      </c>
      <c r="L710" s="259" t="inlineStr">
        <is>
          <t>EQ-LC</t>
        </is>
      </c>
    </row>
    <row r="711">
      <c r="A711" s="259" t="inlineStr">
        <is>
          <t>Sundaram Mid Cap Fund - Regular Plan</t>
        </is>
      </c>
      <c r="B711" s="260" t="n">
        <v>9.23</v>
      </c>
      <c r="C711" s="260" t="n">
        <v>1.75</v>
      </c>
      <c r="D711" s="260" t="n">
        <v>28.3</v>
      </c>
      <c r="E711" s="260" t="n">
        <v>29.68</v>
      </c>
      <c r="F711" s="260" t="n">
        <v>1.75</v>
      </c>
      <c r="G711" s="260" t="n">
        <v>16.4</v>
      </c>
      <c r="H711" s="260" t="n">
        <v>1.16</v>
      </c>
      <c r="I711" s="260" t="n">
        <v>1.59</v>
      </c>
      <c r="J711" s="260" t="n">
        <v>0.9399999999999999</v>
      </c>
      <c r="K711" s="260" t="n">
        <v>2.02</v>
      </c>
      <c r="L711" s="259" t="inlineStr">
        <is>
          <t>EQ-MC</t>
        </is>
      </c>
    </row>
    <row r="712">
      <c r="A712" s="259" t="inlineStr">
        <is>
          <t>Sundaram Multi Asset Allocation Fund - Regular Plan</t>
        </is>
      </c>
      <c r="B712" s="260" t="n">
        <v>11.28</v>
      </c>
      <c r="C712" s="260" t="n">
        <v>1.86</v>
      </c>
      <c r="D712" s="259" t="inlineStr">
        <is>
          <t>--</t>
        </is>
      </c>
      <c r="E712" s="259" t="inlineStr">
        <is>
          <t>--</t>
        </is>
      </c>
      <c r="F712" s="260" t="n">
        <v>1.86</v>
      </c>
      <c r="G712" s="259" t="inlineStr">
        <is>
          <t>--</t>
        </is>
      </c>
      <c r="H712" s="259" t="inlineStr">
        <is>
          <t>--</t>
        </is>
      </c>
      <c r="I712" s="259" t="inlineStr">
        <is>
          <t>--</t>
        </is>
      </c>
      <c r="J712" s="259" t="inlineStr">
        <is>
          <t>--</t>
        </is>
      </c>
      <c r="K712" s="259" t="inlineStr">
        <is>
          <t>--</t>
        </is>
      </c>
      <c r="L712" s="259" t="inlineStr">
        <is>
          <t>HY-MAA</t>
        </is>
      </c>
    </row>
    <row r="713">
      <c r="A713" s="259" t="inlineStr">
        <is>
          <t>Sundaram Multi Cap Fund</t>
        </is>
      </c>
      <c r="B713" s="260" t="n">
        <v>5.19</v>
      </c>
      <c r="C713" s="260" t="n">
        <v>2</v>
      </c>
      <c r="D713" s="260" t="n">
        <v>20.02</v>
      </c>
      <c r="E713" s="260" t="n">
        <v>24.6</v>
      </c>
      <c r="F713" s="260" t="n">
        <v>2</v>
      </c>
      <c r="G713" s="260" t="n">
        <v>14.39</v>
      </c>
      <c r="H713" s="260" t="n">
        <v>0.84</v>
      </c>
      <c r="I713" s="260" t="n">
        <v>1.28</v>
      </c>
      <c r="J713" s="260" t="n">
        <v>0.9</v>
      </c>
      <c r="K713" s="260" t="n">
        <v>-0.97</v>
      </c>
      <c r="L713" s="259" t="inlineStr">
        <is>
          <t>EQ-MLC</t>
        </is>
      </c>
    </row>
    <row r="714">
      <c r="A714" s="259" t="inlineStr">
        <is>
          <t>Sundaram Nifty 100 Equal Weight Fund</t>
        </is>
      </c>
      <c r="B714" s="260" t="n">
        <v>1.05</v>
      </c>
      <c r="C714" s="260" t="n">
        <v>1.08</v>
      </c>
      <c r="D714" s="260" t="n">
        <v>19.63</v>
      </c>
      <c r="E714" s="260" t="n">
        <v>22.74</v>
      </c>
      <c r="F714" s="260" t="n">
        <v>1.08</v>
      </c>
      <c r="G714" s="260" t="n">
        <v>15.9</v>
      </c>
      <c r="H714" s="260" t="n">
        <v>0.73</v>
      </c>
      <c r="I714" s="260" t="n">
        <v>1.25</v>
      </c>
      <c r="J714" s="260" t="n">
        <v>1.12</v>
      </c>
      <c r="K714" s="260" t="n">
        <v>0.16</v>
      </c>
      <c r="L714" s="259" t="inlineStr">
        <is>
          <t>EQ-LC</t>
        </is>
      </c>
    </row>
    <row r="715" hidden="1">
      <c r="A715" s="259" t="inlineStr">
        <is>
          <t>Sundaram Services Fund - Regular Plan</t>
        </is>
      </c>
      <c r="B715" s="260" t="n">
        <v>17.11</v>
      </c>
      <c r="C715" s="260" t="n">
        <v>1.89</v>
      </c>
      <c r="D715" s="260" t="n">
        <v>21.91</v>
      </c>
      <c r="E715" s="260" t="n">
        <v>27.28</v>
      </c>
      <c r="F715" s="260" t="n">
        <v>1.89</v>
      </c>
      <c r="G715" s="260" t="n">
        <v>13.5</v>
      </c>
      <c r="H715" s="260" t="n">
        <v>0.96</v>
      </c>
      <c r="I715" s="260" t="n">
        <v>1.63</v>
      </c>
      <c r="J715" s="260" t="n">
        <v>0.87</v>
      </c>
      <c r="K715" s="260" t="n">
        <v>2.87</v>
      </c>
      <c r="L715" s="259" t="inlineStr">
        <is>
          <t>EQ-THEMATIC</t>
        </is>
      </c>
    </row>
    <row r="716">
      <c r="A716" s="259" t="inlineStr">
        <is>
          <t>Sundaram Small Cap Fund - Regular Plan</t>
        </is>
      </c>
      <c r="B716" s="260" t="n">
        <v>6.21</v>
      </c>
      <c r="C716" s="260" t="n">
        <v>1.94</v>
      </c>
      <c r="D716" s="260" t="n">
        <v>25.02</v>
      </c>
      <c r="E716" s="260" t="n">
        <v>33.45</v>
      </c>
      <c r="F716" s="260" t="n">
        <v>1.94</v>
      </c>
      <c r="G716" s="260" t="n">
        <v>16.11</v>
      </c>
      <c r="H716" s="260" t="n">
        <v>1.01</v>
      </c>
      <c r="I716" s="260" t="n">
        <v>1.39</v>
      </c>
      <c r="J716" s="260" t="n">
        <v>0.8</v>
      </c>
      <c r="K716" s="260" t="n">
        <v>1.7</v>
      </c>
      <c r="L716" s="259" t="inlineStr">
        <is>
          <t>EQ-SC</t>
        </is>
      </c>
    </row>
    <row r="717">
      <c r="A717" s="259" t="inlineStr">
        <is>
          <t>Tata Balanced Advantage Fund - Regular Plan</t>
        </is>
      </c>
      <c r="B717" s="260" t="n">
        <v>4.52</v>
      </c>
      <c r="C717" s="260" t="n">
        <v>1.69</v>
      </c>
      <c r="D717" s="260" t="n">
        <v>12.66</v>
      </c>
      <c r="E717" s="260" t="n">
        <v>14.26</v>
      </c>
      <c r="F717" s="260" t="n">
        <v>1.69</v>
      </c>
      <c r="G717" s="260" t="n">
        <v>7.07</v>
      </c>
      <c r="H717" s="260" t="n">
        <v>0.75</v>
      </c>
      <c r="I717" s="260" t="n">
        <v>1.2</v>
      </c>
      <c r="J717" s="260" t="n">
        <v>0.67</v>
      </c>
      <c r="K717" s="260" t="n">
        <v>-0.03</v>
      </c>
      <c r="L717" s="259" t="inlineStr">
        <is>
          <t>HY-DAA</t>
        </is>
      </c>
    </row>
    <row r="718">
      <c r="A718" s="259" t="inlineStr">
        <is>
          <t>Tata BSE Quality Index Fund - Regular Plan</t>
        </is>
      </c>
      <c r="B718" s="259" t="inlineStr">
        <is>
          <t>--</t>
        </is>
      </c>
      <c r="C718" s="260" t="n">
        <v>1.09</v>
      </c>
      <c r="D718" s="259" t="inlineStr">
        <is>
          <t>--</t>
        </is>
      </c>
      <c r="E718" s="259" t="inlineStr">
        <is>
          <t>--</t>
        </is>
      </c>
      <c r="F718" s="260" t="n">
        <v>1.09</v>
      </c>
      <c r="G718" s="259" t="inlineStr">
        <is>
          <t>--</t>
        </is>
      </c>
      <c r="H718" s="259" t="inlineStr">
        <is>
          <t>--</t>
        </is>
      </c>
      <c r="I718" s="259" t="inlineStr">
        <is>
          <t>--</t>
        </is>
      </c>
      <c r="J718" s="259" t="inlineStr">
        <is>
          <t>--</t>
        </is>
      </c>
      <c r="K718" s="259" t="inlineStr">
        <is>
          <t>--</t>
        </is>
      </c>
      <c r="L718" s="259" t="inlineStr">
        <is>
          <t>EQ-L&amp;MC</t>
        </is>
      </c>
    </row>
    <row r="719" hidden="1">
      <c r="A719" s="259" t="inlineStr">
        <is>
          <t>Tata BSE Select Business Groups Index Fund - Regular Plan</t>
        </is>
      </c>
      <c r="B719" s="259" t="inlineStr">
        <is>
          <t>--</t>
        </is>
      </c>
      <c r="C719" s="260" t="n">
        <v>1.08</v>
      </c>
      <c r="D719" s="259" t="inlineStr">
        <is>
          <t>--</t>
        </is>
      </c>
      <c r="E719" s="259" t="inlineStr">
        <is>
          <t>--</t>
        </is>
      </c>
      <c r="F719" s="260" t="n">
        <v>1.08</v>
      </c>
      <c r="G719" s="259" t="inlineStr">
        <is>
          <t>--</t>
        </is>
      </c>
      <c r="H719" s="259" t="inlineStr">
        <is>
          <t>--</t>
        </is>
      </c>
      <c r="I719" s="259" t="inlineStr">
        <is>
          <t>--</t>
        </is>
      </c>
      <c r="J719" s="259" t="inlineStr">
        <is>
          <t>--</t>
        </is>
      </c>
      <c r="K719" s="259" t="inlineStr">
        <is>
          <t>--</t>
        </is>
      </c>
      <c r="L719" s="259" t="inlineStr">
        <is>
          <t>EQ-THEMATIC</t>
        </is>
      </c>
    </row>
    <row r="720">
      <c r="A720" s="259" t="inlineStr">
        <is>
          <t>Tata BSE Sensex Index Fund - Regular Plan</t>
        </is>
      </c>
      <c r="B720" s="260" t="n">
        <v>7.11</v>
      </c>
      <c r="C720" s="260" t="n">
        <v>0.57</v>
      </c>
      <c r="D720" s="260" t="n">
        <v>15.15</v>
      </c>
      <c r="E720" s="260" t="n">
        <v>19.57</v>
      </c>
      <c r="F720" s="260" t="n">
        <v>0.57</v>
      </c>
      <c r="G720" s="260" t="n">
        <v>12.67</v>
      </c>
      <c r="H720" s="260" t="n">
        <v>0.62</v>
      </c>
      <c r="I720" s="260" t="n">
        <v>1.02</v>
      </c>
      <c r="J720" s="260" t="n">
        <v>0.91</v>
      </c>
      <c r="K720" s="260" t="n">
        <v>-1.55</v>
      </c>
      <c r="L720" s="259" t="inlineStr">
        <is>
          <t>EQ-LC</t>
        </is>
      </c>
    </row>
    <row r="721" hidden="1">
      <c r="A721" s="259" t="inlineStr">
        <is>
          <t>Tata Business Cycle Fund - Regular Plan</t>
        </is>
      </c>
      <c r="B721" s="260" t="n">
        <v>-0.39</v>
      </c>
      <c r="C721" s="260" t="n">
        <v>1.91</v>
      </c>
      <c r="D721" s="260" t="n">
        <v>23.22</v>
      </c>
      <c r="E721" s="259" t="inlineStr">
        <is>
          <t>--</t>
        </is>
      </c>
      <c r="F721" s="260" t="n">
        <v>1.91</v>
      </c>
      <c r="G721" s="260" t="n">
        <v>14.41</v>
      </c>
      <c r="H721" s="260" t="n">
        <v>1.03</v>
      </c>
      <c r="I721" s="260" t="n">
        <v>1.58</v>
      </c>
      <c r="J721" s="260" t="n">
        <v>0.96</v>
      </c>
      <c r="K721" s="260" t="n">
        <v>3.75</v>
      </c>
      <c r="L721" s="259" t="inlineStr">
        <is>
          <t>EQ-THEMATIC</t>
        </is>
      </c>
    </row>
    <row r="722" hidden="1">
      <c r="A722" s="259" t="inlineStr">
        <is>
          <t>Tata Dividend Yield Fund - Regular Plan</t>
        </is>
      </c>
      <c r="B722" s="260" t="n">
        <v>0.36</v>
      </c>
      <c r="C722" s="260" t="n">
        <v>2.18</v>
      </c>
      <c r="D722" s="260" t="n">
        <v>20.03</v>
      </c>
      <c r="E722" s="259" t="inlineStr">
        <is>
          <t>--</t>
        </is>
      </c>
      <c r="F722" s="260" t="n">
        <v>2.18</v>
      </c>
      <c r="G722" s="260" t="n">
        <v>15.25</v>
      </c>
      <c r="H722" s="260" t="n">
        <v>0.77</v>
      </c>
      <c r="I722" s="260" t="n">
        <v>1.18</v>
      </c>
      <c r="J722" s="260" t="n">
        <v>1.01</v>
      </c>
      <c r="K722" s="260" t="n">
        <v>0.03</v>
      </c>
      <c r="L722" s="259" t="inlineStr">
        <is>
          <t>EQ-DIV Y</t>
        </is>
      </c>
    </row>
    <row r="723" hidden="1">
      <c r="A723" s="259" t="inlineStr">
        <is>
          <t>Tata Ethical Fund - Regular Plan</t>
        </is>
      </c>
      <c r="B723" s="260" t="n">
        <v>-2.6</v>
      </c>
      <c r="C723" s="260" t="n">
        <v>1.9</v>
      </c>
      <c r="D723" s="260" t="n">
        <v>13.91</v>
      </c>
      <c r="E723" s="260" t="n">
        <v>20.61</v>
      </c>
      <c r="F723" s="260" t="n">
        <v>1.9</v>
      </c>
      <c r="G723" s="260" t="n">
        <v>14.08</v>
      </c>
      <c r="H723" s="260" t="n">
        <v>0.45</v>
      </c>
      <c r="I723" s="260" t="n">
        <v>0.6</v>
      </c>
      <c r="J723" s="260" t="n">
        <v>0.9</v>
      </c>
      <c r="K723" s="260" t="n">
        <v>-4.02</v>
      </c>
      <c r="L723" s="259" t="inlineStr">
        <is>
          <t>EQ-THEMATIC</t>
        </is>
      </c>
    </row>
    <row r="724">
      <c r="A724" s="259" t="inlineStr">
        <is>
          <t>Tata Flexi Cap Fund - Regular Plan</t>
        </is>
      </c>
      <c r="B724" s="260" t="n">
        <v>10.02</v>
      </c>
      <c r="C724" s="260" t="n">
        <v>1.9</v>
      </c>
      <c r="D724" s="260" t="n">
        <v>18.34</v>
      </c>
      <c r="E724" s="260" t="n">
        <v>20.06</v>
      </c>
      <c r="F724" s="260" t="n">
        <v>1.9</v>
      </c>
      <c r="G724" s="260" t="n">
        <v>12.22</v>
      </c>
      <c r="H724" s="260" t="n">
        <v>0.85</v>
      </c>
      <c r="I724" s="260" t="n">
        <v>1.5</v>
      </c>
      <c r="J724" s="260" t="n">
        <v>0.8</v>
      </c>
      <c r="K724" s="260" t="n">
        <v>1.19</v>
      </c>
      <c r="L724" s="259" t="inlineStr">
        <is>
          <t>EQ-FLX</t>
        </is>
      </c>
    </row>
    <row r="725">
      <c r="A725" s="259" t="inlineStr">
        <is>
          <t>Tata Focused Equity Fund - Regular Plan</t>
        </is>
      </c>
      <c r="B725" s="260" t="n">
        <v>3.57</v>
      </c>
      <c r="C725" s="260" t="n">
        <v>2.04</v>
      </c>
      <c r="D725" s="260" t="n">
        <v>18.3</v>
      </c>
      <c r="E725" s="260" t="n">
        <v>22.9</v>
      </c>
      <c r="F725" s="260" t="n">
        <v>2.04</v>
      </c>
      <c r="G725" s="260" t="n">
        <v>14.17</v>
      </c>
      <c r="H725" s="260" t="n">
        <v>0.73</v>
      </c>
      <c r="I725" s="260" t="n">
        <v>1.11</v>
      </c>
      <c r="J725" s="260" t="n">
        <v>0.93</v>
      </c>
      <c r="K725" s="260" t="n">
        <v>-0.4</v>
      </c>
      <c r="L725" s="259" t="inlineStr">
        <is>
          <t>EQ-FLX</t>
        </is>
      </c>
    </row>
    <row r="726" hidden="1">
      <c r="A726" s="259" t="inlineStr">
        <is>
          <t>Tata Housing Opportunities Fund - Regular Plan</t>
        </is>
      </c>
      <c r="B726" s="260" t="n">
        <v>-3.11</v>
      </c>
      <c r="C726" s="260" t="n">
        <v>2.36</v>
      </c>
      <c r="D726" s="259" t="inlineStr">
        <is>
          <t>--</t>
        </is>
      </c>
      <c r="E726" s="259" t="inlineStr">
        <is>
          <t>--</t>
        </is>
      </c>
      <c r="F726" s="260" t="n">
        <v>2.36</v>
      </c>
      <c r="G726" s="259" t="inlineStr">
        <is>
          <t>--</t>
        </is>
      </c>
      <c r="H726" s="259" t="inlineStr">
        <is>
          <t>--</t>
        </is>
      </c>
      <c r="I726" s="259" t="inlineStr">
        <is>
          <t>--</t>
        </is>
      </c>
      <c r="J726" s="259" t="inlineStr">
        <is>
          <t>--</t>
        </is>
      </c>
      <c r="K726" s="259" t="inlineStr">
        <is>
          <t>--</t>
        </is>
      </c>
      <c r="L726" s="259" t="inlineStr">
        <is>
          <t>EQ-THEMATIC</t>
        </is>
      </c>
    </row>
    <row r="727" hidden="1">
      <c r="A727" s="259" t="inlineStr">
        <is>
          <t>Tata India Consumer Fund - Regular Plan</t>
        </is>
      </c>
      <c r="B727" s="260" t="n">
        <v>6.78</v>
      </c>
      <c r="C727" s="260" t="n">
        <v>1.99</v>
      </c>
      <c r="D727" s="260" t="n">
        <v>21.69</v>
      </c>
      <c r="E727" s="260" t="n">
        <v>22.17</v>
      </c>
      <c r="F727" s="260" t="n">
        <v>1.99</v>
      </c>
      <c r="G727" s="260" t="n">
        <v>15.81</v>
      </c>
      <c r="H727" s="260" t="n">
        <v>0.86</v>
      </c>
      <c r="I727" s="260" t="n">
        <v>1.18</v>
      </c>
      <c r="J727" s="260" t="n">
        <v>0.84</v>
      </c>
      <c r="K727" s="260" t="n">
        <v>1.52</v>
      </c>
      <c r="L727" s="259" t="inlineStr">
        <is>
          <t>EQ-Consumption</t>
        </is>
      </c>
    </row>
    <row r="728" hidden="1">
      <c r="A728" s="259" t="inlineStr">
        <is>
          <t>Tata India Innovation Fund - Regular Plan</t>
        </is>
      </c>
      <c r="B728" s="259" t="inlineStr">
        <is>
          <t>--</t>
        </is>
      </c>
      <c r="C728" s="260" t="n">
        <v>2.03</v>
      </c>
      <c r="D728" s="259" t="inlineStr">
        <is>
          <t>--</t>
        </is>
      </c>
      <c r="E728" s="259" t="inlineStr">
        <is>
          <t>--</t>
        </is>
      </c>
      <c r="F728" s="260" t="n">
        <v>2.03</v>
      </c>
      <c r="G728" s="259" t="inlineStr">
        <is>
          <t>--</t>
        </is>
      </c>
      <c r="H728" s="259" t="inlineStr">
        <is>
          <t>--</t>
        </is>
      </c>
      <c r="I728" s="259" t="inlineStr">
        <is>
          <t>--</t>
        </is>
      </c>
      <c r="J728" s="259" t="inlineStr">
        <is>
          <t>--</t>
        </is>
      </c>
      <c r="K728" s="259" t="inlineStr">
        <is>
          <t>--</t>
        </is>
      </c>
      <c r="L728" s="259" t="inlineStr">
        <is>
          <t>EQ-THEMATIC</t>
        </is>
      </c>
    </row>
    <row r="729">
      <c r="A729" s="259" t="inlineStr">
        <is>
          <t>Tata Large Cap Fund - Regular Plan</t>
        </is>
      </c>
      <c r="B729" s="260" t="n">
        <v>3.31</v>
      </c>
      <c r="C729" s="260" t="n">
        <v>2.01</v>
      </c>
      <c r="D729" s="260" t="n">
        <v>17.75</v>
      </c>
      <c r="E729" s="260" t="n">
        <v>21.92</v>
      </c>
      <c r="F729" s="260" t="n">
        <v>2.01</v>
      </c>
      <c r="G729" s="260" t="n">
        <v>13.6</v>
      </c>
      <c r="H729" s="260" t="n">
        <v>0.74</v>
      </c>
      <c r="I729" s="260" t="n">
        <v>1.21</v>
      </c>
      <c r="J729" s="260" t="n">
        <v>0.98</v>
      </c>
      <c r="K729" s="260" t="n">
        <v>-0.04</v>
      </c>
      <c r="L729" s="259" t="inlineStr">
        <is>
          <t>EQ-LC</t>
        </is>
      </c>
    </row>
    <row r="730">
      <c r="A730" s="259" t="inlineStr">
        <is>
          <t>Tata Large &amp; Mid Cap Fund - Regular Plan</t>
        </is>
      </c>
      <c r="B730" s="260" t="n">
        <v>4.4</v>
      </c>
      <c r="C730" s="260" t="n">
        <v>1.75</v>
      </c>
      <c r="D730" s="260" t="n">
        <v>20.21</v>
      </c>
      <c r="E730" s="260" t="n">
        <v>23.29</v>
      </c>
      <c r="F730" s="260" t="n">
        <v>1.75</v>
      </c>
      <c r="G730" s="260" t="n">
        <v>13.26</v>
      </c>
      <c r="H730" s="260" t="n">
        <v>0.89</v>
      </c>
      <c r="I730" s="260" t="n">
        <v>1.47</v>
      </c>
      <c r="J730" s="260" t="n">
        <v>0.89</v>
      </c>
      <c r="K730" s="260" t="n">
        <v>1.96</v>
      </c>
      <c r="L730" s="259" t="inlineStr">
        <is>
          <t>EQ-L&amp;MC</t>
        </is>
      </c>
    </row>
    <row r="731">
      <c r="A731" s="259" t="inlineStr">
        <is>
          <t>Tata Midcap Growth Fund - Regular Plan</t>
        </is>
      </c>
      <c r="B731" s="260" t="n">
        <v>-0.3</v>
      </c>
      <c r="C731" s="260" t="n">
        <v>1.85</v>
      </c>
      <c r="D731" s="260" t="n">
        <v>24.05</v>
      </c>
      <c r="E731" s="260" t="n">
        <v>27.29</v>
      </c>
      <c r="F731" s="260" t="n">
        <v>1.85</v>
      </c>
      <c r="G731" s="260" t="n">
        <v>15.64</v>
      </c>
      <c r="H731" s="260" t="n">
        <v>0.96</v>
      </c>
      <c r="I731" s="260" t="n">
        <v>1.38</v>
      </c>
      <c r="J731" s="260" t="n">
        <v>0.91</v>
      </c>
      <c r="K731" s="260" t="n">
        <v>-1.44</v>
      </c>
      <c r="L731" s="259" t="inlineStr">
        <is>
          <t>EQ-MC</t>
        </is>
      </c>
    </row>
    <row r="732">
      <c r="A732" s="259" t="inlineStr">
        <is>
          <t>Tata Multi Asset Opportunities Fund - Regular Plan</t>
        </is>
      </c>
      <c r="B732" s="260" t="n">
        <v>7.67</v>
      </c>
      <c r="C732" s="260" t="n">
        <v>1.84</v>
      </c>
      <c r="D732" s="260" t="n">
        <v>16.13</v>
      </c>
      <c r="E732" s="260" t="n">
        <v>18.64</v>
      </c>
      <c r="F732" s="260" t="n">
        <v>1.84</v>
      </c>
      <c r="G732" s="260" t="n">
        <v>8.539999999999999</v>
      </c>
      <c r="H732" s="260" t="n">
        <v>0.96</v>
      </c>
      <c r="I732" s="260" t="n">
        <v>1.55</v>
      </c>
      <c r="J732" s="260" t="n">
        <v>0.86</v>
      </c>
      <c r="K732" s="260" t="n">
        <v>0.55</v>
      </c>
      <c r="L732" s="259" t="inlineStr">
        <is>
          <t>HY-MAA</t>
        </is>
      </c>
    </row>
    <row r="733">
      <c r="A733" s="259" t="inlineStr">
        <is>
          <t>Tata Multicap Fund - Regular Plan</t>
        </is>
      </c>
      <c r="B733" s="260" t="n">
        <v>-0.39</v>
      </c>
      <c r="C733" s="260" t="n">
        <v>1.88</v>
      </c>
      <c r="D733" s="259" t="inlineStr">
        <is>
          <t>--</t>
        </is>
      </c>
      <c r="E733" s="259" t="inlineStr">
        <is>
          <t>--</t>
        </is>
      </c>
      <c r="F733" s="260" t="n">
        <v>1.88</v>
      </c>
      <c r="G733" s="259" t="inlineStr">
        <is>
          <t>--</t>
        </is>
      </c>
      <c r="H733" s="259" t="inlineStr">
        <is>
          <t>--</t>
        </is>
      </c>
      <c r="I733" s="259" t="inlineStr">
        <is>
          <t>--</t>
        </is>
      </c>
      <c r="J733" s="259" t="inlineStr">
        <is>
          <t>--</t>
        </is>
      </c>
      <c r="K733" s="259" t="inlineStr">
        <is>
          <t>--</t>
        </is>
      </c>
      <c r="L733" s="259" t="inlineStr">
        <is>
          <t>EQ-MLC</t>
        </is>
      </c>
    </row>
    <row r="734">
      <c r="A734" s="259" t="inlineStr">
        <is>
          <t>Tata Nifty200 Alpha 30 Index Fund - Regular Plan</t>
        </is>
      </c>
      <c r="B734" s="259" t="inlineStr">
        <is>
          <t>--</t>
        </is>
      </c>
      <c r="C734" s="260" t="n">
        <v>1.11</v>
      </c>
      <c r="D734" s="259" t="inlineStr">
        <is>
          <t>--</t>
        </is>
      </c>
      <c r="E734" s="259" t="inlineStr">
        <is>
          <t>--</t>
        </is>
      </c>
      <c r="F734" s="260" t="n">
        <v>1.11</v>
      </c>
      <c r="G734" s="259" t="inlineStr">
        <is>
          <t>--</t>
        </is>
      </c>
      <c r="H734" s="259" t="inlineStr">
        <is>
          <t>--</t>
        </is>
      </c>
      <c r="I734" s="259" t="inlineStr">
        <is>
          <t>--</t>
        </is>
      </c>
      <c r="J734" s="259" t="inlineStr">
        <is>
          <t>--</t>
        </is>
      </c>
      <c r="K734" s="259" t="inlineStr">
        <is>
          <t>--</t>
        </is>
      </c>
      <c r="L734" s="259" t="inlineStr">
        <is>
          <t>EQ-L&amp;MC</t>
        </is>
      </c>
    </row>
    <row r="735" hidden="1">
      <c r="A735" s="259" t="inlineStr">
        <is>
          <t>Tata Nifty500 Multicap India Manufacturing 50:30:20 Index Fund - Regular Plan</t>
        </is>
      </c>
      <c r="B735" s="260" t="n">
        <v>1.06</v>
      </c>
      <c r="C735" s="260" t="n">
        <v>1.11</v>
      </c>
      <c r="D735" s="259" t="inlineStr">
        <is>
          <t>--</t>
        </is>
      </c>
      <c r="E735" s="259" t="inlineStr">
        <is>
          <t>--</t>
        </is>
      </c>
      <c r="F735" s="260" t="n">
        <v>1.11</v>
      </c>
      <c r="G735" s="259" t="inlineStr">
        <is>
          <t>--</t>
        </is>
      </c>
      <c r="H735" s="259" t="inlineStr">
        <is>
          <t>--</t>
        </is>
      </c>
      <c r="I735" s="259" t="inlineStr">
        <is>
          <t>--</t>
        </is>
      </c>
      <c r="J735" s="259" t="inlineStr">
        <is>
          <t>--</t>
        </is>
      </c>
      <c r="K735" s="259" t="inlineStr">
        <is>
          <t>--</t>
        </is>
      </c>
      <c r="L735" s="259" t="inlineStr">
        <is>
          <t>EQ-THEMATIC</t>
        </is>
      </c>
    </row>
    <row r="736">
      <c r="A736" s="259" t="inlineStr">
        <is>
          <t>Tata Nifty 50 Exchange Traded Fund</t>
        </is>
      </c>
      <c r="B736" s="260" t="n">
        <v>7.77</v>
      </c>
      <c r="C736" s="260" t="n">
        <v>0.06</v>
      </c>
      <c r="D736" s="260" t="n">
        <v>16.52</v>
      </c>
      <c r="E736" s="260" t="n">
        <v>21.39</v>
      </c>
      <c r="F736" s="260" t="n">
        <v>0.06</v>
      </c>
      <c r="G736" s="260" t="n">
        <v>13.1</v>
      </c>
      <c r="H736" s="260" t="n">
        <v>0.6899999999999999</v>
      </c>
      <c r="I736" s="260" t="n">
        <v>1.17</v>
      </c>
      <c r="J736" s="260" t="n">
        <v>0.95</v>
      </c>
      <c r="K736" s="260" t="n">
        <v>-0.76</v>
      </c>
      <c r="L736" s="259" t="inlineStr">
        <is>
          <t>EQ-LC</t>
        </is>
      </c>
    </row>
    <row r="737">
      <c r="A737" s="259" t="inlineStr">
        <is>
          <t>Tata Nifty 50 Index Fund - Regular Plan</t>
        </is>
      </c>
      <c r="B737" s="260" t="n">
        <v>7.17</v>
      </c>
      <c r="C737" s="260" t="n">
        <v>0.51</v>
      </c>
      <c r="D737" s="260" t="n">
        <v>15.91</v>
      </c>
      <c r="E737" s="260" t="n">
        <v>20.59</v>
      </c>
      <c r="F737" s="260" t="n">
        <v>0.51</v>
      </c>
      <c r="G737" s="260" t="n">
        <v>13.1</v>
      </c>
      <c r="H737" s="260" t="n">
        <v>0.64</v>
      </c>
      <c r="I737" s="260" t="n">
        <v>1.1</v>
      </c>
      <c r="J737" s="260" t="n">
        <v>0.95</v>
      </c>
      <c r="K737" s="260" t="n">
        <v>-1.29</v>
      </c>
      <c r="L737" s="259" t="inlineStr">
        <is>
          <t>EQ-LC</t>
        </is>
      </c>
    </row>
    <row r="738" hidden="1">
      <c r="A738" s="259" t="inlineStr">
        <is>
          <t>Tata Nifty Auto Index Fund - Regular Plan</t>
        </is>
      </c>
      <c r="B738" s="260" t="n">
        <v>-7.41</v>
      </c>
      <c r="C738" s="260" t="n">
        <v>1.11</v>
      </c>
      <c r="D738" s="259" t="inlineStr">
        <is>
          <t>--</t>
        </is>
      </c>
      <c r="E738" s="259" t="inlineStr">
        <is>
          <t>--</t>
        </is>
      </c>
      <c r="F738" s="260" t="n">
        <v>1.11</v>
      </c>
      <c r="G738" s="259" t="inlineStr">
        <is>
          <t>--</t>
        </is>
      </c>
      <c r="H738" s="259" t="inlineStr">
        <is>
          <t>--</t>
        </is>
      </c>
      <c r="I738" s="259" t="inlineStr">
        <is>
          <t>--</t>
        </is>
      </c>
      <c r="J738" s="259" t="inlineStr">
        <is>
          <t>--</t>
        </is>
      </c>
      <c r="K738" s="259" t="inlineStr">
        <is>
          <t>--</t>
        </is>
      </c>
      <c r="L738" s="259" t="inlineStr">
        <is>
          <t>EQ-THEMATIC</t>
        </is>
      </c>
    </row>
    <row r="739" hidden="1">
      <c r="A739" s="259" t="inlineStr">
        <is>
          <t>Tata Nifty Capital Markets Index Fund - Regular Plan</t>
        </is>
      </c>
      <c r="B739" s="259" t="inlineStr">
        <is>
          <t>--</t>
        </is>
      </c>
      <c r="C739" s="260" t="n">
        <v>1.12</v>
      </c>
      <c r="D739" s="259" t="inlineStr">
        <is>
          <t>--</t>
        </is>
      </c>
      <c r="E739" s="259" t="inlineStr">
        <is>
          <t>--</t>
        </is>
      </c>
      <c r="F739" s="260" t="n">
        <v>1.12</v>
      </c>
      <c r="G739" s="259" t="inlineStr">
        <is>
          <t>--</t>
        </is>
      </c>
      <c r="H739" s="259" t="inlineStr">
        <is>
          <t>--</t>
        </is>
      </c>
      <c r="I739" s="259" t="inlineStr">
        <is>
          <t>--</t>
        </is>
      </c>
      <c r="J739" s="259" t="inlineStr">
        <is>
          <t>--</t>
        </is>
      </c>
      <c r="K739" s="259" t="inlineStr">
        <is>
          <t>--</t>
        </is>
      </c>
      <c r="L739" s="259" t="inlineStr">
        <is>
          <t>EQ-THEMATIC</t>
        </is>
      </c>
    </row>
    <row r="740" hidden="1">
      <c r="A740" s="259" t="inlineStr">
        <is>
          <t>Tata Nifty India Tourism Index Fund - Regular Plan</t>
        </is>
      </c>
      <c r="B740" s="259" t="inlineStr">
        <is>
          <t>--</t>
        </is>
      </c>
      <c r="C740" s="260" t="n">
        <v>1.11</v>
      </c>
      <c r="D740" s="259" t="inlineStr">
        <is>
          <t>--</t>
        </is>
      </c>
      <c r="E740" s="259" t="inlineStr">
        <is>
          <t>--</t>
        </is>
      </c>
      <c r="F740" s="260" t="n">
        <v>1.11</v>
      </c>
      <c r="G740" s="259" t="inlineStr">
        <is>
          <t>--</t>
        </is>
      </c>
      <c r="H740" s="259" t="inlineStr">
        <is>
          <t>--</t>
        </is>
      </c>
      <c r="I740" s="259" t="inlineStr">
        <is>
          <t>--</t>
        </is>
      </c>
      <c r="J740" s="259" t="inlineStr">
        <is>
          <t>--</t>
        </is>
      </c>
      <c r="K740" s="259" t="inlineStr">
        <is>
          <t>--</t>
        </is>
      </c>
      <c r="L740" s="259" t="inlineStr">
        <is>
          <t>EQ-THEMATIC</t>
        </is>
      </c>
    </row>
    <row r="741">
      <c r="A741" s="259" t="inlineStr">
        <is>
          <t>Tata Nifty Midcap 150 Index Fund - Regular Plan</t>
        </is>
      </c>
      <c r="B741" s="259" t="inlineStr">
        <is>
          <t>--</t>
        </is>
      </c>
      <c r="C741" s="259" t="inlineStr">
        <is>
          <t>--</t>
        </is>
      </c>
      <c r="D741" s="259" t="inlineStr">
        <is>
          <t>--</t>
        </is>
      </c>
      <c r="E741" s="259" t="inlineStr">
        <is>
          <t>--</t>
        </is>
      </c>
      <c r="F741" s="259" t="inlineStr">
        <is>
          <t>--</t>
        </is>
      </c>
      <c r="G741" s="259" t="inlineStr">
        <is>
          <t>--</t>
        </is>
      </c>
      <c r="H741" s="259" t="inlineStr">
        <is>
          <t>--</t>
        </is>
      </c>
      <c r="I741" s="259" t="inlineStr">
        <is>
          <t>--</t>
        </is>
      </c>
      <c r="J741" s="259" t="inlineStr">
        <is>
          <t>--</t>
        </is>
      </c>
      <c r="K741" s="259" t="inlineStr">
        <is>
          <t>--</t>
        </is>
      </c>
      <c r="L741" s="259" t="inlineStr">
        <is>
          <t>EQ-MC</t>
        </is>
      </c>
    </row>
    <row r="742">
      <c r="A742" s="259" t="inlineStr">
        <is>
          <t>Tata Nifty Midcap 150 Momentum 50 Index Fund - Regular Plan</t>
        </is>
      </c>
      <c r="B742" s="260" t="n">
        <v>-1.05</v>
      </c>
      <c r="C742" s="260" t="n">
        <v>1.05</v>
      </c>
      <c r="D742" s="259" t="inlineStr">
        <is>
          <t>--</t>
        </is>
      </c>
      <c r="E742" s="259" t="inlineStr">
        <is>
          <t>--</t>
        </is>
      </c>
      <c r="F742" s="260" t="n">
        <v>1.05</v>
      </c>
      <c r="G742" s="259" t="inlineStr">
        <is>
          <t>--</t>
        </is>
      </c>
      <c r="H742" s="259" t="inlineStr">
        <is>
          <t>--</t>
        </is>
      </c>
      <c r="I742" s="259" t="inlineStr">
        <is>
          <t>--</t>
        </is>
      </c>
      <c r="J742" s="259" t="inlineStr">
        <is>
          <t>--</t>
        </is>
      </c>
      <c r="K742" s="259" t="inlineStr">
        <is>
          <t>--</t>
        </is>
      </c>
      <c r="L742" s="259" t="inlineStr">
        <is>
          <t>EQ-MC</t>
        </is>
      </c>
    </row>
    <row r="743" hidden="1">
      <c r="A743" s="259" t="inlineStr">
        <is>
          <t>Tata Nifty Realty Index Fund - Regular Plan</t>
        </is>
      </c>
      <c r="B743" s="260" t="n">
        <v>-9.09</v>
      </c>
      <c r="C743" s="260" t="n">
        <v>1.11</v>
      </c>
      <c r="D743" s="259" t="inlineStr">
        <is>
          <t>--</t>
        </is>
      </c>
      <c r="E743" s="259" t="inlineStr">
        <is>
          <t>--</t>
        </is>
      </c>
      <c r="F743" s="260" t="n">
        <v>1.11</v>
      </c>
      <c r="G743" s="259" t="inlineStr">
        <is>
          <t>--</t>
        </is>
      </c>
      <c r="H743" s="259" t="inlineStr">
        <is>
          <t>--</t>
        </is>
      </c>
      <c r="I743" s="259" t="inlineStr">
        <is>
          <t>--</t>
        </is>
      </c>
      <c r="J743" s="259" t="inlineStr">
        <is>
          <t>--</t>
        </is>
      </c>
      <c r="K743" s="259" t="inlineStr">
        <is>
          <t>--</t>
        </is>
      </c>
      <c r="L743" s="259" t="inlineStr">
        <is>
          <t>EQ-THEMATIC</t>
        </is>
      </c>
    </row>
    <row r="744" hidden="1">
      <c r="A744" s="259" t="inlineStr">
        <is>
          <t>Tata Resources &amp; Energy Fund - Regular Plan</t>
        </is>
      </c>
      <c r="B744" s="260" t="n">
        <v>1.52</v>
      </c>
      <c r="C744" s="260" t="n">
        <v>2.13</v>
      </c>
      <c r="D744" s="260" t="n">
        <v>18.95</v>
      </c>
      <c r="E744" s="260" t="n">
        <v>25.36</v>
      </c>
      <c r="F744" s="260" t="n">
        <v>2.13</v>
      </c>
      <c r="G744" s="260" t="n">
        <v>17.11</v>
      </c>
      <c r="H744" s="260" t="n">
        <v>0.67</v>
      </c>
      <c r="I744" s="260" t="n">
        <v>1.04</v>
      </c>
      <c r="J744" s="260" t="n">
        <v>0.62</v>
      </c>
      <c r="K744" s="260" t="n">
        <v>4.51</v>
      </c>
      <c r="L744" s="259" t="inlineStr">
        <is>
          <t>EQ-Energy</t>
        </is>
      </c>
    </row>
    <row r="745">
      <c r="A745" s="259" t="inlineStr">
        <is>
          <t>Tata Retirement Savings Fund - Progressive Plan - Regular Plan</t>
        </is>
      </c>
      <c r="B745" s="260" t="n">
        <v>7.86</v>
      </c>
      <c r="C745" s="260" t="n">
        <v>2</v>
      </c>
      <c r="D745" s="260" t="n">
        <v>19.41</v>
      </c>
      <c r="E745" s="260" t="n">
        <v>19.57</v>
      </c>
      <c r="F745" s="260" t="n">
        <v>2</v>
      </c>
      <c r="G745" s="260" t="n">
        <v>13.75</v>
      </c>
      <c r="H745" s="260" t="n">
        <v>0.8100000000000001</v>
      </c>
      <c r="I745" s="260" t="n">
        <v>1.06</v>
      </c>
      <c r="J745" s="260" t="n">
        <v>0.88</v>
      </c>
      <c r="K745" s="260" t="n">
        <v>0.99</v>
      </c>
      <c r="L745" s="259" t="inlineStr">
        <is>
          <t>EQ-FLX</t>
        </is>
      </c>
    </row>
    <row r="746">
      <c r="A746" s="259" t="inlineStr">
        <is>
          <t>Tata Small Cap Fund - Regular Plan</t>
        </is>
      </c>
      <c r="B746" s="260" t="n">
        <v>6.52</v>
      </c>
      <c r="C746" s="260" t="n">
        <v>1.68</v>
      </c>
      <c r="D746" s="260" t="n">
        <v>26.02</v>
      </c>
      <c r="E746" s="260" t="n">
        <v>34.59</v>
      </c>
      <c r="F746" s="260" t="n">
        <v>1.68</v>
      </c>
      <c r="G746" s="260" t="n">
        <v>16.37</v>
      </c>
      <c r="H746" s="260" t="n">
        <v>1.06</v>
      </c>
      <c r="I746" s="260" t="n">
        <v>1.47</v>
      </c>
      <c r="J746" s="260" t="n">
        <v>0.78</v>
      </c>
      <c r="K746" s="260" t="n">
        <v>3.11</v>
      </c>
      <c r="L746" s="259" t="inlineStr">
        <is>
          <t>EQ-SC</t>
        </is>
      </c>
    </row>
    <row r="747">
      <c r="A747" s="259" t="inlineStr">
        <is>
          <t>Tata Young Citizens Fund - Regular Plan</t>
        </is>
      </c>
      <c r="B747" s="260" t="n">
        <v>5.9</v>
      </c>
      <c r="C747" s="260" t="n">
        <v>2.58</v>
      </c>
      <c r="D747" s="260" t="n">
        <v>18</v>
      </c>
      <c r="E747" s="260" t="n">
        <v>21.71</v>
      </c>
      <c r="F747" s="260" t="n">
        <v>2.58</v>
      </c>
      <c r="G747" s="260" t="n">
        <v>13.53</v>
      </c>
      <c r="H747" s="260" t="n">
        <v>0.74</v>
      </c>
      <c r="I747" s="260" t="n">
        <v>1.16</v>
      </c>
      <c r="J747" s="260" t="n">
        <v>0.9</v>
      </c>
      <c r="K747" s="260" t="n">
        <v>-0.36</v>
      </c>
      <c r="L747" s="259" t="inlineStr">
        <is>
          <t>EQ-FLX</t>
        </is>
      </c>
    </row>
    <row r="748" hidden="1">
      <c r="A748" s="259" t="inlineStr">
        <is>
          <t>Taurus Ethical Fund - Regular Plan</t>
        </is>
      </c>
      <c r="B748" s="260" t="n">
        <v>-0.08</v>
      </c>
      <c r="C748" s="260" t="n">
        <v>2.39</v>
      </c>
      <c r="D748" s="260" t="n">
        <v>17.13</v>
      </c>
      <c r="E748" s="260" t="n">
        <v>20.17</v>
      </c>
      <c r="F748" s="260" t="n">
        <v>2.39</v>
      </c>
      <c r="G748" s="260" t="n">
        <v>14.82</v>
      </c>
      <c r="H748" s="260" t="n">
        <v>0.66</v>
      </c>
      <c r="I748" s="260" t="n">
        <v>0.9399999999999999</v>
      </c>
      <c r="J748" s="260" t="n">
        <v>0.93</v>
      </c>
      <c r="K748" s="260" t="n">
        <v>-0.9399999999999999</v>
      </c>
      <c r="L748" s="259" t="inlineStr">
        <is>
          <t>EQ-THEMATIC</t>
        </is>
      </c>
    </row>
    <row r="749">
      <c r="A749" s="259" t="inlineStr">
        <is>
          <t>Taurus Flexi Cap Fund - Regular Plan</t>
        </is>
      </c>
      <c r="B749" s="260" t="n">
        <v>0.42</v>
      </c>
      <c r="C749" s="260" t="n">
        <v>2.64</v>
      </c>
      <c r="D749" s="260" t="n">
        <v>17.55</v>
      </c>
      <c r="E749" s="260" t="n">
        <v>19.92</v>
      </c>
      <c r="F749" s="260" t="n">
        <v>2.64</v>
      </c>
      <c r="G749" s="260" t="n">
        <v>15.7</v>
      </c>
      <c r="H749" s="260" t="n">
        <v>0.63</v>
      </c>
      <c r="I749" s="260" t="n">
        <v>0.95</v>
      </c>
      <c r="J749" s="260" t="n">
        <v>1.02</v>
      </c>
      <c r="K749" s="260" t="n">
        <v>-1.88</v>
      </c>
      <c r="L749" s="259" t="inlineStr">
        <is>
          <t>EQ-FLX</t>
        </is>
      </c>
    </row>
    <row r="750">
      <c r="A750" s="259" t="inlineStr">
        <is>
          <t>Taurus Large Cap Fund - Regular Plan</t>
        </is>
      </c>
      <c r="B750" s="260" t="n">
        <v>3.28</v>
      </c>
      <c r="C750" s="260" t="n">
        <v>2.59</v>
      </c>
      <c r="D750" s="260" t="n">
        <v>18.31</v>
      </c>
      <c r="E750" s="260" t="n">
        <v>19.71</v>
      </c>
      <c r="F750" s="260" t="n">
        <v>2.59</v>
      </c>
      <c r="G750" s="260" t="n">
        <v>16.49</v>
      </c>
      <c r="H750" s="260" t="n">
        <v>0.63</v>
      </c>
      <c r="I750" s="260" t="n">
        <v>0.99</v>
      </c>
      <c r="J750" s="260" t="n">
        <v>1.1</v>
      </c>
      <c r="K750" s="260" t="n">
        <v>-1</v>
      </c>
      <c r="L750" s="259" t="inlineStr">
        <is>
          <t>EQ-LC</t>
        </is>
      </c>
    </row>
    <row r="751">
      <c r="A751" s="259" t="inlineStr">
        <is>
          <t>Taurus Mid Cap Fund - Regular Plan</t>
        </is>
      </c>
      <c r="B751" s="260" t="n">
        <v>-0.6</v>
      </c>
      <c r="C751" s="260" t="n">
        <v>2.56</v>
      </c>
      <c r="D751" s="260" t="n">
        <v>21.52</v>
      </c>
      <c r="E751" s="260" t="n">
        <v>24.36</v>
      </c>
      <c r="F751" s="260" t="n">
        <v>2.56</v>
      </c>
      <c r="G751" s="260" t="n">
        <v>17.48</v>
      </c>
      <c r="H751" s="260" t="n">
        <v>0.82</v>
      </c>
      <c r="I751" s="260" t="n">
        <v>1.44</v>
      </c>
      <c r="J751" s="260" t="n">
        <v>0.99</v>
      </c>
      <c r="K751" s="260" t="n">
        <v>-3.52</v>
      </c>
      <c r="L751" s="259" t="inlineStr">
        <is>
          <t>EQ-MC</t>
        </is>
      </c>
    </row>
    <row r="752">
      <c r="A752" s="259" t="inlineStr">
        <is>
          <t>Taurus Nifty 50 Index Fund - Regular Plan</t>
        </is>
      </c>
      <c r="B752" s="260" t="n">
        <v>6.61</v>
      </c>
      <c r="C752" s="260" t="n">
        <v>1.07</v>
      </c>
      <c r="D752" s="260" t="n">
        <v>15.37</v>
      </c>
      <c r="E752" s="260" t="n">
        <v>20.29</v>
      </c>
      <c r="F752" s="260" t="n">
        <v>1.07</v>
      </c>
      <c r="G752" s="260" t="n">
        <v>13.02</v>
      </c>
      <c r="H752" s="260" t="n">
        <v>0.61</v>
      </c>
      <c r="I752" s="260" t="n">
        <v>1.05</v>
      </c>
      <c r="J752" s="260" t="n">
        <v>0.9399999999999999</v>
      </c>
      <c r="K752" s="260" t="n">
        <v>-1.78</v>
      </c>
      <c r="L752" s="259" t="inlineStr">
        <is>
          <t>EQ-LC</t>
        </is>
      </c>
    </row>
    <row r="753" hidden="1">
      <c r="A753" s="259" t="inlineStr">
        <is>
          <t>Templeton India Equity Income Fund</t>
        </is>
      </c>
      <c r="B753" s="260" t="n">
        <v>1.61</v>
      </c>
      <c r="C753" s="260" t="n">
        <v>2.09</v>
      </c>
      <c r="D753" s="260" t="n">
        <v>18.45</v>
      </c>
      <c r="E753" s="260" t="n">
        <v>28.13</v>
      </c>
      <c r="F753" s="260" t="n">
        <v>2.09</v>
      </c>
      <c r="G753" s="260" t="n">
        <v>13.28</v>
      </c>
      <c r="H753" s="260" t="n">
        <v>0.84</v>
      </c>
      <c r="I753" s="260" t="n">
        <v>1.33</v>
      </c>
      <c r="J753" s="260" t="n">
        <v>0.79</v>
      </c>
      <c r="K753" s="260" t="n">
        <v>2.11</v>
      </c>
      <c r="L753" s="259" t="inlineStr">
        <is>
          <t>EQ-DIV Y</t>
        </is>
      </c>
    </row>
    <row r="754">
      <c r="A754" s="259" t="inlineStr">
        <is>
          <t>TRUSTMF Flexi Cap Fund - Regular Plan</t>
        </is>
      </c>
      <c r="B754" s="260" t="n">
        <v>7.69</v>
      </c>
      <c r="C754" s="260" t="n">
        <v>2.12</v>
      </c>
      <c r="D754" s="259" t="inlineStr">
        <is>
          <t>--</t>
        </is>
      </c>
      <c r="E754" s="259" t="inlineStr">
        <is>
          <t>--</t>
        </is>
      </c>
      <c r="F754" s="260" t="n">
        <v>2.12</v>
      </c>
      <c r="G754" s="259" t="inlineStr">
        <is>
          <t>--</t>
        </is>
      </c>
      <c r="H754" s="259" t="inlineStr">
        <is>
          <t>--</t>
        </is>
      </c>
      <c r="I754" s="259" t="inlineStr">
        <is>
          <t>--</t>
        </is>
      </c>
      <c r="J754" s="259" t="inlineStr">
        <is>
          <t>--</t>
        </is>
      </c>
      <c r="K754" s="259" t="inlineStr">
        <is>
          <t>--</t>
        </is>
      </c>
      <c r="L754" s="259" t="inlineStr">
        <is>
          <t>EQ-FLX</t>
        </is>
      </c>
    </row>
    <row r="755">
      <c r="A755" s="259" t="inlineStr">
        <is>
          <t>TRUSTMF Small Cap Fund - Regular Plan</t>
        </is>
      </c>
      <c r="B755" s="259" t="inlineStr">
        <is>
          <t>--</t>
        </is>
      </c>
      <c r="C755" s="260" t="n">
        <v>2.17</v>
      </c>
      <c r="D755" s="259" t="inlineStr">
        <is>
          <t>--</t>
        </is>
      </c>
      <c r="E755" s="259" t="inlineStr">
        <is>
          <t>--</t>
        </is>
      </c>
      <c r="F755" s="260" t="n">
        <v>2.17</v>
      </c>
      <c r="G755" s="259" t="inlineStr">
        <is>
          <t>--</t>
        </is>
      </c>
      <c r="H755" s="259" t="inlineStr">
        <is>
          <t>--</t>
        </is>
      </c>
      <c r="I755" s="259" t="inlineStr">
        <is>
          <t>--</t>
        </is>
      </c>
      <c r="J755" s="259" t="inlineStr">
        <is>
          <t>--</t>
        </is>
      </c>
      <c r="K755" s="259" t="inlineStr">
        <is>
          <t>--</t>
        </is>
      </c>
      <c r="L755" s="259" t="inlineStr">
        <is>
          <t>EQ-SC</t>
        </is>
      </c>
    </row>
    <row r="756">
      <c r="A756" s="259" t="inlineStr">
        <is>
          <t>Unifi Dynamic Asset Allocation Fund - Regular Plan</t>
        </is>
      </c>
      <c r="B756" s="259" t="inlineStr">
        <is>
          <t>--</t>
        </is>
      </c>
      <c r="C756" s="260" t="n">
        <v>1.52</v>
      </c>
      <c r="D756" s="259" t="inlineStr">
        <is>
          <t>--</t>
        </is>
      </c>
      <c r="E756" s="259" t="inlineStr">
        <is>
          <t>--</t>
        </is>
      </c>
      <c r="F756" s="260" t="n">
        <v>1.52</v>
      </c>
      <c r="G756" s="259" t="inlineStr">
        <is>
          <t>--</t>
        </is>
      </c>
      <c r="H756" s="259" t="inlineStr">
        <is>
          <t>--</t>
        </is>
      </c>
      <c r="I756" s="259" t="inlineStr">
        <is>
          <t>--</t>
        </is>
      </c>
      <c r="J756" s="259" t="inlineStr">
        <is>
          <t>--</t>
        </is>
      </c>
      <c r="K756" s="259" t="inlineStr">
        <is>
          <t>--</t>
        </is>
      </c>
      <c r="L756" s="259" t="inlineStr">
        <is>
          <t>HY-DAA</t>
        </is>
      </c>
    </row>
    <row r="757">
      <c r="A757" s="259" t="inlineStr">
        <is>
          <t>Unifi Flexi Cap Fund - Regular Plan</t>
        </is>
      </c>
      <c r="B757" s="259" t="inlineStr">
        <is>
          <t>--</t>
        </is>
      </c>
      <c r="C757" s="259" t="inlineStr">
        <is>
          <t>--</t>
        </is>
      </c>
      <c r="D757" s="259" t="inlineStr">
        <is>
          <t>--</t>
        </is>
      </c>
      <c r="E757" s="259" t="inlineStr">
        <is>
          <t>--</t>
        </is>
      </c>
      <c r="F757" s="259" t="inlineStr">
        <is>
          <t>--</t>
        </is>
      </c>
      <c r="G757" s="259" t="inlineStr">
        <is>
          <t>--</t>
        </is>
      </c>
      <c r="H757" s="259" t="inlineStr">
        <is>
          <t>--</t>
        </is>
      </c>
      <c r="I757" s="259" t="inlineStr">
        <is>
          <t>--</t>
        </is>
      </c>
      <c r="J757" s="259" t="inlineStr">
        <is>
          <t>--</t>
        </is>
      </c>
      <c r="K757" s="259" t="inlineStr">
        <is>
          <t>--</t>
        </is>
      </c>
      <c r="L757" s="259" t="inlineStr">
        <is>
          <t>EQ-FLX</t>
        </is>
      </c>
    </row>
    <row r="758" hidden="1">
      <c r="A758" s="259" t="inlineStr">
        <is>
          <t>Union Active Momentum Fund - Regular Plan</t>
        </is>
      </c>
      <c r="B758" s="259" t="inlineStr">
        <is>
          <t>--</t>
        </is>
      </c>
      <c r="C758" s="260" t="n">
        <v>2.44</v>
      </c>
      <c r="D758" s="259" t="inlineStr">
        <is>
          <t>--</t>
        </is>
      </c>
      <c r="E758" s="259" t="inlineStr">
        <is>
          <t>--</t>
        </is>
      </c>
      <c r="F758" s="260" t="n">
        <v>2.44</v>
      </c>
      <c r="G758" s="259" t="inlineStr">
        <is>
          <t>--</t>
        </is>
      </c>
      <c r="H758" s="259" t="inlineStr">
        <is>
          <t>--</t>
        </is>
      </c>
      <c r="I758" s="259" t="inlineStr">
        <is>
          <t>--</t>
        </is>
      </c>
      <c r="J758" s="259" t="inlineStr">
        <is>
          <t>--</t>
        </is>
      </c>
      <c r="K758" s="259" t="inlineStr">
        <is>
          <t>--</t>
        </is>
      </c>
      <c r="L758" s="259" t="inlineStr">
        <is>
          <t>EQ-THEMATIC</t>
        </is>
      </c>
    </row>
    <row r="759">
      <c r="A759" s="259" t="inlineStr">
        <is>
          <t>Union Balanced Advantage Fund - Regular Plan</t>
        </is>
      </c>
      <c r="B759" s="260" t="n">
        <v>5.44</v>
      </c>
      <c r="C759" s="260" t="n">
        <v>2.15</v>
      </c>
      <c r="D759" s="260" t="n">
        <v>11.42</v>
      </c>
      <c r="E759" s="260" t="n">
        <v>13.02</v>
      </c>
      <c r="F759" s="260" t="n">
        <v>2.15</v>
      </c>
      <c r="G759" s="260" t="n">
        <v>7.08</v>
      </c>
      <c r="H759" s="260" t="n">
        <v>0.61</v>
      </c>
      <c r="I759" s="260" t="n">
        <v>0.91</v>
      </c>
      <c r="J759" s="260" t="n">
        <v>0.67</v>
      </c>
      <c r="K759" s="260" t="n">
        <v>-0.97</v>
      </c>
      <c r="L759" s="259" t="inlineStr">
        <is>
          <t>HY-DAA</t>
        </is>
      </c>
    </row>
    <row r="760" hidden="1">
      <c r="A760" s="259" t="inlineStr">
        <is>
          <t>Union Business Cycle Fund - Regular Plan</t>
        </is>
      </c>
      <c r="B760" s="260" t="n">
        <v>-0.99</v>
      </c>
      <c r="C760" s="260" t="n">
        <v>2.36</v>
      </c>
      <c r="D760" s="259" t="inlineStr">
        <is>
          <t>--</t>
        </is>
      </c>
      <c r="E760" s="259" t="inlineStr">
        <is>
          <t>--</t>
        </is>
      </c>
      <c r="F760" s="260" t="n">
        <v>2.36</v>
      </c>
      <c r="G760" s="259" t="inlineStr">
        <is>
          <t>--</t>
        </is>
      </c>
      <c r="H760" s="259" t="inlineStr">
        <is>
          <t>--</t>
        </is>
      </c>
      <c r="I760" s="259" t="inlineStr">
        <is>
          <t>--</t>
        </is>
      </c>
      <c r="J760" s="259" t="inlineStr">
        <is>
          <t>--</t>
        </is>
      </c>
      <c r="K760" s="259" t="inlineStr">
        <is>
          <t>--</t>
        </is>
      </c>
      <c r="L760" s="259" t="inlineStr">
        <is>
          <t>EQ-THEMATIC</t>
        </is>
      </c>
    </row>
    <row r="761">
      <c r="A761" s="259" t="inlineStr">
        <is>
          <t>Union Children's Fund - Regular Plan</t>
        </is>
      </c>
      <c r="B761" s="260" t="n">
        <v>8.16</v>
      </c>
      <c r="C761" s="260" t="n">
        <v>2.42</v>
      </c>
      <c r="D761" s="259" t="inlineStr">
        <is>
          <t>--</t>
        </is>
      </c>
      <c r="E761" s="259" t="inlineStr">
        <is>
          <t>--</t>
        </is>
      </c>
      <c r="F761" s="260" t="n">
        <v>2.42</v>
      </c>
      <c r="G761" s="259" t="inlineStr">
        <is>
          <t>--</t>
        </is>
      </c>
      <c r="H761" s="259" t="inlineStr">
        <is>
          <t>--</t>
        </is>
      </c>
      <c r="I761" s="259" t="inlineStr">
        <is>
          <t>--</t>
        </is>
      </c>
      <c r="J761" s="259" t="inlineStr">
        <is>
          <t>--</t>
        </is>
      </c>
      <c r="K761" s="259" t="inlineStr">
        <is>
          <t>--</t>
        </is>
      </c>
      <c r="L761" s="259" t="inlineStr">
        <is>
          <t>EQ-FLX</t>
        </is>
      </c>
    </row>
    <row r="762">
      <c r="A762" s="259" t="inlineStr">
        <is>
          <t>Union Flexi Cap Fund</t>
        </is>
      </c>
      <c r="B762" s="260" t="n">
        <v>5.47</v>
      </c>
      <c r="C762" s="260" t="n">
        <v>2.02</v>
      </c>
      <c r="D762" s="260" t="n">
        <v>18.52</v>
      </c>
      <c r="E762" s="260" t="n">
        <v>22.98</v>
      </c>
      <c r="F762" s="260" t="n">
        <v>2.02</v>
      </c>
      <c r="G762" s="260" t="n">
        <v>13.52</v>
      </c>
      <c r="H762" s="260" t="n">
        <v>0.78</v>
      </c>
      <c r="I762" s="260" t="n">
        <v>1.07</v>
      </c>
      <c r="J762" s="260" t="n">
        <v>0.9</v>
      </c>
      <c r="K762" s="260" t="n">
        <v>0.25</v>
      </c>
      <c r="L762" s="259" t="inlineStr">
        <is>
          <t>EQ-FLX</t>
        </is>
      </c>
    </row>
    <row r="763">
      <c r="A763" s="259" t="inlineStr">
        <is>
          <t>Union Focused Fund - Regular Plan</t>
        </is>
      </c>
      <c r="B763" s="260" t="n">
        <v>2.61</v>
      </c>
      <c r="C763" s="260" t="n">
        <v>2.49</v>
      </c>
      <c r="D763" s="260" t="n">
        <v>15.3</v>
      </c>
      <c r="E763" s="260" t="n">
        <v>20.15</v>
      </c>
      <c r="F763" s="260" t="n">
        <v>2.49</v>
      </c>
      <c r="G763" s="260" t="n">
        <v>12.93</v>
      </c>
      <c r="H763" s="260" t="n">
        <v>0.6</v>
      </c>
      <c r="I763" s="260" t="n">
        <v>0.85</v>
      </c>
      <c r="J763" s="260" t="n">
        <v>0.84</v>
      </c>
      <c r="K763" s="260" t="n">
        <v>-1.86</v>
      </c>
      <c r="L763" s="259" t="inlineStr">
        <is>
          <t>EQ-FLX</t>
        </is>
      </c>
    </row>
    <row r="764" hidden="1">
      <c r="A764" s="259" t="inlineStr">
        <is>
          <t>Union Innovation &amp; Opportunities Fund - Regular Plan</t>
        </is>
      </c>
      <c r="B764" s="260" t="n">
        <v>10.37</v>
      </c>
      <c r="C764" s="260" t="n">
        <v>2.21</v>
      </c>
      <c r="D764" s="259" t="inlineStr">
        <is>
          <t>--</t>
        </is>
      </c>
      <c r="E764" s="259" t="inlineStr">
        <is>
          <t>--</t>
        </is>
      </c>
      <c r="F764" s="260" t="n">
        <v>2.21</v>
      </c>
      <c r="G764" s="259" t="inlineStr">
        <is>
          <t>--</t>
        </is>
      </c>
      <c r="H764" s="259" t="inlineStr">
        <is>
          <t>--</t>
        </is>
      </c>
      <c r="I764" s="259" t="inlineStr">
        <is>
          <t>--</t>
        </is>
      </c>
      <c r="J764" s="259" t="inlineStr">
        <is>
          <t>--</t>
        </is>
      </c>
      <c r="K764" s="259" t="inlineStr">
        <is>
          <t>--</t>
        </is>
      </c>
      <c r="L764" s="259" t="inlineStr">
        <is>
          <t>EQ-THEMATIC</t>
        </is>
      </c>
    </row>
    <row r="765">
      <c r="A765" s="259" t="inlineStr">
        <is>
          <t>Union Largecap Fund - Regular Plan</t>
        </is>
      </c>
      <c r="B765" s="260" t="n">
        <v>2.11</v>
      </c>
      <c r="C765" s="260" t="n">
        <v>2.49</v>
      </c>
      <c r="D765" s="260" t="n">
        <v>15.63</v>
      </c>
      <c r="E765" s="260" t="n">
        <v>19.55</v>
      </c>
      <c r="F765" s="260" t="n">
        <v>2.49</v>
      </c>
      <c r="G765" s="260" t="n">
        <v>12.93</v>
      </c>
      <c r="H765" s="260" t="n">
        <v>0.62</v>
      </c>
      <c r="I765" s="260" t="n">
        <v>1.08</v>
      </c>
      <c r="J765" s="260" t="n">
        <v>0.92</v>
      </c>
      <c r="K765" s="260" t="n">
        <v>-1.41</v>
      </c>
      <c r="L765" s="259" t="inlineStr">
        <is>
          <t>EQ-LC</t>
        </is>
      </c>
    </row>
    <row r="766">
      <c r="A766" s="259" t="inlineStr">
        <is>
          <t>Union Large &amp; Midcap Fund - Regular Plan</t>
        </is>
      </c>
      <c r="B766" s="260" t="n">
        <v>4.3</v>
      </c>
      <c r="C766" s="260" t="n">
        <v>2.27</v>
      </c>
      <c r="D766" s="260" t="n">
        <v>18.65</v>
      </c>
      <c r="E766" s="260" t="n">
        <v>23</v>
      </c>
      <c r="F766" s="260" t="n">
        <v>2.27</v>
      </c>
      <c r="G766" s="260" t="n">
        <v>14.43</v>
      </c>
      <c r="H766" s="260" t="n">
        <v>0.73</v>
      </c>
      <c r="I766" s="260" t="n">
        <v>0.92</v>
      </c>
      <c r="J766" s="260" t="n">
        <v>0.92</v>
      </c>
      <c r="K766" s="260" t="n">
        <v>0.42</v>
      </c>
      <c r="L766" s="259" t="inlineStr">
        <is>
          <t>EQ-L&amp;MC</t>
        </is>
      </c>
    </row>
    <row r="767">
      <c r="A767" s="259" t="inlineStr">
        <is>
          <t>Union Midcap Fund - Regular Plan</t>
        </is>
      </c>
      <c r="B767" s="260" t="n">
        <v>6.5</v>
      </c>
      <c r="C767" s="260" t="n">
        <v>2.1</v>
      </c>
      <c r="D767" s="260" t="n">
        <v>22.75</v>
      </c>
      <c r="E767" s="260" t="n">
        <v>29.92</v>
      </c>
      <c r="F767" s="260" t="n">
        <v>2.1</v>
      </c>
      <c r="G767" s="260" t="n">
        <v>16.73</v>
      </c>
      <c r="H767" s="260" t="n">
        <v>0.85</v>
      </c>
      <c r="I767" s="260" t="n">
        <v>1.13</v>
      </c>
      <c r="J767" s="260" t="n">
        <v>0.9399999999999999</v>
      </c>
      <c r="K767" s="260" t="n">
        <v>-2.84</v>
      </c>
      <c r="L767" s="259" t="inlineStr">
        <is>
          <t>EQ-MC</t>
        </is>
      </c>
    </row>
    <row r="768">
      <c r="A768" s="259" t="inlineStr">
        <is>
          <t>Union Multi Asset Allocation Fund - Regular Plan</t>
        </is>
      </c>
      <c r="B768" s="259" t="inlineStr">
        <is>
          <t>--</t>
        </is>
      </c>
      <c r="C768" s="260" t="n">
        <v>2.2</v>
      </c>
      <c r="D768" s="259" t="inlineStr">
        <is>
          <t>--</t>
        </is>
      </c>
      <c r="E768" s="259" t="inlineStr">
        <is>
          <t>--</t>
        </is>
      </c>
      <c r="F768" s="260" t="n">
        <v>2.2</v>
      </c>
      <c r="G768" s="259" t="inlineStr">
        <is>
          <t>--</t>
        </is>
      </c>
      <c r="H768" s="259" t="inlineStr">
        <is>
          <t>--</t>
        </is>
      </c>
      <c r="I768" s="259" t="inlineStr">
        <is>
          <t>--</t>
        </is>
      </c>
      <c r="J768" s="259" t="inlineStr">
        <is>
          <t>--</t>
        </is>
      </c>
      <c r="K768" s="259" t="inlineStr">
        <is>
          <t>--</t>
        </is>
      </c>
      <c r="L768" s="259" t="inlineStr">
        <is>
          <t>HY-MAA</t>
        </is>
      </c>
    </row>
    <row r="769">
      <c r="A769" s="259" t="inlineStr">
        <is>
          <t>Union Multicap Fund - Regular Plan</t>
        </is>
      </c>
      <c r="B769" s="260" t="n">
        <v>4.05</v>
      </c>
      <c r="C769" s="260" t="n">
        <v>2.19</v>
      </c>
      <c r="D769" s="259" t="inlineStr">
        <is>
          <t>--</t>
        </is>
      </c>
      <c r="E769" s="259" t="inlineStr">
        <is>
          <t>--</t>
        </is>
      </c>
      <c r="F769" s="260" t="n">
        <v>2.19</v>
      </c>
      <c r="G769" s="259" t="inlineStr">
        <is>
          <t>--</t>
        </is>
      </c>
      <c r="H769" s="259" t="inlineStr">
        <is>
          <t>--</t>
        </is>
      </c>
      <c r="I769" s="259" t="inlineStr">
        <is>
          <t>--</t>
        </is>
      </c>
      <c r="J769" s="259" t="inlineStr">
        <is>
          <t>--</t>
        </is>
      </c>
      <c r="K769" s="259" t="inlineStr">
        <is>
          <t>--</t>
        </is>
      </c>
      <c r="L769" s="259" t="inlineStr">
        <is>
          <t>EQ-MLC</t>
        </is>
      </c>
    </row>
    <row r="770">
      <c r="A770" s="259" t="inlineStr">
        <is>
          <t>Union Retirement Fund - Regular Plan</t>
        </is>
      </c>
      <c r="B770" s="260" t="n">
        <v>5.56</v>
      </c>
      <c r="C770" s="260" t="n">
        <v>2.37</v>
      </c>
      <c r="D770" s="259" t="inlineStr">
        <is>
          <t>--</t>
        </is>
      </c>
      <c r="E770" s="259" t="inlineStr">
        <is>
          <t>--</t>
        </is>
      </c>
      <c r="F770" s="260" t="n">
        <v>2.37</v>
      </c>
      <c r="G770" s="259" t="inlineStr">
        <is>
          <t>--</t>
        </is>
      </c>
      <c r="H770" s="259" t="inlineStr">
        <is>
          <t>--</t>
        </is>
      </c>
      <c r="I770" s="259" t="inlineStr">
        <is>
          <t>--</t>
        </is>
      </c>
      <c r="J770" s="259" t="inlineStr">
        <is>
          <t>--</t>
        </is>
      </c>
      <c r="K770" s="259" t="inlineStr">
        <is>
          <t>--</t>
        </is>
      </c>
      <c r="L770" s="259" t="inlineStr">
        <is>
          <t>EQ-FLX</t>
        </is>
      </c>
    </row>
    <row r="771">
      <c r="A771" s="259" t="inlineStr">
        <is>
          <t>Union Small Cap Fund - Regular Plan</t>
        </is>
      </c>
      <c r="B771" s="260" t="n">
        <v>2.94</v>
      </c>
      <c r="C771" s="260" t="n">
        <v>2.12</v>
      </c>
      <c r="D771" s="260" t="n">
        <v>20.32</v>
      </c>
      <c r="E771" s="260" t="n">
        <v>30.92</v>
      </c>
      <c r="F771" s="260" t="n">
        <v>2.12</v>
      </c>
      <c r="G771" s="260" t="n">
        <v>18.13</v>
      </c>
      <c r="H771" s="260" t="n">
        <v>0.71</v>
      </c>
      <c r="I771" s="260" t="n">
        <v>0.95</v>
      </c>
      <c r="J771" s="260" t="n">
        <v>0.85</v>
      </c>
      <c r="K771" s="260" t="n">
        <v>-2.53</v>
      </c>
      <c r="L771" s="259" t="inlineStr">
        <is>
          <t>EQ-SC</t>
        </is>
      </c>
    </row>
    <row r="772">
      <c r="A772" s="259" t="inlineStr">
        <is>
          <t>UTI Balanced Advantage Fund - Regular Plan</t>
        </is>
      </c>
      <c r="B772" s="260" t="n">
        <v>8.94</v>
      </c>
      <c r="C772" s="260" t="n">
        <v>1.92</v>
      </c>
      <c r="D772" s="259" t="inlineStr">
        <is>
          <t>--</t>
        </is>
      </c>
      <c r="E772" s="259" t="inlineStr">
        <is>
          <t>--</t>
        </is>
      </c>
      <c r="F772" s="260" t="n">
        <v>1.92</v>
      </c>
      <c r="G772" s="259" t="inlineStr">
        <is>
          <t>--</t>
        </is>
      </c>
      <c r="H772" s="259" t="inlineStr">
        <is>
          <t>--</t>
        </is>
      </c>
      <c r="I772" s="259" t="inlineStr">
        <is>
          <t>--</t>
        </is>
      </c>
      <c r="J772" s="259" t="inlineStr">
        <is>
          <t>--</t>
        </is>
      </c>
      <c r="K772" s="259" t="inlineStr">
        <is>
          <t>--</t>
        </is>
      </c>
      <c r="L772" s="259" t="inlineStr">
        <is>
          <t>HY-DAA</t>
        </is>
      </c>
    </row>
    <row r="773" hidden="1">
      <c r="A773" s="259" t="inlineStr">
        <is>
          <t>UTI BSE Housing Index Fund - Regular Plan</t>
        </is>
      </c>
      <c r="B773" s="260" t="n">
        <v>-5.93</v>
      </c>
      <c r="C773" s="260" t="n">
        <v>0.98</v>
      </c>
      <c r="D773" s="259" t="inlineStr">
        <is>
          <t>--</t>
        </is>
      </c>
      <c r="E773" s="259" t="inlineStr">
        <is>
          <t>--</t>
        </is>
      </c>
      <c r="F773" s="260" t="n">
        <v>0.98</v>
      </c>
      <c r="G773" s="259" t="inlineStr">
        <is>
          <t>--</t>
        </is>
      </c>
      <c r="H773" s="259" t="inlineStr">
        <is>
          <t>--</t>
        </is>
      </c>
      <c r="I773" s="259" t="inlineStr">
        <is>
          <t>--</t>
        </is>
      </c>
      <c r="J773" s="259" t="inlineStr">
        <is>
          <t>--</t>
        </is>
      </c>
      <c r="K773" s="259" t="inlineStr">
        <is>
          <t>--</t>
        </is>
      </c>
      <c r="L773" s="259" t="inlineStr">
        <is>
          <t>EQ-THEMATIC</t>
        </is>
      </c>
    </row>
    <row r="774">
      <c r="A774" s="259" t="inlineStr">
        <is>
          <t>UTI BSE Low Volatility Index Fund - Regular Plan</t>
        </is>
      </c>
      <c r="B774" s="260" t="n">
        <v>0.75</v>
      </c>
      <c r="C774" s="260" t="n">
        <v>0.91</v>
      </c>
      <c r="D774" s="260" t="n">
        <v>18.04</v>
      </c>
      <c r="E774" s="259" t="inlineStr">
        <is>
          <t>--</t>
        </is>
      </c>
      <c r="F774" s="260" t="n">
        <v>0.91</v>
      </c>
      <c r="G774" s="260" t="n">
        <v>13.58</v>
      </c>
      <c r="H774" s="260" t="n">
        <v>0.74</v>
      </c>
      <c r="I774" s="260" t="n">
        <v>1.15</v>
      </c>
      <c r="J774" s="260" t="n">
        <v>0.9</v>
      </c>
      <c r="K774" s="260" t="n">
        <v>0.16</v>
      </c>
      <c r="L774" s="259" t="inlineStr">
        <is>
          <t>EQ-L&amp;MC</t>
        </is>
      </c>
    </row>
    <row r="775">
      <c r="A775" s="259" t="inlineStr">
        <is>
          <t>UTI BSE Sensex ETF</t>
        </is>
      </c>
      <c r="B775" s="260" t="n">
        <v>7.74</v>
      </c>
      <c r="C775" s="260" t="n">
        <v>0.05</v>
      </c>
      <c r="D775" s="260" t="n">
        <v>15.86</v>
      </c>
      <c r="E775" s="260" t="n">
        <v>20.68</v>
      </c>
      <c r="F775" s="260" t="n">
        <v>0.05</v>
      </c>
      <c r="G775" s="260" t="n">
        <v>12.71</v>
      </c>
      <c r="H775" s="260" t="n">
        <v>0.66</v>
      </c>
      <c r="I775" s="260" t="n">
        <v>1.1</v>
      </c>
      <c r="J775" s="260" t="n">
        <v>0.91</v>
      </c>
      <c r="K775" s="260" t="n">
        <v>-0.95</v>
      </c>
      <c r="L775" s="259" t="inlineStr">
        <is>
          <t>EQ-LC</t>
        </is>
      </c>
    </row>
    <row r="776">
      <c r="A776" s="259" t="inlineStr">
        <is>
          <t>UTI BSE Sensex Index Fund - Regular Plan</t>
        </is>
      </c>
      <c r="B776" s="260" t="n">
        <v>7.44</v>
      </c>
      <c r="C776" s="260" t="n">
        <v>0.3</v>
      </c>
      <c r="D776" s="260" t="n">
        <v>15.5</v>
      </c>
      <c r="E776" s="259" t="inlineStr">
        <is>
          <t>--</t>
        </is>
      </c>
      <c r="F776" s="260" t="n">
        <v>0.3</v>
      </c>
      <c r="G776" s="260" t="n">
        <v>12.71</v>
      </c>
      <c r="H776" s="260" t="n">
        <v>0.64</v>
      </c>
      <c r="I776" s="260" t="n">
        <v>1.06</v>
      </c>
      <c r="J776" s="260" t="n">
        <v>0.91</v>
      </c>
      <c r="K776" s="260" t="n">
        <v>-1.27</v>
      </c>
      <c r="L776" s="259" t="inlineStr">
        <is>
          <t>EQ-LC</t>
        </is>
      </c>
    </row>
    <row r="777">
      <c r="A777" s="259" t="inlineStr">
        <is>
          <t>UTI BSE Sensex Next 50 ETF</t>
        </is>
      </c>
      <c r="B777" s="260" t="n">
        <v>6.01</v>
      </c>
      <c r="C777" s="260" t="n">
        <v>0.21</v>
      </c>
      <c r="D777" s="260" t="n">
        <v>24.83</v>
      </c>
      <c r="E777" s="260" t="n">
        <v>26.47</v>
      </c>
      <c r="F777" s="260" t="n">
        <v>0.21</v>
      </c>
      <c r="G777" s="260" t="n">
        <v>17.76</v>
      </c>
      <c r="H777" s="260" t="n">
        <v>0.89</v>
      </c>
      <c r="I777" s="260" t="n">
        <v>1.3</v>
      </c>
      <c r="J777" s="260" t="n">
        <v>1.22</v>
      </c>
      <c r="K777" s="260" t="n">
        <v>3.36</v>
      </c>
      <c r="L777" s="259" t="inlineStr">
        <is>
          <t>EQ-LC</t>
        </is>
      </c>
    </row>
    <row r="778">
      <c r="A778" s="259" t="inlineStr">
        <is>
          <t>UTI Children's Equity Fund - Regular Plan</t>
        </is>
      </c>
      <c r="B778" s="260" t="n">
        <v>3.85</v>
      </c>
      <c r="C778" s="260" t="n">
        <v>2.25</v>
      </c>
      <c r="D778" s="260" t="n">
        <v>16.54</v>
      </c>
      <c r="E778" s="260" t="n">
        <v>20.51</v>
      </c>
      <c r="F778" s="260" t="n">
        <v>2.25</v>
      </c>
      <c r="G778" s="260" t="n">
        <v>14.08</v>
      </c>
      <c r="H778" s="260" t="n">
        <v>0.61</v>
      </c>
      <c r="I778" s="260" t="n">
        <v>0.99</v>
      </c>
      <c r="J778" s="260" t="n">
        <v>0.93</v>
      </c>
      <c r="K778" s="260" t="n">
        <v>-2.16</v>
      </c>
      <c r="L778" s="259" t="inlineStr">
        <is>
          <t>EQ-FLX</t>
        </is>
      </c>
    </row>
    <row r="779" hidden="1">
      <c r="A779" s="259" t="inlineStr">
        <is>
          <t>UTI Dividend Yield Fund - Regular Plan</t>
        </is>
      </c>
      <c r="B779" s="260" t="n">
        <v>6.15</v>
      </c>
      <c r="C779" s="260" t="n">
        <v>2</v>
      </c>
      <c r="D779" s="260" t="n">
        <v>21.35</v>
      </c>
      <c r="E779" s="260" t="n">
        <v>24.58</v>
      </c>
      <c r="F779" s="260" t="n">
        <v>2</v>
      </c>
      <c r="G779" s="260" t="n">
        <v>14.45</v>
      </c>
      <c r="H779" s="260" t="n">
        <v>0.9399999999999999</v>
      </c>
      <c r="I779" s="260" t="n">
        <v>1.43</v>
      </c>
      <c r="J779" s="260" t="n">
        <v>0.93</v>
      </c>
      <c r="K779" s="260" t="n">
        <v>2.82</v>
      </c>
      <c r="L779" s="259" t="inlineStr">
        <is>
          <t>EQ-DIV Y</t>
        </is>
      </c>
    </row>
    <row r="780">
      <c r="A780" s="259" t="inlineStr">
        <is>
          <t>UTI Flexi Cap Fund - Regular Plan</t>
        </is>
      </c>
      <c r="B780" s="260" t="n">
        <v>10.73</v>
      </c>
      <c r="C780" s="260" t="n">
        <v>1.66</v>
      </c>
      <c r="D780" s="260" t="n">
        <v>14.2</v>
      </c>
      <c r="E780" s="260" t="n">
        <v>19.34</v>
      </c>
      <c r="F780" s="260" t="n">
        <v>1.66</v>
      </c>
      <c r="G780" s="260" t="n">
        <v>13.97</v>
      </c>
      <c r="H780" s="260" t="n">
        <v>0.44</v>
      </c>
      <c r="I780" s="260" t="n">
        <v>0.71</v>
      </c>
      <c r="J780" s="260" t="n">
        <v>0.88</v>
      </c>
      <c r="K780" s="260" t="n">
        <v>-3.97</v>
      </c>
      <c r="L780" s="259" t="inlineStr">
        <is>
          <t>EQ-FLX</t>
        </is>
      </c>
    </row>
    <row r="781">
      <c r="A781" s="259" t="inlineStr">
        <is>
          <t>UTI Focused Fund - Regular Plan</t>
        </is>
      </c>
      <c r="B781" s="260" t="n">
        <v>3.68</v>
      </c>
      <c r="C781" s="260" t="n">
        <v>1.96</v>
      </c>
      <c r="D781" s="260" t="n">
        <v>18.57</v>
      </c>
      <c r="E781" s="259" t="inlineStr">
        <is>
          <t>--</t>
        </is>
      </c>
      <c r="F781" s="260" t="n">
        <v>1.96</v>
      </c>
      <c r="G781" s="260" t="n">
        <v>14.3</v>
      </c>
      <c r="H781" s="260" t="n">
        <v>0.73</v>
      </c>
      <c r="I781" s="260" t="n">
        <v>1.17</v>
      </c>
      <c r="J781" s="260" t="n">
        <v>0.93</v>
      </c>
      <c r="K781" s="260" t="n">
        <v>-0.29</v>
      </c>
      <c r="L781" s="259" t="inlineStr">
        <is>
          <t>EQ-FLX</t>
        </is>
      </c>
    </row>
    <row r="782" hidden="1">
      <c r="A782" s="259" t="inlineStr">
        <is>
          <t>UTI India Consumer Fund - Regular Plan</t>
        </is>
      </c>
      <c r="B782" s="260" t="n">
        <v>0.49</v>
      </c>
      <c r="C782" s="260" t="n">
        <v>2.45</v>
      </c>
      <c r="D782" s="260" t="n">
        <v>16.74</v>
      </c>
      <c r="E782" s="260" t="n">
        <v>18.1</v>
      </c>
      <c r="F782" s="260" t="n">
        <v>2.45</v>
      </c>
      <c r="G782" s="260" t="n">
        <v>15.53</v>
      </c>
      <c r="H782" s="260" t="n">
        <v>0.57</v>
      </c>
      <c r="I782" s="260" t="n">
        <v>0.83</v>
      </c>
      <c r="J782" s="260" t="n">
        <v>0.84</v>
      </c>
      <c r="K782" s="260" t="n">
        <v>-3.17</v>
      </c>
      <c r="L782" s="259" t="inlineStr">
        <is>
          <t>EQ-Consumption</t>
        </is>
      </c>
    </row>
    <row r="783" hidden="1">
      <c r="A783" s="259" t="inlineStr">
        <is>
          <t>UTI Innovation Fund - Regular Plan</t>
        </is>
      </c>
      <c r="B783" s="260" t="n">
        <v>4.47</v>
      </c>
      <c r="C783" s="260" t="n">
        <v>2.29</v>
      </c>
      <c r="D783" s="259" t="inlineStr">
        <is>
          <t>--</t>
        </is>
      </c>
      <c r="E783" s="259" t="inlineStr">
        <is>
          <t>--</t>
        </is>
      </c>
      <c r="F783" s="260" t="n">
        <v>2.29</v>
      </c>
      <c r="G783" s="259" t="inlineStr">
        <is>
          <t>--</t>
        </is>
      </c>
      <c r="H783" s="259" t="inlineStr">
        <is>
          <t>--</t>
        </is>
      </c>
      <c r="I783" s="259" t="inlineStr">
        <is>
          <t>--</t>
        </is>
      </c>
      <c r="J783" s="259" t="inlineStr">
        <is>
          <t>--</t>
        </is>
      </c>
      <c r="K783" s="259" t="inlineStr">
        <is>
          <t>--</t>
        </is>
      </c>
      <c r="L783" s="259" t="inlineStr">
        <is>
          <t>EQ-THEMATIC</t>
        </is>
      </c>
    </row>
    <row r="784">
      <c r="A784" s="259" t="inlineStr">
        <is>
          <t>UTI Large Cap Fund - Regular Plan</t>
        </is>
      </c>
      <c r="B784" s="260" t="n">
        <v>6.27</v>
      </c>
      <c r="C784" s="260" t="n">
        <v>1.75</v>
      </c>
      <c r="D784" s="260" t="n">
        <v>15.52</v>
      </c>
      <c r="E784" s="260" t="n">
        <v>19.96</v>
      </c>
      <c r="F784" s="260" t="n">
        <v>1.75</v>
      </c>
      <c r="G784" s="260" t="n">
        <v>12.76</v>
      </c>
      <c r="H784" s="260" t="n">
        <v>0.6</v>
      </c>
      <c r="I784" s="260" t="n">
        <v>0.97</v>
      </c>
      <c r="J784" s="260" t="n">
        <v>0.91</v>
      </c>
      <c r="K784" s="260" t="n">
        <v>-1.71</v>
      </c>
      <c r="L784" s="259" t="inlineStr">
        <is>
          <t>EQ-LC</t>
        </is>
      </c>
    </row>
    <row r="785">
      <c r="A785" s="259" t="inlineStr">
        <is>
          <t>UTI Large &amp; Mid Cap Fund - Regular Plan</t>
        </is>
      </c>
      <c r="B785" s="260" t="n">
        <v>9.289999999999999</v>
      </c>
      <c r="C785" s="260" t="n">
        <v>1.93</v>
      </c>
      <c r="D785" s="260" t="n">
        <v>24.99</v>
      </c>
      <c r="E785" s="260" t="n">
        <v>28.36</v>
      </c>
      <c r="F785" s="260" t="n">
        <v>1.93</v>
      </c>
      <c r="G785" s="260" t="n">
        <v>14.07</v>
      </c>
      <c r="H785" s="260" t="n">
        <v>1.15</v>
      </c>
      <c r="I785" s="260" t="n">
        <v>1.75</v>
      </c>
      <c r="J785" s="260" t="n">
        <v>0.95</v>
      </c>
      <c r="K785" s="260" t="n">
        <v>5.69</v>
      </c>
      <c r="L785" s="259" t="inlineStr">
        <is>
          <t>EQ-L&amp;MC</t>
        </is>
      </c>
    </row>
    <row r="786">
      <c r="A786" s="259" t="inlineStr">
        <is>
          <t>UTI Mid Cap Fund - Regular Plan</t>
        </is>
      </c>
      <c r="B786" s="260" t="n">
        <v>4.71</v>
      </c>
      <c r="C786" s="260" t="n">
        <v>1.76</v>
      </c>
      <c r="D786" s="260" t="n">
        <v>21.87</v>
      </c>
      <c r="E786" s="260" t="n">
        <v>27.25</v>
      </c>
      <c r="F786" s="260" t="n">
        <v>1.76</v>
      </c>
      <c r="G786" s="260" t="n">
        <v>16.37</v>
      </c>
      <c r="H786" s="260" t="n">
        <v>0.8100000000000001</v>
      </c>
      <c r="I786" s="260" t="n">
        <v>1.16</v>
      </c>
      <c r="J786" s="260" t="n">
        <v>0.9399999999999999</v>
      </c>
      <c r="K786" s="260" t="n">
        <v>-3.74</v>
      </c>
      <c r="L786" s="259" t="inlineStr">
        <is>
          <t>EQ-MC</t>
        </is>
      </c>
    </row>
    <row r="787" hidden="1">
      <c r="A787" s="259" t="inlineStr">
        <is>
          <t>UTI MNC Fund - Regular Plan</t>
        </is>
      </c>
      <c r="B787" s="260" t="n">
        <v>-1.79</v>
      </c>
      <c r="C787" s="260" t="n">
        <v>2.04</v>
      </c>
      <c r="D787" s="260" t="n">
        <v>15.16</v>
      </c>
      <c r="E787" s="260" t="n">
        <v>15.91</v>
      </c>
      <c r="F787" s="260" t="n">
        <v>2.04</v>
      </c>
      <c r="G787" s="260" t="n">
        <v>13.35</v>
      </c>
      <c r="H787" s="260" t="n">
        <v>0.57</v>
      </c>
      <c r="I787" s="260" t="n">
        <v>0.82</v>
      </c>
      <c r="J787" s="260" t="n">
        <v>0.84</v>
      </c>
      <c r="K787" s="260" t="n">
        <v>-2.11</v>
      </c>
      <c r="L787" s="259" t="inlineStr">
        <is>
          <t>EQ-MNC</t>
        </is>
      </c>
    </row>
    <row r="788">
      <c r="A788" s="259" t="inlineStr">
        <is>
          <t>UTI Multi Asset Allocation Fund - Regular Plan</t>
        </is>
      </c>
      <c r="B788" s="260" t="n">
        <v>7.95</v>
      </c>
      <c r="C788" s="260" t="n">
        <v>1.74</v>
      </c>
      <c r="D788" s="260" t="n">
        <v>21.08</v>
      </c>
      <c r="E788" s="260" t="n">
        <v>17.76</v>
      </c>
      <c r="F788" s="260" t="n">
        <v>1.74</v>
      </c>
      <c r="G788" s="260" t="n">
        <v>8.949999999999999</v>
      </c>
      <c r="H788" s="260" t="n">
        <v>1.41</v>
      </c>
      <c r="I788" s="260" t="n">
        <v>2.02</v>
      </c>
      <c r="J788" s="260" t="n">
        <v>0.86</v>
      </c>
      <c r="K788" s="260" t="n">
        <v>4.95</v>
      </c>
      <c r="L788" s="259" t="inlineStr">
        <is>
          <t>HY-MAA</t>
        </is>
      </c>
    </row>
    <row r="789">
      <c r="A789" s="259" t="inlineStr">
        <is>
          <t>UTI Multi Cap Fund - Regular Plan</t>
        </is>
      </c>
      <c r="B789" s="259" t="inlineStr">
        <is>
          <t>--</t>
        </is>
      </c>
      <c r="C789" s="260" t="n">
        <v>2.16</v>
      </c>
      <c r="D789" s="259" t="inlineStr">
        <is>
          <t>--</t>
        </is>
      </c>
      <c r="E789" s="259" t="inlineStr">
        <is>
          <t>--</t>
        </is>
      </c>
      <c r="F789" s="260" t="n">
        <v>2.16</v>
      </c>
      <c r="G789" s="259" t="inlineStr">
        <is>
          <t>--</t>
        </is>
      </c>
      <c r="H789" s="259" t="inlineStr">
        <is>
          <t>--</t>
        </is>
      </c>
      <c r="I789" s="259" t="inlineStr">
        <is>
          <t>--</t>
        </is>
      </c>
      <c r="J789" s="259" t="inlineStr">
        <is>
          <t>--</t>
        </is>
      </c>
      <c r="K789" s="259" t="inlineStr">
        <is>
          <t>--</t>
        </is>
      </c>
      <c r="L789" s="259" t="inlineStr">
        <is>
          <t>EQ-MLC</t>
        </is>
      </c>
    </row>
    <row r="790">
      <c r="A790" s="259" t="inlineStr">
        <is>
          <t>UTI Nifty200 Momentum 30 Index Fund - Regular Plan</t>
        </is>
      </c>
      <c r="B790" s="260" t="n">
        <v>-11.8</v>
      </c>
      <c r="C790" s="260" t="n">
        <v>0.92</v>
      </c>
      <c r="D790" s="260" t="n">
        <v>21.78</v>
      </c>
      <c r="E790" s="259" t="inlineStr">
        <is>
          <t>--</t>
        </is>
      </c>
      <c r="F790" s="260" t="n">
        <v>0.92</v>
      </c>
      <c r="G790" s="260" t="n">
        <v>19.28</v>
      </c>
      <c r="H790" s="260" t="n">
        <v>0.7</v>
      </c>
      <c r="I790" s="260" t="n">
        <v>1.01</v>
      </c>
      <c r="J790" s="260" t="n">
        <v>1.23</v>
      </c>
      <c r="K790" s="260" t="n">
        <v>0.09</v>
      </c>
      <c r="L790" s="259" t="inlineStr">
        <is>
          <t>EQ-L&amp;MC</t>
        </is>
      </c>
    </row>
    <row r="791">
      <c r="A791" s="259" t="inlineStr">
        <is>
          <t>UTI Nifty200 Quality 30 Index Fund - Regular Plan</t>
        </is>
      </c>
      <c r="B791" s="259" t="inlineStr">
        <is>
          <t>--</t>
        </is>
      </c>
      <c r="C791" s="260" t="n">
        <v>1.05</v>
      </c>
      <c r="D791" s="259" t="inlineStr">
        <is>
          <t>--</t>
        </is>
      </c>
      <c r="E791" s="259" t="inlineStr">
        <is>
          <t>--</t>
        </is>
      </c>
      <c r="F791" s="260" t="n">
        <v>1.05</v>
      </c>
      <c r="G791" s="259" t="inlineStr">
        <is>
          <t>--</t>
        </is>
      </c>
      <c r="H791" s="259" t="inlineStr">
        <is>
          <t>--</t>
        </is>
      </c>
      <c r="I791" s="259" t="inlineStr">
        <is>
          <t>--</t>
        </is>
      </c>
      <c r="J791" s="259" t="inlineStr">
        <is>
          <t>--</t>
        </is>
      </c>
      <c r="K791" s="259" t="inlineStr">
        <is>
          <t>--</t>
        </is>
      </c>
      <c r="L791" s="259" t="inlineStr">
        <is>
          <t>EQ-L&amp;MC</t>
        </is>
      </c>
    </row>
    <row r="792">
      <c r="A792" s="259" t="inlineStr">
        <is>
          <t>UTI NIFTY50 Equal Weight Index Fund - Regular Plan</t>
        </is>
      </c>
      <c r="B792" s="260" t="n">
        <v>4.82</v>
      </c>
      <c r="C792" s="260" t="n">
        <v>1.03</v>
      </c>
      <c r="D792" s="259" t="inlineStr">
        <is>
          <t>--</t>
        </is>
      </c>
      <c r="E792" s="259" t="inlineStr">
        <is>
          <t>--</t>
        </is>
      </c>
      <c r="F792" s="260" t="n">
        <v>1.03</v>
      </c>
      <c r="G792" s="259" t="inlineStr">
        <is>
          <t>--</t>
        </is>
      </c>
      <c r="H792" s="259" t="inlineStr">
        <is>
          <t>--</t>
        </is>
      </c>
      <c r="I792" s="259" t="inlineStr">
        <is>
          <t>--</t>
        </is>
      </c>
      <c r="J792" s="259" t="inlineStr">
        <is>
          <t>--</t>
        </is>
      </c>
      <c r="K792" s="259" t="inlineStr">
        <is>
          <t>--</t>
        </is>
      </c>
      <c r="L792" s="259" t="inlineStr">
        <is>
          <t>EQ-LC</t>
        </is>
      </c>
    </row>
    <row r="793">
      <c r="A793" s="259" t="inlineStr">
        <is>
          <t>UTI Nifty 50 ETF</t>
        </is>
      </c>
      <c r="B793" s="260" t="n">
        <v>7.81</v>
      </c>
      <c r="C793" s="260" t="n">
        <v>0.05</v>
      </c>
      <c r="D793" s="260" t="n">
        <v>16.58</v>
      </c>
      <c r="E793" s="260" t="n">
        <v>21.38</v>
      </c>
      <c r="F793" s="260" t="n">
        <v>0.05</v>
      </c>
      <c r="G793" s="260" t="n">
        <v>13.13</v>
      </c>
      <c r="H793" s="260" t="n">
        <v>0.6899999999999999</v>
      </c>
      <c r="I793" s="260" t="n">
        <v>1.17</v>
      </c>
      <c r="J793" s="260" t="n">
        <v>0.95</v>
      </c>
      <c r="K793" s="260" t="n">
        <v>-0.73</v>
      </c>
      <c r="L793" s="259" t="inlineStr">
        <is>
          <t>EQ-LC</t>
        </is>
      </c>
    </row>
    <row r="794">
      <c r="A794" s="259" t="inlineStr">
        <is>
          <t>UTI Nifty 50 Index Fund - Regular Plan</t>
        </is>
      </c>
      <c r="B794" s="260" t="n">
        <v>7.55</v>
      </c>
      <c r="C794" s="260" t="n">
        <v>0.27</v>
      </c>
      <c r="D794" s="260" t="n">
        <v>16.24</v>
      </c>
      <c r="E794" s="260" t="n">
        <v>21.07</v>
      </c>
      <c r="F794" s="260" t="n">
        <v>0.27</v>
      </c>
      <c r="G794" s="260" t="n">
        <v>13.13</v>
      </c>
      <c r="H794" s="260" t="n">
        <v>0.67</v>
      </c>
      <c r="I794" s="260" t="n">
        <v>1.14</v>
      </c>
      <c r="J794" s="260" t="n">
        <v>0.95</v>
      </c>
      <c r="K794" s="260" t="n">
        <v>-1.02</v>
      </c>
      <c r="L794" s="259" t="inlineStr">
        <is>
          <t>EQ-LC</t>
        </is>
      </c>
    </row>
    <row r="795">
      <c r="A795" s="259" t="inlineStr">
        <is>
          <t>UTI Nifty Alpha Low-Volatility 30 Index Fund - Regular Plan</t>
        </is>
      </c>
      <c r="B795" s="259" t="inlineStr">
        <is>
          <t>--</t>
        </is>
      </c>
      <c r="C795" s="260" t="n">
        <v>1.03</v>
      </c>
      <c r="D795" s="259" t="inlineStr">
        <is>
          <t>--</t>
        </is>
      </c>
      <c r="E795" s="259" t="inlineStr">
        <is>
          <t>--</t>
        </is>
      </c>
      <c r="F795" s="260" t="n">
        <v>1.03</v>
      </c>
      <c r="G795" s="259" t="inlineStr">
        <is>
          <t>--</t>
        </is>
      </c>
      <c r="H795" s="259" t="inlineStr">
        <is>
          <t>--</t>
        </is>
      </c>
      <c r="I795" s="259" t="inlineStr">
        <is>
          <t>--</t>
        </is>
      </c>
      <c r="J795" s="259" t="inlineStr">
        <is>
          <t>--</t>
        </is>
      </c>
      <c r="K795" s="259" t="inlineStr">
        <is>
          <t>--</t>
        </is>
      </c>
      <c r="L795" s="259" t="inlineStr">
        <is>
          <t>EQ-L&amp;MC</t>
        </is>
      </c>
    </row>
    <row r="796" hidden="1">
      <c r="A796" s="259" t="inlineStr">
        <is>
          <t>UTI Nifty India Manufacturing Index Fund - Regular Plan</t>
        </is>
      </c>
      <c r="B796" s="259" t="inlineStr">
        <is>
          <t>--</t>
        </is>
      </c>
      <c r="C796" s="260" t="n">
        <v>1.04</v>
      </c>
      <c r="D796" s="259" t="inlineStr">
        <is>
          <t>--</t>
        </is>
      </c>
      <c r="E796" s="259" t="inlineStr">
        <is>
          <t>--</t>
        </is>
      </c>
      <c r="F796" s="260" t="n">
        <v>1.04</v>
      </c>
      <c r="G796" s="259" t="inlineStr">
        <is>
          <t>--</t>
        </is>
      </c>
      <c r="H796" s="259" t="inlineStr">
        <is>
          <t>--</t>
        </is>
      </c>
      <c r="I796" s="259" t="inlineStr">
        <is>
          <t>--</t>
        </is>
      </c>
      <c r="J796" s="259" t="inlineStr">
        <is>
          <t>--</t>
        </is>
      </c>
      <c r="K796" s="259" t="inlineStr">
        <is>
          <t>--</t>
        </is>
      </c>
      <c r="L796" s="259" t="inlineStr">
        <is>
          <t>EQ-THEMATIC</t>
        </is>
      </c>
    </row>
    <row r="797">
      <c r="A797" s="259" t="inlineStr">
        <is>
          <t>UTI Nifty Midcap 150 ETF</t>
        </is>
      </c>
      <c r="B797" s="260" t="n">
        <v>6.24</v>
      </c>
      <c r="C797" s="260" t="n">
        <v>0.25</v>
      </c>
      <c r="D797" s="259" t="inlineStr">
        <is>
          <t>--</t>
        </is>
      </c>
      <c r="E797" s="259" t="inlineStr">
        <is>
          <t>--</t>
        </is>
      </c>
      <c r="F797" s="260" t="n">
        <v>0.25</v>
      </c>
      <c r="G797" s="259" t="inlineStr">
        <is>
          <t>--</t>
        </is>
      </c>
      <c r="H797" s="259" t="inlineStr">
        <is>
          <t>--</t>
        </is>
      </c>
      <c r="I797" s="259" t="inlineStr">
        <is>
          <t>--</t>
        </is>
      </c>
      <c r="J797" s="259" t="inlineStr">
        <is>
          <t>--</t>
        </is>
      </c>
      <c r="K797" s="259" t="inlineStr">
        <is>
          <t>--</t>
        </is>
      </c>
      <c r="L797" s="259" t="inlineStr">
        <is>
          <t>EQ-MC</t>
        </is>
      </c>
    </row>
    <row r="798">
      <c r="A798" s="259" t="inlineStr">
        <is>
          <t>UTI Nifty Midcap 150 Index Fund - Regular Plan</t>
        </is>
      </c>
      <c r="B798" s="259" t="inlineStr">
        <is>
          <t>--</t>
        </is>
      </c>
      <c r="C798" s="260" t="n">
        <v>1.04</v>
      </c>
      <c r="D798" s="259" t="inlineStr">
        <is>
          <t>--</t>
        </is>
      </c>
      <c r="E798" s="259" t="inlineStr">
        <is>
          <t>--</t>
        </is>
      </c>
      <c r="F798" s="260" t="n">
        <v>1.04</v>
      </c>
      <c r="G798" s="259" t="inlineStr">
        <is>
          <t>--</t>
        </is>
      </c>
      <c r="H798" s="259" t="inlineStr">
        <is>
          <t>--</t>
        </is>
      </c>
      <c r="I798" s="259" t="inlineStr">
        <is>
          <t>--</t>
        </is>
      </c>
      <c r="J798" s="259" t="inlineStr">
        <is>
          <t>--</t>
        </is>
      </c>
      <c r="K798" s="259" t="inlineStr">
        <is>
          <t>--</t>
        </is>
      </c>
      <c r="L798" s="259" t="inlineStr">
        <is>
          <t>EQ-MC</t>
        </is>
      </c>
    </row>
    <row r="799">
      <c r="A799" s="259" t="inlineStr">
        <is>
          <t>UTI Nifty Midcap 150 Quality 50 Index Fund - Regular Plan</t>
        </is>
      </c>
      <c r="B799" s="260" t="n">
        <v>2.98</v>
      </c>
      <c r="C799" s="260" t="n">
        <v>0.88</v>
      </c>
      <c r="D799" s="260" t="n">
        <v>16.98</v>
      </c>
      <c r="E799" s="259" t="inlineStr">
        <is>
          <t>--</t>
        </is>
      </c>
      <c r="F799" s="260" t="n">
        <v>0.88</v>
      </c>
      <c r="G799" s="260" t="n">
        <v>15.58</v>
      </c>
      <c r="H799" s="260" t="n">
        <v>0.62</v>
      </c>
      <c r="I799" s="260" t="n">
        <v>0.96</v>
      </c>
      <c r="J799" s="260" t="n">
        <v>0.87</v>
      </c>
      <c r="K799" s="260" t="n">
        <v>-6.23</v>
      </c>
      <c r="L799" s="259" t="inlineStr">
        <is>
          <t>EQ-MC</t>
        </is>
      </c>
    </row>
    <row r="800">
      <c r="A800" s="259" t="inlineStr">
        <is>
          <t>UTI Nifty Midsmallcap 400 Momentum Quality 100 Index Fund - Regular Plan</t>
        </is>
      </c>
      <c r="B800" s="259" t="inlineStr">
        <is>
          <t>--</t>
        </is>
      </c>
      <c r="C800" s="260" t="n">
        <v>1.03</v>
      </c>
      <c r="D800" s="259" t="inlineStr">
        <is>
          <t>--</t>
        </is>
      </c>
      <c r="E800" s="259" t="inlineStr">
        <is>
          <t>--</t>
        </is>
      </c>
      <c r="F800" s="260" t="n">
        <v>1.03</v>
      </c>
      <c r="G800" s="259" t="inlineStr">
        <is>
          <t>--</t>
        </is>
      </c>
      <c r="H800" s="259" t="inlineStr">
        <is>
          <t>--</t>
        </is>
      </c>
      <c r="I800" s="259" t="inlineStr">
        <is>
          <t>--</t>
        </is>
      </c>
      <c r="J800" s="259" t="inlineStr">
        <is>
          <t>--</t>
        </is>
      </c>
      <c r="K800" s="259" t="inlineStr">
        <is>
          <t>--</t>
        </is>
      </c>
      <c r="L800" s="259" t="inlineStr">
        <is>
          <t>EQ-MC</t>
        </is>
      </c>
    </row>
    <row r="801">
      <c r="A801" s="259" t="inlineStr">
        <is>
          <t>UTI Nifty Next 50 Exchange Traded Fund</t>
        </is>
      </c>
      <c r="B801" s="260" t="n">
        <v>-3.17</v>
      </c>
      <c r="C801" s="260" t="n">
        <v>0.15</v>
      </c>
      <c r="D801" s="260" t="n">
        <v>22.13</v>
      </c>
      <c r="E801" s="260" t="n">
        <v>22.73</v>
      </c>
      <c r="F801" s="260" t="n">
        <v>0.15</v>
      </c>
      <c r="G801" s="260" t="n">
        <v>19.55</v>
      </c>
      <c r="H801" s="260" t="n">
        <v>0.73</v>
      </c>
      <c r="I801" s="260" t="n">
        <v>1.08</v>
      </c>
      <c r="J801" s="260" t="n">
        <v>1.3</v>
      </c>
      <c r="K801" s="260" t="n">
        <v>0.85</v>
      </c>
      <c r="L801" s="259" t="inlineStr">
        <is>
          <t>EQ-LC</t>
        </is>
      </c>
    </row>
    <row r="802">
      <c r="A802" s="259" t="inlineStr">
        <is>
          <t>UTI Nifty Next 50 Index Fund - Regular Plan</t>
        </is>
      </c>
      <c r="B802" s="260" t="n">
        <v>-3.82</v>
      </c>
      <c r="C802" s="260" t="n">
        <v>0.79</v>
      </c>
      <c r="D802" s="260" t="n">
        <v>21.3</v>
      </c>
      <c r="E802" s="260" t="n">
        <v>21.84</v>
      </c>
      <c r="F802" s="260" t="n">
        <v>0.79</v>
      </c>
      <c r="G802" s="260" t="n">
        <v>19.53</v>
      </c>
      <c r="H802" s="260" t="n">
        <v>0.6899999999999999</v>
      </c>
      <c r="I802" s="260" t="n">
        <v>1.03</v>
      </c>
      <c r="J802" s="260" t="n">
        <v>1.3</v>
      </c>
      <c r="K802" s="260" t="n">
        <v>0.16</v>
      </c>
      <c r="L802" s="259" t="inlineStr">
        <is>
          <t>EQ-LC</t>
        </is>
      </c>
    </row>
    <row r="803" hidden="1">
      <c r="A803" s="259" t="inlineStr">
        <is>
          <t>UTI Quant Fund - Regular Plan</t>
        </is>
      </c>
      <c r="B803" s="259" t="inlineStr">
        <is>
          <t>--</t>
        </is>
      </c>
      <c r="C803" s="260" t="n">
        <v>2.02</v>
      </c>
      <c r="D803" s="259" t="inlineStr">
        <is>
          <t>--</t>
        </is>
      </c>
      <c r="E803" s="259" t="inlineStr">
        <is>
          <t>--</t>
        </is>
      </c>
      <c r="F803" s="260" t="n">
        <v>2.02</v>
      </c>
      <c r="G803" s="259" t="inlineStr">
        <is>
          <t>--</t>
        </is>
      </c>
      <c r="H803" s="259" t="inlineStr">
        <is>
          <t>--</t>
        </is>
      </c>
      <c r="I803" s="259" t="inlineStr">
        <is>
          <t>--</t>
        </is>
      </c>
      <c r="J803" s="259" t="inlineStr">
        <is>
          <t>--</t>
        </is>
      </c>
      <c r="K803" s="259" t="inlineStr">
        <is>
          <t>--</t>
        </is>
      </c>
      <c r="L803" s="259" t="inlineStr">
        <is>
          <t>EQ-THEMATIC</t>
        </is>
      </c>
    </row>
    <row r="804">
      <c r="A804" s="259" t="inlineStr">
        <is>
          <t>UTI Small Cap Fund - Regular Plan</t>
        </is>
      </c>
      <c r="B804" s="260" t="n">
        <v>11</v>
      </c>
      <c r="C804" s="260" t="n">
        <v>1.86</v>
      </c>
      <c r="D804" s="260" t="n">
        <v>23.04</v>
      </c>
      <c r="E804" s="259" t="inlineStr">
        <is>
          <t>--</t>
        </is>
      </c>
      <c r="F804" s="260" t="n">
        <v>1.86</v>
      </c>
      <c r="G804" s="260" t="n">
        <v>17.13</v>
      </c>
      <c r="H804" s="260" t="n">
        <v>0.82</v>
      </c>
      <c r="I804" s="260" t="n">
        <v>1.14</v>
      </c>
      <c r="J804" s="260" t="n">
        <v>0.83</v>
      </c>
      <c r="K804" s="260" t="n">
        <v>-1.03</v>
      </c>
      <c r="L804" s="259" t="inlineStr">
        <is>
          <t>EQ-SC</t>
        </is>
      </c>
    </row>
    <row r="805" hidden="1">
      <c r="A805" s="259" t="inlineStr">
        <is>
          <t>UTI Transportation and Logistics Fund - Regular Plan</t>
        </is>
      </c>
      <c r="B805" s="260" t="n">
        <v>-4.99</v>
      </c>
      <c r="C805" s="260" t="n">
        <v>1.94</v>
      </c>
      <c r="D805" s="260" t="n">
        <v>23.72</v>
      </c>
      <c r="E805" s="260" t="n">
        <v>27.98</v>
      </c>
      <c r="F805" s="260" t="n">
        <v>1.94</v>
      </c>
      <c r="G805" s="260" t="n">
        <v>16.44</v>
      </c>
      <c r="H805" s="260" t="n">
        <v>0.95</v>
      </c>
      <c r="I805" s="260" t="n">
        <v>1.35</v>
      </c>
      <c r="J805" s="260" t="n">
        <v>0.98</v>
      </c>
      <c r="K805" s="260" t="n">
        <v>4.35</v>
      </c>
      <c r="L805" s="259" t="inlineStr">
        <is>
          <t>EQ-THEMATIC</t>
        </is>
      </c>
    </row>
    <row r="806">
      <c r="A806" s="259" t="inlineStr">
        <is>
          <t>UTI Unit Linked Insurance Plan</t>
        </is>
      </c>
      <c r="B806" s="260" t="n">
        <v>10.91</v>
      </c>
      <c r="C806" s="260" t="n">
        <v>1.64</v>
      </c>
      <c r="D806" s="260" t="n">
        <v>10.7</v>
      </c>
      <c r="E806" s="260" t="n">
        <v>11.89</v>
      </c>
      <c r="F806" s="260" t="n">
        <v>1.64</v>
      </c>
      <c r="G806" s="260" t="n">
        <v>6.23</v>
      </c>
      <c r="H806" s="260" t="n">
        <v>0.5600000000000001</v>
      </c>
      <c r="I806" s="260" t="n">
        <v>0.89</v>
      </c>
      <c r="J806" s="260" t="n">
        <v>0.55</v>
      </c>
      <c r="K806" s="260" t="n">
        <v>-0.88</v>
      </c>
      <c r="L806" s="259" t="inlineStr">
        <is>
          <t>HY-DAA</t>
        </is>
      </c>
    </row>
    <row r="807">
      <c r="A807" s="259" t="inlineStr">
        <is>
          <t>WhiteOak Capital Balanced Advantage Fund - Regular Plan</t>
        </is>
      </c>
      <c r="B807" s="260" t="n">
        <v>10.36</v>
      </c>
      <c r="C807" s="260" t="n">
        <v>2.06</v>
      </c>
      <c r="D807" s="259" t="inlineStr">
        <is>
          <t>--</t>
        </is>
      </c>
      <c r="E807" s="259" t="inlineStr">
        <is>
          <t>--</t>
        </is>
      </c>
      <c r="F807" s="260" t="n">
        <v>2.06</v>
      </c>
      <c r="G807" s="259" t="inlineStr">
        <is>
          <t>--</t>
        </is>
      </c>
      <c r="H807" s="259" t="inlineStr">
        <is>
          <t>--</t>
        </is>
      </c>
      <c r="I807" s="259" t="inlineStr">
        <is>
          <t>--</t>
        </is>
      </c>
      <c r="J807" s="259" t="inlineStr">
        <is>
          <t>--</t>
        </is>
      </c>
      <c r="K807" s="259" t="inlineStr">
        <is>
          <t>--</t>
        </is>
      </c>
      <c r="L807" s="259" t="inlineStr">
        <is>
          <t>HY-DAA</t>
        </is>
      </c>
    </row>
    <row r="808" hidden="1">
      <c r="A808" s="259" t="inlineStr">
        <is>
          <t>WhiteOak Capital ESG Best-In-Class Strategy Fund - Regular Plan</t>
        </is>
      </c>
      <c r="B808" s="259" t="inlineStr">
        <is>
          <t>--</t>
        </is>
      </c>
      <c r="C808" s="260" t="n">
        <v>2.35</v>
      </c>
      <c r="D808" s="259" t="inlineStr">
        <is>
          <t>--</t>
        </is>
      </c>
      <c r="E808" s="259" t="inlineStr">
        <is>
          <t>--</t>
        </is>
      </c>
      <c r="F808" s="260" t="n">
        <v>2.35</v>
      </c>
      <c r="G808" s="259" t="inlineStr">
        <is>
          <t>--</t>
        </is>
      </c>
      <c r="H808" s="259" t="inlineStr">
        <is>
          <t>--</t>
        </is>
      </c>
      <c r="I808" s="259" t="inlineStr">
        <is>
          <t>--</t>
        </is>
      </c>
      <c r="J808" s="259" t="inlineStr">
        <is>
          <t>--</t>
        </is>
      </c>
      <c r="K808" s="259" t="inlineStr">
        <is>
          <t>--</t>
        </is>
      </c>
      <c r="L808" s="259" t="inlineStr">
        <is>
          <t>EQ-T-ESG</t>
        </is>
      </c>
    </row>
    <row r="809">
      <c r="A809" s="259" t="inlineStr">
        <is>
          <t>WhiteOak Capital Flexi Cap Fund - Regular Plan</t>
        </is>
      </c>
      <c r="B809" s="260" t="n">
        <v>11.18</v>
      </c>
      <c r="C809" s="260" t="n">
        <v>1.82</v>
      </c>
      <c r="D809" s="259" t="inlineStr">
        <is>
          <t>--</t>
        </is>
      </c>
      <c r="E809" s="259" t="inlineStr">
        <is>
          <t>--</t>
        </is>
      </c>
      <c r="F809" s="260" t="n">
        <v>1.82</v>
      </c>
      <c r="G809" s="259" t="inlineStr">
        <is>
          <t>--</t>
        </is>
      </c>
      <c r="H809" s="259" t="inlineStr">
        <is>
          <t>--</t>
        </is>
      </c>
      <c r="I809" s="259" t="inlineStr">
        <is>
          <t>--</t>
        </is>
      </c>
      <c r="J809" s="259" t="inlineStr">
        <is>
          <t>--</t>
        </is>
      </c>
      <c r="K809" s="259" t="inlineStr">
        <is>
          <t>--</t>
        </is>
      </c>
      <c r="L809" s="259" t="inlineStr">
        <is>
          <t>EQ-FLX</t>
        </is>
      </c>
    </row>
    <row r="810">
      <c r="A810" s="259" t="inlineStr">
        <is>
          <t>WhiteOak Capital Large Cap Fund - Regular Plan</t>
        </is>
      </c>
      <c r="B810" s="260" t="n">
        <v>8.720000000000001</v>
      </c>
      <c r="C810" s="260" t="n">
        <v>2.2</v>
      </c>
      <c r="D810" s="259" t="inlineStr">
        <is>
          <t>--</t>
        </is>
      </c>
      <c r="E810" s="259" t="inlineStr">
        <is>
          <t>--</t>
        </is>
      </c>
      <c r="F810" s="260" t="n">
        <v>2.2</v>
      </c>
      <c r="G810" s="259" t="inlineStr">
        <is>
          <t>--</t>
        </is>
      </c>
      <c r="H810" s="259" t="inlineStr">
        <is>
          <t>--</t>
        </is>
      </c>
      <c r="I810" s="259" t="inlineStr">
        <is>
          <t>--</t>
        </is>
      </c>
      <c r="J810" s="259" t="inlineStr">
        <is>
          <t>--</t>
        </is>
      </c>
      <c r="K810" s="259" t="inlineStr">
        <is>
          <t>--</t>
        </is>
      </c>
      <c r="L810" s="259" t="inlineStr">
        <is>
          <t>EQ-LC</t>
        </is>
      </c>
    </row>
    <row r="811">
      <c r="A811" s="259" t="inlineStr">
        <is>
          <t>WhiteOak Capital Large &amp; Mid Cap Fund - Regular Plan</t>
        </is>
      </c>
      <c r="B811" s="260" t="n">
        <v>9.789999999999999</v>
      </c>
      <c r="C811" s="260" t="n">
        <v>2.04</v>
      </c>
      <c r="D811" s="259" t="inlineStr">
        <is>
          <t>--</t>
        </is>
      </c>
      <c r="E811" s="259" t="inlineStr">
        <is>
          <t>--</t>
        </is>
      </c>
      <c r="F811" s="260" t="n">
        <v>2.04</v>
      </c>
      <c r="G811" s="259" t="inlineStr">
        <is>
          <t>--</t>
        </is>
      </c>
      <c r="H811" s="259" t="inlineStr">
        <is>
          <t>--</t>
        </is>
      </c>
      <c r="I811" s="259" t="inlineStr">
        <is>
          <t>--</t>
        </is>
      </c>
      <c r="J811" s="259" t="inlineStr">
        <is>
          <t>--</t>
        </is>
      </c>
      <c r="K811" s="259" t="inlineStr">
        <is>
          <t>--</t>
        </is>
      </c>
      <c r="L811" s="259" t="inlineStr">
        <is>
          <t>EQ-L&amp;MC</t>
        </is>
      </c>
    </row>
    <row r="812">
      <c r="A812" s="259" t="inlineStr">
        <is>
          <t>WhiteOak Capital Mid Cap Fund - Regular Plan</t>
        </is>
      </c>
      <c r="B812" s="260" t="n">
        <v>13.25</v>
      </c>
      <c r="C812" s="260" t="n">
        <v>1.88</v>
      </c>
      <c r="D812" s="259" t="inlineStr">
        <is>
          <t>--</t>
        </is>
      </c>
      <c r="E812" s="259" t="inlineStr">
        <is>
          <t>--</t>
        </is>
      </c>
      <c r="F812" s="260" t="n">
        <v>1.88</v>
      </c>
      <c r="G812" s="259" t="inlineStr">
        <is>
          <t>--</t>
        </is>
      </c>
      <c r="H812" s="259" t="inlineStr">
        <is>
          <t>--</t>
        </is>
      </c>
      <c r="I812" s="259" t="inlineStr">
        <is>
          <t>--</t>
        </is>
      </c>
      <c r="J812" s="259" t="inlineStr">
        <is>
          <t>--</t>
        </is>
      </c>
      <c r="K812" s="259" t="inlineStr">
        <is>
          <t>--</t>
        </is>
      </c>
      <c r="L812" s="259" t="inlineStr">
        <is>
          <t>EQ-MC</t>
        </is>
      </c>
    </row>
    <row r="813">
      <c r="A813" s="259" t="inlineStr">
        <is>
          <t>WhiteOak Capital Multi Asset Allocation Fund - Regular Plan</t>
        </is>
      </c>
      <c r="B813" s="260" t="n">
        <v>15.93</v>
      </c>
      <c r="C813" s="260" t="n">
        <v>1.73</v>
      </c>
      <c r="D813" s="259" t="inlineStr">
        <is>
          <t>--</t>
        </is>
      </c>
      <c r="E813" s="259" t="inlineStr">
        <is>
          <t>--</t>
        </is>
      </c>
      <c r="F813" s="260" t="n">
        <v>1.73</v>
      </c>
      <c r="G813" s="259" t="inlineStr">
        <is>
          <t>--</t>
        </is>
      </c>
      <c r="H813" s="259" t="inlineStr">
        <is>
          <t>--</t>
        </is>
      </c>
      <c r="I813" s="259" t="inlineStr">
        <is>
          <t>--</t>
        </is>
      </c>
      <c r="J813" s="259" t="inlineStr">
        <is>
          <t>--</t>
        </is>
      </c>
      <c r="K813" s="259" t="inlineStr">
        <is>
          <t>--</t>
        </is>
      </c>
      <c r="L813" s="259" t="inlineStr">
        <is>
          <t>HY-MAA</t>
        </is>
      </c>
    </row>
    <row r="814">
      <c r="A814" s="259" t="inlineStr">
        <is>
          <t>WhiteOak Capital Multi Cap Fund - Regular Plan</t>
        </is>
      </c>
      <c r="B814" s="260" t="n">
        <v>12.85</v>
      </c>
      <c r="C814" s="260" t="n">
        <v>2.01</v>
      </c>
      <c r="D814" s="259" t="inlineStr">
        <is>
          <t>--</t>
        </is>
      </c>
      <c r="E814" s="259" t="inlineStr">
        <is>
          <t>--</t>
        </is>
      </c>
      <c r="F814" s="260" t="n">
        <v>2.01</v>
      </c>
      <c r="G814" s="259" t="inlineStr">
        <is>
          <t>--</t>
        </is>
      </c>
      <c r="H814" s="259" t="inlineStr">
        <is>
          <t>--</t>
        </is>
      </c>
      <c r="I814" s="259" t="inlineStr">
        <is>
          <t>--</t>
        </is>
      </c>
      <c r="J814" s="259" t="inlineStr">
        <is>
          <t>--</t>
        </is>
      </c>
      <c r="K814" s="259" t="inlineStr">
        <is>
          <t>--</t>
        </is>
      </c>
      <c r="L814" s="259" t="inlineStr">
        <is>
          <t>EQ-MLC</t>
        </is>
      </c>
    </row>
    <row r="815" hidden="1">
      <c r="A815" s="259" t="inlineStr">
        <is>
          <t>WhiteOak Capital Quality Equity Fund - Regular Plan</t>
        </is>
      </c>
      <c r="B815" s="259" t="inlineStr">
        <is>
          <t>--</t>
        </is>
      </c>
      <c r="C815" s="260" t="n">
        <v>2.36</v>
      </c>
      <c r="D815" s="259" t="inlineStr">
        <is>
          <t>--</t>
        </is>
      </c>
      <c r="E815" s="259" t="inlineStr">
        <is>
          <t>--</t>
        </is>
      </c>
      <c r="F815" s="260" t="n">
        <v>2.36</v>
      </c>
      <c r="G815" s="259" t="inlineStr">
        <is>
          <t>--</t>
        </is>
      </c>
      <c r="H815" s="259" t="inlineStr">
        <is>
          <t>--</t>
        </is>
      </c>
      <c r="I815" s="259" t="inlineStr">
        <is>
          <t>--</t>
        </is>
      </c>
      <c r="J815" s="259" t="inlineStr">
        <is>
          <t>--</t>
        </is>
      </c>
      <c r="K815" s="259" t="inlineStr">
        <is>
          <t>--</t>
        </is>
      </c>
      <c r="L815" s="259" t="inlineStr">
        <is>
          <t>EQ-THEMATIC</t>
        </is>
      </c>
    </row>
    <row r="816" hidden="1">
      <c r="A816" s="259" t="inlineStr">
        <is>
          <t>WhiteOak Capital Special Opportunities Fund - Regular Plan</t>
        </is>
      </c>
      <c r="B816" s="260" t="n">
        <v>17.64</v>
      </c>
      <c r="C816" s="260" t="n">
        <v>2.19</v>
      </c>
      <c r="D816" s="259" t="inlineStr">
        <is>
          <t>--</t>
        </is>
      </c>
      <c r="E816" s="259" t="inlineStr">
        <is>
          <t>--</t>
        </is>
      </c>
      <c r="F816" s="260" t="n">
        <v>2.19</v>
      </c>
      <c r="G816" s="259" t="inlineStr">
        <is>
          <t>--</t>
        </is>
      </c>
      <c r="H816" s="259" t="inlineStr">
        <is>
          <t>--</t>
        </is>
      </c>
      <c r="I816" s="259" t="inlineStr">
        <is>
          <t>--</t>
        </is>
      </c>
      <c r="J816" s="259" t="inlineStr">
        <is>
          <t>--</t>
        </is>
      </c>
      <c r="K816" s="259" t="inlineStr">
        <is>
          <t>--</t>
        </is>
      </c>
      <c r="L816" s="259" t="inlineStr">
        <is>
          <t>EQ-THEMATIC</t>
        </is>
      </c>
    </row>
    <row r="817">
      <c r="A817" s="259" t="inlineStr">
        <is>
          <t>Zerodha Nifty 100 ETF</t>
        </is>
      </c>
      <c r="B817" s="259" t="inlineStr">
        <is>
          <t>--</t>
        </is>
      </c>
      <c r="C817" s="260" t="n">
        <v>0.25</v>
      </c>
      <c r="D817" s="259" t="inlineStr">
        <is>
          <t>--</t>
        </is>
      </c>
      <c r="E817" s="259" t="inlineStr">
        <is>
          <t>--</t>
        </is>
      </c>
      <c r="F817" s="260" t="n">
        <v>0.25</v>
      </c>
      <c r="G817" s="259" t="inlineStr">
        <is>
          <t>--</t>
        </is>
      </c>
      <c r="H817" s="259" t="inlineStr">
        <is>
          <t>--</t>
        </is>
      </c>
      <c r="I817" s="259" t="inlineStr">
        <is>
          <t>--</t>
        </is>
      </c>
      <c r="J817" s="259" t="inlineStr">
        <is>
          <t>--</t>
        </is>
      </c>
      <c r="K817" s="259" t="inlineStr">
        <is>
          <t>--</t>
        </is>
      </c>
      <c r="L817" s="259" t="inlineStr">
        <is>
          <t>EQ-LC</t>
        </is>
      </c>
    </row>
    <row r="818">
      <c r="A818" s="259" t="inlineStr">
        <is>
          <t>Zerodha Nifty Midcap 150 ETF</t>
        </is>
      </c>
      <c r="B818" s="259" t="inlineStr">
        <is>
          <t>--</t>
        </is>
      </c>
      <c r="C818" s="260" t="n">
        <v>0.21</v>
      </c>
      <c r="D818" s="259" t="inlineStr">
        <is>
          <t>--</t>
        </is>
      </c>
      <c r="E818" s="259" t="inlineStr">
        <is>
          <t>--</t>
        </is>
      </c>
      <c r="F818" s="260" t="n">
        <v>0.21</v>
      </c>
      <c r="G818" s="259" t="inlineStr">
        <is>
          <t>--</t>
        </is>
      </c>
      <c r="H818" s="259" t="inlineStr">
        <is>
          <t>--</t>
        </is>
      </c>
      <c r="I818" s="259" t="inlineStr">
        <is>
          <t>--</t>
        </is>
      </c>
      <c r="J818" s="259" t="inlineStr">
        <is>
          <t>--</t>
        </is>
      </c>
      <c r="K818" s="259" t="inlineStr">
        <is>
          <t>--</t>
        </is>
      </c>
      <c r="L818" s="259" t="inlineStr">
        <is>
          <t>EQ-MC</t>
        </is>
      </c>
    </row>
  </sheetData>
  <autoFilter ref="A1:L818">
    <filterColumn colId="11" hiddenButton="0" showButton="1">
      <filters>
        <filter val="EQ-FLX"/>
        <filter val="EQ-L&amp;MC"/>
        <filter val="EQ-LC"/>
        <filter val="EQ-MC"/>
        <filter val="EQ-MLC"/>
        <filter val="EQ-SC"/>
        <filter val="HY-DAA"/>
        <filter val="HY-MAA"/>
      </filters>
    </filterColumn>
  </autoFilter>
  <pageMargins left="0.7" right="0.7" top="0.75" bottom="0.75" header="0.3" footer="0.3"/>
  <pageSetup orientation="portrait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2:G52"/>
  <sheetViews>
    <sheetView topLeftCell="A51" zoomScaleNormal="100" workbookViewId="0">
      <selection activeCell="A54" sqref="A54:D75"/>
    </sheetView>
  </sheetViews>
  <sheetFormatPr baseColWidth="8" defaultColWidth="8" defaultRowHeight="12.75"/>
  <cols>
    <col width="36.5703125" bestFit="1" customWidth="1" style="388" min="1" max="1"/>
    <col width="10.140625" customWidth="1" style="388" min="2" max="2"/>
    <col width="10.28515625" customWidth="1" style="388" min="3" max="3"/>
    <col width="2.28515625" customWidth="1" style="388" min="4" max="4"/>
    <col width="36.28515625" customWidth="1" style="388" min="5" max="5"/>
    <col width="15" customWidth="1" style="388" min="6" max="6"/>
    <col width="10.28515625" customWidth="1" style="388" min="7" max="7"/>
    <col width="8" customWidth="1" style="388" min="8" max="11"/>
    <col width="8" customWidth="1" style="388" min="12" max="16384"/>
  </cols>
  <sheetData>
    <row r="2" ht="15" customHeight="1">
      <c r="A2" s="393" t="inlineStr">
        <is>
          <t>Financial Product Catalog: A Ready Reckoner , As on 26th June 2026</t>
        </is>
      </c>
      <c r="B2" s="394" t="n"/>
      <c r="C2" s="394" t="n"/>
      <c r="D2" s="394" t="n"/>
      <c r="E2" s="394" t="n"/>
      <c r="F2" s="394" t="n"/>
      <c r="G2" s="395" t="n"/>
    </row>
    <row r="3" ht="15" customHeight="1">
      <c r="A3" s="383" t="n"/>
      <c r="B3" s="384" t="n"/>
      <c r="C3" s="384" t="n"/>
      <c r="D3" s="384" t="n"/>
      <c r="E3" s="384" t="n"/>
      <c r="F3" s="384" t="n"/>
      <c r="G3" s="385" t="n"/>
    </row>
    <row r="4" ht="15" customHeight="1">
      <c r="A4" s="392" t="inlineStr">
        <is>
          <t>Whats new? (July 2026)</t>
        </is>
      </c>
      <c r="B4" s="362" t="n"/>
      <c r="C4" s="363" t="n"/>
      <c r="D4" s="379" t="n"/>
      <c r="E4" s="396" t="inlineStr">
        <is>
          <t>Debt</t>
        </is>
      </c>
      <c r="F4" s="362" t="n"/>
      <c r="G4" s="378" t="n"/>
    </row>
    <row r="5" ht="15" customHeight="1">
      <c r="A5" s="338" t="inlineStr">
        <is>
          <t>Fund Name</t>
        </is>
      </c>
      <c r="B5" s="368" t="inlineStr">
        <is>
          <t>End Date</t>
        </is>
      </c>
      <c r="C5" s="363" t="n"/>
      <c r="D5" s="387" t="n"/>
      <c r="G5" s="389" t="n"/>
    </row>
    <row r="6" ht="25.5" customHeight="1">
      <c r="A6" s="340" t="inlineStr">
        <is>
          <t>HDFC Nifty Auto Index Fund - Powered by India's Auto Momentum (NFO)</t>
        </is>
      </c>
      <c r="B6" s="365" t="inlineStr">
        <is>
          <t>July 03, 2026</t>
        </is>
      </c>
      <c r="C6" s="363" t="n"/>
      <c r="D6" s="379" t="n"/>
      <c r="E6" s="342" t="inlineStr">
        <is>
          <t>Debt Mutual Funds (Ultra Short Duration)</t>
        </is>
      </c>
      <c r="F6" s="368" t="inlineStr">
        <is>
          <t>3-Year Return</t>
        </is>
      </c>
      <c r="G6" s="343" t="inlineStr">
        <is>
          <t>1-Year Return</t>
        </is>
      </c>
    </row>
    <row r="7" ht="15" customHeight="1">
      <c r="A7" s="340" t="inlineStr">
        <is>
          <t>TRUSTMF Large &amp; Mid Cap Fund (NFO)</t>
        </is>
      </c>
      <c r="B7" s="365" t="inlineStr">
        <is>
          <t>July 17, 2026</t>
        </is>
      </c>
      <c r="C7" s="363" t="n"/>
      <c r="D7" s="380" t="n"/>
      <c r="E7" s="459" t="inlineStr">
        <is>
          <t>NIFTY Ultra Short Duration Debt Index</t>
        </is>
      </c>
      <c r="F7" s="361" t="n">
        <v>0.0613</v>
      </c>
      <c r="G7" s="345" t="n">
        <v>0.0032</v>
      </c>
    </row>
    <row r="8" ht="25.5" customHeight="1">
      <c r="A8" s="390" t="n"/>
      <c r="D8" s="391" t="n"/>
      <c r="E8" s="342" t="inlineStr">
        <is>
          <t>Ultra Short - Fund Name ( Return CAGR )</t>
        </is>
      </c>
      <c r="F8" s="368" t="inlineStr">
        <is>
          <t>3-Year Return</t>
        </is>
      </c>
      <c r="G8" s="343" t="inlineStr">
        <is>
          <t>1-Year Return</t>
        </is>
      </c>
    </row>
    <row r="9" ht="25.5" customHeight="1">
      <c r="A9" s="382" t="inlineStr">
        <is>
          <t>Equity</t>
        </is>
      </c>
      <c r="B9" s="362" t="n"/>
      <c r="C9" s="363" t="n"/>
      <c r="D9" s="379" t="n"/>
      <c r="E9" s="365">
        <f>'Summary '!J4</f>
        <v/>
      </c>
      <c r="F9" s="366">
        <f>'Summary '!K4</f>
        <v/>
      </c>
      <c r="G9" s="347">
        <f>'Summary '!L4</f>
        <v/>
      </c>
    </row>
    <row r="10" ht="25.5" customHeight="1">
      <c r="A10" s="390" t="n"/>
      <c r="D10" s="391" t="n"/>
      <c r="E10" s="365">
        <f>'Summary '!J5</f>
        <v/>
      </c>
      <c r="F10" s="366">
        <f>'Summary '!K5</f>
        <v/>
      </c>
      <c r="G10" s="347">
        <f>'Summary '!L5</f>
        <v/>
      </c>
    </row>
    <row r="11" ht="25.5" customHeight="1">
      <c r="A11" s="338" t="inlineStr">
        <is>
          <t>Large Cap - Funds</t>
        </is>
      </c>
      <c r="B11" s="368" t="inlineStr">
        <is>
          <t>3-Year Return</t>
        </is>
      </c>
      <c r="C11" s="368" t="inlineStr">
        <is>
          <t>1-Year Return</t>
        </is>
      </c>
      <c r="D11" s="379" t="n"/>
      <c r="E11" s="365">
        <f>'Summary '!J6</f>
        <v/>
      </c>
      <c r="F11" s="366">
        <f>'Summary '!K6</f>
        <v/>
      </c>
      <c r="G11" s="347">
        <f>'Summary '!L6</f>
        <v/>
      </c>
    </row>
    <row r="12" ht="15" customHeight="1">
      <c r="A12" s="457" t="inlineStr">
        <is>
          <t>NIFTY 50</t>
        </is>
      </c>
      <c r="B12" s="361" t="n">
        <v>0.101</v>
      </c>
      <c r="C12" s="361" t="n">
        <v>-0.0351</v>
      </c>
      <c r="D12" s="380" t="n"/>
      <c r="E12" s="377" t="n"/>
      <c r="F12" s="362" t="n"/>
      <c r="G12" s="378" t="n"/>
    </row>
    <row r="13" ht="25.5" customHeight="1">
      <c r="A13" s="349" t="inlineStr">
        <is>
          <t>Large Cap - Funds (Return CAGR)</t>
        </is>
      </c>
      <c r="B13" s="368" t="inlineStr">
        <is>
          <t>3-Year Return</t>
        </is>
      </c>
      <c r="C13" s="368" t="inlineStr">
        <is>
          <t>1-Year Return</t>
        </is>
      </c>
      <c r="D13" s="380" t="n"/>
      <c r="E13" s="342" t="inlineStr">
        <is>
          <t>Debt Mutual Funds (Low Duration)</t>
        </is>
      </c>
      <c r="F13" s="368" t="inlineStr">
        <is>
          <t>3-Year Return</t>
        </is>
      </c>
      <c r="G13" s="343" t="inlineStr">
        <is>
          <t>1-Year Return</t>
        </is>
      </c>
    </row>
    <row r="14">
      <c r="A14" s="340">
        <f>'Summary '!D4</f>
        <v/>
      </c>
      <c r="B14" s="366">
        <f>'Summary '!E4</f>
        <v/>
      </c>
      <c r="C14" s="366">
        <f>'Summary '!F4</f>
        <v/>
      </c>
      <c r="D14" s="380" t="n"/>
      <c r="E14" s="459" t="inlineStr">
        <is>
          <t>NIFTY Low Duration Debt Index</t>
        </is>
      </c>
      <c r="F14" s="361" t="n">
        <v>0.0711</v>
      </c>
      <c r="G14" s="345" t="n">
        <v>0.0583</v>
      </c>
    </row>
    <row r="15" ht="25.5" customHeight="1">
      <c r="A15" s="340">
        <f>'Summary '!D5</f>
        <v/>
      </c>
      <c r="B15" s="366">
        <f>'Summary '!E5</f>
        <v/>
      </c>
      <c r="C15" s="366">
        <f>'Summary '!F5</f>
        <v/>
      </c>
      <c r="D15" s="380" t="n"/>
      <c r="E15" s="342" t="inlineStr">
        <is>
          <t>Low Duration - Funds ( Return CAGR )</t>
        </is>
      </c>
      <c r="F15" s="368" t="inlineStr">
        <is>
          <t>3-Year Return</t>
        </is>
      </c>
      <c r="G15" s="343" t="inlineStr">
        <is>
          <t>1-Year Return</t>
        </is>
      </c>
    </row>
    <row r="16">
      <c r="A16" s="340">
        <f>'Summary '!D6</f>
        <v/>
      </c>
      <c r="B16" s="366">
        <f>'Summary '!E6</f>
        <v/>
      </c>
      <c r="C16" s="366">
        <f>'Summary '!F6</f>
        <v/>
      </c>
      <c r="D16" s="380" t="n"/>
      <c r="E16" s="365">
        <f>'Summary '!J8</f>
        <v/>
      </c>
      <c r="F16" s="366">
        <f>'Summary '!K8</f>
        <v/>
      </c>
      <c r="G16" s="347">
        <f>'Summary '!L8</f>
        <v/>
      </c>
    </row>
    <row r="17" ht="25.5" customHeight="1">
      <c r="A17" s="457" t="inlineStr">
        <is>
          <t>SIP of 50000*36=1800000, Maturity Value Would be</t>
        </is>
      </c>
      <c r="B17" s="376" t="n">
        <v>2572605</v>
      </c>
      <c r="C17" s="363" t="n"/>
      <c r="D17" s="380" t="n"/>
      <c r="E17" s="365">
        <f>'Summary '!J9</f>
        <v/>
      </c>
      <c r="F17" s="366">
        <f>'Summary '!K9</f>
        <v/>
      </c>
      <c r="G17" s="347">
        <f>'Summary '!L9</f>
        <v/>
      </c>
    </row>
    <row r="18" ht="15" customHeight="1">
      <c r="A18" s="390" t="n"/>
      <c r="D18" s="391" t="n"/>
      <c r="E18" s="365">
        <f>'Summary '!J10</f>
        <v/>
      </c>
      <c r="F18" s="366">
        <f>'Summary '!K10</f>
        <v/>
      </c>
      <c r="G18" s="347">
        <f>'Summary '!L10</f>
        <v/>
      </c>
    </row>
    <row r="19" ht="25.5" customHeight="1">
      <c r="A19" s="349" t="inlineStr">
        <is>
          <t>Large &amp; Mid Cap - Funds</t>
        </is>
      </c>
      <c r="B19" s="368" t="inlineStr">
        <is>
          <t>3-Year Return</t>
        </is>
      </c>
      <c r="C19" s="368" t="inlineStr">
        <is>
          <t>1-Year Return</t>
        </is>
      </c>
      <c r="D19" s="331" t="n"/>
      <c r="E19" s="377" t="n"/>
      <c r="F19" s="362" t="n"/>
      <c r="G19" s="378" t="n"/>
    </row>
    <row r="20" ht="25.5" customHeight="1">
      <c r="A20" s="340">
        <f>'Summary '!D8</f>
        <v/>
      </c>
      <c r="B20" s="366">
        <f>'Summary '!E8</f>
        <v/>
      </c>
      <c r="C20" s="366">
        <f>'Summary '!F8</f>
        <v/>
      </c>
      <c r="D20" s="331" t="n"/>
      <c r="E20" s="342" t="inlineStr">
        <is>
          <t>Debt Mutual Funds (Short Duration)</t>
        </is>
      </c>
      <c r="F20" s="368" t="inlineStr">
        <is>
          <t>3-Year Return</t>
        </is>
      </c>
      <c r="G20" s="343" t="inlineStr">
        <is>
          <t>1-Year Return</t>
        </is>
      </c>
    </row>
    <row r="21">
      <c r="A21" s="340">
        <f>'Summary '!D9</f>
        <v/>
      </c>
      <c r="B21" s="366">
        <f>'Summary '!E9</f>
        <v/>
      </c>
      <c r="C21" s="366">
        <f>'Summary '!F9</f>
        <v/>
      </c>
      <c r="D21" s="331" t="n"/>
      <c r="E21" s="460" t="inlineStr">
        <is>
          <t>NIFTY Short Duration Debt Index A-II</t>
        </is>
      </c>
      <c r="F21" s="361" t="n">
        <v>0.06569999999999999</v>
      </c>
      <c r="G21" s="345" t="n">
        <v>0.07630000000000001</v>
      </c>
    </row>
    <row r="22" ht="25.5" customHeight="1">
      <c r="A22" s="340">
        <f>'Summary '!D10</f>
        <v/>
      </c>
      <c r="B22" s="366">
        <f>'Summary '!E10</f>
        <v/>
      </c>
      <c r="C22" s="366">
        <f>'Summary '!F10</f>
        <v/>
      </c>
      <c r="D22" s="331" t="n"/>
      <c r="E22" s="342" t="inlineStr">
        <is>
          <t>Medium Term - Funds ( Return CAGR )</t>
        </is>
      </c>
      <c r="F22" s="368" t="inlineStr">
        <is>
          <t>3-Year Return</t>
        </is>
      </c>
      <c r="G22" s="343" t="inlineStr">
        <is>
          <t>1-Year Return</t>
        </is>
      </c>
    </row>
    <row r="23" ht="25.5" customHeight="1">
      <c r="A23" s="457" t="inlineStr">
        <is>
          <t>SIP of 50000*36=1800000, Maturity Value Would be</t>
        </is>
      </c>
      <c r="B23" s="376" t="n">
        <v>2646895</v>
      </c>
      <c r="C23" s="363" t="n"/>
      <c r="D23" s="331" t="n"/>
      <c r="E23" s="365">
        <f>'Summary '!J12</f>
        <v/>
      </c>
      <c r="F23" s="366">
        <f>'Summary '!K12</f>
        <v/>
      </c>
      <c r="G23" s="347">
        <f>'Summary '!L12</f>
        <v/>
      </c>
    </row>
    <row r="24" ht="15" customHeight="1">
      <c r="A24" s="386" t="n"/>
      <c r="B24" s="362" t="n"/>
      <c r="C24" s="363" t="n"/>
      <c r="D24" s="331" t="n"/>
      <c r="E24" s="365">
        <f>'Summary '!J13</f>
        <v/>
      </c>
      <c r="F24" s="366">
        <f>'Summary '!K13</f>
        <v/>
      </c>
      <c r="G24" s="347">
        <f>'Summary '!L13</f>
        <v/>
      </c>
    </row>
    <row r="25" ht="25.5" customHeight="1">
      <c r="A25" s="338" t="inlineStr">
        <is>
          <t>Mid Cap - Funds</t>
        </is>
      </c>
      <c r="B25" s="368" t="inlineStr">
        <is>
          <t>3-Year Return</t>
        </is>
      </c>
      <c r="C25" s="368" t="inlineStr">
        <is>
          <t>1-Year Return</t>
        </is>
      </c>
      <c r="D25" s="331" t="n"/>
      <c r="E25" s="365">
        <f>'Summary '!J14</f>
        <v/>
      </c>
      <c r="F25" s="366">
        <f>'Summary '!K14</f>
        <v/>
      </c>
      <c r="G25" s="347">
        <f>'Summary '!L14</f>
        <v/>
      </c>
    </row>
    <row r="26" ht="15" customHeight="1">
      <c r="A26" s="457" t="inlineStr">
        <is>
          <t>NIFTY Midcap 100</t>
        </is>
      </c>
      <c r="B26" s="361" t="n">
        <v>0.2182</v>
      </c>
      <c r="C26" s="361" t="n">
        <v>0.0557</v>
      </c>
      <c r="D26" s="331" t="n"/>
      <c r="E26" s="377" t="n"/>
      <c r="F26" s="362" t="n"/>
      <c r="G26" s="378" t="n"/>
    </row>
    <row r="27" ht="25.5" customHeight="1">
      <c r="A27" s="349" t="inlineStr">
        <is>
          <t>Mid Cap - Funds  (Return CAGR)</t>
        </is>
      </c>
      <c r="B27" s="368" t="inlineStr">
        <is>
          <t>3-Year CAGR</t>
        </is>
      </c>
      <c r="C27" s="368" t="inlineStr">
        <is>
          <t>1-Year Return</t>
        </is>
      </c>
      <c r="E27" s="342" t="inlineStr">
        <is>
          <t>Debt Mutual Funds (Medium Duration)</t>
        </is>
      </c>
      <c r="F27" s="368" t="inlineStr">
        <is>
          <t>3-Year Return</t>
        </is>
      </c>
      <c r="G27" s="343" t="inlineStr">
        <is>
          <t>1-Year Return</t>
        </is>
      </c>
    </row>
    <row r="28">
      <c r="A28" s="340">
        <f>'Summary '!D12</f>
        <v/>
      </c>
      <c r="B28" s="366">
        <f>'Summary '!E12</f>
        <v/>
      </c>
      <c r="C28" s="366">
        <f>'Summary '!F12</f>
        <v/>
      </c>
      <c r="E28" s="460" t="inlineStr">
        <is>
          <t>NIFTY Medium Duration Debt Index A-III</t>
        </is>
      </c>
      <c r="F28" s="361" t="n">
        <v>0.0401</v>
      </c>
      <c r="G28" s="345" t="n">
        <v>0.0331</v>
      </c>
    </row>
    <row r="29" ht="25.5" customHeight="1">
      <c r="A29" s="340">
        <f>'Summary '!D13</f>
        <v/>
      </c>
      <c r="B29" s="366">
        <f>'Summary '!E13</f>
        <v/>
      </c>
      <c r="C29" s="366">
        <f>'Summary '!F13</f>
        <v/>
      </c>
      <c r="E29" s="342" t="inlineStr">
        <is>
          <t>Medium Term - Funds ( Return CAGR )</t>
        </is>
      </c>
      <c r="F29" s="368" t="inlineStr">
        <is>
          <t>3-Year Return</t>
        </is>
      </c>
      <c r="G29" s="343" t="inlineStr">
        <is>
          <t>1-Year Return</t>
        </is>
      </c>
    </row>
    <row r="30" ht="25.5" customHeight="1">
      <c r="A30" s="340">
        <f>'Summary '!D14</f>
        <v/>
      </c>
      <c r="B30" s="366">
        <f>'Summary '!E14</f>
        <v/>
      </c>
      <c r="C30" s="366">
        <f>'Summary '!F14</f>
        <v/>
      </c>
      <c r="E30" s="365">
        <f>'Summary '!J16</f>
        <v/>
      </c>
      <c r="F30" s="366">
        <f>'Summary '!K16</f>
        <v/>
      </c>
      <c r="G30" s="347">
        <f>'Summary '!L16</f>
        <v/>
      </c>
    </row>
    <row r="31" ht="25.5" customHeight="1">
      <c r="A31" s="457" t="inlineStr">
        <is>
          <t>SIP of 50000*36=1800000 , Maturity Value Would be</t>
        </is>
      </c>
      <c r="B31" s="376" t="n">
        <v>2767450</v>
      </c>
      <c r="C31" s="363" t="n"/>
      <c r="E31" s="365">
        <f>'Summary '!J17</f>
        <v/>
      </c>
      <c r="F31" s="366">
        <f>'Summary '!K17</f>
        <v/>
      </c>
      <c r="G31" s="347">
        <f>'Summary '!L17</f>
        <v/>
      </c>
    </row>
    <row r="32" ht="25.5" customHeight="1">
      <c r="A32" s="386" t="n"/>
      <c r="B32" s="362" t="n"/>
      <c r="C32" s="363" t="n"/>
      <c r="E32" s="365">
        <f>'Summary '!J18</f>
        <v/>
      </c>
      <c r="F32" s="366">
        <f>'Summary '!K18</f>
        <v/>
      </c>
      <c r="G32" s="347">
        <f>'Summary '!L18</f>
        <v/>
      </c>
    </row>
    <row r="33" ht="25.5" customHeight="1">
      <c r="A33" s="338" t="inlineStr">
        <is>
          <t>Small Cap - Funds</t>
        </is>
      </c>
      <c r="B33" s="368" t="inlineStr">
        <is>
          <t>3-Year Return</t>
        </is>
      </c>
      <c r="C33" s="368" t="inlineStr">
        <is>
          <t>1-Year Return</t>
        </is>
      </c>
      <c r="D33" s="331" t="n"/>
      <c r="G33" s="332" t="n"/>
    </row>
    <row r="34" ht="25.5" customHeight="1">
      <c r="A34" s="457" t="inlineStr">
        <is>
          <t>NIFTY Smallcap 100</t>
        </is>
      </c>
      <c r="B34" s="361" t="n">
        <v>0.2176</v>
      </c>
      <c r="C34" s="361" t="n">
        <v>0.009900000000000001</v>
      </c>
      <c r="D34" s="331" t="n"/>
      <c r="E34" s="342" t="inlineStr">
        <is>
          <t>Debt Mutual Funds (Medium to Long Duration)</t>
        </is>
      </c>
      <c r="F34" s="368" t="inlineStr">
        <is>
          <t>3-Year Return</t>
        </is>
      </c>
      <c r="G34" s="343" t="inlineStr">
        <is>
          <t>1-Year Return</t>
        </is>
      </c>
    </row>
    <row r="35">
      <c r="A35" s="349" t="inlineStr">
        <is>
          <t>Small Cap - Funds ( Return CAGR )</t>
        </is>
      </c>
      <c r="B35" s="368" t="inlineStr">
        <is>
          <t>3-Yr CAGR</t>
        </is>
      </c>
      <c r="C35" s="368" t="inlineStr">
        <is>
          <t>1-Yr Return</t>
        </is>
      </c>
      <c r="D35" s="331" t="n"/>
      <c r="E35" s="460" t="inlineStr">
        <is>
          <t>NIFTY Medium to Long Duration Debt Index</t>
        </is>
      </c>
      <c r="F35" s="361" t="n">
        <v>-0.0124</v>
      </c>
      <c r="G35" s="345" t="n">
        <v>0.0566</v>
      </c>
    </row>
    <row r="36" ht="25.5" customHeight="1">
      <c r="A36" s="340">
        <f>'Summary '!D16</f>
        <v/>
      </c>
      <c r="B36" s="366">
        <f>'Summary '!E16</f>
        <v/>
      </c>
      <c r="C36" s="366">
        <f>'Summary '!F16</f>
        <v/>
      </c>
      <c r="D36" s="331" t="n"/>
      <c r="E36" s="342" t="inlineStr">
        <is>
          <t>Medium to Long Term - Funds ( Return CAGR )</t>
        </is>
      </c>
      <c r="F36" s="368" t="inlineStr">
        <is>
          <t>3-Year Return</t>
        </is>
      </c>
      <c r="G36" s="343" t="inlineStr">
        <is>
          <t>1-Year Return</t>
        </is>
      </c>
    </row>
    <row r="37">
      <c r="A37" s="340">
        <f>'Summary '!D17</f>
        <v/>
      </c>
      <c r="B37" s="366">
        <f>'Summary '!E17</f>
        <v/>
      </c>
      <c r="C37" s="366">
        <f>'Summary '!F17</f>
        <v/>
      </c>
      <c r="D37" s="331" t="n"/>
      <c r="E37" s="365">
        <f>'Summary '!J20</f>
        <v/>
      </c>
      <c r="F37" s="366">
        <f>'Summary '!K20</f>
        <v/>
      </c>
      <c r="G37" s="347">
        <f>'Summary '!L20</f>
        <v/>
      </c>
    </row>
    <row r="38">
      <c r="A38" s="340">
        <f>'Summary '!D18</f>
        <v/>
      </c>
      <c r="B38" s="366">
        <f>'Summary '!E18</f>
        <v/>
      </c>
      <c r="C38" s="366">
        <f>'Summary '!F18</f>
        <v/>
      </c>
      <c r="D38" s="331" t="n"/>
      <c r="E38" s="365">
        <f>'Summary '!J21</f>
        <v/>
      </c>
      <c r="F38" s="366">
        <f>'Summary '!K21</f>
        <v/>
      </c>
      <c r="G38" s="347">
        <f>'Summary '!L21</f>
        <v/>
      </c>
    </row>
    <row r="39" ht="25.5" customHeight="1">
      <c r="A39" s="457" t="inlineStr">
        <is>
          <t>SIP of 50000*36=1800000 , Maturity Value Would be</t>
        </is>
      </c>
      <c r="B39" s="376" t="n">
        <v>2767450</v>
      </c>
      <c r="C39" s="363" t="n"/>
      <c r="D39" s="331" t="n"/>
      <c r="E39" s="365">
        <f>'Summary '!J22</f>
        <v/>
      </c>
      <c r="F39" s="366">
        <f>'Summary '!K22</f>
        <v/>
      </c>
      <c r="G39" s="347">
        <f>'Summary '!L22</f>
        <v/>
      </c>
    </row>
    <row r="40" ht="15" customHeight="1">
      <c r="A40" s="381" t="n"/>
      <c r="B40" s="362" t="n"/>
      <c r="C40" s="362" t="n"/>
      <c r="D40" s="333" t="n"/>
      <c r="E40" s="396" t="inlineStr">
        <is>
          <t>Others</t>
        </is>
      </c>
      <c r="F40" s="362" t="n"/>
      <c r="G40" s="378" t="n"/>
    </row>
    <row r="41" ht="25.5" customHeight="1">
      <c r="A41" s="338" t="inlineStr">
        <is>
          <t>Flexi Cap - Funds</t>
        </is>
      </c>
      <c r="B41" s="368" t="inlineStr">
        <is>
          <t>3-Year Return</t>
        </is>
      </c>
      <c r="C41" s="368" t="inlineStr">
        <is>
          <t>1-Year Return</t>
        </is>
      </c>
      <c r="D41" s="379" t="n"/>
      <c r="E41" s="368" t="inlineStr">
        <is>
          <t>Multi Asset</t>
        </is>
      </c>
      <c r="F41" s="368" t="inlineStr">
        <is>
          <t>3-Year Return</t>
        </is>
      </c>
      <c r="G41" s="343" t="inlineStr">
        <is>
          <t>1-Year Return</t>
        </is>
      </c>
    </row>
    <row r="42" ht="25.5" customHeight="1">
      <c r="A42" s="340">
        <f>'Summary '!D20</f>
        <v/>
      </c>
      <c r="B42" s="366">
        <f>'Summary '!E20</f>
        <v/>
      </c>
      <c r="C42" s="366">
        <f>'Summary '!F20</f>
        <v/>
      </c>
      <c r="D42" s="379" t="n"/>
      <c r="E42" s="459" t="inlineStr">
        <is>
          <t>Nifty 500</t>
        </is>
      </c>
      <c r="F42" s="361" t="n">
        <v>0.141</v>
      </c>
      <c r="G42" s="361" t="n">
        <v>0.0023</v>
      </c>
    </row>
    <row r="43">
      <c r="A43" s="340">
        <f>'Summary '!D21</f>
        <v/>
      </c>
      <c r="B43" s="366">
        <f>'Summary '!E21</f>
        <v/>
      </c>
      <c r="C43" s="366">
        <f>'Summary '!F21</f>
        <v/>
      </c>
      <c r="D43" s="379" t="n"/>
      <c r="E43" s="365">
        <f>'Summary '!D28</f>
        <v/>
      </c>
      <c r="F43" s="366">
        <f>'Summary '!E28</f>
        <v/>
      </c>
      <c r="G43" s="347">
        <f>'Summary '!F28</f>
        <v/>
      </c>
    </row>
    <row r="44" ht="25.5" customHeight="1">
      <c r="A44" s="340">
        <f>'Summary '!D22</f>
        <v/>
      </c>
      <c r="B44" s="366">
        <f>'Summary '!E22</f>
        <v/>
      </c>
      <c r="C44" s="366">
        <f>'Summary '!F22</f>
        <v/>
      </c>
      <c r="D44" s="379" t="n"/>
      <c r="E44" s="365">
        <f>'Summary '!D29</f>
        <v/>
      </c>
      <c r="F44" s="366">
        <f>'Summary '!E29</f>
        <v/>
      </c>
      <c r="G44" s="347">
        <f>'Summary '!F29</f>
        <v/>
      </c>
    </row>
    <row r="45" ht="25.5" customHeight="1">
      <c r="A45" s="457" t="inlineStr">
        <is>
          <t>SIP of 50000*36=1800000 , Maturity Value Would be</t>
        </is>
      </c>
      <c r="B45" s="376" t="n">
        <v>2669566</v>
      </c>
      <c r="C45" s="363" t="n"/>
      <c r="D45" s="379" t="n"/>
      <c r="E45" s="365">
        <f>'Summary '!D30</f>
        <v/>
      </c>
      <c r="F45" s="366">
        <f>'Summary '!E30</f>
        <v/>
      </c>
      <c r="G45" s="347">
        <f>'Summary '!F30</f>
        <v/>
      </c>
    </row>
    <row r="46">
      <c r="A46" s="334" t="n"/>
      <c r="B46" s="335" t="n"/>
      <c r="C46" s="335" t="n"/>
      <c r="D46" s="333" t="n"/>
      <c r="E46" s="333" t="n"/>
      <c r="F46" s="333" t="n"/>
      <c r="G46" s="336" t="n"/>
    </row>
    <row r="47" ht="25.5" customHeight="1">
      <c r="A47" s="338" t="inlineStr">
        <is>
          <t>Thematic</t>
        </is>
      </c>
      <c r="B47" s="368" t="inlineStr">
        <is>
          <t>3-Year Return</t>
        </is>
      </c>
      <c r="C47" s="343" t="inlineStr">
        <is>
          <t>1-Year Return</t>
        </is>
      </c>
      <c r="D47" s="337" t="n"/>
      <c r="E47" s="368" t="inlineStr">
        <is>
          <t>BAF</t>
        </is>
      </c>
      <c r="F47" s="368" t="inlineStr">
        <is>
          <t>3-Year Return</t>
        </is>
      </c>
      <c r="G47" s="343" t="inlineStr">
        <is>
          <t>1-Year Return</t>
        </is>
      </c>
    </row>
    <row r="48">
      <c r="A48" s="458" t="inlineStr">
        <is>
          <t>Nifty 500</t>
        </is>
      </c>
      <c r="B48" s="361" t="n">
        <v>0.141</v>
      </c>
      <c r="C48" s="361" t="n">
        <v>0.0023</v>
      </c>
      <c r="D48" s="337" t="n"/>
      <c r="E48" s="459" t="inlineStr">
        <is>
          <t>Nifty 50</t>
        </is>
      </c>
      <c r="F48" s="361" t="n">
        <v>0.011</v>
      </c>
      <c r="G48" s="361" t="n">
        <v>-0.0351</v>
      </c>
    </row>
    <row r="49" ht="25.5" customHeight="1">
      <c r="A49" s="340">
        <f>'Summary '!D43</f>
        <v/>
      </c>
      <c r="B49" s="366">
        <f>'Summary '!E43</f>
        <v/>
      </c>
      <c r="C49" s="347">
        <f>'Summary '!F43</f>
        <v/>
      </c>
      <c r="D49" s="337" t="n"/>
      <c r="E49" s="365">
        <f>'Summary '!D24</f>
        <v/>
      </c>
      <c r="F49" s="366">
        <f>'Summary '!E24</f>
        <v/>
      </c>
      <c r="G49" s="347">
        <f>'Summary '!F24</f>
        <v/>
      </c>
    </row>
    <row r="50" ht="25.5" customHeight="1">
      <c r="A50" s="340">
        <f>'Summary '!D44</f>
        <v/>
      </c>
      <c r="B50" s="366">
        <f>'Summary '!E44</f>
        <v/>
      </c>
      <c r="C50" s="347">
        <f>'Summary '!F44</f>
        <v/>
      </c>
      <c r="D50" s="337" t="n"/>
      <c r="E50" s="365">
        <f>'Summary '!D25</f>
        <v/>
      </c>
      <c r="F50" s="366">
        <f>'Summary '!E25</f>
        <v/>
      </c>
      <c r="G50" s="347">
        <f>'Summary '!F25</f>
        <v/>
      </c>
    </row>
    <row r="51" ht="25.5" customHeight="1">
      <c r="A51" s="340">
        <f>'Summary '!D45</f>
        <v/>
      </c>
      <c r="B51" s="366">
        <f>'Summary '!E45</f>
        <v/>
      </c>
      <c r="C51" s="351">
        <f>'Summary '!F45</f>
        <v/>
      </c>
      <c r="D51" s="337" t="n"/>
      <c r="E51" s="365">
        <f>'Summary '!D26</f>
        <v/>
      </c>
      <c r="F51" s="366">
        <f>'Summary '!E26</f>
        <v/>
      </c>
      <c r="G51" s="347">
        <f>'Summary '!F26</f>
        <v/>
      </c>
    </row>
    <row r="52">
      <c r="A52" s="352" t="n"/>
      <c r="B52" s="353" t="n"/>
      <c r="C52" s="353" t="n"/>
      <c r="D52" s="353" t="n"/>
      <c r="E52" s="353" t="n"/>
      <c r="F52" s="353" t="n"/>
      <c r="G52" s="354" t="inlineStr">
        <is>
          <t>Page 1</t>
        </is>
      </c>
    </row>
  </sheetData>
  <mergeCells count="26">
    <mergeCell ref="A8:D8"/>
    <mergeCell ref="E19:G19"/>
    <mergeCell ref="B7:C7"/>
    <mergeCell ref="E40:G40"/>
    <mergeCell ref="B31:C31"/>
    <mergeCell ref="A10:D10"/>
    <mergeCell ref="D5:G5"/>
    <mergeCell ref="B39:C39"/>
    <mergeCell ref="A32:C32"/>
    <mergeCell ref="B23:C23"/>
    <mergeCell ref="E26:G26"/>
    <mergeCell ref="B17:C17"/>
    <mergeCell ref="A4:C4"/>
    <mergeCell ref="A40:C40"/>
    <mergeCell ref="A9:C9"/>
    <mergeCell ref="E12:G12"/>
    <mergeCell ref="A24:C24"/>
    <mergeCell ref="B6:C6"/>
    <mergeCell ref="A18:D18"/>
    <mergeCell ref="A3:G3"/>
    <mergeCell ref="B5:C5"/>
    <mergeCell ref="B45:C45"/>
    <mergeCell ref="A2:G2"/>
    <mergeCell ref="E4:G4"/>
    <mergeCell ref="D11:D17"/>
    <mergeCell ref="D6:D7"/>
  </mergeCells>
  <printOptions horizontalCentered="1" verticalCentered="1"/>
  <pageMargins left="0.1968503937007874" right="0.1968503937007874" top="0.1968503937007874" bottom="0.1968503937007874" header="0.3149606299212598" footer="0.3149606299212598"/>
  <pageSetup orientation="portrait" scale="70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B2:I24"/>
  <sheetViews>
    <sheetView tabSelected="1" zoomScale="130" zoomScaleNormal="130" workbookViewId="0">
      <selection activeCell="B2" sqref="B2:E23"/>
    </sheetView>
  </sheetViews>
  <sheetFormatPr baseColWidth="8" defaultColWidth="8.7109375" defaultRowHeight="12.75"/>
  <cols>
    <col width="8.7109375" customWidth="1" style="355" min="1" max="1"/>
    <col width="24.42578125" bestFit="1" customWidth="1" style="355" min="2" max="2"/>
    <col width="11.85546875" customWidth="1" style="355" min="3" max="3"/>
    <col width="15.140625" bestFit="1" customWidth="1" style="355" min="4" max="4"/>
    <col width="12" customWidth="1" style="355" min="5" max="5"/>
    <col width="8.7109375" customWidth="1" style="355" min="6" max="9"/>
    <col width="8.7109375" customWidth="1" style="355" min="10" max="16384"/>
  </cols>
  <sheetData>
    <row r="2" ht="15" customHeight="1">
      <c r="B2" s="372" t="inlineStr">
        <is>
          <t>Financial Product Catalog: A Ready Reckoner , As on 26th June 2026</t>
        </is>
      </c>
      <c r="C2" s="362" t="n"/>
      <c r="D2" s="362" t="n"/>
      <c r="E2" s="363" t="n"/>
    </row>
    <row r="3" ht="15" customHeight="1">
      <c r="B3" s="371" t="n"/>
      <c r="C3" s="362" t="n"/>
      <c r="D3" s="362" t="n"/>
      <c r="E3" s="363" t="n"/>
    </row>
    <row r="4" ht="15" customHeight="1">
      <c r="B4" s="370" t="inlineStr">
        <is>
          <t>Credit ratings assessed by (e.g., CRISIL, ICRA, CARE)</t>
        </is>
      </c>
      <c r="C4" s="362" t="n"/>
      <c r="D4" s="362" t="n"/>
      <c r="E4" s="363" t="n"/>
    </row>
    <row r="5" ht="15" customHeight="1">
      <c r="B5" s="367" t="n"/>
      <c r="C5" s="362" t="n"/>
      <c r="D5" s="362" t="n"/>
      <c r="E5" s="363" t="n"/>
    </row>
    <row r="6" ht="15" customHeight="1">
      <c r="B6" s="369" t="inlineStr">
        <is>
          <t>Corporate FD's</t>
        </is>
      </c>
      <c r="C6" s="362" t="n"/>
      <c r="D6" s="362" t="n"/>
      <c r="E6" s="363" t="n"/>
    </row>
    <row r="7" ht="25.5" customHeight="1">
      <c r="B7" s="368" t="inlineStr">
        <is>
          <t>Institution</t>
        </is>
      </c>
      <c r="C7" s="368" t="inlineStr">
        <is>
          <t>3-Year FD Rate</t>
        </is>
      </c>
      <c r="D7" s="363" t="n"/>
      <c r="E7" s="368" t="inlineStr">
        <is>
          <t>1-Year FD Rate</t>
        </is>
      </c>
    </row>
    <row r="8" ht="15" customHeight="1">
      <c r="B8" s="356" t="inlineStr">
        <is>
          <t>SBI Bank FD</t>
        </is>
      </c>
      <c r="C8" s="373" t="inlineStr">
        <is>
          <t>6.30% - 6.80%</t>
        </is>
      </c>
      <c r="D8" s="363" t="n"/>
      <c r="E8" s="373" t="inlineStr">
        <is>
          <t>6.25% - 6.75%</t>
        </is>
      </c>
    </row>
    <row r="9" ht="13.5" customHeight="1">
      <c r="B9" s="365" t="inlineStr">
        <is>
          <t>Shriram Finance</t>
        </is>
      </c>
      <c r="C9" s="364" t="inlineStr">
        <is>
          <t>7.25% – 7.75%</t>
        </is>
      </c>
      <c r="D9" s="363" t="n"/>
      <c r="E9" s="364" t="inlineStr">
        <is>
          <t>6.75% – 7.25%</t>
        </is>
      </c>
    </row>
    <row r="10" ht="13.5" customHeight="1">
      <c r="B10" s="365" t="inlineStr">
        <is>
          <t>Bajaj Finance</t>
        </is>
      </c>
      <c r="C10" s="364" t="inlineStr">
        <is>
          <t>7.40% – 7.75%</t>
        </is>
      </c>
      <c r="D10" s="363" t="n"/>
      <c r="E10" s="364" t="inlineStr">
        <is>
          <t>6.60% – 6.95%</t>
        </is>
      </c>
    </row>
    <row r="11" ht="13.5" customHeight="1">
      <c r="B11" s="359" t="inlineStr">
        <is>
          <t>PNB Housing Finance</t>
        </is>
      </c>
      <c r="C11" s="364" t="inlineStr">
        <is>
          <t>6.90% – 7.15%</t>
        </is>
      </c>
      <c r="D11" s="363" t="n"/>
      <c r="E11" s="364" t="inlineStr">
        <is>
          <t>6.60% – 6.85%</t>
        </is>
      </c>
    </row>
    <row r="12" ht="13.5" customHeight="1">
      <c r="B12" s="365" t="inlineStr">
        <is>
          <t>ICICI Home Finance</t>
        </is>
      </c>
      <c r="C12" s="366" t="inlineStr">
        <is>
          <t>6.90% -7.25%</t>
        </is>
      </c>
      <c r="D12" s="363" t="n"/>
      <c r="E12" s="364" t="inlineStr">
        <is>
          <t>6.75% – 7.10%</t>
        </is>
      </c>
    </row>
    <row r="13" ht="13.5" customHeight="1">
      <c r="B13" s="359" t="inlineStr">
        <is>
          <t>LIC Housing Finance</t>
        </is>
      </c>
      <c r="C13" s="366" t="inlineStr">
        <is>
          <t>6.85% -7.10%</t>
        </is>
      </c>
      <c r="D13" s="363" t="n"/>
      <c r="E13" s="364" t="inlineStr">
        <is>
          <t>6.70% – 6.95%</t>
        </is>
      </c>
    </row>
    <row r="14" ht="15" customHeight="1">
      <c r="B14" s="369" t="inlineStr">
        <is>
          <t>Capital Gain Bonds/NCD</t>
        </is>
      </c>
      <c r="C14" s="362" t="n"/>
      <c r="D14" s="362" t="n"/>
      <c r="E14" s="363" t="n"/>
    </row>
    <row r="15" ht="15" customHeight="1">
      <c r="B15" s="368" t="inlineStr">
        <is>
          <t>Index Name</t>
        </is>
      </c>
      <c r="C15" s="368" t="inlineStr">
        <is>
          <t>5-Year Return</t>
        </is>
      </c>
      <c r="D15" s="362" t="n"/>
      <c r="E15" s="363" t="n"/>
    </row>
    <row r="16" ht="25.5" customHeight="1">
      <c r="B16" s="460" t="inlineStr">
        <is>
          <t>NIFTY 10 Year Benchmark G-Sec Index</t>
        </is>
      </c>
      <c r="C16" s="361" t="n">
        <v>0.0552</v>
      </c>
      <c r="D16" s="362" t="n"/>
      <c r="E16" s="363" t="n"/>
    </row>
    <row r="17" ht="15" customHeight="1">
      <c r="B17" s="368" t="inlineStr">
        <is>
          <t>Issuer</t>
        </is>
      </c>
      <c r="C17" s="368" t="inlineStr">
        <is>
          <t>Interest Rate</t>
        </is>
      </c>
      <c r="D17" s="368" t="inlineStr">
        <is>
          <t>Tenure</t>
        </is>
      </c>
      <c r="E17" s="363" t="n"/>
    </row>
    <row r="18" ht="15" customHeight="1">
      <c r="B18" s="365" t="inlineStr">
        <is>
          <t>IRFC</t>
        </is>
      </c>
      <c r="C18" s="364" t="inlineStr">
        <is>
          <t>5.25% p.a.</t>
        </is>
      </c>
      <c r="D18" s="364" t="inlineStr">
        <is>
          <t>5 years</t>
        </is>
      </c>
      <c r="E18" s="363" t="n"/>
    </row>
    <row r="19" ht="15" customHeight="1">
      <c r="B19" s="365" t="inlineStr">
        <is>
          <t>PFC</t>
        </is>
      </c>
      <c r="C19" s="364" t="inlineStr">
        <is>
          <t>5.25% p.a.</t>
        </is>
      </c>
      <c r="D19" s="364" t="inlineStr">
        <is>
          <t>5 years</t>
        </is>
      </c>
      <c r="E19" s="363" t="n"/>
    </row>
    <row r="20" ht="15" customHeight="1">
      <c r="B20" s="365" t="inlineStr">
        <is>
          <t>REC</t>
        </is>
      </c>
      <c r="C20" s="364" t="inlineStr">
        <is>
          <t>5.25% p.a.</t>
        </is>
      </c>
      <c r="D20" s="364" t="inlineStr">
        <is>
          <t>5 years</t>
        </is>
      </c>
      <c r="E20" s="363" t="n"/>
    </row>
    <row r="21" ht="15" customHeight="1">
      <c r="B21" s="367" t="n"/>
      <c r="C21" s="362" t="n"/>
      <c r="D21" s="362" t="n"/>
      <c r="E21" s="363" t="n"/>
    </row>
    <row r="22" ht="15" customHeight="1">
      <c r="B22" s="369" t="inlineStr">
        <is>
          <t>RBI Floating Rate Savings Bond</t>
        </is>
      </c>
      <c r="C22" s="363" t="n"/>
      <c r="D22" s="369" t="inlineStr">
        <is>
          <t>Interest Rate</t>
        </is>
      </c>
      <c r="E22" s="363" t="n"/>
    </row>
    <row r="23" ht="15" customHeight="1">
      <c r="B23" s="364" t="inlineStr">
        <is>
          <t>HDFC</t>
        </is>
      </c>
      <c r="C23" s="363" t="n"/>
      <c r="D23" s="364" t="inlineStr">
        <is>
          <t>8.05% p.a.</t>
        </is>
      </c>
      <c r="E23" s="363" t="n"/>
    </row>
    <row r="24">
      <c r="F24" s="360" t="n"/>
      <c r="G24" s="360" t="n"/>
      <c r="H24" s="360" t="n"/>
      <c r="I24" s="360" t="n"/>
    </row>
  </sheetData>
  <mergeCells count="24">
    <mergeCell ref="C16:E16"/>
    <mergeCell ref="D20:E20"/>
    <mergeCell ref="D19:E19"/>
    <mergeCell ref="B6:E6"/>
    <mergeCell ref="B22:C22"/>
    <mergeCell ref="D22:E22"/>
    <mergeCell ref="B5:E5"/>
    <mergeCell ref="C10:D10"/>
    <mergeCell ref="B4:E4"/>
    <mergeCell ref="B23:C23"/>
    <mergeCell ref="B3:E3"/>
    <mergeCell ref="C9:D9"/>
    <mergeCell ref="D17:E17"/>
    <mergeCell ref="C12:D12"/>
    <mergeCell ref="C11:D11"/>
    <mergeCell ref="B21:E21"/>
    <mergeCell ref="B2:E2"/>
    <mergeCell ref="D18:E18"/>
    <mergeCell ref="C15:E15"/>
    <mergeCell ref="C8:D8"/>
    <mergeCell ref="B14:E14"/>
    <mergeCell ref="C7:D7"/>
    <mergeCell ref="D23:E23"/>
    <mergeCell ref="C13:D13"/>
  </mergeCells>
  <printOptions horizontalCentered="1" verticalCentered="1"/>
  <pageMargins left="0.1968503937007874" right="0.1968503937007874" top="0.1968503937007874" bottom="0.1968503937007874" header="0.3149606299212598" footer="0.3149606299212598"/>
  <pageSetup orientation="portrait"/>
</worksheet>
</file>

<file path=xl/worksheets/sheet5.xml><?xml version="1.0" encoding="utf-8"?>
<worksheet xmlns="http://schemas.openxmlformats.org/spreadsheetml/2006/main">
  <sheetPr codeName="Sheet2">
    <outlinePr summaryBelow="1" summaryRight="1"/>
    <pageSetUpPr/>
  </sheetPr>
  <dimension ref="B2:L45"/>
  <sheetViews>
    <sheetView zoomScale="73" zoomScaleNormal="66" workbookViewId="0">
      <selection activeCell="A1" sqref="A1"/>
    </sheetView>
  </sheetViews>
  <sheetFormatPr baseColWidth="8" defaultColWidth="8.7109375" defaultRowHeight="15"/>
  <cols>
    <col width="8.7109375" customWidth="1" style="115" min="1" max="1"/>
    <col width="16.42578125" customWidth="1" style="115" min="2" max="2"/>
    <col width="8.42578125" customWidth="1" style="115" min="3" max="3"/>
    <col width="59.28515625" bestFit="1" customWidth="1" style="115" min="4" max="4"/>
    <col width="15.85546875" customWidth="1" style="115" min="5" max="5"/>
    <col width="14.42578125" customWidth="1" style="55" min="6" max="6"/>
    <col width="8.7109375" customWidth="1" style="115" min="7" max="7"/>
    <col width="18.42578125" customWidth="1" style="115" min="8" max="8"/>
    <col width="8.7109375" customWidth="1" style="115" min="9" max="9"/>
    <col width="44.85546875" customWidth="1" style="115" min="10" max="10"/>
    <col width="13.42578125" customWidth="1" style="115" min="11" max="11"/>
    <col width="14.42578125" customWidth="1" style="115" min="12" max="12"/>
    <col width="8.7109375" customWidth="1" style="115" min="13" max="19"/>
    <col width="8.7109375" customWidth="1" style="115" min="20" max="16384"/>
  </cols>
  <sheetData>
    <row r="1" ht="15" customHeight="1" thickBot="1"/>
    <row r="2">
      <c r="B2" s="400" t="inlineStr">
        <is>
          <t>Equity</t>
        </is>
      </c>
      <c r="C2" s="401" t="n"/>
      <c r="D2" s="401" t="n"/>
      <c r="E2" s="401" t="n"/>
      <c r="F2" s="402" t="n"/>
      <c r="H2" s="400" t="inlineStr">
        <is>
          <t>Debt</t>
        </is>
      </c>
      <c r="I2" s="401" t="n"/>
      <c r="J2" s="401" t="n"/>
      <c r="K2" s="401" t="n"/>
      <c r="L2" s="402" t="n"/>
    </row>
    <row r="3" ht="29.1" customHeight="1">
      <c r="B3" s="243" t="inlineStr">
        <is>
          <t>Category</t>
        </is>
      </c>
      <c r="C3" s="244" t="inlineStr">
        <is>
          <t>Rank</t>
        </is>
      </c>
      <c r="D3" s="245" t="inlineStr">
        <is>
          <t>Fund</t>
        </is>
      </c>
      <c r="E3" s="244" t="inlineStr">
        <is>
          <t>3 year Return</t>
        </is>
      </c>
      <c r="F3" s="273" t="inlineStr">
        <is>
          <t>1 year Return</t>
        </is>
      </c>
      <c r="H3" s="243" t="inlineStr">
        <is>
          <t>Category</t>
        </is>
      </c>
      <c r="I3" s="244" t="inlineStr">
        <is>
          <t>Rank</t>
        </is>
      </c>
      <c r="J3" s="245" t="inlineStr">
        <is>
          <t>Fund</t>
        </is>
      </c>
      <c r="K3" s="244" t="inlineStr">
        <is>
          <t>3 year Return</t>
        </is>
      </c>
      <c r="L3" s="273" t="inlineStr">
        <is>
          <t>1 year Return</t>
        </is>
      </c>
    </row>
    <row r="4">
      <c r="B4" s="397" t="inlineStr">
        <is>
          <t>Large Cap</t>
        </is>
      </c>
      <c r="C4" s="193" t="n">
        <v>1</v>
      </c>
      <c r="D4" s="246">
        <f>VLOOKUP(C4, 'Fund Ranking_Equity'!$C$5:$D$12,2,FALSE)</f>
        <v/>
      </c>
      <c r="E4" s="206">
        <f>_xlfn.CONCAT((ROUND(VLOOKUP($D4,'Fund Ranking_Equity'!$B$6:$T$137,5,FALSE),2)),"%")</f>
        <v/>
      </c>
      <c r="F4" s="209">
        <f>_xlfn.CONCAT((ROUND(VLOOKUP($D4,'Fund Ranking_Equity'!$B$6:$T$137,4,FALSE),2)),"%")</f>
        <v/>
      </c>
      <c r="H4" s="397">
        <f>'Fund Ranking Criteria'!C24</f>
        <v/>
      </c>
      <c r="I4" s="193" t="n">
        <v>1</v>
      </c>
      <c r="J4" s="246">
        <f>VLOOKUP($I4, 'Fund Ranking_Debt'!$C$7:$N$13,3,FALSE)</f>
        <v/>
      </c>
      <c r="K4" s="206">
        <f>_xlfn.CONCAT(ROUND(VLOOKUP($I4, 'Fund Ranking_Debt'!$C$7:$N$13,12,FALSE),2),"%")</f>
        <v/>
      </c>
      <c r="L4" s="299">
        <f>_xlfn.CONCAT(ROUND(VLOOKUP($I4, 'Fund Ranking_Debt'!$C$7:$N$13,10,FALSE),2),"%")</f>
        <v/>
      </c>
    </row>
    <row r="5">
      <c r="B5" s="398" t="n"/>
      <c r="C5" s="195" t="n">
        <v>2</v>
      </c>
      <c r="D5" s="115">
        <f>VLOOKUP(C5, 'Fund Ranking_Equity'!$C$5:$D$12,2,FALSE)</f>
        <v/>
      </c>
      <c r="E5" s="207">
        <f>_xlfn.CONCAT((ROUND(VLOOKUP($D5,'Fund Ranking_Equity'!$B$6:$T$137,5,FALSE),2)),"%")</f>
        <v/>
      </c>
      <c r="F5" s="272">
        <f>_xlfn.CONCAT((ROUND(VLOOKUP($D5,'Fund Ranking_Equity'!$B$6:$T$137,4,FALSE),2)),"%")</f>
        <v/>
      </c>
      <c r="H5" s="398" t="n"/>
      <c r="I5" s="195" t="n">
        <v>2</v>
      </c>
      <c r="J5" s="115">
        <f>VLOOKUP($I5, 'Fund Ranking_Debt'!$C$7:$N$13,3,FALSE)</f>
        <v/>
      </c>
      <c r="K5" s="207">
        <f>_xlfn.CONCAT(ROUND(VLOOKUP($I5, 'Fund Ranking_Debt'!$C$7:$N$13,12,FALSE),2),"%")</f>
        <v/>
      </c>
      <c r="L5" s="300">
        <f>_xlfn.CONCAT(ROUND(VLOOKUP($I5, 'Fund Ranking_Debt'!$C$7:$N$13,10,FALSE),2),"%")</f>
        <v/>
      </c>
    </row>
    <row r="6">
      <c r="B6" s="399" t="n"/>
      <c r="C6" s="194" t="n">
        <v>3</v>
      </c>
      <c r="D6" s="247">
        <f>VLOOKUP(C6, 'Fund Ranking_Equity'!$C$5:$D$12,2,FALSE)</f>
        <v/>
      </c>
      <c r="E6" s="208">
        <f>_xlfn.CONCAT((ROUND(VLOOKUP($D6,'Fund Ranking_Equity'!$B$6:$T$137,5,FALSE),2)),"%")</f>
        <v/>
      </c>
      <c r="F6" s="274">
        <f>_xlfn.CONCAT((ROUND(VLOOKUP($D6,'Fund Ranking_Equity'!$B$6:$T$137,4,FALSE),2)),"%")</f>
        <v/>
      </c>
      <c r="H6" s="399" t="n"/>
      <c r="I6" s="194" t="n">
        <v>3</v>
      </c>
      <c r="J6" s="247">
        <f>VLOOKUP($I6, 'Fund Ranking_Debt'!$C$7:$N$13,3,FALSE)</f>
        <v/>
      </c>
      <c r="K6" s="208">
        <f>_xlfn.CONCAT(ROUND(VLOOKUP($I6, 'Fund Ranking_Debt'!$C$7:$N$13,12,FALSE),2),"%")</f>
        <v/>
      </c>
      <c r="L6" s="301">
        <f>_xlfn.CONCAT(ROUND(VLOOKUP($I6, 'Fund Ranking_Debt'!$C$7:$N$13,10,FALSE),2),"%")</f>
        <v/>
      </c>
    </row>
    <row r="7">
      <c r="B7" s="197" t="n"/>
      <c r="C7" s="195" t="n"/>
      <c r="E7" s="207" t="n"/>
      <c r="F7" s="272" t="n"/>
      <c r="H7" s="197" t="n"/>
      <c r="I7" s="195" t="n"/>
      <c r="K7" s="207" t="n"/>
      <c r="L7" s="300" t="n"/>
    </row>
    <row r="8">
      <c r="B8" s="397">
        <f>'Fund Ranking Criteria'!D4</f>
        <v/>
      </c>
      <c r="C8" s="193" t="n">
        <v>1</v>
      </c>
      <c r="D8" s="246">
        <f>VLOOKUP(C8, 'Fund Ranking_Equity'!$C$17:$D$23,2,FALSE)</f>
        <v/>
      </c>
      <c r="E8" s="206">
        <f>_xlfn.CONCAT((ROUND(VLOOKUP($D8,'Fund Ranking_Equity'!$B$6:$T$137,5,FALSE),2)),"%")</f>
        <v/>
      </c>
      <c r="F8" s="209">
        <f>_xlfn.CONCAT((ROUND(VLOOKUP($D8,'Fund Ranking_Equity'!$B$6:$T$137,4,FALSE),2)),"%")</f>
        <v/>
      </c>
      <c r="H8" s="397">
        <f>'Fund Ranking Criteria'!D24</f>
        <v/>
      </c>
      <c r="I8" s="193" t="n">
        <v>1</v>
      </c>
      <c r="J8" s="246">
        <f>VLOOKUP($I8, 'Fund Ranking_Debt'!$C$19:$N$25,3,FALSE)</f>
        <v/>
      </c>
      <c r="K8" s="206">
        <f>_xlfn.CONCAT(ROUND(VLOOKUP($I8, 'Fund Ranking_Debt'!$C$19:$N$25,12,FALSE),2),"%")</f>
        <v/>
      </c>
      <c r="L8" s="299">
        <f>_xlfn.CONCAT(ROUND(VLOOKUP($I8, 'Fund Ranking_Debt'!$C$19:$N$25,10,FALSE),2),"%")</f>
        <v/>
      </c>
    </row>
    <row r="9">
      <c r="B9" s="398" t="n"/>
      <c r="C9" s="195" t="n">
        <v>2</v>
      </c>
      <c r="D9" s="115">
        <f>VLOOKUP(C9, 'Fund Ranking_Equity'!$C$17:$D$23,2,FALSE)</f>
        <v/>
      </c>
      <c r="E9" s="207">
        <f>_xlfn.CONCAT((ROUND(VLOOKUP($D9,'Fund Ranking_Equity'!$B$6:$T$137,5,FALSE),2)),"%")</f>
        <v/>
      </c>
      <c r="F9" s="272">
        <f>_xlfn.CONCAT((ROUND(VLOOKUP($D9,'Fund Ranking_Equity'!$B$6:$T$137,4,FALSE),2)),"%")</f>
        <v/>
      </c>
      <c r="H9" s="398" t="n"/>
      <c r="I9" s="195" t="n">
        <v>2</v>
      </c>
      <c r="J9" s="115">
        <f>VLOOKUP($I9, 'Fund Ranking_Debt'!$C$19:$N$25,3,FALSE)</f>
        <v/>
      </c>
      <c r="K9" s="207">
        <f>_xlfn.CONCAT(ROUND(VLOOKUP($I9, 'Fund Ranking_Debt'!$C$19:$N$25,12,FALSE),2),"%")</f>
        <v/>
      </c>
      <c r="L9" s="300">
        <f>_xlfn.CONCAT(ROUND(VLOOKUP($I9, 'Fund Ranking_Debt'!$C$19:$N$25,10,FALSE),2),"%")</f>
        <v/>
      </c>
    </row>
    <row r="10">
      <c r="B10" s="399" t="n"/>
      <c r="C10" s="194" t="n">
        <v>3</v>
      </c>
      <c r="D10" s="247">
        <f>VLOOKUP(C10, 'Fund Ranking_Equity'!$C$17:$D$23,2,FALSE)</f>
        <v/>
      </c>
      <c r="E10" s="208">
        <f>_xlfn.CONCAT((ROUND(VLOOKUP($D10,'Fund Ranking_Equity'!$B$6:$T$137,5,FALSE),2)),"%")</f>
        <v/>
      </c>
      <c r="F10" s="274">
        <f>_xlfn.CONCAT((ROUND(VLOOKUP($D10,'Fund Ranking_Equity'!$B$6:$T$137,4,FALSE),2)),"%")</f>
        <v/>
      </c>
      <c r="H10" s="399" t="n"/>
      <c r="I10" s="194" t="n">
        <v>3</v>
      </c>
      <c r="J10" s="247">
        <f>VLOOKUP($I10, 'Fund Ranking_Debt'!$C$19:$N$25,3,FALSE)</f>
        <v/>
      </c>
      <c r="K10" s="208">
        <f>_xlfn.CONCAT(ROUND(VLOOKUP($I10, 'Fund Ranking_Debt'!$C$19:$N$25,12,FALSE),2),"%")</f>
        <v/>
      </c>
      <c r="L10" s="301">
        <f>_xlfn.CONCAT(ROUND(VLOOKUP($I10, 'Fund Ranking_Debt'!$C$19:$N$25,10,FALSE),2),"%")</f>
        <v/>
      </c>
    </row>
    <row r="11">
      <c r="B11" s="197" t="n"/>
      <c r="C11" s="195" t="n"/>
      <c r="E11" s="207" t="n"/>
      <c r="F11" s="272" t="n"/>
      <c r="H11" s="197" t="n"/>
      <c r="I11" s="195" t="n"/>
      <c r="K11" s="207" t="n"/>
      <c r="L11" s="300" t="n"/>
    </row>
    <row r="12">
      <c r="B12" s="397">
        <f>'Fund Ranking Criteria'!F4</f>
        <v/>
      </c>
      <c r="C12" s="193" t="n">
        <v>1</v>
      </c>
      <c r="D12" s="246">
        <f>VLOOKUP(C12, 'Fund Ranking_Equity'!$C$28:$D$34,2,FALSE)</f>
        <v/>
      </c>
      <c r="E12" s="206">
        <f>_xlfn.CONCAT((ROUND(VLOOKUP($D12,'Fund Ranking_Equity'!$B$6:$T$137,5,FALSE),2)),"%")</f>
        <v/>
      </c>
      <c r="F12" s="209">
        <f>_xlfn.CONCAT((ROUND(VLOOKUP($D12,'Fund Ranking_Equity'!$B$6:$T$137,4,FALSE),2)),"%")</f>
        <v/>
      </c>
      <c r="H12" s="397">
        <f>'Fund Ranking Criteria'!E24</f>
        <v/>
      </c>
      <c r="I12" s="193" t="n">
        <v>1</v>
      </c>
      <c r="J12" s="246">
        <f>VLOOKUP($I12, 'Fund Ranking_Debt'!$C$31:$N$37,3,FALSE)</f>
        <v/>
      </c>
      <c r="K12" s="206">
        <f>_xlfn.CONCAT(ROUND(VLOOKUP($I12, 'Fund Ranking_Debt'!$C$31:$N$37,12,FALSE),2),"%")</f>
        <v/>
      </c>
      <c r="L12" s="209">
        <f>_xlfn.CONCAT(ROUND(VLOOKUP($I12, 'Fund Ranking_Debt'!$C$31:$N$37,10,FALSE),2),"%")</f>
        <v/>
      </c>
    </row>
    <row r="13">
      <c r="B13" s="398" t="n"/>
      <c r="C13" s="195" t="n">
        <v>2</v>
      </c>
      <c r="D13" s="115">
        <f>VLOOKUP(C13, 'Fund Ranking_Equity'!$C$28:$D$34,2,FALSE)</f>
        <v/>
      </c>
      <c r="E13" s="207">
        <f>_xlfn.CONCAT((ROUND(VLOOKUP($D13,'Fund Ranking_Equity'!$B$6:$T$137,5,FALSE),2)),"%")</f>
        <v/>
      </c>
      <c r="F13" s="272">
        <f>_xlfn.CONCAT((ROUND(VLOOKUP($D13,'Fund Ranking_Equity'!$B$6:$T$137,4,FALSE),2)),"%")</f>
        <v/>
      </c>
      <c r="H13" s="398" t="n"/>
      <c r="I13" s="195" t="n">
        <v>2</v>
      </c>
      <c r="J13" s="115">
        <f>VLOOKUP($I13, 'Fund Ranking_Debt'!$C$31:$N$37,3,FALSE)</f>
        <v/>
      </c>
      <c r="K13" s="207">
        <f>_xlfn.CONCAT(ROUND(VLOOKUP($I13, 'Fund Ranking_Debt'!$C$31:$N$37,12,FALSE),2),"%")</f>
        <v/>
      </c>
      <c r="L13" s="300">
        <f>_xlfn.CONCAT(ROUND(VLOOKUP($I13, 'Fund Ranking_Debt'!$C$31:$N$37,10,FALSE),2),"%")</f>
        <v/>
      </c>
    </row>
    <row r="14">
      <c r="B14" s="399" t="n"/>
      <c r="C14" s="194" t="n">
        <v>3</v>
      </c>
      <c r="D14" s="247">
        <f>VLOOKUP(C14, 'Fund Ranking_Equity'!$C$28:$D$34,2,FALSE)</f>
        <v/>
      </c>
      <c r="E14" s="208">
        <f>_xlfn.CONCAT((ROUND(VLOOKUP($D14,'Fund Ranking_Equity'!$B$6:$T$137,5,FALSE),2)),"%")</f>
        <v/>
      </c>
      <c r="F14" s="274">
        <f>_xlfn.CONCAT((ROUND(VLOOKUP($D14,'Fund Ranking_Equity'!$B$6:$T$137,4,FALSE),2)),"%")</f>
        <v/>
      </c>
      <c r="H14" s="399" t="n"/>
      <c r="I14" s="194" t="n">
        <v>3</v>
      </c>
      <c r="J14" s="247">
        <f>VLOOKUP($I14, 'Fund Ranking_Debt'!$C$31:$N$37,3,FALSE)</f>
        <v/>
      </c>
      <c r="K14" s="208">
        <f>_xlfn.CONCAT(ROUND(VLOOKUP($I14, 'Fund Ranking_Debt'!$C$31:$N$37,12,FALSE),2),"%")</f>
        <v/>
      </c>
      <c r="L14" s="301">
        <f>_xlfn.CONCAT(ROUND(VLOOKUP($I14, 'Fund Ranking_Debt'!$C$31:$N$37,10,FALSE),2),"%")</f>
        <v/>
      </c>
    </row>
    <row r="15">
      <c r="B15" s="197" t="n"/>
      <c r="C15" s="195" t="n"/>
      <c r="E15" s="207" t="n"/>
      <c r="F15" s="272" t="n"/>
      <c r="H15" s="197" t="n"/>
      <c r="I15" s="195" t="n"/>
      <c r="K15" s="207" t="n"/>
      <c r="L15" s="300" t="n"/>
    </row>
    <row r="16">
      <c r="B16" s="397">
        <f>'Fund Ranking Criteria'!G4</f>
        <v/>
      </c>
      <c r="C16" s="193" t="n">
        <v>1</v>
      </c>
      <c r="D16" s="246">
        <f>VLOOKUP(C16, 'Fund Ranking_Equity'!$C$39:$D$45,2,FALSE)</f>
        <v/>
      </c>
      <c r="E16" s="206">
        <f>_xlfn.CONCAT((ROUND(VLOOKUP($D16,'Fund Ranking_Equity'!$B$6:$T$137,5,FALSE),2)),"%")</f>
        <v/>
      </c>
      <c r="F16" s="209">
        <f>_xlfn.CONCAT((ROUND(VLOOKUP($D16,'Fund Ranking_Equity'!$B$6:$T$137,4,FALSE),2)),"%")</f>
        <v/>
      </c>
      <c r="H16" s="397">
        <f>'Fund Ranking Criteria'!F24</f>
        <v/>
      </c>
      <c r="I16" s="193" t="n">
        <v>1</v>
      </c>
      <c r="J16" s="246">
        <f>VLOOKUP($I16, 'Fund Ranking_Debt'!$C$42:$N$48,3,FALSE)</f>
        <v/>
      </c>
      <c r="K16" s="206">
        <f>_xlfn.CONCAT(ROUND(VLOOKUP($I16, 'Fund Ranking_Debt'!$C$42:$N$48,12,FALSE),2),"%")</f>
        <v/>
      </c>
      <c r="L16" s="209">
        <f>_xlfn.CONCAT(ROUND(VLOOKUP($I16, 'Fund Ranking_Debt'!$C$42:$N$48,10,FALSE),2),"%")</f>
        <v/>
      </c>
    </row>
    <row r="17">
      <c r="B17" s="398" t="n"/>
      <c r="C17" s="195" t="n">
        <v>2</v>
      </c>
      <c r="D17" s="115">
        <f>VLOOKUP(C17, 'Fund Ranking_Equity'!$C$39:$D$45,2,FALSE)</f>
        <v/>
      </c>
      <c r="E17" s="207">
        <f>_xlfn.CONCAT((ROUND(VLOOKUP($D17,'Fund Ranking_Equity'!$B$6:$T$137,5,FALSE),2)),"%")</f>
        <v/>
      </c>
      <c r="F17" s="272">
        <f>_xlfn.CONCAT((ROUND(VLOOKUP($D17,'Fund Ranking_Equity'!$B$6:$T$137,4,FALSE),2)),"%")</f>
        <v/>
      </c>
      <c r="H17" s="398" t="n"/>
      <c r="I17" s="195" t="n">
        <v>2</v>
      </c>
      <c r="J17" s="115">
        <f>VLOOKUP($I17, 'Fund Ranking_Debt'!$C$42:$N$48,3,FALSE)</f>
        <v/>
      </c>
      <c r="K17" s="207">
        <f>_xlfn.CONCAT(ROUND(VLOOKUP($I17, 'Fund Ranking_Debt'!$C$42:$N$48,12,FALSE),2),"%")</f>
        <v/>
      </c>
      <c r="L17" s="300">
        <f>_xlfn.CONCAT(ROUND(VLOOKUP($I17, 'Fund Ranking_Debt'!$C$42:$N$48,10,FALSE),2),"%")</f>
        <v/>
      </c>
    </row>
    <row r="18">
      <c r="B18" s="399" t="n"/>
      <c r="C18" s="194" t="n">
        <v>3</v>
      </c>
      <c r="D18" s="247">
        <f>VLOOKUP(C18, 'Fund Ranking_Equity'!$C$39:$D$45,2,FALSE)</f>
        <v/>
      </c>
      <c r="E18" s="208">
        <f>_xlfn.CONCAT((ROUND(VLOOKUP($D18,'Fund Ranking_Equity'!$B$6:$T$137,5,FALSE),2)),"%")</f>
        <v/>
      </c>
      <c r="F18" s="274">
        <f>_xlfn.CONCAT((ROUND(VLOOKUP($D18,'Fund Ranking_Equity'!$B$6:$T$137,4,FALSE),2)),"%")</f>
        <v/>
      </c>
      <c r="H18" s="399" t="n"/>
      <c r="I18" s="194" t="n">
        <v>3</v>
      </c>
      <c r="J18" s="247">
        <f>VLOOKUP($I18, 'Fund Ranking_Debt'!$C$42:$N$48,3,FALSE)</f>
        <v/>
      </c>
      <c r="K18" s="208">
        <f>_xlfn.CONCAT(ROUND(VLOOKUP($I18, 'Fund Ranking_Debt'!$C$42:$N$48,12,FALSE),2),"%")</f>
        <v/>
      </c>
      <c r="L18" s="301">
        <f>_xlfn.CONCAT(ROUND(VLOOKUP($I18, 'Fund Ranking_Debt'!$C$42:$N$48,10,FALSE),2),"%")</f>
        <v/>
      </c>
    </row>
    <row r="19">
      <c r="B19" s="197" t="n"/>
      <c r="C19" s="195" t="n"/>
      <c r="E19" s="207" t="n"/>
      <c r="F19" s="272" t="n"/>
      <c r="H19" s="197" t="n"/>
      <c r="I19" s="195" t="n"/>
      <c r="K19" s="207" t="n"/>
      <c r="L19" s="300" t="n"/>
    </row>
    <row r="20" ht="15" customHeight="1" thickBot="1">
      <c r="B20" s="397" t="inlineStr">
        <is>
          <t>Flexicap</t>
        </is>
      </c>
      <c r="C20" s="193" t="n">
        <v>1</v>
      </c>
      <c r="D20" s="246">
        <f>VLOOKUP(C20, 'Fund Ranking_Equity'!$C$50:$D$53,2,FALSE)</f>
        <v/>
      </c>
      <c r="E20" s="206">
        <f>_xlfn.CONCAT((ROUND(VLOOKUP($D20,'Fund Ranking_Equity'!$B$6:$T$137,5,FALSE),2)),"%")</f>
        <v/>
      </c>
      <c r="F20" s="209">
        <f>_xlfn.CONCAT((ROUND(VLOOKUP($D20,'Fund Ranking_Equity'!$B$6:$T$137,4,FALSE),2)),"%")</f>
        <v/>
      </c>
      <c r="H20" s="403" t="inlineStr">
        <is>
          <t>Medium to Long Duration Fund</t>
        </is>
      </c>
      <c r="I20" s="193" t="n">
        <v>1</v>
      </c>
      <c r="J20" s="246">
        <f>VLOOKUP($I20, 'Fund Ranking_Debt'!$C$53:$N$59,3,FALSE)</f>
        <v/>
      </c>
      <c r="K20" s="206">
        <f>_xlfn.CONCAT(ROUND(VLOOKUP($I20, 'Fund Ranking_Debt'!$C$53:$N$59,12,FALSE),2),"%")</f>
        <v/>
      </c>
      <c r="L20" s="209">
        <f>_xlfn.CONCAT(ROUND(VLOOKUP($I20, 'Fund Ranking_Debt'!$C$53:$N$59,10,FALSE),2),"%")</f>
        <v/>
      </c>
    </row>
    <row r="21">
      <c r="B21" s="398" t="n"/>
      <c r="C21" s="195" t="n">
        <v>2</v>
      </c>
      <c r="D21" s="115">
        <f>VLOOKUP(C21, 'Fund Ranking_Equity'!$C$50:$D$53,2,FALSE)</f>
        <v/>
      </c>
      <c r="E21" s="207">
        <f>_xlfn.CONCAT((ROUND(VLOOKUP($D21,'Fund Ranking_Equity'!$B$6:$T$137,5,FALSE),2)),"%")</f>
        <v/>
      </c>
      <c r="F21" s="272">
        <f>_xlfn.CONCAT((ROUND(VLOOKUP($D21,'Fund Ranking_Equity'!$B$6:$T$137,4,FALSE),2)),"%")</f>
        <v/>
      </c>
      <c r="H21" s="398" t="n"/>
      <c r="I21" s="195" t="n">
        <v>2</v>
      </c>
      <c r="J21" s="115">
        <f>VLOOKUP($I21, 'Fund Ranking_Debt'!$C$53:$N$59,3,FALSE)</f>
        <v/>
      </c>
      <c r="K21" s="207">
        <f>_xlfn.CONCAT(ROUND(VLOOKUP($I21, 'Fund Ranking_Debt'!$C$53:$N$59,12,FALSE),2),"%")</f>
        <v/>
      </c>
      <c r="L21" s="300">
        <f>_xlfn.CONCAT(ROUND(VLOOKUP($I21, 'Fund Ranking_Debt'!$C$53:$N$59,10,FALSE),2),"%")</f>
        <v/>
      </c>
    </row>
    <row r="22" ht="15" customHeight="1" thickBot="1">
      <c r="B22" s="399" t="n"/>
      <c r="C22" s="194" t="n">
        <v>3</v>
      </c>
      <c r="D22" s="247">
        <f>VLOOKUP(C22, 'Fund Ranking_Equity'!$C$50:$D$56,2,FALSE)</f>
        <v/>
      </c>
      <c r="E22" s="208">
        <f>_xlfn.CONCAT((ROUND(VLOOKUP($D22,'Fund Ranking_Equity'!$B$6:$T$137,5,FALSE),2)),"%")</f>
        <v/>
      </c>
      <c r="F22" s="274">
        <f>_xlfn.CONCAT((ROUND(VLOOKUP($D22,'Fund Ranking_Equity'!$B$6:$T$137,4,FALSE),2)),"%")</f>
        <v/>
      </c>
      <c r="H22" s="404" t="n"/>
      <c r="I22" s="196" t="n">
        <v>3</v>
      </c>
      <c r="J22" s="242">
        <f>VLOOKUP($I22, 'Fund Ranking_Debt'!$C$53:$N$59,3,FALSE)</f>
        <v/>
      </c>
      <c r="K22" s="297">
        <f>_xlfn.CONCAT(ROUND(VLOOKUP($I22, 'Fund Ranking_Debt'!$C$53:$N$59,12,FALSE),2),"%")</f>
        <v/>
      </c>
      <c r="L22" s="302">
        <f>_xlfn.CONCAT(ROUND(VLOOKUP($I22, 'Fund Ranking_Debt'!$C$53:$N$59,10,FALSE),2),"%")</f>
        <v/>
      </c>
    </row>
    <row r="23">
      <c r="B23" s="197" t="n"/>
      <c r="C23" s="195" t="n"/>
      <c r="E23" s="207" t="n"/>
      <c r="F23" s="272" t="n"/>
    </row>
    <row r="24">
      <c r="B24" s="397">
        <f>'Fund Ranking Criteria'!H4</f>
        <v/>
      </c>
      <c r="C24" s="193" t="n">
        <v>1</v>
      </c>
      <c r="D24" s="246">
        <f>VLOOKUP($C24,'Fund Ranking_Equity'!$C$61:$E$67,2,FALSE)</f>
        <v/>
      </c>
      <c r="E24" s="206">
        <f>_xlfn.CONCAT((ROUND(VLOOKUP($D24,'Fund Ranking_Equity'!$B$6:$T$137,5,FALSE),2)),"%")</f>
        <v/>
      </c>
      <c r="F24" s="209">
        <f>_xlfn.CONCAT((ROUND(VLOOKUP($D24,'Fund Ranking_Equity'!$B$6:$T$137,4,FALSE),2)),"%")</f>
        <v/>
      </c>
    </row>
    <row r="25">
      <c r="B25" s="398" t="n"/>
      <c r="C25" s="195" t="n">
        <v>2</v>
      </c>
      <c r="D25" s="115">
        <f>VLOOKUP($C25,'Fund Ranking_Equity'!$C$61:$E$67,2,FALSE)</f>
        <v/>
      </c>
      <c r="E25" s="207">
        <f>_xlfn.CONCAT((ROUND(VLOOKUP($D25,'Fund Ranking_Equity'!$B$6:$T$137,5,FALSE),2)),"%")</f>
        <v/>
      </c>
      <c r="F25" s="272">
        <f>_xlfn.CONCAT((ROUND(VLOOKUP($D25,'Fund Ranking_Equity'!$B$6:$T$137,4,FALSE),2)),"%")</f>
        <v/>
      </c>
    </row>
    <row r="26">
      <c r="B26" s="399" t="n"/>
      <c r="C26" s="194" t="n">
        <v>3</v>
      </c>
      <c r="D26" s="247">
        <f>VLOOKUP($C26,'Fund Ranking_Equity'!$C$61:$E$67,2,FALSE)</f>
        <v/>
      </c>
      <c r="E26" s="208">
        <f>_xlfn.CONCAT((ROUND(VLOOKUP($D26,'Fund Ranking_Equity'!$B$6:$T$137,5,FALSE),2)),"%")</f>
        <v/>
      </c>
      <c r="F26" s="274">
        <f>_xlfn.CONCAT((ROUND(VLOOKUP($D26,'Fund Ranking_Equity'!$B$6:$T$137,4,FALSE),2)),"%")</f>
        <v/>
      </c>
    </row>
    <row r="27">
      <c r="B27" s="197" t="n"/>
      <c r="C27" s="195" t="n"/>
      <c r="E27" s="207" t="n"/>
      <c r="F27" s="272" t="n"/>
    </row>
    <row r="28" ht="14.45" customHeight="1">
      <c r="B28" s="406" t="inlineStr">
        <is>
          <t>Multi-Asset</t>
        </is>
      </c>
      <c r="C28" s="193" t="n">
        <v>1</v>
      </c>
      <c r="D28" s="246">
        <f>VLOOKUP(C28, 'Fund Ranking_Equity'!$C$72:$D$78,2,FALSE)</f>
        <v/>
      </c>
      <c r="E28" s="206">
        <f>_xlfn.CONCAT((ROUND(VLOOKUP($D28,'Fund Ranking_Equity'!$B$6:$T$137,5,FALSE),2)),"%")</f>
        <v/>
      </c>
      <c r="F28" s="209">
        <f>_xlfn.CONCAT((ROUND(VLOOKUP($D28,'Fund Ranking_Equity'!$B$6:$T$137,4,FALSE),2)),"%")</f>
        <v/>
      </c>
    </row>
    <row r="29">
      <c r="B29" s="398" t="n"/>
      <c r="C29" s="195" t="n">
        <v>2</v>
      </c>
      <c r="D29" s="115">
        <f>VLOOKUP(C29, 'Fund Ranking_Equity'!$C$72:$D$78,2,FALSE)</f>
        <v/>
      </c>
      <c r="E29" s="207">
        <f>_xlfn.CONCAT((ROUND(VLOOKUP($D29,'Fund Ranking_Equity'!$B$6:$T$137,5,FALSE),2)),"%")</f>
        <v/>
      </c>
      <c r="F29" s="272">
        <f>_xlfn.CONCAT((ROUND(VLOOKUP($D29,'Fund Ranking_Equity'!$B$6:$T$137,4,FALSE),2)),"%")</f>
        <v/>
      </c>
    </row>
    <row r="30">
      <c r="B30" s="398" t="n"/>
      <c r="C30" s="195" t="n">
        <v>3</v>
      </c>
      <c r="D30" s="115">
        <f>VLOOKUP(C30, 'Fund Ranking_Equity'!$C$72:$D$78,2,FALSE)</f>
        <v/>
      </c>
      <c r="E30" s="208">
        <f>_xlfn.CONCAT((ROUND(VLOOKUP($D30,'Fund Ranking_Equity'!$B$6:$T$137,5,FALSE),2)),"%")</f>
        <v/>
      </c>
      <c r="F30" s="274">
        <f>_xlfn.CONCAT((ROUND(VLOOKUP($D30,'Fund Ranking_Equity'!$B$6:$T$137,4,FALSE),2)),"%")</f>
        <v/>
      </c>
    </row>
    <row r="31">
      <c r="B31" s="269" t="n"/>
      <c r="C31" s="267" t="n"/>
      <c r="D31" s="267" t="n"/>
      <c r="E31" s="276" t="n"/>
      <c r="F31" s="270" t="n"/>
    </row>
    <row r="32" hidden="1">
      <c r="B32" s="268" t="n"/>
      <c r="C32" s="316" t="inlineStr">
        <is>
          <t>Ranking</t>
        </is>
      </c>
      <c r="D32" s="316" t="inlineStr">
        <is>
          <t xml:space="preserve"> Funds (Equity)</t>
        </is>
      </c>
      <c r="E32" s="275" t="n"/>
      <c r="F32" s="271" t="n"/>
    </row>
    <row r="33" hidden="1">
      <c r="B33" s="405" t="inlineStr">
        <is>
          <t>Consolidated</t>
        </is>
      </c>
      <c r="C33" s="55" t="n">
        <v>1</v>
      </c>
      <c r="D33" s="115">
        <f>VLOOKUP(C33,#REF!, 2,FALSE)</f>
        <v/>
      </c>
      <c r="E33" s="195" t="n"/>
      <c r="F33" s="272" t="n"/>
    </row>
    <row r="34" hidden="1">
      <c r="B34" s="398" t="n"/>
      <c r="C34" s="55" t="n">
        <v>2</v>
      </c>
      <c r="D34" s="115">
        <f>VLOOKUP(C34,#REF!, 2,FALSE)</f>
        <v/>
      </c>
      <c r="E34" s="195" t="n"/>
      <c r="F34" s="272" t="n"/>
    </row>
    <row r="35" hidden="1">
      <c r="B35" s="398" t="n"/>
      <c r="C35" s="55">
        <f>C34+1</f>
        <v/>
      </c>
      <c r="D35" s="115">
        <f>VLOOKUP(C35,#REF!, 2,FALSE)</f>
        <v/>
      </c>
      <c r="E35" s="195" t="n"/>
      <c r="F35" s="272" t="n"/>
    </row>
    <row r="36" hidden="1">
      <c r="B36" s="398" t="n"/>
      <c r="C36" s="55">
        <f>C35+1</f>
        <v/>
      </c>
      <c r="D36" s="115">
        <f>VLOOKUP(C36,#REF!, 2,FALSE)</f>
        <v/>
      </c>
      <c r="E36" s="195" t="n"/>
      <c r="F36" s="272" t="n"/>
    </row>
    <row r="37" hidden="1">
      <c r="B37" s="398" t="n"/>
      <c r="C37" s="55">
        <f>C36+1</f>
        <v/>
      </c>
      <c r="D37" s="115">
        <f>VLOOKUP(C37,#REF!, 2,FALSE)</f>
        <v/>
      </c>
      <c r="E37" s="195" t="n"/>
      <c r="F37" s="272" t="n"/>
    </row>
    <row r="38" hidden="1">
      <c r="B38" s="398" t="n"/>
      <c r="C38" s="55">
        <f>C37+1</f>
        <v/>
      </c>
      <c r="D38" s="115">
        <f>VLOOKUP(C38,#REF!, 2,FALSE)</f>
        <v/>
      </c>
      <c r="E38" s="195" t="n"/>
      <c r="F38" s="272" t="n"/>
    </row>
    <row r="39" hidden="1">
      <c r="B39" s="398" t="n"/>
      <c r="C39" s="55">
        <f>C38+1</f>
        <v/>
      </c>
      <c r="D39" s="115">
        <f>VLOOKUP(C39,#REF!, 2,FALSE)</f>
        <v/>
      </c>
      <c r="E39" s="195" t="n"/>
      <c r="F39" s="272" t="n"/>
    </row>
    <row r="40" hidden="1">
      <c r="B40" s="398" t="n"/>
      <c r="C40" s="55">
        <f>C39+1</f>
        <v/>
      </c>
      <c r="D40" s="115">
        <f>VLOOKUP(C40,#REF!, 2,FALSE)</f>
        <v/>
      </c>
      <c r="E40" s="195" t="n"/>
      <c r="F40" s="272" t="n"/>
    </row>
    <row r="41" hidden="1">
      <c r="B41" s="398" t="n"/>
      <c r="C41" s="55">
        <f>C40+1</f>
        <v/>
      </c>
      <c r="D41" s="115">
        <f>VLOOKUP(C41,#REF!, 2,FALSE)</f>
        <v/>
      </c>
      <c r="E41" s="195" t="n"/>
      <c r="F41" s="272" t="n"/>
    </row>
    <row r="42" hidden="1">
      <c r="B42" s="398" t="n"/>
      <c r="C42" s="55">
        <f>C41+1</f>
        <v/>
      </c>
      <c r="D42" s="115">
        <f>VLOOKUP(C42,#REF!, 2,FALSE)</f>
        <v/>
      </c>
      <c r="E42" s="195" t="n"/>
      <c r="F42" s="272" t="n"/>
    </row>
    <row r="43" ht="15" customHeight="1" thickBot="1">
      <c r="B43" s="403" t="inlineStr">
        <is>
          <t>Thematic</t>
        </is>
      </c>
      <c r="C43" s="193" t="n">
        <v>1</v>
      </c>
      <c r="D43" s="246">
        <f>VLOOKUP('Summary '!$C24,'Fund Ranking_Equity'!$C$83:$E$137,2,FALSE)</f>
        <v/>
      </c>
      <c r="E43" s="290">
        <f>_xlfn.CONCAT((ROUND(VLOOKUP($D43,'Fund Ranking_Equity'!$B$6:$T$137,5,FALSE),2)),"%")</f>
        <v/>
      </c>
      <c r="F43" s="293">
        <f>_xlfn.CONCAT((ROUND(VLOOKUP($D43,'Fund Ranking_Equity'!$B$6:$T$137,4,FALSE),2)),"%")</f>
        <v/>
      </c>
    </row>
    <row r="44">
      <c r="B44" s="398" t="n"/>
      <c r="C44" s="195" t="n">
        <v>2</v>
      </c>
      <c r="D44" s="115">
        <f>VLOOKUP('Summary '!$C25,'Fund Ranking_Equity'!$C$83:$E$137,2,FALSE)</f>
        <v/>
      </c>
      <c r="E44" s="291">
        <f>_xlfn.CONCAT((ROUND(VLOOKUP($D44,'Fund Ranking_Equity'!$B$6:$T$137,5,FALSE),2)),"%")</f>
        <v/>
      </c>
      <c r="F44" s="294">
        <f>_xlfn.CONCAT((ROUND(VLOOKUP($D44,'Fund Ranking_Equity'!$B$6:$T$137,4,FALSE),2)),"%")</f>
        <v/>
      </c>
    </row>
    <row r="45" ht="15" customHeight="1" thickBot="1">
      <c r="B45" s="404" t="n"/>
      <c r="C45" s="196" t="n">
        <v>3</v>
      </c>
      <c r="D45" s="242">
        <f>VLOOKUP('Summary '!$C26,'Fund Ranking_Equity'!$C$83:$E$137,2,FALSE)</f>
        <v/>
      </c>
      <c r="E45" s="292">
        <f>_xlfn.CONCAT((ROUND(VLOOKUP($D45,'Fund Ranking_Equity'!$B$6:$T$137,5,FALSE),2)),"%")</f>
        <v/>
      </c>
      <c r="F45" s="295">
        <f>_xlfn.CONCAT((ROUND(VLOOKUP($D45,'Fund Ranking_Equity'!$B$6:$T$137,4,FALSE),2)),"%")</f>
        <v/>
      </c>
    </row>
  </sheetData>
  <mergeCells count="16">
    <mergeCell ref="H12:H14"/>
    <mergeCell ref="H4:H6"/>
    <mergeCell ref="H2:L2"/>
    <mergeCell ref="B2:F2"/>
    <mergeCell ref="B4:B6"/>
    <mergeCell ref="B43:B45"/>
    <mergeCell ref="B12:B14"/>
    <mergeCell ref="B20:B22"/>
    <mergeCell ref="H16:H18"/>
    <mergeCell ref="H20:H22"/>
    <mergeCell ref="B8:B10"/>
    <mergeCell ref="B24:B26"/>
    <mergeCell ref="B33:B42"/>
    <mergeCell ref="B28:B30"/>
    <mergeCell ref="H8:H10"/>
    <mergeCell ref="B16:B18"/>
  </mergeCells>
  <pageMargins left="0.7" right="0.7" top="0.75" bottom="0.75" header="0.3" footer="0.3"/>
  <pageSetup orientation="portrait"/>
</worksheet>
</file>

<file path=xl/worksheets/sheet6.xml><?xml version="1.0" encoding="utf-8"?>
<worksheet xmlns="http://schemas.openxmlformats.org/spreadsheetml/2006/main">
  <sheetPr codeName="Sheet4">
    <outlinePr summaryBelow="1" summaryRight="1"/>
    <pageSetUpPr/>
  </sheetPr>
  <dimension ref="B3:L48"/>
  <sheetViews>
    <sheetView topLeftCell="F1" zoomScale="92" workbookViewId="0">
      <selection activeCell="G18" sqref="G18"/>
    </sheetView>
  </sheetViews>
  <sheetFormatPr baseColWidth="8" defaultColWidth="8.7109375" defaultRowHeight="12"/>
  <cols>
    <col width="8.7109375" customWidth="1" style="15" min="1" max="1"/>
    <col width="6.85546875" customWidth="1" style="15" min="2" max="2"/>
    <col width="30.42578125" customWidth="1" style="15" min="3" max="3"/>
    <col width="44.42578125" customWidth="1" style="15" min="4" max="4"/>
    <col width="18" customWidth="1" style="15" min="5" max="5"/>
    <col width="8.7109375" customWidth="1" style="15" min="6" max="6"/>
    <col width="34.85546875" customWidth="1" style="15" min="7" max="7"/>
    <col hidden="1" width="19.7109375" customWidth="1" style="15" min="8" max="8"/>
    <col width="34.85546875" customWidth="1" style="15" min="9" max="12"/>
    <col width="8.7109375" customWidth="1" style="15" min="13" max="19"/>
    <col width="8.7109375" customWidth="1" style="15" min="20" max="16384"/>
  </cols>
  <sheetData>
    <row r="2" ht="14.45" customHeight="1" thickBot="1"/>
    <row r="3" ht="14.45" customHeight="1" thickBot="1">
      <c r="B3" s="16" t="inlineStr">
        <is>
          <t>S.No.</t>
        </is>
      </c>
      <c r="C3" s="17" t="inlineStr">
        <is>
          <t>Question</t>
        </is>
      </c>
      <c r="D3" s="17" t="inlineStr">
        <is>
          <t>Options</t>
        </is>
      </c>
      <c r="E3" s="18" t="inlineStr">
        <is>
          <t>Score Assigned</t>
        </is>
      </c>
      <c r="G3" s="106" t="inlineStr">
        <is>
          <t>Questions</t>
        </is>
      </c>
      <c r="H3" s="107" t="n"/>
      <c r="I3" s="411" t="inlineStr">
        <is>
          <t>Investor Profile</t>
        </is>
      </c>
      <c r="J3" s="408" t="n"/>
      <c r="K3" s="408" t="n"/>
      <c r="L3" s="408" t="n"/>
    </row>
    <row r="4" ht="14.45" customHeight="1" thickBot="1">
      <c r="B4" s="410" t="inlineStr">
        <is>
          <t>Personal &amp; Financial Information</t>
        </is>
      </c>
      <c r="C4" s="401" t="n"/>
      <c r="D4" s="401" t="n"/>
      <c r="E4" s="402" t="n"/>
      <c r="G4" s="108" t="inlineStr">
        <is>
          <t>Age</t>
        </is>
      </c>
      <c r="H4" s="26" t="n"/>
      <c r="I4" s="27" t="inlineStr">
        <is>
          <t>Early Career</t>
        </is>
      </c>
      <c r="J4" s="27" t="inlineStr">
        <is>
          <t>Mid-Career</t>
        </is>
      </c>
      <c r="K4" s="27" t="inlineStr">
        <is>
          <t>Pre-Retirement</t>
        </is>
      </c>
      <c r="L4" s="27" t="inlineStr">
        <is>
          <t>Retirement</t>
        </is>
      </c>
    </row>
    <row r="5" ht="14.45" customHeight="1" thickBot="1">
      <c r="B5" s="29" t="n">
        <v>1</v>
      </c>
      <c r="C5" s="28" t="inlineStr">
        <is>
          <t>Age</t>
        </is>
      </c>
      <c r="D5" s="19" t="inlineStr">
        <is>
          <t>18-30</t>
        </is>
      </c>
      <c r="E5" s="33" t="n">
        <v>4</v>
      </c>
      <c r="G5" s="109" t="inlineStr">
        <is>
          <t>(Question 1)</t>
        </is>
      </c>
      <c r="H5" s="26" t="n"/>
      <c r="I5" s="14" t="n">
        <v>4</v>
      </c>
      <c r="J5" s="14" t="n">
        <v>3</v>
      </c>
      <c r="K5" s="14" t="n">
        <v>2</v>
      </c>
      <c r="L5" s="14" t="n">
        <v>1</v>
      </c>
    </row>
    <row r="6" ht="14.45" customHeight="1" thickBot="1">
      <c r="B6" s="30" t="n"/>
      <c r="C6" s="21" t="n"/>
      <c r="D6" s="21" t="inlineStr">
        <is>
          <t>31-45</t>
        </is>
      </c>
      <c r="E6" s="34" t="n">
        <v>3</v>
      </c>
      <c r="G6" s="108" t="inlineStr">
        <is>
          <t>Financial Standing</t>
        </is>
      </c>
      <c r="H6" s="26" t="n"/>
      <c r="I6" s="27" t="inlineStr">
        <is>
          <t>Limited Resources</t>
        </is>
      </c>
      <c r="J6" s="27" t="inlineStr">
        <is>
          <t>Stable Financials</t>
        </is>
      </c>
      <c r="K6" s="27" t="inlineStr">
        <is>
          <t>Affluent</t>
        </is>
      </c>
      <c r="L6" s="27" t="inlineStr">
        <is>
          <t>HNI/UHNI</t>
        </is>
      </c>
    </row>
    <row r="7" ht="14.45" customHeight="1" thickBot="1">
      <c r="B7" s="30" t="n"/>
      <c r="C7" s="21" t="n"/>
      <c r="D7" s="21" t="inlineStr">
        <is>
          <t>46-60</t>
        </is>
      </c>
      <c r="E7" s="34" t="n">
        <v>2</v>
      </c>
      <c r="G7" s="109" t="inlineStr">
        <is>
          <t>(Question 2+3+4)</t>
        </is>
      </c>
      <c r="H7" s="26" t="n"/>
      <c r="I7" s="13" t="inlineStr">
        <is>
          <t>&lt;5</t>
        </is>
      </c>
      <c r="J7" s="130" t="inlineStr">
        <is>
          <t>(6 - 8)</t>
        </is>
      </c>
      <c r="K7" s="13" t="inlineStr">
        <is>
          <t>(9-12)</t>
        </is>
      </c>
      <c r="L7" s="13" t="inlineStr">
        <is>
          <t>13&gt;</t>
        </is>
      </c>
    </row>
    <row r="8" ht="14.45" customHeight="1" thickBot="1">
      <c r="B8" s="31" t="n"/>
      <c r="C8" s="22" t="n"/>
      <c r="D8" s="22" t="inlineStr">
        <is>
          <t>60+</t>
        </is>
      </c>
      <c r="E8" s="35" t="n">
        <v>1</v>
      </c>
      <c r="G8" s="108" t="inlineStr">
        <is>
          <t xml:space="preserve">Investment Objectives </t>
        </is>
      </c>
      <c r="H8" s="26" t="n"/>
      <c r="I8" s="27" t="inlineStr">
        <is>
          <t>Wealth Creation</t>
        </is>
      </c>
      <c r="J8" s="27" t="inlineStr">
        <is>
          <t>Regular Income</t>
        </is>
      </c>
      <c r="K8" s="27" t="inlineStr">
        <is>
          <t>Safety &amp; Stability</t>
        </is>
      </c>
      <c r="L8" s="27" t="inlineStr">
        <is>
          <t>Aggressive Growth</t>
        </is>
      </c>
    </row>
    <row r="9" ht="14.45" customHeight="1" thickBot="1">
      <c r="B9" s="29">
        <f>B5+1</f>
        <v/>
      </c>
      <c r="C9" s="28" t="inlineStr">
        <is>
          <t>Annual Income</t>
        </is>
      </c>
      <c r="D9" s="19" t="inlineStr">
        <is>
          <t>Below ₹5 lakh</t>
        </is>
      </c>
      <c r="E9" s="33" t="n">
        <v>0</v>
      </c>
      <c r="G9" s="109" t="inlineStr">
        <is>
          <t>(Question 6)</t>
        </is>
      </c>
      <c r="H9" s="26" t="n"/>
      <c r="I9" s="13" t="n">
        <v>1</v>
      </c>
      <c r="J9" s="13" t="n">
        <v>2</v>
      </c>
      <c r="K9" s="13" t="n">
        <v>3</v>
      </c>
      <c r="L9" s="131" t="n">
        <v>4</v>
      </c>
    </row>
    <row r="10" ht="14.45" customHeight="1" thickBot="1">
      <c r="B10" s="32" t="n"/>
      <c r="C10" s="25" t="n"/>
      <c r="D10" s="21" t="inlineStr">
        <is>
          <t>₹5-10 lakh</t>
        </is>
      </c>
      <c r="E10" s="34" t="n">
        <v>1</v>
      </c>
      <c r="G10" s="108" t="inlineStr">
        <is>
          <t>Time Horizon</t>
        </is>
      </c>
      <c r="H10" s="26" t="n"/>
      <c r="I10" s="27" t="inlineStr">
        <is>
          <t>Short Term</t>
        </is>
      </c>
      <c r="J10" s="27" t="inlineStr">
        <is>
          <t>Short to Medium Term</t>
        </is>
      </c>
      <c r="K10" s="27" t="inlineStr">
        <is>
          <t>Medium Term</t>
        </is>
      </c>
      <c r="L10" s="27" t="inlineStr">
        <is>
          <t>Long Term</t>
        </is>
      </c>
    </row>
    <row r="11" ht="14.45" customHeight="1" thickBot="1">
      <c r="B11" s="30" t="n"/>
      <c r="C11" s="21" t="n"/>
      <c r="D11" s="21" t="inlineStr">
        <is>
          <t>₹10-25 lakh</t>
        </is>
      </c>
      <c r="E11" s="34" t="n">
        <v>2</v>
      </c>
      <c r="G11" s="109" t="inlineStr">
        <is>
          <t>(Question 7)</t>
        </is>
      </c>
      <c r="H11" s="26" t="n"/>
      <c r="I11" s="13" t="n">
        <v>1</v>
      </c>
      <c r="J11" s="13" t="n">
        <v>2</v>
      </c>
      <c r="K11" s="13" t="n">
        <v>3</v>
      </c>
      <c r="L11" s="131" t="n">
        <v>4</v>
      </c>
    </row>
    <row r="12" ht="14.45" customHeight="1" thickBot="1">
      <c r="B12" s="30" t="n"/>
      <c r="C12" s="21" t="n"/>
      <c r="D12" s="21" t="inlineStr">
        <is>
          <t>₹25-50 lakh</t>
        </is>
      </c>
      <c r="E12" s="34" t="n">
        <v>3</v>
      </c>
      <c r="G12" s="108" t="inlineStr">
        <is>
          <t>Risk Appetite</t>
        </is>
      </c>
      <c r="H12" s="26" t="n"/>
      <c r="I12" s="27" t="inlineStr">
        <is>
          <t>Conservative</t>
        </is>
      </c>
      <c r="J12" s="27" t="inlineStr">
        <is>
          <t>Aggressive</t>
        </is>
      </c>
      <c r="K12" s="27" t="n"/>
      <c r="L12" s="27" t="n"/>
    </row>
    <row r="13" ht="14.45" customHeight="1" thickBot="1">
      <c r="B13" s="30" t="n"/>
      <c r="C13" s="21" t="n"/>
      <c r="D13" s="21" t="inlineStr">
        <is>
          <t>₹50-100 lakh</t>
        </is>
      </c>
      <c r="E13" s="34" t="n">
        <v>4</v>
      </c>
      <c r="G13" s="109" t="inlineStr">
        <is>
          <t>(Question 8)</t>
        </is>
      </c>
      <c r="H13" s="26" t="n"/>
      <c r="I13" s="13" t="n">
        <v>1</v>
      </c>
      <c r="J13" s="137" t="n">
        <v>2</v>
      </c>
      <c r="K13" s="137" t="n"/>
      <c r="L13" s="137" t="n"/>
    </row>
    <row r="14" ht="14.45" customHeight="1" thickBot="1">
      <c r="B14" s="31" t="n"/>
      <c r="C14" s="22" t="n"/>
      <c r="D14" s="22" t="inlineStr">
        <is>
          <t>Above ₹1 Cr</t>
        </is>
      </c>
      <c r="E14" s="35" t="n">
        <v>5</v>
      </c>
      <c r="G14" s="108" t="inlineStr">
        <is>
          <t xml:space="preserve">Investment Knowledge </t>
        </is>
      </c>
      <c r="H14" s="26" t="n"/>
      <c r="I14" s="27" t="inlineStr">
        <is>
          <t>Beginner</t>
        </is>
      </c>
      <c r="J14" s="27" t="inlineStr">
        <is>
          <t>Basic Knowledge</t>
        </is>
      </c>
      <c r="K14" s="27" t="inlineStr">
        <is>
          <t>Moderate Knowledge</t>
        </is>
      </c>
      <c r="L14" s="27" t="inlineStr">
        <is>
          <t>Advanced Knowledge</t>
        </is>
      </c>
    </row>
    <row r="15" ht="14.45" customHeight="1" thickBot="1">
      <c r="B15" s="29" t="n">
        <v>3</v>
      </c>
      <c r="C15" s="28" t="inlineStr">
        <is>
          <t>Annual Family Income</t>
        </is>
      </c>
      <c r="D15" s="19" t="inlineStr">
        <is>
          <t>₹5-10 lakh</t>
        </is>
      </c>
      <c r="E15" s="33" t="n">
        <v>1</v>
      </c>
      <c r="G15" s="110" t="inlineStr">
        <is>
          <t>(Question 9 + 10 )</t>
        </is>
      </c>
      <c r="H15" s="111" t="n"/>
      <c r="I15" s="13" t="n">
        <v>2</v>
      </c>
      <c r="J15" s="112" t="n">
        <v>3</v>
      </c>
      <c r="K15" s="112" t="n">
        <v>4</v>
      </c>
      <c r="L15" s="112" t="n">
        <v>5</v>
      </c>
    </row>
    <row r="16">
      <c r="B16" s="32" t="n"/>
      <c r="C16" s="25" t="n"/>
      <c r="D16" s="21" t="inlineStr">
        <is>
          <t>₹10-25 lakh</t>
        </is>
      </c>
      <c r="E16" s="34" t="n">
        <v>2</v>
      </c>
    </row>
    <row r="17" ht="14.45" customHeight="1" thickBot="1">
      <c r="B17" s="30" t="n"/>
      <c r="C17" s="21" t="n"/>
      <c r="D17" s="21" t="inlineStr">
        <is>
          <t>₹25-50 lakh</t>
        </is>
      </c>
      <c r="E17" s="34" t="n">
        <v>3</v>
      </c>
      <c r="I17" s="161" t="n"/>
    </row>
    <row r="18" ht="14.45" customHeight="1" thickBot="1">
      <c r="B18" s="30" t="n"/>
      <c r="C18" s="21" t="n"/>
      <c r="D18" s="21" t="inlineStr">
        <is>
          <t>₹50-100 lakh</t>
        </is>
      </c>
      <c r="E18" s="34" t="n">
        <v>4</v>
      </c>
      <c r="G18" s="106" t="inlineStr">
        <is>
          <t>Questions</t>
        </is>
      </c>
      <c r="H18" s="107" t="n"/>
      <c r="I18" s="407" t="inlineStr">
        <is>
          <t>Model Portfolio</t>
        </is>
      </c>
      <c r="J18" s="408" t="n"/>
      <c r="K18" s="408" t="n"/>
      <c r="L18" s="409" t="n"/>
    </row>
    <row r="19" ht="14.45" customHeight="1" thickBot="1">
      <c r="B19" s="31" t="n"/>
      <c r="C19" s="22" t="n"/>
      <c r="D19" s="22" t="inlineStr">
        <is>
          <t>Above ₹1 Cr</t>
        </is>
      </c>
      <c r="E19" s="35" t="n">
        <v>5</v>
      </c>
      <c r="G19" s="108" t="inlineStr">
        <is>
          <t>Age</t>
        </is>
      </c>
      <c r="H19" s="26" t="n"/>
      <c r="I19" s="27" t="inlineStr">
        <is>
          <t>Early Career</t>
        </is>
      </c>
      <c r="J19" s="27" t="inlineStr">
        <is>
          <t>Mid-Career</t>
        </is>
      </c>
      <c r="K19" s="27" t="inlineStr">
        <is>
          <t>Pre-Retirement</t>
        </is>
      </c>
      <c r="L19" s="164" t="inlineStr">
        <is>
          <t>Retirement</t>
        </is>
      </c>
    </row>
    <row r="20" ht="14.45" customHeight="1" thickBot="1">
      <c r="B20" s="29" t="n">
        <v>4</v>
      </c>
      <c r="C20" s="28" t="inlineStr">
        <is>
          <t>Monthly Savings</t>
        </is>
      </c>
      <c r="D20" s="19" t="inlineStr">
        <is>
          <t>Less than 10%</t>
        </is>
      </c>
      <c r="E20" s="33" t="n">
        <v>1</v>
      </c>
      <c r="G20" s="162" t="inlineStr">
        <is>
          <t>Type of MF</t>
        </is>
      </c>
      <c r="H20" s="26" t="n"/>
      <c r="I20" s="14" t="inlineStr">
        <is>
          <t>SIP</t>
        </is>
      </c>
      <c r="J20" s="14" t="inlineStr">
        <is>
          <t>Lumpsum/SIP</t>
        </is>
      </c>
      <c r="K20" s="14">
        <f>J20</f>
        <v/>
      </c>
      <c r="L20" s="165">
        <f>K20</f>
        <v/>
      </c>
    </row>
    <row r="21" ht="14.45" customHeight="1" thickBot="1">
      <c r="B21" s="32" t="n"/>
      <c r="C21" s="25" t="n"/>
      <c r="D21" s="21" t="inlineStr">
        <is>
          <t>10%-15%</t>
        </is>
      </c>
      <c r="E21" s="34" t="n">
        <v>2</v>
      </c>
      <c r="G21" s="170" t="inlineStr">
        <is>
          <t>Equity:Debt</t>
        </is>
      </c>
      <c r="H21" s="26" t="n"/>
      <c r="I21" s="172" t="inlineStr">
        <is>
          <t>80:20</t>
        </is>
      </c>
      <c r="J21" s="174" t="inlineStr">
        <is>
          <t>70:30</t>
        </is>
      </c>
      <c r="K21" s="174" t="inlineStr">
        <is>
          <t>50:50</t>
        </is>
      </c>
      <c r="L21" s="175" t="inlineStr">
        <is>
          <t>40:60</t>
        </is>
      </c>
    </row>
    <row r="22" ht="41.1" customHeight="1" thickBot="1">
      <c r="B22" s="32" t="n"/>
      <c r="C22" s="25" t="n"/>
      <c r="D22" s="21" t="inlineStr">
        <is>
          <t xml:space="preserve"> 15-20%</t>
        </is>
      </c>
      <c r="E22" s="34" t="n">
        <v>3</v>
      </c>
      <c r="G22" s="162" t="inlineStr">
        <is>
          <t>Suggested Funds: Equity</t>
        </is>
      </c>
      <c r="H22" s="26" t="n"/>
      <c r="I22" s="165">
        <f>_xlfn.CONCAT(Backup!$B$36, ", ",Backup!$B$38,", ",Backup!$B$37, ", ",Backup!$B$40, ", ",Backup!$B$41)</f>
        <v/>
      </c>
      <c r="J22" s="165">
        <f>_xlfn.CONCAT(Backup!$B$35, ", ", Backup!$B$36, ", ",Backup!$B$37, ", ",Backup!$B$40, ", ",Backup!$B$41)</f>
        <v/>
      </c>
      <c r="K22" s="165">
        <f>_xlfn.CONCAT(Backup!$B$35, ", ", Backup!$B$36, ", ",Backup!$B$37, ", ",Backup!$B$40, ", ",Backup!$B$41)</f>
        <v/>
      </c>
      <c r="L22" s="165">
        <f>_xlfn.CONCAT(Backup!$B$35, ", ", Backup!$B$36)</f>
        <v/>
      </c>
    </row>
    <row r="23" ht="28.5" customHeight="1" thickBot="1">
      <c r="B23" s="32" t="n"/>
      <c r="C23" s="25" t="n"/>
      <c r="D23" s="21" t="inlineStr">
        <is>
          <t xml:space="preserve"> 20-30%</t>
        </is>
      </c>
      <c r="E23" s="34" t="n">
        <v>4</v>
      </c>
      <c r="G23" s="162" t="inlineStr">
        <is>
          <t>Suggested Funds: Debt</t>
        </is>
      </c>
      <c r="H23" s="26" t="n"/>
      <c r="I23" s="14">
        <f>_xlfn.CONCAT(Backup!$C$35, " ,",Backup!$C$36)</f>
        <v/>
      </c>
      <c r="J23" s="14">
        <f>_xlfn.CONCAT(Backup!$C$35, " ,",Backup!$C$36, " ,",Backup!$C$37 )</f>
        <v/>
      </c>
      <c r="K23" s="14">
        <f>_xlfn.CONCAT(Backup!$C$35, " ,",Backup!$C$36, " ,",Backup!$C$37 )</f>
        <v/>
      </c>
      <c r="L23" s="14">
        <f>_xlfn.CONCAT(Backup!$C$35, " ,",Backup!$C$36, " ,",Backup!$C$37 )</f>
        <v/>
      </c>
    </row>
    <row r="24" ht="14.45" customHeight="1" thickBot="1">
      <c r="B24" s="32" t="n"/>
      <c r="C24" s="25" t="n"/>
      <c r="D24" s="24" t="inlineStr">
        <is>
          <t xml:space="preserve"> More than 30%</t>
        </is>
      </c>
      <c r="E24" s="36" t="n">
        <v>5</v>
      </c>
      <c r="G24" s="108" t="inlineStr">
        <is>
          <t>Financial Standing</t>
        </is>
      </c>
      <c r="H24" s="26" t="n"/>
      <c r="I24" s="27" t="inlineStr">
        <is>
          <t>Limited Resources</t>
        </is>
      </c>
      <c r="J24" s="27" t="inlineStr">
        <is>
          <t>Stable Financials</t>
        </is>
      </c>
      <c r="K24" s="27" t="inlineStr">
        <is>
          <t>Affluent</t>
        </is>
      </c>
      <c r="L24" s="164" t="inlineStr">
        <is>
          <t>HNI/UHNI</t>
        </is>
      </c>
    </row>
    <row r="25" ht="14.45" customHeight="1" thickBot="1">
      <c r="B25" s="410" t="inlineStr">
        <is>
          <t>Investment Objective</t>
        </is>
      </c>
      <c r="C25" s="401" t="n"/>
      <c r="D25" s="401" t="n"/>
      <c r="E25" s="402" t="n"/>
      <c r="G25" s="109" t="inlineStr">
        <is>
          <t>Type of MF</t>
        </is>
      </c>
      <c r="H25" s="26" t="n"/>
      <c r="I25" s="14" t="inlineStr">
        <is>
          <t>SIP</t>
        </is>
      </c>
      <c r="J25" s="14" t="inlineStr">
        <is>
          <t>Lumpsum/SIP</t>
        </is>
      </c>
      <c r="K25" s="14">
        <f>J25</f>
        <v/>
      </c>
      <c r="L25" s="165">
        <f>K25</f>
        <v/>
      </c>
    </row>
    <row r="26" ht="14.45" customHeight="1" thickBot="1">
      <c r="B26" s="32" t="n">
        <v>6</v>
      </c>
      <c r="C26" s="25" t="inlineStr">
        <is>
          <t>Investment Goal</t>
        </is>
      </c>
      <c r="D26" s="21" t="inlineStr">
        <is>
          <t>Wealth Creation</t>
        </is>
      </c>
      <c r="E26" s="34" t="n">
        <v>1</v>
      </c>
      <c r="G26" s="170" t="inlineStr">
        <is>
          <t>Equity:Debt</t>
        </is>
      </c>
      <c r="H26" s="26" t="n"/>
      <c r="I26" s="172" t="inlineStr">
        <is>
          <t>40:60</t>
        </is>
      </c>
      <c r="J26" s="14" t="inlineStr">
        <is>
          <t>50:50</t>
        </is>
      </c>
      <c r="K26" s="14" t="inlineStr">
        <is>
          <t>70:30</t>
        </is>
      </c>
      <c r="L26" s="165" t="inlineStr">
        <is>
          <t>70:30</t>
        </is>
      </c>
    </row>
    <row r="27" ht="45.6" customHeight="1" thickBot="1">
      <c r="B27" s="32" t="n"/>
      <c r="C27" s="25" t="n"/>
      <c r="D27" s="21" t="inlineStr">
        <is>
          <t>Income-Oriented</t>
        </is>
      </c>
      <c r="E27" s="34" t="n">
        <v>2</v>
      </c>
      <c r="G27" s="162" t="inlineStr">
        <is>
          <t>Suggested Funds: Equity</t>
        </is>
      </c>
      <c r="H27" s="26" t="n"/>
      <c r="I27" s="172">
        <f>L22</f>
        <v/>
      </c>
      <c r="J27" s="14">
        <f>K22</f>
        <v/>
      </c>
      <c r="K27" s="14">
        <f>J22</f>
        <v/>
      </c>
      <c r="L27" s="165">
        <f>_xlfn.CONCAT(Backup!$B$36, ", ",Backup!$B$38,", ",Backup!$B$37, ", ",Backup!$B$40, ", ",Backup!$B$41)</f>
        <v/>
      </c>
    </row>
    <row r="28" ht="28.5" customHeight="1" thickBot="1">
      <c r="B28" s="32" t="n"/>
      <c r="C28" s="25" t="n"/>
      <c r="D28" s="21" t="inlineStr">
        <is>
          <t xml:space="preserve">Capital Protection </t>
        </is>
      </c>
      <c r="E28" s="34" t="n">
        <v>3</v>
      </c>
      <c r="G28" s="162" t="inlineStr">
        <is>
          <t>Suggested Funds: Debt</t>
        </is>
      </c>
      <c r="H28" s="26" t="n"/>
      <c r="I28" s="168">
        <f>I23</f>
        <v/>
      </c>
      <c r="J28" s="178">
        <f>L23</f>
        <v/>
      </c>
      <c r="K28" s="168">
        <f>K23</f>
        <v/>
      </c>
      <c r="L28" s="179">
        <f>K28</f>
        <v/>
      </c>
    </row>
    <row r="29" ht="14.45" customHeight="1" thickBot="1">
      <c r="B29" s="32" t="n"/>
      <c r="C29" s="25" t="n"/>
      <c r="D29" s="21" t="inlineStr">
        <is>
          <t>Aggressive Growth</t>
        </is>
      </c>
      <c r="E29" s="34" t="n">
        <v>4</v>
      </c>
      <c r="G29" s="108" t="inlineStr">
        <is>
          <t xml:space="preserve">Investment Objectives </t>
        </is>
      </c>
      <c r="H29" s="26" t="n"/>
      <c r="I29" s="27" t="inlineStr">
        <is>
          <t>Wealth Creation</t>
        </is>
      </c>
      <c r="J29" s="27" t="inlineStr">
        <is>
          <t>Regular Income</t>
        </is>
      </c>
      <c r="K29" s="27" t="inlineStr">
        <is>
          <t>Safety &amp; Stability</t>
        </is>
      </c>
      <c r="L29" s="164" t="inlineStr">
        <is>
          <t>Aggressive Growth</t>
        </is>
      </c>
    </row>
    <row r="30" ht="14.45" customHeight="1" thickBot="1">
      <c r="B30" s="32" t="n">
        <v>7</v>
      </c>
      <c r="C30" s="25" t="inlineStr">
        <is>
          <t>Investment Horizon</t>
        </is>
      </c>
      <c r="D30" s="21" t="inlineStr">
        <is>
          <t>Less than 1 year</t>
        </is>
      </c>
      <c r="E30" s="34" t="n">
        <v>1</v>
      </c>
      <c r="G30" s="109" t="inlineStr">
        <is>
          <t>Type of MF</t>
        </is>
      </c>
      <c r="H30" s="26" t="n"/>
      <c r="I30" s="14" t="inlineStr">
        <is>
          <t>Lumpsum/SIP</t>
        </is>
      </c>
      <c r="J30" s="168" t="inlineStr">
        <is>
          <t>Lumpsum</t>
        </is>
      </c>
      <c r="K30" s="168" t="inlineStr">
        <is>
          <t>Lumpsum/SIP</t>
        </is>
      </c>
      <c r="L30" s="166" t="inlineStr">
        <is>
          <t>SIP</t>
        </is>
      </c>
    </row>
    <row r="31" ht="14.45" customHeight="1" thickBot="1">
      <c r="B31" s="30" t="n"/>
      <c r="C31" s="21" t="n"/>
      <c r="D31" s="21" t="inlineStr">
        <is>
          <t>1-3 years</t>
        </is>
      </c>
      <c r="E31" s="34" t="n">
        <v>2</v>
      </c>
      <c r="G31" s="170" t="inlineStr">
        <is>
          <t>Equity:Debt</t>
        </is>
      </c>
      <c r="H31" s="26" t="n"/>
      <c r="I31" s="14">
        <f>L31</f>
        <v/>
      </c>
      <c r="J31" s="168">
        <f>J26</f>
        <v/>
      </c>
      <c r="K31" s="171" t="inlineStr">
        <is>
          <t>20:80</t>
        </is>
      </c>
      <c r="L31" s="166" t="inlineStr">
        <is>
          <t>80:20</t>
        </is>
      </c>
    </row>
    <row r="32" ht="51" customHeight="1" thickBot="1">
      <c r="B32" s="30" t="n"/>
      <c r="C32" s="21" t="n"/>
      <c r="D32" s="21" t="inlineStr">
        <is>
          <t>3-5 years</t>
        </is>
      </c>
      <c r="E32" s="34" t="n">
        <v>3</v>
      </c>
      <c r="G32" s="162" t="inlineStr">
        <is>
          <t>Suggested Funds: Equity</t>
        </is>
      </c>
      <c r="H32" s="26" t="n"/>
      <c r="I32" s="14">
        <f>J27</f>
        <v/>
      </c>
      <c r="J32" s="168">
        <f>J27</f>
        <v/>
      </c>
      <c r="K32" s="165">
        <f>_xlfn.CONCAT(Backup!$B$35, ", ", Backup!$B$36)</f>
        <v/>
      </c>
      <c r="L32" s="165">
        <f>_xlfn.CONCAT(Backup!$B$39, ", ", Backup!$B$38)</f>
        <v/>
      </c>
    </row>
    <row r="33" ht="28.5" customHeight="1" thickBot="1">
      <c r="B33" s="30" t="n"/>
      <c r="C33" s="21" t="n"/>
      <c r="D33" s="21" t="inlineStr">
        <is>
          <t>5+ years</t>
        </is>
      </c>
      <c r="E33" s="34" t="n">
        <v>4</v>
      </c>
      <c r="G33" s="162" t="inlineStr">
        <is>
          <t>Suggested Funds: Debt</t>
        </is>
      </c>
      <c r="H33" s="26" t="n"/>
      <c r="I33" s="168">
        <f>I28</f>
        <v/>
      </c>
      <c r="J33" s="178">
        <f>J28</f>
        <v/>
      </c>
      <c r="K33" s="168">
        <f>I33</f>
        <v/>
      </c>
      <c r="L33" s="166">
        <f>I43</f>
        <v/>
      </c>
    </row>
    <row r="34" ht="14.45" customHeight="1" thickBot="1">
      <c r="B34" s="410" t="inlineStr">
        <is>
          <t>Risk Appetite</t>
        </is>
      </c>
      <c r="C34" s="401" t="n"/>
      <c r="D34" s="401" t="n"/>
      <c r="E34" s="402" t="n"/>
      <c r="G34" s="108" t="inlineStr">
        <is>
          <t>Time Horizon</t>
        </is>
      </c>
      <c r="H34" s="26" t="n"/>
      <c r="I34" s="27" t="inlineStr">
        <is>
          <t>Short Term</t>
        </is>
      </c>
      <c r="J34" s="27" t="inlineStr">
        <is>
          <t>Short to Medium Term</t>
        </is>
      </c>
      <c r="K34" s="27" t="inlineStr">
        <is>
          <t>Medium Term</t>
        </is>
      </c>
      <c r="L34" s="164" t="inlineStr">
        <is>
          <t>Long Term</t>
        </is>
      </c>
    </row>
    <row r="35" ht="14.45" customHeight="1" thickBot="1">
      <c r="B35" s="32" t="n">
        <v>8</v>
      </c>
      <c r="C35" s="28" t="inlineStr">
        <is>
          <t>Will you be okay with?</t>
        </is>
      </c>
      <c r="D35" s="21" t="inlineStr">
        <is>
          <t>Gain/Loss of 15%</t>
        </is>
      </c>
      <c r="E35" s="34" t="n">
        <v>2</v>
      </c>
      <c r="G35" s="109" t="inlineStr">
        <is>
          <t>Type of MF</t>
        </is>
      </c>
      <c r="H35" s="26" t="n"/>
      <c r="I35" s="168">
        <f>I40</f>
        <v/>
      </c>
      <c r="J35" s="168">
        <f>I35</f>
        <v/>
      </c>
      <c r="K35" s="168">
        <f>K30</f>
        <v/>
      </c>
      <c r="L35" s="166">
        <f>K35</f>
        <v/>
      </c>
    </row>
    <row r="36" ht="14.45" customHeight="1" thickBot="1">
      <c r="B36" s="30" t="n"/>
      <c r="C36" s="25" t="n"/>
      <c r="D36" s="21" t="inlineStr">
        <is>
          <t>Fixed gain of 5%</t>
        </is>
      </c>
      <c r="E36" s="34" t="n">
        <v>1</v>
      </c>
      <c r="G36" s="170" t="inlineStr">
        <is>
          <t>Equity:Debt</t>
        </is>
      </c>
      <c r="H36" s="26" t="n"/>
      <c r="I36" s="168" t="inlineStr">
        <is>
          <t>80:20</t>
        </is>
      </c>
      <c r="J36" s="168" t="inlineStr">
        <is>
          <t>50:50</t>
        </is>
      </c>
      <c r="K36" s="168" t="inlineStr">
        <is>
          <t>50:50</t>
        </is>
      </c>
      <c r="L36" s="166" t="inlineStr">
        <is>
          <t>20:80</t>
        </is>
      </c>
    </row>
    <row r="37" ht="31.5" customHeight="1" thickBot="1">
      <c r="B37" s="410" t="inlineStr">
        <is>
          <t>Market Experience</t>
        </is>
      </c>
      <c r="C37" s="401" t="n"/>
      <c r="D37" s="401" t="n"/>
      <c r="E37" s="402" t="n"/>
      <c r="G37" s="162" t="inlineStr">
        <is>
          <t>Suggested Funds: Equity</t>
        </is>
      </c>
      <c r="H37" s="26" t="n"/>
      <c r="I37" s="168">
        <f>L32</f>
        <v/>
      </c>
      <c r="J37" s="168">
        <f>_xlfn.CONCAT(Backup!$B$39, ", ", Backup!$B$38, ", ",Backup!$B$37, ", ",Backup!$B$40, ", ",Backup!$B$41)</f>
        <v/>
      </c>
      <c r="K37" s="168">
        <f>_xlfn.CONCAT(Backup!$B$38, ", ",Backup!$B$37, ", ",Backup!$B$40, ", ",Backup!$B$41)</f>
        <v/>
      </c>
      <c r="L37" s="165">
        <f>_xlfn.CONCAT(Backup!$B$35, ", ", Backup!$B$36)</f>
        <v/>
      </c>
    </row>
    <row r="38" ht="28.5" customHeight="1" thickBot="1">
      <c r="B38" s="32" t="n">
        <v>9</v>
      </c>
      <c r="C38" s="25" t="inlineStr">
        <is>
          <t>Market Experience</t>
        </is>
      </c>
      <c r="D38" s="21" t="inlineStr">
        <is>
          <t xml:space="preserve">No exposure </t>
        </is>
      </c>
      <c r="E38" s="34" t="n">
        <v>1</v>
      </c>
      <c r="G38" s="162" t="inlineStr">
        <is>
          <t>Suggested Funds: Debt</t>
        </is>
      </c>
      <c r="H38" s="26" t="n"/>
      <c r="I38" s="168">
        <f>I33</f>
        <v/>
      </c>
      <c r="J38" s="178">
        <f>J33</f>
        <v/>
      </c>
      <c r="K38" s="168">
        <f>K33</f>
        <v/>
      </c>
      <c r="L38" s="166">
        <f>L33</f>
        <v/>
      </c>
    </row>
    <row r="39" ht="14.45" customHeight="1" thickBot="1">
      <c r="B39" s="30" t="n"/>
      <c r="C39" s="21" t="n"/>
      <c r="D39" s="21" t="inlineStr">
        <is>
          <t>Limited exposure</t>
        </is>
      </c>
      <c r="E39" s="34" t="n">
        <v>2</v>
      </c>
      <c r="G39" s="108" t="inlineStr">
        <is>
          <t>Risk Appetite</t>
        </is>
      </c>
      <c r="H39" s="26" t="n"/>
      <c r="I39" s="27" t="inlineStr">
        <is>
          <t>Conservative</t>
        </is>
      </c>
      <c r="J39" s="27" t="inlineStr">
        <is>
          <t>Aggressive</t>
        </is>
      </c>
      <c r="K39" s="27" t="n"/>
      <c r="L39" s="164" t="n"/>
    </row>
    <row r="40" ht="14.45" customHeight="1" thickBot="1">
      <c r="B40" s="30" t="n"/>
      <c r="C40" s="21" t="n"/>
      <c r="D40" s="21" t="inlineStr">
        <is>
          <t>Actively invest or trade</t>
        </is>
      </c>
      <c r="E40" s="34" t="n">
        <v>3</v>
      </c>
      <c r="G40" s="109" t="inlineStr">
        <is>
          <t>Type of MF</t>
        </is>
      </c>
      <c r="H40" s="26" t="n"/>
      <c r="I40" s="168" t="inlineStr">
        <is>
          <t>Lumpsum</t>
        </is>
      </c>
      <c r="J40" s="14" t="inlineStr">
        <is>
          <t>SIP</t>
        </is>
      </c>
      <c r="K40" s="137" t="n"/>
      <c r="L40" s="167" t="n"/>
    </row>
    <row r="41" ht="14.45" customHeight="1" thickBot="1">
      <c r="B41" s="32" t="n">
        <v>10</v>
      </c>
      <c r="C41" s="25" t="inlineStr">
        <is>
          <t>Knowledge of Investments</t>
        </is>
      </c>
      <c r="D41" s="21" t="inlineStr">
        <is>
          <t>Very Little to no knowledge</t>
        </is>
      </c>
      <c r="E41" s="34" t="n">
        <v>1</v>
      </c>
      <c r="G41" s="170" t="inlineStr">
        <is>
          <t>Equity:Debt</t>
        </is>
      </c>
      <c r="H41" s="26" t="n"/>
      <c r="I41" s="171" t="inlineStr">
        <is>
          <t>20:80</t>
        </is>
      </c>
      <c r="J41" s="173" t="inlineStr">
        <is>
          <t>80:20</t>
        </is>
      </c>
      <c r="K41" s="137" t="n"/>
      <c r="L41" s="167" t="n"/>
    </row>
    <row r="42" ht="28.5" customHeight="1" thickBot="1">
      <c r="B42" s="20" t="n"/>
      <c r="C42" s="21" t="n"/>
      <c r="D42" s="21" t="inlineStr">
        <is>
          <t>Moderate level of knowledge</t>
        </is>
      </c>
      <c r="E42" s="34" t="n">
        <v>2</v>
      </c>
      <c r="G42" s="162" t="inlineStr">
        <is>
          <t>Suggested Funds: Equity</t>
        </is>
      </c>
      <c r="H42" s="26" t="n"/>
      <c r="I42" s="168">
        <f>_xlfn.CONCAT(Backup!$B$37, ", ",Backup!$B$40, ", ",Backup!$B$41, Backup!$B$35, ", ", Backup!$B$36)</f>
        <v/>
      </c>
      <c r="J42" s="173">
        <f>J37</f>
        <v/>
      </c>
      <c r="K42" s="137" t="n"/>
      <c r="L42" s="167" t="n"/>
    </row>
    <row r="43" ht="30.6" customHeight="1" thickBot="1">
      <c r="B43" s="23" t="n"/>
      <c r="C43" s="24" t="n"/>
      <c r="D43" s="24" t="inlineStr">
        <is>
          <t>Extensive investment knowledge</t>
        </is>
      </c>
      <c r="E43" s="36" t="n">
        <v>3</v>
      </c>
      <c r="G43" s="162" t="inlineStr">
        <is>
          <t>Suggested Funds: Debt</t>
        </is>
      </c>
      <c r="H43" s="26" t="n"/>
      <c r="I43" s="168">
        <f>_xlfn.CONCAT(Backup!$C$38," ,",Backup!$C$37," ,",Backup!$C$39)</f>
        <v/>
      </c>
      <c r="J43" s="168">
        <f>_xlfn.CONCAT(Backup!$C$35, " ,",Backup!$C$36)</f>
        <v/>
      </c>
      <c r="K43" s="137" t="n"/>
      <c r="L43" s="167" t="n"/>
    </row>
    <row r="44" ht="14.45" customHeight="1" thickBot="1">
      <c r="G44" s="108" t="inlineStr">
        <is>
          <t xml:space="preserve">Investment Knowledge </t>
        </is>
      </c>
      <c r="H44" s="26" t="n"/>
      <c r="I44" s="27" t="inlineStr">
        <is>
          <t>Beginner</t>
        </is>
      </c>
      <c r="J44" s="27" t="inlineStr">
        <is>
          <t>Basic Knowledge</t>
        </is>
      </c>
      <c r="K44" s="27" t="inlineStr">
        <is>
          <t>Moderate Knowledge</t>
        </is>
      </c>
      <c r="L44" s="27" t="inlineStr">
        <is>
          <t>Advanced Knowledge</t>
        </is>
      </c>
    </row>
    <row r="45" ht="42.6" customHeight="1" thickBot="1">
      <c r="G45" s="109" t="inlineStr">
        <is>
          <t>Type of MF</t>
        </is>
      </c>
      <c r="H45" s="163" t="n"/>
      <c r="I45" s="131" t="inlineStr">
        <is>
          <t>SIP</t>
        </is>
      </c>
      <c r="J45" s="131">
        <f>K45</f>
        <v/>
      </c>
      <c r="K45" s="169">
        <f>I45</f>
        <v/>
      </c>
      <c r="L45" s="169" t="inlineStr">
        <is>
          <t>Lumpsum/SIP</t>
        </is>
      </c>
    </row>
    <row r="46" ht="14.45" customHeight="1" thickBot="1">
      <c r="G46" s="170" t="inlineStr">
        <is>
          <t>Equity:Debt</t>
        </is>
      </c>
      <c r="H46" s="163" t="n"/>
      <c r="I46" s="176" t="inlineStr">
        <is>
          <t>70:30</t>
        </is>
      </c>
      <c r="J46" s="176">
        <f>K46</f>
        <v/>
      </c>
      <c r="K46" s="177" t="inlineStr">
        <is>
          <t>50:50</t>
        </is>
      </c>
      <c r="L46" s="169" t="inlineStr">
        <is>
          <t>80:20</t>
        </is>
      </c>
    </row>
    <row r="47" ht="30.95" customHeight="1" thickBot="1">
      <c r="G47" s="162" t="inlineStr">
        <is>
          <t>Suggested Funds: Equity</t>
        </is>
      </c>
      <c r="H47" s="163" t="n"/>
      <c r="I47" s="176">
        <f>L37</f>
        <v/>
      </c>
      <c r="J47" s="176">
        <f>K47</f>
        <v/>
      </c>
      <c r="K47" s="177">
        <f>K37</f>
        <v/>
      </c>
      <c r="L47" s="169">
        <f>J37</f>
        <v/>
      </c>
    </row>
    <row r="48" ht="28.5" customHeight="1" thickBot="1">
      <c r="G48" s="110" t="inlineStr">
        <is>
          <t>Suggested Funds: Debt</t>
        </is>
      </c>
      <c r="H48" s="111" t="n"/>
      <c r="I48" s="180">
        <f>J43</f>
        <v/>
      </c>
      <c r="J48" s="180">
        <f>K48</f>
        <v/>
      </c>
      <c r="K48" s="181" t="inlineStr">
        <is>
          <t>Ultra Short Duration Fund ,Low Duration Fund ,Short Duration Fund</t>
        </is>
      </c>
      <c r="L48" s="181">
        <f>L38</f>
        <v/>
      </c>
    </row>
    <row r="51" ht="14.1" customHeight="1"/>
    <row r="52" ht="14.1" customHeight="1"/>
    <row r="53" ht="14.45" customHeight="1"/>
    <row r="54" ht="14.45" customHeight="1"/>
    <row r="55" ht="14.1" customHeight="1"/>
    <row r="64" hidden="1"/>
    <row r="65" hidden="1"/>
    <row r="66" hidden="1"/>
    <row r="67" hidden="1"/>
    <row r="68" hidden="1"/>
  </sheetData>
  <mergeCells count="6">
    <mergeCell ref="I18:L18"/>
    <mergeCell ref="B4:E4"/>
    <mergeCell ref="I3:L3"/>
    <mergeCell ref="B25:E25"/>
    <mergeCell ref="B37:E37"/>
    <mergeCell ref="B34:E34"/>
  </mergeCells>
  <dataValidations disablePrompts="1" count="1">
    <dataValidation sqref="D5:D8" showDropDown="0" showInputMessage="1" showErrorMessage="1" allowBlank="0" promptTitle="Select Age"/>
  </dataValidations>
  <pageMargins left="0.7" right="0.7" top="0.75" bottom="0.75" header="0.3" footer="0.3"/>
</worksheet>
</file>

<file path=xl/worksheets/sheet7.xml><?xml version="1.0" encoding="utf-8"?>
<worksheet xmlns="http://schemas.openxmlformats.org/spreadsheetml/2006/main">
  <sheetPr codeName="Sheet3">
    <outlinePr summaryBelow="1" summaryRight="1"/>
    <pageSetUpPr/>
  </sheetPr>
  <dimension ref="B2:I17"/>
  <sheetViews>
    <sheetView zoomScale="84" workbookViewId="0">
      <selection activeCell="G18" sqref="G18"/>
    </sheetView>
  </sheetViews>
  <sheetFormatPr baseColWidth="8" defaultRowHeight="15"/>
  <cols>
    <col width="26.140625" customWidth="1" min="2" max="2"/>
    <col width="29" bestFit="1" customWidth="1" style="115" min="3" max="3"/>
    <col hidden="1" width="11.42578125" customWidth="1" min="4" max="4"/>
    <col width="31.85546875" customWidth="1" min="5" max="5"/>
    <col width="23.42578125" customWidth="1" style="182" min="6" max="7"/>
    <col width="34.42578125" customWidth="1" style="182" min="8" max="9"/>
    <col width="34.85546875" customWidth="1" min="10" max="10"/>
  </cols>
  <sheetData>
    <row r="1" ht="15" customHeight="1" thickBot="1"/>
    <row r="2" hidden="1" ht="15" customHeight="1" thickBot="1">
      <c r="F2" s="182" t="n">
        <v>2</v>
      </c>
      <c r="G2" s="182" t="n">
        <v>3</v>
      </c>
      <c r="H2" s="182" t="n">
        <v>4</v>
      </c>
      <c r="I2" s="182" t="n">
        <v>5</v>
      </c>
    </row>
    <row r="3">
      <c r="B3" s="185" t="inlineStr">
        <is>
          <t>Quesitons</t>
        </is>
      </c>
      <c r="C3" s="135" t="inlineStr">
        <is>
          <t>Option</t>
        </is>
      </c>
      <c r="D3" s="136" t="inlineStr">
        <is>
          <t>Points</t>
        </is>
      </c>
      <c r="E3" s="183" t="inlineStr">
        <is>
          <t>Persona</t>
        </is>
      </c>
      <c r="F3" s="186" t="inlineStr">
        <is>
          <t>Type of MF</t>
        </is>
      </c>
      <c r="G3" s="186" t="inlineStr">
        <is>
          <t>Equity:Debt</t>
        </is>
      </c>
      <c r="H3" s="186" t="inlineStr">
        <is>
          <t>Suggested Funds: Equity</t>
        </is>
      </c>
      <c r="I3" s="187" t="inlineStr">
        <is>
          <t>Suggested Funds: Debt</t>
        </is>
      </c>
    </row>
    <row r="4" ht="43.5" customHeight="1">
      <c r="B4" s="133" t="inlineStr">
        <is>
          <t>Age</t>
        </is>
      </c>
      <c r="C4" s="160" t="inlineStr">
        <is>
          <t>18-30</t>
        </is>
      </c>
      <c r="D4" s="132">
        <f>VLOOKUP($C4, 'Investor Profile'!$D$5:$E$14,2,FALSE)</f>
        <v/>
      </c>
      <c r="E4" s="420">
        <f t="array" ref="E4">_xlfn.IFS(D4='Investor Profile'!I5,'Investor Profile'!I4, D4='Investor Profile'!J5, 'Investor Profile'!J4, D4='Investor Profile'!K5, 'Investor Profile'!K4, D4='Investor Profile'!L5, 'Investor Profile'!L4)</f>
        <v/>
      </c>
      <c r="F4" s="417">
        <f>HLOOKUP('Investor Persona'!$E$4, 'Investor Profile'!$I$19:$L$23,F$2,FALSE)</f>
        <v/>
      </c>
      <c r="G4" s="417">
        <f>HLOOKUP('Investor Persona'!$E$4, 'Investor Profile'!$I$19:$L$23,G$2,FALSE)</f>
        <v/>
      </c>
      <c r="H4" s="417">
        <f>HLOOKUP('Investor Persona'!$E$4, 'Investor Profile'!$I$19:$L$23,H$2,FALSE)</f>
        <v/>
      </c>
      <c r="I4" s="412">
        <f>HLOOKUP('Investor Persona'!$E$4, 'Investor Profile'!$I$19:$L$23,I$2,FALSE)</f>
        <v/>
      </c>
    </row>
    <row r="5">
      <c r="B5" s="133" t="inlineStr">
        <is>
          <t>Annual Income</t>
        </is>
      </c>
      <c r="C5" s="160" t="inlineStr">
        <is>
          <t>₹10-25 lakh</t>
        </is>
      </c>
      <c r="D5" s="132">
        <f>VLOOKUP($C5, 'Investor Profile'!$D$5:$E$14,2,FALSE)</f>
        <v/>
      </c>
      <c r="E5" s="420">
        <f>IF(SUM($D$5:$D$7)&lt;5,"Limited Resources",IF(SUM($D$5:$D$7)&lt;=8,"Stable Financials",IF(SUM($D$5:$D$7)&lt;=12,"Affluent",IF(SUM($D$5:$D$7)&gt;=13,"HNI/UHNI",""))))</f>
        <v/>
      </c>
      <c r="F5" s="417">
        <f>HLOOKUP('Investor Persona'!$E$5, 'Investor Profile'!$I$24:$L$28,F$2,FALSE)</f>
        <v/>
      </c>
      <c r="G5" s="417">
        <f>HLOOKUP('Investor Persona'!$E$5, 'Investor Profile'!$I$24:$L$28,G$2,FALSE)</f>
        <v/>
      </c>
      <c r="H5" s="417">
        <f>HLOOKUP('Investor Persona'!$E$5, 'Investor Profile'!$I$24:$L$28,H$2,FALSE)</f>
        <v/>
      </c>
      <c r="I5" s="412">
        <f>HLOOKUP('Investor Persona'!$E$5, 'Investor Profile'!$I$24:$L$28,I$2,FALSE)</f>
        <v/>
      </c>
    </row>
    <row r="6">
      <c r="B6" s="133" t="inlineStr">
        <is>
          <t>Annual Family Income</t>
        </is>
      </c>
      <c r="C6" s="160" t="inlineStr">
        <is>
          <t>₹25-50 lakh</t>
        </is>
      </c>
      <c r="D6" s="132">
        <f>VLOOKUP($C6, 'Investor Profile'!$D$15:$E$19,2,FALSE)</f>
        <v/>
      </c>
      <c r="E6" s="421" t="n"/>
      <c r="F6" s="418" t="n"/>
      <c r="G6" s="418" t="n"/>
      <c r="H6" s="418" t="n"/>
      <c r="I6" s="413" t="n"/>
    </row>
    <row r="7">
      <c r="B7" s="133" t="inlineStr">
        <is>
          <t>Monthly Savings</t>
        </is>
      </c>
      <c r="C7" s="160" t="inlineStr">
        <is>
          <t>Less than 10%</t>
        </is>
      </c>
      <c r="D7" s="132">
        <f>VLOOKUP($C7, 'Investor Profile'!$D$20:$E$24,2,FALSE)</f>
        <v/>
      </c>
      <c r="E7" s="422" t="n"/>
      <c r="F7" s="419" t="n"/>
      <c r="G7" s="419" t="n"/>
      <c r="H7" s="419" t="n"/>
      <c r="I7" s="414" t="n"/>
    </row>
    <row r="8" ht="29.1" customHeight="1">
      <c r="B8" s="133" t="inlineStr">
        <is>
          <t>Investment Goal</t>
        </is>
      </c>
      <c r="C8" s="160" t="inlineStr">
        <is>
          <t>Aggressive Growth</t>
        </is>
      </c>
      <c r="D8" s="132">
        <f>VLOOKUP($C8, 'Investor Profile'!$D$26:$E$33,2,FALSE)</f>
        <v/>
      </c>
      <c r="E8" s="420">
        <f t="array" ref="E8">_xlfn.IFS(D8='Investor Profile'!I9,'Investor Profile'!I8, D8='Investor Profile'!J9, 'Investor Profile'!J8, D8='Investor Profile'!K9, 'Investor Profile'!K8, D8='Investor Profile'!L9, 'Investor Profile'!L8)</f>
        <v/>
      </c>
      <c r="F8" s="417">
        <f>HLOOKUP('Investor Persona'!$E$8, 'Investor Profile'!$I$29:$L$33,F$2,FALSE)</f>
        <v/>
      </c>
      <c r="G8" s="417">
        <f>HLOOKUP('Investor Persona'!$E$8, 'Investor Profile'!$I$29:$L$33,G$2,FALSE)</f>
        <v/>
      </c>
      <c r="H8" s="417">
        <f>HLOOKUP('Investor Persona'!$E$8, 'Investor Profile'!$I$29:$L$33,H$2,FALSE)</f>
        <v/>
      </c>
      <c r="I8" s="412">
        <f>HLOOKUP('Investor Persona'!$E$8, 'Investor Profile'!$I$29:$L$33,I$2,FALSE)</f>
        <v/>
      </c>
    </row>
    <row r="9" ht="29.1" customHeight="1">
      <c r="B9" s="133" t="inlineStr">
        <is>
          <t>Investment Horizon</t>
        </is>
      </c>
      <c r="C9" s="160" t="inlineStr">
        <is>
          <t>Less than 1 year</t>
        </is>
      </c>
      <c r="D9" s="132">
        <f>VLOOKUP($C9, 'Investor Profile'!$D$26:$E$33,2,FALSE)</f>
        <v/>
      </c>
      <c r="E9" s="420">
        <f t="array" ref="E9">_xlfn.IFS(D9='Investor Profile'!I11,'Investor Profile'!I10, D9='Investor Profile'!J11, 'Investor Profile'!J10, D9='Investor Profile'!K11, 'Investor Profile'!K10, D9='Investor Profile'!L11, 'Investor Profile'!L10)</f>
        <v/>
      </c>
      <c r="F9" s="417">
        <f>HLOOKUP('Investor Persona'!$E$9, 'Investor Profile'!$I$34:$L$38,F$2,FALSE)</f>
        <v/>
      </c>
      <c r="G9" s="417">
        <f>HLOOKUP('Investor Persona'!$E$9, 'Investor Profile'!$I$34:$L$38,G$2,FALSE)</f>
        <v/>
      </c>
      <c r="H9" s="417">
        <f>HLOOKUP('Investor Persona'!$E$9, 'Investor Profile'!$I$34:$L$38,H$2,FALSE)</f>
        <v/>
      </c>
      <c r="I9" s="412">
        <f>HLOOKUP('Investor Persona'!$E$9, 'Investor Profile'!$I$34:$L$38,I$2,FALSE)</f>
        <v/>
      </c>
    </row>
    <row r="10" ht="43.5" customHeight="1">
      <c r="B10" s="133" t="inlineStr">
        <is>
          <t>Will you be okay with?</t>
        </is>
      </c>
      <c r="C10" s="160" t="inlineStr">
        <is>
          <t>Fixed gain of 5%</t>
        </is>
      </c>
      <c r="D10" s="132">
        <f>VLOOKUP($C10,'Investor Profile'!$D$35:$E$36,2,FALSE)</f>
        <v/>
      </c>
      <c r="E10" s="184">
        <f>IF(SUM($D$10:$D$10)=1,"Conservative",IF(SUM($D$10:$D$10)=2,"Aggressive",""))</f>
        <v/>
      </c>
      <c r="F10" s="417">
        <f>HLOOKUP('Investor Persona'!$E$10,'Investor Profile'!$I$39:$J$43,F$2,FALSE)</f>
        <v/>
      </c>
      <c r="G10" s="417">
        <f>HLOOKUP('Investor Persona'!$E$10,'Investor Profile'!$I$39:$J$43,G$2,FALSE)</f>
        <v/>
      </c>
      <c r="H10" s="417">
        <f>HLOOKUP('Investor Persona'!$E$10,'Investor Profile'!$I$39:$J$43,H$2,FALSE)</f>
        <v/>
      </c>
      <c r="I10" s="412">
        <f>HLOOKUP('Investor Persona'!$E$10,'Investor Profile'!$I$39:$J$43,I$2,FALSE)</f>
        <v/>
      </c>
    </row>
    <row r="11">
      <c r="B11" s="133" t="inlineStr">
        <is>
          <t>Market Experience</t>
        </is>
      </c>
      <c r="C11" s="160" t="inlineStr">
        <is>
          <t>Actively invest or trade</t>
        </is>
      </c>
      <c r="D11" s="132">
        <f>VLOOKUP($C11, 'Investor Profile'!$D$38:$E$43,2,FALSE)</f>
        <v/>
      </c>
      <c r="E11" s="420">
        <f t="array" ref="E11">_xlfn.IFS(SUM($D$11:$D$12)='Investor Profile'!I15,'Investor Profile'!I14, SUM($D$11:$D$12)='Investor Profile'!J15, 'Investor Profile'!J14, SUM($D$11:$D$12)='Investor Profile'!K15, 'Investor Profile'!K14, SUM($D$11:$D$12)='Investor Profile'!L15, 'Investor Profile'!L14, SUM($D$11:$D$12)=6, 'Investor Profile'!L14)</f>
        <v/>
      </c>
      <c r="F11" s="415">
        <f>HLOOKUP('Investor Persona'!$E$11,'Investor Profile'!$I$44:$L$48,F$2,FALSE)</f>
        <v/>
      </c>
      <c r="G11" s="415">
        <f>HLOOKUP('Investor Persona'!$E$11,'Investor Profile'!$I$44:$L$48,G$2,FALSE)</f>
        <v/>
      </c>
      <c r="H11" s="415">
        <f>HLOOKUP('Investor Persona'!$E$11,'Investor Profile'!$I$44:$L$48,H$2,FALSE)</f>
        <v/>
      </c>
      <c r="I11" s="423">
        <f>HLOOKUP('Investor Persona'!$E$11,'Investor Profile'!$I$44:$L$48,I$2,FALSE)</f>
        <v/>
      </c>
    </row>
    <row r="12" ht="15" customHeight="1" thickBot="1">
      <c r="B12" s="134" t="inlineStr">
        <is>
          <t>Knowledge of Investments</t>
        </is>
      </c>
      <c r="C12" s="188" t="inlineStr">
        <is>
          <t>Extensive investment knowledge</t>
        </is>
      </c>
      <c r="D12" s="141">
        <f>VLOOKUP($C12, 'Investor Profile'!$D$38:$E$43,2,FALSE)</f>
        <v/>
      </c>
      <c r="E12" s="422" t="n"/>
      <c r="F12" s="416" t="n"/>
      <c r="G12" s="416" t="n"/>
      <c r="H12" s="416" t="n"/>
      <c r="I12" s="424" t="n"/>
    </row>
    <row r="14" hidden="1">
      <c r="B14" s="25" t="inlineStr">
        <is>
          <t>Investable Surplus</t>
        </is>
      </c>
    </row>
    <row r="15" hidden="1">
      <c r="B15" s="25" t="inlineStr">
        <is>
          <t>Annual Savings</t>
        </is>
      </c>
      <c r="C15" s="115">
        <f>10*10^5</f>
        <v/>
      </c>
    </row>
    <row r="16" hidden="1">
      <c r="B16" s="25" t="inlineStr">
        <is>
          <t>Additonal Funds avbl</t>
        </is>
      </c>
      <c r="C16" s="115">
        <f>20*10^5</f>
        <v/>
      </c>
    </row>
    <row r="17">
      <c r="B17" s="25" t="n"/>
    </row>
  </sheetData>
  <mergeCells count="10">
    <mergeCell ref="I5:I7"/>
    <mergeCell ref="H11:H12"/>
    <mergeCell ref="G5:G7"/>
    <mergeCell ref="E5:E7"/>
    <mergeCell ref="G11:G12"/>
    <mergeCell ref="H5:H7"/>
    <mergeCell ref="F5:F7"/>
    <mergeCell ref="I11:I12"/>
    <mergeCell ref="E11:E12"/>
    <mergeCell ref="F11:F12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>
  <sheetPr codeName="Sheet5">
    <outlinePr summaryBelow="1" summaryRight="1"/>
    <pageSetUpPr/>
  </sheetPr>
  <dimension ref="B1:AC137"/>
  <sheetViews>
    <sheetView zoomScale="54" zoomScaleNormal="90" workbookViewId="0">
      <pane xSplit="2" topLeftCell="C1" activePane="topRight" state="frozen"/>
      <selection activeCell="A12" sqref="A12"/>
      <selection pane="topRight" activeCell="C1" sqref="C1"/>
    </sheetView>
  </sheetViews>
  <sheetFormatPr baseColWidth="8" defaultColWidth="8.7109375" defaultRowHeight="15"/>
  <cols>
    <col width="8.7109375" customWidth="1" style="42" min="1" max="1"/>
    <col width="53.42578125" customWidth="1" style="1" min="2" max="2"/>
    <col width="8.140625" customWidth="1" style="42" min="3" max="3"/>
    <col hidden="1" width="5" customWidth="1" style="42" min="4" max="4"/>
    <col width="13.140625" customWidth="1" style="42" min="5" max="7"/>
    <col width="11.7109375" customWidth="1" style="42" min="8" max="8"/>
    <col width="8.7109375" customWidth="1" style="42" min="9" max="25"/>
    <col width="8.7109375" customWidth="1" style="146" min="26" max="26"/>
    <col width="8.7109375" customWidth="1" style="42" min="27" max="33"/>
    <col width="8.7109375" customWidth="1" style="42" min="34" max="16384"/>
  </cols>
  <sheetData>
    <row r="1">
      <c r="B1" s="1" t="inlineStr">
        <is>
          <t>(Match with  morningstar)</t>
        </is>
      </c>
    </row>
    <row r="2" ht="15" customHeight="1" thickBot="1">
      <c r="B2" s="1" t="inlineStr">
        <is>
          <t>Model Portfolio</t>
        </is>
      </c>
      <c r="E2" s="42" t="n">
        <v>2</v>
      </c>
      <c r="F2" s="84">
        <f>E2+1</f>
        <v/>
      </c>
      <c r="G2" s="84">
        <f>F2+1</f>
        <v/>
      </c>
      <c r="H2" s="84">
        <f>G2+1</f>
        <v/>
      </c>
      <c r="I2" s="84">
        <f>H2+1</f>
        <v/>
      </c>
      <c r="J2" s="84">
        <f>I2+1</f>
        <v/>
      </c>
      <c r="K2" s="84">
        <f>J2+1</f>
        <v/>
      </c>
      <c r="L2" s="84">
        <f>K2+1</f>
        <v/>
      </c>
      <c r="M2" s="84">
        <f>L2+1</f>
        <v/>
      </c>
      <c r="N2" s="84">
        <f>M2+1</f>
        <v/>
      </c>
      <c r="O2" s="84">
        <f>N2+1</f>
        <v/>
      </c>
    </row>
    <row r="3" ht="15" customHeight="1" thickBot="1">
      <c r="B3" s="309" t="inlineStr">
        <is>
          <t>Equity Large Cap</t>
        </is>
      </c>
      <c r="C3" s="310" t="n"/>
      <c r="D3" s="310" t="n"/>
      <c r="E3" s="310" t="n"/>
      <c r="F3" s="310" t="n"/>
      <c r="G3" s="310" t="n"/>
      <c r="H3" s="310" t="n"/>
      <c r="I3" s="310" t="n"/>
      <c r="J3" s="310" t="n"/>
      <c r="K3" s="310" t="n"/>
      <c r="L3" s="310" t="n"/>
      <c r="M3" s="310" t="n"/>
      <c r="N3" s="310" t="n"/>
      <c r="O3" s="310" t="n"/>
      <c r="P3" s="310" t="n"/>
      <c r="Q3" s="310" t="n"/>
      <c r="R3" s="310" t="n"/>
      <c r="S3" s="310" t="n"/>
      <c r="T3" s="310" t="n"/>
      <c r="U3" s="310" t="n"/>
      <c r="V3" s="310" t="n"/>
      <c r="W3" s="310" t="n"/>
      <c r="X3" s="310" t="n"/>
      <c r="Y3" s="310" t="n"/>
      <c r="Z3" s="311" t="n"/>
    </row>
    <row r="4" ht="15" customHeight="1" thickBot="1">
      <c r="B4" s="147" t="n"/>
      <c r="C4" s="148" t="n"/>
      <c r="D4" s="190" t="n"/>
      <c r="E4" s="425" t="inlineStr">
        <is>
          <t>Actuals</t>
        </is>
      </c>
      <c r="F4" s="426" t="n"/>
      <c r="G4" s="426" t="n"/>
      <c r="H4" s="426" t="n"/>
      <c r="I4" s="426" t="n"/>
      <c r="J4" s="426" t="n"/>
      <c r="K4" s="426" t="n"/>
      <c r="L4" s="426" t="n"/>
      <c r="M4" s="425" t="inlineStr">
        <is>
          <t>Normalized</t>
        </is>
      </c>
      <c r="N4" s="426" t="n"/>
      <c r="O4" s="426" t="n"/>
      <c r="P4" s="426" t="n"/>
      <c r="Q4" s="426" t="n"/>
      <c r="R4" s="426" t="n"/>
      <c r="S4" s="426" t="n"/>
      <c r="T4" s="426" t="n"/>
      <c r="U4" s="308" t="n"/>
      <c r="V4" s="308" t="n"/>
      <c r="W4" s="308" t="n"/>
      <c r="X4" s="308" t="n"/>
      <c r="Y4" s="308" t="n"/>
    </row>
    <row r="5" ht="29.1" customHeight="1">
      <c r="B5" s="116" t="inlineStr">
        <is>
          <t>Funds</t>
        </is>
      </c>
      <c r="C5" s="114" t="inlineStr">
        <is>
          <t>Rank</t>
        </is>
      </c>
      <c r="D5" s="114" t="n"/>
      <c r="E5" s="113" t="inlineStr">
        <is>
          <t>1 Yr Ret (%)</t>
        </is>
      </c>
      <c r="F5" s="113" t="inlineStr">
        <is>
          <t>3 Yr Ret (%)</t>
        </is>
      </c>
      <c r="G5" s="113" t="inlineStr">
        <is>
          <t>5 Yr Ret (%)</t>
        </is>
      </c>
      <c r="H5" s="113" t="inlineStr">
        <is>
          <t>10 Yr Ret (%)</t>
        </is>
      </c>
      <c r="I5" s="113" t="inlineStr">
        <is>
          <t>Sharpe</t>
        </is>
      </c>
      <c r="J5" s="113" t="inlineStr">
        <is>
          <t>Alpha</t>
        </is>
      </c>
      <c r="K5" s="138" t="inlineStr">
        <is>
          <t>Beta</t>
        </is>
      </c>
      <c r="L5" s="113" t="inlineStr">
        <is>
          <t>SD</t>
        </is>
      </c>
      <c r="M5" s="124">
        <f>F5</f>
        <v/>
      </c>
      <c r="N5" s="124">
        <f>G5</f>
        <v/>
      </c>
      <c r="O5" s="124">
        <f>H5</f>
        <v/>
      </c>
      <c r="P5" s="123" t="inlineStr">
        <is>
          <t>Sharpe</t>
        </is>
      </c>
      <c r="Q5" s="123" t="inlineStr">
        <is>
          <t>Alpha</t>
        </is>
      </c>
      <c r="R5" s="121" t="inlineStr">
        <is>
          <t>Beta</t>
        </is>
      </c>
      <c r="S5" s="122" t="inlineStr">
        <is>
          <t>SD</t>
        </is>
      </c>
      <c r="T5" s="430" t="inlineStr">
        <is>
          <t>Score</t>
        </is>
      </c>
      <c r="Z5" s="42" t="n"/>
    </row>
    <row r="6">
      <c r="B6" s="117" t="inlineStr">
        <is>
          <t>Aditya Birla Sun Life Large Cap Fund - Reg - Growth</t>
        </is>
      </c>
      <c r="C6" s="125">
        <f>RANK(T6,$T$6:$T$12,0)</f>
        <v/>
      </c>
      <c r="D6" s="191">
        <f>B6</f>
        <v/>
      </c>
      <c r="E6" s="248" t="n">
        <v>-3.5108</v>
      </c>
      <c r="F6" s="248" t="n">
        <v>10.818</v>
      </c>
      <c r="G6" s="248" t="n">
        <v>11.0272</v>
      </c>
      <c r="H6" s="248" t="n">
        <v>11.6726</v>
      </c>
      <c r="I6" s="248" t="n">
        <v>0.043269173718464</v>
      </c>
      <c r="J6" s="248" t="n">
        <v>-0.249273672090025</v>
      </c>
      <c r="K6" s="248" t="n">
        <v>0.965073130510584</v>
      </c>
      <c r="L6" s="248" t="n">
        <v>13.0578171150772</v>
      </c>
      <c r="M6" s="149">
        <f>(F6-MIN(F$6:F$12))/(MAX(F$6:F$12)-MIN(F$6:F$12))</f>
        <v/>
      </c>
      <c r="N6" s="142">
        <f>(G6-MIN(G$6:G$12))/(MAX(G$6:G$12)-MIN(G$6:G$12))</f>
        <v/>
      </c>
      <c r="O6" s="142">
        <f>(H6-MIN(H$6:H$12))/(MAX(H$6:H$12)-MIN(H$6:H$12))</f>
        <v/>
      </c>
      <c r="P6" s="142">
        <f>(I6-MIN(I$6:I$12))/(MAX(I$6:I$12)-MIN(I$6:I$12))</f>
        <v/>
      </c>
      <c r="Q6" s="142">
        <f>(J6-MIN(J$6:J$12))/(MAX(J$6:J$12)-MIN(J$6:J$12))</f>
        <v/>
      </c>
      <c r="R6" s="142">
        <f>(MAX(K$6:K$12)-K6)/(MAX(K$6:K$12)-MIN(K$6:K$12))</f>
        <v/>
      </c>
      <c r="S6" s="150">
        <f>(MAX(L$6:L$12)-L6)/(MAX(L$6:L$12)-MIN(L$6:L$12))</f>
        <v/>
      </c>
      <c r="T6" s="143">
        <f>(M6*'Fund Ranking Criteria'!$C$9)+('Fund Ranking_Equity'!N6*'Fund Ranking Criteria'!$C$10)+('Fund Ranking_Equity'!O6*'Fund Ranking Criteria'!$C$11)+('Fund Ranking_Equity'!P6*'Fund Ranking Criteria'!$C$16)+('Fund Ranking_Equity'!Q6*'Fund Ranking Criteria'!$C$12)+('Fund Ranking_Equity'!R6*'Fund Ranking Criteria'!$C$14)+('Fund Ranking_Equity'!S6*'Fund Ranking Criteria'!$C$15)</f>
        <v/>
      </c>
      <c r="Z6" s="42" t="n">
        <v>1</v>
      </c>
      <c r="AA6" s="42" t="n">
        <v>21</v>
      </c>
      <c r="AB6" s="149">
        <f>(Z6-MIN(Z$6:Z$10))/(MAX(Z$6:Z$10)-MIN(R$6:R$12))</f>
        <v/>
      </c>
      <c r="AC6" s="149">
        <f>(AA6-MIN(AA$6:AA$10))/(MAX(AA$6:AA$10)-MIN(S$6:S$12))</f>
        <v/>
      </c>
    </row>
    <row r="7">
      <c r="B7" s="117" t="inlineStr">
        <is>
          <t>HDFC Large Cap Fund - Growth</t>
        </is>
      </c>
      <c r="C7" s="125">
        <f>RANK(T7,$T$6:$T$12,0)</f>
        <v/>
      </c>
      <c r="D7" s="191">
        <f>B7</f>
        <v/>
      </c>
      <c r="E7" s="248" t="n">
        <v>-1.7376</v>
      </c>
      <c r="F7" s="248" t="n">
        <v>11.1786</v>
      </c>
      <c r="G7" s="248" t="n">
        <v>12.5332</v>
      </c>
      <c r="H7" s="248" t="n">
        <v>12.7008</v>
      </c>
      <c r="I7" s="249" t="n">
        <v>0.0453040780379629</v>
      </c>
      <c r="J7" s="249" t="n">
        <v>-0.218892250189612</v>
      </c>
      <c r="K7" s="249" t="n">
        <v>0.9607941597427631</v>
      </c>
      <c r="L7" s="249" t="n">
        <v>13.062224172863</v>
      </c>
      <c r="M7" s="149">
        <f>(F7-MIN(F$6:F$12))/(MAX(F$6:F$12)-MIN(F$6:F$12))</f>
        <v/>
      </c>
      <c r="N7" s="142">
        <f>(G7-MIN(G$6:G$12))/(MAX(G$6:G$12)-MIN(G$6:G$12))</f>
        <v/>
      </c>
      <c r="O7" s="142">
        <f>(H7-MIN(H$6:H$12))/(MAX(H$6:H$12)-MIN(H$6:H$12))</f>
        <v/>
      </c>
      <c r="P7" s="142">
        <f>(I7-MIN(I$6:I$12))/(MAX(I$6:I$12)-MIN(I$6:I$12))</f>
        <v/>
      </c>
      <c r="Q7" s="142">
        <f>(J7-MIN(J$6:J$12))/(MAX(J$6:J$12)-MIN(J$6:J$12))</f>
        <v/>
      </c>
      <c r="R7" s="142">
        <f>(MAX(K$6:K$12)-K7)/(MAX(K$6:K$12)-MIN(K$6:K$12))</f>
        <v/>
      </c>
      <c r="S7" s="150">
        <f>(MAX(L$6:L$12)-L7)/(MAX(L$6:L$12)-MIN(L$6:L$12))</f>
        <v/>
      </c>
      <c r="T7" s="143">
        <f>(M7*'Fund Ranking Criteria'!$C$9)+('Fund Ranking_Equity'!N7*'Fund Ranking Criteria'!$C$10)+('Fund Ranking_Equity'!O7*'Fund Ranking Criteria'!$C$11)+('Fund Ranking_Equity'!P7*'Fund Ranking Criteria'!$C$16)+('Fund Ranking_Equity'!Q7*'Fund Ranking Criteria'!$C$12)+('Fund Ranking_Equity'!R7*'Fund Ranking Criteria'!$C$14)+('Fund Ranking_Equity'!S7*'Fund Ranking Criteria'!$C$15)</f>
        <v/>
      </c>
      <c r="Z7" s="42" t="n">
        <v>2</v>
      </c>
      <c r="AA7" s="42" t="n">
        <v>22</v>
      </c>
      <c r="AB7" s="149">
        <f>(Z7-MIN(Z$6:Z$10))/(MAX(Z$6:Z$10)-MIN(R$6:R$12))</f>
        <v/>
      </c>
      <c r="AC7" s="149">
        <f>(AA7-MIN(AA$6:AA$10))/(MAX(AA$6:AA$10)-MIN(S$6:S$12))</f>
        <v/>
      </c>
    </row>
    <row r="8">
      <c r="B8" s="117" t="inlineStr">
        <is>
          <t>ICICI Prudential Large Cap Fund - Growth</t>
        </is>
      </c>
      <c r="C8" s="125">
        <f>RANK(T8,$T$6:$T$12,0)</f>
        <v/>
      </c>
      <c r="D8" s="191">
        <f>B8</f>
        <v/>
      </c>
      <c r="E8" s="248" t="n">
        <v>-2.2619</v>
      </c>
      <c r="F8" s="248" t="n">
        <v>13.3058</v>
      </c>
      <c r="G8" s="248" t="n">
        <v>13.4689</v>
      </c>
      <c r="H8" s="248" t="n">
        <v>13.6005</v>
      </c>
      <c r="I8" s="249" t="n">
        <v>0.0595253711667088</v>
      </c>
      <c r="J8" s="249" t="n">
        <v>-0.039833830523525</v>
      </c>
      <c r="K8" s="249" t="n">
        <v>0.93476805864428</v>
      </c>
      <c r="L8" s="249" t="n">
        <v>12.5807040349682</v>
      </c>
      <c r="M8" s="149">
        <f>(F8-MIN(F$6:F$12))/(MAX(F$6:F$12)-MIN(F$6:F$12))</f>
        <v/>
      </c>
      <c r="N8" s="142">
        <f>(G8-MIN(G$6:G$12))/(MAX(G$6:G$12)-MIN(G$6:G$12))</f>
        <v/>
      </c>
      <c r="O8" s="142">
        <f>(H8-MIN(H$6:H$12))/(MAX(H$6:H$12)-MIN(H$6:H$12))</f>
        <v/>
      </c>
      <c r="P8" s="142">
        <f>(I8-MIN(I$6:I$12))/(MAX(I$6:I$12)-MIN(I$6:I$12))</f>
        <v/>
      </c>
      <c r="Q8" s="142">
        <f>(J8-MIN(J$6:J$12))/(MAX(J$6:J$12)-MIN(J$6:J$12))</f>
        <v/>
      </c>
      <c r="R8" s="142">
        <f>(MAX(K$6:K$12)-K8)/(MAX(K$6:K$12)-MIN(K$6:K$12))</f>
        <v/>
      </c>
      <c r="S8" s="150">
        <f>(MAX(L$6:L$12)-L8)/(MAX(L$6:L$12)-MIN(L$6:L$12))</f>
        <v/>
      </c>
      <c r="T8" s="143">
        <f>(M8*'Fund Ranking Criteria'!$C$9)+('Fund Ranking_Equity'!N8*'Fund Ranking Criteria'!$C$10)+('Fund Ranking_Equity'!O8*'Fund Ranking Criteria'!$C$11)+('Fund Ranking_Equity'!P8*'Fund Ranking Criteria'!$C$16)+('Fund Ranking_Equity'!Q8*'Fund Ranking Criteria'!$C$12)+('Fund Ranking_Equity'!R8*'Fund Ranking Criteria'!$C$14)+('Fund Ranking_Equity'!S8*'Fund Ranking Criteria'!$C$15)</f>
        <v/>
      </c>
      <c r="Z8" s="42" t="n">
        <v>3</v>
      </c>
      <c r="AA8" s="42" t="n">
        <v>23</v>
      </c>
      <c r="AB8" s="149">
        <f>(Z8-MIN(Z$6:Z$10))/(MAX(Z$6:Z$10)-MIN(R$6:R$12))</f>
        <v/>
      </c>
      <c r="AC8" s="149">
        <f>(AA8-MIN(AA$6:AA$10))/(MAX(AA$6:AA$10)-MIN(S$6:S$12))</f>
        <v/>
      </c>
    </row>
    <row r="9">
      <c r="B9" s="117" t="inlineStr">
        <is>
          <t>Kotak Large Cap Fund - Reg - Growth</t>
        </is>
      </c>
      <c r="C9" s="125">
        <f>RANK(T9,$T$6:$T$12,0)</f>
        <v/>
      </c>
      <c r="D9" s="191">
        <f>B9</f>
        <v/>
      </c>
      <c r="E9" s="248" t="n">
        <v>-2.0433</v>
      </c>
      <c r="F9" s="248" t="n">
        <v>11.3725</v>
      </c>
      <c r="G9" s="248" t="n">
        <v>10.6377</v>
      </c>
      <c r="H9" s="248" t="n">
        <v>12.1893</v>
      </c>
      <c r="I9" s="249" t="n">
        <v>0.0441860115699</v>
      </c>
      <c r="J9" s="249" t="n">
        <v>-0.233455803786293</v>
      </c>
      <c r="K9" s="249" t="n">
        <v>0.969306378747434</v>
      </c>
      <c r="L9" s="249" t="n">
        <v>13.2256925286363</v>
      </c>
      <c r="M9" s="149">
        <f>(F9-MIN(F$6:F$12))/(MAX(F$6:F$12)-MIN(F$6:F$12))</f>
        <v/>
      </c>
      <c r="N9" s="142">
        <f>(G9-MIN(G$6:G$12))/(MAX(G$6:G$12)-MIN(G$6:G$12))</f>
        <v/>
      </c>
      <c r="O9" s="142">
        <f>(H9-MIN(H$6:H$12))/(MAX(H$6:H$12)-MIN(H$6:H$12))</f>
        <v/>
      </c>
      <c r="P9" s="142">
        <f>(I9-MIN(I$6:I$12))/(MAX(I$6:I$12)-MIN(I$6:I$12))</f>
        <v/>
      </c>
      <c r="Q9" s="142">
        <f>(J9-MIN(J$6:J$12))/(MAX(J$6:J$12)-MIN(J$6:J$12))</f>
        <v/>
      </c>
      <c r="R9" s="142">
        <f>(MAX(K$6:K$12)-K9)/(MAX(K$6:K$12)-MIN(K$6:K$12))</f>
        <v/>
      </c>
      <c r="S9" s="150">
        <f>(MAX(L$6:L$12)-L9)/(MAX(L$6:L$12)-MIN(L$6:L$12))</f>
        <v/>
      </c>
      <c r="T9" s="143">
        <f>(M9*'Fund Ranking Criteria'!$C$9)+('Fund Ranking_Equity'!N9*'Fund Ranking Criteria'!$C$10)+('Fund Ranking_Equity'!O9*'Fund Ranking Criteria'!$C$11)+('Fund Ranking_Equity'!P9*'Fund Ranking Criteria'!$C$16)+('Fund Ranking_Equity'!Q9*'Fund Ranking Criteria'!$C$12)+('Fund Ranking_Equity'!R9*'Fund Ranking Criteria'!$C$14)+('Fund Ranking_Equity'!S9*'Fund Ranking Criteria'!$C$15)</f>
        <v/>
      </c>
      <c r="Z9" s="42" t="n">
        <v>4</v>
      </c>
      <c r="AA9" s="42" t="n">
        <v>24</v>
      </c>
      <c r="AB9" s="149">
        <f>(Z9-MIN(Z$6:Z$10))/(MAX(Z$6:Z$10)-MIN(R$6:R$12))</f>
        <v/>
      </c>
      <c r="AC9" s="149">
        <f>(AA9-MIN(AA$6:AA$10))/(MAX(AA$6:AA$10)-MIN(S$6:S$12))</f>
        <v/>
      </c>
    </row>
    <row r="10">
      <c r="B10" s="117" t="inlineStr">
        <is>
          <t>Nippon India Large Cap Fund - Reg - Growth</t>
        </is>
      </c>
      <c r="C10" s="125">
        <f>RANK(T10,$T$6:$T$12,0)</f>
        <v/>
      </c>
      <c r="D10" s="191">
        <f>B10</f>
        <v/>
      </c>
      <c r="E10" s="248" t="n">
        <v>-1.1888</v>
      </c>
      <c r="F10" s="248" t="n">
        <v>13.5064</v>
      </c>
      <c r="G10" s="248" t="n">
        <v>15.3112</v>
      </c>
      <c r="H10" s="248" t="n">
        <v>14.1928</v>
      </c>
      <c r="I10" s="249" t="n">
        <v>0.0584203382731081</v>
      </c>
      <c r="J10" s="249" t="n">
        <v>-0.0450524471855435</v>
      </c>
      <c r="K10" s="249" t="n">
        <v>0.954821965443775</v>
      </c>
      <c r="L10" s="249" t="n">
        <v>13.0194131638543</v>
      </c>
      <c r="M10" s="149">
        <f>(F10-MIN(F$6:F$12))/(MAX(F$6:F$12)-MIN(F$6:F$12))</f>
        <v/>
      </c>
      <c r="N10" s="142">
        <f>(G10-MIN(G$6:G$12))/(MAX(G$6:G$12)-MIN(G$6:G$12))</f>
        <v/>
      </c>
      <c r="O10" s="142">
        <f>(H10-MIN(H$6:H$12))/(MAX(H$6:H$12)-MIN(H$6:H$12))</f>
        <v/>
      </c>
      <c r="P10" s="142">
        <f>(I10-MIN(I$6:I$12))/(MAX(I$6:I$12)-MIN(I$6:I$12))</f>
        <v/>
      </c>
      <c r="Q10" s="142">
        <f>(J10-MIN(J$6:J$12))/(MAX(J$6:J$12)-MIN(J$6:J$12))</f>
        <v/>
      </c>
      <c r="R10" s="142">
        <f>(MAX(K$6:K$12)-K10)/(MAX(K$6:K$12)-MIN(K$6:K$12))</f>
        <v/>
      </c>
      <c r="S10" s="150">
        <f>(MAX(L$6:L$12)-L10)/(MAX(L$6:L$12)-MIN(L$6:L$12))</f>
        <v/>
      </c>
      <c r="T10" s="143">
        <f>(M10*'Fund Ranking Criteria'!$C$9)+('Fund Ranking_Equity'!N10*'Fund Ranking Criteria'!$C$10)+('Fund Ranking_Equity'!O10*'Fund Ranking Criteria'!$C$11)+('Fund Ranking_Equity'!P10*'Fund Ranking Criteria'!$C$16)+('Fund Ranking_Equity'!Q10*'Fund Ranking Criteria'!$C$12)+('Fund Ranking_Equity'!R10*'Fund Ranking Criteria'!$C$14)+('Fund Ranking_Equity'!S10*'Fund Ranking Criteria'!$C$15)</f>
        <v/>
      </c>
      <c r="Z10" s="42" t="n">
        <v>5</v>
      </c>
      <c r="AA10" s="42" t="n">
        <v>25</v>
      </c>
      <c r="AB10" s="149">
        <f>(Z10-MIN(Z$6:Z$10))/(MAX(Z$6:Z$10)-MIN(R$6:R$12))</f>
        <v/>
      </c>
      <c r="AC10" s="149">
        <f>(AA10-MIN(AA$6:AA$10))/(MAX(AA$6:AA$10)-MIN(S$6:S$12))</f>
        <v/>
      </c>
    </row>
    <row r="11">
      <c r="B11" s="117" t="inlineStr">
        <is>
          <t>SBI Large Cap Fund - Growth</t>
        </is>
      </c>
      <c r="C11" s="125">
        <f>RANK(T11,$T$6:$T$12,0)</f>
        <v/>
      </c>
      <c r="D11" s="191">
        <f>B11</f>
        <v/>
      </c>
      <c r="E11" s="248" t="n">
        <v>0.9096</v>
      </c>
      <c r="F11" s="248" t="n">
        <v>10.6537</v>
      </c>
      <c r="G11" s="248" t="n">
        <v>11.3848</v>
      </c>
      <c r="H11" s="248" t="n">
        <v>12.0264</v>
      </c>
      <c r="I11" s="249" t="n">
        <v>0.0429896682206237</v>
      </c>
      <c r="J11" s="249" t="n">
        <v>-0.249561657815183</v>
      </c>
      <c r="K11" s="249" t="n">
        <v>0.933387091251787</v>
      </c>
      <c r="L11" s="249" t="n">
        <v>12.5147090025754</v>
      </c>
      <c r="M11" s="149">
        <f>(F11-MIN(F$6:F$12))/(MAX(F$6:F$12)-MIN(F$6:F$12))</f>
        <v/>
      </c>
      <c r="N11" s="142">
        <f>(G11-MIN(G$6:G$12))/(MAX(G$6:G$12)-MIN(G$6:G$12))</f>
        <v/>
      </c>
      <c r="O11" s="142">
        <f>(H11-MIN(H$6:H$12))/(MAX(H$6:H$12)-MIN(H$6:H$12))</f>
        <v/>
      </c>
      <c r="P11" s="142">
        <f>(I11-MIN(I$6:I$12))/(MAX(I$6:I$12)-MIN(I$6:I$12))</f>
        <v/>
      </c>
      <c r="Q11" s="142">
        <f>(J11-MIN(J$6:J$12))/(MAX(J$6:J$12)-MIN(J$6:J$12))</f>
        <v/>
      </c>
      <c r="R11" s="142">
        <f>(MAX(K$6:K$12)-K11)/(MAX(K$6:K$12)-MIN(K$6:K$12))</f>
        <v/>
      </c>
      <c r="S11" s="150">
        <f>(MAX(L$6:L$12)-L11)/(MAX(L$6:L$12)-MIN(L$6:L$12))</f>
        <v/>
      </c>
      <c r="T11" s="143">
        <f>(M11*'Fund Ranking Criteria'!$C$9)+('Fund Ranking_Equity'!N11*'Fund Ranking Criteria'!$C$10)+('Fund Ranking_Equity'!O11*'Fund Ranking Criteria'!$C$11)+('Fund Ranking_Equity'!P11*'Fund Ranking Criteria'!$C$16)+('Fund Ranking_Equity'!Q11*'Fund Ranking Criteria'!$C$12)+('Fund Ranking_Equity'!R11*'Fund Ranking Criteria'!$C$14)+('Fund Ranking_Equity'!S11*'Fund Ranking Criteria'!$C$15)</f>
        <v/>
      </c>
      <c r="Z11" s="42" t="n"/>
    </row>
    <row r="12" ht="15" customHeight="1" thickBot="1">
      <c r="B12" s="118" t="inlineStr">
        <is>
          <t>UTI Large Cap Fund - Growth</t>
        </is>
      </c>
      <c r="C12" s="126">
        <f>RANK(T12,$T$6:$T$12,0)</f>
        <v/>
      </c>
      <c r="D12" s="191">
        <f>B12</f>
        <v/>
      </c>
      <c r="E12" s="251" t="n">
        <v>-5.2442</v>
      </c>
      <c r="F12" s="251" t="n">
        <v>8.268800000000001</v>
      </c>
      <c r="G12" s="251" t="n">
        <v>8.414300000000001</v>
      </c>
      <c r="H12" s="251" t="n">
        <v>11.0563</v>
      </c>
      <c r="I12" s="250" t="n">
        <v>0.029177099114558</v>
      </c>
      <c r="J12" s="250" t="n">
        <v>-0.41230577765656</v>
      </c>
      <c r="K12" s="250" t="n">
        <v>0.9181776836558539</v>
      </c>
      <c r="L12" s="250" t="n">
        <v>12.4215848679621</v>
      </c>
      <c r="M12" s="151">
        <f>(F12-MIN(F$6:F$12))/(MAX(F$6:F$12)-MIN(F$6:F$12))</f>
        <v/>
      </c>
      <c r="N12" s="144">
        <f>(G12-MIN(G$6:G$12))/(MAX(G$6:G$12)-MIN(G$6:G$12))</f>
        <v/>
      </c>
      <c r="O12" s="144">
        <f>(H12-MIN(H$6:H$12))/(MAX(H$6:H$12)-MIN(H$6:H$12))</f>
        <v/>
      </c>
      <c r="P12" s="144">
        <f>(I12-MIN(I$6:I$12))/(MAX(I$6:I$12)-MIN(I$6:I$12))</f>
        <v/>
      </c>
      <c r="Q12" s="144">
        <f>(J12-MIN(J$6:J$12))/(MAX(J$6:J$12)-MIN(J$6:J$12))</f>
        <v/>
      </c>
      <c r="R12" s="144">
        <f>(MAX(K$6:K$12)-K12)/(MAX(K$6:K$12)-MIN(K$6:K$12))</f>
        <v/>
      </c>
      <c r="S12" s="152">
        <f>(MAX(L$6:L$12)-L12)/(MAX(L$6:L$12)-MIN(L$6:L$12))</f>
        <v/>
      </c>
      <c r="T12" s="145">
        <f>(M12*'Fund Ranking Criteria'!$C$9)+('Fund Ranking_Equity'!N12*'Fund Ranking Criteria'!$C$10)+('Fund Ranking_Equity'!O12*'Fund Ranking Criteria'!$C$11)+('Fund Ranking_Equity'!P12*'Fund Ranking Criteria'!$C$16)+('Fund Ranking_Equity'!Q12*'Fund Ranking Criteria'!$C$12)+('Fund Ranking_Equity'!R12*'Fund Ranking Criteria'!$C$14)+('Fund Ranking_Equity'!S12*'Fund Ranking Criteria'!$C$15)</f>
        <v/>
      </c>
      <c r="Z12" s="42" t="n"/>
    </row>
    <row r="13" ht="15" customHeight="1" thickBot="1"/>
    <row r="14" ht="15" customHeight="1" thickBot="1">
      <c r="B14" s="309" t="inlineStr">
        <is>
          <t>Equity Large &amp; Mid Cap</t>
        </is>
      </c>
      <c r="C14" s="310" t="n"/>
      <c r="D14" s="310" t="n"/>
      <c r="E14" s="310" t="n"/>
      <c r="F14" s="310" t="n"/>
      <c r="G14" s="310" t="n"/>
      <c r="H14" s="310" t="n"/>
      <c r="I14" s="310" t="n"/>
      <c r="J14" s="310" t="n"/>
      <c r="K14" s="310" t="n"/>
      <c r="L14" s="310" t="n"/>
      <c r="M14" s="310" t="n"/>
      <c r="N14" s="310" t="n"/>
      <c r="O14" s="310" t="n"/>
      <c r="P14" s="310" t="n"/>
      <c r="Q14" s="310" t="n"/>
      <c r="R14" s="310" t="n"/>
      <c r="S14" s="310" t="n"/>
      <c r="T14" s="310" t="n"/>
      <c r="U14" s="310" t="n"/>
      <c r="V14" s="310" t="n"/>
      <c r="W14" s="310" t="n"/>
      <c r="X14" s="310" t="n"/>
      <c r="Y14" s="310" t="n"/>
      <c r="Z14" s="311" t="n"/>
    </row>
    <row r="15" ht="15" customHeight="1" thickBot="1">
      <c r="B15" s="147" t="n"/>
      <c r="C15" s="148" t="n"/>
      <c r="D15" s="190" t="n"/>
      <c r="E15" s="425" t="inlineStr">
        <is>
          <t>Actuals</t>
        </is>
      </c>
      <c r="F15" s="426" t="n"/>
      <c r="G15" s="426" t="n"/>
      <c r="H15" s="426" t="n"/>
      <c r="I15" s="426" t="n"/>
      <c r="J15" s="426" t="n"/>
      <c r="K15" s="426" t="n"/>
      <c r="L15" s="426" t="n"/>
      <c r="M15" s="425" t="inlineStr">
        <is>
          <t>Normalized</t>
        </is>
      </c>
      <c r="N15" s="426" t="n"/>
      <c r="O15" s="426" t="n"/>
      <c r="P15" s="426" t="n"/>
      <c r="Q15" s="426" t="n"/>
      <c r="R15" s="426" t="n"/>
      <c r="S15" s="426" t="n"/>
      <c r="T15" s="426" t="n"/>
      <c r="U15" s="308" t="n"/>
      <c r="V15" s="308" t="n"/>
      <c r="W15" s="308" t="n"/>
      <c r="X15" s="308" t="n"/>
      <c r="Y15" s="308" t="n"/>
    </row>
    <row r="16" ht="29.1" customHeight="1">
      <c r="B16" s="129" t="inlineStr">
        <is>
          <t>Funds</t>
        </is>
      </c>
      <c r="C16" s="127" t="inlineStr">
        <is>
          <t>Rank</t>
        </is>
      </c>
      <c r="D16" s="127" t="n"/>
      <c r="E16" s="113" t="inlineStr">
        <is>
          <t>1 Yr Ret (%)</t>
        </is>
      </c>
      <c r="F16" s="128" t="inlineStr">
        <is>
          <t>3 Yr Ret (%)</t>
        </is>
      </c>
      <c r="G16" s="128" t="inlineStr">
        <is>
          <t>5 Yr Ret (%)</t>
        </is>
      </c>
      <c r="H16" s="128" t="inlineStr">
        <is>
          <t>10 Yr Ret (%)</t>
        </is>
      </c>
      <c r="I16" s="128" t="inlineStr">
        <is>
          <t>Sharpe</t>
        </is>
      </c>
      <c r="J16" s="128" t="inlineStr">
        <is>
          <t>Alpha</t>
        </is>
      </c>
      <c r="K16" s="128" t="inlineStr">
        <is>
          <t>Beta</t>
        </is>
      </c>
      <c r="L16" s="128" t="inlineStr">
        <is>
          <t>SD</t>
        </is>
      </c>
      <c r="M16" s="123">
        <f>F16</f>
        <v/>
      </c>
      <c r="N16" s="123">
        <f>G16</f>
        <v/>
      </c>
      <c r="O16" s="123">
        <f>H16</f>
        <v/>
      </c>
      <c r="P16" s="123" t="inlineStr">
        <is>
          <t>Sharpe</t>
        </is>
      </c>
      <c r="Q16" s="123" t="inlineStr">
        <is>
          <t>Alpha</t>
        </is>
      </c>
      <c r="R16" s="121" t="inlineStr">
        <is>
          <t>Beta</t>
        </is>
      </c>
      <c r="S16" s="121" t="inlineStr">
        <is>
          <t>SD</t>
        </is>
      </c>
      <c r="T16" s="307" t="n"/>
      <c r="Z16" s="42" t="n"/>
    </row>
    <row r="17">
      <c r="B17" s="119" t="inlineStr">
        <is>
          <t>SBI Large &amp; Midcap Fund - Growth</t>
        </is>
      </c>
      <c r="C17" s="125">
        <f>RANK(T17,$T$17:$T$23,0)</f>
        <v/>
      </c>
      <c r="D17" s="191">
        <f>B17</f>
        <v/>
      </c>
      <c r="E17" s="248" t="n">
        <v>3.4584</v>
      </c>
      <c r="F17" s="252" t="n">
        <v>14.5413</v>
      </c>
      <c r="G17" s="248" t="n">
        <v>14.2098</v>
      </c>
      <c r="H17" s="248" t="n">
        <v>14.7781</v>
      </c>
      <c r="I17" s="249" t="n">
        <v>0.06462536413482529</v>
      </c>
      <c r="J17" s="249" t="n">
        <v>-0.282313402995424</v>
      </c>
      <c r="K17" s="249" t="n">
        <v>0.8387165353279989</v>
      </c>
      <c r="L17" s="249" t="n">
        <v>12.7062276292041</v>
      </c>
      <c r="M17" s="142">
        <f>(F17-MIN(F$17:F$23))/(MAX(F$17:F$23)-MIN(F$17:F$23))</f>
        <v/>
      </c>
      <c r="N17" s="142">
        <f>(G17-MIN(G$17:G$23))/(MAX(G$17:G$23)-MIN(G$17:G$23))</f>
        <v/>
      </c>
      <c r="O17" s="142">
        <f>(H17-MIN(H$17:H$23))/(MAX(H$17:H$23)-MIN(H$17:H$23))</f>
        <v/>
      </c>
      <c r="P17" s="142">
        <f>(I17-MIN(I$17:I$23))/(MAX(I$17:I$23)-MIN(I$17:I$23))</f>
        <v/>
      </c>
      <c r="Q17" s="142">
        <f>(J17-MIN(J$17:J$23))/(MAX(J$17:J$23)-MIN(J$17:J$23))</f>
        <v/>
      </c>
      <c r="R17" s="142">
        <f>(MAX(K$17:K$23)-K17)/(MAX(K$17:K$23)-MIN(K$17:K$23))</f>
        <v/>
      </c>
      <c r="S17" s="142">
        <f>(MAX(L$17:L$23)-L17)/(MAX(L$17:L$23)-MIN(L$17:L$23))</f>
        <v/>
      </c>
      <c r="T17" s="143">
        <f>(M17*'Fund Ranking Criteria'!$D$9)+('Fund Ranking_Equity'!N17*'Fund Ranking Criteria'!$D$10)+('Fund Ranking_Equity'!O17*'Fund Ranking Criteria'!$D$11)+('Fund Ranking_Equity'!P17*'Fund Ranking Criteria'!$D$16)+('Fund Ranking_Equity'!Q17*'Fund Ranking Criteria'!$D$12)+('Fund Ranking_Equity'!R17*'Fund Ranking Criteria'!$D$14)+('Fund Ranking_Equity'!S17*'Fund Ranking Criteria'!$D$15)</f>
        <v/>
      </c>
      <c r="Z17" s="42" t="n"/>
    </row>
    <row r="18">
      <c r="B18" s="119" t="inlineStr">
        <is>
          <t>Kotak Large &amp; Midcap Fund - Reg - Growth</t>
        </is>
      </c>
      <c r="C18" s="125">
        <f>RANK(T18,$T$17:$T$23,0)</f>
        <v/>
      </c>
      <c r="D18" s="191">
        <f>B18</f>
        <v/>
      </c>
      <c r="E18" s="248" t="n">
        <v>2.3967</v>
      </c>
      <c r="F18" s="252" t="n">
        <v>15.4685</v>
      </c>
      <c r="G18" s="248" t="n">
        <v>14.4415</v>
      </c>
      <c r="H18" s="248" t="n">
        <v>15.1444</v>
      </c>
      <c r="I18" s="249" t="n">
        <v>0.0630340123325263</v>
      </c>
      <c r="J18" s="249" t="n">
        <v>-0.306838198675671</v>
      </c>
      <c r="K18" s="249" t="n">
        <v>0.897863659195689</v>
      </c>
      <c r="L18" s="249" t="n">
        <v>14.4252613576383</v>
      </c>
      <c r="M18" s="142">
        <f>(F18-MIN(F$17:F$23))/(MAX(F$17:F$23)-MIN(F$17:F$23))</f>
        <v/>
      </c>
      <c r="N18" s="142">
        <f>(G18-MIN(G$17:G$23))/(MAX(G$17:G$23)-MIN(G$17:G$23))</f>
        <v/>
      </c>
      <c r="O18" s="142">
        <f>(H18-MIN(H$17:H$23))/(MAX(H$17:H$23)-MIN(H$17:H$23))</f>
        <v/>
      </c>
      <c r="P18" s="142">
        <f>(I18-MIN(I$17:I$23))/(MAX(I$17:I$23)-MIN(I$17:I$23))</f>
        <v/>
      </c>
      <c r="Q18" s="142">
        <f>(J18-MIN(J$17:J$23))/(MAX(J$17:J$23)-MIN(J$17:J$23))</f>
        <v/>
      </c>
      <c r="R18" s="142">
        <f>(MAX(K$17:K$23)-K18)/(MAX(K$17:K$23)-MIN(K$17:K$23))</f>
        <v/>
      </c>
      <c r="S18" s="142">
        <f>(MAX(L$17:L$23)-L18)/(MAX(L$17:L$23)-MIN(L$17:L$23))</f>
        <v/>
      </c>
      <c r="T18" s="143">
        <f>(M18*'Fund Ranking Criteria'!$D$9)+('Fund Ranking_Equity'!N18*'Fund Ranking Criteria'!$D$10)+('Fund Ranking_Equity'!O18*'Fund Ranking Criteria'!$D$11)+('Fund Ranking_Equity'!P18*'Fund Ranking Criteria'!$D$16)+('Fund Ranking_Equity'!Q18*'Fund Ranking Criteria'!$D$12)+('Fund Ranking_Equity'!R18*'Fund Ranking Criteria'!$D$14)+('Fund Ranking_Equity'!S18*'Fund Ranking Criteria'!$D$15)</f>
        <v/>
      </c>
      <c r="Z18" s="42" t="n"/>
    </row>
    <row r="19">
      <c r="B19" s="119" t="inlineStr">
        <is>
          <t>HDFC Large and Mid Cap Fund - Growth</t>
        </is>
      </c>
      <c r="C19" s="125">
        <f>RANK(T19,$T$17:$T$23,0)</f>
        <v/>
      </c>
      <c r="D19" s="191">
        <f>B19</f>
        <v/>
      </c>
      <c r="E19" s="248" t="n">
        <v>-0.0275</v>
      </c>
      <c r="F19" s="252" t="n">
        <v>15.6648</v>
      </c>
      <c r="G19" s="248" t="n">
        <v>15.9392</v>
      </c>
      <c r="H19" s="248" t="n">
        <v>14.6782</v>
      </c>
      <c r="I19" s="249" t="n">
        <v>0.0637536468371392</v>
      </c>
      <c r="J19" s="249" t="n">
        <v>-0.408042505174736</v>
      </c>
      <c r="K19" s="249" t="n">
        <v>1.02589431883355</v>
      </c>
      <c r="L19" s="249" t="n">
        <v>15.3950438282093</v>
      </c>
      <c r="M19" s="142">
        <f>(F19-MIN(F$17:F$23))/(MAX(F$17:F$23)-MIN(F$17:F$23))</f>
        <v/>
      </c>
      <c r="N19" s="142">
        <f>(G19-MIN(G$17:G$23))/(MAX(G$17:G$23)-MIN(G$17:G$23))</f>
        <v/>
      </c>
      <c r="O19" s="142">
        <f>(H19-MIN(H$17:H$23))/(MAX(H$17:H$23)-MIN(H$17:H$23))</f>
        <v/>
      </c>
      <c r="P19" s="142">
        <f>(I19-MIN(I$17:I$23))/(MAX(I$17:I$23)-MIN(I$17:I$23))</f>
        <v/>
      </c>
      <c r="Q19" s="142">
        <f>(J19-MIN(J$17:J$23))/(MAX(J$17:J$23)-MIN(J$17:J$23))</f>
        <v/>
      </c>
      <c r="R19" s="142">
        <f>(MAX(K$17:K$23)-K19)/(MAX(K$17:K$23)-MIN(K$17:K$23))</f>
        <v/>
      </c>
      <c r="S19" s="142">
        <f>(MAX(L$17:L$23)-L19)/(MAX(L$17:L$23)-MIN(L$17:L$23))</f>
        <v/>
      </c>
      <c r="T19" s="143">
        <f>(M19*'Fund Ranking Criteria'!$D$9)+('Fund Ranking_Equity'!N19*'Fund Ranking Criteria'!$D$10)+('Fund Ranking_Equity'!O19*'Fund Ranking Criteria'!$D$11)+('Fund Ranking_Equity'!P19*'Fund Ranking Criteria'!$D$16)+('Fund Ranking_Equity'!Q19*'Fund Ranking Criteria'!$D$12)+('Fund Ranking_Equity'!R19*'Fund Ranking Criteria'!$D$14)+('Fund Ranking_Equity'!S19*'Fund Ranking Criteria'!$D$15)</f>
        <v/>
      </c>
      <c r="Z19" s="42" t="n"/>
    </row>
    <row r="20">
      <c r="B20" s="119" t="inlineStr">
        <is>
          <t>ICICI Prudential Large &amp; Mid Cap Fund - Growth</t>
        </is>
      </c>
      <c r="C20" s="125">
        <f>RANK(T20,$T$17:$T$23,0)</f>
        <v/>
      </c>
      <c r="D20" s="191">
        <f>B20</f>
        <v/>
      </c>
      <c r="E20" s="248" t="n">
        <v>1.7667</v>
      </c>
      <c r="F20" s="252" t="n">
        <v>17.3411</v>
      </c>
      <c r="G20" s="248" t="n">
        <v>17.5651</v>
      </c>
      <c r="H20" s="248" t="n">
        <v>15.2345</v>
      </c>
      <c r="I20" s="249" t="n">
        <v>0.0793959545629717</v>
      </c>
      <c r="J20" s="249" t="n">
        <v>-0.134352876518498</v>
      </c>
      <c r="K20" s="249" t="n">
        <v>0.8522736812478729</v>
      </c>
      <c r="L20" s="249" t="n">
        <v>12.847224196572</v>
      </c>
      <c r="M20" s="142">
        <f>(F20-MIN(F$17:F$23))/(MAX(F$17:F$23)-MIN(F$17:F$23))</f>
        <v/>
      </c>
      <c r="N20" s="142">
        <f>(G20-MIN(G$17:G$23))/(MAX(G$17:G$23)-MIN(G$17:G$23))</f>
        <v/>
      </c>
      <c r="O20" s="142">
        <f>(H20-MIN(H$17:H$23))/(MAX(H$17:H$23)-MIN(H$17:H$23))</f>
        <v/>
      </c>
      <c r="P20" s="142">
        <f>(I20-MIN(I$17:I$23))/(MAX(I$17:I$23)-MIN(I$17:I$23))</f>
        <v/>
      </c>
      <c r="Q20" s="142">
        <f>(J20-MIN(J$17:J$23))/(MAX(J$17:J$23)-MIN(J$17:J$23))</f>
        <v/>
      </c>
      <c r="R20" s="142">
        <f>(MAX(K$17:K$23)-K20)/(MAX(K$17:K$23)-MIN(K$17:K$23))</f>
        <v/>
      </c>
      <c r="S20" s="142">
        <f>(MAX(L$17:L$23)-L20)/(MAX(L$17:L$23)-MIN(L$17:L$23))</f>
        <v/>
      </c>
      <c r="T20" s="143">
        <f>(M20*'Fund Ranking Criteria'!$D$9)+('Fund Ranking_Equity'!N20*'Fund Ranking Criteria'!$D$10)+('Fund Ranking_Equity'!O20*'Fund Ranking Criteria'!$D$11)+('Fund Ranking_Equity'!P20*'Fund Ranking Criteria'!$D$16)+('Fund Ranking_Equity'!Q20*'Fund Ranking Criteria'!$D$12)+('Fund Ranking_Equity'!R20*'Fund Ranking Criteria'!$D$14)+('Fund Ranking_Equity'!S20*'Fund Ranking Criteria'!$D$15)</f>
        <v/>
      </c>
      <c r="Z20" s="42" t="n"/>
    </row>
    <row r="21">
      <c r="B21" s="119" t="inlineStr">
        <is>
          <t>Nippon India Vision Large &amp; Mid Cap Fund - Reg - Growth</t>
        </is>
      </c>
      <c r="C21" s="125">
        <f>RANK(T21,$T$17:$T$23,0)</f>
        <v/>
      </c>
      <c r="D21" s="191">
        <f>B21</f>
        <v/>
      </c>
      <c r="E21" s="248" t="n">
        <v>0.7356</v>
      </c>
      <c r="F21" s="252" t="n">
        <v>17.0799</v>
      </c>
      <c r="G21" s="248" t="n">
        <v>15.2559</v>
      </c>
      <c r="H21" s="248" t="n">
        <v>12.9945</v>
      </c>
      <c r="I21" s="249" t="n">
        <v>0.0703107942647722</v>
      </c>
      <c r="J21" s="249" t="n">
        <v>-0.273384998156708</v>
      </c>
      <c r="K21" s="249" t="n">
        <v>0.973278395381894</v>
      </c>
      <c r="L21" s="249" t="n">
        <v>14.8608979322054</v>
      </c>
      <c r="M21" s="142">
        <f>(F21-MIN(F$17:F$23))/(MAX(F$17:F$23)-MIN(F$17:F$23))</f>
        <v/>
      </c>
      <c r="N21" s="142">
        <f>(G21-MIN(G$17:G$23))/(MAX(G$17:G$23)-MIN(G$17:G$23))</f>
        <v/>
      </c>
      <c r="O21" s="142">
        <f>(H21-MIN(H$17:H$23))/(MAX(H$17:H$23)-MIN(H$17:H$23))</f>
        <v/>
      </c>
      <c r="P21" s="142">
        <f>(I21-MIN(I$17:I$23))/(MAX(I$17:I$23)-MIN(I$17:I$23))</f>
        <v/>
      </c>
      <c r="Q21" s="142">
        <f>(J21-MIN(J$17:J$23))/(MAX(J$17:J$23)-MIN(J$17:J$23))</f>
        <v/>
      </c>
      <c r="R21" s="142">
        <f>(MAX(K$17:K$23)-K21)/(MAX(K$17:K$23)-MIN(K$17:K$23))</f>
        <v/>
      </c>
      <c r="S21" s="142">
        <f>(MAX(L$17:L$23)-L21)/(MAX(L$17:L$23)-MIN(L$17:L$23))</f>
        <v/>
      </c>
      <c r="T21" s="143">
        <f>(M21*'Fund Ranking Criteria'!$D$9)+('Fund Ranking_Equity'!N21*'Fund Ranking Criteria'!$D$10)+('Fund Ranking_Equity'!O21*'Fund Ranking Criteria'!$D$11)+('Fund Ranking_Equity'!P21*'Fund Ranking Criteria'!$D$16)+('Fund Ranking_Equity'!Q21*'Fund Ranking Criteria'!$D$12)+('Fund Ranking_Equity'!R21*'Fund Ranking Criteria'!$D$14)+('Fund Ranking_Equity'!S21*'Fund Ranking Criteria'!$D$15)</f>
        <v/>
      </c>
      <c r="Z21" s="42" t="n"/>
    </row>
    <row r="22">
      <c r="B22" s="119" t="inlineStr">
        <is>
          <t>Aditya Birla Sun Life Large &amp; Mid Cap Fund - Growth</t>
        </is>
      </c>
      <c r="C22" s="125">
        <f>RANK(T22,$T$17:$T$23,0)</f>
        <v/>
      </c>
      <c r="D22" s="191">
        <f>B22</f>
        <v/>
      </c>
      <c r="E22" s="248" t="n">
        <v>2.3081</v>
      </c>
      <c r="F22" s="252" t="n">
        <v>12.6192</v>
      </c>
      <c r="G22" s="248" t="n">
        <v>9.165800000000001</v>
      </c>
      <c r="H22" s="248" t="n">
        <v>11.4467</v>
      </c>
      <c r="I22" s="249" t="n">
        <v>0.0470079162061227</v>
      </c>
      <c r="J22" s="249" t="n">
        <v>-0.608086299564544</v>
      </c>
      <c r="K22" s="249" t="n">
        <v>0.978746714164711</v>
      </c>
      <c r="L22" s="249" t="n">
        <v>15.2652342837372</v>
      </c>
      <c r="M22" s="142">
        <f>(F22-MIN(F$17:F$23))/(MAX(F$17:F$23)-MIN(F$17:F$23))</f>
        <v/>
      </c>
      <c r="N22" s="142">
        <f>(G22-MIN(G$17:G$23))/(MAX(G$17:G$23)-MIN(G$17:G$23))</f>
        <v/>
      </c>
      <c r="O22" s="142">
        <f>(H22-MIN(H$17:H$23))/(MAX(H$17:H$23)-MIN(H$17:H$23))</f>
        <v/>
      </c>
      <c r="P22" s="142">
        <f>(I22-MIN(I$17:I$23))/(MAX(I$17:I$23)-MIN(I$17:I$23))</f>
        <v/>
      </c>
      <c r="Q22" s="142">
        <f>(J22-MIN(J$17:J$23))/(MAX(J$17:J$23)-MIN(J$17:J$23))</f>
        <v/>
      </c>
      <c r="R22" s="142">
        <f>(MAX(K$17:K$23)-K22)/(MAX(K$17:K$23)-MIN(K$17:K$23))</f>
        <v/>
      </c>
      <c r="S22" s="142">
        <f>(MAX(L$17:L$23)-L22)/(MAX(L$17:L$23)-MIN(L$17:L$23))</f>
        <v/>
      </c>
      <c r="T22" s="143">
        <f>(M22*'Fund Ranking Criteria'!$D$9)+('Fund Ranking_Equity'!N22*'Fund Ranking Criteria'!$D$10)+('Fund Ranking_Equity'!O22*'Fund Ranking Criteria'!$D$11)+('Fund Ranking_Equity'!P22*'Fund Ranking Criteria'!$D$16)+('Fund Ranking_Equity'!Q22*'Fund Ranking Criteria'!$D$12)+('Fund Ranking_Equity'!R22*'Fund Ranking Criteria'!$D$14)+('Fund Ranking_Equity'!S22*'Fund Ranking Criteria'!$D$15)</f>
        <v/>
      </c>
      <c r="Z22" s="42" t="n"/>
    </row>
    <row r="23" ht="15" customHeight="1" thickBot="1">
      <c r="B23" s="120" t="inlineStr">
        <is>
          <t>UTI Large &amp; Mid Cap Fund - Growth</t>
        </is>
      </c>
      <c r="C23" s="126">
        <f>RANK(T23,$T$17:$T$23,0)</f>
        <v/>
      </c>
      <c r="D23" s="192">
        <f>B23</f>
        <v/>
      </c>
      <c r="E23" s="251" t="n">
        <v>1.4682</v>
      </c>
      <c r="F23" s="254" t="n">
        <v>17.5232</v>
      </c>
      <c r="G23" s="251" t="n">
        <v>15.3713</v>
      </c>
      <c r="H23" s="251" t="n">
        <v>13.9676</v>
      </c>
      <c r="I23" s="250" t="n">
        <v>0.0775652333197831</v>
      </c>
      <c r="J23" s="250" t="n">
        <v>-0.168937705725515</v>
      </c>
      <c r="K23" s="250" t="n">
        <v>0.94097007223392</v>
      </c>
      <c r="L23" s="250" t="n">
        <v>14.2534026500214</v>
      </c>
      <c r="M23" s="144">
        <f>(F23-MIN(F$17:F$23))/(MAX(F$17:F$23)-MIN(F$17:F$23))</f>
        <v/>
      </c>
      <c r="N23" s="144">
        <f>(G23-MIN(G$17:G$23))/(MAX(G$17:G$23)-MIN(G$17:G$23))</f>
        <v/>
      </c>
      <c r="O23" s="144">
        <f>(H23-MIN(H$17:H$23))/(MAX(H$17:H$23)-MIN(H$17:H$23))</f>
        <v/>
      </c>
      <c r="P23" s="144">
        <f>(I23-MIN(I$17:I$23))/(MAX(I$17:I$23)-MIN(I$17:I$23))</f>
        <v/>
      </c>
      <c r="Q23" s="144">
        <f>(J23-MIN(J$17:J$23))/(MAX(J$17:J$23)-MIN(J$17:J$23))</f>
        <v/>
      </c>
      <c r="R23" s="144">
        <f>(MAX(K$17:K$23)-K23)/(MAX(K$17:K$23)-MIN(K$17:K$23))</f>
        <v/>
      </c>
      <c r="S23" s="144">
        <f>(MAX(L$17:L$23)-L23)/(MAX(L$17:L$23)-MIN(L$17:L$23))</f>
        <v/>
      </c>
      <c r="T23" s="145">
        <f>(M23*'Fund Ranking Criteria'!$D$9)+('Fund Ranking_Equity'!N23*'Fund Ranking Criteria'!$D$10)+('Fund Ranking_Equity'!O23*'Fund Ranking Criteria'!$D$11)+('Fund Ranking_Equity'!P23*'Fund Ranking Criteria'!$D$16)+('Fund Ranking_Equity'!Q23*'Fund Ranking Criteria'!$D$12)+('Fund Ranking_Equity'!R23*'Fund Ranking Criteria'!$D$14)+('Fund Ranking_Equity'!S23*'Fund Ranking Criteria'!$D$15)</f>
        <v/>
      </c>
      <c r="Z23" s="42" t="n"/>
    </row>
    <row r="24" ht="15" customHeight="1" thickBot="1"/>
    <row r="25" ht="15" customHeight="1" thickBot="1">
      <c r="B25" s="309" t="inlineStr">
        <is>
          <t>Equity Mid Cap</t>
        </is>
      </c>
      <c r="C25" s="310" t="n"/>
      <c r="D25" s="310" t="n"/>
      <c r="E25" s="310" t="n"/>
      <c r="F25" s="310" t="n"/>
      <c r="G25" s="310" t="n"/>
      <c r="H25" s="310" t="n"/>
      <c r="I25" s="310" t="n"/>
      <c r="J25" s="310" t="n"/>
      <c r="K25" s="310" t="n"/>
      <c r="L25" s="310" t="n"/>
      <c r="M25" s="310" t="n"/>
      <c r="N25" s="310" t="n"/>
      <c r="O25" s="310" t="n"/>
      <c r="P25" s="310" t="n"/>
      <c r="Q25" s="310" t="n"/>
      <c r="R25" s="310" t="n"/>
      <c r="S25" s="310" t="n"/>
      <c r="T25" s="310" t="n"/>
      <c r="U25" s="310" t="n"/>
      <c r="V25" s="310" t="n"/>
      <c r="W25" s="310" t="n"/>
      <c r="X25" s="310" t="n"/>
      <c r="Y25" s="310" t="n"/>
      <c r="Z25" s="311" t="n"/>
    </row>
    <row r="26" ht="15" customHeight="1" thickBot="1">
      <c r="B26" s="147" t="n"/>
      <c r="C26" s="148" t="n"/>
      <c r="D26" s="190" t="n"/>
      <c r="E26" s="425" t="inlineStr">
        <is>
          <t>Actuals</t>
        </is>
      </c>
      <c r="F26" s="426" t="n"/>
      <c r="G26" s="426" t="n"/>
      <c r="H26" s="426" t="n"/>
      <c r="I26" s="426" t="n"/>
      <c r="J26" s="426" t="n"/>
      <c r="K26" s="426" t="n"/>
      <c r="L26" s="426" t="n"/>
      <c r="M26" s="425" t="inlineStr">
        <is>
          <t>Normalized</t>
        </is>
      </c>
      <c r="N26" s="426" t="n"/>
      <c r="O26" s="426" t="n"/>
      <c r="P26" s="426" t="n"/>
      <c r="Q26" s="426" t="n"/>
      <c r="R26" s="426" t="n"/>
      <c r="S26" s="426" t="n"/>
      <c r="T26" s="426" t="n"/>
      <c r="U26" s="308" t="n"/>
      <c r="V26" s="308" t="n"/>
      <c r="W26" s="308" t="n"/>
      <c r="X26" s="308" t="n"/>
      <c r="Y26" s="308" t="n"/>
    </row>
    <row r="27" ht="29.1" customHeight="1">
      <c r="B27" s="129" t="inlineStr">
        <is>
          <t>Funds</t>
        </is>
      </c>
      <c r="C27" s="127" t="inlineStr">
        <is>
          <t>Rank</t>
        </is>
      </c>
      <c r="D27" s="127" t="n"/>
      <c r="E27" s="113" t="inlineStr">
        <is>
          <t>1 Yr Ret (%)</t>
        </is>
      </c>
      <c r="F27" s="128" t="inlineStr">
        <is>
          <t>3 Yr Ret (%)</t>
        </is>
      </c>
      <c r="G27" s="128" t="inlineStr">
        <is>
          <t>5 Yr Ret (%)</t>
        </is>
      </c>
      <c r="H27" s="128" t="inlineStr">
        <is>
          <t>10 Yr Ret (%)</t>
        </is>
      </c>
      <c r="I27" s="128" t="inlineStr">
        <is>
          <t>Sharpe</t>
        </is>
      </c>
      <c r="J27" s="128" t="inlineStr">
        <is>
          <t>Alpha</t>
        </is>
      </c>
      <c r="K27" s="139" t="inlineStr">
        <is>
          <t>Beta</t>
        </is>
      </c>
      <c r="L27" s="140" t="inlineStr">
        <is>
          <t>SD</t>
        </is>
      </c>
      <c r="M27" s="123">
        <f>F27</f>
        <v/>
      </c>
      <c r="N27" s="123">
        <f>G27</f>
        <v/>
      </c>
      <c r="O27" s="123">
        <f>H27</f>
        <v/>
      </c>
      <c r="P27" s="123" t="inlineStr">
        <is>
          <t>Sharpe</t>
        </is>
      </c>
      <c r="Q27" s="123" t="inlineStr">
        <is>
          <t>Alpha</t>
        </is>
      </c>
      <c r="R27" s="121" t="inlineStr">
        <is>
          <t>Beta</t>
        </is>
      </c>
      <c r="S27" s="121" t="inlineStr">
        <is>
          <t>SD</t>
        </is>
      </c>
      <c r="T27" s="442" t="n"/>
      <c r="Z27" s="42" t="n"/>
    </row>
    <row r="28">
      <c r="B28" s="119" t="inlineStr">
        <is>
          <t>HDFC Mid Cap Fund - Growth</t>
        </is>
      </c>
      <c r="C28" s="125">
        <f>RANK(T28,$T$28:$T$34,0)</f>
        <v/>
      </c>
      <c r="D28" s="191">
        <f>B28</f>
        <v/>
      </c>
      <c r="E28" s="248" t="n">
        <v>5.2219</v>
      </c>
      <c r="F28" s="248" t="n">
        <v>20.2535</v>
      </c>
      <c r="G28" s="248" t="n">
        <v>19.895</v>
      </c>
      <c r="H28" s="248" t="n">
        <v>17.7039</v>
      </c>
      <c r="I28" s="249" t="n">
        <v>0.0900293832137225</v>
      </c>
      <c r="J28" s="249" t="n">
        <v>-0.224446007573051</v>
      </c>
      <c r="K28" s="249" t="n">
        <v>0.840470561535397</v>
      </c>
      <c r="L28" s="249" t="n">
        <v>14.8116168812544</v>
      </c>
      <c r="M28" s="142">
        <f>(F28-MIN(F$28:F$34))/(MAX(F$28:F$34)-MIN(F$28:F$34))</f>
        <v/>
      </c>
      <c r="N28" s="142">
        <f>(G28-MIN(G$28:G$34))/(MAX(G$28:G$34)-MIN(G$28:G$34))</f>
        <v/>
      </c>
      <c r="O28" s="142">
        <f>(H28-MIN(H$28:H$34))/(MAX(H$28:H$34)-MIN(H$28:H$34))</f>
        <v/>
      </c>
      <c r="P28" s="142">
        <f>(I28-MIN(I$28:I$34))/(MAX(I$28:I$34)-MIN(I$28:I$34))</f>
        <v/>
      </c>
      <c r="Q28" s="142">
        <f>(J28-MIN(J$28:J$34))/(MAX(J$28:J$34)-MIN(J$28:J$34))</f>
        <v/>
      </c>
      <c r="R28" s="142">
        <f>(MAX(K$28:K$34)-K28)/(MAX(K$28:K$34)-MIN(K$28:K$34))</f>
        <v/>
      </c>
      <c r="S28" s="142">
        <f>(MAX(L$28:L$34)-L28)/(MAX(L$28:L$34)-MIN(L$28:L$34))</f>
        <v/>
      </c>
      <c r="T28" s="143">
        <f>(M28*'Fund Ranking Criteria'!$F$9)+('Fund Ranking_Equity'!N28*'Fund Ranking Criteria'!$F$10)+('Fund Ranking_Equity'!O28*'Fund Ranking Criteria'!$F$11)+('Fund Ranking_Equity'!P28*'Fund Ranking Criteria'!$F$16)+('Fund Ranking_Equity'!Q28*'Fund Ranking Criteria'!$F$12)+('Fund Ranking_Equity'!R28*'Fund Ranking Criteria'!$F$14)+('Fund Ranking_Equity'!S28*'Fund Ranking Criteria'!$F$15)</f>
        <v/>
      </c>
      <c r="Z28" s="42" t="n"/>
    </row>
    <row r="29">
      <c r="B29" s="119" t="inlineStr">
        <is>
          <t>Kotak Midcap Fund - Reg - Growth</t>
        </is>
      </c>
      <c r="C29" s="125">
        <f>RANK(T29,$T$28:$T$34,0)</f>
        <v/>
      </c>
      <c r="D29" s="191">
        <f>B29</f>
        <v/>
      </c>
      <c r="E29" s="248" t="n">
        <v>6.4515</v>
      </c>
      <c r="F29" s="248" t="n">
        <v>19.9624</v>
      </c>
      <c r="G29" s="248" t="n">
        <v>17.2785</v>
      </c>
      <c r="H29" s="248" t="n">
        <v>17.4377</v>
      </c>
      <c r="I29" s="249" t="n">
        <v>0.0748519288619153</v>
      </c>
      <c r="J29" s="249" t="n">
        <v>-0.430714670643022</v>
      </c>
      <c r="K29" s="249" t="n">
        <v>0.920727937207788</v>
      </c>
      <c r="L29" s="249" t="n">
        <v>17.0467224189332</v>
      </c>
      <c r="M29" s="142">
        <f>(F29-MIN(F$28:F$34))/(MAX(F$28:F$34)-MIN(F$28:F$34))</f>
        <v/>
      </c>
      <c r="N29" s="142">
        <f>(G29-MIN(G$28:G$34))/(MAX(G$28:G$34)-MIN(G$28:G$34))</f>
        <v/>
      </c>
      <c r="O29" s="142">
        <f>(H29-MIN(H$28:H$34))/(MAX(H$28:H$34)-MIN(H$28:H$34))</f>
        <v/>
      </c>
      <c r="P29" s="142">
        <f>(I29-MIN(I$28:I$34))/(MAX(I$28:I$34)-MIN(I$28:I$34))</f>
        <v/>
      </c>
      <c r="Q29" s="142">
        <f>(J29-MIN(J$28:J$34))/(MAX(J$28:J$34)-MIN(J$28:J$34))</f>
        <v/>
      </c>
      <c r="R29" s="142">
        <f>(MAX(K$28:K$34)-K29)/(MAX(K$28:K$34)-MIN(K$28:K$34))</f>
        <v/>
      </c>
      <c r="S29" s="142">
        <f>(MAX(L$28:L$34)-L29)/(MAX(L$28:L$34)-MIN(L$28:L$34))</f>
        <v/>
      </c>
      <c r="T29" s="143">
        <f>(M29*'Fund Ranking Criteria'!$F$9)+('Fund Ranking_Equity'!N29*'Fund Ranking Criteria'!$F$10)+('Fund Ranking_Equity'!O29*'Fund Ranking Criteria'!$F$11)+('Fund Ranking_Equity'!P29*'Fund Ranking Criteria'!$F$16)+('Fund Ranking_Equity'!Q29*'Fund Ranking Criteria'!$F$12)+('Fund Ranking_Equity'!R29*'Fund Ranking Criteria'!$F$14)+('Fund Ranking_Equity'!S29*'Fund Ranking Criteria'!$F$15)</f>
        <v/>
      </c>
      <c r="Z29" s="42" t="n"/>
    </row>
    <row r="30">
      <c r="B30" s="119" t="inlineStr">
        <is>
          <t>Nippon India Growth Mid Cap Fund - Reg - Growth</t>
        </is>
      </c>
      <c r="C30" s="125">
        <f>RANK(T30,$T$28:$T$34,0)</f>
        <v/>
      </c>
      <c r="D30" s="191">
        <f>B30</f>
        <v/>
      </c>
      <c r="E30" s="248" t="n">
        <v>7.0293</v>
      </c>
      <c r="F30" s="248" t="n">
        <v>22.2248</v>
      </c>
      <c r="G30" s="248" t="n">
        <v>20.5176</v>
      </c>
      <c r="H30" s="248" t="n">
        <v>18.4653</v>
      </c>
      <c r="I30" s="249" t="n">
        <v>0.08531069766909689</v>
      </c>
      <c r="J30" s="249" t="n">
        <v>-0.32197174468659</v>
      </c>
      <c r="K30" s="249" t="n">
        <v>0.960443189473956</v>
      </c>
      <c r="L30" s="249" t="n">
        <v>17.0944635643039</v>
      </c>
      <c r="M30" s="142">
        <f>(F30-MIN(F$28:F$34))/(MAX(F$28:F$34)-MIN(F$28:F$34))</f>
        <v/>
      </c>
      <c r="N30" s="142">
        <f>(G30-MIN(G$28:G$34))/(MAX(G$28:G$34)-MIN(G$28:G$34))</f>
        <v/>
      </c>
      <c r="O30" s="142">
        <f>(H30-MIN(H$28:H$34))/(MAX(H$28:H$34)-MIN(H$28:H$34))</f>
        <v/>
      </c>
      <c r="P30" s="142">
        <f>(I30-MIN(I$28:I$34))/(MAX(I$28:I$34)-MIN(I$28:I$34))</f>
        <v/>
      </c>
      <c r="Q30" s="142">
        <f>(J30-MIN(J$28:J$34))/(MAX(J$28:J$34)-MIN(J$28:J$34))</f>
        <v/>
      </c>
      <c r="R30" s="142">
        <f>(MAX(K$28:K$34)-K30)/(MAX(K$28:K$34)-MIN(K$28:K$34))</f>
        <v/>
      </c>
      <c r="S30" s="142">
        <f>(MAX(L$28:L$34)-L30)/(MAX(L$28:L$34)-MIN(L$28:L$34))</f>
        <v/>
      </c>
      <c r="T30" s="143">
        <f>(M30*'Fund Ranking Criteria'!$F$9)+('Fund Ranking_Equity'!N30*'Fund Ranking Criteria'!$F$10)+('Fund Ranking_Equity'!O30*'Fund Ranking Criteria'!$F$11)+('Fund Ranking_Equity'!P30*'Fund Ranking Criteria'!$F$16)+('Fund Ranking_Equity'!Q30*'Fund Ranking Criteria'!$F$12)+('Fund Ranking_Equity'!R30*'Fund Ranking Criteria'!$F$14)+('Fund Ranking_Equity'!S30*'Fund Ranking Criteria'!$F$15)</f>
        <v/>
      </c>
      <c r="Z30" s="42" t="n"/>
    </row>
    <row r="31">
      <c r="B31" s="119" t="inlineStr">
        <is>
          <t>SBI Midcap Fund - Growth</t>
        </is>
      </c>
      <c r="C31" s="125">
        <f>RANK(T31,$T$28:$T$34,0)</f>
        <v/>
      </c>
      <c r="D31" s="191">
        <f>B31</f>
        <v/>
      </c>
      <c r="E31" s="248" t="n">
        <v>1.2138</v>
      </c>
      <c r="F31" s="248" t="n">
        <v>12.8218</v>
      </c>
      <c r="G31" s="248" t="n">
        <v>14.7892</v>
      </c>
      <c r="H31" s="248" t="n">
        <v>13.8291</v>
      </c>
      <c r="I31" s="249" t="n">
        <v>0.0505685411262179</v>
      </c>
      <c r="J31" s="249" t="n">
        <v>-0.8671960713399141</v>
      </c>
      <c r="K31" s="249" t="n">
        <v>0.87961584334284</v>
      </c>
      <c r="L31" s="249" t="n">
        <v>15.0942021795131</v>
      </c>
      <c r="M31" s="142">
        <f>(F31-MIN(F$28:F$34))/(MAX(F$28:F$34)-MIN(F$28:F$34))</f>
        <v/>
      </c>
      <c r="N31" s="142">
        <f>(G31-MIN(G$28:G$34))/(MAX(G$28:G$34)-MIN(G$28:G$34))</f>
        <v/>
      </c>
      <c r="O31" s="142">
        <f>(H31-MIN(H$28:H$34))/(MAX(H$28:H$34)-MIN(H$28:H$34))</f>
        <v/>
      </c>
      <c r="P31" s="142">
        <f>(I31-MIN(I$28:I$34))/(MAX(I$28:I$34)-MIN(I$28:I$34))</f>
        <v/>
      </c>
      <c r="Q31" s="142">
        <f>(J31-MIN(J$28:J$34))/(MAX(J$28:J$34)-MIN(J$28:J$34))</f>
        <v/>
      </c>
      <c r="R31" s="142">
        <f>(MAX(K$28:K$34)-K31)/(MAX(K$28:K$34)-MIN(K$28:K$34))</f>
        <v/>
      </c>
      <c r="S31" s="142">
        <f>(MAX(L$28:L$34)-L31)/(MAX(L$28:L$34)-MIN(L$28:L$34))</f>
        <v/>
      </c>
      <c r="T31" s="143">
        <f>(M31*'Fund Ranking Criteria'!$F$9)+('Fund Ranking_Equity'!N31*'Fund Ranking Criteria'!$F$10)+('Fund Ranking_Equity'!O31*'Fund Ranking Criteria'!$F$11)+('Fund Ranking_Equity'!P31*'Fund Ranking Criteria'!$F$16)+('Fund Ranking_Equity'!Q31*'Fund Ranking Criteria'!$F$12)+('Fund Ranking_Equity'!R31*'Fund Ranking Criteria'!$F$14)+('Fund Ranking_Equity'!S31*'Fund Ranking Criteria'!$F$15)</f>
        <v/>
      </c>
      <c r="Z31" s="42" t="n"/>
    </row>
    <row r="32">
      <c r="B32" s="119" t="inlineStr">
        <is>
          <t>UTI Mid Cap Fund - Growth</t>
        </is>
      </c>
      <c r="C32" s="125">
        <f>RANK(T32,$T$28:$T$34,0)</f>
        <v/>
      </c>
      <c r="D32" s="191">
        <f>B32</f>
        <v/>
      </c>
      <c r="E32" s="248" t="n">
        <v>0.1034</v>
      </c>
      <c r="F32" s="248" t="n">
        <v>13.6194</v>
      </c>
      <c r="G32" s="248" t="n">
        <v>13.1283</v>
      </c>
      <c r="H32" s="248" t="n">
        <v>13.7352</v>
      </c>
      <c r="I32" s="249" t="n">
        <v>0.0507562237404279</v>
      </c>
      <c r="J32" s="249" t="n">
        <v>-0.895687517080565</v>
      </c>
      <c r="K32" s="249" t="n">
        <v>0.94367075216785</v>
      </c>
      <c r="L32" s="249" t="n">
        <v>16.8163582526095</v>
      </c>
      <c r="M32" s="142">
        <f>(F32-MIN(F$28:F$34))/(MAX(F$28:F$34)-MIN(F$28:F$34))</f>
        <v/>
      </c>
      <c r="N32" s="142">
        <f>(G32-MIN(G$28:G$34))/(MAX(G$28:G$34)-MIN(G$28:G$34))</f>
        <v/>
      </c>
      <c r="O32" s="142">
        <f>(H32-MIN(H$28:H$34))/(MAX(H$28:H$34)-MIN(H$28:H$34))</f>
        <v/>
      </c>
      <c r="P32" s="142">
        <f>(I32-MIN(I$28:I$34))/(MAX(I$28:I$34)-MIN(I$28:I$34))</f>
        <v/>
      </c>
      <c r="Q32" s="142">
        <f>(J32-MIN(J$28:J$34))/(MAX(J$28:J$34)-MIN(J$28:J$34))</f>
        <v/>
      </c>
      <c r="R32" s="142">
        <f>(MAX(K$28:K$34)-K32)/(MAX(K$28:K$34)-MIN(K$28:K$34))</f>
        <v/>
      </c>
      <c r="S32" s="142">
        <f>(MAX(L$28:L$34)-L32)/(MAX(L$28:L$34)-MIN(L$28:L$34))</f>
        <v/>
      </c>
      <c r="T32" s="143">
        <f>(M32*'Fund Ranking Criteria'!$F$9)+('Fund Ranking_Equity'!N32*'Fund Ranking Criteria'!$F$10)+('Fund Ranking_Equity'!O32*'Fund Ranking Criteria'!$F$11)+('Fund Ranking_Equity'!P32*'Fund Ranking Criteria'!$F$16)+('Fund Ranking_Equity'!Q32*'Fund Ranking Criteria'!$F$12)+('Fund Ranking_Equity'!R32*'Fund Ranking Criteria'!$F$14)+('Fund Ranking_Equity'!S32*'Fund Ranking Criteria'!$F$15)</f>
        <v/>
      </c>
      <c r="Z32" s="42" t="n"/>
    </row>
    <row r="33">
      <c r="B33" s="119" t="inlineStr">
        <is>
          <t>ICICI Prudential MidCap Fund - Growth</t>
        </is>
      </c>
      <c r="C33" s="125">
        <f>RANK(T33,$T$28:$T$34,0)</f>
        <v/>
      </c>
      <c r="D33" s="191">
        <f>B33</f>
        <v/>
      </c>
      <c r="E33" s="248" t="n">
        <v>11.1763</v>
      </c>
      <c r="F33" s="248" t="n">
        <v>24.0011</v>
      </c>
      <c r="G33" s="248" t="n">
        <v>18.1472</v>
      </c>
      <c r="H33" s="248" t="n">
        <v>16.7518</v>
      </c>
      <c r="I33" s="249" t="n">
        <v>0.0871312955994977</v>
      </c>
      <c r="J33" s="249" t="n">
        <v>-0.324301441968927</v>
      </c>
      <c r="K33" s="249" t="n">
        <v>1.01216819966724</v>
      </c>
      <c r="L33" s="249" t="n">
        <v>17.8109399311625</v>
      </c>
      <c r="M33" s="142">
        <f>(F33-MIN(F$28:F$34))/(MAX(F$28:F$34)-MIN(F$28:F$34))</f>
        <v/>
      </c>
      <c r="N33" s="142">
        <f>(G33-MIN(G$28:G$34))/(MAX(G$28:G$34)-MIN(G$28:G$34))</f>
        <v/>
      </c>
      <c r="O33" s="142">
        <f>(H33-MIN(H$28:H$34))/(MAX(H$28:H$34)-MIN(H$28:H$34))</f>
        <v/>
      </c>
      <c r="P33" s="142">
        <f>(I33-MIN(I$28:I$34))/(MAX(I$28:I$34)-MIN(I$28:I$34))</f>
        <v/>
      </c>
      <c r="Q33" s="142">
        <f>(J33-MIN(J$28:J$34))/(MAX(J$28:J$34)-MIN(J$28:J$34))</f>
        <v/>
      </c>
      <c r="R33" s="142">
        <f>(MAX(K$28:K$34)-K33)/(MAX(K$28:K$34)-MIN(K$28:K$34))</f>
        <v/>
      </c>
      <c r="S33" s="142">
        <f>(MAX(L$28:L$34)-L33)/(MAX(L$28:L$34)-MIN(L$28:L$34))</f>
        <v/>
      </c>
      <c r="T33" s="143">
        <f>(M33*'Fund Ranking Criteria'!$F$9)+('Fund Ranking_Equity'!N33*'Fund Ranking Criteria'!$F$10)+('Fund Ranking_Equity'!O33*'Fund Ranking Criteria'!$F$11)+('Fund Ranking_Equity'!P33*'Fund Ranking Criteria'!$F$16)+('Fund Ranking_Equity'!Q33*'Fund Ranking Criteria'!$F$12)+('Fund Ranking_Equity'!R33*'Fund Ranking Criteria'!$F$14)+('Fund Ranking_Equity'!S33*'Fund Ranking Criteria'!$F$15)</f>
        <v/>
      </c>
      <c r="Z33" s="42" t="n"/>
    </row>
    <row r="34" ht="15" customHeight="1" thickBot="1">
      <c r="B34" s="120" t="inlineStr">
        <is>
          <t>Aditya Birla Sun Life Mid Cap Fund - Plan A - Growth</t>
        </is>
      </c>
      <c r="C34" s="125">
        <f>RANK(T34,$T$28:$T$34,0)</f>
        <v/>
      </c>
      <c r="D34" s="191">
        <f>B34</f>
        <v/>
      </c>
      <c r="E34" s="251" t="n">
        <v>6.1482</v>
      </c>
      <c r="F34" s="251" t="n">
        <v>18.3777</v>
      </c>
      <c r="G34" s="251" t="n">
        <v>15.8535</v>
      </c>
      <c r="H34" s="251" t="n">
        <v>13.7934</v>
      </c>
      <c r="I34" s="250" t="n">
        <v>0.0682678951644206</v>
      </c>
      <c r="J34" s="250" t="n">
        <v>-0.608249944492653</v>
      </c>
      <c r="K34" s="250" t="n">
        <v>0.951734492844888</v>
      </c>
      <c r="L34" s="250" t="n">
        <v>16.9321121470737</v>
      </c>
      <c r="M34" s="144">
        <f>(F34-MIN(F$28:F$34))/(MAX(F$28:F$34)-MIN(F$28:F$34))</f>
        <v/>
      </c>
      <c r="N34" s="144">
        <f>(G34-MIN(G$28:G$34))/(MAX(G$28:G$34)-MIN(G$28:G$34))</f>
        <v/>
      </c>
      <c r="O34" s="144">
        <f>(H34-MIN(H$28:H$34))/(MAX(H$28:H$34)-MIN(H$28:H$34))</f>
        <v/>
      </c>
      <c r="P34" s="144">
        <f>(I34-MIN(I$28:I$34))/(MAX(I$28:I$34)-MIN(I$28:I$34))</f>
        <v/>
      </c>
      <c r="Q34" s="144">
        <f>(J34-MIN(J$28:J$34))/(MAX(J$28:J$34)-MIN(J$28:J$34))</f>
        <v/>
      </c>
      <c r="R34" s="144">
        <f>(MAX(K$28:K$34)-K34)/(MAX(K$28:K$34)-MIN(K$28:K$34))</f>
        <v/>
      </c>
      <c r="S34" s="144">
        <f>(MAX(L$28:L$34)-L34)/(MAX(L$28:L$34)-MIN(L$28:L$34))</f>
        <v/>
      </c>
      <c r="T34" s="145">
        <f>(M34*'Fund Ranking Criteria'!$F$9)+('Fund Ranking_Equity'!N34*'Fund Ranking Criteria'!$F$10)+('Fund Ranking_Equity'!O34*'Fund Ranking Criteria'!$F$11)+('Fund Ranking_Equity'!P34*'Fund Ranking Criteria'!$F$16)+('Fund Ranking_Equity'!Q34*'Fund Ranking Criteria'!$F$12)+('Fund Ranking_Equity'!R34*'Fund Ranking Criteria'!$F$14)+('Fund Ranking_Equity'!S34*'Fund Ranking Criteria'!$F$15)</f>
        <v/>
      </c>
      <c r="Z34" s="42" t="n"/>
    </row>
    <row r="35" ht="15" customHeight="1" thickBot="1"/>
    <row r="36" ht="15" customHeight="1" thickBot="1">
      <c r="B36" s="309" t="inlineStr">
        <is>
          <t>Equity Small Cap</t>
        </is>
      </c>
      <c r="C36" s="310" t="n"/>
      <c r="D36" s="310" t="n"/>
      <c r="E36" s="310" t="n"/>
      <c r="F36" s="310" t="n"/>
      <c r="G36" s="310" t="n"/>
      <c r="H36" s="310" t="n"/>
      <c r="I36" s="310" t="n"/>
      <c r="J36" s="310" t="n"/>
      <c r="K36" s="310" t="n"/>
      <c r="L36" s="310" t="n"/>
      <c r="M36" s="310" t="n"/>
      <c r="N36" s="310" t="n"/>
      <c r="O36" s="310" t="n"/>
      <c r="P36" s="310" t="n"/>
      <c r="Q36" s="310" t="n"/>
      <c r="R36" s="310" t="n"/>
      <c r="S36" s="310" t="n"/>
      <c r="T36" s="310" t="n"/>
      <c r="U36" s="310" t="n"/>
      <c r="V36" s="310" t="n"/>
      <c r="W36" s="310" t="n"/>
      <c r="X36" s="310" t="n"/>
      <c r="Y36" s="310" t="n"/>
      <c r="Z36" s="311" t="n"/>
    </row>
    <row r="37" ht="15" customHeight="1" thickBot="1">
      <c r="B37" s="147" t="n"/>
      <c r="C37" s="148" t="n"/>
      <c r="D37" s="190" t="n"/>
      <c r="E37" s="425" t="inlineStr">
        <is>
          <t>Actuals</t>
        </is>
      </c>
      <c r="F37" s="426" t="n"/>
      <c r="G37" s="426" t="n"/>
      <c r="H37" s="426" t="n"/>
      <c r="I37" s="426" t="n"/>
      <c r="J37" s="426" t="n"/>
      <c r="K37" s="426" t="n"/>
      <c r="L37" s="426" t="n"/>
      <c r="M37" s="425" t="inlineStr">
        <is>
          <t>Normalized</t>
        </is>
      </c>
      <c r="N37" s="426" t="n"/>
      <c r="O37" s="426" t="n"/>
      <c r="P37" s="426" t="n"/>
      <c r="Q37" s="426" t="n"/>
      <c r="R37" s="426" t="n"/>
      <c r="S37" s="426" t="n"/>
      <c r="T37" s="426" t="n"/>
      <c r="U37" s="308" t="n"/>
      <c r="V37" s="308" t="n"/>
      <c r="W37" s="308" t="n"/>
      <c r="X37" s="308" t="n"/>
      <c r="Y37" s="308" t="n"/>
    </row>
    <row r="38" ht="29.1" customHeight="1">
      <c r="B38" s="116" t="inlineStr">
        <is>
          <t>Funds</t>
        </is>
      </c>
      <c r="C38" s="114" t="inlineStr">
        <is>
          <t>Rank</t>
        </is>
      </c>
      <c r="D38" s="114" t="n"/>
      <c r="E38" s="113" t="inlineStr">
        <is>
          <t>1 Yr Ret (%)</t>
        </is>
      </c>
      <c r="F38" s="113" t="inlineStr">
        <is>
          <t>3 Yr Ret (%)</t>
        </is>
      </c>
      <c r="G38" s="113" t="inlineStr">
        <is>
          <t>5 Yr Ret (%)</t>
        </is>
      </c>
      <c r="H38" s="113" t="inlineStr">
        <is>
          <t>10 Yr Ret (%)</t>
        </is>
      </c>
      <c r="I38" s="113" t="inlineStr">
        <is>
          <t>Sharpe</t>
        </is>
      </c>
      <c r="J38" s="113" t="inlineStr">
        <is>
          <t>Alpha</t>
        </is>
      </c>
      <c r="K38" s="113" t="inlineStr">
        <is>
          <t>Beta</t>
        </is>
      </c>
      <c r="L38" s="113" t="inlineStr">
        <is>
          <t>SD</t>
        </is>
      </c>
      <c r="M38" s="123">
        <f>F38</f>
        <v/>
      </c>
      <c r="N38" s="123">
        <f>G38</f>
        <v/>
      </c>
      <c r="O38" s="123">
        <f>H38</f>
        <v/>
      </c>
      <c r="P38" s="123" t="inlineStr">
        <is>
          <t>Sharpe</t>
        </is>
      </c>
      <c r="Q38" s="123" t="inlineStr">
        <is>
          <t>Alpha</t>
        </is>
      </c>
      <c r="R38" s="121" t="inlineStr">
        <is>
          <t>Beta</t>
        </is>
      </c>
      <c r="S38" s="121" t="inlineStr">
        <is>
          <t>SD</t>
        </is>
      </c>
      <c r="T38" s="442" t="n"/>
      <c r="Z38" s="42" t="n"/>
    </row>
    <row r="39">
      <c r="B39" s="119" t="inlineStr">
        <is>
          <t>Nippon India Small Cap Fund - Reg - Growth</t>
        </is>
      </c>
      <c r="C39" s="125">
        <f>RANK(T39,$T$39:$T$45,0)</f>
        <v/>
      </c>
      <c r="D39" s="191">
        <f>B39</f>
        <v/>
      </c>
      <c r="E39" s="248" t="n">
        <v>5.257</v>
      </c>
      <c r="F39" s="248" t="n">
        <v>18.5674</v>
      </c>
      <c r="G39" s="248" t="n">
        <v>19.9665</v>
      </c>
      <c r="H39" s="248" t="n">
        <v>20.7588</v>
      </c>
      <c r="I39" s="249" t="n">
        <v>0.0670723791744204</v>
      </c>
      <c r="J39" s="249" t="n">
        <v>-0.42452184352635</v>
      </c>
      <c r="K39" s="249" t="n">
        <v>0.845378763638447</v>
      </c>
      <c r="L39" s="249" t="n">
        <v>18.1813753398441</v>
      </c>
      <c r="M39" s="142">
        <f>(F39-MIN(F$39:F$45))/(MAX(F$39:F$45)-MIN(F$39:F$45))</f>
        <v/>
      </c>
      <c r="N39" s="142">
        <f>(G39-MIN(G$39:G$45))/(MAX(G$39:G$45)-MIN(G$39:G$45))</f>
        <v/>
      </c>
      <c r="O39" s="142">
        <f>(H39-MIN(H$39:H$45))/(MAX(H$39:H$45)-MIN(H$39:H$45))</f>
        <v/>
      </c>
      <c r="P39" s="142">
        <f>(I39-MIN(I$39:I$45))/(MAX(I$39:I$45)-MIN(I$39:I$45))</f>
        <v/>
      </c>
      <c r="Q39" s="142">
        <f>(J39-MIN(J$39:J$45))/(MAX(J$39:J$45)-MIN(J$39:J$45))</f>
        <v/>
      </c>
      <c r="R39" s="142">
        <f>(MAX(K$39:K$45)-K39)/(MAX(K$39:K$45)-MIN(K$39:K$45))</f>
        <v/>
      </c>
      <c r="S39" s="142">
        <f>(MAX(L$39:L$45)-L39)/(MAX(L$39:L$45)-MIN(L$39:L$45))</f>
        <v/>
      </c>
      <c r="T39" s="143">
        <f>(M39*'Fund Ranking Criteria'!$G$9)+('Fund Ranking_Equity'!N39*'Fund Ranking Criteria'!$G$10)+('Fund Ranking_Equity'!O39*'Fund Ranking Criteria'!$G$11)+('Fund Ranking_Equity'!P39*'Fund Ranking Criteria'!$G$16)+('Fund Ranking_Equity'!Q39*'Fund Ranking Criteria'!$G$12)+('Fund Ranking_Equity'!R39*'Fund Ranking Criteria'!$G$14)+('Fund Ranking_Equity'!S39*'Fund Ranking Criteria'!$G$15)</f>
        <v/>
      </c>
      <c r="Z39" s="42" t="n"/>
    </row>
    <row r="40">
      <c r="B40" s="119" t="inlineStr">
        <is>
          <t>HDFC Small Cap Fund - Growth</t>
        </is>
      </c>
      <c r="C40" s="125">
        <f>RANK(T40,$T$39:$T$45,0)</f>
        <v/>
      </c>
      <c r="D40" s="191">
        <f>B40</f>
        <v/>
      </c>
      <c r="E40" s="248" t="n">
        <v>-1.9655</v>
      </c>
      <c r="F40" s="248" t="n">
        <v>13.8491</v>
      </c>
      <c r="G40" s="248" t="n">
        <v>15.7236</v>
      </c>
      <c r="H40" s="248" t="n">
        <v>17.2368</v>
      </c>
      <c r="I40" s="249" t="n">
        <v>0.05047914649394</v>
      </c>
      <c r="J40" s="249" t="n">
        <v>-0.5312581787681629</v>
      </c>
      <c r="K40" s="249" t="n">
        <v>0.775951155925678</v>
      </c>
      <c r="L40" s="249" t="n">
        <v>16.6813535729886</v>
      </c>
      <c r="M40" s="142">
        <f>(F40-MIN(F$39:F$45))/(MAX(F$39:F$45)-MIN(F$39:F$45))</f>
        <v/>
      </c>
      <c r="N40" s="142">
        <f>(G40-MIN(G$39:G$45))/(MAX(G$39:G$45)-MIN(G$39:G$45))</f>
        <v/>
      </c>
      <c r="O40" s="142">
        <f>(H40-MIN(H$39:H$45))/(MAX(H$39:H$45)-MIN(H$39:H$45))</f>
        <v/>
      </c>
      <c r="P40" s="142">
        <f>(I40-MIN(I$39:I$45))/(MAX(I$39:I$45)-MIN(I$39:I$45))</f>
        <v/>
      </c>
      <c r="Q40" s="142">
        <f>(J40-MIN(J$39:J$45))/(MAX(J$39:J$45)-MIN(J$39:J$45))</f>
        <v/>
      </c>
      <c r="R40" s="142">
        <f>(MAX(K$39:K$45)-K40)/(MAX(K$39:K$45)-MIN(K$39:K$45))</f>
        <v/>
      </c>
      <c r="S40" s="142">
        <f>(MAX(L$39:L$45)-L40)/(MAX(L$39:L$45)-MIN(L$39:L$45))</f>
        <v/>
      </c>
      <c r="T40" s="143">
        <f>(M40*'Fund Ranking Criteria'!$G$9)+('Fund Ranking_Equity'!N40*'Fund Ranking Criteria'!$G$10)+('Fund Ranking_Equity'!O40*'Fund Ranking Criteria'!$G$11)+('Fund Ranking_Equity'!P40*'Fund Ranking Criteria'!$G$16)+('Fund Ranking_Equity'!Q40*'Fund Ranking Criteria'!$G$12)+('Fund Ranking_Equity'!R40*'Fund Ranking Criteria'!$G$14)+('Fund Ranking_Equity'!S40*'Fund Ranking Criteria'!$G$15)</f>
        <v/>
      </c>
      <c r="Z40" s="42" t="n"/>
    </row>
    <row r="41">
      <c r="B41" s="119" t="inlineStr">
        <is>
          <t>SBI Small Cap Fund - Growth</t>
        </is>
      </c>
      <c r="C41" s="125">
        <f>RANK(T41,$T$39:$T$45,0)</f>
        <v/>
      </c>
      <c r="D41" s="191">
        <f>B41</f>
        <v/>
      </c>
      <c r="E41" s="248" t="n">
        <v>3.7673</v>
      </c>
      <c r="F41" s="248" t="n">
        <v>13.6755</v>
      </c>
      <c r="G41" s="248" t="n">
        <v>14.3178</v>
      </c>
      <c r="H41" s="248" t="n">
        <v>18.1457</v>
      </c>
      <c r="I41" s="249" t="n">
        <v>0.0494824104617225</v>
      </c>
      <c r="J41" s="249" t="n">
        <v>-0.538845255513663</v>
      </c>
      <c r="K41" s="249" t="n">
        <v>0.762958407708601</v>
      </c>
      <c r="L41" s="249" t="n">
        <v>16.399325853193</v>
      </c>
      <c r="M41" s="142">
        <f>(F41-MIN(F$39:F$45))/(MAX(F$39:F$45)-MIN(F$39:F$45))</f>
        <v/>
      </c>
      <c r="N41" s="142">
        <f>(G41-MIN(G$39:G$45))/(MAX(G$39:G$45)-MIN(G$39:G$45))</f>
        <v/>
      </c>
      <c r="O41" s="142">
        <f>(H41-MIN(H$39:H$45))/(MAX(H$39:H$45)-MIN(H$39:H$45))</f>
        <v/>
      </c>
      <c r="P41" s="142">
        <f>(I41-MIN(I$39:I$45))/(MAX(I$39:I$45)-MIN(I$39:I$45))</f>
        <v/>
      </c>
      <c r="Q41" s="142">
        <f>(J41-MIN(J$39:J$45))/(MAX(J$39:J$45)-MIN(J$39:J$45))</f>
        <v/>
      </c>
      <c r="R41" s="142">
        <f>(MAX(K$39:K$45)-K41)/(MAX(K$39:K$45)-MIN(K$39:K$45))</f>
        <v/>
      </c>
      <c r="S41" s="142">
        <f>(MAX(L$39:L$45)-L41)/(MAX(L$39:L$45)-MIN(L$39:L$45))</f>
        <v/>
      </c>
      <c r="T41" s="143">
        <f>(M41*'Fund Ranking Criteria'!$G$9)+('Fund Ranking_Equity'!N41*'Fund Ranking Criteria'!$G$10)+('Fund Ranking_Equity'!O41*'Fund Ranking Criteria'!$G$11)+('Fund Ranking_Equity'!P41*'Fund Ranking Criteria'!$G$16)+('Fund Ranking_Equity'!Q41*'Fund Ranking Criteria'!$G$12)+('Fund Ranking_Equity'!R41*'Fund Ranking Criteria'!$G$14)+('Fund Ranking_Equity'!S41*'Fund Ranking Criteria'!$G$15)</f>
        <v/>
      </c>
      <c r="Z41" s="42" t="n"/>
    </row>
    <row r="42">
      <c r="B42" s="119" t="inlineStr">
        <is>
          <t>Kotak Small Cap Fund - Reg - Growth</t>
        </is>
      </c>
      <c r="C42" s="125">
        <f>RANK(T42,$T$39:$T$45,0)</f>
        <v/>
      </c>
      <c r="D42" s="191">
        <f>B42</f>
        <v/>
      </c>
      <c r="E42" s="248" t="n">
        <v>1.1072</v>
      </c>
      <c r="F42" s="248" t="n">
        <v>13.3683</v>
      </c>
      <c r="G42" s="248" t="n">
        <v>13.5284</v>
      </c>
      <c r="H42" s="248" t="n">
        <v>16.6289</v>
      </c>
      <c r="I42" s="249" t="n">
        <v>0.046645148825157</v>
      </c>
      <c r="J42" s="249" t="n">
        <v>-0.7630354346104991</v>
      </c>
      <c r="K42" s="249" t="n">
        <v>0.835709770804251</v>
      </c>
      <c r="L42" s="249" t="n">
        <v>18.4831959682546</v>
      </c>
      <c r="M42" s="142">
        <f>(F42-MIN(F$39:F$45))/(MAX(F$39:F$45)-MIN(F$39:F$45))</f>
        <v/>
      </c>
      <c r="N42" s="142">
        <f>(G42-MIN(G$39:G$45))/(MAX(G$39:G$45)-MIN(G$39:G$45))</f>
        <v/>
      </c>
      <c r="O42" s="142">
        <f>(H42-MIN(H$39:H$45))/(MAX(H$39:H$45)-MIN(H$39:H$45))</f>
        <v/>
      </c>
      <c r="P42" s="142">
        <f>(I42-MIN(I$39:I$45))/(MAX(I$39:I$45)-MIN(I$39:I$45))</f>
        <v/>
      </c>
      <c r="Q42" s="142">
        <f>(J42-MIN(J$39:J$45))/(MAX(J$39:J$45)-MIN(J$39:J$45))</f>
        <v/>
      </c>
      <c r="R42" s="142">
        <f>(MAX(K$39:K$45)-K42)/(MAX(K$39:K$45)-MIN(K$39:K$45))</f>
        <v/>
      </c>
      <c r="S42" s="142">
        <f>(MAX(L$39:L$45)-L42)/(MAX(L$39:L$45)-MIN(L$39:L$45))</f>
        <v/>
      </c>
      <c r="T42" s="143">
        <f>(M42*'Fund Ranking Criteria'!$G$9)+('Fund Ranking_Equity'!N42*'Fund Ranking Criteria'!$G$10)+('Fund Ranking_Equity'!O42*'Fund Ranking Criteria'!$G$11)+('Fund Ranking_Equity'!P42*'Fund Ranking Criteria'!$G$16)+('Fund Ranking_Equity'!Q42*'Fund Ranking Criteria'!$G$12)+('Fund Ranking_Equity'!R42*'Fund Ranking Criteria'!$G$14)+('Fund Ranking_Equity'!S42*'Fund Ranking Criteria'!$G$15)</f>
        <v/>
      </c>
      <c r="Z42" s="42" t="n"/>
    </row>
    <row r="43">
      <c r="B43" s="119" t="inlineStr">
        <is>
          <t>ICICI Prudential Smallcap Fund - Growth</t>
        </is>
      </c>
      <c r="C43" s="125">
        <f>RANK(T43,$T$39:$T$45,0)</f>
        <v/>
      </c>
      <c r="D43" s="191">
        <f>B43</f>
        <v/>
      </c>
      <c r="E43" s="248" t="n">
        <v>0.9697</v>
      </c>
      <c r="F43" s="248" t="n">
        <v>13.0487</v>
      </c>
      <c r="G43" s="248" t="n">
        <v>15.0855</v>
      </c>
      <c r="H43" s="248" t="n">
        <v>15.8833</v>
      </c>
      <c r="I43" s="249" t="n">
        <v>0.0487080350786178</v>
      </c>
      <c r="J43" s="249" t="n">
        <v>-0.718750421638539</v>
      </c>
      <c r="K43" s="249" t="n">
        <v>0.775967882332925</v>
      </c>
      <c r="L43" s="249" t="n">
        <v>16.2243800153108</v>
      </c>
      <c r="M43" s="142">
        <f>(F43-MIN(F$39:F$45))/(MAX(F$39:F$45)-MIN(F$39:F$45))</f>
        <v/>
      </c>
      <c r="N43" s="142">
        <f>(G43-MIN(G$39:G$45))/(MAX(G$39:G$45)-MIN(G$39:G$45))</f>
        <v/>
      </c>
      <c r="O43" s="142">
        <f>(H43-MIN(H$39:H$45))/(MAX(H$39:H$45)-MIN(H$39:H$45))</f>
        <v/>
      </c>
      <c r="P43" s="142">
        <f>(I43-MIN(I$39:I$45))/(MAX(I$39:I$45)-MIN(I$39:I$45))</f>
        <v/>
      </c>
      <c r="Q43" s="142">
        <f>(J43-MIN(J$39:J$45))/(MAX(J$39:J$45)-MIN(J$39:J$45))</f>
        <v/>
      </c>
      <c r="R43" s="142">
        <f>(MAX(K$39:K$45)-K43)/(MAX(K$39:K$45)-MIN(K$39:K$45))</f>
        <v/>
      </c>
      <c r="S43" s="142">
        <f>(MAX(L$39:L$45)-L43)/(MAX(L$39:L$45)-MIN(L$39:L$45))</f>
        <v/>
      </c>
      <c r="T43" s="143">
        <f>(M43*'Fund Ranking Criteria'!$G$9)+('Fund Ranking_Equity'!N43*'Fund Ranking Criteria'!$G$10)+('Fund Ranking_Equity'!O43*'Fund Ranking Criteria'!$G$11)+('Fund Ranking_Equity'!P43*'Fund Ranking Criteria'!$G$16)+('Fund Ranking_Equity'!Q43*'Fund Ranking Criteria'!$G$12)+('Fund Ranking_Equity'!R43*'Fund Ranking Criteria'!$G$14)+('Fund Ranking_Equity'!S43*'Fund Ranking Criteria'!$G$15)</f>
        <v/>
      </c>
      <c r="Z43" s="42" t="n"/>
    </row>
    <row r="44">
      <c r="B44" s="119" t="inlineStr">
        <is>
          <t>Aditya Birla Sun Life Small Cap Fund - Growth</t>
        </is>
      </c>
      <c r="C44" s="125">
        <f>RANK(T44,$T$39:$T$45,0)</f>
        <v/>
      </c>
      <c r="D44" s="191">
        <f>B44</f>
        <v/>
      </c>
      <c r="E44" s="248" t="n">
        <v>9.9183</v>
      </c>
      <c r="F44" s="248" t="n">
        <v>17.199</v>
      </c>
      <c r="G44" s="248" t="n">
        <v>13.4554</v>
      </c>
      <c r="H44" s="248" t="n">
        <v>13.0379</v>
      </c>
      <c r="I44" s="249" t="n">
        <v>0.0581154112857355</v>
      </c>
      <c r="J44" s="249" t="n">
        <v>-0.447956414482073</v>
      </c>
      <c r="K44" s="249" t="n">
        <v>0.879511658088139</v>
      </c>
      <c r="L44" s="249" t="n">
        <v>19.0766784161452</v>
      </c>
      <c r="M44" s="142">
        <f>(F44-MIN(F$39:F$45))/(MAX(F$39:F$45)-MIN(F$39:F$45))</f>
        <v/>
      </c>
      <c r="N44" s="142">
        <f>(G44-MIN(G$39:G$45))/(MAX(G$39:G$45)-MIN(G$39:G$45))</f>
        <v/>
      </c>
      <c r="O44" s="142">
        <f>(H44-MIN(H$39:H$45))/(MAX(H$39:H$45)-MIN(H$39:H$45))</f>
        <v/>
      </c>
      <c r="P44" s="142">
        <f>(I44-MIN(I$39:I$45))/(MAX(I$39:I$45)-MIN(I$39:I$45))</f>
        <v/>
      </c>
      <c r="Q44" s="142">
        <f>(J44-MIN(J$39:J$45))/(MAX(J$39:J$45)-MIN(J$39:J$45))</f>
        <v/>
      </c>
      <c r="R44" s="142">
        <f>(MAX(K$39:K$45)-K44)/(MAX(K$39:K$45)-MIN(K$39:K$45))</f>
        <v/>
      </c>
      <c r="S44" s="142">
        <f>(MAX(L$39:L$45)-L44)/(MAX(L$39:L$45)-MIN(L$39:L$45))</f>
        <v/>
      </c>
      <c r="T44" s="143">
        <f>(M44*'Fund Ranking Criteria'!$G$9)+('Fund Ranking_Equity'!N44*'Fund Ranking Criteria'!$G$10)+('Fund Ranking_Equity'!O44*'Fund Ranking Criteria'!$G$11)+('Fund Ranking_Equity'!P44*'Fund Ranking Criteria'!$G$16)+('Fund Ranking_Equity'!Q44*'Fund Ranking Criteria'!$G$12)+('Fund Ranking_Equity'!R44*'Fund Ranking Criteria'!$G$14)+('Fund Ranking_Equity'!S44*'Fund Ranking Criteria'!$G$15)</f>
        <v/>
      </c>
      <c r="Z44" s="42" t="n"/>
    </row>
    <row r="45" ht="15" customHeight="1" thickBot="1">
      <c r="B45" s="120" t="inlineStr">
        <is>
          <t>UTI Small Cap Fund - Reg - Growth</t>
        </is>
      </c>
      <c r="C45" s="126">
        <f>RANK(T45,$T$39:$T$45,0)</f>
        <v/>
      </c>
      <c r="D45" s="192">
        <f>B45</f>
        <v/>
      </c>
      <c r="E45" s="251" t="n">
        <v>2.7138</v>
      </c>
      <c r="F45" s="251" t="n">
        <v>16.0758</v>
      </c>
      <c r="G45" s="251" t="n">
        <v>15.4742</v>
      </c>
      <c r="H45" s="251" t="n">
        <v>0</v>
      </c>
      <c r="I45" s="250" t="n">
        <v>0.0550140844170298</v>
      </c>
      <c r="J45" s="250" t="n">
        <v>-0.63540356675843</v>
      </c>
      <c r="K45" s="250" t="n">
        <v>0.855520477180748</v>
      </c>
      <c r="L45" s="250" t="n">
        <v>18.6917361455455</v>
      </c>
      <c r="M45" s="144">
        <f>(F45-MIN(F$39:F$45))/(MAX(F$39:F$45)-MIN(F$39:F$45))</f>
        <v/>
      </c>
      <c r="N45" s="144">
        <f>(G45-MIN(G$39:G$45))/(MAX(G$39:G$45)-MIN(G$39:G$45))</f>
        <v/>
      </c>
      <c r="O45" s="144">
        <f>(H45-MIN(H$39:H$45))/(MAX(H$39:H$45)-MIN(H$39:H$45))</f>
        <v/>
      </c>
      <c r="P45" s="144">
        <f>(I45-MIN(I$39:I$45))/(MAX(I$39:I$45)-MIN(I$39:I$45))</f>
        <v/>
      </c>
      <c r="Q45" s="144">
        <f>(J45-MIN(J$39:J$45))/(MAX(J$39:J$45)-MIN(J$39:J$45))</f>
        <v/>
      </c>
      <c r="R45" s="144">
        <f>(MAX(K$39:K$45)-K45)/(MAX(K$39:K$45)-MIN(K$39:K$45))</f>
        <v/>
      </c>
      <c r="S45" s="144">
        <f>(MAX(L$39:L$45)-L45)/(MAX(L$39:L$45)-MIN(L$39:L$45))</f>
        <v/>
      </c>
      <c r="T45" s="145">
        <f>(M45*'Fund Ranking Criteria'!$G$9)+('Fund Ranking_Equity'!N45*'Fund Ranking Criteria'!$G$10)+('Fund Ranking_Equity'!O45*'Fund Ranking Criteria'!$G$11)+('Fund Ranking_Equity'!P45*'Fund Ranking Criteria'!$G$16)+('Fund Ranking_Equity'!Q45*'Fund Ranking Criteria'!$G$12)+('Fund Ranking_Equity'!R45*'Fund Ranking Criteria'!$G$14)+('Fund Ranking_Equity'!S45*'Fund Ranking Criteria'!$G$15)</f>
        <v/>
      </c>
      <c r="Z45" s="42" t="n"/>
    </row>
    <row r="46" ht="15" customHeight="1" thickBot="1"/>
    <row r="47" ht="15" customHeight="1" thickBot="1">
      <c r="B47" s="309" t="inlineStr">
        <is>
          <t>Equity Focused Fund</t>
        </is>
      </c>
      <c r="C47" s="310" t="n"/>
      <c r="D47" s="310" t="n"/>
      <c r="E47" s="310" t="n"/>
      <c r="F47" s="310" t="n"/>
      <c r="G47" s="310" t="n"/>
      <c r="H47" s="310" t="n"/>
      <c r="I47" s="310" t="n"/>
      <c r="J47" s="310" t="n"/>
      <c r="K47" s="310" t="n"/>
      <c r="L47" s="310" t="n"/>
      <c r="M47" s="310" t="n"/>
      <c r="N47" s="310" t="n"/>
      <c r="O47" s="310" t="n"/>
      <c r="P47" s="310" t="n"/>
      <c r="Q47" s="310" t="n"/>
      <c r="R47" s="310" t="n"/>
      <c r="S47" s="310" t="n"/>
      <c r="T47" s="310" t="n"/>
      <c r="U47" s="310" t="n"/>
      <c r="V47" s="310" t="n"/>
      <c r="W47" s="310" t="n"/>
      <c r="X47" s="310" t="n"/>
      <c r="Y47" s="310" t="n"/>
      <c r="Z47" s="311" t="n"/>
    </row>
    <row r="48" ht="15" customHeight="1" thickBot="1">
      <c r="B48" s="147" t="n"/>
      <c r="C48" s="148" t="n"/>
      <c r="D48" s="190" t="n"/>
      <c r="E48" s="425" t="inlineStr">
        <is>
          <t>Actuals</t>
        </is>
      </c>
      <c r="F48" s="426" t="n"/>
      <c r="G48" s="426" t="n"/>
      <c r="H48" s="426" t="n"/>
      <c r="I48" s="426" t="n"/>
      <c r="J48" s="426" t="n"/>
      <c r="K48" s="426" t="n"/>
      <c r="L48" s="426" t="n"/>
      <c r="M48" s="425" t="inlineStr">
        <is>
          <t>Normalized</t>
        </is>
      </c>
      <c r="N48" s="426" t="n"/>
      <c r="O48" s="426" t="n"/>
      <c r="P48" s="426" t="n"/>
      <c r="Q48" s="426" t="n"/>
      <c r="R48" s="426" t="n"/>
      <c r="S48" s="426" t="n"/>
      <c r="T48" s="426" t="n"/>
      <c r="U48" s="308" t="n"/>
      <c r="V48" s="308" t="n"/>
      <c r="W48" s="308" t="n"/>
      <c r="X48" s="308" t="n"/>
      <c r="Y48" s="308" t="n"/>
    </row>
    <row r="49" ht="29.1" customHeight="1">
      <c r="B49" s="116" t="inlineStr">
        <is>
          <t>Funds</t>
        </is>
      </c>
      <c r="C49" s="114" t="inlineStr">
        <is>
          <t>Rank</t>
        </is>
      </c>
      <c r="D49" s="114" t="n"/>
      <c r="E49" s="113" t="inlineStr">
        <is>
          <t>1 Yr Ret (%)</t>
        </is>
      </c>
      <c r="F49" s="113" t="inlineStr">
        <is>
          <t>3 Yr Ret (%)</t>
        </is>
      </c>
      <c r="G49" s="113" t="inlineStr">
        <is>
          <t>5 Yr Ret (%)</t>
        </is>
      </c>
      <c r="H49" s="113" t="inlineStr">
        <is>
          <t>10 Yr Ret (%)</t>
        </is>
      </c>
      <c r="I49" s="113" t="inlineStr">
        <is>
          <t>Sharpe</t>
        </is>
      </c>
      <c r="J49" s="113" t="inlineStr">
        <is>
          <t>Alpha</t>
        </is>
      </c>
      <c r="K49" s="113" t="inlineStr">
        <is>
          <t>Beta</t>
        </is>
      </c>
      <c r="L49" s="113" t="inlineStr">
        <is>
          <t>SD</t>
        </is>
      </c>
      <c r="M49" s="123">
        <f>F49</f>
        <v/>
      </c>
      <c r="N49" s="123">
        <f>G49</f>
        <v/>
      </c>
      <c r="O49" s="123">
        <f>H49</f>
        <v/>
      </c>
      <c r="P49" s="123" t="inlineStr">
        <is>
          <t>Sharpe</t>
        </is>
      </c>
      <c r="Q49" s="123" t="inlineStr">
        <is>
          <t>Alpha</t>
        </is>
      </c>
      <c r="R49" s="121" t="inlineStr">
        <is>
          <t>Beta</t>
        </is>
      </c>
      <c r="S49" s="121" t="inlineStr">
        <is>
          <t>SD</t>
        </is>
      </c>
      <c r="T49" s="442" t="n"/>
      <c r="Z49" s="42" t="n"/>
    </row>
    <row r="50">
      <c r="B50" s="119" t="inlineStr">
        <is>
          <t>SBI Focused Fund - Growth</t>
        </is>
      </c>
      <c r="C50" s="125">
        <f>RANK(T50,$T$50:$T$56,0)</f>
        <v/>
      </c>
      <c r="D50" s="191">
        <f>B50</f>
        <v/>
      </c>
      <c r="E50" s="248" t="n">
        <v>8.935600000000001</v>
      </c>
      <c r="F50" s="248" t="n">
        <v>16.088</v>
      </c>
      <c r="G50" s="248" t="n">
        <v>12.8748</v>
      </c>
      <c r="H50" s="248" t="n">
        <v>14.7842</v>
      </c>
      <c r="I50" s="249" t="n">
        <v>0.0728209479326858</v>
      </c>
      <c r="J50" s="249" t="n">
        <v>0.0556888951553419</v>
      </c>
      <c r="K50" s="249" t="n">
        <v>0.844159254618174</v>
      </c>
      <c r="L50" s="249" t="n">
        <v>12.6448841831676</v>
      </c>
      <c r="M50" s="142">
        <f>(F50-MIN(F$50:F$56))/(MAX(F$50:F$56)-MIN(F$50:F$56))</f>
        <v/>
      </c>
      <c r="N50" s="142">
        <f>(G50-MIN(G$50:G$56))/(MAX(G$50:G$56)-MIN(G$50:G$56))</f>
        <v/>
      </c>
      <c r="O50" s="142">
        <f>(H50-MIN(H$50:H$56))/(MAX(H$50:H$56)-MIN(H$50:H$56))</f>
        <v/>
      </c>
      <c r="P50" s="142">
        <f>(I50-MIN(I$50:I$56))/(MAX(I$50:I$56)-MIN(I$50:I$56))</f>
        <v/>
      </c>
      <c r="Q50" s="142">
        <f>(J50-MIN(J$50:J$56))/(MAX(J$50:J$56)-MIN(J$50:J$56))</f>
        <v/>
      </c>
      <c r="R50" s="142">
        <f>(MAX(K$50:K$56)-K50)/(MAX(K$50:K$56)-MIN(K$50:K$56))</f>
        <v/>
      </c>
      <c r="S50" s="142">
        <f>(MAX(L$50:L$56)-L50)/(MAX(L$50:L$56)-MIN(L$50:L$56))</f>
        <v/>
      </c>
      <c r="T50" s="143">
        <f>(M50*'Fund Ranking Criteria'!$E$9)+('Fund Ranking_Equity'!N50*'Fund Ranking Criteria'!$E$10)+('Fund Ranking_Equity'!O50*'Fund Ranking Criteria'!$E$11)+('Fund Ranking_Equity'!P50*'Fund Ranking Criteria'!$E$16)+('Fund Ranking_Equity'!Q50*'Fund Ranking Criteria'!$E$12)+('Fund Ranking_Equity'!R50*'Fund Ranking Criteria'!$E$14)+('Fund Ranking_Equity'!S50*'Fund Ranking Criteria'!$E$15)</f>
        <v/>
      </c>
      <c r="Z50" s="42" t="n"/>
    </row>
    <row r="51">
      <c r="B51" s="119" t="inlineStr">
        <is>
          <t>HDFC Focused Fund - Growth</t>
        </is>
      </c>
      <c r="C51" s="125">
        <f>RANK(T51,$T$50:$T$56,0)</f>
        <v/>
      </c>
      <c r="D51" s="191">
        <f>B51</f>
        <v/>
      </c>
      <c r="E51" s="248" t="n">
        <v>0.642</v>
      </c>
      <c r="F51" s="248" t="n">
        <v>16.8522</v>
      </c>
      <c r="G51" s="248" t="n">
        <v>18.9232</v>
      </c>
      <c r="H51" s="248" t="n">
        <v>14.1204</v>
      </c>
      <c r="I51" s="249" t="n">
        <v>0.0814606245983221</v>
      </c>
      <c r="J51" s="249" t="n">
        <v>0.0817961144445306</v>
      </c>
      <c r="K51" s="249" t="n">
        <v>0.814662295994629</v>
      </c>
      <c r="L51" s="249" t="n">
        <v>12.1764105920703</v>
      </c>
      <c r="M51" s="142">
        <f>(F51-MIN(F$50:F$56))/(MAX(F$50:F$56)-MIN(F$50:F$56))</f>
        <v/>
      </c>
      <c r="N51" s="142">
        <f>(G51-MIN(G$50:G$56))/(MAX(G$50:G$56)-MIN(G$50:G$56))</f>
        <v/>
      </c>
      <c r="O51" s="142">
        <f>(H51-MIN(H$50:H$56))/(MAX(H$50:H$56)-MIN(H$50:H$56))</f>
        <v/>
      </c>
      <c r="P51" s="142">
        <f>(I51-MIN(I$50:I$56))/(MAX(I$50:I$56)-MIN(I$50:I$56))</f>
        <v/>
      </c>
      <c r="Q51" s="142">
        <f>(J51-MIN(J$50:J$56))/(MAX(J$50:J$56)-MIN(J$50:J$56))</f>
        <v/>
      </c>
      <c r="R51" s="142">
        <f>(MAX(K$50:K$56)-K51)/(MAX(K$50:K$56)-MIN(K$50:K$56))</f>
        <v/>
      </c>
      <c r="S51" s="142">
        <f>(MAX(L$50:L$56)-L51)/(MAX(L$50:L$56)-MIN(L$50:L$56))</f>
        <v/>
      </c>
      <c r="T51" s="143">
        <f>(M51*'Fund Ranking Criteria'!$E$9)+('Fund Ranking_Equity'!N51*'Fund Ranking Criteria'!$E$10)+('Fund Ranking_Equity'!O51*'Fund Ranking Criteria'!$E$11)+('Fund Ranking_Equity'!P51*'Fund Ranking Criteria'!$E$16)+('Fund Ranking_Equity'!Q51*'Fund Ranking Criteria'!$E$12)+('Fund Ranking_Equity'!R51*'Fund Ranking Criteria'!$E$14)+('Fund Ranking_Equity'!S51*'Fund Ranking Criteria'!$E$15)</f>
        <v/>
      </c>
      <c r="Z51" s="42" t="n"/>
    </row>
    <row r="52">
      <c r="B52" s="119" t="inlineStr">
        <is>
          <t>Axis Focused Fund - Growth</t>
        </is>
      </c>
      <c r="C52" s="125">
        <f>RANK(T52,$T$50:$T$56,0)</f>
        <v/>
      </c>
      <c r="D52" s="191">
        <f>B52</f>
        <v/>
      </c>
      <c r="E52" s="248" t="n">
        <v>-3.0016</v>
      </c>
      <c r="F52" s="248" t="n">
        <v>8.9414</v>
      </c>
      <c r="G52" s="248" t="n">
        <v>5.5015</v>
      </c>
      <c r="H52" s="248" t="n">
        <v>11.4049</v>
      </c>
      <c r="I52" s="249" t="n">
        <v>0.0284641611680159</v>
      </c>
      <c r="J52" s="249" t="n">
        <v>-0.612068248441645</v>
      </c>
      <c r="K52" s="249" t="n">
        <v>0.920264237756188</v>
      </c>
      <c r="L52" s="249" t="n">
        <v>14.6151191377053</v>
      </c>
      <c r="M52" s="142">
        <f>(F52-MIN(F$50:F$56))/(MAX(F$50:F$56)-MIN(F$50:F$56))</f>
        <v/>
      </c>
      <c r="N52" s="142">
        <f>(G52-MIN(G$50:G$56))/(MAX(G$50:G$56)-MIN(G$50:G$56))</f>
        <v/>
      </c>
      <c r="O52" s="142">
        <f>(H52-MIN(H$50:H$56))/(MAX(H$50:H$56)-MIN(H$50:H$56))</f>
        <v/>
      </c>
      <c r="P52" s="142">
        <f>(I52-MIN(I$50:I$56))/(MAX(I$50:I$56)-MIN(I$50:I$56))</f>
        <v/>
      </c>
      <c r="Q52" s="142">
        <f>(J52-MIN(J$50:J$56))/(MAX(J$50:J$56)-MIN(J$50:J$56))</f>
        <v/>
      </c>
      <c r="R52" s="142">
        <f>(MAX(K$50:K$56)-K52)/(MAX(K$50:K$56)-MIN(K$50:K$56))</f>
        <v/>
      </c>
      <c r="S52" s="142">
        <f>(MAX(L$50:L$56)-L52)/(MAX(L$50:L$56)-MIN(L$50:L$56))</f>
        <v/>
      </c>
      <c r="T52" s="143">
        <f>(M52*'Fund Ranking Criteria'!$E$9)+('Fund Ranking_Equity'!N52*'Fund Ranking Criteria'!$E$10)+('Fund Ranking_Equity'!O52*'Fund Ranking Criteria'!$E$11)+('Fund Ranking_Equity'!P52*'Fund Ranking Criteria'!$E$16)+('Fund Ranking_Equity'!Q52*'Fund Ranking Criteria'!$E$12)+('Fund Ranking_Equity'!R52*'Fund Ranking Criteria'!$E$14)+('Fund Ranking_Equity'!S52*'Fund Ranking Criteria'!$E$15)</f>
        <v/>
      </c>
      <c r="Z52" s="42" t="n"/>
    </row>
    <row r="53">
      <c r="B53" s="119" t="inlineStr">
        <is>
          <t>ICICI Prudential Focused Equity Fund  - Ret - Growth</t>
        </is>
      </c>
      <c r="C53" s="125">
        <f>RANK(T53,$T$50:$T$56,0)</f>
        <v/>
      </c>
      <c r="D53" s="191">
        <f>B53</f>
        <v/>
      </c>
      <c r="E53" s="248" t="n">
        <v>6.9878</v>
      </c>
      <c r="F53" s="248" t="n">
        <v>25.7403</v>
      </c>
      <c r="G53" s="248" t="n">
        <v>25.3462</v>
      </c>
      <c r="H53" s="248" t="n">
        <v>14.723</v>
      </c>
      <c r="I53" s="249" t="n">
        <v>0.122679965549025</v>
      </c>
      <c r="J53" s="249" t="n">
        <v>0.468405119218325</v>
      </c>
      <c r="K53" s="249" t="n">
        <v>0.920610351755294</v>
      </c>
      <c r="L53" s="249" t="n">
        <v>13.5201352061966</v>
      </c>
      <c r="M53" s="142">
        <f>(F53-MIN(F$50:F$56))/(MAX(F$50:F$56)-MIN(F$50:F$56))</f>
        <v/>
      </c>
      <c r="N53" s="142">
        <f>(G53-MIN(G$50:G$56))/(MAX(G$50:G$56)-MIN(G$50:G$56))</f>
        <v/>
      </c>
      <c r="O53" s="142">
        <f>(H53-MIN(H$50:H$56))/(MAX(H$50:H$56)-MIN(H$50:H$56))</f>
        <v/>
      </c>
      <c r="P53" s="142">
        <f>(I53-MIN(I$50:I$56))/(MAX(I$50:I$56)-MIN(I$50:I$56))</f>
        <v/>
      </c>
      <c r="Q53" s="142">
        <f>(J53-MIN(J$50:J$56))/(MAX(J$50:J$56)-MIN(J$50:J$56))</f>
        <v/>
      </c>
      <c r="R53" s="142">
        <f>(MAX(K$50:K$56)-K53)/(MAX(K$50:K$56)-MIN(K$50:K$56))</f>
        <v/>
      </c>
      <c r="S53" s="142">
        <f>(MAX(L$50:L$56)-L53)/(MAX(L$50:L$56)-MIN(L$50:L$56))</f>
        <v/>
      </c>
      <c r="T53" s="143">
        <f>(M53*'Fund Ranking Criteria'!$E$9)+('Fund Ranking_Equity'!N53*'Fund Ranking Criteria'!$E$10)+('Fund Ranking_Equity'!O53*'Fund Ranking Criteria'!$E$11)+('Fund Ranking_Equity'!P53*'Fund Ranking Criteria'!$E$16)+('Fund Ranking_Equity'!Q53*'Fund Ranking Criteria'!$E$12)+('Fund Ranking_Equity'!R53*'Fund Ranking Criteria'!$E$14)+('Fund Ranking_Equity'!S53*'Fund Ranking Criteria'!$E$15)</f>
        <v/>
      </c>
      <c r="Z53" s="42" t="n"/>
    </row>
    <row r="54">
      <c r="B54" s="119" t="inlineStr">
        <is>
          <t>Nippon India Focused Fund - Reg - Growth</t>
        </is>
      </c>
      <c r="C54" s="125">
        <f>RANK(T54,$T$50:$T$56,0)</f>
        <v/>
      </c>
      <c r="D54" s="191">
        <f>B54</f>
        <v/>
      </c>
      <c r="E54" s="248" t="n">
        <v>1.0994</v>
      </c>
      <c r="F54" s="248" t="n">
        <v>12.8955</v>
      </c>
      <c r="G54" s="248" t="n">
        <v>12.2132</v>
      </c>
      <c r="H54" s="248" t="n">
        <v>13.1839</v>
      </c>
      <c r="I54" s="249" t="n">
        <v>0.0493498802724161</v>
      </c>
      <c r="J54" s="249" t="n">
        <v>-0.318517769606719</v>
      </c>
      <c r="K54" s="249" t="n">
        <v>0.930023588476805</v>
      </c>
      <c r="L54" s="249" t="n">
        <v>13.9582704807195</v>
      </c>
      <c r="M54" s="142">
        <f>(F54-MIN(F$50:F$56))/(MAX(F$50:F$56)-MIN(F$50:F$56))</f>
        <v/>
      </c>
      <c r="N54" s="142">
        <f>(G54-MIN(G$50:G$56))/(MAX(G$50:G$56)-MIN(G$50:G$56))</f>
        <v/>
      </c>
      <c r="O54" s="142">
        <f>(H54-MIN(H$50:H$56))/(MAX(H$50:H$56)-MIN(H$50:H$56))</f>
        <v/>
      </c>
      <c r="P54" s="142">
        <f>(I54-MIN(I$50:I$56))/(MAX(I$50:I$56)-MIN(I$50:I$56))</f>
        <v/>
      </c>
      <c r="Q54" s="142">
        <f>(J54-MIN(J$50:J$56))/(MAX(J$50:J$56)-MIN(J$50:J$56))</f>
        <v/>
      </c>
      <c r="R54" s="142">
        <f>(MAX(K$50:K$56)-K54)/(MAX(K$50:K$56)-MIN(K$50:K$56))</f>
        <v/>
      </c>
      <c r="S54" s="142">
        <f>(MAX(L$50:L$56)-L54)/(MAX(L$50:L$56)-MIN(L$50:L$56))</f>
        <v/>
      </c>
      <c r="T54" s="143">
        <f>(M54*'Fund Ranking Criteria'!$E$9)+('Fund Ranking_Equity'!N54*'Fund Ranking Criteria'!$E$10)+('Fund Ranking_Equity'!O54*'Fund Ranking Criteria'!$E$11)+('Fund Ranking_Equity'!P54*'Fund Ranking Criteria'!$E$16)+('Fund Ranking_Equity'!Q54*'Fund Ranking Criteria'!$E$12)+('Fund Ranking_Equity'!R54*'Fund Ranking Criteria'!$E$14)+('Fund Ranking_Equity'!S54*'Fund Ranking Criteria'!$E$15)</f>
        <v/>
      </c>
      <c r="Z54" s="42" t="n"/>
    </row>
    <row r="55">
      <c r="B55" s="119" t="inlineStr">
        <is>
          <t>Kotak Focused Fund - Reg - Growth</t>
        </is>
      </c>
      <c r="C55" s="125">
        <f>RANK(T55,$T$50:$T$56,0)</f>
        <v/>
      </c>
      <c r="D55" s="191">
        <f>B55</f>
        <v/>
      </c>
      <c r="E55" s="248" t="n">
        <v>7.2689</v>
      </c>
      <c r="F55" s="248" t="n">
        <v>15.5309</v>
      </c>
      <c r="G55" s="248" t="n">
        <v>13.2063</v>
      </c>
      <c r="H55" s="248" t="n">
        <v>0</v>
      </c>
      <c r="I55" s="249" t="n">
        <v>0.06541306227931649</v>
      </c>
      <c r="J55" s="249" t="n">
        <v>-0.115760516443657</v>
      </c>
      <c r="K55" s="249" t="n">
        <v>0.909654673076048</v>
      </c>
      <c r="L55" s="249" t="n">
        <v>13.7657878585821</v>
      </c>
      <c r="M55" s="142">
        <f>(F55-MIN(F$50:F$56))/(MAX(F$50:F$56)-MIN(F$50:F$56))</f>
        <v/>
      </c>
      <c r="N55" s="142">
        <f>(G55-MIN(G$50:G$56))/(MAX(G$50:G$56)-MIN(G$50:G$56))</f>
        <v/>
      </c>
      <c r="O55" s="142">
        <f>(H55-MIN(H$50:H$56))/(MAX(H$50:H$56)-MIN(H$50:H$56))</f>
        <v/>
      </c>
      <c r="P55" s="142">
        <f>(I55-MIN(I$50:I$56))/(MAX(I$50:I$56)-MIN(I$50:I$56))</f>
        <v/>
      </c>
      <c r="Q55" s="142">
        <f>(J55-MIN(J$50:J$56))/(MAX(J$50:J$56)-MIN(J$50:J$56))</f>
        <v/>
      </c>
      <c r="R55" s="142">
        <f>(MAX(K$50:K$56)-K55)/(MAX(K$50:K$56)-MIN(K$50:K$56))</f>
        <v/>
      </c>
      <c r="S55" s="142">
        <f>(MAX(L$50:L$56)-L55)/(MAX(L$50:L$56)-MIN(L$50:L$56))</f>
        <v/>
      </c>
      <c r="T55" s="143">
        <f>(M55*'Fund Ranking Criteria'!$E$9)+('Fund Ranking_Equity'!N55*'Fund Ranking Criteria'!$E$10)+('Fund Ranking_Equity'!O55*'Fund Ranking Criteria'!$E$11)+('Fund Ranking_Equity'!P55*'Fund Ranking Criteria'!$E$16)+('Fund Ranking_Equity'!Q55*'Fund Ranking Criteria'!$E$12)+('Fund Ranking_Equity'!R55*'Fund Ranking Criteria'!$E$14)+('Fund Ranking_Equity'!S55*'Fund Ranking Criteria'!$E$15)</f>
        <v/>
      </c>
      <c r="Z55" s="42" t="n"/>
    </row>
    <row r="56" ht="15" customHeight="1" thickBot="1">
      <c r="B56" s="119" t="inlineStr">
        <is>
          <t>UTI Focused Fund - Reg - Growth</t>
        </is>
      </c>
      <c r="C56" s="125">
        <f>RANK(T56,$T$50:$T$56,0)</f>
        <v/>
      </c>
      <c r="D56" s="191">
        <f>B56</f>
        <v/>
      </c>
      <c r="E56" s="251" t="n">
        <v>-2.9274</v>
      </c>
      <c r="F56" s="251" t="n">
        <v>10.1508</v>
      </c>
      <c r="G56" s="251" t="n">
        <v>0</v>
      </c>
      <c r="H56" s="251" t="n">
        <v>0</v>
      </c>
      <c r="I56" s="250" t="n">
        <v>0.0388923594524809</v>
      </c>
      <c r="J56" s="250" t="n">
        <v>-0.5062912491741141</v>
      </c>
      <c r="K56" s="250" t="n">
        <v>0.938140309541789</v>
      </c>
      <c r="L56" s="250" t="n">
        <v>13.9295843478994</v>
      </c>
      <c r="M56" s="142">
        <f>(F56-MIN(F$50:F$56))/(MAX(F$50:F$56)-MIN(F$50:F$56))</f>
        <v/>
      </c>
      <c r="N56" s="142">
        <f>(G56-MIN(G$50:G$56))/(MAX(G$50:G$56)-MIN(G$50:G$56))</f>
        <v/>
      </c>
      <c r="O56" s="142">
        <f>(H56-MIN(H$50:H$56))/(MAX(H$50:H$56)-MIN(H$50:H$56))</f>
        <v/>
      </c>
      <c r="P56" s="142">
        <f>(I56-MIN(I$50:I$56))/(MAX(I$50:I$56)-MIN(I$50:I$56))</f>
        <v/>
      </c>
      <c r="Q56" s="142">
        <f>(J56-MIN(J$50:J$56))/(MAX(J$50:J$56)-MIN(J$50:J$56))</f>
        <v/>
      </c>
      <c r="R56" s="142">
        <f>(MAX(K$50:K$56)-K56)/(MAX(K$50:K$56)-MIN(K$50:K$56))</f>
        <v/>
      </c>
      <c r="S56" s="142">
        <f>(MAX(L$50:L$56)-L56)/(MAX(L$50:L$56)-MIN(L$50:L$56))</f>
        <v/>
      </c>
      <c r="T56" s="143">
        <f>(M56*'Fund Ranking Criteria'!$E$9)+('Fund Ranking_Equity'!N56*'Fund Ranking Criteria'!$E$10)+('Fund Ranking_Equity'!O56*'Fund Ranking Criteria'!$E$11)+('Fund Ranking_Equity'!P56*'Fund Ranking Criteria'!$E$16)+('Fund Ranking_Equity'!Q56*'Fund Ranking Criteria'!$E$12)+('Fund Ranking_Equity'!R56*'Fund Ranking Criteria'!$E$14)+('Fund Ranking_Equity'!S56*'Fund Ranking Criteria'!$E$15)</f>
        <v/>
      </c>
      <c r="Z56" s="42" t="n"/>
    </row>
    <row r="57" ht="15" customHeight="1" thickBot="1">
      <c r="E57" s="42" t="n">
        <v>2</v>
      </c>
      <c r="F57" s="42" t="n">
        <v>3</v>
      </c>
      <c r="G57" s="42" t="n">
        <v>4</v>
      </c>
      <c r="H57" s="42" t="n">
        <v>6</v>
      </c>
      <c r="I57" s="42" t="n">
        <v>7</v>
      </c>
      <c r="J57" s="42">
        <f>I57+1</f>
        <v/>
      </c>
      <c r="K57" s="42">
        <f>J57+1</f>
        <v/>
      </c>
      <c r="L57" s="42">
        <f>K57+1</f>
        <v/>
      </c>
      <c r="M57" s="42">
        <f>L57+1</f>
        <v/>
      </c>
      <c r="N57" s="42">
        <f>M57+1</f>
        <v/>
      </c>
    </row>
    <row r="58" ht="15" customHeight="1" thickBot="1">
      <c r="B58" s="309" t="inlineStr">
        <is>
          <t>BAF</t>
        </is>
      </c>
      <c r="C58" s="310" t="n"/>
      <c r="D58" s="310" t="n"/>
      <c r="E58" s="310" t="n"/>
      <c r="F58" s="310" t="n"/>
      <c r="G58" s="310" t="n"/>
      <c r="H58" s="310" t="n"/>
      <c r="I58" s="310" t="n"/>
      <c r="J58" s="310" t="n"/>
      <c r="K58" s="310" t="n"/>
      <c r="L58" s="310" t="n"/>
      <c r="M58" s="310" t="n"/>
      <c r="N58" s="310" t="n"/>
      <c r="O58" s="310" t="n"/>
      <c r="P58" s="310" t="n"/>
      <c r="Q58" s="310" t="n"/>
      <c r="R58" s="310" t="n"/>
      <c r="S58" s="310" t="n"/>
      <c r="Z58" s="42" t="n"/>
    </row>
    <row r="59" ht="15" customHeight="1" thickBot="1">
      <c r="B59" s="262" t="n"/>
      <c r="C59" s="189" t="n"/>
      <c r="D59" s="189" t="n"/>
      <c r="E59" s="427" t="inlineStr">
        <is>
          <t>Actuals</t>
        </is>
      </c>
      <c r="F59" s="426" t="n"/>
      <c r="G59" s="426" t="n"/>
      <c r="H59" s="426" t="n"/>
      <c r="I59" s="426" t="n"/>
      <c r="J59" s="426" t="n"/>
      <c r="K59" s="426" t="n"/>
      <c r="L59" s="425" t="inlineStr">
        <is>
          <t>Normalized</t>
        </is>
      </c>
      <c r="M59" s="426" t="n"/>
      <c r="N59" s="426" t="n"/>
      <c r="O59" s="426" t="n"/>
      <c r="P59" s="426" t="n"/>
      <c r="Q59" s="426" t="n"/>
      <c r="R59" s="426" t="n"/>
      <c r="S59" s="426" t="n"/>
      <c r="Z59" s="42" t="n"/>
    </row>
    <row r="60" ht="29.1" customHeight="1">
      <c r="B60" s="116" t="inlineStr">
        <is>
          <t>Funds</t>
        </is>
      </c>
      <c r="C60" s="114" t="inlineStr">
        <is>
          <t>Rank</t>
        </is>
      </c>
      <c r="D60" s="114" t="n"/>
      <c r="E60" s="113" t="inlineStr">
        <is>
          <t>1 Yr Ret (%)</t>
        </is>
      </c>
      <c r="F60" s="113" t="inlineStr">
        <is>
          <t>3 Yr Ret (%)</t>
        </is>
      </c>
      <c r="G60" s="113" t="inlineStr">
        <is>
          <t>5 Yr Ret (%)</t>
        </is>
      </c>
      <c r="H60" s="113" t="inlineStr">
        <is>
          <t>10 Yr Ret (%)</t>
        </is>
      </c>
      <c r="I60" s="113" t="inlineStr">
        <is>
          <t>Sharpe</t>
        </is>
      </c>
      <c r="J60" s="113" t="inlineStr">
        <is>
          <t>Alpha</t>
        </is>
      </c>
      <c r="K60" s="113" t="inlineStr">
        <is>
          <t>Beta</t>
        </is>
      </c>
      <c r="L60" s="113" t="inlineStr">
        <is>
          <t>SD</t>
        </is>
      </c>
      <c r="M60" s="123">
        <f>E60</f>
        <v/>
      </c>
      <c r="N60" s="123">
        <f>F60</f>
        <v/>
      </c>
      <c r="O60" s="123">
        <f>G60</f>
        <v/>
      </c>
      <c r="P60" s="123" t="inlineStr">
        <is>
          <t>Sharpe</t>
        </is>
      </c>
      <c r="Q60" s="123" t="inlineStr">
        <is>
          <t>Alpha</t>
        </is>
      </c>
      <c r="R60" s="121" t="inlineStr">
        <is>
          <t>Beta</t>
        </is>
      </c>
      <c r="S60" s="121" t="inlineStr">
        <is>
          <t>SD</t>
        </is>
      </c>
      <c r="T60" s="442" t="n"/>
      <c r="Z60" s="42" t="n"/>
    </row>
    <row r="61">
      <c r="B61" s="304" t="inlineStr">
        <is>
          <t>HDFC Balanced Advantage Fund - Growth</t>
        </is>
      </c>
      <c r="C61" s="125">
        <f>RANK(T61,$T$61:$T$67,0)</f>
        <v/>
      </c>
      <c r="D61" s="191">
        <f>B61</f>
        <v/>
      </c>
      <c r="E61" s="248" t="n">
        <v>0.1311</v>
      </c>
      <c r="F61" s="248" t="n">
        <v>14.1607</v>
      </c>
      <c r="G61" s="248" t="n">
        <v>15.1964</v>
      </c>
      <c r="H61" s="248" t="n">
        <v>14.2787</v>
      </c>
      <c r="I61" s="249" t="n">
        <v>0.0756787762856833</v>
      </c>
      <c r="J61" s="249" t="n">
        <v>0</v>
      </c>
      <c r="K61" s="249" t="n">
        <v>0</v>
      </c>
      <c r="L61" s="249" t="n">
        <v>10.0189313071745</v>
      </c>
      <c r="M61" s="142">
        <f>(E61-MIN(E$61:E$67))/(MAX(E$61:E$67)-MIN(E$61:E$67))</f>
        <v/>
      </c>
      <c r="N61" s="142">
        <f>(F61-MIN(F$61:F$67))/(MAX(F$61:F$67)-MIN(F$61:F$67))</f>
        <v/>
      </c>
      <c r="O61" s="142" t="n">
        <v>0</v>
      </c>
      <c r="P61" s="142">
        <f>(I61-MIN(I$61:I$67))/(MAX(I$61:I$67)-MIN(I$61:I$67))</f>
        <v/>
      </c>
      <c r="Q61" s="142" t="n"/>
      <c r="R61" s="142" t="n"/>
      <c r="S61" s="142">
        <f>(MAX(L$61:L$67)-L61)/(MAX(L$61:L$67)-MIN(L$61:L$67))</f>
        <v/>
      </c>
      <c r="T61" s="143">
        <f>(M61*'Fund Ranking Criteria'!$F$9)+('Fund Ranking_Equity'!N61*'Fund Ranking Criteria'!$F$10)+('Fund Ranking_Equity'!O61*'Fund Ranking Criteria'!$F$11)+('Fund Ranking_Equity'!P61*'Fund Ranking Criteria'!$F$16)+('Fund Ranking_Equity'!Q61*'Fund Ranking Criteria'!$F$12)+('Fund Ranking_Equity'!R61*'Fund Ranking Criteria'!$F$14)+('Fund Ranking_Equity'!S61*'Fund Ranking Criteria'!$F$15)</f>
        <v/>
      </c>
      <c r="Z61" s="42" t="n"/>
    </row>
    <row r="62" ht="29.1" customHeight="1">
      <c r="B62" s="119" t="inlineStr">
        <is>
          <t>ICICI Prudential Balanced Advantage Fund - Reg - Growth</t>
        </is>
      </c>
      <c r="C62" s="125">
        <f>RANK(T62,$T$61:$T$67,0)</f>
        <v/>
      </c>
      <c r="D62" s="191">
        <f>B62</f>
        <v/>
      </c>
      <c r="E62" s="248" t="n">
        <v>5.327</v>
      </c>
      <c r="F62" s="248" t="n">
        <v>11.952</v>
      </c>
      <c r="G62" s="248" t="n">
        <v>11.0169</v>
      </c>
      <c r="H62" s="248" t="n">
        <v>10.9405</v>
      </c>
      <c r="I62" s="249" t="n">
        <v>0.0779754173933133</v>
      </c>
      <c r="J62" s="249" t="n">
        <v>0</v>
      </c>
      <c r="K62" s="249" t="n">
        <v>0</v>
      </c>
      <c r="L62" s="249" t="n">
        <v>6.95691304111238</v>
      </c>
      <c r="M62" s="142">
        <f>(E62-MIN(E$61:E$67))/(MAX(E$61:E$67)-MIN(E$61:E$67))</f>
        <v/>
      </c>
      <c r="N62" s="142">
        <f>(F62-MIN(F$61:F$67))/(MAX(F$61:F$67)-MIN(F$61:F$67))</f>
        <v/>
      </c>
      <c r="O62" s="142">
        <f>(G62-MIN(G$61:G$67))/(MAX(G$61:G$67)-MIN(G$61:G$67))</f>
        <v/>
      </c>
      <c r="P62" s="142">
        <f>(I62-MIN(I$61:I$67))/(MAX(I$61:I$67)-MIN(I$61:I$67))</f>
        <v/>
      </c>
      <c r="Q62" s="142" t="n"/>
      <c r="R62" s="142" t="n"/>
      <c r="S62" s="142">
        <f>(MAX(L$61:L$67)-L62)/(MAX(L$61:L$67)-MIN(L$61:L$67))</f>
        <v/>
      </c>
      <c r="T62" s="143">
        <f>(M62*'Fund Ranking Criteria'!$F$9)+('Fund Ranking_Equity'!N62*'Fund Ranking Criteria'!$F$10)+('Fund Ranking_Equity'!O62*'Fund Ranking Criteria'!$F$11)+('Fund Ranking_Equity'!P62*'Fund Ranking Criteria'!$F$16)+('Fund Ranking_Equity'!Q62*'Fund Ranking Criteria'!$F$12)+('Fund Ranking_Equity'!R62*'Fund Ranking Criteria'!$F$14)+('Fund Ranking_Equity'!S62*'Fund Ranking Criteria'!$F$15)</f>
        <v/>
      </c>
      <c r="Z62" s="42" t="n"/>
    </row>
    <row r="63">
      <c r="B63" s="119" t="inlineStr">
        <is>
          <t>SBI Balanced Advantage Fund - Reg - Growth</t>
        </is>
      </c>
      <c r="C63" s="125">
        <f>RANK(T63,$T$61:$T$67,0)</f>
        <v/>
      </c>
      <c r="D63" s="191">
        <f>B63</f>
        <v/>
      </c>
      <c r="E63" s="248" t="n">
        <v>2.0928</v>
      </c>
      <c r="F63" s="248" t="n">
        <v>10.8249</v>
      </c>
      <c r="G63" s="248" t="n">
        <v>0</v>
      </c>
      <c r="H63" s="248" t="n">
        <v>0</v>
      </c>
      <c r="I63" s="249" t="n">
        <v>0.0644650233576297</v>
      </c>
      <c r="J63" s="249" t="n">
        <v>0</v>
      </c>
      <c r="K63" s="249" t="n">
        <v>0</v>
      </c>
      <c r="L63" s="249" t="n">
        <v>7.38188218366082</v>
      </c>
      <c r="M63" s="142">
        <f>(E63-MIN(E$61:E$67))/(MAX(E$61:E$67)-MIN(E$61:E$67))</f>
        <v/>
      </c>
      <c r="N63" s="142">
        <f>(F63-MIN(F$61:F$67))/(MAX(F$61:F$67)-MIN(F$61:F$67))</f>
        <v/>
      </c>
      <c r="O63" s="142">
        <f>(G63-MIN(G$61:G$67))/(MAX(G$61:G$67)-MIN(G$61:G$67))</f>
        <v/>
      </c>
      <c r="P63" s="142">
        <f>(I63-MIN(I$61:I$67))/(MAX(I$61:I$67)-MIN(I$61:I$67))</f>
        <v/>
      </c>
      <c r="Q63" s="142" t="n"/>
      <c r="R63" s="142" t="n"/>
      <c r="S63" s="142">
        <f>(MAX(L$61:L$67)-L63)/(MAX(L$61:L$67)-MIN(L$61:L$67))</f>
        <v/>
      </c>
      <c r="T63" s="143">
        <f>(M63*'Fund Ranking Criteria'!$F$9)+('Fund Ranking_Equity'!N63*'Fund Ranking Criteria'!$F$10)+('Fund Ranking_Equity'!O63*'Fund Ranking Criteria'!$F$11)+('Fund Ranking_Equity'!P63*'Fund Ranking Criteria'!$F$16)+('Fund Ranking_Equity'!Q63*'Fund Ranking Criteria'!$F$12)+('Fund Ranking_Equity'!R63*'Fund Ranking Criteria'!$F$14)+('Fund Ranking_Equity'!S63*'Fund Ranking Criteria'!$F$15)</f>
        <v/>
      </c>
      <c r="Z63" s="42" t="n"/>
    </row>
    <row r="64">
      <c r="B64" s="119" t="inlineStr">
        <is>
          <t>Kotak Balanced Advantage Fund - Reg - Growth</t>
        </is>
      </c>
      <c r="C64" s="125">
        <f>RANK(T64,$T$61:$T$67,0)</f>
        <v/>
      </c>
      <c r="D64" s="191">
        <f>B64</f>
        <v/>
      </c>
      <c r="E64" s="248" t="n">
        <v>1.8</v>
      </c>
      <c r="F64" s="248" t="n">
        <v>9.6959</v>
      </c>
      <c r="G64" s="248" t="n">
        <v>8.943</v>
      </c>
      <c r="H64" s="248" t="n">
        <v>0</v>
      </c>
      <c r="I64" s="249" t="n">
        <v>0.045058113551422</v>
      </c>
      <c r="J64" s="249" t="n">
        <v>0</v>
      </c>
      <c r="K64" s="249" t="n">
        <v>0</v>
      </c>
      <c r="L64" s="249" t="n">
        <v>8.49966453953458</v>
      </c>
      <c r="M64" s="142">
        <f>(E64-MIN(E$61:E$67))/(MAX(E$61:E$67)-MIN(E$61:E$67))</f>
        <v/>
      </c>
      <c r="N64" s="142">
        <f>(F64-MIN(F$61:F$67))/(MAX(F$61:F$67)-MIN(F$61:F$67))</f>
        <v/>
      </c>
      <c r="O64" s="142">
        <f>(G64-MIN(G$61:G$67))/(MAX(G$61:G$67)-MIN(G$61:G$67))</f>
        <v/>
      </c>
      <c r="P64" s="142">
        <f>(I64-MIN(I$61:I$67))/(MAX(I$61:I$67)-MIN(I$61:I$67))</f>
        <v/>
      </c>
      <c r="Q64" s="142" t="n"/>
      <c r="R64" s="142" t="n"/>
      <c r="S64" s="142">
        <f>(MAX(L$61:L$67)-L64)/(MAX(L$61:L$67)-MIN(L$61:L$67))</f>
        <v/>
      </c>
      <c r="T64" s="143">
        <f>(M64*'Fund Ranking Criteria'!$F$9)+('Fund Ranking_Equity'!N64*'Fund Ranking Criteria'!$F$10)+('Fund Ranking_Equity'!O64*'Fund Ranking Criteria'!$F$11)+('Fund Ranking_Equity'!P64*'Fund Ranking Criteria'!$F$16)+('Fund Ranking_Equity'!Q64*'Fund Ranking Criteria'!$F$12)+('Fund Ranking_Equity'!R64*'Fund Ranking Criteria'!$F$14)+('Fund Ranking_Equity'!S64*'Fund Ranking Criteria'!$F$15)</f>
        <v/>
      </c>
      <c r="Z64" s="42" t="n"/>
    </row>
    <row r="65">
      <c r="B65" s="304" t="inlineStr">
        <is>
          <t>UTI Balanced Advantage Fund - Reg - Growth</t>
        </is>
      </c>
      <c r="C65" s="125">
        <f>RANK(T65,$T$61:$T$67,0)</f>
        <v/>
      </c>
      <c r="D65" s="191" t="n"/>
      <c r="E65" s="248" t="n">
        <v>-2.153</v>
      </c>
      <c r="F65" s="248" t="n">
        <v>0</v>
      </c>
      <c r="G65" s="248" t="n">
        <v>0</v>
      </c>
      <c r="H65" s="248" t="n">
        <v>0</v>
      </c>
      <c r="I65" s="249" t="n">
        <v>0.0263216734303019</v>
      </c>
      <c r="J65" s="249" t="n">
        <v>0</v>
      </c>
      <c r="K65" s="249" t="n">
        <v>0</v>
      </c>
      <c r="L65" s="249" t="n">
        <v>8.12908047292968</v>
      </c>
      <c r="M65" s="142">
        <f>(E65-MIN(E$61:E$67))/(MAX(E$61:E$67)-MIN(E$61:E$67))</f>
        <v/>
      </c>
      <c r="N65" s="142">
        <f>(F65-MIN(F$61:F$67))/(MAX(F$61:F$67)-MIN(F$61:F$67))</f>
        <v/>
      </c>
      <c r="O65" s="142">
        <f>(G65-MIN(G$61:G$67))/(MAX(G$61:G$67)-MIN(G$61:G$67))</f>
        <v/>
      </c>
      <c r="P65" s="142">
        <f>(I65-MIN(I$61:I$67))/(MAX(I$61:I$67)-MIN(I$61:I$67))</f>
        <v/>
      </c>
      <c r="Q65" s="142" t="n"/>
      <c r="R65" s="142" t="n"/>
      <c r="S65" s="142">
        <f>(MAX(L$61:L$67)-L65)/(MAX(L$61:L$67)-MIN(L$61:L$67))</f>
        <v/>
      </c>
      <c r="T65" s="143">
        <f>(M65*'Fund Ranking Criteria'!$F$9)+('Fund Ranking_Equity'!N65*'Fund Ranking Criteria'!$F$10)+('Fund Ranking_Equity'!O65*'Fund Ranking Criteria'!$F$11)+('Fund Ranking_Equity'!P65*'Fund Ranking Criteria'!$F$16)+('Fund Ranking_Equity'!Q65*'Fund Ranking Criteria'!$F$12)+('Fund Ranking_Equity'!R65*'Fund Ranking Criteria'!$F$14)+('Fund Ranking_Equity'!S65*'Fund Ranking Criteria'!$F$15)</f>
        <v/>
      </c>
      <c r="Z65" s="42" t="n"/>
    </row>
    <row r="66">
      <c r="B66" s="119" t="inlineStr">
        <is>
          <t>Nippon India Balanced Advantage Fund - Reg - Growth</t>
        </is>
      </c>
      <c r="C66" s="125">
        <f>RANK(T66,$T$61:$T$67,0)</f>
        <v/>
      </c>
      <c r="D66" s="191">
        <f>B66</f>
        <v/>
      </c>
      <c r="E66" s="248" t="n">
        <v>3.3405</v>
      </c>
      <c r="F66" s="248" t="n">
        <v>11.0065</v>
      </c>
      <c r="G66" s="248" t="n">
        <v>9.608700000000001</v>
      </c>
      <c r="H66" s="248" t="n">
        <v>10.6226</v>
      </c>
      <c r="I66" s="249" t="n">
        <v>0.0607757428609893</v>
      </c>
      <c r="J66" s="249" t="n">
        <v>0</v>
      </c>
      <c r="K66" s="249" t="n">
        <v>0</v>
      </c>
      <c r="L66" s="249" t="n">
        <v>7.90447233443989</v>
      </c>
      <c r="M66" s="142">
        <f>(E66-MIN(E$61:E$67))/(MAX(E$61:E$67)-MIN(E$61:E$67))</f>
        <v/>
      </c>
      <c r="N66" s="142">
        <f>(F66-MIN(F$61:F$67))/(MAX(F$61:F$67)-MIN(F$61:F$67))</f>
        <v/>
      </c>
      <c r="O66" s="142">
        <f>(G66-MIN(G$61:G$67))/(MAX(G$61:G$67)-MIN(G$61:G$67))</f>
        <v/>
      </c>
      <c r="P66" s="142">
        <f>(I66-MIN(I$61:I$67))/(MAX(I$61:I$67)-MIN(I$61:I$67))</f>
        <v/>
      </c>
      <c r="Q66" s="142" t="n"/>
      <c r="R66" s="142" t="n"/>
      <c r="S66" s="142">
        <f>(MAX(L$61:L$67)-L66)/(MAX(L$61:L$67)-MIN(L$61:L$67))</f>
        <v/>
      </c>
      <c r="T66" s="143">
        <f>(M66*'Fund Ranking Criteria'!$F$9)+('Fund Ranking_Equity'!N66*'Fund Ranking Criteria'!$F$10)+('Fund Ranking_Equity'!O66*'Fund Ranking Criteria'!$F$11)+('Fund Ranking_Equity'!P66*'Fund Ranking Criteria'!$F$16)+('Fund Ranking_Equity'!Q66*'Fund Ranking Criteria'!$F$12)+('Fund Ranking_Equity'!R66*'Fund Ranking Criteria'!$F$14)+('Fund Ranking_Equity'!S66*'Fund Ranking Criteria'!$F$15)</f>
        <v/>
      </c>
      <c r="Z66" s="42" t="n"/>
    </row>
    <row r="67" ht="15" customHeight="1" thickBot="1">
      <c r="B67" s="120" t="inlineStr">
        <is>
          <t>Aditya Birla Sun Life Balanced Advantage Fund - Growth</t>
        </is>
      </c>
      <c r="C67" s="126">
        <f>RANK(T67,$T$61:$T$67,0)</f>
        <v/>
      </c>
      <c r="D67" s="192">
        <f>B67</f>
        <v/>
      </c>
      <c r="E67" s="251" t="n">
        <v>4.0048</v>
      </c>
      <c r="F67" s="251" t="n">
        <v>11.434</v>
      </c>
      <c r="G67" s="251" t="n">
        <v>9.8705</v>
      </c>
      <c r="H67" s="251" t="n">
        <v>10.4761</v>
      </c>
      <c r="I67" s="250" t="n">
        <v>0.06510117278833551</v>
      </c>
      <c r="J67" s="250" t="n">
        <v>0</v>
      </c>
      <c r="K67" s="250" t="n">
        <v>0</v>
      </c>
      <c r="L67" s="250" t="n">
        <v>8.007005420311801</v>
      </c>
      <c r="M67" s="144">
        <f>(E67-MIN(E$61:E$67))/(MAX(E$61:E$67)-MIN(E$61:E$67))</f>
        <v/>
      </c>
      <c r="N67" s="144">
        <f>(F67-MIN(F$61:F$67))/(MAX(F$61:F$67)-MIN(F$61:F$67))</f>
        <v/>
      </c>
      <c r="O67" s="144">
        <f>(G67-MIN(G$61:G$67))/(MAX(G$61:G$67)-MIN(G$61:G$67))</f>
        <v/>
      </c>
      <c r="P67" s="144">
        <f>(I67-MIN(I$61:I$67))/(MAX(I$61:I$67)-MIN(I$61:I$67))</f>
        <v/>
      </c>
      <c r="Q67" s="144" t="n"/>
      <c r="R67" s="144" t="n"/>
      <c r="S67" s="144">
        <f>(MAX(L$61:L$67)-L67)/(MAX(L$61:L$67)-MIN(L$61:L$67))</f>
        <v/>
      </c>
      <c r="T67" s="145">
        <f>(M67*'Fund Ranking Criteria'!$F$9)+('Fund Ranking_Equity'!N67*'Fund Ranking Criteria'!$F$10)+('Fund Ranking_Equity'!O67*'Fund Ranking Criteria'!$F$11)+('Fund Ranking_Equity'!P67*'Fund Ranking Criteria'!$F$16)+('Fund Ranking_Equity'!Q67*'Fund Ranking Criteria'!$F$12)+('Fund Ranking_Equity'!R67*'Fund Ranking Criteria'!$F$14)+('Fund Ranking_Equity'!S67*'Fund Ranking Criteria'!$F$15)</f>
        <v/>
      </c>
      <c r="Z67" s="42" t="n"/>
    </row>
    <row r="68" ht="15" customHeight="1" thickBot="1">
      <c r="Z68" s="42" t="n"/>
    </row>
    <row r="69" ht="15" customHeight="1" thickBot="1">
      <c r="B69" s="309" t="inlineStr">
        <is>
          <t>Multi Asset Fund</t>
        </is>
      </c>
      <c r="C69" s="310" t="n"/>
      <c r="D69" s="310" t="n"/>
      <c r="E69" s="310" t="n"/>
      <c r="F69" s="310" t="n"/>
      <c r="G69" s="310" t="n"/>
      <c r="H69" s="310" t="n"/>
      <c r="I69" s="310" t="n"/>
      <c r="J69" s="310" t="n"/>
      <c r="K69" s="310" t="n"/>
      <c r="L69" s="310" t="n"/>
      <c r="M69" s="310" t="n"/>
      <c r="N69" s="310" t="n"/>
      <c r="O69" s="310" t="n"/>
      <c r="P69" s="310" t="n"/>
      <c r="Q69" s="310" t="n"/>
      <c r="R69" s="310" t="n"/>
      <c r="S69" s="311" t="n"/>
      <c r="Z69" s="42" t="n"/>
    </row>
    <row r="70" ht="15" customHeight="1" thickBot="1">
      <c r="B70" s="262" t="n"/>
      <c r="C70" s="189" t="n"/>
      <c r="D70" s="189" t="n"/>
      <c r="E70" s="427" t="inlineStr">
        <is>
          <t>Actuals</t>
        </is>
      </c>
      <c r="F70" s="426" t="n"/>
      <c r="G70" s="426" t="n"/>
      <c r="H70" s="426" t="n"/>
      <c r="I70" s="426" t="n"/>
      <c r="J70" s="426" t="n"/>
      <c r="K70" s="426" t="n"/>
      <c r="L70" s="428" t="inlineStr">
        <is>
          <t>Normalized</t>
        </is>
      </c>
      <c r="M70" s="426" t="n"/>
      <c r="N70" s="426" t="n"/>
      <c r="O70" s="426" t="n"/>
      <c r="P70" s="426" t="n"/>
      <c r="Q70" s="426" t="n"/>
      <c r="R70" s="426" t="n"/>
      <c r="S70" s="375" t="n"/>
      <c r="Z70" s="42" t="n"/>
    </row>
    <row r="71" ht="29.1" customHeight="1">
      <c r="B71" s="116" t="inlineStr">
        <is>
          <t>Funds</t>
        </is>
      </c>
      <c r="C71" s="114" t="inlineStr">
        <is>
          <t>Rank</t>
        </is>
      </c>
      <c r="D71" s="114" t="n"/>
      <c r="E71" s="113" t="inlineStr">
        <is>
          <t>1 Yr Ret (%)</t>
        </is>
      </c>
      <c r="F71" s="113" t="inlineStr">
        <is>
          <t>3 Yr Ret (%)</t>
        </is>
      </c>
      <c r="G71" s="113" t="inlineStr">
        <is>
          <t>5 Yr Ret (%)</t>
        </is>
      </c>
      <c r="H71" s="113" t="inlineStr">
        <is>
          <t>10 Yr Ret (%)</t>
        </is>
      </c>
      <c r="I71" s="113" t="inlineStr">
        <is>
          <t>Sharpe</t>
        </is>
      </c>
      <c r="J71" s="113" t="inlineStr">
        <is>
          <t>Alpha</t>
        </is>
      </c>
      <c r="K71" s="113" t="inlineStr">
        <is>
          <t>Beta</t>
        </is>
      </c>
      <c r="L71" s="113" t="inlineStr">
        <is>
          <t>SD</t>
        </is>
      </c>
      <c r="M71" s="123">
        <f>E71</f>
        <v/>
      </c>
      <c r="N71" s="123">
        <f>F71</f>
        <v/>
      </c>
      <c r="O71" s="123">
        <f>G71</f>
        <v/>
      </c>
      <c r="P71" s="123" t="inlineStr">
        <is>
          <t>Sharpe</t>
        </is>
      </c>
      <c r="Q71" s="123" t="inlineStr">
        <is>
          <t>Alpha</t>
        </is>
      </c>
      <c r="R71" s="121" t="inlineStr">
        <is>
          <t>Beta</t>
        </is>
      </c>
      <c r="S71" s="121" t="inlineStr">
        <is>
          <t>SD</t>
        </is>
      </c>
      <c r="T71" s="442" t="n"/>
      <c r="Z71" s="42" t="n"/>
    </row>
    <row r="72">
      <c r="B72" s="119" t="inlineStr">
        <is>
          <t>ICICI Prudential Multi-Asset Fund - Growth</t>
        </is>
      </c>
      <c r="C72" s="125">
        <f>RANK(T72,$T$72:$T$78,0)</f>
        <v/>
      </c>
      <c r="D72" s="191">
        <f>B72</f>
        <v/>
      </c>
      <c r="E72" s="248" t="n">
        <v>5.5899</v>
      </c>
      <c r="F72" s="248" t="n">
        <v>16.0272</v>
      </c>
      <c r="G72" s="248" t="n">
        <v>17.2278</v>
      </c>
      <c r="H72" s="248" t="n">
        <v>15.3521</v>
      </c>
      <c r="I72" s="249" t="n">
        <v>0.108098462234656</v>
      </c>
      <c r="J72" s="249" t="n">
        <v>0</v>
      </c>
      <c r="K72" s="249" t="n">
        <v>0</v>
      </c>
      <c r="L72" s="249" t="n">
        <v>94.33169201446709</v>
      </c>
      <c r="M72" s="142">
        <f>(E72-MIN(E$72:E$78))/(MAX(E$72:E$78)-MIN(E$72:E$78))</f>
        <v/>
      </c>
      <c r="N72" s="142">
        <f>(F72-MIN(F$72:F$78))/(MAX(F$72:F$78)-MIN(F$72:F$78))</f>
        <v/>
      </c>
      <c r="O72" s="142">
        <f>(G72-MIN(G$72:G$78))/(MAX(G$72:G$78)-MIN(G$72:G$78))</f>
        <v/>
      </c>
      <c r="P72" s="142">
        <f>(I72-MIN(I$72:I$78))/(MAX(I$72:I$78)-MIN(I$72:I$78))</f>
        <v/>
      </c>
      <c r="Q72" s="142">
        <f>(J72-MIN(J$72:J$78))/(MAX(J$72:J$78)-MIN(J$72:J$78))</f>
        <v/>
      </c>
      <c r="R72" s="142">
        <f>(MAX(K$72:K$78)-K72)/(MAX(K$72:K$78)-MIN(K$72:K$78))</f>
        <v/>
      </c>
      <c r="S72" s="142">
        <f>(MAX(L$72:L$78)-L72)/(MAX(L$72:L$78)-MIN(L$72:L$78))</f>
        <v/>
      </c>
      <c r="T72" s="143">
        <f>(M72*'Fund Ranking Criteria'!$I$9)+('Fund Ranking_Equity'!N72*'Fund Ranking Criteria'!$I$10)+('Fund Ranking_Equity'!O72*'Fund Ranking Criteria'!$I$11)+('Fund Ranking_Equity'!P72*'Fund Ranking Criteria'!$I$16)+('Fund Ranking_Equity'!Q72*'Fund Ranking Criteria'!$I$12)+('Fund Ranking_Equity'!R72*'Fund Ranking Criteria'!$I$14)+('Fund Ranking_Equity'!S72*'Fund Ranking Criteria'!$I$15)</f>
        <v/>
      </c>
      <c r="Z72" s="42" t="n"/>
    </row>
    <row r="73">
      <c r="B73" s="119" t="inlineStr">
        <is>
          <t>SBI Multi Asset Allocation Fund - Growth</t>
        </is>
      </c>
      <c r="C73" s="125">
        <f>RANK(T73,$T$72:$T$78,0)</f>
        <v/>
      </c>
      <c r="D73" s="191">
        <f>B73</f>
        <v/>
      </c>
      <c r="E73" s="248" t="n">
        <v>11.8176</v>
      </c>
      <c r="F73" s="248" t="n">
        <v>16.476</v>
      </c>
      <c r="G73" s="248" t="n">
        <v>13.5211</v>
      </c>
      <c r="H73" s="248" t="n">
        <v>11.4361</v>
      </c>
      <c r="I73" s="249" t="n">
        <v>0.10950972958762</v>
      </c>
      <c r="J73" s="249" t="n">
        <v>0</v>
      </c>
      <c r="K73" s="249" t="n">
        <v>0</v>
      </c>
      <c r="L73" s="249" t="n">
        <v>95.5363527172824</v>
      </c>
      <c r="M73" s="142">
        <f>(E73-MIN(E$72:E$78))/(MAX(E$72:E$78)-MIN(E$72:E$78))</f>
        <v/>
      </c>
      <c r="N73" s="142">
        <f>(F73-MIN(F$72:F$78))/(MAX(F$72:F$78)-MIN(F$72:F$78))</f>
        <v/>
      </c>
      <c r="O73" s="142">
        <f>(G73-MIN(G$72:G$78))/(MAX(G$72:G$78)-MIN(G$72:G$78))</f>
        <v/>
      </c>
      <c r="P73" s="142">
        <f>(I73-MIN(I$72:I$78))/(MAX(I$72:I$78)-MIN(I$72:I$78))</f>
        <v/>
      </c>
      <c r="Q73" s="142">
        <f>(J73-MIN(J$72:J$78))/(MAX(J$72:J$78)-MIN(J$72:J$78))</f>
        <v/>
      </c>
      <c r="R73" s="142">
        <f>(MAX(K$72:K$78)-K73)/(MAX(K$72:K$78)-MIN(K$72:K$78))</f>
        <v/>
      </c>
      <c r="S73" s="142">
        <f>(MAX(L$72:L$78)-L73)/(MAX(L$72:L$78)-MIN(L$72:L$78))</f>
        <v/>
      </c>
      <c r="T73" s="143">
        <f>(M73*'Fund Ranking Criteria'!$I$9)+('Fund Ranking_Equity'!N73*'Fund Ranking Criteria'!$I$10)+('Fund Ranking_Equity'!O73*'Fund Ranking Criteria'!$I$11)+('Fund Ranking_Equity'!P73*'Fund Ranking Criteria'!$I$16)+('Fund Ranking_Equity'!Q73*'Fund Ranking Criteria'!$I$12)+('Fund Ranking_Equity'!R73*'Fund Ranking Criteria'!$I$14)+('Fund Ranking_Equity'!S73*'Fund Ranking Criteria'!$I$15)</f>
        <v/>
      </c>
      <c r="Z73" s="42" t="n"/>
    </row>
    <row r="74">
      <c r="B74" s="119" t="inlineStr">
        <is>
          <t>Kotak Multi Asset Allocation Fund -Reg - Growth</t>
        </is>
      </c>
      <c r="C74" s="125">
        <f>RANK(T74,$T$72:$T$78,0)</f>
        <v/>
      </c>
      <c r="D74" s="191">
        <f>B74</f>
        <v/>
      </c>
      <c r="E74" s="248" t="n">
        <v>19.3493</v>
      </c>
      <c r="F74" s="248" t="n">
        <v>0</v>
      </c>
      <c r="G74" s="248" t="n">
        <v>0</v>
      </c>
      <c r="H74" s="248" t="n">
        <v>0</v>
      </c>
      <c r="I74" s="249" t="n">
        <v>0.0841714701964008</v>
      </c>
      <c r="J74" s="249" t="n">
        <v>0</v>
      </c>
      <c r="K74" s="249" t="n">
        <v>0</v>
      </c>
      <c r="L74" s="249" t="n">
        <v>146.678763739085</v>
      </c>
      <c r="M74" s="142">
        <f>(E74-MIN(E$72:E$78))/(MAX(E$72:E$78)-MIN(E$72:E$78))</f>
        <v/>
      </c>
      <c r="N74" s="142">
        <f>(F74-MIN(F$72:F$78))/(MAX(F$72:F$78)-MIN(F$72:F$78))</f>
        <v/>
      </c>
      <c r="O74" s="142">
        <f>(G74-MIN(G$72:G$78))/(MAX(G$72:G$78)-MIN(G$72:G$78))</f>
        <v/>
      </c>
      <c r="P74" s="142">
        <f>(I74-MIN(I$72:I$78))/(MAX(I$72:I$78)-MIN(I$72:I$78))</f>
        <v/>
      </c>
      <c r="Q74" s="142">
        <f>(J74-MIN(J$72:J$78))/(MAX(J$72:J$78)-MIN(J$72:J$78))</f>
        <v/>
      </c>
      <c r="R74" s="142">
        <f>(MAX(K$72:K$78)-K74)/(MAX(K$72:K$78)-MIN(K$72:K$78))</f>
        <v/>
      </c>
      <c r="S74" s="142">
        <f>(MAX(L$72:L$78)-L74)/(MAX(L$72:L$78)-MIN(L$72:L$78))</f>
        <v/>
      </c>
      <c r="T74" s="143">
        <f>(M74*'Fund Ranking Criteria'!$I$9)+('Fund Ranking_Equity'!N74*'Fund Ranking Criteria'!$I$10)+('Fund Ranking_Equity'!O74*'Fund Ranking Criteria'!$I$11)+('Fund Ranking_Equity'!P74*'Fund Ranking Criteria'!$I$16)+('Fund Ranking_Equity'!Q74*'Fund Ranking Criteria'!$I$12)+('Fund Ranking_Equity'!R74*'Fund Ranking Criteria'!$I$14)+('Fund Ranking_Equity'!S74*'Fund Ranking Criteria'!$I$15)</f>
        <v/>
      </c>
      <c r="Z74" s="42" t="n"/>
    </row>
    <row r="75">
      <c r="B75" s="119" t="inlineStr">
        <is>
          <t>Nippon India Multi Asset Allocation Fund - Reg - Growth</t>
        </is>
      </c>
      <c r="C75" s="125">
        <f>RANK(T75,$T$72:$T$78,0)</f>
        <v/>
      </c>
      <c r="D75" s="191">
        <f>B75</f>
        <v/>
      </c>
      <c r="E75" s="248" t="n">
        <v>12.8865</v>
      </c>
      <c r="F75" s="248" t="n">
        <v>18.6368</v>
      </c>
      <c r="G75" s="248" t="n">
        <v>15.0161</v>
      </c>
      <c r="H75" s="248" t="n">
        <v>0</v>
      </c>
      <c r="I75" s="249" t="n">
        <v>0.115399581223937</v>
      </c>
      <c r="J75" s="249" t="n">
        <v>0</v>
      </c>
      <c r="K75" s="249" t="n">
        <v>0</v>
      </c>
      <c r="L75" s="249" t="n">
        <v>108.177651788638</v>
      </c>
      <c r="M75" s="142">
        <f>(E75-MIN(E$72:E$78))/(MAX(E$72:E$78)-MIN(E$72:E$78))</f>
        <v/>
      </c>
      <c r="N75" s="142">
        <f>(F75-MIN(F$72:F$78))/(MAX(F$72:F$78)-MIN(F$72:F$78))</f>
        <v/>
      </c>
      <c r="O75" s="142">
        <f>(G75-MIN(G$72:G$78))/(MAX(G$72:G$78)-MIN(G$72:G$78))</f>
        <v/>
      </c>
      <c r="P75" s="142">
        <f>(I75-MIN(I$72:I$78))/(MAX(I$72:I$78)-MIN(I$72:I$78))</f>
        <v/>
      </c>
      <c r="Q75" s="142">
        <f>(J75-MIN(J$72:J$78))/(MAX(J$72:J$78)-MIN(J$72:J$78))</f>
        <v/>
      </c>
      <c r="R75" s="142">
        <f>(MAX(K$72:K$78)-K75)/(MAX(K$72:K$78)-MIN(K$72:K$78))</f>
        <v/>
      </c>
      <c r="S75" s="142">
        <f>(MAX(L$72:L$78)-L75)/(MAX(L$72:L$78)-MIN(L$72:L$78))</f>
        <v/>
      </c>
      <c r="T75" s="143">
        <f>(M75*'Fund Ranking Criteria'!$I$9)+('Fund Ranking_Equity'!N75*'Fund Ranking Criteria'!$I$10)+('Fund Ranking_Equity'!O75*'Fund Ranking Criteria'!$I$11)+('Fund Ranking_Equity'!P75*'Fund Ranking Criteria'!$I$16)+('Fund Ranking_Equity'!Q75*'Fund Ranking Criteria'!$I$12)+('Fund Ranking_Equity'!R75*'Fund Ranking Criteria'!$I$14)+('Fund Ranking_Equity'!S75*'Fund Ranking Criteria'!$I$15)</f>
        <v/>
      </c>
      <c r="Z75" s="42" t="n"/>
    </row>
    <row r="76">
      <c r="B76" s="119" t="inlineStr">
        <is>
          <t>UTI Multi Asset Allocation Fund - Growth</t>
        </is>
      </c>
      <c r="C76" s="125">
        <f>RANK(T76,$T$72:$T$78,0)</f>
        <v/>
      </c>
      <c r="D76" s="191">
        <f>B76</f>
        <v/>
      </c>
      <c r="E76" s="248" t="n">
        <v>4.6713</v>
      </c>
      <c r="F76" s="248" t="n">
        <v>15.8342</v>
      </c>
      <c r="G76" s="248" t="n">
        <v>13.3481</v>
      </c>
      <c r="H76" s="248" t="n">
        <v>10.5914</v>
      </c>
      <c r="I76" s="249" t="n">
        <v>0.0848790905779121</v>
      </c>
      <c r="J76" s="249" t="n">
        <v>0</v>
      </c>
      <c r="K76" s="249" t="n">
        <v>0</v>
      </c>
      <c r="L76" s="249" t="n">
        <v>120.663691787036</v>
      </c>
      <c r="M76" s="142">
        <f>(E76-MIN(E$72:E$78))/(MAX(E$72:E$78)-MIN(E$72:E$78))</f>
        <v/>
      </c>
      <c r="N76" s="142">
        <f>(F76-MIN(F$72:F$78))/(MAX(F$72:F$78)-MIN(F$72:F$78))</f>
        <v/>
      </c>
      <c r="O76" s="142">
        <f>(G76-MIN(G$72:G$78))/(MAX(G$72:G$78)-MIN(G$72:G$78))</f>
        <v/>
      </c>
      <c r="P76" s="142">
        <f>(I76-MIN(I$72:I$78))/(MAX(I$72:I$78)-MIN(I$72:I$78))</f>
        <v/>
      </c>
      <c r="Q76" s="142">
        <f>(J76-MIN(J$72:J$78))/(MAX(J$72:J$78)-MIN(J$72:J$78))</f>
        <v/>
      </c>
      <c r="R76" s="142">
        <f>(MAX(K$72:K$78)-K76)/(MAX(K$72:K$78)-MIN(K$72:K$78))</f>
        <v/>
      </c>
      <c r="S76" s="142">
        <f>(MAX(L$72:L$78)-L76)/(MAX(L$72:L$78)-MIN(L$72:L$78))</f>
        <v/>
      </c>
      <c r="T76" s="143">
        <f>(M76*'Fund Ranking Criteria'!$I$9)+('Fund Ranking_Equity'!N76*'Fund Ranking Criteria'!$I$10)+('Fund Ranking_Equity'!O76*'Fund Ranking Criteria'!$I$11)+('Fund Ranking_Equity'!P76*'Fund Ranking Criteria'!$I$16)+('Fund Ranking_Equity'!Q76*'Fund Ranking Criteria'!$I$12)+('Fund Ranking_Equity'!R76*'Fund Ranking Criteria'!$I$14)+('Fund Ranking_Equity'!S76*'Fund Ranking Criteria'!$I$15)</f>
        <v/>
      </c>
      <c r="Z76" s="42" t="n"/>
    </row>
    <row r="77">
      <c r="B77" s="119" t="inlineStr">
        <is>
          <t>HDFC Multi - Asset Fund - Growth</t>
        </is>
      </c>
      <c r="C77" s="125">
        <f>RANK(T77,$T$72:$T$78,0)</f>
        <v/>
      </c>
      <c r="D77" s="191">
        <f>B77</f>
        <v/>
      </c>
      <c r="E77" s="248" t="n">
        <v>7.1325</v>
      </c>
      <c r="F77" s="248" t="n">
        <v>15.63</v>
      </c>
      <c r="G77" s="248" t="n">
        <v>16.2162</v>
      </c>
      <c r="H77" s="248" t="n">
        <v>11.0444</v>
      </c>
      <c r="I77" s="249" t="n">
        <v>0.120292630637335</v>
      </c>
      <c r="J77" s="249" t="n">
        <v>3.64522471416988</v>
      </c>
      <c r="K77" s="249" t="n">
        <v>0.494829371086944</v>
      </c>
      <c r="L77" s="249" t="n">
        <v>81.46654352914361</v>
      </c>
      <c r="M77" s="142">
        <f>(E77-MIN(E$72:E$78))/(MAX(E$72:E$78)-MIN(E$72:E$78))</f>
        <v/>
      </c>
      <c r="N77" s="142">
        <f>(F77-MIN(F$72:F$78))/(MAX(F$72:F$78)-MIN(F$72:F$78))</f>
        <v/>
      </c>
      <c r="O77" s="142">
        <f>(G77-MIN(G$72:G$78))/(MAX(G$72:G$78)-MIN(G$72:G$78))</f>
        <v/>
      </c>
      <c r="P77" s="142">
        <f>(I77-MIN(I$72:I$78))/(MAX(I$72:I$78)-MIN(I$72:I$78))</f>
        <v/>
      </c>
      <c r="Q77" s="142">
        <f>(J77-MIN(J$72:J$78))/(MAX(J$72:J$78)-MIN(J$72:J$78))</f>
        <v/>
      </c>
      <c r="R77" s="142">
        <f>(MAX(K$72:K$78)-K77)/(MAX(K$72:K$78)-MIN(K$72:K$78))</f>
        <v/>
      </c>
      <c r="S77" s="142">
        <f>(MAX(L$72:L$78)-L77)/(MAX(L$72:L$78)-MIN(L$72:L$78))</f>
        <v/>
      </c>
      <c r="T77" s="143">
        <f>(M77*'Fund Ranking Criteria'!$I$9)+('Fund Ranking_Equity'!N77*'Fund Ranking Criteria'!$I$10)+('Fund Ranking_Equity'!O77*'Fund Ranking Criteria'!$I$11)+('Fund Ranking_Equity'!P77*'Fund Ranking Criteria'!$I$16)+('Fund Ranking_Equity'!Q77*'Fund Ranking Criteria'!$I$12)+('Fund Ranking_Equity'!R77*'Fund Ranking Criteria'!$I$14)+('Fund Ranking_Equity'!S77*'Fund Ranking Criteria'!$I$15)</f>
        <v/>
      </c>
      <c r="Z77" s="42" t="n"/>
    </row>
    <row r="78" ht="29.45" customHeight="1" thickBot="1">
      <c r="B78" s="120" t="inlineStr">
        <is>
          <t>Aditya Birla Sun Life Multi Asset Allocation Fund - Reg - Growth</t>
        </is>
      </c>
      <c r="C78" s="126">
        <f>RANK(T78,$T$72:$T$78,0)</f>
        <v/>
      </c>
      <c r="D78" s="192">
        <f>B78</f>
        <v/>
      </c>
      <c r="E78" s="251" t="n">
        <v>13.4504</v>
      </c>
      <c r="F78" s="251" t="n">
        <v>15.9105</v>
      </c>
      <c r="G78" s="251" t="n">
        <v>0</v>
      </c>
      <c r="H78" s="251" t="n">
        <v>0</v>
      </c>
      <c r="I78" s="250" t="n">
        <v>0.0866835140833314</v>
      </c>
      <c r="J78" s="250" t="n">
        <v>0</v>
      </c>
      <c r="K78" s="250" t="n">
        <v>0</v>
      </c>
      <c r="L78" s="250" t="n">
        <v>116.315557969906</v>
      </c>
      <c r="M78" s="144">
        <f>(E78-MIN(E$72:E$78))/(MAX(E$72:E$78)-MIN(E$72:E$78))</f>
        <v/>
      </c>
      <c r="N78" s="144">
        <f>(F78-MIN(F$72:F$78))/(MAX(F$72:F$78)-MIN(F$72:F$78))</f>
        <v/>
      </c>
      <c r="O78" s="144">
        <f>(G78-MIN(G$72:G$78))/(MAX(G$72:G$78)-MIN(G$72:G$78))</f>
        <v/>
      </c>
      <c r="P78" s="144">
        <f>(I78-MIN(I$72:I$78))/(MAX(I$72:I$78)-MIN(I$72:I$78))</f>
        <v/>
      </c>
      <c r="Q78" s="144">
        <f>(J78-MIN(J$72:J$78))/(MAX(J$72:J$78)-MIN(J$72:J$78))</f>
        <v/>
      </c>
      <c r="R78" s="144">
        <f>(MAX(K$72:K$78)-K78)/(MAX(K$72:K$78)-MIN(K$72:K$78))</f>
        <v/>
      </c>
      <c r="S78" s="144">
        <f>(MAX(L$72:L$78)-L78)/(MAX(L$72:L$78)-MIN(L$72:L$78))</f>
        <v/>
      </c>
      <c r="T78" s="145">
        <f>(M78*'Fund Ranking Criteria'!$I$9)+('Fund Ranking_Equity'!N78*'Fund Ranking Criteria'!$I$10)+('Fund Ranking_Equity'!O78*'Fund Ranking Criteria'!$I$11)+('Fund Ranking_Equity'!P78*'Fund Ranking Criteria'!$I$16)+('Fund Ranking_Equity'!Q78*'Fund Ranking Criteria'!$I$12)+('Fund Ranking_Equity'!R78*'Fund Ranking Criteria'!$I$14)+('Fund Ranking_Equity'!S78*'Fund Ranking Criteria'!$I$15)</f>
        <v/>
      </c>
      <c r="Z78" s="42" t="n"/>
    </row>
    <row r="79" ht="15" customHeight="1" thickBot="1">
      <c r="Z79" s="42" t="n"/>
    </row>
    <row r="80" ht="15" customHeight="1" thickBot="1">
      <c r="B80" s="309" t="inlineStr">
        <is>
          <t>Thematic</t>
        </is>
      </c>
      <c r="C80" s="310" t="n"/>
      <c r="D80" s="310" t="n"/>
      <c r="E80" s="310" t="n"/>
      <c r="F80" s="310" t="n"/>
      <c r="G80" s="310" t="n"/>
      <c r="H80" s="310" t="n"/>
      <c r="I80" s="310" t="n"/>
      <c r="J80" s="310" t="n"/>
      <c r="K80" s="310" t="n"/>
      <c r="L80" s="310" t="n"/>
      <c r="M80" s="310" t="n"/>
      <c r="N80" s="310" t="n"/>
      <c r="O80" s="310" t="n"/>
      <c r="P80" s="310" t="n"/>
      <c r="Q80" s="310" t="n"/>
      <c r="R80" s="310" t="n"/>
      <c r="S80" s="311" t="n"/>
      <c r="Z80" s="42" t="n"/>
    </row>
    <row r="81" ht="15" customHeight="1" thickBot="1">
      <c r="B81" s="314" t="n"/>
      <c r="C81" s="315" t="n"/>
      <c r="D81" s="315" t="n"/>
      <c r="E81" s="427" t="inlineStr">
        <is>
          <t>Actuals</t>
        </is>
      </c>
      <c r="F81" s="426" t="n"/>
      <c r="G81" s="426" t="n"/>
      <c r="H81" s="426" t="n"/>
      <c r="I81" s="426" t="n"/>
      <c r="J81" s="426" t="n"/>
      <c r="K81" s="426" t="n"/>
      <c r="L81" s="428" t="inlineStr">
        <is>
          <t>Normalized</t>
        </is>
      </c>
      <c r="M81" s="426" t="n"/>
      <c r="N81" s="426" t="n"/>
      <c r="O81" s="426" t="n"/>
      <c r="P81" s="426" t="n"/>
      <c r="Q81" s="426" t="n"/>
      <c r="R81" s="426" t="n"/>
      <c r="S81" s="375" t="n"/>
      <c r="Z81" s="42" t="n"/>
    </row>
    <row r="82" ht="29.1" customHeight="1">
      <c r="B82" s="116" t="inlineStr">
        <is>
          <t>Funds</t>
        </is>
      </c>
      <c r="C82" s="114" t="inlineStr">
        <is>
          <t>Rank</t>
        </is>
      </c>
      <c r="D82" s="114" t="n"/>
      <c r="E82" s="113" t="inlineStr">
        <is>
          <t>1 Yr Ret (%)</t>
        </is>
      </c>
      <c r="F82" s="113" t="inlineStr">
        <is>
          <t>3 Yr Ret (%)</t>
        </is>
      </c>
      <c r="G82" s="113" t="inlineStr">
        <is>
          <t>5 Yr Ret (%)</t>
        </is>
      </c>
      <c r="H82" s="113" t="inlineStr">
        <is>
          <t>10 Yr Ret (%)</t>
        </is>
      </c>
      <c r="I82" s="113" t="inlineStr">
        <is>
          <t>Sharpe</t>
        </is>
      </c>
      <c r="J82" s="113" t="inlineStr">
        <is>
          <t>Alpha</t>
        </is>
      </c>
      <c r="K82" s="113" t="inlineStr">
        <is>
          <t>Beta</t>
        </is>
      </c>
      <c r="L82" s="113" t="inlineStr">
        <is>
          <t>SD</t>
        </is>
      </c>
      <c r="M82" s="123">
        <f>E82</f>
        <v/>
      </c>
      <c r="N82" s="123">
        <f>F82</f>
        <v/>
      </c>
      <c r="O82" s="123">
        <f>G82</f>
        <v/>
      </c>
      <c r="P82" s="123" t="inlineStr">
        <is>
          <t>Alpha</t>
        </is>
      </c>
      <c r="Q82" s="121" t="inlineStr">
        <is>
          <t>Beta</t>
        </is>
      </c>
      <c r="R82" s="121" t="inlineStr">
        <is>
          <t>SD</t>
        </is>
      </c>
      <c r="S82" s="123" t="inlineStr">
        <is>
          <t>Sharpe</t>
        </is>
      </c>
      <c r="T82" s="430" t="n"/>
      <c r="Z82" s="42" t="n"/>
    </row>
    <row r="83">
      <c r="B83" s="5" t="inlineStr">
        <is>
          <t>Aditya Birla Sun Life PSU Equity Fund - Reg - Growth</t>
        </is>
      </c>
      <c r="C83" s="125">
        <f>RANK(T83,$T$83:$T$137,0)</f>
        <v/>
      </c>
      <c r="D83" s="42">
        <f>B83</f>
        <v/>
      </c>
      <c r="E83" s="84" t="n">
        <v>9.0039</v>
      </c>
      <c r="F83" s="84" t="n">
        <v>25.5926</v>
      </c>
      <c r="G83" s="84" t="n">
        <v>22.9928</v>
      </c>
      <c r="H83" s="84" t="n">
        <v>0</v>
      </c>
      <c r="I83" s="84" t="n">
        <v>0.07616035123444689</v>
      </c>
      <c r="J83" s="84" t="n">
        <v>-0.640584998066026</v>
      </c>
      <c r="K83" s="84" t="n">
        <v>1.01721628109872</v>
      </c>
      <c r="L83" s="84" t="n">
        <v>22.2841240715549</v>
      </c>
      <c r="M83" s="142">
        <f>(E83-MIN(E$83:E$137))/(MAX(E$83:E$137)-MIN(E$83:E$137))</f>
        <v/>
      </c>
      <c r="N83" s="142">
        <f>(F83-MIN(F$83:F$137))/(MAX(F$83:F$137)-MIN(F$83:F$137))</f>
        <v/>
      </c>
      <c r="O83" s="142">
        <f>(G83-MIN(G$83:G$137))/(MAX(G$83:G$137)-MIN(G$83:G$137))</f>
        <v/>
      </c>
      <c r="P83" s="142">
        <f>(J83-MIN(J$83:J$137))/(MAX(J$83:J$137)-MIN(J$83:J$137))</f>
        <v/>
      </c>
      <c r="Q83" s="142">
        <f>(MAX(K$83:K$137)-K83)/(MAX(K$83:K$137)-MIN(K$83:K$137))</f>
        <v/>
      </c>
      <c r="R83" s="142">
        <f>(MAX(L$83:L$137)-L83)/(MAX(L$83:L$137)-MIN(L$83:L$137))</f>
        <v/>
      </c>
      <c r="S83" s="142">
        <f>(I83-MIN(I$83:I$137))/(MAX(I$83:I$137)-MIN(I$83:I$137))</f>
        <v/>
      </c>
      <c r="T83" s="100">
        <f t="array" ref="T83">SUMPRODUCT(M83:P83,TRANSPOSE('Fund Ranking Criteria'!$K$9:$K$12))+SUMPRODUCT('Fund Ranking_Equity'!Q83:S83, TRANSPOSE('Fund Ranking Criteria'!$K$14:$K$16))</f>
        <v/>
      </c>
      <c r="Z83" s="42" t="n"/>
    </row>
    <row r="84" ht="29.1" customHeight="1">
      <c r="B84" s="5" t="inlineStr">
        <is>
          <t>Aditya Birla Sun Life Banking and Financial Services Fund - Reg - Growth</t>
        </is>
      </c>
      <c r="C84" s="125">
        <f>RANK(T84,$T$83:$T$137,0)</f>
        <v/>
      </c>
      <c r="D84" s="42">
        <f>B84</f>
        <v/>
      </c>
      <c r="E84" s="84" t="n">
        <v>3.9697</v>
      </c>
      <c r="F84" s="84" t="n">
        <v>12.6805</v>
      </c>
      <c r="G84" s="84" t="n">
        <v>12.3824</v>
      </c>
      <c r="H84" s="84" t="n">
        <v>12.7246</v>
      </c>
      <c r="I84" s="84" t="n">
        <v>0.0480403250872981</v>
      </c>
      <c r="J84" s="84" t="n">
        <v>-0.0336564041574565</v>
      </c>
      <c r="K84" s="84" t="n">
        <v>0.9613463298016049</v>
      </c>
      <c r="L84" s="84" t="n">
        <v>15.2461469303606</v>
      </c>
      <c r="M84" s="142">
        <f>(E84-MIN(E$83:E$137))/(MAX(E$83:E$137)-MIN(E$83:E$137))</f>
        <v/>
      </c>
      <c r="N84" s="142">
        <f>(F84-MIN(F$83:F$137))/(MAX(F$83:F$137)-MIN(F$83:F$137))</f>
        <v/>
      </c>
      <c r="O84" s="142">
        <f>(G84-MIN(G$83:G$137))/(MAX(G$83:G$137)-MIN(G$83:G$137))</f>
        <v/>
      </c>
      <c r="P84" s="142">
        <f>(H84-MIN(H$83:H$137))/(MAX(H$83:H$137)-MIN(H$83:H$137))</f>
        <v/>
      </c>
      <c r="Q84" s="142">
        <f>(MAX(K$83:K$137)-K84)/(MAX(K$83:K$137)-MIN(K$83:K$137))</f>
        <v/>
      </c>
      <c r="R84" s="142">
        <f>(MAX(L$83:L$137)-L84)/(MAX(L$83:L$137)-MIN(L$83:L$137))</f>
        <v/>
      </c>
      <c r="S84" s="142">
        <f>(I84-MIN(I$83:I$137))/(MAX(I$83:I$137)-MIN(I$83:I$137))</f>
        <v/>
      </c>
      <c r="T84" s="100">
        <f t="array" ref="T84">SUMPRODUCT(M84:P84,TRANSPOSE('Fund Ranking Criteria'!$K$9:$K$12))+SUMPRODUCT('Fund Ranking_Equity'!Q84:S84, TRANSPOSE('Fund Ranking Criteria'!$K$14:$K$16))</f>
        <v/>
      </c>
      <c r="Z84" s="42" t="n"/>
    </row>
    <row r="85">
      <c r="B85" s="5" t="inlineStr">
        <is>
          <t>Aditya Birla Sun Life Quant Fund - Reg - Growth</t>
        </is>
      </c>
      <c r="C85" s="125">
        <f>RANK(T85,$T$83:$T$137,0)</f>
        <v/>
      </c>
      <c r="D85" s="42">
        <f>B85</f>
        <v/>
      </c>
      <c r="E85" s="84" t="n">
        <v>4.3433</v>
      </c>
      <c r="F85" s="84" t="n">
        <v>0</v>
      </c>
      <c r="G85" s="84" t="n">
        <v>0</v>
      </c>
      <c r="H85" s="84" t="n">
        <v>0</v>
      </c>
      <c r="I85" s="84" t="n">
        <v>-0.0162893418035418</v>
      </c>
      <c r="J85" s="84" t="n">
        <v>-0.6393550391039871</v>
      </c>
      <c r="K85" s="84" t="n">
        <v>1.05896008732232</v>
      </c>
      <c r="L85" s="84" t="n">
        <v>17.8087029133352</v>
      </c>
      <c r="M85" s="142">
        <f>(E85-MIN(E$83:E$137))/(MAX(E$83:E$137)-MIN(E$83:E$137))</f>
        <v/>
      </c>
      <c r="N85" s="142">
        <f>(F85-MIN(F$83:F$137))/(MAX(F$83:F$137)-MIN(F$83:F$137))</f>
        <v/>
      </c>
      <c r="O85" s="142">
        <f>(G85-MIN(G$83:G$137))/(MAX(G$83:G$137)-MIN(G$83:G$137))</f>
        <v/>
      </c>
      <c r="P85" s="142">
        <f>(H85-MIN(H$83:H$137))/(MAX(H$83:H$137)-MIN(H$83:H$137))</f>
        <v/>
      </c>
      <c r="Q85" s="142">
        <f>(MAX(K$83:K$137)-K85)/(MAX(K$83:K$137)-MIN(K$83:K$137))</f>
        <v/>
      </c>
      <c r="R85" s="142">
        <f>(MAX(L$83:L$137)-L85)/(MAX(L$83:L$137)-MIN(L$83:L$137))</f>
        <v/>
      </c>
      <c r="S85" s="142">
        <f>(I85-MIN(I$83:I$137))/(MAX(I$83:I$137)-MIN(I$83:I$137))</f>
        <v/>
      </c>
      <c r="T85" s="100">
        <f t="array" ref="T85">SUMPRODUCT(M85:P85,TRANSPOSE('Fund Ranking Criteria'!$K$9:$K$12))+SUMPRODUCT('Fund Ranking_Equity'!Q85:S85, TRANSPOSE('Fund Ranking Criteria'!$K$14:$K$16))</f>
        <v/>
      </c>
      <c r="Z85" s="42" t="n"/>
    </row>
    <row r="86">
      <c r="B86" s="5" t="inlineStr">
        <is>
          <t>Aditya Birla Sun Life Business Cycle Fund - Reg - Growth</t>
        </is>
      </c>
      <c r="C86" s="125">
        <f>RANK(T86,$T$83:$T$137,0)</f>
        <v/>
      </c>
      <c r="D86" s="42">
        <f>B86</f>
        <v/>
      </c>
      <c r="E86" s="84" t="n">
        <v>1.4381</v>
      </c>
      <c r="F86" s="84" t="n">
        <v>12.3334</v>
      </c>
      <c r="G86" s="84" t="n">
        <v>0</v>
      </c>
      <c r="H86" s="84" t="n">
        <v>0</v>
      </c>
      <c r="I86" s="84" t="n">
        <v>0.0484888219458221</v>
      </c>
      <c r="J86" s="84" t="n">
        <v>-0.293840930244501</v>
      </c>
      <c r="K86" s="84" t="n">
        <v>0.943667973330662</v>
      </c>
      <c r="L86" s="84" t="n">
        <v>13.884903196571</v>
      </c>
      <c r="M86" s="142">
        <f>(E86-MIN(E$83:E$137))/(MAX(E$83:E$137)-MIN(E$83:E$137))</f>
        <v/>
      </c>
      <c r="N86" s="142">
        <f>(F86-MIN(F$83:F$137))/(MAX(F$83:F$137)-MIN(F$83:F$137))</f>
        <v/>
      </c>
      <c r="O86" s="142">
        <f>(G86-MIN(G$83:G$137))/(MAX(G$83:G$137)-MIN(G$83:G$137))</f>
        <v/>
      </c>
      <c r="P86" s="142">
        <f>(H86-MIN(H$83:H$137))/(MAX(H$83:H$137)-MIN(H$83:H$137))</f>
        <v/>
      </c>
      <c r="Q86" s="142">
        <f>(MAX(K$83:K$137)-K86)/(MAX(K$83:K$137)-MIN(K$83:K$137))</f>
        <v/>
      </c>
      <c r="R86" s="142">
        <f>(MAX(L$83:L$137)-L86)/(MAX(L$83:L$137)-MIN(L$83:L$137))</f>
        <v/>
      </c>
      <c r="S86" s="142">
        <f>(I86-MIN(I$83:I$137))/(MAX(I$83:I$137)-MIN(I$83:I$137))</f>
        <v/>
      </c>
      <c r="T86" s="100">
        <f t="array" ref="T86">SUMPRODUCT(M86:P86,TRANSPOSE('Fund Ranking Criteria'!$K$9:$K$12))+SUMPRODUCT('Fund Ranking_Equity'!Q86:S86, TRANSPOSE('Fund Ranking Criteria'!$K$14:$K$16))</f>
        <v/>
      </c>
      <c r="Z86" s="42" t="n"/>
    </row>
    <row r="87">
      <c r="B87" s="5" t="inlineStr">
        <is>
          <t>Aditya Birla Sun Life Conglomerate Fund - Reg - Growth</t>
        </is>
      </c>
      <c r="C87" s="125">
        <f>RANK(T87,$T$83:$T$137,0)</f>
        <v/>
      </c>
      <c r="D87" s="42">
        <f>B87</f>
        <v/>
      </c>
      <c r="E87" s="84" t="n">
        <v>0.644</v>
      </c>
      <c r="F87" s="84" t="n">
        <v>0</v>
      </c>
      <c r="G87" s="84" t="n">
        <v>0</v>
      </c>
      <c r="H87" s="84" t="n">
        <v>0</v>
      </c>
      <c r="I87" s="84" t="n">
        <v>0.00771081879292212</v>
      </c>
      <c r="J87" s="84" t="n">
        <v>0</v>
      </c>
      <c r="K87" s="84" t="n">
        <v>0</v>
      </c>
      <c r="L87" s="84" t="n">
        <v>16.7166517240243</v>
      </c>
      <c r="M87" s="142">
        <f>(E87-MIN(E$83:E$137))/(MAX(E$83:E$137)-MIN(E$83:E$137))</f>
        <v/>
      </c>
      <c r="N87" s="142">
        <f>(F87-MIN(F$83:F$137))/(MAX(F$83:F$137)-MIN(F$83:F$137))</f>
        <v/>
      </c>
      <c r="O87" s="142">
        <f>(G87-MIN(G$83:G$137))/(MAX(G$83:G$137)-MIN(G$83:G$137))</f>
        <v/>
      </c>
      <c r="P87" s="142">
        <f>(H87-MIN(H$83:H$137))/(MAX(H$83:H$137)-MIN(H$83:H$137))</f>
        <v/>
      </c>
      <c r="Q87" s="142">
        <f>(MAX(K$83:K$137)-K87)/(MAX(K$83:K$137)-MIN(K$83:K$137))</f>
        <v/>
      </c>
      <c r="R87" s="142">
        <f>(MAX(L$83:L$137)-L87)/(MAX(L$83:L$137)-MIN(L$83:L$137))</f>
        <v/>
      </c>
      <c r="S87" s="142">
        <f>(I87-MIN(I$83:I$137))/(MAX(I$83:I$137)-MIN(I$83:I$137))</f>
        <v/>
      </c>
      <c r="T87" s="100">
        <f t="array" ref="T87">SUMPRODUCT(M87:P87,TRANSPOSE('Fund Ranking Criteria'!$K$9:$K$12))+SUMPRODUCT('Fund Ranking_Equity'!Q87:S87, TRANSPOSE('Fund Ranking Criteria'!$K$14:$K$16))</f>
        <v/>
      </c>
      <c r="Z87" s="42" t="n"/>
    </row>
    <row r="88" ht="29.1" customHeight="1">
      <c r="B88" s="5" t="inlineStr">
        <is>
          <t>Aditya Birla Sun Life Transportation and Logistics Fund - Reg - Growth</t>
        </is>
      </c>
      <c r="C88" s="312">
        <f>RANK(T88,$T$83:$T$137,0)</f>
        <v/>
      </c>
      <c r="D88" s="42">
        <f>B88</f>
        <v/>
      </c>
      <c r="E88" s="84" t="n">
        <v>15.9389</v>
      </c>
      <c r="F88" s="84" t="n">
        <v>0</v>
      </c>
      <c r="G88" s="84" t="n">
        <v>0</v>
      </c>
      <c r="H88" s="84" t="n">
        <v>0</v>
      </c>
      <c r="I88" s="84" t="n">
        <v>0.0576696977397793</v>
      </c>
      <c r="J88" s="84" t="n">
        <v>-0.444920176013043</v>
      </c>
      <c r="K88" s="84" t="n">
        <v>0.944430944814853</v>
      </c>
      <c r="L88" s="84" t="n">
        <v>19.3163410410006</v>
      </c>
      <c r="M88" s="313">
        <f>(E88-MIN(E$83:E$137))/(MAX(E$83:E$137)-MIN(E$83:E$137))</f>
        <v/>
      </c>
      <c r="N88" s="313">
        <f>(F88-MIN(F$83:F$137))/(MAX(F$83:F$137)-MIN(F$83:F$137))</f>
        <v/>
      </c>
      <c r="O88" s="313">
        <f>(G88-MIN(G$83:G$137))/(MAX(G$83:G$137)-MIN(G$83:G$137))</f>
        <v/>
      </c>
      <c r="P88" s="313">
        <f>(H88-MIN(H$83:H$137))/(MAX(H$83:H$137)-MIN(H$83:H$137))</f>
        <v/>
      </c>
      <c r="Q88" s="313">
        <f>(MAX(K$83:K$137)-K88)/(MAX(K$83:K$137)-MIN(K$83:K$137))</f>
        <v/>
      </c>
      <c r="R88" s="313">
        <f>(MAX(L$83:L$137)-L88)/(MAX(L$83:L$137)-MIN(L$83:L$137))</f>
        <v/>
      </c>
      <c r="S88" s="313">
        <f>(I88-MIN(I$83:I$137))/(MAX(I$83:I$137)-MIN(I$83:I$137))</f>
        <v/>
      </c>
      <c r="T88" s="100">
        <f t="array" ref="T88">SUMPRODUCT(M88:P88,TRANSPOSE('Fund Ranking Criteria'!$K$9:$K$12))+SUMPRODUCT('Fund Ranking_Equity'!Q88:S88, TRANSPOSE('Fund Ranking Criteria'!$K$14:$K$16))</f>
        <v/>
      </c>
      <c r="Z88" s="42" t="n"/>
    </row>
    <row r="89" ht="29.1" customHeight="1">
      <c r="B89" s="5" t="inlineStr">
        <is>
          <t>Aditya Birla Sun Life Manufacturing Equity Fund - Reg - Growth</t>
        </is>
      </c>
      <c r="C89" s="312">
        <f>RANK(T89,$T$83:$T$137,0)</f>
        <v/>
      </c>
      <c r="D89" s="42">
        <f>B89</f>
        <v/>
      </c>
      <c r="E89" s="84" t="n">
        <v>15.3846</v>
      </c>
      <c r="F89" s="84" t="n">
        <v>20.5346</v>
      </c>
      <c r="G89" s="84" t="n">
        <v>13.8866</v>
      </c>
      <c r="H89" s="84" t="n">
        <v>13.7459</v>
      </c>
      <c r="I89" s="84" t="n">
        <v>0.0791341435539334</v>
      </c>
      <c r="J89" s="84" t="n">
        <v>-0.405713879499988</v>
      </c>
      <c r="K89" s="84" t="n">
        <v>0.972269885515029</v>
      </c>
      <c r="L89" s="84" t="n">
        <v>16.6509524013939</v>
      </c>
      <c r="M89" s="313">
        <f>(E89-MIN(E$83:E$137))/(MAX(E$83:E$137)-MIN(E$83:E$137))</f>
        <v/>
      </c>
      <c r="N89" s="313">
        <f>(F89-MIN(F$83:F$137))/(MAX(F$83:F$137)-MIN(F$83:F$137))</f>
        <v/>
      </c>
      <c r="O89" s="313">
        <f>(G89-MIN(G$83:G$137))/(MAX(G$83:G$137)-MIN(G$83:G$137))</f>
        <v/>
      </c>
      <c r="P89" s="313">
        <f>(H89-MIN(H$83:H$137))/(MAX(H$83:H$137)-MIN(H$83:H$137))</f>
        <v/>
      </c>
      <c r="Q89" s="313">
        <f>(MAX(K$83:K$137)-K89)/(MAX(K$83:K$137)-MIN(K$83:K$137))</f>
        <v/>
      </c>
      <c r="R89" s="313">
        <f>(MAX(L$83:L$137)-L89)/(MAX(L$83:L$137)-MIN(L$83:L$137))</f>
        <v/>
      </c>
      <c r="S89" s="313">
        <f>(I89-MIN(I$83:I$137))/(MAX(I$83:I$137)-MIN(I$83:I$137))</f>
        <v/>
      </c>
      <c r="T89" s="100">
        <f t="array" ref="T89">SUMPRODUCT(M89:P89,TRANSPOSE('Fund Ranking Criteria'!$K$9:$K$12))+SUMPRODUCT('Fund Ranking_Equity'!Q89:S89, TRANSPOSE('Fund Ranking Criteria'!$K$14:$K$16))</f>
        <v/>
      </c>
      <c r="Z89" s="42" t="n"/>
      <c r="AA89" s="146" t="n"/>
    </row>
    <row r="90" ht="29.1" customHeight="1">
      <c r="B90" s="5" t="inlineStr">
        <is>
          <t>Aditya Birla Sun Life Pharma &amp; Healthcare Fund - Reg - Growth</t>
        </is>
      </c>
      <c r="C90" s="312">
        <f>RANK(T90,$T$83:$T$137,0)</f>
        <v/>
      </c>
      <c r="D90" s="42">
        <f>B90</f>
        <v/>
      </c>
      <c r="E90" s="84" t="n">
        <v>13.7875</v>
      </c>
      <c r="F90" s="84" t="n">
        <v>22.3267</v>
      </c>
      <c r="G90" s="84" t="n">
        <v>12.8118</v>
      </c>
      <c r="H90" s="84" t="n">
        <v>0</v>
      </c>
      <c r="I90" s="84" t="n">
        <v>0.0966784516554277</v>
      </c>
      <c r="J90" s="84" t="n">
        <v>-0.279154736854051</v>
      </c>
      <c r="K90" s="84" t="n">
        <v>0.88461479666763</v>
      </c>
      <c r="L90" s="84" t="n">
        <v>15.4845840128732</v>
      </c>
      <c r="M90" s="313">
        <f>(E90-MIN(E$83:E$137))/(MAX(E$83:E$137)-MIN(E$83:E$137))</f>
        <v/>
      </c>
      <c r="N90" s="313">
        <f>(F90-MIN(F$83:F$137))/(MAX(F$83:F$137)-MIN(F$83:F$137))</f>
        <v/>
      </c>
      <c r="O90" s="313">
        <f>(G90-MIN(G$83:G$137))/(MAX(G$83:G$137)-MIN(G$83:G$137))</f>
        <v/>
      </c>
      <c r="P90" s="313">
        <f>(H90-MIN(H$83:H$137))/(MAX(H$83:H$137)-MIN(H$83:H$137))</f>
        <v/>
      </c>
      <c r="Q90" s="313">
        <f>(MAX(K$83:K$137)-K90)/(MAX(K$83:K$137)-MIN(K$83:K$137))</f>
        <v/>
      </c>
      <c r="R90" s="313">
        <f>(MAX(L$83:L$137)-L90)/(MAX(L$83:L$137)-MIN(L$83:L$137))</f>
        <v/>
      </c>
      <c r="S90" s="313">
        <f>(I90-MIN(I$83:I$137))/(MAX(I$83:I$137)-MIN(I$83:I$137))</f>
        <v/>
      </c>
      <c r="T90" s="100">
        <f t="array" ref="T90">SUMPRODUCT(M90:P90,TRANSPOSE('Fund Ranking Criteria'!$K$9:$K$12))+SUMPRODUCT('Fund Ranking_Equity'!Q90:S90, TRANSPOSE('Fund Ranking Criteria'!$K$14:$K$16))</f>
        <v/>
      </c>
      <c r="Z90" s="42" t="n"/>
      <c r="AA90" s="146" t="n"/>
    </row>
    <row r="91" ht="29.1" customHeight="1">
      <c r="B91" s="5" t="inlineStr">
        <is>
          <t>Aditya Birla Sun Life Special Opportunities Fund - Reg - Growth</t>
        </is>
      </c>
      <c r="C91" s="312">
        <f>RANK(T91,$T$83:$T$137,0)</f>
        <v/>
      </c>
      <c r="D91" s="42">
        <f>B91</f>
        <v/>
      </c>
      <c r="E91" s="84" t="n">
        <v>13.6162</v>
      </c>
      <c r="F91" s="84" t="n">
        <v>20.2188</v>
      </c>
      <c r="G91" s="84" t="n">
        <v>15.0746</v>
      </c>
      <c r="H91" s="84" t="n">
        <v>0</v>
      </c>
      <c r="I91" s="84" t="n">
        <v>0.08863459183945289</v>
      </c>
      <c r="J91" s="84" t="n">
        <v>0.226017463213866</v>
      </c>
      <c r="K91" s="84" t="n">
        <v>0.951458687852112</v>
      </c>
      <c r="L91" s="84" t="n">
        <v>14.1772151343105</v>
      </c>
      <c r="M91" s="313">
        <f>(E91-MIN(E$83:E$137))/(MAX(E$83:E$137)-MIN(E$83:E$137))</f>
        <v/>
      </c>
      <c r="N91" s="313">
        <f>(F91-MIN(F$83:F$137))/(MAX(F$83:F$137)-MIN(F$83:F$137))</f>
        <v/>
      </c>
      <c r="O91" s="313">
        <f>(G91-MIN(G$83:G$137))/(MAX(G$83:G$137)-MIN(G$83:G$137))</f>
        <v/>
      </c>
      <c r="P91" s="313">
        <f>(H91-MIN(H$83:H$137))/(MAX(H$83:H$137)-MIN(H$83:H$137))</f>
        <v/>
      </c>
      <c r="Q91" s="313">
        <f>(MAX(K$83:K$137)-K91)/(MAX(K$83:K$137)-MIN(K$83:K$137))</f>
        <v/>
      </c>
      <c r="R91" s="313">
        <f>(MAX(L$83:L$137)-L91)/(MAX(L$83:L$137)-MIN(L$83:L$137))</f>
        <v/>
      </c>
      <c r="S91" s="313">
        <f>(I91-MIN(I$83:I$137))/(MAX(I$83:I$137)-MIN(I$83:I$137))</f>
        <v/>
      </c>
      <c r="T91" s="100">
        <f t="array" ref="T91">SUMPRODUCT(M91:P91,TRANSPOSE('Fund Ranking Criteria'!$K$9:$K$12))+SUMPRODUCT('Fund Ranking_Equity'!Q91:S91, TRANSPOSE('Fund Ranking Criteria'!$K$14:$K$16))</f>
        <v/>
      </c>
      <c r="Z91" s="42" t="n"/>
      <c r="AA91" s="146" t="n"/>
    </row>
    <row r="92" ht="29.1" customHeight="1">
      <c r="B92" s="5" t="inlineStr">
        <is>
          <t>Aditya Birla Sun Life ESG Integration Strategy Fund - Reg - Growth</t>
        </is>
      </c>
      <c r="C92" s="312">
        <f>RANK(T92,$T$83:$T$137,0)</f>
        <v/>
      </c>
      <c r="D92" s="42">
        <f>B92</f>
        <v/>
      </c>
      <c r="E92" s="84" t="n">
        <v>-1.2792</v>
      </c>
      <c r="F92" s="84" t="n">
        <v>11.423</v>
      </c>
      <c r="G92" s="84" t="n">
        <v>9.063499999999999</v>
      </c>
      <c r="H92" s="84" t="n">
        <v>0</v>
      </c>
      <c r="I92" s="84" t="n">
        <v>0.0429007029138181</v>
      </c>
      <c r="J92" s="84" t="n">
        <v>-0.350892905827185</v>
      </c>
      <c r="K92" s="84" t="n">
        <v>0.995127546742393</v>
      </c>
      <c r="L92" s="84" t="n">
        <v>14.2267641930584</v>
      </c>
      <c r="M92" s="313">
        <f>(E92-MIN(E$83:E$137))/(MAX(E$83:E$137)-MIN(E$83:E$137))</f>
        <v/>
      </c>
      <c r="N92" s="313">
        <f>(F92-MIN(F$83:F$137))/(MAX(F$83:F$137)-MIN(F$83:F$137))</f>
        <v/>
      </c>
      <c r="O92" s="313">
        <f>(G92-MIN(G$83:G$137))/(MAX(G$83:G$137)-MIN(G$83:G$137))</f>
        <v/>
      </c>
      <c r="P92" s="313">
        <f>(H92-MIN(H$83:H$137))/(MAX(H$83:H$137)-MIN(H$83:H$137))</f>
        <v/>
      </c>
      <c r="Q92" s="313">
        <f>(MAX(K$83:K$137)-K92)/(MAX(K$83:K$137)-MIN(K$83:K$137))</f>
        <v/>
      </c>
      <c r="R92" s="313">
        <f>(MAX(L$83:L$137)-L92)/(MAX(L$83:L$137)-MIN(L$83:L$137))</f>
        <v/>
      </c>
      <c r="S92" s="313">
        <f>(I92-MIN(I$83:I$137))/(MAX(I$83:I$137)-MIN(I$83:I$137))</f>
        <v/>
      </c>
      <c r="T92" s="100">
        <f t="array" ref="T92">SUMPRODUCT(M92:P92,TRANSPOSE('Fund Ranking Criteria'!$K$9:$K$12))+SUMPRODUCT('Fund Ranking_Equity'!Q92:S92, TRANSPOSE('Fund Ranking Criteria'!$K$14:$K$16))</f>
        <v/>
      </c>
      <c r="Z92" s="42" t="n"/>
      <c r="AA92" s="146" t="n"/>
    </row>
    <row r="93">
      <c r="B93" s="5" t="inlineStr">
        <is>
          <t>UTI Quant Fund - Reg - Growth</t>
        </is>
      </c>
      <c r="C93" s="312">
        <f>RANK(T93,$T$83:$T$137,0)</f>
        <v/>
      </c>
      <c r="D93" s="42">
        <f>B93</f>
        <v/>
      </c>
      <c r="E93" s="84" t="n">
        <v>-4.2284</v>
      </c>
      <c r="F93" s="84" t="n">
        <v>0</v>
      </c>
      <c r="G93" s="84" t="n">
        <v>0</v>
      </c>
      <c r="H93" s="84" t="n">
        <v>0</v>
      </c>
      <c r="I93" s="84" t="n">
        <v>-0.0132663711672677</v>
      </c>
      <c r="J93" s="84" t="n">
        <v>-0.29512832530487</v>
      </c>
      <c r="K93" s="84" t="n">
        <v>0.974389049576292</v>
      </c>
      <c r="L93" s="84" t="n">
        <v>16.2164029366705</v>
      </c>
      <c r="M93" s="313">
        <f>(E93-MIN(E$83:E$137))/(MAX(E$83:E$137)-MIN(E$83:E$137))</f>
        <v/>
      </c>
      <c r="N93" s="313">
        <f>(F93-MIN(F$83:F$137))/(MAX(F$83:F$137)-MIN(F$83:F$137))</f>
        <v/>
      </c>
      <c r="O93" s="313">
        <f>(G93-MIN(G$83:G$137))/(MAX(G$83:G$137)-MIN(G$83:G$137))</f>
        <v/>
      </c>
      <c r="P93" s="313">
        <f>(H93-MIN(H$83:H$137))/(MAX(H$83:H$137)-MIN(H$83:H$137))</f>
        <v/>
      </c>
      <c r="Q93" s="313">
        <f>(MAX(K$83:K$137)-K93)/(MAX(K$83:K$137)-MIN(K$83:K$137))</f>
        <v/>
      </c>
      <c r="R93" s="313">
        <f>(MAX(L$83:L$137)-L93)/(MAX(L$83:L$137)-MIN(L$83:L$137))</f>
        <v/>
      </c>
      <c r="S93" s="313">
        <f>(I93-MIN(I$83:I$137))/(MAX(I$83:I$137)-MIN(I$83:I$137))</f>
        <v/>
      </c>
      <c r="T93" s="100">
        <f t="array" ref="T93">SUMPRODUCT(M93:P93,TRANSPOSE('Fund Ranking Criteria'!$K$9:$K$12))+SUMPRODUCT('Fund Ranking_Equity'!Q93:S93, TRANSPOSE('Fund Ranking Criteria'!$K$14:$K$16))</f>
        <v/>
      </c>
      <c r="Z93" s="42" t="n"/>
      <c r="AA93" s="146" t="n"/>
    </row>
    <row r="94">
      <c r="B94" s="5" t="inlineStr">
        <is>
          <t>UTI Innovation Fund - Reg - Growth</t>
        </is>
      </c>
      <c r="C94" s="312">
        <f>RANK(T94,$T$83:$T$137,0)</f>
        <v/>
      </c>
      <c r="D94" s="42">
        <f>B94</f>
        <v/>
      </c>
      <c r="E94" s="84" t="n">
        <v>-2.9562</v>
      </c>
      <c r="F94" s="84" t="n">
        <v>0</v>
      </c>
      <c r="G94" s="84" t="n">
        <v>0</v>
      </c>
      <c r="H94" s="84" t="n">
        <v>0</v>
      </c>
      <c r="I94" s="84" t="n">
        <v>0.00299776592341455</v>
      </c>
      <c r="J94" s="84" t="n">
        <v>-1.10987596920279</v>
      </c>
      <c r="K94" s="84" t="n">
        <v>1.03016964561526</v>
      </c>
      <c r="L94" s="84" t="n">
        <v>20.9151258147305</v>
      </c>
      <c r="M94" s="313">
        <f>(E94-MIN(E$83:E$137))/(MAX(E$83:E$137)-MIN(E$83:E$137))</f>
        <v/>
      </c>
      <c r="N94" s="313">
        <f>(F94-MIN(F$83:F$137))/(MAX(F$83:F$137)-MIN(F$83:F$137))</f>
        <v/>
      </c>
      <c r="O94" s="313">
        <f>(G94-MIN(G$83:G$137))/(MAX(G$83:G$137)-MIN(G$83:G$137))</f>
        <v/>
      </c>
      <c r="P94" s="313">
        <f>(H94-MIN(H$83:H$137))/(MAX(H$83:H$137)-MIN(H$83:H$137))</f>
        <v/>
      </c>
      <c r="Q94" s="313">
        <f>(MAX(K$83:K$137)-K94)/(MAX(K$83:K$137)-MIN(K$83:K$137))</f>
        <v/>
      </c>
      <c r="R94" s="313">
        <f>(MAX(L$83:L$137)-L94)/(MAX(L$83:L$137)-MIN(L$83:L$137))</f>
        <v/>
      </c>
      <c r="S94" s="313">
        <f>(I94-MIN(I$83:I$137))/(MAX(I$83:I$137)-MIN(I$83:I$137))</f>
        <v/>
      </c>
      <c r="T94" s="100">
        <f t="array" ref="T94">SUMPRODUCT(M94:P94,TRANSPOSE('Fund Ranking Criteria'!$K$9:$K$12))+SUMPRODUCT('Fund Ranking_Equity'!Q94:S94, TRANSPOSE('Fund Ranking Criteria'!$K$14:$K$16))</f>
        <v/>
      </c>
      <c r="Z94" s="42" t="n"/>
      <c r="AA94" s="146" t="n"/>
    </row>
    <row r="95" ht="29.1" customHeight="1">
      <c r="B95" s="5" t="inlineStr">
        <is>
          <t>ICICI Prudential Pharma Healthcare and Diagnostics Fund - Reg - Growth</t>
        </is>
      </c>
      <c r="C95" s="312">
        <f>RANK(T95,$T$83:$T$137,0)</f>
        <v/>
      </c>
      <c r="D95" s="42">
        <f>B95</f>
        <v/>
      </c>
      <c r="E95" s="84" t="n">
        <v>8.8384</v>
      </c>
      <c r="F95" s="84" t="n">
        <v>25.4307</v>
      </c>
      <c r="G95" s="84" t="n">
        <v>15.6995</v>
      </c>
      <c r="H95" s="84" t="n">
        <v>0</v>
      </c>
      <c r="I95" s="84" t="n">
        <v>0.106283830542614</v>
      </c>
      <c r="J95" s="84" t="n">
        <v>-0.1779480536364</v>
      </c>
      <c r="K95" s="84" t="n">
        <v>0.93535817948832</v>
      </c>
      <c r="L95" s="84" t="n">
        <v>15.9960151687492</v>
      </c>
      <c r="M95" s="313">
        <f>(E95-MIN(E$83:E$137))/(MAX(E$83:E$137)-MIN(E$83:E$137))</f>
        <v/>
      </c>
      <c r="N95" s="313">
        <f>(F95-MIN(F$83:F$137))/(MAX(F$83:F$137)-MIN(F$83:F$137))</f>
        <v/>
      </c>
      <c r="O95" s="313">
        <f>(G95-MIN(G$83:G$137))/(MAX(G$83:G$137)-MIN(G$83:G$137))</f>
        <v/>
      </c>
      <c r="P95" s="313">
        <f>(H95-MIN(H$83:H$137))/(MAX(H$83:H$137)-MIN(H$83:H$137))</f>
        <v/>
      </c>
      <c r="Q95" s="313">
        <f>(MAX(K$83:K$137)-K95)/(MAX(K$83:K$137)-MIN(K$83:K$137))</f>
        <v/>
      </c>
      <c r="R95" s="313">
        <f>(MAX(L$83:L$137)-L95)/(MAX(L$83:L$137)-MIN(L$83:L$137))</f>
        <v/>
      </c>
      <c r="S95" s="313">
        <f>(I95-MIN(I$83:I$137))/(MAX(I$83:I$137)-MIN(I$83:I$137))</f>
        <v/>
      </c>
      <c r="T95" s="100">
        <f t="array" ref="T95">SUMPRODUCT(M95:P95,TRANSPOSE('Fund Ranking Criteria'!$K$9:$K$12))+SUMPRODUCT('Fund Ranking_Equity'!Q95:S95, TRANSPOSE('Fund Ranking Criteria'!$K$14:$K$16))</f>
        <v/>
      </c>
      <c r="Z95" s="42" t="n"/>
      <c r="AA95" s="146" t="n"/>
    </row>
    <row r="96" ht="29.1" customHeight="1">
      <c r="B96" s="5" t="inlineStr">
        <is>
          <t>ICICI Prudential Equity Minimum Variance Fund - Reg - Growth</t>
        </is>
      </c>
      <c r="C96" s="312">
        <f>RANK(T96,$T$83:$T$137,0)</f>
        <v/>
      </c>
      <c r="D96" s="42">
        <f>B96</f>
        <v/>
      </c>
      <c r="E96" s="84" t="n">
        <v>-1.0358</v>
      </c>
      <c r="F96" s="84" t="n">
        <v>0</v>
      </c>
      <c r="G96" s="84" t="n">
        <v>0</v>
      </c>
      <c r="H96" s="84" t="n">
        <v>0</v>
      </c>
      <c r="I96" s="84" t="n">
        <v>-0.00538988652216747</v>
      </c>
      <c r="J96" s="84" t="n">
        <v>0.0231473149622766</v>
      </c>
      <c r="K96" s="84" t="n">
        <v>0.985913789826953</v>
      </c>
      <c r="L96" s="84" t="n">
        <v>14.028528537993</v>
      </c>
      <c r="M96" s="313">
        <f>(E96-MIN(E$83:E$137))/(MAX(E$83:E$137)-MIN(E$83:E$137))</f>
        <v/>
      </c>
      <c r="N96" s="313">
        <f>(F96-MIN(F$83:F$137))/(MAX(F$83:F$137)-MIN(F$83:F$137))</f>
        <v/>
      </c>
      <c r="O96" s="313">
        <f>(G96-MIN(G$83:G$137))/(MAX(G$83:G$137)-MIN(G$83:G$137))</f>
        <v/>
      </c>
      <c r="P96" s="313">
        <f>(H96-MIN(H$83:H$137))/(MAX(H$83:H$137)-MIN(H$83:H$137))</f>
        <v/>
      </c>
      <c r="Q96" s="313">
        <f>(MAX(K$83:K$137)-K96)/(MAX(K$83:K$137)-MIN(K$83:K$137))</f>
        <v/>
      </c>
      <c r="R96" s="313">
        <f>(MAX(L$83:L$137)-L96)/(MAX(L$83:L$137)-MIN(L$83:L$137))</f>
        <v/>
      </c>
      <c r="S96" s="313">
        <f>(I96-MIN(I$83:I$137))/(MAX(I$83:I$137)-MIN(I$83:I$137))</f>
        <v/>
      </c>
      <c r="T96" s="100">
        <f t="array" ref="T96">SUMPRODUCT(M96:P96,TRANSPOSE('Fund Ranking Criteria'!$K$9:$K$12))+SUMPRODUCT('Fund Ranking_Equity'!Q96:S96, TRANSPOSE('Fund Ranking Criteria'!$K$14:$K$16))</f>
        <v/>
      </c>
      <c r="Z96" s="42" t="n"/>
      <c r="AA96" s="146" t="n"/>
    </row>
    <row r="97" ht="29.1" customHeight="1">
      <c r="B97" s="5" t="inlineStr">
        <is>
          <t>ICICI Prudential Bharat Consumption Fund - Reg - Growth</t>
        </is>
      </c>
      <c r="C97" s="312">
        <f>RANK(T97,$T$83:$T$137,0)</f>
        <v/>
      </c>
      <c r="D97" s="42">
        <f>B97</f>
        <v/>
      </c>
      <c r="E97" s="84" t="n">
        <v>-0.6357</v>
      </c>
      <c r="F97" s="84" t="n">
        <v>12.263</v>
      </c>
      <c r="G97" s="84" t="n">
        <v>14.2913</v>
      </c>
      <c r="H97" s="84" t="n">
        <v>0</v>
      </c>
      <c r="I97" s="84" t="n">
        <v>0.0480810739765384</v>
      </c>
      <c r="J97" s="84" t="n">
        <v>-0.268653677953041</v>
      </c>
      <c r="K97" s="84" t="n">
        <v>0.868351268347918</v>
      </c>
      <c r="L97" s="84" t="n">
        <v>14.4708369780556</v>
      </c>
      <c r="M97" s="313">
        <f>(E97-MIN(E$83:E$137))/(MAX(E$83:E$137)-MIN(E$83:E$137))</f>
        <v/>
      </c>
      <c r="N97" s="313">
        <f>(F97-MIN(F$83:F$137))/(MAX(F$83:F$137)-MIN(F$83:F$137))</f>
        <v/>
      </c>
      <c r="O97" s="313">
        <f>(G97-MIN(G$83:G$137))/(MAX(G$83:G$137)-MIN(G$83:G$137))</f>
        <v/>
      </c>
      <c r="P97" s="313">
        <f>(H97-MIN(H$83:H$137))/(MAX(H$83:H$137)-MIN(H$83:H$137))</f>
        <v/>
      </c>
      <c r="Q97" s="313">
        <f>(MAX(K$83:K$137)-K97)/(MAX(K$83:K$137)-MIN(K$83:K$137))</f>
        <v/>
      </c>
      <c r="R97" s="313">
        <f>(MAX(L$83:L$137)-L97)/(MAX(L$83:L$137)-MIN(L$83:L$137))</f>
        <v/>
      </c>
      <c r="S97" s="313">
        <f>(I97-MIN(I$83:I$137))/(MAX(I$83:I$137)-MIN(I$83:I$137))</f>
        <v/>
      </c>
      <c r="T97" s="100">
        <f t="array" ref="T97">SUMPRODUCT(M97:P97,TRANSPOSE('Fund Ranking Criteria'!$K$9:$K$12))+SUMPRODUCT('Fund Ranking_Equity'!Q97:S97, TRANSPOSE('Fund Ranking Criteria'!$K$14:$K$16))</f>
        <v/>
      </c>
      <c r="Z97" s="42" t="n"/>
      <c r="AA97" s="146" t="n"/>
    </row>
    <row r="98" ht="29.1" customHeight="1">
      <c r="B98" s="5" t="inlineStr">
        <is>
          <t>ICICI Prudential Transportation and Logistics Fund - Reg - Growth</t>
        </is>
      </c>
      <c r="C98" s="312">
        <f>RANK(T98,$T$83:$T$137,0)</f>
        <v/>
      </c>
      <c r="D98" s="42">
        <f>B98</f>
        <v/>
      </c>
      <c r="E98" s="84" t="n">
        <v>13.4874</v>
      </c>
      <c r="F98" s="84" t="n">
        <v>22.3228</v>
      </c>
      <c r="G98" s="84" t="n">
        <v>0</v>
      </c>
      <c r="H98" s="84" t="n">
        <v>0</v>
      </c>
      <c r="I98" s="84" t="n">
        <v>0.0837484900489695</v>
      </c>
      <c r="J98" s="84" t="n">
        <v>-0.302023600388602</v>
      </c>
      <c r="K98" s="84" t="n">
        <v>0.9224778496162021</v>
      </c>
      <c r="L98" s="84" t="n">
        <v>17.1568061355103</v>
      </c>
      <c r="M98" s="313">
        <f>(E98-MIN(E$83:E$137))/(MAX(E$83:E$137)-MIN(E$83:E$137))</f>
        <v/>
      </c>
      <c r="N98" s="313">
        <f>(F98-MIN(F$83:F$137))/(MAX(F$83:F$137)-MIN(F$83:F$137))</f>
        <v/>
      </c>
      <c r="O98" s="313">
        <f>(G98-MIN(G$83:G$137))/(MAX(G$83:G$137)-MIN(G$83:G$137))</f>
        <v/>
      </c>
      <c r="P98" s="313">
        <f>(H98-MIN(H$83:H$137))/(MAX(H$83:H$137)-MIN(H$83:H$137))</f>
        <v/>
      </c>
      <c r="Q98" s="313">
        <f>(MAX(K$83:K$137)-K98)/(MAX(K$83:K$137)-MIN(K$83:K$137))</f>
        <v/>
      </c>
      <c r="R98" s="313">
        <f>(MAX(L$83:L$137)-L98)/(MAX(L$83:L$137)-MIN(L$83:L$137))</f>
        <v/>
      </c>
      <c r="S98" s="313">
        <f>(I98-MIN(I$83:I$137))/(MAX(I$83:I$137)-MIN(I$83:I$137))</f>
        <v/>
      </c>
      <c r="T98" s="100">
        <f t="array" ref="T98">SUMPRODUCT(M98:P98,TRANSPOSE('Fund Ranking Criteria'!$K$9:$K$12))+SUMPRODUCT('Fund Ranking_Equity'!Q98:S98, TRANSPOSE('Fund Ranking Criteria'!$K$14:$K$16))</f>
        <v/>
      </c>
      <c r="Z98" s="42" t="n"/>
      <c r="AA98" s="146" t="n"/>
    </row>
    <row r="99">
      <c r="B99" s="5" t="inlineStr">
        <is>
          <t>ICICI Prudential Commodities Fund - Reg - Growth</t>
        </is>
      </c>
      <c r="C99" s="312">
        <f>RANK(T99,$T$83:$T$137,0)</f>
        <v/>
      </c>
      <c r="D99" s="42">
        <f>B99</f>
        <v/>
      </c>
      <c r="E99" s="84" t="n">
        <v>6.5998</v>
      </c>
      <c r="F99" s="84" t="n">
        <v>16.6881</v>
      </c>
      <c r="G99" s="84" t="n">
        <v>15.3332</v>
      </c>
      <c r="H99" s="84" t="n">
        <v>0</v>
      </c>
      <c r="I99" s="84" t="n">
        <v>0.0594662006459596</v>
      </c>
      <c r="J99" s="84" t="n">
        <v>-0.516709743762843</v>
      </c>
      <c r="K99" s="84" t="n">
        <v>0.906448041893918</v>
      </c>
      <c r="L99" s="84" t="n">
        <v>17.1102029999859</v>
      </c>
      <c r="M99" s="313">
        <f>(E99-MIN(E$83:E$137))/(MAX(E$83:E$137)-MIN(E$83:E$137))</f>
        <v/>
      </c>
      <c r="N99" s="313">
        <f>(F99-MIN(F$83:F$137))/(MAX(F$83:F$137)-MIN(F$83:F$137))</f>
        <v/>
      </c>
      <c r="O99" s="313">
        <f>(G99-MIN(G$83:G$137))/(MAX(G$83:G$137)-MIN(G$83:G$137))</f>
        <v/>
      </c>
      <c r="P99" s="313">
        <f>(H99-MIN(H$83:H$137))/(MAX(H$83:H$137)-MIN(H$83:H$137))</f>
        <v/>
      </c>
      <c r="Q99" s="313">
        <f>(MAX(K$83:K$137)-K99)/(MAX(K$83:K$137)-MIN(K$83:K$137))</f>
        <v/>
      </c>
      <c r="R99" s="313">
        <f>(MAX(L$83:L$137)-L99)/(MAX(L$83:L$137)-MIN(L$83:L$137))</f>
        <v/>
      </c>
      <c r="S99" s="313">
        <f>(I99-MIN(I$83:I$137))/(MAX(I$83:I$137)-MIN(I$83:I$137))</f>
        <v/>
      </c>
      <c r="T99" s="100">
        <f t="array" ref="T99">SUMPRODUCT(M99:P99,TRANSPOSE('Fund Ranking Criteria'!$K$9:$K$12))+SUMPRODUCT('Fund Ranking_Equity'!Q99:S99, TRANSPOSE('Fund Ranking Criteria'!$K$14:$K$16))</f>
        <v/>
      </c>
      <c r="Z99" s="42" t="n"/>
      <c r="AA99" s="146" t="n"/>
    </row>
    <row r="100" ht="29.1" customHeight="1">
      <c r="B100" s="5" t="inlineStr">
        <is>
          <t>ICICI Prudential Housing Opportunities Fund - Reg - Growth</t>
        </is>
      </c>
      <c r="C100" s="312">
        <f>RANK(T100,$T$83:$T$137,0)</f>
        <v/>
      </c>
      <c r="D100" s="42">
        <f>B100</f>
        <v/>
      </c>
      <c r="E100" s="84" t="n">
        <v>0.6904</v>
      </c>
      <c r="F100" s="84" t="n">
        <v>14.4509</v>
      </c>
      <c r="G100" s="84" t="n">
        <v>0</v>
      </c>
      <c r="H100" s="84" t="n">
        <v>0</v>
      </c>
      <c r="I100" s="84" t="n">
        <v>0.0591454048054656</v>
      </c>
      <c r="J100" s="84" t="n">
        <v>-0.13510138532128</v>
      </c>
      <c r="K100" s="84" t="n">
        <v>0.868186282241953</v>
      </c>
      <c r="L100" s="84" t="n">
        <v>14.0353499493659</v>
      </c>
      <c r="M100" s="313">
        <f>(E100-MIN(E$83:E$137))/(MAX(E$83:E$137)-MIN(E$83:E$137))</f>
        <v/>
      </c>
      <c r="N100" s="313">
        <f>(F100-MIN(F$83:F$137))/(MAX(F$83:F$137)-MIN(F$83:F$137))</f>
        <v/>
      </c>
      <c r="O100" s="313">
        <f>(G100-MIN(G$83:G$137))/(MAX(G$83:G$137)-MIN(G$83:G$137))</f>
        <v/>
      </c>
      <c r="P100" s="313">
        <f>(H100-MIN(H$83:H$137))/(MAX(H$83:H$137)-MIN(H$83:H$137))</f>
        <v/>
      </c>
      <c r="Q100" s="313">
        <f>(MAX(K$83:K$137)-K100)/(MAX(K$83:K$137)-MIN(K$83:K$137))</f>
        <v/>
      </c>
      <c r="R100" s="313">
        <f>(MAX(L$83:L$137)-L100)/(MAX(L$83:L$137)-MIN(L$83:L$137))</f>
        <v/>
      </c>
      <c r="S100" s="313">
        <f>(I100-MIN(I$83:I$137))/(MAX(I$83:I$137)-MIN(I$83:I$137))</f>
        <v/>
      </c>
      <c r="T100" s="100">
        <f t="array" ref="T100">SUMPRODUCT(M100:P100,TRANSPOSE('Fund Ranking Criteria'!$K$9:$K$12))+SUMPRODUCT('Fund Ranking_Equity'!Q100:S100, TRANSPOSE('Fund Ranking Criteria'!$K$14:$K$16))</f>
        <v/>
      </c>
      <c r="Z100" s="42" t="n"/>
      <c r="AA100" s="146" t="n"/>
    </row>
    <row r="101">
      <c r="B101" s="5" t="inlineStr">
        <is>
          <t>ICICI Prudential PSU Equity Fund - Reg - Growth</t>
        </is>
      </c>
      <c r="C101" s="312">
        <f>RANK(T101,$T$83:$T$137,0)</f>
        <v/>
      </c>
      <c r="D101" s="42">
        <f>B101</f>
        <v/>
      </c>
      <c r="E101" s="84" t="n">
        <v>6.2772</v>
      </c>
      <c r="F101" s="84" t="n">
        <v>24.1563</v>
      </c>
      <c r="G101" s="84" t="n">
        <v>0</v>
      </c>
      <c r="H101" s="84" t="n">
        <v>0</v>
      </c>
      <c r="I101" s="84" t="n">
        <v>0.0810013863074167</v>
      </c>
      <c r="J101" s="84" t="n">
        <v>-0.462796434394163</v>
      </c>
      <c r="K101" s="84" t="n">
        <v>0.876311331835145</v>
      </c>
      <c r="L101" s="84" t="n">
        <v>19.149420008932</v>
      </c>
      <c r="M101" s="313">
        <f>(E101-MIN(E$83:E$137))/(MAX(E$83:E$137)-MIN(E$83:E$137))</f>
        <v/>
      </c>
      <c r="N101" s="313">
        <f>(F101-MIN(F$83:F$137))/(MAX(F$83:F$137)-MIN(F$83:F$137))</f>
        <v/>
      </c>
      <c r="O101" s="313">
        <f>(G101-MIN(G$83:G$137))/(MAX(G$83:G$137)-MIN(G$83:G$137))</f>
        <v/>
      </c>
      <c r="P101" s="313">
        <f>(H101-MIN(H$83:H$137))/(MAX(H$83:H$137)-MIN(H$83:H$137))</f>
        <v/>
      </c>
      <c r="Q101" s="313">
        <f>(MAX(K$83:K$137)-K101)/(MAX(K$83:K$137)-MIN(K$83:K$137))</f>
        <v/>
      </c>
      <c r="R101" s="313">
        <f>(MAX(L$83:L$137)-L101)/(MAX(L$83:L$137)-MIN(L$83:L$137))</f>
        <v/>
      </c>
      <c r="S101" s="313">
        <f>(I101-MIN(I$83:I$137))/(MAX(I$83:I$137)-MIN(I$83:I$137))</f>
        <v/>
      </c>
      <c r="T101" s="100">
        <f t="array" ref="T101">SUMPRODUCT(M101:P101,TRANSPOSE('Fund Ranking Criteria'!$K$9:$K$12))+SUMPRODUCT('Fund Ranking_Equity'!Q101:S101, TRANSPOSE('Fund Ranking Criteria'!$K$14:$K$16))</f>
        <v/>
      </c>
      <c r="Z101" s="42" t="n"/>
      <c r="AA101" s="146" t="n"/>
    </row>
    <row r="102">
      <c r="B102" s="5" t="inlineStr">
        <is>
          <t>ICICI Prudential Quality Fund - Reg - Growth</t>
        </is>
      </c>
      <c r="C102" s="312">
        <f>RANK(T102,$T$83:$T$137,0)</f>
        <v/>
      </c>
      <c r="D102" s="42">
        <f>B102</f>
        <v/>
      </c>
      <c r="E102" s="84" t="n">
        <v>1.5595</v>
      </c>
      <c r="F102" s="84" t="n">
        <v>0</v>
      </c>
      <c r="G102" s="84" t="n">
        <v>0</v>
      </c>
      <c r="H102" s="84" t="n">
        <v>0</v>
      </c>
      <c r="I102" s="84" t="n">
        <v>-0.00852583077282467</v>
      </c>
      <c r="J102" s="84" t="n">
        <v>0.280869110666527</v>
      </c>
      <c r="K102" s="84" t="n">
        <v>0.784412492636412</v>
      </c>
      <c r="L102" s="84" t="n">
        <v>12.4781028240346</v>
      </c>
      <c r="M102" s="313">
        <f>(E102-MIN(E$83:E$137))/(MAX(E$83:E$137)-MIN(E$83:E$137))</f>
        <v/>
      </c>
      <c r="N102" s="313">
        <f>(F102-MIN(F$83:F$137))/(MAX(F$83:F$137)-MIN(F$83:F$137))</f>
        <v/>
      </c>
      <c r="O102" s="313">
        <f>(G102-MIN(G$83:G$137))/(MAX(G$83:G$137)-MIN(G$83:G$137))</f>
        <v/>
      </c>
      <c r="P102" s="313">
        <f>(H102-MIN(H$83:H$137))/(MAX(H$83:H$137)-MIN(H$83:H$137))</f>
        <v/>
      </c>
      <c r="Q102" s="313">
        <f>(MAX(K$83:K$137)-K102)/(MAX(K$83:K$137)-MIN(K$83:K$137))</f>
        <v/>
      </c>
      <c r="R102" s="313">
        <f>(MAX(L$83:L$137)-L102)/(MAX(L$83:L$137)-MIN(L$83:L$137))</f>
        <v/>
      </c>
      <c r="S102" s="313">
        <f>(I102-MIN(I$83:I$137))/(MAX(I$83:I$137)-MIN(I$83:I$137))</f>
        <v/>
      </c>
      <c r="T102" s="100">
        <f t="array" ref="T102">SUMPRODUCT(M102:P102,TRANSPOSE('Fund Ranking Criteria'!$K$9:$K$12))+SUMPRODUCT('Fund Ranking_Equity'!Q102:S102, TRANSPOSE('Fund Ranking Criteria'!$K$14:$K$16))</f>
        <v/>
      </c>
      <c r="Z102" s="42" t="n"/>
      <c r="AA102" s="146" t="n"/>
    </row>
    <row r="103">
      <c r="B103" s="5" t="inlineStr">
        <is>
          <t>ICICI Prudential MNC Fund - Reg - Growth</t>
        </is>
      </c>
      <c r="C103" s="312">
        <f>RANK(T103,$T$83:$T$137,0)</f>
        <v/>
      </c>
      <c r="D103" s="42">
        <f>B103</f>
        <v/>
      </c>
      <c r="E103" s="84" t="n">
        <v>7.3781</v>
      </c>
      <c r="F103" s="84" t="n">
        <v>12.6396</v>
      </c>
      <c r="G103" s="84" t="n">
        <v>12.3003</v>
      </c>
      <c r="H103" s="84" t="n">
        <v>0</v>
      </c>
      <c r="I103" s="84" t="n">
        <v>0.0559063170366317</v>
      </c>
      <c r="J103" s="84" t="n">
        <v>-0.23466282102265</v>
      </c>
      <c r="K103" s="84" t="n">
        <v>0.71704264954787</v>
      </c>
      <c r="L103" s="84" t="n">
        <v>12.775859131869</v>
      </c>
      <c r="M103" s="313">
        <f>(E103-MIN(E$83:E$137))/(MAX(E$83:E$137)-MIN(E$83:E$137))</f>
        <v/>
      </c>
      <c r="N103" s="313">
        <f>(F103-MIN(F$83:F$137))/(MAX(F$83:F$137)-MIN(F$83:F$137))</f>
        <v/>
      </c>
      <c r="O103" s="313">
        <f>(G103-MIN(G$83:G$137))/(MAX(G$83:G$137)-MIN(G$83:G$137))</f>
        <v/>
      </c>
      <c r="P103" s="313">
        <f>(H103-MIN(H$83:H$137))/(MAX(H$83:H$137)-MIN(H$83:H$137))</f>
        <v/>
      </c>
      <c r="Q103" s="313">
        <f>(MAX(K$83:K$137)-K103)/(MAX(K$83:K$137)-MIN(K$83:K$137))</f>
        <v/>
      </c>
      <c r="R103" s="313">
        <f>(MAX(L$83:L$137)-L103)/(MAX(L$83:L$137)-MIN(L$83:L$137))</f>
        <v/>
      </c>
      <c r="S103" s="313">
        <f>(I103-MIN(I$83:I$137))/(MAX(I$83:I$137)-MIN(I$83:I$137))</f>
        <v/>
      </c>
      <c r="T103" s="100">
        <f t="array" ref="T103">SUMPRODUCT(M103:P103,TRANSPOSE('Fund Ranking Criteria'!$K$9:$K$12))+SUMPRODUCT('Fund Ranking_Equity'!Q103:S103, TRANSPOSE('Fund Ranking Criteria'!$K$14:$K$16))</f>
        <v/>
      </c>
      <c r="Z103" s="42" t="n"/>
      <c r="AA103" s="146" t="n"/>
    </row>
    <row r="104" ht="29.1" customHeight="1">
      <c r="B104" s="5" t="inlineStr">
        <is>
          <t>ICICI Prudential ESG Exclusionary Strategy Fund - Reg - Growth</t>
        </is>
      </c>
      <c r="C104" s="312">
        <f>RANK(T104,$T$83:$T$137,0)</f>
        <v/>
      </c>
      <c r="D104" s="42">
        <f>B104</f>
        <v/>
      </c>
      <c r="E104" s="84" t="n">
        <v>-6.0326</v>
      </c>
      <c r="F104" s="84" t="n">
        <v>13.3707</v>
      </c>
      <c r="G104" s="84" t="n">
        <v>10.3977</v>
      </c>
      <c r="H104" s="84" t="n">
        <v>0</v>
      </c>
      <c r="I104" s="84" t="n">
        <v>0.0552813486600567</v>
      </c>
      <c r="J104" s="84" t="n">
        <v>-0.229300858796915</v>
      </c>
      <c r="K104" s="84" t="n">
        <v>1.03886920306352</v>
      </c>
      <c r="L104" s="84" t="n">
        <v>14.0043967689941</v>
      </c>
      <c r="M104" s="313">
        <f>(E104-MIN(E$83:E$137))/(MAX(E$83:E$137)-MIN(E$83:E$137))</f>
        <v/>
      </c>
      <c r="N104" s="313">
        <f>(F104-MIN(F$83:F$137))/(MAX(F$83:F$137)-MIN(F$83:F$137))</f>
        <v/>
      </c>
      <c r="O104" s="313">
        <f>(G104-MIN(G$83:G$137))/(MAX(G$83:G$137)-MIN(G$83:G$137))</f>
        <v/>
      </c>
      <c r="P104" s="313">
        <f>(H104-MIN(H$83:H$137))/(MAX(H$83:H$137)-MIN(H$83:H$137))</f>
        <v/>
      </c>
      <c r="Q104" s="313">
        <f>(MAX(K$83:K$137)-K104)/(MAX(K$83:K$137)-MIN(K$83:K$137))</f>
        <v/>
      </c>
      <c r="R104" s="313">
        <f>(MAX(L$83:L$137)-L104)/(MAX(L$83:L$137)-MIN(L$83:L$137))</f>
        <v/>
      </c>
      <c r="S104" s="313">
        <f>(I104-MIN(I$83:I$137))/(MAX(I$83:I$137)-MIN(I$83:I$137))</f>
        <v/>
      </c>
      <c r="T104" s="100">
        <f t="array" ref="T104">SUMPRODUCT(M104:P104,TRANSPOSE('Fund Ranking Criteria'!$K$9:$K$12))+SUMPRODUCT('Fund Ranking_Equity'!Q104:S104, TRANSPOSE('Fund Ranking Criteria'!$K$14:$K$16))</f>
        <v/>
      </c>
      <c r="Z104" s="42" t="n"/>
      <c r="AA104" s="146" t="n"/>
    </row>
    <row r="105">
      <c r="B105" s="5" t="inlineStr">
        <is>
          <t>ICICI Prudential Rural Opportunities Fund - Reg - Growth</t>
        </is>
      </c>
      <c r="C105" s="312">
        <f>RANK(T105,$T$83:$T$137,0)</f>
        <v/>
      </c>
      <c r="D105" s="42">
        <f>B105</f>
        <v/>
      </c>
      <c r="E105" s="84" t="n">
        <v>-0.8985</v>
      </c>
      <c r="F105" s="84" t="n">
        <v>0</v>
      </c>
      <c r="G105" s="84" t="n">
        <v>0</v>
      </c>
      <c r="H105" s="84" t="n">
        <v>0</v>
      </c>
      <c r="I105" s="84" t="n">
        <v>0.0113206652340398</v>
      </c>
      <c r="J105" s="84" t="n">
        <v>-0.09858927499078669</v>
      </c>
      <c r="K105" s="84" t="n">
        <v>0.918591295361851</v>
      </c>
      <c r="L105" s="84" t="n">
        <v>16.8353427822602</v>
      </c>
      <c r="M105" s="313">
        <f>(E105-MIN(E$83:E$137))/(MAX(E$83:E$137)-MIN(E$83:E$137))</f>
        <v/>
      </c>
      <c r="N105" s="313">
        <f>(F105-MIN(F$83:F$137))/(MAX(F$83:F$137)-MIN(F$83:F$137))</f>
        <v/>
      </c>
      <c r="O105" s="313">
        <f>(G105-MIN(G$83:G$137))/(MAX(G$83:G$137)-MIN(G$83:G$137))</f>
        <v/>
      </c>
      <c r="P105" s="313">
        <f>(H105-MIN(H$83:H$137))/(MAX(H$83:H$137)-MIN(H$83:H$137))</f>
        <v/>
      </c>
      <c r="Q105" s="313">
        <f>(MAX(K$83:K$137)-K105)/(MAX(K$83:K$137)-MIN(K$83:K$137))</f>
        <v/>
      </c>
      <c r="R105" s="313">
        <f>(MAX(L$83:L$137)-L105)/(MAX(L$83:L$137)-MIN(L$83:L$137))</f>
        <v/>
      </c>
      <c r="S105" s="313">
        <f>(I105-MIN(I$83:I$137))/(MAX(I$83:I$137)-MIN(I$83:I$137))</f>
        <v/>
      </c>
      <c r="T105" s="100">
        <f t="array" ref="T105">SUMPRODUCT(M105:P105,TRANSPOSE('Fund Ranking Criteria'!$K$9:$K$12))+SUMPRODUCT('Fund Ranking_Equity'!Q105:S105, TRANSPOSE('Fund Ranking Criteria'!$K$14:$K$16))</f>
        <v/>
      </c>
      <c r="Z105" s="42" t="n"/>
      <c r="AA105" s="146" t="n"/>
    </row>
    <row r="106">
      <c r="B106" s="5" t="inlineStr">
        <is>
          <t>ICICI Prudential Quant Fund - Reg - Growth</t>
        </is>
      </c>
      <c r="C106" s="312">
        <f>RANK(T106,$T$83:$T$137,0)</f>
        <v/>
      </c>
      <c r="D106" s="42">
        <f>B106</f>
        <v/>
      </c>
      <c r="E106" s="84" t="n">
        <v>-2.1617</v>
      </c>
      <c r="F106" s="84" t="n">
        <v>12.9473</v>
      </c>
      <c r="G106" s="84" t="n">
        <v>11.8383</v>
      </c>
      <c r="H106" s="84" t="n">
        <v>0</v>
      </c>
      <c r="I106" s="84" t="n">
        <v>0.05763496827128</v>
      </c>
      <c r="J106" s="84" t="n">
        <v>-0.148247585961803</v>
      </c>
      <c r="K106" s="84" t="n">
        <v>0.857388434141537</v>
      </c>
      <c r="L106" s="84" t="n">
        <v>12.0583465030342</v>
      </c>
      <c r="M106" s="313">
        <f>(E106-MIN(E$83:E$137))/(MAX(E$83:E$137)-MIN(E$83:E$137))</f>
        <v/>
      </c>
      <c r="N106" s="313">
        <f>(F106-MIN(F$83:F$137))/(MAX(F$83:F$137)-MIN(F$83:F$137))</f>
        <v/>
      </c>
      <c r="O106" s="313">
        <f>(G106-MIN(G$83:G$137))/(MAX(G$83:G$137)-MIN(G$83:G$137))</f>
        <v/>
      </c>
      <c r="P106" s="313">
        <f>(H106-MIN(H$83:H$137))/(MAX(H$83:H$137)-MIN(H$83:H$137))</f>
        <v/>
      </c>
      <c r="Q106" s="313">
        <f>(MAX(K$83:K$137)-K106)/(MAX(K$83:K$137)-MIN(K$83:K$137))</f>
        <v/>
      </c>
      <c r="R106" s="313">
        <f>(MAX(L$83:L$137)-L106)/(MAX(L$83:L$137)-MIN(L$83:L$137))</f>
        <v/>
      </c>
      <c r="S106" s="313">
        <f>(I106-MIN(I$83:I$137))/(MAX(I$83:I$137)-MIN(I$83:I$137))</f>
        <v/>
      </c>
      <c r="T106" s="100">
        <f t="array" ref="T106">SUMPRODUCT(M106:P106,TRANSPOSE('Fund Ranking Criteria'!$K$9:$K$12))+SUMPRODUCT('Fund Ranking_Equity'!Q106:S106, TRANSPOSE('Fund Ranking Criteria'!$K$14:$K$16))</f>
        <v/>
      </c>
      <c r="Z106" s="42" t="n"/>
      <c r="AA106" s="146" t="n"/>
    </row>
    <row r="107">
      <c r="B107" s="5" t="inlineStr">
        <is>
          <t>ICICI Prudential Active Momentum Fund - Reg - Growth</t>
        </is>
      </c>
      <c r="C107" s="312">
        <f>RANK(T107,$T$83:$T$137,0)</f>
        <v/>
      </c>
      <c r="D107" s="42">
        <f>B107</f>
        <v/>
      </c>
      <c r="E107" s="84" t="n">
        <v>0</v>
      </c>
      <c r="F107" s="84" t="n">
        <v>0</v>
      </c>
      <c r="G107" s="84" t="n">
        <v>0</v>
      </c>
      <c r="H107" s="84" t="n">
        <v>0</v>
      </c>
      <c r="I107" s="84" t="n">
        <v>0.0321188154132541</v>
      </c>
      <c r="J107" s="84" t="n">
        <v>0.509994374852702</v>
      </c>
      <c r="K107" s="84" t="n">
        <v>0.903395592465758</v>
      </c>
      <c r="L107" s="84" t="n">
        <v>14.1818554683918</v>
      </c>
      <c r="M107" s="313">
        <f>(E107-MIN(E$83:E$137))/(MAX(E$83:E$137)-MIN(E$83:E$137))</f>
        <v/>
      </c>
      <c r="N107" s="313">
        <f>(F107-MIN(F$83:F$137))/(MAX(F$83:F$137)-MIN(F$83:F$137))</f>
        <v/>
      </c>
      <c r="O107" s="313">
        <f>(G107-MIN(G$83:G$137))/(MAX(G$83:G$137)-MIN(G$83:G$137))</f>
        <v/>
      </c>
      <c r="P107" s="313">
        <f>(H107-MIN(H$83:H$137))/(MAX(H$83:H$137)-MIN(H$83:H$137))</f>
        <v/>
      </c>
      <c r="Q107" s="313">
        <f>(MAX(K$83:K$137)-K107)/(MAX(K$83:K$137)-MIN(K$83:K$137))</f>
        <v/>
      </c>
      <c r="R107" s="313">
        <f>(MAX(L$83:L$137)-L107)/(MAX(L$83:L$137)-MIN(L$83:L$137))</f>
        <v/>
      </c>
      <c r="S107" s="313">
        <f>(I107-MIN(I$83:I$137))/(MAX(I$83:I$137)-MIN(I$83:I$137))</f>
        <v/>
      </c>
      <c r="T107" s="100">
        <f t="array" ref="T107">SUMPRODUCT(M107:P107,TRANSPOSE('Fund Ranking Criteria'!$K$9:$K$12))+SUMPRODUCT('Fund Ranking_Equity'!Q107:S107, TRANSPOSE('Fund Ranking Criteria'!$K$14:$K$16))</f>
        <v/>
      </c>
      <c r="Z107" s="42" t="n"/>
      <c r="AA107" s="146" t="n"/>
    </row>
    <row r="108">
      <c r="B108" s="5" t="inlineStr">
        <is>
          <t>HDFC Banking &amp; Financial Services Fund - Reg - Growth</t>
        </is>
      </c>
      <c r="C108" s="312">
        <f>RANK(T108,$T$83:$T$137,0)</f>
        <v/>
      </c>
      <c r="D108" s="42">
        <f>B108</f>
        <v/>
      </c>
      <c r="E108" s="84" t="n">
        <v>5.2813</v>
      </c>
      <c r="F108" s="84" t="n">
        <v>13.3013</v>
      </c>
      <c r="G108" s="84" t="n">
        <v>12.9868</v>
      </c>
      <c r="H108" s="84" t="n">
        <v>0</v>
      </c>
      <c r="I108" s="84" t="n">
        <v>0.0527286802089095</v>
      </c>
      <c r="J108" s="84" t="n">
        <v>0.0179508699597116</v>
      </c>
      <c r="K108" s="84" t="n">
        <v>0.974276726311003</v>
      </c>
      <c r="L108" s="84" t="n">
        <v>15.0646899527692</v>
      </c>
      <c r="M108" s="313">
        <f>(E108-MIN(E$83:E$137))/(MAX(E$83:E$137)-MIN(E$83:E$137))</f>
        <v/>
      </c>
      <c r="N108" s="313">
        <f>(F108-MIN(F$83:F$137))/(MAX(F$83:F$137)-MIN(F$83:F$137))</f>
        <v/>
      </c>
      <c r="O108" s="313">
        <f>(G108-MIN(G$83:G$137))/(MAX(G$83:G$137)-MIN(G$83:G$137))</f>
        <v/>
      </c>
      <c r="P108" s="313">
        <f>(H108-MIN(H$83:H$137))/(MAX(H$83:H$137)-MIN(H$83:H$137))</f>
        <v/>
      </c>
      <c r="Q108" s="313">
        <f>(MAX(K$83:K$137)-K108)/(MAX(K$83:K$137)-MIN(K$83:K$137))</f>
        <v/>
      </c>
      <c r="R108" s="313">
        <f>(MAX(L$83:L$137)-L108)/(MAX(L$83:L$137)-MIN(L$83:L$137))</f>
        <v/>
      </c>
      <c r="S108" s="313">
        <f>(I108-MIN(I$83:I$137))/(MAX(I$83:I$137)-MIN(I$83:I$137))</f>
        <v/>
      </c>
      <c r="T108" s="100">
        <f t="array" ref="T108">SUMPRODUCT(M108:P108,TRANSPOSE('Fund Ranking Criteria'!$K$9:$K$12))+SUMPRODUCT('Fund Ranking_Equity'!Q108:S108, TRANSPOSE('Fund Ranking Criteria'!$K$14:$K$16))</f>
        <v/>
      </c>
      <c r="Z108" s="42" t="n"/>
      <c r="AA108" s="146" t="n"/>
    </row>
    <row r="109">
      <c r="B109" s="5" t="inlineStr">
        <is>
          <t>HDFC Business Cycle Fund - Reg - Growth</t>
        </is>
      </c>
      <c r="C109" s="312">
        <f>RANK(T109,$T$83:$T$137,0)</f>
        <v/>
      </c>
      <c r="D109" s="42">
        <f>B109</f>
        <v/>
      </c>
      <c r="E109" s="84" t="n">
        <v>3.7688</v>
      </c>
      <c r="F109" s="84" t="n">
        <v>11.5732</v>
      </c>
      <c r="G109" s="84" t="n">
        <v>0</v>
      </c>
      <c r="H109" s="84" t="n">
        <v>0</v>
      </c>
      <c r="I109" s="84" t="n">
        <v>0.0446731180901399</v>
      </c>
      <c r="J109" s="84" t="n">
        <v>-0.388550370093089</v>
      </c>
      <c r="K109" s="84" t="n">
        <v>0.917925325882225</v>
      </c>
      <c r="L109" s="84" t="n">
        <v>14.2571660835116</v>
      </c>
      <c r="M109" s="313">
        <f>(E109-MIN(E$83:E$137))/(MAX(E$83:E$137)-MIN(E$83:E$137))</f>
        <v/>
      </c>
      <c r="N109" s="313">
        <f>(F109-MIN(F$83:F$137))/(MAX(F$83:F$137)-MIN(F$83:F$137))</f>
        <v/>
      </c>
      <c r="O109" s="313">
        <f>(G109-MIN(G$83:G$137))/(MAX(G$83:G$137)-MIN(G$83:G$137))</f>
        <v/>
      </c>
      <c r="P109" s="313">
        <f>(H109-MIN(H$83:H$137))/(MAX(H$83:H$137)-MIN(H$83:H$137))</f>
        <v/>
      </c>
      <c r="Q109" s="313">
        <f>(MAX(K$83:K$137)-K109)/(MAX(K$83:K$137)-MIN(K$83:K$137))</f>
        <v/>
      </c>
      <c r="R109" s="313">
        <f>(MAX(L$83:L$137)-L109)/(MAX(L$83:L$137)-MIN(L$83:L$137))</f>
        <v/>
      </c>
      <c r="S109" s="313">
        <f>(I109-MIN(I$83:I$137))/(MAX(I$83:I$137)-MIN(I$83:I$137))</f>
        <v/>
      </c>
      <c r="T109" s="100">
        <f t="array" ref="T109">SUMPRODUCT(M109:P109,TRANSPOSE('Fund Ranking Criteria'!$K$9:$K$12))+SUMPRODUCT('Fund Ranking_Equity'!Q109:S109, TRANSPOSE('Fund Ranking Criteria'!$K$14:$K$16))</f>
        <v/>
      </c>
      <c r="Z109" s="42" t="n"/>
      <c r="AA109" s="146" t="n"/>
    </row>
    <row r="110">
      <c r="B110" s="5" t="inlineStr">
        <is>
          <t>HDFC Pharma and Healthcare Fund - Reg - Growth</t>
        </is>
      </c>
      <c r="C110" s="312">
        <f>RANK(T110,$T$83:$T$137,0)</f>
        <v/>
      </c>
      <c r="D110" s="42">
        <f>B110</f>
        <v/>
      </c>
      <c r="E110" s="84" t="n">
        <v>22.1403</v>
      </c>
      <c r="F110" s="84" t="n">
        <v>0</v>
      </c>
      <c r="G110" s="84" t="n">
        <v>0</v>
      </c>
      <c r="H110" s="84" t="n">
        <v>0</v>
      </c>
      <c r="I110" s="84" t="n">
        <v>0.118002169621484</v>
      </c>
      <c r="J110" s="84" t="n">
        <v>0.07942620181279871</v>
      </c>
      <c r="K110" s="84" t="n">
        <v>0.971947457745124</v>
      </c>
      <c r="L110" s="84" t="n">
        <v>16.5324764772578</v>
      </c>
      <c r="M110" s="313">
        <f>(E110-MIN(E$83:E$137))/(MAX(E$83:E$137)-MIN(E$83:E$137))</f>
        <v/>
      </c>
      <c r="N110" s="313">
        <f>(F110-MIN(F$83:F$137))/(MAX(F$83:F$137)-MIN(F$83:F$137))</f>
        <v/>
      </c>
      <c r="O110" s="313">
        <f>(G110-MIN(G$83:G$137))/(MAX(G$83:G$137)-MIN(G$83:G$137))</f>
        <v/>
      </c>
      <c r="P110" s="313">
        <f>(H110-MIN(H$83:H$137))/(MAX(H$83:H$137)-MIN(H$83:H$137))</f>
        <v/>
      </c>
      <c r="Q110" s="313">
        <f>(MAX(K$83:K$137)-K110)/(MAX(K$83:K$137)-MIN(K$83:K$137))</f>
        <v/>
      </c>
      <c r="R110" s="313">
        <f>(MAX(L$83:L$137)-L110)/(MAX(L$83:L$137)-MIN(L$83:L$137))</f>
        <v/>
      </c>
      <c r="S110" s="313">
        <f>(I110-MIN(I$83:I$137))/(MAX(I$83:I$137)-MIN(I$83:I$137))</f>
        <v/>
      </c>
      <c r="T110" s="100">
        <f t="array" ref="T110">SUMPRODUCT(M110:P110,TRANSPOSE('Fund Ranking Criteria'!$K$9:$K$12))+SUMPRODUCT('Fund Ranking_Equity'!Q110:S110, TRANSPOSE('Fund Ranking Criteria'!$K$14:$K$16))</f>
        <v/>
      </c>
      <c r="Z110" s="42" t="n"/>
      <c r="AA110" s="146" t="n"/>
    </row>
    <row r="111">
      <c r="B111" s="5" t="inlineStr">
        <is>
          <t>HDFC Technology Fund - Reg - Growth</t>
        </is>
      </c>
      <c r="C111" s="312">
        <f>RANK(T111,$T$83:$T$137,0)</f>
        <v/>
      </c>
      <c r="D111" s="42">
        <f>B111</f>
        <v/>
      </c>
      <c r="E111" s="84" t="n">
        <v>-24.0176</v>
      </c>
      <c r="F111" s="84" t="n">
        <v>0</v>
      </c>
      <c r="G111" s="84" t="n">
        <v>0</v>
      </c>
      <c r="H111" s="84" t="n">
        <v>0</v>
      </c>
      <c r="I111" s="84" t="n">
        <v>-0.00153854480576512</v>
      </c>
      <c r="J111" s="84" t="n">
        <v>-0.196447561942147</v>
      </c>
      <c r="K111" s="84" t="n">
        <v>0.976653140322353</v>
      </c>
      <c r="L111" s="84" t="n">
        <v>20.3761490964777</v>
      </c>
      <c r="M111" s="313">
        <f>(E111-MIN(E$83:E$137))/(MAX(E$83:E$137)-MIN(E$83:E$137))</f>
        <v/>
      </c>
      <c r="N111" s="313">
        <f>(F111-MIN(F$83:F$137))/(MAX(F$83:F$137)-MIN(F$83:F$137))</f>
        <v/>
      </c>
      <c r="O111" s="313">
        <f>(G111-MIN(G$83:G$137))/(MAX(G$83:G$137)-MIN(G$83:G$137))</f>
        <v/>
      </c>
      <c r="P111" s="313">
        <f>(H111-MIN(H$83:H$137))/(MAX(H$83:H$137)-MIN(H$83:H$137))</f>
        <v/>
      </c>
      <c r="Q111" s="313">
        <f>(MAX(K$83:K$137)-K111)/(MAX(K$83:K$137)-MIN(K$83:K$137))</f>
        <v/>
      </c>
      <c r="R111" s="313">
        <f>(MAX(L$83:L$137)-L111)/(MAX(L$83:L$137)-MIN(L$83:L$137))</f>
        <v/>
      </c>
      <c r="S111" s="313">
        <f>(I111-MIN(I$83:I$137))/(MAX(I$83:I$137)-MIN(I$83:I$137))</f>
        <v/>
      </c>
      <c r="T111" s="100">
        <f t="array" ref="T111">SUMPRODUCT(M111:P111,TRANSPOSE('Fund Ranking Criteria'!$K$9:$K$12))+SUMPRODUCT('Fund Ranking_Equity'!Q111:S111, TRANSPOSE('Fund Ranking Criteria'!$K$14:$K$16))</f>
        <v/>
      </c>
      <c r="Z111" s="42" t="n"/>
      <c r="AA111" s="146" t="n"/>
    </row>
    <row r="112">
      <c r="B112" s="5" t="inlineStr">
        <is>
          <t>HDFC Transportation and Logistics Fund - Reg - Growth</t>
        </is>
      </c>
      <c r="C112" s="312">
        <f>RANK(T112,$T$83:$T$137,0)</f>
        <v/>
      </c>
      <c r="D112" s="42">
        <f>B112</f>
        <v/>
      </c>
      <c r="E112" s="84" t="n">
        <v>14.5369</v>
      </c>
      <c r="F112" s="84" t="n">
        <v>0</v>
      </c>
      <c r="G112" s="84" t="n">
        <v>0</v>
      </c>
      <c r="H112" s="84" t="n">
        <v>0</v>
      </c>
      <c r="I112" s="84" t="n">
        <v>0.0775496430499393</v>
      </c>
      <c r="J112" s="84" t="n">
        <v>-0.183317920618655</v>
      </c>
      <c r="K112" s="84" t="n">
        <v>0.94552032145014</v>
      </c>
      <c r="L112" s="84" t="n">
        <v>18.7584834601672</v>
      </c>
      <c r="M112" s="313">
        <f>(E112-MIN(E$83:E$137))/(MAX(E$83:E$137)-MIN(E$83:E$137))</f>
        <v/>
      </c>
      <c r="N112" s="313">
        <f>(F112-MIN(F$83:F$137))/(MAX(F$83:F$137)-MIN(F$83:F$137))</f>
        <v/>
      </c>
      <c r="O112" s="313">
        <f>(G112-MIN(G$83:G$137))/(MAX(G$83:G$137)-MIN(G$83:G$137))</f>
        <v/>
      </c>
      <c r="P112" s="313">
        <f>(H112-MIN(H$83:H$137))/(MAX(H$83:H$137)-MIN(H$83:H$137))</f>
        <v/>
      </c>
      <c r="Q112" s="313">
        <f>(MAX(K$83:K$137)-K112)/(MAX(K$83:K$137)-MIN(K$83:K$137))</f>
        <v/>
      </c>
      <c r="R112" s="313">
        <f>(MAX(L$83:L$137)-L112)/(MAX(L$83:L$137)-MIN(L$83:L$137))</f>
        <v/>
      </c>
      <c r="S112" s="313">
        <f>(I112-MIN(I$83:I$137))/(MAX(I$83:I$137)-MIN(I$83:I$137))</f>
        <v/>
      </c>
      <c r="T112" s="100">
        <f t="array" ref="T112">SUMPRODUCT(M112:P112,TRANSPOSE('Fund Ranking Criteria'!$K$9:$K$12))+SUMPRODUCT('Fund Ranking_Equity'!Q112:S112, TRANSPOSE('Fund Ranking Criteria'!$K$14:$K$16))</f>
        <v/>
      </c>
      <c r="Z112" s="42" t="n"/>
      <c r="AA112" s="146" t="n"/>
    </row>
    <row r="113">
      <c r="B113" s="5" t="inlineStr">
        <is>
          <t>HDFC Housing Opportunities Fund - Reg - Growth</t>
        </is>
      </c>
      <c r="C113" s="312">
        <f>RANK(T113,$T$83:$T$137,0)</f>
        <v/>
      </c>
      <c r="D113" s="42">
        <f>B113</f>
        <v/>
      </c>
      <c r="E113" s="84" t="n">
        <v>-3.6858</v>
      </c>
      <c r="F113" s="84" t="n">
        <v>13.6614</v>
      </c>
      <c r="G113" s="84" t="n">
        <v>13.3265</v>
      </c>
      <c r="H113" s="84" t="n">
        <v>0</v>
      </c>
      <c r="I113" s="84" t="n">
        <v>0.0492644259716537</v>
      </c>
      <c r="J113" s="84" t="n">
        <v>-0.337593525135495</v>
      </c>
      <c r="K113" s="84" t="n">
        <v>0.985262514195183</v>
      </c>
      <c r="L113" s="84" t="n">
        <v>16.8648077027514</v>
      </c>
      <c r="M113" s="313">
        <f>(E113-MIN(E$83:E$137))/(MAX(E$83:E$137)-MIN(E$83:E$137))</f>
        <v/>
      </c>
      <c r="N113" s="313">
        <f>(F113-MIN(F$83:F$137))/(MAX(F$83:F$137)-MIN(F$83:F$137))</f>
        <v/>
      </c>
      <c r="O113" s="313">
        <f>(G113-MIN(G$83:G$137))/(MAX(G$83:G$137)-MIN(G$83:G$137))</f>
        <v/>
      </c>
      <c r="P113" s="313">
        <f>(H113-MIN(H$83:H$137))/(MAX(H$83:H$137)-MIN(H$83:H$137))</f>
        <v/>
      </c>
      <c r="Q113" s="313">
        <f>(MAX(K$83:K$137)-K113)/(MAX(K$83:K$137)-MIN(K$83:K$137))</f>
        <v/>
      </c>
      <c r="R113" s="313">
        <f>(MAX(L$83:L$137)-L113)/(MAX(L$83:L$137)-MIN(L$83:L$137))</f>
        <v/>
      </c>
      <c r="S113" s="313">
        <f>(I113-MIN(I$83:I$137))/(MAX(I$83:I$137)-MIN(I$83:I$137))</f>
        <v/>
      </c>
      <c r="T113" s="100">
        <f t="array" ref="T113">SUMPRODUCT(M113:P113,TRANSPOSE('Fund Ranking Criteria'!$K$9:$K$12))+SUMPRODUCT('Fund Ranking_Equity'!Q113:S113, TRANSPOSE('Fund Ranking Criteria'!$K$14:$K$16))</f>
        <v/>
      </c>
      <c r="Z113" s="42" t="n"/>
      <c r="AA113" s="146" t="n"/>
    </row>
    <row r="114">
      <c r="B114" s="5" t="inlineStr">
        <is>
          <t>HDFC Non-Cyclical Consumer Fund - Reg - Growth</t>
        </is>
      </c>
      <c r="C114" s="312">
        <f>RANK(T114,$T$83:$T$137,0)</f>
        <v/>
      </c>
      <c r="D114" s="42">
        <f>B114</f>
        <v/>
      </c>
      <c r="E114" s="84" t="n">
        <v>3.9891</v>
      </c>
      <c r="F114" s="84" t="n">
        <v>0</v>
      </c>
      <c r="G114" s="84" t="n">
        <v>0</v>
      </c>
      <c r="H114" s="84" t="n">
        <v>0</v>
      </c>
      <c r="I114" s="84" t="n">
        <v>0.0720973974093852</v>
      </c>
      <c r="J114" s="84" t="n">
        <v>0.0415654268975274</v>
      </c>
      <c r="K114" s="84" t="n">
        <v>0.990137598369162</v>
      </c>
      <c r="L114" s="84" t="n">
        <v>15.7062507067087</v>
      </c>
      <c r="M114" s="313">
        <f>(E114-MIN(E$83:E$137))/(MAX(E$83:E$137)-MIN(E$83:E$137))</f>
        <v/>
      </c>
      <c r="N114" s="313">
        <f>(F114-MIN(F$83:F$137))/(MAX(F$83:F$137)-MIN(F$83:F$137))</f>
        <v/>
      </c>
      <c r="O114" s="313">
        <f>(G114-MIN(G$83:G$137))/(MAX(G$83:G$137)-MIN(G$83:G$137))</f>
        <v/>
      </c>
      <c r="P114" s="313">
        <f>(H114-MIN(H$83:H$137))/(MAX(H$83:H$137)-MIN(H$83:H$137))</f>
        <v/>
      </c>
      <c r="Q114" s="313">
        <f>(MAX(K$83:K$137)-K114)/(MAX(K$83:K$137)-MIN(K$83:K$137))</f>
        <v/>
      </c>
      <c r="R114" s="313">
        <f>(MAX(L$83:L$137)-L114)/(MAX(L$83:L$137)-MIN(L$83:L$137))</f>
        <v/>
      </c>
      <c r="S114" s="313">
        <f>(I114-MIN(I$83:I$137))/(MAX(I$83:I$137)-MIN(I$83:I$137))</f>
        <v/>
      </c>
      <c r="T114" s="100">
        <f t="array" ref="T114">SUMPRODUCT(M114:P114,TRANSPOSE('Fund Ranking Criteria'!$K$9:$K$12))+SUMPRODUCT('Fund Ranking_Equity'!Q114:S114, TRANSPOSE('Fund Ranking Criteria'!$K$14:$K$16))</f>
        <v/>
      </c>
      <c r="Z114" s="42" t="n"/>
      <c r="AA114" s="146" t="n"/>
    </row>
    <row r="115">
      <c r="B115" s="5" t="inlineStr">
        <is>
          <t>HDFC MNC Fund - Reg - Growth</t>
        </is>
      </c>
      <c r="C115" s="312">
        <f>RANK(T115,$T$83:$T$137,0)</f>
        <v/>
      </c>
      <c r="D115" s="42">
        <f>B115</f>
        <v/>
      </c>
      <c r="E115" s="84" t="n">
        <v>3.9311</v>
      </c>
      <c r="F115" s="84" t="n">
        <v>7.384</v>
      </c>
      <c r="G115" s="84" t="n">
        <v>0</v>
      </c>
      <c r="H115" s="84" t="n">
        <v>0</v>
      </c>
      <c r="I115" s="84" t="n">
        <v>0.0204685563091852</v>
      </c>
      <c r="J115" s="84" t="n">
        <v>-0.970813984440442</v>
      </c>
      <c r="K115" s="84" t="n">
        <v>0.924510997912779</v>
      </c>
      <c r="L115" s="84" t="n">
        <v>15.2155243573479</v>
      </c>
      <c r="M115" s="313">
        <f>(E115-MIN(E$83:E$137))/(MAX(E$83:E$137)-MIN(E$83:E$137))</f>
        <v/>
      </c>
      <c r="N115" s="313">
        <f>(F115-MIN(F$83:F$137))/(MAX(F$83:F$137)-MIN(F$83:F$137))</f>
        <v/>
      </c>
      <c r="O115" s="313">
        <f>(G115-MIN(G$83:G$137))/(MAX(G$83:G$137)-MIN(G$83:G$137))</f>
        <v/>
      </c>
      <c r="P115" s="313">
        <f>(H115-MIN(H$83:H$137))/(MAX(H$83:H$137)-MIN(H$83:H$137))</f>
        <v/>
      </c>
      <c r="Q115" s="313">
        <f>(MAX(K$83:K$137)-K115)/(MAX(K$83:K$137)-MIN(K$83:K$137))</f>
        <v/>
      </c>
      <c r="R115" s="313">
        <f>(MAX(L$83:L$137)-L115)/(MAX(L$83:L$137)-MIN(L$83:L$137))</f>
        <v/>
      </c>
      <c r="S115" s="313">
        <f>(I115-MIN(I$83:I$137))/(MAX(I$83:I$137)-MIN(I$83:I$137))</f>
        <v/>
      </c>
      <c r="T115" s="100">
        <f t="array" ref="T115">SUMPRODUCT(M115:P115,TRANSPOSE('Fund Ranking Criteria'!$K$9:$K$12))+SUMPRODUCT('Fund Ranking_Equity'!Q115:S115, TRANSPOSE('Fund Ranking Criteria'!$K$14:$K$16))</f>
        <v/>
      </c>
      <c r="Z115" s="42" t="n"/>
      <c r="AA115" s="146" t="n"/>
    </row>
    <row r="116">
      <c r="B116" s="5" t="inlineStr">
        <is>
          <t>HDFC Innovation Fund - Reg - Growth</t>
        </is>
      </c>
      <c r="C116" s="312">
        <f>RANK(T116,$T$83:$T$137,0)</f>
        <v/>
      </c>
      <c r="D116" s="42">
        <f>B116</f>
        <v/>
      </c>
      <c r="E116" s="84" t="n">
        <v>0</v>
      </c>
      <c r="F116" s="84" t="n">
        <v>0</v>
      </c>
      <c r="G116" s="84" t="n">
        <v>0</v>
      </c>
      <c r="H116" s="84" t="n">
        <v>0</v>
      </c>
      <c r="I116" s="84" t="n">
        <v>0.0412829584930301</v>
      </c>
      <c r="J116" s="84" t="n">
        <v>0.652522541683059</v>
      </c>
      <c r="K116" s="84" t="n">
        <v>0.8677568218575999</v>
      </c>
      <c r="L116" s="84" t="n">
        <v>14.5382551334185</v>
      </c>
      <c r="M116" s="313">
        <f>(E116-MIN(E$83:E$137))/(MAX(E$83:E$137)-MIN(E$83:E$137))</f>
        <v/>
      </c>
      <c r="N116" s="313">
        <f>(F116-MIN(F$83:F$137))/(MAX(F$83:F$137)-MIN(F$83:F$137))</f>
        <v/>
      </c>
      <c r="O116" s="313">
        <f>(G116-MIN(G$83:G$137))/(MAX(G$83:G$137)-MIN(G$83:G$137))</f>
        <v/>
      </c>
      <c r="P116" s="313">
        <f>(H116-MIN(H$83:H$137))/(MAX(H$83:H$137)-MIN(H$83:H$137))</f>
        <v/>
      </c>
      <c r="Q116" s="313">
        <f>(MAX(K$83:K$137)-K116)/(MAX(K$83:K$137)-MIN(K$83:K$137))</f>
        <v/>
      </c>
      <c r="R116" s="313">
        <f>(MAX(L$83:L$137)-L116)/(MAX(L$83:L$137)-MIN(L$83:L$137))</f>
        <v/>
      </c>
      <c r="S116" s="313">
        <f>(I116-MIN(I$83:I$137))/(MAX(I$83:I$137)-MIN(I$83:I$137))</f>
        <v/>
      </c>
      <c r="T116" s="100">
        <f t="array" ref="T116">SUMPRODUCT(M116:P116,TRANSPOSE('Fund Ranking Criteria'!$K$9:$K$12))+SUMPRODUCT('Fund Ranking_Equity'!Q116:S116, TRANSPOSE('Fund Ranking Criteria'!$K$14:$K$16))</f>
        <v/>
      </c>
      <c r="Z116" s="42" t="n"/>
      <c r="AA116" s="146" t="n"/>
    </row>
    <row r="117">
      <c r="B117" s="5" t="inlineStr">
        <is>
          <t>SBI Automotive Opportunities Fund - Reg - Growth</t>
        </is>
      </c>
      <c r="C117" s="312">
        <f>RANK(T117,$T$83:$T$137,0)</f>
        <v/>
      </c>
      <c r="D117" s="42">
        <f>B117</f>
        <v/>
      </c>
      <c r="E117" s="84" t="n">
        <v>24.7975</v>
      </c>
      <c r="F117" s="84" t="n">
        <v>0</v>
      </c>
      <c r="G117" s="84" t="n">
        <v>0</v>
      </c>
      <c r="H117" s="84" t="n">
        <v>0</v>
      </c>
      <c r="I117" s="84" t="n">
        <v>0.019652428082239</v>
      </c>
      <c r="J117" s="84" t="n">
        <v>-0.349822667957454</v>
      </c>
      <c r="K117" s="84" t="n">
        <v>0.870145634749012</v>
      </c>
      <c r="L117" s="84" t="n">
        <v>20.0867334667692</v>
      </c>
      <c r="M117" s="313">
        <f>(E117-MIN(E$83:E$137))/(MAX(E$83:E$137)-MIN(E$83:E$137))</f>
        <v/>
      </c>
      <c r="N117" s="313">
        <f>(F117-MIN(F$83:F$137))/(MAX(F$83:F$137)-MIN(F$83:F$137))</f>
        <v/>
      </c>
      <c r="O117" s="313">
        <f>(G117-MIN(G$83:G$137))/(MAX(G$83:G$137)-MIN(G$83:G$137))</f>
        <v/>
      </c>
      <c r="P117" s="313">
        <f>(H117-MIN(H$83:H$137))/(MAX(H$83:H$137)-MIN(H$83:H$137))</f>
        <v/>
      </c>
      <c r="Q117" s="313">
        <f>(MAX(K$83:K$137)-K117)/(MAX(K$83:K$137)-MIN(K$83:K$137))</f>
        <v/>
      </c>
      <c r="R117" s="313">
        <f>(MAX(L$83:L$137)-L117)/(MAX(L$83:L$137)-MIN(L$83:L$137))</f>
        <v/>
      </c>
      <c r="S117" s="313">
        <f>(I117-MIN(I$83:I$137))/(MAX(I$83:I$137)-MIN(I$83:I$137))</f>
        <v/>
      </c>
      <c r="T117" s="100">
        <f t="array" ref="T117">SUMPRODUCT(M117:P117,TRANSPOSE('Fund Ranking Criteria'!$K$9:$K$12))+SUMPRODUCT('Fund Ranking_Equity'!Q117:S117, TRANSPOSE('Fund Ranking Criteria'!$K$14:$K$16))</f>
        <v/>
      </c>
      <c r="Z117" s="42" t="n"/>
      <c r="AA117" s="146" t="n"/>
    </row>
    <row r="118">
      <c r="B118" s="5" t="inlineStr">
        <is>
          <t>SBI Quant Fund - Reg - Growth</t>
        </is>
      </c>
      <c r="C118" s="312">
        <f>RANK(T118,$T$83:$T$137,0)</f>
        <v/>
      </c>
      <c r="D118" s="42">
        <f>B118</f>
        <v/>
      </c>
      <c r="E118" s="84" t="n">
        <v>-1.853</v>
      </c>
      <c r="F118" s="84" t="n">
        <v>0</v>
      </c>
      <c r="G118" s="84" t="n">
        <v>0</v>
      </c>
      <c r="H118" s="84" t="n">
        <v>0</v>
      </c>
      <c r="I118" s="84" t="n">
        <v>-0.0421516575351966</v>
      </c>
      <c r="J118" s="84" t="n">
        <v>-0.741923006292618</v>
      </c>
      <c r="K118" s="84" t="n">
        <v>0.873278132559707</v>
      </c>
      <c r="L118" s="84" t="n">
        <v>15.900407155989</v>
      </c>
      <c r="M118" s="313">
        <f>(E118-MIN(E$83:E$137))/(MAX(E$83:E$137)-MIN(E$83:E$137))</f>
        <v/>
      </c>
      <c r="N118" s="313">
        <f>(F118-MIN(F$83:F$137))/(MAX(F$83:F$137)-MIN(F$83:F$137))</f>
        <v/>
      </c>
      <c r="O118" s="313">
        <f>(G118-MIN(G$83:G$137))/(MAX(G$83:G$137)-MIN(G$83:G$137))</f>
        <v/>
      </c>
      <c r="P118" s="313">
        <f>(H118-MIN(H$83:H$137))/(MAX(H$83:H$137)-MIN(H$83:H$137))</f>
        <v/>
      </c>
      <c r="Q118" s="313">
        <f>(MAX(K$83:K$137)-K118)/(MAX(K$83:K$137)-MIN(K$83:K$137))</f>
        <v/>
      </c>
      <c r="R118" s="313">
        <f>(MAX(L$83:L$137)-L118)/(MAX(L$83:L$137)-MIN(L$83:L$137))</f>
        <v/>
      </c>
      <c r="S118" s="313">
        <f>(I118-MIN(I$83:I$137))/(MAX(I$83:I$137)-MIN(I$83:I$137))</f>
        <v/>
      </c>
      <c r="T118" s="100">
        <f t="array" ref="T118">SUMPRODUCT(M118:P118,TRANSPOSE('Fund Ranking Criteria'!$K$9:$K$12))+SUMPRODUCT('Fund Ranking_Equity'!Q118:S118, TRANSPOSE('Fund Ranking Criteria'!$K$14:$K$16))</f>
        <v/>
      </c>
      <c r="Z118" s="42" t="n"/>
      <c r="AA118" s="146" t="n"/>
    </row>
    <row r="119">
      <c r="B119" s="5" t="inlineStr">
        <is>
          <t>SBI Equity Minimum Variance Fund - Reg - Growth</t>
        </is>
      </c>
      <c r="C119" s="312">
        <f>RANK(T119,$T$83:$T$137,0)</f>
        <v/>
      </c>
      <c r="D119" s="42">
        <f>B119</f>
        <v/>
      </c>
      <c r="E119" s="84" t="n">
        <v>0.0267</v>
      </c>
      <c r="F119" s="84" t="n">
        <v>9.426</v>
      </c>
      <c r="G119" s="84" t="n">
        <v>10.4764</v>
      </c>
      <c r="H119" s="84" t="n">
        <v>0</v>
      </c>
      <c r="I119" s="84" t="n">
        <v>0.034482275758817</v>
      </c>
      <c r="J119" s="84" t="n">
        <v>-0.206150002322337</v>
      </c>
      <c r="K119" s="84" t="n">
        <v>1.00503363890229</v>
      </c>
      <c r="L119" s="84" t="n">
        <v>13.9009578923329</v>
      </c>
      <c r="M119" s="313">
        <f>(E119-MIN(E$83:E$137))/(MAX(E$83:E$137)-MIN(E$83:E$137))</f>
        <v/>
      </c>
      <c r="N119" s="313">
        <f>(F119-MIN(F$83:F$137))/(MAX(F$83:F$137)-MIN(F$83:F$137))</f>
        <v/>
      </c>
      <c r="O119" s="313">
        <f>(G119-MIN(G$83:G$137))/(MAX(G$83:G$137)-MIN(G$83:G$137))</f>
        <v/>
      </c>
      <c r="P119" s="313">
        <f>(H119-MIN(H$83:H$137))/(MAX(H$83:H$137)-MIN(H$83:H$137))</f>
        <v/>
      </c>
      <c r="Q119" s="313">
        <f>(MAX(K$83:K$137)-K119)/(MAX(K$83:K$137)-MIN(K$83:K$137))</f>
        <v/>
      </c>
      <c r="R119" s="313">
        <f>(MAX(L$83:L$137)-L119)/(MAX(L$83:L$137)-MIN(L$83:L$137))</f>
        <v/>
      </c>
      <c r="S119" s="313">
        <f>(I119-MIN(I$83:I$137))/(MAX(I$83:I$137)-MIN(I$83:I$137))</f>
        <v/>
      </c>
      <c r="T119" s="100">
        <f t="array" ref="T119">SUMPRODUCT(M119:P119,TRANSPOSE('Fund Ranking Criteria'!$K$9:$K$12))+SUMPRODUCT('Fund Ranking_Equity'!Q119:S119, TRANSPOSE('Fund Ranking Criteria'!$K$14:$K$16))</f>
        <v/>
      </c>
      <c r="Z119" s="42" t="n"/>
      <c r="AA119" s="146" t="n"/>
    </row>
    <row r="120">
      <c r="B120" s="5" t="inlineStr">
        <is>
          <t>Nippon India Innovation Fund - Reg - Growth</t>
        </is>
      </c>
      <c r="C120" s="312">
        <f>RANK(T120,$T$83:$T$137,0)</f>
        <v/>
      </c>
      <c r="D120" s="42">
        <f>B120</f>
        <v/>
      </c>
      <c r="E120" s="84" t="n">
        <v>3.079</v>
      </c>
      <c r="F120" s="84" t="n">
        <v>0</v>
      </c>
      <c r="G120" s="84" t="n">
        <v>0</v>
      </c>
      <c r="H120" s="84" t="n">
        <v>0</v>
      </c>
      <c r="I120" s="84" t="n">
        <v>0.0461757707761394</v>
      </c>
      <c r="J120" s="84" t="n">
        <v>-0.241921071458778</v>
      </c>
      <c r="K120" s="84" t="n">
        <v>0.970662601361003</v>
      </c>
      <c r="L120" s="84" t="n">
        <v>15.8924897824364</v>
      </c>
      <c r="M120" s="313">
        <f>(E120-MIN(E$83:E$137))/(MAX(E$83:E$137)-MIN(E$83:E$137))</f>
        <v/>
      </c>
      <c r="N120" s="313">
        <f>(F120-MIN(F$83:F$137))/(MAX(F$83:F$137)-MIN(F$83:F$137))</f>
        <v/>
      </c>
      <c r="O120" s="313">
        <f>(G120-MIN(G$83:G$137))/(MAX(G$83:G$137)-MIN(G$83:G$137))</f>
        <v/>
      </c>
      <c r="P120" s="313">
        <f>(H120-MIN(H$83:H$137))/(MAX(H$83:H$137)-MIN(H$83:H$137))</f>
        <v/>
      </c>
      <c r="Q120" s="313">
        <f>(MAX(K$83:K$137)-K120)/(MAX(K$83:K$137)-MIN(K$83:K$137))</f>
        <v/>
      </c>
      <c r="R120" s="313">
        <f>(MAX(L$83:L$137)-L120)/(MAX(L$83:L$137)-MIN(L$83:L$137))</f>
        <v/>
      </c>
      <c r="S120" s="313">
        <f>(I120-MIN(I$83:I$137))/(MAX(I$83:I$137)-MIN(I$83:I$137))</f>
        <v/>
      </c>
      <c r="T120" s="100">
        <f t="array" ref="T120">SUMPRODUCT(M120:P120,TRANSPOSE('Fund Ranking Criteria'!$K$9:$K$12))+SUMPRODUCT('Fund Ranking_Equity'!Q120:S120, TRANSPOSE('Fund Ranking Criteria'!$K$14:$K$16))</f>
        <v/>
      </c>
      <c r="Z120" s="42" t="n"/>
      <c r="AA120" s="146" t="n"/>
    </row>
    <row r="121">
      <c r="B121" s="5" t="inlineStr">
        <is>
          <t>Nippon India Consumption Fund - Reg - Growth</t>
        </is>
      </c>
      <c r="C121" s="312">
        <f>RANK(T121,$T$83:$T$137,0)</f>
        <v/>
      </c>
      <c r="D121" s="42">
        <f>B121</f>
        <v/>
      </c>
      <c r="E121" s="84" t="n">
        <v>-4.1823</v>
      </c>
      <c r="F121" s="84" t="n">
        <v>11.367</v>
      </c>
      <c r="G121" s="84" t="n">
        <v>13.9101</v>
      </c>
      <c r="H121" s="84" t="n">
        <v>12.6292</v>
      </c>
      <c r="I121" s="84" t="n">
        <v>0.0386344364656206</v>
      </c>
      <c r="J121" s="84" t="n">
        <v>-0.40337928618476</v>
      </c>
      <c r="K121" s="84" t="n">
        <v>0.906852792491171</v>
      </c>
      <c r="L121" s="84" t="n">
        <v>15.6287816123892</v>
      </c>
      <c r="M121" s="313">
        <f>(E121-MIN(E$83:E$137))/(MAX(E$83:E$137)-MIN(E$83:E$137))</f>
        <v/>
      </c>
      <c r="N121" s="313">
        <f>(F121-MIN(F$83:F$137))/(MAX(F$83:F$137)-MIN(F$83:F$137))</f>
        <v/>
      </c>
      <c r="O121" s="313">
        <f>(G121-MIN(G$83:G$137))/(MAX(G$83:G$137)-MIN(G$83:G$137))</f>
        <v/>
      </c>
      <c r="P121" s="313">
        <f>(H121-MIN(H$83:H$137))/(MAX(H$83:H$137)-MIN(H$83:H$137))</f>
        <v/>
      </c>
      <c r="Q121" s="313">
        <f>(MAX(K$83:K$137)-K121)/(MAX(K$83:K$137)-MIN(K$83:K$137))</f>
        <v/>
      </c>
      <c r="R121" s="313">
        <f>(MAX(L$83:L$137)-L121)/(MAX(L$83:L$137)-MIN(L$83:L$137))</f>
        <v/>
      </c>
      <c r="S121" s="313">
        <f>(I121-MIN(I$83:I$137))/(MAX(I$83:I$137)-MIN(I$83:I$137))</f>
        <v/>
      </c>
      <c r="T121" s="100">
        <f t="array" ref="T121">SUMPRODUCT(M121:P121,TRANSPOSE('Fund Ranking Criteria'!$K$9:$K$12))+SUMPRODUCT('Fund Ranking_Equity'!Q121:S121, TRANSPOSE('Fund Ranking Criteria'!$K$14:$K$16))</f>
        <v/>
      </c>
      <c r="Z121" s="42" t="n"/>
      <c r="AA121" s="146" t="n"/>
    </row>
    <row r="122" ht="29.1" customHeight="1">
      <c r="B122" s="5" t="inlineStr">
        <is>
          <t>Nippon India US Equity Opportunities Fund - Reg - Growth</t>
        </is>
      </c>
      <c r="C122" s="312">
        <f>RANK(T122,$T$83:$T$137,0)</f>
        <v/>
      </c>
      <c r="D122" s="42">
        <f>B122</f>
        <v/>
      </c>
      <c r="E122" s="84" t="n">
        <v>15.2026</v>
      </c>
      <c r="F122" s="84" t="n">
        <v>17.4109</v>
      </c>
      <c r="G122" s="84" t="n">
        <v>9.737399999999999</v>
      </c>
      <c r="H122" s="84" t="n">
        <v>15.1281</v>
      </c>
      <c r="I122" s="84" t="n">
        <v>0.07224030289752301</v>
      </c>
      <c r="J122" s="84" t="n">
        <v>0</v>
      </c>
      <c r="K122" s="84" t="n">
        <v>0</v>
      </c>
      <c r="L122" s="84" t="n">
        <v>14.1503259147769</v>
      </c>
      <c r="M122" s="313">
        <f>(E122-MIN(E$83:E$137))/(MAX(E$83:E$137)-MIN(E$83:E$137))</f>
        <v/>
      </c>
      <c r="N122" s="313">
        <f>(F122-MIN(F$83:F$137))/(MAX(F$83:F$137)-MIN(F$83:F$137))</f>
        <v/>
      </c>
      <c r="O122" s="313">
        <f>(G122-MIN(G$83:G$137))/(MAX(G$83:G$137)-MIN(G$83:G$137))</f>
        <v/>
      </c>
      <c r="P122" s="313">
        <f>(H122-MIN(H$83:H$137))/(MAX(H$83:H$137)-MIN(H$83:H$137))</f>
        <v/>
      </c>
      <c r="Q122" s="313">
        <f>(MAX(K$83:K$137)-K122)/(MAX(K$83:K$137)-MIN(K$83:K$137))</f>
        <v/>
      </c>
      <c r="R122" s="313">
        <f>(MAX(L$83:L$137)-L122)/(MAX(L$83:L$137)-MIN(L$83:L$137))</f>
        <v/>
      </c>
      <c r="S122" s="313">
        <f>(I122-MIN(I$83:I$137))/(MAX(I$83:I$137)-MIN(I$83:I$137))</f>
        <v/>
      </c>
      <c r="T122" s="100">
        <f t="array" ref="T122">SUMPRODUCT(M122:P122,TRANSPOSE('Fund Ranking Criteria'!$K$9:$K$12))+SUMPRODUCT('Fund Ranking_Equity'!Q122:S122, TRANSPOSE('Fund Ranking Criteria'!$K$14:$K$16))</f>
        <v/>
      </c>
      <c r="Z122" s="42" t="n"/>
      <c r="AA122" s="146" t="n"/>
    </row>
    <row r="123">
      <c r="B123" s="5" t="inlineStr">
        <is>
          <t>Nippon India Taiwan Equity Fund - Reg - Growth</t>
        </is>
      </c>
      <c r="C123" s="312">
        <f>RANK(T123,$T$83:$T$137,0)</f>
        <v/>
      </c>
      <c r="D123" s="42">
        <f>B123</f>
        <v/>
      </c>
      <c r="E123" s="84" t="n">
        <v>176.037</v>
      </c>
      <c r="F123" s="84" t="n">
        <v>61.287</v>
      </c>
      <c r="G123" s="84" t="n">
        <v>0</v>
      </c>
      <c r="H123" s="84" t="n">
        <v>0</v>
      </c>
      <c r="I123" s="84" t="n">
        <v>0.142575222059984</v>
      </c>
      <c r="J123" s="84" t="n">
        <v>1.59483385414582</v>
      </c>
      <c r="K123" s="84" t="n">
        <v>1.00150999345466</v>
      </c>
      <c r="L123" s="84" t="n">
        <v>29.5129536280896</v>
      </c>
      <c r="M123" s="313">
        <f>(E123-MIN(E$83:E$137))/(MAX(E$83:E$137)-MIN(E$83:E$137))</f>
        <v/>
      </c>
      <c r="N123" s="313">
        <f>(F123-MIN(F$83:F$137))/(MAX(F$83:F$137)-MIN(F$83:F$137))</f>
        <v/>
      </c>
      <c r="O123" s="313">
        <f>(G123-MIN(G$83:G$137))/(MAX(G$83:G$137)-MIN(G$83:G$137))</f>
        <v/>
      </c>
      <c r="P123" s="313">
        <f>(H123-MIN(H$83:H$137))/(MAX(H$83:H$137)-MIN(H$83:H$137))</f>
        <v/>
      </c>
      <c r="Q123" s="313">
        <f>(MAX(K$83:K$137)-K123)/(MAX(K$83:K$137)-MIN(K$83:K$137))</f>
        <v/>
      </c>
      <c r="R123" s="313">
        <f>(MAX(L$83:L$137)-L123)/(MAX(L$83:L$137)-MIN(L$83:L$137))</f>
        <v/>
      </c>
      <c r="S123" s="313">
        <f>(I123-MIN(I$83:I$137))/(MAX(I$83:I$137)-MIN(I$83:I$137))</f>
        <v/>
      </c>
      <c r="T123" s="100">
        <f t="array" ref="T123">SUMPRODUCT(M123:P123,TRANSPOSE('Fund Ranking Criteria'!$K$9:$K$12))+SUMPRODUCT('Fund Ranking_Equity'!Q123:S123, TRANSPOSE('Fund Ranking Criteria'!$K$14:$K$16))</f>
        <v/>
      </c>
      <c r="Z123" s="42" t="n"/>
      <c r="AA123" s="146" t="n"/>
    </row>
    <row r="124">
      <c r="B124" s="5" t="inlineStr">
        <is>
          <t>Nippon India Japan Equity Fund - Reg  - Growth</t>
        </is>
      </c>
      <c r="C124" s="312">
        <f>RANK(T124,$T$83:$T$137,0)</f>
        <v/>
      </c>
      <c r="D124" s="42">
        <f>B124</f>
        <v/>
      </c>
      <c r="E124" s="84" t="n">
        <v>5.2144</v>
      </c>
      <c r="F124" s="84" t="n">
        <v>13.2354</v>
      </c>
      <c r="G124" s="84" t="n">
        <v>7.2457</v>
      </c>
      <c r="H124" s="84" t="n">
        <v>5.8126</v>
      </c>
      <c r="I124" s="84" t="n">
        <v>0.0445978291323704</v>
      </c>
      <c r="J124" s="84" t="n">
        <v>0</v>
      </c>
      <c r="K124" s="84" t="n">
        <v>0</v>
      </c>
      <c r="L124" s="84" t="n">
        <v>14.1870865119656</v>
      </c>
      <c r="M124" s="313">
        <f>(E124-MIN(E$83:E$137))/(MAX(E$83:E$137)-MIN(E$83:E$137))</f>
        <v/>
      </c>
      <c r="N124" s="313">
        <f>(F124-MIN(F$83:F$137))/(MAX(F$83:F$137)-MIN(F$83:F$137))</f>
        <v/>
      </c>
      <c r="O124" s="313">
        <f>(G124-MIN(G$83:G$137))/(MAX(G$83:G$137)-MIN(G$83:G$137))</f>
        <v/>
      </c>
      <c r="P124" s="313">
        <f>(H124-MIN(H$83:H$137))/(MAX(H$83:H$137)-MIN(H$83:H$137))</f>
        <v/>
      </c>
      <c r="Q124" s="313">
        <f>(MAX(K$83:K$137)-K124)/(MAX(K$83:K$137)-MIN(K$83:K$137))</f>
        <v/>
      </c>
      <c r="R124" s="313">
        <f>(MAX(L$83:L$137)-L124)/(MAX(L$83:L$137)-MIN(L$83:L$137))</f>
        <v/>
      </c>
      <c r="S124" s="313">
        <f>(I124-MIN(I$83:I$137))/(MAX(I$83:I$137)-MIN(I$83:I$137))</f>
        <v/>
      </c>
      <c r="T124" s="100">
        <f t="array" ref="T124">SUMPRODUCT(M124:P124,TRANSPOSE('Fund Ranking Criteria'!$K$9:$K$12))+SUMPRODUCT('Fund Ranking_Equity'!Q124:S124, TRANSPOSE('Fund Ranking Criteria'!$K$14:$K$16))</f>
        <v/>
      </c>
      <c r="Z124" s="42" t="n"/>
      <c r="AA124" s="146" t="n"/>
    </row>
    <row r="125">
      <c r="B125" s="5" t="inlineStr">
        <is>
          <t>Nippon India Active Momentum Fund - Reg - Growth</t>
        </is>
      </c>
      <c r="C125" s="312">
        <f>RANK(T125,$T$83:$T$137,0)</f>
        <v/>
      </c>
      <c r="D125" s="42">
        <f>B125</f>
        <v/>
      </c>
      <c r="E125" s="84" t="n">
        <v>7.9368</v>
      </c>
      <c r="F125" s="84" t="n">
        <v>0</v>
      </c>
      <c r="G125" s="84" t="n">
        <v>0</v>
      </c>
      <c r="H125" s="84" t="n">
        <v>0</v>
      </c>
      <c r="I125" s="84" t="n">
        <v>0.0803437937357013</v>
      </c>
      <c r="J125" s="84" t="n">
        <v>0.518235800748275</v>
      </c>
      <c r="K125" s="84" t="n">
        <v>0.973843024423229</v>
      </c>
      <c r="L125" s="84" t="n">
        <v>14.9645412686238</v>
      </c>
      <c r="M125" s="313">
        <f>(E125-MIN(E$83:E$137))/(MAX(E$83:E$137)-MIN(E$83:E$137))</f>
        <v/>
      </c>
      <c r="N125" s="313">
        <f>(F125-MIN(F$83:F$137))/(MAX(F$83:F$137)-MIN(F$83:F$137))</f>
        <v/>
      </c>
      <c r="O125" s="313">
        <f>(G125-MIN(G$83:G$137))/(MAX(G$83:G$137)-MIN(G$83:G$137))</f>
        <v/>
      </c>
      <c r="P125" s="313">
        <f>(H125-MIN(H$83:H$137))/(MAX(H$83:H$137)-MIN(H$83:H$137))</f>
        <v/>
      </c>
      <c r="Q125" s="313">
        <f>(MAX(K$83:K$137)-K125)/(MAX(K$83:K$137)-MIN(K$83:K$137))</f>
        <v/>
      </c>
      <c r="R125" s="313">
        <f>(MAX(L$83:L$137)-L125)/(MAX(L$83:L$137)-MIN(L$83:L$137))</f>
        <v/>
      </c>
      <c r="S125" s="313">
        <f>(I125-MIN(I$83:I$137))/(MAX(I$83:I$137)-MIN(I$83:I$137))</f>
        <v/>
      </c>
      <c r="T125" s="100">
        <f t="array" ref="T125">SUMPRODUCT(M125:P125,TRANSPOSE('Fund Ranking Criteria'!$K$9:$K$12))+SUMPRODUCT('Fund Ranking_Equity'!Q125:S125, TRANSPOSE('Fund Ranking Criteria'!$K$14:$K$16))</f>
        <v/>
      </c>
      <c r="Z125" s="42" t="n"/>
      <c r="AA125" s="146" t="n"/>
    </row>
    <row r="126">
      <c r="B126" s="5" t="inlineStr">
        <is>
          <t>Nippon India Quant Fund - Reg - Growth</t>
        </is>
      </c>
      <c r="C126" s="312">
        <f>RANK(T126,$T$83:$T$137,0)</f>
        <v/>
      </c>
      <c r="D126" s="42">
        <f>B126</f>
        <v/>
      </c>
      <c r="E126" s="84" t="n">
        <v>1.2586</v>
      </c>
      <c r="F126" s="84" t="n">
        <v>15.8109</v>
      </c>
      <c r="G126" s="84" t="n">
        <v>15.0868</v>
      </c>
      <c r="H126" s="84" t="n">
        <v>14.2435</v>
      </c>
      <c r="I126" s="84" t="n">
        <v>0.0676852239348254</v>
      </c>
      <c r="J126" s="84" t="n">
        <v>-0.00503096313309348</v>
      </c>
      <c r="K126" s="84" t="n">
        <v>0.96312875122679</v>
      </c>
      <c r="L126" s="84" t="n">
        <v>13.9202202070093</v>
      </c>
      <c r="M126" s="313">
        <f>(E126-MIN(E$83:E$137))/(MAX(E$83:E$137)-MIN(E$83:E$137))</f>
        <v/>
      </c>
      <c r="N126" s="313">
        <f>(F126-MIN(F$83:F$137))/(MAX(F$83:F$137)-MIN(F$83:F$137))</f>
        <v/>
      </c>
      <c r="O126" s="313">
        <f>(G126-MIN(G$83:G$137))/(MAX(G$83:G$137)-MIN(G$83:G$137))</f>
        <v/>
      </c>
      <c r="P126" s="313">
        <f>(H126-MIN(H$83:H$137))/(MAX(H$83:H$137)-MIN(H$83:H$137))</f>
        <v/>
      </c>
      <c r="Q126" s="313">
        <f>(MAX(K$83:K$137)-K126)/(MAX(K$83:K$137)-MIN(K$83:K$137))</f>
        <v/>
      </c>
      <c r="R126" s="313">
        <f>(MAX(L$83:L$137)-L126)/(MAX(L$83:L$137)-MIN(L$83:L$137))</f>
        <v/>
      </c>
      <c r="S126" s="313">
        <f>(I126-MIN(I$83:I$137))/(MAX(I$83:I$137)-MIN(I$83:I$137))</f>
        <v/>
      </c>
      <c r="T126" s="100">
        <f t="array" ref="T126">SUMPRODUCT(M126:P126,TRANSPOSE('Fund Ranking Criteria'!$K$9:$K$12))+SUMPRODUCT('Fund Ranking_Equity'!Q126:S126, TRANSPOSE('Fund Ranking Criteria'!$K$14:$K$16))</f>
        <v/>
      </c>
      <c r="Z126" s="42" t="n"/>
      <c r="AA126" s="146" t="n"/>
    </row>
    <row r="127">
      <c r="B127" s="5" t="inlineStr">
        <is>
          <t>Kotak Pioneer Fund - Reg - Growth</t>
        </is>
      </c>
      <c r="C127" s="312">
        <f>RANK(T127,$T$83:$T$137,0)</f>
        <v/>
      </c>
      <c r="D127" s="42">
        <f>B127</f>
        <v/>
      </c>
      <c r="E127" s="84" t="n">
        <v>9.192399999999999</v>
      </c>
      <c r="F127" s="84" t="n">
        <v>19.7368</v>
      </c>
      <c r="G127" s="84" t="n">
        <v>15.1206</v>
      </c>
      <c r="H127" s="84" t="n">
        <v>0</v>
      </c>
      <c r="I127" s="84" t="n">
        <v>0.0833422624920611</v>
      </c>
      <c r="J127" s="84" t="n">
        <v>0.267130657215968</v>
      </c>
      <c r="K127" s="84" t="n">
        <v>0.8860495921172</v>
      </c>
      <c r="L127" s="84" t="n">
        <v>14.4548027082852</v>
      </c>
      <c r="M127" s="313">
        <f>(E127-MIN(E$83:E$137))/(MAX(E$83:E$137)-MIN(E$83:E$137))</f>
        <v/>
      </c>
      <c r="N127" s="313">
        <f>(F127-MIN(F$83:F$137))/(MAX(F$83:F$137)-MIN(F$83:F$137))</f>
        <v/>
      </c>
      <c r="O127" s="313">
        <f>(G127-MIN(G$83:G$137))/(MAX(G$83:G$137)-MIN(G$83:G$137))</f>
        <v/>
      </c>
      <c r="P127" s="313">
        <f>(H127-MIN(H$83:H$137))/(MAX(H$83:H$137)-MIN(H$83:H$137))</f>
        <v/>
      </c>
      <c r="Q127" s="313">
        <f>(MAX(K$83:K$137)-K127)/(MAX(K$83:K$137)-MIN(K$83:K$137))</f>
        <v/>
      </c>
      <c r="R127" s="313">
        <f>(MAX(L$83:L$137)-L127)/(MAX(L$83:L$137)-MIN(L$83:L$137))</f>
        <v/>
      </c>
      <c r="S127" s="313">
        <f>(I127-MIN(I$83:I$137))/(MAX(I$83:I$137)-MIN(I$83:I$137))</f>
        <v/>
      </c>
      <c r="T127" s="100">
        <f t="array" ref="T127">SUMPRODUCT(M127:P127,TRANSPOSE('Fund Ranking Criteria'!$K$9:$K$12))+SUMPRODUCT('Fund Ranking_Equity'!Q127:S127, TRANSPOSE('Fund Ranking Criteria'!$K$14:$K$16))</f>
        <v/>
      </c>
      <c r="Z127" s="42" t="n"/>
      <c r="AA127" s="146" t="n"/>
    </row>
    <row r="128">
      <c r="B128" s="5" t="inlineStr">
        <is>
          <t>Kotak Business Cycle Fund - Reg - Growth</t>
        </is>
      </c>
      <c r="C128" s="312">
        <f>RANK(T128,$T$83:$T$137,0)</f>
        <v/>
      </c>
      <c r="D128" s="42">
        <f>B128</f>
        <v/>
      </c>
      <c r="E128" s="84" t="n">
        <v>4.9234</v>
      </c>
      <c r="F128" s="84" t="n">
        <v>15.765</v>
      </c>
      <c r="G128" s="84" t="n">
        <v>0</v>
      </c>
      <c r="H128" s="84" t="n">
        <v>0</v>
      </c>
      <c r="I128" s="84" t="n">
        <v>0.0643980490430409</v>
      </c>
      <c r="J128" s="84" t="n">
        <v>-0.121146906577823</v>
      </c>
      <c r="K128" s="84" t="n">
        <v>0.953009524820901</v>
      </c>
      <c r="L128" s="84" t="n">
        <v>14.6512190489999</v>
      </c>
      <c r="M128" s="313">
        <f>(E128-MIN(E$83:E$137))/(MAX(E$83:E$137)-MIN(E$83:E$137))</f>
        <v/>
      </c>
      <c r="N128" s="313">
        <f>(F128-MIN(F$83:F$137))/(MAX(F$83:F$137)-MIN(F$83:F$137))</f>
        <v/>
      </c>
      <c r="O128" s="313">
        <f>(G128-MIN(G$83:G$137))/(MAX(G$83:G$137)-MIN(G$83:G$137))</f>
        <v/>
      </c>
      <c r="P128" s="313">
        <f>(H128-MIN(H$83:H$137))/(MAX(H$83:H$137)-MIN(H$83:H$137))</f>
        <v/>
      </c>
      <c r="Q128" s="313">
        <f>(MAX(K$83:K$137)-K128)/(MAX(K$83:K$137)-MIN(K$83:K$137))</f>
        <v/>
      </c>
      <c r="R128" s="313">
        <f>(MAX(L$83:L$137)-L128)/(MAX(L$83:L$137)-MIN(L$83:L$137))</f>
        <v/>
      </c>
      <c r="S128" s="313">
        <f>(I128-MIN(I$83:I$137))/(MAX(I$83:I$137)-MIN(I$83:I$137))</f>
        <v/>
      </c>
      <c r="T128" s="100">
        <f t="array" ref="T128">SUMPRODUCT(M128:P128,TRANSPOSE('Fund Ranking Criteria'!$K$9:$K$12))+SUMPRODUCT('Fund Ranking_Equity'!Q128:S128, TRANSPOSE('Fund Ranking Criteria'!$K$14:$K$16))</f>
        <v/>
      </c>
      <c r="Z128" s="42" t="n"/>
      <c r="AA128" s="146" t="n"/>
    </row>
    <row r="129">
      <c r="B129" s="5" t="inlineStr">
        <is>
          <t>Kotak Manufacture in India Fund - Reg - Growth</t>
        </is>
      </c>
      <c r="C129" s="312">
        <f>RANK(T129,$T$83:$T$137,0)</f>
        <v/>
      </c>
      <c r="D129" s="42">
        <f>B129</f>
        <v/>
      </c>
      <c r="E129" s="84" t="n">
        <v>11.7653</v>
      </c>
      <c r="F129" s="84" t="n">
        <v>19.5804</v>
      </c>
      <c r="G129" s="84" t="n">
        <v>0</v>
      </c>
      <c r="H129" s="84" t="n">
        <v>0</v>
      </c>
      <c r="I129" s="84" t="n">
        <v>0.0765609021432675</v>
      </c>
      <c r="J129" s="84" t="n">
        <v>-0.454049556625098</v>
      </c>
      <c r="K129" s="84" t="n">
        <v>0.970147218794589</v>
      </c>
      <c r="L129" s="84" t="n">
        <v>16.5301173984641</v>
      </c>
      <c r="M129" s="313">
        <f>(E129-MIN(E$83:E$137))/(MAX(E$83:E$137)-MIN(E$83:E$137))</f>
        <v/>
      </c>
      <c r="N129" s="313">
        <f>(F129-MIN(F$83:F$137))/(MAX(F$83:F$137)-MIN(F$83:F$137))</f>
        <v/>
      </c>
      <c r="O129" s="313">
        <f>(G129-MIN(G$83:G$137))/(MAX(G$83:G$137)-MIN(G$83:G$137))</f>
        <v/>
      </c>
      <c r="P129" s="313">
        <f>(H129-MIN(H$83:H$137))/(MAX(H$83:H$137)-MIN(H$83:H$137))</f>
        <v/>
      </c>
      <c r="Q129" s="313">
        <f>(MAX(K$83:K$137)-K129)/(MAX(K$83:K$137)-MIN(K$83:K$137))</f>
        <v/>
      </c>
      <c r="R129" s="313">
        <f>(MAX(L$83:L$137)-L129)/(MAX(L$83:L$137)-MIN(L$83:L$137))</f>
        <v/>
      </c>
      <c r="S129" s="313">
        <f>(I129-MIN(I$83:I$137))/(MAX(I$83:I$137)-MIN(I$83:I$137))</f>
        <v/>
      </c>
      <c r="T129" s="100">
        <f t="array" ref="T129">SUMPRODUCT(M129:P129,TRANSPOSE('Fund Ranking Criteria'!$K$9:$K$12))+SUMPRODUCT('Fund Ranking_Equity'!Q129:S129, TRANSPOSE('Fund Ranking Criteria'!$K$14:$K$16))</f>
        <v/>
      </c>
      <c r="Z129" s="42" t="n"/>
      <c r="AA129" s="146" t="n"/>
    </row>
    <row r="130">
      <c r="B130" s="5" t="inlineStr">
        <is>
          <t>Kotak MNC Fund - Reg - Growth</t>
        </is>
      </c>
      <c r="C130" s="312">
        <f>RANK(T130,$T$83:$T$137,0)</f>
        <v/>
      </c>
      <c r="D130" s="42">
        <f>B130</f>
        <v/>
      </c>
      <c r="E130" s="84" t="n">
        <v>24.0191</v>
      </c>
      <c r="F130" s="84" t="n">
        <v>0</v>
      </c>
      <c r="G130" s="84" t="n">
        <v>0</v>
      </c>
      <c r="H130" s="84" t="n">
        <v>0</v>
      </c>
      <c r="I130" s="84" t="n">
        <v>0.0422139175910831</v>
      </c>
      <c r="J130" s="84" t="n">
        <v>0.190786544894864</v>
      </c>
      <c r="K130" s="84" t="n">
        <v>1.03626494116748</v>
      </c>
      <c r="L130" s="84" t="n">
        <v>18.7239829778654</v>
      </c>
      <c r="M130" s="313">
        <f>(E130-MIN(E$83:E$137))/(MAX(E$83:E$137)-MIN(E$83:E$137))</f>
        <v/>
      </c>
      <c r="N130" s="313">
        <f>(F130-MIN(F$83:F$137))/(MAX(F$83:F$137)-MIN(F$83:F$137))</f>
        <v/>
      </c>
      <c r="O130" s="313">
        <f>(G130-MIN(G$83:G$137))/(MAX(G$83:G$137)-MIN(G$83:G$137))</f>
        <v/>
      </c>
      <c r="P130" s="313">
        <f>(H130-MIN(H$83:H$137))/(MAX(H$83:H$137)-MIN(H$83:H$137))</f>
        <v/>
      </c>
      <c r="Q130" s="313">
        <f>(MAX(K$83:K$137)-K130)/(MAX(K$83:K$137)-MIN(K$83:K$137))</f>
        <v/>
      </c>
      <c r="R130" s="313">
        <f>(MAX(L$83:L$137)-L130)/(MAX(L$83:L$137)-MIN(L$83:L$137))</f>
        <v/>
      </c>
      <c r="S130" s="313">
        <f>(I130-MIN(I$83:I$137))/(MAX(I$83:I$137)-MIN(I$83:I$137))</f>
        <v/>
      </c>
      <c r="T130" s="100">
        <f t="array" ref="T130">SUMPRODUCT(M130:P130,TRANSPOSE('Fund Ranking Criteria'!$K$9:$K$12))+SUMPRODUCT('Fund Ranking_Equity'!Q130:S130, TRANSPOSE('Fund Ranking Criteria'!$K$14:$K$16))</f>
        <v/>
      </c>
      <c r="Z130" s="42" t="n"/>
      <c r="AA130" s="146" t="n"/>
    </row>
    <row r="131">
      <c r="B131" s="5" t="inlineStr">
        <is>
          <t>Kotak Special Opportunities Fund - Reg - Growth</t>
        </is>
      </c>
      <c r="C131" s="312">
        <f>RANK(T131,$T$83:$T$137,0)</f>
        <v/>
      </c>
      <c r="D131" s="42">
        <f>B131</f>
        <v/>
      </c>
      <c r="E131" s="84" t="n">
        <v>11.9231</v>
      </c>
      <c r="F131" s="84" t="n">
        <v>0</v>
      </c>
      <c r="G131" s="84" t="n">
        <v>0</v>
      </c>
      <c r="H131" s="84" t="n">
        <v>0</v>
      </c>
      <c r="I131" s="84" t="n">
        <v>0.000321127716904133</v>
      </c>
      <c r="J131" s="84" t="n">
        <v>-0.414914581042101</v>
      </c>
      <c r="K131" s="84" t="n">
        <v>1.16912940231678</v>
      </c>
      <c r="L131" s="84" t="n">
        <v>19.3573891650129</v>
      </c>
      <c r="M131" s="313">
        <f>(E131-MIN(E$83:E$137))/(MAX(E$83:E$137)-MIN(E$83:E$137))</f>
        <v/>
      </c>
      <c r="N131" s="313">
        <f>(F131-MIN(F$83:F$137))/(MAX(F$83:F$137)-MIN(F$83:F$137))</f>
        <v/>
      </c>
      <c r="O131" s="313">
        <f>(G131-MIN(G$83:G$137))/(MAX(G$83:G$137)-MIN(G$83:G$137))</f>
        <v/>
      </c>
      <c r="P131" s="313">
        <f>(H131-MIN(H$83:H$137))/(MAX(H$83:H$137)-MIN(H$83:H$137))</f>
        <v/>
      </c>
      <c r="Q131" s="313">
        <f>(MAX(K$83:K$137)-K131)/(MAX(K$83:K$137)-MIN(K$83:K$137))</f>
        <v/>
      </c>
      <c r="R131" s="313">
        <f>(MAX(L$83:L$137)-L131)/(MAX(L$83:L$137)-MIN(L$83:L$137))</f>
        <v/>
      </c>
      <c r="S131" s="313">
        <f>(I131-MIN(I$83:I$137))/(MAX(I$83:I$137)-MIN(I$83:I$137))</f>
        <v/>
      </c>
      <c r="T131" s="100">
        <f t="array" ref="T131">SUMPRODUCT(M131:P131,TRANSPOSE('Fund Ranking Criteria'!$K$9:$K$12))+SUMPRODUCT('Fund Ranking_Equity'!Q131:S131, TRANSPOSE('Fund Ranking Criteria'!$K$14:$K$16))</f>
        <v/>
      </c>
      <c r="Z131" s="42" t="n"/>
      <c r="AA131" s="146" t="n"/>
    </row>
    <row r="132">
      <c r="B132" s="5" t="inlineStr">
        <is>
          <t>Kotak Consumption Fund - Reg - Growth</t>
        </is>
      </c>
      <c r="C132" s="312">
        <f>RANK(T132,$T$83:$T$137,0)</f>
        <v/>
      </c>
      <c r="D132" s="42">
        <f>B132</f>
        <v/>
      </c>
      <c r="E132" s="84" t="n">
        <v>4.7372</v>
      </c>
      <c r="F132" s="84" t="n">
        <v>0</v>
      </c>
      <c r="G132" s="84" t="n">
        <v>0</v>
      </c>
      <c r="H132" s="84" t="n">
        <v>0</v>
      </c>
      <c r="I132" s="84" t="n">
        <v>0.0423109023751918</v>
      </c>
      <c r="J132" s="84" t="n">
        <v>-0.247883590135772</v>
      </c>
      <c r="K132" s="84" t="n">
        <v>0.970199860888457</v>
      </c>
      <c r="L132" s="84" t="n">
        <v>17.0108277787182</v>
      </c>
      <c r="M132" s="313">
        <f>(E132-MIN(E$83:E$137))/(MAX(E$83:E$137)-MIN(E$83:E$137))</f>
        <v/>
      </c>
      <c r="N132" s="313">
        <f>(F132-MIN(F$83:F$137))/(MAX(F$83:F$137)-MIN(F$83:F$137))</f>
        <v/>
      </c>
      <c r="O132" s="313">
        <f>(G132-MIN(G$83:G$137))/(MAX(G$83:G$137)-MIN(G$83:G$137))</f>
        <v/>
      </c>
      <c r="P132" s="313">
        <f>(H132-MIN(H$83:H$137))/(MAX(H$83:H$137)-MIN(H$83:H$137))</f>
        <v/>
      </c>
      <c r="Q132" s="313">
        <f>(MAX(K$83:K$137)-K132)/(MAX(K$83:K$137)-MIN(K$83:K$137))</f>
        <v/>
      </c>
      <c r="R132" s="313">
        <f>(MAX(L$83:L$137)-L132)/(MAX(L$83:L$137)-MIN(L$83:L$137))</f>
        <v/>
      </c>
      <c r="S132" s="313">
        <f>(I132-MIN(I$83:I$137))/(MAX(I$83:I$137)-MIN(I$83:I$137))</f>
        <v/>
      </c>
      <c r="T132" s="100">
        <f t="array" ref="T132">SUMPRODUCT(M132:P132,TRANSPOSE('Fund Ranking Criteria'!$K$9:$K$12))+SUMPRODUCT('Fund Ranking_Equity'!Q132:S132, TRANSPOSE('Fund Ranking Criteria'!$K$14:$K$16))</f>
        <v/>
      </c>
      <c r="Z132" s="42" t="n"/>
      <c r="AA132" s="146" t="n"/>
    </row>
    <row r="133">
      <c r="B133" s="5" t="inlineStr">
        <is>
          <t>Kotak Banking &amp; Financial Services Fund - Reg - Growth</t>
        </is>
      </c>
      <c r="C133" s="312">
        <f>RANK(T133,$T$83:$T$137,0)</f>
        <v/>
      </c>
      <c r="D133" s="42">
        <f>B133</f>
        <v/>
      </c>
      <c r="E133" s="84" t="n">
        <v>5.563</v>
      </c>
      <c r="F133" s="84" t="n">
        <v>13.1624</v>
      </c>
      <c r="G133" s="84" t="n">
        <v>0</v>
      </c>
      <c r="H133" s="84" t="n">
        <v>0</v>
      </c>
      <c r="I133" s="84" t="n">
        <v>0.0501661531021193</v>
      </c>
      <c r="J133" s="84" t="n">
        <v>-0.0231558787130505</v>
      </c>
      <c r="K133" s="84" t="n">
        <v>0.961896591654385</v>
      </c>
      <c r="L133" s="84" t="n">
        <v>14.8181359726696</v>
      </c>
      <c r="M133" s="313">
        <f>(E133-MIN(E$83:E$137))/(MAX(E$83:E$137)-MIN(E$83:E$137))</f>
        <v/>
      </c>
      <c r="N133" s="313">
        <f>(F133-MIN(F$83:F$137))/(MAX(F$83:F$137)-MIN(F$83:F$137))</f>
        <v/>
      </c>
      <c r="O133" s="313">
        <f>(G133-MIN(G$83:G$137))/(MAX(G$83:G$137)-MIN(G$83:G$137))</f>
        <v/>
      </c>
      <c r="P133" s="313">
        <f>(H133-MIN(H$83:H$137))/(MAX(H$83:H$137)-MIN(H$83:H$137))</f>
        <v/>
      </c>
      <c r="Q133" s="313">
        <f>(MAX(K$83:K$137)-K133)/(MAX(K$83:K$137)-MIN(K$83:K$137))</f>
        <v/>
      </c>
      <c r="R133" s="313">
        <f>(MAX(L$83:L$137)-L133)/(MAX(L$83:L$137)-MIN(L$83:L$137))</f>
        <v/>
      </c>
      <c r="S133" s="313">
        <f>(I133-MIN(I$83:I$137))/(MAX(I$83:I$137)-MIN(I$83:I$137))</f>
        <v/>
      </c>
      <c r="T133" s="100">
        <f t="array" ref="T133">SUMPRODUCT(M133:P133,TRANSPOSE('Fund Ranking Criteria'!$K$9:$K$12))+SUMPRODUCT('Fund Ranking_Equity'!Q133:S133, TRANSPOSE('Fund Ranking Criteria'!$K$14:$K$16))</f>
        <v/>
      </c>
      <c r="Z133" s="42" t="n"/>
      <c r="AA133" s="146" t="n"/>
    </row>
    <row r="134">
      <c r="B134" s="5" t="inlineStr">
        <is>
          <t>Kotak ESG Exclusionary Strategy Fund - Reg - Growth</t>
        </is>
      </c>
      <c r="C134" s="312">
        <f>RANK(T134,$T$83:$T$137,0)</f>
        <v/>
      </c>
      <c r="D134" s="42">
        <f>B134</f>
        <v/>
      </c>
      <c r="E134" s="84" t="n">
        <v>-2.8878</v>
      </c>
      <c r="F134" s="84" t="n">
        <v>10.0216</v>
      </c>
      <c r="G134" s="84" t="n">
        <v>7.9156</v>
      </c>
      <c r="H134" s="84" t="n">
        <v>0</v>
      </c>
      <c r="I134" s="84" t="n">
        <v>0.0367906372153823</v>
      </c>
      <c r="J134" s="84" t="n">
        <v>-0.398523039143677</v>
      </c>
      <c r="K134" s="84" t="n">
        <v>0.900087211381471</v>
      </c>
      <c r="L134" s="84" t="n">
        <v>12.7995885713178</v>
      </c>
      <c r="M134" s="313">
        <f>(E134-MIN(E$83:E$137))/(MAX(E$83:E$137)-MIN(E$83:E$137))</f>
        <v/>
      </c>
      <c r="N134" s="313">
        <f>(F134-MIN(F$83:F$137))/(MAX(F$83:F$137)-MIN(F$83:F$137))</f>
        <v/>
      </c>
      <c r="O134" s="313">
        <f>(G134-MIN(G$83:G$137))/(MAX(G$83:G$137)-MIN(G$83:G$137))</f>
        <v/>
      </c>
      <c r="P134" s="313">
        <f>(H134-MIN(H$83:H$137))/(MAX(H$83:H$137)-MIN(H$83:H$137))</f>
        <v/>
      </c>
      <c r="Q134" s="313">
        <f>(MAX(K$83:K$137)-K134)/(MAX(K$83:K$137)-MIN(K$83:K$137))</f>
        <v/>
      </c>
      <c r="R134" s="313">
        <f>(MAX(L$83:L$137)-L134)/(MAX(L$83:L$137)-MIN(L$83:L$137))</f>
        <v/>
      </c>
      <c r="S134" s="313">
        <f>(I134-MIN(I$83:I$137))/(MAX(I$83:I$137)-MIN(I$83:I$137))</f>
        <v/>
      </c>
      <c r="T134" s="100">
        <f t="array" ref="T134">SUMPRODUCT(M134:P134,TRANSPOSE('Fund Ranking Criteria'!$K$9:$K$12))+SUMPRODUCT('Fund Ranking_Equity'!Q134:S134, TRANSPOSE('Fund Ranking Criteria'!$K$14:$K$16))</f>
        <v/>
      </c>
      <c r="Z134" s="42" t="n"/>
      <c r="AA134" s="146" t="n"/>
    </row>
    <row r="135">
      <c r="B135" s="5" t="inlineStr">
        <is>
          <t>Kotak Quant Fund - Reg - Growth</t>
        </is>
      </c>
      <c r="C135" s="312">
        <f>RANK(T135,$T$83:$T$137,0)</f>
        <v/>
      </c>
      <c r="D135" s="42">
        <f>B135</f>
        <v/>
      </c>
      <c r="E135" s="84" t="n">
        <v>1.2761</v>
      </c>
      <c r="F135" s="84" t="n">
        <v>0</v>
      </c>
      <c r="G135" s="84" t="n">
        <v>0</v>
      </c>
      <c r="H135" s="84" t="n">
        <v>0</v>
      </c>
      <c r="I135" s="84" t="n">
        <v>0.0496009431296776</v>
      </c>
      <c r="J135" s="84" t="n">
        <v>-0.12669362210502</v>
      </c>
      <c r="K135" s="84" t="n">
        <v>1.06051481028759</v>
      </c>
      <c r="L135" s="84" t="n">
        <v>17.0299757962762</v>
      </c>
      <c r="M135" s="313">
        <f>(E135-MIN(E$83:E$137))/(MAX(E$83:E$137)-MIN(E$83:E$137))</f>
        <v/>
      </c>
      <c r="N135" s="313">
        <f>(F135-MIN(F$83:F$137))/(MAX(F$83:F$137)-MIN(F$83:F$137))</f>
        <v/>
      </c>
      <c r="O135" s="313">
        <f>(G135-MIN(G$83:G$137))/(MAX(G$83:G$137)-MIN(G$83:G$137))</f>
        <v/>
      </c>
      <c r="P135" s="313">
        <f>(H135-MIN(H$83:H$137))/(MAX(H$83:H$137)-MIN(H$83:H$137))</f>
        <v/>
      </c>
      <c r="Q135" s="313">
        <f>(MAX(K$83:K$137)-K135)/(MAX(K$83:K$137)-MIN(K$83:K$137))</f>
        <v/>
      </c>
      <c r="R135" s="313">
        <f>(MAX(L$83:L$137)-L135)/(MAX(L$83:L$137)-MIN(L$83:L$137))</f>
        <v/>
      </c>
      <c r="S135" s="313">
        <f>(I135-MIN(I$83:I$137))/(MAX(I$83:I$137)-MIN(I$83:I$137))</f>
        <v/>
      </c>
      <c r="T135" s="100">
        <f t="array" ref="T135">SUMPRODUCT(M135:P135,TRANSPOSE('Fund Ranking Criteria'!$K$9:$K$12))+SUMPRODUCT('Fund Ranking_Equity'!Q135:S135, TRANSPOSE('Fund Ranking Criteria'!$K$14:$K$16))</f>
        <v/>
      </c>
      <c r="Z135" s="42" t="n"/>
      <c r="AA135" s="146" t="n"/>
    </row>
    <row r="136">
      <c r="B136" s="5" t="inlineStr">
        <is>
          <t>Kotak Technology Fund - Reg - Growth</t>
        </is>
      </c>
      <c r="C136" s="312">
        <f>RANK(T136,$T$83:$T$137,0)</f>
        <v/>
      </c>
      <c r="D136" s="42">
        <f>B136</f>
        <v/>
      </c>
      <c r="E136" s="84" t="n">
        <v>-23.2846</v>
      </c>
      <c r="F136" s="84" t="n">
        <v>0</v>
      </c>
      <c r="G136" s="84" t="n">
        <v>0</v>
      </c>
      <c r="H136" s="84" t="n">
        <v>0</v>
      </c>
      <c r="I136" s="84" t="n">
        <v>-0.0226429342781045</v>
      </c>
      <c r="J136" s="84" t="n">
        <v>-0.661916643407124</v>
      </c>
      <c r="K136" s="84" t="n">
        <v>0.9691001466643639</v>
      </c>
      <c r="L136" s="84" t="n">
        <v>20.9116762963943</v>
      </c>
      <c r="M136" s="313">
        <f>(E136-MIN(E$83:E$137))/(MAX(E$83:E$137)-MIN(E$83:E$137))</f>
        <v/>
      </c>
      <c r="N136" s="313">
        <f>(F136-MIN(F$83:F$137))/(MAX(F$83:F$137)-MIN(F$83:F$137))</f>
        <v/>
      </c>
      <c r="O136" s="313">
        <f>(G136-MIN(G$83:G$137))/(MAX(G$83:G$137)-MIN(G$83:G$137))</f>
        <v/>
      </c>
      <c r="P136" s="313">
        <f>(H136-MIN(H$83:H$137))/(MAX(H$83:H$137)-MIN(H$83:H$137))</f>
        <v/>
      </c>
      <c r="Q136" s="313">
        <f>(MAX(K$83:K$137)-K136)/(MAX(K$83:K$137)-MIN(K$83:K$137))</f>
        <v/>
      </c>
      <c r="R136" s="313">
        <f>(MAX(L$83:L$137)-L136)/(MAX(L$83:L$137)-MIN(L$83:L$137))</f>
        <v/>
      </c>
      <c r="S136" s="313">
        <f>(I136-MIN(I$83:I$137))/(MAX(I$83:I$137)-MIN(I$83:I$137))</f>
        <v/>
      </c>
      <c r="T136" s="100">
        <f t="array" ref="T136">SUMPRODUCT(M136:P136,TRANSPOSE('Fund Ranking Criteria'!$K$9:$K$12))+SUMPRODUCT('Fund Ranking_Equity'!Q136:S136, TRANSPOSE('Fund Ranking Criteria'!$K$14:$K$16))</f>
        <v/>
      </c>
      <c r="Z136" s="42" t="n"/>
      <c r="AA136" s="146" t="n"/>
    </row>
    <row r="137">
      <c r="B137" s="5" t="inlineStr">
        <is>
          <t>Kotak Healthcare Fund - Reg - Growth</t>
        </is>
      </c>
      <c r="C137" s="312">
        <f>RANK(T137,$T$83:$T$137,0)</f>
        <v/>
      </c>
      <c r="D137" s="42">
        <f>B137</f>
        <v/>
      </c>
      <c r="E137" s="84" t="n">
        <v>19.0505</v>
      </c>
      <c r="F137" s="84" t="n">
        <v>0</v>
      </c>
      <c r="G137" s="84" t="n">
        <v>0</v>
      </c>
      <c r="H137" s="84" t="n">
        <v>0</v>
      </c>
      <c r="I137" s="84" t="n">
        <v>0.06457687490470811</v>
      </c>
      <c r="J137" s="84" t="n">
        <v>-0.307788974767294</v>
      </c>
      <c r="K137" s="84" t="n">
        <v>0.997121533881938</v>
      </c>
      <c r="L137" s="84" t="n">
        <v>17.2818722276296</v>
      </c>
      <c r="M137" s="313">
        <f>(E137-MIN(E$83:E$137))/(MAX(E$83:E$137)-MIN(E$83:E$137))</f>
        <v/>
      </c>
      <c r="N137" s="313">
        <f>(F137-MIN(F$83:F$137))/(MAX(F$83:F$137)-MIN(F$83:F$137))</f>
        <v/>
      </c>
      <c r="O137" s="313">
        <f>(G137-MIN(G$83:G$137))/(MAX(G$83:G$137)-MIN(G$83:G$137))</f>
        <v/>
      </c>
      <c r="P137" s="313">
        <f>(H137-MIN(H$83:H$137))/(MAX(H$83:H$137)-MIN(H$83:H$137))</f>
        <v/>
      </c>
      <c r="Q137" s="313">
        <f>(MAX(K$83:K$137)-K137)/(MAX(K$83:K$137)-MIN(K$83:K$137))</f>
        <v/>
      </c>
      <c r="R137" s="313">
        <f>(MAX(L$83:L$137)-L137)/(MAX(L$83:L$137)-MIN(L$83:L$137))</f>
        <v/>
      </c>
      <c r="S137" s="313">
        <f>(I137-MIN(I$83:I$137))/(MAX(I$83:I$137)-MIN(I$83:I$137))</f>
        <v/>
      </c>
      <c r="T137" s="100">
        <f t="array" ref="T137">SUMPRODUCT(M137:P137,TRANSPOSE('Fund Ranking Criteria'!$K$9:$K$12))+SUMPRODUCT('Fund Ranking_Equity'!Q137:S137, TRANSPOSE('Fund Ranking Criteria'!$K$14:$K$16))</f>
        <v/>
      </c>
      <c r="Z137" s="42" t="n"/>
      <c r="AA137" s="146" t="n"/>
    </row>
  </sheetData>
  <mergeCells count="16">
    <mergeCell ref="E48:L48"/>
    <mergeCell ref="E26:L26"/>
    <mergeCell ref="E81:K81"/>
    <mergeCell ref="E4:L4"/>
    <mergeCell ref="E15:L15"/>
    <mergeCell ref="L81:S81"/>
    <mergeCell ref="E70:K70"/>
    <mergeCell ref="M15:T15"/>
    <mergeCell ref="L59:S59"/>
    <mergeCell ref="E59:K59"/>
    <mergeCell ref="M37:T37"/>
    <mergeCell ref="E37:L37"/>
    <mergeCell ref="M4:T4"/>
    <mergeCell ref="M48:T48"/>
    <mergeCell ref="M26:T26"/>
    <mergeCell ref="L70:S70"/>
  </mergeCells>
  <pageMargins left="0.7" right="0.7" top="0.75" bottom="0.75" header="0.3" footer="0.3"/>
  <pageSetup orientation="portrait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B1:AI12"/>
  <sheetViews>
    <sheetView zoomScale="99" zoomScaleNormal="90" workbookViewId="0">
      <pane xSplit="2" topLeftCell="E1" activePane="topRight" state="frozen"/>
      <selection activeCell="A12" sqref="A12"/>
      <selection pane="topRight" activeCell="H9" sqref="H9"/>
    </sheetView>
  </sheetViews>
  <sheetFormatPr baseColWidth="8" defaultColWidth="8.7109375" defaultRowHeight="15"/>
  <cols>
    <col width="8.7109375" customWidth="1" style="42" min="1" max="1"/>
    <col width="46.42578125" bestFit="1" customWidth="1" style="1" min="2" max="2"/>
    <col width="7.140625" customWidth="1" style="42" min="3" max="3"/>
    <col hidden="1" width="7.140625" customWidth="1" style="42" min="4" max="4"/>
    <col width="13.140625" customWidth="1" style="42" min="5" max="7"/>
    <col width="11.7109375" customWidth="1" style="42" min="8" max="8"/>
    <col width="8.7109375" customWidth="1" style="42" min="9" max="25"/>
    <col width="8.7109375" customWidth="1" style="146" min="26" max="26"/>
    <col width="8.7109375" customWidth="1" style="42" min="27" max="33"/>
    <col width="8.7109375" customWidth="1" style="42" min="34" max="16384"/>
  </cols>
  <sheetData>
    <row r="1">
      <c r="B1" s="1" t="inlineStr">
        <is>
          <t>(Match with  morningstar)</t>
        </is>
      </c>
    </row>
    <row r="2" ht="15" customHeight="1" thickBot="1">
      <c r="B2" s="1" t="inlineStr">
        <is>
          <t>Model Portfolio</t>
        </is>
      </c>
      <c r="E2" s="42" t="n">
        <v>2</v>
      </c>
      <c r="F2" s="84">
        <f>E2+1</f>
        <v/>
      </c>
      <c r="G2" s="84">
        <f>F2+1</f>
        <v/>
      </c>
      <c r="H2" s="84">
        <f>G2+1</f>
        <v/>
      </c>
      <c r="I2" s="84">
        <f>H2+1</f>
        <v/>
      </c>
      <c r="J2" s="84">
        <f>I2+1</f>
        <v/>
      </c>
      <c r="K2" s="84">
        <f>J2+1</f>
        <v/>
      </c>
      <c r="L2" s="84">
        <f>K2+1</f>
        <v/>
      </c>
      <c r="M2" s="84">
        <f>L2+1</f>
        <v/>
      </c>
      <c r="N2" s="84">
        <f>M2+1</f>
        <v/>
      </c>
      <c r="O2" s="84">
        <f>N2+1</f>
        <v/>
      </c>
    </row>
    <row r="3" ht="15" customHeight="1" thickBot="1">
      <c r="B3" s="429" t="inlineStr">
        <is>
          <t>Equity Large Cap</t>
        </is>
      </c>
      <c r="C3" s="426" t="n"/>
      <c r="D3" s="426" t="n"/>
      <c r="E3" s="426" t="n"/>
      <c r="F3" s="426" t="n"/>
      <c r="G3" s="426" t="n"/>
      <c r="H3" s="426" t="n"/>
      <c r="I3" s="426" t="n"/>
      <c r="J3" s="426" t="n"/>
      <c r="K3" s="426" t="n"/>
      <c r="L3" s="426" t="n"/>
      <c r="M3" s="426" t="n"/>
      <c r="N3" s="426" t="n"/>
      <c r="O3" s="426" t="n"/>
      <c r="P3" s="426" t="n"/>
      <c r="Q3" s="426" t="n"/>
      <c r="R3" s="426" t="n"/>
      <c r="S3" s="426" t="n"/>
      <c r="T3" s="426" t="n"/>
      <c r="U3" s="426" t="n"/>
      <c r="V3" s="426" t="n"/>
      <c r="W3" s="426" t="n"/>
      <c r="X3" s="426" t="n"/>
      <c r="Y3" s="426" t="n"/>
      <c r="Z3" s="375" t="n"/>
    </row>
    <row r="4" ht="15" customHeight="1" thickBot="1">
      <c r="B4" s="147" t="n"/>
      <c r="C4" s="148" t="n"/>
      <c r="D4" s="190" t="n"/>
      <c r="E4" s="432" t="inlineStr">
        <is>
          <t>Actuals</t>
        </is>
      </c>
      <c r="F4" s="426" t="n"/>
      <c r="G4" s="426" t="n"/>
      <c r="H4" s="426" t="n"/>
      <c r="I4" s="426" t="n"/>
      <c r="J4" s="426" t="n"/>
      <c r="K4" s="426" t="n"/>
      <c r="L4" s="426" t="n"/>
      <c r="M4" s="426" t="n"/>
      <c r="N4" s="426" t="n"/>
      <c r="O4" s="433" t="n"/>
      <c r="P4" s="427" t="inlineStr">
        <is>
          <t>Normalized</t>
        </is>
      </c>
      <c r="Q4" s="426" t="n"/>
      <c r="R4" s="426" t="n"/>
      <c r="S4" s="426" t="n"/>
      <c r="T4" s="426" t="n"/>
      <c r="U4" s="426" t="n"/>
      <c r="V4" s="426" t="n"/>
      <c r="W4" s="426" t="n"/>
      <c r="X4" s="426" t="n"/>
      <c r="Y4" s="426" t="n"/>
      <c r="Z4" s="430" t="inlineStr">
        <is>
          <t>Score</t>
        </is>
      </c>
    </row>
    <row r="5" ht="29.1" customHeight="1">
      <c r="B5" s="116" t="inlineStr">
        <is>
          <t>Funds</t>
        </is>
      </c>
      <c r="C5" s="114" t="inlineStr">
        <is>
          <t>Rank</t>
        </is>
      </c>
      <c r="D5" s="114" t="n"/>
      <c r="E5" s="113" t="inlineStr">
        <is>
          <t>1 Yr Ret (%)</t>
        </is>
      </c>
      <c r="F5" s="113" t="inlineStr">
        <is>
          <t>3 Yr Ret (%)</t>
        </is>
      </c>
      <c r="G5" s="113" t="inlineStr">
        <is>
          <t>5 Yr Ret (%)</t>
        </is>
      </c>
      <c r="H5" s="113" t="inlineStr">
        <is>
          <t>10 Yr Ret (%)</t>
        </is>
      </c>
      <c r="I5" s="113" t="inlineStr">
        <is>
          <t>Sharpe</t>
        </is>
      </c>
      <c r="J5" s="305" t="inlineStr">
        <is>
          <t>Sortino</t>
        </is>
      </c>
      <c r="K5" s="113" t="inlineStr">
        <is>
          <t>Alpha</t>
        </is>
      </c>
      <c r="L5" s="306" t="inlineStr">
        <is>
          <t>Expense Ratio</t>
        </is>
      </c>
      <c r="M5" s="306" t="inlineStr">
        <is>
          <t>Turnover Ratio</t>
        </is>
      </c>
      <c r="N5" s="138" t="inlineStr">
        <is>
          <t>Beta</t>
        </is>
      </c>
      <c r="O5" s="113" t="inlineStr">
        <is>
          <t>SD</t>
        </is>
      </c>
      <c r="P5" s="124">
        <f>F5</f>
        <v/>
      </c>
      <c r="Q5" s="124">
        <f>G5</f>
        <v/>
      </c>
      <c r="R5" s="124">
        <f>H5</f>
        <v/>
      </c>
      <c r="S5" s="123" t="inlineStr">
        <is>
          <t>Sharpe</t>
        </is>
      </c>
      <c r="T5" s="123" t="inlineStr">
        <is>
          <t>Sortino</t>
        </is>
      </c>
      <c r="U5" s="123" t="inlineStr">
        <is>
          <t>Alpha</t>
        </is>
      </c>
      <c r="V5" s="121" t="inlineStr">
        <is>
          <t>Expense Ratio</t>
        </is>
      </c>
      <c r="W5" s="122" t="inlineStr">
        <is>
          <t>Turnover Ratio</t>
        </is>
      </c>
      <c r="X5" s="121" t="inlineStr">
        <is>
          <t>Beta</t>
        </is>
      </c>
      <c r="Y5" s="122" t="inlineStr">
        <is>
          <t>SD</t>
        </is>
      </c>
      <c r="Z5" s="431" t="n"/>
    </row>
    <row r="6">
      <c r="B6" s="117" t="inlineStr">
        <is>
          <t>Aditya Birla Sun Life Large Cap Fund - Regular Plan</t>
        </is>
      </c>
      <c r="C6" s="125">
        <f>RANK(Z6,$Z$6:$Z$12,0)</f>
        <v/>
      </c>
      <c r="D6" s="191">
        <f>B6</f>
        <v/>
      </c>
      <c r="E6" s="248">
        <f>VLOOKUP($B6, Sheet4!$A$2:$L$688, 'Fund Ranking_Equity (2)'!E$2,FALSE)</f>
        <v/>
      </c>
      <c r="F6" s="248">
        <f>VLOOKUP($B6, Sheet4!$A$2:$L$688, 'Fund Ranking_Equity (2)'!F$2,FALSE)</f>
        <v/>
      </c>
      <c r="G6" s="248">
        <f>VLOOKUP($B6, Sheet4!$A$2:$L$688, 'Fund Ranking_Equity (2)'!G$2,FALSE)</f>
        <v/>
      </c>
      <c r="H6" s="248">
        <f>VLOOKUP($B6, Sheet4!$A$2:$L$688, 'Fund Ranking_Equity (2)'!H$2,FALSE)</f>
        <v/>
      </c>
      <c r="I6" s="248">
        <f>VLOOKUP($B6, Sheet4!$A$2:$L$688, 'Fund Ranking_Equity (2)'!I$2,FALSE)</f>
        <v/>
      </c>
      <c r="J6" s="248">
        <f>VLOOKUP($B6, Sheet4!$A$2:$L$688, 'Fund Ranking_Equity (2)'!J$2,FALSE)</f>
        <v/>
      </c>
      <c r="K6" s="248">
        <f>VLOOKUP($B6, Sheet4!$A$2:$L$688, 'Fund Ranking_Equity (2)'!K$2,FALSE)</f>
        <v/>
      </c>
      <c r="L6" s="248">
        <f>VLOOKUP($B6, Sheet4!$A$2:$L$688, 'Fund Ranking_Equity (2)'!L$2,FALSE)</f>
        <v/>
      </c>
      <c r="M6" s="248">
        <f>VLOOKUP($B6, Sheet4!$A$2:$L$688, 'Fund Ranking_Equity (2)'!M$2,FALSE)</f>
        <v/>
      </c>
      <c r="N6" s="248">
        <f>VLOOKUP($B6, Sheet4!$A$2:$L$688, 'Fund Ranking_Equity (2)'!N$2,FALSE)</f>
        <v/>
      </c>
      <c r="O6" s="248">
        <f>VLOOKUP($B6, Sheet4!$A$2:$L$688, 'Fund Ranking_Equity (2)'!O$2,FALSE)</f>
        <v/>
      </c>
      <c r="P6" s="149">
        <f>(F6-MIN(F$6:F$12))/(MAX(F$6:F$12)-MIN(F$6:F$12))</f>
        <v/>
      </c>
      <c r="Q6" s="142">
        <f>(G6-MIN(G$6:G$12))/(MAX(G$6:G$12)-MIN(G$6:G$12))</f>
        <v/>
      </c>
      <c r="R6" s="142">
        <f>(H6-MIN(H$6:H$12))/(MAX(H$6:H$12)-MIN(H$6:H$12))</f>
        <v/>
      </c>
      <c r="S6" s="142">
        <f>(I6-MIN(I$6:I$12))/(MAX(I$6:I$12)-MIN(I$6:I$12))</f>
        <v/>
      </c>
      <c r="T6" s="142">
        <f>(J6-MIN(J$6:J$12))/(MAX(J$6:J$12)-MIN(J$6:J$12))</f>
        <v/>
      </c>
      <c r="U6" s="142">
        <f>(K6-MIN(K$6:K$12))/(MAX(K$6:K$12)-MIN(K$6:K$12))</f>
        <v/>
      </c>
      <c r="V6" s="142">
        <f>(MAX(L$6:L$12)-L6)/(MAX(L$6:L$12)-MIN(L$6:L$12))</f>
        <v/>
      </c>
      <c r="W6" s="142">
        <f>(MAX(M$6:M$12)-M6)/(MAX(M$6:M$12)-MIN(M$6:M$12))</f>
        <v/>
      </c>
      <c r="X6" s="142">
        <f>(MAX(N$6:N$12)-N6)/(MAX(N$6:N$12)-MIN(N$6:N$12))</f>
        <v/>
      </c>
      <c r="Y6" s="150">
        <f>(MAX(O$6:O$12)-O6)/(MAX(O$6:O$12)-MIN(O$6:O$12))</f>
        <v/>
      </c>
      <c r="Z6" s="143">
        <f>(P6*'Fund Ranking Criteria'!$C$9)+('Fund Ranking_Equity (2)'!Q6*'Fund Ranking Criteria'!$C$10)+('Fund Ranking_Equity (2)'!R6*'Fund Ranking Criteria'!$C$11)+('Fund Ranking_Equity (2)'!S6*'Fund Ranking Criteria'!$C$16)+('Fund Ranking_Equity (2)'!T6*'Fund Ranking Criteria'!#REF!)+('Fund Ranking_Equity (2)'!U6*'Fund Ranking Criteria'!$C$12)+('Fund Ranking_Equity (2)'!V6*'Fund Ranking Criteria'!#REF!)+('Fund Ranking_Equity (2)'!W6*'Fund Ranking Criteria'!#REF!)+('Fund Ranking_Equity (2)'!X6*'Fund Ranking Criteria'!$C$14)+('Fund Ranking_Equity (2)'!Y6*'Fund Ranking Criteria'!$C$15)</f>
        <v/>
      </c>
      <c r="AF6" s="42" t="n">
        <v>1</v>
      </c>
      <c r="AG6" s="42" t="n">
        <v>21</v>
      </c>
      <c r="AH6" s="149">
        <f>(AF6-MIN(AF$6:AF$10))/(MAX(AF$6:AF$10)-MIN(X$6:X$12))</f>
        <v/>
      </c>
      <c r="AI6" s="149">
        <f>(AG6-MIN(AG$6:AG$10))/(MAX(AG$6:AG$10)-MIN(Y$6:Y$12))</f>
        <v/>
      </c>
    </row>
    <row r="7">
      <c r="B7" s="117" t="inlineStr">
        <is>
          <t>HDFC Large Cap Fund - Regular Plan</t>
        </is>
      </c>
      <c r="C7" s="125">
        <f>RANK(Z7,$Z$6:$Z$12,0)</f>
        <v/>
      </c>
      <c r="D7" s="191">
        <f>B7</f>
        <v/>
      </c>
      <c r="E7" s="248">
        <f>VLOOKUP($B7, Sheet4!$A$2:$L$688, 'Fund Ranking_Equity (2)'!E$2,FALSE)</f>
        <v/>
      </c>
      <c r="F7" s="248">
        <f>VLOOKUP($B7, Sheet4!$A$2:$L$688, 'Fund Ranking_Equity (2)'!F$2,FALSE)</f>
        <v/>
      </c>
      <c r="G7" s="248">
        <f>VLOOKUP($B7, Sheet4!$A$2:$L$688, 'Fund Ranking_Equity (2)'!G$2,FALSE)</f>
        <v/>
      </c>
      <c r="H7" s="248">
        <f>VLOOKUP($B7, Sheet4!$A$2:$L$688, 'Fund Ranking_Equity (2)'!H$2,FALSE)</f>
        <v/>
      </c>
      <c r="I7" s="249">
        <f>VLOOKUP($B7, Sheet4!$A$2:$L$688, 'Fund Ranking_Equity (2)'!I$2,FALSE)</f>
        <v/>
      </c>
      <c r="J7" s="249">
        <f>VLOOKUP($B7, Sheet4!$A$2:$L$688, 'Fund Ranking_Equity (2)'!J$2,FALSE)</f>
        <v/>
      </c>
      <c r="K7" s="249">
        <f>VLOOKUP($B7, Sheet4!$A$2:$L$688, 'Fund Ranking_Equity (2)'!K$2,FALSE)</f>
        <v/>
      </c>
      <c r="L7" s="249">
        <f>VLOOKUP($B7, Sheet4!$A$2:$L$688, 'Fund Ranking_Equity (2)'!L$2,FALSE)</f>
        <v/>
      </c>
      <c r="M7" s="249">
        <f>VLOOKUP($B7, Sheet4!$A$2:$L$688, 'Fund Ranking_Equity (2)'!M$2,FALSE)</f>
        <v/>
      </c>
      <c r="N7" s="249">
        <f>VLOOKUP($B7, Sheet4!$A$2:$L$688, 'Fund Ranking_Equity (2)'!N$2,FALSE)</f>
        <v/>
      </c>
      <c r="O7" s="249">
        <f>VLOOKUP($B7, Sheet4!$A$2:$L$688, 'Fund Ranking_Equity (2)'!O$2,FALSE)</f>
        <v/>
      </c>
      <c r="P7" s="149">
        <f>(F7-MIN(F$6:F$12))/(MAX(F$6:F$12)-MIN(F$6:F$12))</f>
        <v/>
      </c>
      <c r="Q7" s="142">
        <f>(G7-MIN(G$6:G$12))/(MAX(G$6:G$12)-MIN(G$6:G$12))</f>
        <v/>
      </c>
      <c r="R7" s="142">
        <f>(H7-MIN(H$6:H$12))/(MAX(H$6:H$12)-MIN(H$6:H$12))</f>
        <v/>
      </c>
      <c r="S7" s="142">
        <f>(I7-MIN(I$6:I$12))/(MAX(I$6:I$12)-MIN(I$6:I$12))</f>
        <v/>
      </c>
      <c r="T7" s="142">
        <f>(J7-MIN(J$6:J$12))/(MAX(J$6:J$12)-MIN(J$6:J$12))</f>
        <v/>
      </c>
      <c r="U7" s="142">
        <f>(K7-MIN(K$6:K$12))/(MAX(K$6:K$12)-MIN(K$6:K$12))</f>
        <v/>
      </c>
      <c r="V7" s="142">
        <f>(MAX(L$6:L$12)-L7)/(MAX(L$6:L$12)-MIN(L$6:L$12))</f>
        <v/>
      </c>
      <c r="W7" s="142">
        <f>(MAX(M$6:M$12)-M7)/(MAX(M$6:M$12)-MIN(M$6:M$12))</f>
        <v/>
      </c>
      <c r="X7" s="142">
        <f>(MAX(N$6:N$12)-N7)/(MAX(N$6:N$12)-MIN(N$6:N$12))</f>
        <v/>
      </c>
      <c r="Y7" s="150">
        <f>(MAX(O$6:O$12)-O7)/(MAX(O$6:O$12)-MIN(O$6:O$12))</f>
        <v/>
      </c>
      <c r="Z7" s="143">
        <f>(P7*'Fund Ranking Criteria'!$C$9)+('Fund Ranking_Equity (2)'!Q7*'Fund Ranking Criteria'!$C$10)+('Fund Ranking_Equity (2)'!R7*'Fund Ranking Criteria'!$C$11)+('Fund Ranking_Equity (2)'!S7*'Fund Ranking Criteria'!$C$16)+('Fund Ranking_Equity (2)'!T7*'Fund Ranking Criteria'!#REF!)+('Fund Ranking_Equity (2)'!U7*'Fund Ranking Criteria'!$C$12)+('Fund Ranking_Equity (2)'!V7*'Fund Ranking Criteria'!#REF!)+('Fund Ranking_Equity (2)'!W7*'Fund Ranking Criteria'!#REF!)+('Fund Ranking_Equity (2)'!X7*'Fund Ranking Criteria'!$C$14)+('Fund Ranking_Equity (2)'!Y7*'Fund Ranking Criteria'!$C$15)</f>
        <v/>
      </c>
      <c r="AF7" s="42" t="n">
        <v>2</v>
      </c>
      <c r="AG7" s="42" t="n">
        <v>22</v>
      </c>
      <c r="AH7" s="149">
        <f>(AF7-MIN(AF$6:AF$10))/(MAX(AF$6:AF$10)-MIN(X$6:X$12))</f>
        <v/>
      </c>
      <c r="AI7" s="149">
        <f>(AG7-MIN(AG$6:AG$10))/(MAX(AG$6:AG$10)-MIN(Y$6:Y$12))</f>
        <v/>
      </c>
    </row>
    <row r="8">
      <c r="B8" s="117" t="inlineStr">
        <is>
          <t>ICICI Prudential Large Cap Fund</t>
        </is>
      </c>
      <c r="C8" s="125">
        <f>RANK(Z8,$Z$6:$Z$12,0)</f>
        <v/>
      </c>
      <c r="D8" s="191">
        <f>B8</f>
        <v/>
      </c>
      <c r="E8" s="248">
        <f>VLOOKUP($B8, Sheet4!$A$2:$L$688, 'Fund Ranking_Equity (2)'!E$2,FALSE)</f>
        <v/>
      </c>
      <c r="F8" s="248">
        <f>VLOOKUP($B8, Sheet4!$A$2:$L$688, 'Fund Ranking_Equity (2)'!F$2,FALSE)</f>
        <v/>
      </c>
      <c r="G8" s="248">
        <f>VLOOKUP($B8, Sheet4!$A$2:$L$688, 'Fund Ranking_Equity (2)'!G$2,FALSE)</f>
        <v/>
      </c>
      <c r="H8" s="248">
        <f>VLOOKUP($B8, Sheet4!$A$2:$L$688, 'Fund Ranking_Equity (2)'!H$2,FALSE)</f>
        <v/>
      </c>
      <c r="I8" s="249">
        <f>VLOOKUP($B8, Sheet4!$A$2:$L$688, 'Fund Ranking_Equity (2)'!I$2,FALSE)</f>
        <v/>
      </c>
      <c r="J8" s="249">
        <f>VLOOKUP($B8, Sheet4!$A$2:$L$688, 'Fund Ranking_Equity (2)'!J$2,FALSE)</f>
        <v/>
      </c>
      <c r="K8" s="249">
        <f>VLOOKUP($B8, Sheet4!$A$2:$L$688, 'Fund Ranking_Equity (2)'!K$2,FALSE)</f>
        <v/>
      </c>
      <c r="L8" s="249">
        <f>VLOOKUP($B8, Sheet4!$A$2:$L$688, 'Fund Ranking_Equity (2)'!L$2,FALSE)</f>
        <v/>
      </c>
      <c r="M8" s="249">
        <f>VLOOKUP($B8, Sheet4!$A$2:$L$688, 'Fund Ranking_Equity (2)'!M$2,FALSE)</f>
        <v/>
      </c>
      <c r="N8" s="249">
        <f>VLOOKUP($B8, Sheet4!$A$2:$L$688, 'Fund Ranking_Equity (2)'!N$2,FALSE)</f>
        <v/>
      </c>
      <c r="O8" s="249">
        <f>VLOOKUP($B8, Sheet4!$A$2:$L$688, 'Fund Ranking_Equity (2)'!O$2,FALSE)</f>
        <v/>
      </c>
      <c r="P8" s="149">
        <f>(F8-MIN(F$6:F$12))/(MAX(F$6:F$12)-MIN(F$6:F$12))</f>
        <v/>
      </c>
      <c r="Q8" s="142">
        <f>(G8-MIN(G$6:G$12))/(MAX(G$6:G$12)-MIN(G$6:G$12))</f>
        <v/>
      </c>
      <c r="R8" s="142">
        <f>(H8-MIN(H$6:H$12))/(MAX(H$6:H$12)-MIN(H$6:H$12))</f>
        <v/>
      </c>
      <c r="S8" s="142">
        <f>(I8-MIN(I$6:I$12))/(MAX(I$6:I$12)-MIN(I$6:I$12))</f>
        <v/>
      </c>
      <c r="T8" s="142">
        <f>(J8-MIN(J$6:J$12))/(MAX(J$6:J$12)-MIN(J$6:J$12))</f>
        <v/>
      </c>
      <c r="U8" s="142">
        <f>(K8-MIN(K$6:K$12))/(MAX(K$6:K$12)-MIN(K$6:K$12))</f>
        <v/>
      </c>
      <c r="V8" s="142">
        <f>(MAX(L$6:L$12)-L8)/(MAX(L$6:L$12)-MIN(L$6:L$12))</f>
        <v/>
      </c>
      <c r="W8" s="142">
        <f>(MAX(M$6:M$12)-M8)/(MAX(M$6:M$12)-MIN(M$6:M$12))</f>
        <v/>
      </c>
      <c r="X8" s="142">
        <f>(MAX(N$6:N$12)-N8)/(MAX(N$6:N$12)-MIN(N$6:N$12))</f>
        <v/>
      </c>
      <c r="Y8" s="150">
        <f>(MAX(O$6:O$12)-O8)/(MAX(O$6:O$12)-MIN(O$6:O$12))</f>
        <v/>
      </c>
      <c r="Z8" s="143">
        <f>(P8*'Fund Ranking Criteria'!$C$9)+('Fund Ranking_Equity (2)'!Q8*'Fund Ranking Criteria'!$C$10)+('Fund Ranking_Equity (2)'!R8*'Fund Ranking Criteria'!$C$11)+('Fund Ranking_Equity (2)'!S8*'Fund Ranking Criteria'!$C$16)+('Fund Ranking_Equity (2)'!T8*'Fund Ranking Criteria'!#REF!)+('Fund Ranking_Equity (2)'!U8*'Fund Ranking Criteria'!$C$12)+('Fund Ranking_Equity (2)'!V8*'Fund Ranking Criteria'!#REF!)+('Fund Ranking_Equity (2)'!W8*'Fund Ranking Criteria'!#REF!)+('Fund Ranking_Equity (2)'!X8*'Fund Ranking Criteria'!$C$14)+('Fund Ranking_Equity (2)'!Y8*'Fund Ranking Criteria'!$C$15)</f>
        <v/>
      </c>
      <c r="AF8" s="42" t="n">
        <v>3</v>
      </c>
      <c r="AG8" s="42" t="n">
        <v>23</v>
      </c>
      <c r="AH8" s="149">
        <f>(AF8-MIN(AF$6:AF$10))/(MAX(AF$6:AF$10)-MIN(X$6:X$12))</f>
        <v/>
      </c>
      <c r="AI8" s="149">
        <f>(AG8-MIN(AG$6:AG$10))/(MAX(AG$6:AG$10)-MIN(Y$6:Y$12))</f>
        <v/>
      </c>
    </row>
    <row r="9">
      <c r="B9" s="117" t="inlineStr">
        <is>
          <t>Kotak Bluechip Fund - Regular Plan</t>
        </is>
      </c>
      <c r="C9" s="125">
        <f>RANK(Z9,$Z$6:$Z$12,0)</f>
        <v/>
      </c>
      <c r="D9" s="191">
        <f>B9</f>
        <v/>
      </c>
      <c r="E9" s="248">
        <f>VLOOKUP($B9, Sheet4!$A$2:$L$688, 'Fund Ranking_Equity (2)'!E$2,FALSE)</f>
        <v/>
      </c>
      <c r="F9" s="248">
        <f>VLOOKUP($B9, Sheet4!$A$2:$L$688, 'Fund Ranking_Equity (2)'!F$2,FALSE)</f>
        <v/>
      </c>
      <c r="G9" s="248">
        <f>VLOOKUP($B9, Sheet4!$A$2:$L$688, 'Fund Ranking_Equity (2)'!G$2,FALSE)</f>
        <v/>
      </c>
      <c r="H9" s="248">
        <f>VLOOKUP($B9, Sheet4!$A$2:$L$688, 'Fund Ranking_Equity (2)'!H$2,FALSE)</f>
        <v/>
      </c>
      <c r="I9" s="249">
        <f>VLOOKUP($B9, Sheet4!$A$2:$L$688, 'Fund Ranking_Equity (2)'!I$2,FALSE)</f>
        <v/>
      </c>
      <c r="J9" s="249">
        <f>VLOOKUP($B9, Sheet4!$A$2:$L$688, 'Fund Ranking_Equity (2)'!J$2,FALSE)</f>
        <v/>
      </c>
      <c r="K9" s="249">
        <f>VLOOKUP($B9, Sheet4!$A$2:$L$688, 'Fund Ranking_Equity (2)'!K$2,FALSE)</f>
        <v/>
      </c>
      <c r="L9" s="249">
        <f>VLOOKUP($B9, Sheet4!$A$2:$L$688, 'Fund Ranking_Equity (2)'!L$2,FALSE)</f>
        <v/>
      </c>
      <c r="M9" s="249">
        <f>VLOOKUP($B9, Sheet4!$A$2:$L$688, 'Fund Ranking_Equity (2)'!M$2,FALSE)</f>
        <v/>
      </c>
      <c r="N9" s="249">
        <f>VLOOKUP($B9, Sheet4!$A$2:$L$688, 'Fund Ranking_Equity (2)'!N$2,FALSE)</f>
        <v/>
      </c>
      <c r="O9" s="249">
        <f>VLOOKUP($B9, Sheet4!$A$2:$L$688, 'Fund Ranking_Equity (2)'!O$2,FALSE)</f>
        <v/>
      </c>
      <c r="P9" s="149">
        <f>(F9-MIN(F$6:F$12))/(MAX(F$6:F$12)-MIN(F$6:F$12))</f>
        <v/>
      </c>
      <c r="Q9" s="142">
        <f>(G9-MIN(G$6:G$12))/(MAX(G$6:G$12)-MIN(G$6:G$12))</f>
        <v/>
      </c>
      <c r="R9" s="142">
        <f>(H9-MIN(H$6:H$12))/(MAX(H$6:H$12)-MIN(H$6:H$12))</f>
        <v/>
      </c>
      <c r="S9" s="142">
        <f>(I9-MIN(I$6:I$12))/(MAX(I$6:I$12)-MIN(I$6:I$12))</f>
        <v/>
      </c>
      <c r="T9" s="142">
        <f>(J9-MIN(J$6:J$12))/(MAX(J$6:J$12)-MIN(J$6:J$12))</f>
        <v/>
      </c>
      <c r="U9" s="142">
        <f>(K9-MIN(K$6:K$12))/(MAX(K$6:K$12)-MIN(K$6:K$12))</f>
        <v/>
      </c>
      <c r="V9" s="142">
        <f>(MAX(L$6:L$12)-L9)/(MAX(L$6:L$12)-MIN(L$6:L$12))</f>
        <v/>
      </c>
      <c r="W9" s="142">
        <f>(MAX(M$6:M$12)-M9)/(MAX(M$6:M$12)-MIN(M$6:M$12))</f>
        <v/>
      </c>
      <c r="X9" s="142">
        <f>(MAX(N$6:N$12)-N9)/(MAX(N$6:N$12)-MIN(N$6:N$12))</f>
        <v/>
      </c>
      <c r="Y9" s="150">
        <f>(MAX(O$6:O$12)-O9)/(MAX(O$6:O$12)-MIN(O$6:O$12))</f>
        <v/>
      </c>
      <c r="Z9" s="143">
        <f>(P9*'Fund Ranking Criteria'!$C$9)+('Fund Ranking_Equity (2)'!Q9*'Fund Ranking Criteria'!$C$10)+('Fund Ranking_Equity (2)'!R9*'Fund Ranking Criteria'!$C$11)+('Fund Ranking_Equity (2)'!S9*'Fund Ranking Criteria'!$C$16)+('Fund Ranking_Equity (2)'!T9*'Fund Ranking Criteria'!#REF!)+('Fund Ranking_Equity (2)'!U9*'Fund Ranking Criteria'!$C$12)+('Fund Ranking_Equity (2)'!V9*'Fund Ranking Criteria'!#REF!)+('Fund Ranking_Equity (2)'!W9*'Fund Ranking Criteria'!#REF!)+('Fund Ranking_Equity (2)'!X9*'Fund Ranking Criteria'!$C$14)+('Fund Ranking_Equity (2)'!Y9*'Fund Ranking Criteria'!$C$15)</f>
        <v/>
      </c>
      <c r="AF9" s="42" t="n">
        <v>4</v>
      </c>
      <c r="AG9" s="42" t="n">
        <v>24</v>
      </c>
      <c r="AH9" s="149">
        <f>(AF9-MIN(AF$6:AF$10))/(MAX(AF$6:AF$10)-MIN(X$6:X$12))</f>
        <v/>
      </c>
      <c r="AI9" s="149">
        <f>(AG9-MIN(AG$6:AG$10))/(MAX(AG$6:AG$10)-MIN(Y$6:Y$12))</f>
        <v/>
      </c>
    </row>
    <row r="10">
      <c r="B10" s="117" t="inlineStr">
        <is>
          <t>Nippon India Large Cap Fund</t>
        </is>
      </c>
      <c r="C10" s="125">
        <f>RANK(Z10,$Z$6:$Z$12,0)</f>
        <v/>
      </c>
      <c r="D10" s="191">
        <f>B10</f>
        <v/>
      </c>
      <c r="E10" s="248">
        <f>VLOOKUP($B10, Sheet4!$A$2:$L$688, 'Fund Ranking_Equity (2)'!E$2,FALSE)</f>
        <v/>
      </c>
      <c r="F10" s="248">
        <f>VLOOKUP($B10, Sheet4!$A$2:$L$688, 'Fund Ranking_Equity (2)'!F$2,FALSE)</f>
        <v/>
      </c>
      <c r="G10" s="248">
        <f>VLOOKUP($B10, Sheet4!$A$2:$L$688, 'Fund Ranking_Equity (2)'!G$2,FALSE)</f>
        <v/>
      </c>
      <c r="H10" s="248">
        <f>VLOOKUP($B10, Sheet4!$A$2:$L$688, 'Fund Ranking_Equity (2)'!H$2,FALSE)</f>
        <v/>
      </c>
      <c r="I10" s="249">
        <f>VLOOKUP($B10, Sheet4!$A$2:$L$688, 'Fund Ranking_Equity (2)'!I$2,FALSE)</f>
        <v/>
      </c>
      <c r="J10" s="249">
        <f>VLOOKUP($B10, Sheet4!$A$2:$L$688, 'Fund Ranking_Equity (2)'!J$2,FALSE)</f>
        <v/>
      </c>
      <c r="K10" s="249">
        <f>VLOOKUP($B10, Sheet4!$A$2:$L$688, 'Fund Ranking_Equity (2)'!K$2,FALSE)</f>
        <v/>
      </c>
      <c r="L10" s="249">
        <f>VLOOKUP($B10, Sheet4!$A$2:$L$688, 'Fund Ranking_Equity (2)'!L$2,FALSE)</f>
        <v/>
      </c>
      <c r="M10" s="249">
        <f>VLOOKUP($B10, Sheet4!$A$2:$L$688, 'Fund Ranking_Equity (2)'!M$2,FALSE)</f>
        <v/>
      </c>
      <c r="N10" s="249">
        <f>VLOOKUP($B10, Sheet4!$A$2:$L$688, 'Fund Ranking_Equity (2)'!N$2,FALSE)</f>
        <v/>
      </c>
      <c r="O10" s="249">
        <f>VLOOKUP($B10, Sheet4!$A$2:$L$688, 'Fund Ranking_Equity (2)'!O$2,FALSE)</f>
        <v/>
      </c>
      <c r="P10" s="149">
        <f>(F10-MIN(F$6:F$12))/(MAX(F$6:F$12)-MIN(F$6:F$12))</f>
        <v/>
      </c>
      <c r="Q10" s="142">
        <f>(G10-MIN(G$6:G$12))/(MAX(G$6:G$12)-MIN(G$6:G$12))</f>
        <v/>
      </c>
      <c r="R10" s="142">
        <f>(H10-MIN(H$6:H$12))/(MAX(H$6:H$12)-MIN(H$6:H$12))</f>
        <v/>
      </c>
      <c r="S10" s="142">
        <f>(I10-MIN(I$6:I$12))/(MAX(I$6:I$12)-MIN(I$6:I$12))</f>
        <v/>
      </c>
      <c r="T10" s="142">
        <f>(J10-MIN(J$6:J$12))/(MAX(J$6:J$12)-MIN(J$6:J$12))</f>
        <v/>
      </c>
      <c r="U10" s="142">
        <f>(K10-MIN(K$6:K$12))/(MAX(K$6:K$12)-MIN(K$6:K$12))</f>
        <v/>
      </c>
      <c r="V10" s="142">
        <f>(MAX(L$6:L$12)-L10)/(MAX(L$6:L$12)-MIN(L$6:L$12))</f>
        <v/>
      </c>
      <c r="W10" s="142">
        <f>(MAX(M$6:M$12)-M10)/(MAX(M$6:M$12)-MIN(M$6:M$12))</f>
        <v/>
      </c>
      <c r="X10" s="142">
        <f>(MAX(N$6:N$12)-N10)/(MAX(N$6:N$12)-MIN(N$6:N$12))</f>
        <v/>
      </c>
      <c r="Y10" s="150">
        <f>(MAX(O$6:O$12)-O10)/(MAX(O$6:O$12)-MIN(O$6:O$12))</f>
        <v/>
      </c>
      <c r="Z10" s="143">
        <f>(P10*'Fund Ranking Criteria'!$C$9)+('Fund Ranking_Equity (2)'!Q10*'Fund Ranking Criteria'!$C$10)+('Fund Ranking_Equity (2)'!R10*'Fund Ranking Criteria'!$C$11)+('Fund Ranking_Equity (2)'!S10*'Fund Ranking Criteria'!$C$16)+('Fund Ranking_Equity (2)'!T10*'Fund Ranking Criteria'!#REF!)+('Fund Ranking_Equity (2)'!U10*'Fund Ranking Criteria'!$C$12)+('Fund Ranking_Equity (2)'!V10*'Fund Ranking Criteria'!#REF!)+('Fund Ranking_Equity (2)'!W10*'Fund Ranking Criteria'!#REF!)+('Fund Ranking_Equity (2)'!X10*'Fund Ranking Criteria'!$C$14)+('Fund Ranking_Equity (2)'!Y10*'Fund Ranking Criteria'!$C$15)</f>
        <v/>
      </c>
      <c r="AF10" s="42" t="n">
        <v>5</v>
      </c>
      <c r="AG10" s="42" t="n">
        <v>25</v>
      </c>
      <c r="AH10" s="149">
        <f>(AF10-MIN(AF$6:AF$10))/(MAX(AF$6:AF$10)-MIN(X$6:X$12))</f>
        <v/>
      </c>
      <c r="AI10" s="149">
        <f>(AG10-MIN(AG$6:AG$10))/(MAX(AG$6:AG$10)-MIN(Y$6:Y$12))</f>
        <v/>
      </c>
    </row>
    <row r="11">
      <c r="B11" s="117" t="inlineStr">
        <is>
          <t>SBI Bluechip Fund</t>
        </is>
      </c>
      <c r="C11" s="125">
        <f>RANK(Z11,$Z$6:$Z$12,0)</f>
        <v/>
      </c>
      <c r="D11" s="191">
        <f>B11</f>
        <v/>
      </c>
      <c r="E11" s="248">
        <f>VLOOKUP($B11, Sheet4!$A$2:$L$688, 'Fund Ranking_Equity (2)'!E$2,FALSE)</f>
        <v/>
      </c>
      <c r="F11" s="248">
        <f>VLOOKUP($B11, Sheet4!$A$2:$L$688, 'Fund Ranking_Equity (2)'!F$2,FALSE)</f>
        <v/>
      </c>
      <c r="G11" s="248">
        <f>VLOOKUP($B11, Sheet4!$A$2:$L$688, 'Fund Ranking_Equity (2)'!G$2,FALSE)</f>
        <v/>
      </c>
      <c r="H11" s="248">
        <f>VLOOKUP($B11, Sheet4!$A$2:$L$688, 'Fund Ranking_Equity (2)'!H$2,FALSE)</f>
        <v/>
      </c>
      <c r="I11" s="249">
        <f>VLOOKUP($B11, Sheet4!$A$2:$L$688, 'Fund Ranking_Equity (2)'!I$2,FALSE)</f>
        <v/>
      </c>
      <c r="J11" s="249">
        <f>VLOOKUP($B11, Sheet4!$A$2:$L$688, 'Fund Ranking_Equity (2)'!J$2,FALSE)</f>
        <v/>
      </c>
      <c r="K11" s="249">
        <f>VLOOKUP($B11, Sheet4!$A$2:$L$688, 'Fund Ranking_Equity (2)'!K$2,FALSE)</f>
        <v/>
      </c>
      <c r="L11" s="249">
        <f>VLOOKUP($B11, Sheet4!$A$2:$L$688, 'Fund Ranking_Equity (2)'!L$2,FALSE)</f>
        <v/>
      </c>
      <c r="M11" s="249">
        <f>VLOOKUP($B11, Sheet4!$A$2:$L$688, 'Fund Ranking_Equity (2)'!M$2,FALSE)</f>
        <v/>
      </c>
      <c r="N11" s="249">
        <f>VLOOKUP($B11, Sheet4!$A$2:$L$688, 'Fund Ranking_Equity (2)'!N$2,FALSE)</f>
        <v/>
      </c>
      <c r="O11" s="249">
        <f>VLOOKUP($B11, Sheet4!$A$2:$L$688, 'Fund Ranking_Equity (2)'!O$2,FALSE)</f>
        <v/>
      </c>
      <c r="P11" s="149">
        <f>(F11-MIN(F$6:F$12))/(MAX(F$6:F$12)-MIN(F$6:F$12))</f>
        <v/>
      </c>
      <c r="Q11" s="142">
        <f>(G11-MIN(G$6:G$12))/(MAX(G$6:G$12)-MIN(G$6:G$12))</f>
        <v/>
      </c>
      <c r="R11" s="142">
        <f>(H11-MIN(H$6:H$12))/(MAX(H$6:H$12)-MIN(H$6:H$12))</f>
        <v/>
      </c>
      <c r="S11" s="142">
        <f>(I11-MIN(I$6:I$12))/(MAX(I$6:I$12)-MIN(I$6:I$12))</f>
        <v/>
      </c>
      <c r="T11" s="142">
        <f>(J11-MIN(J$6:J$12))/(MAX(J$6:J$12)-MIN(J$6:J$12))</f>
        <v/>
      </c>
      <c r="U11" s="142">
        <f>(K11-MIN(K$6:K$12))/(MAX(K$6:K$12)-MIN(K$6:K$12))</f>
        <v/>
      </c>
      <c r="V11" s="142">
        <f>(MAX(L$6:L$12)-L11)/(MAX(L$6:L$12)-MIN(L$6:L$12))</f>
        <v/>
      </c>
      <c r="W11" s="142">
        <f>(MAX(M$6:M$12)-M11)/(MAX(M$6:M$12)-MIN(M$6:M$12))</f>
        <v/>
      </c>
      <c r="X11" s="142">
        <f>(MAX(N$6:N$12)-N11)/(MAX(N$6:N$12)-MIN(N$6:N$12))</f>
        <v/>
      </c>
      <c r="Y11" s="150">
        <f>(MAX(O$6:O$12)-O11)/(MAX(O$6:O$12)-MIN(O$6:O$12))</f>
        <v/>
      </c>
      <c r="Z11" s="143">
        <f>(P11*'Fund Ranking Criteria'!$C$9)+('Fund Ranking_Equity (2)'!Q11*'Fund Ranking Criteria'!$C$10)+('Fund Ranking_Equity (2)'!R11*'Fund Ranking Criteria'!$C$11)+('Fund Ranking_Equity (2)'!S11*'Fund Ranking Criteria'!$C$16)+('Fund Ranking_Equity (2)'!T11*'Fund Ranking Criteria'!#REF!)+('Fund Ranking_Equity (2)'!U11*'Fund Ranking Criteria'!$C$12)+('Fund Ranking_Equity (2)'!V11*'Fund Ranking Criteria'!#REF!)+('Fund Ranking_Equity (2)'!W11*'Fund Ranking Criteria'!#REF!)+('Fund Ranking_Equity (2)'!X11*'Fund Ranking Criteria'!$C$14)+('Fund Ranking_Equity (2)'!Y11*'Fund Ranking Criteria'!$C$15)</f>
        <v/>
      </c>
    </row>
    <row r="12" ht="15" customHeight="1" thickBot="1">
      <c r="B12" s="118" t="inlineStr">
        <is>
          <t>UTI Large Cap Fund - Regular Plan</t>
        </is>
      </c>
      <c r="C12" s="126">
        <f>RANK(Z12,$Z$6:$Z$12,0)</f>
        <v/>
      </c>
      <c r="D12" s="191">
        <f>B12</f>
        <v/>
      </c>
      <c r="E12" s="251">
        <f>VLOOKUP($B12, Sheet4!$A$2:$L$688, 'Fund Ranking_Equity (2)'!E$2,FALSE)</f>
        <v/>
      </c>
      <c r="F12" s="251">
        <f>VLOOKUP($B12, Sheet4!$A$2:$L$688, 'Fund Ranking_Equity (2)'!F$2,FALSE)</f>
        <v/>
      </c>
      <c r="G12" s="251">
        <f>VLOOKUP($B12, Sheet4!$A$2:$L$688, 'Fund Ranking_Equity (2)'!G$2,FALSE)</f>
        <v/>
      </c>
      <c r="H12" s="251">
        <f>VLOOKUP($B12, Sheet4!$A$2:$L$688, 'Fund Ranking_Equity (2)'!H$2,FALSE)</f>
        <v/>
      </c>
      <c r="I12" s="250">
        <f>VLOOKUP($B12, Sheet4!$A$2:$L$688, 'Fund Ranking_Equity (2)'!I$2,FALSE)</f>
        <v/>
      </c>
      <c r="J12" s="250">
        <f>VLOOKUP($B12, Sheet4!$A$2:$L$688, 'Fund Ranking_Equity (2)'!J$2,FALSE)</f>
        <v/>
      </c>
      <c r="K12" s="250">
        <f>VLOOKUP($B12, Sheet4!$A$2:$L$688, 'Fund Ranking_Equity (2)'!K$2,FALSE)</f>
        <v/>
      </c>
      <c r="L12" s="250">
        <f>VLOOKUP($B12, Sheet4!$A$2:$L$688, 'Fund Ranking_Equity (2)'!L$2,FALSE)</f>
        <v/>
      </c>
      <c r="M12" s="250">
        <f>VLOOKUP($B12, Sheet4!$A$2:$L$688, 'Fund Ranking_Equity (2)'!M$2,FALSE)</f>
        <v/>
      </c>
      <c r="N12" s="250">
        <f>VLOOKUP($B12, Sheet4!$A$2:$L$688, 'Fund Ranking_Equity (2)'!N$2,FALSE)</f>
        <v/>
      </c>
      <c r="O12" s="250">
        <f>VLOOKUP($B12, Sheet4!$A$2:$L$688, 'Fund Ranking_Equity (2)'!O$2,FALSE)</f>
        <v/>
      </c>
      <c r="P12" s="151">
        <f>(F12-MIN(F$6:F$12))/(MAX(F$6:F$12)-MIN(F$6:F$12))</f>
        <v/>
      </c>
      <c r="Q12" s="144">
        <f>(G12-MIN(G$6:G$12))/(MAX(G$6:G$12)-MIN(G$6:G$12))</f>
        <v/>
      </c>
      <c r="R12" s="144">
        <f>(H12-MIN(H$6:H$12))/(MAX(H$6:H$12)-MIN(H$6:H$12))</f>
        <v/>
      </c>
      <c r="S12" s="144">
        <f>(I12-MIN(I$6:I$12))/(MAX(I$6:I$12)-MIN(I$6:I$12))</f>
        <v/>
      </c>
      <c r="T12" s="144">
        <f>(J12-MIN(J$6:J$12))/(MAX(J$6:J$12)-MIN(J$6:J$12))</f>
        <v/>
      </c>
      <c r="U12" s="144">
        <f>(K12-MIN(K$6:K$12))/(MAX(K$6:K$12)-MIN(K$6:K$12))</f>
        <v/>
      </c>
      <c r="V12" s="144">
        <f>(MAX(L$6:L$12)-L12)/(MAX(L$6:L$12)-MIN(L$6:L$12))</f>
        <v/>
      </c>
      <c r="W12" s="144">
        <f>(MAX(M$6:M$12)-M12)/(MAX(M$6:M$12)-MIN(M$6:M$12))</f>
        <v/>
      </c>
      <c r="X12" s="144">
        <f>(MAX(N$6:N$12)-N12)/(MAX(N$6:N$12)-MIN(N$6:N$12))</f>
        <v/>
      </c>
      <c r="Y12" s="152">
        <f>(MAX(O$6:O$12)-O12)/(MAX(O$6:O$12)-MIN(O$6:O$12))</f>
        <v/>
      </c>
      <c r="Z12" s="145">
        <f>(P12*'Fund Ranking Criteria'!$C$9)+('Fund Ranking_Equity (2)'!Q12*'Fund Ranking Criteria'!$C$10)+('Fund Ranking_Equity (2)'!R12*'Fund Ranking Criteria'!$C$11)+('Fund Ranking_Equity (2)'!S12*'Fund Ranking Criteria'!$C$16)+('Fund Ranking_Equity (2)'!T12*'Fund Ranking Criteria'!#REF!)+('Fund Ranking_Equity (2)'!U12*'Fund Ranking Criteria'!$C$12)+('Fund Ranking_Equity (2)'!V12*'Fund Ranking Criteria'!#REF!)+('Fund Ranking_Equity (2)'!W12*'Fund Ranking Criteria'!#REF!)+('Fund Ranking_Equity (2)'!X12*'Fund Ranking Criteria'!$C$14)+('Fund Ranking_Equity (2)'!Y12*'Fund Ranking Criteria'!$C$15)</f>
        <v/>
      </c>
    </row>
  </sheetData>
  <mergeCells count="4">
    <mergeCell ref="B3:Z3"/>
    <mergeCell ref="P4:Y4"/>
    <mergeCell ref="Z4:Z5"/>
    <mergeCell ref="E4:O4"/>
  </mergeCells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B1:Z13"/>
  <sheetViews>
    <sheetView zoomScale="80" zoomScaleNormal="90" workbookViewId="0">
      <pane xSplit="2" topLeftCell="C1" activePane="topRight" state="frozen"/>
      <selection activeCell="A12" sqref="A12"/>
      <selection pane="topRight" activeCell="A15" sqref="A15:XFD1048576"/>
    </sheetView>
  </sheetViews>
  <sheetFormatPr baseColWidth="8" defaultColWidth="8.7109375" defaultRowHeight="15"/>
  <cols>
    <col width="8.7109375" customWidth="1" style="42" min="1" max="1"/>
    <col width="46.42578125" bestFit="1" customWidth="1" style="1" min="2" max="2"/>
    <col width="7.140625" customWidth="1" style="42" min="3" max="3"/>
    <col hidden="1" width="7.140625" customWidth="1" style="42" min="4" max="4"/>
    <col width="13.140625" customWidth="1" style="42" min="5" max="7"/>
    <col width="11.7109375" customWidth="1" style="42" min="8" max="8"/>
    <col width="8.7109375" customWidth="1" style="42" min="9" max="25"/>
    <col width="8.7109375" customWidth="1" style="146" min="26" max="26"/>
    <col width="8.7109375" customWidth="1" style="42" min="27" max="33"/>
    <col width="8.7109375" customWidth="1" style="42" min="34" max="16384"/>
  </cols>
  <sheetData>
    <row r="1">
      <c r="B1" s="1" t="inlineStr">
        <is>
          <t>(Match with  morningstar)</t>
        </is>
      </c>
    </row>
    <row r="2">
      <c r="B2" s="1" t="inlineStr">
        <is>
          <t>Model Portfolio</t>
        </is>
      </c>
      <c r="E2" s="42" t="n">
        <v>2</v>
      </c>
      <c r="F2" s="84">
        <f>E2+1</f>
        <v/>
      </c>
      <c r="G2" s="84">
        <f>F2+1</f>
        <v/>
      </c>
      <c r="H2" s="84">
        <f>G2+1</f>
        <v/>
      </c>
      <c r="I2" s="84">
        <f>H2+1</f>
        <v/>
      </c>
      <c r="J2" s="84">
        <f>I2+1</f>
        <v/>
      </c>
      <c r="K2" s="84">
        <f>J2+1</f>
        <v/>
      </c>
      <c r="L2" s="84">
        <f>K2+1</f>
        <v/>
      </c>
      <c r="M2" s="84">
        <f>L2+1</f>
        <v/>
      </c>
      <c r="N2" s="84">
        <f>M2+1</f>
        <v/>
      </c>
      <c r="O2" s="84">
        <f>N2+1</f>
        <v/>
      </c>
    </row>
    <row r="3" ht="15" customHeight="1" thickBot="1"/>
    <row r="4">
      <c r="B4" s="437" t="inlineStr">
        <is>
          <t>Equity Large &amp; Mid Cap</t>
        </is>
      </c>
      <c r="C4" s="401" t="n"/>
      <c r="D4" s="401" t="n"/>
      <c r="E4" s="401" t="n"/>
      <c r="F4" s="401" t="n"/>
      <c r="G4" s="401" t="n"/>
      <c r="H4" s="401" t="n"/>
      <c r="I4" s="401" t="n"/>
      <c r="J4" s="401" t="n"/>
      <c r="K4" s="401" t="n"/>
      <c r="L4" s="401" t="n"/>
      <c r="M4" s="401" t="n"/>
      <c r="N4" s="401" t="n"/>
      <c r="O4" s="401" t="n"/>
      <c r="P4" s="401" t="n"/>
      <c r="Q4" s="401" t="n"/>
      <c r="R4" s="401" t="n"/>
      <c r="S4" s="401" t="n"/>
      <c r="T4" s="401" t="n"/>
      <c r="U4" s="401" t="n"/>
      <c r="V4" s="401" t="n"/>
      <c r="W4" s="401" t="n"/>
      <c r="X4" s="401" t="n"/>
      <c r="Y4" s="401" t="n"/>
      <c r="Z4" s="303" t="n"/>
    </row>
    <row r="5" ht="15" customHeight="1" thickBot="1">
      <c r="B5" s="153" t="n"/>
      <c r="C5" s="154" t="n"/>
      <c r="D5" s="154" t="n"/>
      <c r="E5" s="439" t="inlineStr">
        <is>
          <t>Actuals</t>
        </is>
      </c>
      <c r="F5" s="440" t="n"/>
      <c r="G5" s="440" t="n"/>
      <c r="H5" s="440" t="n"/>
      <c r="I5" s="440" t="n"/>
      <c r="J5" s="440" t="n"/>
      <c r="K5" s="440" t="n"/>
      <c r="L5" s="440" t="n"/>
      <c r="M5" s="440" t="n"/>
      <c r="N5" s="440" t="n"/>
      <c r="O5" s="441" t="n"/>
      <c r="P5" s="434" t="inlineStr">
        <is>
          <t>Normalized</t>
        </is>
      </c>
      <c r="Q5" s="435" t="n"/>
      <c r="R5" s="435" t="n"/>
      <c r="S5" s="435" t="n"/>
      <c r="T5" s="435" t="n"/>
      <c r="U5" s="435" t="n"/>
      <c r="V5" s="435" t="n"/>
      <c r="W5" s="435" t="n"/>
      <c r="X5" s="435" t="n"/>
      <c r="Y5" s="436" t="n"/>
      <c r="Z5" s="438" t="inlineStr">
        <is>
          <t>Score</t>
        </is>
      </c>
    </row>
    <row r="6" ht="29.1" customHeight="1">
      <c r="B6" s="129" t="inlineStr">
        <is>
          <t>Funds</t>
        </is>
      </c>
      <c r="C6" s="127" t="inlineStr">
        <is>
          <t>Rank</t>
        </is>
      </c>
      <c r="D6" s="127" t="n"/>
      <c r="E6" s="113" t="inlineStr">
        <is>
          <t>1 Yr Ret (%)</t>
        </is>
      </c>
      <c r="F6" s="128" t="inlineStr">
        <is>
          <t>3 Yr Ret (%)</t>
        </is>
      </c>
      <c r="G6" s="128" t="inlineStr">
        <is>
          <t>5 Yr Ret (%)</t>
        </is>
      </c>
      <c r="H6" s="128" t="inlineStr">
        <is>
          <t>10 Yr Ret (%)</t>
        </is>
      </c>
      <c r="I6" s="128" t="inlineStr">
        <is>
          <t>Sharpe</t>
        </is>
      </c>
      <c r="J6" s="128" t="inlineStr">
        <is>
          <t>Sortino</t>
        </is>
      </c>
      <c r="K6" s="128" t="inlineStr">
        <is>
          <t>Alpha</t>
        </is>
      </c>
      <c r="L6" s="128" t="inlineStr">
        <is>
          <t>Expense Ratio</t>
        </is>
      </c>
      <c r="M6" s="128" t="inlineStr">
        <is>
          <t>Turnover Ratio</t>
        </is>
      </c>
      <c r="N6" s="128" t="inlineStr">
        <is>
          <t>Beta</t>
        </is>
      </c>
      <c r="O6" s="128" t="inlineStr">
        <is>
          <t>SD</t>
        </is>
      </c>
      <c r="P6" s="123">
        <f>F6</f>
        <v/>
      </c>
      <c r="Q6" s="123">
        <f>G6</f>
        <v/>
      </c>
      <c r="R6" s="123">
        <f>H6</f>
        <v/>
      </c>
      <c r="S6" s="123" t="inlineStr">
        <is>
          <t>Sharpe</t>
        </is>
      </c>
      <c r="T6" s="123" t="inlineStr">
        <is>
          <t>Sortino</t>
        </is>
      </c>
      <c r="U6" s="123" t="inlineStr">
        <is>
          <t>Alpha</t>
        </is>
      </c>
      <c r="V6" s="121" t="inlineStr">
        <is>
          <t>Expense Ratio</t>
        </is>
      </c>
      <c r="W6" s="122" t="inlineStr">
        <is>
          <t>Turnover Ratio</t>
        </is>
      </c>
      <c r="X6" s="121" t="inlineStr">
        <is>
          <t>Beta</t>
        </is>
      </c>
      <c r="Y6" s="121" t="inlineStr">
        <is>
          <t>SD</t>
        </is>
      </c>
      <c r="Z6" s="414" t="n"/>
    </row>
    <row r="7" ht="30" customHeight="1">
      <c r="B7" s="119" t="inlineStr">
        <is>
          <t>Aditya Birla Sun Life Large &amp; Mid Cap Fund - Regular Plan</t>
        </is>
      </c>
      <c r="C7" s="125">
        <f>RANK(Z7,$Z$7:$Z$13,0)</f>
        <v/>
      </c>
      <c r="D7" s="191">
        <f>B7</f>
        <v/>
      </c>
      <c r="E7" s="248">
        <f>VLOOKUP($B7, Sheet4!$A$2:$L$688, 'Fund Ranking_Equity (3)'!E$2,FALSE)</f>
        <v/>
      </c>
      <c r="F7" s="252">
        <f>VLOOKUP($B7, Sheet4!$A$2:$L$688, 'Fund Ranking_Equity (3)'!F$2,FALSE)</f>
        <v/>
      </c>
      <c r="G7" s="248">
        <f>VLOOKUP($B7, Sheet4!$A$2:$L$688, 'Fund Ranking_Equity (3)'!G$2,FALSE)</f>
        <v/>
      </c>
      <c r="H7" s="248">
        <f>VLOOKUP($B7, Sheet4!$A$2:$L$688, 'Fund Ranking_Equity (3)'!H$2,FALSE)</f>
        <v/>
      </c>
      <c r="I7" s="249">
        <f>VLOOKUP($B7, Sheet4!$A$2:$L$688, 'Fund Ranking_Equity (3)'!I$2,FALSE)</f>
        <v/>
      </c>
      <c r="J7" s="249">
        <f>VLOOKUP($B7, Sheet4!$A$2:$L$688, 'Fund Ranking_Equity (3)'!J$2,FALSE)</f>
        <v/>
      </c>
      <c r="K7" s="249">
        <f>VLOOKUP($B7, Sheet4!$A$2:$L$688, 'Fund Ranking_Equity (3)'!K$2,FALSE)</f>
        <v/>
      </c>
      <c r="L7" s="249">
        <f>VLOOKUP($B7, Sheet4!$A$2:$L$688, 'Fund Ranking_Equity (3)'!L$2,FALSE)</f>
        <v/>
      </c>
      <c r="M7" s="253">
        <f>VLOOKUP($B7, Sheet4!$A$2:$L$688, 'Fund Ranking_Equity (3)'!M$2,FALSE)</f>
        <v/>
      </c>
      <c r="N7" s="249">
        <f>VLOOKUP($B7, Sheet4!$A$2:$L$688, 'Fund Ranking_Equity (3)'!N$2,FALSE)</f>
        <v/>
      </c>
      <c r="O7" s="249">
        <f>VLOOKUP($B7, Sheet4!$A$2:$L$688, 'Fund Ranking_Equity (3)'!O$2,FALSE)</f>
        <v/>
      </c>
      <c r="P7" s="142">
        <f>(F7-MIN(F$7:F$13))/(MAX(F$7:F$13)-MIN(F$7:F$13))</f>
        <v/>
      </c>
      <c r="Q7" s="142">
        <f>(G7-MIN(G$7:G$13))/(MAX(G$7:G$13)-MIN(G$7:G$13))</f>
        <v/>
      </c>
      <c r="R7" s="142">
        <f>(H7-MIN(H$7:H$13))/(MAX(H$7:H$13)-MIN(H$7:H$13))</f>
        <v/>
      </c>
      <c r="S7" s="142">
        <f>(I7-MIN(I$7:I$13))/(MAX(I$7:I$13)-MIN(I$7:I$13))</f>
        <v/>
      </c>
      <c r="T7" s="142">
        <f>(J7-MIN(J$7:J$13))/(MAX(J$7:J$13)-MIN(J$7:J$13))</f>
        <v/>
      </c>
      <c r="U7" s="142">
        <f>(K7-MIN(K$7:K$13))/(MAX(K$7:K$13)-MIN(K$7:K$13))</f>
        <v/>
      </c>
      <c r="V7" s="142">
        <f>(MAX(L$7:L$13)-L7)/(MAX(L$7:L$13)-MIN(L$7:L$13))</f>
        <v/>
      </c>
      <c r="W7" s="142">
        <f>(MAX(M$7:M$13)-M7)/(MAX(M$7:M$13)-MIN(M$7:M$13))</f>
        <v/>
      </c>
      <c r="X7" s="142">
        <f>(MAX(N$7:N$13)-N7)/(MAX(N$7:N$13)-MIN(N$7:N$13))</f>
        <v/>
      </c>
      <c r="Y7" s="142">
        <f>(MAX(O$7:O$13)-O7)/(MAX(O$7:O$13)-MIN(O$7:O$13))</f>
        <v/>
      </c>
      <c r="Z7" s="143">
        <f>(P7*'Fund Ranking Criteria'!$D$9)+('Fund Ranking_Equity (3)'!Q7*'Fund Ranking Criteria'!$D$10)+('Fund Ranking_Equity (3)'!R7*'Fund Ranking Criteria'!$D$11)+('Fund Ranking_Equity (3)'!S7*'Fund Ranking Criteria'!$D$16)+('Fund Ranking_Equity (3)'!T7*'Fund Ranking Criteria'!#REF!)+('Fund Ranking_Equity (3)'!U7*'Fund Ranking Criteria'!$D$12)+('Fund Ranking_Equity (3)'!V7*'Fund Ranking Criteria'!#REF!)+('Fund Ranking_Equity (3)'!W7*'Fund Ranking Criteria'!#REF!)+('Fund Ranking_Equity (3)'!X7*'Fund Ranking Criteria'!$D$14)+('Fund Ranking_Equity (3)'!Y7*'Fund Ranking Criteria'!$D$15)</f>
        <v/>
      </c>
    </row>
    <row r="8">
      <c r="B8" s="119" t="inlineStr">
        <is>
          <t>HDFC Large and Mid Cap Fund - Regular Plan</t>
        </is>
      </c>
      <c r="C8" s="125">
        <f>RANK(Z8,$Z$7:$Z$13,0)</f>
        <v/>
      </c>
      <c r="D8" s="191">
        <f>B8</f>
        <v/>
      </c>
      <c r="E8" s="248">
        <f>VLOOKUP($B8, Sheet4!$A$2:$L$688, 'Fund Ranking_Equity (3)'!E$2,FALSE)</f>
        <v/>
      </c>
      <c r="F8" s="252">
        <f>VLOOKUP($B8, Sheet4!$A$2:$L$688, 'Fund Ranking_Equity (3)'!F$2,FALSE)</f>
        <v/>
      </c>
      <c r="G8" s="248">
        <f>VLOOKUP($B8, Sheet4!$A$2:$L$688, 'Fund Ranking_Equity (3)'!G$2,FALSE)</f>
        <v/>
      </c>
      <c r="H8" s="248">
        <f>VLOOKUP($B8, Sheet4!$A$2:$L$688, 'Fund Ranking_Equity (3)'!H$2,FALSE)</f>
        <v/>
      </c>
      <c r="I8" s="249">
        <f>VLOOKUP($B8, Sheet4!$A$2:$L$688, 'Fund Ranking_Equity (3)'!I$2,FALSE)</f>
        <v/>
      </c>
      <c r="J8" s="249">
        <f>VLOOKUP($B8, Sheet4!$A$2:$L$688, 'Fund Ranking_Equity (3)'!J$2,FALSE)</f>
        <v/>
      </c>
      <c r="K8" s="249">
        <f>VLOOKUP($B8, Sheet4!$A$2:$L$688, 'Fund Ranking_Equity (3)'!K$2,FALSE)</f>
        <v/>
      </c>
      <c r="L8" s="249">
        <f>VLOOKUP($B8, Sheet4!$A$2:$L$688, 'Fund Ranking_Equity (3)'!L$2,FALSE)</f>
        <v/>
      </c>
      <c r="M8" s="253">
        <f>VLOOKUP($B8, Sheet4!$A$2:$L$688, 'Fund Ranking_Equity (3)'!M$2,FALSE)</f>
        <v/>
      </c>
      <c r="N8" s="249">
        <f>VLOOKUP($B8, Sheet4!$A$2:$L$688, 'Fund Ranking_Equity (3)'!N$2,FALSE)</f>
        <v/>
      </c>
      <c r="O8" s="249">
        <f>VLOOKUP($B8, Sheet4!$A$2:$L$688, 'Fund Ranking_Equity (3)'!O$2,FALSE)</f>
        <v/>
      </c>
      <c r="P8" s="142">
        <f>(F8-MIN(F$7:F$13))/(MAX(F$7:F$13)-MIN(F$7:F$13))</f>
        <v/>
      </c>
      <c r="Q8" s="142">
        <f>(G8-MIN(G$7:G$13))/(MAX(G$7:G$13)-MIN(G$7:G$13))</f>
        <v/>
      </c>
      <c r="R8" s="142">
        <f>(H8-MIN(H$7:H$13))/(MAX(H$7:H$13)-MIN(H$7:H$13))</f>
        <v/>
      </c>
      <c r="S8" s="142">
        <f>(I8-MIN(I$7:I$13))/(MAX(I$7:I$13)-MIN(I$7:I$13))</f>
        <v/>
      </c>
      <c r="T8" s="142">
        <f>(J8-MIN(J$7:J$13))/(MAX(J$7:J$13)-MIN(J$7:J$13))</f>
        <v/>
      </c>
      <c r="U8" s="142">
        <f>(K8-MIN(K$7:K$13))/(MAX(K$7:K$13)-MIN(K$7:K$13))</f>
        <v/>
      </c>
      <c r="V8" s="142">
        <f>(MAX(L$7:L$13)-L8)/(MAX(L$7:L$13)-MIN(L$7:L$13))</f>
        <v/>
      </c>
      <c r="W8" s="142">
        <f>(MAX(M$7:M$13)-M8)/(MAX(M$7:M$13)-MIN(M$7:M$13))</f>
        <v/>
      </c>
      <c r="X8" s="142">
        <f>(MAX(N$7:N$13)-N8)/(MAX(N$7:N$13)-MIN(N$7:N$13))</f>
        <v/>
      </c>
      <c r="Y8" s="142">
        <f>(MAX(O$7:O$13)-O8)/(MAX(O$7:O$13)-MIN(O$7:O$13))</f>
        <v/>
      </c>
      <c r="Z8" s="143">
        <f>(P8*'Fund Ranking Criteria'!$D$9)+('Fund Ranking_Equity (3)'!Q8*'Fund Ranking Criteria'!$D$10)+('Fund Ranking_Equity (3)'!R8*'Fund Ranking Criteria'!$D$11)+('Fund Ranking_Equity (3)'!S8*'Fund Ranking Criteria'!$D$16)+('Fund Ranking_Equity (3)'!T8*'Fund Ranking Criteria'!#REF!)+('Fund Ranking_Equity (3)'!U8*'Fund Ranking Criteria'!$D$12)+('Fund Ranking_Equity (3)'!V8*'Fund Ranking Criteria'!#REF!)+('Fund Ranking_Equity (3)'!W8*'Fund Ranking Criteria'!#REF!)+('Fund Ranking_Equity (3)'!X8*'Fund Ranking Criteria'!$D$14)+('Fund Ranking_Equity (3)'!Y8*'Fund Ranking Criteria'!$D$15)</f>
        <v/>
      </c>
    </row>
    <row r="9">
      <c r="B9" s="119" t="inlineStr">
        <is>
          <t>ICICI Prudential Large &amp; Mid Cap Fund</t>
        </is>
      </c>
      <c r="C9" s="125">
        <f>RANK(Z9,$Z$7:$Z$13,0)</f>
        <v/>
      </c>
      <c r="D9" s="191">
        <f>B9</f>
        <v/>
      </c>
      <c r="E9" s="248">
        <f>VLOOKUP($B9, Sheet4!$A$2:$L$688, 'Fund Ranking_Equity (3)'!E$2,FALSE)</f>
        <v/>
      </c>
      <c r="F9" s="252">
        <f>VLOOKUP($B9, Sheet4!$A$2:$L$688, 'Fund Ranking_Equity (3)'!F$2,FALSE)</f>
        <v/>
      </c>
      <c r="G9" s="248">
        <f>VLOOKUP($B9, Sheet4!$A$2:$L$688, 'Fund Ranking_Equity (3)'!G$2,FALSE)</f>
        <v/>
      </c>
      <c r="H9" s="248">
        <f>VLOOKUP($B9, Sheet4!$A$2:$L$688, 'Fund Ranking_Equity (3)'!H$2,FALSE)</f>
        <v/>
      </c>
      <c r="I9" s="249">
        <f>VLOOKUP($B9, Sheet4!$A$2:$L$688, 'Fund Ranking_Equity (3)'!I$2,FALSE)</f>
        <v/>
      </c>
      <c r="J9" s="249">
        <f>VLOOKUP($B9, Sheet4!$A$2:$L$688, 'Fund Ranking_Equity (3)'!J$2,FALSE)</f>
        <v/>
      </c>
      <c r="K9" s="249">
        <f>VLOOKUP($B9, Sheet4!$A$2:$L$688, 'Fund Ranking_Equity (3)'!K$2,FALSE)</f>
        <v/>
      </c>
      <c r="L9" s="249">
        <f>VLOOKUP($B9, Sheet4!$A$2:$L$688, 'Fund Ranking_Equity (3)'!L$2,FALSE)</f>
        <v/>
      </c>
      <c r="M9" s="253">
        <f>VLOOKUP($B9, Sheet4!$A$2:$L$688, 'Fund Ranking_Equity (3)'!M$2,FALSE)</f>
        <v/>
      </c>
      <c r="N9" s="249">
        <f>VLOOKUP($B9, Sheet4!$A$2:$L$688, 'Fund Ranking_Equity (3)'!N$2,FALSE)</f>
        <v/>
      </c>
      <c r="O9" s="249">
        <f>VLOOKUP($B9, Sheet4!$A$2:$L$688, 'Fund Ranking_Equity (3)'!O$2,FALSE)</f>
        <v/>
      </c>
      <c r="P9" s="142">
        <f>(F9-MIN(F$7:F$13))/(MAX(F$7:F$13)-MIN(F$7:F$13))</f>
        <v/>
      </c>
      <c r="Q9" s="142">
        <f>(G9-MIN(G$7:G$13))/(MAX(G$7:G$13)-MIN(G$7:G$13))</f>
        <v/>
      </c>
      <c r="R9" s="142">
        <f>(H9-MIN(H$7:H$13))/(MAX(H$7:H$13)-MIN(H$7:H$13))</f>
        <v/>
      </c>
      <c r="S9" s="142">
        <f>(I9-MIN(I$7:I$13))/(MAX(I$7:I$13)-MIN(I$7:I$13))</f>
        <v/>
      </c>
      <c r="T9" s="142">
        <f>(J9-MIN(J$7:J$13))/(MAX(J$7:J$13)-MIN(J$7:J$13))</f>
        <v/>
      </c>
      <c r="U9" s="142">
        <f>(K9-MIN(K$7:K$13))/(MAX(K$7:K$13)-MIN(K$7:K$13))</f>
        <v/>
      </c>
      <c r="V9" s="142">
        <f>(MAX(L$7:L$13)-L9)/(MAX(L$7:L$13)-MIN(L$7:L$13))</f>
        <v/>
      </c>
      <c r="W9" s="142">
        <f>(MAX(M$7:M$13)-M9)/(MAX(M$7:M$13)-MIN(M$7:M$13))</f>
        <v/>
      </c>
      <c r="X9" s="142">
        <f>(MAX(N$7:N$13)-N9)/(MAX(N$7:N$13)-MIN(N$7:N$13))</f>
        <v/>
      </c>
      <c r="Y9" s="142">
        <f>(MAX(O$7:O$13)-O9)/(MAX(O$7:O$13)-MIN(O$7:O$13))</f>
        <v/>
      </c>
      <c r="Z9" s="143">
        <f>(P9*'Fund Ranking Criteria'!$D$9)+('Fund Ranking_Equity (3)'!Q9*'Fund Ranking Criteria'!$D$10)+('Fund Ranking_Equity (3)'!R9*'Fund Ranking Criteria'!$D$11)+('Fund Ranking_Equity (3)'!S9*'Fund Ranking Criteria'!$D$16)+('Fund Ranking_Equity (3)'!T9*'Fund Ranking Criteria'!#REF!)+('Fund Ranking_Equity (3)'!U9*'Fund Ranking Criteria'!$D$12)+('Fund Ranking_Equity (3)'!V9*'Fund Ranking Criteria'!#REF!)+('Fund Ranking_Equity (3)'!W9*'Fund Ranking Criteria'!#REF!)+('Fund Ranking_Equity (3)'!X9*'Fund Ranking Criteria'!$D$14)+('Fund Ranking_Equity (3)'!Y9*'Fund Ranking Criteria'!$D$15)</f>
        <v/>
      </c>
    </row>
    <row r="10">
      <c r="B10" s="119" t="inlineStr">
        <is>
          <t>Kotak Equity Opportunities Fund - Regular Plan</t>
        </is>
      </c>
      <c r="C10" s="125">
        <f>RANK(Z10,$Z$7:$Z$13,0)</f>
        <v/>
      </c>
      <c r="D10" s="191">
        <f>B10</f>
        <v/>
      </c>
      <c r="E10" s="248">
        <f>VLOOKUP($B10, Sheet4!$A$2:$L$688, 'Fund Ranking_Equity (3)'!E$2,FALSE)</f>
        <v/>
      </c>
      <c r="F10" s="252">
        <f>VLOOKUP($B10, Sheet4!$A$2:$L$688, 'Fund Ranking_Equity (3)'!F$2,FALSE)</f>
        <v/>
      </c>
      <c r="G10" s="248">
        <f>VLOOKUP($B10, Sheet4!$A$2:$L$688, 'Fund Ranking_Equity (3)'!G$2,FALSE)</f>
        <v/>
      </c>
      <c r="H10" s="248">
        <f>VLOOKUP($B10, Sheet4!$A$2:$L$688, 'Fund Ranking_Equity (3)'!H$2,FALSE)</f>
        <v/>
      </c>
      <c r="I10" s="249">
        <f>VLOOKUP($B10, Sheet4!$A$2:$L$688, 'Fund Ranking_Equity (3)'!I$2,FALSE)</f>
        <v/>
      </c>
      <c r="J10" s="249">
        <f>VLOOKUP($B10, Sheet4!$A$2:$L$688, 'Fund Ranking_Equity (3)'!J$2,FALSE)</f>
        <v/>
      </c>
      <c r="K10" s="249">
        <f>VLOOKUP($B10, Sheet4!$A$2:$L$688, 'Fund Ranking_Equity (3)'!K$2,FALSE)</f>
        <v/>
      </c>
      <c r="L10" s="249">
        <f>VLOOKUP($B10, Sheet4!$A$2:$L$688, 'Fund Ranking_Equity (3)'!L$2,FALSE)</f>
        <v/>
      </c>
      <c r="M10" s="253">
        <f>VLOOKUP($B10, Sheet4!$A$2:$L$688, 'Fund Ranking_Equity (3)'!M$2,FALSE)</f>
        <v/>
      </c>
      <c r="N10" s="249">
        <f>VLOOKUP($B10, Sheet4!$A$2:$L$688, 'Fund Ranking_Equity (3)'!N$2,FALSE)</f>
        <v/>
      </c>
      <c r="O10" s="249">
        <f>VLOOKUP($B10, Sheet4!$A$2:$L$688, 'Fund Ranking_Equity (3)'!O$2,FALSE)</f>
        <v/>
      </c>
      <c r="P10" s="142">
        <f>(F10-MIN(F$7:F$13))/(MAX(F$7:F$13)-MIN(F$7:F$13))</f>
        <v/>
      </c>
      <c r="Q10" s="142">
        <f>(G10-MIN(G$7:G$13))/(MAX(G$7:G$13)-MIN(G$7:G$13))</f>
        <v/>
      </c>
      <c r="R10" s="142">
        <f>(H10-MIN(H$7:H$13))/(MAX(H$7:H$13)-MIN(H$7:H$13))</f>
        <v/>
      </c>
      <c r="S10" s="142">
        <f>(I10-MIN(I$7:I$13))/(MAX(I$7:I$13)-MIN(I$7:I$13))</f>
        <v/>
      </c>
      <c r="T10" s="142">
        <f>(J10-MIN(J$7:J$13))/(MAX(J$7:J$13)-MIN(J$7:J$13))</f>
        <v/>
      </c>
      <c r="U10" s="142">
        <f>(K10-MIN(K$7:K$13))/(MAX(K$7:K$13)-MIN(K$7:K$13))</f>
        <v/>
      </c>
      <c r="V10" s="142">
        <f>(MAX(L$7:L$13)-L10)/(MAX(L$7:L$13)-MIN(L$7:L$13))</f>
        <v/>
      </c>
      <c r="W10" s="142">
        <f>(MAX(M$7:M$13)-M10)/(MAX(M$7:M$13)-MIN(M$7:M$13))</f>
        <v/>
      </c>
      <c r="X10" s="142">
        <f>(MAX(N$7:N$13)-N10)/(MAX(N$7:N$13)-MIN(N$7:N$13))</f>
        <v/>
      </c>
      <c r="Y10" s="142">
        <f>(MAX(O$7:O$13)-O10)/(MAX(O$7:O$13)-MIN(O$7:O$13))</f>
        <v/>
      </c>
      <c r="Z10" s="143">
        <f>(P10*'Fund Ranking Criteria'!$D$9)+('Fund Ranking_Equity (3)'!Q10*'Fund Ranking Criteria'!$D$10)+('Fund Ranking_Equity (3)'!R10*'Fund Ranking Criteria'!$D$11)+('Fund Ranking_Equity (3)'!S10*'Fund Ranking Criteria'!$D$16)+('Fund Ranking_Equity (3)'!T10*'Fund Ranking Criteria'!#REF!)+('Fund Ranking_Equity (3)'!U10*'Fund Ranking Criteria'!$D$12)+('Fund Ranking_Equity (3)'!V10*'Fund Ranking Criteria'!#REF!)+('Fund Ranking_Equity (3)'!W10*'Fund Ranking Criteria'!#REF!)+('Fund Ranking_Equity (3)'!X10*'Fund Ranking Criteria'!$D$14)+('Fund Ranking_Equity (3)'!Y10*'Fund Ranking Criteria'!$D$15)</f>
        <v/>
      </c>
    </row>
    <row r="11">
      <c r="B11" s="119" t="inlineStr">
        <is>
          <t>Nippon India Vision Fund</t>
        </is>
      </c>
      <c r="C11" s="125">
        <f>RANK(Z11,$Z$7:$Z$13,0)</f>
        <v/>
      </c>
      <c r="D11" s="191">
        <f>B11</f>
        <v/>
      </c>
      <c r="E11" s="248">
        <f>VLOOKUP($B11, Sheet4!$A$2:$L$688, 'Fund Ranking_Equity (3)'!E$2,FALSE)</f>
        <v/>
      </c>
      <c r="F11" s="252">
        <f>VLOOKUP($B11, Sheet4!$A$2:$L$688, 'Fund Ranking_Equity (3)'!F$2,FALSE)</f>
        <v/>
      </c>
      <c r="G11" s="248">
        <f>VLOOKUP($B11, Sheet4!$A$2:$L$688, 'Fund Ranking_Equity (3)'!G$2,FALSE)</f>
        <v/>
      </c>
      <c r="H11" s="248">
        <f>VLOOKUP($B11, Sheet4!$A$2:$L$688, 'Fund Ranking_Equity (3)'!H$2,FALSE)</f>
        <v/>
      </c>
      <c r="I11" s="249">
        <f>VLOOKUP($B11, Sheet4!$A$2:$L$688, 'Fund Ranking_Equity (3)'!I$2,FALSE)</f>
        <v/>
      </c>
      <c r="J11" s="249">
        <f>VLOOKUP($B11, Sheet4!$A$2:$L$688, 'Fund Ranking_Equity (3)'!J$2,FALSE)</f>
        <v/>
      </c>
      <c r="K11" s="249">
        <f>VLOOKUP($B11, Sheet4!$A$2:$L$688, 'Fund Ranking_Equity (3)'!K$2,FALSE)</f>
        <v/>
      </c>
      <c r="L11" s="249">
        <f>VLOOKUP($B11, Sheet4!$A$2:$L$688, 'Fund Ranking_Equity (3)'!L$2,FALSE)</f>
        <v/>
      </c>
      <c r="M11" s="253">
        <f>VLOOKUP($B11, Sheet4!$A$2:$L$688, 'Fund Ranking_Equity (3)'!M$2,FALSE)</f>
        <v/>
      </c>
      <c r="N11" s="249">
        <f>VLOOKUP($B11, Sheet4!$A$2:$L$688, 'Fund Ranking_Equity (3)'!N$2,FALSE)</f>
        <v/>
      </c>
      <c r="O11" s="249">
        <f>VLOOKUP($B11, Sheet4!$A$2:$L$688, 'Fund Ranking_Equity (3)'!O$2,FALSE)</f>
        <v/>
      </c>
      <c r="P11" s="142">
        <f>(F11-MIN(F$7:F$13))/(MAX(F$7:F$13)-MIN(F$7:F$13))</f>
        <v/>
      </c>
      <c r="Q11" s="142">
        <f>(G11-MIN(G$7:G$13))/(MAX(G$7:G$13)-MIN(G$7:G$13))</f>
        <v/>
      </c>
      <c r="R11" s="142">
        <f>(H11-MIN(H$7:H$13))/(MAX(H$7:H$13)-MIN(H$7:H$13))</f>
        <v/>
      </c>
      <c r="S11" s="142">
        <f>(I11-MIN(I$7:I$13))/(MAX(I$7:I$13)-MIN(I$7:I$13))</f>
        <v/>
      </c>
      <c r="T11" s="142">
        <f>(J11-MIN(J$7:J$13))/(MAX(J$7:J$13)-MIN(J$7:J$13))</f>
        <v/>
      </c>
      <c r="U11" s="142">
        <f>(K11-MIN(K$7:K$13))/(MAX(K$7:K$13)-MIN(K$7:K$13))</f>
        <v/>
      </c>
      <c r="V11" s="142">
        <f>(MAX(L$7:L$13)-L11)/(MAX(L$7:L$13)-MIN(L$7:L$13))</f>
        <v/>
      </c>
      <c r="W11" s="142">
        <f>(MAX(M$7:M$13)-M11)/(MAX(M$7:M$13)-MIN(M$7:M$13))</f>
        <v/>
      </c>
      <c r="X11" s="142">
        <f>(MAX(N$7:N$13)-N11)/(MAX(N$7:N$13)-MIN(N$7:N$13))</f>
        <v/>
      </c>
      <c r="Y11" s="142">
        <f>(MAX(O$7:O$13)-O11)/(MAX(O$7:O$13)-MIN(O$7:O$13))</f>
        <v/>
      </c>
      <c r="Z11" s="143">
        <f>(P11*'Fund Ranking Criteria'!$D$9)+('Fund Ranking_Equity (3)'!Q11*'Fund Ranking Criteria'!$D$10)+('Fund Ranking_Equity (3)'!R11*'Fund Ranking Criteria'!$D$11)+('Fund Ranking_Equity (3)'!S11*'Fund Ranking Criteria'!$D$16)+('Fund Ranking_Equity (3)'!T11*'Fund Ranking Criteria'!#REF!)+('Fund Ranking_Equity (3)'!U11*'Fund Ranking Criteria'!$D$12)+('Fund Ranking_Equity (3)'!V11*'Fund Ranking Criteria'!#REF!)+('Fund Ranking_Equity (3)'!W11*'Fund Ranking Criteria'!#REF!)+('Fund Ranking_Equity (3)'!X11*'Fund Ranking Criteria'!$D$14)+('Fund Ranking_Equity (3)'!Y11*'Fund Ranking Criteria'!$D$15)</f>
        <v/>
      </c>
    </row>
    <row r="12">
      <c r="B12" s="119" t="inlineStr">
        <is>
          <t>SBI Large &amp; Midcap Fund</t>
        </is>
      </c>
      <c r="C12" s="125">
        <f>RANK(Z12,$Z$7:$Z$13,0)</f>
        <v/>
      </c>
      <c r="D12" s="191">
        <f>B12</f>
        <v/>
      </c>
      <c r="E12" s="248">
        <f>VLOOKUP($B12, Sheet4!$A$2:$L$688, 'Fund Ranking_Equity (3)'!E$2,FALSE)</f>
        <v/>
      </c>
      <c r="F12" s="252">
        <f>VLOOKUP($B12, Sheet4!$A$2:$L$688, 'Fund Ranking_Equity (3)'!F$2,FALSE)</f>
        <v/>
      </c>
      <c r="G12" s="248">
        <f>VLOOKUP($B12, Sheet4!$A$2:$L$688, 'Fund Ranking_Equity (3)'!G$2,FALSE)</f>
        <v/>
      </c>
      <c r="H12" s="248">
        <f>VLOOKUP($B12, Sheet4!$A$2:$L$688, 'Fund Ranking_Equity (3)'!H$2,FALSE)</f>
        <v/>
      </c>
      <c r="I12" s="249">
        <f>VLOOKUP($B12, Sheet4!$A$2:$L$688, 'Fund Ranking_Equity (3)'!I$2,FALSE)</f>
        <v/>
      </c>
      <c r="J12" s="249">
        <f>VLOOKUP($B12, Sheet4!$A$2:$L$688, 'Fund Ranking_Equity (3)'!J$2,FALSE)</f>
        <v/>
      </c>
      <c r="K12" s="249">
        <f>VLOOKUP($B12, Sheet4!$A$2:$L$688, 'Fund Ranking_Equity (3)'!K$2,FALSE)</f>
        <v/>
      </c>
      <c r="L12" s="249">
        <f>VLOOKUP($B12, Sheet4!$A$2:$L$688, 'Fund Ranking_Equity (3)'!L$2,FALSE)</f>
        <v/>
      </c>
      <c r="M12" s="253">
        <f>VLOOKUP($B12, Sheet4!$A$2:$L$688, 'Fund Ranking_Equity (3)'!M$2,FALSE)</f>
        <v/>
      </c>
      <c r="N12" s="249">
        <f>VLOOKUP($B12, Sheet4!$A$2:$L$688, 'Fund Ranking_Equity (3)'!N$2,FALSE)</f>
        <v/>
      </c>
      <c r="O12" s="249">
        <f>VLOOKUP($B12, Sheet4!$A$2:$L$688, 'Fund Ranking_Equity (3)'!O$2,FALSE)</f>
        <v/>
      </c>
      <c r="P12" s="142">
        <f>(F12-MIN(F$7:F$13))/(MAX(F$7:F$13)-MIN(F$7:F$13))</f>
        <v/>
      </c>
      <c r="Q12" s="142">
        <f>(G12-MIN(G$7:G$13))/(MAX(G$7:G$13)-MIN(G$7:G$13))</f>
        <v/>
      </c>
      <c r="R12" s="142">
        <f>(H12-MIN(H$7:H$13))/(MAX(H$7:H$13)-MIN(H$7:H$13))</f>
        <v/>
      </c>
      <c r="S12" s="142">
        <f>(I12-MIN(I$7:I$13))/(MAX(I$7:I$13)-MIN(I$7:I$13))</f>
        <v/>
      </c>
      <c r="T12" s="142">
        <f>(J12-MIN(J$7:J$13))/(MAX(J$7:J$13)-MIN(J$7:J$13))</f>
        <v/>
      </c>
      <c r="U12" s="142">
        <f>(K12-MIN(K$7:K$13))/(MAX(K$7:K$13)-MIN(K$7:K$13))</f>
        <v/>
      </c>
      <c r="V12" s="142">
        <f>(MAX(L$7:L$13)-L12)/(MAX(L$7:L$13)-MIN(L$7:L$13))</f>
        <v/>
      </c>
      <c r="W12" s="142">
        <f>(MAX(M$7:M$13)-M12)/(MAX(M$7:M$13)-MIN(M$7:M$13))</f>
        <v/>
      </c>
      <c r="X12" s="142">
        <f>(MAX(N$7:N$13)-N12)/(MAX(N$7:N$13)-MIN(N$7:N$13))</f>
        <v/>
      </c>
      <c r="Y12" s="142">
        <f>(MAX(O$7:O$13)-O12)/(MAX(O$7:O$13)-MIN(O$7:O$13))</f>
        <v/>
      </c>
      <c r="Z12" s="143">
        <f>(P12*'Fund Ranking Criteria'!$D$9)+('Fund Ranking_Equity (3)'!Q12*'Fund Ranking Criteria'!$D$10)+('Fund Ranking_Equity (3)'!R12*'Fund Ranking Criteria'!$D$11)+('Fund Ranking_Equity (3)'!S12*'Fund Ranking Criteria'!$D$16)+('Fund Ranking_Equity (3)'!T12*'Fund Ranking Criteria'!#REF!)+('Fund Ranking_Equity (3)'!U12*'Fund Ranking Criteria'!$D$12)+('Fund Ranking_Equity (3)'!V12*'Fund Ranking Criteria'!#REF!)+('Fund Ranking_Equity (3)'!W12*'Fund Ranking Criteria'!#REF!)+('Fund Ranking_Equity (3)'!X12*'Fund Ranking Criteria'!$D$14)+('Fund Ranking_Equity (3)'!Y12*'Fund Ranking Criteria'!$D$15)</f>
        <v/>
      </c>
    </row>
    <row r="13" ht="15" customHeight="1" thickBot="1">
      <c r="B13" s="120" t="inlineStr">
        <is>
          <t>UTI Large &amp; Mid Cap Fund - Regular Plan</t>
        </is>
      </c>
      <c r="C13" s="126">
        <f>RANK(Z13,$Z$7:$Z$13,0)</f>
        <v/>
      </c>
      <c r="D13" s="192">
        <f>B13</f>
        <v/>
      </c>
      <c r="E13" s="251">
        <f>VLOOKUP($B13, Sheet4!$A$2:$L$688, 'Fund Ranking_Equity (3)'!E$2,FALSE)</f>
        <v/>
      </c>
      <c r="F13" s="254">
        <f>VLOOKUP($B13, Sheet4!$A$2:$L$688, 'Fund Ranking_Equity (3)'!F$2,FALSE)</f>
        <v/>
      </c>
      <c r="G13" s="251">
        <f>VLOOKUP($B13, Sheet4!$A$2:$L$688, 'Fund Ranking_Equity (3)'!G$2,FALSE)</f>
        <v/>
      </c>
      <c r="H13" s="251">
        <f>VLOOKUP($B13, Sheet4!$A$2:$L$688, 'Fund Ranking_Equity (3)'!H$2,FALSE)</f>
        <v/>
      </c>
      <c r="I13" s="250">
        <f>VLOOKUP($B13, Sheet4!$A$2:$L$688, 'Fund Ranking_Equity (3)'!I$2,FALSE)</f>
        <v/>
      </c>
      <c r="J13" s="250">
        <f>VLOOKUP($B13, Sheet4!$A$2:$L$688, 'Fund Ranking_Equity (3)'!J$2,FALSE)</f>
        <v/>
      </c>
      <c r="K13" s="250">
        <f>VLOOKUP($B13, Sheet4!$A$2:$L$688, 'Fund Ranking_Equity (3)'!K$2,FALSE)</f>
        <v/>
      </c>
      <c r="L13" s="250">
        <f>VLOOKUP($B13, Sheet4!$A$2:$L$688, 'Fund Ranking_Equity (3)'!L$2,FALSE)</f>
        <v/>
      </c>
      <c r="M13" s="255">
        <f>VLOOKUP($B13, Sheet4!$A$2:$L$688, 'Fund Ranking_Equity (3)'!M$2,FALSE)</f>
        <v/>
      </c>
      <c r="N13" s="250">
        <f>VLOOKUP($B13, Sheet4!$A$2:$L$688, 'Fund Ranking_Equity (3)'!N$2,FALSE)</f>
        <v/>
      </c>
      <c r="O13" s="250">
        <f>VLOOKUP($B13, Sheet4!$A$2:$L$688, 'Fund Ranking_Equity (3)'!O$2,FALSE)</f>
        <v/>
      </c>
      <c r="P13" s="144">
        <f>(F13-MIN(F$7:F$13))/(MAX(F$7:F$13)-MIN(F$7:F$13))</f>
        <v/>
      </c>
      <c r="Q13" s="144">
        <f>(G13-MIN(G$7:G$13))/(MAX(G$7:G$13)-MIN(G$7:G$13))</f>
        <v/>
      </c>
      <c r="R13" s="144">
        <f>(H13-MIN(H$7:H$13))/(MAX(H$7:H$13)-MIN(H$7:H$13))</f>
        <v/>
      </c>
      <c r="S13" s="144">
        <f>(I13-MIN(I$7:I$13))/(MAX(I$7:I$13)-MIN(I$7:I$13))</f>
        <v/>
      </c>
      <c r="T13" s="144">
        <f>(J13-MIN(J$7:J$13))/(MAX(J$7:J$13)-MIN(J$7:J$13))</f>
        <v/>
      </c>
      <c r="U13" s="144">
        <f>(K13-MIN(K$7:K$13))/(MAX(K$7:K$13)-MIN(K$7:K$13))</f>
        <v/>
      </c>
      <c r="V13" s="144">
        <f>(MAX(L$7:L$13)-L13)/(MAX(L$7:L$13)-MIN(L$7:L$13))</f>
        <v/>
      </c>
      <c r="W13" s="144">
        <f>(MAX(M$7:M$13)-M13)/(MAX(M$7:M$13)-MIN(M$7:M$13))</f>
        <v/>
      </c>
      <c r="X13" s="144">
        <f>(MAX(N$7:N$13)-N13)/(MAX(N$7:N$13)-MIN(N$7:N$13))</f>
        <v/>
      </c>
      <c r="Y13" s="144">
        <f>(MAX(O$7:O$13)-O13)/(MAX(O$7:O$13)-MIN(O$7:O$13))</f>
        <v/>
      </c>
      <c r="Z13" s="145">
        <f>(P13*'Fund Ranking Criteria'!$D$9)+('Fund Ranking_Equity (3)'!Q13*'Fund Ranking Criteria'!$D$10)+('Fund Ranking_Equity (3)'!R13*'Fund Ranking Criteria'!$D$11)+('Fund Ranking_Equity (3)'!S13*'Fund Ranking Criteria'!$D$16)+('Fund Ranking_Equity (3)'!T13*'Fund Ranking Criteria'!#REF!)+('Fund Ranking_Equity (3)'!U13*'Fund Ranking Criteria'!$D$12)+('Fund Ranking_Equity (3)'!V13*'Fund Ranking Criteria'!#REF!)+('Fund Ranking_Equity (3)'!W13*'Fund Ranking Criteria'!#REF!)+('Fund Ranking_Equity (3)'!X13*'Fund Ranking Criteria'!$D$14)+('Fund Ranking_Equity (3)'!Y13*'Fund Ranking Criteria'!$D$15)</f>
        <v/>
      </c>
    </row>
  </sheetData>
  <mergeCells count="4">
    <mergeCell ref="P5:Y5"/>
    <mergeCell ref="B4:Y4"/>
    <mergeCell ref="Z5:Z6"/>
    <mergeCell ref="E5:O5"/>
  </mergeCells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M688"/>
  <sheetViews>
    <sheetView workbookViewId="0">
      <selection activeCell="A1" sqref="A1:L1"/>
    </sheetView>
  </sheetViews>
  <sheetFormatPr baseColWidth="8" defaultRowHeight="15"/>
  <cols>
    <col width="69.140625" bestFit="1" customWidth="1" style="286" min="1" max="1"/>
    <col width="8.7109375" customWidth="1" style="286" min="2" max="256"/>
    <col width="69.140625" bestFit="1" customWidth="1" style="286" min="257" max="257"/>
    <col width="8.7109375" customWidth="1" style="286" min="258" max="512"/>
    <col width="69.140625" bestFit="1" customWidth="1" style="286" min="513" max="513"/>
    <col width="8.7109375" customWidth="1" style="286" min="514" max="768"/>
    <col width="69.140625" bestFit="1" customWidth="1" style="286" min="769" max="769"/>
    <col width="8.7109375" customWidth="1" style="286" min="770" max="1024"/>
    <col width="69.140625" bestFit="1" customWidth="1" style="286" min="1025" max="1025"/>
    <col width="8.7109375" customWidth="1" style="286" min="1026" max="1280"/>
    <col width="69.140625" bestFit="1" customWidth="1" style="286" min="1281" max="1281"/>
    <col width="8.7109375" customWidth="1" style="286" min="1282" max="1536"/>
    <col width="69.140625" bestFit="1" customWidth="1" style="286" min="1537" max="1537"/>
    <col width="8.7109375" customWidth="1" style="286" min="1538" max="1792"/>
    <col width="69.140625" bestFit="1" customWidth="1" style="286" min="1793" max="1793"/>
    <col width="8.7109375" customWidth="1" style="286" min="1794" max="2048"/>
    <col width="69.140625" bestFit="1" customWidth="1" style="286" min="2049" max="2049"/>
    <col width="8.7109375" customWidth="1" style="286" min="2050" max="2304"/>
    <col width="69.140625" bestFit="1" customWidth="1" style="286" min="2305" max="2305"/>
    <col width="8.7109375" customWidth="1" style="286" min="2306" max="2560"/>
    <col width="69.140625" bestFit="1" customWidth="1" style="286" min="2561" max="2561"/>
    <col width="8.7109375" customWidth="1" style="286" min="2562" max="2816"/>
    <col width="69.140625" bestFit="1" customWidth="1" style="286" min="2817" max="2817"/>
    <col width="8.7109375" customWidth="1" style="286" min="2818" max="3072"/>
    <col width="69.140625" bestFit="1" customWidth="1" style="286" min="3073" max="3073"/>
    <col width="8.7109375" customWidth="1" style="286" min="3074" max="3328"/>
    <col width="69.140625" bestFit="1" customWidth="1" style="286" min="3329" max="3329"/>
    <col width="8.7109375" customWidth="1" style="286" min="3330" max="3584"/>
    <col width="69.140625" bestFit="1" customWidth="1" style="286" min="3585" max="3585"/>
    <col width="8.7109375" customWidth="1" style="286" min="3586" max="3840"/>
    <col width="69.140625" bestFit="1" customWidth="1" style="286" min="3841" max="3841"/>
    <col width="8.7109375" customWidth="1" style="286" min="3842" max="4096"/>
    <col width="69.140625" bestFit="1" customWidth="1" style="286" min="4097" max="4097"/>
    <col width="8.7109375" customWidth="1" style="286" min="4098" max="4352"/>
    <col width="69.140625" bestFit="1" customWidth="1" style="286" min="4353" max="4353"/>
    <col width="8.7109375" customWidth="1" style="286" min="4354" max="4608"/>
    <col width="69.140625" bestFit="1" customWidth="1" style="286" min="4609" max="4609"/>
    <col width="8.7109375" customWidth="1" style="286" min="4610" max="4864"/>
    <col width="69.140625" bestFit="1" customWidth="1" style="286" min="4865" max="4865"/>
    <col width="8.7109375" customWidth="1" style="286" min="4866" max="5120"/>
    <col width="69.140625" bestFit="1" customWidth="1" style="286" min="5121" max="5121"/>
    <col width="8.7109375" customWidth="1" style="286" min="5122" max="5376"/>
    <col width="69.140625" bestFit="1" customWidth="1" style="286" min="5377" max="5377"/>
    <col width="8.7109375" customWidth="1" style="286" min="5378" max="5632"/>
    <col width="69.140625" bestFit="1" customWidth="1" style="286" min="5633" max="5633"/>
    <col width="8.7109375" customWidth="1" style="286" min="5634" max="5888"/>
    <col width="69.140625" bestFit="1" customWidth="1" style="286" min="5889" max="5889"/>
    <col width="8.7109375" customWidth="1" style="286" min="5890" max="6144"/>
    <col width="69.140625" bestFit="1" customWidth="1" style="286" min="6145" max="6145"/>
    <col width="8.7109375" customWidth="1" style="286" min="6146" max="6400"/>
    <col width="69.140625" bestFit="1" customWidth="1" style="286" min="6401" max="6401"/>
    <col width="8.7109375" customWidth="1" style="286" min="6402" max="6656"/>
    <col width="69.140625" bestFit="1" customWidth="1" style="286" min="6657" max="6657"/>
    <col width="8.7109375" customWidth="1" style="286" min="6658" max="6912"/>
    <col width="69.140625" bestFit="1" customWidth="1" style="286" min="6913" max="6913"/>
    <col width="8.7109375" customWidth="1" style="286" min="6914" max="7168"/>
    <col width="69.140625" bestFit="1" customWidth="1" style="286" min="7169" max="7169"/>
    <col width="8.7109375" customWidth="1" style="286" min="7170" max="7424"/>
    <col width="69.140625" bestFit="1" customWidth="1" style="286" min="7425" max="7425"/>
    <col width="8.7109375" customWidth="1" style="286" min="7426" max="7680"/>
    <col width="69.140625" bestFit="1" customWidth="1" style="286" min="7681" max="7681"/>
    <col width="8.7109375" customWidth="1" style="286" min="7682" max="7936"/>
    <col width="69.140625" bestFit="1" customWidth="1" style="286" min="7937" max="7937"/>
    <col width="8.7109375" customWidth="1" style="286" min="7938" max="8192"/>
    <col width="69.140625" bestFit="1" customWidth="1" style="286" min="8193" max="8193"/>
    <col width="8.7109375" customWidth="1" style="286" min="8194" max="8448"/>
    <col width="69.140625" bestFit="1" customWidth="1" style="286" min="8449" max="8449"/>
    <col width="8.7109375" customWidth="1" style="286" min="8450" max="8704"/>
    <col width="69.140625" bestFit="1" customWidth="1" style="286" min="8705" max="8705"/>
    <col width="8.7109375" customWidth="1" style="286" min="8706" max="8960"/>
    <col width="69.140625" bestFit="1" customWidth="1" style="286" min="8961" max="8961"/>
    <col width="8.7109375" customWidth="1" style="286" min="8962" max="9216"/>
    <col width="69.140625" bestFit="1" customWidth="1" style="286" min="9217" max="9217"/>
    <col width="8.7109375" customWidth="1" style="286" min="9218" max="9472"/>
    <col width="69.140625" bestFit="1" customWidth="1" style="286" min="9473" max="9473"/>
    <col width="8.7109375" customWidth="1" style="286" min="9474" max="9728"/>
    <col width="69.140625" bestFit="1" customWidth="1" style="286" min="9729" max="9729"/>
    <col width="8.7109375" customWidth="1" style="286" min="9730" max="9984"/>
    <col width="69.140625" bestFit="1" customWidth="1" style="286" min="9985" max="9985"/>
    <col width="8.7109375" customWidth="1" style="286" min="9986" max="10240"/>
    <col width="69.140625" bestFit="1" customWidth="1" style="286" min="10241" max="10241"/>
    <col width="8.7109375" customWidth="1" style="286" min="10242" max="10496"/>
    <col width="69.140625" bestFit="1" customWidth="1" style="286" min="10497" max="10497"/>
    <col width="8.7109375" customWidth="1" style="286" min="10498" max="10752"/>
    <col width="69.140625" bestFit="1" customWidth="1" style="286" min="10753" max="10753"/>
    <col width="8.7109375" customWidth="1" style="286" min="10754" max="11008"/>
    <col width="69.140625" bestFit="1" customWidth="1" style="286" min="11009" max="11009"/>
    <col width="8.7109375" customWidth="1" style="286" min="11010" max="11264"/>
    <col width="69.140625" bestFit="1" customWidth="1" style="286" min="11265" max="11265"/>
    <col width="8.7109375" customWidth="1" style="286" min="11266" max="11520"/>
    <col width="69.140625" bestFit="1" customWidth="1" style="286" min="11521" max="11521"/>
    <col width="8.7109375" customWidth="1" style="286" min="11522" max="11776"/>
    <col width="69.140625" bestFit="1" customWidth="1" style="286" min="11777" max="11777"/>
    <col width="8.7109375" customWidth="1" style="286" min="11778" max="12032"/>
    <col width="69.140625" bestFit="1" customWidth="1" style="286" min="12033" max="12033"/>
    <col width="8.7109375" customWidth="1" style="286" min="12034" max="12288"/>
    <col width="69.140625" bestFit="1" customWidth="1" style="286" min="12289" max="12289"/>
    <col width="8.7109375" customWidth="1" style="286" min="12290" max="12544"/>
    <col width="69.140625" bestFit="1" customWidth="1" style="286" min="12545" max="12545"/>
    <col width="8.7109375" customWidth="1" style="286" min="12546" max="12800"/>
    <col width="69.140625" bestFit="1" customWidth="1" style="286" min="12801" max="12801"/>
    <col width="8.7109375" customWidth="1" style="286" min="12802" max="13056"/>
    <col width="69.140625" bestFit="1" customWidth="1" style="286" min="13057" max="13057"/>
    <col width="8.7109375" customWidth="1" style="286" min="13058" max="13312"/>
    <col width="69.140625" bestFit="1" customWidth="1" style="286" min="13313" max="13313"/>
    <col width="8.7109375" customWidth="1" style="286" min="13314" max="13568"/>
    <col width="69.140625" bestFit="1" customWidth="1" style="286" min="13569" max="13569"/>
    <col width="8.7109375" customWidth="1" style="286" min="13570" max="13824"/>
    <col width="69.140625" bestFit="1" customWidth="1" style="286" min="13825" max="13825"/>
    <col width="8.7109375" customWidth="1" style="286" min="13826" max="14080"/>
    <col width="69.140625" bestFit="1" customWidth="1" style="286" min="14081" max="14081"/>
    <col width="8.7109375" customWidth="1" style="286" min="14082" max="14336"/>
    <col width="69.140625" bestFit="1" customWidth="1" style="286" min="14337" max="14337"/>
    <col width="8.7109375" customWidth="1" style="286" min="14338" max="14592"/>
    <col width="69.140625" bestFit="1" customWidth="1" style="286" min="14593" max="14593"/>
    <col width="8.7109375" customWidth="1" style="286" min="14594" max="14848"/>
    <col width="69.140625" bestFit="1" customWidth="1" style="286" min="14849" max="14849"/>
    <col width="8.7109375" customWidth="1" style="286" min="14850" max="15104"/>
    <col width="69.140625" bestFit="1" customWidth="1" style="286" min="15105" max="15105"/>
    <col width="8.7109375" customWidth="1" style="286" min="15106" max="15360"/>
    <col width="69.140625" bestFit="1" customWidth="1" style="286" min="15361" max="15361"/>
    <col width="8.7109375" customWidth="1" style="286" min="15362" max="15616"/>
    <col width="69.140625" bestFit="1" customWidth="1" style="286" min="15617" max="15617"/>
    <col width="8.7109375" customWidth="1" style="286" min="15618" max="15872"/>
    <col width="69.140625" bestFit="1" customWidth="1" style="286" min="15873" max="15873"/>
    <col width="8.7109375" customWidth="1" style="286" min="15874" max="16128"/>
    <col width="69.140625" bestFit="1" customWidth="1" style="286" min="16129" max="16129"/>
    <col width="8.7109375" customWidth="1" style="286" min="16130" max="16384"/>
  </cols>
  <sheetData>
    <row r="1" ht="43.5" customHeight="1">
      <c r="A1" s="284" t="inlineStr">
        <is>
          <t>Funds</t>
        </is>
      </c>
      <c r="B1" s="284" t="inlineStr">
        <is>
          <t>1 Yr Ret (%)</t>
        </is>
      </c>
      <c r="C1" s="285" t="inlineStr">
        <is>
          <t>3 Yr Ret (%)</t>
        </is>
      </c>
      <c r="D1" s="285" t="inlineStr">
        <is>
          <t>5 Yr Ret (%)</t>
        </is>
      </c>
      <c r="E1" s="285" t="inlineStr">
        <is>
          <t>10 Yr Ret (%)</t>
        </is>
      </c>
      <c r="F1" s="285" t="inlineStr">
        <is>
          <t>Sharpe Ratio</t>
        </is>
      </c>
      <c r="G1" s="285" t="inlineStr">
        <is>
          <t>Sortino Ratio</t>
        </is>
      </c>
      <c r="H1" s="285" t="inlineStr">
        <is>
          <t>Alpha</t>
        </is>
      </c>
      <c r="I1" s="285" t="inlineStr">
        <is>
          <t>Expense Ratio (%)</t>
        </is>
      </c>
      <c r="J1" s="285" t="inlineStr">
        <is>
          <t>Turnover</t>
        </is>
      </c>
      <c r="K1" s="285" t="inlineStr">
        <is>
          <t>Beta</t>
        </is>
      </c>
      <c r="L1" s="285" t="inlineStr">
        <is>
          <t>Standard Deviation</t>
        </is>
      </c>
    </row>
    <row r="2">
      <c r="A2" s="287" t="inlineStr">
        <is>
          <t>360 ONE Balanced Hybrid Fund - Regular Plan</t>
        </is>
      </c>
      <c r="B2" s="286" t="n">
        <v>5.81</v>
      </c>
      <c r="C2" s="286" t="n">
        <v>0</v>
      </c>
      <c r="D2" s="286" t="n">
        <v>0</v>
      </c>
      <c r="E2" s="286" t="n">
        <v>0</v>
      </c>
      <c r="F2" s="286" t="n">
        <v>0</v>
      </c>
      <c r="G2" s="286" t="n">
        <v>0</v>
      </c>
      <c r="H2" s="286" t="n">
        <v>0</v>
      </c>
      <c r="I2" s="286" t="n">
        <v>1.95</v>
      </c>
      <c r="J2" s="286" t="n">
        <v>60</v>
      </c>
      <c r="K2" s="286" t="n">
        <v>0</v>
      </c>
      <c r="L2" s="286" t="n">
        <v>0</v>
      </c>
      <c r="M2" s="286" t="inlineStr">
        <is>
          <t>HY-BH</t>
        </is>
      </c>
    </row>
    <row r="3">
      <c r="A3" s="287" t="inlineStr">
        <is>
          <t>360 ONE FlexiCap Fund - Regular Plan</t>
        </is>
      </c>
      <c r="B3" s="286" t="n">
        <v>2.96</v>
      </c>
      <c r="C3" s="286" t="n">
        <v>0</v>
      </c>
      <c r="D3" s="286" t="n">
        <v>0</v>
      </c>
      <c r="E3" s="286" t="n">
        <v>0</v>
      </c>
      <c r="F3" s="286" t="n">
        <v>0</v>
      </c>
      <c r="G3" s="286" t="n">
        <v>0</v>
      </c>
      <c r="H3" s="286" t="n">
        <v>0</v>
      </c>
      <c r="I3" s="286" t="n">
        <v>2.03</v>
      </c>
      <c r="J3" s="286" t="n">
        <v>27</v>
      </c>
      <c r="K3" s="286" t="n">
        <v>0</v>
      </c>
      <c r="L3" s="286" t="n">
        <v>0</v>
      </c>
      <c r="M3" s="286" t="inlineStr">
        <is>
          <t>EQ-FLX</t>
        </is>
      </c>
    </row>
    <row r="4">
      <c r="A4" s="287" t="inlineStr">
        <is>
          <t>360 ONE Focused Fund - Regular Plan</t>
        </is>
      </c>
      <c r="B4" s="286" t="n">
        <v>1.12</v>
      </c>
      <c r="C4" s="286" t="n">
        <v>22.27</v>
      </c>
      <c r="D4" s="286" t="n">
        <v>23.68</v>
      </c>
      <c r="E4" s="286" t="n">
        <v>15.85</v>
      </c>
      <c r="F4" s="286" t="n">
        <v>0.9399999999999999</v>
      </c>
      <c r="G4" s="286" t="n">
        <v>1.58</v>
      </c>
      <c r="H4" s="286" t="n">
        <v>2.4</v>
      </c>
      <c r="I4" s="286" t="n">
        <v>1.8</v>
      </c>
      <c r="J4" s="286" t="n">
        <v>33</v>
      </c>
      <c r="K4" s="286" t="n">
        <v>0.88</v>
      </c>
      <c r="L4" s="286" t="n">
        <v>13.28</v>
      </c>
      <c r="M4" s="286" t="inlineStr">
        <is>
          <t>EQ-FLX</t>
        </is>
      </c>
    </row>
    <row r="5">
      <c r="A5" s="287" t="inlineStr">
        <is>
          <t>360 ONE Quant Fund - Regular Plan</t>
        </is>
      </c>
      <c r="B5" s="286" t="n">
        <v>6.72</v>
      </c>
      <c r="C5" s="286" t="n">
        <v>31.45</v>
      </c>
      <c r="D5" s="286" t="n">
        <v>0</v>
      </c>
      <c r="E5" s="286" t="n">
        <v>0</v>
      </c>
      <c r="F5" s="286" t="n">
        <v>1.07</v>
      </c>
      <c r="G5" s="286" t="n">
        <v>1.6</v>
      </c>
      <c r="H5" s="286" t="n">
        <v>5.59</v>
      </c>
      <c r="I5" s="286" t="n">
        <v>1.95</v>
      </c>
      <c r="J5" s="286" t="n">
        <v>112</v>
      </c>
      <c r="K5" s="286" t="n">
        <v>1.19</v>
      </c>
      <c r="L5" s="286" t="n">
        <v>18.03</v>
      </c>
      <c r="M5" s="286" t="inlineStr">
        <is>
          <t>EQ-THEMATIC</t>
        </is>
      </c>
    </row>
    <row r="6">
      <c r="A6" s="287" t="inlineStr">
        <is>
          <t>Aditya Birla Sun Life Asset Allocator FoF - Regular Plan</t>
        </is>
      </c>
      <c r="B6" s="286" t="n">
        <v>9.4</v>
      </c>
      <c r="C6" s="286" t="n">
        <v>18.3</v>
      </c>
      <c r="D6" s="286" t="n">
        <v>17.87</v>
      </c>
      <c r="E6" s="286" t="n">
        <v>12.24</v>
      </c>
      <c r="F6" s="286" t="n">
        <v>1.12</v>
      </c>
      <c r="G6" s="286" t="n">
        <v>1.9</v>
      </c>
      <c r="H6" s="286" t="n">
        <v>1.95</v>
      </c>
      <c r="I6" s="286" t="n">
        <v>1.27</v>
      </c>
      <c r="J6" s="286" t="n">
        <v>0</v>
      </c>
      <c r="K6" s="286" t="n">
        <v>0.84</v>
      </c>
      <c r="L6" s="286" t="n">
        <v>8.449999999999999</v>
      </c>
      <c r="M6" s="286" t="inlineStr">
        <is>
          <t>HY-AR</t>
        </is>
      </c>
    </row>
    <row r="7">
      <c r="A7" s="287" t="inlineStr">
        <is>
          <t>Aditya Birla Sun Life Balanced Advantage Fund - Regular Plan</t>
        </is>
      </c>
      <c r="B7" s="286" t="n">
        <v>9.74</v>
      </c>
      <c r="C7" s="286" t="n">
        <v>15.74</v>
      </c>
      <c r="D7" s="286" t="n">
        <v>15.19</v>
      </c>
      <c r="E7" s="286" t="n">
        <v>11.21</v>
      </c>
      <c r="F7" s="286" t="n">
        <v>0.91</v>
      </c>
      <c r="G7" s="286" t="n">
        <v>1.39</v>
      </c>
      <c r="H7" s="286" t="n">
        <v>1.17</v>
      </c>
      <c r="I7" s="286" t="n">
        <v>1.79</v>
      </c>
      <c r="J7" s="286" t="n">
        <v>302</v>
      </c>
      <c r="K7" s="286" t="n">
        <v>0.74</v>
      </c>
      <c r="L7" s="286" t="n">
        <v>7.75</v>
      </c>
      <c r="M7" s="286" t="inlineStr">
        <is>
          <t>HY-DAA</t>
        </is>
      </c>
    </row>
    <row r="8">
      <c r="A8" s="287" t="inlineStr">
        <is>
          <t>Aditya Birla Sun Life Bal Bhavishya Yojna - Regular Plan</t>
        </is>
      </c>
      <c r="B8" s="286" t="n">
        <v>3.93</v>
      </c>
      <c r="C8" s="286" t="n">
        <v>18.44</v>
      </c>
      <c r="D8" s="286" t="n">
        <v>15</v>
      </c>
      <c r="E8" s="286" t="n">
        <v>0</v>
      </c>
      <c r="F8" s="286" t="n">
        <v>0.65</v>
      </c>
      <c r="G8" s="286" t="n">
        <v>0.98</v>
      </c>
      <c r="H8" s="286" t="n">
        <v>-1.75</v>
      </c>
      <c r="I8" s="286" t="n">
        <v>2.16</v>
      </c>
      <c r="J8" s="286" t="n">
        <v>43</v>
      </c>
      <c r="K8" s="286" t="n">
        <v>0.9399999999999999</v>
      </c>
      <c r="L8" s="286" t="n">
        <v>13.97</v>
      </c>
      <c r="M8" s="286" t="inlineStr">
        <is>
          <t>EQ-FLX</t>
        </is>
      </c>
    </row>
    <row r="9">
      <c r="A9" s="287" t="inlineStr">
        <is>
          <t>Aditya Birla Sun Life Business Cycle Fund - Regular Plan</t>
        </is>
      </c>
      <c r="B9" s="286" t="n">
        <v>4.8</v>
      </c>
      <c r="C9" s="286" t="n">
        <v>19.22</v>
      </c>
      <c r="D9" s="286" t="n">
        <v>0</v>
      </c>
      <c r="E9" s="286" t="n">
        <v>0</v>
      </c>
      <c r="F9" s="286" t="n">
        <v>0.68</v>
      </c>
      <c r="G9" s="286" t="n">
        <v>1.09</v>
      </c>
      <c r="H9" s="286" t="n">
        <v>-1.45</v>
      </c>
      <c r="I9" s="286" t="n">
        <v>2.14</v>
      </c>
      <c r="J9" s="286" t="n">
        <v>11</v>
      </c>
      <c r="K9" s="286" t="n">
        <v>0.96</v>
      </c>
      <c r="L9" s="286" t="n">
        <v>14.21</v>
      </c>
      <c r="M9" s="286" t="inlineStr">
        <is>
          <t>EQ-THEMATIC</t>
        </is>
      </c>
    </row>
    <row r="10">
      <c r="A10" s="287" t="inlineStr">
        <is>
          <t>Aditya Birla Sun Life Conglomerate - Regular Plan</t>
        </is>
      </c>
      <c r="B10" s="286" t="n">
        <v>0</v>
      </c>
      <c r="C10" s="286" t="n">
        <v>0</v>
      </c>
      <c r="D10" s="286" t="n">
        <v>0</v>
      </c>
      <c r="E10" s="286" t="n">
        <v>0</v>
      </c>
      <c r="F10" s="286" t="n">
        <v>0</v>
      </c>
      <c r="G10" s="286" t="n">
        <v>0</v>
      </c>
      <c r="H10" s="286" t="n">
        <v>0</v>
      </c>
      <c r="I10" s="286" t="n">
        <v>2.07</v>
      </c>
      <c r="J10" s="286" t="n">
        <v>0</v>
      </c>
      <c r="K10" s="286" t="n">
        <v>0</v>
      </c>
      <c r="L10" s="286" t="n">
        <v>0</v>
      </c>
      <c r="M10" s="286" t="inlineStr">
        <is>
          <t>EQ-THEMATIC</t>
        </is>
      </c>
    </row>
    <row r="11">
      <c r="A11" s="287" t="inlineStr">
        <is>
          <t>Aditya Birla Sun Life Dividend Yield Fund - Regular Plan</t>
        </is>
      </c>
      <c r="B11" s="286" t="n">
        <v>1.73</v>
      </c>
      <c r="C11" s="286" t="n">
        <v>26.52</v>
      </c>
      <c r="D11" s="286" t="n">
        <v>25.08</v>
      </c>
      <c r="E11" s="286" t="n">
        <v>12.47</v>
      </c>
      <c r="F11" s="286" t="n">
        <v>1</v>
      </c>
      <c r="G11" s="286" t="n">
        <v>1.56</v>
      </c>
      <c r="H11" s="286" t="n">
        <v>4.06</v>
      </c>
      <c r="I11" s="286" t="n">
        <v>2.22</v>
      </c>
      <c r="J11" s="286" t="n">
        <v>33</v>
      </c>
      <c r="K11" s="286" t="n">
        <v>0.97</v>
      </c>
      <c r="L11" s="286" t="n">
        <v>15.2</v>
      </c>
      <c r="M11" s="286" t="inlineStr">
        <is>
          <t>EQ-L&amp;MC</t>
        </is>
      </c>
    </row>
    <row r="12">
      <c r="A12" s="287" t="inlineStr">
        <is>
          <t>Aditya Birla Sun Life Equity Hybrid '95 Fund - Regular Plan</t>
        </is>
      </c>
      <c r="B12" s="286" t="n">
        <v>6.35</v>
      </c>
      <c r="C12" s="286" t="n">
        <v>16.61</v>
      </c>
      <c r="D12" s="286" t="n">
        <v>18.41</v>
      </c>
      <c r="E12" s="286" t="n">
        <v>10.7</v>
      </c>
      <c r="F12" s="286" t="n">
        <v>0.72</v>
      </c>
      <c r="G12" s="286" t="n">
        <v>1.04</v>
      </c>
      <c r="H12" s="286" t="n">
        <v>-0.6899999999999999</v>
      </c>
      <c r="I12" s="286" t="n">
        <v>1.84</v>
      </c>
      <c r="J12" s="286" t="n">
        <v>56</v>
      </c>
      <c r="K12" s="286" t="n">
        <v>0.85</v>
      </c>
      <c r="L12" s="286" t="n">
        <v>10.28</v>
      </c>
      <c r="M12" s="286" t="inlineStr">
        <is>
          <t>HY-AH</t>
        </is>
      </c>
    </row>
    <row r="13">
      <c r="A13" s="287" t="inlineStr">
        <is>
          <t>Aditya Birla Sun Life ESG Integration Strategy Fund - Regular Plan</t>
        </is>
      </c>
      <c r="B13" s="286" t="n">
        <v>8.59</v>
      </c>
      <c r="C13" s="286" t="n">
        <v>18.83</v>
      </c>
      <c r="D13" s="286" t="n">
        <v>0</v>
      </c>
      <c r="E13" s="286" t="n">
        <v>0</v>
      </c>
      <c r="F13" s="286" t="n">
        <v>0.62</v>
      </c>
      <c r="G13" s="286" t="n">
        <v>0.98</v>
      </c>
      <c r="H13" s="286" t="n">
        <v>-1</v>
      </c>
      <c r="I13" s="286" t="n">
        <v>2.44</v>
      </c>
      <c r="J13" s="286" t="n">
        <v>10</v>
      </c>
      <c r="K13" s="286" t="n">
        <v>0.98</v>
      </c>
      <c r="L13" s="286" t="n">
        <v>14.57</v>
      </c>
      <c r="M13" s="286" t="inlineStr">
        <is>
          <t>EQ-FLX</t>
        </is>
      </c>
    </row>
    <row r="14">
      <c r="A14" s="287" t="inlineStr">
        <is>
          <t>Aditya Birla Sun Life Financial Planning FoF - Aggressive Plan - Regular Plan</t>
        </is>
      </c>
      <c r="B14" s="286" t="n">
        <v>7.85</v>
      </c>
      <c r="C14" s="286" t="n">
        <v>20.04</v>
      </c>
      <c r="D14" s="286" t="n">
        <v>19.17</v>
      </c>
      <c r="E14" s="286" t="n">
        <v>12.58</v>
      </c>
      <c r="F14" s="286" t="n">
        <v>1</v>
      </c>
      <c r="G14" s="286" t="n">
        <v>1.44</v>
      </c>
      <c r="H14" s="286" t="n">
        <v>1.02</v>
      </c>
      <c r="I14" s="286" t="n">
        <v>1.13</v>
      </c>
      <c r="J14" s="286" t="n">
        <v>0</v>
      </c>
      <c r="K14" s="286" t="n">
        <v>1.07</v>
      </c>
      <c r="L14" s="286" t="n">
        <v>10.49</v>
      </c>
      <c r="M14" s="286" t="inlineStr">
        <is>
          <t>EQ-FLX</t>
        </is>
      </c>
    </row>
    <row r="15">
      <c r="A15" s="287" t="inlineStr">
        <is>
          <t>Aditya Birla Sun Life Financial Planning FoF - Conservative Plan - Regular Plan</t>
        </is>
      </c>
      <c r="B15" s="286" t="n">
        <v>8.44</v>
      </c>
      <c r="C15" s="286" t="n">
        <v>13.28</v>
      </c>
      <c r="D15" s="286" t="n">
        <v>12.11</v>
      </c>
      <c r="E15" s="286" t="n">
        <v>9.130000000000001</v>
      </c>
      <c r="F15" s="286" t="n">
        <v>1.21</v>
      </c>
      <c r="G15" s="286" t="n">
        <v>1.84</v>
      </c>
      <c r="H15" s="286" t="n">
        <v>1.48</v>
      </c>
      <c r="I15" s="286" t="n">
        <v>0.9399999999999999</v>
      </c>
      <c r="J15" s="286" t="n">
        <v>0</v>
      </c>
      <c r="K15" s="286" t="n">
        <v>0.47</v>
      </c>
      <c r="L15" s="286" t="n">
        <v>4.72</v>
      </c>
      <c r="M15" s="286" t="inlineStr">
        <is>
          <t>EQ-LC</t>
        </is>
      </c>
    </row>
    <row r="16">
      <c r="A16" s="287" t="inlineStr">
        <is>
          <t>Aditya Birla Sun Life Financial Planning FoF - Moderate Plan - Regular Plan</t>
        </is>
      </c>
      <c r="B16" s="286" t="n">
        <v>8.66</v>
      </c>
      <c r="C16" s="286" t="n">
        <v>16.64</v>
      </c>
      <c r="D16" s="286" t="n">
        <v>15.68</v>
      </c>
      <c r="E16" s="286" t="n">
        <v>10.85</v>
      </c>
      <c r="F16" s="286" t="n">
        <v>1.06</v>
      </c>
      <c r="G16" s="286" t="n">
        <v>1.54</v>
      </c>
      <c r="H16" s="286" t="n">
        <v>1.24</v>
      </c>
      <c r="I16" s="286" t="n">
        <v>1.09</v>
      </c>
      <c r="J16" s="286" t="n">
        <v>0</v>
      </c>
      <c r="K16" s="286" t="n">
        <v>0.77</v>
      </c>
      <c r="L16" s="286" t="n">
        <v>7.64</v>
      </c>
      <c r="M16" s="286" t="inlineStr">
        <is>
          <t>EQ-THEMATIC</t>
        </is>
      </c>
    </row>
    <row r="17">
      <c r="A17" s="287" t="inlineStr">
        <is>
          <t>Aditya Birla Sun Life Flexi Cap Fund - Regular Plan</t>
        </is>
      </c>
      <c r="B17" s="286" t="n">
        <v>9.18</v>
      </c>
      <c r="C17" s="286" t="n">
        <v>22.19</v>
      </c>
      <c r="D17" s="286" t="n">
        <v>22.95</v>
      </c>
      <c r="E17" s="286" t="n">
        <v>14.3</v>
      </c>
      <c r="F17" s="286" t="n">
        <v>0.87</v>
      </c>
      <c r="G17" s="286" t="n">
        <v>1.43</v>
      </c>
      <c r="H17" s="286" t="n">
        <v>1.15</v>
      </c>
      <c r="I17" s="286" t="n">
        <v>1.67</v>
      </c>
      <c r="J17" s="286" t="n">
        <v>35</v>
      </c>
      <c r="K17" s="286" t="n">
        <v>0.9399999999999999</v>
      </c>
      <c r="L17" s="286" t="n">
        <v>13.82</v>
      </c>
      <c r="M17" s="286" t="inlineStr">
        <is>
          <t>EQ-MC</t>
        </is>
      </c>
    </row>
    <row r="18">
      <c r="A18" s="287" t="inlineStr">
        <is>
          <t>Aditya Birla Sun Life Focused Fund - Regular Plan</t>
        </is>
      </c>
      <c r="B18" s="286" t="n">
        <v>9.18</v>
      </c>
      <c r="C18" s="286" t="n">
        <v>21.07</v>
      </c>
      <c r="D18" s="286" t="n">
        <v>21.51</v>
      </c>
      <c r="E18" s="286" t="n">
        <v>12.94</v>
      </c>
      <c r="F18" s="286" t="n">
        <v>0.8</v>
      </c>
      <c r="G18" s="286" t="n">
        <v>1.57</v>
      </c>
      <c r="H18" s="286" t="n">
        <v>0.3</v>
      </c>
      <c r="I18" s="286" t="n">
        <v>1.81</v>
      </c>
      <c r="J18" s="286" t="n">
        <v>32</v>
      </c>
      <c r="K18" s="286" t="n">
        <v>0.9</v>
      </c>
      <c r="L18" s="286" t="n">
        <v>13.24</v>
      </c>
      <c r="M18" s="286" t="inlineStr">
        <is>
          <t>HY-MAA</t>
        </is>
      </c>
    </row>
    <row r="19">
      <c r="A19" s="287" t="inlineStr">
        <is>
          <t>Aditya Birla Sun Life India GenNext Fund - Regular Plan</t>
        </is>
      </c>
      <c r="B19" s="286" t="n">
        <v>6.07</v>
      </c>
      <c r="C19" s="286" t="n">
        <v>20.38</v>
      </c>
      <c r="D19" s="286" t="n">
        <v>22.07</v>
      </c>
      <c r="E19" s="286" t="n">
        <v>14.95</v>
      </c>
      <c r="F19" s="286" t="n">
        <v>0.75</v>
      </c>
      <c r="G19" s="286" t="n">
        <v>1.16</v>
      </c>
      <c r="H19" s="286" t="n">
        <v>-0.37</v>
      </c>
      <c r="I19" s="286" t="n">
        <v>1.85</v>
      </c>
      <c r="J19" s="286" t="n">
        <v>14</v>
      </c>
      <c r="K19" s="286" t="n">
        <v>0.79</v>
      </c>
      <c r="L19" s="286" t="n">
        <v>14.6</v>
      </c>
      <c r="M19" s="286" t="inlineStr">
        <is>
          <t>EQ-MLC</t>
        </is>
      </c>
    </row>
    <row r="20">
      <c r="A20" s="287" t="inlineStr">
        <is>
          <t>Aditya Birla Sun Life Large Cap Fund - Regular Plan</t>
        </is>
      </c>
      <c r="B20" s="286" t="n">
        <v>7.39</v>
      </c>
      <c r="C20" s="286" t="n">
        <v>20.67</v>
      </c>
      <c r="D20" s="286" t="n">
        <v>21.97</v>
      </c>
      <c r="E20" s="286" t="n">
        <v>12.58</v>
      </c>
      <c r="F20" s="286" t="n">
        <v>0.8100000000000001</v>
      </c>
      <c r="G20" s="286" t="n">
        <v>1.3</v>
      </c>
      <c r="H20" s="286" t="n">
        <v>0.83</v>
      </c>
      <c r="I20" s="286" t="n">
        <v>1.64</v>
      </c>
      <c r="J20" s="286" t="n">
        <v>54</v>
      </c>
      <c r="K20" s="286" t="n">
        <v>0.95</v>
      </c>
      <c r="L20" s="286" t="n">
        <v>13.13</v>
      </c>
      <c r="M20" s="286" t="inlineStr">
        <is>
          <t>EQ-LC</t>
        </is>
      </c>
    </row>
    <row r="21">
      <c r="A21" s="287" t="inlineStr">
        <is>
          <t>Aditya Birla Sun Life Large &amp; Mid Cap Fund - Regular Plan</t>
        </is>
      </c>
      <c r="B21" s="286" t="n">
        <v>3.45</v>
      </c>
      <c r="C21" s="286" t="n">
        <v>19.29</v>
      </c>
      <c r="D21" s="286" t="n">
        <v>20.36</v>
      </c>
      <c r="E21" s="286" t="n">
        <v>11.91</v>
      </c>
      <c r="F21" s="286" t="n">
        <v>0.62</v>
      </c>
      <c r="G21" s="286" t="n">
        <v>0.86</v>
      </c>
      <c r="H21" s="286" t="n">
        <v>-1.71</v>
      </c>
      <c r="I21" s="286" t="n">
        <v>1.9</v>
      </c>
      <c r="J21" s="286" t="n">
        <v>37</v>
      </c>
      <c r="K21" s="286" t="n">
        <v>1.01</v>
      </c>
      <c r="L21" s="286" t="n">
        <v>15.21</v>
      </c>
      <c r="M21" s="286" t="inlineStr">
        <is>
          <t>EQ-LC</t>
        </is>
      </c>
    </row>
    <row r="22">
      <c r="A22" s="287" t="inlineStr">
        <is>
          <t>Aditya Birla Sun Life Manufacturing Equity Fund - Regular Plan</t>
        </is>
      </c>
      <c r="B22" s="286" t="n">
        <v>1.14</v>
      </c>
      <c r="C22" s="286" t="n">
        <v>22.32</v>
      </c>
      <c r="D22" s="286" t="n">
        <v>20.59</v>
      </c>
      <c r="E22" s="286" t="n">
        <v>12.35</v>
      </c>
      <c r="F22" s="286" t="n">
        <v>0.8</v>
      </c>
      <c r="G22" s="286" t="n">
        <v>1.25</v>
      </c>
      <c r="H22" s="286" t="n">
        <v>0.88</v>
      </c>
      <c r="I22" s="286" t="n">
        <v>2.29</v>
      </c>
      <c r="J22" s="286" t="n">
        <v>48</v>
      </c>
      <c r="K22" s="286" t="n">
        <v>1.07</v>
      </c>
      <c r="L22" s="286" t="n">
        <v>16.43</v>
      </c>
      <c r="M22" s="286" t="inlineStr">
        <is>
          <t>EQ-THEMATIC</t>
        </is>
      </c>
    </row>
    <row r="23">
      <c r="A23" s="287" t="inlineStr">
        <is>
          <t>Aditya Birla Sun Life Mid Cap Fund - Regular Plan</t>
        </is>
      </c>
      <c r="B23" s="286" t="n">
        <v>5.35</v>
      </c>
      <c r="C23" s="286" t="n">
        <v>24.05</v>
      </c>
      <c r="D23" s="286" t="n">
        <v>27.54</v>
      </c>
      <c r="E23" s="286" t="n">
        <v>13.95</v>
      </c>
      <c r="F23" s="286" t="n">
        <v>0.85</v>
      </c>
      <c r="G23" s="286" t="n">
        <v>1.39</v>
      </c>
      <c r="H23" s="286" t="n">
        <v>-2.87</v>
      </c>
      <c r="I23" s="286" t="n">
        <v>1.89</v>
      </c>
      <c r="J23" s="286" t="n">
        <v>56</v>
      </c>
      <c r="K23" s="286" t="n">
        <v>0.92</v>
      </c>
      <c r="L23" s="286" t="n">
        <v>16.24</v>
      </c>
      <c r="M23" s="286" t="inlineStr">
        <is>
          <t>EQ-MC</t>
        </is>
      </c>
    </row>
    <row r="24">
      <c r="A24" s="287" t="inlineStr">
        <is>
          <t>Aditya Birla Sun Life MNC Fund - Regular Plan</t>
        </is>
      </c>
      <c r="B24" s="286" t="n">
        <v>-1.13</v>
      </c>
      <c r="C24" s="286" t="n">
        <v>16.14</v>
      </c>
      <c r="D24" s="286" t="n">
        <v>13.07</v>
      </c>
      <c r="E24" s="286" t="n">
        <v>8.859999999999999</v>
      </c>
      <c r="F24" s="286" t="n">
        <v>0.52</v>
      </c>
      <c r="G24" s="286" t="n">
        <v>0.89</v>
      </c>
      <c r="H24" s="286" t="n">
        <v>-2.66</v>
      </c>
      <c r="I24" s="286" t="n">
        <v>2.01</v>
      </c>
      <c r="J24" s="286" t="n">
        <v>14</v>
      </c>
      <c r="K24" s="286" t="n">
        <v>0.9</v>
      </c>
      <c r="L24" s="286" t="n">
        <v>14.9</v>
      </c>
      <c r="M24" s="286" t="inlineStr">
        <is>
          <t>EQ-LC</t>
        </is>
      </c>
    </row>
    <row r="25">
      <c r="A25" s="287" t="inlineStr">
        <is>
          <t>Aditya Birla Sun Life Multi Asset Allocation Fund - Regular Plan</t>
        </is>
      </c>
      <c r="B25" s="286" t="n">
        <v>10.63</v>
      </c>
      <c r="C25" s="286" t="n">
        <v>0</v>
      </c>
      <c r="D25" s="286" t="n">
        <v>0</v>
      </c>
      <c r="E25" s="286" t="n">
        <v>0</v>
      </c>
      <c r="F25" s="286" t="n">
        <v>0</v>
      </c>
      <c r="G25" s="286" t="n">
        <v>0</v>
      </c>
      <c r="H25" s="286" t="n">
        <v>0</v>
      </c>
      <c r="I25" s="286" t="n">
        <v>1.83</v>
      </c>
      <c r="J25" s="286" t="n">
        <v>0</v>
      </c>
      <c r="K25" s="286" t="n">
        <v>0</v>
      </c>
      <c r="L25" s="286" t="n">
        <v>0</v>
      </c>
      <c r="M25" s="286" t="inlineStr">
        <is>
          <t>EQ-SC</t>
        </is>
      </c>
    </row>
    <row r="26">
      <c r="A26" s="287" t="inlineStr">
        <is>
          <t>Aditya Birla Sun Life Multi-Cap Fund - Regular Plan</t>
        </is>
      </c>
      <c r="B26" s="286" t="n">
        <v>4.44</v>
      </c>
      <c r="C26" s="286" t="n">
        <v>21.48</v>
      </c>
      <c r="D26" s="286" t="n">
        <v>0</v>
      </c>
      <c r="E26" s="286" t="n">
        <v>0</v>
      </c>
      <c r="F26" s="286" t="n">
        <v>0.8</v>
      </c>
      <c r="G26" s="286" t="n">
        <v>1.06</v>
      </c>
      <c r="H26" s="286" t="n">
        <v>-1.43</v>
      </c>
      <c r="I26" s="286" t="n">
        <v>1.84</v>
      </c>
      <c r="J26" s="286" t="n">
        <v>52</v>
      </c>
      <c r="K26" s="286" t="n">
        <v>0.88</v>
      </c>
      <c r="L26" s="286" t="n">
        <v>14.3</v>
      </c>
      <c r="M26" s="286" t="inlineStr">
        <is>
          <t>EQ-THEMATIC</t>
        </is>
      </c>
    </row>
    <row r="27">
      <c r="A27" s="287" t="inlineStr">
        <is>
          <t>Aditya Birla Sun Life PSU Equity Fund - Regular Plan</t>
        </is>
      </c>
      <c r="B27" s="286" t="n">
        <v>-5.02</v>
      </c>
      <c r="C27" s="286" t="n">
        <v>36.28</v>
      </c>
      <c r="D27" s="286" t="n">
        <v>31.04</v>
      </c>
      <c r="E27" s="286" t="n">
        <v>0</v>
      </c>
      <c r="F27" s="286" t="n">
        <v>1.07</v>
      </c>
      <c r="G27" s="286" t="n">
        <v>1.95</v>
      </c>
      <c r="H27" s="286" t="n">
        <v>-2.99</v>
      </c>
      <c r="I27" s="286" t="n">
        <v>1.79</v>
      </c>
      <c r="J27" s="286" t="n">
        <v>18</v>
      </c>
      <c r="K27" s="286" t="n">
        <v>0.97</v>
      </c>
      <c r="L27" s="286" t="n">
        <v>22.36</v>
      </c>
      <c r="M27" s="286" t="inlineStr">
        <is>
          <t>HY-CH</t>
        </is>
      </c>
    </row>
    <row r="28">
      <c r="A28" s="287" t="inlineStr">
        <is>
          <t>Aditya Birla Sun Life Quant Fund - Regular Plan</t>
        </is>
      </c>
      <c r="B28" s="286" t="n">
        <v>0</v>
      </c>
      <c r="C28" s="286" t="n">
        <v>0</v>
      </c>
      <c r="D28" s="286" t="n">
        <v>0</v>
      </c>
      <c r="E28" s="286" t="n">
        <v>0</v>
      </c>
      <c r="F28" s="286" t="n">
        <v>0</v>
      </c>
      <c r="G28" s="286" t="n">
        <v>0</v>
      </c>
      <c r="H28" s="286" t="n">
        <v>0</v>
      </c>
      <c r="I28" s="286" t="n">
        <v>1.97</v>
      </c>
      <c r="J28" s="286" t="n">
        <v>0</v>
      </c>
      <c r="K28" s="286" t="n">
        <v>0</v>
      </c>
      <c r="L28" s="286" t="n">
        <v>0</v>
      </c>
      <c r="M28" s="286" t="inlineStr">
        <is>
          <t>EQ-FLX</t>
        </is>
      </c>
    </row>
    <row r="29">
      <c r="A29" s="287" t="inlineStr">
        <is>
          <t>Aditya Birla Sun Life Regular Savings Fund - Regular Plan</t>
        </is>
      </c>
      <c r="B29" s="286" t="n">
        <v>9.380000000000001</v>
      </c>
      <c r="C29" s="286" t="n">
        <v>10.48</v>
      </c>
      <c r="D29" s="286" t="n">
        <v>11.94</v>
      </c>
      <c r="E29" s="286" t="n">
        <v>8.630000000000001</v>
      </c>
      <c r="F29" s="286" t="n">
        <v>0.86</v>
      </c>
      <c r="G29" s="286" t="n">
        <v>1.66</v>
      </c>
      <c r="H29" s="286" t="n">
        <v>0.04</v>
      </c>
      <c r="I29" s="286" t="n">
        <v>1.92</v>
      </c>
      <c r="J29" s="286" t="n">
        <v>138</v>
      </c>
      <c r="K29" s="286" t="n">
        <v>0.82</v>
      </c>
      <c r="L29" s="286" t="n">
        <v>3.55</v>
      </c>
      <c r="M29" s="286" t="inlineStr">
        <is>
          <t>HY-AH</t>
        </is>
      </c>
    </row>
    <row r="30">
      <c r="A30" s="287" t="inlineStr">
        <is>
          <t>Aditya Birla Sun Life Retirement Fund - The 30s Plan - Regular Plan</t>
        </is>
      </c>
      <c r="B30" s="286" t="n">
        <v>7.32</v>
      </c>
      <c r="C30" s="286" t="n">
        <v>19.38</v>
      </c>
      <c r="D30" s="286" t="n">
        <v>15.85</v>
      </c>
      <c r="E30" s="286" t="n">
        <v>0</v>
      </c>
      <c r="F30" s="286" t="n">
        <v>0.6899999999999999</v>
      </c>
      <c r="G30" s="286" t="n">
        <v>1.1</v>
      </c>
      <c r="H30" s="286" t="n">
        <v>-0.98</v>
      </c>
      <c r="I30" s="286" t="n">
        <v>2.41</v>
      </c>
      <c r="J30" s="286" t="n">
        <v>86</v>
      </c>
      <c r="K30" s="286" t="n">
        <v>0.9399999999999999</v>
      </c>
      <c r="L30" s="286" t="n">
        <v>14.35</v>
      </c>
      <c r="M30" s="286" t="inlineStr">
        <is>
          <t>HY-CH</t>
        </is>
      </c>
    </row>
    <row r="31">
      <c r="A31" s="287" t="inlineStr">
        <is>
          <t>Aditya Birla Sun Life Retirement Fund - The 40s Plan - Regular Plan</t>
        </is>
      </c>
      <c r="B31" s="286" t="n">
        <v>8.630000000000001</v>
      </c>
      <c r="C31" s="286" t="n">
        <v>16.95</v>
      </c>
      <c r="D31" s="286" t="n">
        <v>13.69</v>
      </c>
      <c r="E31" s="286" t="n">
        <v>0</v>
      </c>
      <c r="F31" s="286" t="n">
        <v>0.74</v>
      </c>
      <c r="G31" s="286" t="n">
        <v>1.2</v>
      </c>
      <c r="H31" s="286" t="n">
        <v>-0.3</v>
      </c>
      <c r="I31" s="286" t="n">
        <v>2.38</v>
      </c>
      <c r="J31" s="286" t="n">
        <v>25</v>
      </c>
      <c r="K31" s="286" t="n">
        <v>0.87</v>
      </c>
      <c r="L31" s="286" t="n">
        <v>10.97</v>
      </c>
      <c r="M31" s="286" t="inlineStr">
        <is>
          <t>EQ-SC</t>
        </is>
      </c>
    </row>
    <row r="32">
      <c r="A32" s="287" t="inlineStr">
        <is>
          <t>Aditya Birla Sun Life Retirement Fund - The 50s Plan - Regular Plan</t>
        </is>
      </c>
      <c r="B32" s="286" t="n">
        <v>7.13</v>
      </c>
      <c r="C32" s="286" t="n">
        <v>9.470000000000001</v>
      </c>
      <c r="D32" s="286" t="n">
        <v>5.62</v>
      </c>
      <c r="E32" s="286" t="n">
        <v>0</v>
      </c>
      <c r="F32" s="286" t="n">
        <v>0.62</v>
      </c>
      <c r="G32" s="286" t="n">
        <v>0.99</v>
      </c>
      <c r="H32" s="286" t="n">
        <v>-0.92</v>
      </c>
      <c r="I32" s="286" t="n">
        <v>1.93</v>
      </c>
      <c r="J32" s="286" t="n">
        <v>13</v>
      </c>
      <c r="K32" s="286" t="n">
        <v>0.88</v>
      </c>
      <c r="L32" s="286" t="n">
        <v>3.71</v>
      </c>
      <c r="M32" s="286" t="inlineStr">
        <is>
          <t>EQ-THEMATIC</t>
        </is>
      </c>
    </row>
    <row r="33">
      <c r="A33" s="287" t="inlineStr">
        <is>
          <t>Aditya Birla Sun Life Small Cap Fund - Regular Plan</t>
        </is>
      </c>
      <c r="B33" s="286" t="n">
        <v>0.75</v>
      </c>
      <c r="C33" s="286" t="n">
        <v>23.77</v>
      </c>
      <c r="D33" s="286" t="n">
        <v>28.2</v>
      </c>
      <c r="E33" s="286" t="n">
        <v>13.81</v>
      </c>
      <c r="F33" s="286" t="n">
        <v>0.78</v>
      </c>
      <c r="G33" s="286" t="n">
        <v>1.18</v>
      </c>
      <c r="H33" s="286" t="n">
        <v>-2.19</v>
      </c>
      <c r="I33" s="286" t="n">
        <v>1.92</v>
      </c>
      <c r="J33" s="286" t="n">
        <v>42</v>
      </c>
      <c r="K33" s="286" t="n">
        <v>0.89</v>
      </c>
      <c r="L33" s="286" t="n">
        <v>17.91</v>
      </c>
      <c r="M33" s="286" t="inlineStr">
        <is>
          <t>EQ-THEMATIC</t>
        </is>
      </c>
    </row>
    <row r="34">
      <c r="A34" s="287" t="inlineStr">
        <is>
          <t>Aditya Birla Sun Life Special Opportunities Fund - Regular Plan</t>
        </is>
      </c>
      <c r="B34" s="286" t="n">
        <v>7.75</v>
      </c>
      <c r="C34" s="286" t="n">
        <v>22.11</v>
      </c>
      <c r="D34" s="286" t="n">
        <v>0</v>
      </c>
      <c r="E34" s="286" t="n">
        <v>0</v>
      </c>
      <c r="F34" s="286" t="n">
        <v>0.79</v>
      </c>
      <c r="G34" s="286" t="n">
        <v>1.39</v>
      </c>
      <c r="H34" s="286" t="n">
        <v>0.3</v>
      </c>
      <c r="I34" s="286" t="n">
        <v>2.39</v>
      </c>
      <c r="J34" s="286" t="n">
        <v>29</v>
      </c>
      <c r="K34" s="286" t="n">
        <v>0.99</v>
      </c>
      <c r="L34" s="286" t="n">
        <v>14.79</v>
      </c>
      <c r="M34" s="286" t="inlineStr">
        <is>
          <t>EQ-LC</t>
        </is>
      </c>
    </row>
    <row r="35">
      <c r="A35" s="287" t="inlineStr">
        <is>
          <t>Aditya Birla Sun Life Transportation and Logistics Fund - Regular Plan</t>
        </is>
      </c>
      <c r="B35" s="286" t="n">
        <v>-3.98</v>
      </c>
      <c r="C35" s="286" t="n">
        <v>0</v>
      </c>
      <c r="D35" s="286" t="n">
        <v>0</v>
      </c>
      <c r="E35" s="286" t="n">
        <v>0</v>
      </c>
      <c r="F35" s="286" t="n">
        <v>0</v>
      </c>
      <c r="G35" s="286" t="n">
        <v>0</v>
      </c>
      <c r="H35" s="286" t="n">
        <v>0</v>
      </c>
      <c r="I35" s="286" t="n">
        <v>2.11</v>
      </c>
      <c r="J35" s="286" t="n">
        <v>0</v>
      </c>
      <c r="K35" s="286" t="n">
        <v>0</v>
      </c>
      <c r="L35" s="286" t="n">
        <v>0</v>
      </c>
      <c r="M35" s="286" t="inlineStr">
        <is>
          <t>EQ-FLX</t>
        </is>
      </c>
    </row>
    <row r="36">
      <c r="A36" s="287" t="inlineStr">
        <is>
          <t>Axis Aggressive Hybrid Fund - Regular Plan</t>
        </is>
      </c>
      <c r="B36" s="286" t="n">
        <v>7.78</v>
      </c>
      <c r="C36" s="286" t="n">
        <v>14.4</v>
      </c>
      <c r="D36" s="286" t="n">
        <v>15.24</v>
      </c>
      <c r="E36" s="286" t="n">
        <v>0</v>
      </c>
      <c r="F36" s="286" t="n">
        <v>0.51</v>
      </c>
      <c r="G36" s="286" t="n">
        <v>0.9</v>
      </c>
      <c r="H36" s="286" t="n">
        <v>-3.07</v>
      </c>
      <c r="I36" s="286" t="n">
        <v>2.15</v>
      </c>
      <c r="J36" s="286" t="n">
        <v>43</v>
      </c>
      <c r="K36" s="286" t="n">
        <v>0.92</v>
      </c>
      <c r="L36" s="286" t="n">
        <v>11.35</v>
      </c>
      <c r="M36" s="286" t="inlineStr">
        <is>
          <t>HY-AH</t>
        </is>
      </c>
    </row>
    <row r="37">
      <c r="A37" s="287" t="inlineStr">
        <is>
          <t>Axis Balanced Advantage Fund - Regular Plan</t>
        </is>
      </c>
      <c r="B37" s="286" t="n">
        <v>8.6</v>
      </c>
      <c r="C37" s="286" t="n">
        <v>16.33</v>
      </c>
      <c r="D37" s="286" t="n">
        <v>14.02</v>
      </c>
      <c r="E37" s="286" t="n">
        <v>0</v>
      </c>
      <c r="F37" s="286" t="n">
        <v>1.01</v>
      </c>
      <c r="G37" s="286" t="n">
        <v>1.7</v>
      </c>
      <c r="H37" s="286" t="n">
        <v>2.22</v>
      </c>
      <c r="I37" s="286" t="n">
        <v>1.94</v>
      </c>
      <c r="J37" s="286" t="n">
        <v>434</v>
      </c>
      <c r="K37" s="286" t="n">
        <v>0.75</v>
      </c>
      <c r="L37" s="286" t="n">
        <v>8.06</v>
      </c>
      <c r="M37" s="286" t="inlineStr">
        <is>
          <t>HY-AR</t>
        </is>
      </c>
    </row>
    <row r="38">
      <c r="A38" s="287" t="inlineStr">
        <is>
          <t>Axis Business Cycles Fund - Regular Plan</t>
        </is>
      </c>
      <c r="B38" s="286" t="n">
        <v>4.74</v>
      </c>
      <c r="C38" s="286" t="n">
        <v>0</v>
      </c>
      <c r="D38" s="286" t="n">
        <v>0</v>
      </c>
      <c r="E38" s="286" t="n">
        <v>0</v>
      </c>
      <c r="F38" s="286" t="n">
        <v>0</v>
      </c>
      <c r="G38" s="286" t="n">
        <v>0</v>
      </c>
      <c r="H38" s="286" t="n">
        <v>0</v>
      </c>
      <c r="I38" s="286" t="n">
        <v>1.99</v>
      </c>
      <c r="J38" s="286" t="n">
        <v>83</v>
      </c>
      <c r="K38" s="286" t="n">
        <v>0</v>
      </c>
      <c r="L38" s="286" t="n">
        <v>0</v>
      </c>
      <c r="M38" s="286" t="inlineStr">
        <is>
          <t>HY-DAA</t>
        </is>
      </c>
    </row>
    <row r="39">
      <c r="A39" s="287" t="inlineStr">
        <is>
          <t>Axis Children's - Regular Plan</t>
        </is>
      </c>
      <c r="B39" s="286" t="n">
        <v>8</v>
      </c>
      <c r="C39" s="286" t="n">
        <v>13.4</v>
      </c>
      <c r="D39" s="286" t="n">
        <v>14.73</v>
      </c>
      <c r="E39" s="286" t="n">
        <v>0</v>
      </c>
      <c r="F39" s="286" t="n">
        <v>0.44</v>
      </c>
      <c r="G39" s="286" t="n">
        <v>0.74</v>
      </c>
      <c r="H39" s="286" t="n">
        <v>-3.53</v>
      </c>
      <c r="I39" s="286" t="n">
        <v>2.29</v>
      </c>
      <c r="J39" s="286" t="n">
        <v>86</v>
      </c>
      <c r="K39" s="286" t="n">
        <v>0.86</v>
      </c>
      <c r="L39" s="286" t="n">
        <v>10.78</v>
      </c>
      <c r="M39" s="286" t="inlineStr">
        <is>
          <t>EQ-LC</t>
        </is>
      </c>
    </row>
    <row r="40">
      <c r="A40" s="287" t="inlineStr">
        <is>
          <t>Axis Conservative Hybrid Fund - Regular Plan</t>
        </is>
      </c>
      <c r="B40" s="286" t="n">
        <v>7.51</v>
      </c>
      <c r="C40" s="286" t="n">
        <v>8.77</v>
      </c>
      <c r="D40" s="286" t="n">
        <v>8.58</v>
      </c>
      <c r="E40" s="286" t="n">
        <v>6.93</v>
      </c>
      <c r="F40" s="286" t="n">
        <v>0.4</v>
      </c>
      <c r="G40" s="286" t="n">
        <v>0.72</v>
      </c>
      <c r="H40" s="286" t="n">
        <v>-1.98</v>
      </c>
      <c r="I40" s="286" t="n">
        <v>2.19</v>
      </c>
      <c r="J40" s="286" t="n">
        <v>16</v>
      </c>
      <c r="K40" s="286" t="n">
        <v>0.99</v>
      </c>
      <c r="L40" s="286" t="n">
        <v>4.11</v>
      </c>
      <c r="M40" s="286" t="inlineStr">
        <is>
          <t>EQ-THEMATIC</t>
        </is>
      </c>
    </row>
    <row r="41">
      <c r="A41" s="287" t="inlineStr">
        <is>
          <t>Axis Consumption Fund - Regular Plan</t>
        </is>
      </c>
      <c r="B41" s="286" t="n">
        <v>0</v>
      </c>
      <c r="C41" s="286" t="n">
        <v>0</v>
      </c>
      <c r="D41" s="286" t="n">
        <v>0</v>
      </c>
      <c r="E41" s="286" t="n">
        <v>0</v>
      </c>
      <c r="F41" s="286" t="n">
        <v>0</v>
      </c>
      <c r="G41" s="286" t="n">
        <v>0</v>
      </c>
      <c r="H41" s="286" t="n">
        <v>0</v>
      </c>
      <c r="I41" s="286" t="n">
        <v>1.86</v>
      </c>
      <c r="J41" s="286" t="n">
        <v>0</v>
      </c>
      <c r="K41" s="286" t="n">
        <v>0</v>
      </c>
      <c r="L41" s="286" t="n">
        <v>0</v>
      </c>
      <c r="M41" s="286" t="inlineStr">
        <is>
          <t>HY-AH</t>
        </is>
      </c>
    </row>
    <row r="42">
      <c r="A42" s="287" t="inlineStr">
        <is>
          <t>Axis ESG Integration Strategy Fund - Regular Plan</t>
        </is>
      </c>
      <c r="B42" s="286" t="n">
        <v>5.35</v>
      </c>
      <c r="C42" s="286" t="n">
        <v>17.33</v>
      </c>
      <c r="D42" s="286" t="n">
        <v>16.46</v>
      </c>
      <c r="E42" s="286" t="n">
        <v>0</v>
      </c>
      <c r="F42" s="286" t="n">
        <v>0.52</v>
      </c>
      <c r="G42" s="286" t="n">
        <v>0.79</v>
      </c>
      <c r="H42" s="286" t="n">
        <v>-2.24</v>
      </c>
      <c r="I42" s="286" t="n">
        <v>2.22</v>
      </c>
      <c r="J42" s="286" t="n">
        <v>31</v>
      </c>
      <c r="K42" s="286" t="n">
        <v>0.9399999999999999</v>
      </c>
      <c r="L42" s="286" t="n">
        <v>14.28</v>
      </c>
      <c r="M42" s="286" t="inlineStr">
        <is>
          <t>HY-CH</t>
        </is>
      </c>
    </row>
    <row r="43">
      <c r="A43" s="287" t="inlineStr">
        <is>
          <t>Axis Flexi Cap Fund - Regular Plan</t>
        </is>
      </c>
      <c r="B43" s="286" t="n">
        <v>7.26</v>
      </c>
      <c r="C43" s="286" t="n">
        <v>18.99</v>
      </c>
      <c r="D43" s="286" t="n">
        <v>18.73</v>
      </c>
      <c r="E43" s="286" t="n">
        <v>0</v>
      </c>
      <c r="F43" s="286" t="n">
        <v>0.64</v>
      </c>
      <c r="G43" s="286" t="n">
        <v>0.9</v>
      </c>
      <c r="H43" s="286" t="n">
        <v>-1.74</v>
      </c>
      <c r="I43" s="286" t="n">
        <v>1.71</v>
      </c>
      <c r="J43" s="286" t="n">
        <v>21</v>
      </c>
      <c r="K43" s="286" t="n">
        <v>0.96</v>
      </c>
      <c r="L43" s="286" t="n">
        <v>14.62</v>
      </c>
      <c r="M43" s="286" t="inlineStr">
        <is>
          <t>EQ-FLX</t>
        </is>
      </c>
    </row>
    <row r="44">
      <c r="A44" s="287" t="inlineStr">
        <is>
          <t>Axis Focused Fund</t>
        </is>
      </c>
      <c r="B44" s="286" t="n">
        <v>7.48</v>
      </c>
      <c r="C44" s="286" t="n">
        <v>14.82</v>
      </c>
      <c r="D44" s="286" t="n">
        <v>15.64</v>
      </c>
      <c r="E44" s="286" t="n">
        <v>11.96</v>
      </c>
      <c r="F44" s="286" t="n">
        <v>0.36</v>
      </c>
      <c r="G44" s="286" t="n">
        <v>0.61</v>
      </c>
      <c r="H44" s="286" t="n">
        <v>-5.72</v>
      </c>
      <c r="I44" s="286" t="n">
        <v>1.74</v>
      </c>
      <c r="J44" s="286" t="n">
        <v>30</v>
      </c>
      <c r="K44" s="286" t="n">
        <v>0.99</v>
      </c>
      <c r="L44" s="286" t="n">
        <v>15.7</v>
      </c>
      <c r="M44" s="286" t="inlineStr">
        <is>
          <t>EQ-FLX</t>
        </is>
      </c>
    </row>
    <row r="45">
      <c r="A45" s="287" t="inlineStr">
        <is>
          <t>Axis India Manufacturing Fund - Regular Plan</t>
        </is>
      </c>
      <c r="B45" s="286" t="n">
        <v>-0.87</v>
      </c>
      <c r="C45" s="286" t="n">
        <v>0</v>
      </c>
      <c r="D45" s="286" t="n">
        <v>0</v>
      </c>
      <c r="E45" s="286" t="n">
        <v>0</v>
      </c>
      <c r="F45" s="286" t="n">
        <v>0</v>
      </c>
      <c r="G45" s="286" t="n">
        <v>0</v>
      </c>
      <c r="H45" s="286" t="n">
        <v>0</v>
      </c>
      <c r="I45" s="286" t="n">
        <v>1.81</v>
      </c>
      <c r="J45" s="286" t="n">
        <v>53</v>
      </c>
      <c r="K45" s="286" t="n">
        <v>0</v>
      </c>
      <c r="L45" s="286" t="n">
        <v>0</v>
      </c>
      <c r="M45" s="286" t="inlineStr">
        <is>
          <t>EQ-THEMATIC</t>
        </is>
      </c>
    </row>
    <row r="46">
      <c r="A46" s="287" t="inlineStr">
        <is>
          <t>Axis Innovation Fund - Regular Plan</t>
        </is>
      </c>
      <c r="B46" s="286" t="n">
        <v>5.51</v>
      </c>
      <c r="C46" s="286" t="n">
        <v>19.35</v>
      </c>
      <c r="D46" s="286" t="n">
        <v>0</v>
      </c>
      <c r="E46" s="286" t="n">
        <v>0</v>
      </c>
      <c r="F46" s="286" t="n">
        <v>0.68</v>
      </c>
      <c r="G46" s="286" t="n">
        <v>0.93</v>
      </c>
      <c r="H46" s="286" t="n">
        <v>-0.41</v>
      </c>
      <c r="I46" s="286" t="n">
        <v>2.25</v>
      </c>
      <c r="J46" s="286" t="n">
        <v>32</v>
      </c>
      <c r="K46" s="286" t="n">
        <v>0.86</v>
      </c>
      <c r="L46" s="286" t="n">
        <v>14.04</v>
      </c>
      <c r="M46" s="286" t="inlineStr">
        <is>
          <t>EQ-THEMATIC</t>
        </is>
      </c>
    </row>
    <row r="47">
      <c r="A47" s="287" t="inlineStr">
        <is>
          <t>Axis Large Cap Fund - Regular Plan</t>
        </is>
      </c>
      <c r="B47" s="286" t="n">
        <v>5.44</v>
      </c>
      <c r="C47" s="286" t="n">
        <v>16.13</v>
      </c>
      <c r="D47" s="286" t="n">
        <v>16.38</v>
      </c>
      <c r="E47" s="286" t="n">
        <v>12.22</v>
      </c>
      <c r="F47" s="286" t="n">
        <v>0.51</v>
      </c>
      <c r="G47" s="286" t="n">
        <v>0.85</v>
      </c>
      <c r="H47" s="286" t="n">
        <v>-2.78</v>
      </c>
      <c r="I47" s="286" t="n">
        <v>1.57</v>
      </c>
      <c r="J47" s="286" t="n">
        <v>89</v>
      </c>
      <c r="K47" s="286" t="n">
        <v>0.93</v>
      </c>
      <c r="L47" s="286" t="n">
        <v>13.3</v>
      </c>
      <c r="M47" s="286" t="inlineStr">
        <is>
          <t>EQ-LC</t>
        </is>
      </c>
    </row>
    <row r="48">
      <c r="A48" s="287" t="inlineStr">
        <is>
          <t>Axis Large &amp; Mid Cap Fund - Regular Plan</t>
        </is>
      </c>
      <c r="B48" s="286" t="n">
        <v>6.47</v>
      </c>
      <c r="C48" s="286" t="n">
        <v>22.63</v>
      </c>
      <c r="D48" s="286" t="n">
        <v>23.85</v>
      </c>
      <c r="E48" s="286" t="n">
        <v>0</v>
      </c>
      <c r="F48" s="286" t="n">
        <v>0.88</v>
      </c>
      <c r="G48" s="286" t="n">
        <v>1.32</v>
      </c>
      <c r="H48" s="286" t="n">
        <v>2.71</v>
      </c>
      <c r="I48" s="286" t="n">
        <v>1.68</v>
      </c>
      <c r="J48" s="286" t="n">
        <v>58</v>
      </c>
      <c r="K48" s="286" t="n">
        <v>0.88</v>
      </c>
      <c r="L48" s="286" t="n">
        <v>14.14</v>
      </c>
      <c r="M48" s="286" t="inlineStr">
        <is>
          <t>EQ-L&amp;MC</t>
        </is>
      </c>
    </row>
    <row r="49">
      <c r="A49" s="287" t="inlineStr">
        <is>
          <t>Axis Midcap Fund - Regular Plan</t>
        </is>
      </c>
      <c r="B49" s="286" t="n">
        <v>5.61</v>
      </c>
      <c r="C49" s="286" t="n">
        <v>24.2</v>
      </c>
      <c r="D49" s="286" t="n">
        <v>24.64</v>
      </c>
      <c r="E49" s="286" t="n">
        <v>16.07</v>
      </c>
      <c r="F49" s="286" t="n">
        <v>0.88</v>
      </c>
      <c r="G49" s="286" t="n">
        <v>1.23</v>
      </c>
      <c r="H49" s="286" t="n">
        <v>-1.78</v>
      </c>
      <c r="I49" s="286" t="n">
        <v>1.57</v>
      </c>
      <c r="J49" s="286" t="n">
        <v>43</v>
      </c>
      <c r="K49" s="286" t="n">
        <v>0.85</v>
      </c>
      <c r="L49" s="286" t="n">
        <v>15.55</v>
      </c>
      <c r="M49" s="286" t="inlineStr">
        <is>
          <t>EQ-MC</t>
        </is>
      </c>
    </row>
    <row r="50">
      <c r="A50" s="287" t="inlineStr">
        <is>
          <t>Axis Momentum Fund - Regular Plan</t>
        </is>
      </c>
      <c r="B50" s="286" t="n">
        <v>0</v>
      </c>
      <c r="C50" s="286" t="n">
        <v>0</v>
      </c>
      <c r="D50" s="286" t="n">
        <v>0</v>
      </c>
      <c r="E50" s="286" t="n">
        <v>0</v>
      </c>
      <c r="F50" s="286" t="n">
        <v>0</v>
      </c>
      <c r="G50" s="286" t="n">
        <v>0</v>
      </c>
      <c r="H50" s="286" t="n">
        <v>0</v>
      </c>
      <c r="I50" s="286" t="n">
        <v>2.11</v>
      </c>
      <c r="J50" s="286" t="n">
        <v>0</v>
      </c>
      <c r="K50" s="286" t="n">
        <v>0</v>
      </c>
      <c r="L50" s="286" t="n">
        <v>0</v>
      </c>
      <c r="M50" s="286" t="inlineStr">
        <is>
          <t>EQ-THEMATIC</t>
        </is>
      </c>
    </row>
    <row r="51">
      <c r="A51" s="287" t="inlineStr">
        <is>
          <t>Axis Multi Asset Allocation Fund - Regular Plan</t>
        </is>
      </c>
      <c r="B51" s="286" t="n">
        <v>8.76</v>
      </c>
      <c r="C51" s="286" t="n">
        <v>14.06</v>
      </c>
      <c r="D51" s="286" t="n">
        <v>14.79</v>
      </c>
      <c r="E51" s="286" t="n">
        <v>10.18</v>
      </c>
      <c r="F51" s="286" t="n">
        <v>0.52</v>
      </c>
      <c r="G51" s="286" t="n">
        <v>0.99</v>
      </c>
      <c r="H51" s="286" t="n">
        <v>-3.51</v>
      </c>
      <c r="I51" s="286" t="n">
        <v>2.08</v>
      </c>
      <c r="J51" s="286" t="n">
        <v>115</v>
      </c>
      <c r="K51" s="286" t="n">
        <v>0.98</v>
      </c>
      <c r="L51" s="286" t="n">
        <v>10</v>
      </c>
      <c r="M51" s="286" t="inlineStr">
        <is>
          <t>HY-MAA</t>
        </is>
      </c>
    </row>
    <row r="52">
      <c r="A52" s="287" t="inlineStr">
        <is>
          <t>Axis Multicap Fund - Regular Plan</t>
        </is>
      </c>
      <c r="B52" s="286" t="n">
        <v>8.539999999999999</v>
      </c>
      <c r="C52" s="286" t="n">
        <v>27.54</v>
      </c>
      <c r="D52" s="286" t="n">
        <v>0</v>
      </c>
      <c r="E52" s="286" t="n">
        <v>0</v>
      </c>
      <c r="F52" s="286" t="n">
        <v>1.12</v>
      </c>
      <c r="G52" s="286" t="n">
        <v>1.49</v>
      </c>
      <c r="H52" s="286" t="n">
        <v>3.3</v>
      </c>
      <c r="I52" s="286" t="n">
        <v>1.79</v>
      </c>
      <c r="J52" s="286" t="n">
        <v>46</v>
      </c>
      <c r="K52" s="286" t="n">
        <v>0.91</v>
      </c>
      <c r="L52" s="286" t="n">
        <v>14.9</v>
      </c>
      <c r="M52" s="286" t="inlineStr">
        <is>
          <t>EQ-MLC</t>
        </is>
      </c>
    </row>
    <row r="53">
      <c r="A53" s="287" t="inlineStr">
        <is>
          <t>Axis Quant Fund - Regular Plan</t>
        </is>
      </c>
      <c r="B53" s="286" t="n">
        <v>-2.14</v>
      </c>
      <c r="C53" s="286" t="n">
        <v>19.06</v>
      </c>
      <c r="D53" s="286" t="n">
        <v>0</v>
      </c>
      <c r="E53" s="286" t="n">
        <v>0</v>
      </c>
      <c r="F53" s="286" t="n">
        <v>0.61</v>
      </c>
      <c r="G53" s="286" t="n">
        <v>0.86</v>
      </c>
      <c r="H53" s="286" t="n">
        <v>-2.21</v>
      </c>
      <c r="I53" s="286" t="n">
        <v>2.22</v>
      </c>
      <c r="J53" s="286" t="n">
        <v>139</v>
      </c>
      <c r="K53" s="286" t="n">
        <v>0.97</v>
      </c>
      <c r="L53" s="286" t="n">
        <v>14.8</v>
      </c>
      <c r="M53" s="286" t="inlineStr">
        <is>
          <t>EQ-LC</t>
        </is>
      </c>
    </row>
    <row r="54">
      <c r="A54" s="287" t="inlineStr">
        <is>
          <t>Axis Retirement Fund - Aggressive Plan - Regular Plan</t>
        </is>
      </c>
      <c r="B54" s="286" t="n">
        <v>7.38</v>
      </c>
      <c r="C54" s="286" t="n">
        <v>17.36</v>
      </c>
      <c r="D54" s="286" t="n">
        <v>14.76</v>
      </c>
      <c r="E54" s="286" t="n">
        <v>0</v>
      </c>
      <c r="F54" s="286" t="n">
        <v>0.74</v>
      </c>
      <c r="G54" s="286" t="n">
        <v>1.16</v>
      </c>
      <c r="H54" s="286" t="n">
        <v>-0.23</v>
      </c>
      <c r="I54" s="286" t="n">
        <v>2.29</v>
      </c>
      <c r="J54" s="286" t="n">
        <v>0</v>
      </c>
      <c r="K54" s="286" t="n">
        <v>0.93</v>
      </c>
      <c r="L54" s="286" t="n">
        <v>11.85</v>
      </c>
      <c r="M54" s="286" t="inlineStr">
        <is>
          <t>EQ-FLX</t>
        </is>
      </c>
    </row>
    <row r="55">
      <c r="A55" s="287" t="inlineStr">
        <is>
          <t>Axis Retirement Fund - Conservative Plan - Regular Plan</t>
        </is>
      </c>
      <c r="B55" s="286" t="n">
        <v>6.4</v>
      </c>
      <c r="C55" s="286" t="n">
        <v>10.44</v>
      </c>
      <c r="D55" s="286" t="n">
        <v>9.49</v>
      </c>
      <c r="E55" s="286" t="n">
        <v>0</v>
      </c>
      <c r="F55" s="286" t="n">
        <v>0.52</v>
      </c>
      <c r="G55" s="286" t="n">
        <v>0.84</v>
      </c>
      <c r="H55" s="286" t="n">
        <v>-2.1</v>
      </c>
      <c r="I55" s="286" t="n">
        <v>2.15</v>
      </c>
      <c r="J55" s="286" t="n">
        <v>0</v>
      </c>
      <c r="K55" s="286" t="n">
        <v>1.44</v>
      </c>
      <c r="L55" s="286" t="n">
        <v>6.17</v>
      </c>
      <c r="M55" s="286" t="inlineStr">
        <is>
          <t>EQ-FLX</t>
        </is>
      </c>
    </row>
    <row r="56">
      <c r="A56" s="287" t="inlineStr">
        <is>
          <t>Axis Retirement Fund - Dynamic Plan - Regular Plan</t>
        </is>
      </c>
      <c r="B56" s="286" t="n">
        <v>7.07</v>
      </c>
      <c r="C56" s="286" t="n">
        <v>17.63</v>
      </c>
      <c r="D56" s="286" t="n">
        <v>15.44</v>
      </c>
      <c r="E56" s="286" t="n">
        <v>0</v>
      </c>
      <c r="F56" s="286" t="n">
        <v>0.75</v>
      </c>
      <c r="G56" s="286" t="n">
        <v>1.08</v>
      </c>
      <c r="H56" s="286" t="n">
        <v>0.41</v>
      </c>
      <c r="I56" s="286" t="n">
        <v>2.43</v>
      </c>
      <c r="J56" s="286" t="n">
        <v>0</v>
      </c>
      <c r="K56" s="286" t="n">
        <v>1.15</v>
      </c>
      <c r="L56" s="286" t="n">
        <v>12.64</v>
      </c>
      <c r="M56" s="286" t="inlineStr">
        <is>
          <t>EQ-LC</t>
        </is>
      </c>
    </row>
    <row r="57">
      <c r="A57" s="287" t="inlineStr">
        <is>
          <t>Axis Small Cap Fund - Regular Plan</t>
        </is>
      </c>
      <c r="B57" s="286" t="n">
        <v>8.210000000000001</v>
      </c>
      <c r="C57" s="286" t="n">
        <v>24.63</v>
      </c>
      <c r="D57" s="286" t="n">
        <v>30.61</v>
      </c>
      <c r="E57" s="286" t="n">
        <v>18.77</v>
      </c>
      <c r="F57" s="286" t="n">
        <v>1.01</v>
      </c>
      <c r="G57" s="286" t="n">
        <v>1.36</v>
      </c>
      <c r="H57" s="286" t="n">
        <v>1.64</v>
      </c>
      <c r="I57" s="286" t="n">
        <v>1.6</v>
      </c>
      <c r="J57" s="286" t="n">
        <v>34</v>
      </c>
      <c r="K57" s="286" t="n">
        <v>0.71</v>
      </c>
      <c r="L57" s="286" t="n">
        <v>14.41</v>
      </c>
      <c r="M57" s="286" t="inlineStr">
        <is>
          <t>EQ-MC</t>
        </is>
      </c>
    </row>
    <row r="58">
      <c r="A58" s="287" t="inlineStr">
        <is>
          <t>Bajaj Finserv Balanced Advantage Fund - Regular Plan</t>
        </is>
      </c>
      <c r="B58" s="286" t="n">
        <v>4.39</v>
      </c>
      <c r="C58" s="286" t="n">
        <v>0</v>
      </c>
      <c r="D58" s="286" t="n">
        <v>0</v>
      </c>
      <c r="E58" s="286" t="n">
        <v>0</v>
      </c>
      <c r="F58" s="286" t="n">
        <v>0</v>
      </c>
      <c r="G58" s="286" t="n">
        <v>0</v>
      </c>
      <c r="H58" s="286" t="n">
        <v>0</v>
      </c>
      <c r="I58" s="286" t="n">
        <v>2.05</v>
      </c>
      <c r="J58" s="286" t="n">
        <v>87</v>
      </c>
      <c r="K58" s="286" t="n">
        <v>0</v>
      </c>
      <c r="L58" s="286" t="n">
        <v>0</v>
      </c>
      <c r="M58" s="286" t="inlineStr">
        <is>
          <t>EQ-LC</t>
        </is>
      </c>
    </row>
    <row r="59">
      <c r="A59" s="287" t="inlineStr">
        <is>
          <t>Bajaj Finserv Consumption Fund - Regular Plan</t>
        </is>
      </c>
      <c r="B59" s="286" t="n">
        <v>0</v>
      </c>
      <c r="C59" s="286" t="n">
        <v>0</v>
      </c>
      <c r="D59" s="286" t="n">
        <v>0</v>
      </c>
      <c r="E59" s="286" t="n">
        <v>0</v>
      </c>
      <c r="F59" s="286" t="n">
        <v>0</v>
      </c>
      <c r="G59" s="286" t="n">
        <v>0</v>
      </c>
      <c r="H59" s="286" t="n">
        <v>0</v>
      </c>
      <c r="I59" s="286" t="n">
        <v>2.33</v>
      </c>
      <c r="J59" s="286" t="n">
        <v>0</v>
      </c>
      <c r="K59" s="286" t="n">
        <v>0</v>
      </c>
      <c r="L59" s="286" t="n">
        <v>0</v>
      </c>
      <c r="M59" s="286" t="inlineStr">
        <is>
          <t>EQ-SC</t>
        </is>
      </c>
    </row>
    <row r="60">
      <c r="A60" s="287" t="inlineStr">
        <is>
          <t>Bajaj Finserv Flexi Cap Fund - Regular Plan</t>
        </is>
      </c>
      <c r="B60" s="286" t="n">
        <v>7.1</v>
      </c>
      <c r="C60" s="286" t="n">
        <v>0</v>
      </c>
      <c r="D60" s="286" t="n">
        <v>0</v>
      </c>
      <c r="E60" s="286" t="n">
        <v>0</v>
      </c>
      <c r="F60" s="286" t="n">
        <v>0</v>
      </c>
      <c r="G60" s="286" t="n">
        <v>0</v>
      </c>
      <c r="H60" s="286" t="n">
        <v>0</v>
      </c>
      <c r="I60" s="286" t="n">
        <v>1.83</v>
      </c>
      <c r="J60" s="286" t="n">
        <v>80</v>
      </c>
      <c r="K60" s="286" t="n">
        <v>0</v>
      </c>
      <c r="L60" s="286" t="n">
        <v>0</v>
      </c>
      <c r="M60" s="286" t="inlineStr">
        <is>
          <t>EQ-THEMATIC</t>
        </is>
      </c>
    </row>
    <row r="61">
      <c r="A61" s="287" t="inlineStr">
        <is>
          <t>Bajaj Finserv Large and Mid Cap Fund - Regular Plan</t>
        </is>
      </c>
      <c r="B61" s="286" t="n">
        <v>6.32</v>
      </c>
      <c r="C61" s="286" t="n">
        <v>0</v>
      </c>
      <c r="D61" s="286" t="n">
        <v>0</v>
      </c>
      <c r="E61" s="286" t="n">
        <v>0</v>
      </c>
      <c r="F61" s="286" t="n">
        <v>0</v>
      </c>
      <c r="G61" s="286" t="n">
        <v>0</v>
      </c>
      <c r="H61" s="286" t="n">
        <v>0</v>
      </c>
      <c r="I61" s="286" t="n">
        <v>2.02</v>
      </c>
      <c r="J61" s="286" t="n">
        <v>66</v>
      </c>
      <c r="K61" s="286" t="n">
        <v>0</v>
      </c>
      <c r="L61" s="286" t="n">
        <v>0</v>
      </c>
      <c r="M61" s="286" t="inlineStr">
        <is>
          <t>HY-AH</t>
        </is>
      </c>
    </row>
    <row r="62">
      <c r="A62" s="287" t="inlineStr">
        <is>
          <t>Bajaj Finserv Large Cap Fund - Regular Plan</t>
        </is>
      </c>
      <c r="B62" s="286" t="n">
        <v>0</v>
      </c>
      <c r="C62" s="286" t="n">
        <v>0</v>
      </c>
      <c r="D62" s="286" t="n">
        <v>0</v>
      </c>
      <c r="E62" s="286" t="n">
        <v>0</v>
      </c>
      <c r="F62" s="286" t="n">
        <v>0</v>
      </c>
      <c r="G62" s="286" t="n">
        <v>0</v>
      </c>
      <c r="H62" s="286" t="n">
        <v>0</v>
      </c>
      <c r="I62" s="286" t="n">
        <v>2.07</v>
      </c>
      <c r="J62" s="286" t="n">
        <v>0</v>
      </c>
      <c r="K62" s="286" t="n">
        <v>0</v>
      </c>
      <c r="L62" s="286" t="n">
        <v>0</v>
      </c>
      <c r="M62" s="286" t="inlineStr">
        <is>
          <t>HY-CH</t>
        </is>
      </c>
    </row>
    <row r="63">
      <c r="A63" s="287" t="inlineStr">
        <is>
          <t>Bajaj Finserv Multi Asset Allocation Fund - Regular Plan</t>
        </is>
      </c>
      <c r="B63" s="286" t="n">
        <v>7.66</v>
      </c>
      <c r="C63" s="286" t="n">
        <v>0</v>
      </c>
      <c r="D63" s="286" t="n">
        <v>0</v>
      </c>
      <c r="E63" s="286" t="n">
        <v>0</v>
      </c>
      <c r="F63" s="286" t="n">
        <v>0</v>
      </c>
      <c r="G63" s="286" t="n">
        <v>0</v>
      </c>
      <c r="H63" s="286" t="n">
        <v>0</v>
      </c>
      <c r="I63" s="286" t="n">
        <v>2.03</v>
      </c>
      <c r="J63" s="286" t="n">
        <v>0</v>
      </c>
      <c r="K63" s="286" t="n">
        <v>0</v>
      </c>
      <c r="L63" s="286" t="n">
        <v>0</v>
      </c>
      <c r="M63" s="286" t="inlineStr">
        <is>
          <t>HY-DAA</t>
        </is>
      </c>
    </row>
    <row r="64">
      <c r="A64" s="287" t="inlineStr">
        <is>
          <t>Bajaj Finserv Multi Cap Fund - Regular Plan</t>
        </is>
      </c>
      <c r="B64" s="286" t="n">
        <v>0</v>
      </c>
      <c r="C64" s="286" t="n">
        <v>0</v>
      </c>
      <c r="D64" s="286" t="n">
        <v>0</v>
      </c>
      <c r="E64" s="286" t="n">
        <v>0</v>
      </c>
      <c r="F64" s="286" t="n">
        <v>0</v>
      </c>
      <c r="G64" s="286" t="n">
        <v>0</v>
      </c>
      <c r="H64" s="286" t="n">
        <v>0</v>
      </c>
      <c r="I64" s="286" t="n">
        <v>2.3</v>
      </c>
      <c r="J64" s="286" t="n">
        <v>0</v>
      </c>
      <c r="K64" s="286" t="n">
        <v>0</v>
      </c>
      <c r="L64" s="286" t="n">
        <v>0</v>
      </c>
      <c r="M64" s="286" t="inlineStr">
        <is>
          <t>EQ-SC</t>
        </is>
      </c>
    </row>
    <row r="65">
      <c r="A65" s="287" t="inlineStr">
        <is>
          <t>Bajaj Finserv Small Cap Fund - Regular Plan</t>
        </is>
      </c>
      <c r="B65" s="286" t="n">
        <v>0</v>
      </c>
      <c r="C65" s="286" t="n">
        <v>0</v>
      </c>
      <c r="D65" s="286" t="n">
        <v>0</v>
      </c>
      <c r="E65" s="286" t="n">
        <v>0</v>
      </c>
      <c r="F65" s="286" t="n">
        <v>0</v>
      </c>
      <c r="G65" s="286" t="n">
        <v>0</v>
      </c>
      <c r="H65" s="286" t="n">
        <v>0</v>
      </c>
      <c r="I65" s="286" t="n">
        <v>0</v>
      </c>
      <c r="J65" s="286" t="n">
        <v>0</v>
      </c>
      <c r="K65" s="286" t="n">
        <v>0</v>
      </c>
      <c r="L65" s="286" t="n">
        <v>0</v>
      </c>
      <c r="M65" s="286" t="inlineStr">
        <is>
          <t>HY-AR</t>
        </is>
      </c>
    </row>
    <row r="66">
      <c r="A66" s="287" t="inlineStr">
        <is>
          <t>Bandhan Aggressive Hybrid Fund - Regular Plan</t>
        </is>
      </c>
      <c r="B66" s="286" t="n">
        <v>12.44</v>
      </c>
      <c r="C66" s="286" t="n">
        <v>18.56</v>
      </c>
      <c r="D66" s="286" t="n">
        <v>20.1</v>
      </c>
      <c r="E66" s="286" t="n">
        <v>0</v>
      </c>
      <c r="F66" s="286" t="n">
        <v>0.79</v>
      </c>
      <c r="G66" s="286" t="n">
        <v>1.1</v>
      </c>
      <c r="H66" s="286" t="n">
        <v>0.42</v>
      </c>
      <c r="I66" s="286" t="n">
        <v>2.29</v>
      </c>
      <c r="J66" s="286" t="n">
        <v>105</v>
      </c>
      <c r="K66" s="286" t="n">
        <v>0.91</v>
      </c>
      <c r="L66" s="286" t="n">
        <v>11.65</v>
      </c>
      <c r="M66" s="286" t="inlineStr">
        <is>
          <t>HY-DAA</t>
        </is>
      </c>
    </row>
    <row r="67">
      <c r="A67" s="287" t="inlineStr">
        <is>
          <t>Bandhan Asset Allocation Fund - Aggressive Plan - Regular Plan</t>
        </is>
      </c>
      <c r="B67" s="286" t="n">
        <v>6.63</v>
      </c>
      <c r="C67" s="286" t="n">
        <v>16.75</v>
      </c>
      <c r="D67" s="286" t="n">
        <v>16.5</v>
      </c>
      <c r="E67" s="286" t="n">
        <v>9.85</v>
      </c>
      <c r="F67" s="286" t="n">
        <v>0.85</v>
      </c>
      <c r="G67" s="286" t="n">
        <v>1.35</v>
      </c>
      <c r="H67" s="286" t="n">
        <v>0.63</v>
      </c>
      <c r="I67" s="286" t="n">
        <v>1.22</v>
      </c>
      <c r="J67" s="286" t="n">
        <v>0</v>
      </c>
      <c r="K67" s="286" t="n">
        <v>0.77</v>
      </c>
      <c r="L67" s="286" t="n">
        <v>9.48</v>
      </c>
      <c r="M67" s="286" t="inlineStr">
        <is>
          <t>EQ-FLX</t>
        </is>
      </c>
    </row>
    <row r="68">
      <c r="A68" s="287" t="inlineStr">
        <is>
          <t>Bandhan Asset Allocation Fund - Conservative Plan - Regular Plan</t>
        </is>
      </c>
      <c r="B68" s="286" t="n">
        <v>7.48</v>
      </c>
      <c r="C68" s="286" t="n">
        <v>9.94</v>
      </c>
      <c r="D68" s="286" t="n">
        <v>8.44</v>
      </c>
      <c r="E68" s="286" t="n">
        <v>7.56</v>
      </c>
      <c r="F68" s="286" t="n">
        <v>0.74</v>
      </c>
      <c r="G68" s="286" t="n">
        <v>1.26</v>
      </c>
      <c r="H68" s="286" t="n">
        <v>-0.55</v>
      </c>
      <c r="I68" s="286" t="n">
        <v>0.76</v>
      </c>
      <c r="J68" s="286" t="n">
        <v>0</v>
      </c>
      <c r="K68" s="286" t="n">
        <v>0.88</v>
      </c>
      <c r="L68" s="286" t="n">
        <v>3.63</v>
      </c>
      <c r="M68" s="286" t="inlineStr">
        <is>
          <t>EQ-L&amp;MC</t>
        </is>
      </c>
    </row>
    <row r="69">
      <c r="A69" s="287" t="inlineStr">
        <is>
          <t>Bandhan Asset Allocation Fund - Moderate Plan - Regular Plan</t>
        </is>
      </c>
      <c r="B69" s="286" t="n">
        <v>7.43</v>
      </c>
      <c r="C69" s="286" t="n">
        <v>13.76</v>
      </c>
      <c r="D69" s="286" t="n">
        <v>12.51</v>
      </c>
      <c r="E69" s="286" t="n">
        <v>8.92</v>
      </c>
      <c r="F69" s="286" t="n">
        <v>0.84</v>
      </c>
      <c r="G69" s="286" t="n">
        <v>1.28</v>
      </c>
      <c r="H69" s="286" t="n">
        <v>0.3</v>
      </c>
      <c r="I69" s="286" t="n">
        <v>1.03</v>
      </c>
      <c r="J69" s="286" t="n">
        <v>0</v>
      </c>
      <c r="K69" s="286" t="n">
        <v>0.68</v>
      </c>
      <c r="L69" s="286" t="n">
        <v>6.81</v>
      </c>
      <c r="M69" s="286" t="inlineStr">
        <is>
          <t>EQ-LC</t>
        </is>
      </c>
    </row>
    <row r="70">
      <c r="A70" s="287" t="inlineStr">
        <is>
          <t>Bandhan Balanced Advantage Fund - Regular Plan</t>
        </is>
      </c>
      <c r="B70" s="286" t="n">
        <v>6.75</v>
      </c>
      <c r="C70" s="286" t="n">
        <v>13.32</v>
      </c>
      <c r="D70" s="286" t="n">
        <v>11.81</v>
      </c>
      <c r="E70" s="286" t="n">
        <v>8.460000000000001</v>
      </c>
      <c r="F70" s="286" t="n">
        <v>0.6899999999999999</v>
      </c>
      <c r="G70" s="286" t="n">
        <v>0.99</v>
      </c>
      <c r="H70" s="286" t="n">
        <v>-0.25</v>
      </c>
      <c r="I70" s="286" t="n">
        <v>2.02</v>
      </c>
      <c r="J70" s="286" t="n">
        <v>57</v>
      </c>
      <c r="K70" s="286" t="n">
        <v>0.6899999999999999</v>
      </c>
      <c r="L70" s="286" t="n">
        <v>7.5</v>
      </c>
      <c r="M70" s="286" t="inlineStr">
        <is>
          <t>HY-MAA</t>
        </is>
      </c>
    </row>
    <row r="71">
      <c r="A71" s="287" t="inlineStr">
        <is>
          <t>Bandhan Business Cycle Fund - Regular Plan</t>
        </is>
      </c>
      <c r="B71" s="286" t="n">
        <v>0</v>
      </c>
      <c r="C71" s="286" t="n">
        <v>0</v>
      </c>
      <c r="D71" s="286" t="n">
        <v>0</v>
      </c>
      <c r="E71" s="286" t="n">
        <v>0</v>
      </c>
      <c r="F71" s="286" t="n">
        <v>0</v>
      </c>
      <c r="G71" s="286" t="n">
        <v>0</v>
      </c>
      <c r="H71" s="286" t="n">
        <v>0</v>
      </c>
      <c r="I71" s="286" t="n">
        <v>2.05</v>
      </c>
      <c r="J71" s="286" t="n">
        <v>0</v>
      </c>
      <c r="K71" s="286" t="n">
        <v>0</v>
      </c>
      <c r="L71" s="286" t="n">
        <v>0</v>
      </c>
      <c r="M71" s="286" t="inlineStr">
        <is>
          <t>EQ-MLC</t>
        </is>
      </c>
    </row>
    <row r="72">
      <c r="A72" s="287" t="inlineStr">
        <is>
          <t>Bandhan Conservative Hybrid Fund - Regular Plan</t>
        </is>
      </c>
      <c r="B72" s="286" t="n">
        <v>6.51</v>
      </c>
      <c r="C72" s="286" t="n">
        <v>8.27</v>
      </c>
      <c r="D72" s="286" t="n">
        <v>7.27</v>
      </c>
      <c r="E72" s="286" t="n">
        <v>6.78</v>
      </c>
      <c r="F72" s="286" t="n">
        <v>0.42</v>
      </c>
      <c r="G72" s="286" t="n">
        <v>0.66</v>
      </c>
      <c r="H72" s="286" t="n">
        <v>-1.8</v>
      </c>
      <c r="I72" s="286" t="n">
        <v>2.01</v>
      </c>
      <c r="J72" s="286" t="n">
        <v>0</v>
      </c>
      <c r="K72" s="286" t="n">
        <v>0.9399999999999999</v>
      </c>
      <c r="L72" s="286" t="n">
        <v>3.89</v>
      </c>
      <c r="M72" s="286" t="inlineStr">
        <is>
          <t>EQ-LC</t>
        </is>
      </c>
    </row>
    <row r="73">
      <c r="A73" s="287" t="inlineStr">
        <is>
          <t>Bandhan Flexi Cap Fund - Regular Plan</t>
        </is>
      </c>
      <c r="B73" s="286" t="n">
        <v>6.48</v>
      </c>
      <c r="C73" s="286" t="n">
        <v>20.77</v>
      </c>
      <c r="D73" s="286" t="n">
        <v>21.23</v>
      </c>
      <c r="E73" s="286" t="n">
        <v>11.35</v>
      </c>
      <c r="F73" s="286" t="n">
        <v>0.82</v>
      </c>
      <c r="G73" s="286" t="n">
        <v>1.33</v>
      </c>
      <c r="H73" s="286" t="n">
        <v>0.73</v>
      </c>
      <c r="I73" s="286" t="n">
        <v>1.86</v>
      </c>
      <c r="J73" s="286" t="n">
        <v>114</v>
      </c>
      <c r="K73" s="286" t="n">
        <v>0.88</v>
      </c>
      <c r="L73" s="286" t="n">
        <v>13.24</v>
      </c>
      <c r="M73" s="286" t="inlineStr">
        <is>
          <t>EQ-LC</t>
        </is>
      </c>
    </row>
    <row r="74">
      <c r="A74" s="287" t="inlineStr">
        <is>
          <t>Bandhan Focused Fund - Regular Plan</t>
        </is>
      </c>
      <c r="B74" s="286" t="n">
        <v>10.68</v>
      </c>
      <c r="C74" s="286" t="n">
        <v>22.59</v>
      </c>
      <c r="D74" s="286" t="n">
        <v>20.88</v>
      </c>
      <c r="E74" s="286" t="n">
        <v>12.24</v>
      </c>
      <c r="F74" s="286" t="n">
        <v>0.87</v>
      </c>
      <c r="G74" s="286" t="n">
        <v>1.27</v>
      </c>
      <c r="H74" s="286" t="n">
        <v>2.48</v>
      </c>
      <c r="I74" s="286" t="n">
        <v>2.09</v>
      </c>
      <c r="J74" s="286" t="n">
        <v>73</v>
      </c>
      <c r="K74" s="286" t="n">
        <v>0.9</v>
      </c>
      <c r="L74" s="286" t="n">
        <v>14.89</v>
      </c>
      <c r="M74" s="286" t="inlineStr">
        <is>
          <t>EQ-SC</t>
        </is>
      </c>
    </row>
    <row r="75">
      <c r="A75" s="287" t="inlineStr">
        <is>
          <t>Bandhan Innovation Fund - Regular Plan</t>
        </is>
      </c>
      <c r="B75" s="286" t="n">
        <v>16.05</v>
      </c>
      <c r="C75" s="286" t="n">
        <v>0</v>
      </c>
      <c r="D75" s="286" t="n">
        <v>0</v>
      </c>
      <c r="E75" s="286" t="n">
        <v>0</v>
      </c>
      <c r="F75" s="286" t="n">
        <v>0</v>
      </c>
      <c r="G75" s="286" t="n">
        <v>0</v>
      </c>
      <c r="H75" s="286" t="n">
        <v>0</v>
      </c>
      <c r="I75" s="286" t="n">
        <v>2.08</v>
      </c>
      <c r="J75" s="286" t="n">
        <v>105</v>
      </c>
      <c r="K75" s="286" t="n">
        <v>0</v>
      </c>
      <c r="L75" s="286" t="n">
        <v>0</v>
      </c>
      <c r="M75" s="286" t="inlineStr">
        <is>
          <t>HY-AH</t>
        </is>
      </c>
    </row>
    <row r="76">
      <c r="A76" s="287" t="inlineStr">
        <is>
          <t>Bandhan Large Cap Fund - Regular Plan</t>
        </is>
      </c>
      <c r="B76" s="286" t="n">
        <v>6.13</v>
      </c>
      <c r="C76" s="286" t="n">
        <v>20.78</v>
      </c>
      <c r="D76" s="286" t="n">
        <v>20.6</v>
      </c>
      <c r="E76" s="286" t="n">
        <v>12.21</v>
      </c>
      <c r="F76" s="286" t="n">
        <v>0.79</v>
      </c>
      <c r="G76" s="286" t="n">
        <v>1.32</v>
      </c>
      <c r="H76" s="286" t="n">
        <v>0.9399999999999999</v>
      </c>
      <c r="I76" s="286" t="n">
        <v>2.04</v>
      </c>
      <c r="J76" s="286" t="n">
        <v>87</v>
      </c>
      <c r="K76" s="286" t="n">
        <v>1</v>
      </c>
      <c r="L76" s="286" t="n">
        <v>14.13</v>
      </c>
      <c r="M76" s="286" t="inlineStr">
        <is>
          <t>HY-AR</t>
        </is>
      </c>
    </row>
    <row r="77">
      <c r="A77" s="287" t="inlineStr">
        <is>
          <t>Bandhan Large &amp; Mid Cap Fund - Regular Plan</t>
        </is>
      </c>
      <c r="B77" s="286" t="n">
        <v>7.23</v>
      </c>
      <c r="C77" s="286" t="n">
        <v>29.25</v>
      </c>
      <c r="D77" s="286" t="n">
        <v>28.17</v>
      </c>
      <c r="E77" s="286" t="n">
        <v>15.42</v>
      </c>
      <c r="F77" s="286" t="n">
        <v>1.26</v>
      </c>
      <c r="G77" s="286" t="n">
        <v>1.82</v>
      </c>
      <c r="H77" s="286" t="n">
        <v>7.63</v>
      </c>
      <c r="I77" s="286" t="n">
        <v>1.74</v>
      </c>
      <c r="J77" s="286" t="n">
        <v>145</v>
      </c>
      <c r="K77" s="286" t="n">
        <v>0.95</v>
      </c>
      <c r="L77" s="286" t="n">
        <v>14.42</v>
      </c>
      <c r="M77" s="286" t="inlineStr">
        <is>
          <t>HY-AH</t>
        </is>
      </c>
    </row>
    <row r="78">
      <c r="A78" s="287" t="inlineStr">
        <is>
          <t>Bandhan Midcap Fund - Regular Plan</t>
        </is>
      </c>
      <c r="B78" s="286" t="n">
        <v>3.28</v>
      </c>
      <c r="C78" s="286" t="n">
        <v>0</v>
      </c>
      <c r="D78" s="286" t="n">
        <v>0</v>
      </c>
      <c r="E78" s="286" t="n">
        <v>0</v>
      </c>
      <c r="F78" s="286" t="n">
        <v>0</v>
      </c>
      <c r="G78" s="286" t="n">
        <v>0</v>
      </c>
      <c r="H78" s="286" t="n">
        <v>0</v>
      </c>
      <c r="I78" s="286" t="n">
        <v>2.07</v>
      </c>
      <c r="J78" s="286" t="n">
        <v>29</v>
      </c>
      <c r="K78" s="286" t="n">
        <v>0</v>
      </c>
      <c r="L78" s="286" t="n">
        <v>0</v>
      </c>
      <c r="M78" s="286" t="inlineStr">
        <is>
          <t>HY-CH</t>
        </is>
      </c>
    </row>
    <row r="79">
      <c r="A79" s="287" t="inlineStr">
        <is>
          <t>Bandhan Multi Asset Allocation Fund - Regular Plan</t>
        </is>
      </c>
      <c r="B79" s="286" t="n">
        <v>9.94</v>
      </c>
      <c r="C79" s="286" t="n">
        <v>0</v>
      </c>
      <c r="D79" s="286" t="n">
        <v>0</v>
      </c>
      <c r="E79" s="286" t="n">
        <v>0</v>
      </c>
      <c r="F79" s="286" t="n">
        <v>0</v>
      </c>
      <c r="G79" s="286" t="n">
        <v>0</v>
      </c>
      <c r="H79" s="286" t="n">
        <v>0</v>
      </c>
      <c r="I79" s="286" t="n">
        <v>1.98</v>
      </c>
      <c r="J79" s="286" t="n">
        <v>51</v>
      </c>
      <c r="K79" s="286" t="n">
        <v>0</v>
      </c>
      <c r="L79" s="286" t="n">
        <v>0</v>
      </c>
      <c r="M79" s="286" t="inlineStr">
        <is>
          <t>HY-BH</t>
        </is>
      </c>
    </row>
    <row r="80">
      <c r="A80" s="287" t="inlineStr">
        <is>
          <t>Bandhan Multi Cap Fund - Regular Plan</t>
        </is>
      </c>
      <c r="B80" s="286" t="n">
        <v>4.3</v>
      </c>
      <c r="C80" s="286" t="n">
        <v>23.87</v>
      </c>
      <c r="D80" s="286" t="n">
        <v>0</v>
      </c>
      <c r="E80" s="286" t="n">
        <v>0</v>
      </c>
      <c r="F80" s="286" t="n">
        <v>0.99</v>
      </c>
      <c r="G80" s="286" t="n">
        <v>1.49</v>
      </c>
      <c r="H80" s="286" t="n">
        <v>1.05</v>
      </c>
      <c r="I80" s="286" t="n">
        <v>1.95</v>
      </c>
      <c r="J80" s="286" t="n">
        <v>52</v>
      </c>
      <c r="K80" s="286" t="n">
        <v>0.86</v>
      </c>
      <c r="L80" s="286" t="n">
        <v>13.66</v>
      </c>
      <c r="M80" s="286" t="inlineStr">
        <is>
          <t>HY-DAA</t>
        </is>
      </c>
    </row>
    <row r="81">
      <c r="A81" s="287" t="inlineStr">
        <is>
          <t>Bandhan Retirement Fund - Regular Plan</t>
        </is>
      </c>
      <c r="B81" s="286" t="n">
        <v>5.28</v>
      </c>
      <c r="C81" s="286" t="n">
        <v>0</v>
      </c>
      <c r="D81" s="286" t="n">
        <v>0</v>
      </c>
      <c r="E81" s="286" t="n">
        <v>0</v>
      </c>
      <c r="F81" s="286" t="n">
        <v>0</v>
      </c>
      <c r="G81" s="286" t="n">
        <v>0</v>
      </c>
      <c r="H81" s="286" t="n">
        <v>0</v>
      </c>
      <c r="I81" s="286" t="n">
        <v>2.34</v>
      </c>
      <c r="J81" s="286" t="n">
        <v>1</v>
      </c>
      <c r="K81" s="286" t="n">
        <v>0</v>
      </c>
      <c r="L81" s="286" t="n">
        <v>0</v>
      </c>
      <c r="M81" s="286" t="inlineStr">
        <is>
          <t>EQ-THEMATIC</t>
        </is>
      </c>
    </row>
    <row r="82">
      <c r="A82" s="287" t="inlineStr">
        <is>
          <t>Bandhan Small Cap Fund - Regular Plan</t>
        </is>
      </c>
      <c r="B82" s="286" t="n">
        <v>14.33</v>
      </c>
      <c r="C82" s="286" t="n">
        <v>35.45</v>
      </c>
      <c r="D82" s="286" t="n">
        <v>35.84</v>
      </c>
      <c r="E82" s="286" t="n">
        <v>0</v>
      </c>
      <c r="F82" s="286" t="n">
        <v>1.29</v>
      </c>
      <c r="G82" s="286" t="n">
        <v>2.02</v>
      </c>
      <c r="H82" s="286" t="n">
        <v>7.06</v>
      </c>
      <c r="I82" s="286" t="n">
        <v>1.68</v>
      </c>
      <c r="J82" s="286" t="n">
        <v>45</v>
      </c>
      <c r="K82" s="286" t="n">
        <v>0.9</v>
      </c>
      <c r="L82" s="286" t="n">
        <v>18.17</v>
      </c>
      <c r="M82" s="286" t="inlineStr">
        <is>
          <t>HY-CH</t>
        </is>
      </c>
    </row>
    <row r="83">
      <c r="A83" s="287" t="inlineStr">
        <is>
          <t>Bandhan Transportation and Logistics Fund - Regular Plan</t>
        </is>
      </c>
      <c r="B83" s="286" t="n">
        <v>-4.19</v>
      </c>
      <c r="C83" s="286" t="n">
        <v>0</v>
      </c>
      <c r="D83" s="286" t="n">
        <v>0</v>
      </c>
      <c r="E83" s="286" t="n">
        <v>0</v>
      </c>
      <c r="F83" s="286" t="n">
        <v>0</v>
      </c>
      <c r="G83" s="286" t="n">
        <v>0</v>
      </c>
      <c r="H83" s="286" t="n">
        <v>0</v>
      </c>
      <c r="I83" s="286" t="n">
        <v>2.4</v>
      </c>
      <c r="J83" s="286" t="n">
        <v>37</v>
      </c>
      <c r="K83" s="286" t="n">
        <v>0</v>
      </c>
      <c r="L83" s="286" t="n">
        <v>0</v>
      </c>
      <c r="M83" s="286" t="inlineStr">
        <is>
          <t>EQ-FLX</t>
        </is>
      </c>
    </row>
    <row r="84">
      <c r="A84" s="287" t="inlineStr">
        <is>
          <t>Bank of India Balanced Advantage Fund - Regular Plan</t>
        </is>
      </c>
      <c r="B84" s="286" t="n">
        <v>1.55</v>
      </c>
      <c r="C84" s="286" t="n">
        <v>13.79</v>
      </c>
      <c r="D84" s="286" t="n">
        <v>12.18</v>
      </c>
      <c r="E84" s="286" t="n">
        <v>7.34</v>
      </c>
      <c r="F84" s="286" t="n">
        <v>0.52</v>
      </c>
      <c r="G84" s="286" t="n">
        <v>1.02</v>
      </c>
      <c r="H84" s="286" t="n">
        <v>-2.16</v>
      </c>
      <c r="I84" s="286" t="n">
        <v>2.51</v>
      </c>
      <c r="J84" s="286" t="n">
        <v>0</v>
      </c>
      <c r="K84" s="286" t="n">
        <v>0.95</v>
      </c>
      <c r="L84" s="286" t="n">
        <v>10.19</v>
      </c>
      <c r="M84" s="286" t="inlineStr">
        <is>
          <t>EQ-FLX</t>
        </is>
      </c>
    </row>
    <row r="85">
      <c r="A85" s="287" t="inlineStr">
        <is>
          <t>Bank of India Bluechip Fund - Regular Plan</t>
        </is>
      </c>
      <c r="B85" s="286" t="n">
        <v>-1.35</v>
      </c>
      <c r="C85" s="286" t="n">
        <v>20.04</v>
      </c>
      <c r="D85" s="286" t="n">
        <v>0</v>
      </c>
      <c r="E85" s="286" t="n">
        <v>0</v>
      </c>
      <c r="F85" s="286" t="n">
        <v>0.6899999999999999</v>
      </c>
      <c r="G85" s="286" t="n">
        <v>1.13</v>
      </c>
      <c r="H85" s="286" t="n">
        <v>-0.3</v>
      </c>
      <c r="I85" s="286" t="n">
        <v>2.44</v>
      </c>
      <c r="J85" s="286" t="n">
        <v>58</v>
      </c>
      <c r="K85" s="286" t="n">
        <v>1.06</v>
      </c>
      <c r="L85" s="286" t="n">
        <v>15.33</v>
      </c>
      <c r="M85" s="286" t="inlineStr">
        <is>
          <t>EQ-THEMATIC</t>
        </is>
      </c>
    </row>
    <row r="86">
      <c r="A86" s="287" t="inlineStr">
        <is>
          <t>Bank of India Business Cycle Fund - Regular Plan</t>
        </is>
      </c>
      <c r="B86" s="286" t="n">
        <v>0</v>
      </c>
      <c r="C86" s="286" t="n">
        <v>0</v>
      </c>
      <c r="D86" s="286" t="n">
        <v>0</v>
      </c>
      <c r="E86" s="286" t="n">
        <v>0</v>
      </c>
      <c r="F86" s="286" t="n">
        <v>0</v>
      </c>
      <c r="G86" s="286" t="n">
        <v>0</v>
      </c>
      <c r="H86" s="286" t="n">
        <v>0</v>
      </c>
      <c r="I86" s="286" t="n">
        <v>2.45</v>
      </c>
      <c r="J86" s="286" t="n">
        <v>175</v>
      </c>
      <c r="K86" s="286" t="n">
        <v>0</v>
      </c>
      <c r="L86" s="286" t="n">
        <v>0</v>
      </c>
      <c r="M86" s="286" t="inlineStr">
        <is>
          <t>EQ-LC</t>
        </is>
      </c>
    </row>
    <row r="87">
      <c r="A87" s="287" t="inlineStr">
        <is>
          <t>Bank of India Conservative Hybrid Fund - Regular Plan</t>
        </is>
      </c>
      <c r="B87" s="286" t="n">
        <v>4.24</v>
      </c>
      <c r="C87" s="286" t="n">
        <v>8.81</v>
      </c>
      <c r="D87" s="286" t="n">
        <v>12.33</v>
      </c>
      <c r="E87" s="286" t="n">
        <v>7.69</v>
      </c>
      <c r="F87" s="286" t="n">
        <v>0.47</v>
      </c>
      <c r="G87" s="286" t="n">
        <v>0.74</v>
      </c>
      <c r="H87" s="286" t="n">
        <v>-1.29</v>
      </c>
      <c r="I87" s="286" t="n">
        <v>2.23</v>
      </c>
      <c r="J87" s="286" t="n">
        <v>69</v>
      </c>
      <c r="K87" s="286" t="n">
        <v>0.85</v>
      </c>
      <c r="L87" s="286" t="n">
        <v>3.93</v>
      </c>
      <c r="M87" s="286" t="inlineStr">
        <is>
          <t>EQ-L&amp;MC</t>
        </is>
      </c>
    </row>
    <row r="88">
      <c r="A88" s="287" t="inlineStr">
        <is>
          <t>Bank of India Consumption Fund - Regular Plan</t>
        </is>
      </c>
      <c r="B88" s="286" t="n">
        <v>0</v>
      </c>
      <c r="C88" s="286" t="n">
        <v>0</v>
      </c>
      <c r="D88" s="286" t="n">
        <v>0</v>
      </c>
      <c r="E88" s="286" t="n">
        <v>0</v>
      </c>
      <c r="F88" s="286" t="n">
        <v>0</v>
      </c>
      <c r="G88" s="286" t="n">
        <v>0</v>
      </c>
      <c r="H88" s="286" t="n">
        <v>0</v>
      </c>
      <c r="I88" s="286" t="n">
        <v>2.46</v>
      </c>
      <c r="J88" s="286" t="n">
        <v>23</v>
      </c>
      <c r="K88" s="286" t="n">
        <v>0</v>
      </c>
      <c r="L88" s="286" t="n">
        <v>0</v>
      </c>
      <c r="M88" s="286" t="inlineStr">
        <is>
          <t>EQ-MC</t>
        </is>
      </c>
    </row>
    <row r="89">
      <c r="A89" s="287" t="inlineStr">
        <is>
          <t>Bank of India Flexi Cap Fund - Regular Plan</t>
        </is>
      </c>
      <c r="B89" s="286" t="n">
        <v>-1.09</v>
      </c>
      <c r="C89" s="286" t="n">
        <v>27.01</v>
      </c>
      <c r="D89" s="286" t="n">
        <v>0</v>
      </c>
      <c r="E89" s="286" t="n">
        <v>0</v>
      </c>
      <c r="F89" s="286" t="n">
        <v>0.91</v>
      </c>
      <c r="G89" s="286" t="n">
        <v>1.35</v>
      </c>
      <c r="H89" s="286" t="n">
        <v>3.39</v>
      </c>
      <c r="I89" s="286" t="n">
        <v>1.99</v>
      </c>
      <c r="J89" s="286" t="n">
        <v>71</v>
      </c>
      <c r="K89" s="286" t="n">
        <v>1.13</v>
      </c>
      <c r="L89" s="286" t="n">
        <v>18.12</v>
      </c>
      <c r="M89" s="286" t="inlineStr">
        <is>
          <t>HY-MAA</t>
        </is>
      </c>
    </row>
    <row r="90">
      <c r="A90" s="287" t="inlineStr">
        <is>
          <t>Bank of India Large &amp; Mid Cap Equity Fund - Regular Plan</t>
        </is>
      </c>
      <c r="B90" s="286" t="n">
        <v>0.89</v>
      </c>
      <c r="C90" s="286" t="n">
        <v>22.57</v>
      </c>
      <c r="D90" s="286" t="n">
        <v>23.08</v>
      </c>
      <c r="E90" s="286" t="n">
        <v>12.48</v>
      </c>
      <c r="F90" s="286" t="n">
        <v>0.83</v>
      </c>
      <c r="G90" s="286" t="n">
        <v>1.26</v>
      </c>
      <c r="H90" s="286" t="n">
        <v>1.51</v>
      </c>
      <c r="I90" s="286" t="n">
        <v>2.48</v>
      </c>
      <c r="J90" s="286" t="n">
        <v>72</v>
      </c>
      <c r="K90" s="286" t="n">
        <v>1.03</v>
      </c>
      <c r="L90" s="286" t="n">
        <v>15.43</v>
      </c>
      <c r="M90" s="286" t="inlineStr">
        <is>
          <t>EQ-MLC</t>
        </is>
      </c>
    </row>
    <row r="91">
      <c r="A91" s="287" t="inlineStr">
        <is>
          <t>Bank of India Mid &amp; Small Cap Equity &amp; Debt Fund - Regular Plan</t>
        </is>
      </c>
      <c r="B91" s="286" t="n">
        <v>3.14</v>
      </c>
      <c r="C91" s="286" t="n">
        <v>24.07</v>
      </c>
      <c r="D91" s="286" t="n">
        <v>27.25</v>
      </c>
      <c r="E91" s="286" t="n">
        <v>0</v>
      </c>
      <c r="F91" s="286" t="n">
        <v>0.98</v>
      </c>
      <c r="G91" s="286" t="n">
        <v>1.26</v>
      </c>
      <c r="H91" s="286" t="n">
        <v>4.39</v>
      </c>
      <c r="I91" s="286" t="n">
        <v>2.18</v>
      </c>
      <c r="J91" s="286" t="n">
        <v>100</v>
      </c>
      <c r="K91" s="286" t="n">
        <v>1.04</v>
      </c>
      <c r="L91" s="286" t="n">
        <v>14.76</v>
      </c>
      <c r="M91" s="286" t="inlineStr">
        <is>
          <t>EQ-LC</t>
        </is>
      </c>
    </row>
    <row r="92">
      <c r="A92" s="287" t="inlineStr">
        <is>
          <t>Bank of India Multi Asset Allocation Fund - Regular Plan</t>
        </is>
      </c>
      <c r="B92" s="286" t="n">
        <v>5.17</v>
      </c>
      <c r="C92" s="286" t="n">
        <v>0</v>
      </c>
      <c r="D92" s="286" t="n">
        <v>0</v>
      </c>
      <c r="E92" s="286" t="n">
        <v>0</v>
      </c>
      <c r="F92" s="286" t="n">
        <v>0</v>
      </c>
      <c r="G92" s="286" t="n">
        <v>0</v>
      </c>
      <c r="H92" s="286" t="n">
        <v>0</v>
      </c>
      <c r="I92" s="286" t="n">
        <v>2.04</v>
      </c>
      <c r="J92" s="286" t="n">
        <v>84</v>
      </c>
      <c r="K92" s="286" t="n">
        <v>0</v>
      </c>
      <c r="L92" s="286" t="n">
        <v>0</v>
      </c>
      <c r="M92" s="286" t="inlineStr">
        <is>
          <t>EQ-LC</t>
        </is>
      </c>
    </row>
    <row r="93">
      <c r="A93" s="287" t="inlineStr">
        <is>
          <t>Bank of India Multi Cap Fund - Regular Plan</t>
        </is>
      </c>
      <c r="B93" s="286" t="n">
        <v>3.9</v>
      </c>
      <c r="C93" s="286" t="n">
        <v>0</v>
      </c>
      <c r="D93" s="286" t="n">
        <v>0</v>
      </c>
      <c r="E93" s="286" t="n">
        <v>0</v>
      </c>
      <c r="F93" s="286" t="n">
        <v>0</v>
      </c>
      <c r="G93" s="286" t="n">
        <v>0</v>
      </c>
      <c r="H93" s="286" t="n">
        <v>0</v>
      </c>
      <c r="I93" s="286" t="n">
        <v>2.31</v>
      </c>
      <c r="J93" s="286" t="n">
        <v>67</v>
      </c>
      <c r="K93" s="286" t="n">
        <v>0</v>
      </c>
      <c r="L93" s="286" t="n">
        <v>0</v>
      </c>
      <c r="M93" s="286" t="inlineStr">
        <is>
          <t>EQ-L&amp;MC</t>
        </is>
      </c>
    </row>
    <row r="94">
      <c r="A94" s="287" t="inlineStr">
        <is>
          <t>Bank of India Small Cap Fund - Regular Plan</t>
        </is>
      </c>
      <c r="B94" s="286" t="n">
        <v>1.83</v>
      </c>
      <c r="C94" s="286" t="n">
        <v>27.05</v>
      </c>
      <c r="D94" s="286" t="n">
        <v>34.43</v>
      </c>
      <c r="E94" s="286" t="n">
        <v>0</v>
      </c>
      <c r="F94" s="286" t="n">
        <v>0.95</v>
      </c>
      <c r="G94" s="286" t="n">
        <v>1.27</v>
      </c>
      <c r="H94" s="286" t="n">
        <v>1.16</v>
      </c>
      <c r="I94" s="286" t="n">
        <v>2.03</v>
      </c>
      <c r="J94" s="286" t="n">
        <v>45</v>
      </c>
      <c r="K94" s="286" t="n">
        <v>0.89</v>
      </c>
      <c r="L94" s="286" t="n">
        <v>18.22</v>
      </c>
      <c r="M94" s="286" t="inlineStr">
        <is>
          <t>EQ-L&amp;MC</t>
        </is>
      </c>
    </row>
    <row r="95">
      <c r="A95" s="287" t="inlineStr">
        <is>
          <t>Baroda BNP Paribas Aggressive Hybrid Fund - Regular Plan</t>
        </is>
      </c>
      <c r="B95" s="286" t="n">
        <v>4.88</v>
      </c>
      <c r="C95" s="286" t="n">
        <v>18.43</v>
      </c>
      <c r="D95" s="286" t="n">
        <v>18.2</v>
      </c>
      <c r="E95" s="286" t="n">
        <v>0</v>
      </c>
      <c r="F95" s="286" t="n">
        <v>0.9399999999999999</v>
      </c>
      <c r="G95" s="286" t="n">
        <v>1.38</v>
      </c>
      <c r="H95" s="286" t="n">
        <v>1.6</v>
      </c>
      <c r="I95" s="286" t="n">
        <v>2.13</v>
      </c>
      <c r="J95" s="286" t="n">
        <v>90</v>
      </c>
      <c r="K95" s="286" t="n">
        <v>0.83</v>
      </c>
      <c r="L95" s="286" t="n">
        <v>10.15</v>
      </c>
      <c r="M95" s="286" t="inlineStr">
        <is>
          <t>EQ-FLX</t>
        </is>
      </c>
    </row>
    <row r="96">
      <c r="A96" s="287" t="inlineStr">
        <is>
          <t>Baroda BNP Paribas Balanced Advantage Fund - Regular Plan</t>
        </is>
      </c>
      <c r="B96" s="286" t="n">
        <v>8.630000000000001</v>
      </c>
      <c r="C96" s="286" t="n">
        <v>18.31</v>
      </c>
      <c r="D96" s="286" t="n">
        <v>17.02</v>
      </c>
      <c r="E96" s="286" t="n">
        <v>0</v>
      </c>
      <c r="F96" s="286" t="n">
        <v>0.9</v>
      </c>
      <c r="G96" s="286" t="n">
        <v>1.3</v>
      </c>
      <c r="H96" s="286" t="n">
        <v>1.68</v>
      </c>
      <c r="I96" s="286" t="n">
        <v>1.89</v>
      </c>
      <c r="J96" s="286" t="n">
        <v>186</v>
      </c>
      <c r="K96" s="286" t="n">
        <v>0.9399999999999999</v>
      </c>
      <c r="L96" s="286" t="n">
        <v>10.14</v>
      </c>
      <c r="M96" s="286" t="inlineStr">
        <is>
          <t>EQ-LC</t>
        </is>
      </c>
    </row>
    <row r="97">
      <c r="A97" s="287" t="inlineStr">
        <is>
          <t>Baroda BNP Paribas Business Cycle Fund - Regular Plan</t>
        </is>
      </c>
      <c r="B97" s="286" t="n">
        <v>0.47</v>
      </c>
      <c r="C97" s="286" t="n">
        <v>21.9</v>
      </c>
      <c r="D97" s="286" t="n">
        <v>0</v>
      </c>
      <c r="E97" s="286" t="n">
        <v>0</v>
      </c>
      <c r="F97" s="286" t="n">
        <v>0.82</v>
      </c>
      <c r="G97" s="286" t="n">
        <v>1.2</v>
      </c>
      <c r="H97" s="286" t="n">
        <v>0.6899999999999999</v>
      </c>
      <c r="I97" s="286" t="n">
        <v>2.38</v>
      </c>
      <c r="J97" s="286" t="n">
        <v>65</v>
      </c>
      <c r="K97" s="286" t="n">
        <v>1.02</v>
      </c>
      <c r="L97" s="286" t="n">
        <v>15.21</v>
      </c>
      <c r="M97" s="286" t="inlineStr">
        <is>
          <t>EQ-FLX</t>
        </is>
      </c>
    </row>
    <row r="98">
      <c r="A98" s="287" t="inlineStr">
        <is>
          <t>Baroda BNP Paribas Children's Fund - Regular Plan</t>
        </is>
      </c>
      <c r="B98" s="286" t="n">
        <v>0</v>
      </c>
      <c r="C98" s="286" t="n">
        <v>0</v>
      </c>
      <c r="D98" s="286" t="n">
        <v>0</v>
      </c>
      <c r="E98" s="286" t="n">
        <v>0</v>
      </c>
      <c r="F98" s="286" t="n">
        <v>0</v>
      </c>
      <c r="G98" s="286" t="n">
        <v>0</v>
      </c>
      <c r="H98" s="286" t="n">
        <v>0</v>
      </c>
      <c r="I98" s="286" t="n">
        <v>2.34</v>
      </c>
      <c r="J98" s="286" t="n">
        <v>58</v>
      </c>
      <c r="K98" s="286" t="n">
        <v>0</v>
      </c>
      <c r="L98" s="286" t="n">
        <v>0</v>
      </c>
      <c r="M98" s="286" t="inlineStr">
        <is>
          <t>EQ-L&amp;MC</t>
        </is>
      </c>
    </row>
    <row r="99">
      <c r="A99" s="287" t="inlineStr">
        <is>
          <t>Baroda BNP Paribas Conservative Hybrid Fund - Regular Plan</t>
        </is>
      </c>
      <c r="B99" s="286" t="n">
        <v>6.85</v>
      </c>
      <c r="C99" s="286" t="n">
        <v>9.779999999999999</v>
      </c>
      <c r="D99" s="286" t="n">
        <v>8.109999999999999</v>
      </c>
      <c r="E99" s="286" t="n">
        <v>7.36</v>
      </c>
      <c r="F99" s="286" t="n">
        <v>0.79</v>
      </c>
      <c r="G99" s="286" t="n">
        <v>1.09</v>
      </c>
      <c r="H99" s="286" t="n">
        <v>-0.27</v>
      </c>
      <c r="I99" s="286" t="n">
        <v>2</v>
      </c>
      <c r="J99" s="286" t="n">
        <v>170</v>
      </c>
      <c r="K99" s="286" t="n">
        <v>0.84</v>
      </c>
      <c r="L99" s="286" t="n">
        <v>3.56</v>
      </c>
      <c r="M99" s="286" t="inlineStr">
        <is>
          <t>EQ-MC</t>
        </is>
      </c>
    </row>
    <row r="100">
      <c r="A100" s="287" t="inlineStr">
        <is>
          <t>Baroda BNP Paribas Dividend Yield Fund - Regular Plan</t>
        </is>
      </c>
      <c r="B100" s="286" t="n">
        <v>0</v>
      </c>
      <c r="C100" s="286" t="n">
        <v>0</v>
      </c>
      <c r="D100" s="286" t="n">
        <v>0</v>
      </c>
      <c r="E100" s="286" t="n">
        <v>0</v>
      </c>
      <c r="F100" s="286" t="n">
        <v>0</v>
      </c>
      <c r="G100" s="286" t="n">
        <v>0</v>
      </c>
      <c r="H100" s="286" t="n">
        <v>0</v>
      </c>
      <c r="I100" s="286" t="n">
        <v>2.17</v>
      </c>
      <c r="J100" s="286" t="n">
        <v>99</v>
      </c>
      <c r="K100" s="286" t="n">
        <v>0</v>
      </c>
      <c r="L100" s="286" t="n">
        <v>0</v>
      </c>
      <c r="M100" s="286" t="inlineStr">
        <is>
          <t>EQ-LC</t>
        </is>
      </c>
    </row>
    <row r="101">
      <c r="A101" s="287" t="inlineStr">
        <is>
          <t>Baroda BNP Paribas Energy Opportunities Fund - Regular Plan</t>
        </is>
      </c>
      <c r="B101" s="286" t="n">
        <v>0</v>
      </c>
      <c r="C101" s="286" t="n">
        <v>0</v>
      </c>
      <c r="D101" s="286" t="n">
        <v>0</v>
      </c>
      <c r="E101" s="286" t="n">
        <v>0</v>
      </c>
      <c r="F101" s="286" t="n">
        <v>0</v>
      </c>
      <c r="G101" s="286" t="n">
        <v>0</v>
      </c>
      <c r="H101" s="286" t="n">
        <v>0</v>
      </c>
      <c r="I101" s="286" t="n">
        <v>2.3</v>
      </c>
      <c r="J101" s="286" t="n">
        <v>22</v>
      </c>
      <c r="K101" s="286" t="n">
        <v>0</v>
      </c>
      <c r="L101" s="286" t="n">
        <v>0</v>
      </c>
      <c r="M101" s="286" t="inlineStr">
        <is>
          <t>EQ-SC</t>
        </is>
      </c>
    </row>
    <row r="102">
      <c r="A102" s="287" t="inlineStr">
        <is>
          <t>Baroda BNP Paribas Flexi Cap Fund - Regular Plan</t>
        </is>
      </c>
      <c r="B102" s="286" t="n">
        <v>3.55</v>
      </c>
      <c r="C102" s="286" t="n">
        <v>0</v>
      </c>
      <c r="D102" s="286" t="n">
        <v>0</v>
      </c>
      <c r="E102" s="286" t="n">
        <v>0</v>
      </c>
      <c r="F102" s="286" t="n">
        <v>0</v>
      </c>
      <c r="G102" s="286" t="n">
        <v>0</v>
      </c>
      <c r="H102" s="286" t="n">
        <v>0</v>
      </c>
      <c r="I102" s="286" t="n">
        <v>2.17</v>
      </c>
      <c r="J102" s="286" t="n">
        <v>85</v>
      </c>
      <c r="K102" s="286" t="n">
        <v>0</v>
      </c>
      <c r="L102" s="286" t="n">
        <v>0</v>
      </c>
      <c r="M102" s="286" t="inlineStr">
        <is>
          <t>EQ-FLX</t>
        </is>
      </c>
    </row>
    <row r="103">
      <c r="A103" s="287" t="inlineStr">
        <is>
          <t>Baroda BNP Paribas Focused Fund - Regular Plan</t>
        </is>
      </c>
      <c r="B103" s="286" t="n">
        <v>-0.65</v>
      </c>
      <c r="C103" s="286" t="n">
        <v>19.43</v>
      </c>
      <c r="D103" s="286" t="n">
        <v>19.81</v>
      </c>
      <c r="E103" s="286" t="n">
        <v>0</v>
      </c>
      <c r="F103" s="286" t="n">
        <v>0.66</v>
      </c>
      <c r="G103" s="286" t="n">
        <v>0.86</v>
      </c>
      <c r="H103" s="286" t="n">
        <v>-1.35</v>
      </c>
      <c r="I103" s="286" t="n">
        <v>2.29</v>
      </c>
      <c r="J103" s="286" t="n">
        <v>171</v>
      </c>
      <c r="K103" s="286" t="n">
        <v>0.99</v>
      </c>
      <c r="L103" s="286" t="n">
        <v>15.32</v>
      </c>
      <c r="M103" s="286" t="inlineStr">
        <is>
          <t>HY-AH</t>
        </is>
      </c>
    </row>
    <row r="104">
      <c r="A104" s="287" t="inlineStr">
        <is>
          <t>Baroda BNP Paribas India Consumption Fund - Regular Plan</t>
        </is>
      </c>
      <c r="B104" s="286" t="n">
        <v>3.86</v>
      </c>
      <c r="C104" s="286" t="n">
        <v>20.41</v>
      </c>
      <c r="D104" s="286" t="n">
        <v>20.62</v>
      </c>
      <c r="E104" s="286" t="n">
        <v>0</v>
      </c>
      <c r="F104" s="286" t="n">
        <v>0.76</v>
      </c>
      <c r="G104" s="286" t="n">
        <v>1.08</v>
      </c>
      <c r="H104" s="286" t="n">
        <v>-0.31</v>
      </c>
      <c r="I104" s="286" t="n">
        <v>2.09</v>
      </c>
      <c r="J104" s="286" t="n">
        <v>61</v>
      </c>
      <c r="K104" s="286" t="n">
        <v>0.8</v>
      </c>
      <c r="L104" s="286" t="n">
        <v>14.79</v>
      </c>
      <c r="M104" s="286" t="inlineStr">
        <is>
          <t>EQ-SC</t>
        </is>
      </c>
    </row>
    <row r="105">
      <c r="A105" s="287" t="inlineStr">
        <is>
          <t>Baroda BNP Paribas Innovation Fund - Regular Plan</t>
        </is>
      </c>
      <c r="B105" s="286" t="n">
        <v>3.95</v>
      </c>
      <c r="C105" s="286" t="n">
        <v>0</v>
      </c>
      <c r="D105" s="286" t="n">
        <v>0</v>
      </c>
      <c r="E105" s="286" t="n">
        <v>0</v>
      </c>
      <c r="F105" s="286" t="n">
        <v>0</v>
      </c>
      <c r="G105" s="286" t="n">
        <v>0</v>
      </c>
      <c r="H105" s="286" t="n">
        <v>0</v>
      </c>
      <c r="I105" s="286" t="n">
        <v>2.26</v>
      </c>
      <c r="J105" s="286" t="n">
        <v>65</v>
      </c>
      <c r="K105" s="286" t="n">
        <v>0</v>
      </c>
      <c r="L105" s="286" t="n">
        <v>0</v>
      </c>
      <c r="M105" s="286" t="inlineStr">
        <is>
          <t>EQ-THEMATIC</t>
        </is>
      </c>
    </row>
    <row r="106">
      <c r="A106" s="287" t="inlineStr">
        <is>
          <t>Baroda BNP Paribas Large Cap Fund - Regular Plan</t>
        </is>
      </c>
      <c r="B106" s="286" t="n">
        <v>3.14</v>
      </c>
      <c r="C106" s="286" t="n">
        <v>20.88</v>
      </c>
      <c r="D106" s="286" t="n">
        <v>20.64</v>
      </c>
      <c r="E106" s="286" t="n">
        <v>12.57</v>
      </c>
      <c r="F106" s="286" t="n">
        <v>0.85</v>
      </c>
      <c r="G106" s="286" t="n">
        <v>1.31</v>
      </c>
      <c r="H106" s="286" t="n">
        <v>1.58</v>
      </c>
      <c r="I106" s="286" t="n">
        <v>1.98</v>
      </c>
      <c r="J106" s="286" t="n">
        <v>64</v>
      </c>
      <c r="K106" s="286" t="n">
        <v>0.95</v>
      </c>
      <c r="L106" s="286" t="n">
        <v>13.37</v>
      </c>
      <c r="M106" s="286" t="inlineStr">
        <is>
          <t>HY-AR</t>
        </is>
      </c>
    </row>
    <row r="107">
      <c r="A107" s="287" t="inlineStr">
        <is>
          <t>Baroda BNP Paribas Large &amp; Mid Cap Fund - Regular Plan</t>
        </is>
      </c>
      <c r="B107" s="286" t="n">
        <v>4.55</v>
      </c>
      <c r="C107" s="286" t="n">
        <v>23.94</v>
      </c>
      <c r="D107" s="286" t="n">
        <v>0</v>
      </c>
      <c r="E107" s="286" t="n">
        <v>0</v>
      </c>
      <c r="F107" s="286" t="n">
        <v>0.93</v>
      </c>
      <c r="G107" s="286" t="n">
        <v>1.22</v>
      </c>
      <c r="H107" s="286" t="n">
        <v>3.16</v>
      </c>
      <c r="I107" s="286" t="n">
        <v>2.11</v>
      </c>
      <c r="J107" s="286" t="n">
        <v>86</v>
      </c>
      <c r="K107" s="286" t="n">
        <v>0.98</v>
      </c>
      <c r="L107" s="286" t="n">
        <v>14.99</v>
      </c>
      <c r="M107" s="286" t="inlineStr">
        <is>
          <t>HY-DAA</t>
        </is>
      </c>
    </row>
    <row r="108">
      <c r="A108" s="287" t="inlineStr">
        <is>
          <t>Baroda BNP Paribas Manufacturing Fund - Regular Plan</t>
        </is>
      </c>
      <c r="B108" s="286" t="n">
        <v>0</v>
      </c>
      <c r="C108" s="286" t="n">
        <v>0</v>
      </c>
      <c r="D108" s="286" t="n">
        <v>0</v>
      </c>
      <c r="E108" s="286" t="n">
        <v>0</v>
      </c>
      <c r="F108" s="286" t="n">
        <v>0</v>
      </c>
      <c r="G108" s="286" t="n">
        <v>0</v>
      </c>
      <c r="H108" s="286" t="n">
        <v>0</v>
      </c>
      <c r="I108" s="286" t="n">
        <v>2.12</v>
      </c>
      <c r="J108" s="286" t="n">
        <v>58</v>
      </c>
      <c r="K108" s="286" t="n">
        <v>0</v>
      </c>
      <c r="L108" s="286" t="n">
        <v>0</v>
      </c>
      <c r="M108" s="286" t="inlineStr">
        <is>
          <t>EQ-LC</t>
        </is>
      </c>
    </row>
    <row r="109">
      <c r="A109" s="287" t="inlineStr">
        <is>
          <t>Baroda BNP Paribas Midcap Fund - Regular Plan</t>
        </is>
      </c>
      <c r="B109" s="286" t="n">
        <v>1.63</v>
      </c>
      <c r="C109" s="286" t="n">
        <v>24.74</v>
      </c>
      <c r="D109" s="286" t="n">
        <v>27.12</v>
      </c>
      <c r="E109" s="286" t="n">
        <v>15.17</v>
      </c>
      <c r="F109" s="286" t="n">
        <v>1.03</v>
      </c>
      <c r="G109" s="286" t="n">
        <v>1.45</v>
      </c>
      <c r="H109" s="286" t="n">
        <v>-0.12</v>
      </c>
      <c r="I109" s="286" t="n">
        <v>2.01</v>
      </c>
      <c r="J109" s="286" t="n">
        <v>96</v>
      </c>
      <c r="K109" s="286" t="n">
        <v>0.83</v>
      </c>
      <c r="L109" s="286" t="n">
        <v>14.39</v>
      </c>
      <c r="M109" s="286" t="inlineStr">
        <is>
          <t>EQ-THEMATIC</t>
        </is>
      </c>
    </row>
    <row r="110">
      <c r="A110" s="287" t="inlineStr">
        <is>
          <t>Baroda BNP Paribas Multi Asset Active FoF - Regular Plan</t>
        </is>
      </c>
      <c r="B110" s="286" t="n">
        <v>0</v>
      </c>
      <c r="C110" s="286" t="n">
        <v>0</v>
      </c>
      <c r="D110" s="286" t="n">
        <v>0</v>
      </c>
      <c r="E110" s="286" t="n">
        <v>0</v>
      </c>
      <c r="F110" s="286" t="n">
        <v>0</v>
      </c>
      <c r="G110" s="286" t="n">
        <v>0</v>
      </c>
      <c r="H110" s="286" t="n">
        <v>0</v>
      </c>
      <c r="I110" s="286" t="n">
        <v>0</v>
      </c>
      <c r="J110" s="286" t="n">
        <v>0</v>
      </c>
      <c r="K110" s="286" t="n">
        <v>0</v>
      </c>
      <c r="L110" s="286" t="n">
        <v>0</v>
      </c>
      <c r="M110" s="286" t="inlineStr">
        <is>
          <t>HY-CH</t>
        </is>
      </c>
    </row>
    <row r="111">
      <c r="A111" s="287" t="inlineStr">
        <is>
          <t>Baroda BNP Paribas Multi Asset Fund - Regular Plan</t>
        </is>
      </c>
      <c r="B111" s="286" t="n">
        <v>7.48</v>
      </c>
      <c r="C111" s="286" t="n">
        <v>0</v>
      </c>
      <c r="D111" s="286" t="n">
        <v>0</v>
      </c>
      <c r="E111" s="286" t="n">
        <v>0</v>
      </c>
      <c r="F111" s="286" t="n">
        <v>0</v>
      </c>
      <c r="G111" s="286" t="n">
        <v>0</v>
      </c>
      <c r="H111" s="286" t="n">
        <v>0</v>
      </c>
      <c r="I111" s="286" t="n">
        <v>2.11</v>
      </c>
      <c r="J111" s="286" t="n">
        <v>50</v>
      </c>
      <c r="K111" s="286" t="n">
        <v>0</v>
      </c>
      <c r="L111" s="286" t="n">
        <v>0</v>
      </c>
      <c r="M111" s="286" t="inlineStr">
        <is>
          <t>EQ-FLX</t>
        </is>
      </c>
    </row>
    <row r="112">
      <c r="A112" s="287" t="inlineStr">
        <is>
          <t>Baroda BNP Paribas Multi Cap Fund - Regular Plan</t>
        </is>
      </c>
      <c r="B112" s="286" t="n">
        <v>3.22</v>
      </c>
      <c r="C112" s="286" t="n">
        <v>23.97</v>
      </c>
      <c r="D112" s="286" t="n">
        <v>25.48</v>
      </c>
      <c r="E112" s="286" t="n">
        <v>14</v>
      </c>
      <c r="F112" s="286" t="n">
        <v>0.97</v>
      </c>
      <c r="G112" s="286" t="n">
        <v>1.2</v>
      </c>
      <c r="H112" s="286" t="n">
        <v>1.18</v>
      </c>
      <c r="I112" s="286" t="n">
        <v>1.99</v>
      </c>
      <c r="J112" s="286" t="n">
        <v>127</v>
      </c>
      <c r="K112" s="286" t="n">
        <v>0.88</v>
      </c>
      <c r="L112" s="286" t="n">
        <v>14.5</v>
      </c>
      <c r="M112" s="286" t="inlineStr">
        <is>
          <t>EQ-L&amp;MC</t>
        </is>
      </c>
    </row>
    <row r="113">
      <c r="A113" s="287" t="inlineStr">
        <is>
          <t>Baroda BNP Paribas Retirement Fund - Regular Plan</t>
        </is>
      </c>
      <c r="B113" s="286" t="n">
        <v>7.23</v>
      </c>
      <c r="C113" s="286" t="n">
        <v>0</v>
      </c>
      <c r="D113" s="286" t="n">
        <v>0</v>
      </c>
      <c r="E113" s="286" t="n">
        <v>0</v>
      </c>
      <c r="F113" s="286" t="n">
        <v>0</v>
      </c>
      <c r="G113" s="286" t="n">
        <v>0</v>
      </c>
      <c r="H113" s="286" t="n">
        <v>0</v>
      </c>
      <c r="I113" s="286" t="n">
        <v>2.3</v>
      </c>
      <c r="J113" s="286" t="n">
        <v>83</v>
      </c>
      <c r="K113" s="286" t="n">
        <v>0</v>
      </c>
      <c r="L113" s="286" t="n">
        <v>0</v>
      </c>
      <c r="M113" s="286" t="inlineStr">
        <is>
          <t>HY-AH</t>
        </is>
      </c>
    </row>
    <row r="114">
      <c r="A114" s="287" t="inlineStr">
        <is>
          <t>Baroda BNP Paribas Small Cap Fund - Regular Plan</t>
        </is>
      </c>
      <c r="B114" s="286" t="n">
        <v>-1.73</v>
      </c>
      <c r="C114" s="286" t="n">
        <v>0</v>
      </c>
      <c r="D114" s="286" t="n">
        <v>0</v>
      </c>
      <c r="E114" s="286" t="n">
        <v>0</v>
      </c>
      <c r="F114" s="286" t="n">
        <v>0</v>
      </c>
      <c r="G114" s="286" t="n">
        <v>0</v>
      </c>
      <c r="H114" s="286" t="n">
        <v>0</v>
      </c>
      <c r="I114" s="286" t="n">
        <v>2.16</v>
      </c>
      <c r="J114" s="286" t="n">
        <v>74</v>
      </c>
      <c r="K114" s="286" t="n">
        <v>0</v>
      </c>
      <c r="L114" s="286" t="n">
        <v>0</v>
      </c>
      <c r="M114" s="286" t="inlineStr">
        <is>
          <t>HY-MAA</t>
        </is>
      </c>
    </row>
    <row r="115">
      <c r="A115" s="287" t="inlineStr">
        <is>
          <t>Canara Robeco Balanced Advantage Fund - Regular Plan</t>
        </is>
      </c>
      <c r="B115" s="286" t="n">
        <v>0</v>
      </c>
      <c r="C115" s="286" t="n">
        <v>0</v>
      </c>
      <c r="D115" s="286" t="n">
        <v>0</v>
      </c>
      <c r="E115" s="286" t="n">
        <v>0</v>
      </c>
      <c r="F115" s="286" t="n">
        <v>0</v>
      </c>
      <c r="G115" s="286" t="n">
        <v>0</v>
      </c>
      <c r="H115" s="286" t="n">
        <v>0</v>
      </c>
      <c r="I115" s="286" t="n">
        <v>2.09</v>
      </c>
      <c r="J115" s="286" t="n">
        <v>0</v>
      </c>
      <c r="K115" s="286" t="n">
        <v>0</v>
      </c>
      <c r="L115" s="286" t="n">
        <v>0</v>
      </c>
      <c r="M115" s="286" t="inlineStr">
        <is>
          <t>EQ-MLC</t>
        </is>
      </c>
    </row>
    <row r="116">
      <c r="A116" s="287" t="inlineStr">
        <is>
          <t>Canara Robeco Conservative Hybrid Fund - Regular Plan</t>
        </is>
      </c>
      <c r="B116" s="286" t="n">
        <v>7.98</v>
      </c>
      <c r="C116" s="286" t="n">
        <v>9.73</v>
      </c>
      <c r="D116" s="286" t="n">
        <v>9.25</v>
      </c>
      <c r="E116" s="286" t="n">
        <v>8.06</v>
      </c>
      <c r="F116" s="286" t="n">
        <v>0.73</v>
      </c>
      <c r="G116" s="286" t="n">
        <v>1.23</v>
      </c>
      <c r="H116" s="286" t="n">
        <v>-0.55</v>
      </c>
      <c r="I116" s="286" t="n">
        <v>1.84</v>
      </c>
      <c r="J116" s="286" t="n">
        <v>145</v>
      </c>
      <c r="K116" s="286" t="n">
        <v>0.9</v>
      </c>
      <c r="L116" s="286" t="n">
        <v>3.77</v>
      </c>
      <c r="M116" s="286" t="inlineStr">
        <is>
          <t>EQ-SC</t>
        </is>
      </c>
    </row>
    <row r="117">
      <c r="A117" s="287" t="inlineStr">
        <is>
          <t>Canara Robeco Consumer Trends Fund - Regular Plan</t>
        </is>
      </c>
      <c r="B117" s="286" t="n">
        <v>6.96</v>
      </c>
      <c r="C117" s="286" t="n">
        <v>22.68</v>
      </c>
      <c r="D117" s="286" t="n">
        <v>23.81</v>
      </c>
      <c r="E117" s="286" t="n">
        <v>15.78</v>
      </c>
      <c r="F117" s="286" t="n">
        <v>0.88</v>
      </c>
      <c r="G117" s="286" t="n">
        <v>1.52</v>
      </c>
      <c r="H117" s="286" t="n">
        <v>1.49</v>
      </c>
      <c r="I117" s="286" t="n">
        <v>2.07</v>
      </c>
      <c r="J117" s="286" t="n">
        <v>18</v>
      </c>
      <c r="K117" s="286" t="n">
        <v>0.8</v>
      </c>
      <c r="L117" s="286" t="n">
        <v>14.75</v>
      </c>
      <c r="M117" s="286" t="inlineStr">
        <is>
          <t>HY-AH</t>
        </is>
      </c>
    </row>
    <row r="118">
      <c r="A118" s="287" t="inlineStr">
        <is>
          <t>Canara Robeco Equity Hybrid Fund - Regular Plan</t>
        </is>
      </c>
      <c r="B118" s="286" t="n">
        <v>8.57</v>
      </c>
      <c r="C118" s="286" t="n">
        <v>17.68</v>
      </c>
      <c r="D118" s="286" t="n">
        <v>17.63</v>
      </c>
      <c r="E118" s="286" t="n">
        <v>12.59</v>
      </c>
      <c r="F118" s="286" t="n">
        <v>0.82</v>
      </c>
      <c r="G118" s="286" t="n">
        <v>1.26</v>
      </c>
      <c r="H118" s="286" t="n">
        <v>0.32</v>
      </c>
      <c r="I118" s="286" t="n">
        <v>1.72</v>
      </c>
      <c r="J118" s="286" t="n">
        <v>17</v>
      </c>
      <c r="K118" s="286" t="n">
        <v>0.86</v>
      </c>
      <c r="L118" s="286" t="n">
        <v>10.36</v>
      </c>
      <c r="M118" s="286" t="inlineStr">
        <is>
          <t>HY-AR</t>
        </is>
      </c>
    </row>
    <row r="119">
      <c r="A119" s="287" t="inlineStr">
        <is>
          <t>Canara Robeco Flexi Cap Fund - Regular Plan</t>
        </is>
      </c>
      <c r="B119" s="286" t="n">
        <v>7.85</v>
      </c>
      <c r="C119" s="286" t="n">
        <v>20.19</v>
      </c>
      <c r="D119" s="286" t="n">
        <v>21.4</v>
      </c>
      <c r="E119" s="286" t="n">
        <v>13.72</v>
      </c>
      <c r="F119" s="286" t="n">
        <v>0.75</v>
      </c>
      <c r="G119" s="286" t="n">
        <v>1.15</v>
      </c>
      <c r="H119" s="286" t="n">
        <v>-0.37</v>
      </c>
      <c r="I119" s="286" t="n">
        <v>1.68</v>
      </c>
      <c r="J119" s="286" t="n">
        <v>28</v>
      </c>
      <c r="K119" s="286" t="n">
        <v>0.91</v>
      </c>
      <c r="L119" s="286" t="n">
        <v>13.46</v>
      </c>
      <c r="M119" s="286" t="inlineStr">
        <is>
          <t>HY-DAA</t>
        </is>
      </c>
    </row>
    <row r="120">
      <c r="A120" s="287" t="inlineStr">
        <is>
          <t>Canara Robeco Focused Fund - Regular Plan</t>
        </is>
      </c>
      <c r="B120" s="286" t="n">
        <v>11.75</v>
      </c>
      <c r="C120" s="286" t="n">
        <v>23.12</v>
      </c>
      <c r="D120" s="286" t="n">
        <v>0</v>
      </c>
      <c r="E120" s="286" t="n">
        <v>0</v>
      </c>
      <c r="F120" s="286" t="n">
        <v>0.9399999999999999</v>
      </c>
      <c r="G120" s="286" t="n">
        <v>1.45</v>
      </c>
      <c r="H120" s="286" t="n">
        <v>2.37</v>
      </c>
      <c r="I120" s="286" t="n">
        <v>1.93</v>
      </c>
      <c r="J120" s="286" t="n">
        <v>39</v>
      </c>
      <c r="K120" s="286" t="n">
        <v>0.89</v>
      </c>
      <c r="L120" s="286" t="n">
        <v>13.44</v>
      </c>
      <c r="M120" s="286" t="inlineStr">
        <is>
          <t>EQ-THEMATIC</t>
        </is>
      </c>
    </row>
    <row r="121">
      <c r="A121" s="287" t="inlineStr">
        <is>
          <t>Canara Robeco Large and Mid Cap Fund - Regular Plan</t>
        </is>
      </c>
      <c r="B121" s="286" t="n">
        <v>7.04</v>
      </c>
      <c r="C121" s="286" t="n">
        <v>21.79</v>
      </c>
      <c r="D121" s="286" t="n">
        <v>24.1</v>
      </c>
      <c r="E121" s="286" t="n">
        <v>15.98</v>
      </c>
      <c r="F121" s="286" t="n">
        <v>0.82</v>
      </c>
      <c r="G121" s="286" t="n">
        <v>1.17</v>
      </c>
      <c r="H121" s="286" t="n">
        <v>1.31</v>
      </c>
      <c r="I121" s="286" t="n">
        <v>1.6</v>
      </c>
      <c r="J121" s="286" t="n">
        <v>51</v>
      </c>
      <c r="K121" s="286" t="n">
        <v>0.97</v>
      </c>
      <c r="L121" s="286" t="n">
        <v>14.62</v>
      </c>
      <c r="M121" s="286" t="inlineStr">
        <is>
          <t>EQ-FLX</t>
        </is>
      </c>
    </row>
    <row r="122">
      <c r="A122" s="287" t="inlineStr">
        <is>
          <t>Canara Robeco Large Cap Fund - Regular Plan</t>
        </is>
      </c>
      <c r="B122" s="286" t="n">
        <v>8.77</v>
      </c>
      <c r="C122" s="286" t="n">
        <v>20.29</v>
      </c>
      <c r="D122" s="286" t="n">
        <v>20.5</v>
      </c>
      <c r="E122" s="286" t="n">
        <v>13.83</v>
      </c>
      <c r="F122" s="286" t="n">
        <v>0.83</v>
      </c>
      <c r="G122" s="286" t="n">
        <v>1.33</v>
      </c>
      <c r="H122" s="286" t="n">
        <v>1.05</v>
      </c>
      <c r="I122" s="286" t="n">
        <v>1.65</v>
      </c>
      <c r="J122" s="286" t="n">
        <v>22</v>
      </c>
      <c r="K122" s="286" t="n">
        <v>0.9</v>
      </c>
      <c r="L122" s="286" t="n">
        <v>12.49</v>
      </c>
      <c r="M122" s="286" t="inlineStr">
        <is>
          <t>HY-CH</t>
        </is>
      </c>
    </row>
    <row r="123">
      <c r="A123" s="287" t="inlineStr">
        <is>
          <t>Canara Robeco Manufacturing Fund - Regular Plan</t>
        </is>
      </c>
      <c r="B123" s="286" t="n">
        <v>-0.24</v>
      </c>
      <c r="C123" s="286" t="n">
        <v>0</v>
      </c>
      <c r="D123" s="286" t="n">
        <v>0</v>
      </c>
      <c r="E123" s="286" t="n">
        <v>0</v>
      </c>
      <c r="F123" s="286" t="n">
        <v>0</v>
      </c>
      <c r="G123" s="286" t="n">
        <v>0</v>
      </c>
      <c r="H123" s="286" t="n">
        <v>0</v>
      </c>
      <c r="I123" s="286" t="n">
        <v>2.08</v>
      </c>
      <c r="J123" s="286" t="n">
        <v>0</v>
      </c>
      <c r="K123" s="286" t="n">
        <v>0</v>
      </c>
      <c r="L123" s="286" t="n">
        <v>0</v>
      </c>
      <c r="M123" s="286" t="inlineStr">
        <is>
          <t>EQ-FLX</t>
        </is>
      </c>
    </row>
    <row r="124">
      <c r="A124" s="287" t="inlineStr">
        <is>
          <t>Canara Robeco Mid Cap Fund - Regular Plan</t>
        </is>
      </c>
      <c r="B124" s="286" t="n">
        <v>7.05</v>
      </c>
      <c r="C124" s="286" t="n">
        <v>0</v>
      </c>
      <c r="D124" s="286" t="n">
        <v>0</v>
      </c>
      <c r="E124" s="286" t="n">
        <v>0</v>
      </c>
      <c r="F124" s="286" t="n">
        <v>0</v>
      </c>
      <c r="G124" s="286" t="n">
        <v>0</v>
      </c>
      <c r="H124" s="286" t="n">
        <v>0</v>
      </c>
      <c r="I124" s="286" t="n">
        <v>1.93</v>
      </c>
      <c r="J124" s="286" t="n">
        <v>0</v>
      </c>
      <c r="K124" s="286" t="n">
        <v>0</v>
      </c>
      <c r="L124" s="286" t="n">
        <v>0</v>
      </c>
      <c r="M124" s="286" t="inlineStr">
        <is>
          <t>EQ-FLX</t>
        </is>
      </c>
    </row>
    <row r="125">
      <c r="A125" s="287" t="inlineStr">
        <is>
          <t>Canara Robeco Multi Asset Allocation Fund - Regular Plan</t>
        </is>
      </c>
      <c r="B125" s="286" t="n">
        <v>0</v>
      </c>
      <c r="C125" s="286" t="n">
        <v>0</v>
      </c>
      <c r="D125" s="286" t="n">
        <v>0</v>
      </c>
      <c r="E125" s="286" t="n">
        <v>0</v>
      </c>
      <c r="F125" s="286" t="n">
        <v>0</v>
      </c>
      <c r="G125" s="286" t="n">
        <v>0</v>
      </c>
      <c r="H125" s="286" t="n">
        <v>0</v>
      </c>
      <c r="I125" s="286" t="n">
        <v>0</v>
      </c>
      <c r="J125" s="286" t="n">
        <v>0</v>
      </c>
      <c r="K125" s="286" t="n">
        <v>0</v>
      </c>
      <c r="L125" s="286" t="n">
        <v>0</v>
      </c>
      <c r="M125" s="286" t="inlineStr">
        <is>
          <t>EQ-THEMATIC</t>
        </is>
      </c>
    </row>
    <row r="126">
      <c r="A126" s="287" t="inlineStr">
        <is>
          <t>Canara Robeco Multi Cap Fund - Regular Plan</t>
        </is>
      </c>
      <c r="B126" s="286" t="n">
        <v>7.54</v>
      </c>
      <c r="C126" s="286" t="n">
        <v>0</v>
      </c>
      <c r="D126" s="286" t="n">
        <v>0</v>
      </c>
      <c r="E126" s="286" t="n">
        <v>0</v>
      </c>
      <c r="F126" s="286" t="n">
        <v>0</v>
      </c>
      <c r="G126" s="286" t="n">
        <v>0</v>
      </c>
      <c r="H126" s="286" t="n">
        <v>0</v>
      </c>
      <c r="I126" s="286" t="n">
        <v>1.84</v>
      </c>
      <c r="J126" s="286" t="n">
        <v>0</v>
      </c>
      <c r="K126" s="286" t="n">
        <v>0</v>
      </c>
      <c r="L126" s="286" t="n">
        <v>0</v>
      </c>
      <c r="M126" s="286" t="inlineStr">
        <is>
          <t>EQ-LC</t>
        </is>
      </c>
    </row>
    <row r="127">
      <c r="A127" s="287" t="inlineStr">
        <is>
          <t>Canara Robeco Small Cap Fund - Regular Plan</t>
        </is>
      </c>
      <c r="B127" s="286" t="n">
        <v>1.03</v>
      </c>
      <c r="C127" s="286" t="n">
        <v>22.47</v>
      </c>
      <c r="D127" s="286" t="n">
        <v>33.5</v>
      </c>
      <c r="E127" s="286" t="n">
        <v>0</v>
      </c>
      <c r="F127" s="286" t="n">
        <v>0.74</v>
      </c>
      <c r="G127" s="286" t="n">
        <v>0.98</v>
      </c>
      <c r="H127" s="286" t="n">
        <v>-2.66</v>
      </c>
      <c r="I127" s="286" t="n">
        <v>1.68</v>
      </c>
      <c r="J127" s="286" t="n">
        <v>28</v>
      </c>
      <c r="K127" s="286" t="n">
        <v>0.8</v>
      </c>
      <c r="L127" s="286" t="n">
        <v>16.23</v>
      </c>
      <c r="M127" s="286" t="inlineStr">
        <is>
          <t>EQ-L&amp;MC</t>
        </is>
      </c>
    </row>
    <row r="128">
      <c r="A128" s="287" t="inlineStr">
        <is>
          <t>DSP Aggressive Hybrid Fund - Regular Plan</t>
        </is>
      </c>
      <c r="B128" s="286" t="n">
        <v>11.07</v>
      </c>
      <c r="C128" s="286" t="n">
        <v>20.47</v>
      </c>
      <c r="D128" s="286" t="n">
        <v>18.77</v>
      </c>
      <c r="E128" s="286" t="n">
        <v>12.81</v>
      </c>
      <c r="F128" s="286" t="n">
        <v>1.02</v>
      </c>
      <c r="G128" s="286" t="n">
        <v>1.83</v>
      </c>
      <c r="H128" s="286" t="n">
        <v>2.82</v>
      </c>
      <c r="I128" s="286" t="n">
        <v>1.71</v>
      </c>
      <c r="J128" s="286" t="n">
        <v>26</v>
      </c>
      <c r="K128" s="286" t="n">
        <v>0.85</v>
      </c>
      <c r="L128" s="286" t="n">
        <v>10.84</v>
      </c>
      <c r="M128" s="286" t="inlineStr">
        <is>
          <t>EQ-THEMATIC</t>
        </is>
      </c>
    </row>
    <row r="129">
      <c r="A129" s="287" t="inlineStr">
        <is>
          <t>DSP Business Cycle Fund - Regular Plan</t>
        </is>
      </c>
      <c r="B129" s="286" t="n">
        <v>0</v>
      </c>
      <c r="C129" s="286" t="n">
        <v>0</v>
      </c>
      <c r="D129" s="286" t="n">
        <v>0</v>
      </c>
      <c r="E129" s="286" t="n">
        <v>0</v>
      </c>
      <c r="F129" s="286" t="n">
        <v>0</v>
      </c>
      <c r="G129" s="286" t="n">
        <v>0</v>
      </c>
      <c r="H129" s="286" t="n">
        <v>0</v>
      </c>
      <c r="I129" s="286" t="n">
        <v>2.18</v>
      </c>
      <c r="J129" s="286" t="n">
        <v>11</v>
      </c>
      <c r="K129" s="286" t="n">
        <v>0</v>
      </c>
      <c r="L129" s="286" t="n">
        <v>0</v>
      </c>
      <c r="M129" s="286" t="inlineStr">
        <is>
          <t>EQ-MC</t>
        </is>
      </c>
    </row>
    <row r="130">
      <c r="A130" s="287" t="inlineStr">
        <is>
          <t>DSP Dynamic Asset Allocation Fund - Regular Plan</t>
        </is>
      </c>
      <c r="B130" s="286" t="n">
        <v>7.79</v>
      </c>
      <c r="C130" s="286" t="n">
        <v>13.7</v>
      </c>
      <c r="D130" s="286" t="n">
        <v>11.4</v>
      </c>
      <c r="E130" s="286" t="n">
        <v>9.109999999999999</v>
      </c>
      <c r="F130" s="286" t="n">
        <v>0.86</v>
      </c>
      <c r="G130" s="286" t="n">
        <v>1.73</v>
      </c>
      <c r="H130" s="286" t="n">
        <v>1.15</v>
      </c>
      <c r="I130" s="286" t="n">
        <v>1.9</v>
      </c>
      <c r="J130" s="286" t="n">
        <v>33</v>
      </c>
      <c r="K130" s="286" t="n">
        <v>0.6</v>
      </c>
      <c r="L130" s="286" t="n">
        <v>6.77</v>
      </c>
      <c r="M130" s="286" t="inlineStr">
        <is>
          <t>HY-MAA</t>
        </is>
      </c>
    </row>
    <row r="131">
      <c r="A131" s="287" t="inlineStr">
        <is>
          <t>DSP Flexi Cap Fund - Regular Plan</t>
        </is>
      </c>
      <c r="B131" s="286" t="n">
        <v>6.25</v>
      </c>
      <c r="C131" s="286" t="n">
        <v>23.14</v>
      </c>
      <c r="D131" s="286" t="n">
        <v>22.16</v>
      </c>
      <c r="E131" s="286" t="n">
        <v>14.4</v>
      </c>
      <c r="F131" s="286" t="n">
        <v>0.86</v>
      </c>
      <c r="G131" s="286" t="n">
        <v>1.58</v>
      </c>
      <c r="H131" s="286" t="n">
        <v>1.67</v>
      </c>
      <c r="I131" s="286" t="n">
        <v>1.74</v>
      </c>
      <c r="J131" s="286" t="n">
        <v>19</v>
      </c>
      <c r="K131" s="286" t="n">
        <v>0.98</v>
      </c>
      <c r="L131" s="286" t="n">
        <v>14.97</v>
      </c>
      <c r="M131" s="286" t="inlineStr">
        <is>
          <t>EQ-MLC</t>
        </is>
      </c>
    </row>
    <row r="132">
      <c r="A132" s="287" t="inlineStr">
        <is>
          <t>DSP Focused Fund - Regular Plan</t>
        </is>
      </c>
      <c r="B132" s="286" t="n">
        <v>7.63</v>
      </c>
      <c r="C132" s="286" t="n">
        <v>23.53</v>
      </c>
      <c r="D132" s="286" t="n">
        <v>20.75</v>
      </c>
      <c r="E132" s="286" t="n">
        <v>12.04</v>
      </c>
      <c r="F132" s="286" t="n">
        <v>0.88</v>
      </c>
      <c r="G132" s="286" t="n">
        <v>1.56</v>
      </c>
      <c r="H132" s="286" t="n">
        <v>2.21</v>
      </c>
      <c r="I132" s="286" t="n">
        <v>2.03</v>
      </c>
      <c r="J132" s="286" t="n">
        <v>25</v>
      </c>
      <c r="K132" s="286" t="n">
        <v>0.97</v>
      </c>
      <c r="L132" s="286" t="n">
        <v>15.24</v>
      </c>
      <c r="M132" s="286" t="inlineStr">
        <is>
          <t>EQ-L&amp;MC</t>
        </is>
      </c>
    </row>
    <row r="133">
      <c r="A133" s="287" t="inlineStr">
        <is>
          <t>DSP Large Cap Fund - Regular Plan</t>
        </is>
      </c>
      <c r="B133" s="286" t="n">
        <v>10.87</v>
      </c>
      <c r="C133" s="286" t="n">
        <v>23.46</v>
      </c>
      <c r="D133" s="286" t="n">
        <v>21</v>
      </c>
      <c r="E133" s="286" t="n">
        <v>11.86</v>
      </c>
      <c r="F133" s="286" t="n">
        <v>1.03</v>
      </c>
      <c r="G133" s="286" t="n">
        <v>1.96</v>
      </c>
      <c r="H133" s="286" t="n">
        <v>3.96</v>
      </c>
      <c r="I133" s="286" t="n">
        <v>1.87</v>
      </c>
      <c r="J133" s="286" t="n">
        <v>23</v>
      </c>
      <c r="K133" s="286" t="n">
        <v>0.9</v>
      </c>
      <c r="L133" s="286" t="n">
        <v>12.85</v>
      </c>
      <c r="M133" s="286" t="inlineStr">
        <is>
          <t>EQ-LC</t>
        </is>
      </c>
    </row>
    <row r="134">
      <c r="A134" s="287" t="inlineStr">
        <is>
          <t>DSP Large &amp; Mid Cap Fund - Regular Plan</t>
        </is>
      </c>
      <c r="B134" s="286" t="n">
        <v>6.15</v>
      </c>
      <c r="C134" s="286" t="n">
        <v>25.79</v>
      </c>
      <c r="D134" s="286" t="n">
        <v>24.76</v>
      </c>
      <c r="E134" s="286" t="n">
        <v>15.53</v>
      </c>
      <c r="F134" s="286" t="n">
        <v>1.06</v>
      </c>
      <c r="G134" s="286" t="n">
        <v>1.79</v>
      </c>
      <c r="H134" s="286" t="n">
        <v>4.76</v>
      </c>
      <c r="I134" s="286" t="n">
        <v>1.7</v>
      </c>
      <c r="J134" s="286" t="n">
        <v>39</v>
      </c>
      <c r="K134" s="286" t="n">
        <v>0.97</v>
      </c>
      <c r="L134" s="286" t="n">
        <v>14.57</v>
      </c>
      <c r="M134" s="286" t="inlineStr">
        <is>
          <t>EQ-MC</t>
        </is>
      </c>
    </row>
    <row r="135">
      <c r="A135" s="287" t="inlineStr">
        <is>
          <t>DSP Midcap Fund - Regular Plan</t>
        </is>
      </c>
      <c r="B135" s="286" t="n">
        <v>3.98</v>
      </c>
      <c r="C135" s="286" t="n">
        <v>23.7</v>
      </c>
      <c r="D135" s="286" t="n">
        <v>22.11</v>
      </c>
      <c r="E135" s="286" t="n">
        <v>15.16</v>
      </c>
      <c r="F135" s="286" t="n">
        <v>0.79</v>
      </c>
      <c r="G135" s="286" t="n">
        <v>1.21</v>
      </c>
      <c r="H135" s="286" t="n">
        <v>-4.17</v>
      </c>
      <c r="I135" s="286" t="n">
        <v>1.68</v>
      </c>
      <c r="J135" s="286" t="n">
        <v>35</v>
      </c>
      <c r="K135" s="286" t="n">
        <v>0.98</v>
      </c>
      <c r="L135" s="286" t="n">
        <v>17.33</v>
      </c>
      <c r="M135" s="286" t="inlineStr">
        <is>
          <t>HY-AH</t>
        </is>
      </c>
    </row>
    <row r="136">
      <c r="A136" s="287" t="inlineStr">
        <is>
          <t>DSP Multi Asset Allocation Fund - Regular Plan</t>
        </is>
      </c>
      <c r="B136" s="286" t="n">
        <v>12.97</v>
      </c>
      <c r="C136" s="286" t="n">
        <v>0</v>
      </c>
      <c r="D136" s="286" t="n">
        <v>0</v>
      </c>
      <c r="E136" s="286" t="n">
        <v>0</v>
      </c>
      <c r="F136" s="286" t="n">
        <v>0</v>
      </c>
      <c r="G136" s="286" t="n">
        <v>0</v>
      </c>
      <c r="H136" s="286" t="n">
        <v>0</v>
      </c>
      <c r="I136" s="286" t="n">
        <v>1.58</v>
      </c>
      <c r="J136" s="286" t="n">
        <v>12</v>
      </c>
      <c r="K136" s="286" t="n">
        <v>0</v>
      </c>
      <c r="L136" s="286" t="n">
        <v>0</v>
      </c>
      <c r="M136" s="286" t="inlineStr">
        <is>
          <t>EQ-SC</t>
        </is>
      </c>
    </row>
    <row r="137">
      <c r="A137" s="287" t="inlineStr">
        <is>
          <t>DSP Multicap Fund - Regular Plan</t>
        </is>
      </c>
      <c r="B137" s="286" t="n">
        <v>2.81</v>
      </c>
      <c r="C137" s="286" t="n">
        <v>0</v>
      </c>
      <c r="D137" s="286" t="n">
        <v>0</v>
      </c>
      <c r="E137" s="286" t="n">
        <v>0</v>
      </c>
      <c r="F137" s="286" t="n">
        <v>0</v>
      </c>
      <c r="G137" s="286" t="n">
        <v>0</v>
      </c>
      <c r="H137" s="286" t="n">
        <v>0</v>
      </c>
      <c r="I137" s="286" t="n">
        <v>1.99</v>
      </c>
      <c r="J137" s="286" t="n">
        <v>16</v>
      </c>
      <c r="K137" s="286" t="n">
        <v>0</v>
      </c>
      <c r="L137" s="286" t="n">
        <v>0</v>
      </c>
      <c r="M137" s="286" t="inlineStr">
        <is>
          <t>HY-DAA</t>
        </is>
      </c>
    </row>
    <row r="138">
      <c r="A138" s="287" t="inlineStr">
        <is>
          <t>DSP Natural Resources and New Energy Fund - Regular Plan</t>
        </is>
      </c>
      <c r="B138" s="286" t="n">
        <v>-2.01</v>
      </c>
      <c r="C138" s="286" t="n">
        <v>25.09</v>
      </c>
      <c r="D138" s="286" t="n">
        <v>27.2</v>
      </c>
      <c r="E138" s="286" t="n">
        <v>17.17</v>
      </c>
      <c r="F138" s="286" t="n">
        <v>0.6899999999999999</v>
      </c>
      <c r="G138" s="286" t="n">
        <v>0.99</v>
      </c>
      <c r="H138" s="286" t="n">
        <v>5.54</v>
      </c>
      <c r="I138" s="286" t="n">
        <v>2.11</v>
      </c>
      <c r="J138" s="286" t="n">
        <v>27</v>
      </c>
      <c r="K138" s="286" t="n">
        <v>0.64</v>
      </c>
      <c r="L138" s="286" t="n">
        <v>18.16</v>
      </c>
      <c r="M138" s="286" t="inlineStr">
        <is>
          <t>HY-CH</t>
        </is>
      </c>
    </row>
    <row r="139">
      <c r="A139" s="287" t="inlineStr">
        <is>
          <t>DSP Quant Fund - Regular Plan</t>
        </is>
      </c>
      <c r="B139" s="286" t="n">
        <v>4.42</v>
      </c>
      <c r="C139" s="286" t="n">
        <v>15.14</v>
      </c>
      <c r="D139" s="286" t="n">
        <v>16.64</v>
      </c>
      <c r="E139" s="286" t="n">
        <v>0</v>
      </c>
      <c r="F139" s="286" t="n">
        <v>0.39</v>
      </c>
      <c r="G139" s="286" t="n">
        <v>0.67</v>
      </c>
      <c r="H139" s="286" t="n">
        <v>-5.12</v>
      </c>
      <c r="I139" s="286" t="n">
        <v>1.28</v>
      </c>
      <c r="J139" s="286" t="n">
        <v>111</v>
      </c>
      <c r="K139" s="286" t="n">
        <v>0.92</v>
      </c>
      <c r="L139" s="286" t="n">
        <v>14.11</v>
      </c>
      <c r="M139" s="286" t="inlineStr">
        <is>
          <t>HY-AH</t>
        </is>
      </c>
    </row>
    <row r="140">
      <c r="A140" s="287" t="inlineStr">
        <is>
          <t>DSP Regular Savings Fund - Regular Plan</t>
        </is>
      </c>
      <c r="B140" s="286" t="n">
        <v>9.73</v>
      </c>
      <c r="C140" s="286" t="n">
        <v>11.16</v>
      </c>
      <c r="D140" s="286" t="n">
        <v>9.69</v>
      </c>
      <c r="E140" s="286" t="n">
        <v>7.34</v>
      </c>
      <c r="F140" s="286" t="n">
        <v>1.07</v>
      </c>
      <c r="G140" s="286" t="n">
        <v>1.83</v>
      </c>
      <c r="H140" s="286" t="n">
        <v>0.74</v>
      </c>
      <c r="I140" s="286" t="n">
        <v>1.16</v>
      </c>
      <c r="J140" s="286" t="n">
        <v>668</v>
      </c>
      <c r="K140" s="286" t="n">
        <v>0.85</v>
      </c>
      <c r="L140" s="286" t="n">
        <v>3.62</v>
      </c>
      <c r="M140" s="286" t="inlineStr">
        <is>
          <t>EQ-FLX</t>
        </is>
      </c>
    </row>
    <row r="141">
      <c r="A141" s="287" t="inlineStr">
        <is>
          <t>DSP Small Cap Fund - Regular Plan</t>
        </is>
      </c>
      <c r="B141" s="286" t="n">
        <v>7.7</v>
      </c>
      <c r="C141" s="286" t="n">
        <v>26.56</v>
      </c>
      <c r="D141" s="286" t="n">
        <v>32.19</v>
      </c>
      <c r="E141" s="286" t="n">
        <v>17.45</v>
      </c>
      <c r="F141" s="286" t="n">
        <v>0.83</v>
      </c>
      <c r="G141" s="286" t="n">
        <v>1.29</v>
      </c>
      <c r="H141" s="286" t="n">
        <v>-1.15</v>
      </c>
      <c r="I141" s="286" t="n">
        <v>1.71</v>
      </c>
      <c r="J141" s="286" t="n">
        <v>22</v>
      </c>
      <c r="K141" s="286" t="n">
        <v>0.9399999999999999</v>
      </c>
      <c r="L141" s="286" t="n">
        <v>19.32</v>
      </c>
      <c r="M141" s="286" t="inlineStr">
        <is>
          <t>EQ-FLX</t>
        </is>
      </c>
    </row>
    <row r="142">
      <c r="A142" s="287" t="inlineStr">
        <is>
          <t>Edelweiss Aggressive Hybrid Fund - Regular Plan</t>
        </is>
      </c>
      <c r="B142" s="286" t="n">
        <v>9.199999999999999</v>
      </c>
      <c r="C142" s="286" t="n">
        <v>21.47</v>
      </c>
      <c r="D142" s="286" t="n">
        <v>21.46</v>
      </c>
      <c r="E142" s="286" t="n">
        <v>12.71</v>
      </c>
      <c r="F142" s="286" t="n">
        <v>1.12</v>
      </c>
      <c r="G142" s="286" t="n">
        <v>1.64</v>
      </c>
      <c r="H142" s="286" t="n">
        <v>3.47</v>
      </c>
      <c r="I142" s="286" t="n">
        <v>1.9</v>
      </c>
      <c r="J142" s="286" t="n">
        <v>86</v>
      </c>
      <c r="K142" s="286" t="n">
        <v>0.85</v>
      </c>
      <c r="L142" s="286" t="n">
        <v>10.35</v>
      </c>
      <c r="M142" s="286" t="inlineStr">
        <is>
          <t>EQ-L&amp;MC</t>
        </is>
      </c>
    </row>
    <row r="143">
      <c r="A143" s="287" t="inlineStr">
        <is>
          <t>Edelweiss Balanced Advantage Fund - Regular Plan</t>
        </is>
      </c>
      <c r="B143" s="286" t="n">
        <v>5.36</v>
      </c>
      <c r="C143" s="286" t="n">
        <v>15.18</v>
      </c>
      <c r="D143" s="286" t="n">
        <v>15.57</v>
      </c>
      <c r="E143" s="286" t="n">
        <v>10.38</v>
      </c>
      <c r="F143" s="286" t="n">
        <v>0.76</v>
      </c>
      <c r="G143" s="286" t="n">
        <v>1.14</v>
      </c>
      <c r="H143" s="286" t="n">
        <v>0.09</v>
      </c>
      <c r="I143" s="286" t="n">
        <v>1.68</v>
      </c>
      <c r="J143" s="286" t="n">
        <v>85</v>
      </c>
      <c r="K143" s="286" t="n">
        <v>0.8100000000000001</v>
      </c>
      <c r="L143" s="286" t="n">
        <v>8.56</v>
      </c>
      <c r="M143" s="286" t="inlineStr">
        <is>
          <t>EQ-LC</t>
        </is>
      </c>
    </row>
    <row r="144">
      <c r="A144" s="287" t="inlineStr">
        <is>
          <t>Edelweiss Business Cycle Fund - Regular Plan</t>
        </is>
      </c>
      <c r="B144" s="286" t="n">
        <v>0</v>
      </c>
      <c r="C144" s="286" t="n">
        <v>0</v>
      </c>
      <c r="D144" s="286" t="n">
        <v>0</v>
      </c>
      <c r="E144" s="286" t="n">
        <v>0</v>
      </c>
      <c r="F144" s="286" t="n">
        <v>0</v>
      </c>
      <c r="G144" s="286" t="n">
        <v>0</v>
      </c>
      <c r="H144" s="286" t="n">
        <v>0</v>
      </c>
      <c r="I144" s="286" t="n">
        <v>2.02</v>
      </c>
      <c r="J144" s="286" t="n">
        <v>0</v>
      </c>
      <c r="K144" s="286" t="n">
        <v>0</v>
      </c>
      <c r="L144" s="286" t="n">
        <v>0</v>
      </c>
      <c r="M144" s="286" t="inlineStr">
        <is>
          <t>EQ-THEMATIC</t>
        </is>
      </c>
    </row>
    <row r="145">
      <c r="A145" s="287" t="inlineStr">
        <is>
          <t>Edelweiss Consumption Fund - Regular Plan</t>
        </is>
      </c>
      <c r="B145" s="286" t="n">
        <v>0</v>
      </c>
      <c r="C145" s="286" t="n">
        <v>0</v>
      </c>
      <c r="D145" s="286" t="n">
        <v>0</v>
      </c>
      <c r="E145" s="286" t="n">
        <v>0</v>
      </c>
      <c r="F145" s="286" t="n">
        <v>0</v>
      </c>
      <c r="G145" s="286" t="n">
        <v>0</v>
      </c>
      <c r="H145" s="286" t="n">
        <v>0</v>
      </c>
      <c r="I145" s="286" t="n">
        <v>2.38</v>
      </c>
      <c r="J145" s="286" t="n">
        <v>0</v>
      </c>
      <c r="K145" s="286" t="n">
        <v>0</v>
      </c>
      <c r="L145" s="286" t="n">
        <v>0</v>
      </c>
      <c r="M145" s="286" t="inlineStr">
        <is>
          <t>EQ-MC</t>
        </is>
      </c>
    </row>
    <row r="146">
      <c r="A146" s="287" t="inlineStr">
        <is>
          <t>Edelweiss Flexi Cap Fund - Regular Plan</t>
        </is>
      </c>
      <c r="B146" s="286" t="n">
        <v>4.53</v>
      </c>
      <c r="C146" s="286" t="n">
        <v>23.8</v>
      </c>
      <c r="D146" s="286" t="n">
        <v>24.64</v>
      </c>
      <c r="E146" s="286" t="n">
        <v>14.41</v>
      </c>
      <c r="F146" s="286" t="n">
        <v>0.91</v>
      </c>
      <c r="G146" s="286" t="n">
        <v>1.32</v>
      </c>
      <c r="H146" s="286" t="n">
        <v>1.92</v>
      </c>
      <c r="I146" s="286" t="n">
        <v>1.93</v>
      </c>
      <c r="J146" s="286" t="n">
        <v>45</v>
      </c>
      <c r="K146" s="286" t="n">
        <v>0.97</v>
      </c>
      <c r="L146" s="286" t="n">
        <v>14.47</v>
      </c>
      <c r="M146" s="286" t="inlineStr">
        <is>
          <t>HY-MAA</t>
        </is>
      </c>
    </row>
    <row r="147">
      <c r="A147" s="287" t="inlineStr">
        <is>
          <t>Edelweiss Focused Fund - Regular Plan</t>
        </is>
      </c>
      <c r="B147" s="286" t="n">
        <v>5.08</v>
      </c>
      <c r="C147" s="286" t="n">
        <v>0</v>
      </c>
      <c r="D147" s="286" t="n">
        <v>0</v>
      </c>
      <c r="E147" s="286" t="n">
        <v>0</v>
      </c>
      <c r="F147" s="286" t="n">
        <v>0</v>
      </c>
      <c r="G147" s="286" t="n">
        <v>0</v>
      </c>
      <c r="H147" s="286" t="n">
        <v>0</v>
      </c>
      <c r="I147" s="286" t="n">
        <v>2.21</v>
      </c>
      <c r="J147" s="286" t="n">
        <v>43</v>
      </c>
      <c r="K147" s="286" t="n">
        <v>0</v>
      </c>
      <c r="L147" s="286" t="n">
        <v>0</v>
      </c>
      <c r="M147" s="286" t="inlineStr">
        <is>
          <t>EQ-MLC</t>
        </is>
      </c>
    </row>
    <row r="148">
      <c r="A148" s="287" t="inlineStr">
        <is>
          <t>Edelweiss Large Cap Fund - Regular Plan</t>
        </is>
      </c>
      <c r="B148" s="286" t="n">
        <v>4.75</v>
      </c>
      <c r="C148" s="286" t="n">
        <v>20.75</v>
      </c>
      <c r="D148" s="286" t="n">
        <v>20.93</v>
      </c>
      <c r="E148" s="286" t="n">
        <v>12.5</v>
      </c>
      <c r="F148" s="286" t="n">
        <v>0.83</v>
      </c>
      <c r="G148" s="286" t="n">
        <v>1.34</v>
      </c>
      <c r="H148" s="286" t="n">
        <v>1.1</v>
      </c>
      <c r="I148" s="286" t="n">
        <v>2.12</v>
      </c>
      <c r="J148" s="286" t="n">
        <v>75</v>
      </c>
      <c r="K148" s="286" t="n">
        <v>0.9399999999999999</v>
      </c>
      <c r="L148" s="286" t="n">
        <v>13.04</v>
      </c>
      <c r="M148" s="286" t="inlineStr">
        <is>
          <t>EQ-SC</t>
        </is>
      </c>
    </row>
    <row r="149">
      <c r="A149" s="287" t="inlineStr">
        <is>
          <t>Edelweiss Large &amp; Mid Cap Fund - Regular Plan</t>
        </is>
      </c>
      <c r="B149" s="286" t="n">
        <v>6.64</v>
      </c>
      <c r="C149" s="286" t="n">
        <v>23.65</v>
      </c>
      <c r="D149" s="286" t="n">
        <v>24.94</v>
      </c>
      <c r="E149" s="286" t="n">
        <v>14.5</v>
      </c>
      <c r="F149" s="286" t="n">
        <v>0.88</v>
      </c>
      <c r="G149" s="286" t="n">
        <v>1.23</v>
      </c>
      <c r="H149" s="286" t="n">
        <v>2.12</v>
      </c>
      <c r="I149" s="286" t="n">
        <v>1.86</v>
      </c>
      <c r="J149" s="286" t="n">
        <v>20</v>
      </c>
      <c r="K149" s="286" t="n">
        <v>0.99</v>
      </c>
      <c r="L149" s="286" t="n">
        <v>14.81</v>
      </c>
      <c r="M149" s="286" t="inlineStr">
        <is>
          <t>HY-AH</t>
        </is>
      </c>
    </row>
    <row r="150">
      <c r="A150" s="287" t="inlineStr">
        <is>
          <t>Edelweiss Mid Cap Fund - Regular Plan</t>
        </is>
      </c>
      <c r="B150" s="286" t="n">
        <v>11.91</v>
      </c>
      <c r="C150" s="286" t="n">
        <v>31.89</v>
      </c>
      <c r="D150" s="286" t="n">
        <v>33.37</v>
      </c>
      <c r="E150" s="286" t="n">
        <v>18.13</v>
      </c>
      <c r="F150" s="286" t="n">
        <v>1.17</v>
      </c>
      <c r="G150" s="286" t="n">
        <v>1.58</v>
      </c>
      <c r="H150" s="286" t="n">
        <v>2.35</v>
      </c>
      <c r="I150" s="286" t="n">
        <v>1.7</v>
      </c>
      <c r="J150" s="286" t="n">
        <v>50</v>
      </c>
      <c r="K150" s="286" t="n">
        <v>0.95</v>
      </c>
      <c r="L150" s="286" t="n">
        <v>16.63</v>
      </c>
      <c r="M150" s="286" t="inlineStr">
        <is>
          <t>HY-AR</t>
        </is>
      </c>
    </row>
    <row r="151">
      <c r="A151" s="287" t="inlineStr">
        <is>
          <t>Edelweiss Multi Asset Allocation Fund - Regular Plan</t>
        </is>
      </c>
      <c r="B151" s="286" t="n">
        <v>8.48</v>
      </c>
      <c r="C151" s="286" t="n">
        <v>0</v>
      </c>
      <c r="D151" s="286" t="n">
        <v>0</v>
      </c>
      <c r="E151" s="286" t="n">
        <v>0</v>
      </c>
      <c r="F151" s="286" t="n">
        <v>0</v>
      </c>
      <c r="G151" s="286" t="n">
        <v>0</v>
      </c>
      <c r="H151" s="286" t="n">
        <v>0</v>
      </c>
      <c r="I151" s="286" t="n">
        <v>0.72</v>
      </c>
      <c r="J151" s="286" t="n">
        <v>73</v>
      </c>
      <c r="K151" s="286" t="n">
        <v>0</v>
      </c>
      <c r="L151" s="286" t="n">
        <v>0</v>
      </c>
      <c r="M151" s="286" t="inlineStr">
        <is>
          <t>EQ-LC</t>
        </is>
      </c>
    </row>
    <row r="152">
      <c r="A152" s="287" t="inlineStr">
        <is>
          <t>Edelweiss Multi Cap Fund - Regular Plan</t>
        </is>
      </c>
      <c r="B152" s="286" t="n">
        <v>5.82</v>
      </c>
      <c r="C152" s="286" t="n">
        <v>0</v>
      </c>
      <c r="D152" s="286" t="n">
        <v>0</v>
      </c>
      <c r="E152" s="286" t="n">
        <v>0</v>
      </c>
      <c r="F152" s="286" t="n">
        <v>0</v>
      </c>
      <c r="G152" s="286" t="n">
        <v>0</v>
      </c>
      <c r="H152" s="286" t="n">
        <v>0</v>
      </c>
      <c r="I152" s="286" t="n">
        <v>1.92</v>
      </c>
      <c r="J152" s="286" t="n">
        <v>43</v>
      </c>
      <c r="K152" s="286" t="n">
        <v>0</v>
      </c>
      <c r="L152" s="286" t="n">
        <v>0</v>
      </c>
      <c r="M152" s="286" t="inlineStr">
        <is>
          <t>EQ-THEMATIC</t>
        </is>
      </c>
    </row>
    <row r="153">
      <c r="A153" s="287" t="inlineStr">
        <is>
          <t>Edelweiss Recently Listed IPO Fund - Regular Plan</t>
        </is>
      </c>
      <c r="B153" s="286" t="n">
        <v>0.54</v>
      </c>
      <c r="C153" s="286" t="n">
        <v>18.07</v>
      </c>
      <c r="D153" s="286" t="n">
        <v>21.87</v>
      </c>
      <c r="E153" s="286" t="n">
        <v>0</v>
      </c>
      <c r="F153" s="286" t="n">
        <v>0.5</v>
      </c>
      <c r="G153" s="286" t="n">
        <v>0.6899999999999999</v>
      </c>
      <c r="H153" s="286" t="n">
        <v>-2.22</v>
      </c>
      <c r="I153" s="286" t="n">
        <v>2.29</v>
      </c>
      <c r="J153" s="286" t="n">
        <v>80</v>
      </c>
      <c r="K153" s="286" t="n">
        <v>0.99</v>
      </c>
      <c r="L153" s="286" t="n">
        <v>18.53</v>
      </c>
      <c r="M153" s="286" t="inlineStr">
        <is>
          <t>HY-DAA</t>
        </is>
      </c>
    </row>
    <row r="154">
      <c r="A154" s="287" t="inlineStr">
        <is>
          <t>Edelweiss Small Cap Fund - Regular Plan</t>
        </is>
      </c>
      <c r="B154" s="286" t="n">
        <v>4.43</v>
      </c>
      <c r="C154" s="286" t="n">
        <v>27.4</v>
      </c>
      <c r="D154" s="286" t="n">
        <v>34.06</v>
      </c>
      <c r="E154" s="286" t="n">
        <v>0</v>
      </c>
      <c r="F154" s="286" t="n">
        <v>0.95</v>
      </c>
      <c r="G154" s="286" t="n">
        <v>1.34</v>
      </c>
      <c r="H154" s="286" t="n">
        <v>0.76</v>
      </c>
      <c r="I154" s="286" t="n">
        <v>1.83</v>
      </c>
      <c r="J154" s="286" t="n">
        <v>20</v>
      </c>
      <c r="K154" s="286" t="n">
        <v>0.83</v>
      </c>
      <c r="L154" s="286" t="n">
        <v>16.79</v>
      </c>
      <c r="M154" s="286" t="inlineStr">
        <is>
          <t>EQ-FLX</t>
        </is>
      </c>
    </row>
    <row r="155">
      <c r="A155" s="287" t="inlineStr">
        <is>
          <t>Franklin India Balanced Advantage Fund - Regular Plan</t>
        </is>
      </c>
      <c r="B155" s="286" t="n">
        <v>6.67</v>
      </c>
      <c r="C155" s="286" t="n">
        <v>0</v>
      </c>
      <c r="D155" s="286" t="n">
        <v>0</v>
      </c>
      <c r="E155" s="286" t="n">
        <v>0</v>
      </c>
      <c r="F155" s="286" t="n">
        <v>0</v>
      </c>
      <c r="G155" s="286" t="n">
        <v>0</v>
      </c>
      <c r="H155" s="286" t="n">
        <v>0</v>
      </c>
      <c r="I155" s="286" t="n">
        <v>1.94</v>
      </c>
      <c r="J155" s="286" t="n">
        <v>363.59</v>
      </c>
      <c r="K155" s="286" t="n">
        <v>0</v>
      </c>
      <c r="L155" s="286" t="n">
        <v>0</v>
      </c>
      <c r="M155" s="286" t="inlineStr">
        <is>
          <t>EQ-FLX</t>
        </is>
      </c>
    </row>
    <row r="156">
      <c r="A156" s="287" t="inlineStr">
        <is>
          <t>Franklin India Bluechip Fund - Regular Plan</t>
        </is>
      </c>
      <c r="B156" s="286" t="n">
        <v>8.130000000000001</v>
      </c>
      <c r="C156" s="286" t="n">
        <v>18.05</v>
      </c>
      <c r="D156" s="286" t="n">
        <v>20.3</v>
      </c>
      <c r="E156" s="286" t="n">
        <v>11.27</v>
      </c>
      <c r="F156" s="286" t="n">
        <v>0.65</v>
      </c>
      <c r="G156" s="286" t="n">
        <v>1</v>
      </c>
      <c r="H156" s="286" t="n">
        <v>-1.03</v>
      </c>
      <c r="I156" s="286" t="n">
        <v>1.84</v>
      </c>
      <c r="J156" s="286" t="n">
        <v>87.36</v>
      </c>
      <c r="K156" s="286" t="n">
        <v>0.91</v>
      </c>
      <c r="L156" s="286" t="n">
        <v>12.8</v>
      </c>
      <c r="M156" s="286" t="inlineStr">
        <is>
          <t>EQ-LC</t>
        </is>
      </c>
    </row>
    <row r="157">
      <c r="A157" s="287" t="inlineStr">
        <is>
          <t>Franklin India Debt Hybrid Fund - Regular Plan</t>
        </is>
      </c>
      <c r="B157" s="286" t="n">
        <v>8.539999999999999</v>
      </c>
      <c r="C157" s="286" t="n">
        <v>11.17</v>
      </c>
      <c r="D157" s="286" t="n">
        <v>9.550000000000001</v>
      </c>
      <c r="E157" s="286" t="n">
        <v>7.7</v>
      </c>
      <c r="F157" s="286" t="n">
        <v>1.02</v>
      </c>
      <c r="G157" s="286" t="n">
        <v>1.61</v>
      </c>
      <c r="H157" s="286" t="n">
        <v>0.52</v>
      </c>
      <c r="I157" s="286" t="n">
        <v>1.41</v>
      </c>
      <c r="J157" s="286" t="n">
        <v>0</v>
      </c>
      <c r="K157" s="286" t="n">
        <v>0.89</v>
      </c>
      <c r="L157" s="286" t="n">
        <v>3.71</v>
      </c>
      <c r="M157" s="286" t="inlineStr">
        <is>
          <t>EQ-L&amp;MC</t>
        </is>
      </c>
    </row>
    <row r="158">
      <c r="A158" s="287" t="inlineStr">
        <is>
          <t>Franklin India Dynamic Asset Allocation Fund of Fund - Regular Plan</t>
        </is>
      </c>
      <c r="B158" s="286" t="n">
        <v>7.67</v>
      </c>
      <c r="C158" s="286" t="n">
        <v>16.75</v>
      </c>
      <c r="D158" s="286" t="n">
        <v>19.6</v>
      </c>
      <c r="E158" s="286" t="n">
        <v>10.35</v>
      </c>
      <c r="F158" s="286" t="n">
        <v>1.12</v>
      </c>
      <c r="G158" s="286" t="n">
        <v>1.64</v>
      </c>
      <c r="H158" s="286" t="n">
        <v>2.84</v>
      </c>
      <c r="I158" s="286" t="n">
        <v>2.01</v>
      </c>
      <c r="J158" s="286" t="n">
        <v>45.24</v>
      </c>
      <c r="K158" s="286" t="n">
        <v>0.66</v>
      </c>
      <c r="L158" s="286" t="n">
        <v>7.14</v>
      </c>
      <c r="M158" s="286" t="inlineStr">
        <is>
          <t>EQ-MC</t>
        </is>
      </c>
    </row>
    <row r="159">
      <c r="A159" s="287" t="inlineStr">
        <is>
          <t>Franklin India Equity Advantage Fund - Regular Plan</t>
        </is>
      </c>
      <c r="B159" s="286" t="n">
        <v>10.23</v>
      </c>
      <c r="C159" s="286" t="n">
        <v>20.87</v>
      </c>
      <c r="D159" s="286" t="n">
        <v>24.69</v>
      </c>
      <c r="E159" s="286" t="n">
        <v>12.06</v>
      </c>
      <c r="F159" s="286" t="n">
        <v>0.74</v>
      </c>
      <c r="G159" s="286" t="n">
        <v>1.11</v>
      </c>
      <c r="H159" s="286" t="n">
        <v>-0.01</v>
      </c>
      <c r="I159" s="286" t="n">
        <v>2.02</v>
      </c>
      <c r="J159" s="286" t="n">
        <v>111.44</v>
      </c>
      <c r="K159" s="286" t="n">
        <v>0.95</v>
      </c>
      <c r="L159" s="286" t="n">
        <v>14.1</v>
      </c>
      <c r="M159" s="286" t="inlineStr">
        <is>
          <t>HY-MAA</t>
        </is>
      </c>
    </row>
    <row r="160">
      <c r="A160" s="287" t="inlineStr">
        <is>
          <t>Franklin India Equity Hybrid Fund - Regular Plan</t>
        </is>
      </c>
      <c r="B160" s="286" t="n">
        <v>6.95</v>
      </c>
      <c r="C160" s="286" t="n">
        <v>19.18</v>
      </c>
      <c r="D160" s="286" t="n">
        <v>19.62</v>
      </c>
      <c r="E160" s="286" t="n">
        <v>11.67</v>
      </c>
      <c r="F160" s="286" t="n">
        <v>1.02</v>
      </c>
      <c r="G160" s="286" t="n">
        <v>1.48</v>
      </c>
      <c r="H160" s="286" t="n">
        <v>2.34</v>
      </c>
      <c r="I160" s="286" t="n">
        <v>2.07</v>
      </c>
      <c r="J160" s="286" t="n">
        <v>29.25</v>
      </c>
      <c r="K160" s="286" t="n">
        <v>0.79</v>
      </c>
      <c r="L160" s="286" t="n">
        <v>9.73</v>
      </c>
      <c r="M160" s="286" t="inlineStr">
        <is>
          <t>EQ-MLC</t>
        </is>
      </c>
    </row>
    <row r="161">
      <c r="A161" s="287" t="inlineStr">
        <is>
          <t>Franklin India Flexi Cap Fund - Regular Plan</t>
        </is>
      </c>
      <c r="B161" s="286" t="n">
        <v>7.26</v>
      </c>
      <c r="C161" s="286" t="n">
        <v>24.81</v>
      </c>
      <c r="D161" s="286" t="n">
        <v>26.55</v>
      </c>
      <c r="E161" s="286" t="n">
        <v>14.16</v>
      </c>
      <c r="F161" s="286" t="n">
        <v>1.03</v>
      </c>
      <c r="G161" s="286" t="n">
        <v>1.52</v>
      </c>
      <c r="H161" s="286" t="n">
        <v>3.47</v>
      </c>
      <c r="I161" s="286" t="n">
        <v>1.7</v>
      </c>
      <c r="J161" s="286" t="n">
        <v>26.28</v>
      </c>
      <c r="K161" s="286" t="n">
        <v>0.92</v>
      </c>
      <c r="L161" s="286" t="n">
        <v>13.6</v>
      </c>
      <c r="M161" s="286" t="inlineStr">
        <is>
          <t>EQ-LC</t>
        </is>
      </c>
    </row>
    <row r="162">
      <c r="A162" s="287" t="inlineStr">
        <is>
          <t>Franklin India Focused Equity Fund - Regular Plan</t>
        </is>
      </c>
      <c r="B162" s="286" t="n">
        <v>3.2</v>
      </c>
      <c r="C162" s="286" t="n">
        <v>22.2</v>
      </c>
      <c r="D162" s="286" t="n">
        <v>24.59</v>
      </c>
      <c r="E162" s="286" t="n">
        <v>13.83</v>
      </c>
      <c r="F162" s="286" t="n">
        <v>0.92</v>
      </c>
      <c r="G162" s="286" t="n">
        <v>1.43</v>
      </c>
      <c r="H162" s="286" t="n">
        <v>2.09</v>
      </c>
      <c r="I162" s="286" t="n">
        <v>1.76</v>
      </c>
      <c r="J162" s="286" t="n">
        <v>21.04</v>
      </c>
      <c r="K162" s="286" t="n">
        <v>0.87</v>
      </c>
      <c r="L162" s="286" t="n">
        <v>13.24</v>
      </c>
      <c r="M162" s="286" t="inlineStr">
        <is>
          <t>EQ-LC</t>
        </is>
      </c>
    </row>
    <row r="163">
      <c r="A163" s="287" t="inlineStr">
        <is>
          <t>Franklin India Multi Asset Solution Fund of Funds - Regular Plan</t>
        </is>
      </c>
      <c r="B163" s="286" t="n">
        <v>14.61</v>
      </c>
      <c r="C163" s="286" t="n">
        <v>14.66</v>
      </c>
      <c r="D163" s="286" t="n">
        <v>15.65</v>
      </c>
      <c r="E163" s="286" t="n">
        <v>7.49</v>
      </c>
      <c r="F163" s="286" t="n">
        <v>1.25</v>
      </c>
      <c r="G163" s="286" t="n">
        <v>2.04</v>
      </c>
      <c r="H163" s="286" t="n">
        <v>2.56</v>
      </c>
      <c r="I163" s="286" t="n">
        <v>2.13</v>
      </c>
      <c r="J163" s="286" t="n">
        <v>61.84</v>
      </c>
      <c r="K163" s="286" t="n">
        <v>0.43</v>
      </c>
      <c r="L163" s="286" t="n">
        <v>5.15</v>
      </c>
      <c r="M163" s="286" t="inlineStr">
        <is>
          <t>EQ-MC</t>
        </is>
      </c>
    </row>
    <row r="164">
      <c r="A164" s="287" t="inlineStr">
        <is>
          <t>Franklin India Multi Cap Fund - Regular Plan</t>
        </is>
      </c>
      <c r="B164" s="286" t="n">
        <v>0</v>
      </c>
      <c r="C164" s="286" t="n">
        <v>0</v>
      </c>
      <c r="D164" s="286" t="n">
        <v>0</v>
      </c>
      <c r="E164" s="286" t="n">
        <v>0</v>
      </c>
      <c r="F164" s="286" t="n">
        <v>0</v>
      </c>
      <c r="G164" s="286" t="n">
        <v>0</v>
      </c>
      <c r="H164" s="286" t="n">
        <v>0</v>
      </c>
      <c r="I164" s="286" t="n">
        <v>1.81</v>
      </c>
      <c r="J164" s="286" t="n">
        <v>41.16</v>
      </c>
      <c r="K164" s="286" t="n">
        <v>0</v>
      </c>
      <c r="L164" s="286" t="n">
        <v>0</v>
      </c>
      <c r="M164" s="286" t="inlineStr">
        <is>
          <t>EQ-LC</t>
        </is>
      </c>
    </row>
    <row r="165">
      <c r="A165" s="287" t="inlineStr">
        <is>
          <t>Franklin India Opportunities Fund - Regular Plan</t>
        </is>
      </c>
      <c r="B165" s="286" t="n">
        <v>3.14</v>
      </c>
      <c r="C165" s="286" t="n">
        <v>35.24</v>
      </c>
      <c r="D165" s="286" t="n">
        <v>31.27</v>
      </c>
      <c r="E165" s="286" t="n">
        <v>15.94</v>
      </c>
      <c r="F165" s="286" t="n">
        <v>1.43</v>
      </c>
      <c r="G165" s="286" t="n">
        <v>2.03</v>
      </c>
      <c r="H165" s="286" t="n">
        <v>12</v>
      </c>
      <c r="I165" s="286" t="n">
        <v>1.77</v>
      </c>
      <c r="J165" s="286" t="n">
        <v>54.02</v>
      </c>
      <c r="K165" s="286" t="n">
        <v>1</v>
      </c>
      <c r="L165" s="286" t="n">
        <v>16.41</v>
      </c>
      <c r="M165" s="286" t="inlineStr">
        <is>
          <t>EQ-SC</t>
        </is>
      </c>
    </row>
    <row r="166">
      <c r="A166" s="287" t="inlineStr">
        <is>
          <t>Franklin India Pension Fund - Regular Plan</t>
        </is>
      </c>
      <c r="B166" s="286" t="n">
        <v>7.38</v>
      </c>
      <c r="C166" s="286" t="n">
        <v>13.07</v>
      </c>
      <c r="D166" s="286" t="n">
        <v>10.88</v>
      </c>
      <c r="E166" s="286" t="n">
        <v>8.43</v>
      </c>
      <c r="F166" s="286" t="n">
        <v>0.91</v>
      </c>
      <c r="G166" s="286" t="n">
        <v>1.33</v>
      </c>
      <c r="H166" s="286" t="n">
        <v>0.6</v>
      </c>
      <c r="I166" s="286" t="n">
        <v>2.26</v>
      </c>
      <c r="J166" s="286" t="n">
        <v>0</v>
      </c>
      <c r="K166" s="286" t="n">
        <v>0.57</v>
      </c>
      <c r="L166" s="286" t="n">
        <v>5.7</v>
      </c>
      <c r="M166" s="286" t="inlineStr">
        <is>
          <t>EQ-LC</t>
        </is>
      </c>
    </row>
    <row r="167">
      <c r="A167" s="287" t="inlineStr">
        <is>
          <t>Franklin India Prima Fund - Regular Plan</t>
        </is>
      </c>
      <c r="B167" s="286" t="n">
        <v>7.02</v>
      </c>
      <c r="C167" s="286" t="n">
        <v>29.5</v>
      </c>
      <c r="D167" s="286" t="n">
        <v>27.09</v>
      </c>
      <c r="E167" s="286" t="n">
        <v>15.38</v>
      </c>
      <c r="F167" s="286" t="n">
        <v>1.15</v>
      </c>
      <c r="G167" s="286" t="n">
        <v>1.64</v>
      </c>
      <c r="H167" s="286" t="n">
        <v>1.78</v>
      </c>
      <c r="I167" s="286" t="n">
        <v>1.76</v>
      </c>
      <c r="J167" s="286" t="n">
        <v>23.44</v>
      </c>
      <c r="K167" s="286" t="n">
        <v>0.91</v>
      </c>
      <c r="L167" s="286" t="n">
        <v>15.83</v>
      </c>
      <c r="M167" s="286" t="inlineStr">
        <is>
          <t>EQ-THEMATIC</t>
        </is>
      </c>
    </row>
    <row r="168">
      <c r="A168" s="287" t="inlineStr">
        <is>
          <t>Franklin India Smaller Companies Fund - Regular Plan</t>
        </is>
      </c>
      <c r="B168" s="286" t="n">
        <v>-3.18</v>
      </c>
      <c r="C168" s="286" t="n">
        <v>30.08</v>
      </c>
      <c r="D168" s="286" t="n">
        <v>33.88</v>
      </c>
      <c r="E168" s="286" t="n">
        <v>16.39</v>
      </c>
      <c r="F168" s="286" t="n">
        <v>1.14</v>
      </c>
      <c r="G168" s="286" t="n">
        <v>1.49</v>
      </c>
      <c r="H168" s="286" t="n">
        <v>4.29</v>
      </c>
      <c r="I168" s="286" t="n">
        <v>1.74</v>
      </c>
      <c r="J168" s="286" t="n">
        <v>22.71</v>
      </c>
      <c r="K168" s="286" t="n">
        <v>0.83</v>
      </c>
      <c r="L168" s="286" t="n">
        <v>17.06</v>
      </c>
      <c r="M168" s="286" t="inlineStr">
        <is>
          <t>HY-CH</t>
        </is>
      </c>
    </row>
    <row r="169">
      <c r="A169" s="287" t="inlineStr">
        <is>
          <t>Groww Aggressive Hybrid Fund - Regular Plan</t>
        </is>
      </c>
      <c r="B169" s="286" t="n">
        <v>1.54</v>
      </c>
      <c r="C169" s="286" t="n">
        <v>15.82</v>
      </c>
      <c r="D169" s="286" t="n">
        <v>16.45</v>
      </c>
      <c r="E169" s="286" t="n">
        <v>0</v>
      </c>
      <c r="F169" s="286" t="n">
        <v>0.66</v>
      </c>
      <c r="G169" s="286" t="n">
        <v>1.17</v>
      </c>
      <c r="H169" s="286" t="n">
        <v>-1.29</v>
      </c>
      <c r="I169" s="286" t="n">
        <v>2.38</v>
      </c>
      <c r="J169" s="286" t="n">
        <v>206</v>
      </c>
      <c r="K169" s="286" t="n">
        <v>0.86</v>
      </c>
      <c r="L169" s="286" t="n">
        <v>10.6</v>
      </c>
      <c r="M169" s="286" t="inlineStr">
        <is>
          <t>EQ-SC</t>
        </is>
      </c>
    </row>
    <row r="170">
      <c r="A170" s="287" t="inlineStr">
        <is>
          <t>Groww Large Cap Fund - Regular Plan</t>
        </is>
      </c>
      <c r="B170" s="286" t="n">
        <v>1.38</v>
      </c>
      <c r="C170" s="286" t="n">
        <v>18.54</v>
      </c>
      <c r="D170" s="286" t="n">
        <v>18.34</v>
      </c>
      <c r="E170" s="286" t="n">
        <v>11.56</v>
      </c>
      <c r="F170" s="286" t="n">
        <v>0.64</v>
      </c>
      <c r="G170" s="286" t="n">
        <v>1.12</v>
      </c>
      <c r="H170" s="286" t="n">
        <v>-1.2</v>
      </c>
      <c r="I170" s="286" t="n">
        <v>2.46</v>
      </c>
      <c r="J170" s="286" t="n">
        <v>250</v>
      </c>
      <c r="K170" s="286" t="n">
        <v>0.98</v>
      </c>
      <c r="L170" s="286" t="n">
        <v>13.83</v>
      </c>
      <c r="M170" s="286" t="inlineStr">
        <is>
          <t>HY-AH</t>
        </is>
      </c>
    </row>
    <row r="171">
      <c r="A171" s="287" t="inlineStr">
        <is>
          <t>Groww Multicap Fund - Regular Plan</t>
        </is>
      </c>
      <c r="B171" s="286" t="n">
        <v>0</v>
      </c>
      <c r="C171" s="286" t="n">
        <v>0</v>
      </c>
      <c r="D171" s="286" t="n">
        <v>0</v>
      </c>
      <c r="E171" s="286" t="n">
        <v>0</v>
      </c>
      <c r="F171" s="286" t="n">
        <v>0</v>
      </c>
      <c r="G171" s="286" t="n">
        <v>0</v>
      </c>
      <c r="H171" s="286" t="n">
        <v>0</v>
      </c>
      <c r="I171" s="286" t="n">
        <v>2.3</v>
      </c>
      <c r="J171" s="286" t="n">
        <v>0</v>
      </c>
      <c r="K171" s="286" t="n">
        <v>0</v>
      </c>
      <c r="L171" s="286" t="n">
        <v>0</v>
      </c>
      <c r="M171" s="286" t="inlineStr">
        <is>
          <t>HY-AR</t>
        </is>
      </c>
    </row>
    <row r="172">
      <c r="A172" s="287" t="inlineStr">
        <is>
          <t>HDFC Balanced Advantage Fund - Regular Plan</t>
        </is>
      </c>
      <c r="B172" s="286" t="n">
        <v>6.25</v>
      </c>
      <c r="C172" s="286" t="n">
        <v>23.57</v>
      </c>
      <c r="D172" s="286" t="n">
        <v>24.68</v>
      </c>
      <c r="E172" s="286" t="n">
        <v>14.29</v>
      </c>
      <c r="F172" s="286" t="n">
        <v>1.42</v>
      </c>
      <c r="G172" s="286" t="n">
        <v>2.51</v>
      </c>
      <c r="H172" s="286" t="n">
        <v>6.9</v>
      </c>
      <c r="I172" s="286" t="n">
        <v>1.37</v>
      </c>
      <c r="J172" s="286" t="n">
        <v>27.2</v>
      </c>
      <c r="K172" s="286" t="n">
        <v>0.88</v>
      </c>
      <c r="L172" s="286" t="n">
        <v>9.74</v>
      </c>
      <c r="M172" s="286" t="inlineStr">
        <is>
          <t>HY-DAA</t>
        </is>
      </c>
    </row>
    <row r="173">
      <c r="A173" s="287" t="inlineStr">
        <is>
          <t>HDFC Business Cycle Fund - Regular Plan</t>
        </is>
      </c>
      <c r="B173" s="286" t="n">
        <v>2.76</v>
      </c>
      <c r="C173" s="286" t="n">
        <v>0</v>
      </c>
      <c r="D173" s="286" t="n">
        <v>0</v>
      </c>
      <c r="E173" s="286" t="n">
        <v>0</v>
      </c>
      <c r="F173" s="286" t="n">
        <v>0</v>
      </c>
      <c r="G173" s="286" t="n">
        <v>0</v>
      </c>
      <c r="H173" s="286" t="n">
        <v>0</v>
      </c>
      <c r="I173" s="286" t="n">
        <v>1.97</v>
      </c>
      <c r="J173" s="286" t="n">
        <v>52.9</v>
      </c>
      <c r="K173" s="286" t="n">
        <v>0</v>
      </c>
      <c r="L173" s="286" t="n">
        <v>0</v>
      </c>
      <c r="M173" s="286" t="inlineStr">
        <is>
          <t>EQ-THEMATIC</t>
        </is>
      </c>
    </row>
    <row r="174">
      <c r="A174" s="287" t="inlineStr">
        <is>
          <t>HDFC Children's Fund - Regular Plan</t>
        </is>
      </c>
      <c r="B174" s="286" t="n">
        <v>4.47</v>
      </c>
      <c r="C174" s="286" t="n">
        <v>19.34</v>
      </c>
      <c r="D174" s="286" t="n">
        <v>20.73</v>
      </c>
      <c r="E174" s="286" t="n">
        <v>13.42</v>
      </c>
      <c r="F174" s="286" t="n">
        <v>1.09</v>
      </c>
      <c r="G174" s="286" t="n">
        <v>1.61</v>
      </c>
      <c r="H174" s="286" t="n">
        <v>3.23</v>
      </c>
      <c r="I174" s="286" t="n">
        <v>1.73</v>
      </c>
      <c r="J174" s="286" t="n">
        <v>13.9</v>
      </c>
      <c r="K174" s="286" t="n">
        <v>0.78</v>
      </c>
      <c r="L174" s="286" t="n">
        <v>9.81</v>
      </c>
      <c r="M174" s="286" t="inlineStr">
        <is>
          <t>EQ-THEMATIC</t>
        </is>
      </c>
    </row>
    <row r="175">
      <c r="A175" s="287" t="inlineStr">
        <is>
          <t>HDFC Defence Fund - Regular Plan</t>
        </is>
      </c>
      <c r="B175" s="286" t="n">
        <v>6.89</v>
      </c>
      <c r="C175" s="286" t="n">
        <v>0</v>
      </c>
      <c r="D175" s="286" t="n">
        <v>0</v>
      </c>
      <c r="E175" s="286" t="n">
        <v>0</v>
      </c>
      <c r="F175" s="286" t="n">
        <v>0</v>
      </c>
      <c r="G175" s="286" t="n">
        <v>0</v>
      </c>
      <c r="H175" s="286" t="n">
        <v>0</v>
      </c>
      <c r="I175" s="286" t="n">
        <v>1.77</v>
      </c>
      <c r="J175" s="286" t="n">
        <v>11.34</v>
      </c>
      <c r="K175" s="286" t="n">
        <v>0</v>
      </c>
      <c r="L175" s="286" t="n">
        <v>0</v>
      </c>
      <c r="M175" s="286" t="inlineStr">
        <is>
          <t>EQ-FLX</t>
        </is>
      </c>
    </row>
    <row r="176">
      <c r="A176" s="287" t="inlineStr">
        <is>
          <t>HDFC Dividend Yield Fund - Regular Plan</t>
        </is>
      </c>
      <c r="B176" s="286" t="n">
        <v>2.17</v>
      </c>
      <c r="C176" s="286" t="n">
        <v>24.68</v>
      </c>
      <c r="D176" s="286" t="n">
        <v>0</v>
      </c>
      <c r="E176" s="286" t="n">
        <v>0</v>
      </c>
      <c r="F176" s="286" t="n">
        <v>0.95</v>
      </c>
      <c r="G176" s="286" t="n">
        <v>1.44</v>
      </c>
      <c r="H176" s="286" t="n">
        <v>2.65</v>
      </c>
      <c r="I176" s="286" t="n">
        <v>1.81</v>
      </c>
      <c r="J176" s="286" t="n">
        <v>7.42</v>
      </c>
      <c r="K176" s="286" t="n">
        <v>0.98</v>
      </c>
      <c r="L176" s="286" t="n">
        <v>14.66</v>
      </c>
      <c r="M176" s="286" t="inlineStr">
        <is>
          <t>EQ-FLX</t>
        </is>
      </c>
    </row>
    <row r="177">
      <c r="A177" s="287" t="inlineStr">
        <is>
          <t>HDFC Flexi Cap Fund - Regular Plan</t>
        </is>
      </c>
      <c r="B177" s="286" t="n">
        <v>10.68</v>
      </c>
      <c r="C177" s="286" t="n">
        <v>28.14</v>
      </c>
      <c r="D177" s="286" t="n">
        <v>29.67</v>
      </c>
      <c r="E177" s="286" t="n">
        <v>15.65</v>
      </c>
      <c r="F177" s="286" t="n">
        <v>1.37</v>
      </c>
      <c r="G177" s="286" t="n">
        <v>2.36</v>
      </c>
      <c r="H177" s="286" t="n">
        <v>7.35</v>
      </c>
      <c r="I177" s="286" t="n">
        <v>1.39</v>
      </c>
      <c r="J177" s="286" t="n">
        <v>23.11</v>
      </c>
      <c r="K177" s="286" t="n">
        <v>0.83</v>
      </c>
      <c r="L177" s="286" t="n">
        <v>12.4</v>
      </c>
      <c r="M177" s="286" t="inlineStr">
        <is>
          <t>EQ-LC</t>
        </is>
      </c>
    </row>
    <row r="178">
      <c r="A178" s="287" t="inlineStr">
        <is>
          <t>HDFC Focused Fund - Regular Plan</t>
        </is>
      </c>
      <c r="B178" s="286" t="n">
        <v>10.46</v>
      </c>
      <c r="C178" s="286" t="n">
        <v>27.79</v>
      </c>
      <c r="D178" s="286" t="n">
        <v>29.26</v>
      </c>
      <c r="E178" s="286" t="n">
        <v>14.79</v>
      </c>
      <c r="F178" s="286" t="n">
        <v>1.48</v>
      </c>
      <c r="G178" s="286" t="n">
        <v>2.41</v>
      </c>
      <c r="H178" s="286" t="n">
        <v>8.039999999999999</v>
      </c>
      <c r="I178" s="286" t="n">
        <v>1.66</v>
      </c>
      <c r="J178" s="286" t="n">
        <v>27.46</v>
      </c>
      <c r="K178" s="286" t="n">
        <v>0.75</v>
      </c>
      <c r="L178" s="286" t="n">
        <v>11.27</v>
      </c>
      <c r="M178" s="286" t="inlineStr">
        <is>
          <t>EQ-L&amp;MC</t>
        </is>
      </c>
    </row>
    <row r="179">
      <c r="A179" s="287" t="inlineStr">
        <is>
          <t>HDFC Housing Opportunities Fund - Regular Plan</t>
        </is>
      </c>
      <c r="B179" s="286" t="n">
        <v>-5.41</v>
      </c>
      <c r="C179" s="286" t="n">
        <v>26.92</v>
      </c>
      <c r="D179" s="286" t="n">
        <v>25.32</v>
      </c>
      <c r="E179" s="286" t="n">
        <v>0</v>
      </c>
      <c r="F179" s="286" t="n">
        <v>0.92</v>
      </c>
      <c r="G179" s="286" t="n">
        <v>1.43</v>
      </c>
      <c r="H179" s="286" t="n">
        <v>3.08</v>
      </c>
      <c r="I179" s="286" t="n">
        <v>2.21</v>
      </c>
      <c r="J179" s="286" t="n">
        <v>4.87</v>
      </c>
      <c r="K179" s="286" t="n">
        <v>1.09</v>
      </c>
      <c r="L179" s="286" t="n">
        <v>16.97</v>
      </c>
      <c r="M179" s="286" t="inlineStr">
        <is>
          <t>EQ-MC</t>
        </is>
      </c>
    </row>
    <row r="180">
      <c r="A180" s="287" t="inlineStr">
        <is>
          <t>HDFC Hybrid Debt Fund - Regular Plan</t>
        </is>
      </c>
      <c r="B180" s="286" t="n">
        <v>7.05</v>
      </c>
      <c r="C180" s="286" t="n">
        <v>12.14</v>
      </c>
      <c r="D180" s="286" t="n">
        <v>12.12</v>
      </c>
      <c r="E180" s="286" t="n">
        <v>9.050000000000001</v>
      </c>
      <c r="F180" s="286" t="n">
        <v>1.22</v>
      </c>
      <c r="G180" s="286" t="n">
        <v>2.01</v>
      </c>
      <c r="H180" s="286" t="n">
        <v>1.43</v>
      </c>
      <c r="I180" s="286" t="n">
        <v>1.72</v>
      </c>
      <c r="J180" s="286" t="n">
        <v>0</v>
      </c>
      <c r="K180" s="286" t="n">
        <v>0.97</v>
      </c>
      <c r="L180" s="286" t="n">
        <v>4.09</v>
      </c>
      <c r="M180" s="286" t="inlineStr">
        <is>
          <t>HY-MAA</t>
        </is>
      </c>
    </row>
    <row r="181">
      <c r="A181" s="287" t="inlineStr">
        <is>
          <t>HDFC Hybrid Equity Fund - Regular Plan</t>
        </is>
      </c>
      <c r="B181" s="286" t="n">
        <v>6.3</v>
      </c>
      <c r="C181" s="286" t="n">
        <v>17.35</v>
      </c>
      <c r="D181" s="286" t="n">
        <v>19.55</v>
      </c>
      <c r="E181" s="286" t="n">
        <v>12.3</v>
      </c>
      <c r="F181" s="286" t="n">
        <v>0.9</v>
      </c>
      <c r="G181" s="286" t="n">
        <v>1.39</v>
      </c>
      <c r="H181" s="286" t="n">
        <v>1.07</v>
      </c>
      <c r="I181" s="286" t="n">
        <v>1.69</v>
      </c>
      <c r="J181" s="286" t="n">
        <v>22.46</v>
      </c>
      <c r="K181" s="286" t="n">
        <v>0.77</v>
      </c>
      <c r="L181" s="286" t="n">
        <v>9.460000000000001</v>
      </c>
      <c r="M181" s="286" t="inlineStr">
        <is>
          <t>EQ-MLC</t>
        </is>
      </c>
    </row>
    <row r="182">
      <c r="A182" s="287" t="inlineStr">
        <is>
          <t>HDFC Innovation Fund - Regular Plan</t>
        </is>
      </c>
      <c r="B182" s="286" t="n">
        <v>0</v>
      </c>
      <c r="C182" s="286" t="n">
        <v>0</v>
      </c>
      <c r="D182" s="286" t="n">
        <v>0</v>
      </c>
      <c r="E182" s="286" t="n">
        <v>0</v>
      </c>
      <c r="F182" s="286" t="n">
        <v>0</v>
      </c>
      <c r="G182" s="286" t="n">
        <v>0</v>
      </c>
      <c r="H182" s="286" t="n">
        <v>0</v>
      </c>
      <c r="I182" s="286" t="n">
        <v>0</v>
      </c>
      <c r="J182" s="286" t="n">
        <v>0</v>
      </c>
      <c r="K182" s="286" t="n">
        <v>0</v>
      </c>
      <c r="L182" s="286" t="n">
        <v>0</v>
      </c>
      <c r="M182" s="286" t="inlineStr">
        <is>
          <t>EQ-LC</t>
        </is>
      </c>
    </row>
    <row r="183">
      <c r="A183" s="287" t="inlineStr">
        <is>
          <t>HDFC Large and Mid Cap Fund - Regular Plan</t>
        </is>
      </c>
      <c r="B183" s="286" t="n">
        <v>5.25</v>
      </c>
      <c r="C183" s="286" t="n">
        <v>26.34</v>
      </c>
      <c r="D183" s="286" t="n">
        <v>28.37</v>
      </c>
      <c r="E183" s="286" t="n">
        <v>14.23</v>
      </c>
      <c r="F183" s="286" t="n">
        <v>1.03</v>
      </c>
      <c r="G183" s="286" t="n">
        <v>1.57</v>
      </c>
      <c r="H183" s="286" t="n">
        <v>4.28</v>
      </c>
      <c r="I183" s="286" t="n">
        <v>1.65</v>
      </c>
      <c r="J183" s="286" t="n">
        <v>3.26</v>
      </c>
      <c r="K183" s="286" t="n">
        <v>1.01</v>
      </c>
      <c r="L183" s="286" t="n">
        <v>14.9</v>
      </c>
      <c r="M183" s="286" t="inlineStr">
        <is>
          <t>EQ-MLC</t>
        </is>
      </c>
    </row>
    <row r="184">
      <c r="A184" s="287" t="inlineStr">
        <is>
          <t>HDFC Large Cap Fund - Regular Plan</t>
        </is>
      </c>
      <c r="B184" s="286" t="n">
        <v>4.52</v>
      </c>
      <c r="C184" s="286" t="n">
        <v>21.5</v>
      </c>
      <c r="D184" s="286" t="n">
        <v>22.91</v>
      </c>
      <c r="E184" s="286" t="n">
        <v>13.02</v>
      </c>
      <c r="F184" s="286" t="n">
        <v>0.88</v>
      </c>
      <c r="G184" s="286" t="n">
        <v>1.44</v>
      </c>
      <c r="H184" s="286" t="n">
        <v>1.97</v>
      </c>
      <c r="I184" s="286" t="n">
        <v>1.61</v>
      </c>
      <c r="J184" s="286" t="n">
        <v>19.8</v>
      </c>
      <c r="K184" s="286" t="n">
        <v>0.92</v>
      </c>
      <c r="L184" s="286" t="n">
        <v>13.01</v>
      </c>
      <c r="M184" s="286" t="inlineStr">
        <is>
          <t>EQ-LC</t>
        </is>
      </c>
    </row>
    <row r="185">
      <c r="A185" s="287" t="inlineStr">
        <is>
          <t>HDFC Manufacturing Fund - Regular Plan</t>
        </is>
      </c>
      <c r="B185" s="286" t="n">
        <v>-0.62</v>
      </c>
      <c r="C185" s="286" t="n">
        <v>0</v>
      </c>
      <c r="D185" s="286" t="n">
        <v>0</v>
      </c>
      <c r="E185" s="286" t="n">
        <v>0</v>
      </c>
      <c r="F185" s="286" t="n">
        <v>0</v>
      </c>
      <c r="G185" s="286" t="n">
        <v>0</v>
      </c>
      <c r="H185" s="286" t="n">
        <v>0</v>
      </c>
      <c r="I185" s="286" t="n">
        <v>1.69</v>
      </c>
      <c r="J185" s="286" t="n">
        <v>20.03</v>
      </c>
      <c r="K185" s="286" t="n">
        <v>0</v>
      </c>
      <c r="L185" s="286" t="n">
        <v>0</v>
      </c>
      <c r="M185" s="286" t="inlineStr">
        <is>
          <t>EQ-L&amp;MC</t>
        </is>
      </c>
    </row>
    <row r="186">
      <c r="A186" s="287" t="inlineStr">
        <is>
          <t>HDFC Mid Cap Fund - Regular Plan</t>
        </is>
      </c>
      <c r="B186" s="286" t="n">
        <v>8.91</v>
      </c>
      <c r="C186" s="286" t="n">
        <v>32.49</v>
      </c>
      <c r="D186" s="286" t="n">
        <v>32.02</v>
      </c>
      <c r="E186" s="286" t="n">
        <v>17.87</v>
      </c>
      <c r="F186" s="286" t="n">
        <v>1.36</v>
      </c>
      <c r="G186" s="286" t="n">
        <v>2.02</v>
      </c>
      <c r="H186" s="286" t="n">
        <v>4.83</v>
      </c>
      <c r="I186" s="286" t="n">
        <v>1.4</v>
      </c>
      <c r="J186" s="286" t="n">
        <v>17.65</v>
      </c>
      <c r="K186" s="286" t="n">
        <v>0.87</v>
      </c>
      <c r="L186" s="286" t="n">
        <v>15.1</v>
      </c>
      <c r="M186" s="286" t="inlineStr">
        <is>
          <t>EQ-L&amp;MC</t>
        </is>
      </c>
    </row>
    <row r="187">
      <c r="A187" s="287" t="inlineStr">
        <is>
          <t>HDFC MNC Fund - Regular Plan</t>
        </is>
      </c>
      <c r="B187" s="286" t="n">
        <v>-9.369999999999999</v>
      </c>
      <c r="C187" s="286" t="n">
        <v>0</v>
      </c>
      <c r="D187" s="286" t="n">
        <v>0</v>
      </c>
      <c r="E187" s="286" t="n">
        <v>0</v>
      </c>
      <c r="F187" s="286" t="n">
        <v>0</v>
      </c>
      <c r="G187" s="286" t="n">
        <v>0</v>
      </c>
      <c r="H187" s="286" t="n">
        <v>0</v>
      </c>
      <c r="I187" s="286" t="n">
        <v>2.43</v>
      </c>
      <c r="J187" s="286" t="n">
        <v>41.39</v>
      </c>
      <c r="K187" s="286" t="n">
        <v>0</v>
      </c>
      <c r="L187" s="286" t="n">
        <v>0</v>
      </c>
      <c r="M187" s="286" t="inlineStr">
        <is>
          <t>EQ-MC</t>
        </is>
      </c>
    </row>
    <row r="188">
      <c r="A188" s="287" t="inlineStr">
        <is>
          <t>HDFC Multi-Asset Active FoF - Regular Plan</t>
        </is>
      </c>
      <c r="B188" s="286" t="n">
        <v>10.94</v>
      </c>
      <c r="C188" s="286" t="n">
        <v>18.56</v>
      </c>
      <c r="D188" s="286" t="n">
        <v>0</v>
      </c>
      <c r="E188" s="286" t="n">
        <v>0</v>
      </c>
      <c r="F188" s="286" t="n">
        <v>1.45</v>
      </c>
      <c r="G188" s="286" t="n">
        <v>2.4</v>
      </c>
      <c r="H188" s="286" t="n">
        <v>3.68</v>
      </c>
      <c r="I188" s="286" t="n">
        <v>1.16</v>
      </c>
      <c r="J188" s="286" t="n">
        <v>0</v>
      </c>
      <c r="K188" s="286" t="n">
        <v>0.67</v>
      </c>
      <c r="L188" s="286" t="n">
        <v>6.67</v>
      </c>
      <c r="M188" s="286" t="inlineStr">
        <is>
          <t>EQ-LC</t>
        </is>
      </c>
    </row>
    <row r="189">
      <c r="A189" s="287" t="inlineStr">
        <is>
          <t>HDFC Multi Asset Fund - Regular Plan</t>
        </is>
      </c>
      <c r="B189" s="286" t="n">
        <v>9.59</v>
      </c>
      <c r="C189" s="286" t="n">
        <v>16.28</v>
      </c>
      <c r="D189" s="286" t="n">
        <v>17.25</v>
      </c>
      <c r="E189" s="286" t="n">
        <v>11.14</v>
      </c>
      <c r="F189" s="286" t="n">
        <v>1.16</v>
      </c>
      <c r="G189" s="286" t="n">
        <v>2.32</v>
      </c>
      <c r="H189" s="286" t="n">
        <v>1.7</v>
      </c>
      <c r="I189" s="286" t="n">
        <v>1.89</v>
      </c>
      <c r="J189" s="286" t="n">
        <v>18.12</v>
      </c>
      <c r="K189" s="286" t="n">
        <v>0.68</v>
      </c>
      <c r="L189" s="286" t="n">
        <v>6.67</v>
      </c>
      <c r="M189" s="286" t="inlineStr">
        <is>
          <t>EQ-SC</t>
        </is>
      </c>
    </row>
    <row r="190">
      <c r="A190" s="287" t="inlineStr">
        <is>
          <t>HDFC Multi Cap Fund - Regular Plan</t>
        </is>
      </c>
      <c r="B190" s="286" t="n">
        <v>3.31</v>
      </c>
      <c r="C190" s="286" t="n">
        <v>27.98</v>
      </c>
      <c r="D190" s="286" t="n">
        <v>0</v>
      </c>
      <c r="E190" s="286" t="n">
        <v>0</v>
      </c>
      <c r="F190" s="286" t="n">
        <v>1.14</v>
      </c>
      <c r="G190" s="286" t="n">
        <v>1.7</v>
      </c>
      <c r="H190" s="286" t="n">
        <v>3.31</v>
      </c>
      <c r="I190" s="286" t="n">
        <v>1.68</v>
      </c>
      <c r="J190" s="286" t="n">
        <v>6.55</v>
      </c>
      <c r="K190" s="286" t="n">
        <v>0.95</v>
      </c>
      <c r="L190" s="286" t="n">
        <v>15.11</v>
      </c>
      <c r="M190" s="286" t="inlineStr">
        <is>
          <t>EQ-THEMATIC</t>
        </is>
      </c>
    </row>
    <row r="191">
      <c r="A191" s="287" t="inlineStr">
        <is>
          <t>HDFC Non-Cyclical Consumer Fund - Regular Plan</t>
        </is>
      </c>
      <c r="B191" s="286" t="n">
        <v>6.65</v>
      </c>
      <c r="C191" s="286" t="n">
        <v>0</v>
      </c>
      <c r="D191" s="286" t="n">
        <v>0</v>
      </c>
      <c r="E191" s="286" t="n">
        <v>0</v>
      </c>
      <c r="F191" s="286" t="n">
        <v>0</v>
      </c>
      <c r="G191" s="286" t="n">
        <v>0</v>
      </c>
      <c r="H191" s="286" t="n">
        <v>0</v>
      </c>
      <c r="I191" s="286" t="n">
        <v>2.25</v>
      </c>
      <c r="J191" s="286" t="n">
        <v>48.73</v>
      </c>
      <c r="K191" s="286" t="n">
        <v>0</v>
      </c>
      <c r="L191" s="286" t="n">
        <v>0</v>
      </c>
      <c r="M191" s="286" t="inlineStr">
        <is>
          <t>EQ-SC</t>
        </is>
      </c>
    </row>
    <row r="192">
      <c r="A192" s="287" t="inlineStr">
        <is>
          <t>HDFC Retirement Savings Fund Equity Plan - Regular Plan</t>
        </is>
      </c>
      <c r="B192" s="286" t="n">
        <v>5.18</v>
      </c>
      <c r="C192" s="286" t="n">
        <v>24.24</v>
      </c>
      <c r="D192" s="286" t="n">
        <v>27.18</v>
      </c>
      <c r="E192" s="286" t="n">
        <v>0</v>
      </c>
      <c r="F192" s="286" t="n">
        <v>1.18</v>
      </c>
      <c r="G192" s="286" t="n">
        <v>1.8</v>
      </c>
      <c r="H192" s="286" t="n">
        <v>4.81</v>
      </c>
      <c r="I192" s="286" t="n">
        <v>1.77</v>
      </c>
      <c r="J192" s="286" t="n">
        <v>17.38</v>
      </c>
      <c r="K192" s="286" t="n">
        <v>0.8</v>
      </c>
      <c r="L192" s="286" t="n">
        <v>11.86</v>
      </c>
      <c r="M192" s="286" t="inlineStr">
        <is>
          <t>HY-AR</t>
        </is>
      </c>
    </row>
    <row r="193">
      <c r="A193" s="287" t="inlineStr">
        <is>
          <t>HDFC Retirement Savings Fund - Hybrid Debt Plan - Regular Plan</t>
        </is>
      </c>
      <c r="B193" s="286" t="n">
        <v>6.59</v>
      </c>
      <c r="C193" s="286" t="n">
        <v>10.42</v>
      </c>
      <c r="D193" s="286" t="n">
        <v>9.359999999999999</v>
      </c>
      <c r="E193" s="286" t="n">
        <v>0</v>
      </c>
      <c r="F193" s="286" t="n">
        <v>0.95</v>
      </c>
      <c r="G193" s="286" t="n">
        <v>1.63</v>
      </c>
      <c r="H193" s="286" t="n">
        <v>0.33</v>
      </c>
      <c r="I193" s="286" t="n">
        <v>2.14</v>
      </c>
      <c r="J193" s="286" t="n">
        <v>13.1</v>
      </c>
      <c r="K193" s="286" t="n">
        <v>0.85</v>
      </c>
      <c r="L193" s="286" t="n">
        <v>3.63</v>
      </c>
      <c r="M193" s="286" t="inlineStr">
        <is>
          <t>HY-DAA</t>
        </is>
      </c>
    </row>
    <row r="194">
      <c r="A194" s="287" t="inlineStr">
        <is>
          <t>HDFC Retirement Savings Fund - Hybrid Equity Plan - Regular Plan</t>
        </is>
      </c>
      <c r="B194" s="286" t="n">
        <v>5.65</v>
      </c>
      <c r="C194" s="286" t="n">
        <v>18.8</v>
      </c>
      <c r="D194" s="286" t="n">
        <v>19.77</v>
      </c>
      <c r="E194" s="286" t="n">
        <v>0</v>
      </c>
      <c r="F194" s="286" t="n">
        <v>1.11</v>
      </c>
      <c r="G194" s="286" t="n">
        <v>1.75</v>
      </c>
      <c r="H194" s="286" t="n">
        <v>2.99</v>
      </c>
      <c r="I194" s="286" t="n">
        <v>2.03</v>
      </c>
      <c r="J194" s="286" t="n">
        <v>10.96</v>
      </c>
      <c r="K194" s="286" t="n">
        <v>0.74</v>
      </c>
      <c r="L194" s="286" t="n">
        <v>9.1</v>
      </c>
      <c r="M194" s="286" t="inlineStr">
        <is>
          <t>EQ-LC</t>
        </is>
      </c>
    </row>
    <row r="195">
      <c r="A195" s="287" t="inlineStr">
        <is>
          <t>HDFC Small Cap Fund - Regular Plan</t>
        </is>
      </c>
      <c r="B195" s="286" t="n">
        <v>4.48</v>
      </c>
      <c r="C195" s="286" t="n">
        <v>29.62</v>
      </c>
      <c r="D195" s="286" t="n">
        <v>33.81</v>
      </c>
      <c r="E195" s="286" t="n">
        <v>18.41</v>
      </c>
      <c r="F195" s="286" t="n">
        <v>1.13</v>
      </c>
      <c r="G195" s="286" t="n">
        <v>1.67</v>
      </c>
      <c r="H195" s="286" t="n">
        <v>3.63</v>
      </c>
      <c r="I195" s="286" t="n">
        <v>1.59</v>
      </c>
      <c r="J195" s="286" t="n">
        <v>10.16</v>
      </c>
      <c r="K195" s="286" t="n">
        <v>0.8100000000000001</v>
      </c>
      <c r="L195" s="286" t="n">
        <v>16.33</v>
      </c>
      <c r="M195" s="286" t="inlineStr">
        <is>
          <t>HY-CH</t>
        </is>
      </c>
    </row>
    <row r="196">
      <c r="A196" s="287" t="inlineStr">
        <is>
          <t>HDFC Transportation and Logistics Fund - Regular Plan</t>
        </is>
      </c>
      <c r="B196" s="286" t="n">
        <v>-0.7</v>
      </c>
      <c r="C196" s="286" t="n">
        <v>0</v>
      </c>
      <c r="D196" s="286" t="n">
        <v>0</v>
      </c>
      <c r="E196" s="286" t="n">
        <v>0</v>
      </c>
      <c r="F196" s="286" t="n">
        <v>0</v>
      </c>
      <c r="G196" s="286" t="n">
        <v>0</v>
      </c>
      <c r="H196" s="286" t="n">
        <v>0</v>
      </c>
      <c r="I196" s="286" t="n">
        <v>2.12</v>
      </c>
      <c r="J196" s="286" t="n">
        <v>32.31</v>
      </c>
      <c r="K196" s="286" t="n">
        <v>0</v>
      </c>
      <c r="L196" s="286" t="n">
        <v>0</v>
      </c>
      <c r="M196" s="286" t="inlineStr">
        <is>
          <t>HY-DAA</t>
        </is>
      </c>
    </row>
    <row r="197">
      <c r="A197" s="287" t="inlineStr">
        <is>
          <t>Helios Balanced Advantage Fund - Regular Plan</t>
        </is>
      </c>
      <c r="B197" s="286" t="n">
        <v>3.49</v>
      </c>
      <c r="C197" s="286" t="n">
        <v>0</v>
      </c>
      <c r="D197" s="286" t="n">
        <v>0</v>
      </c>
      <c r="E197" s="286" t="n">
        <v>0</v>
      </c>
      <c r="F197" s="286" t="n">
        <v>0</v>
      </c>
      <c r="G197" s="286" t="n">
        <v>0</v>
      </c>
      <c r="H197" s="286" t="n">
        <v>0</v>
      </c>
      <c r="I197" s="286" t="n">
        <v>2.4</v>
      </c>
      <c r="J197" s="286" t="n">
        <v>61</v>
      </c>
      <c r="K197" s="286" t="n">
        <v>0</v>
      </c>
      <c r="L197" s="286" t="n">
        <v>0</v>
      </c>
      <c r="M197" s="286" t="inlineStr">
        <is>
          <t>EQ-L&amp;MC</t>
        </is>
      </c>
    </row>
    <row r="198">
      <c r="A198" s="287" t="inlineStr">
        <is>
          <t>Helios Flexi Cap Fund - Regular Plan</t>
        </is>
      </c>
      <c r="B198" s="286" t="n">
        <v>6.16</v>
      </c>
      <c r="C198" s="286" t="n">
        <v>0</v>
      </c>
      <c r="D198" s="286" t="n">
        <v>0</v>
      </c>
      <c r="E198" s="286" t="n">
        <v>0</v>
      </c>
      <c r="F198" s="286" t="n">
        <v>0</v>
      </c>
      <c r="G198" s="286" t="n">
        <v>0</v>
      </c>
      <c r="H198" s="286" t="n">
        <v>0</v>
      </c>
      <c r="I198" s="286" t="n">
        <v>1.9</v>
      </c>
      <c r="J198" s="286" t="n">
        <v>67</v>
      </c>
      <c r="K198" s="286" t="n">
        <v>0</v>
      </c>
      <c r="L198" s="286" t="n">
        <v>0</v>
      </c>
      <c r="M198" s="286" t="inlineStr">
        <is>
          <t>HY-AH</t>
        </is>
      </c>
    </row>
    <row r="199">
      <c r="A199" s="287" t="inlineStr">
        <is>
          <t>Helios Large &amp; Mid Cap Fund - Regular Plan</t>
        </is>
      </c>
      <c r="B199" s="286" t="n">
        <v>0</v>
      </c>
      <c r="C199" s="286" t="n">
        <v>0</v>
      </c>
      <c r="D199" s="286" t="n">
        <v>0</v>
      </c>
      <c r="E199" s="286" t="n">
        <v>0</v>
      </c>
      <c r="F199" s="286" t="n">
        <v>0</v>
      </c>
      <c r="G199" s="286" t="n">
        <v>0</v>
      </c>
      <c r="H199" s="286" t="n">
        <v>0</v>
      </c>
      <c r="I199" s="286" t="n">
        <v>2.38</v>
      </c>
      <c r="J199" s="286" t="n">
        <v>29</v>
      </c>
      <c r="K199" s="286" t="n">
        <v>0</v>
      </c>
      <c r="L199" s="286" t="n">
        <v>0</v>
      </c>
      <c r="M199" s="286" t="inlineStr">
        <is>
          <t>EQ-FLX</t>
        </is>
      </c>
    </row>
    <row r="200">
      <c r="A200" s="287" t="inlineStr">
        <is>
          <t>Helios Mid Cap Fund - Regular Plan</t>
        </is>
      </c>
      <c r="B200" s="286" t="n">
        <v>0</v>
      </c>
      <c r="C200" s="286" t="n">
        <v>0</v>
      </c>
      <c r="D200" s="286" t="n">
        <v>0</v>
      </c>
      <c r="E200" s="286" t="n">
        <v>0</v>
      </c>
      <c r="F200" s="286" t="n">
        <v>0</v>
      </c>
      <c r="G200" s="286" t="n">
        <v>0</v>
      </c>
      <c r="H200" s="286" t="n">
        <v>0</v>
      </c>
      <c r="I200" s="286" t="n">
        <v>2.39</v>
      </c>
      <c r="J200" s="286" t="n">
        <v>0</v>
      </c>
      <c r="K200" s="286" t="n">
        <v>0</v>
      </c>
      <c r="L200" s="286" t="n">
        <v>0</v>
      </c>
      <c r="M200" s="286" t="inlineStr">
        <is>
          <t>EQ-FLX</t>
        </is>
      </c>
    </row>
    <row r="201">
      <c r="A201" s="287" t="inlineStr">
        <is>
          <t>HSBC Aggressive Hybrid Active FoF - Regular Plan</t>
        </is>
      </c>
      <c r="B201" s="286" t="n">
        <v>5.32</v>
      </c>
      <c r="C201" s="286" t="n">
        <v>19.25</v>
      </c>
      <c r="D201" s="286" t="n">
        <v>19.63</v>
      </c>
      <c r="E201" s="286" t="n">
        <v>12.14</v>
      </c>
      <c r="F201" s="286" t="n">
        <v>0.82</v>
      </c>
      <c r="G201" s="286" t="n">
        <v>1.15</v>
      </c>
      <c r="H201" s="286" t="n">
        <v>0.53</v>
      </c>
      <c r="I201" s="286" t="n">
        <v>1.35</v>
      </c>
      <c r="J201" s="286" t="n">
        <v>35</v>
      </c>
      <c r="K201" s="286" t="n">
        <v>0.9399999999999999</v>
      </c>
      <c r="L201" s="286" t="n">
        <v>11.62</v>
      </c>
      <c r="M201" s="286" t="inlineStr">
        <is>
          <t>HY-MAA</t>
        </is>
      </c>
    </row>
    <row r="202">
      <c r="A202" s="287" t="inlineStr">
        <is>
          <t>HSBC Aggressive Hybrid Fund</t>
        </is>
      </c>
      <c r="B202" s="286" t="n">
        <v>3.87</v>
      </c>
      <c r="C202" s="286" t="n">
        <v>18.95</v>
      </c>
      <c r="D202" s="286" t="n">
        <v>17.51</v>
      </c>
      <c r="E202" s="286" t="n">
        <v>11.21</v>
      </c>
      <c r="F202" s="286" t="n">
        <v>0.7</v>
      </c>
      <c r="G202" s="286" t="n">
        <v>0.83</v>
      </c>
      <c r="H202" s="286" t="n">
        <v>-0.36</v>
      </c>
      <c r="I202" s="286" t="n">
        <v>1.86</v>
      </c>
      <c r="J202" s="286" t="n">
        <v>71</v>
      </c>
      <c r="K202" s="286" t="n">
        <v>1.01</v>
      </c>
      <c r="L202" s="286" t="n">
        <v>13.28</v>
      </c>
      <c r="M202" s="286" t="inlineStr">
        <is>
          <t>EQ-MLC</t>
        </is>
      </c>
    </row>
    <row r="203">
      <c r="A203" s="287" t="inlineStr">
        <is>
          <t>HSBC Balanced Advantage Fund</t>
        </is>
      </c>
      <c r="B203" s="286" t="n">
        <v>6.45</v>
      </c>
      <c r="C203" s="286" t="n">
        <v>13.74</v>
      </c>
      <c r="D203" s="286" t="n">
        <v>11.41</v>
      </c>
      <c r="E203" s="286" t="n">
        <v>7.91</v>
      </c>
      <c r="F203" s="286" t="n">
        <v>0.8</v>
      </c>
      <c r="G203" s="286" t="n">
        <v>1.18</v>
      </c>
      <c r="H203" s="286" t="n">
        <v>0.74</v>
      </c>
      <c r="I203" s="286" t="n">
        <v>2.11</v>
      </c>
      <c r="J203" s="286" t="n">
        <v>354</v>
      </c>
      <c r="K203" s="286" t="n">
        <v>0.61</v>
      </c>
      <c r="L203" s="286" t="n">
        <v>6.95</v>
      </c>
      <c r="M203" s="286" t="inlineStr">
        <is>
          <t>EQ-LC</t>
        </is>
      </c>
    </row>
    <row r="204">
      <c r="A204" s="287" t="inlineStr">
        <is>
          <t>HSBC Business Cycles Fund - Regular Plan</t>
        </is>
      </c>
      <c r="B204" s="286" t="n">
        <v>7.49</v>
      </c>
      <c r="C204" s="286" t="n">
        <v>29.54</v>
      </c>
      <c r="D204" s="286" t="n">
        <v>27.92</v>
      </c>
      <c r="E204" s="286" t="n">
        <v>13.65</v>
      </c>
      <c r="F204" s="286" t="n">
        <v>0.99</v>
      </c>
      <c r="G204" s="286" t="n">
        <v>1.39</v>
      </c>
      <c r="H204" s="286" t="n">
        <v>4.87</v>
      </c>
      <c r="I204" s="286" t="n">
        <v>2.24</v>
      </c>
      <c r="J204" s="286" t="n">
        <v>17</v>
      </c>
      <c r="K204" s="286" t="n">
        <v>1.11</v>
      </c>
      <c r="L204" s="286" t="n">
        <v>17.87</v>
      </c>
      <c r="M204" s="286" t="inlineStr">
        <is>
          <t>EQ-THEMATIC</t>
        </is>
      </c>
    </row>
    <row r="205">
      <c r="A205" s="287" t="inlineStr">
        <is>
          <t>HSBC Conservative Hybrid Fund</t>
        </is>
      </c>
      <c r="B205" s="286" t="n">
        <v>7.46</v>
      </c>
      <c r="C205" s="286" t="n">
        <v>11.41</v>
      </c>
      <c r="D205" s="286" t="n">
        <v>9.42</v>
      </c>
      <c r="E205" s="286" t="n">
        <v>7.76</v>
      </c>
      <c r="F205" s="286" t="n">
        <v>0.88</v>
      </c>
      <c r="G205" s="286" t="n">
        <v>1.06</v>
      </c>
      <c r="H205" s="286" t="n">
        <v>0.55</v>
      </c>
      <c r="I205" s="286" t="n">
        <v>2.17</v>
      </c>
      <c r="J205" s="286" t="n">
        <v>259</v>
      </c>
      <c r="K205" s="286" t="n">
        <v>1.05</v>
      </c>
      <c r="L205" s="286" t="n">
        <v>4.99</v>
      </c>
      <c r="M205" s="286" t="inlineStr">
        <is>
          <t>HY-BH</t>
        </is>
      </c>
    </row>
    <row r="206">
      <c r="A206" s="287" t="inlineStr">
        <is>
          <t>HSBC Consumption Fund - Regular Plan</t>
        </is>
      </c>
      <c r="B206" s="286" t="n">
        <v>7.63</v>
      </c>
      <c r="C206" s="286" t="n">
        <v>0</v>
      </c>
      <c r="D206" s="286" t="n">
        <v>0</v>
      </c>
      <c r="E206" s="286" t="n">
        <v>0</v>
      </c>
      <c r="F206" s="286" t="n">
        <v>0</v>
      </c>
      <c r="G206" s="286" t="n">
        <v>0</v>
      </c>
      <c r="H206" s="286" t="n">
        <v>0</v>
      </c>
      <c r="I206" s="286" t="n">
        <v>2.11</v>
      </c>
      <c r="J206" s="286" t="n">
        <v>8</v>
      </c>
      <c r="K206" s="286" t="n">
        <v>0</v>
      </c>
      <c r="L206" s="286" t="n">
        <v>0</v>
      </c>
      <c r="M206" s="286" t="inlineStr">
        <is>
          <t>EQ-MC</t>
        </is>
      </c>
    </row>
    <row r="207">
      <c r="A207" s="287" t="inlineStr">
        <is>
          <t>HSBC Flexi Cap Fund</t>
        </is>
      </c>
      <c r="B207" s="286" t="n">
        <v>6.58</v>
      </c>
      <c r="C207" s="286" t="n">
        <v>25.4</v>
      </c>
      <c r="D207" s="286" t="n">
        <v>23.52</v>
      </c>
      <c r="E207" s="286" t="n">
        <v>12.95</v>
      </c>
      <c r="F207" s="286" t="n">
        <v>0.98</v>
      </c>
      <c r="G207" s="286" t="n">
        <v>1.27</v>
      </c>
      <c r="H207" s="286" t="n">
        <v>3.32</v>
      </c>
      <c r="I207" s="286" t="n">
        <v>1.93</v>
      </c>
      <c r="J207" s="286" t="n">
        <v>34</v>
      </c>
      <c r="K207" s="286" t="n">
        <v>0.97</v>
      </c>
      <c r="L207" s="286" t="n">
        <v>14.83</v>
      </c>
      <c r="M207" s="286" t="inlineStr">
        <is>
          <t>EQ-SC</t>
        </is>
      </c>
    </row>
    <row r="208">
      <c r="A208" s="287" t="inlineStr">
        <is>
          <t>HSBC Focused Fund - Regular Plan</t>
        </is>
      </c>
      <c r="B208" s="286" t="n">
        <v>6.6</v>
      </c>
      <c r="C208" s="286" t="n">
        <v>20.27</v>
      </c>
      <c r="D208" s="286" t="n">
        <v>0</v>
      </c>
      <c r="E208" s="286" t="n">
        <v>0</v>
      </c>
      <c r="F208" s="286" t="n">
        <v>0.6899999999999999</v>
      </c>
      <c r="G208" s="286" t="n">
        <v>0.96</v>
      </c>
      <c r="H208" s="286" t="n">
        <v>-0.64</v>
      </c>
      <c r="I208" s="286" t="n">
        <v>2.12</v>
      </c>
      <c r="J208" s="286" t="n">
        <v>48</v>
      </c>
      <c r="K208" s="286" t="n">
        <v>0.96</v>
      </c>
      <c r="L208" s="286" t="n">
        <v>15.13</v>
      </c>
      <c r="M208" s="286" t="inlineStr">
        <is>
          <t>HY-AH</t>
        </is>
      </c>
    </row>
    <row r="209">
      <c r="A209" s="287" t="inlineStr">
        <is>
          <t>HSBC India Export Opportunities Fund - Regular Plan</t>
        </is>
      </c>
      <c r="B209" s="286" t="n">
        <v>0</v>
      </c>
      <c r="C209" s="286" t="n">
        <v>0</v>
      </c>
      <c r="D209" s="286" t="n">
        <v>0</v>
      </c>
      <c r="E209" s="286" t="n">
        <v>0</v>
      </c>
      <c r="F209" s="286" t="n">
        <v>0</v>
      </c>
      <c r="G209" s="286" t="n">
        <v>0</v>
      </c>
      <c r="H209" s="286" t="n">
        <v>0</v>
      </c>
      <c r="I209" s="286" t="n">
        <v>2.07</v>
      </c>
      <c r="J209" s="286" t="n">
        <v>4</v>
      </c>
      <c r="K209" s="286" t="n">
        <v>0</v>
      </c>
      <c r="L209" s="286" t="n">
        <v>0</v>
      </c>
      <c r="M209" s="286" t="inlineStr">
        <is>
          <t>EQ-LC</t>
        </is>
      </c>
    </row>
    <row r="210">
      <c r="A210" s="287" t="inlineStr">
        <is>
          <t>HSBC Large and Mid Cap Fund - Regular Plan</t>
        </is>
      </c>
      <c r="B210" s="286" t="n">
        <v>2.74</v>
      </c>
      <c r="C210" s="286" t="n">
        <v>25.71</v>
      </c>
      <c r="D210" s="286" t="n">
        <v>23.87</v>
      </c>
      <c r="E210" s="286" t="n">
        <v>0</v>
      </c>
      <c r="F210" s="286" t="n">
        <v>0.88</v>
      </c>
      <c r="G210" s="286" t="n">
        <v>0.98</v>
      </c>
      <c r="H210" s="286" t="n">
        <v>4.02</v>
      </c>
      <c r="I210" s="286" t="n">
        <v>1.91</v>
      </c>
      <c r="J210" s="286" t="n">
        <v>90</v>
      </c>
      <c r="K210" s="286" t="n">
        <v>0.99</v>
      </c>
      <c r="L210" s="286" t="n">
        <v>16.95</v>
      </c>
      <c r="M210" s="286" t="inlineStr">
        <is>
          <t>EQ-MLC</t>
        </is>
      </c>
    </row>
    <row r="211">
      <c r="A211" s="287" t="inlineStr">
        <is>
          <t>HSBC Large Cap Fund</t>
        </is>
      </c>
      <c r="B211" s="286" t="n">
        <v>4.19</v>
      </c>
      <c r="C211" s="286" t="n">
        <v>19.55</v>
      </c>
      <c r="D211" s="286" t="n">
        <v>19.61</v>
      </c>
      <c r="E211" s="286" t="n">
        <v>11.74</v>
      </c>
      <c r="F211" s="286" t="n">
        <v>0.7</v>
      </c>
      <c r="G211" s="286" t="n">
        <v>1.07</v>
      </c>
      <c r="H211" s="286" t="n">
        <v>-0.36</v>
      </c>
      <c r="I211" s="286" t="n">
        <v>2.14</v>
      </c>
      <c r="J211" s="286" t="n">
        <v>58</v>
      </c>
      <c r="K211" s="286" t="n">
        <v>0.98</v>
      </c>
      <c r="L211" s="286" t="n">
        <v>13.9</v>
      </c>
      <c r="M211" s="286" t="inlineStr">
        <is>
          <t>EQ-SC</t>
        </is>
      </c>
    </row>
    <row r="212">
      <c r="A212" s="287" t="inlineStr">
        <is>
          <t>HSBC Midcap Fund</t>
        </is>
      </c>
      <c r="B212" s="286" t="n">
        <v>5.87</v>
      </c>
      <c r="C212" s="286" t="n">
        <v>28.86</v>
      </c>
      <c r="D212" s="286" t="n">
        <v>26.44</v>
      </c>
      <c r="E212" s="286" t="n">
        <v>16.24</v>
      </c>
      <c r="F212" s="286" t="n">
        <v>1.01</v>
      </c>
      <c r="G212" s="286" t="n">
        <v>1.12</v>
      </c>
      <c r="H212" s="286" t="n">
        <v>0.36</v>
      </c>
      <c r="I212" s="286" t="n">
        <v>1.73</v>
      </c>
      <c r="J212" s="286" t="n">
        <v>96</v>
      </c>
      <c r="K212" s="286" t="n">
        <v>0.95</v>
      </c>
      <c r="L212" s="286" t="n">
        <v>17.34</v>
      </c>
      <c r="M212" s="286" t="inlineStr">
        <is>
          <t>EQ-FLX</t>
        </is>
      </c>
    </row>
    <row r="213">
      <c r="A213" s="287" t="inlineStr">
        <is>
          <t>HSBC Multi Asset Active FoF - Regular Plan</t>
        </is>
      </c>
      <c r="B213" s="286" t="n">
        <v>8.19</v>
      </c>
      <c r="C213" s="286" t="n">
        <v>17.62</v>
      </c>
      <c r="D213" s="286" t="n">
        <v>17.36</v>
      </c>
      <c r="E213" s="286" t="n">
        <v>11.32</v>
      </c>
      <c r="F213" s="286" t="n">
        <v>0.85</v>
      </c>
      <c r="G213" s="286" t="n">
        <v>1.21</v>
      </c>
      <c r="H213" s="286" t="n">
        <v>-0.26</v>
      </c>
      <c r="I213" s="286" t="n">
        <v>1.45</v>
      </c>
      <c r="J213" s="286" t="n">
        <v>95</v>
      </c>
      <c r="K213" s="286" t="n">
        <v>0.95</v>
      </c>
      <c r="L213" s="286" t="n">
        <v>9.630000000000001</v>
      </c>
      <c r="M213" s="286" t="inlineStr">
        <is>
          <t>HY-AR</t>
        </is>
      </c>
    </row>
    <row r="214">
      <c r="A214" s="287" t="inlineStr">
        <is>
          <t>HSBC Multi Asset Allocation Fund - Regular Plan</t>
        </is>
      </c>
      <c r="B214" s="286" t="n">
        <v>4.72</v>
      </c>
      <c r="C214" s="286" t="n">
        <v>0</v>
      </c>
      <c r="D214" s="286" t="n">
        <v>0</v>
      </c>
      <c r="E214" s="286" t="n">
        <v>0</v>
      </c>
      <c r="F214" s="286" t="n">
        <v>0</v>
      </c>
      <c r="G214" s="286" t="n">
        <v>0</v>
      </c>
      <c r="H214" s="286" t="n">
        <v>0</v>
      </c>
      <c r="I214" s="286" t="n">
        <v>1.87</v>
      </c>
      <c r="J214" s="286" t="n">
        <v>89</v>
      </c>
      <c r="K214" s="286" t="n">
        <v>0</v>
      </c>
      <c r="L214" s="286" t="n">
        <v>0</v>
      </c>
      <c r="M214" s="286" t="inlineStr">
        <is>
          <t>HY-DAA</t>
        </is>
      </c>
    </row>
    <row r="215">
      <c r="A215" s="287" t="inlineStr">
        <is>
          <t>HSBC Multi Cap Fund - Regular Plan</t>
        </is>
      </c>
      <c r="B215" s="286" t="n">
        <v>3.57</v>
      </c>
      <c r="C215" s="286" t="n">
        <v>0</v>
      </c>
      <c r="D215" s="286" t="n">
        <v>0</v>
      </c>
      <c r="E215" s="286" t="n">
        <v>0</v>
      </c>
      <c r="F215" s="286" t="n">
        <v>0</v>
      </c>
      <c r="G215" s="286" t="n">
        <v>0</v>
      </c>
      <c r="H215" s="286" t="n">
        <v>0</v>
      </c>
      <c r="I215" s="286" t="n">
        <v>1.85</v>
      </c>
      <c r="J215" s="286" t="n">
        <v>33</v>
      </c>
      <c r="K215" s="286" t="n">
        <v>0</v>
      </c>
      <c r="L215" s="286" t="n">
        <v>0</v>
      </c>
      <c r="M215" s="286" t="inlineStr">
        <is>
          <t>EQ-FLX</t>
        </is>
      </c>
    </row>
    <row r="216">
      <c r="A216" s="287" t="inlineStr">
        <is>
          <t>HSBC Small Cap Fund</t>
        </is>
      </c>
      <c r="B216" s="286" t="n">
        <v>-1.82</v>
      </c>
      <c r="C216" s="286" t="n">
        <v>27.2</v>
      </c>
      <c r="D216" s="286" t="n">
        <v>34.39</v>
      </c>
      <c r="E216" s="286" t="n">
        <v>18.11</v>
      </c>
      <c r="F216" s="286" t="n">
        <v>0.9</v>
      </c>
      <c r="G216" s="286" t="n">
        <v>1.16</v>
      </c>
      <c r="H216" s="286" t="n">
        <v>0.12</v>
      </c>
      <c r="I216" s="286" t="n">
        <v>1.68</v>
      </c>
      <c r="J216" s="286" t="n">
        <v>34</v>
      </c>
      <c r="K216" s="286" t="n">
        <v>0.9</v>
      </c>
      <c r="L216" s="286" t="n">
        <v>18.41</v>
      </c>
      <c r="M216" s="286" t="inlineStr">
        <is>
          <t>EQ-LC</t>
        </is>
      </c>
    </row>
    <row r="217">
      <c r="A217" s="287" t="inlineStr">
        <is>
          <t>ICICI Prudential Asset Allocator (FOF) Fund</t>
        </is>
      </c>
      <c r="B217" s="286" t="n">
        <v>11.18</v>
      </c>
      <c r="C217" s="286" t="n">
        <v>15.94</v>
      </c>
      <c r="D217" s="286" t="n">
        <v>16.66</v>
      </c>
      <c r="E217" s="286" t="n">
        <v>12.41</v>
      </c>
      <c r="F217" s="286" t="n">
        <v>1.45</v>
      </c>
      <c r="G217" s="286" t="n">
        <v>1.94</v>
      </c>
      <c r="H217" s="286" t="n">
        <v>3.02</v>
      </c>
      <c r="I217" s="286" t="n">
        <v>1.27</v>
      </c>
      <c r="J217" s="286" t="n">
        <v>6</v>
      </c>
      <c r="K217" s="286" t="n">
        <v>0.52</v>
      </c>
      <c r="L217" s="286" t="n">
        <v>5.27</v>
      </c>
      <c r="M217" s="286" t="inlineStr">
        <is>
          <t>EQ-THEMATIC</t>
        </is>
      </c>
    </row>
    <row r="218">
      <c r="A218" s="287" t="inlineStr">
        <is>
          <t>ICICI Prudential Balanced Advantage Fund</t>
        </is>
      </c>
      <c r="B218" s="286" t="n">
        <v>10.19</v>
      </c>
      <c r="C218" s="286" t="n">
        <v>15.12</v>
      </c>
      <c r="D218" s="286" t="n">
        <v>15.87</v>
      </c>
      <c r="E218" s="286" t="n">
        <v>11.21</v>
      </c>
      <c r="F218" s="286" t="n">
        <v>1.18</v>
      </c>
      <c r="G218" s="286" t="n">
        <v>1.86</v>
      </c>
      <c r="H218" s="286" t="n">
        <v>2.57</v>
      </c>
      <c r="I218" s="286" t="n">
        <v>1.45</v>
      </c>
      <c r="J218" s="286" t="n">
        <v>34</v>
      </c>
      <c r="K218" s="286" t="n">
        <v>0.54</v>
      </c>
      <c r="L218" s="286" t="n">
        <v>5.76</v>
      </c>
      <c r="M218" s="286" t="inlineStr">
        <is>
          <t>HY-AH</t>
        </is>
      </c>
    </row>
    <row r="219">
      <c r="A219" s="287" t="inlineStr">
        <is>
          <t>ICICI Prudential BHARAT 22 FOF</t>
        </is>
      </c>
      <c r="B219" s="286" t="n">
        <v>-0.22</v>
      </c>
      <c r="C219" s="286" t="n">
        <v>34.83</v>
      </c>
      <c r="D219" s="286" t="n">
        <v>33.27</v>
      </c>
      <c r="E219" s="286" t="n">
        <v>0</v>
      </c>
      <c r="F219" s="286" t="n">
        <v>1.27</v>
      </c>
      <c r="G219" s="286" t="n">
        <v>2.07</v>
      </c>
      <c r="H219" s="286" t="n">
        <v>11.14</v>
      </c>
      <c r="I219" s="286" t="n">
        <v>0.13</v>
      </c>
      <c r="J219" s="286" t="n">
        <v>0</v>
      </c>
      <c r="K219" s="286" t="n">
        <v>1.1</v>
      </c>
      <c r="L219" s="286" t="n">
        <v>17.7</v>
      </c>
      <c r="M219" s="286" t="inlineStr">
        <is>
          <t>EQ-THEMATIC</t>
        </is>
      </c>
    </row>
    <row r="220">
      <c r="A220" s="287" t="inlineStr">
        <is>
          <t>ICICI Prudential Bharat Consumption Fund</t>
        </is>
      </c>
      <c r="B220" s="286" t="n">
        <v>4.39</v>
      </c>
      <c r="C220" s="286" t="n">
        <v>20.25</v>
      </c>
      <c r="D220" s="286" t="n">
        <v>21.25</v>
      </c>
      <c r="E220" s="286" t="n">
        <v>0</v>
      </c>
      <c r="F220" s="286" t="n">
        <v>0.93</v>
      </c>
      <c r="G220" s="286" t="n">
        <v>1.18</v>
      </c>
      <c r="H220" s="286" t="n">
        <v>2.29</v>
      </c>
      <c r="I220" s="286" t="n">
        <v>2</v>
      </c>
      <c r="J220" s="286" t="n">
        <v>90</v>
      </c>
      <c r="K220" s="286" t="n">
        <v>0.67</v>
      </c>
      <c r="L220" s="286" t="n">
        <v>12.78</v>
      </c>
      <c r="M220" s="286" t="inlineStr">
        <is>
          <t>EQ-FLX</t>
        </is>
      </c>
    </row>
    <row r="221">
      <c r="A221" s="287" t="inlineStr">
        <is>
          <t>ICICI Prudential Business Cycle Fund</t>
        </is>
      </c>
      <c r="B221" s="286" t="n">
        <v>9.75</v>
      </c>
      <c r="C221" s="286" t="n">
        <v>26.69</v>
      </c>
      <c r="D221" s="286" t="n">
        <v>0</v>
      </c>
      <c r="E221" s="286" t="n">
        <v>0</v>
      </c>
      <c r="F221" s="286" t="n">
        <v>1.21</v>
      </c>
      <c r="G221" s="286" t="n">
        <v>2.53</v>
      </c>
      <c r="H221" s="286" t="n">
        <v>6</v>
      </c>
      <c r="I221" s="286" t="n">
        <v>1.7</v>
      </c>
      <c r="J221" s="286" t="n">
        <v>25</v>
      </c>
      <c r="K221" s="286" t="n">
        <v>0.85</v>
      </c>
      <c r="L221" s="286" t="n">
        <v>12.98</v>
      </c>
      <c r="M221" s="286" t="inlineStr">
        <is>
          <t>EQ-FLX</t>
        </is>
      </c>
    </row>
    <row r="222">
      <c r="A222" s="287" t="inlineStr">
        <is>
          <t>ICICI Prudential Child Care Fund - Gift Plan</t>
        </is>
      </c>
      <c r="B222" s="286" t="n">
        <v>8.460000000000001</v>
      </c>
      <c r="C222" s="286" t="n">
        <v>22.77</v>
      </c>
      <c r="D222" s="286" t="n">
        <v>21.09</v>
      </c>
      <c r="E222" s="286" t="n">
        <v>12.73</v>
      </c>
      <c r="F222" s="286" t="n">
        <v>0.96</v>
      </c>
      <c r="G222" s="286" t="n">
        <v>1.33</v>
      </c>
      <c r="H222" s="286" t="n">
        <v>2.35</v>
      </c>
      <c r="I222" s="286" t="n">
        <v>2.19</v>
      </c>
      <c r="J222" s="286" t="n">
        <v>53</v>
      </c>
      <c r="K222" s="286" t="n">
        <v>1</v>
      </c>
      <c r="L222" s="286" t="n">
        <v>12.45</v>
      </c>
      <c r="M222" s="286" t="inlineStr">
        <is>
          <t>EQ-THEMATIC</t>
        </is>
      </c>
    </row>
    <row r="223">
      <c r="A223" s="287" t="inlineStr">
        <is>
          <t>ICICI Prudential Commodities Fund</t>
        </is>
      </c>
      <c r="B223" s="286" t="n">
        <v>-0.6899999999999999</v>
      </c>
      <c r="C223" s="286" t="n">
        <v>24.97</v>
      </c>
      <c r="D223" s="286" t="n">
        <v>35.31</v>
      </c>
      <c r="E223" s="286" t="n">
        <v>0</v>
      </c>
      <c r="F223" s="286" t="n">
        <v>0.76</v>
      </c>
      <c r="G223" s="286" t="n">
        <v>1.17</v>
      </c>
      <c r="H223" s="286" t="n">
        <v>0.88</v>
      </c>
      <c r="I223" s="286" t="n">
        <v>2</v>
      </c>
      <c r="J223" s="286" t="n">
        <v>24</v>
      </c>
      <c r="K223" s="286" t="n">
        <v>1.03</v>
      </c>
      <c r="L223" s="286" t="n">
        <v>16.79</v>
      </c>
      <c r="M223" s="286" t="inlineStr">
        <is>
          <t>HY-CH</t>
        </is>
      </c>
    </row>
    <row r="224">
      <c r="A224" s="287" t="inlineStr">
        <is>
          <t>ICICI Prudential Dividend Yield Equity Fund</t>
        </is>
      </c>
      <c r="B224" s="286" t="n">
        <v>7.93</v>
      </c>
      <c r="C224" s="286" t="n">
        <v>28.62</v>
      </c>
      <c r="D224" s="286" t="n">
        <v>30.83</v>
      </c>
      <c r="E224" s="286" t="n">
        <v>15.99</v>
      </c>
      <c r="F224" s="286" t="n">
        <v>1.31</v>
      </c>
      <c r="G224" s="286" t="n">
        <v>2.12</v>
      </c>
      <c r="H224" s="286" t="n">
        <v>7.34</v>
      </c>
      <c r="I224" s="286" t="n">
        <v>1.83</v>
      </c>
      <c r="J224" s="286" t="n">
        <v>26</v>
      </c>
      <c r="K224" s="286" t="n">
        <v>0.84</v>
      </c>
      <c r="L224" s="286" t="n">
        <v>13.04</v>
      </c>
      <c r="M224" s="286" t="inlineStr">
        <is>
          <t>HY-AH</t>
        </is>
      </c>
    </row>
    <row r="225">
      <c r="A225" s="287" t="inlineStr">
        <is>
          <t>ICICI Prudential Energy Opportunities Fund - Regular Plan</t>
        </is>
      </c>
      <c r="B225" s="286" t="n">
        <v>0</v>
      </c>
      <c r="C225" s="286" t="n">
        <v>0</v>
      </c>
      <c r="D225" s="286" t="n">
        <v>0</v>
      </c>
      <c r="E225" s="286" t="n">
        <v>0</v>
      </c>
      <c r="F225" s="286" t="n">
        <v>0</v>
      </c>
      <c r="G225" s="286" t="n">
        <v>0</v>
      </c>
      <c r="H225" s="286" t="n">
        <v>0</v>
      </c>
      <c r="I225" s="286" t="n">
        <v>1.72</v>
      </c>
      <c r="J225" s="286" t="n">
        <v>77</v>
      </c>
      <c r="K225" s="286" t="n">
        <v>0</v>
      </c>
      <c r="L225" s="286" t="n">
        <v>0</v>
      </c>
      <c r="M225" s="286" t="inlineStr">
        <is>
          <t>EQ-L&amp;MC</t>
        </is>
      </c>
    </row>
    <row r="226">
      <c r="A226" s="287" t="inlineStr">
        <is>
          <t>ICICI Prudential Equity &amp; Debt Fund</t>
        </is>
      </c>
      <c r="B226" s="286" t="n">
        <v>10.23</v>
      </c>
      <c r="C226" s="286" t="n">
        <v>23.11</v>
      </c>
      <c r="D226" s="286" t="n">
        <v>26.07</v>
      </c>
      <c r="E226" s="286" t="n">
        <v>15.74</v>
      </c>
      <c r="F226" s="286" t="n">
        <v>1.29</v>
      </c>
      <c r="G226" s="286" t="n">
        <v>2.23</v>
      </c>
      <c r="H226" s="286" t="n">
        <v>5.3</v>
      </c>
      <c r="I226" s="286" t="n">
        <v>1.57</v>
      </c>
      <c r="J226" s="286" t="n">
        <v>33</v>
      </c>
      <c r="K226" s="286" t="n">
        <v>0.77</v>
      </c>
      <c r="L226" s="286" t="n">
        <v>9.869999999999999</v>
      </c>
      <c r="M226" s="286" t="inlineStr">
        <is>
          <t>EQ-LC</t>
        </is>
      </c>
    </row>
    <row r="227">
      <c r="A227" s="287" t="inlineStr">
        <is>
          <t>ICICI Prudential Equity Minimum Variance Fund - Regular Plan</t>
        </is>
      </c>
      <c r="B227" s="286" t="n">
        <v>0</v>
      </c>
      <c r="C227" s="286" t="n">
        <v>0</v>
      </c>
      <c r="D227" s="286" t="n">
        <v>0</v>
      </c>
      <c r="E227" s="286" t="n">
        <v>0</v>
      </c>
      <c r="F227" s="286" t="n">
        <v>0</v>
      </c>
      <c r="G227" s="286" t="n">
        <v>0</v>
      </c>
      <c r="H227" s="286" t="n">
        <v>0</v>
      </c>
      <c r="I227" s="286" t="n">
        <v>1.91</v>
      </c>
      <c r="J227" s="286" t="n">
        <v>42</v>
      </c>
      <c r="K227" s="286" t="n">
        <v>0</v>
      </c>
      <c r="L227" s="286" t="n">
        <v>0</v>
      </c>
      <c r="M227" s="286" t="inlineStr">
        <is>
          <t>EQ-THEMATIC</t>
        </is>
      </c>
    </row>
    <row r="228">
      <c r="A228" s="287" t="inlineStr">
        <is>
          <t>ICICI Prudential ESG Exclusionary Strategy Fund</t>
        </is>
      </c>
      <c r="B228" s="286" t="n">
        <v>12.18</v>
      </c>
      <c r="C228" s="286" t="n">
        <v>24.05</v>
      </c>
      <c r="D228" s="286" t="n">
        <v>0</v>
      </c>
      <c r="E228" s="286" t="n">
        <v>0</v>
      </c>
      <c r="F228" s="286" t="n">
        <v>1.09</v>
      </c>
      <c r="G228" s="286" t="n">
        <v>1.76</v>
      </c>
      <c r="H228" s="286" t="n">
        <v>5.21</v>
      </c>
      <c r="I228" s="286" t="n">
        <v>2.14</v>
      </c>
      <c r="J228" s="286" t="n">
        <v>19</v>
      </c>
      <c r="K228" s="286" t="n">
        <v>0.86</v>
      </c>
      <c r="L228" s="286" t="n">
        <v>12.84</v>
      </c>
      <c r="M228" s="286" t="inlineStr">
        <is>
          <t>EQ-MC</t>
        </is>
      </c>
    </row>
    <row r="229">
      <c r="A229" s="287" t="inlineStr">
        <is>
          <t>ICICI Prudential Exports and Services Fund</t>
        </is>
      </c>
      <c r="B229" s="286" t="n">
        <v>10.82</v>
      </c>
      <c r="C229" s="286" t="n">
        <v>24.69</v>
      </c>
      <c r="D229" s="286" t="n">
        <v>26.44</v>
      </c>
      <c r="E229" s="286" t="n">
        <v>14.16</v>
      </c>
      <c r="F229" s="286" t="n">
        <v>1.23</v>
      </c>
      <c r="G229" s="286" t="n">
        <v>2.49</v>
      </c>
      <c r="H229" s="286" t="n">
        <v>5.59</v>
      </c>
      <c r="I229" s="286" t="n">
        <v>2.27</v>
      </c>
      <c r="J229" s="286" t="n">
        <v>99</v>
      </c>
      <c r="K229" s="286" t="n">
        <v>0.76</v>
      </c>
      <c r="L229" s="286" t="n">
        <v>11.63</v>
      </c>
      <c r="M229" s="286" t="inlineStr">
        <is>
          <t>HY-MAA</t>
        </is>
      </c>
    </row>
    <row r="230">
      <c r="A230" s="287" t="inlineStr">
        <is>
          <t>ICICI Prudential Flexicap Fund</t>
        </is>
      </c>
      <c r="B230" s="286" t="n">
        <v>4.91</v>
      </c>
      <c r="C230" s="286" t="n">
        <v>22.46</v>
      </c>
      <c r="D230" s="286" t="n">
        <v>0</v>
      </c>
      <c r="E230" s="286" t="n">
        <v>0</v>
      </c>
      <c r="F230" s="286" t="n">
        <v>0.97</v>
      </c>
      <c r="G230" s="286" t="n">
        <v>1.48</v>
      </c>
      <c r="H230" s="286" t="n">
        <v>2.95</v>
      </c>
      <c r="I230" s="286" t="n">
        <v>1.69</v>
      </c>
      <c r="J230" s="286" t="n">
        <v>36</v>
      </c>
      <c r="K230" s="286" t="n">
        <v>0.89</v>
      </c>
      <c r="L230" s="286" t="n">
        <v>13.5</v>
      </c>
      <c r="M230" s="286" t="inlineStr">
        <is>
          <t>EQ-MLC</t>
        </is>
      </c>
    </row>
    <row r="231">
      <c r="A231" s="287" t="inlineStr">
        <is>
          <t>ICICI Prudential FMCG Fund</t>
        </is>
      </c>
      <c r="B231" s="286" t="n">
        <v>-0.5600000000000001</v>
      </c>
      <c r="C231" s="286" t="n">
        <v>12.72</v>
      </c>
      <c r="D231" s="286" t="n">
        <v>15.43</v>
      </c>
      <c r="E231" s="286" t="n">
        <v>11.94</v>
      </c>
      <c r="F231" s="286" t="n">
        <v>0.43</v>
      </c>
      <c r="G231" s="286" t="n">
        <v>0.5600000000000001</v>
      </c>
      <c r="H231" s="286" t="n">
        <v>-2.76</v>
      </c>
      <c r="I231" s="286" t="n">
        <v>2.13</v>
      </c>
      <c r="J231" s="286" t="n">
        <v>37</v>
      </c>
      <c r="K231" s="286" t="n">
        <v>0.73</v>
      </c>
      <c r="L231" s="286" t="n">
        <v>13.18</v>
      </c>
      <c r="M231" s="286" t="inlineStr">
        <is>
          <t>EQ-LC</t>
        </is>
      </c>
    </row>
    <row r="232">
      <c r="A232" s="287" t="inlineStr">
        <is>
          <t>ICICI Prudential Focused Equity Fund</t>
        </is>
      </c>
      <c r="B232" s="286" t="n">
        <v>12.03</v>
      </c>
      <c r="C232" s="286" t="n">
        <v>27.45</v>
      </c>
      <c r="D232" s="286" t="n">
        <v>26.44</v>
      </c>
      <c r="E232" s="286" t="n">
        <v>15</v>
      </c>
      <c r="F232" s="286" t="n">
        <v>1.16</v>
      </c>
      <c r="G232" s="286" t="n">
        <v>2.08</v>
      </c>
      <c r="H232" s="286" t="n">
        <v>5.61</v>
      </c>
      <c r="I232" s="286" t="n">
        <v>1.72</v>
      </c>
      <c r="J232" s="286" t="n">
        <v>89</v>
      </c>
      <c r="K232" s="286" t="n">
        <v>0.92</v>
      </c>
      <c r="L232" s="286" t="n">
        <v>13.93</v>
      </c>
      <c r="M232" s="286" t="inlineStr">
        <is>
          <t>EQ-LC</t>
        </is>
      </c>
    </row>
    <row r="233">
      <c r="A233" s="287" t="inlineStr">
        <is>
          <t>ICICI Prudential Housing Opportunities Fund</t>
        </is>
      </c>
      <c r="B233" s="286" t="n">
        <v>4.07</v>
      </c>
      <c r="C233" s="286" t="n">
        <v>22.6</v>
      </c>
      <c r="D233" s="286" t="n">
        <v>0</v>
      </c>
      <c r="E233" s="286" t="n">
        <v>0</v>
      </c>
      <c r="F233" s="286" t="n">
        <v>1.01</v>
      </c>
      <c r="G233" s="286" t="n">
        <v>1.74</v>
      </c>
      <c r="H233" s="286" t="n">
        <v>3.35</v>
      </c>
      <c r="I233" s="286" t="n">
        <v>2.05</v>
      </c>
      <c r="J233" s="286" t="n">
        <v>69</v>
      </c>
      <c r="K233" s="286" t="n">
        <v>0.83</v>
      </c>
      <c r="L233" s="286" t="n">
        <v>12.77</v>
      </c>
      <c r="M233" s="286" t="inlineStr">
        <is>
          <t>EQ-LC</t>
        </is>
      </c>
    </row>
    <row r="234">
      <c r="A234" s="287" t="inlineStr">
        <is>
          <t>ICICI Prudential India Equity FOF</t>
        </is>
      </c>
      <c r="B234" s="286" t="n">
        <v>8.83</v>
      </c>
      <c r="C234" s="286" t="n">
        <v>25.32</v>
      </c>
      <c r="D234" s="286" t="n">
        <v>27.98</v>
      </c>
      <c r="E234" s="286" t="n">
        <v>0</v>
      </c>
      <c r="F234" s="286" t="n">
        <v>1.17</v>
      </c>
      <c r="G234" s="286" t="n">
        <v>1.93</v>
      </c>
      <c r="H234" s="286" t="n">
        <v>4.99</v>
      </c>
      <c r="I234" s="286" t="n">
        <v>1.24</v>
      </c>
      <c r="J234" s="286" t="n">
        <v>0</v>
      </c>
      <c r="K234" s="286" t="n">
        <v>0.84</v>
      </c>
      <c r="L234" s="286" t="n">
        <v>12.57</v>
      </c>
      <c r="M234" s="286" t="inlineStr">
        <is>
          <t>EQ-LC</t>
        </is>
      </c>
    </row>
    <row r="235">
      <c r="A235" s="287" t="inlineStr">
        <is>
          <t>ICICI Prudential India Opportunities Fund</t>
        </is>
      </c>
      <c r="B235" s="286" t="n">
        <v>11.86</v>
      </c>
      <c r="C235" s="286" t="n">
        <v>29.06</v>
      </c>
      <c r="D235" s="286" t="n">
        <v>31.83</v>
      </c>
      <c r="E235" s="286" t="n">
        <v>0</v>
      </c>
      <c r="F235" s="286" t="n">
        <v>1.43</v>
      </c>
      <c r="G235" s="286" t="n">
        <v>2.83</v>
      </c>
      <c r="H235" s="286" t="n">
        <v>8.41</v>
      </c>
      <c r="I235" s="286" t="n">
        <v>1.6</v>
      </c>
      <c r="J235" s="286" t="n">
        <v>68</v>
      </c>
      <c r="K235" s="286" t="n">
        <v>0.8</v>
      </c>
      <c r="L235" s="286" t="n">
        <v>12.31</v>
      </c>
      <c r="M235" s="286" t="inlineStr">
        <is>
          <t>EQ-L&amp;MC</t>
        </is>
      </c>
    </row>
    <row r="236">
      <c r="A236" s="287" t="inlineStr">
        <is>
          <t>ICICI Prudential Innovation Fund</t>
        </is>
      </c>
      <c r="B236" s="286" t="n">
        <v>7.82</v>
      </c>
      <c r="C236" s="286" t="n">
        <v>0</v>
      </c>
      <c r="D236" s="286" t="n">
        <v>0</v>
      </c>
      <c r="E236" s="286" t="n">
        <v>0</v>
      </c>
      <c r="F236" s="286" t="n">
        <v>0</v>
      </c>
      <c r="G236" s="286" t="n">
        <v>0</v>
      </c>
      <c r="H236" s="286" t="n">
        <v>0</v>
      </c>
      <c r="I236" s="286" t="n">
        <v>1.81</v>
      </c>
      <c r="J236" s="286" t="n">
        <v>101</v>
      </c>
      <c r="K236" s="286" t="n">
        <v>0</v>
      </c>
      <c r="L236" s="286" t="n">
        <v>0</v>
      </c>
      <c r="M236" s="286" t="inlineStr">
        <is>
          <t>EQ-MLC</t>
        </is>
      </c>
    </row>
    <row r="237">
      <c r="A237" s="287" t="inlineStr">
        <is>
          <t>ICICI Prudential Large Cap Fund</t>
        </is>
      </c>
      <c r="B237" s="286" t="n">
        <v>8.380000000000001</v>
      </c>
      <c r="C237" s="286" t="n">
        <v>22.99</v>
      </c>
      <c r="D237" s="286" t="n">
        <v>23.77</v>
      </c>
      <c r="E237" s="286" t="n">
        <v>14.35</v>
      </c>
      <c r="F237" s="286" t="n">
        <v>1.01</v>
      </c>
      <c r="G237" s="286" t="n">
        <v>1.79</v>
      </c>
      <c r="H237" s="286" t="n">
        <v>3.56</v>
      </c>
      <c r="I237" s="286" t="n">
        <v>1.42</v>
      </c>
      <c r="J237" s="286" t="n">
        <v>16</v>
      </c>
      <c r="K237" s="286" t="n">
        <v>0.89</v>
      </c>
      <c r="L237" s="286" t="n">
        <v>12.53</v>
      </c>
      <c r="M237" s="286" t="inlineStr">
        <is>
          <t>EQ-LC</t>
        </is>
      </c>
    </row>
    <row r="238">
      <c r="A238" s="287" t="inlineStr">
        <is>
          <t>ICICI Prudential Large &amp; Mid Cap Fund</t>
        </is>
      </c>
      <c r="B238" s="286" t="n">
        <v>9.48</v>
      </c>
      <c r="C238" s="286" t="n">
        <v>26.25</v>
      </c>
      <c r="D238" s="286" t="n">
        <v>29.03</v>
      </c>
      <c r="E238" s="286" t="n">
        <v>15.66</v>
      </c>
      <c r="F238" s="286" t="n">
        <v>1.26</v>
      </c>
      <c r="G238" s="286" t="n">
        <v>2.04</v>
      </c>
      <c r="H238" s="286" t="n">
        <v>6.58</v>
      </c>
      <c r="I238" s="286" t="n">
        <v>1.66</v>
      </c>
      <c r="J238" s="286" t="n">
        <v>62</v>
      </c>
      <c r="K238" s="286" t="n">
        <v>0.84</v>
      </c>
      <c r="L238" s="286" t="n">
        <v>12.58</v>
      </c>
      <c r="M238" s="286" t="inlineStr">
        <is>
          <t>EQ-LC</t>
        </is>
      </c>
    </row>
    <row r="239">
      <c r="A239" s="287" t="inlineStr">
        <is>
          <t>ICICI Prudential Manufacturing Fund</t>
        </is>
      </c>
      <c r="B239" s="286" t="n">
        <v>-1.19</v>
      </c>
      <c r="C239" s="286" t="n">
        <v>29.8</v>
      </c>
      <c r="D239" s="286" t="n">
        <v>30.11</v>
      </c>
      <c r="E239" s="286" t="n">
        <v>0</v>
      </c>
      <c r="F239" s="286" t="n">
        <v>1.11</v>
      </c>
      <c r="G239" s="286" t="n">
        <v>1.63</v>
      </c>
      <c r="H239" s="286" t="n">
        <v>6.38</v>
      </c>
      <c r="I239" s="286" t="n">
        <v>1.82</v>
      </c>
      <c r="J239" s="286" t="n">
        <v>48</v>
      </c>
      <c r="K239" s="286" t="n">
        <v>1.08</v>
      </c>
      <c r="L239" s="286" t="n">
        <v>16.92</v>
      </c>
      <c r="M239" s="286" t="inlineStr">
        <is>
          <t>EQ-L&amp;MC</t>
        </is>
      </c>
    </row>
    <row r="240">
      <c r="A240" s="287" t="inlineStr">
        <is>
          <t>ICICI Prudential Midcap Fund</t>
        </is>
      </c>
      <c r="B240" s="286" t="n">
        <v>5.29</v>
      </c>
      <c r="C240" s="286" t="n">
        <v>27.68</v>
      </c>
      <c r="D240" s="286" t="n">
        <v>30.6</v>
      </c>
      <c r="E240" s="286" t="n">
        <v>15.86</v>
      </c>
      <c r="F240" s="286" t="n">
        <v>1</v>
      </c>
      <c r="G240" s="286" t="n">
        <v>1.45</v>
      </c>
      <c r="H240" s="286" t="n">
        <v>-0.31</v>
      </c>
      <c r="I240" s="286" t="n">
        <v>1.87</v>
      </c>
      <c r="J240" s="286" t="n">
        <v>59</v>
      </c>
      <c r="K240" s="286" t="n">
        <v>0.93</v>
      </c>
      <c r="L240" s="286" t="n">
        <v>16.6</v>
      </c>
      <c r="M240" s="286" t="inlineStr">
        <is>
          <t>EQ-MC</t>
        </is>
      </c>
    </row>
    <row r="241">
      <c r="A241" s="287" t="inlineStr">
        <is>
          <t>ICICI Prudential MNC Fund</t>
        </is>
      </c>
      <c r="B241" s="286" t="n">
        <v>0.18</v>
      </c>
      <c r="C241" s="286" t="n">
        <v>17.11</v>
      </c>
      <c r="D241" s="286" t="n">
        <v>22.96</v>
      </c>
      <c r="E241" s="286" t="n">
        <v>0</v>
      </c>
      <c r="F241" s="286" t="n">
        <v>0.68</v>
      </c>
      <c r="G241" s="286" t="n">
        <v>0.88</v>
      </c>
      <c r="H241" s="286" t="n">
        <v>-0.63</v>
      </c>
      <c r="I241" s="286" t="n">
        <v>2.14</v>
      </c>
      <c r="J241" s="286" t="n">
        <v>57</v>
      </c>
      <c r="K241" s="286" t="n">
        <v>0.79</v>
      </c>
      <c r="L241" s="286" t="n">
        <v>12.47</v>
      </c>
      <c r="M241" s="286" t="inlineStr">
        <is>
          <t>EQ-LC</t>
        </is>
      </c>
    </row>
    <row r="242">
      <c r="A242" s="287" t="inlineStr">
        <is>
          <t>ICICI Prudential Multi Asset Fund</t>
        </is>
      </c>
      <c r="B242" s="286" t="n">
        <v>12.16</v>
      </c>
      <c r="C242" s="286" t="n">
        <v>22.37</v>
      </c>
      <c r="D242" s="286" t="n">
        <v>24.58</v>
      </c>
      <c r="E242" s="286" t="n">
        <v>15.21</v>
      </c>
      <c r="F242" s="286" t="n">
        <v>1.61</v>
      </c>
      <c r="G242" s="286" t="n">
        <v>2.76</v>
      </c>
      <c r="H242" s="286" t="n">
        <v>5.85</v>
      </c>
      <c r="I242" s="286" t="n">
        <v>1.4</v>
      </c>
      <c r="J242" s="286" t="n">
        <v>29</v>
      </c>
      <c r="K242" s="286" t="n">
        <v>0.72</v>
      </c>
      <c r="L242" s="286" t="n">
        <v>7.57</v>
      </c>
      <c r="M242" s="286" t="inlineStr">
        <is>
          <t>EQ-THEMATIC</t>
        </is>
      </c>
    </row>
    <row r="243">
      <c r="A243" s="287" t="inlineStr">
        <is>
          <t>ICICI Prudential Multicap Fund</t>
        </is>
      </c>
      <c r="B243" s="286" t="n">
        <v>6.63</v>
      </c>
      <c r="C243" s="286" t="n">
        <v>25.89</v>
      </c>
      <c r="D243" s="286" t="n">
        <v>26.25</v>
      </c>
      <c r="E243" s="286" t="n">
        <v>14.74</v>
      </c>
      <c r="F243" s="286" t="n">
        <v>1.18</v>
      </c>
      <c r="G243" s="286" t="n">
        <v>1.95</v>
      </c>
      <c r="H243" s="286" t="n">
        <v>3.71</v>
      </c>
      <c r="I243" s="286" t="n">
        <v>1.74</v>
      </c>
      <c r="J243" s="286" t="n">
        <v>69</v>
      </c>
      <c r="K243" s="286" t="n">
        <v>0.83</v>
      </c>
      <c r="L243" s="286" t="n">
        <v>13.41</v>
      </c>
      <c r="M243" s="286" t="inlineStr">
        <is>
          <t>EQ-SC</t>
        </is>
      </c>
    </row>
    <row r="244">
      <c r="A244" s="287" t="inlineStr">
        <is>
          <t>ICICI Prudential Passive Multi-Asset FoF</t>
        </is>
      </c>
      <c r="B244" s="286" t="n">
        <v>13.28</v>
      </c>
      <c r="C244" s="286" t="n">
        <v>15.82</v>
      </c>
      <c r="D244" s="286" t="n">
        <v>0</v>
      </c>
      <c r="E244" s="286" t="n">
        <v>0</v>
      </c>
      <c r="F244" s="286" t="n">
        <v>1.1</v>
      </c>
      <c r="G244" s="286" t="n">
        <v>1.87</v>
      </c>
      <c r="H244" s="286" t="n">
        <v>2.52</v>
      </c>
      <c r="I244" s="286" t="n">
        <v>0.59</v>
      </c>
      <c r="J244" s="286" t="n">
        <v>0</v>
      </c>
      <c r="K244" s="286" t="n">
        <v>0.54</v>
      </c>
      <c r="L244" s="286" t="n">
        <v>6.62</v>
      </c>
      <c r="M244" s="286" t="inlineStr">
        <is>
          <t>EQ-LC</t>
        </is>
      </c>
    </row>
    <row r="245">
      <c r="A245" s="287" t="inlineStr">
        <is>
          <t>ICICI Prudential Passive Strategy Fund (FOF)</t>
        </is>
      </c>
      <c r="B245" s="286" t="n">
        <v>9.609999999999999</v>
      </c>
      <c r="C245" s="286" t="n">
        <v>22.9</v>
      </c>
      <c r="D245" s="286" t="n">
        <v>23.46</v>
      </c>
      <c r="E245" s="286" t="n">
        <v>13.45</v>
      </c>
      <c r="F245" s="286" t="n">
        <v>1.01</v>
      </c>
      <c r="G245" s="286" t="n">
        <v>1.7</v>
      </c>
      <c r="H245" s="286" t="n">
        <v>2.98</v>
      </c>
      <c r="I245" s="286" t="n">
        <v>0.44</v>
      </c>
      <c r="J245" s="286" t="n">
        <v>8</v>
      </c>
      <c r="K245" s="286" t="n">
        <v>0.84</v>
      </c>
      <c r="L245" s="286" t="n">
        <v>12.54</v>
      </c>
      <c r="M245" s="286" t="inlineStr">
        <is>
          <t>EQ-FLX</t>
        </is>
      </c>
    </row>
    <row r="246">
      <c r="A246" s="287" t="inlineStr">
        <is>
          <t>ICICI Prudential PSU Equity Fund</t>
        </is>
      </c>
      <c r="B246" s="286" t="n">
        <v>-1.01</v>
      </c>
      <c r="C246" s="286" t="n">
        <v>0</v>
      </c>
      <c r="D246" s="286" t="n">
        <v>0</v>
      </c>
      <c r="E246" s="286" t="n">
        <v>0</v>
      </c>
      <c r="F246" s="286" t="n">
        <v>0</v>
      </c>
      <c r="G246" s="286" t="n">
        <v>0</v>
      </c>
      <c r="H246" s="286" t="n">
        <v>0</v>
      </c>
      <c r="I246" s="286" t="n">
        <v>2.07</v>
      </c>
      <c r="J246" s="286" t="n">
        <v>65</v>
      </c>
      <c r="K246" s="286" t="n">
        <v>0</v>
      </c>
      <c r="L246" s="286" t="n">
        <v>0</v>
      </c>
      <c r="M246" s="286" t="inlineStr">
        <is>
          <t>HY-CH</t>
        </is>
      </c>
    </row>
    <row r="247">
      <c r="A247" s="287" t="inlineStr">
        <is>
          <t>ICICI Prudential Quality Fund</t>
        </is>
      </c>
      <c r="B247" s="286" t="n">
        <v>0</v>
      </c>
      <c r="C247" s="286" t="n">
        <v>0</v>
      </c>
      <c r="D247" s="286" t="n">
        <v>0</v>
      </c>
      <c r="E247" s="286" t="n">
        <v>0</v>
      </c>
      <c r="F247" s="286" t="n">
        <v>0</v>
      </c>
      <c r="G247" s="286" t="n">
        <v>0</v>
      </c>
      <c r="H247" s="286" t="n">
        <v>0</v>
      </c>
      <c r="I247" s="286" t="n">
        <v>2.07</v>
      </c>
      <c r="J247" s="286" t="n">
        <v>0</v>
      </c>
      <c r="K247" s="286" t="n">
        <v>0</v>
      </c>
      <c r="L247" s="286" t="n">
        <v>0</v>
      </c>
      <c r="M247" s="286" t="inlineStr">
        <is>
          <t>HY-AH</t>
        </is>
      </c>
    </row>
    <row r="248">
      <c r="A248" s="287" t="inlineStr">
        <is>
          <t>ICICI Prudential Quant Fund</t>
        </is>
      </c>
      <c r="B248" s="286" t="n">
        <v>9.029999999999999</v>
      </c>
      <c r="C248" s="286" t="n">
        <v>21.21</v>
      </c>
      <c r="D248" s="286" t="n">
        <v>0</v>
      </c>
      <c r="E248" s="286" t="n">
        <v>0</v>
      </c>
      <c r="F248" s="286" t="n">
        <v>0.9399999999999999</v>
      </c>
      <c r="G248" s="286" t="n">
        <v>1.42</v>
      </c>
      <c r="H248" s="286" t="n">
        <v>2.11</v>
      </c>
      <c r="I248" s="286" t="n">
        <v>2.32</v>
      </c>
      <c r="J248" s="286" t="n">
        <v>112</v>
      </c>
      <c r="K248" s="286" t="n">
        <v>0.78</v>
      </c>
      <c r="L248" s="286" t="n">
        <v>11.89</v>
      </c>
      <c r="M248" s="286" t="inlineStr">
        <is>
          <t>EQ-SC</t>
        </is>
      </c>
    </row>
    <row r="249">
      <c r="A249" s="287" t="inlineStr">
        <is>
          <t>ICICI Prudential Regular Savings Fund</t>
        </is>
      </c>
      <c r="B249" s="286" t="n">
        <v>9.06</v>
      </c>
      <c r="C249" s="286" t="n">
        <v>11.16</v>
      </c>
      <c r="D249" s="286" t="n">
        <v>10.62</v>
      </c>
      <c r="E249" s="286" t="n">
        <v>9.539999999999999</v>
      </c>
      <c r="F249" s="286" t="n">
        <v>1.2</v>
      </c>
      <c r="G249" s="286" t="n">
        <v>1.91</v>
      </c>
      <c r="H249" s="286" t="n">
        <v>1.05</v>
      </c>
      <c r="I249" s="286" t="n">
        <v>1.72</v>
      </c>
      <c r="J249" s="286" t="n">
        <v>19</v>
      </c>
      <c r="K249" s="286" t="n">
        <v>0.77</v>
      </c>
      <c r="L249" s="286" t="n">
        <v>3.23</v>
      </c>
      <c r="M249" s="286" t="inlineStr">
        <is>
          <t>EQ-THEMATIC</t>
        </is>
      </c>
    </row>
    <row r="250">
      <c r="A250" s="287" t="inlineStr">
        <is>
          <t>ICICI Prudential Retirement Fund - Hybrid Aggressive Plan</t>
        </is>
      </c>
      <c r="B250" s="286" t="n">
        <v>7.51</v>
      </c>
      <c r="C250" s="286" t="n">
        <v>23.79</v>
      </c>
      <c r="D250" s="286" t="n">
        <v>22.31</v>
      </c>
      <c r="E250" s="286" t="n">
        <v>0</v>
      </c>
      <c r="F250" s="286" t="n">
        <v>1</v>
      </c>
      <c r="G250" s="286" t="n">
        <v>1.51</v>
      </c>
      <c r="H250" s="286" t="n">
        <v>3.04</v>
      </c>
      <c r="I250" s="286" t="n">
        <v>2.24</v>
      </c>
      <c r="J250" s="286" t="n">
        <v>41</v>
      </c>
      <c r="K250" s="286" t="n">
        <v>1.02</v>
      </c>
      <c r="L250" s="286" t="n">
        <v>12.78</v>
      </c>
      <c r="M250" s="286" t="inlineStr">
        <is>
          <t>HY-DAA</t>
        </is>
      </c>
    </row>
    <row r="251">
      <c r="A251" s="287" t="inlineStr">
        <is>
          <t>ICICI Prudential Retirement Fund - Hybrid Conservative Plan</t>
        </is>
      </c>
      <c r="B251" s="286" t="n">
        <v>7.93</v>
      </c>
      <c r="C251" s="286" t="n">
        <v>11.88</v>
      </c>
      <c r="D251" s="286" t="n">
        <v>9.74</v>
      </c>
      <c r="E251" s="286" t="n">
        <v>0</v>
      </c>
      <c r="F251" s="286" t="n">
        <v>0.87</v>
      </c>
      <c r="G251" s="286" t="n">
        <v>1.21</v>
      </c>
      <c r="H251" s="286" t="n">
        <v>0.19</v>
      </c>
      <c r="I251" s="286" t="n">
        <v>2.1</v>
      </c>
      <c r="J251" s="286" t="n">
        <v>16</v>
      </c>
      <c r="K251" s="286" t="n">
        <v>1.01</v>
      </c>
      <c r="L251" s="286" t="n">
        <v>4.47</v>
      </c>
      <c r="M251" s="286" t="inlineStr">
        <is>
          <t>EQ-FLX</t>
        </is>
      </c>
    </row>
    <row r="252">
      <c r="A252" s="287" t="inlineStr">
        <is>
          <t>ICICI Prudential Retirement Fund - Pure Equity Plan</t>
        </is>
      </c>
      <c r="B252" s="286" t="n">
        <v>11.46</v>
      </c>
      <c r="C252" s="286" t="n">
        <v>28.07</v>
      </c>
      <c r="D252" s="286" t="n">
        <v>29.87</v>
      </c>
      <c r="E252" s="286" t="n">
        <v>0</v>
      </c>
      <c r="F252" s="286" t="n">
        <v>1.08</v>
      </c>
      <c r="G252" s="286" t="n">
        <v>1.6</v>
      </c>
      <c r="H252" s="286" t="n">
        <v>4.91</v>
      </c>
      <c r="I252" s="286" t="n">
        <v>2.11</v>
      </c>
      <c r="J252" s="286" t="n">
        <v>44</v>
      </c>
      <c r="K252" s="286" t="n">
        <v>0.95</v>
      </c>
      <c r="L252" s="286" t="n">
        <v>14.67</v>
      </c>
      <c r="M252" s="286" t="inlineStr">
        <is>
          <t>EQ-L&amp;MC</t>
        </is>
      </c>
    </row>
    <row r="253">
      <c r="A253" s="287" t="inlineStr">
        <is>
          <t>ICICI Prudential Rural Opportunities Fund - Regular Plan</t>
        </is>
      </c>
      <c r="B253" s="286" t="n">
        <v>0</v>
      </c>
      <c r="C253" s="286" t="n">
        <v>0</v>
      </c>
      <c r="D253" s="286" t="n">
        <v>0</v>
      </c>
      <c r="E253" s="286" t="n">
        <v>0</v>
      </c>
      <c r="F253" s="286" t="n">
        <v>0</v>
      </c>
      <c r="G253" s="286" t="n">
        <v>0</v>
      </c>
      <c r="H253" s="286" t="n">
        <v>0</v>
      </c>
      <c r="I253" s="286" t="n">
        <v>2.17</v>
      </c>
      <c r="J253" s="286" t="n">
        <v>35</v>
      </c>
      <c r="K253" s="286" t="n">
        <v>0</v>
      </c>
      <c r="L253" s="286" t="n">
        <v>0</v>
      </c>
      <c r="M253" s="286" t="inlineStr">
        <is>
          <t>EQ-MC</t>
        </is>
      </c>
    </row>
    <row r="254">
      <c r="A254" s="287" t="inlineStr">
        <is>
          <t>ICICI Prudential Smallcap Fund</t>
        </is>
      </c>
      <c r="B254" s="286" t="n">
        <v>0.48</v>
      </c>
      <c r="C254" s="286" t="n">
        <v>22.32</v>
      </c>
      <c r="D254" s="286" t="n">
        <v>32.44</v>
      </c>
      <c r="E254" s="286" t="n">
        <v>15.35</v>
      </c>
      <c r="F254" s="286" t="n">
        <v>0.87</v>
      </c>
      <c r="G254" s="286" t="n">
        <v>1.27</v>
      </c>
      <c r="H254" s="286" t="n">
        <v>-0.14</v>
      </c>
      <c r="I254" s="286" t="n">
        <v>1.78</v>
      </c>
      <c r="J254" s="286" t="n">
        <v>54</v>
      </c>
      <c r="K254" s="286" t="n">
        <v>0.75</v>
      </c>
      <c r="L254" s="286" t="n">
        <v>15.46</v>
      </c>
      <c r="M254" s="286" t="inlineStr">
        <is>
          <t>HY-AH</t>
        </is>
      </c>
    </row>
    <row r="255">
      <c r="A255" s="287" t="inlineStr">
        <is>
          <t>ICICI Prudential Thematic Advantage Fund (FOF)</t>
        </is>
      </c>
      <c r="B255" s="286" t="n">
        <v>16.3</v>
      </c>
      <c r="C255" s="286" t="n">
        <v>23.96</v>
      </c>
      <c r="D255" s="286" t="n">
        <v>27.21</v>
      </c>
      <c r="E255" s="286" t="n">
        <v>16.3</v>
      </c>
      <c r="F255" s="286" t="n">
        <v>1.25</v>
      </c>
      <c r="G255" s="286" t="n">
        <v>2.36</v>
      </c>
      <c r="H255" s="286" t="n">
        <v>5.41</v>
      </c>
      <c r="I255" s="286" t="n">
        <v>1.52</v>
      </c>
      <c r="J255" s="286" t="n">
        <v>4</v>
      </c>
      <c r="K255" s="286" t="n">
        <v>0.73</v>
      </c>
      <c r="L255" s="286" t="n">
        <v>11.07</v>
      </c>
      <c r="M255" s="286" t="inlineStr">
        <is>
          <t>HY-AR</t>
        </is>
      </c>
    </row>
    <row r="256">
      <c r="A256" s="287" t="inlineStr">
        <is>
          <t>ICICI Prudential Transportation and Logistics Fund</t>
        </is>
      </c>
      <c r="B256" s="286" t="n">
        <v>1.81</v>
      </c>
      <c r="C256" s="286" t="n">
        <v>0</v>
      </c>
      <c r="D256" s="286" t="n">
        <v>0</v>
      </c>
      <c r="E256" s="286" t="n">
        <v>0</v>
      </c>
      <c r="F256" s="286" t="n">
        <v>0</v>
      </c>
      <c r="G256" s="286" t="n">
        <v>0</v>
      </c>
      <c r="H256" s="286" t="n">
        <v>0</v>
      </c>
      <c r="I256" s="286" t="n">
        <v>1.98</v>
      </c>
      <c r="J256" s="286" t="n">
        <v>48</v>
      </c>
      <c r="K256" s="286" t="n">
        <v>0</v>
      </c>
      <c r="L256" s="286" t="n">
        <v>0</v>
      </c>
      <c r="M256" s="286" t="inlineStr">
        <is>
          <t>HY-DAA</t>
        </is>
      </c>
    </row>
    <row r="257">
      <c r="A257" s="287" t="inlineStr">
        <is>
          <t>Invesco India Aggressive Hybrid Fund - Regular Plan</t>
        </is>
      </c>
      <c r="B257" s="286" t="n">
        <v>7.73</v>
      </c>
      <c r="C257" s="286" t="n">
        <v>20.7</v>
      </c>
      <c r="D257" s="286" t="n">
        <v>18.07</v>
      </c>
      <c r="E257" s="286" t="n">
        <v>0</v>
      </c>
      <c r="F257" s="286" t="n">
        <v>1</v>
      </c>
      <c r="G257" s="286" t="n">
        <v>1.31</v>
      </c>
      <c r="H257" s="286" t="n">
        <v>2.67</v>
      </c>
      <c r="I257" s="286" t="n">
        <v>2.33</v>
      </c>
      <c r="J257" s="286" t="n">
        <v>68</v>
      </c>
      <c r="K257" s="286" t="n">
        <v>0.9</v>
      </c>
      <c r="L257" s="286" t="n">
        <v>11.25</v>
      </c>
      <c r="M257" s="286" t="inlineStr">
        <is>
          <t>EQ-THEMATIC</t>
        </is>
      </c>
    </row>
    <row r="258">
      <c r="A258" s="287" t="inlineStr">
        <is>
          <t>Invesco India Balanced Advantage Fund</t>
        </is>
      </c>
      <c r="B258" s="286" t="n">
        <v>7.24</v>
      </c>
      <c r="C258" s="286" t="n">
        <v>16.56</v>
      </c>
      <c r="D258" s="286" t="n">
        <v>13.91</v>
      </c>
      <c r="E258" s="286" t="n">
        <v>9.56</v>
      </c>
      <c r="F258" s="286" t="n">
        <v>0.89</v>
      </c>
      <c r="G258" s="286" t="n">
        <v>1.27</v>
      </c>
      <c r="H258" s="286" t="n">
        <v>1.24</v>
      </c>
      <c r="I258" s="286" t="n">
        <v>2.13</v>
      </c>
      <c r="J258" s="286" t="n">
        <v>224</v>
      </c>
      <c r="K258" s="286" t="n">
        <v>0.79</v>
      </c>
      <c r="L258" s="286" t="n">
        <v>8.390000000000001</v>
      </c>
      <c r="M258" s="286" t="inlineStr">
        <is>
          <t>HY-CH</t>
        </is>
      </c>
    </row>
    <row r="259">
      <c r="A259" s="287" t="inlineStr">
        <is>
          <t>Invesco India Business Cycle Fund - Regular Plan</t>
        </is>
      </c>
      <c r="B259" s="286" t="n">
        <v>0</v>
      </c>
      <c r="C259" s="286" t="n">
        <v>0</v>
      </c>
      <c r="D259" s="286" t="n">
        <v>0</v>
      </c>
      <c r="E259" s="286" t="n">
        <v>0</v>
      </c>
      <c r="F259" s="286" t="n">
        <v>0</v>
      </c>
      <c r="G259" s="286" t="n">
        <v>0</v>
      </c>
      <c r="H259" s="286" t="n">
        <v>0</v>
      </c>
      <c r="I259" s="286" t="n">
        <v>2.38</v>
      </c>
      <c r="J259" s="286" t="n">
        <v>0</v>
      </c>
      <c r="K259" s="286" t="n">
        <v>0</v>
      </c>
      <c r="L259" s="286" t="n">
        <v>0</v>
      </c>
      <c r="M259" s="286" t="inlineStr">
        <is>
          <t>EQ-FLX</t>
        </is>
      </c>
    </row>
    <row r="260">
      <c r="A260" s="287" t="inlineStr">
        <is>
          <t>Invesco India ESG Integration Strategy Fund - Regular Plan</t>
        </is>
      </c>
      <c r="B260" s="286" t="n">
        <v>6.36</v>
      </c>
      <c r="C260" s="286" t="n">
        <v>18.46</v>
      </c>
      <c r="D260" s="286" t="n">
        <v>0</v>
      </c>
      <c r="E260" s="286" t="n">
        <v>0</v>
      </c>
      <c r="F260" s="286" t="n">
        <v>0.64</v>
      </c>
      <c r="G260" s="286" t="n">
        <v>0.89</v>
      </c>
      <c r="H260" s="286" t="n">
        <v>-0.77</v>
      </c>
      <c r="I260" s="286" t="n">
        <v>2.43</v>
      </c>
      <c r="J260" s="286" t="n">
        <v>56</v>
      </c>
      <c r="K260" s="286" t="n">
        <v>0.9399999999999999</v>
      </c>
      <c r="L260" s="286" t="n">
        <v>13.95</v>
      </c>
      <c r="M260" s="286" t="inlineStr">
        <is>
          <t>EQ-FLX</t>
        </is>
      </c>
    </row>
    <row r="261">
      <c r="A261" s="287" t="inlineStr">
        <is>
          <t>Invesco India Flexi Cap Fund - Regular Plan</t>
        </is>
      </c>
      <c r="B261" s="286" t="n">
        <v>11.23</v>
      </c>
      <c r="C261" s="286" t="n">
        <v>27.85</v>
      </c>
      <c r="D261" s="286" t="n">
        <v>0</v>
      </c>
      <c r="E261" s="286" t="n">
        <v>0</v>
      </c>
      <c r="F261" s="286" t="n">
        <v>1.11</v>
      </c>
      <c r="G261" s="286" t="n">
        <v>1.33</v>
      </c>
      <c r="H261" s="286" t="n">
        <v>5.55</v>
      </c>
      <c r="I261" s="286" t="n">
        <v>1.94</v>
      </c>
      <c r="J261" s="286" t="n">
        <v>82</v>
      </c>
      <c r="K261" s="286" t="n">
        <v>0.9399999999999999</v>
      </c>
      <c r="L261" s="286" t="n">
        <v>14.81</v>
      </c>
      <c r="M261" s="286" t="inlineStr">
        <is>
          <t>EQ-THEMATIC</t>
        </is>
      </c>
    </row>
    <row r="262">
      <c r="A262" s="287" t="inlineStr">
        <is>
          <t>Invesco India Focused Fund - Regular Plan</t>
        </is>
      </c>
      <c r="B262" s="286" t="n">
        <v>9.65</v>
      </c>
      <c r="C262" s="286" t="n">
        <v>28.45</v>
      </c>
      <c r="D262" s="286" t="n">
        <v>0</v>
      </c>
      <c r="E262" s="286" t="n">
        <v>0</v>
      </c>
      <c r="F262" s="286" t="n">
        <v>1.16</v>
      </c>
      <c r="G262" s="286" t="n">
        <v>1.61</v>
      </c>
      <c r="H262" s="286" t="n">
        <v>6.93</v>
      </c>
      <c r="I262" s="286" t="n">
        <v>1.88</v>
      </c>
      <c r="J262" s="286" t="n">
        <v>29</v>
      </c>
      <c r="K262" s="286" t="n">
        <v>0.96</v>
      </c>
      <c r="L262" s="286" t="n">
        <v>15.57</v>
      </c>
      <c r="M262" s="286" t="inlineStr">
        <is>
          <t>EQ-L&amp;MC</t>
        </is>
      </c>
    </row>
    <row r="263">
      <c r="A263" s="287" t="inlineStr">
        <is>
          <t>Invesco India Largecap Fund</t>
        </is>
      </c>
      <c r="B263" s="286" t="n">
        <v>8.050000000000001</v>
      </c>
      <c r="C263" s="286" t="n">
        <v>22.1</v>
      </c>
      <c r="D263" s="286" t="n">
        <v>21.58</v>
      </c>
      <c r="E263" s="286" t="n">
        <v>12.91</v>
      </c>
      <c r="F263" s="286" t="n">
        <v>0.8100000000000001</v>
      </c>
      <c r="G263" s="286" t="n">
        <v>1.17</v>
      </c>
      <c r="H263" s="286" t="n">
        <v>1.24</v>
      </c>
      <c r="I263" s="286" t="n">
        <v>2.06</v>
      </c>
      <c r="J263" s="286" t="n">
        <v>69</v>
      </c>
      <c r="K263" s="286" t="n">
        <v>1.02</v>
      </c>
      <c r="L263" s="286" t="n">
        <v>14.58</v>
      </c>
      <c r="M263" s="286" t="inlineStr">
        <is>
          <t>EQ-LC</t>
        </is>
      </c>
    </row>
    <row r="264">
      <c r="A264" s="287" t="inlineStr">
        <is>
          <t>Invesco India Large &amp; Mid Cap Fund</t>
        </is>
      </c>
      <c r="B264" s="286" t="n">
        <v>15.26</v>
      </c>
      <c r="C264" s="286" t="n">
        <v>30.64</v>
      </c>
      <c r="D264" s="286" t="n">
        <v>26.33</v>
      </c>
      <c r="E264" s="286" t="n">
        <v>15.68</v>
      </c>
      <c r="F264" s="286" t="n">
        <v>1.16</v>
      </c>
      <c r="G264" s="286" t="n">
        <v>1.49</v>
      </c>
      <c r="H264" s="286" t="n">
        <v>7.08</v>
      </c>
      <c r="I264" s="286" t="n">
        <v>1.79</v>
      </c>
      <c r="J264" s="286" t="n">
        <v>51</v>
      </c>
      <c r="K264" s="286" t="n">
        <v>0.99</v>
      </c>
      <c r="L264" s="286" t="n">
        <v>15.45</v>
      </c>
      <c r="M264" s="286" t="inlineStr">
        <is>
          <t>EQ-MC</t>
        </is>
      </c>
    </row>
    <row r="265">
      <c r="A265" s="287" t="inlineStr">
        <is>
          <t>Invesco India Manufacturing Fund - Regular Plan</t>
        </is>
      </c>
      <c r="B265" s="286" t="n">
        <v>0</v>
      </c>
      <c r="C265" s="286" t="n">
        <v>0</v>
      </c>
      <c r="D265" s="286" t="n">
        <v>0</v>
      </c>
      <c r="E265" s="286" t="n">
        <v>0</v>
      </c>
      <c r="F265" s="286" t="n">
        <v>0</v>
      </c>
      <c r="G265" s="286" t="n">
        <v>0</v>
      </c>
      <c r="H265" s="286" t="n">
        <v>0</v>
      </c>
      <c r="I265" s="286" t="n">
        <v>2.28</v>
      </c>
      <c r="J265" s="286" t="n">
        <v>17</v>
      </c>
      <c r="K265" s="286" t="n">
        <v>0</v>
      </c>
      <c r="L265" s="286" t="n">
        <v>0</v>
      </c>
      <c r="M265" s="286" t="inlineStr">
        <is>
          <t>HY-MAA</t>
        </is>
      </c>
    </row>
    <row r="266">
      <c r="A266" s="287" t="inlineStr">
        <is>
          <t>Invesco India Mid Cap Fund</t>
        </is>
      </c>
      <c r="B266" s="286" t="n">
        <v>16.97</v>
      </c>
      <c r="C266" s="286" t="n">
        <v>33.02</v>
      </c>
      <c r="D266" s="286" t="n">
        <v>30.77</v>
      </c>
      <c r="E266" s="286" t="n">
        <v>17.91</v>
      </c>
      <c r="F266" s="286" t="n">
        <v>1.18</v>
      </c>
      <c r="G266" s="286" t="n">
        <v>1.51</v>
      </c>
      <c r="H266" s="286" t="n">
        <v>2.9</v>
      </c>
      <c r="I266" s="286" t="n">
        <v>1.8</v>
      </c>
      <c r="J266" s="286" t="n">
        <v>45</v>
      </c>
      <c r="K266" s="286" t="n">
        <v>0.9399999999999999</v>
      </c>
      <c r="L266" s="286" t="n">
        <v>16.83</v>
      </c>
      <c r="M266" s="286" t="inlineStr">
        <is>
          <t>EQ-MLC</t>
        </is>
      </c>
    </row>
    <row r="267">
      <c r="A267" s="287" t="inlineStr">
        <is>
          <t>Invesco India Multi Asset Allocation Fund - Regular Plan</t>
        </is>
      </c>
      <c r="B267" s="286" t="n">
        <v>0</v>
      </c>
      <c r="C267" s="286" t="n">
        <v>0</v>
      </c>
      <c r="D267" s="286" t="n">
        <v>0</v>
      </c>
      <c r="E267" s="286" t="n">
        <v>0</v>
      </c>
      <c r="F267" s="286" t="n">
        <v>0</v>
      </c>
      <c r="G267" s="286" t="n">
        <v>0</v>
      </c>
      <c r="H267" s="286" t="n">
        <v>0</v>
      </c>
      <c r="I267" s="286" t="n">
        <v>1.86</v>
      </c>
      <c r="J267" s="286" t="n">
        <v>8</v>
      </c>
      <c r="K267" s="286" t="n">
        <v>0</v>
      </c>
      <c r="L267" s="286" t="n">
        <v>0</v>
      </c>
      <c r="M267" s="286" t="inlineStr">
        <is>
          <t>EQ-LC</t>
        </is>
      </c>
    </row>
    <row r="268">
      <c r="A268" s="287" t="inlineStr">
        <is>
          <t>Invesco India Multicap Fund</t>
        </is>
      </c>
      <c r="B268" s="286" t="n">
        <v>8.130000000000001</v>
      </c>
      <c r="C268" s="286" t="n">
        <v>25.25</v>
      </c>
      <c r="D268" s="286" t="n">
        <v>25.27</v>
      </c>
      <c r="E268" s="286" t="n">
        <v>14.18</v>
      </c>
      <c r="F268" s="286" t="n">
        <v>0.97</v>
      </c>
      <c r="G268" s="286" t="n">
        <v>1.23</v>
      </c>
      <c r="H268" s="286" t="n">
        <v>1.05</v>
      </c>
      <c r="I268" s="286" t="n">
        <v>1.89</v>
      </c>
      <c r="J268" s="286" t="n">
        <v>111</v>
      </c>
      <c r="K268" s="286" t="n">
        <v>0.93</v>
      </c>
      <c r="L268" s="286" t="n">
        <v>15.02</v>
      </c>
      <c r="M268" s="286" t="inlineStr">
        <is>
          <t>EQ-LC</t>
        </is>
      </c>
    </row>
    <row r="269">
      <c r="A269" s="287" t="inlineStr">
        <is>
          <t>Invesco India PSU Equity Fund</t>
        </is>
      </c>
      <c r="B269" s="286" t="n">
        <v>-3.33</v>
      </c>
      <c r="C269" s="286" t="n">
        <v>39.16</v>
      </c>
      <c r="D269" s="286" t="n">
        <v>28.81</v>
      </c>
      <c r="E269" s="286" t="n">
        <v>16.71</v>
      </c>
      <c r="F269" s="286" t="n">
        <v>1.18</v>
      </c>
      <c r="G269" s="286" t="n">
        <v>2.05</v>
      </c>
      <c r="H269" s="286" t="n">
        <v>0.03</v>
      </c>
      <c r="I269" s="286" t="n">
        <v>2.14</v>
      </c>
      <c r="J269" s="286" t="n">
        <v>59</v>
      </c>
      <c r="K269" s="286" t="n">
        <v>0.97</v>
      </c>
      <c r="L269" s="286" t="n">
        <v>22.95</v>
      </c>
      <c r="M269" s="286" t="inlineStr">
        <is>
          <t>EQ-SC</t>
        </is>
      </c>
    </row>
    <row r="270">
      <c r="A270" s="287" t="inlineStr">
        <is>
          <t>Invesco India Smallcap Fund - Regular Plan</t>
        </is>
      </c>
      <c r="B270" s="286" t="n">
        <v>10.62</v>
      </c>
      <c r="C270" s="286" t="n">
        <v>31.95</v>
      </c>
      <c r="D270" s="286" t="n">
        <v>33.53</v>
      </c>
      <c r="E270" s="286" t="n">
        <v>0</v>
      </c>
      <c r="F270" s="286" t="n">
        <v>1.19</v>
      </c>
      <c r="G270" s="286" t="n">
        <v>1.43</v>
      </c>
      <c r="H270" s="286" t="n">
        <v>5.17</v>
      </c>
      <c r="I270" s="286" t="n">
        <v>1.76</v>
      </c>
      <c r="J270" s="286" t="n">
        <v>48</v>
      </c>
      <c r="K270" s="286" t="n">
        <v>0.8</v>
      </c>
      <c r="L270" s="286" t="n">
        <v>16.67</v>
      </c>
      <c r="M270" s="286" t="inlineStr">
        <is>
          <t>HY-DAA</t>
        </is>
      </c>
    </row>
    <row r="271">
      <c r="A271" s="287" t="inlineStr">
        <is>
          <t>ITI Balanced Advantage Fund - Regular Plan</t>
        </is>
      </c>
      <c r="B271" s="286" t="n">
        <v>6.86</v>
      </c>
      <c r="C271" s="286" t="n">
        <v>13.3</v>
      </c>
      <c r="D271" s="286" t="n">
        <v>11.48</v>
      </c>
      <c r="E271" s="286" t="n">
        <v>0</v>
      </c>
      <c r="F271" s="286" t="n">
        <v>0.7</v>
      </c>
      <c r="G271" s="286" t="n">
        <v>1.19</v>
      </c>
      <c r="H271" s="286" t="n">
        <v>0.05</v>
      </c>
      <c r="I271" s="286" t="n">
        <v>2.37</v>
      </c>
      <c r="J271" s="286" t="n">
        <v>633</v>
      </c>
      <c r="K271" s="286" t="n">
        <v>0.64</v>
      </c>
      <c r="L271" s="286" t="n">
        <v>7.31</v>
      </c>
      <c r="M271" s="286" t="inlineStr">
        <is>
          <t>EQ-LC</t>
        </is>
      </c>
    </row>
    <row r="272">
      <c r="A272" s="287" t="inlineStr">
        <is>
          <t>ITI Bharat Consumption Fund - Regular Plan</t>
        </is>
      </c>
      <c r="B272" s="286" t="n">
        <v>0</v>
      </c>
      <c r="C272" s="286" t="n">
        <v>0</v>
      </c>
      <c r="D272" s="286" t="n">
        <v>0</v>
      </c>
      <c r="E272" s="286" t="n">
        <v>0</v>
      </c>
      <c r="F272" s="286" t="n">
        <v>0</v>
      </c>
      <c r="G272" s="286" t="n">
        <v>0</v>
      </c>
      <c r="H272" s="286" t="n">
        <v>0</v>
      </c>
      <c r="I272" s="286" t="n">
        <v>2.34</v>
      </c>
      <c r="J272" s="286" t="n">
        <v>0</v>
      </c>
      <c r="K272" s="286" t="n">
        <v>0</v>
      </c>
      <c r="L272" s="286" t="n">
        <v>0</v>
      </c>
      <c r="M272" s="286" t="inlineStr">
        <is>
          <t>EQ-THEMATIC</t>
        </is>
      </c>
    </row>
    <row r="273">
      <c r="A273" s="287" t="inlineStr">
        <is>
          <t>ITI Flexi Cap Fund - Regular Plan</t>
        </is>
      </c>
      <c r="B273" s="286" t="n">
        <v>2.19</v>
      </c>
      <c r="C273" s="286" t="n">
        <v>0</v>
      </c>
      <c r="D273" s="286" t="n">
        <v>0</v>
      </c>
      <c r="E273" s="286" t="n">
        <v>0</v>
      </c>
      <c r="F273" s="286" t="n">
        <v>0</v>
      </c>
      <c r="G273" s="286" t="n">
        <v>0</v>
      </c>
      <c r="H273" s="286" t="n">
        <v>0</v>
      </c>
      <c r="I273" s="286" t="n">
        <v>2.05</v>
      </c>
      <c r="J273" s="286" t="n">
        <v>103</v>
      </c>
      <c r="K273" s="286" t="n">
        <v>0</v>
      </c>
      <c r="L273" s="286" t="n">
        <v>0</v>
      </c>
      <c r="M273" s="286" t="inlineStr">
        <is>
          <t>HY-AH</t>
        </is>
      </c>
    </row>
    <row r="274">
      <c r="A274" s="287" t="inlineStr">
        <is>
          <t>ITI Focused Equity Fund - Regular Plan</t>
        </is>
      </c>
      <c r="B274" s="286" t="n">
        <v>7.36</v>
      </c>
      <c r="C274" s="286" t="n">
        <v>0</v>
      </c>
      <c r="D274" s="286" t="n">
        <v>0</v>
      </c>
      <c r="E274" s="286" t="n">
        <v>0</v>
      </c>
      <c r="F274" s="286" t="n">
        <v>0</v>
      </c>
      <c r="G274" s="286" t="n">
        <v>0</v>
      </c>
      <c r="H274" s="286" t="n">
        <v>0</v>
      </c>
      <c r="I274" s="286" t="n">
        <v>2.37</v>
      </c>
      <c r="J274" s="286" t="n">
        <v>66</v>
      </c>
      <c r="K274" s="286" t="n">
        <v>0</v>
      </c>
      <c r="L274" s="286" t="n">
        <v>0</v>
      </c>
      <c r="M274" s="286" t="inlineStr">
        <is>
          <t>EQ-THEMATIC</t>
        </is>
      </c>
    </row>
    <row r="275">
      <c r="A275" s="287" t="inlineStr">
        <is>
          <t>ITI Large Cap Fund - Regular Plan</t>
        </is>
      </c>
      <c r="B275" s="286" t="n">
        <v>1.39</v>
      </c>
      <c r="C275" s="286" t="n">
        <v>19.67</v>
      </c>
      <c r="D275" s="286" t="n">
        <v>0</v>
      </c>
      <c r="E275" s="286" t="n">
        <v>0</v>
      </c>
      <c r="F275" s="286" t="n">
        <v>0.68</v>
      </c>
      <c r="G275" s="286" t="n">
        <v>1.1</v>
      </c>
      <c r="H275" s="286" t="n">
        <v>-0.58</v>
      </c>
      <c r="I275" s="286" t="n">
        <v>2.35</v>
      </c>
      <c r="J275" s="286" t="n">
        <v>74</v>
      </c>
      <c r="K275" s="286" t="n">
        <v>1.01</v>
      </c>
      <c r="L275" s="286" t="n">
        <v>14.44</v>
      </c>
      <c r="M275" s="286" t="inlineStr">
        <is>
          <t>HY-AR</t>
        </is>
      </c>
    </row>
    <row r="276">
      <c r="A276" s="287" t="inlineStr">
        <is>
          <t>ITI Large &amp; Mid Cap Fund - Regular Plan</t>
        </is>
      </c>
      <c r="B276" s="286" t="n">
        <v>0</v>
      </c>
      <c r="C276" s="286" t="n">
        <v>0</v>
      </c>
      <c r="D276" s="286" t="n">
        <v>0</v>
      </c>
      <c r="E276" s="286" t="n">
        <v>0</v>
      </c>
      <c r="F276" s="286" t="n">
        <v>0</v>
      </c>
      <c r="G276" s="286" t="n">
        <v>0</v>
      </c>
      <c r="H276" s="286" t="n">
        <v>0</v>
      </c>
      <c r="I276" s="286" t="n">
        <v>2.15</v>
      </c>
      <c r="J276" s="286" t="n">
        <v>0</v>
      </c>
      <c r="K276" s="286" t="n">
        <v>0</v>
      </c>
      <c r="L276" s="286" t="n">
        <v>0</v>
      </c>
      <c r="M276" s="286" t="inlineStr">
        <is>
          <t>HY-AH</t>
        </is>
      </c>
    </row>
    <row r="277">
      <c r="A277" s="287" t="inlineStr">
        <is>
          <t>ITI Mid Cap Fund - Regular Plan</t>
        </is>
      </c>
      <c r="B277" s="286" t="n">
        <v>-0.67</v>
      </c>
      <c r="C277" s="286" t="n">
        <v>29.03</v>
      </c>
      <c r="D277" s="286" t="n">
        <v>0</v>
      </c>
      <c r="E277" s="286" t="n">
        <v>0</v>
      </c>
      <c r="F277" s="286" t="n">
        <v>1.11</v>
      </c>
      <c r="G277" s="286" t="n">
        <v>1.59</v>
      </c>
      <c r="H277" s="286" t="n">
        <v>1.39</v>
      </c>
      <c r="I277" s="286" t="n">
        <v>2.06</v>
      </c>
      <c r="J277" s="286" t="n">
        <v>135</v>
      </c>
      <c r="K277" s="286" t="n">
        <v>0.96</v>
      </c>
      <c r="L277" s="286" t="n">
        <v>16.92</v>
      </c>
      <c r="M277" s="286" t="inlineStr">
        <is>
          <t>EQ-THEMATIC</t>
        </is>
      </c>
    </row>
    <row r="278">
      <c r="A278" s="287" t="inlineStr">
        <is>
          <t>ITI Multi Cap Fund - Regular Plan</t>
        </is>
      </c>
      <c r="B278" s="286" t="n">
        <v>-0.17</v>
      </c>
      <c r="C278" s="286" t="n">
        <v>25.56</v>
      </c>
      <c r="D278" s="286" t="n">
        <v>21.13</v>
      </c>
      <c r="E278" s="286" t="n">
        <v>0</v>
      </c>
      <c r="F278" s="286" t="n">
        <v>0.98</v>
      </c>
      <c r="G278" s="286" t="n">
        <v>1.26</v>
      </c>
      <c r="H278" s="286" t="n">
        <v>1.16</v>
      </c>
      <c r="I278" s="286" t="n">
        <v>2.02</v>
      </c>
      <c r="J278" s="286" t="n">
        <v>104</v>
      </c>
      <c r="K278" s="286" t="n">
        <v>0.97</v>
      </c>
      <c r="L278" s="286" t="n">
        <v>15.61</v>
      </c>
      <c r="M278" s="286" t="inlineStr">
        <is>
          <t>EQ-THEMATIC</t>
        </is>
      </c>
    </row>
    <row r="279">
      <c r="A279" s="287" t="inlineStr">
        <is>
          <t>ITI Small Cap Fund - Regular Plan</t>
        </is>
      </c>
      <c r="B279" s="286" t="n">
        <v>3.76</v>
      </c>
      <c r="C279" s="286" t="n">
        <v>33.18</v>
      </c>
      <c r="D279" s="286" t="n">
        <v>27.95</v>
      </c>
      <c r="E279" s="286" t="n">
        <v>0</v>
      </c>
      <c r="F279" s="286" t="n">
        <v>1.24</v>
      </c>
      <c r="G279" s="286" t="n">
        <v>1.55</v>
      </c>
      <c r="H279" s="286" t="n">
        <v>6.01</v>
      </c>
      <c r="I279" s="286" t="n">
        <v>1.93</v>
      </c>
      <c r="J279" s="286" t="n">
        <v>104</v>
      </c>
      <c r="K279" s="286" t="n">
        <v>0.84</v>
      </c>
      <c r="L279" s="286" t="n">
        <v>17.19</v>
      </c>
      <c r="M279" s="286" t="inlineStr">
        <is>
          <t>EQ-FLX</t>
        </is>
      </c>
    </row>
    <row r="280">
      <c r="A280" s="287" t="inlineStr">
        <is>
          <t>JM Aggressive Hybrid Fund</t>
        </is>
      </c>
      <c r="B280" s="286" t="n">
        <v>0.7</v>
      </c>
      <c r="C280" s="286" t="n">
        <v>25.42</v>
      </c>
      <c r="D280" s="286" t="n">
        <v>27.09</v>
      </c>
      <c r="E280" s="286" t="n">
        <v>12.45</v>
      </c>
      <c r="F280" s="286" t="n">
        <v>1.22</v>
      </c>
      <c r="G280" s="286" t="n">
        <v>1.87</v>
      </c>
      <c r="H280" s="286" t="n">
        <v>6.55</v>
      </c>
      <c r="I280" s="286" t="n">
        <v>2.22</v>
      </c>
      <c r="J280" s="286" t="n">
        <v>158.6</v>
      </c>
      <c r="K280" s="286" t="n">
        <v>0.86</v>
      </c>
      <c r="L280" s="286" t="n">
        <v>12.16</v>
      </c>
      <c r="M280" s="286" t="inlineStr">
        <is>
          <t>EQ-THEMATIC</t>
        </is>
      </c>
    </row>
    <row r="281">
      <c r="A281" s="287" t="inlineStr">
        <is>
          <t>JM Flexicap Fund</t>
        </is>
      </c>
      <c r="B281" s="286" t="n">
        <v>-3.46</v>
      </c>
      <c r="C281" s="286" t="n">
        <v>28.29</v>
      </c>
      <c r="D281" s="286" t="n">
        <v>27</v>
      </c>
      <c r="E281" s="286" t="n">
        <v>15.92</v>
      </c>
      <c r="F281" s="286" t="n">
        <v>1.16</v>
      </c>
      <c r="G281" s="286" t="n">
        <v>1.66</v>
      </c>
      <c r="H281" s="286" t="n">
        <v>6.73</v>
      </c>
      <c r="I281" s="286" t="n">
        <v>1.77</v>
      </c>
      <c r="J281" s="286" t="n">
        <v>173.16</v>
      </c>
      <c r="K281" s="286" t="n">
        <v>0.98</v>
      </c>
      <c r="L281" s="286" t="n">
        <v>15.55</v>
      </c>
      <c r="M281" s="286" t="inlineStr">
        <is>
          <t>EQ-FLX</t>
        </is>
      </c>
    </row>
    <row r="282">
      <c r="A282" s="287" t="inlineStr">
        <is>
          <t>JM Focused Fund</t>
        </is>
      </c>
      <c r="B282" s="286" t="n">
        <v>0.16</v>
      </c>
      <c r="C282" s="286" t="n">
        <v>23.92</v>
      </c>
      <c r="D282" s="286" t="n">
        <v>21.1</v>
      </c>
      <c r="E282" s="286" t="n">
        <v>12.68</v>
      </c>
      <c r="F282" s="286" t="n">
        <v>0.93</v>
      </c>
      <c r="G282" s="286" t="n">
        <v>1.41</v>
      </c>
      <c r="H282" s="286" t="n">
        <v>3.02</v>
      </c>
      <c r="I282" s="286" t="n">
        <v>2.37</v>
      </c>
      <c r="J282" s="286" t="n">
        <v>193.95</v>
      </c>
      <c r="K282" s="286" t="n">
        <v>0.9399999999999999</v>
      </c>
      <c r="L282" s="286" t="n">
        <v>14.92</v>
      </c>
      <c r="M282" s="286" t="inlineStr">
        <is>
          <t>EQ-THEMATIC</t>
        </is>
      </c>
    </row>
    <row r="283">
      <c r="A283" s="287" t="inlineStr">
        <is>
          <t>JM Large Cap Fund</t>
        </is>
      </c>
      <c r="B283" s="286" t="n">
        <v>-1.81</v>
      </c>
      <c r="C283" s="286" t="n">
        <v>20.97</v>
      </c>
      <c r="D283" s="286" t="n">
        <v>18.69</v>
      </c>
      <c r="E283" s="286" t="n">
        <v>10.82</v>
      </c>
      <c r="F283" s="286" t="n">
        <v>0.78</v>
      </c>
      <c r="G283" s="286" t="n">
        <v>1.32</v>
      </c>
      <c r="H283" s="286" t="n">
        <v>1.03</v>
      </c>
      <c r="I283" s="286" t="n">
        <v>2.36</v>
      </c>
      <c r="J283" s="286" t="n">
        <v>272.2</v>
      </c>
      <c r="K283" s="286" t="n">
        <v>0.95</v>
      </c>
      <c r="L283" s="286" t="n">
        <v>13.89</v>
      </c>
      <c r="M283" s="286" t="inlineStr">
        <is>
          <t>EQ-THEMATIC</t>
        </is>
      </c>
    </row>
    <row r="284">
      <c r="A284" s="287" t="inlineStr">
        <is>
          <t>JM Large &amp; Mid Cap Fund - Regular Plan</t>
        </is>
      </c>
      <c r="B284" s="286" t="n">
        <v>0</v>
      </c>
      <c r="C284" s="286" t="n">
        <v>0</v>
      </c>
      <c r="D284" s="286" t="n">
        <v>0</v>
      </c>
      <c r="E284" s="286" t="n">
        <v>0</v>
      </c>
      <c r="F284" s="286" t="n">
        <v>0</v>
      </c>
      <c r="G284" s="286" t="n">
        <v>0</v>
      </c>
      <c r="H284" s="286" t="n">
        <v>0</v>
      </c>
      <c r="I284" s="286" t="n">
        <v>0</v>
      </c>
      <c r="J284" s="286" t="n">
        <v>0</v>
      </c>
      <c r="K284" s="286" t="n">
        <v>0</v>
      </c>
      <c r="L284" s="286" t="n">
        <v>0</v>
      </c>
      <c r="M284" s="286" t="inlineStr">
        <is>
          <t>EQ-THEMATIC</t>
        </is>
      </c>
    </row>
    <row r="285">
      <c r="A285" s="287" t="inlineStr">
        <is>
          <t>JM Midcap Fund - Regular Plan</t>
        </is>
      </c>
      <c r="B285" s="286" t="n">
        <v>-0.38</v>
      </c>
      <c r="C285" s="286" t="n">
        <v>0</v>
      </c>
      <c r="D285" s="286" t="n">
        <v>0</v>
      </c>
      <c r="E285" s="286" t="n">
        <v>0</v>
      </c>
      <c r="F285" s="286" t="n">
        <v>0</v>
      </c>
      <c r="G285" s="286" t="n">
        <v>0</v>
      </c>
      <c r="H285" s="286" t="n">
        <v>0</v>
      </c>
      <c r="I285" s="286" t="n">
        <v>2.05</v>
      </c>
      <c r="J285" s="286" t="n">
        <v>190.95</v>
      </c>
      <c r="K285" s="286" t="n">
        <v>0</v>
      </c>
      <c r="L285" s="286" t="n">
        <v>0</v>
      </c>
      <c r="M285" s="286" t="inlineStr">
        <is>
          <t>EQ-LC</t>
        </is>
      </c>
    </row>
    <row r="286">
      <c r="A286" s="287" t="inlineStr">
        <is>
          <t>JM Small Cap Fund - Regular Plan</t>
        </is>
      </c>
      <c r="B286" s="286" t="n">
        <v>1.85</v>
      </c>
      <c r="C286" s="286" t="n">
        <v>0</v>
      </c>
      <c r="D286" s="286" t="n">
        <v>0</v>
      </c>
      <c r="E286" s="286" t="n">
        <v>0</v>
      </c>
      <c r="F286" s="286" t="n">
        <v>0</v>
      </c>
      <c r="G286" s="286" t="n">
        <v>0</v>
      </c>
      <c r="H286" s="286" t="n">
        <v>0</v>
      </c>
      <c r="I286" s="286" t="n">
        <v>2.27</v>
      </c>
      <c r="J286" s="286" t="n">
        <v>0</v>
      </c>
      <c r="K286" s="286" t="n">
        <v>0</v>
      </c>
      <c r="L286" s="286" t="n">
        <v>0</v>
      </c>
      <c r="M286" s="286" t="inlineStr">
        <is>
          <t>EQ-L&amp;MC</t>
        </is>
      </c>
    </row>
    <row r="287">
      <c r="A287" s="287" t="inlineStr">
        <is>
          <t>Kotak Balanced Advantage Fund - Regular Plan</t>
        </is>
      </c>
      <c r="B287" s="286" t="n">
        <v>8.27</v>
      </c>
      <c r="C287" s="286" t="n">
        <v>14.46</v>
      </c>
      <c r="D287" s="286" t="n">
        <v>13.75</v>
      </c>
      <c r="E287" s="286" t="n">
        <v>0</v>
      </c>
      <c r="F287" s="286" t="n">
        <v>0.82</v>
      </c>
      <c r="G287" s="286" t="n">
        <v>1.07</v>
      </c>
      <c r="H287" s="286" t="n">
        <v>0.62</v>
      </c>
      <c r="I287" s="286" t="n">
        <v>1.66</v>
      </c>
      <c r="J287" s="286" t="n">
        <v>236.02</v>
      </c>
      <c r="K287" s="286" t="n">
        <v>0.71</v>
      </c>
      <c r="L287" s="286" t="n">
        <v>7.54</v>
      </c>
      <c r="M287" s="286" t="inlineStr">
        <is>
          <t>EQ-THEMATIC</t>
        </is>
      </c>
    </row>
    <row r="288">
      <c r="A288" s="287" t="inlineStr">
        <is>
          <t>Kotak Bluechip Fund - Regular Plan</t>
        </is>
      </c>
      <c r="B288" s="286" t="n">
        <v>6.35</v>
      </c>
      <c r="C288" s="286" t="n">
        <v>19.92</v>
      </c>
      <c r="D288" s="286" t="n">
        <v>21.36</v>
      </c>
      <c r="E288" s="286" t="n">
        <v>12.86</v>
      </c>
      <c r="F288" s="286" t="n">
        <v>0.78</v>
      </c>
      <c r="G288" s="286" t="n">
        <v>1.21</v>
      </c>
      <c r="H288" s="286" t="n">
        <v>0.53</v>
      </c>
      <c r="I288" s="286" t="n">
        <v>1.73</v>
      </c>
      <c r="J288" s="286" t="n">
        <v>30.24</v>
      </c>
      <c r="K288" s="286" t="n">
        <v>0.9399999999999999</v>
      </c>
      <c r="L288" s="286" t="n">
        <v>13.04</v>
      </c>
      <c r="M288" s="286" t="inlineStr">
        <is>
          <t>EQ-MC</t>
        </is>
      </c>
    </row>
    <row r="289">
      <c r="A289" s="287" t="inlineStr">
        <is>
          <t>Kotak Business Cycle Fund - Regular Plan</t>
        </is>
      </c>
      <c r="B289" s="286" t="n">
        <v>8.359999999999999</v>
      </c>
      <c r="C289" s="286" t="n">
        <v>0</v>
      </c>
      <c r="D289" s="286" t="n">
        <v>0</v>
      </c>
      <c r="E289" s="286" t="n">
        <v>0</v>
      </c>
      <c r="F289" s="286" t="n">
        <v>0</v>
      </c>
      <c r="G289" s="286" t="n">
        <v>0</v>
      </c>
      <c r="H289" s="286" t="n">
        <v>0</v>
      </c>
      <c r="I289" s="286" t="n">
        <v>1.95</v>
      </c>
      <c r="J289" s="286" t="n">
        <v>42.72</v>
      </c>
      <c r="K289" s="286" t="n">
        <v>0</v>
      </c>
      <c r="L289" s="286" t="n">
        <v>0</v>
      </c>
      <c r="M289" s="286" t="inlineStr">
        <is>
          <t>HY-MAA</t>
        </is>
      </c>
    </row>
    <row r="290">
      <c r="A290" s="287" t="inlineStr">
        <is>
          <t>Kotak Consumption Fund - Regular Plan</t>
        </is>
      </c>
      <c r="B290" s="286" t="n">
        <v>9.09</v>
      </c>
      <c r="C290" s="286" t="n">
        <v>0</v>
      </c>
      <c r="D290" s="286" t="n">
        <v>0</v>
      </c>
      <c r="E290" s="286" t="n">
        <v>0</v>
      </c>
      <c r="F290" s="286" t="n">
        <v>0</v>
      </c>
      <c r="G290" s="286" t="n">
        <v>0</v>
      </c>
      <c r="H290" s="286" t="n">
        <v>0</v>
      </c>
      <c r="I290" s="286" t="n">
        <v>2.12</v>
      </c>
      <c r="J290" s="286" t="n">
        <v>27.39</v>
      </c>
      <c r="K290" s="286" t="n">
        <v>0</v>
      </c>
      <c r="L290" s="286" t="n">
        <v>0</v>
      </c>
      <c r="M290" s="286" t="inlineStr">
        <is>
          <t>EQ-MLC</t>
        </is>
      </c>
    </row>
    <row r="291">
      <c r="A291" s="287" t="inlineStr">
        <is>
          <t>Kotak Debt Hybrid Fund - Regular Plan</t>
        </is>
      </c>
      <c r="B291" s="286" t="n">
        <v>6.95</v>
      </c>
      <c r="C291" s="286" t="n">
        <v>12.06</v>
      </c>
      <c r="D291" s="286" t="n">
        <v>11.79</v>
      </c>
      <c r="E291" s="286" t="n">
        <v>9.68</v>
      </c>
      <c r="F291" s="286" t="n">
        <v>1.07</v>
      </c>
      <c r="G291" s="286" t="n">
        <v>1.51</v>
      </c>
      <c r="H291" s="286" t="n">
        <v>0.92</v>
      </c>
      <c r="I291" s="286" t="n">
        <v>1.66</v>
      </c>
      <c r="J291" s="286" t="n">
        <v>24.23</v>
      </c>
      <c r="K291" s="286" t="n">
        <v>1.1</v>
      </c>
      <c r="L291" s="286" t="n">
        <v>4.61</v>
      </c>
      <c r="M291" s="286" t="inlineStr">
        <is>
          <t>EQ-L&amp;MC</t>
        </is>
      </c>
    </row>
    <row r="292">
      <c r="A292" s="287" t="inlineStr">
        <is>
          <t>Kotak Emerging Equity Fund - Regular Plan</t>
        </is>
      </c>
      <c r="B292" s="286" t="n">
        <v>7.36</v>
      </c>
      <c r="C292" s="286" t="n">
        <v>27.74</v>
      </c>
      <c r="D292" s="286" t="n">
        <v>30.47</v>
      </c>
      <c r="E292" s="286" t="n">
        <v>17.99</v>
      </c>
      <c r="F292" s="286" t="n">
        <v>1</v>
      </c>
      <c r="G292" s="286" t="n">
        <v>1.31</v>
      </c>
      <c r="H292" s="286" t="n">
        <v>-0.12</v>
      </c>
      <c r="I292" s="286" t="n">
        <v>1.42</v>
      </c>
      <c r="J292" s="286" t="n">
        <v>38.96</v>
      </c>
      <c r="K292" s="286" t="n">
        <v>0.91</v>
      </c>
      <c r="L292" s="286" t="n">
        <v>16.23</v>
      </c>
      <c r="M292" s="286" t="inlineStr">
        <is>
          <t>EQ-L&amp;MC</t>
        </is>
      </c>
    </row>
    <row r="293">
      <c r="A293" s="287" t="inlineStr">
        <is>
          <t>Kotak Energy Opportunities Fund - Regular Plan</t>
        </is>
      </c>
      <c r="B293" s="286" t="n">
        <v>0</v>
      </c>
      <c r="C293" s="286" t="n">
        <v>0</v>
      </c>
      <c r="D293" s="286" t="n">
        <v>0</v>
      </c>
      <c r="E293" s="286" t="n">
        <v>0</v>
      </c>
      <c r="F293" s="286" t="n">
        <v>0</v>
      </c>
      <c r="G293" s="286" t="n">
        <v>0</v>
      </c>
      <c r="H293" s="286" t="n">
        <v>0</v>
      </c>
      <c r="I293" s="286" t="n">
        <v>2.42</v>
      </c>
      <c r="J293" s="286" t="n">
        <v>0</v>
      </c>
      <c r="K293" s="286" t="n">
        <v>0</v>
      </c>
      <c r="L293" s="286" t="n">
        <v>0</v>
      </c>
      <c r="M293" s="286" t="inlineStr">
        <is>
          <t>EQ-FLX</t>
        </is>
      </c>
    </row>
    <row r="294">
      <c r="A294" s="287" t="inlineStr">
        <is>
          <t>Kotak Equity Hybrid Fund - Regular Plan</t>
        </is>
      </c>
      <c r="B294" s="286" t="n">
        <v>7.29</v>
      </c>
      <c r="C294" s="286" t="n">
        <v>19.09</v>
      </c>
      <c r="D294" s="286" t="n">
        <v>21.37</v>
      </c>
      <c r="E294" s="286" t="n">
        <v>12.92</v>
      </c>
      <c r="F294" s="286" t="n">
        <v>0.86</v>
      </c>
      <c r="G294" s="286" t="n">
        <v>1.1</v>
      </c>
      <c r="H294" s="286" t="n">
        <v>0.9399999999999999</v>
      </c>
      <c r="I294" s="286" t="n">
        <v>1.76</v>
      </c>
      <c r="J294" s="286" t="n">
        <v>67.73999999999999</v>
      </c>
      <c r="K294" s="286" t="n">
        <v>0.88</v>
      </c>
      <c r="L294" s="286" t="n">
        <v>11.01</v>
      </c>
      <c r="M294" s="286" t="inlineStr">
        <is>
          <t>EQ-LC</t>
        </is>
      </c>
    </row>
    <row r="295">
      <c r="A295" s="287" t="inlineStr">
        <is>
          <t>Kotak Equity Opportunities Fund - Regular Plan</t>
        </is>
      </c>
      <c r="B295" s="286" t="n">
        <v>2.89</v>
      </c>
      <c r="C295" s="286" t="n">
        <v>24.52</v>
      </c>
      <c r="D295" s="286" t="n">
        <v>24.41</v>
      </c>
      <c r="E295" s="286" t="n">
        <v>15.24</v>
      </c>
      <c r="F295" s="286" t="n">
        <v>1</v>
      </c>
      <c r="G295" s="286" t="n">
        <v>1.4</v>
      </c>
      <c r="H295" s="286" t="n">
        <v>3.75</v>
      </c>
      <c r="I295" s="286" t="n">
        <v>1.59</v>
      </c>
      <c r="J295" s="286" t="n">
        <v>20.72</v>
      </c>
      <c r="K295" s="286" t="n">
        <v>0.93</v>
      </c>
      <c r="L295" s="286" t="n">
        <v>14.06</v>
      </c>
      <c r="M295" s="286" t="inlineStr">
        <is>
          <t>EQ-LC</t>
        </is>
      </c>
    </row>
    <row r="296">
      <c r="A296" s="287" t="inlineStr">
        <is>
          <t>Kotak ESG Exclusionary Strategy Fund - Regular Plan</t>
        </is>
      </c>
      <c r="B296" s="286" t="n">
        <v>2.73</v>
      </c>
      <c r="C296" s="286" t="n">
        <v>18.73</v>
      </c>
      <c r="D296" s="286" t="n">
        <v>0</v>
      </c>
      <c r="E296" s="286" t="n">
        <v>0</v>
      </c>
      <c r="F296" s="286" t="n">
        <v>0.65</v>
      </c>
      <c r="G296" s="286" t="n">
        <v>1.03</v>
      </c>
      <c r="H296" s="286" t="n">
        <v>-1.03</v>
      </c>
      <c r="I296" s="286" t="n">
        <v>2.28</v>
      </c>
      <c r="J296" s="286" t="n">
        <v>14.9</v>
      </c>
      <c r="K296" s="286" t="n">
        <v>0.96</v>
      </c>
      <c r="L296" s="286" t="n">
        <v>13.58</v>
      </c>
      <c r="M296" s="286" t="inlineStr">
        <is>
          <t>EQ-THEMATIC</t>
        </is>
      </c>
    </row>
    <row r="297">
      <c r="A297" s="287" t="inlineStr">
        <is>
          <t>Kotak Flexicap Fund - Regular Plan</t>
        </is>
      </c>
      <c r="B297" s="286" t="n">
        <v>6.96</v>
      </c>
      <c r="C297" s="286" t="n">
        <v>22.57</v>
      </c>
      <c r="D297" s="286" t="n">
        <v>21.6</v>
      </c>
      <c r="E297" s="286" t="n">
        <v>14.19</v>
      </c>
      <c r="F297" s="286" t="n">
        <v>0.87</v>
      </c>
      <c r="G297" s="286" t="n">
        <v>1.38</v>
      </c>
      <c r="H297" s="286" t="n">
        <v>1.31</v>
      </c>
      <c r="I297" s="286" t="n">
        <v>1.46</v>
      </c>
      <c r="J297" s="286" t="n">
        <v>9.83</v>
      </c>
      <c r="K297" s="286" t="n">
        <v>0.93</v>
      </c>
      <c r="L297" s="286" t="n">
        <v>13.86</v>
      </c>
      <c r="M297" s="286" t="inlineStr">
        <is>
          <t>EQ-L&amp;MC</t>
        </is>
      </c>
    </row>
    <row r="298">
      <c r="A298" s="287" t="inlineStr">
        <is>
          <t>Kotak Focused Equity Fund - Regular Plan</t>
        </is>
      </c>
      <c r="B298" s="286" t="n">
        <v>5.08</v>
      </c>
      <c r="C298" s="286" t="n">
        <v>20.24</v>
      </c>
      <c r="D298" s="286" t="n">
        <v>21.76</v>
      </c>
      <c r="E298" s="286" t="n">
        <v>0</v>
      </c>
      <c r="F298" s="286" t="n">
        <v>0.75</v>
      </c>
      <c r="G298" s="286" t="n">
        <v>1.15</v>
      </c>
      <c r="H298" s="286" t="n">
        <v>-0.33</v>
      </c>
      <c r="I298" s="286" t="n">
        <v>1.89</v>
      </c>
      <c r="J298" s="286" t="n">
        <v>33.03</v>
      </c>
      <c r="K298" s="286" t="n">
        <v>0.9</v>
      </c>
      <c r="L298" s="286" t="n">
        <v>13.28</v>
      </c>
      <c r="M298" s="286" t="inlineStr">
        <is>
          <t>EQ-MC</t>
        </is>
      </c>
    </row>
    <row r="299">
      <c r="A299" s="287" t="inlineStr">
        <is>
          <t>Kotak Manufacture in India Fund - Regular Plan</t>
        </is>
      </c>
      <c r="B299" s="286" t="n">
        <v>-0.21</v>
      </c>
      <c r="C299" s="286" t="n">
        <v>23.46</v>
      </c>
      <c r="D299" s="286" t="n">
        <v>0</v>
      </c>
      <c r="E299" s="286" t="n">
        <v>0</v>
      </c>
      <c r="F299" s="286" t="n">
        <v>0.88</v>
      </c>
      <c r="G299" s="286" t="n">
        <v>1.17</v>
      </c>
      <c r="H299" s="286" t="n">
        <v>2.38</v>
      </c>
      <c r="I299" s="286" t="n">
        <v>1.97</v>
      </c>
      <c r="J299" s="286" t="n">
        <v>24.75</v>
      </c>
      <c r="K299" s="286" t="n">
        <v>1</v>
      </c>
      <c r="L299" s="286" t="n">
        <v>15.85</v>
      </c>
      <c r="M299" s="286" t="inlineStr">
        <is>
          <t>EQ-LC</t>
        </is>
      </c>
    </row>
    <row r="300">
      <c r="A300" s="287" t="inlineStr">
        <is>
          <t>Kotak MNC Fund - Regular Plan</t>
        </is>
      </c>
      <c r="B300" s="286" t="n">
        <v>0</v>
      </c>
      <c r="C300" s="286" t="n">
        <v>0</v>
      </c>
      <c r="D300" s="286" t="n">
        <v>0</v>
      </c>
      <c r="E300" s="286" t="n">
        <v>0</v>
      </c>
      <c r="F300" s="286" t="n">
        <v>0</v>
      </c>
      <c r="G300" s="286" t="n">
        <v>0</v>
      </c>
      <c r="H300" s="286" t="n">
        <v>0</v>
      </c>
      <c r="I300" s="286" t="n">
        <v>1.99</v>
      </c>
      <c r="J300" s="286" t="n">
        <v>2.37</v>
      </c>
      <c r="K300" s="286" t="n">
        <v>0</v>
      </c>
      <c r="L300" s="286" t="n">
        <v>0</v>
      </c>
      <c r="M300" s="286" t="inlineStr">
        <is>
          <t>EQ-SC</t>
        </is>
      </c>
    </row>
    <row r="301">
      <c r="A301" s="287" t="inlineStr">
        <is>
          <t>Kotak Multi Asset Allocation Fund - Regular Plan</t>
        </is>
      </c>
      <c r="B301" s="286" t="n">
        <v>5.52</v>
      </c>
      <c r="C301" s="286" t="n">
        <v>0</v>
      </c>
      <c r="D301" s="286" t="n">
        <v>0</v>
      </c>
      <c r="E301" s="286" t="n">
        <v>0</v>
      </c>
      <c r="F301" s="286" t="n">
        <v>0</v>
      </c>
      <c r="G301" s="286" t="n">
        <v>0</v>
      </c>
      <c r="H301" s="286" t="n">
        <v>0</v>
      </c>
      <c r="I301" s="286" t="n">
        <v>1.74</v>
      </c>
      <c r="J301" s="286" t="n">
        <v>134.87</v>
      </c>
      <c r="K301" s="286" t="n">
        <v>0</v>
      </c>
      <c r="L301" s="286" t="n">
        <v>0</v>
      </c>
      <c r="M301" s="286" t="inlineStr">
        <is>
          <t>EQ-LC</t>
        </is>
      </c>
    </row>
    <row r="302">
      <c r="A302" s="287" t="inlineStr">
        <is>
          <t>Kotak Multi Asset Allocator FoF - Dynamic Regular Plan</t>
        </is>
      </c>
      <c r="B302" s="286" t="n">
        <v>9.140000000000001</v>
      </c>
      <c r="C302" s="286" t="n">
        <v>22.55</v>
      </c>
      <c r="D302" s="286" t="n">
        <v>21.46</v>
      </c>
      <c r="E302" s="286" t="n">
        <v>14.77</v>
      </c>
      <c r="F302" s="286" t="n">
        <v>1.38</v>
      </c>
      <c r="G302" s="286" t="n">
        <v>1.9</v>
      </c>
      <c r="H302" s="286" t="n">
        <v>4.56</v>
      </c>
      <c r="I302" s="286" t="n">
        <v>0.99</v>
      </c>
      <c r="J302" s="286" t="n">
        <v>40.43</v>
      </c>
      <c r="K302" s="286" t="n">
        <v>0.91</v>
      </c>
      <c r="L302" s="286" t="n">
        <v>9.16</v>
      </c>
      <c r="M302" s="286" t="inlineStr">
        <is>
          <t>EQ-THEMATIC</t>
        </is>
      </c>
    </row>
    <row r="303">
      <c r="A303" s="287" t="inlineStr">
        <is>
          <t>Kotak Multicap Fund - Regular Plan</t>
        </is>
      </c>
      <c r="B303" s="286" t="n">
        <v>3.34</v>
      </c>
      <c r="C303" s="286" t="n">
        <v>29.14</v>
      </c>
      <c r="D303" s="286" t="n">
        <v>0</v>
      </c>
      <c r="E303" s="286" t="n">
        <v>0</v>
      </c>
      <c r="F303" s="286" t="n">
        <v>1.15</v>
      </c>
      <c r="G303" s="286" t="n">
        <v>1.58</v>
      </c>
      <c r="H303" s="286" t="n">
        <v>4.02</v>
      </c>
      <c r="I303" s="286" t="n">
        <v>1.63</v>
      </c>
      <c r="J303" s="286" t="n">
        <v>45.94</v>
      </c>
      <c r="K303" s="286" t="n">
        <v>1</v>
      </c>
      <c r="L303" s="286" t="n">
        <v>16.12</v>
      </c>
      <c r="M303" s="286" t="inlineStr">
        <is>
          <t>EQ-THEMATIC</t>
        </is>
      </c>
    </row>
    <row r="304">
      <c r="A304" s="287" t="inlineStr">
        <is>
          <t>Kotak Pioneer Fund - Regular Plan</t>
        </is>
      </c>
      <c r="B304" s="286" t="n">
        <v>7.71</v>
      </c>
      <c r="C304" s="286" t="n">
        <v>25.1</v>
      </c>
      <c r="D304" s="286" t="n">
        <v>26.15</v>
      </c>
      <c r="E304" s="286" t="n">
        <v>0</v>
      </c>
      <c r="F304" s="286" t="n">
        <v>1</v>
      </c>
      <c r="G304" s="286" t="n">
        <v>1.26</v>
      </c>
      <c r="H304" s="286" t="n">
        <v>4.19</v>
      </c>
      <c r="I304" s="286" t="n">
        <v>1.88</v>
      </c>
      <c r="J304" s="286" t="n">
        <v>21.47</v>
      </c>
      <c r="K304" s="286" t="n">
        <v>0.88</v>
      </c>
      <c r="L304" s="286" t="n">
        <v>14.37</v>
      </c>
      <c r="M304" s="286" t="inlineStr">
        <is>
          <t>HY-CH</t>
        </is>
      </c>
    </row>
    <row r="305">
      <c r="A305" s="287" t="inlineStr">
        <is>
          <t>Kotak Quant Fund - Regular Plan</t>
        </is>
      </c>
      <c r="B305" s="286" t="n">
        <v>-3.49</v>
      </c>
      <c r="C305" s="286" t="n">
        <v>0</v>
      </c>
      <c r="D305" s="286" t="n">
        <v>0</v>
      </c>
      <c r="E305" s="286" t="n">
        <v>0</v>
      </c>
      <c r="F305" s="286" t="n">
        <v>0</v>
      </c>
      <c r="G305" s="286" t="n">
        <v>0</v>
      </c>
      <c r="H305" s="286" t="n">
        <v>0</v>
      </c>
      <c r="I305" s="286" t="n">
        <v>1.66</v>
      </c>
      <c r="J305" s="286" t="n">
        <v>182.09</v>
      </c>
      <c r="K305" s="286" t="n">
        <v>0</v>
      </c>
      <c r="L305" s="286" t="n">
        <v>0</v>
      </c>
      <c r="M305" s="286" t="inlineStr">
        <is>
          <t>HY-AH</t>
        </is>
      </c>
    </row>
    <row r="306">
      <c r="A306" s="287" t="inlineStr">
        <is>
          <t>Kotak Small Cap Fund - Regular Plan</t>
        </is>
      </c>
      <c r="B306" s="286" t="n">
        <v>-0.31</v>
      </c>
      <c r="C306" s="286" t="n">
        <v>21.94</v>
      </c>
      <c r="D306" s="286" t="n">
        <v>32.46</v>
      </c>
      <c r="E306" s="286" t="n">
        <v>17.63</v>
      </c>
      <c r="F306" s="286" t="n">
        <v>0.73</v>
      </c>
      <c r="G306" s="286" t="n">
        <v>1.06</v>
      </c>
      <c r="H306" s="286" t="n">
        <v>-2.64</v>
      </c>
      <c r="I306" s="286" t="n">
        <v>1.66</v>
      </c>
      <c r="J306" s="286" t="n">
        <v>23.95</v>
      </c>
      <c r="K306" s="286" t="n">
        <v>0.83</v>
      </c>
      <c r="L306" s="286" t="n">
        <v>17.11</v>
      </c>
      <c r="M306" s="286" t="inlineStr">
        <is>
          <t>HY-CH</t>
        </is>
      </c>
    </row>
    <row r="307">
      <c r="A307" s="287" t="inlineStr">
        <is>
          <t>Kotak Special Opportunities Fund - Regular Plan</t>
        </is>
      </c>
      <c r="B307" s="286" t="n">
        <v>0</v>
      </c>
      <c r="C307" s="286" t="n">
        <v>0</v>
      </c>
      <c r="D307" s="286" t="n">
        <v>0</v>
      </c>
      <c r="E307" s="286" t="n">
        <v>0</v>
      </c>
      <c r="F307" s="286" t="n">
        <v>0</v>
      </c>
      <c r="G307" s="286" t="n">
        <v>0</v>
      </c>
      <c r="H307" s="286" t="n">
        <v>0</v>
      </c>
      <c r="I307" s="286" t="n">
        <v>2.02</v>
      </c>
      <c r="J307" s="286" t="n">
        <v>14.8</v>
      </c>
      <c r="K307" s="286" t="n">
        <v>0</v>
      </c>
      <c r="L307" s="286" t="n">
        <v>0</v>
      </c>
      <c r="M307" s="286" t="inlineStr">
        <is>
          <t>EQ-FLX</t>
        </is>
      </c>
    </row>
    <row r="308">
      <c r="A308" s="287" t="inlineStr">
        <is>
          <t>Kotak Transportation &amp; Logistics Fund - Regular Plan</t>
        </is>
      </c>
      <c r="B308" s="286" t="n">
        <v>0</v>
      </c>
      <c r="C308" s="286" t="n">
        <v>0</v>
      </c>
      <c r="D308" s="286" t="n">
        <v>0</v>
      </c>
      <c r="E308" s="286" t="n">
        <v>0</v>
      </c>
      <c r="F308" s="286" t="n">
        <v>0</v>
      </c>
      <c r="G308" s="286" t="n">
        <v>0</v>
      </c>
      <c r="H308" s="286" t="n">
        <v>0</v>
      </c>
      <c r="I308" s="286" t="n">
        <v>2.41</v>
      </c>
      <c r="J308" s="286" t="n">
        <v>0</v>
      </c>
      <c r="K308" s="286" t="n">
        <v>0</v>
      </c>
      <c r="L308" s="286" t="n">
        <v>0</v>
      </c>
      <c r="M308" s="286" t="inlineStr">
        <is>
          <t>EQ-THEMATIC</t>
        </is>
      </c>
    </row>
    <row r="309">
      <c r="A309" s="287" t="inlineStr">
        <is>
          <t>LIC MF Aggressive Hybrid Fund</t>
        </is>
      </c>
      <c r="B309" s="286" t="n">
        <v>6.25</v>
      </c>
      <c r="C309" s="286" t="n">
        <v>16.98</v>
      </c>
      <c r="D309" s="286" t="n">
        <v>15.37</v>
      </c>
      <c r="E309" s="286" t="n">
        <v>9.19</v>
      </c>
      <c r="F309" s="286" t="n">
        <v>0.73</v>
      </c>
      <c r="G309" s="286" t="n">
        <v>1.09</v>
      </c>
      <c r="H309" s="286" t="n">
        <v>-0.57</v>
      </c>
      <c r="I309" s="286" t="n">
        <v>2.48</v>
      </c>
      <c r="J309" s="286" t="n">
        <v>65</v>
      </c>
      <c r="K309" s="286" t="n">
        <v>0.89</v>
      </c>
      <c r="L309" s="286" t="n">
        <v>11.01</v>
      </c>
      <c r="M309" s="286" t="inlineStr">
        <is>
          <t>EQ-SC</t>
        </is>
      </c>
    </row>
    <row r="310">
      <c r="A310" s="287" t="inlineStr">
        <is>
          <t>LIC MF Balanced Advantage Fund - Regular Plan</t>
        </is>
      </c>
      <c r="B310" s="286" t="n">
        <v>9.56</v>
      </c>
      <c r="C310" s="286" t="n">
        <v>13.32</v>
      </c>
      <c r="D310" s="286" t="n">
        <v>0</v>
      </c>
      <c r="E310" s="286" t="n">
        <v>0</v>
      </c>
      <c r="F310" s="286" t="n">
        <v>0.66</v>
      </c>
      <c r="G310" s="286" t="n">
        <v>1.02</v>
      </c>
      <c r="H310" s="286" t="n">
        <v>-0.5</v>
      </c>
      <c r="I310" s="286" t="n">
        <v>2.27</v>
      </c>
      <c r="J310" s="286" t="n">
        <v>70</v>
      </c>
      <c r="K310" s="286" t="n">
        <v>0.74</v>
      </c>
      <c r="L310" s="286" t="n">
        <v>8.050000000000001</v>
      </c>
      <c r="M310" s="286" t="inlineStr">
        <is>
          <t>EQ-THEMATIC</t>
        </is>
      </c>
    </row>
    <row r="311">
      <c r="A311" s="287" t="inlineStr">
        <is>
          <t>LIC MF Children's Fund</t>
        </is>
      </c>
      <c r="B311" s="286" t="n">
        <v>-1.37</v>
      </c>
      <c r="C311" s="286" t="n">
        <v>14.71</v>
      </c>
      <c r="D311" s="286" t="n">
        <v>14.51</v>
      </c>
      <c r="E311" s="286" t="n">
        <v>8.449999999999999</v>
      </c>
      <c r="F311" s="286" t="n">
        <v>0.45</v>
      </c>
      <c r="G311" s="286" t="n">
        <v>0.54</v>
      </c>
      <c r="H311" s="286" t="n">
        <v>-3.89</v>
      </c>
      <c r="I311" s="286" t="n">
        <v>2.45</v>
      </c>
      <c r="J311" s="286" t="n">
        <v>118</v>
      </c>
      <c r="K311" s="286" t="n">
        <v>0.88</v>
      </c>
      <c r="L311" s="286" t="n">
        <v>13.96</v>
      </c>
      <c r="M311" s="286" t="inlineStr">
        <is>
          <t>HY-AH</t>
        </is>
      </c>
    </row>
    <row r="312">
      <c r="A312" s="287" t="inlineStr">
        <is>
          <t>LIC MF Conservative Hybrid Fund</t>
        </is>
      </c>
      <c r="B312" s="286" t="n">
        <v>6.92</v>
      </c>
      <c r="C312" s="286" t="n">
        <v>7.72</v>
      </c>
      <c r="D312" s="286" t="n">
        <v>6.91</v>
      </c>
      <c r="E312" s="286" t="n">
        <v>6.5</v>
      </c>
      <c r="F312" s="286" t="n">
        <v>0.26</v>
      </c>
      <c r="G312" s="286" t="n">
        <v>0.4</v>
      </c>
      <c r="H312" s="286" t="n">
        <v>-2.16</v>
      </c>
      <c r="I312" s="286" t="n">
        <v>2.25</v>
      </c>
      <c r="J312" s="286" t="n">
        <v>17</v>
      </c>
      <c r="K312" s="286" t="n">
        <v>0.83</v>
      </c>
      <c r="L312" s="286" t="n">
        <v>3.54</v>
      </c>
      <c r="M312" s="286" t="inlineStr">
        <is>
          <t>HY-AR</t>
        </is>
      </c>
    </row>
    <row r="313">
      <c r="A313" s="287" t="inlineStr">
        <is>
          <t>LIC MF Dividend Yield Fund - Regular Plan</t>
        </is>
      </c>
      <c r="B313" s="286" t="n">
        <v>5.87</v>
      </c>
      <c r="C313" s="286" t="n">
        <v>27.51</v>
      </c>
      <c r="D313" s="286" t="n">
        <v>24.83</v>
      </c>
      <c r="E313" s="286" t="n">
        <v>0</v>
      </c>
      <c r="F313" s="286" t="n">
        <v>1.06</v>
      </c>
      <c r="G313" s="286" t="n">
        <v>1.58</v>
      </c>
      <c r="H313" s="286" t="n">
        <v>4.9</v>
      </c>
      <c r="I313" s="286" t="n">
        <v>2.35</v>
      </c>
      <c r="J313" s="286" t="n">
        <v>61</v>
      </c>
      <c r="K313" s="286" t="n">
        <v>1.04</v>
      </c>
      <c r="L313" s="286" t="n">
        <v>15.86</v>
      </c>
      <c r="M313" s="286" t="inlineStr">
        <is>
          <t>HY-DAA</t>
        </is>
      </c>
    </row>
    <row r="314">
      <c r="A314" s="287" t="inlineStr">
        <is>
          <t>LIC MF Flexi Cap Fund</t>
        </is>
      </c>
      <c r="B314" s="286" t="n">
        <v>-3.17</v>
      </c>
      <c r="C314" s="286" t="n">
        <v>17.63</v>
      </c>
      <c r="D314" s="286" t="n">
        <v>18.4</v>
      </c>
      <c r="E314" s="286" t="n">
        <v>10.35</v>
      </c>
      <c r="F314" s="286" t="n">
        <v>0.52</v>
      </c>
      <c r="G314" s="286" t="n">
        <v>0.68</v>
      </c>
      <c r="H314" s="286" t="n">
        <v>-3.62</v>
      </c>
      <c r="I314" s="286" t="n">
        <v>2.28</v>
      </c>
      <c r="J314" s="286" t="n">
        <v>106</v>
      </c>
      <c r="K314" s="286" t="n">
        <v>1.01</v>
      </c>
      <c r="L314" s="286" t="n">
        <v>15.52</v>
      </c>
      <c r="M314" s="286" t="inlineStr">
        <is>
          <t>EQ-THEMATIC</t>
        </is>
      </c>
    </row>
    <row r="315">
      <c r="A315" s="287" t="inlineStr">
        <is>
          <t>LIC MF Focused Fund - Regular Plan</t>
        </is>
      </c>
      <c r="B315" s="286" t="n">
        <v>7.22</v>
      </c>
      <c r="C315" s="286" t="n">
        <v>17.66</v>
      </c>
      <c r="D315" s="286" t="n">
        <v>19.28</v>
      </c>
      <c r="E315" s="286" t="n">
        <v>0</v>
      </c>
      <c r="F315" s="286" t="n">
        <v>0.58</v>
      </c>
      <c r="G315" s="286" t="n">
        <v>0.84</v>
      </c>
      <c r="H315" s="286" t="n">
        <v>-2.51</v>
      </c>
      <c r="I315" s="286" t="n">
        <v>2.52</v>
      </c>
      <c r="J315" s="286" t="n">
        <v>126</v>
      </c>
      <c r="K315" s="286" t="n">
        <v>0.9399999999999999</v>
      </c>
      <c r="L315" s="286" t="n">
        <v>14.48</v>
      </c>
      <c r="M315" s="286" t="inlineStr">
        <is>
          <t>EQ-FLX</t>
        </is>
      </c>
    </row>
    <row r="316">
      <c r="A316" s="287" t="inlineStr">
        <is>
          <t>LIC MF Large Cap Fund</t>
        </is>
      </c>
      <c r="B316" s="286" t="n">
        <v>5.58</v>
      </c>
      <c r="C316" s="286" t="n">
        <v>17.57</v>
      </c>
      <c r="D316" s="286" t="n">
        <v>19.2</v>
      </c>
      <c r="E316" s="286" t="n">
        <v>11.06</v>
      </c>
      <c r="F316" s="286" t="n">
        <v>0.58</v>
      </c>
      <c r="G316" s="286" t="n">
        <v>0.88</v>
      </c>
      <c r="H316" s="286" t="n">
        <v>-2.31</v>
      </c>
      <c r="I316" s="286" t="n">
        <v>2.12</v>
      </c>
      <c r="J316" s="286" t="n">
        <v>92</v>
      </c>
      <c r="K316" s="286" t="n">
        <v>1.02</v>
      </c>
      <c r="L316" s="286" t="n">
        <v>14.26</v>
      </c>
      <c r="M316" s="286" t="inlineStr">
        <is>
          <t>EQ-FLX</t>
        </is>
      </c>
    </row>
    <row r="317">
      <c r="A317" s="287" t="inlineStr">
        <is>
          <t>LIC MF Large &amp; Mid Cap Fund - Regular Plan</t>
        </is>
      </c>
      <c r="B317" s="286" t="n">
        <v>4.25</v>
      </c>
      <c r="C317" s="286" t="n">
        <v>21.85</v>
      </c>
      <c r="D317" s="286" t="n">
        <v>23.18</v>
      </c>
      <c r="E317" s="286" t="n">
        <v>14.76</v>
      </c>
      <c r="F317" s="286" t="n">
        <v>0.76</v>
      </c>
      <c r="G317" s="286" t="n">
        <v>1.15</v>
      </c>
      <c r="H317" s="286" t="n">
        <v>1.11</v>
      </c>
      <c r="I317" s="286" t="n">
        <v>1.91</v>
      </c>
      <c r="J317" s="286" t="n">
        <v>43</v>
      </c>
      <c r="K317" s="286" t="n">
        <v>0.99</v>
      </c>
      <c r="L317" s="286" t="n">
        <v>15.78</v>
      </c>
      <c r="M317" s="286" t="inlineStr">
        <is>
          <t>EQ-LC</t>
        </is>
      </c>
    </row>
    <row r="318">
      <c r="A318" s="287" t="inlineStr">
        <is>
          <t>LIC MF Manufacturing Fund - Regular Plan</t>
        </is>
      </c>
      <c r="B318" s="286" t="n">
        <v>0</v>
      </c>
      <c r="C318" s="286" t="n">
        <v>0</v>
      </c>
      <c r="D318" s="286" t="n">
        <v>0</v>
      </c>
      <c r="E318" s="286" t="n">
        <v>0</v>
      </c>
      <c r="F318" s="286" t="n">
        <v>0</v>
      </c>
      <c r="G318" s="286" t="n">
        <v>0</v>
      </c>
      <c r="H318" s="286" t="n">
        <v>0</v>
      </c>
      <c r="I318" s="286" t="n">
        <v>2.21</v>
      </c>
      <c r="J318" s="286" t="n">
        <v>0</v>
      </c>
      <c r="K318" s="286" t="n">
        <v>0</v>
      </c>
      <c r="L318" s="286" t="n">
        <v>0</v>
      </c>
      <c r="M318" s="286" t="inlineStr">
        <is>
          <t>EQ-L&amp;MC</t>
        </is>
      </c>
    </row>
    <row r="319">
      <c r="A319" s="287" t="inlineStr">
        <is>
          <t>LIC MF Midcap Fund - Regular Plan</t>
        </is>
      </c>
      <c r="B319" s="286" t="n">
        <v>2.75</v>
      </c>
      <c r="C319" s="286" t="n">
        <v>26.17</v>
      </c>
      <c r="D319" s="286" t="n">
        <v>25.2</v>
      </c>
      <c r="E319" s="286" t="n">
        <v>0</v>
      </c>
      <c r="F319" s="286" t="n">
        <v>0.9</v>
      </c>
      <c r="G319" s="286" t="n">
        <v>1.33</v>
      </c>
      <c r="H319" s="286" t="n">
        <v>-2.33</v>
      </c>
      <c r="I319" s="286" t="n">
        <v>2.48</v>
      </c>
      <c r="J319" s="286" t="n">
        <v>57</v>
      </c>
      <c r="K319" s="286" t="n">
        <v>1</v>
      </c>
      <c r="L319" s="286" t="n">
        <v>17.55</v>
      </c>
      <c r="M319" s="286" t="inlineStr">
        <is>
          <t>EQ-THEMATIC</t>
        </is>
      </c>
    </row>
    <row r="320">
      <c r="A320" s="287" t="inlineStr">
        <is>
          <t>LIC MF Multi Asset Allocation Fund - Regular Plan</t>
        </is>
      </c>
      <c r="B320" s="286" t="n">
        <v>0</v>
      </c>
      <c r="C320" s="286" t="n">
        <v>0</v>
      </c>
      <c r="D320" s="286" t="n">
        <v>0</v>
      </c>
      <c r="E320" s="286" t="n">
        <v>0</v>
      </c>
      <c r="F320" s="286" t="n">
        <v>0</v>
      </c>
      <c r="G320" s="286" t="n">
        <v>0</v>
      </c>
      <c r="H320" s="286" t="n">
        <v>0</v>
      </c>
      <c r="I320" s="286" t="n">
        <v>2.25</v>
      </c>
      <c r="J320" s="286" t="n">
        <v>0</v>
      </c>
      <c r="K320" s="286" t="n">
        <v>0</v>
      </c>
      <c r="L320" s="286" t="n">
        <v>0</v>
      </c>
      <c r="M320" s="286" t="inlineStr">
        <is>
          <t>EQ-MC</t>
        </is>
      </c>
    </row>
    <row r="321">
      <c r="A321" s="287" t="inlineStr">
        <is>
          <t>LIC MF Multi Cap Fund - Regular Plan</t>
        </is>
      </c>
      <c r="B321" s="286" t="n">
        <v>5.77</v>
      </c>
      <c r="C321" s="286" t="n">
        <v>0</v>
      </c>
      <c r="D321" s="286" t="n">
        <v>0</v>
      </c>
      <c r="E321" s="286" t="n">
        <v>0</v>
      </c>
      <c r="F321" s="286" t="n">
        <v>0</v>
      </c>
      <c r="G321" s="286" t="n">
        <v>0</v>
      </c>
      <c r="H321" s="286" t="n">
        <v>0</v>
      </c>
      <c r="I321" s="286" t="n">
        <v>2.04</v>
      </c>
      <c r="J321" s="286" t="n">
        <v>31</v>
      </c>
      <c r="K321" s="286" t="n">
        <v>0</v>
      </c>
      <c r="L321" s="286" t="n">
        <v>0</v>
      </c>
      <c r="M321" s="286" t="inlineStr">
        <is>
          <t>HY-MAA</t>
        </is>
      </c>
    </row>
    <row r="322">
      <c r="A322" s="287" t="inlineStr">
        <is>
          <t>LIC MF Small Cap Fund - Regular Plan</t>
        </is>
      </c>
      <c r="B322" s="286" t="n">
        <v>-3.81</v>
      </c>
      <c r="C322" s="286" t="n">
        <v>24.4</v>
      </c>
      <c r="D322" s="286" t="n">
        <v>31.77</v>
      </c>
      <c r="E322" s="286" t="n">
        <v>0</v>
      </c>
      <c r="F322" s="286" t="n">
        <v>0.78</v>
      </c>
      <c r="G322" s="286" t="n">
        <v>0.97</v>
      </c>
      <c r="H322" s="286" t="n">
        <v>-1.83</v>
      </c>
      <c r="I322" s="286" t="n">
        <v>2.38</v>
      </c>
      <c r="J322" s="286" t="n">
        <v>88</v>
      </c>
      <c r="K322" s="286" t="n">
        <v>0.93</v>
      </c>
      <c r="L322" s="286" t="n">
        <v>19.31</v>
      </c>
      <c r="M322" s="286" t="inlineStr">
        <is>
          <t>EQ-MLC</t>
        </is>
      </c>
    </row>
    <row r="323">
      <c r="A323" s="287" t="inlineStr">
        <is>
          <t>LIC MF Unit Linked Insurance</t>
        </is>
      </c>
      <c r="B323" s="286" t="n">
        <v>7.59</v>
      </c>
      <c r="C323" s="286" t="n">
        <v>15.24</v>
      </c>
      <c r="D323" s="286" t="n">
        <v>17.34</v>
      </c>
      <c r="E323" s="286" t="n">
        <v>9.890000000000001</v>
      </c>
      <c r="F323" s="286" t="n">
        <v>0.61</v>
      </c>
      <c r="G323" s="286" t="n">
        <v>0.99</v>
      </c>
      <c r="H323" s="286" t="n">
        <v>-1.66</v>
      </c>
      <c r="I323" s="286" t="n">
        <v>2.37</v>
      </c>
      <c r="J323" s="286" t="n">
        <v>10</v>
      </c>
      <c r="K323" s="286" t="n">
        <v>0.85</v>
      </c>
      <c r="L323" s="286" t="n">
        <v>10.81</v>
      </c>
      <c r="M323" s="286" t="inlineStr">
        <is>
          <t>EQ-SC</t>
        </is>
      </c>
    </row>
    <row r="324">
      <c r="A324" s="287" t="inlineStr">
        <is>
          <t>Mahindra Manulife Aggressive Hybrid Fund - Regular Plan</t>
        </is>
      </c>
      <c r="B324" s="286" t="n">
        <v>8.83</v>
      </c>
      <c r="C324" s="286" t="n">
        <v>21.07</v>
      </c>
      <c r="D324" s="286" t="n">
        <v>21.71</v>
      </c>
      <c r="E324" s="286" t="n">
        <v>0</v>
      </c>
      <c r="F324" s="286" t="n">
        <v>1.03</v>
      </c>
      <c r="G324" s="286" t="n">
        <v>1.63</v>
      </c>
      <c r="H324" s="286" t="n">
        <v>2.67</v>
      </c>
      <c r="I324" s="286" t="n">
        <v>2.03</v>
      </c>
      <c r="J324" s="286" t="n">
        <v>70</v>
      </c>
      <c r="K324" s="286" t="n">
        <v>0.91</v>
      </c>
      <c r="L324" s="286" t="n">
        <v>11.15</v>
      </c>
      <c r="M324" s="286" t="inlineStr">
        <is>
          <t>HY-AR</t>
        </is>
      </c>
    </row>
    <row r="325">
      <c r="A325" s="287" t="inlineStr">
        <is>
          <t>Mahindra Manulife Balanced Advantage Fund - Regular Plan</t>
        </is>
      </c>
      <c r="B325" s="286" t="n">
        <v>5.71</v>
      </c>
      <c r="C325" s="286" t="n">
        <v>15.63</v>
      </c>
      <c r="D325" s="286" t="n">
        <v>0</v>
      </c>
      <c r="E325" s="286" t="n">
        <v>0</v>
      </c>
      <c r="F325" s="286" t="n">
        <v>0.79</v>
      </c>
      <c r="G325" s="286" t="n">
        <v>1.22</v>
      </c>
      <c r="H325" s="286" t="n">
        <v>0.62</v>
      </c>
      <c r="I325" s="286" t="n">
        <v>2.22</v>
      </c>
      <c r="J325" s="286" t="n">
        <v>302</v>
      </c>
      <c r="K325" s="286" t="n">
        <v>0.79</v>
      </c>
      <c r="L325" s="286" t="n">
        <v>8.69</v>
      </c>
      <c r="M325" s="286" t="inlineStr">
        <is>
          <t>HY-DAA</t>
        </is>
      </c>
    </row>
    <row r="326">
      <c r="A326" s="287" t="inlineStr">
        <is>
          <t>Mahindra Manulife Business Cycle Fund - Regular Plan</t>
        </is>
      </c>
      <c r="B326" s="286" t="n">
        <v>2.17</v>
      </c>
      <c r="C326" s="286" t="n">
        <v>0</v>
      </c>
      <c r="D326" s="286" t="n">
        <v>0</v>
      </c>
      <c r="E326" s="286" t="n">
        <v>0</v>
      </c>
      <c r="F326" s="286" t="n">
        <v>0</v>
      </c>
      <c r="G326" s="286" t="n">
        <v>0</v>
      </c>
      <c r="H326" s="286" t="n">
        <v>0</v>
      </c>
      <c r="I326" s="286" t="n">
        <v>2.11</v>
      </c>
      <c r="J326" s="286" t="n">
        <v>60</v>
      </c>
      <c r="K326" s="286" t="n">
        <v>0</v>
      </c>
      <c r="L326" s="286" t="n">
        <v>0</v>
      </c>
      <c r="M326" s="286" t="inlineStr">
        <is>
          <t>EQ-FLX</t>
        </is>
      </c>
    </row>
    <row r="327">
      <c r="A327" s="287" t="inlineStr">
        <is>
          <t>Mahindra Manulife Consumption Fund - Regular Plan</t>
        </is>
      </c>
      <c r="B327" s="286" t="n">
        <v>0.35</v>
      </c>
      <c r="C327" s="286" t="n">
        <v>19.88</v>
      </c>
      <c r="D327" s="286" t="n">
        <v>20.12</v>
      </c>
      <c r="E327" s="286" t="n">
        <v>0</v>
      </c>
      <c r="F327" s="286" t="n">
        <v>0.74</v>
      </c>
      <c r="G327" s="286" t="n">
        <v>0.98</v>
      </c>
      <c r="H327" s="286" t="n">
        <v>-0.7</v>
      </c>
      <c r="I327" s="286" t="n">
        <v>2.38</v>
      </c>
      <c r="J327" s="286" t="n">
        <v>23</v>
      </c>
      <c r="K327" s="286" t="n">
        <v>0.82</v>
      </c>
      <c r="L327" s="286" t="n">
        <v>14.96</v>
      </c>
      <c r="M327" s="286" t="inlineStr">
        <is>
          <t>EQ-FLX</t>
        </is>
      </c>
    </row>
    <row r="328">
      <c r="A328" s="287" t="inlineStr">
        <is>
          <t>Mahindra Manulife Flexi Cap Fund - Regular Plan</t>
        </is>
      </c>
      <c r="B328" s="286" t="n">
        <v>5.31</v>
      </c>
      <c r="C328" s="286" t="n">
        <v>22.08</v>
      </c>
      <c r="D328" s="286" t="n">
        <v>0</v>
      </c>
      <c r="E328" s="286" t="n">
        <v>0</v>
      </c>
      <c r="F328" s="286" t="n">
        <v>0.84</v>
      </c>
      <c r="G328" s="286" t="n">
        <v>1.24</v>
      </c>
      <c r="H328" s="286" t="n">
        <v>0.84</v>
      </c>
      <c r="I328" s="286" t="n">
        <v>2.05</v>
      </c>
      <c r="J328" s="286" t="n">
        <v>73</v>
      </c>
      <c r="K328" s="286" t="n">
        <v>0.93</v>
      </c>
      <c r="L328" s="286" t="n">
        <v>13.82</v>
      </c>
      <c r="M328" s="286" t="inlineStr">
        <is>
          <t>EQ-LC</t>
        </is>
      </c>
    </row>
    <row r="329">
      <c r="A329" s="287" t="inlineStr">
        <is>
          <t>Mahindra Manulife Focused Fund - Regular Plan</t>
        </is>
      </c>
      <c r="B329" s="286" t="n">
        <v>3.7</v>
      </c>
      <c r="C329" s="286" t="n">
        <v>24.71</v>
      </c>
      <c r="D329" s="286" t="n">
        <v>0</v>
      </c>
      <c r="E329" s="286" t="n">
        <v>0</v>
      </c>
      <c r="F329" s="286" t="n">
        <v>1.04</v>
      </c>
      <c r="G329" s="286" t="n">
        <v>1.58</v>
      </c>
      <c r="H329" s="286" t="n">
        <v>3.94</v>
      </c>
      <c r="I329" s="286" t="n">
        <v>1.98</v>
      </c>
      <c r="J329" s="286" t="n">
        <v>33</v>
      </c>
      <c r="K329" s="286" t="n">
        <v>0.9</v>
      </c>
      <c r="L329" s="286" t="n">
        <v>13.72</v>
      </c>
      <c r="M329" s="286" t="inlineStr">
        <is>
          <t>EQ-L&amp;MC</t>
        </is>
      </c>
    </row>
    <row r="330">
      <c r="A330" s="287" t="inlineStr">
        <is>
          <t>Mahindra Manulife Large Cap Fund - Regular Plan</t>
        </is>
      </c>
      <c r="B330" s="286" t="n">
        <v>5.77</v>
      </c>
      <c r="C330" s="286" t="n">
        <v>18.88</v>
      </c>
      <c r="D330" s="286" t="n">
        <v>20.53</v>
      </c>
      <c r="E330" s="286" t="n">
        <v>0</v>
      </c>
      <c r="F330" s="286" t="n">
        <v>0.6899999999999999</v>
      </c>
      <c r="G330" s="286" t="n">
        <v>1.09</v>
      </c>
      <c r="H330" s="286" t="n">
        <v>-0.59</v>
      </c>
      <c r="I330" s="286" t="n">
        <v>2.31</v>
      </c>
      <c r="J330" s="286" t="n">
        <v>60</v>
      </c>
      <c r="K330" s="286" t="n">
        <v>0.93</v>
      </c>
      <c r="L330" s="286" t="n">
        <v>13.09</v>
      </c>
      <c r="M330" s="286" t="inlineStr">
        <is>
          <t>EQ-MC</t>
        </is>
      </c>
    </row>
    <row r="331">
      <c r="A331" s="287" t="inlineStr">
        <is>
          <t>Mahindra Manulife Large &amp; Mid Cap Fund - Regular Plan</t>
        </is>
      </c>
      <c r="B331" s="286" t="n">
        <v>2.54</v>
      </c>
      <c r="C331" s="286" t="n">
        <v>21.8</v>
      </c>
      <c r="D331" s="286" t="n">
        <v>24.85</v>
      </c>
      <c r="E331" s="286" t="n">
        <v>0</v>
      </c>
      <c r="F331" s="286" t="n">
        <v>0.79</v>
      </c>
      <c r="G331" s="286" t="n">
        <v>1.17</v>
      </c>
      <c r="H331" s="286" t="n">
        <v>1.03</v>
      </c>
      <c r="I331" s="286" t="n">
        <v>1.93</v>
      </c>
      <c r="J331" s="286" t="n">
        <v>149</v>
      </c>
      <c r="K331" s="286" t="n">
        <v>0.95</v>
      </c>
      <c r="L331" s="286" t="n">
        <v>14.59</v>
      </c>
      <c r="M331" s="286" t="inlineStr">
        <is>
          <t>EQ-MLC</t>
        </is>
      </c>
    </row>
    <row r="332">
      <c r="A332" s="287" t="inlineStr">
        <is>
          <t>Mahindra Manulife Manufacturing Fund - Regular Plan</t>
        </is>
      </c>
      <c r="B332" s="286" t="n">
        <v>-3.32</v>
      </c>
      <c r="C332" s="286" t="n">
        <v>0</v>
      </c>
      <c r="D332" s="286" t="n">
        <v>0</v>
      </c>
      <c r="E332" s="286" t="n">
        <v>0</v>
      </c>
      <c r="F332" s="286" t="n">
        <v>0</v>
      </c>
      <c r="G332" s="286" t="n">
        <v>0</v>
      </c>
      <c r="H332" s="286" t="n">
        <v>0</v>
      </c>
      <c r="I332" s="286" t="n">
        <v>2.24</v>
      </c>
      <c r="J332" s="286" t="n">
        <v>0</v>
      </c>
      <c r="K332" s="286" t="n">
        <v>0</v>
      </c>
      <c r="L332" s="286" t="n">
        <v>0</v>
      </c>
      <c r="M332" s="286" t="inlineStr">
        <is>
          <t>EQ-SC</t>
        </is>
      </c>
    </row>
    <row r="333">
      <c r="A333" s="287" t="inlineStr">
        <is>
          <t>Mahindra Manulife Mid Cap Fund - Regular Plan</t>
        </is>
      </c>
      <c r="B333" s="286" t="n">
        <v>3.41</v>
      </c>
      <c r="C333" s="286" t="n">
        <v>29.95</v>
      </c>
      <c r="D333" s="286" t="n">
        <v>29.65</v>
      </c>
      <c r="E333" s="286" t="n">
        <v>0</v>
      </c>
      <c r="F333" s="286" t="n">
        <v>1.12</v>
      </c>
      <c r="G333" s="286" t="n">
        <v>1.58</v>
      </c>
      <c r="H333" s="286" t="n">
        <v>1.01</v>
      </c>
      <c r="I333" s="286" t="n">
        <v>1.86</v>
      </c>
      <c r="J333" s="286" t="n">
        <v>65</v>
      </c>
      <c r="K333" s="286" t="n">
        <v>0.96</v>
      </c>
      <c r="L333" s="286" t="n">
        <v>16.48</v>
      </c>
      <c r="M333" s="286" t="inlineStr">
        <is>
          <t>HY-AH</t>
        </is>
      </c>
    </row>
    <row r="334">
      <c r="A334" s="287" t="inlineStr">
        <is>
          <t>Mahindra Manulife Multi Asset Allocation Fund - Regular Plan</t>
        </is>
      </c>
      <c r="B334" s="286" t="n">
        <v>10.43</v>
      </c>
      <c r="C334" s="286" t="n">
        <v>0</v>
      </c>
      <c r="D334" s="286" t="n">
        <v>0</v>
      </c>
      <c r="E334" s="286" t="n">
        <v>0</v>
      </c>
      <c r="F334" s="286" t="n">
        <v>0</v>
      </c>
      <c r="G334" s="286" t="n">
        <v>0</v>
      </c>
      <c r="H334" s="286" t="n">
        <v>0</v>
      </c>
      <c r="I334" s="286" t="n">
        <v>2.04</v>
      </c>
      <c r="J334" s="286" t="n">
        <v>75</v>
      </c>
      <c r="K334" s="286" t="n">
        <v>0</v>
      </c>
      <c r="L334" s="286" t="n">
        <v>0</v>
      </c>
      <c r="M334" s="286" t="inlineStr">
        <is>
          <t>HY-AR</t>
        </is>
      </c>
    </row>
    <row r="335">
      <c r="A335" s="287" t="inlineStr">
        <is>
          <t>Mahindra Manulife Multi Cap Fund - Regular Plan</t>
        </is>
      </c>
      <c r="B335" s="286" t="n">
        <v>4.64</v>
      </c>
      <c r="C335" s="286" t="n">
        <v>25.62</v>
      </c>
      <c r="D335" s="286" t="n">
        <v>27.58</v>
      </c>
      <c r="E335" s="286" t="n">
        <v>0</v>
      </c>
      <c r="F335" s="286" t="n">
        <v>0.91</v>
      </c>
      <c r="G335" s="286" t="n">
        <v>1.25</v>
      </c>
      <c r="H335" s="286" t="n">
        <v>0.24</v>
      </c>
      <c r="I335" s="286" t="n">
        <v>1.8</v>
      </c>
      <c r="J335" s="286" t="n">
        <v>127</v>
      </c>
      <c r="K335" s="286" t="n">
        <v>0.96</v>
      </c>
      <c r="L335" s="286" t="n">
        <v>15.64</v>
      </c>
      <c r="M335" s="286" t="inlineStr">
        <is>
          <t>EQ-FLX</t>
        </is>
      </c>
    </row>
    <row r="336">
      <c r="A336" s="287" t="inlineStr">
        <is>
          <t>Mahindra Manulife Small Cap Fund - Regular Plan</t>
        </is>
      </c>
      <c r="B336" s="286" t="n">
        <v>0.82</v>
      </c>
      <c r="C336" s="286" t="n">
        <v>0</v>
      </c>
      <c r="D336" s="286" t="n">
        <v>0</v>
      </c>
      <c r="E336" s="286" t="n">
        <v>0</v>
      </c>
      <c r="F336" s="286" t="n">
        <v>0</v>
      </c>
      <c r="G336" s="286" t="n">
        <v>0</v>
      </c>
      <c r="H336" s="286" t="n">
        <v>0</v>
      </c>
      <c r="I336" s="286" t="n">
        <v>1.85</v>
      </c>
      <c r="J336" s="286" t="n">
        <v>107</v>
      </c>
      <c r="K336" s="286" t="n">
        <v>0</v>
      </c>
      <c r="L336" s="286" t="n">
        <v>0</v>
      </c>
      <c r="M336" s="286" t="inlineStr">
        <is>
          <t>EQ-FLX</t>
        </is>
      </c>
    </row>
    <row r="337">
      <c r="A337" s="287" t="inlineStr">
        <is>
          <t>Mirae Asset Aggressive Hybrid Fund - Regular Plan</t>
        </is>
      </c>
      <c r="B337" s="286" t="n">
        <v>7.71</v>
      </c>
      <c r="C337" s="286" t="n">
        <v>17.21</v>
      </c>
      <c r="D337" s="286" t="n">
        <v>17.69</v>
      </c>
      <c r="E337" s="286" t="n">
        <v>0</v>
      </c>
      <c r="F337" s="286" t="n">
        <v>0.76</v>
      </c>
      <c r="G337" s="286" t="n">
        <v>1.19</v>
      </c>
      <c r="H337" s="286" t="n">
        <v>-0.31</v>
      </c>
      <c r="I337" s="286" t="n">
        <v>1.72</v>
      </c>
      <c r="J337" s="286" t="n">
        <v>105</v>
      </c>
      <c r="K337" s="286" t="n">
        <v>0.87</v>
      </c>
      <c r="L337" s="286" t="n">
        <v>10.52</v>
      </c>
      <c r="M337" s="286" t="inlineStr">
        <is>
          <t>EQ-LC</t>
        </is>
      </c>
    </row>
    <row r="338">
      <c r="A338" s="287" t="inlineStr">
        <is>
          <t>Mirae Asset Balanced Advantage Fund - Regular Plan</t>
        </is>
      </c>
      <c r="B338" s="286" t="n">
        <v>7.82</v>
      </c>
      <c r="C338" s="286" t="n">
        <v>0</v>
      </c>
      <c r="D338" s="286" t="n">
        <v>0</v>
      </c>
      <c r="E338" s="286" t="n">
        <v>0</v>
      </c>
      <c r="F338" s="286" t="n">
        <v>0</v>
      </c>
      <c r="G338" s="286" t="n">
        <v>0</v>
      </c>
      <c r="H338" s="286" t="n">
        <v>0</v>
      </c>
      <c r="I338" s="286" t="n">
        <v>2.06</v>
      </c>
      <c r="J338" s="286" t="n">
        <v>299</v>
      </c>
      <c r="K338" s="286" t="n">
        <v>0</v>
      </c>
      <c r="L338" s="286" t="n">
        <v>0</v>
      </c>
      <c r="M338" s="286" t="inlineStr">
        <is>
          <t>EQ-MC</t>
        </is>
      </c>
    </row>
    <row r="339">
      <c r="A339" s="287" t="inlineStr">
        <is>
          <t>Mirae Asset Diversified Equity Allocator Passive FoF - Regular Plan</t>
        </is>
      </c>
      <c r="B339" s="286" t="n">
        <v>5.06</v>
      </c>
      <c r="C339" s="286" t="n">
        <v>20.96</v>
      </c>
      <c r="D339" s="286" t="n">
        <v>0</v>
      </c>
      <c r="E339" s="286" t="n">
        <v>0</v>
      </c>
      <c r="F339" s="286" t="n">
        <v>0.79</v>
      </c>
      <c r="G339" s="286" t="n">
        <v>1.22</v>
      </c>
      <c r="H339" s="286" t="n">
        <v>0.73</v>
      </c>
      <c r="I339" s="286" t="n">
        <v>0.11</v>
      </c>
      <c r="J339" s="286" t="n">
        <v>0</v>
      </c>
      <c r="K339" s="286" t="n">
        <v>1.01</v>
      </c>
      <c r="L339" s="286" t="n">
        <v>14.05</v>
      </c>
      <c r="M339" s="286" t="inlineStr">
        <is>
          <t>EQ-SC</t>
        </is>
      </c>
    </row>
    <row r="340">
      <c r="A340" s="287" t="inlineStr">
        <is>
          <t>Mirae Asset Flexi Cap Fund - Regular Plan</t>
        </is>
      </c>
      <c r="B340" s="286" t="n">
        <v>6.27</v>
      </c>
      <c r="C340" s="286" t="n">
        <v>0</v>
      </c>
      <c r="D340" s="286" t="n">
        <v>0</v>
      </c>
      <c r="E340" s="286" t="n">
        <v>0</v>
      </c>
      <c r="F340" s="286" t="n">
        <v>0</v>
      </c>
      <c r="G340" s="286" t="n">
        <v>0</v>
      </c>
      <c r="H340" s="286" t="n">
        <v>0</v>
      </c>
      <c r="I340" s="286" t="n">
        <v>1.93</v>
      </c>
      <c r="J340" s="286" t="n">
        <v>31</v>
      </c>
      <c r="K340" s="286" t="n">
        <v>0</v>
      </c>
      <c r="L340" s="286" t="n">
        <v>0</v>
      </c>
      <c r="M340" s="286" t="inlineStr">
        <is>
          <t>HY-DAA</t>
        </is>
      </c>
    </row>
    <row r="341">
      <c r="A341" s="287" t="inlineStr">
        <is>
          <t>Mirae Asset Focused Fund - Regular Plan</t>
        </is>
      </c>
      <c r="B341" s="286" t="n">
        <v>9.300000000000001</v>
      </c>
      <c r="C341" s="286" t="n">
        <v>14.63</v>
      </c>
      <c r="D341" s="286" t="n">
        <v>19.76</v>
      </c>
      <c r="E341" s="286" t="n">
        <v>0</v>
      </c>
      <c r="F341" s="286" t="n">
        <v>0.47</v>
      </c>
      <c r="G341" s="286" t="n">
        <v>0.74</v>
      </c>
      <c r="H341" s="286" t="n">
        <v>-3.36</v>
      </c>
      <c r="I341" s="286" t="n">
        <v>1.77</v>
      </c>
      <c r="J341" s="286" t="n">
        <v>38</v>
      </c>
      <c r="K341" s="286" t="n">
        <v>0.8100000000000001</v>
      </c>
      <c r="L341" s="286" t="n">
        <v>12.75</v>
      </c>
      <c r="M341" s="286" t="inlineStr">
        <is>
          <t>EQ-LC</t>
        </is>
      </c>
    </row>
    <row r="342">
      <c r="A342" s="287" t="inlineStr">
        <is>
          <t>Mirae Asset Great Consumer Fund - Regular Plan</t>
        </is>
      </c>
      <c r="B342" s="286" t="n">
        <v>4.32</v>
      </c>
      <c r="C342" s="286" t="n">
        <v>22.31</v>
      </c>
      <c r="D342" s="286" t="n">
        <v>23.23</v>
      </c>
      <c r="E342" s="286" t="n">
        <v>15.34</v>
      </c>
      <c r="F342" s="286" t="n">
        <v>0.8100000000000001</v>
      </c>
      <c r="G342" s="286" t="n">
        <v>1.13</v>
      </c>
      <c r="H342" s="286" t="n">
        <v>0.5</v>
      </c>
      <c r="I342" s="286" t="n">
        <v>1.85</v>
      </c>
      <c r="J342" s="286" t="n">
        <v>46</v>
      </c>
      <c r="K342" s="286" t="n">
        <v>0.86</v>
      </c>
      <c r="L342" s="286" t="n">
        <v>15.84</v>
      </c>
      <c r="M342" s="286" t="inlineStr">
        <is>
          <t>EQ-THEMATIC</t>
        </is>
      </c>
    </row>
    <row r="343">
      <c r="A343" s="287" t="inlineStr">
        <is>
          <t>Mirae Asset Large Cap Fund - Regular Plan</t>
        </is>
      </c>
      <c r="B343" s="286" t="n">
        <v>7.5</v>
      </c>
      <c r="C343" s="286" t="n">
        <v>17.14</v>
      </c>
      <c r="D343" s="286" t="n">
        <v>19.49</v>
      </c>
      <c r="E343" s="286" t="n">
        <v>13.33</v>
      </c>
      <c r="F343" s="286" t="n">
        <v>0.63</v>
      </c>
      <c r="G343" s="286" t="n">
        <v>1.01</v>
      </c>
      <c r="H343" s="286" t="n">
        <v>-1.36</v>
      </c>
      <c r="I343" s="286" t="n">
        <v>1.52</v>
      </c>
      <c r="J343" s="286" t="n">
        <v>42</v>
      </c>
      <c r="K343" s="286" t="n">
        <v>0.9</v>
      </c>
      <c r="L343" s="286" t="n">
        <v>12.52</v>
      </c>
      <c r="M343" s="286" t="inlineStr">
        <is>
          <t>EQ-LC</t>
        </is>
      </c>
    </row>
    <row r="344">
      <c r="A344" s="287" t="inlineStr">
        <is>
          <t>Mirae Asset Large &amp; Midcap Fund - Regular Plan</t>
        </is>
      </c>
      <c r="B344" s="286" t="n">
        <v>4.76</v>
      </c>
      <c r="C344" s="286" t="n">
        <v>20.69</v>
      </c>
      <c r="D344" s="286" t="n">
        <v>23.73</v>
      </c>
      <c r="E344" s="286" t="n">
        <v>17.54</v>
      </c>
      <c r="F344" s="286" t="n">
        <v>0.73</v>
      </c>
      <c r="G344" s="286" t="n">
        <v>1.08</v>
      </c>
      <c r="H344" s="286" t="n">
        <v>-0.19</v>
      </c>
      <c r="I344" s="286" t="n">
        <v>1.53</v>
      </c>
      <c r="J344" s="286" t="n">
        <v>92</v>
      </c>
      <c r="K344" s="286" t="n">
        <v>0.98</v>
      </c>
      <c r="L344" s="286" t="n">
        <v>14.51</v>
      </c>
      <c r="M344" s="286" t="inlineStr">
        <is>
          <t>EQ-THEMATIC</t>
        </is>
      </c>
    </row>
    <row r="345">
      <c r="A345" s="287" t="inlineStr">
        <is>
          <t>Mirae Asset Midcap Fund - Regular Plan</t>
        </is>
      </c>
      <c r="B345" s="286" t="n">
        <v>4.5</v>
      </c>
      <c r="C345" s="286" t="n">
        <v>24.78</v>
      </c>
      <c r="D345" s="286" t="n">
        <v>29.31</v>
      </c>
      <c r="E345" s="286" t="n">
        <v>0</v>
      </c>
      <c r="F345" s="286" t="n">
        <v>0.84</v>
      </c>
      <c r="G345" s="286" t="n">
        <v>1.21</v>
      </c>
      <c r="H345" s="286" t="n">
        <v>-3.37</v>
      </c>
      <c r="I345" s="286" t="n">
        <v>1.67</v>
      </c>
      <c r="J345" s="286" t="n">
        <v>109</v>
      </c>
      <c r="K345" s="286" t="n">
        <v>0.97</v>
      </c>
      <c r="L345" s="286" t="n">
        <v>16.88</v>
      </c>
      <c r="M345" s="286" t="inlineStr">
        <is>
          <t>HY-CH</t>
        </is>
      </c>
    </row>
    <row r="346">
      <c r="A346" s="287" t="inlineStr">
        <is>
          <t>Mirae Asset Multi Asset Allocation Fund - Regular Plan</t>
        </is>
      </c>
      <c r="B346" s="286" t="n">
        <v>11.33</v>
      </c>
      <c r="C346" s="286" t="n">
        <v>0</v>
      </c>
      <c r="D346" s="286" t="n">
        <v>0</v>
      </c>
      <c r="E346" s="286" t="n">
        <v>0</v>
      </c>
      <c r="F346" s="286" t="n">
        <v>0</v>
      </c>
      <c r="G346" s="286" t="n">
        <v>0</v>
      </c>
      <c r="H346" s="286" t="n">
        <v>0</v>
      </c>
      <c r="I346" s="286" t="n">
        <v>1.98</v>
      </c>
      <c r="J346" s="286" t="n">
        <v>294</v>
      </c>
      <c r="K346" s="286" t="n">
        <v>0</v>
      </c>
      <c r="L346" s="286" t="n">
        <v>0</v>
      </c>
      <c r="M346" s="286" t="inlineStr">
        <is>
          <t>EQ-MC</t>
        </is>
      </c>
    </row>
    <row r="347">
      <c r="A347" s="287" t="inlineStr">
        <is>
          <t>Mirae Asset Multicap Fund - Regular Plan</t>
        </is>
      </c>
      <c r="B347" s="286" t="n">
        <v>7.9</v>
      </c>
      <c r="C347" s="286" t="n">
        <v>0</v>
      </c>
      <c r="D347" s="286" t="n">
        <v>0</v>
      </c>
      <c r="E347" s="286" t="n">
        <v>0</v>
      </c>
      <c r="F347" s="286" t="n">
        <v>0</v>
      </c>
      <c r="G347" s="286" t="n">
        <v>0</v>
      </c>
      <c r="H347" s="286" t="n">
        <v>0</v>
      </c>
      <c r="I347" s="286" t="n">
        <v>1.87</v>
      </c>
      <c r="J347" s="286" t="n">
        <v>105</v>
      </c>
      <c r="K347" s="286" t="n">
        <v>0</v>
      </c>
      <c r="L347" s="286" t="n">
        <v>0</v>
      </c>
      <c r="M347" s="286" t="inlineStr">
        <is>
          <t>HY-AR</t>
        </is>
      </c>
    </row>
    <row r="348">
      <c r="A348" s="287" t="inlineStr">
        <is>
          <t>Mirae Asset Nifty 100 ESG Sector Leaders FoF - Regular Plan</t>
        </is>
      </c>
      <c r="B348" s="286" t="n">
        <v>7.44</v>
      </c>
      <c r="C348" s="286" t="n">
        <v>17.32</v>
      </c>
      <c r="D348" s="286" t="n">
        <v>0</v>
      </c>
      <c r="E348" s="286" t="n">
        <v>0</v>
      </c>
      <c r="F348" s="286" t="n">
        <v>0.59</v>
      </c>
      <c r="G348" s="286" t="n">
        <v>0.96</v>
      </c>
      <c r="H348" s="286" t="n">
        <v>-2.02</v>
      </c>
      <c r="I348" s="286" t="n">
        <v>0.43</v>
      </c>
      <c r="J348" s="286" t="n">
        <v>0</v>
      </c>
      <c r="K348" s="286" t="n">
        <v>0.96</v>
      </c>
      <c r="L348" s="286" t="n">
        <v>13.38</v>
      </c>
      <c r="M348" s="286" t="inlineStr">
        <is>
          <t>HY-AH</t>
        </is>
      </c>
    </row>
    <row r="349">
      <c r="A349" s="287" t="inlineStr">
        <is>
          <t>Mirae Asset Small Cap Fund - Regular Plan</t>
        </is>
      </c>
      <c r="B349" s="286" t="n">
        <v>0</v>
      </c>
      <c r="C349" s="286" t="n">
        <v>0</v>
      </c>
      <c r="D349" s="286" t="n">
        <v>0</v>
      </c>
      <c r="E349" s="286" t="n">
        <v>0</v>
      </c>
      <c r="F349" s="286" t="n">
        <v>0</v>
      </c>
      <c r="G349" s="286" t="n">
        <v>0</v>
      </c>
      <c r="H349" s="286" t="n">
        <v>0</v>
      </c>
      <c r="I349" s="286" t="n">
        <v>2.05</v>
      </c>
      <c r="J349" s="286" t="n">
        <v>0</v>
      </c>
      <c r="K349" s="286" t="n">
        <v>0</v>
      </c>
      <c r="L349" s="286" t="n">
        <v>0</v>
      </c>
      <c r="M349" s="286" t="inlineStr">
        <is>
          <t>EQ-L&amp;MC</t>
        </is>
      </c>
    </row>
    <row r="350">
      <c r="A350" s="287" t="inlineStr">
        <is>
          <t>Motilal Oswal Active Momentum Fund - Regular Plan</t>
        </is>
      </c>
      <c r="B350" s="286" t="n">
        <v>0</v>
      </c>
      <c r="C350" s="286" t="n">
        <v>0</v>
      </c>
      <c r="D350" s="286" t="n">
        <v>0</v>
      </c>
      <c r="E350" s="286" t="n">
        <v>0</v>
      </c>
      <c r="F350" s="286" t="n">
        <v>0</v>
      </c>
      <c r="G350" s="286" t="n">
        <v>0</v>
      </c>
      <c r="H350" s="286" t="n">
        <v>0</v>
      </c>
      <c r="I350" s="286" t="n">
        <v>2.68</v>
      </c>
      <c r="J350" s="286" t="n">
        <v>46</v>
      </c>
      <c r="K350" s="286" t="n">
        <v>0</v>
      </c>
      <c r="L350" s="286" t="n">
        <v>0</v>
      </c>
      <c r="M350" s="286" t="inlineStr">
        <is>
          <t>EQ-FLX</t>
        </is>
      </c>
    </row>
    <row r="351">
      <c r="A351" s="287" t="inlineStr">
        <is>
          <t>Motilal Oswal Asset Allocation Passive FoF - Aggressive - Regular Plan</t>
        </is>
      </c>
      <c r="B351" s="286" t="n">
        <v>11.02</v>
      </c>
      <c r="C351" s="286" t="n">
        <v>18.76</v>
      </c>
      <c r="D351" s="286" t="n">
        <v>0</v>
      </c>
      <c r="E351" s="286" t="n">
        <v>0</v>
      </c>
      <c r="F351" s="286" t="n">
        <v>1.02</v>
      </c>
      <c r="G351" s="286" t="n">
        <v>1.74</v>
      </c>
      <c r="H351" s="286" t="n">
        <v>1.53</v>
      </c>
      <c r="I351" s="286" t="n">
        <v>0.51</v>
      </c>
      <c r="J351" s="286" t="n">
        <v>0</v>
      </c>
      <c r="K351" s="286" t="n">
        <v>0.84</v>
      </c>
      <c r="L351" s="286" t="n">
        <v>8.869999999999999</v>
      </c>
      <c r="M351" s="286" t="inlineStr">
        <is>
          <t>EQ-FLX</t>
        </is>
      </c>
    </row>
    <row r="352">
      <c r="A352" s="287" t="inlineStr">
        <is>
          <t>Motilal Oswal Asset Allocation Passive FoF - Conservative - Regular Plan</t>
        </is>
      </c>
      <c r="B352" s="286" t="n">
        <v>11.48</v>
      </c>
      <c r="C352" s="286" t="n">
        <v>14.69</v>
      </c>
      <c r="D352" s="286" t="n">
        <v>0</v>
      </c>
      <c r="E352" s="286" t="n">
        <v>0</v>
      </c>
      <c r="F352" s="286" t="n">
        <v>1.17</v>
      </c>
      <c r="G352" s="286" t="n">
        <v>1.87</v>
      </c>
      <c r="H352" s="286" t="n">
        <v>2.16</v>
      </c>
      <c r="I352" s="286" t="n">
        <v>0.49</v>
      </c>
      <c r="J352" s="286" t="n">
        <v>0</v>
      </c>
      <c r="K352" s="286" t="n">
        <v>0.48</v>
      </c>
      <c r="L352" s="286" t="n">
        <v>5.5</v>
      </c>
      <c r="M352" s="286" t="inlineStr">
        <is>
          <t>EQ-THEMATIC</t>
        </is>
      </c>
    </row>
    <row r="353">
      <c r="A353" s="287" t="inlineStr">
        <is>
          <t>Motilal Oswal Balanced Advantage Fund - Regular Plan</t>
        </is>
      </c>
      <c r="B353" s="286" t="n">
        <v>-7.86</v>
      </c>
      <c r="C353" s="286" t="n">
        <v>11.37</v>
      </c>
      <c r="D353" s="286" t="n">
        <v>8.59</v>
      </c>
      <c r="E353" s="286" t="n">
        <v>0</v>
      </c>
      <c r="F353" s="286" t="n">
        <v>0.28</v>
      </c>
      <c r="G353" s="286" t="n">
        <v>0.39</v>
      </c>
      <c r="H353" s="286" t="n">
        <v>-4.19</v>
      </c>
      <c r="I353" s="286" t="n">
        <v>2.27</v>
      </c>
      <c r="J353" s="286" t="n">
        <v>411</v>
      </c>
      <c r="K353" s="286" t="n">
        <v>1.04</v>
      </c>
      <c r="L353" s="286" t="n">
        <v>14.27</v>
      </c>
      <c r="M353" s="286" t="inlineStr">
        <is>
          <t>HY-MAA</t>
        </is>
      </c>
    </row>
    <row r="354">
      <c r="A354" s="287" t="inlineStr">
        <is>
          <t>Motilal Oswal Business Cycle Fund - Regular Plan</t>
        </is>
      </c>
      <c r="B354" s="286" t="n">
        <v>0</v>
      </c>
      <c r="C354" s="286" t="n">
        <v>0</v>
      </c>
      <c r="D354" s="286" t="n">
        <v>0</v>
      </c>
      <c r="E354" s="286" t="n">
        <v>0</v>
      </c>
      <c r="F354" s="286" t="n">
        <v>0</v>
      </c>
      <c r="G354" s="286" t="n">
        <v>0</v>
      </c>
      <c r="H354" s="286" t="n">
        <v>0</v>
      </c>
      <c r="I354" s="286" t="n">
        <v>2.02</v>
      </c>
      <c r="J354" s="286" t="n">
        <v>194</v>
      </c>
      <c r="K354" s="286" t="n">
        <v>0</v>
      </c>
      <c r="L354" s="286" t="n">
        <v>0</v>
      </c>
      <c r="M354" s="286" t="inlineStr">
        <is>
          <t>EQ-MLC</t>
        </is>
      </c>
    </row>
    <row r="355">
      <c r="A355" s="287" t="inlineStr">
        <is>
          <t>Motilal Oswal Flexi Cap Fund - Regular Plan</t>
        </is>
      </c>
      <c r="B355" s="286" t="n">
        <v>13.56</v>
      </c>
      <c r="C355" s="286" t="n">
        <v>28.38</v>
      </c>
      <c r="D355" s="286" t="n">
        <v>22.11</v>
      </c>
      <c r="E355" s="286" t="n">
        <v>13.5</v>
      </c>
      <c r="F355" s="286" t="n">
        <v>1.07</v>
      </c>
      <c r="G355" s="286" t="n">
        <v>1.35</v>
      </c>
      <c r="H355" s="286" t="n">
        <v>6.75</v>
      </c>
      <c r="I355" s="286" t="n">
        <v>1.72</v>
      </c>
      <c r="J355" s="286" t="n">
        <v>153</v>
      </c>
      <c r="K355" s="286" t="n">
        <v>0.9</v>
      </c>
      <c r="L355" s="286" t="n">
        <v>16.01</v>
      </c>
      <c r="M355" s="286" t="inlineStr">
        <is>
          <t>EQ-LC</t>
        </is>
      </c>
    </row>
    <row r="356">
      <c r="A356" s="287" t="inlineStr">
        <is>
          <t>Motilal Oswal Focused Fund - Regular Plan</t>
        </is>
      </c>
      <c r="B356" s="286" t="n">
        <v>-5.66</v>
      </c>
      <c r="C356" s="286" t="n">
        <v>13.73</v>
      </c>
      <c r="D356" s="286" t="n">
        <v>14.72</v>
      </c>
      <c r="E356" s="286" t="n">
        <v>10.18</v>
      </c>
      <c r="F356" s="286" t="n">
        <v>0.37</v>
      </c>
      <c r="G356" s="286" t="n">
        <v>0.51</v>
      </c>
      <c r="H356" s="286" t="n">
        <v>-5.82</v>
      </c>
      <c r="I356" s="286" t="n">
        <v>2.14</v>
      </c>
      <c r="J356" s="286" t="n">
        <v>104</v>
      </c>
      <c r="K356" s="286" t="n">
        <v>1.1</v>
      </c>
      <c r="L356" s="286" t="n">
        <v>18.5</v>
      </c>
      <c r="M356" s="286" t="inlineStr">
        <is>
          <t>EQ-LC</t>
        </is>
      </c>
    </row>
    <row r="357">
      <c r="A357" s="287" t="inlineStr">
        <is>
          <t>Motilal Oswal Innovation Opportunities Fund - Regular Plan</t>
        </is>
      </c>
      <c r="B357" s="286" t="n">
        <v>0</v>
      </c>
      <c r="C357" s="286" t="n">
        <v>0</v>
      </c>
      <c r="D357" s="286" t="n">
        <v>0</v>
      </c>
      <c r="E357" s="286" t="n">
        <v>0</v>
      </c>
      <c r="F357" s="286" t="n">
        <v>0</v>
      </c>
      <c r="G357" s="286" t="n">
        <v>0</v>
      </c>
      <c r="H357" s="286" t="n">
        <v>0</v>
      </c>
      <c r="I357" s="286" t="n">
        <v>2.43</v>
      </c>
      <c r="J357" s="286" t="n">
        <v>8</v>
      </c>
      <c r="K357" s="286" t="n">
        <v>0</v>
      </c>
      <c r="L357" s="286" t="n">
        <v>0</v>
      </c>
      <c r="M357" s="286" t="inlineStr">
        <is>
          <t>EQ-L&amp;MC</t>
        </is>
      </c>
    </row>
    <row r="358">
      <c r="A358" s="287" t="inlineStr">
        <is>
          <t>Motilal Oswal Large and Midcap Fund - Regular Plan</t>
        </is>
      </c>
      <c r="B358" s="286" t="n">
        <v>14.44</v>
      </c>
      <c r="C358" s="286" t="n">
        <v>33.87</v>
      </c>
      <c r="D358" s="286" t="n">
        <v>29.78</v>
      </c>
      <c r="E358" s="286" t="n">
        <v>0</v>
      </c>
      <c r="F358" s="286" t="n">
        <v>1.19</v>
      </c>
      <c r="G358" s="286" t="n">
        <v>1.32</v>
      </c>
      <c r="H358" s="286" t="n">
        <v>10.73</v>
      </c>
      <c r="I358" s="286" t="n">
        <v>1.73</v>
      </c>
      <c r="J358" s="286" t="n">
        <v>38</v>
      </c>
      <c r="K358" s="286" t="n">
        <v>1.09</v>
      </c>
      <c r="L358" s="286" t="n">
        <v>19.22</v>
      </c>
      <c r="M358" s="286" t="inlineStr">
        <is>
          <t>EQ-L&amp;MC</t>
        </is>
      </c>
    </row>
    <row r="359">
      <c r="A359" s="287" t="inlineStr">
        <is>
          <t>Motilal Oswal Large Cap Fund - Regular Plan</t>
        </is>
      </c>
      <c r="B359" s="286" t="n">
        <v>18.65</v>
      </c>
      <c r="C359" s="286" t="n">
        <v>0</v>
      </c>
      <c r="D359" s="286" t="n">
        <v>0</v>
      </c>
      <c r="E359" s="286" t="n">
        <v>0</v>
      </c>
      <c r="F359" s="286" t="n">
        <v>0</v>
      </c>
      <c r="G359" s="286" t="n">
        <v>0</v>
      </c>
      <c r="H359" s="286" t="n">
        <v>0</v>
      </c>
      <c r="I359" s="286" t="n">
        <v>2.01</v>
      </c>
      <c r="J359" s="286" t="n">
        <v>56</v>
      </c>
      <c r="K359" s="286" t="n">
        <v>0</v>
      </c>
      <c r="L359" s="286" t="n">
        <v>0</v>
      </c>
      <c r="M359" s="286" t="inlineStr">
        <is>
          <t>EQ-LC</t>
        </is>
      </c>
    </row>
    <row r="360">
      <c r="A360" s="287" t="inlineStr">
        <is>
          <t>Motilal Oswal Manufacturing Fund - Regular Plan</t>
        </is>
      </c>
      <c r="B360" s="286" t="n">
        <v>0</v>
      </c>
      <c r="C360" s="286" t="n">
        <v>0</v>
      </c>
      <c r="D360" s="286" t="n">
        <v>0</v>
      </c>
      <c r="E360" s="286" t="n">
        <v>0</v>
      </c>
      <c r="F360" s="286" t="n">
        <v>0</v>
      </c>
      <c r="G360" s="286" t="n">
        <v>0</v>
      </c>
      <c r="H360" s="286" t="n">
        <v>0</v>
      </c>
      <c r="I360" s="286" t="n">
        <v>2.3</v>
      </c>
      <c r="J360" s="286" t="n">
        <v>53</v>
      </c>
      <c r="K360" s="286" t="n">
        <v>0</v>
      </c>
      <c r="L360" s="286" t="n">
        <v>0</v>
      </c>
      <c r="M360" s="286" t="inlineStr">
        <is>
          <t>EQ-LC</t>
        </is>
      </c>
    </row>
    <row r="361">
      <c r="A361" s="287" t="inlineStr">
        <is>
          <t>Motilal Oswal Midcap Fund - Regular Plan</t>
        </is>
      </c>
      <c r="B361" s="286" t="n">
        <v>10.02</v>
      </c>
      <c r="C361" s="286" t="n">
        <v>35.32</v>
      </c>
      <c r="D361" s="286" t="n">
        <v>36.22</v>
      </c>
      <c r="E361" s="286" t="n">
        <v>17.62</v>
      </c>
      <c r="F361" s="286" t="n">
        <v>1.27</v>
      </c>
      <c r="G361" s="286" t="n">
        <v>1.56</v>
      </c>
      <c r="H361" s="286" t="n">
        <v>7.1</v>
      </c>
      <c r="I361" s="286" t="n">
        <v>1.58</v>
      </c>
      <c r="J361" s="286" t="n">
        <v>172</v>
      </c>
      <c r="K361" s="286" t="n">
        <v>0.89</v>
      </c>
      <c r="L361" s="286" t="n">
        <v>18.2</v>
      </c>
      <c r="M361" s="286" t="inlineStr">
        <is>
          <t>EQ-THEMATIC</t>
        </is>
      </c>
    </row>
    <row r="362">
      <c r="A362" s="287" t="inlineStr">
        <is>
          <t>Motilal Oswal Multi Asset Fund - Regular Plan</t>
        </is>
      </c>
      <c r="B362" s="286" t="n">
        <v>-8.68</v>
      </c>
      <c r="C362" s="286" t="n">
        <v>5.16</v>
      </c>
      <c r="D362" s="286" t="n">
        <v>0</v>
      </c>
      <c r="E362" s="286" t="n">
        <v>0</v>
      </c>
      <c r="F362" s="286" t="n">
        <v>-0.16</v>
      </c>
      <c r="G362" s="286" t="n">
        <v>-0.19</v>
      </c>
      <c r="H362" s="286" t="n">
        <v>-8.029999999999999</v>
      </c>
      <c r="I362" s="286" t="n">
        <v>2.04</v>
      </c>
      <c r="J362" s="286" t="n">
        <v>66</v>
      </c>
      <c r="K362" s="286" t="n">
        <v>0.73</v>
      </c>
      <c r="L362" s="286" t="n">
        <v>9.630000000000001</v>
      </c>
      <c r="M362" s="286" t="inlineStr">
        <is>
          <t>EQ-THEMATIC</t>
        </is>
      </c>
    </row>
    <row r="363">
      <c r="A363" s="287" t="inlineStr">
        <is>
          <t>Motilal Oswal Multi Cap Fund - Regular Plan</t>
        </is>
      </c>
      <c r="B363" s="286" t="n">
        <v>28.6</v>
      </c>
      <c r="C363" s="286" t="n">
        <v>0</v>
      </c>
      <c r="D363" s="286" t="n">
        <v>0</v>
      </c>
      <c r="E363" s="286" t="n">
        <v>0</v>
      </c>
      <c r="F363" s="286" t="n">
        <v>0</v>
      </c>
      <c r="G363" s="286" t="n">
        <v>0</v>
      </c>
      <c r="H363" s="286" t="n">
        <v>0</v>
      </c>
      <c r="I363" s="286" t="n">
        <v>1.88</v>
      </c>
      <c r="J363" s="286" t="n">
        <v>234</v>
      </c>
      <c r="K363" s="286" t="n">
        <v>0</v>
      </c>
      <c r="L363" s="286" t="n">
        <v>0</v>
      </c>
      <c r="M363" s="286" t="inlineStr">
        <is>
          <t>EQ-MC</t>
        </is>
      </c>
    </row>
    <row r="364">
      <c r="A364" s="287" t="inlineStr">
        <is>
          <t>Motilal Oswal Quant Fund - Regular Plan</t>
        </is>
      </c>
      <c r="B364" s="286" t="n">
        <v>-1.6</v>
      </c>
      <c r="C364" s="286" t="n">
        <v>0</v>
      </c>
      <c r="D364" s="286" t="n">
        <v>0</v>
      </c>
      <c r="E364" s="286" t="n">
        <v>0</v>
      </c>
      <c r="F364" s="286" t="n">
        <v>0</v>
      </c>
      <c r="G364" s="286" t="n">
        <v>0</v>
      </c>
      <c r="H364" s="286" t="n">
        <v>0</v>
      </c>
      <c r="I364" s="286" t="n">
        <v>0.96</v>
      </c>
      <c r="J364" s="286" t="n">
        <v>199</v>
      </c>
      <c r="K364" s="286" t="n">
        <v>0</v>
      </c>
      <c r="L364" s="286" t="n">
        <v>0</v>
      </c>
      <c r="M364" s="286" t="inlineStr">
        <is>
          <t>EQ-MC</t>
        </is>
      </c>
    </row>
    <row r="365">
      <c r="A365" s="287" t="inlineStr">
        <is>
          <t>Motilal Oswal Services Fund - Regular Plan</t>
        </is>
      </c>
      <c r="B365" s="286" t="n">
        <v>0</v>
      </c>
      <c r="C365" s="286" t="n">
        <v>0</v>
      </c>
      <c r="D365" s="286" t="n">
        <v>0</v>
      </c>
      <c r="E365" s="286" t="n">
        <v>0</v>
      </c>
      <c r="F365" s="286" t="n">
        <v>0</v>
      </c>
      <c r="G365" s="286" t="n">
        <v>0</v>
      </c>
      <c r="H365" s="286" t="n">
        <v>0</v>
      </c>
      <c r="I365" s="286" t="n">
        <v>0</v>
      </c>
      <c r="J365" s="286" t="n">
        <v>0</v>
      </c>
      <c r="K365" s="286" t="n">
        <v>0</v>
      </c>
      <c r="L365" s="286" t="n">
        <v>0</v>
      </c>
      <c r="M365" s="286" t="inlineStr">
        <is>
          <t>EQ-MC</t>
        </is>
      </c>
    </row>
    <row r="366">
      <c r="A366" s="287" t="inlineStr">
        <is>
          <t>Motilal Oswal Small Cap Fund - Regular Plan</t>
        </is>
      </c>
      <c r="B366" s="286" t="n">
        <v>15.84</v>
      </c>
      <c r="C366" s="286" t="n">
        <v>0</v>
      </c>
      <c r="D366" s="286" t="n">
        <v>0</v>
      </c>
      <c r="E366" s="286" t="n">
        <v>0</v>
      </c>
      <c r="F366" s="286" t="n">
        <v>0</v>
      </c>
      <c r="G366" s="286" t="n">
        <v>0</v>
      </c>
      <c r="H366" s="286" t="n">
        <v>0</v>
      </c>
      <c r="I366" s="286" t="n">
        <v>1.84</v>
      </c>
      <c r="J366" s="286" t="n">
        <v>59</v>
      </c>
      <c r="K366" s="286" t="n">
        <v>0</v>
      </c>
      <c r="L366" s="286" t="n">
        <v>0</v>
      </c>
      <c r="M366" s="286" t="inlineStr">
        <is>
          <t>EQ-LC</t>
        </is>
      </c>
    </row>
    <row r="367">
      <c r="A367" s="287" t="inlineStr">
        <is>
          <t>Navi Aggressive Hybrid Fund - Regular Plan</t>
        </is>
      </c>
      <c r="B367" s="286" t="n">
        <v>5.29</v>
      </c>
      <c r="C367" s="286" t="n">
        <v>16.11</v>
      </c>
      <c r="D367" s="286" t="n">
        <v>15.76</v>
      </c>
      <c r="E367" s="286" t="n">
        <v>0</v>
      </c>
      <c r="F367" s="286" t="n">
        <v>0.68</v>
      </c>
      <c r="G367" s="286" t="n">
        <v>1.04</v>
      </c>
      <c r="H367" s="286" t="n">
        <v>-0.91</v>
      </c>
      <c r="I367" s="286" t="n">
        <v>2.28</v>
      </c>
      <c r="J367" s="286" t="n">
        <v>64</v>
      </c>
      <c r="K367" s="286" t="n">
        <v>0.82</v>
      </c>
      <c r="L367" s="286" t="n">
        <v>10.21</v>
      </c>
      <c r="M367" s="286" t="inlineStr">
        <is>
          <t>EQ-SC</t>
        </is>
      </c>
    </row>
    <row r="368">
      <c r="A368" s="287" t="inlineStr">
        <is>
          <t>Navi Flexi Cap Fund - Regular Plan</t>
        </is>
      </c>
      <c r="B368" s="286" t="n">
        <v>0.7</v>
      </c>
      <c r="C368" s="286" t="n">
        <v>17.39</v>
      </c>
      <c r="D368" s="286" t="n">
        <v>19.14</v>
      </c>
      <c r="E368" s="286" t="n">
        <v>0</v>
      </c>
      <c r="F368" s="286" t="n">
        <v>0.59</v>
      </c>
      <c r="G368" s="286" t="n">
        <v>0.95</v>
      </c>
      <c r="H368" s="286" t="n">
        <v>-2.5</v>
      </c>
      <c r="I368" s="286" t="n">
        <v>2.29</v>
      </c>
      <c r="J368" s="286" t="n">
        <v>77</v>
      </c>
      <c r="K368" s="286" t="n">
        <v>0.93</v>
      </c>
      <c r="L368" s="286" t="n">
        <v>14.08</v>
      </c>
      <c r="M368" s="286" t="inlineStr">
        <is>
          <t>EQ-SC</t>
        </is>
      </c>
    </row>
    <row r="369">
      <c r="A369" s="287" t="inlineStr">
        <is>
          <t>Navi Large &amp; Midcap Fund</t>
        </is>
      </c>
      <c r="B369" s="286" t="n">
        <v>3.34</v>
      </c>
      <c r="C369" s="286" t="n">
        <v>18.17</v>
      </c>
      <c r="D369" s="286" t="n">
        <v>21.82</v>
      </c>
      <c r="E369" s="286" t="n">
        <v>0</v>
      </c>
      <c r="F369" s="286" t="n">
        <v>0.59</v>
      </c>
      <c r="G369" s="286" t="n">
        <v>0.89</v>
      </c>
      <c r="H369" s="286" t="n">
        <v>-1.93</v>
      </c>
      <c r="I369" s="286" t="n">
        <v>2.26</v>
      </c>
      <c r="J369" s="286" t="n">
        <v>71</v>
      </c>
      <c r="K369" s="286" t="n">
        <v>0.97</v>
      </c>
      <c r="L369" s="286" t="n">
        <v>14.96</v>
      </c>
      <c r="M369" s="286" t="inlineStr">
        <is>
          <t>EQ-LC</t>
        </is>
      </c>
    </row>
    <row r="370">
      <c r="A370" s="287" t="inlineStr">
        <is>
          <t>Nippon India Active Momentum Fund - Regular Plan</t>
        </is>
      </c>
      <c r="B370" s="286" t="n">
        <v>0</v>
      </c>
      <c r="C370" s="286" t="n">
        <v>0</v>
      </c>
      <c r="D370" s="286" t="n">
        <v>0</v>
      </c>
      <c r="E370" s="286" t="n">
        <v>0</v>
      </c>
      <c r="F370" s="286" t="n">
        <v>0</v>
      </c>
      <c r="G370" s="286" t="n">
        <v>0</v>
      </c>
      <c r="H370" s="286" t="n">
        <v>0</v>
      </c>
      <c r="I370" s="286" t="n">
        <v>1.66</v>
      </c>
      <c r="J370" s="286" t="n">
        <v>0</v>
      </c>
      <c r="K370" s="286" t="n">
        <v>0</v>
      </c>
      <c r="L370" s="286" t="n">
        <v>0</v>
      </c>
      <c r="M370" s="286" t="inlineStr">
        <is>
          <t>EQ-THEMATIC</t>
        </is>
      </c>
    </row>
    <row r="371">
      <c r="A371" s="287" t="inlineStr">
        <is>
          <t>Nippon India Balanced Advantage Fund</t>
        </is>
      </c>
      <c r="B371" s="286" t="n">
        <v>6.92</v>
      </c>
      <c r="C371" s="286" t="n">
        <v>14.9</v>
      </c>
      <c r="D371" s="286" t="n">
        <v>15.02</v>
      </c>
      <c r="E371" s="286" t="n">
        <v>10.01</v>
      </c>
      <c r="F371" s="286" t="n">
        <v>0.91</v>
      </c>
      <c r="G371" s="286" t="n">
        <v>1.38</v>
      </c>
      <c r="H371" s="286" t="n">
        <v>1.16</v>
      </c>
      <c r="I371" s="286" t="n">
        <v>1.74</v>
      </c>
      <c r="J371" s="286" t="n">
        <v>266</v>
      </c>
      <c r="K371" s="286" t="n">
        <v>0.71</v>
      </c>
      <c r="L371" s="286" t="n">
        <v>7.42</v>
      </c>
      <c r="M371" s="286" t="inlineStr">
        <is>
          <t>EQ-THEMATIC</t>
        </is>
      </c>
    </row>
    <row r="372">
      <c r="A372" s="287" t="inlineStr">
        <is>
          <t>Nippon India Consumption Fund</t>
        </is>
      </c>
      <c r="B372" s="286" t="n">
        <v>3.23</v>
      </c>
      <c r="C372" s="286" t="n">
        <v>22.5</v>
      </c>
      <c r="D372" s="286" t="n">
        <v>25.2</v>
      </c>
      <c r="E372" s="286" t="n">
        <v>14.92</v>
      </c>
      <c r="F372" s="286" t="n">
        <v>0.89</v>
      </c>
      <c r="G372" s="286" t="n">
        <v>1.19</v>
      </c>
      <c r="H372" s="286" t="n">
        <v>1.98</v>
      </c>
      <c r="I372" s="286" t="n">
        <v>1.97</v>
      </c>
      <c r="J372" s="286" t="n">
        <v>27</v>
      </c>
      <c r="K372" s="286" t="n">
        <v>0.78</v>
      </c>
      <c r="L372" s="286" t="n">
        <v>14.88</v>
      </c>
      <c r="M372" s="286" t="inlineStr">
        <is>
          <t>EQ-SC</t>
        </is>
      </c>
    </row>
    <row r="373">
      <c r="A373" s="287" t="inlineStr">
        <is>
          <t>Nippon India Diversified Equity Flexicap Passive FoF - Regular Plan</t>
        </is>
      </c>
      <c r="B373" s="286" t="n">
        <v>4.11</v>
      </c>
      <c r="C373" s="286" t="n">
        <v>20.57</v>
      </c>
      <c r="D373" s="286" t="n">
        <v>0</v>
      </c>
      <c r="E373" s="286" t="n">
        <v>0</v>
      </c>
      <c r="F373" s="286" t="n">
        <v>0.74</v>
      </c>
      <c r="G373" s="286" t="n">
        <v>1.29</v>
      </c>
      <c r="H373" s="286" t="n">
        <v>-0.66</v>
      </c>
      <c r="I373" s="286" t="n">
        <v>0.58</v>
      </c>
      <c r="J373" s="286" t="n">
        <v>8</v>
      </c>
      <c r="K373" s="286" t="n">
        <v>0.98</v>
      </c>
      <c r="L373" s="286" t="n">
        <v>14.36</v>
      </c>
      <c r="M373" s="286" t="inlineStr">
        <is>
          <t>EQ-THEMATIC</t>
        </is>
      </c>
    </row>
    <row r="374">
      <c r="A374" s="287" t="inlineStr">
        <is>
          <t>Nippon India Equity Hybrid Fund</t>
        </is>
      </c>
      <c r="B374" s="286" t="n">
        <v>6.76</v>
      </c>
      <c r="C374" s="286" t="n">
        <v>19.57</v>
      </c>
      <c r="D374" s="286" t="n">
        <v>20.34</v>
      </c>
      <c r="E374" s="286" t="n">
        <v>10.24</v>
      </c>
      <c r="F374" s="286" t="n">
        <v>1</v>
      </c>
      <c r="G374" s="286" t="n">
        <v>1.64</v>
      </c>
      <c r="H374" s="286" t="n">
        <v>2.16</v>
      </c>
      <c r="I374" s="286" t="n">
        <v>1.97</v>
      </c>
      <c r="J374" s="286" t="n">
        <v>37</v>
      </c>
      <c r="K374" s="286" t="n">
        <v>0.83</v>
      </c>
      <c r="L374" s="286" t="n">
        <v>10.13</v>
      </c>
      <c r="M374" s="286" t="inlineStr">
        <is>
          <t>EQ-THEMATIC</t>
        </is>
      </c>
    </row>
    <row r="375">
      <c r="A375" s="287" t="inlineStr">
        <is>
          <t>Nippon India Flexi Cap Fund - Regular Plan</t>
        </is>
      </c>
      <c r="B375" s="286" t="n">
        <v>1.12</v>
      </c>
      <c r="C375" s="286" t="n">
        <v>20.25</v>
      </c>
      <c r="D375" s="286" t="n">
        <v>0</v>
      </c>
      <c r="E375" s="286" t="n">
        <v>0</v>
      </c>
      <c r="F375" s="286" t="n">
        <v>0.75</v>
      </c>
      <c r="G375" s="286" t="n">
        <v>1.13</v>
      </c>
      <c r="H375" s="286" t="n">
        <v>-0.26</v>
      </c>
      <c r="I375" s="286" t="n">
        <v>1.72</v>
      </c>
      <c r="J375" s="286" t="n">
        <v>24</v>
      </c>
      <c r="K375" s="286" t="n">
        <v>0.9399999999999999</v>
      </c>
      <c r="L375" s="286" t="n">
        <v>14.07</v>
      </c>
      <c r="M375" s="286" t="inlineStr">
        <is>
          <t>HY-AH</t>
        </is>
      </c>
    </row>
    <row r="376">
      <c r="A376" s="287" t="inlineStr">
        <is>
          <t>Nippon India Focused Equity Fund</t>
        </is>
      </c>
      <c r="B376" s="286" t="n">
        <v>5.2</v>
      </c>
      <c r="C376" s="286" t="n">
        <v>20.05</v>
      </c>
      <c r="D376" s="286" t="n">
        <v>24.86</v>
      </c>
      <c r="E376" s="286" t="n">
        <v>14.32</v>
      </c>
      <c r="F376" s="286" t="n">
        <v>0.76</v>
      </c>
      <c r="G376" s="286" t="n">
        <v>1.58</v>
      </c>
      <c r="H376" s="286" t="n">
        <v>-0.02</v>
      </c>
      <c r="I376" s="286" t="n">
        <v>1.84</v>
      </c>
      <c r="J376" s="286" t="n">
        <v>41</v>
      </c>
      <c r="K376" s="286" t="n">
        <v>0.91</v>
      </c>
      <c r="L376" s="286" t="n">
        <v>13.84</v>
      </c>
      <c r="M376" s="286" t="inlineStr">
        <is>
          <t>HY-AR</t>
        </is>
      </c>
    </row>
    <row r="377">
      <c r="A377" s="287" t="inlineStr">
        <is>
          <t>Nippon India Growth Fund</t>
        </is>
      </c>
      <c r="B377" s="286" t="n">
        <v>8.94</v>
      </c>
      <c r="C377" s="286" t="n">
        <v>31.25</v>
      </c>
      <c r="D377" s="286" t="n">
        <v>32.93</v>
      </c>
      <c r="E377" s="286" t="n">
        <v>18</v>
      </c>
      <c r="F377" s="286" t="n">
        <v>1.23</v>
      </c>
      <c r="G377" s="286" t="n">
        <v>1.83</v>
      </c>
      <c r="H377" s="286" t="n">
        <v>2.96</v>
      </c>
      <c r="I377" s="286" t="n">
        <v>1.56</v>
      </c>
      <c r="J377" s="286" t="n">
        <v>13</v>
      </c>
      <c r="K377" s="286" t="n">
        <v>0.93</v>
      </c>
      <c r="L377" s="286" t="n">
        <v>16.21</v>
      </c>
      <c r="M377" s="286" t="inlineStr">
        <is>
          <t>HY-DAA</t>
        </is>
      </c>
    </row>
    <row r="378">
      <c r="A378" s="287" t="inlineStr">
        <is>
          <t>Nippon India Hybrid Bond Fund</t>
        </is>
      </c>
      <c r="B378" s="286" t="n">
        <v>8.77</v>
      </c>
      <c r="C378" s="286" t="n">
        <v>9.470000000000001</v>
      </c>
      <c r="D378" s="286" t="n">
        <v>9.17</v>
      </c>
      <c r="E378" s="286" t="n">
        <v>5.68</v>
      </c>
      <c r="F378" s="286" t="n">
        <v>1.13</v>
      </c>
      <c r="G378" s="286" t="n">
        <v>1.87</v>
      </c>
      <c r="H378" s="286" t="n">
        <v>0.63</v>
      </c>
      <c r="I378" s="286" t="n">
        <v>1.88</v>
      </c>
      <c r="J378" s="286" t="n">
        <v>0</v>
      </c>
      <c r="K378" s="286" t="n">
        <v>0.47</v>
      </c>
      <c r="L378" s="286" t="n">
        <v>2.08</v>
      </c>
      <c r="M378" s="286" t="inlineStr">
        <is>
          <t>EQ-LC</t>
        </is>
      </c>
    </row>
    <row r="379">
      <c r="A379" s="287" t="inlineStr">
        <is>
          <t>Nippon India Innovation Fund - Regular Plan</t>
        </is>
      </c>
      <c r="B379" s="286" t="n">
        <v>1.12</v>
      </c>
      <c r="C379" s="286" t="n">
        <v>0</v>
      </c>
      <c r="D379" s="286" t="n">
        <v>0</v>
      </c>
      <c r="E379" s="286" t="n">
        <v>0</v>
      </c>
      <c r="F379" s="286" t="n">
        <v>0</v>
      </c>
      <c r="G379" s="286" t="n">
        <v>0</v>
      </c>
      <c r="H379" s="286" t="n">
        <v>0</v>
      </c>
      <c r="I379" s="286" t="n">
        <v>1.97</v>
      </c>
      <c r="J379" s="286" t="n">
        <v>28</v>
      </c>
      <c r="K379" s="286" t="n">
        <v>0</v>
      </c>
      <c r="L379" s="286" t="n">
        <v>0</v>
      </c>
      <c r="M379" s="286" t="inlineStr">
        <is>
          <t>EQ-FLX</t>
        </is>
      </c>
    </row>
    <row r="380">
      <c r="A380" s="287" t="inlineStr">
        <is>
          <t>Nippon India Large Cap Fund</t>
        </is>
      </c>
      <c r="B380" s="286" t="n">
        <v>6.98</v>
      </c>
      <c r="C380" s="286" t="n">
        <v>25.4</v>
      </c>
      <c r="D380" s="286" t="n">
        <v>26.36</v>
      </c>
      <c r="E380" s="286" t="n">
        <v>14.3</v>
      </c>
      <c r="F380" s="286" t="n">
        <v>1.12</v>
      </c>
      <c r="G380" s="286" t="n">
        <v>1.9</v>
      </c>
      <c r="H380" s="286" t="n">
        <v>5.13</v>
      </c>
      <c r="I380" s="286" t="n">
        <v>1.53</v>
      </c>
      <c r="J380" s="286" t="n">
        <v>27</v>
      </c>
      <c r="K380" s="286" t="n">
        <v>0.9399999999999999</v>
      </c>
      <c r="L380" s="286" t="n">
        <v>13.18</v>
      </c>
      <c r="M380" s="286" t="inlineStr">
        <is>
          <t>HY-CH</t>
        </is>
      </c>
    </row>
    <row r="381">
      <c r="A381" s="287" t="inlineStr">
        <is>
          <t>Nippon India MNC Fund - Regular Plan</t>
        </is>
      </c>
      <c r="B381" s="286" t="n">
        <v>0</v>
      </c>
      <c r="C381" s="286" t="n">
        <v>0</v>
      </c>
      <c r="D381" s="286" t="n">
        <v>0</v>
      </c>
      <c r="E381" s="286" t="n">
        <v>0</v>
      </c>
      <c r="F381" s="286" t="n">
        <v>0</v>
      </c>
      <c r="G381" s="286" t="n">
        <v>0</v>
      </c>
      <c r="H381" s="286" t="n">
        <v>0</v>
      </c>
      <c r="I381" s="286" t="n">
        <v>0</v>
      </c>
      <c r="J381" s="286" t="n">
        <v>0</v>
      </c>
      <c r="K381" s="286" t="n">
        <v>0</v>
      </c>
      <c r="L381" s="286" t="n">
        <v>0</v>
      </c>
      <c r="M381" s="286" t="inlineStr">
        <is>
          <t>EQ-FLX</t>
        </is>
      </c>
    </row>
    <row r="382">
      <c r="A382" s="287" t="inlineStr">
        <is>
          <t>Nippon India Multi Asset Active FoF - Regular Plan</t>
        </is>
      </c>
      <c r="B382" s="286" t="n">
        <v>12.73</v>
      </c>
      <c r="C382" s="286" t="n">
        <v>22.65</v>
      </c>
      <c r="D382" s="286" t="n">
        <v>0</v>
      </c>
      <c r="E382" s="286" t="n">
        <v>0</v>
      </c>
      <c r="F382" s="286" t="n">
        <v>1.66</v>
      </c>
      <c r="G382" s="286" t="n">
        <v>2.73</v>
      </c>
      <c r="H382" s="286" t="n">
        <v>6.2</v>
      </c>
      <c r="I382" s="286" t="n">
        <v>1.16</v>
      </c>
      <c r="J382" s="286" t="n">
        <v>34</v>
      </c>
      <c r="K382" s="286" t="n">
        <v>0.77</v>
      </c>
      <c r="L382" s="286" t="n">
        <v>7.86</v>
      </c>
      <c r="M382" s="286" t="inlineStr">
        <is>
          <t>EQ-FLX</t>
        </is>
      </c>
    </row>
    <row r="383">
      <c r="A383" s="287" t="inlineStr">
        <is>
          <t>Nippon India Multi Asset Allocation Fund - Regular Plan</t>
        </is>
      </c>
      <c r="B383" s="286" t="n">
        <v>11.82</v>
      </c>
      <c r="C383" s="286" t="n">
        <v>20.24</v>
      </c>
      <c r="D383" s="286" t="n">
        <v>0</v>
      </c>
      <c r="E383" s="286" t="n">
        <v>0</v>
      </c>
      <c r="F383" s="286" t="n">
        <v>1.23</v>
      </c>
      <c r="G383" s="286" t="n">
        <v>2.17</v>
      </c>
      <c r="H383" s="286" t="n">
        <v>3.12</v>
      </c>
      <c r="I383" s="286" t="n">
        <v>1.45</v>
      </c>
      <c r="J383" s="286" t="n">
        <v>88</v>
      </c>
      <c r="K383" s="286" t="n">
        <v>0.86</v>
      </c>
      <c r="L383" s="286" t="n">
        <v>8.76</v>
      </c>
      <c r="M383" s="286" t="inlineStr">
        <is>
          <t>EQ-LC</t>
        </is>
      </c>
    </row>
    <row r="384">
      <c r="A384" s="287" t="inlineStr">
        <is>
          <t>Nippon India Multi Cap Fund</t>
        </is>
      </c>
      <c r="B384" s="286" t="n">
        <v>5.22</v>
      </c>
      <c r="C384" s="286" t="n">
        <v>30.14</v>
      </c>
      <c r="D384" s="286" t="n">
        <v>32.31</v>
      </c>
      <c r="E384" s="286" t="n">
        <v>15.12</v>
      </c>
      <c r="F384" s="286" t="n">
        <v>1.31</v>
      </c>
      <c r="G384" s="286" t="n">
        <v>1.91</v>
      </c>
      <c r="H384" s="286" t="n">
        <v>6.18</v>
      </c>
      <c r="I384" s="286" t="n">
        <v>1.53</v>
      </c>
      <c r="J384" s="286" t="n">
        <v>20</v>
      </c>
      <c r="K384" s="286" t="n">
        <v>0.88</v>
      </c>
      <c r="L384" s="286" t="n">
        <v>14.43</v>
      </c>
      <c r="M384" s="286" t="inlineStr">
        <is>
          <t>EQ-L&amp;MC</t>
        </is>
      </c>
    </row>
    <row r="385">
      <c r="A385" s="287" t="inlineStr">
        <is>
          <t>Nippon India Nifty Next 50 Junior BeES FoF - Regular Plan</t>
        </is>
      </c>
      <c r="B385" s="286" t="n">
        <v>-4.15</v>
      </c>
      <c r="C385" s="286" t="n">
        <v>23.1</v>
      </c>
      <c r="D385" s="286" t="n">
        <v>21.56</v>
      </c>
      <c r="E385" s="286" t="n">
        <v>0</v>
      </c>
      <c r="F385" s="286" t="n">
        <v>0.71</v>
      </c>
      <c r="G385" s="286" t="n">
        <v>1.05</v>
      </c>
      <c r="H385" s="286" t="n">
        <v>0.57</v>
      </c>
      <c r="I385" s="286" t="n">
        <v>0.29</v>
      </c>
      <c r="J385" s="286" t="n">
        <v>0</v>
      </c>
      <c r="K385" s="286" t="n">
        <v>1.28</v>
      </c>
      <c r="L385" s="286" t="n">
        <v>19.33</v>
      </c>
      <c r="M385" s="286" t="inlineStr">
        <is>
          <t>EQ-THEMATIC</t>
        </is>
      </c>
    </row>
    <row r="386">
      <c r="A386" s="287" t="inlineStr">
        <is>
          <t>Nippon India Quant Fund - Retail Plan</t>
        </is>
      </c>
      <c r="B386" s="286" t="n">
        <v>7.87</v>
      </c>
      <c r="C386" s="286" t="n">
        <v>26.17</v>
      </c>
      <c r="D386" s="286" t="n">
        <v>24.61</v>
      </c>
      <c r="E386" s="286" t="n">
        <v>13.83</v>
      </c>
      <c r="F386" s="286" t="n">
        <v>1.05</v>
      </c>
      <c r="G386" s="286" t="n">
        <v>1.69</v>
      </c>
      <c r="H386" s="286" t="n">
        <v>4.08</v>
      </c>
      <c r="I386" s="286" t="n">
        <v>0.9399999999999999</v>
      </c>
      <c r="J386" s="286" t="n">
        <v>107</v>
      </c>
      <c r="K386" s="286" t="n">
        <v>0.96</v>
      </c>
      <c r="L386" s="286" t="n">
        <v>14.43</v>
      </c>
      <c r="M386" s="286" t="inlineStr">
        <is>
          <t>EQ-MC</t>
        </is>
      </c>
    </row>
    <row r="387">
      <c r="A387" s="287" t="inlineStr">
        <is>
          <t>Nippon India Retirement Fund - Income Generation Scheme</t>
        </is>
      </c>
      <c r="B387" s="286" t="n">
        <v>6.27</v>
      </c>
      <c r="C387" s="286" t="n">
        <v>10.74</v>
      </c>
      <c r="D387" s="286" t="n">
        <v>7.66</v>
      </c>
      <c r="E387" s="286" t="n">
        <v>7.36</v>
      </c>
      <c r="F387" s="286" t="n">
        <v>0.91</v>
      </c>
      <c r="G387" s="286" t="n">
        <v>1.67</v>
      </c>
      <c r="H387" s="286" t="n">
        <v>0.29</v>
      </c>
      <c r="I387" s="286" t="n">
        <v>2.08</v>
      </c>
      <c r="J387" s="286" t="n">
        <v>0</v>
      </c>
      <c r="K387" s="286" t="n">
        <v>1.02</v>
      </c>
      <c r="L387" s="286" t="n">
        <v>4.46</v>
      </c>
      <c r="M387" s="286" t="inlineStr">
        <is>
          <t>HY-MAA</t>
        </is>
      </c>
    </row>
    <row r="388">
      <c r="A388" s="287" t="inlineStr">
        <is>
          <t>Nippon India Retirement Fund - Wealth Creation Scheme</t>
        </is>
      </c>
      <c r="B388" s="286" t="n">
        <v>2.65</v>
      </c>
      <c r="C388" s="286" t="n">
        <v>22.69</v>
      </c>
      <c r="D388" s="286" t="n">
        <v>22.69</v>
      </c>
      <c r="E388" s="286" t="n">
        <v>11.15</v>
      </c>
      <c r="F388" s="286" t="n">
        <v>0.88</v>
      </c>
      <c r="G388" s="286" t="n">
        <v>1.28</v>
      </c>
      <c r="H388" s="286" t="n">
        <v>1.53</v>
      </c>
      <c r="I388" s="286" t="n">
        <v>1.93</v>
      </c>
      <c r="J388" s="286" t="n">
        <v>51</v>
      </c>
      <c r="K388" s="286" t="n">
        <v>0.97</v>
      </c>
      <c r="L388" s="286" t="n">
        <v>14.44</v>
      </c>
      <c r="M388" s="286" t="inlineStr">
        <is>
          <t>EQ-MLC</t>
        </is>
      </c>
    </row>
    <row r="389">
      <c r="A389" s="287" t="inlineStr">
        <is>
          <t>Nippon India Small Cap Fund</t>
        </is>
      </c>
      <c r="B389" s="286" t="n">
        <v>0.9</v>
      </c>
      <c r="C389" s="286" t="n">
        <v>30.66</v>
      </c>
      <c r="D389" s="286" t="n">
        <v>37.47</v>
      </c>
      <c r="E389" s="286" t="n">
        <v>21.74</v>
      </c>
      <c r="F389" s="286" t="n">
        <v>1.15</v>
      </c>
      <c r="G389" s="286" t="n">
        <v>1.59</v>
      </c>
      <c r="H389" s="286" t="n">
        <v>4.08</v>
      </c>
      <c r="I389" s="286" t="n">
        <v>1.41</v>
      </c>
      <c r="J389" s="286" t="n">
        <v>15</v>
      </c>
      <c r="K389" s="286" t="n">
        <v>0.84</v>
      </c>
      <c r="L389" s="286" t="n">
        <v>16.86</v>
      </c>
      <c r="M389" s="286" t="inlineStr">
        <is>
          <t>EQ-LC</t>
        </is>
      </c>
    </row>
    <row r="390">
      <c r="A390" s="287" t="inlineStr">
        <is>
          <t>Nippon India Vision Fund</t>
        </is>
      </c>
      <c r="B390" s="286" t="n">
        <v>7.44</v>
      </c>
      <c r="C390" s="286" t="n">
        <v>26.11</v>
      </c>
      <c r="D390" s="286" t="n">
        <v>26.48</v>
      </c>
      <c r="E390" s="286" t="n">
        <v>12.83</v>
      </c>
      <c r="F390" s="286" t="n">
        <v>1.08</v>
      </c>
      <c r="G390" s="286" t="n">
        <v>1.47</v>
      </c>
      <c r="H390" s="286" t="n">
        <v>4.63</v>
      </c>
      <c r="I390" s="286" t="n">
        <v>1.93</v>
      </c>
      <c r="J390" s="286" t="n">
        <v>72</v>
      </c>
      <c r="K390" s="286" t="n">
        <v>0.95</v>
      </c>
      <c r="L390" s="286" t="n">
        <v>14.06</v>
      </c>
      <c r="M390" s="286" t="inlineStr">
        <is>
          <t>EQ-LC</t>
        </is>
      </c>
    </row>
    <row r="391">
      <c r="A391" s="287" t="inlineStr">
        <is>
          <t>NJ Balanced Advantage Fund - Regular Plan</t>
        </is>
      </c>
      <c r="B391" s="286" t="n">
        <v>1.57</v>
      </c>
      <c r="C391" s="286" t="n">
        <v>14.26</v>
      </c>
      <c r="D391" s="286" t="n">
        <v>0</v>
      </c>
      <c r="E391" s="286" t="n">
        <v>0</v>
      </c>
      <c r="F391" s="286" t="n">
        <v>0.65</v>
      </c>
      <c r="G391" s="286" t="n">
        <v>0.91</v>
      </c>
      <c r="H391" s="286" t="n">
        <v>-0.5</v>
      </c>
      <c r="I391" s="286" t="n">
        <v>1.89</v>
      </c>
      <c r="J391" s="286" t="n">
        <v>300</v>
      </c>
      <c r="K391" s="286" t="n">
        <v>0.8100000000000001</v>
      </c>
      <c r="L391" s="286" t="n">
        <v>9.06</v>
      </c>
      <c r="M391" s="286" t="inlineStr">
        <is>
          <t>EQ-SC</t>
        </is>
      </c>
    </row>
    <row r="392">
      <c r="A392" s="287" t="inlineStr">
        <is>
          <t>NJ Flexi Cap Fund - Regular Plan</t>
        </is>
      </c>
      <c r="B392" s="286" t="n">
        <v>-3.88</v>
      </c>
      <c r="C392" s="286" t="n">
        <v>0</v>
      </c>
      <c r="D392" s="286" t="n">
        <v>0</v>
      </c>
      <c r="E392" s="286" t="n">
        <v>0</v>
      </c>
      <c r="F392" s="286" t="n">
        <v>0</v>
      </c>
      <c r="G392" s="286" t="n">
        <v>0</v>
      </c>
      <c r="H392" s="286" t="n">
        <v>0</v>
      </c>
      <c r="I392" s="286" t="n">
        <v>1.99</v>
      </c>
      <c r="J392" s="286" t="n">
        <v>75</v>
      </c>
      <c r="K392" s="286" t="n">
        <v>0</v>
      </c>
      <c r="L392" s="286" t="n">
        <v>0</v>
      </c>
      <c r="M392" s="286" t="inlineStr">
        <is>
          <t>HY-AH</t>
        </is>
      </c>
    </row>
    <row r="393">
      <c r="A393" s="287" t="inlineStr">
        <is>
          <t>Old Bridge Focused Fund - Regular Plan</t>
        </is>
      </c>
      <c r="B393" s="286" t="n">
        <v>8.220000000000001</v>
      </c>
      <c r="C393" s="286" t="n">
        <v>0</v>
      </c>
      <c r="D393" s="286" t="n">
        <v>0</v>
      </c>
      <c r="E393" s="286" t="n">
        <v>0</v>
      </c>
      <c r="F393" s="286" t="n">
        <v>0</v>
      </c>
      <c r="G393" s="286" t="n">
        <v>0</v>
      </c>
      <c r="H393" s="286" t="n">
        <v>0</v>
      </c>
      <c r="I393" s="286" t="n">
        <v>2.12</v>
      </c>
      <c r="J393" s="286" t="n">
        <v>20</v>
      </c>
      <c r="K393" s="286" t="n">
        <v>0</v>
      </c>
      <c r="L393" s="286" t="n">
        <v>0</v>
      </c>
      <c r="M393" s="286" t="inlineStr">
        <is>
          <t>HY-AH</t>
        </is>
      </c>
    </row>
    <row r="394">
      <c r="A394" s="287" t="inlineStr">
        <is>
          <t>Parag Parikh Conservative Hybrid Fund - Regular Plan</t>
        </is>
      </c>
      <c r="B394" s="286" t="n">
        <v>9.81</v>
      </c>
      <c r="C394" s="286" t="n">
        <v>12.49</v>
      </c>
      <c r="D394" s="286" t="n">
        <v>0</v>
      </c>
      <c r="E394" s="286" t="n">
        <v>0</v>
      </c>
      <c r="F394" s="286" t="n">
        <v>1.63</v>
      </c>
      <c r="G394" s="286" t="n">
        <v>2.42</v>
      </c>
      <c r="H394" s="286" t="n">
        <v>3</v>
      </c>
      <c r="I394" s="286" t="n">
        <v>0.64</v>
      </c>
      <c r="J394" s="286" t="n">
        <v>0</v>
      </c>
      <c r="K394" s="286" t="n">
        <v>0.63</v>
      </c>
      <c r="L394" s="286" t="n">
        <v>3.27</v>
      </c>
      <c r="M394" s="286" t="inlineStr">
        <is>
          <t>HY-AR</t>
        </is>
      </c>
    </row>
    <row r="395">
      <c r="A395" s="287" t="inlineStr">
        <is>
          <t>Parag Parikh Dynamic Asset Allocation Fund - Regular Plan</t>
        </is>
      </c>
      <c r="B395" s="286" t="n">
        <v>8.300000000000001</v>
      </c>
      <c r="C395" s="286" t="n">
        <v>0</v>
      </c>
      <c r="D395" s="286" t="n">
        <v>0</v>
      </c>
      <c r="E395" s="286" t="n">
        <v>0</v>
      </c>
      <c r="F395" s="286" t="n">
        <v>0</v>
      </c>
      <c r="G395" s="286" t="n">
        <v>0</v>
      </c>
      <c r="H395" s="286" t="n">
        <v>0</v>
      </c>
      <c r="I395" s="286" t="n">
        <v>0.63</v>
      </c>
      <c r="J395" s="286" t="n">
        <v>0</v>
      </c>
      <c r="K395" s="286" t="n">
        <v>0</v>
      </c>
      <c r="L395" s="286" t="n">
        <v>0</v>
      </c>
      <c r="M395" s="286" t="inlineStr">
        <is>
          <t>HY-DAA</t>
        </is>
      </c>
    </row>
    <row r="396">
      <c r="A396" s="287" t="inlineStr">
        <is>
          <t>Parag Parikh Flexi Cap Fund - Regular Plan</t>
        </is>
      </c>
      <c r="B396" s="286" t="n">
        <v>12.56</v>
      </c>
      <c r="C396" s="286" t="n">
        <v>24.58</v>
      </c>
      <c r="D396" s="286" t="n">
        <v>25.73</v>
      </c>
      <c r="E396" s="286" t="n">
        <v>17.64</v>
      </c>
      <c r="F396" s="286" t="n">
        <v>1.34</v>
      </c>
      <c r="G396" s="286" t="n">
        <v>1.75</v>
      </c>
      <c r="H396" s="286" t="n">
        <v>6.3</v>
      </c>
      <c r="I396" s="286" t="n">
        <v>1.28</v>
      </c>
      <c r="J396" s="286" t="n">
        <v>16.2</v>
      </c>
      <c r="K396" s="286" t="n">
        <v>0.61</v>
      </c>
      <c r="L396" s="286" t="n">
        <v>10</v>
      </c>
      <c r="M396" s="286" t="inlineStr">
        <is>
          <t>EQ-THEMATIC</t>
        </is>
      </c>
    </row>
    <row r="397">
      <c r="A397" s="287" t="inlineStr">
        <is>
          <t>PGIM India Aggressive Hybrid Equity Fund</t>
        </is>
      </c>
      <c r="B397" s="286" t="n">
        <v>7.35</v>
      </c>
      <c r="C397" s="286" t="n">
        <v>16.34</v>
      </c>
      <c r="D397" s="286" t="n">
        <v>15.78</v>
      </c>
      <c r="E397" s="286" t="n">
        <v>8.550000000000001</v>
      </c>
      <c r="F397" s="286" t="n">
        <v>0.75</v>
      </c>
      <c r="G397" s="286" t="n">
        <v>1.28</v>
      </c>
      <c r="H397" s="286" t="n">
        <v>0.1</v>
      </c>
      <c r="I397" s="286" t="n">
        <v>2.33</v>
      </c>
      <c r="J397" s="286" t="n">
        <v>22</v>
      </c>
      <c r="K397" s="286" t="n">
        <v>0.72</v>
      </c>
      <c r="L397" s="286" t="n">
        <v>9.460000000000001</v>
      </c>
      <c r="M397" s="286" t="inlineStr">
        <is>
          <t>EQ-FLX</t>
        </is>
      </c>
    </row>
    <row r="398">
      <c r="A398" s="287" t="inlineStr">
        <is>
          <t>PGIM India Balanced Advantage Fund - Regular Plan</t>
        </is>
      </c>
      <c r="B398" s="286" t="n">
        <v>7.32</v>
      </c>
      <c r="C398" s="286" t="n">
        <v>13.92</v>
      </c>
      <c r="D398" s="286" t="n">
        <v>0</v>
      </c>
      <c r="E398" s="286" t="n">
        <v>0</v>
      </c>
      <c r="F398" s="286" t="n">
        <v>0.54</v>
      </c>
      <c r="G398" s="286" t="n">
        <v>0.9399999999999999</v>
      </c>
      <c r="H398" s="286" t="n">
        <v>-1.78</v>
      </c>
      <c r="I398" s="286" t="n">
        <v>2.19</v>
      </c>
      <c r="J398" s="286" t="n">
        <v>47</v>
      </c>
      <c r="K398" s="286" t="n">
        <v>0.85</v>
      </c>
      <c r="L398" s="286" t="n">
        <v>9.25</v>
      </c>
      <c r="M398" s="286" t="inlineStr">
        <is>
          <t>EQ-FLX</t>
        </is>
      </c>
    </row>
    <row r="399">
      <c r="A399" s="287" t="inlineStr">
        <is>
          <t>PGIM India Flexi Cap Fund - Regular Plan</t>
        </is>
      </c>
      <c r="B399" s="286" t="n">
        <v>7.59</v>
      </c>
      <c r="C399" s="286" t="n">
        <v>17.66</v>
      </c>
      <c r="D399" s="286" t="n">
        <v>22.4</v>
      </c>
      <c r="E399" s="286" t="n">
        <v>13.63</v>
      </c>
      <c r="F399" s="286" t="n">
        <v>0.58</v>
      </c>
      <c r="G399" s="286" t="n">
        <v>0.91</v>
      </c>
      <c r="H399" s="286" t="n">
        <v>-2.34</v>
      </c>
      <c r="I399" s="286" t="n">
        <v>1.78</v>
      </c>
      <c r="J399" s="286" t="n">
        <v>34</v>
      </c>
      <c r="K399" s="286" t="n">
        <v>0.89</v>
      </c>
      <c r="L399" s="286" t="n">
        <v>13.54</v>
      </c>
      <c r="M399" s="286" t="inlineStr">
        <is>
          <t>EQ-LC</t>
        </is>
      </c>
    </row>
    <row r="400">
      <c r="A400" s="287" t="inlineStr">
        <is>
          <t>PGIM India Large and Mid Cap Fund - Regular Plan</t>
        </is>
      </c>
      <c r="B400" s="286" t="n">
        <v>9.640000000000001</v>
      </c>
      <c r="C400" s="286" t="n">
        <v>0</v>
      </c>
      <c r="D400" s="286" t="n">
        <v>0</v>
      </c>
      <c r="E400" s="286" t="n">
        <v>0</v>
      </c>
      <c r="F400" s="286" t="n">
        <v>0</v>
      </c>
      <c r="G400" s="286" t="n">
        <v>0</v>
      </c>
      <c r="H400" s="286" t="n">
        <v>0</v>
      </c>
      <c r="I400" s="286" t="n">
        <v>2.31</v>
      </c>
      <c r="J400" s="286" t="n">
        <v>28</v>
      </c>
      <c r="K400" s="286" t="n">
        <v>0</v>
      </c>
      <c r="L400" s="286" t="n">
        <v>0</v>
      </c>
      <c r="M400" s="286" t="inlineStr">
        <is>
          <t>EQ-L&amp;MC</t>
        </is>
      </c>
    </row>
    <row r="401">
      <c r="A401" s="287" t="inlineStr">
        <is>
          <t>PGIM India Large Cap Fund - Regular Plan</t>
        </is>
      </c>
      <c r="B401" s="286" t="n">
        <v>5.45</v>
      </c>
      <c r="C401" s="286" t="n">
        <v>17.16</v>
      </c>
      <c r="D401" s="286" t="n">
        <v>17.85</v>
      </c>
      <c r="E401" s="286" t="n">
        <v>10.54</v>
      </c>
      <c r="F401" s="286" t="n">
        <v>0.59</v>
      </c>
      <c r="G401" s="286" t="n">
        <v>0.92</v>
      </c>
      <c r="H401" s="286" t="n">
        <v>-1.77</v>
      </c>
      <c r="I401" s="286" t="n">
        <v>2.38</v>
      </c>
      <c r="J401" s="286" t="n">
        <v>39</v>
      </c>
      <c r="K401" s="286" t="n">
        <v>0.92</v>
      </c>
      <c r="L401" s="286" t="n">
        <v>12.88</v>
      </c>
      <c r="M401" s="286" t="inlineStr">
        <is>
          <t>EQ-THEMATIC</t>
        </is>
      </c>
    </row>
    <row r="402">
      <c r="A402" s="287" t="inlineStr">
        <is>
          <t>PGIM India Midcap Fund - Regular Plan</t>
        </is>
      </c>
      <c r="B402" s="286" t="n">
        <v>5.95</v>
      </c>
      <c r="C402" s="286" t="n">
        <v>19.59</v>
      </c>
      <c r="D402" s="286" t="n">
        <v>28.95</v>
      </c>
      <c r="E402" s="286" t="n">
        <v>15.49</v>
      </c>
      <c r="F402" s="286" t="n">
        <v>0.65</v>
      </c>
      <c r="G402" s="286" t="n">
        <v>0.9399999999999999</v>
      </c>
      <c r="H402" s="286" t="n">
        <v>-5.26</v>
      </c>
      <c r="I402" s="286" t="n">
        <v>1.7</v>
      </c>
      <c r="J402" s="286" t="n">
        <v>40</v>
      </c>
      <c r="K402" s="286" t="n">
        <v>0.83</v>
      </c>
      <c r="L402" s="286" t="n">
        <v>15.11</v>
      </c>
      <c r="M402" s="286" t="inlineStr">
        <is>
          <t>EQ-MC</t>
        </is>
      </c>
    </row>
    <row r="403">
      <c r="A403" s="287" t="inlineStr">
        <is>
          <t>PGIM India Multi Cap Fund - Regular Plan</t>
        </is>
      </c>
      <c r="B403" s="286" t="n">
        <v>0</v>
      </c>
      <c r="C403" s="286" t="n">
        <v>0</v>
      </c>
      <c r="D403" s="286" t="n">
        <v>0</v>
      </c>
      <c r="E403" s="286" t="n">
        <v>0</v>
      </c>
      <c r="F403" s="286" t="n">
        <v>0</v>
      </c>
      <c r="G403" s="286" t="n">
        <v>0</v>
      </c>
      <c r="H403" s="286" t="n">
        <v>0</v>
      </c>
      <c r="I403" s="286" t="n">
        <v>2.38</v>
      </c>
      <c r="J403" s="286" t="n">
        <v>13</v>
      </c>
      <c r="K403" s="286" t="n">
        <v>0</v>
      </c>
      <c r="L403" s="286" t="n">
        <v>0</v>
      </c>
      <c r="M403" s="286" t="inlineStr">
        <is>
          <t>HY-MAA</t>
        </is>
      </c>
    </row>
    <row r="404">
      <c r="A404" s="287" t="inlineStr">
        <is>
          <t>PGIM India Retirement Fund - Regular Plan</t>
        </is>
      </c>
      <c r="B404" s="286" t="n">
        <v>10.32</v>
      </c>
      <c r="C404" s="286" t="n">
        <v>0</v>
      </c>
      <c r="D404" s="286" t="n">
        <v>0</v>
      </c>
      <c r="E404" s="286" t="n">
        <v>0</v>
      </c>
      <c r="F404" s="286" t="n">
        <v>0</v>
      </c>
      <c r="G404" s="286" t="n">
        <v>0</v>
      </c>
      <c r="H404" s="286" t="n">
        <v>0</v>
      </c>
      <c r="I404" s="286" t="n">
        <v>2.32</v>
      </c>
      <c r="J404" s="286" t="n">
        <v>25</v>
      </c>
      <c r="K404" s="286" t="n">
        <v>0</v>
      </c>
      <c r="L404" s="286" t="n">
        <v>0</v>
      </c>
      <c r="M404" s="286" t="inlineStr">
        <is>
          <t>EQ-MLC</t>
        </is>
      </c>
    </row>
    <row r="405">
      <c r="A405" s="287" t="inlineStr">
        <is>
          <t>PGIM India Small Cap Fund - Regular Plan</t>
        </is>
      </c>
      <c r="B405" s="286" t="n">
        <v>5.54</v>
      </c>
      <c r="C405" s="286" t="n">
        <v>19.11</v>
      </c>
      <c r="D405" s="286" t="n">
        <v>0</v>
      </c>
      <c r="E405" s="286" t="n">
        <v>0</v>
      </c>
      <c r="F405" s="286" t="n">
        <v>0.57</v>
      </c>
      <c r="G405" s="286" t="n">
        <v>0.89</v>
      </c>
      <c r="H405" s="286" t="n">
        <v>-4.96</v>
      </c>
      <c r="I405" s="286" t="n">
        <v>2.08</v>
      </c>
      <c r="J405" s="286" t="n">
        <v>56</v>
      </c>
      <c r="K405" s="286" t="n">
        <v>0.78</v>
      </c>
      <c r="L405" s="286" t="n">
        <v>16.17</v>
      </c>
      <c r="M405" s="286" t="inlineStr">
        <is>
          <t>EQ-SC</t>
        </is>
      </c>
    </row>
    <row r="406">
      <c r="A406" s="287" t="inlineStr">
        <is>
          <t>Quant Absolute Fund</t>
        </is>
      </c>
      <c r="B406" s="286" t="n">
        <v>-0.11</v>
      </c>
      <c r="C406" s="286" t="n">
        <v>17.68</v>
      </c>
      <c r="D406" s="286" t="n">
        <v>26.07</v>
      </c>
      <c r="E406" s="286" t="n">
        <v>15.81</v>
      </c>
      <c r="F406" s="286" t="n">
        <v>0.63</v>
      </c>
      <c r="G406" s="286" t="n">
        <v>1.05</v>
      </c>
      <c r="H406" s="286" t="n">
        <v>-1.38</v>
      </c>
      <c r="I406" s="286" t="n">
        <v>2.02</v>
      </c>
      <c r="J406" s="286" t="n">
        <v>237</v>
      </c>
      <c r="K406" s="286" t="n">
        <v>1.02</v>
      </c>
      <c r="L406" s="286" t="n">
        <v>13.29</v>
      </c>
      <c r="M406" s="286" t="inlineStr">
        <is>
          <t>HY-AH</t>
        </is>
      </c>
    </row>
    <row r="407">
      <c r="A407" s="287" t="inlineStr">
        <is>
          <t>Quant Active Fund</t>
        </is>
      </c>
      <c r="B407" s="286" t="n">
        <v>-9.58</v>
      </c>
      <c r="C407" s="286" t="n">
        <v>20.02</v>
      </c>
      <c r="D407" s="286" t="n">
        <v>28.14</v>
      </c>
      <c r="E407" s="286" t="n">
        <v>17.94</v>
      </c>
      <c r="F407" s="286" t="n">
        <v>0.6</v>
      </c>
      <c r="G407" s="286" t="n">
        <v>0.88</v>
      </c>
      <c r="H407" s="286" t="n">
        <v>-4.79</v>
      </c>
      <c r="I407" s="286" t="n">
        <v>1.73</v>
      </c>
      <c r="J407" s="286" t="n">
        <v>242</v>
      </c>
      <c r="K407" s="286" t="n">
        <v>1.04</v>
      </c>
      <c r="L407" s="286" t="n">
        <v>17.33</v>
      </c>
      <c r="M407" s="286" t="inlineStr">
        <is>
          <t>HY-AR</t>
        </is>
      </c>
    </row>
    <row r="408">
      <c r="A408" s="287" t="inlineStr">
        <is>
          <t>Quant Business Cycle Fund - Regular Plan</t>
        </is>
      </c>
      <c r="B408" s="286" t="n">
        <v>-4.97</v>
      </c>
      <c r="C408" s="286" t="n">
        <v>0</v>
      </c>
      <c r="D408" s="286" t="n">
        <v>0</v>
      </c>
      <c r="E408" s="286" t="n">
        <v>0</v>
      </c>
      <c r="F408" s="286" t="n">
        <v>0</v>
      </c>
      <c r="G408" s="286" t="n">
        <v>0</v>
      </c>
      <c r="H408" s="286" t="n">
        <v>0</v>
      </c>
      <c r="I408" s="286" t="n">
        <v>2.09</v>
      </c>
      <c r="J408" s="286" t="n">
        <v>206</v>
      </c>
      <c r="K408" s="286" t="n">
        <v>0</v>
      </c>
      <c r="L408" s="286" t="n">
        <v>0</v>
      </c>
      <c r="M408" s="286" t="inlineStr">
        <is>
          <t>HY-DAA</t>
        </is>
      </c>
    </row>
    <row r="409">
      <c r="A409" s="287" t="inlineStr">
        <is>
          <t>Quant Commodities Fund - Regular Plan</t>
        </is>
      </c>
      <c r="B409" s="286" t="n">
        <v>0.57</v>
      </c>
      <c r="C409" s="286" t="n">
        <v>0</v>
      </c>
      <c r="D409" s="286" t="n">
        <v>0</v>
      </c>
      <c r="E409" s="286" t="n">
        <v>0</v>
      </c>
      <c r="F409" s="286" t="n">
        <v>0</v>
      </c>
      <c r="G409" s="286" t="n">
        <v>0</v>
      </c>
      <c r="H409" s="286" t="n">
        <v>0</v>
      </c>
      <c r="I409" s="286" t="n">
        <v>2.42</v>
      </c>
      <c r="J409" s="286" t="n">
        <v>0</v>
      </c>
      <c r="K409" s="286" t="n">
        <v>0</v>
      </c>
      <c r="L409" s="286" t="n">
        <v>0</v>
      </c>
      <c r="M409" s="286" t="inlineStr">
        <is>
          <t>EQ-FLX</t>
        </is>
      </c>
    </row>
    <row r="410">
      <c r="A410" s="287" t="inlineStr">
        <is>
          <t>Quant Consumption Fund - Regular Plan</t>
        </is>
      </c>
      <c r="B410" s="286" t="n">
        <v>-5.31</v>
      </c>
      <c r="C410" s="286" t="n">
        <v>0</v>
      </c>
      <c r="D410" s="286" t="n">
        <v>0</v>
      </c>
      <c r="E410" s="286" t="n">
        <v>0</v>
      </c>
      <c r="F410" s="286" t="n">
        <v>0</v>
      </c>
      <c r="G410" s="286" t="n">
        <v>0</v>
      </c>
      <c r="H410" s="286" t="n">
        <v>0</v>
      </c>
      <c r="I410" s="286" t="n">
        <v>2.42</v>
      </c>
      <c r="J410" s="286" t="n">
        <v>0</v>
      </c>
      <c r="K410" s="286" t="n">
        <v>0</v>
      </c>
      <c r="L410" s="286" t="n">
        <v>0</v>
      </c>
      <c r="M410" s="286" t="inlineStr">
        <is>
          <t>EQ-FLX</t>
        </is>
      </c>
    </row>
    <row r="411">
      <c r="A411" s="287" t="inlineStr">
        <is>
          <t>Quant Dynamic Asset Allocation Fund - Regular Plan</t>
        </is>
      </c>
      <c r="B411" s="286" t="n">
        <v>0.55</v>
      </c>
      <c r="C411" s="286" t="n">
        <v>0</v>
      </c>
      <c r="D411" s="286" t="n">
        <v>0</v>
      </c>
      <c r="E411" s="286" t="n">
        <v>0</v>
      </c>
      <c r="F411" s="286" t="n">
        <v>0</v>
      </c>
      <c r="G411" s="286" t="n">
        <v>0</v>
      </c>
      <c r="H411" s="286" t="n">
        <v>0</v>
      </c>
      <c r="I411" s="286" t="n">
        <v>2.13</v>
      </c>
      <c r="J411" s="286" t="n">
        <v>510</v>
      </c>
      <c r="K411" s="286" t="n">
        <v>0</v>
      </c>
      <c r="L411" s="286" t="n">
        <v>0</v>
      </c>
      <c r="M411" s="286" t="inlineStr">
        <is>
          <t>EQ-LC</t>
        </is>
      </c>
    </row>
    <row r="412">
      <c r="A412" s="287" t="inlineStr">
        <is>
          <t>Quant ESG Equity Fund - Regular Plan</t>
        </is>
      </c>
      <c r="B412" s="286" t="n">
        <v>-0.75</v>
      </c>
      <c r="C412" s="286" t="n">
        <v>22.79</v>
      </c>
      <c r="D412" s="286" t="n">
        <v>0</v>
      </c>
      <c r="E412" s="286" t="n">
        <v>0</v>
      </c>
      <c r="F412" s="286" t="n">
        <v>0.79</v>
      </c>
      <c r="G412" s="286" t="n">
        <v>1.29</v>
      </c>
      <c r="H412" s="286" t="n">
        <v>2.51</v>
      </c>
      <c r="I412" s="286" t="n">
        <v>2.41</v>
      </c>
      <c r="J412" s="286" t="n">
        <v>452</v>
      </c>
      <c r="K412" s="286" t="n">
        <v>1.07</v>
      </c>
      <c r="L412" s="286" t="n">
        <v>17.2</v>
      </c>
      <c r="M412" s="286" t="inlineStr">
        <is>
          <t>EQ-L&amp;MC</t>
        </is>
      </c>
    </row>
    <row r="413">
      <c r="A413" s="287" t="inlineStr">
        <is>
          <t>Quant Flexi Cap Fund</t>
        </is>
      </c>
      <c r="B413" s="286" t="n">
        <v>-6.78</v>
      </c>
      <c r="C413" s="286" t="n">
        <v>24.05</v>
      </c>
      <c r="D413" s="286" t="n">
        <v>31.75</v>
      </c>
      <c r="E413" s="286" t="n">
        <v>19.05</v>
      </c>
      <c r="F413" s="286" t="n">
        <v>0.83</v>
      </c>
      <c r="G413" s="286" t="n">
        <v>1.27</v>
      </c>
      <c r="H413" s="286" t="n">
        <v>1.79</v>
      </c>
      <c r="I413" s="286" t="n">
        <v>1.78</v>
      </c>
      <c r="J413" s="286" t="n">
        <v>364</v>
      </c>
      <c r="K413" s="286" t="n">
        <v>1.07</v>
      </c>
      <c r="L413" s="286" t="n">
        <v>17.13</v>
      </c>
      <c r="M413" s="286" t="inlineStr">
        <is>
          <t>EQ-MC</t>
        </is>
      </c>
    </row>
    <row r="414">
      <c r="A414" s="287" t="inlineStr">
        <is>
          <t>Quant Focused Fund</t>
        </is>
      </c>
      <c r="B414" s="286" t="n">
        <v>-2.48</v>
      </c>
      <c r="C414" s="286" t="n">
        <v>21.49</v>
      </c>
      <c r="D414" s="286" t="n">
        <v>23.97</v>
      </c>
      <c r="E414" s="286" t="n">
        <v>14.64</v>
      </c>
      <c r="F414" s="286" t="n">
        <v>0.68</v>
      </c>
      <c r="G414" s="286" t="n">
        <v>1.1</v>
      </c>
      <c r="H414" s="286" t="n">
        <v>0.09</v>
      </c>
      <c r="I414" s="286" t="n">
        <v>2.18</v>
      </c>
      <c r="J414" s="286" t="n">
        <v>463</v>
      </c>
      <c r="K414" s="286" t="n">
        <v>1.05</v>
      </c>
      <c r="L414" s="286" t="n">
        <v>16.06</v>
      </c>
      <c r="M414" s="286" t="inlineStr">
        <is>
          <t>HY-MAA</t>
        </is>
      </c>
    </row>
    <row r="415">
      <c r="A415" s="287" t="inlineStr">
        <is>
          <t>Quant Large and Mid Cap Fund</t>
        </is>
      </c>
      <c r="B415" s="286" t="n">
        <v>-6.6</v>
      </c>
      <c r="C415" s="286" t="n">
        <v>24.1</v>
      </c>
      <c r="D415" s="286" t="n">
        <v>25.02</v>
      </c>
      <c r="E415" s="286" t="n">
        <v>16.81</v>
      </c>
      <c r="F415" s="286" t="n">
        <v>0.82</v>
      </c>
      <c r="G415" s="286" t="n">
        <v>1.31</v>
      </c>
      <c r="H415" s="286" t="n">
        <v>1.95</v>
      </c>
      <c r="I415" s="286" t="n">
        <v>1.88</v>
      </c>
      <c r="J415" s="286" t="n">
        <v>355</v>
      </c>
      <c r="K415" s="286" t="n">
        <v>1.09</v>
      </c>
      <c r="L415" s="286" t="n">
        <v>16.88</v>
      </c>
      <c r="M415" s="286" t="inlineStr">
        <is>
          <t>EQ-MLC</t>
        </is>
      </c>
    </row>
    <row r="416">
      <c r="A416" s="287" t="inlineStr">
        <is>
          <t>Quant Large Cap Fund - Regular Plan</t>
        </is>
      </c>
      <c r="B416" s="286" t="n">
        <v>-0.23</v>
      </c>
      <c r="C416" s="286" t="n">
        <v>0</v>
      </c>
      <c r="D416" s="286" t="n">
        <v>0</v>
      </c>
      <c r="E416" s="286" t="n">
        <v>0</v>
      </c>
      <c r="F416" s="286" t="n">
        <v>0</v>
      </c>
      <c r="G416" s="286" t="n">
        <v>0</v>
      </c>
      <c r="H416" s="286" t="n">
        <v>0</v>
      </c>
      <c r="I416" s="286" t="n">
        <v>1.92</v>
      </c>
      <c r="J416" s="286" t="n">
        <v>470</v>
      </c>
      <c r="K416" s="286" t="n">
        <v>0</v>
      </c>
      <c r="L416" s="286" t="n">
        <v>0</v>
      </c>
      <c r="M416" s="286" t="inlineStr">
        <is>
          <t>EQ-LC</t>
        </is>
      </c>
    </row>
    <row r="417">
      <c r="A417" s="287" t="inlineStr">
        <is>
          <t>Quant Manufacturing Fund - Regular Plan</t>
        </is>
      </c>
      <c r="B417" s="286" t="n">
        <v>-9.06</v>
      </c>
      <c r="C417" s="286" t="n">
        <v>0</v>
      </c>
      <c r="D417" s="286" t="n">
        <v>0</v>
      </c>
      <c r="E417" s="286" t="n">
        <v>0</v>
      </c>
      <c r="F417" s="286" t="n">
        <v>0</v>
      </c>
      <c r="G417" s="286" t="n">
        <v>0</v>
      </c>
      <c r="H417" s="286" t="n">
        <v>0</v>
      </c>
      <c r="I417" s="286" t="n">
        <v>2.25</v>
      </c>
      <c r="J417" s="286" t="n">
        <v>131</v>
      </c>
      <c r="K417" s="286" t="n">
        <v>0</v>
      </c>
      <c r="L417" s="286" t="n">
        <v>0</v>
      </c>
      <c r="M417" s="286" t="inlineStr">
        <is>
          <t>EQ-L&amp;MC</t>
        </is>
      </c>
    </row>
    <row r="418">
      <c r="A418" s="287" t="inlineStr">
        <is>
          <t>Quant Mid Cap Fund</t>
        </is>
      </c>
      <c r="B418" s="286" t="n">
        <v>-9.68</v>
      </c>
      <c r="C418" s="286" t="n">
        <v>25.17</v>
      </c>
      <c r="D418" s="286" t="n">
        <v>31.51</v>
      </c>
      <c r="E418" s="286" t="n">
        <v>16.82</v>
      </c>
      <c r="F418" s="286" t="n">
        <v>0.87</v>
      </c>
      <c r="G418" s="286" t="n">
        <v>1.23</v>
      </c>
      <c r="H418" s="286" t="n">
        <v>-1.82</v>
      </c>
      <c r="I418" s="286" t="n">
        <v>1.74</v>
      </c>
      <c r="J418" s="286" t="n">
        <v>339</v>
      </c>
      <c r="K418" s="286" t="n">
        <v>0.95</v>
      </c>
      <c r="L418" s="286" t="n">
        <v>17.67</v>
      </c>
      <c r="M418" s="286" t="inlineStr">
        <is>
          <t>EQ-FLX</t>
        </is>
      </c>
    </row>
    <row r="419">
      <c r="A419" s="287" t="inlineStr">
        <is>
          <t>Quant Momentum Fund - Regular Plan</t>
        </is>
      </c>
      <c r="B419" s="286" t="n">
        <v>-4.95</v>
      </c>
      <c r="C419" s="286" t="n">
        <v>0</v>
      </c>
      <c r="D419" s="286" t="n">
        <v>0</v>
      </c>
      <c r="E419" s="286" t="n">
        <v>0</v>
      </c>
      <c r="F419" s="286" t="n">
        <v>0</v>
      </c>
      <c r="G419" s="286" t="n">
        <v>0</v>
      </c>
      <c r="H419" s="286" t="n">
        <v>0</v>
      </c>
      <c r="I419" s="286" t="n">
        <v>2.09</v>
      </c>
      <c r="J419" s="286" t="n">
        <v>0</v>
      </c>
      <c r="K419" s="286" t="n">
        <v>0</v>
      </c>
      <c r="L419" s="286" t="n">
        <v>0</v>
      </c>
      <c r="M419" s="286" t="inlineStr">
        <is>
          <t>EQ-SC</t>
        </is>
      </c>
    </row>
    <row r="420">
      <c r="A420" s="287" t="inlineStr">
        <is>
          <t>Quant Multi Asset Fund</t>
        </is>
      </c>
      <c r="B420" s="286" t="n">
        <v>6.89</v>
      </c>
      <c r="C420" s="286" t="n">
        <v>24.41</v>
      </c>
      <c r="D420" s="286" t="n">
        <v>31.25</v>
      </c>
      <c r="E420" s="286" t="n">
        <v>17.28</v>
      </c>
      <c r="F420" s="286" t="n">
        <v>1.16</v>
      </c>
      <c r="G420" s="286" t="n">
        <v>1.87</v>
      </c>
      <c r="H420" s="286" t="n">
        <v>4.73</v>
      </c>
      <c r="I420" s="286" t="n">
        <v>1.88</v>
      </c>
      <c r="J420" s="286" t="n">
        <v>248</v>
      </c>
      <c r="K420" s="286" t="n">
        <v>1.05</v>
      </c>
      <c r="L420" s="286" t="n">
        <v>12.15</v>
      </c>
      <c r="M420" s="286" t="inlineStr">
        <is>
          <t>EQ-THEMATIC</t>
        </is>
      </c>
    </row>
    <row r="421">
      <c r="A421" s="287" t="inlineStr">
        <is>
          <t>Quant PSU Fund - Regular Plan</t>
        </is>
      </c>
      <c r="B421" s="286" t="n">
        <v>-8.859999999999999</v>
      </c>
      <c r="C421" s="286" t="n">
        <v>0</v>
      </c>
      <c r="D421" s="286" t="n">
        <v>0</v>
      </c>
      <c r="E421" s="286" t="n">
        <v>0</v>
      </c>
      <c r="F421" s="286" t="n">
        <v>0</v>
      </c>
      <c r="G421" s="286" t="n">
        <v>0</v>
      </c>
      <c r="H421" s="286" t="n">
        <v>0</v>
      </c>
      <c r="I421" s="286" t="n">
        <v>2.34</v>
      </c>
      <c r="J421" s="286" t="n">
        <v>0</v>
      </c>
      <c r="K421" s="286" t="n">
        <v>0</v>
      </c>
      <c r="L421" s="286" t="n">
        <v>0</v>
      </c>
      <c r="M421" s="286" t="inlineStr">
        <is>
          <t>HY-AR</t>
        </is>
      </c>
    </row>
    <row r="422">
      <c r="A422" s="287" t="inlineStr">
        <is>
          <t>Quant Quantamental Fund - Regular Plan</t>
        </is>
      </c>
      <c r="B422" s="286" t="n">
        <v>-6.45</v>
      </c>
      <c r="C422" s="286" t="n">
        <v>28.66</v>
      </c>
      <c r="D422" s="286" t="n">
        <v>0</v>
      </c>
      <c r="E422" s="286" t="n">
        <v>0</v>
      </c>
      <c r="F422" s="286" t="n">
        <v>1.07</v>
      </c>
      <c r="G422" s="286" t="n">
        <v>1.54</v>
      </c>
      <c r="H422" s="286" t="n">
        <v>5.86</v>
      </c>
      <c r="I422" s="286" t="n">
        <v>2.04</v>
      </c>
      <c r="J422" s="286" t="n">
        <v>498</v>
      </c>
      <c r="K422" s="286" t="n">
        <v>1.02</v>
      </c>
      <c r="L422" s="286" t="n">
        <v>16.42</v>
      </c>
      <c r="M422" s="286" t="inlineStr">
        <is>
          <t>HY-DAA</t>
        </is>
      </c>
    </row>
    <row r="423">
      <c r="A423" s="287" t="inlineStr">
        <is>
          <t>Quant Small Cap Fund</t>
        </is>
      </c>
      <c r="B423" s="286" t="n">
        <v>-3.36</v>
      </c>
      <c r="C423" s="286" t="n">
        <v>31.72</v>
      </c>
      <c r="D423" s="286" t="n">
        <v>44.15</v>
      </c>
      <c r="E423" s="286" t="n">
        <v>19.75</v>
      </c>
      <c r="F423" s="286" t="n">
        <v>1.1</v>
      </c>
      <c r="G423" s="286" t="n">
        <v>1.67</v>
      </c>
      <c r="H423" s="286" t="n">
        <v>3.86</v>
      </c>
      <c r="I423" s="286" t="n">
        <v>1.58</v>
      </c>
      <c r="J423" s="286" t="n">
        <v>151</v>
      </c>
      <c r="K423" s="286" t="n">
        <v>0.87</v>
      </c>
      <c r="L423" s="286" t="n">
        <v>17.97</v>
      </c>
      <c r="M423" s="286" t="inlineStr">
        <is>
          <t>EQ-FLX</t>
        </is>
      </c>
    </row>
    <row r="424">
      <c r="A424" s="287" t="inlineStr">
        <is>
          <t>Quantum Equity FoF - Regular Plan</t>
        </is>
      </c>
      <c r="B424" s="286" t="n">
        <v>6.73</v>
      </c>
      <c r="C424" s="286" t="n">
        <v>21.34</v>
      </c>
      <c r="D424" s="286" t="n">
        <v>21.39</v>
      </c>
      <c r="E424" s="286" t="n">
        <v>12.93</v>
      </c>
      <c r="F424" s="286" t="n">
        <v>0.87</v>
      </c>
      <c r="G424" s="286" t="n">
        <v>1.36</v>
      </c>
      <c r="H424" s="286" t="n">
        <v>1.11</v>
      </c>
      <c r="I424" s="286" t="n">
        <v>0.75</v>
      </c>
      <c r="J424" s="286" t="n">
        <v>0</v>
      </c>
      <c r="K424" s="286" t="n">
        <v>0.89</v>
      </c>
      <c r="L424" s="286" t="n">
        <v>13.11</v>
      </c>
      <c r="M424" s="286" t="inlineStr">
        <is>
          <t>EQ-L&amp;MC</t>
        </is>
      </c>
    </row>
    <row r="425">
      <c r="A425" s="287" t="inlineStr">
        <is>
          <t>Quantum ESG Best In Class Strategy Fund - Regular Plan</t>
        </is>
      </c>
      <c r="B425" s="286" t="n">
        <v>6.78</v>
      </c>
      <c r="C425" s="286" t="n">
        <v>17.94</v>
      </c>
      <c r="D425" s="286" t="n">
        <v>20.31</v>
      </c>
      <c r="E425" s="286" t="n">
        <v>0</v>
      </c>
      <c r="F425" s="286" t="n">
        <v>0.64</v>
      </c>
      <c r="G425" s="286" t="n">
        <v>0.96</v>
      </c>
      <c r="H425" s="286" t="n">
        <v>-1.02</v>
      </c>
      <c r="I425" s="286" t="n">
        <v>2.1</v>
      </c>
      <c r="J425" s="286" t="n">
        <v>13.77</v>
      </c>
      <c r="K425" s="286" t="n">
        <v>0.9399999999999999</v>
      </c>
      <c r="L425" s="286" t="n">
        <v>13.58</v>
      </c>
      <c r="M425" s="286" t="inlineStr">
        <is>
          <t>EQ-L&amp;MC</t>
        </is>
      </c>
    </row>
    <row r="426">
      <c r="A426" s="287" t="inlineStr">
        <is>
          <t>Quantum Ethical Fund - Regular Plan</t>
        </is>
      </c>
      <c r="B426" s="286" t="n">
        <v>0</v>
      </c>
      <c r="C426" s="286" t="n">
        <v>0</v>
      </c>
      <c r="D426" s="286" t="n">
        <v>0</v>
      </c>
      <c r="E426" s="286" t="n">
        <v>0</v>
      </c>
      <c r="F426" s="286" t="n">
        <v>0</v>
      </c>
      <c r="G426" s="286" t="n">
        <v>0</v>
      </c>
      <c r="H426" s="286" t="n">
        <v>0</v>
      </c>
      <c r="I426" s="286" t="n">
        <v>2.1</v>
      </c>
      <c r="J426" s="286" t="n">
        <v>0</v>
      </c>
      <c r="K426" s="286" t="n">
        <v>0</v>
      </c>
      <c r="L426" s="286" t="n">
        <v>0</v>
      </c>
      <c r="M426" s="286" t="inlineStr">
        <is>
          <t>EQ-THEMATIC</t>
        </is>
      </c>
    </row>
    <row r="427">
      <c r="A427" s="287" t="inlineStr">
        <is>
          <t>Quantum Multi Asset Allocation Fund - Regular Plan</t>
        </is>
      </c>
      <c r="B427" s="286" t="n">
        <v>9.380000000000001</v>
      </c>
      <c r="C427" s="286" t="n">
        <v>0</v>
      </c>
      <c r="D427" s="286" t="n">
        <v>0</v>
      </c>
      <c r="E427" s="286" t="n">
        <v>0</v>
      </c>
      <c r="F427" s="286" t="n">
        <v>0</v>
      </c>
      <c r="G427" s="286" t="n">
        <v>0</v>
      </c>
      <c r="H427" s="286" t="n">
        <v>0</v>
      </c>
      <c r="I427" s="286" t="n">
        <v>1.96</v>
      </c>
      <c r="J427" s="286" t="n">
        <v>2.64</v>
      </c>
      <c r="K427" s="286" t="n">
        <v>0</v>
      </c>
      <c r="L427" s="286" t="n">
        <v>0</v>
      </c>
      <c r="M427" s="286" t="inlineStr">
        <is>
          <t>EQ-FLX</t>
        </is>
      </c>
    </row>
    <row r="428">
      <c r="A428" s="287" t="inlineStr">
        <is>
          <t>Quantum Multi Asset Fund of Funds - Regular Plan</t>
        </is>
      </c>
      <c r="B428" s="286" t="n">
        <v>11.55</v>
      </c>
      <c r="C428" s="286" t="n">
        <v>14.01</v>
      </c>
      <c r="D428" s="286" t="n">
        <v>11.87</v>
      </c>
      <c r="E428" s="286" t="n">
        <v>9.539999999999999</v>
      </c>
      <c r="F428" s="286" t="n">
        <v>1.18</v>
      </c>
      <c r="G428" s="286" t="n">
        <v>1.88</v>
      </c>
      <c r="H428" s="286" t="n">
        <v>1.6</v>
      </c>
      <c r="I428" s="286" t="n">
        <v>0.47</v>
      </c>
      <c r="J428" s="286" t="n">
        <v>0</v>
      </c>
      <c r="K428" s="286" t="n">
        <v>0.5</v>
      </c>
      <c r="L428" s="286" t="n">
        <v>5.09</v>
      </c>
      <c r="M428" s="286" t="inlineStr">
        <is>
          <t>EQ-FLX</t>
        </is>
      </c>
    </row>
    <row r="429">
      <c r="A429" s="287" t="inlineStr">
        <is>
          <t>Quantum Small Cap Fund - Regular Plan</t>
        </is>
      </c>
      <c r="B429" s="286" t="n">
        <v>7.86</v>
      </c>
      <c r="C429" s="286" t="n">
        <v>0</v>
      </c>
      <c r="D429" s="286" t="n">
        <v>0</v>
      </c>
      <c r="E429" s="286" t="n">
        <v>0</v>
      </c>
      <c r="F429" s="286" t="n">
        <v>0</v>
      </c>
      <c r="G429" s="286" t="n">
        <v>0</v>
      </c>
      <c r="H429" s="286" t="n">
        <v>0</v>
      </c>
      <c r="I429" s="286" t="n">
        <v>2.1</v>
      </c>
      <c r="J429" s="286" t="n">
        <v>10.26</v>
      </c>
      <c r="K429" s="286" t="n">
        <v>0</v>
      </c>
      <c r="L429" s="286" t="n">
        <v>0</v>
      </c>
      <c r="M429" s="286" t="inlineStr">
        <is>
          <t>EQ-THEMATIC</t>
        </is>
      </c>
    </row>
    <row r="430">
      <c r="A430" s="287" t="inlineStr">
        <is>
          <t>Samco Active Momentum Fund - Regular Plan</t>
        </is>
      </c>
      <c r="B430" s="286" t="n">
        <v>0.71</v>
      </c>
      <c r="C430" s="286" t="n">
        <v>0</v>
      </c>
      <c r="D430" s="286" t="n">
        <v>0</v>
      </c>
      <c r="E430" s="286" t="n">
        <v>0</v>
      </c>
      <c r="F430" s="286" t="n">
        <v>0</v>
      </c>
      <c r="G430" s="286" t="n">
        <v>0</v>
      </c>
      <c r="H430" s="286" t="n">
        <v>0</v>
      </c>
      <c r="I430" s="286" t="n">
        <v>2.25</v>
      </c>
      <c r="J430" s="286" t="n">
        <v>892</v>
      </c>
      <c r="K430" s="286" t="n">
        <v>0</v>
      </c>
      <c r="L430" s="286" t="n">
        <v>0</v>
      </c>
      <c r="M430" s="286" t="inlineStr">
        <is>
          <t>EQ-L&amp;MC</t>
        </is>
      </c>
    </row>
    <row r="431">
      <c r="A431" s="287" t="inlineStr">
        <is>
          <t>Samco Dynamic Asset Allocation Fund - Regular Plan</t>
        </is>
      </c>
      <c r="B431" s="286" t="n">
        <v>-2.15</v>
      </c>
      <c r="C431" s="286" t="n">
        <v>0</v>
      </c>
      <c r="D431" s="286" t="n">
        <v>0</v>
      </c>
      <c r="E431" s="286" t="n">
        <v>0</v>
      </c>
      <c r="F431" s="286" t="n">
        <v>0</v>
      </c>
      <c r="G431" s="286" t="n">
        <v>0</v>
      </c>
      <c r="H431" s="286" t="n">
        <v>0</v>
      </c>
      <c r="I431" s="286" t="n">
        <v>2.41</v>
      </c>
      <c r="J431" s="286" t="n">
        <v>901</v>
      </c>
      <c r="K431" s="286" t="n">
        <v>0</v>
      </c>
      <c r="L431" s="286" t="n">
        <v>0</v>
      </c>
      <c r="M431" s="286" t="inlineStr">
        <is>
          <t>EQ-LC</t>
        </is>
      </c>
    </row>
    <row r="432">
      <c r="A432" s="287" t="inlineStr">
        <is>
          <t>Samco Flexi Cap Fund - Regular Plan</t>
        </is>
      </c>
      <c r="B432" s="286" t="n">
        <v>-12.31</v>
      </c>
      <c r="C432" s="286" t="n">
        <v>8.640000000000001</v>
      </c>
      <c r="D432" s="286" t="n">
        <v>0</v>
      </c>
      <c r="E432" s="286" t="n">
        <v>0</v>
      </c>
      <c r="F432" s="286" t="n">
        <v>0.04</v>
      </c>
      <c r="G432" s="286" t="n">
        <v>0.05</v>
      </c>
      <c r="H432" s="286" t="n">
        <v>-11.72</v>
      </c>
      <c r="I432" s="286" t="n">
        <v>2.41</v>
      </c>
      <c r="J432" s="286" t="n">
        <v>243</v>
      </c>
      <c r="K432" s="286" t="n">
        <v>1.08</v>
      </c>
      <c r="L432" s="286" t="n">
        <v>19.05</v>
      </c>
      <c r="M432" s="286" t="inlineStr">
        <is>
          <t>EQ-THEMATIC</t>
        </is>
      </c>
    </row>
    <row r="433">
      <c r="A433" s="287" t="inlineStr">
        <is>
          <t>Samco Large Cap Fund - Regular Plan</t>
        </is>
      </c>
      <c r="B433" s="286" t="n">
        <v>0</v>
      </c>
      <c r="C433" s="286" t="n">
        <v>0</v>
      </c>
      <c r="D433" s="286" t="n">
        <v>0</v>
      </c>
      <c r="E433" s="286" t="n">
        <v>0</v>
      </c>
      <c r="F433" s="286" t="n">
        <v>0</v>
      </c>
      <c r="G433" s="286" t="n">
        <v>0</v>
      </c>
      <c r="H433" s="286" t="n">
        <v>0</v>
      </c>
      <c r="I433" s="286" t="n">
        <v>2.37</v>
      </c>
      <c r="J433" s="286" t="n">
        <v>0</v>
      </c>
      <c r="K433" s="286" t="n">
        <v>0</v>
      </c>
      <c r="L433" s="286" t="n">
        <v>0</v>
      </c>
      <c r="M433" s="286" t="inlineStr">
        <is>
          <t>EQ-MC</t>
        </is>
      </c>
    </row>
    <row r="434">
      <c r="A434" s="287" t="inlineStr">
        <is>
          <t>Samco Large &amp; Mid Cap Fund - Regular Plan</t>
        </is>
      </c>
      <c r="B434" s="286" t="n">
        <v>0</v>
      </c>
      <c r="C434" s="286" t="n">
        <v>0</v>
      </c>
      <c r="D434" s="286" t="n">
        <v>0</v>
      </c>
      <c r="E434" s="286" t="n">
        <v>0</v>
      </c>
      <c r="F434" s="286" t="n">
        <v>0</v>
      </c>
      <c r="G434" s="286" t="n">
        <v>0</v>
      </c>
      <c r="H434" s="286" t="n">
        <v>0</v>
      </c>
      <c r="I434" s="286" t="n">
        <v>0</v>
      </c>
      <c r="J434" s="286" t="n">
        <v>0</v>
      </c>
      <c r="K434" s="286" t="n">
        <v>0</v>
      </c>
      <c r="L434" s="286" t="n">
        <v>0</v>
      </c>
      <c r="M434" s="286" t="inlineStr">
        <is>
          <t>HY-MAA</t>
        </is>
      </c>
    </row>
    <row r="435">
      <c r="A435" s="287" t="inlineStr">
        <is>
          <t>Samco Multi Asset Allocation Fund - Regular Plan</t>
        </is>
      </c>
      <c r="B435" s="286" t="n">
        <v>0</v>
      </c>
      <c r="C435" s="286" t="n">
        <v>0</v>
      </c>
      <c r="D435" s="286" t="n">
        <v>0</v>
      </c>
      <c r="E435" s="286" t="n">
        <v>0</v>
      </c>
      <c r="F435" s="286" t="n">
        <v>0</v>
      </c>
      <c r="G435" s="286" t="n">
        <v>0</v>
      </c>
      <c r="H435" s="286" t="n">
        <v>0</v>
      </c>
      <c r="I435" s="286" t="n">
        <v>2.21</v>
      </c>
      <c r="J435" s="286" t="n">
        <v>0</v>
      </c>
      <c r="K435" s="286" t="n">
        <v>0</v>
      </c>
      <c r="L435" s="286" t="n">
        <v>0</v>
      </c>
      <c r="M435" s="286" t="inlineStr">
        <is>
          <t>EQ-MLC</t>
        </is>
      </c>
    </row>
    <row r="436">
      <c r="A436" s="287" t="inlineStr">
        <is>
          <t>Samco Multi Cap Fund - Regular Plan</t>
        </is>
      </c>
      <c r="B436" s="286" t="n">
        <v>0</v>
      </c>
      <c r="C436" s="286" t="n">
        <v>0</v>
      </c>
      <c r="D436" s="286" t="n">
        <v>0</v>
      </c>
      <c r="E436" s="286" t="n">
        <v>0</v>
      </c>
      <c r="F436" s="286" t="n">
        <v>0</v>
      </c>
      <c r="G436" s="286" t="n">
        <v>0</v>
      </c>
      <c r="H436" s="286" t="n">
        <v>0</v>
      </c>
      <c r="I436" s="286" t="n">
        <v>2.39</v>
      </c>
      <c r="J436" s="286" t="n">
        <v>0</v>
      </c>
      <c r="K436" s="286" t="n">
        <v>0</v>
      </c>
      <c r="L436" s="286" t="n">
        <v>0</v>
      </c>
      <c r="M436" s="286" t="inlineStr">
        <is>
          <t>EQ-L&amp;MC</t>
        </is>
      </c>
    </row>
    <row r="437">
      <c r="A437" s="287" t="inlineStr">
        <is>
          <t>Samco Special Opportunities Fund - Regular Plan</t>
        </is>
      </c>
      <c r="B437" s="286" t="n">
        <v>-16.78</v>
      </c>
      <c r="C437" s="286" t="n">
        <v>0</v>
      </c>
      <c r="D437" s="286" t="n">
        <v>0</v>
      </c>
      <c r="E437" s="286" t="n">
        <v>0</v>
      </c>
      <c r="F437" s="286" t="n">
        <v>0</v>
      </c>
      <c r="G437" s="286" t="n">
        <v>0</v>
      </c>
      <c r="H437" s="286" t="n">
        <v>0</v>
      </c>
      <c r="I437" s="286" t="n">
        <v>2.41</v>
      </c>
      <c r="J437" s="286" t="n">
        <v>0</v>
      </c>
      <c r="K437" s="286" t="n">
        <v>0</v>
      </c>
      <c r="L437" s="286" t="n">
        <v>0</v>
      </c>
      <c r="M437" s="286" t="inlineStr">
        <is>
          <t>EQ-FLX</t>
        </is>
      </c>
    </row>
    <row r="438">
      <c r="A438" s="287" t="inlineStr">
        <is>
          <t>SBI Automotive Opportunities Fund - Regular Plan</t>
        </is>
      </c>
      <c r="B438" s="286" t="n">
        <v>-6.16</v>
      </c>
      <c r="C438" s="286" t="n">
        <v>0</v>
      </c>
      <c r="D438" s="286" t="n">
        <v>0</v>
      </c>
      <c r="E438" s="286" t="n">
        <v>0</v>
      </c>
      <c r="F438" s="286" t="n">
        <v>0</v>
      </c>
      <c r="G438" s="286" t="n">
        <v>0</v>
      </c>
      <c r="H438" s="286" t="n">
        <v>0</v>
      </c>
      <c r="I438" s="286" t="n">
        <v>1.84</v>
      </c>
      <c r="J438" s="286" t="n">
        <v>40</v>
      </c>
      <c r="K438" s="286" t="n">
        <v>0</v>
      </c>
      <c r="L438" s="286" t="n">
        <v>0</v>
      </c>
      <c r="M438" s="286" t="inlineStr">
        <is>
          <t>EQ-FLX</t>
        </is>
      </c>
    </row>
    <row r="439">
      <c r="A439" s="287" t="inlineStr">
        <is>
          <t>SBI Balanced Advantage Fund - Regular Plan</t>
        </is>
      </c>
      <c r="B439" s="286" t="n">
        <v>7.88</v>
      </c>
      <c r="C439" s="286" t="n">
        <v>16.24</v>
      </c>
      <c r="D439" s="286" t="n">
        <v>0</v>
      </c>
      <c r="E439" s="286" t="n">
        <v>0</v>
      </c>
      <c r="F439" s="286" t="n">
        <v>1.18</v>
      </c>
      <c r="G439" s="286" t="n">
        <v>1.88</v>
      </c>
      <c r="H439" s="286" t="n">
        <v>2.88</v>
      </c>
      <c r="I439" s="286" t="n">
        <v>1.57</v>
      </c>
      <c r="J439" s="286" t="n">
        <v>23</v>
      </c>
      <c r="K439" s="286" t="n">
        <v>0.6</v>
      </c>
      <c r="L439" s="286" t="n">
        <v>6.44</v>
      </c>
      <c r="M439" s="286" t="inlineStr">
        <is>
          <t>EQ-LC</t>
        </is>
      </c>
    </row>
    <row r="440">
      <c r="A440" s="287" t="inlineStr">
        <is>
          <t>SBI Bluechip Fund</t>
        </is>
      </c>
      <c r="B440" s="286" t="n">
        <v>7.06</v>
      </c>
      <c r="C440" s="286" t="n">
        <v>19.21</v>
      </c>
      <c r="D440" s="286" t="n">
        <v>21.27</v>
      </c>
      <c r="E440" s="286" t="n">
        <v>12.63</v>
      </c>
      <c r="F440" s="286" t="n">
        <v>0.77</v>
      </c>
      <c r="G440" s="286" t="n">
        <v>1.41</v>
      </c>
      <c r="H440" s="286" t="n">
        <v>0.43</v>
      </c>
      <c r="I440" s="286" t="n">
        <v>1.49</v>
      </c>
      <c r="J440" s="286" t="n">
        <v>23</v>
      </c>
      <c r="K440" s="286" t="n">
        <v>0.9</v>
      </c>
      <c r="L440" s="286" t="n">
        <v>12.69</v>
      </c>
      <c r="M440" s="286" t="inlineStr">
        <is>
          <t>EQ-THEMATIC</t>
        </is>
      </c>
    </row>
    <row r="441">
      <c r="A441" s="287" t="inlineStr">
        <is>
          <t>SBI Conservative Hybrid Fund</t>
        </is>
      </c>
      <c r="B441" s="286" t="n">
        <v>6.99</v>
      </c>
      <c r="C441" s="286" t="n">
        <v>11.43</v>
      </c>
      <c r="D441" s="286" t="n">
        <v>11.83</v>
      </c>
      <c r="E441" s="286" t="n">
        <v>9.19</v>
      </c>
      <c r="F441" s="286" t="n">
        <v>1.16</v>
      </c>
      <c r="G441" s="286" t="n">
        <v>1.89</v>
      </c>
      <c r="H441" s="286" t="n">
        <v>1.17</v>
      </c>
      <c r="I441" s="286" t="n">
        <v>1.54</v>
      </c>
      <c r="J441" s="286" t="n">
        <v>0</v>
      </c>
      <c r="K441" s="286" t="n">
        <v>0.8100000000000001</v>
      </c>
      <c r="L441" s="286" t="n">
        <v>3.57</v>
      </c>
      <c r="M441" s="286" t="inlineStr">
        <is>
          <t>EQ-THEMATIC</t>
        </is>
      </c>
    </row>
    <row r="442">
      <c r="A442" s="287" t="inlineStr">
        <is>
          <t>SBI Consumption Opportunities Fund</t>
        </is>
      </c>
      <c r="B442" s="286" t="n">
        <v>2.18</v>
      </c>
      <c r="C442" s="286" t="n">
        <v>20.9</v>
      </c>
      <c r="D442" s="286" t="n">
        <v>26.75</v>
      </c>
      <c r="E442" s="286" t="n">
        <v>15.95</v>
      </c>
      <c r="F442" s="286" t="n">
        <v>0.8</v>
      </c>
      <c r="G442" s="286" t="n">
        <v>1.07</v>
      </c>
      <c r="H442" s="286" t="n">
        <v>0.66</v>
      </c>
      <c r="I442" s="286" t="n">
        <v>1.98</v>
      </c>
      <c r="J442" s="286" t="n">
        <v>34</v>
      </c>
      <c r="K442" s="286" t="n">
        <v>0.76</v>
      </c>
      <c r="L442" s="286" t="n">
        <v>14.56</v>
      </c>
      <c r="M442" s="286" t="inlineStr">
        <is>
          <t>EQ-SC</t>
        </is>
      </c>
    </row>
    <row r="443">
      <c r="A443" s="287" t="inlineStr">
        <is>
          <t>SBI Dividend Yield Fund - Regular Plan</t>
        </is>
      </c>
      <c r="B443" s="286" t="n">
        <v>-0.07000000000000001</v>
      </c>
      <c r="C443" s="286" t="n">
        <v>0</v>
      </c>
      <c r="D443" s="286" t="n">
        <v>0</v>
      </c>
      <c r="E443" s="286" t="n">
        <v>0</v>
      </c>
      <c r="F443" s="286" t="n">
        <v>0</v>
      </c>
      <c r="G443" s="286" t="n">
        <v>0</v>
      </c>
      <c r="H443" s="286" t="n">
        <v>0</v>
      </c>
      <c r="I443" s="286" t="n">
        <v>1.78</v>
      </c>
      <c r="J443" s="286" t="n">
        <v>9</v>
      </c>
      <c r="K443" s="286" t="n">
        <v>0</v>
      </c>
      <c r="L443" s="286" t="n">
        <v>0</v>
      </c>
      <c r="M443" s="286" t="inlineStr">
        <is>
          <t>EQ-MC</t>
        </is>
      </c>
    </row>
    <row r="444">
      <c r="A444" s="287" t="inlineStr">
        <is>
          <t>SBI Energy Opportunities Fund - Regular Plan</t>
        </is>
      </c>
      <c r="B444" s="286" t="n">
        <v>-2.8</v>
      </c>
      <c r="C444" s="286" t="n">
        <v>0</v>
      </c>
      <c r="D444" s="286" t="n">
        <v>0</v>
      </c>
      <c r="E444" s="286" t="n">
        <v>0</v>
      </c>
      <c r="F444" s="286" t="n">
        <v>0</v>
      </c>
      <c r="G444" s="286" t="n">
        <v>0</v>
      </c>
      <c r="H444" s="286" t="n">
        <v>0</v>
      </c>
      <c r="I444" s="286" t="n">
        <v>1.75</v>
      </c>
      <c r="J444" s="286" t="n">
        <v>47</v>
      </c>
      <c r="K444" s="286" t="n">
        <v>0</v>
      </c>
      <c r="L444" s="286" t="n">
        <v>0</v>
      </c>
      <c r="M444" s="286" t="inlineStr">
        <is>
          <t>EQ-THEMATIC</t>
        </is>
      </c>
    </row>
    <row r="445">
      <c r="A445" s="287" t="inlineStr">
        <is>
          <t>SBI Equity Hybrid Fund</t>
        </is>
      </c>
      <c r="B445" s="286" t="n">
        <v>12.5</v>
      </c>
      <c r="C445" s="286" t="n">
        <v>17.75</v>
      </c>
      <c r="D445" s="286" t="n">
        <v>17.98</v>
      </c>
      <c r="E445" s="286" t="n">
        <v>12.42</v>
      </c>
      <c r="F445" s="286" t="n">
        <v>0.84</v>
      </c>
      <c r="G445" s="286" t="n">
        <v>1.28</v>
      </c>
      <c r="H445" s="286" t="n">
        <v>0.62</v>
      </c>
      <c r="I445" s="286" t="n">
        <v>1.39</v>
      </c>
      <c r="J445" s="286" t="n">
        <v>19</v>
      </c>
      <c r="K445" s="286" t="n">
        <v>0.77</v>
      </c>
      <c r="L445" s="286" t="n">
        <v>9.56</v>
      </c>
      <c r="M445" s="286" t="inlineStr">
        <is>
          <t>EQ-LC</t>
        </is>
      </c>
    </row>
    <row r="446">
      <c r="A446" s="287" t="inlineStr">
        <is>
          <t>SBI Equity Minimum Variance Fund - Regular Plan</t>
        </is>
      </c>
      <c r="B446" s="286" t="n">
        <v>3.3</v>
      </c>
      <c r="C446" s="286" t="n">
        <v>18.06</v>
      </c>
      <c r="D446" s="286" t="n">
        <v>20</v>
      </c>
      <c r="E446" s="286" t="n">
        <v>0</v>
      </c>
      <c r="F446" s="286" t="n">
        <v>0.62</v>
      </c>
      <c r="G446" s="286" t="n">
        <v>0.91</v>
      </c>
      <c r="H446" s="286" t="n">
        <v>-1.65</v>
      </c>
      <c r="I446" s="286" t="n">
        <v>0.75</v>
      </c>
      <c r="J446" s="286" t="n">
        <v>44</v>
      </c>
      <c r="K446" s="286" t="n">
        <v>0.91</v>
      </c>
      <c r="L446" s="286" t="n">
        <v>14.22</v>
      </c>
      <c r="M446" s="286" t="inlineStr">
        <is>
          <t>EQ-SC</t>
        </is>
      </c>
    </row>
    <row r="447">
      <c r="A447" s="287" t="inlineStr">
        <is>
          <t>SBI ESG Exclusionary Strategy Fund</t>
        </is>
      </c>
      <c r="B447" s="286" t="n">
        <v>3.85</v>
      </c>
      <c r="C447" s="286" t="n">
        <v>18.33</v>
      </c>
      <c r="D447" s="286" t="n">
        <v>20.13</v>
      </c>
      <c r="E447" s="286" t="n">
        <v>12.43</v>
      </c>
      <c r="F447" s="286" t="n">
        <v>0.7</v>
      </c>
      <c r="G447" s="286" t="n">
        <v>1.11</v>
      </c>
      <c r="H447" s="286" t="n">
        <v>-0.35</v>
      </c>
      <c r="I447" s="286" t="n">
        <v>1.93</v>
      </c>
      <c r="J447" s="286" t="n">
        <v>14</v>
      </c>
      <c r="K447" s="286" t="n">
        <v>0.93</v>
      </c>
      <c r="L447" s="286" t="n">
        <v>13.16</v>
      </c>
      <c r="M447" s="286" t="inlineStr">
        <is>
          <t>EQ-THEMATIC</t>
        </is>
      </c>
    </row>
    <row r="448">
      <c r="A448" s="287" t="inlineStr">
        <is>
          <t>SBI Flexicap Fund</t>
        </is>
      </c>
      <c r="B448" s="286" t="n">
        <v>3.2</v>
      </c>
      <c r="C448" s="286" t="n">
        <v>17.14</v>
      </c>
      <c r="D448" s="286" t="n">
        <v>20.24</v>
      </c>
      <c r="E448" s="286" t="n">
        <v>12.96</v>
      </c>
      <c r="F448" s="286" t="n">
        <v>0.61</v>
      </c>
      <c r="G448" s="286" t="n">
        <v>0.91</v>
      </c>
      <c r="H448" s="286" t="n">
        <v>-2.03</v>
      </c>
      <c r="I448" s="286" t="n">
        <v>1.67</v>
      </c>
      <c r="J448" s="286" t="n">
        <v>77</v>
      </c>
      <c r="K448" s="286" t="n">
        <v>0.82</v>
      </c>
      <c r="L448" s="286" t="n">
        <v>12.31</v>
      </c>
      <c r="M448" s="286" t="inlineStr">
        <is>
          <t>EQ-THEMATIC</t>
        </is>
      </c>
    </row>
    <row r="449">
      <c r="A449" s="287" t="inlineStr">
        <is>
          <t>SBI Focused Equity Fund</t>
        </is>
      </c>
      <c r="B449" s="286" t="n">
        <v>9.5</v>
      </c>
      <c r="C449" s="286" t="n">
        <v>19.69</v>
      </c>
      <c r="D449" s="286" t="n">
        <v>20.75</v>
      </c>
      <c r="E449" s="286" t="n">
        <v>14.86</v>
      </c>
      <c r="F449" s="286" t="n">
        <v>0.87</v>
      </c>
      <c r="G449" s="286" t="n">
        <v>1.45</v>
      </c>
      <c r="H449" s="286" t="n">
        <v>1.81</v>
      </c>
      <c r="I449" s="286" t="n">
        <v>1.56</v>
      </c>
      <c r="J449" s="286" t="n">
        <v>47</v>
      </c>
      <c r="K449" s="286" t="n">
        <v>0.71</v>
      </c>
      <c r="L449" s="286" t="n">
        <v>11.41</v>
      </c>
      <c r="M449" s="286" t="inlineStr">
        <is>
          <t>EQ-SC</t>
        </is>
      </c>
    </row>
    <row r="450">
      <c r="A450" s="287" t="inlineStr">
        <is>
          <t>SBI Innovative Opportunities Fund - Regular Plan</t>
        </is>
      </c>
      <c r="B450" s="286" t="n">
        <v>0</v>
      </c>
      <c r="C450" s="286" t="n">
        <v>0</v>
      </c>
      <c r="D450" s="286" t="n">
        <v>0</v>
      </c>
      <c r="E450" s="286" t="n">
        <v>0</v>
      </c>
      <c r="F450" s="286" t="n">
        <v>0</v>
      </c>
      <c r="G450" s="286" t="n">
        <v>0</v>
      </c>
      <c r="H450" s="286" t="n">
        <v>0</v>
      </c>
      <c r="I450" s="286" t="n">
        <v>1.78</v>
      </c>
      <c r="J450" s="286" t="n">
        <v>56</v>
      </c>
      <c r="K450" s="286" t="n">
        <v>0</v>
      </c>
      <c r="L450" s="286" t="n">
        <v>0</v>
      </c>
      <c r="M450" s="286" t="inlineStr">
        <is>
          <t>HY-AH</t>
        </is>
      </c>
    </row>
    <row r="451">
      <c r="A451" s="287" t="inlineStr">
        <is>
          <t>SBI Large &amp; Midcap Fund</t>
        </is>
      </c>
      <c r="B451" s="286" t="n">
        <v>6.74</v>
      </c>
      <c r="C451" s="286" t="n">
        <v>23.16</v>
      </c>
      <c r="D451" s="286" t="n">
        <v>25.58</v>
      </c>
      <c r="E451" s="286" t="n">
        <v>14.62</v>
      </c>
      <c r="F451" s="286" t="n">
        <v>1.02</v>
      </c>
      <c r="G451" s="286" t="n">
        <v>1.66</v>
      </c>
      <c r="H451" s="286" t="n">
        <v>3.47</v>
      </c>
      <c r="I451" s="286" t="n">
        <v>1.59</v>
      </c>
      <c r="J451" s="286" t="n">
        <v>30</v>
      </c>
      <c r="K451" s="286" t="n">
        <v>0.84</v>
      </c>
      <c r="L451" s="286" t="n">
        <v>12.51</v>
      </c>
      <c r="M451" s="286" t="inlineStr">
        <is>
          <t>EQ-LC</t>
        </is>
      </c>
    </row>
    <row r="452">
      <c r="A452" s="287" t="inlineStr">
        <is>
          <t>SBI Magnum Children's Benefit Fund - Investment Plan - Regular Plan</t>
        </is>
      </c>
      <c r="B452" s="286" t="n">
        <v>9.050000000000001</v>
      </c>
      <c r="C452" s="286" t="n">
        <v>24.94</v>
      </c>
      <c r="D452" s="286" t="n">
        <v>0</v>
      </c>
      <c r="E452" s="286" t="n">
        <v>0</v>
      </c>
      <c r="F452" s="286" t="n">
        <v>1.03</v>
      </c>
      <c r="G452" s="286" t="n">
        <v>1.49</v>
      </c>
      <c r="H452" s="286" t="n">
        <v>5.41</v>
      </c>
      <c r="I452" s="286" t="n">
        <v>1.87</v>
      </c>
      <c r="J452" s="286" t="n">
        <v>0</v>
      </c>
      <c r="K452" s="286" t="n">
        <v>0.92</v>
      </c>
      <c r="L452" s="286" t="n">
        <v>13.85</v>
      </c>
      <c r="M452" s="286" t="inlineStr">
        <is>
          <t>EQ-FLX</t>
        </is>
      </c>
    </row>
    <row r="453">
      <c r="A453" s="287" t="inlineStr">
        <is>
          <t>SBI Magnum Children's Benefit Fund - Savings Plan</t>
        </is>
      </c>
      <c r="B453" s="286" t="n">
        <v>9.720000000000001</v>
      </c>
      <c r="C453" s="286" t="n">
        <v>13.71</v>
      </c>
      <c r="D453" s="286" t="n">
        <v>14.03</v>
      </c>
      <c r="E453" s="286" t="n">
        <v>11.78</v>
      </c>
      <c r="F453" s="286" t="n">
        <v>1.45</v>
      </c>
      <c r="G453" s="286" t="n">
        <v>2.08</v>
      </c>
      <c r="H453" s="286" t="n">
        <v>3.43</v>
      </c>
      <c r="I453" s="286" t="n">
        <v>1.21</v>
      </c>
      <c r="J453" s="286" t="n">
        <v>0</v>
      </c>
      <c r="K453" s="286" t="n">
        <v>0.8100000000000001</v>
      </c>
      <c r="L453" s="286" t="n">
        <v>4.43</v>
      </c>
      <c r="M453" s="286" t="inlineStr">
        <is>
          <t>EQ-L&amp;MC</t>
        </is>
      </c>
    </row>
    <row r="454">
      <c r="A454" s="287" t="inlineStr">
        <is>
          <t>SBI Magnum COMMA Fund</t>
        </is>
      </c>
      <c r="B454" s="286" t="n">
        <v>5.52</v>
      </c>
      <c r="C454" s="286" t="n">
        <v>21.54</v>
      </c>
      <c r="D454" s="286" t="n">
        <v>24.01</v>
      </c>
      <c r="E454" s="286" t="n">
        <v>15.39</v>
      </c>
      <c r="F454" s="286" t="n">
        <v>0.57</v>
      </c>
      <c r="G454" s="286" t="n">
        <v>0.89</v>
      </c>
      <c r="H454" s="286" t="n">
        <v>-2.73</v>
      </c>
      <c r="I454" s="286" t="n">
        <v>2.5</v>
      </c>
      <c r="J454" s="286" t="n">
        <v>25</v>
      </c>
      <c r="K454" s="286" t="n">
        <v>1.08</v>
      </c>
      <c r="L454" s="286" t="n">
        <v>17.07</v>
      </c>
      <c r="M454" s="286" t="inlineStr">
        <is>
          <t>EQ-MLC</t>
        </is>
      </c>
    </row>
    <row r="455">
      <c r="A455" s="287" t="inlineStr">
        <is>
          <t>SBI Magnum Global Fund</t>
        </is>
      </c>
      <c r="B455" s="286" t="n">
        <v>-0.39</v>
      </c>
      <c r="C455" s="286" t="n">
        <v>13.44</v>
      </c>
      <c r="D455" s="286" t="n">
        <v>16.48</v>
      </c>
      <c r="E455" s="286" t="n">
        <v>10.6</v>
      </c>
      <c r="F455" s="286" t="n">
        <v>0.53</v>
      </c>
      <c r="G455" s="286" t="n">
        <v>0.74</v>
      </c>
      <c r="H455" s="286" t="n">
        <v>-1.51</v>
      </c>
      <c r="I455" s="286" t="n">
        <v>1.89</v>
      </c>
      <c r="J455" s="286" t="n">
        <v>53</v>
      </c>
      <c r="K455" s="286" t="n">
        <v>0.66</v>
      </c>
      <c r="L455" s="286" t="n">
        <v>11.45</v>
      </c>
      <c r="M455" s="286" t="inlineStr">
        <is>
          <t>EQ-LC</t>
        </is>
      </c>
    </row>
    <row r="456">
      <c r="A456" s="287" t="inlineStr">
        <is>
          <t>SBI Magnum Midcap Fund</t>
        </is>
      </c>
      <c r="B456" s="286" t="n">
        <v>2.17</v>
      </c>
      <c r="C456" s="286" t="n">
        <v>23.21</v>
      </c>
      <c r="D456" s="286" t="n">
        <v>29.26</v>
      </c>
      <c r="E456" s="286" t="n">
        <v>14.91</v>
      </c>
      <c r="F456" s="286" t="n">
        <v>0.95</v>
      </c>
      <c r="G456" s="286" t="n">
        <v>1.37</v>
      </c>
      <c r="H456" s="286" t="n">
        <v>-0.8</v>
      </c>
      <c r="I456" s="286" t="n">
        <v>1.66</v>
      </c>
      <c r="J456" s="286" t="n">
        <v>39</v>
      </c>
      <c r="K456" s="286" t="n">
        <v>0.77</v>
      </c>
      <c r="L456" s="286" t="n">
        <v>13.88</v>
      </c>
      <c r="M456" s="286" t="inlineStr">
        <is>
          <t>EQ-THEMATIC</t>
        </is>
      </c>
    </row>
    <row r="457">
      <c r="A457" s="287" t="inlineStr">
        <is>
          <t>SBI Multi Asset Allocation Fund</t>
        </is>
      </c>
      <c r="B457" s="286" t="n">
        <v>9.83</v>
      </c>
      <c r="C457" s="286" t="n">
        <v>18.67</v>
      </c>
      <c r="D457" s="286" t="n">
        <v>15.12</v>
      </c>
      <c r="E457" s="286" t="n">
        <v>11.22</v>
      </c>
      <c r="F457" s="286" t="n">
        <v>1.26</v>
      </c>
      <c r="G457" s="286" t="n">
        <v>2.16</v>
      </c>
      <c r="H457" s="286" t="n">
        <v>3.14</v>
      </c>
      <c r="I457" s="286" t="n">
        <v>1.44</v>
      </c>
      <c r="J457" s="286" t="n">
        <v>0</v>
      </c>
      <c r="K457" s="286" t="n">
        <v>0.7</v>
      </c>
      <c r="L457" s="286" t="n">
        <v>7.39</v>
      </c>
      <c r="M457" s="286" t="inlineStr">
        <is>
          <t>EQ-MC</t>
        </is>
      </c>
    </row>
    <row r="458">
      <c r="A458" s="287" t="inlineStr">
        <is>
          <t>SBI Multicap Fund - Regular Plan</t>
        </is>
      </c>
      <c r="B458" s="286" t="n">
        <v>10.97</v>
      </c>
      <c r="C458" s="286" t="n">
        <v>22.22</v>
      </c>
      <c r="D458" s="286" t="n">
        <v>0</v>
      </c>
      <c r="E458" s="286" t="n">
        <v>0</v>
      </c>
      <c r="F458" s="286" t="n">
        <v>0.85</v>
      </c>
      <c r="G458" s="286" t="n">
        <v>1.33</v>
      </c>
      <c r="H458" s="286" t="n">
        <v>-0.35</v>
      </c>
      <c r="I458" s="286" t="n">
        <v>1.68</v>
      </c>
      <c r="J458" s="286" t="n">
        <v>25</v>
      </c>
      <c r="K458" s="286" t="n">
        <v>0.82</v>
      </c>
      <c r="L458" s="286" t="n">
        <v>13.5</v>
      </c>
      <c r="M458" s="286" t="inlineStr">
        <is>
          <t>EQ-LC</t>
        </is>
      </c>
    </row>
    <row r="459">
      <c r="A459" s="287" t="inlineStr">
        <is>
          <t>SBI PSU Fund</t>
        </is>
      </c>
      <c r="B459" s="286" t="n">
        <v>-0.98</v>
      </c>
      <c r="C459" s="286" t="n">
        <v>38.37</v>
      </c>
      <c r="D459" s="286" t="n">
        <v>30.28</v>
      </c>
      <c r="E459" s="286" t="n">
        <v>13.06</v>
      </c>
      <c r="F459" s="286" t="n">
        <v>1.16</v>
      </c>
      <c r="G459" s="286" t="n">
        <v>2.13</v>
      </c>
      <c r="H459" s="286" t="n">
        <v>-0.73</v>
      </c>
      <c r="I459" s="286" t="n">
        <v>1.86</v>
      </c>
      <c r="J459" s="286" t="n">
        <v>25</v>
      </c>
      <c r="K459" s="286" t="n">
        <v>0.97</v>
      </c>
      <c r="L459" s="286" t="n">
        <v>22.74</v>
      </c>
      <c r="M459" s="286" t="inlineStr">
        <is>
          <t>EQ-SC</t>
        </is>
      </c>
    </row>
    <row r="460">
      <c r="A460" s="287" t="inlineStr">
        <is>
          <t>SBI Quant Fund - Regular Plan</t>
        </is>
      </c>
      <c r="B460" s="286" t="n">
        <v>0</v>
      </c>
      <c r="C460" s="286" t="n">
        <v>0</v>
      </c>
      <c r="D460" s="286" t="n">
        <v>0</v>
      </c>
      <c r="E460" s="286" t="n">
        <v>0</v>
      </c>
      <c r="F460" s="286" t="n">
        <v>0</v>
      </c>
      <c r="G460" s="286" t="n">
        <v>0</v>
      </c>
      <c r="H460" s="286" t="n">
        <v>0</v>
      </c>
      <c r="I460" s="286" t="n">
        <v>1.9</v>
      </c>
      <c r="J460" s="286" t="n">
        <v>139</v>
      </c>
      <c r="K460" s="286" t="n">
        <v>0</v>
      </c>
      <c r="L460" s="286" t="n">
        <v>0</v>
      </c>
      <c r="M460" s="286" t="inlineStr">
        <is>
          <t>EQ-THEMATIC</t>
        </is>
      </c>
    </row>
    <row r="461">
      <c r="A461" s="287" t="inlineStr">
        <is>
          <t>SBI Retirement Benefit Fund - Aggressive Hybrid Plan - Regular Plan</t>
        </is>
      </c>
      <c r="B461" s="286" t="n">
        <v>1.71</v>
      </c>
      <c r="C461" s="286" t="n">
        <v>17.38</v>
      </c>
      <c r="D461" s="286" t="n">
        <v>0</v>
      </c>
      <c r="E461" s="286" t="n">
        <v>0</v>
      </c>
      <c r="F461" s="286" t="n">
        <v>0.77</v>
      </c>
      <c r="G461" s="286" t="n">
        <v>1.18</v>
      </c>
      <c r="H461" s="286" t="n">
        <v>0.03</v>
      </c>
      <c r="I461" s="286" t="n">
        <v>2.09</v>
      </c>
      <c r="J461" s="286" t="n">
        <v>0</v>
      </c>
      <c r="K461" s="286" t="n">
        <v>0.85</v>
      </c>
      <c r="L461" s="286" t="n">
        <v>10.6</v>
      </c>
      <c r="M461" s="286" t="inlineStr">
        <is>
          <t>HY-AR</t>
        </is>
      </c>
    </row>
    <row r="462">
      <c r="A462" s="287" t="inlineStr">
        <is>
          <t>SBI Retirement Benefit Fund - Aggressive Plan - Regular Plan</t>
        </is>
      </c>
      <c r="B462" s="286" t="n">
        <v>-0.07000000000000001</v>
      </c>
      <c r="C462" s="286" t="n">
        <v>19.42</v>
      </c>
      <c r="D462" s="286" t="n">
        <v>0</v>
      </c>
      <c r="E462" s="286" t="n">
        <v>0</v>
      </c>
      <c r="F462" s="286" t="n">
        <v>0.77</v>
      </c>
      <c r="G462" s="286" t="n">
        <v>1.2</v>
      </c>
      <c r="H462" s="286" t="n">
        <v>0.08</v>
      </c>
      <c r="I462" s="286" t="n">
        <v>1.93</v>
      </c>
      <c r="J462" s="286" t="n">
        <v>0</v>
      </c>
      <c r="K462" s="286" t="n">
        <v>0.86</v>
      </c>
      <c r="L462" s="286" t="n">
        <v>13.05</v>
      </c>
      <c r="M462" s="286" t="inlineStr">
        <is>
          <t>HY-DAA</t>
        </is>
      </c>
    </row>
    <row r="463">
      <c r="A463" s="287" t="inlineStr">
        <is>
          <t>SBI Retirement Benefit Fund - Conservative Hybrid Plan - Regular Plan</t>
        </is>
      </c>
      <c r="B463" s="286" t="n">
        <v>5.05</v>
      </c>
      <c r="C463" s="286" t="n">
        <v>12.7</v>
      </c>
      <c r="D463" s="286" t="n">
        <v>0</v>
      </c>
      <c r="E463" s="286" t="n">
        <v>0</v>
      </c>
      <c r="F463" s="286" t="n">
        <v>0.9</v>
      </c>
      <c r="G463" s="286" t="n">
        <v>1.34</v>
      </c>
      <c r="H463" s="286" t="n">
        <v>0.21</v>
      </c>
      <c r="I463" s="286" t="n">
        <v>1.67</v>
      </c>
      <c r="J463" s="286" t="n">
        <v>0</v>
      </c>
      <c r="K463" s="286" t="n">
        <v>1.35</v>
      </c>
      <c r="L463" s="286" t="n">
        <v>5.72</v>
      </c>
      <c r="M463" s="286" t="inlineStr">
        <is>
          <t>EQ-LC</t>
        </is>
      </c>
    </row>
    <row r="464">
      <c r="A464" s="287" t="inlineStr">
        <is>
          <t>SBI Retirement Benefit Fund - Conservative Plan - Regular Plan</t>
        </is>
      </c>
      <c r="B464" s="286" t="n">
        <v>7.15</v>
      </c>
      <c r="C464" s="286" t="n">
        <v>10.48</v>
      </c>
      <c r="D464" s="286" t="n">
        <v>0</v>
      </c>
      <c r="E464" s="286" t="n">
        <v>0</v>
      </c>
      <c r="F464" s="286" t="n">
        <v>1.05</v>
      </c>
      <c r="G464" s="286" t="n">
        <v>1.58</v>
      </c>
      <c r="H464" s="286" t="n">
        <v>0.61</v>
      </c>
      <c r="I464" s="286" t="n">
        <v>1.38</v>
      </c>
      <c r="J464" s="286" t="n">
        <v>0</v>
      </c>
      <c r="K464" s="286" t="n">
        <v>0.82</v>
      </c>
      <c r="L464" s="286" t="n">
        <v>3.47</v>
      </c>
      <c r="M464" s="286" t="inlineStr">
        <is>
          <t>HY-AH</t>
        </is>
      </c>
    </row>
    <row r="465">
      <c r="A465" s="287" t="inlineStr">
        <is>
          <t>SBI Small Cap Fund</t>
        </is>
      </c>
      <c r="B465" s="286" t="n">
        <v>-1.61</v>
      </c>
      <c r="C465" s="286" t="n">
        <v>21.52</v>
      </c>
      <c r="D465" s="286" t="n">
        <v>28.52</v>
      </c>
      <c r="E465" s="286" t="n">
        <v>18.96</v>
      </c>
      <c r="F465" s="286" t="n">
        <v>0.8100000000000001</v>
      </c>
      <c r="G465" s="286" t="n">
        <v>1.13</v>
      </c>
      <c r="H465" s="286" t="n">
        <v>-1.24</v>
      </c>
      <c r="I465" s="286" t="n">
        <v>1.56</v>
      </c>
      <c r="J465" s="286" t="n">
        <v>17</v>
      </c>
      <c r="K465" s="286" t="n">
        <v>0.74</v>
      </c>
      <c r="L465" s="286" t="n">
        <v>15.01</v>
      </c>
      <c r="M465" s="286" t="inlineStr">
        <is>
          <t>EQ-FLX</t>
        </is>
      </c>
    </row>
    <row r="466">
      <c r="A466" s="287" t="inlineStr">
        <is>
          <t>Shriram Aggressive Hybrid Fund</t>
        </is>
      </c>
      <c r="B466" s="286" t="n">
        <v>-1.09</v>
      </c>
      <c r="C466" s="286" t="n">
        <v>14.29</v>
      </c>
      <c r="D466" s="286" t="n">
        <v>14.34</v>
      </c>
      <c r="E466" s="286" t="n">
        <v>9.09</v>
      </c>
      <c r="F466" s="286" t="n">
        <v>0.51</v>
      </c>
      <c r="G466" s="286" t="n">
        <v>0.72</v>
      </c>
      <c r="H466" s="286" t="n">
        <v>-2.75</v>
      </c>
      <c r="I466" s="286" t="n">
        <v>2.41</v>
      </c>
      <c r="J466" s="286" t="n">
        <v>424</v>
      </c>
      <c r="K466" s="286" t="n">
        <v>0.87</v>
      </c>
      <c r="L466" s="286" t="n">
        <v>11.15</v>
      </c>
      <c r="M466" s="286" t="inlineStr">
        <is>
          <t>EQ-FLX</t>
        </is>
      </c>
    </row>
    <row r="467">
      <c r="A467" s="287" t="inlineStr">
        <is>
          <t>Shriram Balanced Advantage Fund - Regular Plan</t>
        </is>
      </c>
      <c r="B467" s="286" t="n">
        <v>-3.21</v>
      </c>
      <c r="C467" s="286" t="n">
        <v>10.78</v>
      </c>
      <c r="D467" s="286" t="n">
        <v>10.68</v>
      </c>
      <c r="E467" s="286" t="n">
        <v>0</v>
      </c>
      <c r="F467" s="286" t="n">
        <v>0.31</v>
      </c>
      <c r="G467" s="286" t="n">
        <v>0.39</v>
      </c>
      <c r="H467" s="286" t="n">
        <v>-3.5</v>
      </c>
      <c r="I467" s="286" t="n">
        <v>2.39</v>
      </c>
      <c r="J467" s="286" t="n">
        <v>372</v>
      </c>
      <c r="K467" s="286" t="n">
        <v>0.84</v>
      </c>
      <c r="L467" s="286" t="n">
        <v>9.970000000000001</v>
      </c>
      <c r="M467" s="286" t="inlineStr">
        <is>
          <t>EQ-MC</t>
        </is>
      </c>
    </row>
    <row r="468">
      <c r="A468" s="287" t="inlineStr">
        <is>
          <t>Shriram Flexi Cap Fund - Regular Plan</t>
        </is>
      </c>
      <c r="B468" s="286" t="n">
        <v>-9.16</v>
      </c>
      <c r="C468" s="286" t="n">
        <v>16.07</v>
      </c>
      <c r="D468" s="286" t="n">
        <v>16.31</v>
      </c>
      <c r="E468" s="286" t="n">
        <v>0</v>
      </c>
      <c r="F468" s="286" t="n">
        <v>0.44</v>
      </c>
      <c r="G468" s="286" t="n">
        <v>0.58</v>
      </c>
      <c r="H468" s="286" t="n">
        <v>-4.33</v>
      </c>
      <c r="I468" s="286" t="n">
        <v>2.4</v>
      </c>
      <c r="J468" s="286" t="n">
        <v>615.1</v>
      </c>
      <c r="K468" s="286" t="n">
        <v>0.99</v>
      </c>
      <c r="L468" s="286" t="n">
        <v>16.01</v>
      </c>
      <c r="M468" s="286" t="inlineStr">
        <is>
          <t>HY-CH</t>
        </is>
      </c>
    </row>
    <row r="469">
      <c r="A469" s="287" t="inlineStr">
        <is>
          <t>Shriram Multi Asset Allocation Fund - Regular Plan</t>
        </is>
      </c>
      <c r="B469" s="286" t="n">
        <v>-3.37</v>
      </c>
      <c r="C469" s="286" t="n">
        <v>0</v>
      </c>
      <c r="D469" s="286" t="n">
        <v>0</v>
      </c>
      <c r="E469" s="286" t="n">
        <v>0</v>
      </c>
      <c r="F469" s="286" t="n">
        <v>0</v>
      </c>
      <c r="G469" s="286" t="n">
        <v>0</v>
      </c>
      <c r="H469" s="286" t="n">
        <v>0</v>
      </c>
      <c r="I469" s="286" t="n">
        <v>2.35</v>
      </c>
      <c r="J469" s="286" t="n">
        <v>447.9</v>
      </c>
      <c r="K469" s="286" t="n">
        <v>0</v>
      </c>
      <c r="L469" s="286" t="n">
        <v>0</v>
      </c>
      <c r="M469" s="286" t="inlineStr">
        <is>
          <t>EQ-LC</t>
        </is>
      </c>
    </row>
    <row r="470">
      <c r="A470" s="287" t="inlineStr">
        <is>
          <t>Shriram Multi Sector Rotation Fund - Regular Plan</t>
        </is>
      </c>
      <c r="B470" s="286" t="n">
        <v>0</v>
      </c>
      <c r="C470" s="286" t="n">
        <v>0</v>
      </c>
      <c r="D470" s="286" t="n">
        <v>0</v>
      </c>
      <c r="E470" s="286" t="n">
        <v>0</v>
      </c>
      <c r="F470" s="286" t="n">
        <v>0</v>
      </c>
      <c r="G470" s="286" t="n">
        <v>0</v>
      </c>
      <c r="H470" s="286" t="n">
        <v>0</v>
      </c>
      <c r="I470" s="286" t="n">
        <v>2.35</v>
      </c>
      <c r="J470" s="286" t="n">
        <v>338.2</v>
      </c>
      <c r="K470" s="286" t="n">
        <v>0</v>
      </c>
      <c r="L470" s="286" t="n">
        <v>0</v>
      </c>
      <c r="M470" s="286" t="inlineStr">
        <is>
          <t>EQ-LC</t>
        </is>
      </c>
    </row>
    <row r="471">
      <c r="A471" s="287" t="inlineStr">
        <is>
          <t>Sundaram Aggressive Hybrid Fund</t>
        </is>
      </c>
      <c r="B471" s="286" t="n">
        <v>6.49</v>
      </c>
      <c r="C471" s="286" t="n">
        <v>16.59</v>
      </c>
      <c r="D471" s="286" t="n">
        <v>17.71</v>
      </c>
      <c r="E471" s="286" t="n">
        <v>11.65</v>
      </c>
      <c r="F471" s="286" t="n">
        <v>0.76</v>
      </c>
      <c r="G471" s="286" t="n">
        <v>1.23</v>
      </c>
      <c r="H471" s="286" t="n">
        <v>-0.25</v>
      </c>
      <c r="I471" s="286" t="n">
        <v>1.81</v>
      </c>
      <c r="J471" s="286" t="n">
        <v>79.90000000000001</v>
      </c>
      <c r="K471" s="286" t="n">
        <v>0.85</v>
      </c>
      <c r="L471" s="286" t="n">
        <v>10.41</v>
      </c>
      <c r="M471" s="286" t="inlineStr">
        <is>
          <t>EQ-THEMATIC</t>
        </is>
      </c>
    </row>
    <row r="472">
      <c r="A472" s="287" t="inlineStr">
        <is>
          <t>Sundaram Balanced Advantage Fund</t>
        </is>
      </c>
      <c r="B472" s="286" t="n">
        <v>6.47</v>
      </c>
      <c r="C472" s="286" t="n">
        <v>14.02</v>
      </c>
      <c r="D472" s="286" t="n">
        <v>13.34</v>
      </c>
      <c r="E472" s="286" t="n">
        <v>9.359999999999999</v>
      </c>
      <c r="F472" s="286" t="n">
        <v>0.73</v>
      </c>
      <c r="G472" s="286" t="n">
        <v>1.16</v>
      </c>
      <c r="H472" s="286" t="n">
        <v>-0.12</v>
      </c>
      <c r="I472" s="286" t="n">
        <v>2.08</v>
      </c>
      <c r="J472" s="286" t="n">
        <v>69.5</v>
      </c>
      <c r="K472" s="286" t="n">
        <v>0.75</v>
      </c>
      <c r="L472" s="286" t="n">
        <v>7.9</v>
      </c>
      <c r="M472" s="286" t="inlineStr">
        <is>
          <t>EQ-LC</t>
        </is>
      </c>
    </row>
    <row r="473">
      <c r="A473" s="287" t="inlineStr">
        <is>
          <t>Sundaram Business Cycle Fund - Regular Plan</t>
        </is>
      </c>
      <c r="B473" s="286" t="n">
        <v>10.13</v>
      </c>
      <c r="C473" s="286" t="n">
        <v>0</v>
      </c>
      <c r="D473" s="286" t="n">
        <v>0</v>
      </c>
      <c r="E473" s="286" t="n">
        <v>0</v>
      </c>
      <c r="F473" s="286" t="n">
        <v>0</v>
      </c>
      <c r="G473" s="286" t="n">
        <v>0</v>
      </c>
      <c r="H473" s="286" t="n">
        <v>0</v>
      </c>
      <c r="I473" s="286" t="n">
        <v>2.03</v>
      </c>
      <c r="J473" s="286" t="n">
        <v>28.5</v>
      </c>
      <c r="K473" s="286" t="n">
        <v>0</v>
      </c>
      <c r="L473" s="286" t="n">
        <v>0</v>
      </c>
      <c r="M473" s="286" t="inlineStr">
        <is>
          <t>HY-MAA</t>
        </is>
      </c>
    </row>
    <row r="474">
      <c r="A474" s="287" t="inlineStr">
        <is>
          <t>Sundaram Conservative Hybrid Fund</t>
        </is>
      </c>
      <c r="B474" s="286" t="n">
        <v>6.02</v>
      </c>
      <c r="C474" s="286" t="n">
        <v>8.77</v>
      </c>
      <c r="D474" s="286" t="n">
        <v>8.949999999999999</v>
      </c>
      <c r="E474" s="286" t="n">
        <v>7</v>
      </c>
      <c r="F474" s="286" t="n">
        <v>0.55</v>
      </c>
      <c r="G474" s="286" t="n">
        <v>1.06</v>
      </c>
      <c r="H474" s="286" t="n">
        <v>-1.21</v>
      </c>
      <c r="I474" s="286" t="n">
        <v>2.15</v>
      </c>
      <c r="J474" s="286" t="n">
        <v>0</v>
      </c>
      <c r="K474" s="286" t="n">
        <v>0.88</v>
      </c>
      <c r="L474" s="286" t="n">
        <v>3.66</v>
      </c>
      <c r="M474" s="286" t="inlineStr">
        <is>
          <t>EQ-MLC</t>
        </is>
      </c>
    </row>
    <row r="475">
      <c r="A475" s="287" t="inlineStr">
        <is>
          <t>Sundaram Consumption Fund - Regular Plan</t>
        </is>
      </c>
      <c r="B475" s="286" t="n">
        <v>9.27</v>
      </c>
      <c r="C475" s="286" t="n">
        <v>22.13</v>
      </c>
      <c r="D475" s="286" t="n">
        <v>21.31</v>
      </c>
      <c r="E475" s="286" t="n">
        <v>14.36</v>
      </c>
      <c r="F475" s="286" t="n">
        <v>0.85</v>
      </c>
      <c r="G475" s="286" t="n">
        <v>1.24</v>
      </c>
      <c r="H475" s="286" t="n">
        <v>1.32</v>
      </c>
      <c r="I475" s="286" t="n">
        <v>2.19</v>
      </c>
      <c r="J475" s="286" t="n">
        <v>25.7</v>
      </c>
      <c r="K475" s="286" t="n">
        <v>0.8100000000000001</v>
      </c>
      <c r="L475" s="286" t="n">
        <v>15.23</v>
      </c>
      <c r="M475" s="286" t="inlineStr">
        <is>
          <t>EQ-MLC</t>
        </is>
      </c>
    </row>
    <row r="476">
      <c r="A476" s="287" t="inlineStr">
        <is>
          <t>Sundaram Dividend Yield Fund</t>
        </is>
      </c>
      <c r="B476" s="286" t="n">
        <v>0.58</v>
      </c>
      <c r="C476" s="286" t="n">
        <v>20.41</v>
      </c>
      <c r="D476" s="286" t="n">
        <v>21.96</v>
      </c>
      <c r="E476" s="286" t="n">
        <v>14.34</v>
      </c>
      <c r="F476" s="286" t="n">
        <v>0.8</v>
      </c>
      <c r="G476" s="286" t="n">
        <v>1.19</v>
      </c>
      <c r="H476" s="286" t="n">
        <v>0.51</v>
      </c>
      <c r="I476" s="286" t="n">
        <v>2.29</v>
      </c>
      <c r="J476" s="286" t="n">
        <v>60</v>
      </c>
      <c r="K476" s="286" t="n">
        <v>0.91</v>
      </c>
      <c r="L476" s="286" t="n">
        <v>13.68</v>
      </c>
      <c r="M476" s="286" t="inlineStr">
        <is>
          <t>EQ-FLX</t>
        </is>
      </c>
    </row>
    <row r="477">
      <c r="A477" s="287" t="inlineStr">
        <is>
          <t>Sundaram Flexi Cap Fund - Regular Plan</t>
        </is>
      </c>
      <c r="B477" s="286" t="n">
        <v>7.83</v>
      </c>
      <c r="C477" s="286" t="n">
        <v>0</v>
      </c>
      <c r="D477" s="286" t="n">
        <v>0</v>
      </c>
      <c r="E477" s="286" t="n">
        <v>0</v>
      </c>
      <c r="F477" s="286" t="n">
        <v>0</v>
      </c>
      <c r="G477" s="286" t="n">
        <v>0</v>
      </c>
      <c r="H477" s="286" t="n">
        <v>0</v>
      </c>
      <c r="I477" s="286" t="n">
        <v>2.03</v>
      </c>
      <c r="J477" s="286" t="n">
        <v>32.5</v>
      </c>
      <c r="K477" s="286" t="n">
        <v>0</v>
      </c>
      <c r="L477" s="286" t="n">
        <v>0</v>
      </c>
      <c r="M477" s="286" t="inlineStr">
        <is>
          <t>EQ-FLX</t>
        </is>
      </c>
    </row>
    <row r="478">
      <c r="A478" s="287" t="inlineStr">
        <is>
          <t>Sundaram Focused Fund</t>
        </is>
      </c>
      <c r="B478" s="286" t="n">
        <v>2.72</v>
      </c>
      <c r="C478" s="286" t="n">
        <v>19.45</v>
      </c>
      <c r="D478" s="286" t="n">
        <v>20.9</v>
      </c>
      <c r="E478" s="286" t="n">
        <v>13.34</v>
      </c>
      <c r="F478" s="286" t="n">
        <v>0.7</v>
      </c>
      <c r="G478" s="286" t="n">
        <v>1.19</v>
      </c>
      <c r="H478" s="286" t="n">
        <v>-0.8</v>
      </c>
      <c r="I478" s="286" t="n">
        <v>2.27</v>
      </c>
      <c r="J478" s="286" t="n">
        <v>75.5</v>
      </c>
      <c r="K478" s="286" t="n">
        <v>0.87</v>
      </c>
      <c r="L478" s="286" t="n">
        <v>13.22</v>
      </c>
      <c r="M478" s="286" t="inlineStr">
        <is>
          <t>EQ-FLX</t>
        </is>
      </c>
    </row>
    <row r="479">
      <c r="A479" s="287" t="inlineStr">
        <is>
          <t>Sundaram Large and Mid Cap Fund</t>
        </is>
      </c>
      <c r="B479" s="286" t="n">
        <v>3.87</v>
      </c>
      <c r="C479" s="286" t="n">
        <v>21.1</v>
      </c>
      <c r="D479" s="286" t="n">
        <v>23.28</v>
      </c>
      <c r="E479" s="286" t="n">
        <v>14.53</v>
      </c>
      <c r="F479" s="286" t="n">
        <v>0.75</v>
      </c>
      <c r="G479" s="286" t="n">
        <v>1.1</v>
      </c>
      <c r="H479" s="286" t="n">
        <v>0.21</v>
      </c>
      <c r="I479" s="286" t="n">
        <v>1.82</v>
      </c>
      <c r="J479" s="286" t="n">
        <v>40.3</v>
      </c>
      <c r="K479" s="286" t="n">
        <v>1</v>
      </c>
      <c r="L479" s="286" t="n">
        <v>14.95</v>
      </c>
      <c r="M479" s="286" t="inlineStr">
        <is>
          <t>EQ-L&amp;MC</t>
        </is>
      </c>
    </row>
    <row r="480">
      <c r="A480" s="287" t="inlineStr">
        <is>
          <t>Sundaram Large Cap Fund - Regular Plan</t>
        </is>
      </c>
      <c r="B480" s="286" t="n">
        <v>4.31</v>
      </c>
      <c r="C480" s="286" t="n">
        <v>17.41</v>
      </c>
      <c r="D480" s="286" t="n">
        <v>18.47</v>
      </c>
      <c r="E480" s="286" t="n">
        <v>12.02</v>
      </c>
      <c r="F480" s="286" t="n">
        <v>0.64</v>
      </c>
      <c r="G480" s="286" t="n">
        <v>1.07</v>
      </c>
      <c r="H480" s="286" t="n">
        <v>-1.27</v>
      </c>
      <c r="I480" s="286" t="n">
        <v>1.91</v>
      </c>
      <c r="J480" s="286" t="n">
        <v>33.6</v>
      </c>
      <c r="K480" s="286" t="n">
        <v>0.9</v>
      </c>
      <c r="L480" s="286" t="n">
        <v>12.61</v>
      </c>
      <c r="M480" s="286" t="inlineStr">
        <is>
          <t>EQ-THEMATIC</t>
        </is>
      </c>
    </row>
    <row r="481">
      <c r="A481" s="287" t="inlineStr">
        <is>
          <t>Sundaram Mid Cap Fund - Regular Plan</t>
        </is>
      </c>
      <c r="B481" s="286" t="n">
        <v>9.029999999999999</v>
      </c>
      <c r="C481" s="286" t="n">
        <v>30.17</v>
      </c>
      <c r="D481" s="286" t="n">
        <v>28.62</v>
      </c>
      <c r="E481" s="286" t="n">
        <v>15.19</v>
      </c>
      <c r="F481" s="286" t="n">
        <v>1.16</v>
      </c>
      <c r="G481" s="286" t="n">
        <v>1.59</v>
      </c>
      <c r="H481" s="286" t="n">
        <v>2.02</v>
      </c>
      <c r="I481" s="286" t="n">
        <v>1.75</v>
      </c>
      <c r="J481" s="286" t="n">
        <v>43</v>
      </c>
      <c r="K481" s="286" t="n">
        <v>0.9399999999999999</v>
      </c>
      <c r="L481" s="286" t="n">
        <v>16.4</v>
      </c>
      <c r="M481" s="286" t="inlineStr">
        <is>
          <t>EQ-MC</t>
        </is>
      </c>
    </row>
    <row r="482">
      <c r="A482" s="287" t="inlineStr">
        <is>
          <t>Sundaram Multi Asset Allocation Fund - Regular Plan</t>
        </is>
      </c>
      <c r="B482" s="286" t="n">
        <v>11.54</v>
      </c>
      <c r="C482" s="286" t="n">
        <v>0</v>
      </c>
      <c r="D482" s="286" t="n">
        <v>0</v>
      </c>
      <c r="E482" s="286" t="n">
        <v>0</v>
      </c>
      <c r="F482" s="286" t="n">
        <v>0</v>
      </c>
      <c r="G482" s="286" t="n">
        <v>0</v>
      </c>
      <c r="H482" s="286" t="n">
        <v>0</v>
      </c>
      <c r="I482" s="286" t="n">
        <v>1.86</v>
      </c>
      <c r="J482" s="286" t="n">
        <v>48.4</v>
      </c>
      <c r="K482" s="286" t="n">
        <v>0</v>
      </c>
      <c r="L482" s="286" t="n">
        <v>0</v>
      </c>
      <c r="M482" s="286" t="inlineStr">
        <is>
          <t>EQ-THEMATIC</t>
        </is>
      </c>
    </row>
    <row r="483">
      <c r="A483" s="287" t="inlineStr">
        <is>
          <t>Sundaram Multi Cap Fund</t>
        </is>
      </c>
      <c r="B483" s="286" t="n">
        <v>5.26</v>
      </c>
      <c r="C483" s="286" t="n">
        <v>21.89</v>
      </c>
      <c r="D483" s="286" t="n">
        <v>24.05</v>
      </c>
      <c r="E483" s="286" t="n">
        <v>14.2</v>
      </c>
      <c r="F483" s="286" t="n">
        <v>0.84</v>
      </c>
      <c r="G483" s="286" t="n">
        <v>1.28</v>
      </c>
      <c r="H483" s="286" t="n">
        <v>-0.97</v>
      </c>
      <c r="I483" s="286" t="n">
        <v>2</v>
      </c>
      <c r="J483" s="286" t="n">
        <v>54.7</v>
      </c>
      <c r="K483" s="286" t="n">
        <v>0.9</v>
      </c>
      <c r="L483" s="286" t="n">
        <v>14.39</v>
      </c>
      <c r="M483" s="286" t="inlineStr">
        <is>
          <t>EQ-SC</t>
        </is>
      </c>
    </row>
    <row r="484">
      <c r="A484" s="287" t="inlineStr">
        <is>
          <t>Sundaram Multi-Factor Fund - Regular Plan</t>
        </is>
      </c>
      <c r="B484" s="286" t="n">
        <v>0</v>
      </c>
      <c r="C484" s="286" t="n">
        <v>0</v>
      </c>
      <c r="D484" s="286" t="n">
        <v>0</v>
      </c>
      <c r="E484" s="286" t="n">
        <v>0</v>
      </c>
      <c r="F484" s="286" t="n">
        <v>0</v>
      </c>
      <c r="G484" s="286" t="n">
        <v>0</v>
      </c>
      <c r="H484" s="286" t="n">
        <v>0</v>
      </c>
      <c r="I484" s="286" t="n">
        <v>0</v>
      </c>
      <c r="J484" s="286" t="n">
        <v>0</v>
      </c>
      <c r="K484" s="286" t="n">
        <v>0</v>
      </c>
      <c r="L484" s="286" t="n">
        <v>0</v>
      </c>
      <c r="M484" s="286" t="inlineStr">
        <is>
          <t>EQ-THEMATIC</t>
        </is>
      </c>
    </row>
    <row r="485">
      <c r="A485" s="287" t="inlineStr">
        <is>
          <t>Sundaram Nifty 100 Equal Weight Fund</t>
        </is>
      </c>
      <c r="B485" s="286" t="n">
        <v>2.1</v>
      </c>
      <c r="C485" s="286" t="n">
        <v>21.51</v>
      </c>
      <c r="D485" s="286" t="n">
        <v>22.34</v>
      </c>
      <c r="E485" s="286" t="n">
        <v>11.47</v>
      </c>
      <c r="F485" s="286" t="n">
        <v>0.73</v>
      </c>
      <c r="G485" s="286" t="n">
        <v>1.25</v>
      </c>
      <c r="H485" s="286" t="n">
        <v>0.16</v>
      </c>
      <c r="I485" s="286" t="n">
        <v>1.08</v>
      </c>
      <c r="J485" s="286" t="n">
        <v>27.6</v>
      </c>
      <c r="K485" s="286" t="n">
        <v>1.12</v>
      </c>
      <c r="L485" s="286" t="n">
        <v>15.9</v>
      </c>
      <c r="M485" s="286" t="inlineStr">
        <is>
          <t>HY-CH</t>
        </is>
      </c>
    </row>
    <row r="486">
      <c r="A486" s="287" t="inlineStr">
        <is>
          <t>Sundaram Services Fund - Regular Plan</t>
        </is>
      </c>
      <c r="B486" s="286" t="n">
        <v>17.11</v>
      </c>
      <c r="C486" s="286" t="n">
        <v>24.13</v>
      </c>
      <c r="D486" s="286" t="n">
        <v>26.94</v>
      </c>
      <c r="E486" s="286" t="n">
        <v>0</v>
      </c>
      <c r="F486" s="286" t="n">
        <v>0.96</v>
      </c>
      <c r="G486" s="286" t="n">
        <v>1.63</v>
      </c>
      <c r="H486" s="286" t="n">
        <v>2.87</v>
      </c>
      <c r="I486" s="286" t="n">
        <v>1.89</v>
      </c>
      <c r="J486" s="286" t="n">
        <v>77.8</v>
      </c>
      <c r="K486" s="286" t="n">
        <v>0.87</v>
      </c>
      <c r="L486" s="286" t="n">
        <v>13.5</v>
      </c>
      <c r="M486" s="286" t="inlineStr">
        <is>
          <t>EQ-FLX</t>
        </is>
      </c>
    </row>
    <row r="487">
      <c r="A487" s="287" t="inlineStr">
        <is>
          <t>Sundaram Small Cap Fund - Regular Plan</t>
        </is>
      </c>
      <c r="B487" s="286" t="n">
        <v>4.72</v>
      </c>
      <c r="C487" s="286" t="n">
        <v>26.34</v>
      </c>
      <c r="D487" s="286" t="n">
        <v>32.02</v>
      </c>
      <c r="E487" s="286" t="n">
        <v>14.75</v>
      </c>
      <c r="F487" s="286" t="n">
        <v>1.01</v>
      </c>
      <c r="G487" s="286" t="n">
        <v>1.39</v>
      </c>
      <c r="H487" s="286" t="n">
        <v>1.7</v>
      </c>
      <c r="I487" s="286" t="n">
        <v>1.94</v>
      </c>
      <c r="J487" s="286" t="n">
        <v>66</v>
      </c>
      <c r="K487" s="286" t="n">
        <v>0.8</v>
      </c>
      <c r="L487" s="286" t="n">
        <v>16.11</v>
      </c>
      <c r="M487" s="286" t="inlineStr">
        <is>
          <t>EQ-SC</t>
        </is>
      </c>
    </row>
    <row r="488">
      <c r="A488" s="287" t="inlineStr">
        <is>
          <t>Tata Balanced Advantage Fund - Regular Plan</t>
        </is>
      </c>
      <c r="B488" s="286" t="n">
        <v>4.49</v>
      </c>
      <c r="C488" s="286" t="n">
        <v>13.67</v>
      </c>
      <c r="D488" s="286" t="n">
        <v>13.99</v>
      </c>
      <c r="E488" s="286" t="n">
        <v>0</v>
      </c>
      <c r="F488" s="286" t="n">
        <v>0.75</v>
      </c>
      <c r="G488" s="286" t="n">
        <v>1.2</v>
      </c>
      <c r="H488" s="286" t="n">
        <v>-0.03</v>
      </c>
      <c r="I488" s="286" t="n">
        <v>1.69</v>
      </c>
      <c r="J488" s="286" t="n">
        <v>29.31</v>
      </c>
      <c r="K488" s="286" t="n">
        <v>0.67</v>
      </c>
      <c r="L488" s="286" t="n">
        <v>7.07</v>
      </c>
      <c r="M488" s="286" t="inlineStr">
        <is>
          <t>EQ-L&amp;MC</t>
        </is>
      </c>
    </row>
    <row r="489">
      <c r="A489" s="287" t="inlineStr">
        <is>
          <t>Tata Business Cycle Fund - Regular Plan</t>
        </is>
      </c>
      <c r="B489" s="286" t="n">
        <v>-0.61</v>
      </c>
      <c r="C489" s="286" t="n">
        <v>25.49</v>
      </c>
      <c r="D489" s="286" t="n">
        <v>0</v>
      </c>
      <c r="E489" s="286" t="n">
        <v>0</v>
      </c>
      <c r="F489" s="286" t="n">
        <v>1.03</v>
      </c>
      <c r="G489" s="286" t="n">
        <v>1.58</v>
      </c>
      <c r="H489" s="286" t="n">
        <v>3.75</v>
      </c>
      <c r="I489" s="286" t="n">
        <v>1.91</v>
      </c>
      <c r="J489" s="286" t="n">
        <v>56.39</v>
      </c>
      <c r="K489" s="286" t="n">
        <v>0.96</v>
      </c>
      <c r="L489" s="286" t="n">
        <v>14.41</v>
      </c>
      <c r="M489" s="286" t="inlineStr">
        <is>
          <t>HY-AR</t>
        </is>
      </c>
    </row>
    <row r="490">
      <c r="A490" s="287" t="inlineStr">
        <is>
          <t>Tata Dividend Yield Fund - Regular Plan</t>
        </is>
      </c>
      <c r="B490" s="286" t="n">
        <v>-0.26</v>
      </c>
      <c r="C490" s="286" t="n">
        <v>22.23</v>
      </c>
      <c r="D490" s="286" t="n">
        <v>0</v>
      </c>
      <c r="E490" s="286" t="n">
        <v>0</v>
      </c>
      <c r="F490" s="286" t="n">
        <v>0.77</v>
      </c>
      <c r="G490" s="286" t="n">
        <v>1.18</v>
      </c>
      <c r="H490" s="286" t="n">
        <v>0.03</v>
      </c>
      <c r="I490" s="286" t="n">
        <v>2.18</v>
      </c>
      <c r="J490" s="286" t="n">
        <v>26.46</v>
      </c>
      <c r="K490" s="286" t="n">
        <v>1.01</v>
      </c>
      <c r="L490" s="286" t="n">
        <v>15.25</v>
      </c>
      <c r="M490" s="286" t="inlineStr">
        <is>
          <t>HY-DAA</t>
        </is>
      </c>
    </row>
    <row r="491">
      <c r="A491" s="287" t="inlineStr">
        <is>
          <t>Tata Ethical Fund - Regular Plan</t>
        </is>
      </c>
      <c r="B491" s="286" t="n">
        <v>-3.32</v>
      </c>
      <c r="C491" s="286" t="n">
        <v>15.26</v>
      </c>
      <c r="D491" s="286" t="n">
        <v>19.95</v>
      </c>
      <c r="E491" s="286" t="n">
        <v>11.51</v>
      </c>
      <c r="F491" s="286" t="n">
        <v>0.45</v>
      </c>
      <c r="G491" s="286" t="n">
        <v>0.6</v>
      </c>
      <c r="H491" s="286" t="n">
        <v>-4.02</v>
      </c>
      <c r="I491" s="286" t="n">
        <v>1.9</v>
      </c>
      <c r="J491" s="286" t="n">
        <v>28.68</v>
      </c>
      <c r="K491" s="286" t="n">
        <v>0.9</v>
      </c>
      <c r="L491" s="286" t="n">
        <v>14.08</v>
      </c>
      <c r="M491" s="286" t="inlineStr">
        <is>
          <t>EQ-FLX</t>
        </is>
      </c>
    </row>
    <row r="492">
      <c r="A492" s="287" t="inlineStr">
        <is>
          <t>Tata Flexi Cap Fund - Regular Plan</t>
        </is>
      </c>
      <c r="B492" s="286" t="n">
        <v>9.970000000000001</v>
      </c>
      <c r="C492" s="286" t="n">
        <v>20.36</v>
      </c>
      <c r="D492" s="286" t="n">
        <v>19.86</v>
      </c>
      <c r="E492" s="286" t="n">
        <v>0</v>
      </c>
      <c r="F492" s="286" t="n">
        <v>0.85</v>
      </c>
      <c r="G492" s="286" t="n">
        <v>1.5</v>
      </c>
      <c r="H492" s="286" t="n">
        <v>1.19</v>
      </c>
      <c r="I492" s="286" t="n">
        <v>1.9</v>
      </c>
      <c r="J492" s="286" t="n">
        <v>37.84</v>
      </c>
      <c r="K492" s="286" t="n">
        <v>0.8</v>
      </c>
      <c r="L492" s="286" t="n">
        <v>12.22</v>
      </c>
      <c r="M492" s="286" t="inlineStr">
        <is>
          <t>EQ-FLX</t>
        </is>
      </c>
    </row>
    <row r="493">
      <c r="A493" s="287" t="inlineStr">
        <is>
          <t>Tata Focused Equity Fund - Regular Plan</t>
        </is>
      </c>
      <c r="B493" s="286" t="n">
        <v>1.9</v>
      </c>
      <c r="C493" s="286" t="n">
        <v>20.27</v>
      </c>
      <c r="D493" s="286" t="n">
        <v>22.5</v>
      </c>
      <c r="E493" s="286" t="n">
        <v>0</v>
      </c>
      <c r="F493" s="286" t="n">
        <v>0.73</v>
      </c>
      <c r="G493" s="286" t="n">
        <v>1.11</v>
      </c>
      <c r="H493" s="286" t="n">
        <v>-0.4</v>
      </c>
      <c r="I493" s="286" t="n">
        <v>2.04</v>
      </c>
      <c r="J493" s="286" t="n">
        <v>40.42</v>
      </c>
      <c r="K493" s="286" t="n">
        <v>0.93</v>
      </c>
      <c r="L493" s="286" t="n">
        <v>14.17</v>
      </c>
      <c r="M493" s="286" t="inlineStr">
        <is>
          <t>HY-AR</t>
        </is>
      </c>
    </row>
    <row r="494">
      <c r="A494" s="287" t="inlineStr">
        <is>
          <t>Tata Housing Opportunities Fund - Regular Plan</t>
        </is>
      </c>
      <c r="B494" s="286" t="n">
        <v>-4.91</v>
      </c>
      <c r="C494" s="286" t="n">
        <v>0</v>
      </c>
      <c r="D494" s="286" t="n">
        <v>0</v>
      </c>
      <c r="E494" s="286" t="n">
        <v>0</v>
      </c>
      <c r="F494" s="286" t="n">
        <v>0</v>
      </c>
      <c r="G494" s="286" t="n">
        <v>0</v>
      </c>
      <c r="H494" s="286" t="n">
        <v>0</v>
      </c>
      <c r="I494" s="286" t="n">
        <v>2.36</v>
      </c>
      <c r="J494" s="286" t="n">
        <v>6.42</v>
      </c>
      <c r="K494" s="286" t="n">
        <v>0</v>
      </c>
      <c r="L494" s="286" t="n">
        <v>0</v>
      </c>
      <c r="M494" s="286" t="inlineStr">
        <is>
          <t>HY-CH</t>
        </is>
      </c>
    </row>
    <row r="495">
      <c r="A495" s="287" t="inlineStr">
        <is>
          <t>Tata Hybrid Equity Fund - Regular Plan</t>
        </is>
      </c>
      <c r="B495" s="286" t="n">
        <v>3.59</v>
      </c>
      <c r="C495" s="286" t="n">
        <v>15.7</v>
      </c>
      <c r="D495" s="286" t="n">
        <v>17.5</v>
      </c>
      <c r="E495" s="286" t="n">
        <v>10.01</v>
      </c>
      <c r="F495" s="286" t="n">
        <v>0.71</v>
      </c>
      <c r="G495" s="286" t="n">
        <v>1.1</v>
      </c>
      <c r="H495" s="286" t="n">
        <v>-0.75</v>
      </c>
      <c r="I495" s="286" t="n">
        <v>1.92</v>
      </c>
      <c r="J495" s="286" t="n">
        <v>27.99</v>
      </c>
      <c r="K495" s="286" t="n">
        <v>0.85</v>
      </c>
      <c r="L495" s="286" t="n">
        <v>10.4</v>
      </c>
      <c r="M495" s="286" t="inlineStr">
        <is>
          <t>HY-DAA</t>
        </is>
      </c>
    </row>
    <row r="496">
      <c r="A496" s="287" t="inlineStr">
        <is>
          <t>Tata India Consumer Fund - Regular Plan</t>
        </is>
      </c>
      <c r="B496" s="286" t="n">
        <v>6.94</v>
      </c>
      <c r="C496" s="286" t="n">
        <v>23.19</v>
      </c>
      <c r="D496" s="286" t="n">
        <v>21.79</v>
      </c>
      <c r="E496" s="286" t="n">
        <v>0</v>
      </c>
      <c r="F496" s="286" t="n">
        <v>0.86</v>
      </c>
      <c r="G496" s="286" t="n">
        <v>1.18</v>
      </c>
      <c r="H496" s="286" t="n">
        <v>1.52</v>
      </c>
      <c r="I496" s="286" t="n">
        <v>1.99</v>
      </c>
      <c r="J496" s="286" t="n">
        <v>49.43</v>
      </c>
      <c r="K496" s="286" t="n">
        <v>0.84</v>
      </c>
      <c r="L496" s="286" t="n">
        <v>15.81</v>
      </c>
      <c r="M496" s="286" t="inlineStr">
        <is>
          <t>EQ-FLX</t>
        </is>
      </c>
    </row>
    <row r="497">
      <c r="A497" s="287" t="inlineStr">
        <is>
          <t>Tata India Innovation Fund - Regular Plan</t>
        </is>
      </c>
      <c r="B497" s="286" t="n">
        <v>0</v>
      </c>
      <c r="C497" s="286" t="n">
        <v>0</v>
      </c>
      <c r="D497" s="286" t="n">
        <v>0</v>
      </c>
      <c r="E497" s="286" t="n">
        <v>0</v>
      </c>
      <c r="F497" s="286" t="n">
        <v>0</v>
      </c>
      <c r="G497" s="286" t="n">
        <v>0</v>
      </c>
      <c r="H497" s="286" t="n">
        <v>0</v>
      </c>
      <c r="I497" s="286" t="n">
        <v>2.03</v>
      </c>
      <c r="J497" s="286" t="n">
        <v>10.08</v>
      </c>
      <c r="K497" s="286" t="n">
        <v>0</v>
      </c>
      <c r="L497" s="286" t="n">
        <v>0</v>
      </c>
      <c r="M497" s="286" t="inlineStr">
        <is>
          <t>HY-AH</t>
        </is>
      </c>
    </row>
    <row r="498">
      <c r="A498" s="287" t="inlineStr">
        <is>
          <t>Tata Large Cap Fund - Regular Plan</t>
        </is>
      </c>
      <c r="B498" s="286" t="n">
        <v>3.6</v>
      </c>
      <c r="C498" s="286" t="n">
        <v>19.73</v>
      </c>
      <c r="D498" s="286" t="n">
        <v>21.45</v>
      </c>
      <c r="E498" s="286" t="n">
        <v>11.92</v>
      </c>
      <c r="F498" s="286" t="n">
        <v>0.74</v>
      </c>
      <c r="G498" s="286" t="n">
        <v>1.21</v>
      </c>
      <c r="H498" s="286" t="n">
        <v>-0.04</v>
      </c>
      <c r="I498" s="286" t="n">
        <v>2.01</v>
      </c>
      <c r="J498" s="286" t="n">
        <v>40.67</v>
      </c>
      <c r="K498" s="286" t="n">
        <v>0.98</v>
      </c>
      <c r="L498" s="286" t="n">
        <v>13.6</v>
      </c>
      <c r="M498" s="286" t="inlineStr">
        <is>
          <t>HY-AR</t>
        </is>
      </c>
    </row>
    <row r="499">
      <c r="A499" s="287" t="inlineStr">
        <is>
          <t>Tata Large &amp; Mid Cap Fund - Regular Plan</t>
        </is>
      </c>
      <c r="B499" s="286" t="n">
        <v>2.49</v>
      </c>
      <c r="C499" s="286" t="n">
        <v>21.29</v>
      </c>
      <c r="D499" s="286" t="n">
        <v>22.45</v>
      </c>
      <c r="E499" s="286" t="n">
        <v>13.63</v>
      </c>
      <c r="F499" s="286" t="n">
        <v>0.89</v>
      </c>
      <c r="G499" s="286" t="n">
        <v>1.47</v>
      </c>
      <c r="H499" s="286" t="n">
        <v>1.96</v>
      </c>
      <c r="I499" s="286" t="n">
        <v>1.75</v>
      </c>
      <c r="J499" s="286" t="n">
        <v>12.1</v>
      </c>
      <c r="K499" s="286" t="n">
        <v>0.89</v>
      </c>
      <c r="L499" s="286" t="n">
        <v>13.26</v>
      </c>
      <c r="M499" s="286" t="inlineStr">
        <is>
          <t>HY-DAA</t>
        </is>
      </c>
    </row>
    <row r="500">
      <c r="A500" s="287" t="inlineStr">
        <is>
          <t>Tata Midcap Growth Fund - Regular Plan</t>
        </is>
      </c>
      <c r="B500" s="286" t="n">
        <v>-0.49</v>
      </c>
      <c r="C500" s="286" t="n">
        <v>26.1</v>
      </c>
      <c r="D500" s="286" t="n">
        <v>26.92</v>
      </c>
      <c r="E500" s="286" t="n">
        <v>15.57</v>
      </c>
      <c r="F500" s="286" t="n">
        <v>0.96</v>
      </c>
      <c r="G500" s="286" t="n">
        <v>1.38</v>
      </c>
      <c r="H500" s="286" t="n">
        <v>-1.44</v>
      </c>
      <c r="I500" s="286" t="n">
        <v>1.85</v>
      </c>
      <c r="J500" s="286" t="n">
        <v>31.34</v>
      </c>
      <c r="K500" s="286" t="n">
        <v>0.91</v>
      </c>
      <c r="L500" s="286" t="n">
        <v>15.64</v>
      </c>
      <c r="M500" s="286" t="inlineStr">
        <is>
          <t>EQ-FLX</t>
        </is>
      </c>
    </row>
    <row r="501">
      <c r="A501" s="287" t="inlineStr">
        <is>
          <t>Tata Multi Asset Opportunities Fund - Regular Plan</t>
        </is>
      </c>
      <c r="B501" s="286" t="n">
        <v>6.78</v>
      </c>
      <c r="C501" s="286" t="n">
        <v>17.33</v>
      </c>
      <c r="D501" s="286" t="n">
        <v>18.17</v>
      </c>
      <c r="E501" s="286" t="n">
        <v>0</v>
      </c>
      <c r="F501" s="286" t="n">
        <v>0.96</v>
      </c>
      <c r="G501" s="286" t="n">
        <v>1.55</v>
      </c>
      <c r="H501" s="286" t="n">
        <v>0.55</v>
      </c>
      <c r="I501" s="286" t="n">
        <v>1.84</v>
      </c>
      <c r="J501" s="286" t="n">
        <v>18.74</v>
      </c>
      <c r="K501" s="286" t="n">
        <v>0.86</v>
      </c>
      <c r="L501" s="286" t="n">
        <v>8.539999999999999</v>
      </c>
      <c r="M501" s="286" t="inlineStr">
        <is>
          <t>EQ-L&amp;MC</t>
        </is>
      </c>
    </row>
    <row r="502">
      <c r="A502" s="287" t="inlineStr">
        <is>
          <t>Tata Multicap Fund - Regular Plan</t>
        </is>
      </c>
      <c r="B502" s="286" t="n">
        <v>-0.77</v>
      </c>
      <c r="C502" s="286" t="n">
        <v>0</v>
      </c>
      <c r="D502" s="286" t="n">
        <v>0</v>
      </c>
      <c r="E502" s="286" t="n">
        <v>0</v>
      </c>
      <c r="F502" s="286" t="n">
        <v>0</v>
      </c>
      <c r="G502" s="286" t="n">
        <v>0</v>
      </c>
      <c r="H502" s="286" t="n">
        <v>0</v>
      </c>
      <c r="I502" s="286" t="n">
        <v>1.88</v>
      </c>
      <c r="J502" s="286" t="n">
        <v>42.93</v>
      </c>
      <c r="K502" s="286" t="n">
        <v>0</v>
      </c>
      <c r="L502" s="286" t="n">
        <v>0</v>
      </c>
      <c r="M502" s="286" t="inlineStr">
        <is>
          <t>EQ-LC</t>
        </is>
      </c>
    </row>
    <row r="503">
      <c r="A503" s="287" t="inlineStr">
        <is>
          <t>Tata Nifty 50 Exchange Traded Fund</t>
        </is>
      </c>
      <c r="B503" s="286" t="n">
        <v>8.039999999999999</v>
      </c>
      <c r="C503" s="286" t="n">
        <v>18.74</v>
      </c>
      <c r="D503" s="286" t="n">
        <v>21.04</v>
      </c>
      <c r="E503" s="286" t="n">
        <v>0</v>
      </c>
      <c r="F503" s="286" t="n">
        <v>0.6899999999999999</v>
      </c>
      <c r="G503" s="286" t="n">
        <v>1.17</v>
      </c>
      <c r="H503" s="286" t="n">
        <v>-0.76</v>
      </c>
      <c r="I503" s="286" t="n">
        <v>0.06</v>
      </c>
      <c r="J503" s="286" t="n">
        <v>9.76</v>
      </c>
      <c r="K503" s="286" t="n">
        <v>0.95</v>
      </c>
      <c r="L503" s="286" t="n">
        <v>13.1</v>
      </c>
      <c r="M503" s="286" t="inlineStr">
        <is>
          <t>EQ-MC</t>
        </is>
      </c>
    </row>
    <row r="504">
      <c r="A504" s="287" t="inlineStr">
        <is>
          <t>Tata Resources &amp; Energy Fund - Regular Plan</t>
        </is>
      </c>
      <c r="B504" s="286" t="n">
        <v>3.45</v>
      </c>
      <c r="C504" s="286" t="n">
        <v>23.1</v>
      </c>
      <c r="D504" s="286" t="n">
        <v>24.88</v>
      </c>
      <c r="E504" s="286" t="n">
        <v>0</v>
      </c>
      <c r="F504" s="286" t="n">
        <v>0.67</v>
      </c>
      <c r="G504" s="286" t="n">
        <v>1.04</v>
      </c>
      <c r="H504" s="286" t="n">
        <v>4.51</v>
      </c>
      <c r="I504" s="286" t="n">
        <v>2.13</v>
      </c>
      <c r="J504" s="286" t="n">
        <v>26.55</v>
      </c>
      <c r="K504" s="286" t="n">
        <v>0.62</v>
      </c>
      <c r="L504" s="286" t="n">
        <v>17.11</v>
      </c>
      <c r="M504" s="286" t="inlineStr">
        <is>
          <t>EQ-MLC</t>
        </is>
      </c>
    </row>
    <row r="505">
      <c r="A505" s="287" t="inlineStr">
        <is>
          <t>Tata Retirement Savings Fund - Conservative Plan - Regular Plan</t>
        </is>
      </c>
      <c r="B505" s="286" t="n">
        <v>6.48</v>
      </c>
      <c r="C505" s="286" t="n">
        <v>10.07</v>
      </c>
      <c r="D505" s="286" t="n">
        <v>8.48</v>
      </c>
      <c r="E505" s="286" t="n">
        <v>7.89</v>
      </c>
      <c r="F505" s="286" t="n">
        <v>0.59</v>
      </c>
      <c r="G505" s="286" t="n">
        <v>0.84</v>
      </c>
      <c r="H505" s="286" t="n">
        <v>-1.12</v>
      </c>
      <c r="I505" s="286" t="n">
        <v>2.17</v>
      </c>
      <c r="J505" s="286" t="n">
        <v>4</v>
      </c>
      <c r="K505" s="286" t="n">
        <v>1.03</v>
      </c>
      <c r="L505" s="286" t="n">
        <v>4.5</v>
      </c>
      <c r="M505" s="286" t="inlineStr">
        <is>
          <t>EQ-MLC</t>
        </is>
      </c>
    </row>
    <row r="506">
      <c r="A506" s="287" t="inlineStr">
        <is>
          <t>Tata Retirement Savings Fund - Moderate Plan - Regular Plan</t>
        </is>
      </c>
      <c r="B506" s="286" t="n">
        <v>8.25</v>
      </c>
      <c r="C506" s="286" t="n">
        <v>19.25</v>
      </c>
      <c r="D506" s="286" t="n">
        <v>17.65</v>
      </c>
      <c r="E506" s="286" t="n">
        <v>12.35</v>
      </c>
      <c r="F506" s="286" t="n">
        <v>0.84</v>
      </c>
      <c r="G506" s="286" t="n">
        <v>1.13</v>
      </c>
      <c r="H506" s="286" t="n">
        <v>1.03</v>
      </c>
      <c r="I506" s="286" t="n">
        <v>2</v>
      </c>
      <c r="J506" s="286" t="n">
        <v>41.18</v>
      </c>
      <c r="K506" s="286" t="n">
        <v>0.9</v>
      </c>
      <c r="L506" s="286" t="n">
        <v>11.59</v>
      </c>
      <c r="M506" s="286" t="inlineStr">
        <is>
          <t>EQ-SC</t>
        </is>
      </c>
    </row>
    <row r="507">
      <c r="A507" s="287" t="inlineStr">
        <is>
          <t>Tata Retirement Savings Fund - Progressive Plan - Regular Plan</t>
        </is>
      </c>
      <c r="B507" s="286" t="n">
        <v>7.2</v>
      </c>
      <c r="C507" s="286" t="n">
        <v>21.17</v>
      </c>
      <c r="D507" s="286" t="n">
        <v>19.24</v>
      </c>
      <c r="E507" s="286" t="n">
        <v>13.73</v>
      </c>
      <c r="F507" s="286" t="n">
        <v>0.8100000000000001</v>
      </c>
      <c r="G507" s="286" t="n">
        <v>1.06</v>
      </c>
      <c r="H507" s="286" t="n">
        <v>0.99</v>
      </c>
      <c r="I507" s="286" t="n">
        <v>2</v>
      </c>
      <c r="J507" s="286" t="n">
        <v>52.69</v>
      </c>
      <c r="K507" s="286" t="n">
        <v>0.88</v>
      </c>
      <c r="L507" s="286" t="n">
        <v>13.75</v>
      </c>
      <c r="M507" s="286" t="inlineStr">
        <is>
          <t>HY-AH</t>
        </is>
      </c>
    </row>
    <row r="508">
      <c r="A508" s="287" t="inlineStr">
        <is>
          <t>Tata Small Cap Fund - Regular Plan</t>
        </is>
      </c>
      <c r="B508" s="286" t="n">
        <v>3.01</v>
      </c>
      <c r="C508" s="286" t="n">
        <v>28.05</v>
      </c>
      <c r="D508" s="286" t="n">
        <v>33.19</v>
      </c>
      <c r="E508" s="286" t="n">
        <v>0</v>
      </c>
      <c r="F508" s="286" t="n">
        <v>1.06</v>
      </c>
      <c r="G508" s="286" t="n">
        <v>1.47</v>
      </c>
      <c r="H508" s="286" t="n">
        <v>3.11</v>
      </c>
      <c r="I508" s="286" t="n">
        <v>1.68</v>
      </c>
      <c r="J508" s="286" t="n">
        <v>10.8</v>
      </c>
      <c r="K508" s="286" t="n">
        <v>0.78</v>
      </c>
      <c r="L508" s="286" t="n">
        <v>16.37</v>
      </c>
      <c r="M508" s="286" t="inlineStr">
        <is>
          <t>EQ-MLC</t>
        </is>
      </c>
    </row>
    <row r="509">
      <c r="A509" s="287" t="inlineStr">
        <is>
          <t>Tata Young Citizens Fund - Regular Plan</t>
        </is>
      </c>
      <c r="B509" s="286" t="n">
        <v>4.77</v>
      </c>
      <c r="C509" s="286" t="n">
        <v>19.85</v>
      </c>
      <c r="D509" s="286" t="n">
        <v>21.15</v>
      </c>
      <c r="E509" s="286" t="n">
        <v>11.6</v>
      </c>
      <c r="F509" s="286" t="n">
        <v>0.74</v>
      </c>
      <c r="G509" s="286" t="n">
        <v>1.16</v>
      </c>
      <c r="H509" s="286" t="n">
        <v>-0.36</v>
      </c>
      <c r="I509" s="286" t="n">
        <v>2.58</v>
      </c>
      <c r="J509" s="286" t="n">
        <v>38.68</v>
      </c>
      <c r="K509" s="286" t="n">
        <v>0.9</v>
      </c>
      <c r="L509" s="286" t="n">
        <v>13.53</v>
      </c>
      <c r="M509" s="286" t="inlineStr">
        <is>
          <t>HY-AR</t>
        </is>
      </c>
    </row>
    <row r="510">
      <c r="A510" s="287" t="inlineStr">
        <is>
          <t>Taurus Ethical Fund - Regular Plan</t>
        </is>
      </c>
      <c r="B510" s="286" t="n">
        <v>1.63</v>
      </c>
      <c r="C510" s="286" t="n">
        <v>19.52</v>
      </c>
      <c r="D510" s="286" t="n">
        <v>20.04</v>
      </c>
      <c r="E510" s="286" t="n">
        <v>12.14</v>
      </c>
      <c r="F510" s="286" t="n">
        <v>0.66</v>
      </c>
      <c r="G510" s="286" t="n">
        <v>0.9399999999999999</v>
      </c>
      <c r="H510" s="286" t="n">
        <v>-0.9399999999999999</v>
      </c>
      <c r="I510" s="286" t="n">
        <v>2.39</v>
      </c>
      <c r="J510" s="286" t="n">
        <v>114</v>
      </c>
      <c r="K510" s="286" t="n">
        <v>0.93</v>
      </c>
      <c r="L510" s="286" t="n">
        <v>14.82</v>
      </c>
      <c r="M510" s="286" t="inlineStr">
        <is>
          <t>EQ-THEMATIC</t>
        </is>
      </c>
    </row>
    <row r="511">
      <c r="A511" s="287" t="inlineStr">
        <is>
          <t>Taurus Flexi Cap Fund - Regular Plan</t>
        </is>
      </c>
      <c r="B511" s="286" t="n">
        <v>0.12</v>
      </c>
      <c r="C511" s="286" t="n">
        <v>20.22</v>
      </c>
      <c r="D511" s="286" t="n">
        <v>19.44</v>
      </c>
      <c r="E511" s="286" t="n">
        <v>9.199999999999999</v>
      </c>
      <c r="F511" s="286" t="n">
        <v>0.63</v>
      </c>
      <c r="G511" s="286" t="n">
        <v>0.95</v>
      </c>
      <c r="H511" s="286" t="n">
        <v>-1.88</v>
      </c>
      <c r="I511" s="286" t="n">
        <v>2.64</v>
      </c>
      <c r="J511" s="286" t="n">
        <v>72</v>
      </c>
      <c r="K511" s="286" t="n">
        <v>1.02</v>
      </c>
      <c r="L511" s="286" t="n">
        <v>15.7</v>
      </c>
      <c r="M511" s="286" t="inlineStr">
        <is>
          <t>EQ-THEMATIC</t>
        </is>
      </c>
    </row>
    <row r="512">
      <c r="A512" s="287" t="inlineStr">
        <is>
          <t>Taurus Large Cap Fund - Regular Plan</t>
        </is>
      </c>
      <c r="B512" s="286" t="n">
        <v>3.53</v>
      </c>
      <c r="C512" s="286" t="n">
        <v>20.59</v>
      </c>
      <c r="D512" s="286" t="n">
        <v>19.27</v>
      </c>
      <c r="E512" s="286" t="n">
        <v>9.550000000000001</v>
      </c>
      <c r="F512" s="286" t="n">
        <v>0.63</v>
      </c>
      <c r="G512" s="286" t="n">
        <v>0.99</v>
      </c>
      <c r="H512" s="286" t="n">
        <v>-1</v>
      </c>
      <c r="I512" s="286" t="n">
        <v>2.59</v>
      </c>
      <c r="J512" s="286" t="n">
        <v>87</v>
      </c>
      <c r="K512" s="286" t="n">
        <v>1.1</v>
      </c>
      <c r="L512" s="286" t="n">
        <v>16.49</v>
      </c>
      <c r="M512" s="286" t="inlineStr">
        <is>
          <t>HY-DAA</t>
        </is>
      </c>
    </row>
    <row r="513">
      <c r="A513" s="287" t="inlineStr">
        <is>
          <t>Taurus Mid Cap Fund - Regular Plan</t>
        </is>
      </c>
      <c r="B513" s="286" t="n">
        <v>-1.04</v>
      </c>
      <c r="C513" s="286" t="n">
        <v>24.25</v>
      </c>
      <c r="D513" s="286" t="n">
        <v>23.9</v>
      </c>
      <c r="E513" s="286" t="n">
        <v>14.88</v>
      </c>
      <c r="F513" s="286" t="n">
        <v>0.82</v>
      </c>
      <c r="G513" s="286" t="n">
        <v>1.44</v>
      </c>
      <c r="H513" s="286" t="n">
        <v>-3.52</v>
      </c>
      <c r="I513" s="286" t="n">
        <v>2.56</v>
      </c>
      <c r="J513" s="286" t="n">
        <v>81</v>
      </c>
      <c r="K513" s="286" t="n">
        <v>0.99</v>
      </c>
      <c r="L513" s="286" t="n">
        <v>17.48</v>
      </c>
      <c r="M513" s="286" t="inlineStr">
        <is>
          <t>EQ-FLX</t>
        </is>
      </c>
    </row>
    <row r="514">
      <c r="A514" s="287" t="inlineStr">
        <is>
          <t>Templeton India Equity Income Fund</t>
        </is>
      </c>
      <c r="B514" s="286" t="n">
        <v>2.02</v>
      </c>
      <c r="C514" s="286" t="n">
        <v>20.84</v>
      </c>
      <c r="D514" s="286" t="n">
        <v>27.19</v>
      </c>
      <c r="E514" s="286" t="n">
        <v>15.1</v>
      </c>
      <c r="F514" s="286" t="n">
        <v>0.84</v>
      </c>
      <c r="G514" s="286" t="n">
        <v>1.33</v>
      </c>
      <c r="H514" s="286" t="n">
        <v>2.11</v>
      </c>
      <c r="I514" s="286" t="n">
        <v>2.09</v>
      </c>
      <c r="J514" s="286" t="n">
        <v>13.86</v>
      </c>
      <c r="K514" s="286" t="n">
        <v>0.79</v>
      </c>
      <c r="L514" s="286" t="n">
        <v>13.28</v>
      </c>
      <c r="M514" s="286" t="inlineStr">
        <is>
          <t>EQ-LC</t>
        </is>
      </c>
    </row>
    <row r="515">
      <c r="A515" s="287" t="inlineStr">
        <is>
          <t>TRUSTMF Flexi Cap Fund - Regular Plan</t>
        </is>
      </c>
      <c r="B515" s="286" t="n">
        <v>5.29</v>
      </c>
      <c r="C515" s="286" t="n">
        <v>0</v>
      </c>
      <c r="D515" s="286" t="n">
        <v>0</v>
      </c>
      <c r="E515" s="286" t="n">
        <v>0</v>
      </c>
      <c r="F515" s="286" t="n">
        <v>0</v>
      </c>
      <c r="G515" s="286" t="n">
        <v>0</v>
      </c>
      <c r="H515" s="286" t="n">
        <v>0</v>
      </c>
      <c r="I515" s="286" t="n">
        <v>2.12</v>
      </c>
      <c r="J515" s="286" t="n">
        <v>259</v>
      </c>
      <c r="K515" s="286" t="n">
        <v>0</v>
      </c>
      <c r="L515" s="286" t="n">
        <v>0</v>
      </c>
      <c r="M515" s="286" t="inlineStr">
        <is>
          <t>EQ-L&amp;MC</t>
        </is>
      </c>
    </row>
    <row r="516">
      <c r="A516" s="287" t="inlineStr">
        <is>
          <t>TRUSTMF Multi Cap Fund - Regular Plan</t>
        </is>
      </c>
      <c r="B516" s="286" t="n">
        <v>0</v>
      </c>
      <c r="C516" s="286" t="n">
        <v>0</v>
      </c>
      <c r="D516" s="286" t="n">
        <v>0</v>
      </c>
      <c r="E516" s="286" t="n">
        <v>0</v>
      </c>
      <c r="F516" s="286" t="n">
        <v>0</v>
      </c>
      <c r="G516" s="286" t="n">
        <v>0</v>
      </c>
      <c r="H516" s="286" t="n">
        <v>0</v>
      </c>
      <c r="I516" s="286" t="n">
        <v>0</v>
      </c>
      <c r="J516" s="286" t="n">
        <v>0</v>
      </c>
      <c r="K516" s="286" t="n">
        <v>0</v>
      </c>
      <c r="L516" s="286" t="n">
        <v>0</v>
      </c>
      <c r="M516" s="286" t="inlineStr">
        <is>
          <t>EQ-LC</t>
        </is>
      </c>
    </row>
    <row r="517">
      <c r="A517" s="287" t="inlineStr">
        <is>
          <t>TRUSTMF Small Cap Fund - Regular Plan</t>
        </is>
      </c>
      <c r="B517" s="286" t="n">
        <v>0</v>
      </c>
      <c r="C517" s="286" t="n">
        <v>0</v>
      </c>
      <c r="D517" s="286" t="n">
        <v>0</v>
      </c>
      <c r="E517" s="286" t="n">
        <v>0</v>
      </c>
      <c r="F517" s="286" t="n">
        <v>0</v>
      </c>
      <c r="G517" s="286" t="n">
        <v>0</v>
      </c>
      <c r="H517" s="286" t="n">
        <v>0</v>
      </c>
      <c r="I517" s="286" t="n">
        <v>2.17</v>
      </c>
      <c r="J517" s="286" t="n">
        <v>0</v>
      </c>
      <c r="K517" s="286" t="n">
        <v>0</v>
      </c>
      <c r="L517" s="286" t="n">
        <v>0</v>
      </c>
      <c r="M517" s="286" t="inlineStr">
        <is>
          <t>EQ-THEMATIC</t>
        </is>
      </c>
    </row>
    <row r="518">
      <c r="A518" s="287" t="inlineStr">
        <is>
          <t>Unifi Dynamic Asset Allocation Fund - Regular Plan</t>
        </is>
      </c>
      <c r="B518" s="286" t="n">
        <v>0</v>
      </c>
      <c r="C518" s="286" t="n">
        <v>0</v>
      </c>
      <c r="D518" s="286" t="n">
        <v>0</v>
      </c>
      <c r="E518" s="286" t="n">
        <v>0</v>
      </c>
      <c r="F518" s="286" t="n">
        <v>0</v>
      </c>
      <c r="G518" s="286" t="n">
        <v>0</v>
      </c>
      <c r="H518" s="286" t="n">
        <v>0</v>
      </c>
      <c r="I518" s="286" t="n">
        <v>1.52</v>
      </c>
      <c r="J518" s="286" t="n">
        <v>0</v>
      </c>
      <c r="K518" s="286" t="n">
        <v>0</v>
      </c>
      <c r="L518" s="286" t="n">
        <v>0</v>
      </c>
      <c r="M518" s="286" t="inlineStr">
        <is>
          <t>EQ-MC</t>
        </is>
      </c>
    </row>
    <row r="519">
      <c r="A519" s="287" t="inlineStr">
        <is>
          <t>Unifi Flexi Cap Fund - Regular Plan</t>
        </is>
      </c>
      <c r="B519" s="286" t="n">
        <v>0</v>
      </c>
      <c r="C519" s="286" t="n">
        <v>0</v>
      </c>
      <c r="D519" s="286" t="n">
        <v>0</v>
      </c>
      <c r="E519" s="286" t="n">
        <v>0</v>
      </c>
      <c r="F519" s="286" t="n">
        <v>0</v>
      </c>
      <c r="G519" s="286" t="n">
        <v>0</v>
      </c>
      <c r="H519" s="286" t="n">
        <v>0</v>
      </c>
      <c r="I519" s="286" t="n">
        <v>0</v>
      </c>
      <c r="J519" s="286" t="n">
        <v>0</v>
      </c>
      <c r="K519" s="286" t="n">
        <v>0</v>
      </c>
      <c r="L519" s="286" t="n">
        <v>0</v>
      </c>
      <c r="M519" s="286" t="inlineStr">
        <is>
          <t>EQ-THEMATIC</t>
        </is>
      </c>
    </row>
    <row r="520">
      <c r="A520" s="287" t="inlineStr">
        <is>
          <t>Union Active Momentum Fund - Regular Plan</t>
        </is>
      </c>
      <c r="B520" s="286" t="n">
        <v>0</v>
      </c>
      <c r="C520" s="286" t="n">
        <v>0</v>
      </c>
      <c r="D520" s="286" t="n">
        <v>0</v>
      </c>
      <c r="E520" s="286" t="n">
        <v>0</v>
      </c>
      <c r="F520" s="286" t="n">
        <v>0</v>
      </c>
      <c r="G520" s="286" t="n">
        <v>0</v>
      </c>
      <c r="H520" s="286" t="n">
        <v>0</v>
      </c>
      <c r="I520" s="286" t="n">
        <v>2.44</v>
      </c>
      <c r="J520" s="286" t="n">
        <v>0</v>
      </c>
      <c r="K520" s="286" t="n">
        <v>0</v>
      </c>
      <c r="L520" s="286" t="n">
        <v>0</v>
      </c>
      <c r="M520" s="286" t="inlineStr">
        <is>
          <t>HY-MAA</t>
        </is>
      </c>
    </row>
    <row r="521">
      <c r="A521" s="287" t="inlineStr">
        <is>
          <t>Union Aggressive Hybrid Fund - Regular Plan</t>
        </is>
      </c>
      <c r="B521" s="286" t="n">
        <v>6.57</v>
      </c>
      <c r="C521" s="286" t="n">
        <v>16.84</v>
      </c>
      <c r="D521" s="286" t="n">
        <v>0</v>
      </c>
      <c r="E521" s="286" t="n">
        <v>0</v>
      </c>
      <c r="F521" s="286" t="n">
        <v>0.74</v>
      </c>
      <c r="G521" s="286" t="n">
        <v>1.14</v>
      </c>
      <c r="H521" s="286" t="n">
        <v>-0.46</v>
      </c>
      <c r="I521" s="286" t="n">
        <v>2.37</v>
      </c>
      <c r="J521" s="286" t="n">
        <v>65</v>
      </c>
      <c r="K521" s="286" t="n">
        <v>0.88</v>
      </c>
      <c r="L521" s="286" t="n">
        <v>10.76</v>
      </c>
      <c r="M521" s="286" t="inlineStr">
        <is>
          <t>EQ-THEMATIC</t>
        </is>
      </c>
    </row>
    <row r="522">
      <c r="A522" s="287" t="inlineStr">
        <is>
          <t>Union Balanced Advantage Fund - Regular Plan</t>
        </is>
      </c>
      <c r="B522" s="286" t="n">
        <v>4.87</v>
      </c>
      <c r="C522" s="286" t="n">
        <v>12.31</v>
      </c>
      <c r="D522" s="286" t="n">
        <v>12.57</v>
      </c>
      <c r="E522" s="286" t="n">
        <v>0</v>
      </c>
      <c r="F522" s="286" t="n">
        <v>0.61</v>
      </c>
      <c r="G522" s="286" t="n">
        <v>0.91</v>
      </c>
      <c r="H522" s="286" t="n">
        <v>-0.97</v>
      </c>
      <c r="I522" s="286" t="n">
        <v>2.15</v>
      </c>
      <c r="J522" s="286" t="n">
        <v>451</v>
      </c>
      <c r="K522" s="286" t="n">
        <v>0.67</v>
      </c>
      <c r="L522" s="286" t="n">
        <v>7.08</v>
      </c>
      <c r="M522" s="286" t="inlineStr">
        <is>
          <t>EQ-SC</t>
        </is>
      </c>
    </row>
    <row r="523">
      <c r="A523" s="287" t="inlineStr">
        <is>
          <t>Union Business Cycle Fund - Regular Plan</t>
        </is>
      </c>
      <c r="B523" s="286" t="n">
        <v>-0.62</v>
      </c>
      <c r="C523" s="286" t="n">
        <v>0</v>
      </c>
      <c r="D523" s="286" t="n">
        <v>0</v>
      </c>
      <c r="E523" s="286" t="n">
        <v>0</v>
      </c>
      <c r="F523" s="286" t="n">
        <v>0</v>
      </c>
      <c r="G523" s="286" t="n">
        <v>0</v>
      </c>
      <c r="H523" s="286" t="n">
        <v>0</v>
      </c>
      <c r="I523" s="286" t="n">
        <v>2.36</v>
      </c>
      <c r="J523" s="286" t="n">
        <v>194</v>
      </c>
      <c r="K523" s="286" t="n">
        <v>0</v>
      </c>
      <c r="L523" s="286" t="n">
        <v>0</v>
      </c>
      <c r="M523" s="286" t="inlineStr">
        <is>
          <t>EQ-THEMATIC</t>
        </is>
      </c>
    </row>
    <row r="524">
      <c r="A524" s="287" t="inlineStr">
        <is>
          <t>Union Children's Fund - Regular Plan</t>
        </is>
      </c>
      <c r="B524" s="286" t="n">
        <v>7.16</v>
      </c>
      <c r="C524" s="286" t="n">
        <v>0</v>
      </c>
      <c r="D524" s="286" t="n">
        <v>0</v>
      </c>
      <c r="E524" s="286" t="n">
        <v>0</v>
      </c>
      <c r="F524" s="286" t="n">
        <v>0</v>
      </c>
      <c r="G524" s="286" t="n">
        <v>0</v>
      </c>
      <c r="H524" s="286" t="n">
        <v>0</v>
      </c>
      <c r="I524" s="286" t="n">
        <v>2.42</v>
      </c>
      <c r="J524" s="286" t="n">
        <v>82</v>
      </c>
      <c r="K524" s="286" t="n">
        <v>0</v>
      </c>
      <c r="L524" s="286" t="n">
        <v>0</v>
      </c>
      <c r="M524" s="286" t="inlineStr">
        <is>
          <t>HY-MAA</t>
        </is>
      </c>
    </row>
    <row r="525">
      <c r="A525" s="287" t="inlineStr">
        <is>
          <t>Union Flexi Cap Fund</t>
        </is>
      </c>
      <c r="B525" s="286" t="n">
        <v>5.1</v>
      </c>
      <c r="C525" s="286" t="n">
        <v>20.5</v>
      </c>
      <c r="D525" s="286" t="n">
        <v>22.62</v>
      </c>
      <c r="E525" s="286" t="n">
        <v>12.43</v>
      </c>
      <c r="F525" s="286" t="n">
        <v>0.78</v>
      </c>
      <c r="G525" s="286" t="n">
        <v>1.07</v>
      </c>
      <c r="H525" s="286" t="n">
        <v>0.25</v>
      </c>
      <c r="I525" s="286" t="n">
        <v>2.02</v>
      </c>
      <c r="J525" s="286" t="n">
        <v>106</v>
      </c>
      <c r="K525" s="286" t="n">
        <v>0.9</v>
      </c>
      <c r="L525" s="286" t="n">
        <v>13.52</v>
      </c>
      <c r="M525" s="286" t="inlineStr">
        <is>
          <t>HY-MAA</t>
        </is>
      </c>
    </row>
    <row r="526">
      <c r="A526" s="287" t="inlineStr">
        <is>
          <t>Union Focused Fund - Regular Plan</t>
        </is>
      </c>
      <c r="B526" s="286" t="n">
        <v>1.92</v>
      </c>
      <c r="C526" s="286" t="n">
        <v>16.88</v>
      </c>
      <c r="D526" s="286" t="n">
        <v>20.08</v>
      </c>
      <c r="E526" s="286" t="n">
        <v>0</v>
      </c>
      <c r="F526" s="286" t="n">
        <v>0.6</v>
      </c>
      <c r="G526" s="286" t="n">
        <v>0.85</v>
      </c>
      <c r="H526" s="286" t="n">
        <v>-1.86</v>
      </c>
      <c r="I526" s="286" t="n">
        <v>2.49</v>
      </c>
      <c r="J526" s="286" t="n">
        <v>126</v>
      </c>
      <c r="K526" s="286" t="n">
        <v>0.84</v>
      </c>
      <c r="L526" s="286" t="n">
        <v>12.93</v>
      </c>
      <c r="M526" s="286" t="inlineStr">
        <is>
          <t>EQ-SC</t>
        </is>
      </c>
    </row>
    <row r="527">
      <c r="A527" s="287" t="inlineStr">
        <is>
          <t>Union Innovation &amp; Opportunities Fund - Regular Plan</t>
        </is>
      </c>
      <c r="B527" s="286" t="n">
        <v>7.49</v>
      </c>
      <c r="C527" s="286" t="n">
        <v>0</v>
      </c>
      <c r="D527" s="286" t="n">
        <v>0</v>
      </c>
      <c r="E527" s="286" t="n">
        <v>0</v>
      </c>
      <c r="F527" s="286" t="n">
        <v>0</v>
      </c>
      <c r="G527" s="286" t="n">
        <v>0</v>
      </c>
      <c r="H527" s="286" t="n">
        <v>0</v>
      </c>
      <c r="I527" s="286" t="n">
        <v>2.21</v>
      </c>
      <c r="J527" s="286" t="n">
        <v>55</v>
      </c>
      <c r="K527" s="286" t="n">
        <v>0</v>
      </c>
      <c r="L527" s="286" t="n">
        <v>0</v>
      </c>
      <c r="M527" s="286" t="inlineStr">
        <is>
          <t>EQ-THEMATIC</t>
        </is>
      </c>
    </row>
    <row r="528">
      <c r="A528" s="287" t="inlineStr">
        <is>
          <t>Union Largecap Fund - Regular Plan</t>
        </is>
      </c>
      <c r="B528" s="286" t="n">
        <v>2.05</v>
      </c>
      <c r="C528" s="286" t="n">
        <v>17.61</v>
      </c>
      <c r="D528" s="286" t="n">
        <v>19.24</v>
      </c>
      <c r="E528" s="286" t="n">
        <v>0</v>
      </c>
      <c r="F528" s="286" t="n">
        <v>0.62</v>
      </c>
      <c r="G528" s="286" t="n">
        <v>1.08</v>
      </c>
      <c r="H528" s="286" t="n">
        <v>-1.41</v>
      </c>
      <c r="I528" s="286" t="n">
        <v>2.49</v>
      </c>
      <c r="J528" s="286" t="n">
        <v>130</v>
      </c>
      <c r="K528" s="286" t="n">
        <v>0.92</v>
      </c>
      <c r="L528" s="286" t="n">
        <v>12.93</v>
      </c>
      <c r="M528" s="286" t="inlineStr">
        <is>
          <t>HY-AR</t>
        </is>
      </c>
    </row>
    <row r="529">
      <c r="A529" s="287" t="inlineStr">
        <is>
          <t>Union Large &amp; Midcap Fund - Regular Plan</t>
        </is>
      </c>
      <c r="B529" s="286" t="n">
        <v>3.42</v>
      </c>
      <c r="C529" s="286" t="n">
        <v>20.72</v>
      </c>
      <c r="D529" s="286" t="n">
        <v>22.59</v>
      </c>
      <c r="E529" s="286" t="n">
        <v>0</v>
      </c>
      <c r="F529" s="286" t="n">
        <v>0.73</v>
      </c>
      <c r="G529" s="286" t="n">
        <v>0.92</v>
      </c>
      <c r="H529" s="286" t="n">
        <v>0.42</v>
      </c>
      <c r="I529" s="286" t="n">
        <v>2.27</v>
      </c>
      <c r="J529" s="286" t="n">
        <v>164</v>
      </c>
      <c r="K529" s="286" t="n">
        <v>0.92</v>
      </c>
      <c r="L529" s="286" t="n">
        <v>14.43</v>
      </c>
      <c r="M529" s="286" t="inlineStr">
        <is>
          <t>HY-DAA</t>
        </is>
      </c>
    </row>
    <row r="530">
      <c r="A530" s="287" t="inlineStr">
        <is>
          <t>Union Midcap Fund - Regular Plan</t>
        </is>
      </c>
      <c r="B530" s="286" t="n">
        <v>5.03</v>
      </c>
      <c r="C530" s="286" t="n">
        <v>24.92</v>
      </c>
      <c r="D530" s="286" t="n">
        <v>29.49</v>
      </c>
      <c r="E530" s="286" t="n">
        <v>0</v>
      </c>
      <c r="F530" s="286" t="n">
        <v>0.85</v>
      </c>
      <c r="G530" s="286" t="n">
        <v>1.13</v>
      </c>
      <c r="H530" s="286" t="n">
        <v>-2.84</v>
      </c>
      <c r="I530" s="286" t="n">
        <v>2.1</v>
      </c>
      <c r="J530" s="286" t="n">
        <v>168</v>
      </c>
      <c r="K530" s="286" t="n">
        <v>0.9399999999999999</v>
      </c>
      <c r="L530" s="286" t="n">
        <v>16.73</v>
      </c>
      <c r="M530" s="286" t="inlineStr">
        <is>
          <t>EQ-FLX</t>
        </is>
      </c>
    </row>
    <row r="531">
      <c r="A531" s="287" t="inlineStr">
        <is>
          <t>Union Multi Asset Allocation Fund - Regular Plan</t>
        </is>
      </c>
      <c r="B531" s="286" t="n">
        <v>0</v>
      </c>
      <c r="C531" s="286" t="n">
        <v>0</v>
      </c>
      <c r="D531" s="286" t="n">
        <v>0</v>
      </c>
      <c r="E531" s="286" t="n">
        <v>0</v>
      </c>
      <c r="F531" s="286" t="n">
        <v>0</v>
      </c>
      <c r="G531" s="286" t="n">
        <v>0</v>
      </c>
      <c r="H531" s="286" t="n">
        <v>0</v>
      </c>
      <c r="I531" s="286" t="n">
        <v>2.2</v>
      </c>
      <c r="J531" s="286" t="n">
        <v>0</v>
      </c>
      <c r="K531" s="286" t="n">
        <v>0</v>
      </c>
      <c r="L531" s="286" t="n">
        <v>0</v>
      </c>
      <c r="M531" s="286" t="inlineStr">
        <is>
          <t>EQ-LC</t>
        </is>
      </c>
    </row>
    <row r="532">
      <c r="A532" s="287" t="inlineStr">
        <is>
          <t>Union Multicap Fund - Regular Plan</t>
        </is>
      </c>
      <c r="B532" s="286" t="n">
        <v>4.02</v>
      </c>
      <c r="C532" s="286" t="n">
        <v>0</v>
      </c>
      <c r="D532" s="286" t="n">
        <v>0</v>
      </c>
      <c r="E532" s="286" t="n">
        <v>0</v>
      </c>
      <c r="F532" s="286" t="n">
        <v>0</v>
      </c>
      <c r="G532" s="286" t="n">
        <v>0</v>
      </c>
      <c r="H532" s="286" t="n">
        <v>0</v>
      </c>
      <c r="I532" s="286" t="n">
        <v>2.19</v>
      </c>
      <c r="J532" s="286" t="n">
        <v>125</v>
      </c>
      <c r="K532" s="286" t="n">
        <v>0</v>
      </c>
      <c r="L532" s="286" t="n">
        <v>0</v>
      </c>
      <c r="M532" s="286" t="inlineStr">
        <is>
          <t>EQ-L&amp;MC</t>
        </is>
      </c>
    </row>
    <row r="533">
      <c r="A533" s="287" t="inlineStr">
        <is>
          <t>Union Retirement Fund - Regular Plan</t>
        </is>
      </c>
      <c r="B533" s="286" t="n">
        <v>5.14</v>
      </c>
      <c r="C533" s="286" t="n">
        <v>0</v>
      </c>
      <c r="D533" s="286" t="n">
        <v>0</v>
      </c>
      <c r="E533" s="286" t="n">
        <v>0</v>
      </c>
      <c r="F533" s="286" t="n">
        <v>0</v>
      </c>
      <c r="G533" s="286" t="n">
        <v>0</v>
      </c>
      <c r="H533" s="286" t="n">
        <v>0</v>
      </c>
      <c r="I533" s="286" t="n">
        <v>2.37</v>
      </c>
      <c r="J533" s="286" t="n">
        <v>49</v>
      </c>
      <c r="K533" s="286" t="n">
        <v>0</v>
      </c>
      <c r="L533" s="286" t="n">
        <v>0</v>
      </c>
      <c r="M533" s="286" t="inlineStr">
        <is>
          <t>HY-MAA</t>
        </is>
      </c>
    </row>
    <row r="534">
      <c r="A534" s="287" t="inlineStr">
        <is>
          <t>Union Small Cap Fund - Regular Plan</t>
        </is>
      </c>
      <c r="B534" s="286" t="n">
        <v>1.6</v>
      </c>
      <c r="C534" s="286" t="n">
        <v>22.96</v>
      </c>
      <c r="D534" s="286" t="n">
        <v>30.68</v>
      </c>
      <c r="E534" s="286" t="n">
        <v>14.63</v>
      </c>
      <c r="F534" s="286" t="n">
        <v>0.71</v>
      </c>
      <c r="G534" s="286" t="n">
        <v>0.95</v>
      </c>
      <c r="H534" s="286" t="n">
        <v>-2.53</v>
      </c>
      <c r="I534" s="286" t="n">
        <v>2.12</v>
      </c>
      <c r="J534" s="286" t="n">
        <v>105</v>
      </c>
      <c r="K534" s="286" t="n">
        <v>0.85</v>
      </c>
      <c r="L534" s="286" t="n">
        <v>18.13</v>
      </c>
      <c r="M534" s="286" t="inlineStr">
        <is>
          <t>EQ-MLC</t>
        </is>
      </c>
    </row>
    <row r="535">
      <c r="A535" s="287" t="inlineStr">
        <is>
          <t>UTI Aggressive Hybrid Fund - Regular Plan</t>
        </is>
      </c>
      <c r="B535" s="286" t="n">
        <v>7.56</v>
      </c>
      <c r="C535" s="286" t="n">
        <v>20.62</v>
      </c>
      <c r="D535" s="286" t="n">
        <v>21.9</v>
      </c>
      <c r="E535" s="286" t="n">
        <v>12.43</v>
      </c>
      <c r="F535" s="286" t="n">
        <v>1.11</v>
      </c>
      <c r="G535" s="286" t="n">
        <v>1.7</v>
      </c>
      <c r="H535" s="286" t="n">
        <v>3.21</v>
      </c>
      <c r="I535" s="286" t="n">
        <v>1.88</v>
      </c>
      <c r="J535" s="286" t="n">
        <v>31</v>
      </c>
      <c r="K535" s="286" t="n">
        <v>0.83</v>
      </c>
      <c r="L535" s="286" t="n">
        <v>10.1</v>
      </c>
      <c r="M535" s="286" t="inlineStr">
        <is>
          <t>EQ-THEMATIC</t>
        </is>
      </c>
    </row>
    <row r="536">
      <c r="A536" s="287" t="inlineStr">
        <is>
          <t>UTI Balanced Advantage Fund - Regular Plan</t>
        </is>
      </c>
      <c r="B536" s="286" t="n">
        <v>9.300000000000001</v>
      </c>
      <c r="C536" s="286" t="n">
        <v>0</v>
      </c>
      <c r="D536" s="286" t="n">
        <v>0</v>
      </c>
      <c r="E536" s="286" t="n">
        <v>0</v>
      </c>
      <c r="F536" s="286" t="n">
        <v>0</v>
      </c>
      <c r="G536" s="286" t="n">
        <v>0</v>
      </c>
      <c r="H536" s="286" t="n">
        <v>0</v>
      </c>
      <c r="I536" s="286" t="n">
        <v>1.92</v>
      </c>
      <c r="J536" s="286" t="n">
        <v>223</v>
      </c>
      <c r="K536" s="286" t="n">
        <v>0</v>
      </c>
      <c r="L536" s="286" t="n">
        <v>0</v>
      </c>
      <c r="M536" s="286" t="inlineStr">
        <is>
          <t>HY-AR</t>
        </is>
      </c>
    </row>
    <row r="537">
      <c r="A537" s="287" t="inlineStr">
        <is>
          <t>UTI Children's Equity Fund - Regular Plan</t>
        </is>
      </c>
      <c r="B537" s="286" t="n">
        <v>3.58</v>
      </c>
      <c r="C537" s="286" t="n">
        <v>18.22</v>
      </c>
      <c r="D537" s="286" t="n">
        <v>20.34</v>
      </c>
      <c r="E537" s="286" t="n">
        <v>12.44</v>
      </c>
      <c r="F537" s="286" t="n">
        <v>0.61</v>
      </c>
      <c r="G537" s="286" t="n">
        <v>0.99</v>
      </c>
      <c r="H537" s="286" t="n">
        <v>-2.16</v>
      </c>
      <c r="I537" s="286" t="n">
        <v>2.25</v>
      </c>
      <c r="J537" s="286" t="n">
        <v>28</v>
      </c>
      <c r="K537" s="286" t="n">
        <v>0.93</v>
      </c>
      <c r="L537" s="286" t="n">
        <v>14.08</v>
      </c>
      <c r="M537" s="286" t="inlineStr">
        <is>
          <t>EQ-THEMATIC</t>
        </is>
      </c>
    </row>
    <row r="538">
      <c r="A538" s="287" t="inlineStr">
        <is>
          <t>UTI Children's Hybrid Fund - Regular Plan</t>
        </is>
      </c>
      <c r="B538" s="286" t="n">
        <v>7.11</v>
      </c>
      <c r="C538" s="286" t="n">
        <v>12.05</v>
      </c>
      <c r="D538" s="286" t="n">
        <v>12.6</v>
      </c>
      <c r="E538" s="286" t="n">
        <v>8.859999999999999</v>
      </c>
      <c r="F538" s="286" t="n">
        <v>0.7</v>
      </c>
      <c r="G538" s="286" t="n">
        <v>1.09</v>
      </c>
      <c r="H538" s="286" t="n">
        <v>-0.61</v>
      </c>
      <c r="I538" s="286" t="n">
        <v>1.73</v>
      </c>
      <c r="J538" s="286" t="n">
        <v>35</v>
      </c>
      <c r="K538" s="286" t="n">
        <v>0.62</v>
      </c>
      <c r="L538" s="286" t="n">
        <v>6.22</v>
      </c>
      <c r="M538" s="286" t="inlineStr">
        <is>
          <t>HY-DAA</t>
        </is>
      </c>
    </row>
    <row r="539">
      <c r="A539" s="287" t="inlineStr">
        <is>
          <t>UTI Conservative Hybrid Fund - Regular Plan</t>
        </is>
      </c>
      <c r="B539" s="286" t="n">
        <v>8.619999999999999</v>
      </c>
      <c r="C539" s="286" t="n">
        <v>11.5</v>
      </c>
      <c r="D539" s="286" t="n">
        <v>11.73</v>
      </c>
      <c r="E539" s="286" t="n">
        <v>8.43</v>
      </c>
      <c r="F539" s="286" t="n">
        <v>1</v>
      </c>
      <c r="G539" s="286" t="n">
        <v>1.65</v>
      </c>
      <c r="H539" s="286" t="n">
        <v>0.44</v>
      </c>
      <c r="I539" s="286" t="n">
        <v>1.82</v>
      </c>
      <c r="J539" s="286" t="n">
        <v>31</v>
      </c>
      <c r="K539" s="286" t="n">
        <v>1.01</v>
      </c>
      <c r="L539" s="286" t="n">
        <v>4.12</v>
      </c>
      <c r="M539" s="286" t="inlineStr">
        <is>
          <t>EQ-LC</t>
        </is>
      </c>
    </row>
    <row r="540">
      <c r="A540" s="287" t="inlineStr">
        <is>
          <t>UTI Dividend Yield Fund - Regular Plan</t>
        </is>
      </c>
      <c r="B540" s="286" t="n">
        <v>5.95</v>
      </c>
      <c r="C540" s="286" t="n">
        <v>24.25</v>
      </c>
      <c r="D540" s="286" t="n">
        <v>23.83</v>
      </c>
      <c r="E540" s="286" t="n">
        <v>14.1</v>
      </c>
      <c r="F540" s="286" t="n">
        <v>0.9399999999999999</v>
      </c>
      <c r="G540" s="286" t="n">
        <v>1.43</v>
      </c>
      <c r="H540" s="286" t="n">
        <v>2.82</v>
      </c>
      <c r="I540" s="286" t="n">
        <v>2</v>
      </c>
      <c r="J540" s="286" t="n">
        <v>25</v>
      </c>
      <c r="K540" s="286" t="n">
        <v>0.93</v>
      </c>
      <c r="L540" s="286" t="n">
        <v>14.45</v>
      </c>
      <c r="M540" s="286" t="inlineStr">
        <is>
          <t>EQ-LC</t>
        </is>
      </c>
    </row>
    <row r="541">
      <c r="A541" s="287" t="inlineStr">
        <is>
          <t>UTI Flexi Cap Fund - Regular Plan</t>
        </is>
      </c>
      <c r="B541" s="286" t="n">
        <v>9.210000000000001</v>
      </c>
      <c r="C541" s="286" t="n">
        <v>15.31</v>
      </c>
      <c r="D541" s="286" t="n">
        <v>19.02</v>
      </c>
      <c r="E541" s="286" t="n">
        <v>12.45</v>
      </c>
      <c r="F541" s="286" t="n">
        <v>0.44</v>
      </c>
      <c r="G541" s="286" t="n">
        <v>0.71</v>
      </c>
      <c r="H541" s="286" t="n">
        <v>-3.97</v>
      </c>
      <c r="I541" s="286" t="n">
        <v>1.66</v>
      </c>
      <c r="J541" s="286" t="n">
        <v>10</v>
      </c>
      <c r="K541" s="286" t="n">
        <v>0.88</v>
      </c>
      <c r="L541" s="286" t="n">
        <v>13.97</v>
      </c>
      <c r="M541" s="286" t="inlineStr">
        <is>
          <t>HY-CH</t>
        </is>
      </c>
    </row>
    <row r="542">
      <c r="A542" s="287" t="inlineStr">
        <is>
          <t>UTI Focused Fund - Regular Plan</t>
        </is>
      </c>
      <c r="B542" s="286" t="n">
        <v>3.26</v>
      </c>
      <c r="C542" s="286" t="n">
        <v>20.1</v>
      </c>
      <c r="D542" s="286" t="n">
        <v>0</v>
      </c>
      <c r="E542" s="286" t="n">
        <v>0</v>
      </c>
      <c r="F542" s="286" t="n">
        <v>0.73</v>
      </c>
      <c r="G542" s="286" t="n">
        <v>1.17</v>
      </c>
      <c r="H542" s="286" t="n">
        <v>-0.29</v>
      </c>
      <c r="I542" s="286" t="n">
        <v>1.96</v>
      </c>
      <c r="J542" s="286" t="n">
        <v>23</v>
      </c>
      <c r="K542" s="286" t="n">
        <v>0.93</v>
      </c>
      <c r="L542" s="286" t="n">
        <v>14.3</v>
      </c>
      <c r="M542" s="286" t="inlineStr">
        <is>
          <t>HY-AH</t>
        </is>
      </c>
    </row>
    <row r="543">
      <c r="A543" s="287" t="inlineStr">
        <is>
          <t>UTI India Consumer Fund - Regular Plan</t>
        </is>
      </c>
      <c r="B543" s="286" t="n">
        <v>2.69</v>
      </c>
      <c r="C543" s="286" t="n">
        <v>18.11</v>
      </c>
      <c r="D543" s="286" t="n">
        <v>18.39</v>
      </c>
      <c r="E543" s="286" t="n">
        <v>11.19</v>
      </c>
      <c r="F543" s="286" t="n">
        <v>0.57</v>
      </c>
      <c r="G543" s="286" t="n">
        <v>0.83</v>
      </c>
      <c r="H543" s="286" t="n">
        <v>-3.17</v>
      </c>
      <c r="I543" s="286" t="n">
        <v>2.45</v>
      </c>
      <c r="J543" s="286" t="n">
        <v>34</v>
      </c>
      <c r="K543" s="286" t="n">
        <v>0.84</v>
      </c>
      <c r="L543" s="286" t="n">
        <v>15.53</v>
      </c>
      <c r="M543" s="286" t="inlineStr">
        <is>
          <t>EQ-THEMATIC</t>
        </is>
      </c>
    </row>
    <row r="544">
      <c r="A544" s="287" t="inlineStr">
        <is>
          <t>UTI Innovation Fund - Regular Plan</t>
        </is>
      </c>
      <c r="B544" s="286" t="n">
        <v>1.72</v>
      </c>
      <c r="C544" s="286" t="n">
        <v>0</v>
      </c>
      <c r="D544" s="286" t="n">
        <v>0</v>
      </c>
      <c r="E544" s="286" t="n">
        <v>0</v>
      </c>
      <c r="F544" s="286" t="n">
        <v>0</v>
      </c>
      <c r="G544" s="286" t="n">
        <v>0</v>
      </c>
      <c r="H544" s="286" t="n">
        <v>0</v>
      </c>
      <c r="I544" s="286" t="n">
        <v>2.29</v>
      </c>
      <c r="J544" s="286" t="n">
        <v>12</v>
      </c>
      <c r="K544" s="286" t="n">
        <v>0</v>
      </c>
      <c r="L544" s="286" t="n">
        <v>0</v>
      </c>
      <c r="M544" s="286" t="inlineStr">
        <is>
          <t>EQ-FLX</t>
        </is>
      </c>
    </row>
    <row r="545">
      <c r="A545" s="287" t="inlineStr">
        <is>
          <t>UTI Large Cap Fund - Regular Plan</t>
        </is>
      </c>
      <c r="B545" s="286" t="n">
        <v>5.51</v>
      </c>
      <c r="C545" s="286" t="n">
        <v>17.18</v>
      </c>
      <c r="D545" s="286" t="n">
        <v>19.61</v>
      </c>
      <c r="E545" s="286" t="n">
        <v>11.95</v>
      </c>
      <c r="F545" s="286" t="n">
        <v>0.6</v>
      </c>
      <c r="G545" s="286" t="n">
        <v>0.97</v>
      </c>
      <c r="H545" s="286" t="n">
        <v>-1.71</v>
      </c>
      <c r="I545" s="286" t="n">
        <v>1.75</v>
      </c>
      <c r="J545" s="286" t="n">
        <v>36</v>
      </c>
      <c r="K545" s="286" t="n">
        <v>0.91</v>
      </c>
      <c r="L545" s="286" t="n">
        <v>12.76</v>
      </c>
      <c r="M545" s="286" t="inlineStr">
        <is>
          <t>EQ-FLX</t>
        </is>
      </c>
    </row>
    <row r="546">
      <c r="A546" s="287" t="inlineStr">
        <is>
          <t>UTI Large &amp; Mid Cap Fund - Regular Plan</t>
        </is>
      </c>
      <c r="B546" s="286" t="n">
        <v>8.26</v>
      </c>
      <c r="C546" s="286" t="n">
        <v>27.12</v>
      </c>
      <c r="D546" s="286" t="n">
        <v>28.01</v>
      </c>
      <c r="E546" s="286" t="n">
        <v>14.02</v>
      </c>
      <c r="F546" s="286" t="n">
        <v>1.15</v>
      </c>
      <c r="G546" s="286" t="n">
        <v>1.75</v>
      </c>
      <c r="H546" s="286" t="n">
        <v>5.69</v>
      </c>
      <c r="I546" s="286" t="n">
        <v>1.93</v>
      </c>
      <c r="J546" s="286" t="n">
        <v>33</v>
      </c>
      <c r="K546" s="286" t="n">
        <v>0.95</v>
      </c>
      <c r="L546" s="286" t="n">
        <v>14.07</v>
      </c>
      <c r="M546" s="286" t="inlineStr">
        <is>
          <t>EQ-THEMATIC</t>
        </is>
      </c>
    </row>
    <row r="547">
      <c r="A547" s="287" t="inlineStr">
        <is>
          <t>UTI Mid Cap Fund - Regular Plan</t>
        </is>
      </c>
      <c r="B547" s="286" t="n">
        <v>3.54</v>
      </c>
      <c r="C547" s="286" t="n">
        <v>23.13</v>
      </c>
      <c r="D547" s="286" t="n">
        <v>26.64</v>
      </c>
      <c r="E547" s="286" t="n">
        <v>14.52</v>
      </c>
      <c r="F547" s="286" t="n">
        <v>0.8100000000000001</v>
      </c>
      <c r="G547" s="286" t="n">
        <v>1.16</v>
      </c>
      <c r="H547" s="286" t="n">
        <v>-3.74</v>
      </c>
      <c r="I547" s="286" t="n">
        <v>1.76</v>
      </c>
      <c r="J547" s="286" t="n">
        <v>34</v>
      </c>
      <c r="K547" s="286" t="n">
        <v>0.9399999999999999</v>
      </c>
      <c r="L547" s="286" t="n">
        <v>16.37</v>
      </c>
      <c r="M547" s="286" t="inlineStr">
        <is>
          <t>EQ-L&amp;MC</t>
        </is>
      </c>
    </row>
    <row r="548">
      <c r="A548" s="287" t="inlineStr">
        <is>
          <t>UTI MNC Fund - Regular Plan</t>
        </is>
      </c>
      <c r="B548" s="286" t="n">
        <v>-2.13</v>
      </c>
      <c r="C548" s="286" t="n">
        <v>16.05</v>
      </c>
      <c r="D548" s="286" t="n">
        <v>15.38</v>
      </c>
      <c r="E548" s="286" t="n">
        <v>9.99</v>
      </c>
      <c r="F548" s="286" t="n">
        <v>0.57</v>
      </c>
      <c r="G548" s="286" t="n">
        <v>0.82</v>
      </c>
      <c r="H548" s="286" t="n">
        <v>-2.11</v>
      </c>
      <c r="I548" s="286" t="n">
        <v>2.04</v>
      </c>
      <c r="J548" s="286" t="n">
        <v>32</v>
      </c>
      <c r="K548" s="286" t="n">
        <v>0.84</v>
      </c>
      <c r="L548" s="286" t="n">
        <v>13.35</v>
      </c>
      <c r="M548" s="286" t="inlineStr">
        <is>
          <t>HY-AH</t>
        </is>
      </c>
    </row>
    <row r="549">
      <c r="A549" s="287" t="inlineStr">
        <is>
          <t>UTI Multi Asset Allocation Fund - Regular Plan</t>
        </is>
      </c>
      <c r="B549" s="286" t="n">
        <v>8.720000000000001</v>
      </c>
      <c r="C549" s="286" t="n">
        <v>22.61</v>
      </c>
      <c r="D549" s="286" t="n">
        <v>17.31</v>
      </c>
      <c r="E549" s="286" t="n">
        <v>10.31</v>
      </c>
      <c r="F549" s="286" t="n">
        <v>1.41</v>
      </c>
      <c r="G549" s="286" t="n">
        <v>2.02</v>
      </c>
      <c r="H549" s="286" t="n">
        <v>4.95</v>
      </c>
      <c r="I549" s="286" t="n">
        <v>1.74</v>
      </c>
      <c r="J549" s="286" t="n">
        <v>239</v>
      </c>
      <c r="K549" s="286" t="n">
        <v>0.86</v>
      </c>
      <c r="L549" s="286" t="n">
        <v>8.949999999999999</v>
      </c>
      <c r="M549" s="286" t="inlineStr">
        <is>
          <t>HY-CH</t>
        </is>
      </c>
    </row>
    <row r="550">
      <c r="A550" s="287" t="inlineStr">
        <is>
          <t>UTI Multi Cap Fund - Regular Plan</t>
        </is>
      </c>
      <c r="B550" s="286" t="n">
        <v>0</v>
      </c>
      <c r="C550" s="286" t="n">
        <v>0</v>
      </c>
      <c r="D550" s="286" t="n">
        <v>0</v>
      </c>
      <c r="E550" s="286" t="n">
        <v>0</v>
      </c>
      <c r="F550" s="286" t="n">
        <v>0</v>
      </c>
      <c r="G550" s="286" t="n">
        <v>0</v>
      </c>
      <c r="H550" s="286" t="n">
        <v>0</v>
      </c>
      <c r="I550" s="286" t="n">
        <v>2.16</v>
      </c>
      <c r="J550" s="286" t="n">
        <v>0</v>
      </c>
      <c r="K550" s="286" t="n">
        <v>0</v>
      </c>
      <c r="L550" s="286" t="n">
        <v>0</v>
      </c>
      <c r="M550" s="286" t="inlineStr">
        <is>
          <t>EQ-THEMATIC</t>
        </is>
      </c>
    </row>
    <row r="551">
      <c r="A551" s="287" t="inlineStr">
        <is>
          <t>UTI Nifty Next 50 Exchange Traded Fund</t>
        </is>
      </c>
      <c r="B551" s="286" t="n">
        <v>-3.39</v>
      </c>
      <c r="C551" s="286" t="n">
        <v>23.76</v>
      </c>
      <c r="D551" s="286" t="n">
        <v>22.12</v>
      </c>
      <c r="E551" s="286" t="n">
        <v>0</v>
      </c>
      <c r="F551" s="286" t="n">
        <v>0.73</v>
      </c>
      <c r="G551" s="286" t="n">
        <v>1.08</v>
      </c>
      <c r="H551" s="286" t="n">
        <v>0.85</v>
      </c>
      <c r="I551" s="286" t="n">
        <v>0.15</v>
      </c>
      <c r="J551" s="286" t="n">
        <v>35</v>
      </c>
      <c r="K551" s="286" t="n">
        <v>1.3</v>
      </c>
      <c r="L551" s="286" t="n">
        <v>19.55</v>
      </c>
      <c r="M551" s="286" t="inlineStr">
        <is>
          <t>EQ-MC</t>
        </is>
      </c>
    </row>
    <row r="552">
      <c r="A552" s="287" t="inlineStr">
        <is>
          <t>UTI Quant Fund - Regular Plan</t>
        </is>
      </c>
      <c r="B552" s="286" t="n">
        <v>0</v>
      </c>
      <c r="C552" s="286" t="n">
        <v>0</v>
      </c>
      <c r="D552" s="286" t="n">
        <v>0</v>
      </c>
      <c r="E552" s="286" t="n">
        <v>0</v>
      </c>
      <c r="F552" s="286" t="n">
        <v>0</v>
      </c>
      <c r="G552" s="286" t="n">
        <v>0</v>
      </c>
      <c r="H552" s="286" t="n">
        <v>0</v>
      </c>
      <c r="I552" s="286" t="n">
        <v>2.02</v>
      </c>
      <c r="J552" s="286" t="n">
        <v>11</v>
      </c>
      <c r="K552" s="286" t="n">
        <v>0</v>
      </c>
      <c r="L552" s="286" t="n">
        <v>0</v>
      </c>
      <c r="M552" s="286" t="inlineStr">
        <is>
          <t>HY-MAA</t>
        </is>
      </c>
    </row>
    <row r="553">
      <c r="A553" s="287" t="inlineStr">
        <is>
          <t>UTI Retirement Fund - Regular Plan</t>
        </is>
      </c>
      <c r="B553" s="286" t="n">
        <v>8.24</v>
      </c>
      <c r="C553" s="286" t="n">
        <v>14.58</v>
      </c>
      <c r="D553" s="286" t="n">
        <v>14.77</v>
      </c>
      <c r="E553" s="286" t="n">
        <v>9.73</v>
      </c>
      <c r="F553" s="286" t="n">
        <v>1.12</v>
      </c>
      <c r="G553" s="286" t="n">
        <v>1.73</v>
      </c>
      <c r="H553" s="286" t="n">
        <v>1.89</v>
      </c>
      <c r="I553" s="286" t="n">
        <v>1.66</v>
      </c>
      <c r="J553" s="286" t="n">
        <v>37</v>
      </c>
      <c r="K553" s="286" t="n">
        <v>0.6</v>
      </c>
      <c r="L553" s="286" t="n">
        <v>5.96</v>
      </c>
      <c r="M553" s="286" t="inlineStr">
        <is>
          <t>EQ-MLC</t>
        </is>
      </c>
    </row>
    <row r="554">
      <c r="A554" s="287" t="inlineStr">
        <is>
          <t>UTI Small Cap Fund - Regular Plan</t>
        </is>
      </c>
      <c r="B554" s="286" t="n">
        <v>8.359999999999999</v>
      </c>
      <c r="C554" s="286" t="n">
        <v>24.64</v>
      </c>
      <c r="D554" s="286" t="n">
        <v>0</v>
      </c>
      <c r="E554" s="286" t="n">
        <v>0</v>
      </c>
      <c r="F554" s="286" t="n">
        <v>0.82</v>
      </c>
      <c r="G554" s="286" t="n">
        <v>1.14</v>
      </c>
      <c r="H554" s="286" t="n">
        <v>-1.03</v>
      </c>
      <c r="I554" s="286" t="n">
        <v>1.86</v>
      </c>
      <c r="J554" s="286" t="n">
        <v>42</v>
      </c>
      <c r="K554" s="286" t="n">
        <v>0.83</v>
      </c>
      <c r="L554" s="286" t="n">
        <v>17.13</v>
      </c>
      <c r="M554" s="286" t="inlineStr">
        <is>
          <t>EQ-L&amp;MC</t>
        </is>
      </c>
    </row>
    <row r="555">
      <c r="A555" s="287" t="inlineStr">
        <is>
          <t>UTI Transportation and Logistics Fund - Regular Plan</t>
        </is>
      </c>
      <c r="B555" s="286" t="n">
        <v>-2.33</v>
      </c>
      <c r="C555" s="286" t="n">
        <v>24.64</v>
      </c>
      <c r="D555" s="286" t="n">
        <v>27.71</v>
      </c>
      <c r="E555" s="286" t="n">
        <v>11.98</v>
      </c>
      <c r="F555" s="286" t="n">
        <v>0.95</v>
      </c>
      <c r="G555" s="286" t="n">
        <v>1.35</v>
      </c>
      <c r="H555" s="286" t="n">
        <v>4.35</v>
      </c>
      <c r="I555" s="286" t="n">
        <v>1.94</v>
      </c>
      <c r="J555" s="286" t="n">
        <v>20</v>
      </c>
      <c r="K555" s="286" t="n">
        <v>0.98</v>
      </c>
      <c r="L555" s="286" t="n">
        <v>16.44</v>
      </c>
      <c r="M555" s="286" t="inlineStr">
        <is>
          <t>EQ-L&amp;MC</t>
        </is>
      </c>
    </row>
    <row r="556">
      <c r="A556" s="287" t="inlineStr">
        <is>
          <t>UTI Unit Linked Insurance Plan</t>
        </is>
      </c>
      <c r="B556" s="286" t="n">
        <v>10.14</v>
      </c>
      <c r="C556" s="286" t="n">
        <v>11.12</v>
      </c>
      <c r="D556" s="286" t="n">
        <v>11.68</v>
      </c>
      <c r="E556" s="286" t="n">
        <v>8.17</v>
      </c>
      <c r="F556" s="286" t="n">
        <v>0.5600000000000001</v>
      </c>
      <c r="G556" s="286" t="n">
        <v>0.89</v>
      </c>
      <c r="H556" s="286" t="n">
        <v>-0.88</v>
      </c>
      <c r="I556" s="286" t="n">
        <v>1.64</v>
      </c>
      <c r="J556" s="286" t="n">
        <v>9</v>
      </c>
      <c r="K556" s="286" t="n">
        <v>0.55</v>
      </c>
      <c r="L556" s="286" t="n">
        <v>6.23</v>
      </c>
      <c r="M556" s="286" t="inlineStr">
        <is>
          <t>EQ-FLX</t>
        </is>
      </c>
    </row>
    <row r="557">
      <c r="A557" s="287" t="inlineStr">
        <is>
          <t>WhiteOak Capital Balanced Advantage Fund - Regular Plan</t>
        </is>
      </c>
      <c r="B557" s="286" t="n">
        <v>10.54</v>
      </c>
      <c r="C557" s="286" t="n">
        <v>0</v>
      </c>
      <c r="D557" s="286" t="n">
        <v>0</v>
      </c>
      <c r="E557" s="286" t="n">
        <v>0</v>
      </c>
      <c r="F557" s="286" t="n">
        <v>0</v>
      </c>
      <c r="G557" s="286" t="n">
        <v>0</v>
      </c>
      <c r="H557" s="286" t="n">
        <v>0</v>
      </c>
      <c r="I557" s="286" t="n">
        <v>2.06</v>
      </c>
      <c r="J557" s="286" t="n">
        <v>369</v>
      </c>
      <c r="K557" s="286" t="n">
        <v>0</v>
      </c>
      <c r="L557" s="286" t="n">
        <v>0</v>
      </c>
      <c r="M557" s="286" t="inlineStr">
        <is>
          <t>EQ-LC</t>
        </is>
      </c>
    </row>
    <row r="558">
      <c r="A558" s="287" t="inlineStr">
        <is>
          <t>WhiteOak Capital Balanced Hybrid Fund - Regular Plan</t>
        </is>
      </c>
      <c r="B558" s="286" t="n">
        <v>8.5</v>
      </c>
      <c r="C558" s="286" t="n">
        <v>0</v>
      </c>
      <c r="D558" s="286" t="n">
        <v>0</v>
      </c>
      <c r="E558" s="286" t="n">
        <v>0</v>
      </c>
      <c r="F558" s="286" t="n">
        <v>0</v>
      </c>
      <c r="G558" s="286" t="n">
        <v>0</v>
      </c>
      <c r="H558" s="286" t="n">
        <v>0</v>
      </c>
      <c r="I558" s="286" t="n">
        <v>2.14</v>
      </c>
      <c r="J558" s="286" t="n">
        <v>135</v>
      </c>
      <c r="K558" s="286" t="n">
        <v>0</v>
      </c>
      <c r="L558" s="286" t="n">
        <v>0</v>
      </c>
      <c r="M558" s="286" t="inlineStr">
        <is>
          <t>EQ-LC</t>
        </is>
      </c>
    </row>
    <row r="559">
      <c r="A559" s="287" t="inlineStr">
        <is>
          <t>WhiteOak Capital ESG Best-In-Class Strategy Fund - Regular Plan</t>
        </is>
      </c>
      <c r="B559" s="286" t="n">
        <v>0</v>
      </c>
      <c r="C559" s="286" t="n">
        <v>0</v>
      </c>
      <c r="D559" s="286" t="n">
        <v>0</v>
      </c>
      <c r="E559" s="286" t="n">
        <v>0</v>
      </c>
      <c r="F559" s="286" t="n">
        <v>0</v>
      </c>
      <c r="G559" s="286" t="n">
        <v>0</v>
      </c>
      <c r="H559" s="286" t="n">
        <v>0</v>
      </c>
      <c r="I559" s="286" t="n">
        <v>2.35</v>
      </c>
      <c r="J559" s="286" t="n">
        <v>0</v>
      </c>
      <c r="K559" s="286" t="n">
        <v>0</v>
      </c>
      <c r="L559" s="286" t="n">
        <v>0</v>
      </c>
      <c r="M559" s="286" t="inlineStr">
        <is>
          <t>EQ-MC</t>
        </is>
      </c>
    </row>
    <row r="560">
      <c r="A560" s="287" t="inlineStr">
        <is>
          <t>WhiteOak Capital Flexi Cap Fund - Regular Plan</t>
        </is>
      </c>
      <c r="B560" s="286" t="n">
        <v>10.4</v>
      </c>
      <c r="C560" s="286" t="n">
        <v>0</v>
      </c>
      <c r="D560" s="286" t="n">
        <v>0</v>
      </c>
      <c r="E560" s="286" t="n">
        <v>0</v>
      </c>
      <c r="F560" s="286" t="n">
        <v>0</v>
      </c>
      <c r="G560" s="286" t="n">
        <v>0</v>
      </c>
      <c r="H560" s="286" t="n">
        <v>0</v>
      </c>
      <c r="I560" s="286" t="n">
        <v>1.82</v>
      </c>
      <c r="J560" s="286" t="n">
        <v>198</v>
      </c>
      <c r="K560" s="286" t="n">
        <v>0</v>
      </c>
      <c r="L560" s="286" t="n">
        <v>0</v>
      </c>
      <c r="M560" s="286" t="inlineStr">
        <is>
          <t>EQ-LC</t>
        </is>
      </c>
    </row>
    <row r="561">
      <c r="A561" s="287" t="inlineStr">
        <is>
          <t>WhiteOak Capital Large Cap Fund - Regular Plan</t>
        </is>
      </c>
      <c r="B561" s="286" t="n">
        <v>8.76</v>
      </c>
      <c r="C561" s="286" t="n">
        <v>0</v>
      </c>
      <c r="D561" s="286" t="n">
        <v>0</v>
      </c>
      <c r="E561" s="286" t="n">
        <v>0</v>
      </c>
      <c r="F561" s="286" t="n">
        <v>0</v>
      </c>
      <c r="G561" s="286" t="n">
        <v>0</v>
      </c>
      <c r="H561" s="286" t="n">
        <v>0</v>
      </c>
      <c r="I561" s="286" t="n">
        <v>2.2</v>
      </c>
      <c r="J561" s="286" t="n">
        <v>204</v>
      </c>
      <c r="K561" s="286" t="n">
        <v>0</v>
      </c>
      <c r="L561" s="286" t="n">
        <v>0</v>
      </c>
      <c r="M561" s="286" t="inlineStr">
        <is>
          <t>EQ-SC</t>
        </is>
      </c>
    </row>
    <row r="562">
      <c r="A562" s="287" t="inlineStr">
        <is>
          <t>WhiteOak Capital Large &amp; Mid Cap Fund - Regular Plan</t>
        </is>
      </c>
      <c r="B562" s="286" t="n">
        <v>9.33</v>
      </c>
      <c r="C562" s="286" t="n">
        <v>0</v>
      </c>
      <c r="D562" s="286" t="n">
        <v>0</v>
      </c>
      <c r="E562" s="286" t="n">
        <v>0</v>
      </c>
      <c r="F562" s="286" t="n">
        <v>0</v>
      </c>
      <c r="G562" s="286" t="n">
        <v>0</v>
      </c>
      <c r="H562" s="286" t="n">
        <v>0</v>
      </c>
      <c r="I562" s="286" t="n">
        <v>2.04</v>
      </c>
      <c r="J562" s="286" t="n">
        <v>220</v>
      </c>
      <c r="K562" s="286" t="n">
        <v>0</v>
      </c>
      <c r="L562" s="286" t="n">
        <v>0</v>
      </c>
      <c r="M562" s="286" t="inlineStr">
        <is>
          <t>EQ-THEMATIC</t>
        </is>
      </c>
    </row>
    <row r="563">
      <c r="A563" s="287" t="inlineStr">
        <is>
          <t>WhiteOak Capital Mid Cap Fund - Regular Plan</t>
        </is>
      </c>
      <c r="B563" s="286" t="n">
        <v>12.11</v>
      </c>
      <c r="C563" s="286" t="n">
        <v>0</v>
      </c>
      <c r="D563" s="286" t="n">
        <v>0</v>
      </c>
      <c r="E563" s="286" t="n">
        <v>0</v>
      </c>
      <c r="F563" s="286" t="n">
        <v>0</v>
      </c>
      <c r="G563" s="286" t="n">
        <v>0</v>
      </c>
      <c r="H563" s="286" t="n">
        <v>0</v>
      </c>
      <c r="I563" s="286" t="n">
        <v>1.88</v>
      </c>
      <c r="J563" s="286" t="n">
        <v>236</v>
      </c>
      <c r="K563" s="286" t="n">
        <v>0</v>
      </c>
      <c r="L563" s="286" t="n">
        <v>0</v>
      </c>
      <c r="M563" s="286" t="inlineStr">
        <is>
          <t>HY-AH</t>
        </is>
      </c>
    </row>
    <row r="564">
      <c r="A564" s="287" t="inlineStr">
        <is>
          <t>WhiteOak Capital Multi Asset Allocation Fund - Regular Plan</t>
        </is>
      </c>
      <c r="B564" s="286" t="n">
        <v>15.77</v>
      </c>
      <c r="C564" s="286" t="n">
        <v>0</v>
      </c>
      <c r="D564" s="286" t="n">
        <v>0</v>
      </c>
      <c r="E564" s="286" t="n">
        <v>0</v>
      </c>
      <c r="F564" s="286" t="n">
        <v>0</v>
      </c>
      <c r="G564" s="286" t="n">
        <v>0</v>
      </c>
      <c r="H564" s="286" t="n">
        <v>0</v>
      </c>
      <c r="I564" s="286" t="n">
        <v>1.73</v>
      </c>
      <c r="J564" s="286" t="n">
        <v>414</v>
      </c>
      <c r="K564" s="286" t="n">
        <v>0</v>
      </c>
      <c r="L564" s="286" t="n">
        <v>0</v>
      </c>
      <c r="M564" s="286" t="inlineStr">
        <is>
          <t>EQ-FLX</t>
        </is>
      </c>
    </row>
    <row r="565">
      <c r="A565" s="287" t="inlineStr">
        <is>
          <t>WhiteOak Capital Multi Cap Fund - Regular Plan</t>
        </is>
      </c>
      <c r="B565" s="286" t="n">
        <v>11.9</v>
      </c>
      <c r="C565" s="286" t="n">
        <v>0</v>
      </c>
      <c r="D565" s="286" t="n">
        <v>0</v>
      </c>
      <c r="E565" s="286" t="n">
        <v>0</v>
      </c>
      <c r="F565" s="286" t="n">
        <v>0</v>
      </c>
      <c r="G565" s="286" t="n">
        <v>0</v>
      </c>
      <c r="H565" s="286" t="n">
        <v>0</v>
      </c>
      <c r="I565" s="286" t="n">
        <v>2.01</v>
      </c>
      <c r="J565" s="286" t="n">
        <v>185</v>
      </c>
      <c r="K565" s="286" t="n">
        <v>0</v>
      </c>
      <c r="L565" s="286" t="n">
        <v>0</v>
      </c>
      <c r="M565" s="286" t="inlineStr">
        <is>
          <t>HY-CH</t>
        </is>
      </c>
    </row>
    <row r="566">
      <c r="A566" s="287" t="inlineStr">
        <is>
          <t>WhiteOak Capital Quality Equity Fund - Regular Plan</t>
        </is>
      </c>
      <c r="B566" s="286" t="n">
        <v>0</v>
      </c>
      <c r="C566" s="286" t="n">
        <v>0</v>
      </c>
      <c r="D566" s="286" t="n">
        <v>0</v>
      </c>
      <c r="E566" s="286" t="n">
        <v>0</v>
      </c>
      <c r="F566" s="286" t="n">
        <v>0</v>
      </c>
      <c r="G566" s="286" t="n">
        <v>0</v>
      </c>
      <c r="H566" s="286" t="n">
        <v>0</v>
      </c>
      <c r="I566" s="286" t="n">
        <v>2.36</v>
      </c>
      <c r="J566" s="286" t="n">
        <v>0</v>
      </c>
      <c r="K566" s="286" t="n">
        <v>0</v>
      </c>
      <c r="L566" s="286" t="n">
        <v>0</v>
      </c>
      <c r="M566" s="286" t="inlineStr">
        <is>
          <t>HY-CH</t>
        </is>
      </c>
    </row>
    <row r="567">
      <c r="A567" s="287" t="inlineStr">
        <is>
          <t>WhiteOak Capital Special Opportunities Fund - Regular Plan</t>
        </is>
      </c>
      <c r="B567" s="286" t="n">
        <v>17.11</v>
      </c>
      <c r="C567" s="286" t="n">
        <v>0</v>
      </c>
      <c r="D567" s="286" t="n">
        <v>0</v>
      </c>
      <c r="E567" s="286" t="n">
        <v>0</v>
      </c>
      <c r="F567" s="286" t="n">
        <v>0</v>
      </c>
      <c r="G567" s="286" t="n">
        <v>0</v>
      </c>
      <c r="H567" s="286" t="n">
        <v>0</v>
      </c>
      <c r="I567" s="286" t="n">
        <v>2.19</v>
      </c>
      <c r="J567" s="286" t="n">
        <v>0</v>
      </c>
      <c r="K567" s="286" t="n">
        <v>0</v>
      </c>
      <c r="L567" s="286" t="n">
        <v>0</v>
      </c>
      <c r="M567" s="286" t="inlineStr">
        <is>
          <t>EQ-SC</t>
        </is>
      </c>
    </row>
    <row r="568">
      <c r="A568" s="287" t="inlineStr">
        <is>
          <t>Shriram Aggressive Hybrid Fund</t>
        </is>
      </c>
      <c r="B568" s="286" t="n">
        <v>-3.31</v>
      </c>
      <c r="C568" s="286" t="n">
        <v>14.11</v>
      </c>
      <c r="D568" s="286" t="n">
        <v>14.06</v>
      </c>
      <c r="E568" s="286" t="n">
        <v>8.98</v>
      </c>
      <c r="F568" s="286" t="n">
        <v>0.51</v>
      </c>
      <c r="G568" s="286" t="n">
        <v>0.72</v>
      </c>
      <c r="H568" s="286" t="n">
        <v>-2.75</v>
      </c>
      <c r="I568" s="286" t="n">
        <v>2.41</v>
      </c>
      <c r="J568" s="286" t="n">
        <v>424</v>
      </c>
      <c r="K568" s="286" t="n">
        <v>0.87</v>
      </c>
      <c r="L568" s="286" t="n">
        <v>11.15</v>
      </c>
      <c r="M568" s="286" t="inlineStr">
        <is>
          <t>HY-AH</t>
        </is>
      </c>
    </row>
    <row r="569">
      <c r="A569" s="287" t="inlineStr">
        <is>
          <t>Shriram Balanced Advantage Fund - Regular Plan</t>
        </is>
      </c>
      <c r="B569" s="286" t="n">
        <v>-4.75</v>
      </c>
      <c r="C569" s="286" t="n">
        <v>10.46</v>
      </c>
      <c r="D569" s="286" t="n">
        <v>10.52</v>
      </c>
      <c r="E569" s="286" t="n">
        <v>0</v>
      </c>
      <c r="F569" s="286" t="n">
        <v>0.31</v>
      </c>
      <c r="G569" s="286" t="n">
        <v>0.39</v>
      </c>
      <c r="H569" s="286" t="n">
        <v>-3.5</v>
      </c>
      <c r="I569" s="286" t="n">
        <v>2.39</v>
      </c>
      <c r="J569" s="286" t="n">
        <v>372</v>
      </c>
      <c r="K569" s="286" t="n">
        <v>0.84</v>
      </c>
      <c r="L569" s="286" t="n">
        <v>9.970000000000001</v>
      </c>
      <c r="M569" s="286" t="inlineStr">
        <is>
          <t>HY-DAA</t>
        </is>
      </c>
    </row>
    <row r="570">
      <c r="A570" s="287" t="inlineStr">
        <is>
          <t>Shriram Flexi Cap Fund - Regular Plan</t>
        </is>
      </c>
      <c r="B570" s="286" t="n">
        <v>-11.72</v>
      </c>
      <c r="C570" s="286" t="n">
        <v>15.9</v>
      </c>
      <c r="D570" s="286" t="n">
        <v>15.91</v>
      </c>
      <c r="E570" s="286" t="n">
        <v>0</v>
      </c>
      <c r="F570" s="286" t="n">
        <v>0.44</v>
      </c>
      <c r="G570" s="286" t="n">
        <v>0.58</v>
      </c>
      <c r="H570" s="286" t="n">
        <v>-4.33</v>
      </c>
      <c r="I570" s="286" t="n">
        <v>2.4</v>
      </c>
      <c r="J570" s="286" t="n">
        <v>615.1</v>
      </c>
      <c r="K570" s="286" t="n">
        <v>0.99</v>
      </c>
      <c r="L570" s="286" t="n">
        <v>16.01</v>
      </c>
      <c r="M570" s="286" t="inlineStr">
        <is>
          <t>EQ-FLX</t>
        </is>
      </c>
    </row>
    <row r="571">
      <c r="A571" s="287" t="inlineStr">
        <is>
          <t>Shriram Multi Asset Allocation Fund - Regular Plan</t>
        </is>
      </c>
      <c r="B571" s="286" t="n">
        <v>-5.01</v>
      </c>
      <c r="C571" s="286" t="n">
        <v>0</v>
      </c>
      <c r="D571" s="286" t="n">
        <v>0</v>
      </c>
      <c r="E571" s="286" t="n">
        <v>0</v>
      </c>
      <c r="F571" s="286" t="n">
        <v>0</v>
      </c>
      <c r="G571" s="286" t="n">
        <v>0</v>
      </c>
      <c r="H571" s="286" t="n">
        <v>0</v>
      </c>
      <c r="I571" s="286" t="n">
        <v>2.35</v>
      </c>
      <c r="J571" s="286" t="n">
        <v>447.9</v>
      </c>
      <c r="K571" s="286" t="n">
        <v>0</v>
      </c>
      <c r="L571" s="286" t="n">
        <v>0</v>
      </c>
      <c r="M571" s="286" t="inlineStr">
        <is>
          <t>HY-MAA</t>
        </is>
      </c>
    </row>
    <row r="572">
      <c r="A572" s="287" t="inlineStr">
        <is>
          <t>Shriram Multi Sector Rotation Fund - Regular Plan</t>
        </is>
      </c>
      <c r="B572" s="286" t="n">
        <v>0</v>
      </c>
      <c r="C572" s="286" t="n">
        <v>0</v>
      </c>
      <c r="D572" s="286" t="n">
        <v>0</v>
      </c>
      <c r="E572" s="286" t="n">
        <v>0</v>
      </c>
      <c r="F572" s="286" t="n">
        <v>0</v>
      </c>
      <c r="G572" s="286" t="n">
        <v>0</v>
      </c>
      <c r="H572" s="286" t="n">
        <v>0</v>
      </c>
      <c r="I572" s="286" t="n">
        <v>2.35</v>
      </c>
      <c r="J572" s="286" t="n">
        <v>338.2</v>
      </c>
      <c r="K572" s="286" t="n">
        <v>0</v>
      </c>
      <c r="L572" s="286" t="n">
        <v>0</v>
      </c>
      <c r="M572" s="286" t="inlineStr">
        <is>
          <t>EQ-THEMATIC</t>
        </is>
      </c>
    </row>
    <row r="573">
      <c r="A573" s="287" t="inlineStr">
        <is>
          <t>Sundaram Aggressive Hybrid Fund</t>
        </is>
      </c>
      <c r="B573" s="286" t="n">
        <v>5.44</v>
      </c>
      <c r="C573" s="286" t="n">
        <v>16.49</v>
      </c>
      <c r="D573" s="286" t="n">
        <v>17.42</v>
      </c>
      <c r="E573" s="286" t="n">
        <v>11.54</v>
      </c>
      <c r="F573" s="286" t="n">
        <v>0.76</v>
      </c>
      <c r="G573" s="286" t="n">
        <v>1.23</v>
      </c>
      <c r="H573" s="286" t="n">
        <v>-0.24</v>
      </c>
      <c r="I573" s="286" t="n">
        <v>1.81</v>
      </c>
      <c r="J573" s="286" t="n">
        <v>79.90000000000001</v>
      </c>
      <c r="K573" s="286" t="n">
        <v>0.85</v>
      </c>
      <c r="L573" s="286" t="n">
        <v>10.41</v>
      </c>
      <c r="M573" s="286" t="inlineStr">
        <is>
          <t>HY-AH</t>
        </is>
      </c>
    </row>
    <row r="574">
      <c r="A574" s="287" t="inlineStr">
        <is>
          <t>Sundaram Arbitrage Fund - Regular Plan</t>
        </is>
      </c>
      <c r="B574" s="286" t="n">
        <v>6.75</v>
      </c>
      <c r="C574" s="286" t="n">
        <v>6.5</v>
      </c>
      <c r="D574" s="286" t="n">
        <v>5.17</v>
      </c>
      <c r="E574" s="286" t="n">
        <v>0</v>
      </c>
      <c r="F574" s="286" t="n">
        <v>-0.16</v>
      </c>
      <c r="G574" s="286" t="n">
        <v>-0.16</v>
      </c>
      <c r="H574" s="286" t="n">
        <v>1.19</v>
      </c>
      <c r="I574" s="286" t="n">
        <v>1</v>
      </c>
      <c r="J574" s="286" t="n">
        <v>83.90000000000001</v>
      </c>
      <c r="K574" s="286" t="n">
        <v>0.67</v>
      </c>
      <c r="L574" s="286" t="n">
        <v>0.5600000000000001</v>
      </c>
      <c r="M574" s="286" t="inlineStr">
        <is>
          <t>HY-AR</t>
        </is>
      </c>
    </row>
    <row r="575">
      <c r="A575" s="287" t="inlineStr">
        <is>
          <t>Sundaram Balanced Advantage Fund</t>
        </is>
      </c>
      <c r="B575" s="286" t="n">
        <v>5.73</v>
      </c>
      <c r="C575" s="286" t="n">
        <v>13.85</v>
      </c>
      <c r="D575" s="286" t="n">
        <v>13.11</v>
      </c>
      <c r="E575" s="286" t="n">
        <v>9.27</v>
      </c>
      <c r="F575" s="286" t="n">
        <v>0.73</v>
      </c>
      <c r="G575" s="286" t="n">
        <v>1.16</v>
      </c>
      <c r="H575" s="286" t="n">
        <v>-0.12</v>
      </c>
      <c r="I575" s="286" t="n">
        <v>2.08</v>
      </c>
      <c r="J575" s="286" t="n">
        <v>69.5</v>
      </c>
      <c r="K575" s="286" t="n">
        <v>0.75</v>
      </c>
      <c r="L575" s="286" t="n">
        <v>7.9</v>
      </c>
      <c r="M575" s="286" t="inlineStr">
        <is>
          <t>HY-DAA</t>
        </is>
      </c>
    </row>
    <row r="576">
      <c r="A576" s="287" t="inlineStr">
        <is>
          <t>Sundaram Business Cycle Fund - Regular Plan</t>
        </is>
      </c>
      <c r="B576" s="286" t="n">
        <v>0</v>
      </c>
      <c r="C576" s="286" t="n">
        <v>0</v>
      </c>
      <c r="D576" s="286" t="n">
        <v>0</v>
      </c>
      <c r="E576" s="286" t="n">
        <v>0</v>
      </c>
      <c r="F576" s="286" t="n">
        <v>0</v>
      </c>
      <c r="G576" s="286" t="n">
        <v>0</v>
      </c>
      <c r="H576" s="286" t="n">
        <v>0</v>
      </c>
      <c r="I576" s="286" t="n">
        <v>2.03</v>
      </c>
      <c r="J576" s="286" t="n">
        <v>28.5</v>
      </c>
      <c r="K576" s="286" t="n">
        <v>0</v>
      </c>
      <c r="L576" s="286" t="n">
        <v>0</v>
      </c>
      <c r="M576" s="286" t="inlineStr">
        <is>
          <t>EQ-THEMATIC</t>
        </is>
      </c>
    </row>
    <row r="577">
      <c r="A577" s="287" t="inlineStr">
        <is>
          <t>Sundaram Conservative Hybrid Fund</t>
        </is>
      </c>
      <c r="B577" s="286" t="n">
        <v>5.95</v>
      </c>
      <c r="C577" s="286" t="n">
        <v>8.75</v>
      </c>
      <c r="D577" s="286" t="n">
        <v>8.869999999999999</v>
      </c>
      <c r="E577" s="286" t="n">
        <v>6.96</v>
      </c>
      <c r="F577" s="286" t="n">
        <v>0.55</v>
      </c>
      <c r="G577" s="286" t="n">
        <v>1.06</v>
      </c>
      <c r="H577" s="286" t="n">
        <v>-1.21</v>
      </c>
      <c r="I577" s="286" t="n">
        <v>2.15</v>
      </c>
      <c r="J577" s="286" t="n">
        <v>0</v>
      </c>
      <c r="K577" s="286" t="n">
        <v>0.88</v>
      </c>
      <c r="L577" s="286" t="n">
        <v>3.66</v>
      </c>
      <c r="M577" s="286" t="inlineStr">
        <is>
          <t>HY-CH</t>
        </is>
      </c>
    </row>
    <row r="578">
      <c r="A578" s="287" t="inlineStr">
        <is>
          <t>Sundaram Flexi Cap Fund - Regular Plan</t>
        </is>
      </c>
      <c r="B578" s="286" t="n">
        <v>6.46</v>
      </c>
      <c r="C578" s="286" t="n">
        <v>0</v>
      </c>
      <c r="D578" s="286" t="n">
        <v>0</v>
      </c>
      <c r="E578" s="286" t="n">
        <v>0</v>
      </c>
      <c r="F578" s="286" t="n">
        <v>0</v>
      </c>
      <c r="G578" s="286" t="n">
        <v>0</v>
      </c>
      <c r="H578" s="286" t="n">
        <v>0</v>
      </c>
      <c r="I578" s="286" t="n">
        <v>2.03</v>
      </c>
      <c r="J578" s="286" t="n">
        <v>32.5</v>
      </c>
      <c r="K578" s="286" t="n">
        <v>0</v>
      </c>
      <c r="L578" s="286" t="n">
        <v>0</v>
      </c>
      <c r="M578" s="286" t="inlineStr">
        <is>
          <t>EQ-FLX</t>
        </is>
      </c>
    </row>
    <row r="579">
      <c r="A579" s="287" t="inlineStr">
        <is>
          <t>Sundaram Focused Fund</t>
        </is>
      </c>
      <c r="B579" s="286" t="n">
        <v>0.95</v>
      </c>
      <c r="C579" s="286" t="n">
        <v>19.13</v>
      </c>
      <c r="D579" s="286" t="n">
        <v>20.5</v>
      </c>
      <c r="E579" s="286" t="n">
        <v>13.21</v>
      </c>
      <c r="F579" s="286" t="n">
        <v>0.7</v>
      </c>
      <c r="G579" s="286" t="n">
        <v>1.19</v>
      </c>
      <c r="H579" s="286" t="n">
        <v>-0.8</v>
      </c>
      <c r="I579" s="286" t="n">
        <v>2.27</v>
      </c>
      <c r="J579" s="286" t="n">
        <v>75.5</v>
      </c>
      <c r="K579" s="286" t="n">
        <v>0.87</v>
      </c>
      <c r="L579" s="286" t="n">
        <v>13.22</v>
      </c>
      <c r="M579" s="286" t="inlineStr">
        <is>
          <t>EQ-FLX</t>
        </is>
      </c>
    </row>
    <row r="580">
      <c r="A580" s="287" t="inlineStr">
        <is>
          <t>Sundaram Large and Mid Cap Fund</t>
        </is>
      </c>
      <c r="B580" s="286" t="n">
        <v>1.32</v>
      </c>
      <c r="C580" s="286" t="n">
        <v>20.78</v>
      </c>
      <c r="D580" s="286" t="n">
        <v>22.79</v>
      </c>
      <c r="E580" s="286" t="n">
        <v>14.37</v>
      </c>
      <c r="F580" s="286" t="n">
        <v>0.75</v>
      </c>
      <c r="G580" s="286" t="n">
        <v>1.1</v>
      </c>
      <c r="H580" s="286" t="n">
        <v>0.21</v>
      </c>
      <c r="I580" s="286" t="n">
        <v>1.82</v>
      </c>
      <c r="J580" s="286" t="n">
        <v>40.3</v>
      </c>
      <c r="K580" s="286" t="n">
        <v>1</v>
      </c>
      <c r="L580" s="286" t="n">
        <v>14.95</v>
      </c>
      <c r="M580" s="286" t="inlineStr">
        <is>
          <t>EQ-L&amp;MC</t>
        </is>
      </c>
    </row>
    <row r="581">
      <c r="A581" s="287" t="inlineStr">
        <is>
          <t>Sundaram Large Cap Fund - Regular Plan</t>
        </is>
      </c>
      <c r="B581" s="286" t="n">
        <v>3.27</v>
      </c>
      <c r="C581" s="286" t="n">
        <v>17.47</v>
      </c>
      <c r="D581" s="286" t="n">
        <v>18.05</v>
      </c>
      <c r="E581" s="286" t="n">
        <v>11.9</v>
      </c>
      <c r="F581" s="286" t="n">
        <v>0.64</v>
      </c>
      <c r="G581" s="286" t="n">
        <v>1.07</v>
      </c>
      <c r="H581" s="286" t="n">
        <v>-1.27</v>
      </c>
      <c r="I581" s="286" t="n">
        <v>1.91</v>
      </c>
      <c r="J581" s="286" t="n">
        <v>33.6</v>
      </c>
      <c r="K581" s="286" t="n">
        <v>0.9</v>
      </c>
      <c r="L581" s="286" t="n">
        <v>12.61</v>
      </c>
      <c r="M581" s="286" t="inlineStr">
        <is>
          <t>EQ-LC</t>
        </is>
      </c>
    </row>
    <row r="582">
      <c r="A582" s="287" t="inlineStr">
        <is>
          <t>Sundaram Mid Cap Fund - Regular Plan</t>
        </is>
      </c>
      <c r="B582" s="286" t="n">
        <v>5.78</v>
      </c>
      <c r="C582" s="286" t="n">
        <v>29.63</v>
      </c>
      <c r="D582" s="286" t="n">
        <v>28.57</v>
      </c>
      <c r="E582" s="286" t="n">
        <v>15.13</v>
      </c>
      <c r="F582" s="286" t="n">
        <v>1.16</v>
      </c>
      <c r="G582" s="286" t="n">
        <v>1.59</v>
      </c>
      <c r="H582" s="286" t="n">
        <v>2.02</v>
      </c>
      <c r="I582" s="286" t="n">
        <v>1.75</v>
      </c>
      <c r="J582" s="286" t="n">
        <v>43</v>
      </c>
      <c r="K582" s="286" t="n">
        <v>0.9399999999999999</v>
      </c>
      <c r="L582" s="286" t="n">
        <v>16.4</v>
      </c>
      <c r="M582" s="286" t="inlineStr">
        <is>
          <t>EQ-MC</t>
        </is>
      </c>
    </row>
    <row r="583">
      <c r="A583" s="287" t="inlineStr">
        <is>
          <t>Sundaram Multi Asset Allocation Fund - Regular Plan</t>
        </is>
      </c>
      <c r="B583" s="286" t="n">
        <v>10.5</v>
      </c>
      <c r="C583" s="286" t="n">
        <v>0</v>
      </c>
      <c r="D583" s="286" t="n">
        <v>0</v>
      </c>
      <c r="E583" s="286" t="n">
        <v>0</v>
      </c>
      <c r="F583" s="286" t="n">
        <v>0</v>
      </c>
      <c r="G583" s="286" t="n">
        <v>0</v>
      </c>
      <c r="H583" s="286" t="n">
        <v>0</v>
      </c>
      <c r="I583" s="286" t="n">
        <v>1.86</v>
      </c>
      <c r="J583" s="286" t="n">
        <v>48.4</v>
      </c>
      <c r="K583" s="286" t="n">
        <v>0</v>
      </c>
      <c r="L583" s="286" t="n">
        <v>0</v>
      </c>
      <c r="M583" s="286" t="inlineStr">
        <is>
          <t>HY-MAA</t>
        </is>
      </c>
    </row>
    <row r="584">
      <c r="A584" s="287" t="inlineStr">
        <is>
          <t>Sundaram Multi Cap Fund</t>
        </is>
      </c>
      <c r="B584" s="286" t="n">
        <v>3.5</v>
      </c>
      <c r="C584" s="286" t="n">
        <v>21.62</v>
      </c>
      <c r="D584" s="286" t="n">
        <v>23.56</v>
      </c>
      <c r="E584" s="286" t="n">
        <v>14.11</v>
      </c>
      <c r="F584" s="286" t="n">
        <v>0.84</v>
      </c>
      <c r="G584" s="286" t="n">
        <v>1.28</v>
      </c>
      <c r="H584" s="286" t="n">
        <v>-0.97</v>
      </c>
      <c r="I584" s="286" t="n">
        <v>2</v>
      </c>
      <c r="J584" s="286" t="n">
        <v>54.7</v>
      </c>
      <c r="K584" s="286" t="n">
        <v>0.9</v>
      </c>
      <c r="L584" s="286" t="n">
        <v>14.39</v>
      </c>
      <c r="M584" s="286" t="inlineStr">
        <is>
          <t>EQ-MLC</t>
        </is>
      </c>
    </row>
    <row r="585">
      <c r="A585" s="287" t="inlineStr">
        <is>
          <t>Sundaram Nifty 100 Equal Weight Fund</t>
        </is>
      </c>
      <c r="B585" s="286" t="n">
        <v>-1.36</v>
      </c>
      <c r="C585" s="286" t="n">
        <v>21.24</v>
      </c>
      <c r="D585" s="286" t="n">
        <v>22.14</v>
      </c>
      <c r="E585" s="286" t="n">
        <v>11.29</v>
      </c>
      <c r="F585" s="286" t="n">
        <v>0.73</v>
      </c>
      <c r="G585" s="286" t="n">
        <v>1.25</v>
      </c>
      <c r="H585" s="286" t="n">
        <v>0.16</v>
      </c>
      <c r="I585" s="286" t="n">
        <v>1.08</v>
      </c>
      <c r="J585" s="286" t="n">
        <v>27.6</v>
      </c>
      <c r="K585" s="286" t="n">
        <v>1.12</v>
      </c>
      <c r="L585" s="286" t="n">
        <v>15.9</v>
      </c>
      <c r="M585" s="286" t="inlineStr">
        <is>
          <t>EQ-LC</t>
        </is>
      </c>
    </row>
    <row r="586">
      <c r="A586" s="287" t="inlineStr">
        <is>
          <t>Sundaram Services Fund - Regular Plan</t>
        </is>
      </c>
      <c r="B586" s="286" t="n">
        <v>14.09</v>
      </c>
      <c r="C586" s="286" t="n">
        <v>23.64</v>
      </c>
      <c r="D586" s="286" t="n">
        <v>26.3</v>
      </c>
      <c r="E586" s="286" t="n">
        <v>0</v>
      </c>
      <c r="F586" s="286" t="n">
        <v>0.96</v>
      </c>
      <c r="G586" s="286" t="n">
        <v>1.63</v>
      </c>
      <c r="H586" s="286" t="n">
        <v>2.87</v>
      </c>
      <c r="I586" s="286" t="n">
        <v>1.89</v>
      </c>
      <c r="J586" s="286" t="n">
        <v>77.8</v>
      </c>
      <c r="K586" s="286" t="n">
        <v>0.87</v>
      </c>
      <c r="L586" s="286" t="n">
        <v>13.5</v>
      </c>
      <c r="M586" s="286" t="inlineStr">
        <is>
          <t>EQ-THEMATIC</t>
        </is>
      </c>
    </row>
    <row r="587">
      <c r="A587" s="287" t="inlineStr">
        <is>
          <t>Sundaram Small Cap Fund - Regular Plan</t>
        </is>
      </c>
      <c r="B587" s="286" t="n">
        <v>2.77</v>
      </c>
      <c r="C587" s="286" t="n">
        <v>26.42</v>
      </c>
      <c r="D587" s="286" t="n">
        <v>31.86</v>
      </c>
      <c r="E587" s="286" t="n">
        <v>14.68</v>
      </c>
      <c r="F587" s="286" t="n">
        <v>1.01</v>
      </c>
      <c r="G587" s="286" t="n">
        <v>1.39</v>
      </c>
      <c r="H587" s="286" t="n">
        <v>1.7</v>
      </c>
      <c r="I587" s="286" t="n">
        <v>1.94</v>
      </c>
      <c r="J587" s="286" t="n">
        <v>66</v>
      </c>
      <c r="K587" s="286" t="n">
        <v>0.8</v>
      </c>
      <c r="L587" s="286" t="n">
        <v>16.11</v>
      </c>
      <c r="M587" s="286" t="inlineStr">
        <is>
          <t>EQ-SC</t>
        </is>
      </c>
    </row>
    <row r="588">
      <c r="A588" s="287" t="inlineStr">
        <is>
          <t>Tata Arbitrage Fund - Regular Plan</t>
        </is>
      </c>
      <c r="B588" s="286" t="n">
        <v>6.94</v>
      </c>
      <c r="C588" s="286" t="n">
        <v>6.81</v>
      </c>
      <c r="D588" s="286" t="n">
        <v>5.5</v>
      </c>
      <c r="E588" s="286" t="n">
        <v>0</v>
      </c>
      <c r="F588" s="286" t="n">
        <v>0.41</v>
      </c>
      <c r="G588" s="286" t="n">
        <v>0.47</v>
      </c>
      <c r="H588" s="286" t="n">
        <v>1.39</v>
      </c>
      <c r="I588" s="286" t="n">
        <v>1.08</v>
      </c>
      <c r="J588" s="286" t="n">
        <v>485.29</v>
      </c>
      <c r="K588" s="286" t="n">
        <v>0.62</v>
      </c>
      <c r="L588" s="286" t="n">
        <v>0.51</v>
      </c>
      <c r="M588" s="286" t="inlineStr">
        <is>
          <t>HY-AR</t>
        </is>
      </c>
    </row>
    <row r="589">
      <c r="A589" s="287" t="inlineStr">
        <is>
          <t>Tata Balanced Advantage Fund - Regular Plan</t>
        </is>
      </c>
      <c r="B589" s="286" t="n">
        <v>3.49</v>
      </c>
      <c r="C589" s="286" t="n">
        <v>13.56</v>
      </c>
      <c r="D589" s="286" t="n">
        <v>13.77</v>
      </c>
      <c r="E589" s="286" t="n">
        <v>0</v>
      </c>
      <c r="F589" s="286" t="n">
        <v>0.75</v>
      </c>
      <c r="G589" s="286" t="n">
        <v>1.2</v>
      </c>
      <c r="H589" s="286" t="n">
        <v>-0.03</v>
      </c>
      <c r="I589" s="286" t="n">
        <v>1.69</v>
      </c>
      <c r="J589" s="286" t="n">
        <v>29.31</v>
      </c>
      <c r="K589" s="286" t="n">
        <v>0.67</v>
      </c>
      <c r="L589" s="286" t="n">
        <v>7.07</v>
      </c>
      <c r="M589" s="286" t="inlineStr">
        <is>
          <t>HY-DAA</t>
        </is>
      </c>
    </row>
    <row r="590">
      <c r="A590" s="287" t="inlineStr">
        <is>
          <t>Tata BSE Quality Index Fund - Regular Plan</t>
        </is>
      </c>
      <c r="B590" s="286" t="n">
        <v>0</v>
      </c>
      <c r="C590" s="286" t="n">
        <v>0</v>
      </c>
      <c r="D590" s="286" t="n">
        <v>0</v>
      </c>
      <c r="E590" s="286" t="n">
        <v>0</v>
      </c>
      <c r="F590" s="286" t="n">
        <v>0</v>
      </c>
      <c r="G590" s="286" t="n">
        <v>0</v>
      </c>
      <c r="H590" s="286" t="n">
        <v>0</v>
      </c>
      <c r="I590" s="286" t="n">
        <v>1.09</v>
      </c>
      <c r="J590" s="286" t="n">
        <v>24.94</v>
      </c>
      <c r="K590" s="286" t="n">
        <v>0</v>
      </c>
      <c r="L590" s="286" t="n">
        <v>0</v>
      </c>
      <c r="M590" s="286" t="inlineStr">
        <is>
          <t>EQ-L&amp;MC</t>
        </is>
      </c>
    </row>
    <row r="591">
      <c r="A591" s="287" t="inlineStr">
        <is>
          <t>Tata BSE Select Business Groups Index Fund - Regular Plan</t>
        </is>
      </c>
      <c r="B591" s="286" t="n">
        <v>0</v>
      </c>
      <c r="C591" s="286" t="n">
        <v>0</v>
      </c>
      <c r="D591" s="286" t="n">
        <v>0</v>
      </c>
      <c r="E591" s="286" t="n">
        <v>0</v>
      </c>
      <c r="F591" s="286" t="n">
        <v>0</v>
      </c>
      <c r="G591" s="286" t="n">
        <v>0</v>
      </c>
      <c r="H591" s="286" t="n">
        <v>0</v>
      </c>
      <c r="I591" s="286" t="n">
        <v>1.08</v>
      </c>
      <c r="J591" s="286" t="n">
        <v>10.94</v>
      </c>
      <c r="K591" s="286" t="n">
        <v>0</v>
      </c>
      <c r="L591" s="286" t="n">
        <v>0</v>
      </c>
      <c r="M591" s="286" t="inlineStr">
        <is>
          <t>EQ-THEMATIC</t>
        </is>
      </c>
    </row>
    <row r="592">
      <c r="A592" s="287" t="inlineStr">
        <is>
          <t>Tata BSE Sensex Index Fund - Regular Plan</t>
        </is>
      </c>
      <c r="B592" s="286" t="n">
        <v>5.64</v>
      </c>
      <c r="C592" s="286" t="n">
        <v>17.08</v>
      </c>
      <c r="D592" s="286" t="n">
        <v>18.83</v>
      </c>
      <c r="E592" s="286" t="n">
        <v>11.91</v>
      </c>
      <c r="F592" s="286" t="n">
        <v>0.62</v>
      </c>
      <c r="G592" s="286" t="n">
        <v>1.02</v>
      </c>
      <c r="H592" s="286" t="n">
        <v>-1.55</v>
      </c>
      <c r="I592" s="286" t="n">
        <v>0.57</v>
      </c>
      <c r="J592" s="286" t="n">
        <v>18.47</v>
      </c>
      <c r="K592" s="286" t="n">
        <v>0.91</v>
      </c>
      <c r="L592" s="286" t="n">
        <v>12.67</v>
      </c>
      <c r="M592" s="286" t="inlineStr">
        <is>
          <t>EQ-LC</t>
        </is>
      </c>
    </row>
    <row r="593">
      <c r="A593" s="287" t="inlineStr">
        <is>
          <t>Tata Business Cycle Fund - Regular Plan</t>
        </is>
      </c>
      <c r="B593" s="286" t="n">
        <v>-2.95</v>
      </c>
      <c r="C593" s="286" t="n">
        <v>25.05</v>
      </c>
      <c r="D593" s="286" t="n">
        <v>0</v>
      </c>
      <c r="E593" s="286" t="n">
        <v>0</v>
      </c>
      <c r="F593" s="286" t="n">
        <v>1.03</v>
      </c>
      <c r="G593" s="286" t="n">
        <v>1.58</v>
      </c>
      <c r="H593" s="286" t="n">
        <v>3.75</v>
      </c>
      <c r="I593" s="286" t="n">
        <v>1.91</v>
      </c>
      <c r="J593" s="286" t="n">
        <v>56.39</v>
      </c>
      <c r="K593" s="286" t="n">
        <v>0.96</v>
      </c>
      <c r="L593" s="286" t="n">
        <v>14.41</v>
      </c>
      <c r="M593" s="286" t="inlineStr">
        <is>
          <t>EQ-THEMATIC</t>
        </is>
      </c>
    </row>
    <row r="594">
      <c r="A594" s="287" t="inlineStr">
        <is>
          <t>Tata Ethical Fund - Regular Plan</t>
        </is>
      </c>
      <c r="B594" s="286" t="n">
        <v>-4.94</v>
      </c>
      <c r="C594" s="286" t="n">
        <v>15.49</v>
      </c>
      <c r="D594" s="286" t="n">
        <v>20.06</v>
      </c>
      <c r="E594" s="286" t="n">
        <v>11.45</v>
      </c>
      <c r="F594" s="286" t="n">
        <v>0.45</v>
      </c>
      <c r="G594" s="286" t="n">
        <v>0.6</v>
      </c>
      <c r="H594" s="286" t="n">
        <v>-4.02</v>
      </c>
      <c r="I594" s="286" t="n">
        <v>1.9</v>
      </c>
      <c r="J594" s="286" t="n">
        <v>28.68</v>
      </c>
      <c r="K594" s="286" t="n">
        <v>0.9</v>
      </c>
      <c r="L594" s="286" t="n">
        <v>14.08</v>
      </c>
      <c r="M594" s="286" t="inlineStr">
        <is>
          <t>EQ-THEMATIC</t>
        </is>
      </c>
    </row>
    <row r="595">
      <c r="A595" s="287" t="inlineStr">
        <is>
          <t>Tata Flexi Cap Fund - Regular Plan</t>
        </is>
      </c>
      <c r="B595" s="286" t="n">
        <v>7.74</v>
      </c>
      <c r="C595" s="286" t="n">
        <v>20.11</v>
      </c>
      <c r="D595" s="286" t="n">
        <v>19.38</v>
      </c>
      <c r="E595" s="286" t="n">
        <v>0</v>
      </c>
      <c r="F595" s="286" t="n">
        <v>0.85</v>
      </c>
      <c r="G595" s="286" t="n">
        <v>1.5</v>
      </c>
      <c r="H595" s="286" t="n">
        <v>1.19</v>
      </c>
      <c r="I595" s="286" t="n">
        <v>1.9</v>
      </c>
      <c r="J595" s="286" t="n">
        <v>37.84</v>
      </c>
      <c r="K595" s="286" t="n">
        <v>0.8</v>
      </c>
      <c r="L595" s="286" t="n">
        <v>12.22</v>
      </c>
      <c r="M595" s="286" t="inlineStr">
        <is>
          <t>EQ-FLX</t>
        </is>
      </c>
    </row>
    <row r="596">
      <c r="A596" s="287" t="inlineStr">
        <is>
          <t>Tata Focused Equity Fund - Regular Plan</t>
        </is>
      </c>
      <c r="B596" s="286" t="n">
        <v>0.74</v>
      </c>
      <c r="C596" s="286" t="n">
        <v>20.01</v>
      </c>
      <c r="D596" s="286" t="n">
        <v>22.08</v>
      </c>
      <c r="E596" s="286" t="n">
        <v>0</v>
      </c>
      <c r="F596" s="286" t="n">
        <v>0.73</v>
      </c>
      <c r="G596" s="286" t="n">
        <v>1.11</v>
      </c>
      <c r="H596" s="286" t="n">
        <v>-0.4</v>
      </c>
      <c r="I596" s="286" t="n">
        <v>2.04</v>
      </c>
      <c r="J596" s="286" t="n">
        <v>40.42</v>
      </c>
      <c r="K596" s="286" t="n">
        <v>0.93</v>
      </c>
      <c r="L596" s="286" t="n">
        <v>14.17</v>
      </c>
      <c r="M596" s="286" t="inlineStr">
        <is>
          <t>EQ-FLX</t>
        </is>
      </c>
    </row>
    <row r="597">
      <c r="A597" s="287" t="inlineStr">
        <is>
          <t>Tata Housing Opportunities Fund - Regular Plan</t>
        </is>
      </c>
      <c r="B597" s="286" t="n">
        <v>-5.82</v>
      </c>
      <c r="C597" s="286" t="n">
        <v>0</v>
      </c>
      <c r="D597" s="286" t="n">
        <v>0</v>
      </c>
      <c r="E597" s="286" t="n">
        <v>0</v>
      </c>
      <c r="F597" s="286" t="n">
        <v>0</v>
      </c>
      <c r="G597" s="286" t="n">
        <v>0</v>
      </c>
      <c r="H597" s="286" t="n">
        <v>0</v>
      </c>
      <c r="I597" s="286" t="n">
        <v>2.36</v>
      </c>
      <c r="J597" s="286" t="n">
        <v>6.42</v>
      </c>
      <c r="K597" s="286" t="n">
        <v>0</v>
      </c>
      <c r="L597" s="286" t="n">
        <v>0</v>
      </c>
      <c r="M597" s="286" t="inlineStr">
        <is>
          <t>EQ-THEMATIC</t>
        </is>
      </c>
    </row>
    <row r="598">
      <c r="A598" s="287" t="inlineStr">
        <is>
          <t>Tata Hybrid Equity Fund - Regular Plan</t>
        </is>
      </c>
      <c r="B598" s="286" t="n">
        <v>2.8</v>
      </c>
      <c r="C598" s="286" t="n">
        <v>15.77</v>
      </c>
      <c r="D598" s="286" t="n">
        <v>17.16</v>
      </c>
      <c r="E598" s="286" t="n">
        <v>9.93</v>
      </c>
      <c r="F598" s="286" t="n">
        <v>0.71</v>
      </c>
      <c r="G598" s="286" t="n">
        <v>1.1</v>
      </c>
      <c r="H598" s="286" t="n">
        <v>-0.75</v>
      </c>
      <c r="I598" s="286" t="n">
        <v>1.92</v>
      </c>
      <c r="J598" s="286" t="n">
        <v>27.99</v>
      </c>
      <c r="K598" s="286" t="n">
        <v>0.85</v>
      </c>
      <c r="L598" s="286" t="n">
        <v>10.4</v>
      </c>
      <c r="M598" s="286" t="inlineStr">
        <is>
          <t>HY-AH</t>
        </is>
      </c>
    </row>
    <row r="599">
      <c r="A599" s="287" t="inlineStr">
        <is>
          <t>Tata India Innovation Fund - Regular Plan</t>
        </is>
      </c>
      <c r="B599" s="286" t="n">
        <v>0</v>
      </c>
      <c r="C599" s="286" t="n">
        <v>0</v>
      </c>
      <c r="D599" s="286" t="n">
        <v>0</v>
      </c>
      <c r="E599" s="286" t="n">
        <v>0</v>
      </c>
      <c r="F599" s="286" t="n">
        <v>0</v>
      </c>
      <c r="G599" s="286" t="n">
        <v>0</v>
      </c>
      <c r="H599" s="286" t="n">
        <v>0</v>
      </c>
      <c r="I599" s="286" t="n">
        <v>2.03</v>
      </c>
      <c r="J599" s="286" t="n">
        <v>10.08</v>
      </c>
      <c r="K599" s="286" t="n">
        <v>0</v>
      </c>
      <c r="L599" s="286" t="n">
        <v>0</v>
      </c>
      <c r="M599" s="286" t="inlineStr">
        <is>
          <t>EQ-THEMATIC</t>
        </is>
      </c>
    </row>
    <row r="600">
      <c r="A600" s="287" t="inlineStr">
        <is>
          <t>Tata Large Cap Fund - Regular Plan</t>
        </is>
      </c>
      <c r="B600" s="286" t="n">
        <v>1.58</v>
      </c>
      <c r="C600" s="286" t="n">
        <v>19.55</v>
      </c>
      <c r="D600" s="286" t="n">
        <v>20.98</v>
      </c>
      <c r="E600" s="286" t="n">
        <v>11.77</v>
      </c>
      <c r="F600" s="286" t="n">
        <v>0.74</v>
      </c>
      <c r="G600" s="286" t="n">
        <v>1.21</v>
      </c>
      <c r="H600" s="286" t="n">
        <v>-0.04</v>
      </c>
      <c r="I600" s="286" t="n">
        <v>2.01</v>
      </c>
      <c r="J600" s="286" t="n">
        <v>40.67</v>
      </c>
      <c r="K600" s="286" t="n">
        <v>0.98</v>
      </c>
      <c r="L600" s="286" t="n">
        <v>13.6</v>
      </c>
      <c r="M600" s="286" t="inlineStr">
        <is>
          <t>EQ-LC</t>
        </is>
      </c>
    </row>
    <row r="601">
      <c r="A601" s="287" t="inlineStr">
        <is>
          <t>Tata Large &amp; Mid Cap Fund - Regular Plan</t>
        </is>
      </c>
      <c r="B601" s="286" t="n">
        <v>1.46</v>
      </c>
      <c r="C601" s="286" t="n">
        <v>21.4</v>
      </c>
      <c r="D601" s="286" t="n">
        <v>22.03</v>
      </c>
      <c r="E601" s="286" t="n">
        <v>13.55</v>
      </c>
      <c r="F601" s="286" t="n">
        <v>0.89</v>
      </c>
      <c r="G601" s="286" t="n">
        <v>1.47</v>
      </c>
      <c r="H601" s="286" t="n">
        <v>1.96</v>
      </c>
      <c r="I601" s="286" t="n">
        <v>1.75</v>
      </c>
      <c r="J601" s="286" t="n">
        <v>12.1</v>
      </c>
      <c r="K601" s="286" t="n">
        <v>0.89</v>
      </c>
      <c r="L601" s="286" t="n">
        <v>13.26</v>
      </c>
      <c r="M601" s="286" t="inlineStr">
        <is>
          <t>EQ-L&amp;MC</t>
        </is>
      </c>
    </row>
    <row r="602">
      <c r="A602" s="287" t="inlineStr">
        <is>
          <t>Tata Midcap Growth Fund - Regular Plan</t>
        </is>
      </c>
      <c r="B602" s="286" t="n">
        <v>-2.96</v>
      </c>
      <c r="C602" s="286" t="n">
        <v>25.6</v>
      </c>
      <c r="D602" s="286" t="n">
        <v>26.4</v>
      </c>
      <c r="E602" s="286" t="n">
        <v>15.37</v>
      </c>
      <c r="F602" s="286" t="n">
        <v>0.96</v>
      </c>
      <c r="G602" s="286" t="n">
        <v>1.38</v>
      </c>
      <c r="H602" s="286" t="n">
        <v>-1.44</v>
      </c>
      <c r="I602" s="286" t="n">
        <v>1.85</v>
      </c>
      <c r="J602" s="286" t="n">
        <v>31.34</v>
      </c>
      <c r="K602" s="286" t="n">
        <v>0.91</v>
      </c>
      <c r="L602" s="286" t="n">
        <v>15.64</v>
      </c>
      <c r="M602" s="286" t="inlineStr">
        <is>
          <t>EQ-MC</t>
        </is>
      </c>
    </row>
    <row r="603">
      <c r="A603" s="287" t="inlineStr">
        <is>
          <t>Tata Multi Asset Opportunities Fund - Regular Plan</t>
        </is>
      </c>
      <c r="B603" s="286" t="n">
        <v>5.89</v>
      </c>
      <c r="C603" s="286" t="n">
        <v>17.23</v>
      </c>
      <c r="D603" s="286" t="n">
        <v>18.06</v>
      </c>
      <c r="E603" s="286" t="n">
        <v>0</v>
      </c>
      <c r="F603" s="286" t="n">
        <v>0.96</v>
      </c>
      <c r="G603" s="286" t="n">
        <v>1.55</v>
      </c>
      <c r="H603" s="286" t="n">
        <v>0.55</v>
      </c>
      <c r="I603" s="286" t="n">
        <v>1.84</v>
      </c>
      <c r="J603" s="286" t="n">
        <v>18.74</v>
      </c>
      <c r="K603" s="286" t="n">
        <v>0.86</v>
      </c>
      <c r="L603" s="286" t="n">
        <v>8.539999999999999</v>
      </c>
      <c r="M603" s="286" t="inlineStr">
        <is>
          <t>HY-MAA</t>
        </is>
      </c>
    </row>
    <row r="604">
      <c r="A604" s="287" t="inlineStr">
        <is>
          <t>Tata Multicap Fund - Regular Plan</t>
        </is>
      </c>
      <c r="B604" s="286" t="n">
        <v>-2.99</v>
      </c>
      <c r="C604" s="286" t="n">
        <v>0</v>
      </c>
      <c r="D604" s="286" t="n">
        <v>0</v>
      </c>
      <c r="E604" s="286" t="n">
        <v>0</v>
      </c>
      <c r="F604" s="286" t="n">
        <v>0</v>
      </c>
      <c r="G604" s="286" t="n">
        <v>0</v>
      </c>
      <c r="H604" s="286" t="n">
        <v>0</v>
      </c>
      <c r="I604" s="286" t="n">
        <v>1.88</v>
      </c>
      <c r="J604" s="286" t="n">
        <v>42.93</v>
      </c>
      <c r="K604" s="286" t="n">
        <v>0</v>
      </c>
      <c r="L604" s="286" t="n">
        <v>0</v>
      </c>
      <c r="M604" s="286" t="inlineStr">
        <is>
          <t>EQ-MLC</t>
        </is>
      </c>
    </row>
    <row r="605">
      <c r="A605" s="287" t="inlineStr">
        <is>
          <t>Tata Nifty200 Alpha 30 Index Fund - Regular Plan</t>
        </is>
      </c>
      <c r="B605" s="286" t="n">
        <v>0</v>
      </c>
      <c r="C605" s="286" t="n">
        <v>0</v>
      </c>
      <c r="D605" s="286" t="n">
        <v>0</v>
      </c>
      <c r="E605" s="286" t="n">
        <v>0</v>
      </c>
      <c r="F605" s="286" t="n">
        <v>0</v>
      </c>
      <c r="G605" s="286" t="n">
        <v>0</v>
      </c>
      <c r="H605" s="286" t="n">
        <v>0</v>
      </c>
      <c r="I605" s="286" t="n">
        <v>1.11</v>
      </c>
      <c r="J605" s="286" t="n">
        <v>142.84</v>
      </c>
      <c r="K605" s="286" t="n">
        <v>0</v>
      </c>
      <c r="L605" s="286" t="n">
        <v>0</v>
      </c>
      <c r="M605" s="286" t="inlineStr">
        <is>
          <t>EQ-L&amp;MC</t>
        </is>
      </c>
    </row>
    <row r="606">
      <c r="A606" s="287" t="inlineStr">
        <is>
          <t>Tata Nifty500 Multicap India Manufacturing 50:30:20 Index Fund - Regular Plan</t>
        </is>
      </c>
      <c r="B606" s="286" t="n">
        <v>-1.28</v>
      </c>
      <c r="C606" s="286" t="n">
        <v>0</v>
      </c>
      <c r="D606" s="286" t="n">
        <v>0</v>
      </c>
      <c r="E606" s="286" t="n">
        <v>0</v>
      </c>
      <c r="F606" s="286" t="n">
        <v>0</v>
      </c>
      <c r="G606" s="286" t="n">
        <v>0</v>
      </c>
      <c r="H606" s="286" t="n">
        <v>0</v>
      </c>
      <c r="I606" s="286" t="n">
        <v>1.11</v>
      </c>
      <c r="J606" s="286" t="n">
        <v>37.23</v>
      </c>
      <c r="K606" s="286" t="n">
        <v>0</v>
      </c>
      <c r="L606" s="286" t="n">
        <v>0</v>
      </c>
      <c r="M606" s="286" t="inlineStr">
        <is>
          <t>EQ-THEMATIC</t>
        </is>
      </c>
    </row>
    <row r="607">
      <c r="A607" s="287" t="inlineStr">
        <is>
          <t>Tata Nifty 50 Exchange Traded Fund</t>
        </is>
      </c>
      <c r="B607" s="286" t="n">
        <v>6.44</v>
      </c>
      <c r="C607" s="286" t="n">
        <v>18.58</v>
      </c>
      <c r="D607" s="286" t="n">
        <v>20.64</v>
      </c>
      <c r="E607" s="286" t="n">
        <v>0</v>
      </c>
      <c r="F607" s="286" t="n">
        <v>0.6899999999999999</v>
      </c>
      <c r="G607" s="286" t="n">
        <v>1.17</v>
      </c>
      <c r="H607" s="286" t="n">
        <v>-0.76</v>
      </c>
      <c r="I607" s="286" t="n">
        <v>0.06</v>
      </c>
      <c r="J607" s="286" t="n">
        <v>9.76</v>
      </c>
      <c r="K607" s="286" t="n">
        <v>0.95</v>
      </c>
      <c r="L607" s="286" t="n">
        <v>13.1</v>
      </c>
      <c r="M607" s="286" t="inlineStr">
        <is>
          <t>EQ-LC</t>
        </is>
      </c>
    </row>
    <row r="608">
      <c r="A608" s="287" t="inlineStr">
        <is>
          <t>Tata Nifty 50 Index Fund - Regular Plan</t>
        </is>
      </c>
      <c r="B608" s="286" t="n">
        <v>5.85</v>
      </c>
      <c r="C608" s="286" t="n">
        <v>17.96</v>
      </c>
      <c r="D608" s="286" t="n">
        <v>19.85</v>
      </c>
      <c r="E608" s="286" t="n">
        <v>12.12</v>
      </c>
      <c r="F608" s="286" t="n">
        <v>0.64</v>
      </c>
      <c r="G608" s="286" t="n">
        <v>1.1</v>
      </c>
      <c r="H608" s="286" t="n">
        <v>-1.29</v>
      </c>
      <c r="I608" s="286" t="n">
        <v>0.51</v>
      </c>
      <c r="J608" s="286" t="n">
        <v>10.72</v>
      </c>
      <c r="K608" s="286" t="n">
        <v>0.95</v>
      </c>
      <c r="L608" s="286" t="n">
        <v>13.1</v>
      </c>
      <c r="M608" s="286" t="inlineStr">
        <is>
          <t>EQ-LC</t>
        </is>
      </c>
    </row>
    <row r="609">
      <c r="A609" s="287" t="inlineStr">
        <is>
          <t>Tata Nifty Auto Index Fund - Regular Plan</t>
        </is>
      </c>
      <c r="B609" s="286" t="n">
        <v>-7.99</v>
      </c>
      <c r="C609" s="286" t="n">
        <v>0</v>
      </c>
      <c r="D609" s="286" t="n">
        <v>0</v>
      </c>
      <c r="E609" s="286" t="n">
        <v>0</v>
      </c>
      <c r="F609" s="286" t="n">
        <v>0</v>
      </c>
      <c r="G609" s="286" t="n">
        <v>0</v>
      </c>
      <c r="H609" s="286" t="n">
        <v>0</v>
      </c>
      <c r="I609" s="286" t="n">
        <v>1.11</v>
      </c>
      <c r="J609" s="286" t="n">
        <v>17.18</v>
      </c>
      <c r="K609" s="286" t="n">
        <v>0</v>
      </c>
      <c r="L609" s="286" t="n">
        <v>0</v>
      </c>
      <c r="M609" s="286" t="inlineStr">
        <is>
          <t>EQ-THEMATIC</t>
        </is>
      </c>
    </row>
    <row r="610">
      <c r="A610" s="287" t="inlineStr">
        <is>
          <t>Tata Nifty Capital Markets Index Fund - Regular Plan</t>
        </is>
      </c>
      <c r="B610" s="286" t="n">
        <v>0</v>
      </c>
      <c r="C610" s="286" t="n">
        <v>0</v>
      </c>
      <c r="D610" s="286" t="n">
        <v>0</v>
      </c>
      <c r="E610" s="286" t="n">
        <v>0</v>
      </c>
      <c r="F610" s="286" t="n">
        <v>0</v>
      </c>
      <c r="G610" s="286" t="n">
        <v>0</v>
      </c>
      <c r="H610" s="286" t="n">
        <v>0</v>
      </c>
      <c r="I610" s="286" t="n">
        <v>1.12</v>
      </c>
      <c r="J610" s="286" t="n">
        <v>20.15</v>
      </c>
      <c r="K610" s="286" t="n">
        <v>0</v>
      </c>
      <c r="L610" s="286" t="n">
        <v>0</v>
      </c>
      <c r="M610" s="286" t="inlineStr">
        <is>
          <t>EQ-THEMATIC</t>
        </is>
      </c>
    </row>
    <row r="611">
      <c r="A611" s="287" t="inlineStr">
        <is>
          <t>Tata Nifty India Tourism Index Fund - Regular Plan</t>
        </is>
      </c>
      <c r="B611" s="286" t="n">
        <v>0</v>
      </c>
      <c r="C611" s="286" t="n">
        <v>0</v>
      </c>
      <c r="D611" s="286" t="n">
        <v>0</v>
      </c>
      <c r="E611" s="286" t="n">
        <v>0</v>
      </c>
      <c r="F611" s="286" t="n">
        <v>0</v>
      </c>
      <c r="G611" s="286" t="n">
        <v>0</v>
      </c>
      <c r="H611" s="286" t="n">
        <v>0</v>
      </c>
      <c r="I611" s="286" t="n">
        <v>1.11</v>
      </c>
      <c r="J611" s="286" t="n">
        <v>55.47</v>
      </c>
      <c r="K611" s="286" t="n">
        <v>0</v>
      </c>
      <c r="L611" s="286" t="n">
        <v>0</v>
      </c>
      <c r="M611" s="286" t="inlineStr">
        <is>
          <t>EQ-THEMATIC</t>
        </is>
      </c>
    </row>
    <row r="612">
      <c r="A612" s="287" t="inlineStr">
        <is>
          <t>Tata Nifty Midcap 150 Index Fund - Regular Plan</t>
        </is>
      </c>
      <c r="B612" s="286" t="n">
        <v>0</v>
      </c>
      <c r="C612" s="286" t="n">
        <v>0</v>
      </c>
      <c r="D612" s="286" t="n">
        <v>0</v>
      </c>
      <c r="E612" s="286" t="n">
        <v>0</v>
      </c>
      <c r="F612" s="286" t="n">
        <v>0</v>
      </c>
      <c r="G612" s="286" t="n">
        <v>0</v>
      </c>
      <c r="H612" s="286" t="n">
        <v>0</v>
      </c>
      <c r="I612" s="286" t="n">
        <v>0</v>
      </c>
      <c r="J612" s="286" t="n">
        <v>0</v>
      </c>
      <c r="K612" s="286" t="n">
        <v>0</v>
      </c>
      <c r="L612" s="286" t="n">
        <v>0</v>
      </c>
      <c r="M612" s="286" t="inlineStr">
        <is>
          <t>EQ-MC</t>
        </is>
      </c>
    </row>
    <row r="613">
      <c r="A613" s="287" t="inlineStr">
        <is>
          <t>Tata Nifty Midcap 150 Momentum 50 Index Fund - Regular Plan</t>
        </is>
      </c>
      <c r="B613" s="286" t="n">
        <v>-3.9</v>
      </c>
      <c r="C613" s="286" t="n">
        <v>0</v>
      </c>
      <c r="D613" s="286" t="n">
        <v>0</v>
      </c>
      <c r="E613" s="286" t="n">
        <v>0</v>
      </c>
      <c r="F613" s="286" t="n">
        <v>0</v>
      </c>
      <c r="G613" s="286" t="n">
        <v>0</v>
      </c>
      <c r="H613" s="286" t="n">
        <v>0</v>
      </c>
      <c r="I613" s="286" t="n">
        <v>1.05</v>
      </c>
      <c r="J613" s="286" t="n">
        <v>87.08</v>
      </c>
      <c r="K613" s="286" t="n">
        <v>0</v>
      </c>
      <c r="L613" s="286" t="n">
        <v>0</v>
      </c>
      <c r="M613" s="286" t="inlineStr">
        <is>
          <t>EQ-MC</t>
        </is>
      </c>
    </row>
    <row r="614">
      <c r="A614" s="287" t="inlineStr">
        <is>
          <t>Tata Nifty Realty Index Fund - Regular Plan</t>
        </is>
      </c>
      <c r="B614" s="286" t="n">
        <v>-12.08</v>
      </c>
      <c r="C614" s="286" t="n">
        <v>0</v>
      </c>
      <c r="D614" s="286" t="n">
        <v>0</v>
      </c>
      <c r="E614" s="286" t="n">
        <v>0</v>
      </c>
      <c r="F614" s="286" t="n">
        <v>0</v>
      </c>
      <c r="G614" s="286" t="n">
        <v>0</v>
      </c>
      <c r="H614" s="286" t="n">
        <v>0</v>
      </c>
      <c r="I614" s="286" t="n">
        <v>1.11</v>
      </c>
      <c r="J614" s="286" t="n">
        <v>97.23999999999999</v>
      </c>
      <c r="K614" s="286" t="n">
        <v>0</v>
      </c>
      <c r="L614" s="286" t="n">
        <v>0</v>
      </c>
      <c r="M614" s="286" t="inlineStr">
        <is>
          <t>EQ-THEMATIC</t>
        </is>
      </c>
    </row>
    <row r="615">
      <c r="A615" s="287" t="inlineStr">
        <is>
          <t>Tata Retirement Savings Fund - Conservative Plan - Regular Plan</t>
        </is>
      </c>
      <c r="B615" s="286" t="n">
        <v>5.49</v>
      </c>
      <c r="C615" s="286" t="n">
        <v>10.01</v>
      </c>
      <c r="D615" s="286" t="n">
        <v>8.33</v>
      </c>
      <c r="E615" s="286" t="n">
        <v>7.84</v>
      </c>
      <c r="F615" s="286" t="n">
        <v>0.59</v>
      </c>
      <c r="G615" s="286" t="n">
        <v>0.84</v>
      </c>
      <c r="H615" s="286" t="n">
        <v>-1.12</v>
      </c>
      <c r="I615" s="286" t="n">
        <v>2.17</v>
      </c>
      <c r="J615" s="286" t="n">
        <v>4</v>
      </c>
      <c r="K615" s="286" t="n">
        <v>1.03</v>
      </c>
      <c r="L615" s="286" t="n">
        <v>4.5</v>
      </c>
      <c r="M615" s="286" t="inlineStr">
        <is>
          <t>HY-CH</t>
        </is>
      </c>
    </row>
    <row r="616">
      <c r="A616" s="287" t="inlineStr">
        <is>
          <t>Tata Retirement Savings Fund - Moderate Plan - Regular Plan</t>
        </is>
      </c>
      <c r="B616" s="286" t="n">
        <v>6.02</v>
      </c>
      <c r="C616" s="286" t="n">
        <v>19.12</v>
      </c>
      <c r="D616" s="286" t="n">
        <v>17.2</v>
      </c>
      <c r="E616" s="286" t="n">
        <v>12.21</v>
      </c>
      <c r="F616" s="286" t="n">
        <v>0.84</v>
      </c>
      <c r="G616" s="286" t="n">
        <v>1.13</v>
      </c>
      <c r="H616" s="286" t="n">
        <v>1.03</v>
      </c>
      <c r="I616" s="286" t="n">
        <v>2</v>
      </c>
      <c r="J616" s="286" t="n">
        <v>41.18</v>
      </c>
      <c r="K616" s="286" t="n">
        <v>0.9</v>
      </c>
      <c r="L616" s="286" t="n">
        <v>11.59</v>
      </c>
      <c r="M616" s="286" t="inlineStr">
        <is>
          <t>HY-AH</t>
        </is>
      </c>
    </row>
    <row r="617">
      <c r="A617" s="287" t="inlineStr">
        <is>
          <t>Tata Retirement Savings Fund - Progressive Plan - Regular Plan</t>
        </is>
      </c>
      <c r="B617" s="286" t="n">
        <v>4.61</v>
      </c>
      <c r="C617" s="286" t="n">
        <v>20.98</v>
      </c>
      <c r="D617" s="286" t="n">
        <v>18.7</v>
      </c>
      <c r="E617" s="286" t="n">
        <v>13.55</v>
      </c>
      <c r="F617" s="286" t="n">
        <v>0.8100000000000001</v>
      </c>
      <c r="G617" s="286" t="n">
        <v>1.06</v>
      </c>
      <c r="H617" s="286" t="n">
        <v>0.99</v>
      </c>
      <c r="I617" s="286" t="n">
        <v>2</v>
      </c>
      <c r="J617" s="286" t="n">
        <v>52.69</v>
      </c>
      <c r="K617" s="286" t="n">
        <v>0.88</v>
      </c>
      <c r="L617" s="286" t="n">
        <v>13.75</v>
      </c>
      <c r="M617" s="286" t="inlineStr">
        <is>
          <t>EQ-FLX</t>
        </is>
      </c>
    </row>
    <row r="618">
      <c r="A618" s="287" t="inlineStr">
        <is>
          <t>Tata Small Cap Fund - Regular Plan</t>
        </is>
      </c>
      <c r="B618" s="286" t="n">
        <v>2.51</v>
      </c>
      <c r="C618" s="286" t="n">
        <v>27.38</v>
      </c>
      <c r="D618" s="286" t="n">
        <v>33.07</v>
      </c>
      <c r="E618" s="286" t="n">
        <v>0</v>
      </c>
      <c r="F618" s="286" t="n">
        <v>1.06</v>
      </c>
      <c r="G618" s="286" t="n">
        <v>1.47</v>
      </c>
      <c r="H618" s="286" t="n">
        <v>3.11</v>
      </c>
      <c r="I618" s="286" t="n">
        <v>1.68</v>
      </c>
      <c r="J618" s="286" t="n">
        <v>10.8</v>
      </c>
      <c r="K618" s="286" t="n">
        <v>0.78</v>
      </c>
      <c r="L618" s="286" t="n">
        <v>16.37</v>
      </c>
      <c r="M618" s="286" t="inlineStr">
        <is>
          <t>EQ-SC</t>
        </is>
      </c>
    </row>
    <row r="619">
      <c r="A619" s="287" t="inlineStr">
        <is>
          <t>Tata Young Citizens Fund - Regular Plan</t>
        </is>
      </c>
      <c r="B619" s="286" t="n">
        <v>3.13</v>
      </c>
      <c r="C619" s="286" t="n">
        <v>19.7</v>
      </c>
      <c r="D619" s="286" t="n">
        <v>20.68</v>
      </c>
      <c r="E619" s="286" t="n">
        <v>11.37</v>
      </c>
      <c r="F619" s="286" t="n">
        <v>0.74</v>
      </c>
      <c r="G619" s="286" t="n">
        <v>1.16</v>
      </c>
      <c r="H619" s="286" t="n">
        <v>-0.36</v>
      </c>
      <c r="I619" s="286" t="n">
        <v>2.58</v>
      </c>
      <c r="J619" s="286" t="n">
        <v>38.68</v>
      </c>
      <c r="K619" s="286" t="n">
        <v>0.9</v>
      </c>
      <c r="L619" s="286" t="n">
        <v>13.53</v>
      </c>
      <c r="M619" s="286" t="inlineStr">
        <is>
          <t>EQ-FLX</t>
        </is>
      </c>
    </row>
    <row r="620">
      <c r="A620" s="287" t="inlineStr">
        <is>
          <t>Taurus Ethical Fund - Regular Plan</t>
        </is>
      </c>
      <c r="B620" s="286" t="n">
        <v>-0.92</v>
      </c>
      <c r="C620" s="286" t="n">
        <v>18.93</v>
      </c>
      <c r="D620" s="286" t="n">
        <v>19.83</v>
      </c>
      <c r="E620" s="286" t="n">
        <v>11.94</v>
      </c>
      <c r="F620" s="286" t="n">
        <v>0.66</v>
      </c>
      <c r="G620" s="286" t="n">
        <v>0.9399999999999999</v>
      </c>
      <c r="H620" s="286" t="n">
        <v>-0.9399999999999999</v>
      </c>
      <c r="I620" s="286" t="n">
        <v>2.39</v>
      </c>
      <c r="J620" s="286" t="n">
        <v>114</v>
      </c>
      <c r="K620" s="286" t="n">
        <v>0.93</v>
      </c>
      <c r="L620" s="286" t="n">
        <v>14.82</v>
      </c>
      <c r="M620" s="286" t="inlineStr">
        <is>
          <t>EQ-THEMATIC</t>
        </is>
      </c>
    </row>
    <row r="621">
      <c r="A621" s="287" t="inlineStr">
        <is>
          <t>Taurus Flexi Cap Fund - Regular Plan</t>
        </is>
      </c>
      <c r="B621" s="286" t="n">
        <v>-2.2</v>
      </c>
      <c r="C621" s="286" t="n">
        <v>19.62</v>
      </c>
      <c r="D621" s="286" t="n">
        <v>19.02</v>
      </c>
      <c r="E621" s="286" t="n">
        <v>9.09</v>
      </c>
      <c r="F621" s="286" t="n">
        <v>0.63</v>
      </c>
      <c r="G621" s="286" t="n">
        <v>0.95</v>
      </c>
      <c r="H621" s="286" t="n">
        <v>-1.88</v>
      </c>
      <c r="I621" s="286" t="n">
        <v>2.64</v>
      </c>
      <c r="J621" s="286" t="n">
        <v>72</v>
      </c>
      <c r="K621" s="286" t="n">
        <v>1.02</v>
      </c>
      <c r="L621" s="286" t="n">
        <v>15.7</v>
      </c>
      <c r="M621" s="286" t="inlineStr">
        <is>
          <t>EQ-FLX</t>
        </is>
      </c>
    </row>
    <row r="622">
      <c r="A622" s="287" t="inlineStr">
        <is>
          <t>Taurus Large Cap Fund - Regular Plan</t>
        </is>
      </c>
      <c r="B622" s="286" t="n">
        <v>1.15</v>
      </c>
      <c r="C622" s="286" t="n">
        <v>20.29</v>
      </c>
      <c r="D622" s="286" t="n">
        <v>18.95</v>
      </c>
      <c r="E622" s="286" t="n">
        <v>9.369999999999999</v>
      </c>
      <c r="F622" s="286" t="n">
        <v>0.63</v>
      </c>
      <c r="G622" s="286" t="n">
        <v>0.99</v>
      </c>
      <c r="H622" s="286" t="n">
        <v>-1</v>
      </c>
      <c r="I622" s="286" t="n">
        <v>2.59</v>
      </c>
      <c r="J622" s="286" t="n">
        <v>87</v>
      </c>
      <c r="K622" s="286" t="n">
        <v>1.1</v>
      </c>
      <c r="L622" s="286" t="n">
        <v>16.49</v>
      </c>
      <c r="M622" s="286" t="inlineStr">
        <is>
          <t>EQ-LC</t>
        </is>
      </c>
    </row>
    <row r="623">
      <c r="A623" s="287" t="inlineStr">
        <is>
          <t>Taurus Mid Cap Fund - Regular Plan</t>
        </is>
      </c>
      <c r="B623" s="286" t="n">
        <v>-4.28</v>
      </c>
      <c r="C623" s="286" t="n">
        <v>23.41</v>
      </c>
      <c r="D623" s="286" t="n">
        <v>23.41</v>
      </c>
      <c r="E623" s="286" t="n">
        <v>14.62</v>
      </c>
      <c r="F623" s="286" t="n">
        <v>0.82</v>
      </c>
      <c r="G623" s="286" t="n">
        <v>1.44</v>
      </c>
      <c r="H623" s="286" t="n">
        <v>-3.52</v>
      </c>
      <c r="I623" s="286" t="n">
        <v>2.56</v>
      </c>
      <c r="J623" s="286" t="n">
        <v>81</v>
      </c>
      <c r="K623" s="286" t="n">
        <v>0.99</v>
      </c>
      <c r="L623" s="286" t="n">
        <v>17.48</v>
      </c>
      <c r="M623" s="286" t="inlineStr">
        <is>
          <t>EQ-MC</t>
        </is>
      </c>
    </row>
    <row r="624">
      <c r="A624" s="287" t="inlineStr">
        <is>
          <t>Taurus Nifty 50 Index Fund - Regular Plan</t>
        </is>
      </c>
      <c r="B624" s="286" t="n">
        <v>5.31</v>
      </c>
      <c r="C624" s="286" t="n">
        <v>17.27</v>
      </c>
      <c r="D624" s="286" t="n">
        <v>19.6</v>
      </c>
      <c r="E624" s="286" t="n">
        <v>11.84</v>
      </c>
      <c r="F624" s="286" t="n">
        <v>0.61</v>
      </c>
      <c r="G624" s="286" t="n">
        <v>1.05</v>
      </c>
      <c r="H624" s="286" t="n">
        <v>-1.78</v>
      </c>
      <c r="I624" s="286" t="n">
        <v>1.07</v>
      </c>
      <c r="J624" s="286" t="n">
        <v>8</v>
      </c>
      <c r="K624" s="286" t="n">
        <v>0.9399999999999999</v>
      </c>
      <c r="L624" s="286" t="n">
        <v>13.02</v>
      </c>
      <c r="M624" s="286" t="inlineStr">
        <is>
          <t>EQ-LC</t>
        </is>
      </c>
    </row>
    <row r="625">
      <c r="A625" s="287" t="inlineStr">
        <is>
          <t>TRUSTMF Flexi Cap Fund - Regular Plan</t>
        </is>
      </c>
      <c r="B625" s="286" t="n">
        <v>3.98</v>
      </c>
      <c r="C625" s="286" t="n">
        <v>0</v>
      </c>
      <c r="D625" s="286" t="n">
        <v>0</v>
      </c>
      <c r="E625" s="286" t="n">
        <v>0</v>
      </c>
      <c r="F625" s="286" t="n">
        <v>0</v>
      </c>
      <c r="G625" s="286" t="n">
        <v>0</v>
      </c>
      <c r="H625" s="286" t="n">
        <v>0</v>
      </c>
      <c r="I625" s="286" t="n">
        <v>2.12</v>
      </c>
      <c r="J625" s="286" t="n">
        <v>259</v>
      </c>
      <c r="K625" s="286" t="n">
        <v>0</v>
      </c>
      <c r="L625" s="286" t="n">
        <v>0</v>
      </c>
      <c r="M625" s="286" t="inlineStr">
        <is>
          <t>EQ-FLX</t>
        </is>
      </c>
    </row>
    <row r="626">
      <c r="A626" s="287" t="inlineStr">
        <is>
          <t>TRUSTMF Small Cap Fund - Regular Plan</t>
        </is>
      </c>
      <c r="B626" s="286" t="n">
        <v>0</v>
      </c>
      <c r="C626" s="286" t="n">
        <v>0</v>
      </c>
      <c r="D626" s="286" t="n">
        <v>0</v>
      </c>
      <c r="E626" s="286" t="n">
        <v>0</v>
      </c>
      <c r="F626" s="286" t="n">
        <v>0</v>
      </c>
      <c r="G626" s="286" t="n">
        <v>0</v>
      </c>
      <c r="H626" s="286" t="n">
        <v>0</v>
      </c>
      <c r="I626" s="286" t="n">
        <v>2.17</v>
      </c>
      <c r="J626" s="286" t="n">
        <v>0</v>
      </c>
      <c r="K626" s="286" t="n">
        <v>0</v>
      </c>
      <c r="L626" s="286" t="n">
        <v>0</v>
      </c>
      <c r="M626" s="286" t="inlineStr">
        <is>
          <t>EQ-SC</t>
        </is>
      </c>
    </row>
    <row r="627">
      <c r="A627" s="287" t="inlineStr">
        <is>
          <t>Unifi Dynamic Asset Allocation Fund - Regular Plan</t>
        </is>
      </c>
      <c r="B627" s="286" t="n">
        <v>0</v>
      </c>
      <c r="C627" s="286" t="n">
        <v>0</v>
      </c>
      <c r="D627" s="286" t="n">
        <v>0</v>
      </c>
      <c r="E627" s="286" t="n">
        <v>0</v>
      </c>
      <c r="F627" s="286" t="n">
        <v>0</v>
      </c>
      <c r="G627" s="286" t="n">
        <v>0</v>
      </c>
      <c r="H627" s="286" t="n">
        <v>0</v>
      </c>
      <c r="I627" s="286" t="n">
        <v>1.52</v>
      </c>
      <c r="J627" s="286" t="n">
        <v>0</v>
      </c>
      <c r="K627" s="286" t="n">
        <v>0</v>
      </c>
      <c r="L627" s="286" t="n">
        <v>0</v>
      </c>
      <c r="M627" s="286" t="inlineStr">
        <is>
          <t>HY-DAA</t>
        </is>
      </c>
    </row>
    <row r="628">
      <c r="A628" s="287" t="inlineStr">
        <is>
          <t>Unifi Flexi Cap Fund - Regular Plan</t>
        </is>
      </c>
      <c r="B628" s="286" t="n">
        <v>0</v>
      </c>
      <c r="C628" s="286" t="n">
        <v>0</v>
      </c>
      <c r="D628" s="286" t="n">
        <v>0</v>
      </c>
      <c r="E628" s="286" t="n">
        <v>0</v>
      </c>
      <c r="F628" s="286" t="n">
        <v>0</v>
      </c>
      <c r="G628" s="286" t="n">
        <v>0</v>
      </c>
      <c r="H628" s="286" t="n">
        <v>0</v>
      </c>
      <c r="I628" s="286" t="n">
        <v>0</v>
      </c>
      <c r="J628" s="286" t="n">
        <v>0</v>
      </c>
      <c r="K628" s="286" t="n">
        <v>0</v>
      </c>
      <c r="L628" s="286" t="n">
        <v>0</v>
      </c>
      <c r="M628" s="286" t="inlineStr">
        <is>
          <t>EQ-FLX</t>
        </is>
      </c>
    </row>
    <row r="629">
      <c r="A629" s="287" t="inlineStr">
        <is>
          <t>Union Active Momentum Fund - Regular Plan</t>
        </is>
      </c>
      <c r="B629" s="286" t="n">
        <v>0</v>
      </c>
      <c r="C629" s="286" t="n">
        <v>0</v>
      </c>
      <c r="D629" s="286" t="n">
        <v>0</v>
      </c>
      <c r="E629" s="286" t="n">
        <v>0</v>
      </c>
      <c r="F629" s="286" t="n">
        <v>0</v>
      </c>
      <c r="G629" s="286" t="n">
        <v>0</v>
      </c>
      <c r="H629" s="286" t="n">
        <v>0</v>
      </c>
      <c r="I629" s="286" t="n">
        <v>2.44</v>
      </c>
      <c r="J629" s="286" t="n">
        <v>0</v>
      </c>
      <c r="K629" s="286" t="n">
        <v>0</v>
      </c>
      <c r="L629" s="286" t="n">
        <v>0</v>
      </c>
      <c r="M629" s="286" t="inlineStr">
        <is>
          <t>EQ-THEMATIC</t>
        </is>
      </c>
    </row>
    <row r="630">
      <c r="A630" s="287" t="inlineStr">
        <is>
          <t>Union Aggressive Hybrid Fund - Regular Plan</t>
        </is>
      </c>
      <c r="B630" s="286" t="n">
        <v>5.6</v>
      </c>
      <c r="C630" s="286" t="n">
        <v>16.71</v>
      </c>
      <c r="D630" s="286" t="n">
        <v>0</v>
      </c>
      <c r="E630" s="286" t="n">
        <v>0</v>
      </c>
      <c r="F630" s="286" t="n">
        <v>0.74</v>
      </c>
      <c r="G630" s="286" t="n">
        <v>1.14</v>
      </c>
      <c r="H630" s="286" t="n">
        <v>-0.46</v>
      </c>
      <c r="I630" s="286" t="n">
        <v>2.37</v>
      </c>
      <c r="J630" s="286" t="n">
        <v>65</v>
      </c>
      <c r="K630" s="286" t="n">
        <v>0.88</v>
      </c>
      <c r="L630" s="286" t="n">
        <v>10.76</v>
      </c>
      <c r="M630" s="286" t="inlineStr">
        <is>
          <t>HY-AH</t>
        </is>
      </c>
    </row>
    <row r="631">
      <c r="A631" s="287" t="inlineStr">
        <is>
          <t>Union Arbitrage Fund - Regular Plan</t>
        </is>
      </c>
      <c r="B631" s="286" t="n">
        <v>6.69</v>
      </c>
      <c r="C631" s="286" t="n">
        <v>6.71</v>
      </c>
      <c r="D631" s="286" t="n">
        <v>5.31</v>
      </c>
      <c r="E631" s="286" t="n">
        <v>0</v>
      </c>
      <c r="F631" s="286" t="n">
        <v>0.23</v>
      </c>
      <c r="G631" s="286" t="n">
        <v>0.27</v>
      </c>
      <c r="H631" s="286" t="n">
        <v>1.1</v>
      </c>
      <c r="I631" s="286" t="n">
        <v>1.07</v>
      </c>
      <c r="J631" s="286" t="inlineStr">
        <is>
          <t>1,315.00</t>
        </is>
      </c>
      <c r="K631" s="286" t="n">
        <v>0.51</v>
      </c>
      <c r="L631" s="286" t="n">
        <v>0.5600000000000001</v>
      </c>
      <c r="M631" s="286" t="inlineStr">
        <is>
          <t>HY-AR</t>
        </is>
      </c>
    </row>
    <row r="632">
      <c r="A632" s="287" t="inlineStr">
        <is>
          <t>Union Balanced Advantage Fund - Regular Plan</t>
        </is>
      </c>
      <c r="B632" s="286" t="n">
        <v>3.87</v>
      </c>
      <c r="C632" s="286" t="n">
        <v>12.11</v>
      </c>
      <c r="D632" s="286" t="n">
        <v>12.34</v>
      </c>
      <c r="E632" s="286" t="n">
        <v>0</v>
      </c>
      <c r="F632" s="286" t="n">
        <v>0.61</v>
      </c>
      <c r="G632" s="286" t="n">
        <v>0.91</v>
      </c>
      <c r="H632" s="286" t="n">
        <v>-0.97</v>
      </c>
      <c r="I632" s="286" t="n">
        <v>2.15</v>
      </c>
      <c r="J632" s="286" t="n">
        <v>451</v>
      </c>
      <c r="K632" s="286" t="n">
        <v>0.67</v>
      </c>
      <c r="L632" s="286" t="n">
        <v>7.08</v>
      </c>
      <c r="M632" s="286" t="inlineStr">
        <is>
          <t>HY-DAA</t>
        </is>
      </c>
    </row>
    <row r="633">
      <c r="A633" s="287" t="inlineStr">
        <is>
          <t>Union Business Cycle Fund - Regular Plan</t>
        </is>
      </c>
      <c r="B633" s="286" t="n">
        <v>-2.33</v>
      </c>
      <c r="C633" s="286" t="n">
        <v>0</v>
      </c>
      <c r="D633" s="286" t="n">
        <v>0</v>
      </c>
      <c r="E633" s="286" t="n">
        <v>0</v>
      </c>
      <c r="F633" s="286" t="n">
        <v>0</v>
      </c>
      <c r="G633" s="286" t="n">
        <v>0</v>
      </c>
      <c r="H633" s="286" t="n">
        <v>0</v>
      </c>
      <c r="I633" s="286" t="n">
        <v>2.36</v>
      </c>
      <c r="J633" s="286" t="n">
        <v>194</v>
      </c>
      <c r="K633" s="286" t="n">
        <v>0</v>
      </c>
      <c r="L633" s="286" t="n">
        <v>0</v>
      </c>
      <c r="M633" s="286" t="inlineStr">
        <is>
          <t>EQ-THEMATIC</t>
        </is>
      </c>
    </row>
    <row r="634">
      <c r="A634" s="287" t="inlineStr">
        <is>
          <t>Union Children's Fund - Regular Plan</t>
        </is>
      </c>
      <c r="B634" s="286" t="n">
        <v>6.05</v>
      </c>
      <c r="C634" s="286" t="n">
        <v>0</v>
      </c>
      <c r="D634" s="286" t="n">
        <v>0</v>
      </c>
      <c r="E634" s="286" t="n">
        <v>0</v>
      </c>
      <c r="F634" s="286" t="n">
        <v>0</v>
      </c>
      <c r="G634" s="286" t="n">
        <v>0</v>
      </c>
      <c r="H634" s="286" t="n">
        <v>0</v>
      </c>
      <c r="I634" s="286" t="n">
        <v>2.42</v>
      </c>
      <c r="J634" s="286" t="n">
        <v>82</v>
      </c>
      <c r="K634" s="286" t="n">
        <v>0</v>
      </c>
      <c r="L634" s="286" t="n">
        <v>0</v>
      </c>
      <c r="M634" s="286" t="inlineStr">
        <is>
          <t>EQ-FLX</t>
        </is>
      </c>
    </row>
    <row r="635">
      <c r="A635" s="287" t="inlineStr">
        <is>
          <t>Union Flexi Cap Fund</t>
        </is>
      </c>
      <c r="B635" s="286" t="n">
        <v>3.24</v>
      </c>
      <c r="C635" s="286" t="n">
        <v>20.29</v>
      </c>
      <c r="D635" s="286" t="n">
        <v>22.09</v>
      </c>
      <c r="E635" s="286" t="n">
        <v>12.21</v>
      </c>
      <c r="F635" s="286" t="n">
        <v>0.78</v>
      </c>
      <c r="G635" s="286" t="n">
        <v>1.07</v>
      </c>
      <c r="H635" s="286" t="n">
        <v>0.25</v>
      </c>
      <c r="I635" s="286" t="n">
        <v>2.02</v>
      </c>
      <c r="J635" s="286" t="n">
        <v>106</v>
      </c>
      <c r="K635" s="286" t="n">
        <v>0.9</v>
      </c>
      <c r="L635" s="286" t="n">
        <v>13.52</v>
      </c>
      <c r="M635" s="286" t="inlineStr">
        <is>
          <t>EQ-FLX</t>
        </is>
      </c>
    </row>
    <row r="636">
      <c r="A636" s="287" t="inlineStr">
        <is>
          <t>Union Focused Fund - Regular Plan</t>
        </is>
      </c>
      <c r="B636" s="286" t="n">
        <v>0.49</v>
      </c>
      <c r="C636" s="286" t="n">
        <v>16.85</v>
      </c>
      <c r="D636" s="286" t="n">
        <v>19.43</v>
      </c>
      <c r="E636" s="286" t="n">
        <v>0</v>
      </c>
      <c r="F636" s="286" t="n">
        <v>0.6</v>
      </c>
      <c r="G636" s="286" t="n">
        <v>0.85</v>
      </c>
      <c r="H636" s="286" t="n">
        <v>-1.86</v>
      </c>
      <c r="I636" s="286" t="n">
        <v>2.49</v>
      </c>
      <c r="J636" s="286" t="n">
        <v>126</v>
      </c>
      <c r="K636" s="286" t="n">
        <v>0.84</v>
      </c>
      <c r="L636" s="286" t="n">
        <v>12.93</v>
      </c>
      <c r="M636" s="286" t="inlineStr">
        <is>
          <t>EQ-FLX</t>
        </is>
      </c>
    </row>
    <row r="637">
      <c r="A637" s="287" t="inlineStr">
        <is>
          <t>Union Innovation &amp; Opportunities Fund - Regular Plan</t>
        </is>
      </c>
      <c r="B637" s="286" t="n">
        <v>5.27</v>
      </c>
      <c r="C637" s="286" t="n">
        <v>0</v>
      </c>
      <c r="D637" s="286" t="n">
        <v>0</v>
      </c>
      <c r="E637" s="286" t="n">
        <v>0</v>
      </c>
      <c r="F637" s="286" t="n">
        <v>0</v>
      </c>
      <c r="G637" s="286" t="n">
        <v>0</v>
      </c>
      <c r="H637" s="286" t="n">
        <v>0</v>
      </c>
      <c r="I637" s="286" t="n">
        <v>2.21</v>
      </c>
      <c r="J637" s="286" t="n">
        <v>55</v>
      </c>
      <c r="K637" s="286" t="n">
        <v>0</v>
      </c>
      <c r="L637" s="286" t="n">
        <v>0</v>
      </c>
      <c r="M637" s="286" t="inlineStr">
        <is>
          <t>EQ-THEMATIC</t>
        </is>
      </c>
    </row>
    <row r="638">
      <c r="A638" s="287" t="inlineStr">
        <is>
          <t>Union Largecap Fund - Regular Plan</t>
        </is>
      </c>
      <c r="B638" s="286" t="n">
        <v>0.09</v>
      </c>
      <c r="C638" s="286" t="n">
        <v>17.44</v>
      </c>
      <c r="D638" s="286" t="n">
        <v>18.78</v>
      </c>
      <c r="E638" s="286" t="n">
        <v>0</v>
      </c>
      <c r="F638" s="286" t="n">
        <v>0.62</v>
      </c>
      <c r="G638" s="286" t="n">
        <v>1.08</v>
      </c>
      <c r="H638" s="286" t="n">
        <v>-1.41</v>
      </c>
      <c r="I638" s="286" t="n">
        <v>2.49</v>
      </c>
      <c r="J638" s="286" t="n">
        <v>130</v>
      </c>
      <c r="K638" s="286" t="n">
        <v>0.92</v>
      </c>
      <c r="L638" s="286" t="n">
        <v>12.93</v>
      </c>
      <c r="M638" s="286" t="inlineStr">
        <is>
          <t>EQ-LC</t>
        </is>
      </c>
    </row>
    <row r="639">
      <c r="A639" s="287" t="inlineStr">
        <is>
          <t>Union Large &amp; Midcap Fund - Regular Plan</t>
        </is>
      </c>
      <c r="B639" s="286" t="n">
        <v>1.3</v>
      </c>
      <c r="C639" s="286" t="n">
        <v>20.34</v>
      </c>
      <c r="D639" s="286" t="n">
        <v>22.06</v>
      </c>
      <c r="E639" s="286" t="n">
        <v>0</v>
      </c>
      <c r="F639" s="286" t="n">
        <v>0.73</v>
      </c>
      <c r="G639" s="286" t="n">
        <v>0.92</v>
      </c>
      <c r="H639" s="286" t="n">
        <v>0.42</v>
      </c>
      <c r="I639" s="286" t="n">
        <v>2.27</v>
      </c>
      <c r="J639" s="286" t="n">
        <v>164</v>
      </c>
      <c r="K639" s="286" t="n">
        <v>0.92</v>
      </c>
      <c r="L639" s="286" t="n">
        <v>14.43</v>
      </c>
      <c r="M639" s="286" t="inlineStr">
        <is>
          <t>EQ-L&amp;MC</t>
        </is>
      </c>
    </row>
    <row r="640">
      <c r="A640" s="287" t="inlineStr">
        <is>
          <t>Union Midcap Fund - Regular Plan</t>
        </is>
      </c>
      <c r="B640" s="286" t="n">
        <v>2.51</v>
      </c>
      <c r="C640" s="286" t="n">
        <v>24.33</v>
      </c>
      <c r="D640" s="286" t="n">
        <v>28.94</v>
      </c>
      <c r="E640" s="286" t="n">
        <v>0</v>
      </c>
      <c r="F640" s="286" t="n">
        <v>0.85</v>
      </c>
      <c r="G640" s="286" t="n">
        <v>1.13</v>
      </c>
      <c r="H640" s="286" t="n">
        <v>-2.84</v>
      </c>
      <c r="I640" s="286" t="n">
        <v>2.1</v>
      </c>
      <c r="J640" s="286" t="n">
        <v>168</v>
      </c>
      <c r="K640" s="286" t="n">
        <v>0.9399999999999999</v>
      </c>
      <c r="L640" s="286" t="n">
        <v>16.73</v>
      </c>
      <c r="M640" s="286" t="inlineStr">
        <is>
          <t>EQ-MC</t>
        </is>
      </c>
    </row>
    <row r="641">
      <c r="A641" s="287" t="inlineStr">
        <is>
          <t>Union Multi Asset Allocation Fund - Regular Plan</t>
        </is>
      </c>
      <c r="B641" s="286" t="n">
        <v>0</v>
      </c>
      <c r="C641" s="286" t="n">
        <v>0</v>
      </c>
      <c r="D641" s="286" t="n">
        <v>0</v>
      </c>
      <c r="E641" s="286" t="n">
        <v>0</v>
      </c>
      <c r="F641" s="286" t="n">
        <v>0</v>
      </c>
      <c r="G641" s="286" t="n">
        <v>0</v>
      </c>
      <c r="H641" s="286" t="n">
        <v>0</v>
      </c>
      <c r="I641" s="286" t="n">
        <v>2.2</v>
      </c>
      <c r="J641" s="286" t="n">
        <v>0</v>
      </c>
      <c r="K641" s="286" t="n">
        <v>0</v>
      </c>
      <c r="L641" s="286" t="n">
        <v>0</v>
      </c>
      <c r="M641" s="286" t="inlineStr">
        <is>
          <t>HY-MAA</t>
        </is>
      </c>
    </row>
    <row r="642">
      <c r="A642" s="287" t="inlineStr">
        <is>
          <t>Union Multicap Fund - Regular Plan</t>
        </is>
      </c>
      <c r="B642" s="286" t="n">
        <v>2.2</v>
      </c>
      <c r="C642" s="286" t="n">
        <v>0</v>
      </c>
      <c r="D642" s="286" t="n">
        <v>0</v>
      </c>
      <c r="E642" s="286" t="n">
        <v>0</v>
      </c>
      <c r="F642" s="286" t="n">
        <v>0</v>
      </c>
      <c r="G642" s="286" t="n">
        <v>0</v>
      </c>
      <c r="H642" s="286" t="n">
        <v>0</v>
      </c>
      <c r="I642" s="286" t="n">
        <v>2.19</v>
      </c>
      <c r="J642" s="286" t="n">
        <v>125</v>
      </c>
      <c r="K642" s="286" t="n">
        <v>0</v>
      </c>
      <c r="L642" s="286" t="n">
        <v>0</v>
      </c>
      <c r="M642" s="286" t="inlineStr">
        <is>
          <t>EQ-MLC</t>
        </is>
      </c>
    </row>
    <row r="643">
      <c r="A643" s="287" t="inlineStr">
        <is>
          <t>Union Retirement Fund - Regular Plan</t>
        </is>
      </c>
      <c r="B643" s="286" t="n">
        <v>3.73</v>
      </c>
      <c r="C643" s="286" t="n">
        <v>0</v>
      </c>
      <c r="D643" s="286" t="n">
        <v>0</v>
      </c>
      <c r="E643" s="286" t="n">
        <v>0</v>
      </c>
      <c r="F643" s="286" t="n">
        <v>0</v>
      </c>
      <c r="G643" s="286" t="n">
        <v>0</v>
      </c>
      <c r="H643" s="286" t="n">
        <v>0</v>
      </c>
      <c r="I643" s="286" t="n">
        <v>2.37</v>
      </c>
      <c r="J643" s="286" t="n">
        <v>49</v>
      </c>
      <c r="K643" s="286" t="n">
        <v>0</v>
      </c>
      <c r="L643" s="286" t="n">
        <v>0</v>
      </c>
      <c r="M643" s="286" t="inlineStr">
        <is>
          <t>EQ-FLX</t>
        </is>
      </c>
    </row>
    <row r="644">
      <c r="A644" s="287" t="inlineStr">
        <is>
          <t>Union Small Cap Fund - Regular Plan</t>
        </is>
      </c>
      <c r="B644" s="286" t="n">
        <v>0.54</v>
      </c>
      <c r="C644" s="286" t="n">
        <v>22.39</v>
      </c>
      <c r="D644" s="286" t="n">
        <v>30.01</v>
      </c>
      <c r="E644" s="286" t="n">
        <v>14.31</v>
      </c>
      <c r="F644" s="286" t="n">
        <v>0.71</v>
      </c>
      <c r="G644" s="286" t="n">
        <v>0.95</v>
      </c>
      <c r="H644" s="286" t="n">
        <v>-2.53</v>
      </c>
      <c r="I644" s="286" t="n">
        <v>2.12</v>
      </c>
      <c r="J644" s="286" t="n">
        <v>105</v>
      </c>
      <c r="K644" s="286" t="n">
        <v>0.85</v>
      </c>
      <c r="L644" s="286" t="n">
        <v>18.13</v>
      </c>
      <c r="M644" s="286" t="inlineStr">
        <is>
          <t>EQ-SC</t>
        </is>
      </c>
    </row>
    <row r="645">
      <c r="A645" s="287" t="inlineStr">
        <is>
          <t>UTI Aggressive Hybrid Fund - Regular Plan</t>
        </is>
      </c>
      <c r="B645" s="286" t="n">
        <v>6.92</v>
      </c>
      <c r="C645" s="286" t="n">
        <v>20.58</v>
      </c>
      <c r="D645" s="286" t="n">
        <v>21.76</v>
      </c>
      <c r="E645" s="286" t="n">
        <v>12.32</v>
      </c>
      <c r="F645" s="286" t="n">
        <v>1.11</v>
      </c>
      <c r="G645" s="286" t="n">
        <v>1.7</v>
      </c>
      <c r="H645" s="286" t="n">
        <v>3.21</v>
      </c>
      <c r="I645" s="286" t="n">
        <v>1.88</v>
      </c>
      <c r="J645" s="286" t="n">
        <v>31</v>
      </c>
      <c r="K645" s="286" t="n">
        <v>0.83</v>
      </c>
      <c r="L645" s="286" t="n">
        <v>10.1</v>
      </c>
      <c r="M645" s="286" t="inlineStr">
        <is>
          <t>HY-AH</t>
        </is>
      </c>
    </row>
    <row r="646">
      <c r="A646" s="287" t="inlineStr">
        <is>
          <t>UTI Arbitrage Fund - Regular Plan</t>
        </is>
      </c>
      <c r="B646" s="286" t="n">
        <v>7.12</v>
      </c>
      <c r="C646" s="286" t="n">
        <v>6.89</v>
      </c>
      <c r="D646" s="286" t="n">
        <v>5.57</v>
      </c>
      <c r="E646" s="286" t="n">
        <v>5.83</v>
      </c>
      <c r="F646" s="286" t="n">
        <v>0.5</v>
      </c>
      <c r="G646" s="286" t="n">
        <v>0.54</v>
      </c>
      <c r="H646" s="286" t="n">
        <v>1.54</v>
      </c>
      <c r="I646" s="286" t="n">
        <v>0.76</v>
      </c>
      <c r="J646" s="286" t="inlineStr">
        <is>
          <t>1,164.00</t>
        </is>
      </c>
      <c r="K646" s="286" t="n">
        <v>0.66</v>
      </c>
      <c r="L646" s="286" t="n">
        <v>0.5600000000000001</v>
      </c>
      <c r="M646" s="286" t="inlineStr">
        <is>
          <t>HY-AR</t>
        </is>
      </c>
    </row>
    <row r="647">
      <c r="A647" s="287" t="inlineStr">
        <is>
          <t>UTI Balanced Advantage Fund - Regular Plan</t>
        </is>
      </c>
      <c r="B647" s="286" t="n">
        <v>8.23</v>
      </c>
      <c r="C647" s="286" t="n">
        <v>0</v>
      </c>
      <c r="D647" s="286" t="n">
        <v>0</v>
      </c>
      <c r="E647" s="286" t="n">
        <v>0</v>
      </c>
      <c r="F647" s="286" t="n">
        <v>0</v>
      </c>
      <c r="G647" s="286" t="n">
        <v>0</v>
      </c>
      <c r="H647" s="286" t="n">
        <v>0</v>
      </c>
      <c r="I647" s="286" t="n">
        <v>1.92</v>
      </c>
      <c r="J647" s="286" t="n">
        <v>223</v>
      </c>
      <c r="K647" s="286" t="n">
        <v>0</v>
      </c>
      <c r="L647" s="286" t="n">
        <v>0</v>
      </c>
      <c r="M647" s="286" t="inlineStr">
        <is>
          <t>HY-DAA</t>
        </is>
      </c>
    </row>
    <row r="648">
      <c r="A648" s="287" t="inlineStr">
        <is>
          <t>UTI BSE Housing Index Fund - Regular Plan</t>
        </is>
      </c>
      <c r="B648" s="286" t="n">
        <v>-8.18</v>
      </c>
      <c r="C648" s="286" t="n">
        <v>0</v>
      </c>
      <c r="D648" s="286" t="n">
        <v>0</v>
      </c>
      <c r="E648" s="286" t="n">
        <v>0</v>
      </c>
      <c r="F648" s="286" t="n">
        <v>0</v>
      </c>
      <c r="G648" s="286" t="n">
        <v>0</v>
      </c>
      <c r="H648" s="286" t="n">
        <v>0</v>
      </c>
      <c r="I648" s="286" t="n">
        <v>0.98</v>
      </c>
      <c r="J648" s="286" t="n">
        <v>0</v>
      </c>
      <c r="K648" s="286" t="n">
        <v>0</v>
      </c>
      <c r="L648" s="286" t="n">
        <v>0</v>
      </c>
      <c r="M648" s="286" t="inlineStr">
        <is>
          <t>EQ-THEMATIC</t>
        </is>
      </c>
    </row>
    <row r="649">
      <c r="A649" s="287" t="inlineStr">
        <is>
          <t>UTI BSE Low Volatility Index Fund - Regular Plan</t>
        </is>
      </c>
      <c r="B649" s="286" t="n">
        <v>0.36</v>
      </c>
      <c r="C649" s="286" t="n">
        <v>19.57</v>
      </c>
      <c r="D649" s="286" t="n">
        <v>0</v>
      </c>
      <c r="E649" s="286" t="n">
        <v>0</v>
      </c>
      <c r="F649" s="286" t="n">
        <v>0.74</v>
      </c>
      <c r="G649" s="286" t="n">
        <v>1.15</v>
      </c>
      <c r="H649" s="286" t="n">
        <v>0.16</v>
      </c>
      <c r="I649" s="286" t="n">
        <v>0.91</v>
      </c>
      <c r="J649" s="286" t="n">
        <v>0</v>
      </c>
      <c r="K649" s="286" t="n">
        <v>0.9</v>
      </c>
      <c r="L649" s="286" t="n">
        <v>13.58</v>
      </c>
      <c r="M649" s="286" t="inlineStr">
        <is>
          <t>EQ-L&amp;MC</t>
        </is>
      </c>
    </row>
    <row r="650">
      <c r="A650" s="287" t="inlineStr">
        <is>
          <t>UTI BSE Sensex Index Fund - Regular Plan</t>
        </is>
      </c>
      <c r="B650" s="286" t="n">
        <v>5.98</v>
      </c>
      <c r="C650" s="286" t="n">
        <v>17.46</v>
      </c>
      <c r="D650" s="286" t="n">
        <v>0</v>
      </c>
      <c r="E650" s="286" t="n">
        <v>0</v>
      </c>
      <c r="F650" s="286" t="n">
        <v>0.64</v>
      </c>
      <c r="G650" s="286" t="n">
        <v>1.06</v>
      </c>
      <c r="H650" s="286" t="n">
        <v>-1.27</v>
      </c>
      <c r="I650" s="286" t="n">
        <v>0.3</v>
      </c>
      <c r="J650" s="286" t="n">
        <v>15</v>
      </c>
      <c r="K650" s="286" t="n">
        <v>0.91</v>
      </c>
      <c r="L650" s="286" t="n">
        <v>12.71</v>
      </c>
      <c r="M650" s="286" t="inlineStr">
        <is>
          <t>EQ-LC</t>
        </is>
      </c>
    </row>
    <row r="651">
      <c r="A651" s="287" t="inlineStr">
        <is>
          <t>UTI Children's Equity Fund - Regular Plan</t>
        </is>
      </c>
      <c r="B651" s="286" t="n">
        <v>1.38</v>
      </c>
      <c r="C651" s="286" t="n">
        <v>18.31</v>
      </c>
      <c r="D651" s="286" t="n">
        <v>19.9</v>
      </c>
      <c r="E651" s="286" t="n">
        <v>12.25</v>
      </c>
      <c r="F651" s="286" t="n">
        <v>0.61</v>
      </c>
      <c r="G651" s="286" t="n">
        <v>0.99</v>
      </c>
      <c r="H651" s="286" t="n">
        <v>-2.16</v>
      </c>
      <c r="I651" s="286" t="n">
        <v>2.25</v>
      </c>
      <c r="J651" s="286" t="n">
        <v>28</v>
      </c>
      <c r="K651" s="286" t="n">
        <v>0.93</v>
      </c>
      <c r="L651" s="286" t="n">
        <v>14.08</v>
      </c>
      <c r="M651" s="286" t="inlineStr">
        <is>
          <t>EQ-FLX</t>
        </is>
      </c>
    </row>
    <row r="652">
      <c r="A652" s="287" t="inlineStr">
        <is>
          <t>UTI Children's Hybrid Fund - Regular Plan</t>
        </is>
      </c>
      <c r="B652" s="286" t="n">
        <v>6.21</v>
      </c>
      <c r="C652" s="286" t="n">
        <v>12.14</v>
      </c>
      <c r="D652" s="286" t="n">
        <v>12.49</v>
      </c>
      <c r="E652" s="286" t="n">
        <v>8.77</v>
      </c>
      <c r="F652" s="286" t="n">
        <v>0.7</v>
      </c>
      <c r="G652" s="286" t="n">
        <v>1.09</v>
      </c>
      <c r="H652" s="286" t="n">
        <v>-0.61</v>
      </c>
      <c r="I652" s="286" t="n">
        <v>1.73</v>
      </c>
      <c r="J652" s="286" t="n">
        <v>35</v>
      </c>
      <c r="K652" s="286" t="n">
        <v>0.62</v>
      </c>
      <c r="L652" s="286" t="n">
        <v>6.22</v>
      </c>
      <c r="M652" s="286" t="inlineStr">
        <is>
          <t>HY-BH</t>
        </is>
      </c>
    </row>
    <row r="653">
      <c r="A653" s="287" t="inlineStr">
        <is>
          <t>UTI Conservative Hybrid Fund - Regular Plan</t>
        </is>
      </c>
      <c r="B653" s="286" t="n">
        <v>8.26</v>
      </c>
      <c r="C653" s="286" t="n">
        <v>11.58</v>
      </c>
      <c r="D653" s="286" t="n">
        <v>11.74</v>
      </c>
      <c r="E653" s="286" t="n">
        <v>8.369999999999999</v>
      </c>
      <c r="F653" s="286" t="n">
        <v>1</v>
      </c>
      <c r="G653" s="286" t="n">
        <v>1.65</v>
      </c>
      <c r="H653" s="286" t="n">
        <v>0.44</v>
      </c>
      <c r="I653" s="286" t="n">
        <v>1.82</v>
      </c>
      <c r="J653" s="286" t="n">
        <v>31</v>
      </c>
      <c r="K653" s="286" t="n">
        <v>1.01</v>
      </c>
      <c r="L653" s="286" t="n">
        <v>4.12</v>
      </c>
      <c r="M653" s="286" t="inlineStr">
        <is>
          <t>HY-CH</t>
        </is>
      </c>
    </row>
    <row r="654">
      <c r="A654" s="287" t="inlineStr">
        <is>
          <t>UTI Flexi Cap Fund - Regular Plan</t>
        </is>
      </c>
      <c r="B654" s="286" t="n">
        <v>7.63</v>
      </c>
      <c r="C654" s="286" t="n">
        <v>15.63</v>
      </c>
      <c r="D654" s="286" t="n">
        <v>18.85</v>
      </c>
      <c r="E654" s="286" t="n">
        <v>12.29</v>
      </c>
      <c r="F654" s="286" t="n">
        <v>0.44</v>
      </c>
      <c r="G654" s="286" t="n">
        <v>0.71</v>
      </c>
      <c r="H654" s="286" t="n">
        <v>-3.97</v>
      </c>
      <c r="I654" s="286" t="n">
        <v>1.66</v>
      </c>
      <c r="J654" s="286" t="n">
        <v>10</v>
      </c>
      <c r="K654" s="286" t="n">
        <v>0.88</v>
      </c>
      <c r="L654" s="286" t="n">
        <v>13.97</v>
      </c>
      <c r="M654" s="286" t="inlineStr">
        <is>
          <t>EQ-FLX</t>
        </is>
      </c>
    </row>
    <row r="655">
      <c r="A655" s="287" t="inlineStr">
        <is>
          <t>UTI Focused Fund - Regular Plan</t>
        </is>
      </c>
      <c r="B655" s="286" t="n">
        <v>1.4</v>
      </c>
      <c r="C655" s="286" t="n">
        <v>20.55</v>
      </c>
      <c r="D655" s="286" t="n">
        <v>0</v>
      </c>
      <c r="E655" s="286" t="n">
        <v>0</v>
      </c>
      <c r="F655" s="286" t="n">
        <v>0.73</v>
      </c>
      <c r="G655" s="286" t="n">
        <v>1.17</v>
      </c>
      <c r="H655" s="286" t="n">
        <v>-0.29</v>
      </c>
      <c r="I655" s="286" t="n">
        <v>1.96</v>
      </c>
      <c r="J655" s="286" t="n">
        <v>23</v>
      </c>
      <c r="K655" s="286" t="n">
        <v>0.93</v>
      </c>
      <c r="L655" s="286" t="n">
        <v>14.3</v>
      </c>
      <c r="M655" s="286" t="inlineStr">
        <is>
          <t>EQ-FLX</t>
        </is>
      </c>
    </row>
    <row r="656">
      <c r="A656" s="287" t="inlineStr">
        <is>
          <t>UTI Innovation Fund - Regular Plan</t>
        </is>
      </c>
      <c r="B656" s="286" t="n">
        <v>1.11</v>
      </c>
      <c r="C656" s="286" t="n">
        <v>0</v>
      </c>
      <c r="D656" s="286" t="n">
        <v>0</v>
      </c>
      <c r="E656" s="286" t="n">
        <v>0</v>
      </c>
      <c r="F656" s="286" t="n">
        <v>0</v>
      </c>
      <c r="G656" s="286" t="n">
        <v>0</v>
      </c>
      <c r="H656" s="286" t="n">
        <v>0</v>
      </c>
      <c r="I656" s="286" t="n">
        <v>2.29</v>
      </c>
      <c r="J656" s="286" t="n">
        <v>12</v>
      </c>
      <c r="K656" s="286" t="n">
        <v>0</v>
      </c>
      <c r="L656" s="286" t="n">
        <v>0</v>
      </c>
      <c r="M656" s="286" t="inlineStr">
        <is>
          <t>EQ-THEMATIC</t>
        </is>
      </c>
    </row>
    <row r="657">
      <c r="A657" s="287" t="inlineStr">
        <is>
          <t>UTI Large Cap Fund - Regular Plan</t>
        </is>
      </c>
      <c r="B657" s="286" t="n">
        <v>4.4</v>
      </c>
      <c r="C657" s="286" t="n">
        <v>17.43</v>
      </c>
      <c r="D657" s="286" t="n">
        <v>19.29</v>
      </c>
      <c r="E657" s="286" t="n">
        <v>11.81</v>
      </c>
      <c r="F657" s="286" t="n">
        <v>0.6</v>
      </c>
      <c r="G657" s="286" t="n">
        <v>0.97</v>
      </c>
      <c r="H657" s="286" t="n">
        <v>-1.71</v>
      </c>
      <c r="I657" s="286" t="n">
        <v>1.75</v>
      </c>
      <c r="J657" s="286" t="n">
        <v>36</v>
      </c>
      <c r="K657" s="286" t="n">
        <v>0.91</v>
      </c>
      <c r="L657" s="286" t="n">
        <v>12.76</v>
      </c>
      <c r="M657" s="286" t="inlineStr">
        <is>
          <t>EQ-LC</t>
        </is>
      </c>
    </row>
    <row r="658">
      <c r="A658" s="287" t="inlineStr">
        <is>
          <t>UTI Large &amp; Mid Cap Fund - Regular Plan</t>
        </is>
      </c>
      <c r="B658" s="286" t="n">
        <v>6.5</v>
      </c>
      <c r="C658" s="286" t="n">
        <v>26.81</v>
      </c>
      <c r="D658" s="286" t="n">
        <v>27.74</v>
      </c>
      <c r="E658" s="286" t="n">
        <v>13.81</v>
      </c>
      <c r="F658" s="286" t="n">
        <v>1.15</v>
      </c>
      <c r="G658" s="286" t="n">
        <v>1.75</v>
      </c>
      <c r="H658" s="286" t="n">
        <v>5.69</v>
      </c>
      <c r="I658" s="286" t="n">
        <v>1.93</v>
      </c>
      <c r="J658" s="286" t="n">
        <v>33</v>
      </c>
      <c r="K658" s="286" t="n">
        <v>0.95</v>
      </c>
      <c r="L658" s="286" t="n">
        <v>14.07</v>
      </c>
      <c r="M658" s="286" t="inlineStr">
        <is>
          <t>EQ-L&amp;MC</t>
        </is>
      </c>
    </row>
    <row r="659">
      <c r="A659" s="287" t="inlineStr">
        <is>
          <t>UTI Mid Cap Fund - Regular Plan</t>
        </is>
      </c>
      <c r="B659" s="286" t="n">
        <v>0.45</v>
      </c>
      <c r="C659" s="286" t="n">
        <v>23</v>
      </c>
      <c r="D659" s="286" t="n">
        <v>26.44</v>
      </c>
      <c r="E659" s="286" t="n">
        <v>14.38</v>
      </c>
      <c r="F659" s="286" t="n">
        <v>0.8100000000000001</v>
      </c>
      <c r="G659" s="286" t="n">
        <v>1.16</v>
      </c>
      <c r="H659" s="286" t="n">
        <v>-3.74</v>
      </c>
      <c r="I659" s="286" t="n">
        <v>1.76</v>
      </c>
      <c r="J659" s="286" t="n">
        <v>34</v>
      </c>
      <c r="K659" s="286" t="n">
        <v>0.9399999999999999</v>
      </c>
      <c r="L659" s="286" t="n">
        <v>16.37</v>
      </c>
      <c r="M659" s="286" t="inlineStr">
        <is>
          <t>EQ-MC</t>
        </is>
      </c>
    </row>
    <row r="660">
      <c r="A660" s="287" t="inlineStr">
        <is>
          <t>UTI Multi Asset Allocation Fund - Regular Plan</t>
        </is>
      </c>
      <c r="B660" s="286" t="n">
        <v>6.98</v>
      </c>
      <c r="C660" s="286" t="n">
        <v>22.37</v>
      </c>
      <c r="D660" s="286" t="n">
        <v>17.21</v>
      </c>
      <c r="E660" s="286" t="n">
        <v>10.18</v>
      </c>
      <c r="F660" s="286" t="n">
        <v>1.41</v>
      </c>
      <c r="G660" s="286" t="n">
        <v>2.02</v>
      </c>
      <c r="H660" s="286" t="n">
        <v>4.95</v>
      </c>
      <c r="I660" s="286" t="n">
        <v>1.74</v>
      </c>
      <c r="J660" s="286" t="n">
        <v>239</v>
      </c>
      <c r="K660" s="286" t="n">
        <v>0.86</v>
      </c>
      <c r="L660" s="286" t="n">
        <v>8.949999999999999</v>
      </c>
      <c r="M660" s="286" t="inlineStr">
        <is>
          <t>HY-MAA</t>
        </is>
      </c>
    </row>
    <row r="661">
      <c r="A661" s="287" t="inlineStr">
        <is>
          <t>UTI Multi Cap Fund - Regular Plan</t>
        </is>
      </c>
      <c r="B661" s="286" t="n">
        <v>0</v>
      </c>
      <c r="C661" s="286" t="n">
        <v>0</v>
      </c>
      <c r="D661" s="286" t="n">
        <v>0</v>
      </c>
      <c r="E661" s="286" t="n">
        <v>0</v>
      </c>
      <c r="F661" s="286" t="n">
        <v>0</v>
      </c>
      <c r="G661" s="286" t="n">
        <v>0</v>
      </c>
      <c r="H661" s="286" t="n">
        <v>0</v>
      </c>
      <c r="I661" s="286" t="n">
        <v>2.16</v>
      </c>
      <c r="J661" s="286" t="n">
        <v>0</v>
      </c>
      <c r="K661" s="286" t="n">
        <v>0</v>
      </c>
      <c r="L661" s="286" t="n">
        <v>0</v>
      </c>
      <c r="M661" s="286" t="inlineStr">
        <is>
          <t>EQ-MLC</t>
        </is>
      </c>
    </row>
    <row r="662">
      <c r="A662" s="287" t="inlineStr">
        <is>
          <t>UTI Nifty200 Momentum 30 Index Fund - Regular Plan</t>
        </is>
      </c>
      <c r="B662" s="286" t="n">
        <v>-12.85</v>
      </c>
      <c r="C662" s="286" t="n">
        <v>24.46</v>
      </c>
      <c r="D662" s="286" t="n">
        <v>0</v>
      </c>
      <c r="E662" s="286" t="n">
        <v>0</v>
      </c>
      <c r="F662" s="286" t="n">
        <v>0.7</v>
      </c>
      <c r="G662" s="286" t="n">
        <v>1.01</v>
      </c>
      <c r="H662" s="286" t="n">
        <v>0.09</v>
      </c>
      <c r="I662" s="286" t="n">
        <v>0.92</v>
      </c>
      <c r="J662" s="286" t="n">
        <v>114</v>
      </c>
      <c r="K662" s="286" t="n">
        <v>1.23</v>
      </c>
      <c r="L662" s="286" t="n">
        <v>19.28</v>
      </c>
      <c r="M662" s="286" t="inlineStr">
        <is>
          <t>EQ-L&amp;MC</t>
        </is>
      </c>
    </row>
    <row r="663">
      <c r="A663" s="287" t="inlineStr">
        <is>
          <t>UTI Nifty200 Quality 30 Index Fund - Regular Plan</t>
        </is>
      </c>
      <c r="B663" s="286" t="n">
        <v>0</v>
      </c>
      <c r="C663" s="286" t="n">
        <v>0</v>
      </c>
      <c r="D663" s="286" t="n">
        <v>0</v>
      </c>
      <c r="E663" s="286" t="n">
        <v>0</v>
      </c>
      <c r="F663" s="286" t="n">
        <v>0</v>
      </c>
      <c r="G663" s="286" t="n">
        <v>0</v>
      </c>
      <c r="H663" s="286" t="n">
        <v>0</v>
      </c>
      <c r="I663" s="286" t="n">
        <v>1.05</v>
      </c>
      <c r="J663" s="286" t="n">
        <v>0</v>
      </c>
      <c r="K663" s="286" t="n">
        <v>0</v>
      </c>
      <c r="L663" s="286" t="n">
        <v>0</v>
      </c>
      <c r="M663" s="286" t="inlineStr">
        <is>
          <t>EQ-L&amp;MC</t>
        </is>
      </c>
    </row>
    <row r="664">
      <c r="A664" s="287" t="inlineStr">
        <is>
          <t>UTI NIFTY50 Equal Weight Index Fund - Regular Plan</t>
        </is>
      </c>
      <c r="B664" s="286" t="n">
        <v>3.88</v>
      </c>
      <c r="C664" s="286" t="n">
        <v>0</v>
      </c>
      <c r="D664" s="286" t="n">
        <v>0</v>
      </c>
      <c r="E664" s="286" t="n">
        <v>0</v>
      </c>
      <c r="F664" s="286" t="n">
        <v>0</v>
      </c>
      <c r="G664" s="286" t="n">
        <v>0</v>
      </c>
      <c r="H664" s="286" t="n">
        <v>0</v>
      </c>
      <c r="I664" s="286" t="n">
        <v>1.03</v>
      </c>
      <c r="J664" s="286" t="n">
        <v>0</v>
      </c>
      <c r="K664" s="286" t="n">
        <v>0</v>
      </c>
      <c r="L664" s="286" t="n">
        <v>0</v>
      </c>
      <c r="M664" s="286" t="inlineStr">
        <is>
          <t>EQ-LC</t>
        </is>
      </c>
    </row>
    <row r="665">
      <c r="A665" s="287" t="inlineStr">
        <is>
          <t>UTI Nifty 50 Index Fund - Regular Plan</t>
        </is>
      </c>
      <c r="B665" s="286" t="n">
        <v>6.23</v>
      </c>
      <c r="C665" s="286" t="n">
        <v>18.31</v>
      </c>
      <c r="D665" s="286" t="n">
        <v>20.33</v>
      </c>
      <c r="E665" s="286" t="n">
        <v>12.61</v>
      </c>
      <c r="F665" s="286" t="n">
        <v>0.67</v>
      </c>
      <c r="G665" s="286" t="n">
        <v>1.14</v>
      </c>
      <c r="H665" s="286" t="n">
        <v>-1.02</v>
      </c>
      <c r="I665" s="286" t="n">
        <v>0.27</v>
      </c>
      <c r="J665" s="286" t="n">
        <v>7</v>
      </c>
      <c r="K665" s="286" t="n">
        <v>0.95</v>
      </c>
      <c r="L665" s="286" t="n">
        <v>13.13</v>
      </c>
      <c r="M665" s="286" t="inlineStr">
        <is>
          <t>EQ-LC</t>
        </is>
      </c>
    </row>
    <row r="666">
      <c r="A666" s="287" t="inlineStr">
        <is>
          <t>UTI Nifty Alpha Low-Volatility 30 Index Fund - Regular Plan</t>
        </is>
      </c>
      <c r="B666" s="286" t="n">
        <v>0</v>
      </c>
      <c r="C666" s="286" t="n">
        <v>0</v>
      </c>
      <c r="D666" s="286" t="n">
        <v>0</v>
      </c>
      <c r="E666" s="286" t="n">
        <v>0</v>
      </c>
      <c r="F666" s="286" t="n">
        <v>0</v>
      </c>
      <c r="G666" s="286" t="n">
        <v>0</v>
      </c>
      <c r="H666" s="286" t="n">
        <v>0</v>
      </c>
      <c r="I666" s="286" t="n">
        <v>1.03</v>
      </c>
      <c r="J666" s="286" t="n">
        <v>0</v>
      </c>
      <c r="K666" s="286" t="n">
        <v>0</v>
      </c>
      <c r="L666" s="286" t="n">
        <v>0</v>
      </c>
      <c r="M666" s="286" t="inlineStr">
        <is>
          <t>EQ-L&amp;MC</t>
        </is>
      </c>
    </row>
    <row r="667">
      <c r="A667" s="287" t="inlineStr">
        <is>
          <t>UTI Nifty India Manufacturing Index Fund - Regular Plan</t>
        </is>
      </c>
      <c r="B667" s="286" t="n">
        <v>0</v>
      </c>
      <c r="C667" s="286" t="n">
        <v>0</v>
      </c>
      <c r="D667" s="286" t="n">
        <v>0</v>
      </c>
      <c r="E667" s="286" t="n">
        <v>0</v>
      </c>
      <c r="F667" s="286" t="n">
        <v>0</v>
      </c>
      <c r="G667" s="286" t="n">
        <v>0</v>
      </c>
      <c r="H667" s="286" t="n">
        <v>0</v>
      </c>
      <c r="I667" s="286" t="n">
        <v>1.04</v>
      </c>
      <c r="J667" s="286" t="n">
        <v>0</v>
      </c>
      <c r="K667" s="286" t="n">
        <v>0</v>
      </c>
      <c r="L667" s="286" t="n">
        <v>0</v>
      </c>
      <c r="M667" s="286" t="inlineStr">
        <is>
          <t>EQ-THEMATIC</t>
        </is>
      </c>
    </row>
    <row r="668">
      <c r="A668" s="287" t="inlineStr">
        <is>
          <t>UTI Nifty Midcap 150 Index Fund - Regular Plan</t>
        </is>
      </c>
      <c r="B668" s="286" t="n">
        <v>0</v>
      </c>
      <c r="C668" s="286" t="n">
        <v>0</v>
      </c>
      <c r="D668" s="286" t="n">
        <v>0</v>
      </c>
      <c r="E668" s="286" t="n">
        <v>0</v>
      </c>
      <c r="F668" s="286" t="n">
        <v>0</v>
      </c>
      <c r="G668" s="286" t="n">
        <v>0</v>
      </c>
      <c r="H668" s="286" t="n">
        <v>0</v>
      </c>
      <c r="I668" s="286" t="n">
        <v>1.04</v>
      </c>
      <c r="J668" s="286" t="n">
        <v>0</v>
      </c>
      <c r="K668" s="286" t="n">
        <v>0</v>
      </c>
      <c r="L668" s="286" t="n">
        <v>0</v>
      </c>
      <c r="M668" s="286" t="inlineStr">
        <is>
          <t>EQ-MC</t>
        </is>
      </c>
    </row>
    <row r="669">
      <c r="A669" s="287" t="inlineStr">
        <is>
          <t>UTI Nifty Midcap 150 Quality 50 Index Fund - Regular Plan</t>
        </is>
      </c>
      <c r="B669" s="286" t="n">
        <v>-0.28</v>
      </c>
      <c r="C669" s="286" t="n">
        <v>18.02</v>
      </c>
      <c r="D669" s="286" t="n">
        <v>0</v>
      </c>
      <c r="E669" s="286" t="n">
        <v>0</v>
      </c>
      <c r="F669" s="286" t="n">
        <v>0.62</v>
      </c>
      <c r="G669" s="286" t="n">
        <v>0.96</v>
      </c>
      <c r="H669" s="286" t="n">
        <v>-6.23</v>
      </c>
      <c r="I669" s="286" t="n">
        <v>0.88</v>
      </c>
      <c r="J669" s="286" t="n">
        <v>0</v>
      </c>
      <c r="K669" s="286" t="n">
        <v>0.87</v>
      </c>
      <c r="L669" s="286" t="n">
        <v>15.58</v>
      </c>
      <c r="M669" s="286" t="inlineStr">
        <is>
          <t>EQ-MC</t>
        </is>
      </c>
    </row>
    <row r="670">
      <c r="A670" s="287" t="inlineStr">
        <is>
          <t>UTI Nifty Midsmallcap 400 Momentum Quality 100 Index Fund - Regular Plan</t>
        </is>
      </c>
      <c r="B670" s="286" t="n">
        <v>0</v>
      </c>
      <c r="C670" s="286" t="n">
        <v>0</v>
      </c>
      <c r="D670" s="286" t="n">
        <v>0</v>
      </c>
      <c r="E670" s="286" t="n">
        <v>0</v>
      </c>
      <c r="F670" s="286" t="n">
        <v>0</v>
      </c>
      <c r="G670" s="286" t="n">
        <v>0</v>
      </c>
      <c r="H670" s="286" t="n">
        <v>0</v>
      </c>
      <c r="I670" s="286" t="n">
        <v>1.03</v>
      </c>
      <c r="J670" s="286" t="n">
        <v>0</v>
      </c>
      <c r="K670" s="286" t="n">
        <v>0</v>
      </c>
      <c r="L670" s="286" t="n">
        <v>0</v>
      </c>
      <c r="M670" s="286" t="inlineStr">
        <is>
          <t>EQ-MC</t>
        </is>
      </c>
    </row>
    <row r="671">
      <c r="A671" s="287" t="inlineStr">
        <is>
          <t>UTI Nifty Next 50 Exchange Traded Fund</t>
        </is>
      </c>
      <c r="B671" s="286" t="n">
        <v>-7.28</v>
      </c>
      <c r="C671" s="286" t="n">
        <v>23.32</v>
      </c>
      <c r="D671" s="286" t="n">
        <v>21.93</v>
      </c>
      <c r="E671" s="286" t="n">
        <v>0</v>
      </c>
      <c r="F671" s="286" t="n">
        <v>0.73</v>
      </c>
      <c r="G671" s="286" t="n">
        <v>1.08</v>
      </c>
      <c r="H671" s="286" t="n">
        <v>0.85</v>
      </c>
      <c r="I671" s="286" t="n">
        <v>0.15</v>
      </c>
      <c r="J671" s="286" t="n">
        <v>35</v>
      </c>
      <c r="K671" s="286" t="n">
        <v>1.3</v>
      </c>
      <c r="L671" s="286" t="n">
        <v>19.55</v>
      </c>
      <c r="M671" s="286" t="inlineStr">
        <is>
          <t>EQ-LC</t>
        </is>
      </c>
    </row>
    <row r="672">
      <c r="A672" s="287" t="inlineStr">
        <is>
          <t>UTI Nifty Next 50 Index Fund - Regular Plan</t>
        </is>
      </c>
      <c r="B672" s="286" t="n">
        <v>-7.97</v>
      </c>
      <c r="C672" s="286" t="n">
        <v>22.45</v>
      </c>
      <c r="D672" s="286" t="n">
        <v>21.03</v>
      </c>
      <c r="E672" s="286" t="n">
        <v>0</v>
      </c>
      <c r="F672" s="286" t="n">
        <v>0.6899999999999999</v>
      </c>
      <c r="G672" s="286" t="n">
        <v>1.03</v>
      </c>
      <c r="H672" s="286" t="n">
        <v>0.16</v>
      </c>
      <c r="I672" s="286" t="n">
        <v>0.79</v>
      </c>
      <c r="J672" s="286" t="n">
        <v>66</v>
      </c>
      <c r="K672" s="286" t="n">
        <v>1.3</v>
      </c>
      <c r="L672" s="286" t="n">
        <v>19.53</v>
      </c>
      <c r="M672" s="286" t="inlineStr">
        <is>
          <t>EQ-LC</t>
        </is>
      </c>
    </row>
    <row r="673">
      <c r="A673" s="287" t="inlineStr">
        <is>
          <t>UTI Quant Fund - Regular Plan</t>
        </is>
      </c>
      <c r="B673" s="286" t="n">
        <v>0</v>
      </c>
      <c r="C673" s="286" t="n">
        <v>0</v>
      </c>
      <c r="D673" s="286" t="n">
        <v>0</v>
      </c>
      <c r="E673" s="286" t="n">
        <v>0</v>
      </c>
      <c r="F673" s="286" t="n">
        <v>0</v>
      </c>
      <c r="G673" s="286" t="n">
        <v>0</v>
      </c>
      <c r="H673" s="286" t="n">
        <v>0</v>
      </c>
      <c r="I673" s="286" t="n">
        <v>2.02</v>
      </c>
      <c r="J673" s="286" t="n">
        <v>11</v>
      </c>
      <c r="K673" s="286" t="n">
        <v>0</v>
      </c>
      <c r="L673" s="286" t="n">
        <v>0</v>
      </c>
      <c r="M673" s="286" t="inlineStr">
        <is>
          <t>EQ-THEMATIC</t>
        </is>
      </c>
    </row>
    <row r="674">
      <c r="A674" s="287" t="inlineStr">
        <is>
          <t>UTI Retirement Fund - Regular Plan</t>
        </is>
      </c>
      <c r="B674" s="286" t="n">
        <v>7.9</v>
      </c>
      <c r="C674" s="286" t="n">
        <v>14.6</v>
      </c>
      <c r="D674" s="286" t="n">
        <v>14.75</v>
      </c>
      <c r="E674" s="286" t="n">
        <v>9.640000000000001</v>
      </c>
      <c r="F674" s="286" t="n">
        <v>1.12</v>
      </c>
      <c r="G674" s="286" t="n">
        <v>1.73</v>
      </c>
      <c r="H674" s="286" t="n">
        <v>1.89</v>
      </c>
      <c r="I674" s="286" t="n">
        <v>1.66</v>
      </c>
      <c r="J674" s="286" t="n">
        <v>37</v>
      </c>
      <c r="K674" s="286" t="n">
        <v>0.6</v>
      </c>
      <c r="L674" s="286" t="n">
        <v>5.96</v>
      </c>
      <c r="M674" s="286" t="inlineStr">
        <is>
          <t>HY-BH</t>
        </is>
      </c>
    </row>
    <row r="675">
      <c r="A675" s="287" t="inlineStr">
        <is>
          <t>UTI Small Cap Fund - Regular Plan</t>
        </is>
      </c>
      <c r="B675" s="286" t="n">
        <v>6.7</v>
      </c>
      <c r="C675" s="286" t="n">
        <v>24.35</v>
      </c>
      <c r="D675" s="286" t="n">
        <v>0</v>
      </c>
      <c r="E675" s="286" t="n">
        <v>0</v>
      </c>
      <c r="F675" s="286" t="n">
        <v>0.82</v>
      </c>
      <c r="G675" s="286" t="n">
        <v>1.14</v>
      </c>
      <c r="H675" s="286" t="n">
        <v>-1.03</v>
      </c>
      <c r="I675" s="286" t="n">
        <v>1.86</v>
      </c>
      <c r="J675" s="286" t="n">
        <v>42</v>
      </c>
      <c r="K675" s="286" t="n">
        <v>0.83</v>
      </c>
      <c r="L675" s="286" t="n">
        <v>17.13</v>
      </c>
      <c r="M675" s="286" t="inlineStr">
        <is>
          <t>EQ-SC</t>
        </is>
      </c>
    </row>
    <row r="676">
      <c r="A676" s="287" t="inlineStr">
        <is>
          <t>UTI Transportation and Logistics Fund - Regular Plan</t>
        </is>
      </c>
      <c r="B676" s="286" t="n">
        <v>-6.15</v>
      </c>
      <c r="C676" s="286" t="n">
        <v>25.87</v>
      </c>
      <c r="D676" s="286" t="n">
        <v>27.36</v>
      </c>
      <c r="E676" s="286" t="n">
        <v>11.78</v>
      </c>
      <c r="F676" s="286" t="n">
        <v>0.95</v>
      </c>
      <c r="G676" s="286" t="n">
        <v>1.35</v>
      </c>
      <c r="H676" s="286" t="n">
        <v>4.35</v>
      </c>
      <c r="I676" s="286" t="n">
        <v>1.94</v>
      </c>
      <c r="J676" s="286" t="n">
        <v>20</v>
      </c>
      <c r="K676" s="286" t="n">
        <v>0.98</v>
      </c>
      <c r="L676" s="286" t="n">
        <v>16.44</v>
      </c>
      <c r="M676" s="286" t="inlineStr">
        <is>
          <t>EQ-THEMATIC</t>
        </is>
      </c>
    </row>
    <row r="677">
      <c r="A677" s="287" t="inlineStr">
        <is>
          <t>UTI Unit Linked Insurance Plan</t>
        </is>
      </c>
      <c r="B677" s="286" t="n">
        <v>9.52</v>
      </c>
      <c r="C677" s="286" t="n">
        <v>11.29</v>
      </c>
      <c r="D677" s="286" t="n">
        <v>11.66</v>
      </c>
      <c r="E677" s="286" t="n">
        <v>8.09</v>
      </c>
      <c r="F677" s="286" t="n">
        <v>0.5600000000000001</v>
      </c>
      <c r="G677" s="286" t="n">
        <v>0.89</v>
      </c>
      <c r="H677" s="286" t="n">
        <v>-0.88</v>
      </c>
      <c r="I677" s="286" t="n">
        <v>1.64</v>
      </c>
      <c r="J677" s="286" t="n">
        <v>9</v>
      </c>
      <c r="K677" s="286" t="n">
        <v>0.55</v>
      </c>
      <c r="L677" s="286" t="n">
        <v>6.23</v>
      </c>
      <c r="M677" s="286" t="inlineStr">
        <is>
          <t>HY-DAA</t>
        </is>
      </c>
    </row>
    <row r="678">
      <c r="A678" s="287" t="inlineStr">
        <is>
          <t>WhiteOak Capital Arbitrage Fund - Regular Plan</t>
        </is>
      </c>
      <c r="B678" s="286" t="n">
        <v>0</v>
      </c>
      <c r="C678" s="286" t="n">
        <v>0</v>
      </c>
      <c r="D678" s="286" t="n">
        <v>0</v>
      </c>
      <c r="E678" s="286" t="n">
        <v>0</v>
      </c>
      <c r="F678" s="286" t="n">
        <v>0</v>
      </c>
      <c r="G678" s="286" t="n">
        <v>0</v>
      </c>
      <c r="H678" s="286" t="n">
        <v>0</v>
      </c>
      <c r="I678" s="286" t="n">
        <v>1.12</v>
      </c>
      <c r="J678" s="286" t="n">
        <v>0</v>
      </c>
      <c r="K678" s="286" t="n">
        <v>0</v>
      </c>
      <c r="L678" s="286" t="n">
        <v>0</v>
      </c>
      <c r="M678" s="286" t="inlineStr">
        <is>
          <t>HY-AR</t>
        </is>
      </c>
    </row>
    <row r="679">
      <c r="A679" s="287" t="inlineStr">
        <is>
          <t>WhiteOak Capital Balanced Advantage Fund - Regular Plan</t>
        </is>
      </c>
      <c r="B679" s="286" t="n">
        <v>8.93</v>
      </c>
      <c r="C679" s="286" t="n">
        <v>0</v>
      </c>
      <c r="D679" s="286" t="n">
        <v>0</v>
      </c>
      <c r="E679" s="286" t="n">
        <v>0</v>
      </c>
      <c r="F679" s="286" t="n">
        <v>0</v>
      </c>
      <c r="G679" s="286" t="n">
        <v>0</v>
      </c>
      <c r="H679" s="286" t="n">
        <v>0</v>
      </c>
      <c r="I679" s="286" t="n">
        <v>2.06</v>
      </c>
      <c r="J679" s="286" t="n">
        <v>369</v>
      </c>
      <c r="K679" s="286" t="n">
        <v>0</v>
      </c>
      <c r="L679" s="286" t="n">
        <v>0</v>
      </c>
      <c r="M679" s="286" t="inlineStr">
        <is>
          <t>HY-DAA</t>
        </is>
      </c>
    </row>
    <row r="680">
      <c r="A680" s="287" t="inlineStr">
        <is>
          <t>WhiteOak Capital Balanced Hybrid Fund - Regular Plan</t>
        </is>
      </c>
      <c r="B680" s="286" t="n">
        <v>7.3</v>
      </c>
      <c r="C680" s="286" t="n">
        <v>0</v>
      </c>
      <c r="D680" s="286" t="n">
        <v>0</v>
      </c>
      <c r="E680" s="286" t="n">
        <v>0</v>
      </c>
      <c r="F680" s="286" t="n">
        <v>0</v>
      </c>
      <c r="G680" s="286" t="n">
        <v>0</v>
      </c>
      <c r="H680" s="286" t="n">
        <v>0</v>
      </c>
      <c r="I680" s="286" t="n">
        <v>2.14</v>
      </c>
      <c r="J680" s="286" t="n">
        <v>135</v>
      </c>
      <c r="K680" s="286" t="n">
        <v>0</v>
      </c>
      <c r="L680" s="286" t="n">
        <v>0</v>
      </c>
      <c r="M680" s="286" t="inlineStr">
        <is>
          <t>HY-BH</t>
        </is>
      </c>
    </row>
    <row r="681">
      <c r="A681" s="287" t="inlineStr">
        <is>
          <t>WhiteOak Capital Flexi Cap Fund - Regular Plan</t>
        </is>
      </c>
      <c r="B681" s="286" t="n">
        <v>8.31</v>
      </c>
      <c r="C681" s="286" t="n">
        <v>0</v>
      </c>
      <c r="D681" s="286" t="n">
        <v>0</v>
      </c>
      <c r="E681" s="286" t="n">
        <v>0</v>
      </c>
      <c r="F681" s="286" t="n">
        <v>0</v>
      </c>
      <c r="G681" s="286" t="n">
        <v>0</v>
      </c>
      <c r="H681" s="286" t="n">
        <v>0</v>
      </c>
      <c r="I681" s="286" t="n">
        <v>1.82</v>
      </c>
      <c r="J681" s="286" t="n">
        <v>198</v>
      </c>
      <c r="K681" s="286" t="n">
        <v>0</v>
      </c>
      <c r="L681" s="286" t="n">
        <v>0</v>
      </c>
      <c r="M681" s="286" t="inlineStr">
        <is>
          <t>EQ-FLX</t>
        </is>
      </c>
    </row>
    <row r="682">
      <c r="A682" s="287" t="inlineStr">
        <is>
          <t>WhiteOak Capital Large Cap Fund - Regular Plan</t>
        </is>
      </c>
      <c r="B682" s="286" t="n">
        <v>6.22</v>
      </c>
      <c r="C682" s="286" t="n">
        <v>0</v>
      </c>
      <c r="D682" s="286" t="n">
        <v>0</v>
      </c>
      <c r="E682" s="286" t="n">
        <v>0</v>
      </c>
      <c r="F682" s="286" t="n">
        <v>0</v>
      </c>
      <c r="G682" s="286" t="n">
        <v>0</v>
      </c>
      <c r="H682" s="286" t="n">
        <v>0</v>
      </c>
      <c r="I682" s="286" t="n">
        <v>2.2</v>
      </c>
      <c r="J682" s="286" t="n">
        <v>204</v>
      </c>
      <c r="K682" s="286" t="n">
        <v>0</v>
      </c>
      <c r="L682" s="286" t="n">
        <v>0</v>
      </c>
      <c r="M682" s="286" t="inlineStr">
        <is>
          <t>EQ-LC</t>
        </is>
      </c>
    </row>
    <row r="683">
      <c r="A683" s="287" t="inlineStr">
        <is>
          <t>WhiteOak Capital Large &amp; Mid Cap Fund - Regular Plan</t>
        </is>
      </c>
      <c r="B683" s="286" t="n">
        <v>6.81</v>
      </c>
      <c r="C683" s="286" t="n">
        <v>0</v>
      </c>
      <c r="D683" s="286" t="n">
        <v>0</v>
      </c>
      <c r="E683" s="286" t="n">
        <v>0</v>
      </c>
      <c r="F683" s="286" t="n">
        <v>0</v>
      </c>
      <c r="G683" s="286" t="n">
        <v>0</v>
      </c>
      <c r="H683" s="286" t="n">
        <v>0</v>
      </c>
      <c r="I683" s="286" t="n">
        <v>2.04</v>
      </c>
      <c r="J683" s="286" t="n">
        <v>220</v>
      </c>
      <c r="K683" s="286" t="n">
        <v>0</v>
      </c>
      <c r="L683" s="286" t="n">
        <v>0</v>
      </c>
      <c r="M683" s="286" t="inlineStr">
        <is>
          <t>EQ-L&amp;MC</t>
        </is>
      </c>
    </row>
    <row r="684">
      <c r="A684" s="287" t="inlineStr">
        <is>
          <t>WhiteOak Capital Mid Cap Fund - Regular Plan</t>
        </is>
      </c>
      <c r="B684" s="286" t="n">
        <v>10.25</v>
      </c>
      <c r="C684" s="286" t="n">
        <v>0</v>
      </c>
      <c r="D684" s="286" t="n">
        <v>0</v>
      </c>
      <c r="E684" s="286" t="n">
        <v>0</v>
      </c>
      <c r="F684" s="286" t="n">
        <v>0</v>
      </c>
      <c r="G684" s="286" t="n">
        <v>0</v>
      </c>
      <c r="H684" s="286" t="n">
        <v>0</v>
      </c>
      <c r="I684" s="286" t="n">
        <v>1.88</v>
      </c>
      <c r="J684" s="286" t="n">
        <v>236</v>
      </c>
      <c r="K684" s="286" t="n">
        <v>0</v>
      </c>
      <c r="L684" s="286" t="n">
        <v>0</v>
      </c>
      <c r="M684" s="286" t="inlineStr">
        <is>
          <t>EQ-MC</t>
        </is>
      </c>
    </row>
    <row r="685">
      <c r="A685" s="287" t="inlineStr">
        <is>
          <t>WhiteOak Capital Multi Asset Allocation Fund - Regular Plan</t>
        </is>
      </c>
      <c r="B685" s="286" t="n">
        <v>15.18</v>
      </c>
      <c r="C685" s="286" t="n">
        <v>0</v>
      </c>
      <c r="D685" s="286" t="n">
        <v>0</v>
      </c>
      <c r="E685" s="286" t="n">
        <v>0</v>
      </c>
      <c r="F685" s="286" t="n">
        <v>0</v>
      </c>
      <c r="G685" s="286" t="n">
        <v>0</v>
      </c>
      <c r="H685" s="286" t="n">
        <v>0</v>
      </c>
      <c r="I685" s="286" t="n">
        <v>1.73</v>
      </c>
      <c r="J685" s="286" t="n">
        <v>414</v>
      </c>
      <c r="K685" s="286" t="n">
        <v>0</v>
      </c>
      <c r="L685" s="286" t="n">
        <v>0</v>
      </c>
      <c r="M685" s="286" t="inlineStr">
        <is>
          <t>HY-MAA</t>
        </is>
      </c>
    </row>
    <row r="686">
      <c r="A686" s="287" t="inlineStr">
        <is>
          <t>WhiteOak Capital Multi Cap Fund - Regular Plan</t>
        </is>
      </c>
      <c r="B686" s="286" t="n">
        <v>9.800000000000001</v>
      </c>
      <c r="C686" s="286" t="n">
        <v>0</v>
      </c>
      <c r="D686" s="286" t="n">
        <v>0</v>
      </c>
      <c r="E686" s="286" t="n">
        <v>0</v>
      </c>
      <c r="F686" s="286" t="n">
        <v>0</v>
      </c>
      <c r="G686" s="286" t="n">
        <v>0</v>
      </c>
      <c r="H686" s="286" t="n">
        <v>0</v>
      </c>
      <c r="I686" s="286" t="n">
        <v>2.01</v>
      </c>
      <c r="J686" s="286" t="n">
        <v>185</v>
      </c>
      <c r="K686" s="286" t="n">
        <v>0</v>
      </c>
      <c r="L686" s="286" t="n">
        <v>0</v>
      </c>
      <c r="M686" s="286" t="inlineStr">
        <is>
          <t>EQ-MLC</t>
        </is>
      </c>
    </row>
    <row r="687">
      <c r="A687" s="287" t="inlineStr">
        <is>
          <t>WhiteOak Capital Quality Equity Fund - Regular Plan</t>
        </is>
      </c>
      <c r="B687" s="286" t="n">
        <v>0</v>
      </c>
      <c r="C687" s="286" t="n">
        <v>0</v>
      </c>
      <c r="D687" s="286" t="n">
        <v>0</v>
      </c>
      <c r="E687" s="286" t="n">
        <v>0</v>
      </c>
      <c r="F687" s="286" t="n">
        <v>0</v>
      </c>
      <c r="G687" s="286" t="n">
        <v>0</v>
      </c>
      <c r="H687" s="286" t="n">
        <v>0</v>
      </c>
      <c r="I687" s="286" t="n">
        <v>2.36</v>
      </c>
      <c r="J687" s="286" t="n">
        <v>0</v>
      </c>
      <c r="K687" s="286" t="n">
        <v>0</v>
      </c>
      <c r="L687" s="286" t="n">
        <v>0</v>
      </c>
      <c r="M687" s="286" t="inlineStr">
        <is>
          <t>EQ-THEMATIC</t>
        </is>
      </c>
    </row>
    <row r="688">
      <c r="A688" s="287" t="inlineStr">
        <is>
          <t>WhiteOak Capital Special Opportunities Fund - Regular Plan</t>
        </is>
      </c>
      <c r="B688" s="286" t="n">
        <v>14.93</v>
      </c>
      <c r="C688" s="286" t="n">
        <v>0</v>
      </c>
      <c r="D688" s="286" t="n">
        <v>0</v>
      </c>
      <c r="E688" s="286" t="n">
        <v>0</v>
      </c>
      <c r="F688" s="286" t="n">
        <v>0</v>
      </c>
      <c r="G688" s="286" t="n">
        <v>0</v>
      </c>
      <c r="H688" s="286" t="n">
        <v>0</v>
      </c>
      <c r="I688" s="286" t="n">
        <v>2.19</v>
      </c>
      <c r="J688" s="286" t="n">
        <v>0</v>
      </c>
      <c r="K688" s="286" t="n">
        <v>0</v>
      </c>
      <c r="L688" s="286" t="n">
        <v>0</v>
      </c>
      <c r="M688" s="286" t="inlineStr">
        <is>
          <t>EQ-THEMATIC</t>
        </is>
      </c>
    </row>
  </sheetData>
  <autoFilter ref="A1:M688"/>
  <pageMargins left="0.7" right="0.7" top="0.75" bottom="0.75" header="0.3" footer="0.3"/>
  <pageSetup orientation="portrait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B2:AS59"/>
  <sheetViews>
    <sheetView zoomScale="61" zoomScaleNormal="90" workbookViewId="0">
      <selection activeCell="A1" sqref="A1"/>
    </sheetView>
  </sheetViews>
  <sheetFormatPr baseColWidth="8" defaultColWidth="8.7109375" defaultRowHeight="15"/>
  <cols>
    <col width="8.7109375" customWidth="1" style="42" min="1" max="1"/>
    <col width="51.42578125" customWidth="1" style="1" min="2" max="2"/>
    <col width="7.140625" customWidth="1" style="42" min="3" max="3"/>
    <col hidden="1" width="7.140625" customWidth="1" style="42" min="4" max="5"/>
    <col width="8.7109375" customWidth="1" style="42" min="6" max="7"/>
    <col width="11.140625" customWidth="1" style="42" min="8" max="8"/>
    <col width="8.7109375" customWidth="1" style="42" min="9" max="23"/>
    <col width="10.85546875" customWidth="1" style="42" min="24" max="24"/>
    <col width="10.7109375" customWidth="1" style="42" min="25" max="25"/>
    <col width="8.7109375" customWidth="1" style="42" min="26" max="29"/>
    <col width="8.7109375" customWidth="1" style="146" min="30" max="30"/>
    <col width="8.7109375" customWidth="1" style="42" min="31" max="39"/>
    <col width="14.140625" customWidth="1" style="42" min="40" max="40"/>
    <col width="8.7109375" customWidth="1" style="42" min="41" max="47"/>
    <col width="8.7109375" customWidth="1" style="42" min="48" max="16384"/>
  </cols>
  <sheetData>
    <row r="2">
      <c r="F2" s="84" t="n"/>
      <c r="G2" s="84" t="n"/>
      <c r="H2" s="84" t="n"/>
      <c r="I2" s="84" t="n"/>
      <c r="J2" s="84" t="n"/>
      <c r="K2" s="84" t="n"/>
      <c r="L2" s="84" t="n"/>
      <c r="M2" s="84" t="n"/>
    </row>
    <row r="3" ht="15" customHeight="1" thickBot="1"/>
    <row r="4" ht="15" customHeight="1" thickBot="1">
      <c r="B4" s="429" t="inlineStr">
        <is>
          <t>Ultra Short Duration Fund</t>
        </is>
      </c>
      <c r="C4" s="426" t="n"/>
      <c r="D4" s="426" t="n"/>
      <c r="E4" s="426" t="n"/>
      <c r="F4" s="426" t="n"/>
      <c r="G4" s="426" t="n"/>
      <c r="H4" s="426" t="n"/>
      <c r="I4" s="426" t="n"/>
      <c r="J4" s="426" t="n"/>
      <c r="K4" s="426" t="n"/>
      <c r="L4" s="426" t="n"/>
      <c r="M4" s="426" t="n"/>
      <c r="N4" s="426" t="n"/>
      <c r="O4" s="426" t="n"/>
      <c r="P4" s="426" t="n"/>
      <c r="Q4" s="426" t="n"/>
      <c r="R4" s="426" t="n"/>
      <c r="S4" s="426" t="n"/>
      <c r="T4" s="426" t="n"/>
      <c r="U4" s="426" t="n"/>
      <c r="V4" s="426" t="n"/>
      <c r="W4" s="426" t="n"/>
      <c r="X4" s="426" t="n"/>
      <c r="Y4" s="426" t="n"/>
      <c r="Z4" s="426" t="n"/>
      <c r="AA4" s="426" t="n"/>
      <c r="AB4" s="426" t="n"/>
      <c r="AC4" s="426" t="n"/>
      <c r="AD4" s="426" t="n"/>
      <c r="AE4" s="426" t="n"/>
      <c r="AF4" s="426" t="n"/>
      <c r="AG4" s="426" t="n"/>
      <c r="AH4" s="426" t="n"/>
      <c r="AI4" s="426" t="n"/>
      <c r="AJ4" s="426" t="n"/>
      <c r="AK4" s="426" t="n"/>
      <c r="AL4" s="426" t="n"/>
      <c r="AM4" s="426" t="n"/>
      <c r="AN4" s="375" t="n"/>
    </row>
    <row r="5" ht="15" customHeight="1" thickBot="1">
      <c r="B5" s="262" t="n"/>
      <c r="C5" s="189" t="n"/>
      <c r="D5" s="189" t="n"/>
      <c r="E5" s="189" t="n"/>
      <c r="F5" s="444" t="n"/>
      <c r="G5" s="445" t="n"/>
      <c r="H5" s="445" t="n"/>
      <c r="I5" s="445" t="n"/>
      <c r="J5" s="445" t="n"/>
      <c r="K5" s="445" t="n"/>
      <c r="L5" s="445" t="n"/>
      <c r="M5" s="445" t="n"/>
      <c r="N5" s="445" t="n"/>
      <c r="O5" s="445" t="n"/>
      <c r="P5" s="445" t="n"/>
      <c r="Q5" s="445" t="n"/>
      <c r="R5" s="445" t="n"/>
      <c r="S5" s="445" t="n"/>
      <c r="T5" s="445" t="n"/>
      <c r="U5" s="445" t="n"/>
      <c r="V5" s="446" t="n"/>
      <c r="W5" s="444" t="n"/>
      <c r="X5" s="445" t="n"/>
      <c r="Y5" s="445" t="n"/>
      <c r="Z5" s="445" t="n"/>
      <c r="AA5" s="445" t="n"/>
      <c r="AB5" s="445" t="n"/>
      <c r="AC5" s="445" t="n"/>
      <c r="AD5" s="445" t="n"/>
      <c r="AE5" s="445" t="n"/>
      <c r="AF5" s="445" t="n"/>
      <c r="AG5" s="445" t="n"/>
      <c r="AH5" s="445" t="n"/>
      <c r="AI5" s="445" t="n"/>
      <c r="AJ5" s="445" t="n"/>
      <c r="AK5" s="445" t="n"/>
      <c r="AL5" s="445" t="n"/>
      <c r="AM5" s="446" t="n"/>
      <c r="AN5" s="442" t="inlineStr">
        <is>
          <t>Score</t>
        </is>
      </c>
    </row>
    <row r="6" ht="43.5" customHeight="1">
      <c r="B6" s="116" t="inlineStr">
        <is>
          <t>Funds</t>
        </is>
      </c>
      <c r="C6" s="282" t="inlineStr">
        <is>
          <t>Rank</t>
        </is>
      </c>
      <c r="D6" s="282" t="n"/>
      <c r="E6" s="281" t="n"/>
      <c r="F6" s="280" t="inlineStr">
        <is>
          <t>YTM</t>
        </is>
      </c>
      <c r="G6" s="280" t="inlineStr">
        <is>
          <t>Modified Duration</t>
        </is>
      </c>
      <c r="H6" s="280" t="inlineStr">
        <is>
          <t>Macaulay Duration</t>
        </is>
      </c>
      <c r="I6" s="280" t="inlineStr">
        <is>
          <t>3 Months</t>
        </is>
      </c>
      <c r="J6" s="280" t="inlineStr">
        <is>
          <t>6 Months</t>
        </is>
      </c>
      <c r="K6" s="280" t="inlineStr">
        <is>
          <t>9 Months</t>
        </is>
      </c>
      <c r="L6" s="280" t="inlineStr">
        <is>
          <t>1 Year</t>
        </is>
      </c>
      <c r="M6" s="280" t="inlineStr">
        <is>
          <t>2 Years</t>
        </is>
      </c>
      <c r="N6" s="280" t="inlineStr">
        <is>
          <t>3 Years</t>
        </is>
      </c>
      <c r="O6" s="280" t="inlineStr">
        <is>
          <t>5 Years</t>
        </is>
      </c>
      <c r="P6" s="280" t="inlineStr">
        <is>
          <t>10 Years</t>
        </is>
      </c>
      <c r="Q6" s="280" t="inlineStr">
        <is>
          <t>Sovereign</t>
        </is>
      </c>
      <c r="R6" s="280" t="inlineStr">
        <is>
          <t>AAA/A1+</t>
        </is>
      </c>
      <c r="S6" s="280" t="inlineStr">
        <is>
          <t>AA+</t>
        </is>
      </c>
      <c r="T6" s="280" t="inlineStr">
        <is>
          <t>AA/AA-</t>
        </is>
      </c>
      <c r="U6" s="280" t="inlineStr">
        <is>
          <t>Below AA-</t>
        </is>
      </c>
      <c r="V6" s="280" t="inlineStr">
        <is>
          <t>Cash and Fixed Deposits</t>
        </is>
      </c>
      <c r="W6" s="198">
        <f>F6</f>
        <v/>
      </c>
      <c r="X6" s="283">
        <f>G6</f>
        <v/>
      </c>
      <c r="Y6" s="283">
        <f>H6</f>
        <v/>
      </c>
      <c r="Z6" s="198">
        <f>I6</f>
        <v/>
      </c>
      <c r="AA6" s="198">
        <f>J6</f>
        <v/>
      </c>
      <c r="AB6" s="198">
        <f>K6</f>
        <v/>
      </c>
      <c r="AC6" s="198">
        <f>L6</f>
        <v/>
      </c>
      <c r="AD6" s="198">
        <f>M6</f>
        <v/>
      </c>
      <c r="AE6" s="198">
        <f>N6</f>
        <v/>
      </c>
      <c r="AF6" s="198">
        <f>O6</f>
        <v/>
      </c>
      <c r="AG6" s="198">
        <f>P6</f>
        <v/>
      </c>
      <c r="AH6" s="198">
        <f>Q6</f>
        <v/>
      </c>
      <c r="AI6" s="198">
        <f>R6</f>
        <v/>
      </c>
      <c r="AJ6" s="198">
        <f>S6</f>
        <v/>
      </c>
      <c r="AK6" s="283">
        <f>T6</f>
        <v/>
      </c>
      <c r="AL6" s="283">
        <f>U6</f>
        <v/>
      </c>
      <c r="AM6" s="198">
        <f>V6</f>
        <v/>
      </c>
      <c r="AN6" s="443" t="n"/>
      <c r="AQ6" s="42" t="n">
        <v>1</v>
      </c>
      <c r="AR6" s="42" t="n">
        <v>2</v>
      </c>
      <c r="AS6" s="42" t="n">
        <v>3</v>
      </c>
    </row>
    <row r="7">
      <c r="B7" s="119" t="inlineStr">
        <is>
          <t>Aditya Birla Sun Life Savings Fund - Reg - Growth</t>
        </is>
      </c>
      <c r="C7" s="132">
        <f>RANK(AN7,$AN$7:$AN$13,0)</f>
        <v/>
      </c>
      <c r="D7" s="191" t="n"/>
      <c r="E7" s="191">
        <f>B7</f>
        <v/>
      </c>
      <c r="F7" s="248" t="n">
        <v>7.98</v>
      </c>
      <c r="G7" s="248" t="n">
        <v>0.46</v>
      </c>
      <c r="H7" s="249" t="n">
        <v>0.49</v>
      </c>
      <c r="I7" s="249" t="n">
        <v>6.9</v>
      </c>
      <c r="J7" s="249" t="n">
        <v>5.96</v>
      </c>
      <c r="K7" s="249" t="n">
        <v>6.07</v>
      </c>
      <c r="L7" s="249" t="n">
        <v>6.19</v>
      </c>
      <c r="M7" s="249" t="n">
        <v>7.14</v>
      </c>
      <c r="N7" s="249" t="n">
        <v>7.23</v>
      </c>
      <c r="O7" s="249" t="n">
        <v>6.4</v>
      </c>
      <c r="P7" s="249" t="n">
        <v>6.89</v>
      </c>
      <c r="Q7" s="84" t="n">
        <v>12.05</v>
      </c>
      <c r="R7" s="84" t="n">
        <v>60.06</v>
      </c>
      <c r="S7" s="84" t="n">
        <v>19.84</v>
      </c>
      <c r="T7" s="84" t="n">
        <v>10.92</v>
      </c>
      <c r="U7" s="84" t="n">
        <v>0</v>
      </c>
      <c r="V7" s="84" t="n">
        <v>-2.87</v>
      </c>
      <c r="W7" s="150">
        <f>(F7-MIN(F$7:F$13))/(MAX(F$7:F$13)-MIN(F$7:F$13))</f>
        <v/>
      </c>
      <c r="X7" s="150">
        <f>(MAX(G$7:G$13)-G7)/(MAX(G$7:G$13)-MIN(G$7:G$13))</f>
        <v/>
      </c>
      <c r="Y7" s="150">
        <f>(MAX(H$7:H$13)-H7)/(MAX(H$7:H$13)-MIN(H$7:H$13))</f>
        <v/>
      </c>
      <c r="Z7" s="150">
        <f>(I7-MIN(I$7:I$13))/(MAX(I$7:I$13)-MIN(I$7:I$13))</f>
        <v/>
      </c>
      <c r="AA7" s="150">
        <f>(J7-MIN(J$7:J$13))/(MAX(J$7:J$13)-MIN(J$7:J$13))</f>
        <v/>
      </c>
      <c r="AB7" s="150">
        <f>(K7-MIN(K$7:K$13))/(MAX(K$7:K$13)-MIN(K$7:K$13))</f>
        <v/>
      </c>
      <c r="AC7" s="150">
        <f>(L7-MIN(L$7:L$13))/(MAX(L$7:L$13)-MIN(L$7:L$13))</f>
        <v/>
      </c>
      <c r="AD7" s="150">
        <f>(M7-MIN(M$7:M$13))/(MAX(M$7:M$13)-MIN(M$7:M$13))</f>
        <v/>
      </c>
      <c r="AE7" s="150">
        <f>(N7-MIN(N$7:N$13))/(MAX(N$7:N$13)-MIN(N$7:N$13))</f>
        <v/>
      </c>
      <c r="AF7" s="150">
        <f>(O7-MIN(O$7:O$13))/(MAX(O$7:O$13)-MIN(O$7:O$13))</f>
        <v/>
      </c>
      <c r="AG7" s="150">
        <f>(P7-MIN(P$7:P$13))/(MAX(P$7:P$13)-MIN(P$7:P$13))</f>
        <v/>
      </c>
      <c r="AH7" s="150">
        <f>(Q7-MIN(Q$7:Q$13))/(MAX(Q$7:Q$13)-MIN(Q$7:Q$13))</f>
        <v/>
      </c>
      <c r="AI7" s="150">
        <f>(R7-MIN(R$7:R$13))/(MAX(R$7:R$13)-MIN(R$7:R$13))</f>
        <v/>
      </c>
      <c r="AJ7" s="150">
        <f>(S7-MIN(S$7:S$13))/(MAX(S$7:S$13)-MIN(S$7:S$13))</f>
        <v/>
      </c>
      <c r="AK7" s="150">
        <f>(MAX(T$7:T$13)-T7)/(MAX(T$7:T$13)-MIN(T$7:T$13))</f>
        <v/>
      </c>
      <c r="AL7" s="150">
        <f>(MAX(U$7:U$13)-U7)/(MAX(U$7:U$13)-MIN(U$7:U$13))</f>
        <v/>
      </c>
      <c r="AM7" s="150">
        <f>(V7-MIN(V$7:V$13))/(MAX(V$7:V$13)-MIN(V$7:V$13))</f>
        <v/>
      </c>
      <c r="AN7" s="143">
        <f t="array" ref="AN7">SUMPRODUCT(W7:Y7, TRANSPOSE('Fund Ranking Criteria'!$C$39:$C$41))+SUMPRODUCT('Fund Ranking_Debt'!Z7:AG7, TRANSPOSE('Fund Ranking Criteria'!$C$30:$C$37))+SUMPRODUCT('Fund Ranking_Debt'!AH7:AM7, TRANSPOSE('Fund Ranking Criteria'!$C$43:$C$48))</f>
        <v/>
      </c>
      <c r="AQ7" s="42" t="n">
        <v>2</v>
      </c>
      <c r="AR7" s="42" t="n">
        <v>3</v>
      </c>
      <c r="AS7" s="42" t="n">
        <v>5</v>
      </c>
    </row>
    <row r="8">
      <c r="B8" s="119" t="inlineStr">
        <is>
          <t>HDFC Ultra Short Term Fund - Reg - Growth</t>
        </is>
      </c>
      <c r="C8" s="132">
        <f>RANK(AN8,$AN$7:$AN$13,0)</f>
        <v/>
      </c>
      <c r="D8" s="191" t="n"/>
      <c r="E8" s="191">
        <f>B8</f>
        <v/>
      </c>
      <c r="F8" s="248" t="n">
        <v>7.61</v>
      </c>
      <c r="G8" s="248" t="n">
        <v>0.43</v>
      </c>
      <c r="H8" s="249" t="n">
        <v>0.47</v>
      </c>
      <c r="I8" s="249" t="n">
        <v>6.63</v>
      </c>
      <c r="J8" s="249" t="n">
        <v>5.67</v>
      </c>
      <c r="K8" s="249" t="n">
        <v>5.77</v>
      </c>
      <c r="L8" s="249" t="n">
        <v>5.85</v>
      </c>
      <c r="M8" s="249" t="n">
        <v>6.72</v>
      </c>
      <c r="N8" s="249" t="n">
        <v>6.86</v>
      </c>
      <c r="O8" s="249" t="n">
        <v>6.06</v>
      </c>
      <c r="P8" s="249" t="n">
        <v>0</v>
      </c>
      <c r="Q8" s="84" t="n">
        <v>8.81</v>
      </c>
      <c r="R8" s="84" t="n">
        <v>78.23</v>
      </c>
      <c r="S8" s="84" t="n">
        <v>2.31</v>
      </c>
      <c r="T8" s="84" t="n">
        <v>5.31</v>
      </c>
      <c r="U8" s="84" t="n">
        <v>0</v>
      </c>
      <c r="V8" s="84" t="n">
        <v>5.33</v>
      </c>
      <c r="W8" s="142">
        <f>(F8-MIN(F$7:F$13))/(MAX(F$7:F$13)-MIN(F$7:F$13))</f>
        <v/>
      </c>
      <c r="X8" s="142">
        <f>(MAX(G$7:G$13)-G8)/(MAX(G$7:G$13)-MIN(G$7:G$13))</f>
        <v/>
      </c>
      <c r="Y8" s="142">
        <f>(MAX(H$7:H$13)-H8)/(MAX(H$7:H$13)-MIN(H$7:H$13))</f>
        <v/>
      </c>
      <c r="Z8" s="142">
        <f>(I8-MIN(I$7:I$13))/(MAX(I$7:I$13)-MIN(I$7:I$13))</f>
        <v/>
      </c>
      <c r="AA8" s="142">
        <f>(J8-MIN(J$7:J$13))/(MAX(J$7:J$13)-MIN(J$7:J$13))</f>
        <v/>
      </c>
      <c r="AB8" s="142">
        <f>(K8-MIN(K$7:K$13))/(MAX(K$7:K$13)-MIN(K$7:K$13))</f>
        <v/>
      </c>
      <c r="AC8" s="142">
        <f>(L8-MIN(L$7:L$13))/(MAX(L$7:L$13)-MIN(L$7:L$13))</f>
        <v/>
      </c>
      <c r="AD8" s="142">
        <f>(M8-MIN(M$7:M$13))/(MAX(M$7:M$13)-MIN(M$7:M$13))</f>
        <v/>
      </c>
      <c r="AE8" s="142">
        <f>(N8-MIN(N$7:N$13))/(MAX(N$7:N$13)-MIN(N$7:N$13))</f>
        <v/>
      </c>
      <c r="AF8" s="142">
        <f>(O8-MIN(O$7:O$13))/(MAX(O$7:O$13)-MIN(O$7:O$13))</f>
        <v/>
      </c>
      <c r="AG8" s="142">
        <f>(P8-MIN(P$7:P$13))/(MAX(P$7:P$13)-MIN(P$7:P$13))</f>
        <v/>
      </c>
      <c r="AH8" s="142">
        <f>(Q8-MIN(Q$7:Q$13))/(MAX(Q$7:Q$13)-MIN(Q$7:Q$13))</f>
        <v/>
      </c>
      <c r="AI8" s="142">
        <f>(R8-MIN(R$7:R$13))/(MAX(R$7:R$13)-MIN(R$7:R$13))</f>
        <v/>
      </c>
      <c r="AJ8" s="142">
        <f>(S8-MIN(S$7:S$13))/(MAX(S$7:S$13)-MIN(S$7:S$13))</f>
        <v/>
      </c>
      <c r="AK8" s="142">
        <f>(MAX(T$7:T$13)-T8)/(MAX(T$7:T$13)-MIN(T$7:T$13))</f>
        <v/>
      </c>
      <c r="AL8" s="142">
        <f>(MAX(U$7:U$13)-U8)/(MAX(U$7:U$13)-MIN(U$7:U$13))</f>
        <v/>
      </c>
      <c r="AM8" s="142">
        <f>(V8-MIN(V$7:V$13))/(MAX(V$7:V$13)-MIN(V$7:V$13))</f>
        <v/>
      </c>
      <c r="AN8" s="143">
        <f t="array" ref="AN8">SUMPRODUCT(W8:Y8, TRANSPOSE('Fund Ranking Criteria'!$C$39:$C$41))+SUMPRODUCT('Fund Ranking_Debt'!Z8:AG8, TRANSPOSE('Fund Ranking Criteria'!$C$30:$C$37))+SUMPRODUCT('Fund Ranking_Debt'!AH8:AM8, TRANSPOSE('Fund Ranking Criteria'!$C$43:$C$48))</f>
        <v/>
      </c>
    </row>
    <row r="9">
      <c r="B9" s="119" t="inlineStr">
        <is>
          <t>SBI Magnum Ultra Short Duration Fund - Growth</t>
        </is>
      </c>
      <c r="C9" s="132">
        <f>RANK(AN9,$AN$7:$AN$13,0)</f>
        <v/>
      </c>
      <c r="D9" s="191" t="n"/>
      <c r="E9" s="191">
        <f>B9</f>
        <v/>
      </c>
      <c r="F9" s="248" t="n">
        <v>6.26</v>
      </c>
      <c r="G9" s="248" t="n">
        <v>0.42</v>
      </c>
      <c r="H9" s="249" t="n">
        <v>0.45</v>
      </c>
      <c r="I9" s="249" t="n">
        <v>7.17</v>
      </c>
      <c r="J9" s="249" t="n">
        <v>7.88</v>
      </c>
      <c r="K9" s="249" t="n">
        <v>7.54</v>
      </c>
      <c r="L9" s="249" t="n">
        <v>7.56</v>
      </c>
      <c r="M9" s="249" t="n">
        <v>7.37</v>
      </c>
      <c r="N9" s="249" t="n">
        <v>7.06</v>
      </c>
      <c r="O9" s="249" t="n">
        <v>5.65</v>
      </c>
      <c r="P9" s="249" t="n">
        <v>6.6</v>
      </c>
      <c r="Q9" s="84" t="n">
        <v>16.31</v>
      </c>
      <c r="R9" s="84" t="n">
        <v>77.66</v>
      </c>
      <c r="S9" s="84" t="n">
        <v>3.09</v>
      </c>
      <c r="T9" s="84" t="n">
        <v>0</v>
      </c>
      <c r="U9" s="84" t="n">
        <v>-13.56</v>
      </c>
      <c r="V9" s="84" t="n">
        <v>16.29</v>
      </c>
      <c r="W9" s="142">
        <f>(F9-MIN(F$7:F$13))/(MAX(F$7:F$13)-MIN(F$7:F$13))</f>
        <v/>
      </c>
      <c r="X9" s="142">
        <f>(MAX(G$7:G$13)-G9)/(MAX(G$7:G$13)-MIN(G$7:G$13))</f>
        <v/>
      </c>
      <c r="Y9" s="142">
        <f>(MAX(H$7:H$13)-H9)/(MAX(H$7:H$13)-MIN(H$7:H$13))</f>
        <v/>
      </c>
      <c r="Z9" s="142">
        <f>(I9-MIN(I$7:I$13))/(MAX(I$7:I$13)-MIN(I$7:I$13))</f>
        <v/>
      </c>
      <c r="AA9" s="142">
        <f>(J9-MIN(J$7:J$13))/(MAX(J$7:J$13)-MIN(J$7:J$13))</f>
        <v/>
      </c>
      <c r="AB9" s="142">
        <f>(K9-MIN(K$7:K$13))/(MAX(K$7:K$13)-MIN(K$7:K$13))</f>
        <v/>
      </c>
      <c r="AC9" s="142">
        <f>(L9-MIN(L$7:L$13))/(MAX(L$7:L$13)-MIN(L$7:L$13))</f>
        <v/>
      </c>
      <c r="AD9" s="142">
        <f>(M9-MIN(M$7:M$13))/(MAX(M$7:M$13)-MIN(M$7:M$13))</f>
        <v/>
      </c>
      <c r="AE9" s="142">
        <f>(N9-MIN(N$7:N$13))/(MAX(N$7:N$13)-MIN(N$7:N$13))</f>
        <v/>
      </c>
      <c r="AF9" s="142">
        <f>(O9-MIN(O$7:O$13))/(MAX(O$7:O$13)-MIN(O$7:O$13))</f>
        <v/>
      </c>
      <c r="AG9" s="142">
        <f>(P9-MIN(P$7:P$13))/(MAX(P$7:P$13)-MIN(P$7:P$13))</f>
        <v/>
      </c>
      <c r="AH9" s="142">
        <f>(Q9-MIN(Q$7:Q$13))/(MAX(Q$7:Q$13)-MIN(Q$7:Q$13))</f>
        <v/>
      </c>
      <c r="AI9" s="142">
        <f>(R9-MIN(R$7:R$13))/(MAX(R$7:R$13)-MIN(R$7:R$13))</f>
        <v/>
      </c>
      <c r="AJ9" s="142">
        <f>(S9-MIN(S$7:S$13))/(MAX(S$7:S$13)-MIN(S$7:S$13))</f>
        <v/>
      </c>
      <c r="AK9" s="142">
        <f>(MAX(T$7:T$13)-T9)/(MAX(T$7:T$13)-MIN(T$7:T$13))</f>
        <v/>
      </c>
      <c r="AL9" s="142">
        <f>(MAX(U$7:U$13)-U9)/(MAX(U$7:U$13)-MIN(U$7:U$13))</f>
        <v/>
      </c>
      <c r="AM9" s="142">
        <f>(V9-MIN(V$7:V$13))/(MAX(V$7:V$13)-MIN(V$7:V$13))</f>
        <v/>
      </c>
      <c r="AN9" s="143">
        <f t="array" ref="AN9">SUMPRODUCT(W9:Y9, TRANSPOSE('Fund Ranking Criteria'!$C$39:$C$41))+SUMPRODUCT('Fund Ranking_Debt'!Z9:AG9, TRANSPOSE('Fund Ranking Criteria'!$C$30:$C$37))+SUMPRODUCT('Fund Ranking_Debt'!AH9:AM9, TRANSPOSE('Fund Ranking Criteria'!$C$43:$C$48))</f>
        <v/>
      </c>
      <c r="AQ9" s="42">
        <f>SUMPRODUCT(AQ6:AS6,AQ7:AS7)</f>
        <v/>
      </c>
    </row>
    <row r="10">
      <c r="B10" s="119" t="inlineStr">
        <is>
          <t>ICICI Prudential Ultra Short Term Fund - Growth</t>
        </is>
      </c>
      <c r="C10" s="132">
        <f>RANK(AN10,$AN$7:$AN$13,0)</f>
        <v/>
      </c>
      <c r="D10" s="191" t="n"/>
      <c r="E10" s="191">
        <f>B10</f>
        <v/>
      </c>
      <c r="F10" s="248" t="n">
        <v>7.79</v>
      </c>
      <c r="G10" s="248" t="n">
        <v>0.44</v>
      </c>
      <c r="H10" s="249" t="n">
        <v>0.48</v>
      </c>
      <c r="I10" s="249" t="n">
        <v>7.16</v>
      </c>
      <c r="J10" s="249" t="n">
        <v>6.07</v>
      </c>
      <c r="K10" s="249" t="n">
        <v>6.07</v>
      </c>
      <c r="L10" s="249" t="n">
        <v>6.13</v>
      </c>
      <c r="M10" s="249" t="n">
        <v>6.88</v>
      </c>
      <c r="N10" s="249" t="n">
        <v>6.97</v>
      </c>
      <c r="O10" s="249" t="n">
        <v>6.18</v>
      </c>
      <c r="P10" s="249" t="n">
        <v>6.76</v>
      </c>
      <c r="Q10" s="84" t="n">
        <v>9.779999999999999</v>
      </c>
      <c r="R10" s="84" t="n">
        <v>68.43000000000001</v>
      </c>
      <c r="S10" s="84" t="n">
        <v>7.49</v>
      </c>
      <c r="T10" s="84" t="n">
        <v>9.630000000000001</v>
      </c>
      <c r="U10" s="84" t="n">
        <v>-14.06</v>
      </c>
      <c r="V10" s="84" t="n">
        <v>4.67</v>
      </c>
      <c r="W10" s="142">
        <f>(F10-MIN(F$7:F$13))/(MAX(F$7:F$13)-MIN(F$7:F$13))</f>
        <v/>
      </c>
      <c r="X10" s="142">
        <f>(MAX(G$7:G$13)-G10)/(MAX(G$7:G$13)-MIN(G$7:G$13))</f>
        <v/>
      </c>
      <c r="Y10" s="142">
        <f>(MAX(H$7:H$13)-H10)/(MAX(H$7:H$13)-MIN(H$7:H$13))</f>
        <v/>
      </c>
      <c r="Z10" s="142">
        <f>(I10-MIN(I$7:I$13))/(MAX(I$7:I$13)-MIN(I$7:I$13))</f>
        <v/>
      </c>
      <c r="AA10" s="142">
        <f>(J10-MIN(J$7:J$13))/(MAX(J$7:J$13)-MIN(J$7:J$13))</f>
        <v/>
      </c>
      <c r="AB10" s="142">
        <f>(K10-MIN(K$7:K$13))/(MAX(K$7:K$13)-MIN(K$7:K$13))</f>
        <v/>
      </c>
      <c r="AC10" s="142">
        <f>(L10-MIN(L$7:L$13))/(MAX(L$7:L$13)-MIN(L$7:L$13))</f>
        <v/>
      </c>
      <c r="AD10" s="142">
        <f>(M10-MIN(M$7:M$13))/(MAX(M$7:M$13)-MIN(M$7:M$13))</f>
        <v/>
      </c>
      <c r="AE10" s="142">
        <f>(N10-MIN(N$7:N$13))/(MAX(N$7:N$13)-MIN(N$7:N$13))</f>
        <v/>
      </c>
      <c r="AF10" s="142">
        <f>(O10-MIN(O$7:O$13))/(MAX(O$7:O$13)-MIN(O$7:O$13))</f>
        <v/>
      </c>
      <c r="AG10" s="142">
        <f>(P10-MIN(P$7:P$13))/(MAX(P$7:P$13)-MIN(P$7:P$13))</f>
        <v/>
      </c>
      <c r="AH10" s="142">
        <f>(Q10-MIN(Q$7:Q$13))/(MAX(Q$7:Q$13)-MIN(Q$7:Q$13))</f>
        <v/>
      </c>
      <c r="AI10" s="142">
        <f>(R10-MIN(R$7:R$13))/(MAX(R$7:R$13)-MIN(R$7:R$13))</f>
        <v/>
      </c>
      <c r="AJ10" s="142">
        <f>(S10-MIN(S$7:S$13))/(MAX(S$7:S$13)-MIN(S$7:S$13))</f>
        <v/>
      </c>
      <c r="AK10" s="142">
        <f>(MAX(T$7:T$13)-T10)/(MAX(T$7:T$13)-MIN(T$7:T$13))</f>
        <v/>
      </c>
      <c r="AL10" s="142">
        <f>(MAX(U$7:U$13)-U10)/(MAX(U$7:U$13)-MIN(U$7:U$13))</f>
        <v/>
      </c>
      <c r="AM10" s="142">
        <f>(V10-MIN(V$7:V$13))/(MAX(V$7:V$13)-MIN(V$7:V$13))</f>
        <v/>
      </c>
      <c r="AN10" s="143">
        <f t="array" ref="AN10">SUMPRODUCT(W10:Y10, TRANSPOSE('Fund Ranking Criteria'!$C$39:$C$41))+SUMPRODUCT('Fund Ranking_Debt'!Z10:AG10, TRANSPOSE('Fund Ranking Criteria'!$C$30:$C$37))+SUMPRODUCT('Fund Ranking_Debt'!AH10:AM10, TRANSPOSE('Fund Ranking Criteria'!$C$43:$C$48))</f>
        <v/>
      </c>
    </row>
    <row r="11">
      <c r="B11" s="119" t="inlineStr">
        <is>
          <t>Kotak Savings Fund - Reg - Growth</t>
        </is>
      </c>
      <c r="C11" s="132">
        <f>RANK(AN11,$AN$7:$AN$13,0)</f>
        <v/>
      </c>
      <c r="D11" s="191" t="n"/>
      <c r="E11" s="191">
        <f>B11</f>
        <v/>
      </c>
      <c r="F11" s="248" t="n">
        <v>7.9</v>
      </c>
      <c r="G11" s="248" t="n">
        <v>0.4</v>
      </c>
      <c r="H11" s="249" t="n">
        <v>0.41</v>
      </c>
      <c r="I11" s="249" t="n">
        <v>6.35</v>
      </c>
      <c r="J11" s="249" t="n">
        <v>5.75</v>
      </c>
      <c r="K11" s="249" t="n">
        <v>5.79</v>
      </c>
      <c r="L11" s="249" t="n">
        <v>5.82</v>
      </c>
      <c r="M11" s="249" t="n">
        <v>6.62</v>
      </c>
      <c r="N11" s="249" t="n">
        <v>6.73</v>
      </c>
      <c r="O11" s="249" t="n">
        <v>5.95</v>
      </c>
      <c r="P11" s="249" t="n">
        <v>6.32</v>
      </c>
      <c r="Q11" s="84" t="n">
        <v>13.33</v>
      </c>
      <c r="R11" s="84" t="n">
        <v>67.15000000000001</v>
      </c>
      <c r="S11" s="84" t="n">
        <v>10.13</v>
      </c>
      <c r="T11" s="84" t="n">
        <v>5.79</v>
      </c>
      <c r="U11" s="84" t="n">
        <v>0</v>
      </c>
      <c r="V11" s="84" t="n">
        <v>3.6</v>
      </c>
      <c r="W11" s="142">
        <f>(F11-MIN(F$7:F$13))/(MAX(F$7:F$13)-MIN(F$7:F$13))</f>
        <v/>
      </c>
      <c r="X11" s="142">
        <f>(MAX(G$7:G$13)-G11)/(MAX(G$7:G$13)-MIN(G$7:G$13))</f>
        <v/>
      </c>
      <c r="Y11" s="142">
        <f>(MAX(H$7:H$13)-H11)/(MAX(H$7:H$13)-MIN(H$7:H$13))</f>
        <v/>
      </c>
      <c r="Z11" s="142">
        <f>(I11-MIN(I$7:I$13))/(MAX(I$7:I$13)-MIN(I$7:I$13))</f>
        <v/>
      </c>
      <c r="AA11" s="142">
        <f>(J11-MIN(J$7:J$13))/(MAX(J$7:J$13)-MIN(J$7:J$13))</f>
        <v/>
      </c>
      <c r="AB11" s="142">
        <f>(K11-MIN(K$7:K$13))/(MAX(K$7:K$13)-MIN(K$7:K$13))</f>
        <v/>
      </c>
      <c r="AC11" s="142">
        <f>(L11-MIN(L$7:L$13))/(MAX(L$7:L$13)-MIN(L$7:L$13))</f>
        <v/>
      </c>
      <c r="AD11" s="142">
        <f>(M11-MIN(M$7:M$13))/(MAX(M$7:M$13)-MIN(M$7:M$13))</f>
        <v/>
      </c>
      <c r="AE11" s="142">
        <f>(N11-MIN(N$7:N$13))/(MAX(N$7:N$13)-MIN(N$7:N$13))</f>
        <v/>
      </c>
      <c r="AF11" s="142">
        <f>(O11-MIN(O$7:O$13))/(MAX(O$7:O$13)-MIN(O$7:O$13))</f>
        <v/>
      </c>
      <c r="AG11" s="142">
        <f>(P11-MIN(P$7:P$13))/(MAX(P$7:P$13)-MIN(P$7:P$13))</f>
        <v/>
      </c>
      <c r="AH11" s="142">
        <f>(Q11-MIN(Q$7:Q$13))/(MAX(Q$7:Q$13)-MIN(Q$7:Q$13))</f>
        <v/>
      </c>
      <c r="AI11" s="142">
        <f>(R11-MIN(R$7:R$13))/(MAX(R$7:R$13)-MIN(R$7:R$13))</f>
        <v/>
      </c>
      <c r="AJ11" s="142">
        <f>(S11-MIN(S$7:S$13))/(MAX(S$7:S$13)-MIN(S$7:S$13))</f>
        <v/>
      </c>
      <c r="AK11" s="142">
        <f>(MAX(T$7:T$13)-T11)/(MAX(T$7:T$13)-MIN(T$7:T$13))</f>
        <v/>
      </c>
      <c r="AL11" s="142">
        <f>(MAX(U$7:U$13)-U11)/(MAX(U$7:U$13)-MIN(U$7:U$13))</f>
        <v/>
      </c>
      <c r="AM11" s="142">
        <f>(V11-MIN(V$7:V$13))/(MAX(V$7:V$13)-MIN(V$7:V$13))</f>
        <v/>
      </c>
      <c r="AN11" s="143">
        <f t="array" ref="AN11">SUMPRODUCT(W11:Y11, TRANSPOSE('Fund Ranking Criteria'!$C$39:$C$41))+SUMPRODUCT('Fund Ranking_Debt'!Z11:AG11, TRANSPOSE('Fund Ranking Criteria'!$C$30:$C$37))+SUMPRODUCT('Fund Ranking_Debt'!AH11:AM11, TRANSPOSE('Fund Ranking Criteria'!$C$43:$C$48))</f>
        <v/>
      </c>
    </row>
    <row r="12">
      <c r="B12" s="119" t="inlineStr">
        <is>
          <t>Nippon India Ultra Short Duration Fund - Reg - Growth</t>
        </is>
      </c>
      <c r="C12" s="132">
        <f>RANK(AN12,$AN$7:$AN$13,0)</f>
        <v/>
      </c>
      <c r="D12" s="191" t="n"/>
      <c r="E12" s="191">
        <f>B12</f>
        <v/>
      </c>
      <c r="F12" s="248" t="n">
        <v>7.83</v>
      </c>
      <c r="G12" s="248" t="n">
        <v>0.42</v>
      </c>
      <c r="H12" s="249" t="n">
        <v>0.45</v>
      </c>
      <c r="I12" s="249" t="n">
        <v>7.15</v>
      </c>
      <c r="J12" s="249" t="n">
        <v>6.14</v>
      </c>
      <c r="K12" s="249" t="n">
        <v>6.06</v>
      </c>
      <c r="L12" s="249" t="n">
        <v>6.05</v>
      </c>
      <c r="M12" s="249" t="n">
        <v>6.72</v>
      </c>
      <c r="N12" s="249" t="n">
        <v>6.78</v>
      </c>
      <c r="O12" s="249" t="n">
        <v>6.56</v>
      </c>
      <c r="P12" s="249" t="n">
        <v>5.79</v>
      </c>
      <c r="Q12" s="84" t="n">
        <v>9.039999999999999</v>
      </c>
      <c r="R12" s="84" t="n">
        <v>56.81</v>
      </c>
      <c r="S12" s="84" t="n">
        <v>9.06</v>
      </c>
      <c r="T12" s="84" t="n">
        <v>19.13</v>
      </c>
      <c r="U12" s="84" t="n">
        <v>0.04</v>
      </c>
      <c r="V12" s="84" t="n">
        <v>5.93</v>
      </c>
      <c r="W12" s="142">
        <f>(F12-MIN(F$7:F$13))/(MAX(F$7:F$13)-MIN(F$7:F$13))</f>
        <v/>
      </c>
      <c r="X12" s="142">
        <f>(MAX(G$7:G$13)-G12)/(MAX(G$7:G$13)-MIN(G$7:G$13))</f>
        <v/>
      </c>
      <c r="Y12" s="142">
        <f>(MAX(H$7:H$13)-H12)/(MAX(H$7:H$13)-MIN(H$7:H$13))</f>
        <v/>
      </c>
      <c r="Z12" s="142">
        <f>(I12-MIN(I$7:I$13))/(MAX(I$7:I$13)-MIN(I$7:I$13))</f>
        <v/>
      </c>
      <c r="AA12" s="142">
        <f>(J12-MIN(J$7:J$13))/(MAX(J$7:J$13)-MIN(J$7:J$13))</f>
        <v/>
      </c>
      <c r="AB12" s="142">
        <f>(K12-MIN(K$7:K$13))/(MAX(K$7:K$13)-MIN(K$7:K$13))</f>
        <v/>
      </c>
      <c r="AC12" s="142">
        <f>(L12-MIN(L$7:L$13))/(MAX(L$7:L$13)-MIN(L$7:L$13))</f>
        <v/>
      </c>
      <c r="AD12" s="142">
        <f>(M12-MIN(M$7:M$13))/(MAX(M$7:M$13)-MIN(M$7:M$13))</f>
        <v/>
      </c>
      <c r="AE12" s="142">
        <f>(N12-MIN(N$7:N$13))/(MAX(N$7:N$13)-MIN(N$7:N$13))</f>
        <v/>
      </c>
      <c r="AF12" s="142">
        <f>(O12-MIN(O$7:O$13))/(MAX(O$7:O$13)-MIN(O$7:O$13))</f>
        <v/>
      </c>
      <c r="AG12" s="142">
        <f>(P12-MIN(P$7:P$13))/(MAX(P$7:P$13)-MIN(P$7:P$13))</f>
        <v/>
      </c>
      <c r="AH12" s="142">
        <f>(Q12-MIN(Q$7:Q$13))/(MAX(Q$7:Q$13)-MIN(Q$7:Q$13))</f>
        <v/>
      </c>
      <c r="AI12" s="142">
        <f>(R12-MIN(R$7:R$13))/(MAX(R$7:R$13)-MIN(R$7:R$13))</f>
        <v/>
      </c>
      <c r="AJ12" s="142">
        <f>(S12-MIN(S$7:S$13))/(MAX(S$7:S$13)-MIN(S$7:S$13))</f>
        <v/>
      </c>
      <c r="AK12" s="142">
        <f>(MAX(T$7:T$13)-T12)/(MAX(T$7:T$13)-MIN(T$7:T$13))</f>
        <v/>
      </c>
      <c r="AL12" s="142">
        <f>(MAX(U$7:U$13)-U12)/(MAX(U$7:U$13)-MIN(U$7:U$13))</f>
        <v/>
      </c>
      <c r="AM12" s="142">
        <f>(V12-MIN(V$7:V$13))/(MAX(V$7:V$13)-MIN(V$7:V$13))</f>
        <v/>
      </c>
      <c r="AN12" s="143">
        <f t="array" ref="AN12">SUMPRODUCT(W12:Y12, TRANSPOSE('Fund Ranking Criteria'!$C$39:$C$41))+SUMPRODUCT('Fund Ranking_Debt'!Z12:AG12, TRANSPOSE('Fund Ranking Criteria'!$C$30:$C$37))+SUMPRODUCT('Fund Ranking_Debt'!AH12:AM12, TRANSPOSE('Fund Ranking Criteria'!$C$43:$C$48))</f>
        <v/>
      </c>
    </row>
    <row r="13" ht="15" customHeight="1" thickBot="1">
      <c r="B13" s="120" t="inlineStr">
        <is>
          <t>UTI Ultra Short Duration Fund - Growth</t>
        </is>
      </c>
      <c r="C13" s="141">
        <f>RANK(AN13,$AN$7:$AN$13,0)</f>
        <v/>
      </c>
      <c r="D13" s="192" t="n"/>
      <c r="E13" s="192">
        <f>B13</f>
        <v/>
      </c>
      <c r="F13" s="251" t="n">
        <v>7.61</v>
      </c>
      <c r="G13" s="251" t="n">
        <v>0.34</v>
      </c>
      <c r="H13" s="250" t="n">
        <v>0.42</v>
      </c>
      <c r="I13" s="250" t="n">
        <v>6.88</v>
      </c>
      <c r="J13" s="250" t="n">
        <v>5.78</v>
      </c>
      <c r="K13" s="250" t="n">
        <v>5.77</v>
      </c>
      <c r="L13" s="250" t="n">
        <v>5.77</v>
      </c>
      <c r="M13" s="250" t="n">
        <v>6.56</v>
      </c>
      <c r="N13" s="250" t="n">
        <v>6.68</v>
      </c>
      <c r="O13" s="250" t="n">
        <v>6.42</v>
      </c>
      <c r="P13" s="250" t="n">
        <v>6.03</v>
      </c>
      <c r="Q13" s="92" t="n">
        <v>5.62</v>
      </c>
      <c r="R13" s="92" t="n">
        <v>62.96</v>
      </c>
      <c r="S13" s="92" t="n">
        <v>11.48</v>
      </c>
      <c r="T13" s="92" t="n">
        <v>8.59</v>
      </c>
      <c r="U13" s="92" t="n">
        <v>0</v>
      </c>
      <c r="V13" s="92" t="n">
        <v>11.35</v>
      </c>
      <c r="W13" s="144">
        <f>(F13-MIN(F$7:F$13))/(MAX(F$7:F$13)-MIN(F$7:F$13))</f>
        <v/>
      </c>
      <c r="X13" s="144">
        <f>(MAX(G$7:G$13)-G13)/(MAX(G$7:G$13)-MIN(G$7:G$13))</f>
        <v/>
      </c>
      <c r="Y13" s="144">
        <f>(MAX(H$7:H$13)-H13)/(MAX(H$7:H$13)-MIN(H$7:H$13))</f>
        <v/>
      </c>
      <c r="Z13" s="144">
        <f>(I13-MIN(I$7:I$13))/(MAX(I$7:I$13)-MIN(I$7:I$13))</f>
        <v/>
      </c>
      <c r="AA13" s="144">
        <f>(J13-MIN(J$7:J$13))/(MAX(J$7:J$13)-MIN(J$7:J$13))</f>
        <v/>
      </c>
      <c r="AB13" s="144">
        <f>(K13-MIN(K$7:K$13))/(MAX(K$7:K$13)-MIN(K$7:K$13))</f>
        <v/>
      </c>
      <c r="AC13" s="144">
        <f>(L13-MIN(L$7:L$13))/(MAX(L$7:L$13)-MIN(L$7:L$13))</f>
        <v/>
      </c>
      <c r="AD13" s="144">
        <f>(M13-MIN(M$7:M$13))/(MAX(M$7:M$13)-MIN(M$7:M$13))</f>
        <v/>
      </c>
      <c r="AE13" s="144">
        <f>(N13-MIN(N$7:N$13))/(MAX(N$7:N$13)-MIN(N$7:N$13))</f>
        <v/>
      </c>
      <c r="AF13" s="144">
        <f>(O13-MIN(O$7:O$13))/(MAX(O$7:O$13)-MIN(O$7:O$13))</f>
        <v/>
      </c>
      <c r="AG13" s="144">
        <f>(P13-MIN(P$7:P$13))/(MAX(P$7:P$13)-MIN(P$7:P$13))</f>
        <v/>
      </c>
      <c r="AH13" s="144">
        <f>(Q13-MIN(Q$7:Q$13))/(MAX(Q$7:Q$13)-MIN(Q$7:Q$13))</f>
        <v/>
      </c>
      <c r="AI13" s="144">
        <f>(R13-MIN(R$7:R$13))/(MAX(R$7:R$13)-MIN(R$7:R$13))</f>
        <v/>
      </c>
      <c r="AJ13" s="144">
        <f>(S13-MIN(S$7:S$13))/(MAX(S$7:S$13)-MIN(S$7:S$13))</f>
        <v/>
      </c>
      <c r="AK13" s="144">
        <f>(MAX(T$7:T$13)-T13)/(MAX(T$7:T$13)-MIN(T$7:T$13))</f>
        <v/>
      </c>
      <c r="AL13" s="144">
        <f>(MAX(U$7:U$13)-U13)/(MAX(U$7:U$13)-MIN(U$7:U$13))</f>
        <v/>
      </c>
      <c r="AM13" s="144">
        <f>(V13-MIN(V$7:V$13))/(MAX(V$7:V$13)-MIN(V$7:V$13))</f>
        <v/>
      </c>
      <c r="AN13" s="145">
        <f t="array" ref="AN13">SUMPRODUCT(W13:Y13, TRANSPOSE('Fund Ranking Criteria'!$C$39:$C$41))+SUMPRODUCT('Fund Ranking_Debt'!Z13:AG13, TRANSPOSE('Fund Ranking Criteria'!$C$30:$C$37))+SUMPRODUCT('Fund Ranking_Debt'!AH13:AM13, TRANSPOSE('Fund Ranking Criteria'!$C$43:$C$48))</f>
        <v/>
      </c>
    </row>
    <row r="15" ht="15" customHeight="1" thickBot="1"/>
    <row r="16" ht="15" customHeight="1" thickBot="1">
      <c r="B16" s="429" t="inlineStr">
        <is>
          <t>Low Duration Fund</t>
        </is>
      </c>
      <c r="C16" s="426" t="n"/>
      <c r="D16" s="426" t="n"/>
      <c r="E16" s="426" t="n"/>
      <c r="F16" s="426" t="n"/>
      <c r="G16" s="426" t="n"/>
      <c r="H16" s="426" t="n"/>
      <c r="I16" s="426" t="n"/>
      <c r="J16" s="426" t="n"/>
      <c r="K16" s="426" t="n"/>
      <c r="L16" s="426" t="n"/>
      <c r="M16" s="426" t="n"/>
      <c r="N16" s="426" t="n"/>
      <c r="O16" s="426" t="n"/>
      <c r="P16" s="426" t="n"/>
      <c r="Q16" s="426" t="n"/>
      <c r="R16" s="426" t="n"/>
      <c r="S16" s="426" t="n"/>
      <c r="T16" s="426" t="n"/>
      <c r="U16" s="426" t="n"/>
      <c r="V16" s="426" t="n"/>
      <c r="W16" s="426" t="n"/>
      <c r="X16" s="426" t="n"/>
      <c r="Y16" s="426" t="n"/>
      <c r="Z16" s="426" t="n"/>
      <c r="AA16" s="426" t="n"/>
      <c r="AB16" s="426" t="n"/>
      <c r="AC16" s="426" t="n"/>
      <c r="AD16" s="426" t="n"/>
      <c r="AE16" s="426" t="n"/>
      <c r="AF16" s="426" t="n"/>
      <c r="AG16" s="426" t="n"/>
      <c r="AH16" s="426" t="n"/>
      <c r="AI16" s="426" t="n"/>
      <c r="AJ16" s="426" t="n"/>
      <c r="AK16" s="426" t="n"/>
      <c r="AL16" s="426" t="n"/>
      <c r="AM16" s="426" t="n"/>
      <c r="AN16" s="375" t="n"/>
    </row>
    <row r="17" ht="15" customHeight="1" thickBot="1">
      <c r="B17" s="262" t="n"/>
      <c r="C17" s="189" t="n"/>
      <c r="D17" s="189" t="n"/>
      <c r="E17" s="189" t="n"/>
      <c r="F17" s="444" t="n"/>
      <c r="G17" s="445" t="n"/>
      <c r="H17" s="445" t="n"/>
      <c r="I17" s="445" t="n"/>
      <c r="J17" s="445" t="n"/>
      <c r="K17" s="445" t="n"/>
      <c r="L17" s="445" t="n"/>
      <c r="M17" s="445" t="n"/>
      <c r="N17" s="445" t="n"/>
      <c r="O17" s="445" t="n"/>
      <c r="P17" s="445" t="n"/>
      <c r="Q17" s="445" t="n"/>
      <c r="R17" s="445" t="n"/>
      <c r="S17" s="445" t="n"/>
      <c r="T17" s="445" t="n"/>
      <c r="U17" s="445" t="n"/>
      <c r="V17" s="446" t="n"/>
      <c r="W17" s="444" t="n"/>
      <c r="X17" s="445" t="n"/>
      <c r="Y17" s="445" t="n"/>
      <c r="Z17" s="445" t="n"/>
      <c r="AA17" s="445" t="n"/>
      <c r="AB17" s="445" t="n"/>
      <c r="AC17" s="445" t="n"/>
      <c r="AD17" s="445" t="n"/>
      <c r="AE17" s="445" t="n"/>
      <c r="AF17" s="445" t="n"/>
      <c r="AG17" s="445" t="n"/>
      <c r="AH17" s="445" t="n"/>
      <c r="AI17" s="445" t="n"/>
      <c r="AJ17" s="445" t="n"/>
      <c r="AK17" s="445" t="n"/>
      <c r="AL17" s="445" t="n"/>
      <c r="AM17" s="446" t="n"/>
      <c r="AN17" s="442" t="inlineStr">
        <is>
          <t>Score</t>
        </is>
      </c>
    </row>
    <row r="18" ht="43.5" customHeight="1">
      <c r="B18" s="116" t="inlineStr">
        <is>
          <t>Funds</t>
        </is>
      </c>
      <c r="C18" s="282" t="inlineStr">
        <is>
          <t>Rank</t>
        </is>
      </c>
      <c r="D18" s="282" t="n"/>
      <c r="E18" s="281" t="n"/>
      <c r="F18" s="280" t="inlineStr">
        <is>
          <t>YTM</t>
        </is>
      </c>
      <c r="G18" s="280" t="inlineStr">
        <is>
          <t>Modified Duration</t>
        </is>
      </c>
      <c r="H18" s="280" t="inlineStr">
        <is>
          <t>Macaulay Duration</t>
        </is>
      </c>
      <c r="I18" s="280" t="inlineStr">
        <is>
          <t>3 Months</t>
        </is>
      </c>
      <c r="J18" s="280" t="inlineStr">
        <is>
          <t>6 Months</t>
        </is>
      </c>
      <c r="K18" s="280" t="inlineStr">
        <is>
          <t>9 Months</t>
        </is>
      </c>
      <c r="L18" s="280" t="inlineStr">
        <is>
          <t>1 Year</t>
        </is>
      </c>
      <c r="M18" s="280" t="inlineStr">
        <is>
          <t>2 Years</t>
        </is>
      </c>
      <c r="N18" s="280" t="inlineStr">
        <is>
          <t>3 Years</t>
        </is>
      </c>
      <c r="O18" s="280" t="inlineStr">
        <is>
          <t>5 Years</t>
        </is>
      </c>
      <c r="P18" s="280" t="inlineStr">
        <is>
          <t>10 Years</t>
        </is>
      </c>
      <c r="Q18" s="280" t="inlineStr">
        <is>
          <t>Sovereign</t>
        </is>
      </c>
      <c r="R18" s="280" t="inlineStr">
        <is>
          <t>AAA/A1+</t>
        </is>
      </c>
      <c r="S18" s="280" t="inlineStr">
        <is>
          <t>AA+</t>
        </is>
      </c>
      <c r="T18" s="280" t="inlineStr">
        <is>
          <t>AA/AA-</t>
        </is>
      </c>
      <c r="U18" s="280" t="inlineStr">
        <is>
          <t>Below AA-</t>
        </is>
      </c>
      <c r="V18" s="280" t="inlineStr">
        <is>
          <t>Cash and Fixed Deposits</t>
        </is>
      </c>
      <c r="W18" s="198">
        <f>F18</f>
        <v/>
      </c>
      <c r="X18" s="283">
        <f>G18</f>
        <v/>
      </c>
      <c r="Y18" s="283">
        <f>H18</f>
        <v/>
      </c>
      <c r="Z18" s="198">
        <f>I18</f>
        <v/>
      </c>
      <c r="AA18" s="198">
        <f>J18</f>
        <v/>
      </c>
      <c r="AB18" s="198">
        <f>K18</f>
        <v/>
      </c>
      <c r="AC18" s="198">
        <f>L18</f>
        <v/>
      </c>
      <c r="AD18" s="198">
        <f>M18</f>
        <v/>
      </c>
      <c r="AE18" s="198">
        <f>N18</f>
        <v/>
      </c>
      <c r="AF18" s="198">
        <f>O18</f>
        <v/>
      </c>
      <c r="AG18" s="198">
        <f>P18</f>
        <v/>
      </c>
      <c r="AH18" s="198">
        <f>Q18</f>
        <v/>
      </c>
      <c r="AI18" s="198">
        <f>R18</f>
        <v/>
      </c>
      <c r="AJ18" s="198">
        <f>S18</f>
        <v/>
      </c>
      <c r="AK18" s="283">
        <f>T18</f>
        <v/>
      </c>
      <c r="AL18" s="283">
        <f>U18</f>
        <v/>
      </c>
      <c r="AM18" s="198">
        <f>V18</f>
        <v/>
      </c>
      <c r="AN18" s="443" t="n"/>
    </row>
    <row r="19">
      <c r="B19" s="119" t="inlineStr">
        <is>
          <t>ICICI Prudential Savings Fund - Reg - Growth</t>
        </is>
      </c>
      <c r="C19" s="132">
        <f>RANK(AN19,$AN$19:$AN$25,0)</f>
        <v/>
      </c>
      <c r="D19" s="191" t="n"/>
      <c r="E19" s="191">
        <f>B19</f>
        <v/>
      </c>
      <c r="F19" s="248" t="n">
        <v>7.95</v>
      </c>
      <c r="G19" s="248" t="n">
        <v>0.95</v>
      </c>
      <c r="H19" s="249" t="n">
        <v>1.01</v>
      </c>
      <c r="I19" s="248" t="n">
        <v>7.24</v>
      </c>
      <c r="J19" s="248" t="n">
        <v>5.91</v>
      </c>
      <c r="K19" s="248" t="n">
        <v>6.18</v>
      </c>
      <c r="L19" s="248" t="n">
        <v>6.2</v>
      </c>
      <c r="M19" s="248" t="n">
        <v>7.3</v>
      </c>
      <c r="N19" s="248" t="n">
        <v>7.45</v>
      </c>
      <c r="O19" s="248" t="n">
        <v>6.52</v>
      </c>
      <c r="P19" s="248" t="n">
        <v>7.07</v>
      </c>
      <c r="Q19" s="248" t="n">
        <v>8.949999999999999</v>
      </c>
      <c r="R19" s="248" t="n">
        <v>73.29000000000001</v>
      </c>
      <c r="S19" s="248" t="n">
        <v>6.89</v>
      </c>
      <c r="T19" s="248" t="n">
        <v>7.01</v>
      </c>
      <c r="U19" s="248" t="n">
        <v>-5.6</v>
      </c>
      <c r="V19" s="248" t="n">
        <v>3.86</v>
      </c>
      <c r="W19" s="149">
        <f>(F19-MIN(F$19:F$25))/(MAX(F$19:F$25)-MIN(F$19:F$25))</f>
        <v/>
      </c>
      <c r="X19" s="142">
        <f>(MAX(G$19:G$25)-G19)/(MAX(G$19:G$25)-MIN(G$19:G$25))</f>
        <v/>
      </c>
      <c r="Y19" s="142">
        <f>(MAX(H$19:H$25)-H19)/(MAX(H$19:H$25)-MIN(H$19:H$25))</f>
        <v/>
      </c>
      <c r="Z19" s="149">
        <f>(I19-MIN(I$19:I$25))/(MAX(I$19:I$25)-MIN(I$19:I$25))</f>
        <v/>
      </c>
      <c r="AA19" s="149">
        <f>(J19-MIN(J$19:J$25))/(MAX(J$19:J$25)-MIN(J$19:J$25))</f>
        <v/>
      </c>
      <c r="AB19" s="149">
        <f>(K19-MIN(K$19:K$25))/(MAX(K$19:K$25)-MIN(K$19:K$25))</f>
        <v/>
      </c>
      <c r="AC19" s="149">
        <f>(L19-MIN(L$19:L$25))/(MAX(L$19:L$25)-MIN(L$19:L$25))</f>
        <v/>
      </c>
      <c r="AD19" s="149">
        <f>(M19-MIN(M$19:M$25))/(MAX(M$19:M$25)-MIN(M$19:M$25))</f>
        <v/>
      </c>
      <c r="AE19" s="149">
        <f>(N19-MIN(N$19:N$25))/(MAX(N$19:N$25)-MIN(N$19:N$25))</f>
        <v/>
      </c>
      <c r="AF19" s="149">
        <f>(O19-MIN(O$19:O$25))/(MAX(O$19:O$25)-MIN(O$19:O$25))</f>
        <v/>
      </c>
      <c r="AG19" s="149">
        <f>(P19-MIN(P$19:P$25))/(MAX(P$19:P$25)-MIN(P$19:P$25))</f>
        <v/>
      </c>
      <c r="AH19" s="149">
        <f>(Q19-MIN(Q$19:Q$25))/(MAX(Q$19:Q$25)-MIN(Q$19:Q$25))</f>
        <v/>
      </c>
      <c r="AI19" s="149">
        <f>(R19-MIN(R$19:R$25))/(MAX(R$19:R$25)-MIN(R$19:R$25))</f>
        <v/>
      </c>
      <c r="AJ19" s="149">
        <f>(S19-MIN(S$19:S$25))/(MAX(S$19:S$25)-MIN(S$19:S$25))</f>
        <v/>
      </c>
      <c r="AK19" s="142">
        <f>(MAX(T$7:T$13)-T19)/(MAX(T$7:T$13)-MIN(T$7:T$13))</f>
        <v/>
      </c>
      <c r="AL19" s="142">
        <f>(MAX(U$7:U$13)-U19)/(MAX(U$7:U$13)-MIN(U$7:U$13))</f>
        <v/>
      </c>
      <c r="AM19" s="149">
        <f>(V19-MIN(V$19:V$25))/(MAX(V$19:V$25)-MIN(V$19:V$25))</f>
        <v/>
      </c>
      <c r="AN19" s="143">
        <f t="array" ref="AN19">SUMPRODUCT(W19:Y19, TRANSPOSE('Fund Ranking Criteria'!$D$39:$D$41))+SUMPRODUCT('Fund Ranking_Debt'!Z19:AG19, TRANSPOSE('Fund Ranking Criteria'!$D$30:$D$37))+SUMPRODUCT('Fund Ranking_Debt'!AH19:AM19, TRANSPOSE('Fund Ranking Criteria'!$D$43:$D$48))</f>
        <v/>
      </c>
    </row>
    <row r="20">
      <c r="B20" s="119" t="inlineStr">
        <is>
          <t>HDFC Low Duration Fund - Growth</t>
        </is>
      </c>
      <c r="C20" s="132">
        <f>RANK(AN20,$AN$19:$AN$25,0)</f>
        <v/>
      </c>
      <c r="D20" s="191" t="n"/>
      <c r="E20" s="191">
        <f>B20</f>
        <v/>
      </c>
      <c r="F20" s="248" t="n">
        <v>7.82</v>
      </c>
      <c r="G20" s="248" t="n">
        <v>0.88</v>
      </c>
      <c r="H20" s="249" t="n">
        <v>0.95</v>
      </c>
      <c r="I20" s="248" t="n">
        <v>6.6</v>
      </c>
      <c r="J20" s="248" t="n">
        <v>5.42</v>
      </c>
      <c r="K20" s="248" t="n">
        <v>5.6</v>
      </c>
      <c r="L20" s="248" t="n">
        <v>5.59</v>
      </c>
      <c r="M20" s="248" t="n">
        <v>6.79</v>
      </c>
      <c r="N20" s="248" t="n">
        <v>6.9</v>
      </c>
      <c r="O20" s="248" t="n">
        <v>6.03</v>
      </c>
      <c r="P20" s="248" t="n">
        <v>6.57</v>
      </c>
      <c r="Q20" s="248" t="n">
        <v>13.35</v>
      </c>
      <c r="R20" s="248" t="n">
        <v>67.59</v>
      </c>
      <c r="S20" s="248" t="n">
        <v>1.71</v>
      </c>
      <c r="T20" s="248" t="n">
        <v>14.47</v>
      </c>
      <c r="U20" s="248" t="n">
        <v>0</v>
      </c>
      <c r="V20" s="248" t="n">
        <v>2.88</v>
      </c>
      <c r="W20" s="149">
        <f>(F20-MIN(F$19:F$25))/(MAX(F$19:F$25)-MIN(F$19:F$25))</f>
        <v/>
      </c>
      <c r="X20" s="142">
        <f>(MAX(G$19:G$25)-G20)/(MAX(G$19:G$25)-MIN(G$19:G$25))</f>
        <v/>
      </c>
      <c r="Y20" s="142">
        <f>(MAX(H$19:H$25)-H20)/(MAX(H$19:H$25)-MIN(H$19:H$25))</f>
        <v/>
      </c>
      <c r="Z20" s="142">
        <f>(I20-MIN(I$19:I$25))/(MAX(I$19:I$25)-MIN(I$19:I$25))</f>
        <v/>
      </c>
      <c r="AA20" s="142">
        <f>(J20-MIN(J$19:J$25))/(MAX(J$19:J$25)-MIN(J$19:J$25))</f>
        <v/>
      </c>
      <c r="AB20" s="142">
        <f>(K20-MIN(K$19:K$25))/(MAX(K$19:K$25)-MIN(K$19:K$25))</f>
        <v/>
      </c>
      <c r="AC20" s="142">
        <f>(L20-MIN(L$19:L$25))/(MAX(L$19:L$25)-MIN(L$19:L$25))</f>
        <v/>
      </c>
      <c r="AD20" s="142">
        <f>(M20-MIN(M$19:M$25))/(MAX(M$19:M$25)-MIN(M$19:M$25))</f>
        <v/>
      </c>
      <c r="AE20" s="142">
        <f>(N20-MIN(N$19:N$25))/(MAX(N$19:N$25)-MIN(N$19:N$25))</f>
        <v/>
      </c>
      <c r="AF20" s="142">
        <f>(O20-MIN(O$19:O$25))/(MAX(O$19:O$25)-MIN(O$19:O$25))</f>
        <v/>
      </c>
      <c r="AG20" s="142">
        <f>(P20-MIN(P$19:P$25))/(MAX(P$19:P$25)-MIN(P$19:P$25))</f>
        <v/>
      </c>
      <c r="AH20" s="142">
        <f>(Q20-MIN(Q$19:Q$25))/(MAX(Q$19:Q$25)-MIN(Q$19:Q$25))</f>
        <v/>
      </c>
      <c r="AI20" s="142">
        <f>(R20-MIN(R$19:R$25))/(MAX(R$19:R$25)-MIN(R$19:R$25))</f>
        <v/>
      </c>
      <c r="AJ20" s="142">
        <f>(S20-MIN(S$19:S$25))/(MAX(S$19:S$25)-MIN(S$19:S$25))</f>
        <v/>
      </c>
      <c r="AK20" s="142">
        <f>(MAX(T$7:T$13)-T20)/(MAX(T$7:T$13)-MIN(T$7:T$13))</f>
        <v/>
      </c>
      <c r="AL20" s="142">
        <f>(MAX(U$7:U$13)-U20)/(MAX(U$7:U$13)-MIN(U$7:U$13))</f>
        <v/>
      </c>
      <c r="AM20" s="149">
        <f>(V20-MIN(V$19:V$25))/(MAX(V$19:V$25)-MIN(V$19:V$25))</f>
        <v/>
      </c>
      <c r="AN20" s="143">
        <f t="array" ref="AN20">SUMPRODUCT(W20:Y20, TRANSPOSE('Fund Ranking Criteria'!$D$39:$D$41))+SUMPRODUCT('Fund Ranking_Debt'!Z20:AG20, TRANSPOSE('Fund Ranking Criteria'!$D$30:$D$37))+SUMPRODUCT('Fund Ranking_Debt'!AH20:AM20, TRANSPOSE('Fund Ranking Criteria'!$D$43:$D$48))</f>
        <v/>
      </c>
    </row>
    <row r="21">
      <c r="B21" s="119" t="inlineStr">
        <is>
          <t>SBI Magnum Low Duration Fund - Growth</t>
        </is>
      </c>
      <c r="C21" s="132">
        <f>RANK(AN21,$AN$19:$AN$25,0)</f>
        <v/>
      </c>
      <c r="D21" s="191" t="n"/>
      <c r="E21" s="191">
        <f>B21</f>
        <v/>
      </c>
      <c r="F21" s="248" t="n">
        <v>6.53</v>
      </c>
      <c r="G21" s="248" t="n">
        <v>0.86</v>
      </c>
      <c r="H21" s="249" t="n">
        <v>0.9</v>
      </c>
      <c r="I21" s="248" t="n">
        <v>7.56</v>
      </c>
      <c r="J21" s="248" t="n">
        <v>8.51</v>
      </c>
      <c r="K21" s="248" t="n">
        <v>7.81</v>
      </c>
      <c r="L21" s="248" t="n">
        <v>7.79</v>
      </c>
      <c r="M21" s="248" t="n">
        <v>7.37</v>
      </c>
      <c r="N21" s="248" t="n">
        <v>7</v>
      </c>
      <c r="O21" s="248" t="n">
        <v>5.54</v>
      </c>
      <c r="P21" s="248" t="n">
        <v>6.68</v>
      </c>
      <c r="Q21" s="248" t="n">
        <v>13.35</v>
      </c>
      <c r="R21" s="248" t="n">
        <v>77.58</v>
      </c>
      <c r="S21" s="248" t="n">
        <v>7.01</v>
      </c>
      <c r="T21" s="248" t="n">
        <v>0</v>
      </c>
      <c r="U21" s="248" t="n">
        <v>0</v>
      </c>
      <c r="V21" s="248" t="n">
        <v>1.84</v>
      </c>
      <c r="W21" s="149">
        <f>(F21-MIN(F$19:F$25))/(MAX(F$19:F$25)-MIN(F$19:F$25))</f>
        <v/>
      </c>
      <c r="X21" s="142">
        <f>(MAX(G$19:G$25)-G21)/(MAX(G$19:G$25)-MIN(G$19:G$25))</f>
        <v/>
      </c>
      <c r="Y21" s="142">
        <f>(MAX(H$19:H$25)-H21)/(MAX(H$19:H$25)-MIN(H$19:H$25))</f>
        <v/>
      </c>
      <c r="Z21" s="142">
        <f>(I21-MIN(I$19:I$25))/(MAX(I$19:I$25)-MIN(I$19:I$25))</f>
        <v/>
      </c>
      <c r="AA21" s="142">
        <f>(J21-MIN(J$19:J$25))/(MAX(J$19:J$25)-MIN(J$19:J$25))</f>
        <v/>
      </c>
      <c r="AB21" s="142">
        <f>(K21-MIN(K$19:K$25))/(MAX(K$19:K$25)-MIN(K$19:K$25))</f>
        <v/>
      </c>
      <c r="AC21" s="142">
        <f>(L21-MIN(L$19:L$25))/(MAX(L$19:L$25)-MIN(L$19:L$25))</f>
        <v/>
      </c>
      <c r="AD21" s="142">
        <f>(M21-MIN(M$19:M$25))/(MAX(M$19:M$25)-MIN(M$19:M$25))</f>
        <v/>
      </c>
      <c r="AE21" s="142">
        <f>(N21-MIN(N$19:N$25))/(MAX(N$19:N$25)-MIN(N$19:N$25))</f>
        <v/>
      </c>
      <c r="AF21" s="142">
        <f>(O21-MIN(O$19:O$25))/(MAX(O$19:O$25)-MIN(O$19:O$25))</f>
        <v/>
      </c>
      <c r="AG21" s="142">
        <f>(P21-MIN(P$19:P$25))/(MAX(P$19:P$25)-MIN(P$19:P$25))</f>
        <v/>
      </c>
      <c r="AH21" s="142">
        <f>(Q21-MIN(Q$19:Q$25))/(MAX(Q$19:Q$25)-MIN(Q$19:Q$25))</f>
        <v/>
      </c>
      <c r="AI21" s="142">
        <f>(R21-MIN(R$19:R$25))/(MAX(R$19:R$25)-MIN(R$19:R$25))</f>
        <v/>
      </c>
      <c r="AJ21" s="142">
        <f>(S21-MIN(S$19:S$25))/(MAX(S$19:S$25)-MIN(S$19:S$25))</f>
        <v/>
      </c>
      <c r="AK21" s="142">
        <f>(MAX(T$7:T$13)-T21)/(MAX(T$7:T$13)-MIN(T$7:T$13))</f>
        <v/>
      </c>
      <c r="AL21" s="142">
        <f>(MAX(U$7:U$13)-U21)/(MAX(U$7:U$13)-MIN(U$7:U$13))</f>
        <v/>
      </c>
      <c r="AM21" s="149">
        <f>(V21-MIN(V$19:V$25))/(MAX(V$19:V$25)-MIN(V$19:V$25))</f>
        <v/>
      </c>
      <c r="AN21" s="143">
        <f t="array" ref="AN21">SUMPRODUCT(W21:Y21, TRANSPOSE('Fund Ranking Criteria'!$D$39:$D$41))+SUMPRODUCT('Fund Ranking_Debt'!Z21:AG21, TRANSPOSE('Fund Ranking Criteria'!$D$30:$D$37))+SUMPRODUCT('Fund Ranking_Debt'!AH21:AM21, TRANSPOSE('Fund Ranking Criteria'!$D$43:$D$48))</f>
        <v/>
      </c>
    </row>
    <row r="22">
      <c r="B22" s="119" t="inlineStr">
        <is>
          <t>Aditya Birla Sun Life Low Duration Fund - Reg - Growth</t>
        </is>
      </c>
      <c r="C22" s="132">
        <f>RANK(AN22,$AN$19:$AN$25,0)</f>
        <v/>
      </c>
      <c r="D22" s="191" t="n"/>
      <c r="E22" s="191">
        <f>B22</f>
        <v/>
      </c>
      <c r="F22" s="248" t="n">
        <v>7.7</v>
      </c>
      <c r="G22" s="248" t="n">
        <v>0.85</v>
      </c>
      <c r="H22" s="249" t="n">
        <v>0.91</v>
      </c>
      <c r="I22" s="248" t="n">
        <v>6.31</v>
      </c>
      <c r="J22" s="248" t="n">
        <v>4.97</v>
      </c>
      <c r="K22" s="248" t="n">
        <v>5.3</v>
      </c>
      <c r="L22" s="248" t="n">
        <v>5.35</v>
      </c>
      <c r="M22" s="248" t="n">
        <v>6.49</v>
      </c>
      <c r="N22" s="248" t="n">
        <v>6.58</v>
      </c>
      <c r="O22" s="248" t="n">
        <v>5.83</v>
      </c>
      <c r="P22" s="248" t="n">
        <v>6.47</v>
      </c>
      <c r="Q22" s="248" t="n">
        <v>12.03</v>
      </c>
      <c r="R22" s="248" t="n">
        <v>71.34999999999999</v>
      </c>
      <c r="S22" s="248" t="n">
        <v>4.35</v>
      </c>
      <c r="T22" s="248" t="n">
        <v>9.81</v>
      </c>
      <c r="U22" s="248" t="n">
        <v>0</v>
      </c>
      <c r="V22" s="248" t="n">
        <v>2.46</v>
      </c>
      <c r="W22" s="149">
        <f>(F22-MIN(F$19:F$25))/(MAX(F$19:F$25)-MIN(F$19:F$25))</f>
        <v/>
      </c>
      <c r="X22" s="142">
        <f>(MAX(G$19:G$25)-G22)/(MAX(G$19:G$25)-MIN(G$19:G$25))</f>
        <v/>
      </c>
      <c r="Y22" s="142">
        <f>(MAX(H$19:H$25)-H22)/(MAX(H$19:H$25)-MIN(H$19:H$25))</f>
        <v/>
      </c>
      <c r="Z22" s="142">
        <f>(I22-MIN(I$19:I$25))/(MAX(I$19:I$25)-MIN(I$19:I$25))</f>
        <v/>
      </c>
      <c r="AA22" s="142">
        <f>(J22-MIN(J$19:J$25))/(MAX(J$19:J$25)-MIN(J$19:J$25))</f>
        <v/>
      </c>
      <c r="AB22" s="142">
        <f>(K22-MIN(K$19:K$25))/(MAX(K$19:K$25)-MIN(K$19:K$25))</f>
        <v/>
      </c>
      <c r="AC22" s="142">
        <f>(L22-MIN(L$19:L$25))/(MAX(L$19:L$25)-MIN(L$19:L$25))</f>
        <v/>
      </c>
      <c r="AD22" s="142">
        <f>(M22-MIN(M$19:M$25))/(MAX(M$19:M$25)-MIN(M$19:M$25))</f>
        <v/>
      </c>
      <c r="AE22" s="142">
        <f>(N22-MIN(N$19:N$25))/(MAX(N$19:N$25)-MIN(N$19:N$25))</f>
        <v/>
      </c>
      <c r="AF22" s="142">
        <f>(O22-MIN(O$19:O$25))/(MAX(O$19:O$25)-MIN(O$19:O$25))</f>
        <v/>
      </c>
      <c r="AG22" s="142">
        <f>(P22-MIN(P$19:P$25))/(MAX(P$19:P$25)-MIN(P$19:P$25))</f>
        <v/>
      </c>
      <c r="AH22" s="142">
        <f>(Q22-MIN(Q$19:Q$25))/(MAX(Q$19:Q$25)-MIN(Q$19:Q$25))</f>
        <v/>
      </c>
      <c r="AI22" s="142">
        <f>(R22-MIN(R$19:R$25))/(MAX(R$19:R$25)-MIN(R$19:R$25))</f>
        <v/>
      </c>
      <c r="AJ22" s="142">
        <f>(S22-MIN(S$19:S$25))/(MAX(S$19:S$25)-MIN(S$19:S$25))</f>
        <v/>
      </c>
      <c r="AK22" s="142">
        <f>(MAX(T$7:T$13)-T22)/(MAX(T$7:T$13)-MIN(T$7:T$13))</f>
        <v/>
      </c>
      <c r="AL22" s="142">
        <f>(MAX(U$7:U$13)-U22)/(MAX(U$7:U$13)-MIN(U$7:U$13))</f>
        <v/>
      </c>
      <c r="AM22" s="149">
        <f>(V22-MIN(V$19:V$25))/(MAX(V$19:V$25)-MIN(V$19:V$25))</f>
        <v/>
      </c>
      <c r="AN22" s="143">
        <f t="array" ref="AN22">SUMPRODUCT(W22:Y22, TRANSPOSE('Fund Ranking Criteria'!$D$39:$D$41))+SUMPRODUCT('Fund Ranking_Debt'!Z22:AG22, TRANSPOSE('Fund Ranking Criteria'!$D$30:$D$37))+SUMPRODUCT('Fund Ranking_Debt'!AH22:AM22, TRANSPOSE('Fund Ranking Criteria'!$D$43:$D$48))</f>
        <v/>
      </c>
    </row>
    <row r="23">
      <c r="B23" s="119" t="inlineStr">
        <is>
          <t>Kotak Low Duration Fund - Std - Growth</t>
        </is>
      </c>
      <c r="C23" s="132">
        <f>RANK(AN23,$AN$19:$AN$25,0)</f>
        <v/>
      </c>
      <c r="D23" s="191" t="n"/>
      <c r="E23" s="191">
        <f>B23</f>
        <v/>
      </c>
      <c r="F23" s="248" t="n">
        <v>8.130000000000001</v>
      </c>
      <c r="G23" s="248" t="n">
        <v>0.93</v>
      </c>
      <c r="H23" s="249" t="n">
        <v>0.99</v>
      </c>
      <c r="I23" s="248" t="n">
        <v>6.24</v>
      </c>
      <c r="J23" s="248" t="n">
        <v>5.17</v>
      </c>
      <c r="K23" s="248" t="n">
        <v>5.35</v>
      </c>
      <c r="L23" s="248" t="n">
        <v>5.41</v>
      </c>
      <c r="M23" s="248" t="n">
        <v>6.65</v>
      </c>
      <c r="N23" s="248" t="n">
        <v>6.71</v>
      </c>
      <c r="O23" s="248" t="n">
        <v>5.84</v>
      </c>
      <c r="P23" s="248" t="n">
        <v>6.62</v>
      </c>
      <c r="Q23" s="248" t="n">
        <v>12.85</v>
      </c>
      <c r="R23" s="248" t="n">
        <v>68.36</v>
      </c>
      <c r="S23" s="248" t="n">
        <v>5.6</v>
      </c>
      <c r="T23" s="248" t="n">
        <v>11.98</v>
      </c>
      <c r="U23" s="248" t="n">
        <v>0</v>
      </c>
      <c r="V23" s="248" t="n">
        <v>1.21</v>
      </c>
      <c r="W23" s="149">
        <f>(F23-MIN(F$19:F$25))/(MAX(F$19:F$25)-MIN(F$19:F$25))</f>
        <v/>
      </c>
      <c r="X23" s="142">
        <f>(MAX(G$19:G$25)-G23)/(MAX(G$19:G$25)-MIN(G$19:G$25))</f>
        <v/>
      </c>
      <c r="Y23" s="142">
        <f>(MAX(H$19:H$25)-H23)/(MAX(H$19:H$25)-MIN(H$19:H$25))</f>
        <v/>
      </c>
      <c r="Z23" s="142">
        <f>(I23-MIN(I$19:I$25))/(MAX(I$19:I$25)-MIN(I$19:I$25))</f>
        <v/>
      </c>
      <c r="AA23" s="142">
        <f>(J23-MIN(J$19:J$25))/(MAX(J$19:J$25)-MIN(J$19:J$25))</f>
        <v/>
      </c>
      <c r="AB23" s="142">
        <f>(K23-MIN(K$19:K$25))/(MAX(K$19:K$25)-MIN(K$19:K$25))</f>
        <v/>
      </c>
      <c r="AC23" s="142">
        <f>(L23-MIN(L$19:L$25))/(MAX(L$19:L$25)-MIN(L$19:L$25))</f>
        <v/>
      </c>
      <c r="AD23" s="142">
        <f>(M23-MIN(M$19:M$25))/(MAX(M$19:M$25)-MIN(M$19:M$25))</f>
        <v/>
      </c>
      <c r="AE23" s="142">
        <f>(N23-MIN(N$19:N$25))/(MAX(N$19:N$25)-MIN(N$19:N$25))</f>
        <v/>
      </c>
      <c r="AF23" s="142">
        <f>(O23-MIN(O$19:O$25))/(MAX(O$19:O$25)-MIN(O$19:O$25))</f>
        <v/>
      </c>
      <c r="AG23" s="142">
        <f>(P23-MIN(P$19:P$25))/(MAX(P$19:P$25)-MIN(P$19:P$25))</f>
        <v/>
      </c>
      <c r="AH23" s="142">
        <f>(Q23-MIN(Q$19:Q$25))/(MAX(Q$19:Q$25)-MIN(Q$19:Q$25))</f>
        <v/>
      </c>
      <c r="AI23" s="142">
        <f>(R23-MIN(R$19:R$25))/(MAX(R$19:R$25)-MIN(R$19:R$25))</f>
        <v/>
      </c>
      <c r="AJ23" s="142">
        <f>(S23-MIN(S$19:S$25))/(MAX(S$19:S$25)-MIN(S$19:S$25))</f>
        <v/>
      </c>
      <c r="AK23" s="142">
        <f>(MAX(T$7:T$13)-T23)/(MAX(T$7:T$13)-MIN(T$7:T$13))</f>
        <v/>
      </c>
      <c r="AL23" s="142">
        <f>(MAX(U$7:U$13)-U23)/(MAX(U$7:U$13)-MIN(U$7:U$13))</f>
        <v/>
      </c>
      <c r="AM23" s="149">
        <f>(V23-MIN(V$19:V$25))/(MAX(V$19:V$25)-MIN(V$19:V$25))</f>
        <v/>
      </c>
      <c r="AN23" s="143">
        <f t="array" ref="AN23">SUMPRODUCT(W23:Y23, TRANSPOSE('Fund Ranking Criteria'!$D$39:$D$41))+SUMPRODUCT('Fund Ranking_Debt'!Z23:AG23, TRANSPOSE('Fund Ranking Criteria'!$D$30:$D$37))+SUMPRODUCT('Fund Ranking_Debt'!AH23:AM23, TRANSPOSE('Fund Ranking Criteria'!$D$43:$D$48))</f>
        <v/>
      </c>
    </row>
    <row r="24">
      <c r="B24" s="119" t="inlineStr">
        <is>
          <t>Nippon India Low Duration Fund - Reg - Growth</t>
        </is>
      </c>
      <c r="C24" s="132">
        <f>RANK(AN24,$AN$19:$AN$25,0)</f>
        <v/>
      </c>
      <c r="D24" s="191" t="n"/>
      <c r="E24" s="191">
        <f>B24</f>
        <v/>
      </c>
      <c r="F24" s="248" t="n">
        <v>7.88</v>
      </c>
      <c r="G24" s="248" t="n">
        <v>0.92</v>
      </c>
      <c r="H24" s="249" t="n">
        <v>0.98</v>
      </c>
      <c r="I24" s="248" t="n">
        <v>6.93</v>
      </c>
      <c r="J24" s="248" t="n">
        <v>5.48</v>
      </c>
      <c r="K24" s="248" t="n">
        <v>5.64</v>
      </c>
      <c r="L24" s="248" t="n">
        <v>5.73</v>
      </c>
      <c r="M24" s="248" t="n">
        <v>6.86</v>
      </c>
      <c r="N24" s="248" t="n">
        <v>6.86</v>
      </c>
      <c r="O24" s="248" t="n">
        <v>6.02</v>
      </c>
      <c r="P24" s="248" t="n">
        <v>6.48</v>
      </c>
      <c r="Q24" s="248" t="n">
        <v>10.98</v>
      </c>
      <c r="R24" s="248" t="n">
        <v>69.16</v>
      </c>
      <c r="S24" s="248" t="n">
        <v>6.37</v>
      </c>
      <c r="T24" s="248" t="n">
        <v>8.640000000000001</v>
      </c>
      <c r="U24" s="248" t="n">
        <v>0.07000000000000001</v>
      </c>
      <c r="V24" s="248" t="n">
        <v>4.79</v>
      </c>
      <c r="W24" s="149">
        <f>(F24-MIN(F$19:F$25))/(MAX(F$19:F$25)-MIN(F$19:F$25))</f>
        <v/>
      </c>
      <c r="X24" s="142">
        <f>(MAX(G$19:G$25)-G24)/(MAX(G$19:G$25)-MIN(G$19:G$25))</f>
        <v/>
      </c>
      <c r="Y24" s="142">
        <f>(MAX(H$19:H$25)-H24)/(MAX(H$19:H$25)-MIN(H$19:H$25))</f>
        <v/>
      </c>
      <c r="Z24" s="142">
        <f>(I24-MIN(I$19:I$25))/(MAX(I$19:I$25)-MIN(I$19:I$25))</f>
        <v/>
      </c>
      <c r="AA24" s="142">
        <f>(J24-MIN(J$19:J$25))/(MAX(J$19:J$25)-MIN(J$19:J$25))</f>
        <v/>
      </c>
      <c r="AB24" s="142">
        <f>(K24-MIN(K$19:K$25))/(MAX(K$19:K$25)-MIN(K$19:K$25))</f>
        <v/>
      </c>
      <c r="AC24" s="142">
        <f>(L24-MIN(L$19:L$25))/(MAX(L$19:L$25)-MIN(L$19:L$25))</f>
        <v/>
      </c>
      <c r="AD24" s="142">
        <f>(M24-MIN(M$19:M$25))/(MAX(M$19:M$25)-MIN(M$19:M$25))</f>
        <v/>
      </c>
      <c r="AE24" s="142">
        <f>(N24-MIN(N$19:N$25))/(MAX(N$19:N$25)-MIN(N$19:N$25))</f>
        <v/>
      </c>
      <c r="AF24" s="142">
        <f>(O24-MIN(O$19:O$25))/(MAX(O$19:O$25)-MIN(O$19:O$25))</f>
        <v/>
      </c>
      <c r="AG24" s="142">
        <f>(P24-MIN(P$19:P$25))/(MAX(P$19:P$25)-MIN(P$19:P$25))</f>
        <v/>
      </c>
      <c r="AH24" s="142">
        <f>(Q24-MIN(Q$19:Q$25))/(MAX(Q$19:Q$25)-MIN(Q$19:Q$25))</f>
        <v/>
      </c>
      <c r="AI24" s="142">
        <f>(R24-MIN(R$19:R$25))/(MAX(R$19:R$25)-MIN(R$19:R$25))</f>
        <v/>
      </c>
      <c r="AJ24" s="142">
        <f>(S24-MIN(S$19:S$25))/(MAX(S$19:S$25)-MIN(S$19:S$25))</f>
        <v/>
      </c>
      <c r="AK24" s="142">
        <f>(MAX(T$7:T$13)-T24)/(MAX(T$7:T$13)-MIN(T$7:T$13))</f>
        <v/>
      </c>
      <c r="AL24" s="142">
        <f>(MAX(U$7:U$13)-U24)/(MAX(U$7:U$13)-MIN(U$7:U$13))</f>
        <v/>
      </c>
      <c r="AM24" s="149">
        <f>(V24-MIN(V$19:V$25))/(MAX(V$19:V$25)-MIN(V$19:V$25))</f>
        <v/>
      </c>
      <c r="AN24" s="143">
        <f t="array" ref="AN24">SUMPRODUCT(W24:Y24, TRANSPOSE('Fund Ranking Criteria'!$D$39:$D$41))+SUMPRODUCT('Fund Ranking_Debt'!Z24:AG24, TRANSPOSE('Fund Ranking Criteria'!$D$30:$D$37))+SUMPRODUCT('Fund Ranking_Debt'!AH24:AM24, TRANSPOSE('Fund Ranking Criteria'!$D$43:$D$48))</f>
        <v/>
      </c>
    </row>
    <row r="25" ht="15" customHeight="1" thickBot="1">
      <c r="B25" s="120" t="inlineStr">
        <is>
          <t>UTI Low Duration Fund - Reg - Growth</t>
        </is>
      </c>
      <c r="C25" s="141">
        <f>RANK(AN25,$AN$19:$AN$25,0)</f>
        <v/>
      </c>
      <c r="D25" s="192" t="n"/>
      <c r="E25" s="192">
        <f>B25</f>
        <v/>
      </c>
      <c r="F25" s="251" t="n">
        <v>7.77</v>
      </c>
      <c r="G25" s="251" t="n">
        <v>0.6899999999999999</v>
      </c>
      <c r="H25" s="250" t="n">
        <v>0.8100000000000001</v>
      </c>
      <c r="I25" s="251" t="n">
        <v>7.14</v>
      </c>
      <c r="J25" s="251" t="n">
        <v>5.82</v>
      </c>
      <c r="K25" s="251" t="n">
        <v>6</v>
      </c>
      <c r="L25" s="251" t="n">
        <v>6.03</v>
      </c>
      <c r="M25" s="251" t="n">
        <v>7.18</v>
      </c>
      <c r="N25" s="251" t="n">
        <v>7.17</v>
      </c>
      <c r="O25" s="251" t="n">
        <v>7.34</v>
      </c>
      <c r="P25" s="251" t="n">
        <v>5.99</v>
      </c>
      <c r="Q25" s="251" t="n">
        <v>6.16</v>
      </c>
      <c r="R25" s="251" t="n">
        <v>73.56999999999999</v>
      </c>
      <c r="S25" s="251" t="n">
        <v>2.37</v>
      </c>
      <c r="T25" s="251" t="n">
        <v>6.97</v>
      </c>
      <c r="U25" s="248" t="n">
        <v>0</v>
      </c>
      <c r="V25" s="251" t="n">
        <v>10.93</v>
      </c>
      <c r="W25" s="149">
        <f>(F25-MIN(F$19:F$25))/(MAX(F$19:F$25)-MIN(F$19:F$25))</f>
        <v/>
      </c>
      <c r="X25" s="144">
        <f>(MAX(G$19:G$25)-G25)/(MAX(G$19:G$25)-MIN(G$19:G$25))</f>
        <v/>
      </c>
      <c r="Y25" s="144">
        <f>(MAX(H$19:H$25)-H25)/(MAX(H$19:H$25)-MIN(H$19:H$25))</f>
        <v/>
      </c>
      <c r="Z25" s="144">
        <f>(I25-MIN(I$19:I$25))/(MAX(I$19:I$25)-MIN(I$19:I$25))</f>
        <v/>
      </c>
      <c r="AA25" s="144">
        <f>(J25-MIN(J$19:J$25))/(MAX(J$19:J$25)-MIN(J$19:J$25))</f>
        <v/>
      </c>
      <c r="AB25" s="144">
        <f>(K25-MIN(K$19:K$25))/(MAX(K$19:K$25)-MIN(K$19:K$25))</f>
        <v/>
      </c>
      <c r="AC25" s="144">
        <f>(L25-MIN(L$19:L$25))/(MAX(L$19:L$25)-MIN(L$19:L$25))</f>
        <v/>
      </c>
      <c r="AD25" s="144">
        <f>(M25-MIN(M$19:M$25))/(MAX(M$19:M$25)-MIN(M$19:M$25))</f>
        <v/>
      </c>
      <c r="AE25" s="144">
        <f>(N25-MIN(N$19:N$25))/(MAX(N$19:N$25)-MIN(N$19:N$25))</f>
        <v/>
      </c>
      <c r="AF25" s="144">
        <f>(O25-MIN(O$19:O$25))/(MAX(O$19:O$25)-MIN(O$19:O$25))</f>
        <v/>
      </c>
      <c r="AG25" s="144">
        <f>(P25-MIN(P$19:P$25))/(MAX(P$19:P$25)-MIN(P$19:P$25))</f>
        <v/>
      </c>
      <c r="AH25" s="144">
        <f>(Q25-MIN(Q$19:Q$25))/(MAX(Q$19:Q$25)-MIN(Q$19:Q$25))</f>
        <v/>
      </c>
      <c r="AI25" s="144">
        <f>(R25-MIN(R$19:R$25))/(MAX(R$19:R$25)-MIN(R$19:R$25))</f>
        <v/>
      </c>
      <c r="AJ25" s="144">
        <f>(S25-MIN(S$19:S$25))/(MAX(S$19:S$25)-MIN(S$19:S$25))</f>
        <v/>
      </c>
      <c r="AK25" s="144">
        <f>(MAX(T$7:T$13)-T25)/(MAX(T$7:T$13)-MIN(T$7:T$13))</f>
        <v/>
      </c>
      <c r="AL25" s="144">
        <f>(MAX(U$7:U$13)-U25)/(MAX(U$7:U$13)-MIN(U$7:U$13))</f>
        <v/>
      </c>
      <c r="AM25" s="149">
        <f>(V25-MIN(V$19:V$25))/(MAX(V$19:V$25)-MIN(V$19:V$25))</f>
        <v/>
      </c>
      <c r="AN25" s="145">
        <f t="array" ref="AN25">SUMPRODUCT(W25:Y25, TRANSPOSE('Fund Ranking Criteria'!$D$39:$D$41))+SUMPRODUCT('Fund Ranking_Debt'!Z25:AG25, TRANSPOSE('Fund Ranking Criteria'!$D$30:$D$37))+SUMPRODUCT('Fund Ranking_Debt'!AH25:AM25, TRANSPOSE('Fund Ranking Criteria'!$D$43:$D$48))</f>
        <v/>
      </c>
    </row>
    <row r="27" ht="15" customHeight="1" thickBot="1"/>
    <row r="28" ht="15" customHeight="1" thickBot="1">
      <c r="B28" s="429" t="inlineStr">
        <is>
          <t>Short Duration Fund</t>
        </is>
      </c>
      <c r="C28" s="426" t="n"/>
      <c r="D28" s="426" t="n"/>
      <c r="E28" s="426" t="n"/>
      <c r="F28" s="426" t="n"/>
      <c r="G28" s="426" t="n"/>
      <c r="H28" s="426" t="n"/>
      <c r="I28" s="426" t="n"/>
      <c r="J28" s="426" t="n"/>
      <c r="K28" s="426" t="n"/>
      <c r="L28" s="426" t="n"/>
      <c r="M28" s="426" t="n"/>
      <c r="N28" s="426" t="n"/>
      <c r="O28" s="426" t="n"/>
      <c r="P28" s="426" t="n"/>
      <c r="Q28" s="426" t="n"/>
      <c r="R28" s="426" t="n"/>
      <c r="S28" s="426" t="n"/>
      <c r="T28" s="426" t="n"/>
      <c r="U28" s="426" t="n"/>
      <c r="V28" s="426" t="n"/>
      <c r="W28" s="426" t="n"/>
      <c r="X28" s="426" t="n"/>
      <c r="Y28" s="426" t="n"/>
      <c r="Z28" s="426" t="n"/>
      <c r="AA28" s="426" t="n"/>
      <c r="AB28" s="426" t="n"/>
      <c r="AC28" s="426" t="n"/>
      <c r="AD28" s="426" t="n"/>
      <c r="AE28" s="426" t="n"/>
      <c r="AF28" s="426" t="n"/>
      <c r="AG28" s="426" t="n"/>
      <c r="AH28" s="426" t="n"/>
      <c r="AI28" s="426" t="n"/>
      <c r="AJ28" s="426" t="n"/>
      <c r="AK28" s="426" t="n"/>
      <c r="AL28" s="426" t="n"/>
      <c r="AM28" s="426" t="n"/>
      <c r="AN28" s="375" t="n"/>
    </row>
    <row r="29" ht="15" customHeight="1" thickBot="1">
      <c r="B29" s="262" t="n"/>
      <c r="C29" s="189" t="n"/>
      <c r="D29" s="189" t="n"/>
      <c r="E29" s="189" t="n"/>
      <c r="F29" s="444" t="n"/>
      <c r="G29" s="445" t="n"/>
      <c r="H29" s="445" t="n"/>
      <c r="I29" s="445" t="n"/>
      <c r="J29" s="445" t="n"/>
      <c r="K29" s="445" t="n"/>
      <c r="L29" s="445" t="n"/>
      <c r="M29" s="445" t="n"/>
      <c r="N29" s="445" t="n"/>
      <c r="O29" s="445" t="n"/>
      <c r="P29" s="445" t="n"/>
      <c r="Q29" s="445" t="n"/>
      <c r="R29" s="445" t="n"/>
      <c r="S29" s="445" t="n"/>
      <c r="T29" s="445" t="n"/>
      <c r="U29" s="445" t="n"/>
      <c r="V29" s="446" t="n"/>
      <c r="W29" s="444" t="n"/>
      <c r="X29" s="445" t="n"/>
      <c r="Y29" s="445" t="n"/>
      <c r="Z29" s="445" t="n"/>
      <c r="AA29" s="445" t="n"/>
      <c r="AB29" s="445" t="n"/>
      <c r="AC29" s="445" t="n"/>
      <c r="AD29" s="445" t="n"/>
      <c r="AE29" s="445" t="n"/>
      <c r="AF29" s="445" t="n"/>
      <c r="AG29" s="445" t="n"/>
      <c r="AH29" s="445" t="n"/>
      <c r="AI29" s="445" t="n"/>
      <c r="AJ29" s="445" t="n"/>
      <c r="AK29" s="445" t="n"/>
      <c r="AL29" s="445" t="n"/>
      <c r="AM29" s="446" t="n"/>
      <c r="AN29" s="442" t="inlineStr">
        <is>
          <t>Score</t>
        </is>
      </c>
    </row>
    <row r="30" ht="43.5" customHeight="1">
      <c r="B30" s="116" t="inlineStr">
        <is>
          <t>Funds</t>
        </is>
      </c>
      <c r="C30" s="282" t="inlineStr">
        <is>
          <t>Rank</t>
        </is>
      </c>
      <c r="D30" s="282" t="n"/>
      <c r="E30" s="281" t="n"/>
      <c r="F30" s="280" t="inlineStr">
        <is>
          <t>YTM</t>
        </is>
      </c>
      <c r="G30" s="280" t="inlineStr">
        <is>
          <t>Modified Duration</t>
        </is>
      </c>
      <c r="H30" s="280" t="inlineStr">
        <is>
          <t>Macaulay Duration</t>
        </is>
      </c>
      <c r="I30" s="280" t="inlineStr">
        <is>
          <t>3 Months</t>
        </is>
      </c>
      <c r="J30" s="280" t="inlineStr">
        <is>
          <t>6 Months</t>
        </is>
      </c>
      <c r="K30" s="280" t="inlineStr">
        <is>
          <t>9 Months</t>
        </is>
      </c>
      <c r="L30" s="280" t="inlineStr">
        <is>
          <t>1 Year</t>
        </is>
      </c>
      <c r="M30" s="280" t="inlineStr">
        <is>
          <t>2 Years</t>
        </is>
      </c>
      <c r="N30" s="280" t="inlineStr">
        <is>
          <t>3 Years</t>
        </is>
      </c>
      <c r="O30" s="280" t="inlineStr">
        <is>
          <t>5 Years</t>
        </is>
      </c>
      <c r="P30" s="280" t="inlineStr">
        <is>
          <t>10 Years</t>
        </is>
      </c>
      <c r="Q30" s="280" t="inlineStr">
        <is>
          <t>Sovereign</t>
        </is>
      </c>
      <c r="R30" s="280" t="inlineStr">
        <is>
          <t>AAA/A1+</t>
        </is>
      </c>
      <c r="S30" s="280" t="inlineStr">
        <is>
          <t>AA+</t>
        </is>
      </c>
      <c r="T30" s="280" t="inlineStr">
        <is>
          <t>AA/AA-</t>
        </is>
      </c>
      <c r="U30" s="280" t="inlineStr">
        <is>
          <t>Below AA-</t>
        </is>
      </c>
      <c r="V30" s="280" t="inlineStr">
        <is>
          <t>Cash and Fixed Deposits</t>
        </is>
      </c>
      <c r="W30" s="198">
        <f>F30</f>
        <v/>
      </c>
      <c r="X30" s="283">
        <f>G30</f>
        <v/>
      </c>
      <c r="Y30" s="283">
        <f>H30</f>
        <v/>
      </c>
      <c r="Z30" s="198">
        <f>I30</f>
        <v/>
      </c>
      <c r="AA30" s="198">
        <f>J30</f>
        <v/>
      </c>
      <c r="AB30" s="198">
        <f>K30</f>
        <v/>
      </c>
      <c r="AC30" s="198">
        <f>L30</f>
        <v/>
      </c>
      <c r="AD30" s="198">
        <f>M30</f>
        <v/>
      </c>
      <c r="AE30" s="198">
        <f>N30</f>
        <v/>
      </c>
      <c r="AF30" s="198">
        <f>O30</f>
        <v/>
      </c>
      <c r="AG30" s="198">
        <f>P30</f>
        <v/>
      </c>
      <c r="AH30" s="198">
        <f>Q30</f>
        <v/>
      </c>
      <c r="AI30" s="198">
        <f>R30</f>
        <v/>
      </c>
      <c r="AJ30" s="198">
        <f>S30</f>
        <v/>
      </c>
      <c r="AK30" s="283">
        <f>T30</f>
        <v/>
      </c>
      <c r="AL30" s="283">
        <f>U30</f>
        <v/>
      </c>
      <c r="AM30" s="198">
        <f>V30</f>
        <v/>
      </c>
      <c r="AN30" s="443" t="n"/>
    </row>
    <row r="31">
      <c r="B31" s="119" t="inlineStr">
        <is>
          <t>ICICI Prudential Short Term Fund - Growth</t>
        </is>
      </c>
      <c r="C31" s="132">
        <f>RANK(AN31,$AN$31:$AN$37,0)</f>
        <v/>
      </c>
      <c r="D31" s="191" t="n"/>
      <c r="E31" s="191">
        <f>B31</f>
        <v/>
      </c>
      <c r="F31" s="248" t="n">
        <v>8.140000000000001</v>
      </c>
      <c r="G31" s="248" t="n">
        <v>2.72</v>
      </c>
      <c r="H31" s="249" t="n">
        <v>2.86</v>
      </c>
      <c r="I31" s="248" t="n">
        <v>8.56</v>
      </c>
      <c r="J31" s="248" t="n">
        <v>5.59</v>
      </c>
      <c r="K31" s="248" t="n">
        <v>5.91</v>
      </c>
      <c r="L31" s="248" t="n">
        <v>5.75</v>
      </c>
      <c r="M31" s="248" t="n">
        <v>7.37</v>
      </c>
      <c r="N31" s="248" t="n">
        <v>7.38</v>
      </c>
      <c r="O31" s="248" t="n">
        <v>6.52</v>
      </c>
      <c r="P31" s="248" t="n">
        <v>7.28</v>
      </c>
      <c r="Q31" s="248" t="n">
        <v>17.87</v>
      </c>
      <c r="R31" s="248" t="n">
        <v>59.64</v>
      </c>
      <c r="S31" s="248" t="n">
        <v>9.220000000000001</v>
      </c>
      <c r="T31" s="248" t="n">
        <v>10.48</v>
      </c>
      <c r="U31" s="248" t="n">
        <v>3.53</v>
      </c>
      <c r="V31" s="248" t="n">
        <v>2.79</v>
      </c>
      <c r="W31" s="149">
        <f>(F31-MIN(F$31:F$37))/(MAX(F$31:F$37)-MIN(F$31:F$37))</f>
        <v/>
      </c>
      <c r="X31" s="142">
        <f>(MAX(G$31:G$37)-G31)/(MAX(G$31:G$37)-MIN(G$31:G$37))</f>
        <v/>
      </c>
      <c r="Y31" s="142">
        <f>(MAX(H$31:H$37)-H31)/(MAX(H$31:H$37)-MIN(H$31:H$37))</f>
        <v/>
      </c>
      <c r="Z31" s="149">
        <f>(I31-MIN(I$31:I$37))/(MAX(I$31:I$37)-MIN(I$31:I$37))</f>
        <v/>
      </c>
      <c r="AA31" s="149">
        <f>(J31-MIN(J$31:J$37))/(MAX(J$31:J$37)-MIN(J$31:J$37))</f>
        <v/>
      </c>
      <c r="AB31" s="149">
        <f>(K31-MIN(K$31:K$37))/(MAX(K$31:K$37)-MIN(K$31:K$37))</f>
        <v/>
      </c>
      <c r="AC31" s="149">
        <f>(L31-MIN(L$31:L$37))/(MAX(L$31:L$37)-MIN(L$31:L$37))</f>
        <v/>
      </c>
      <c r="AD31" s="149">
        <f>(M31-MIN(M$31:M$37))/(MAX(M$31:M$37)-MIN(M$31:M$37))</f>
        <v/>
      </c>
      <c r="AE31" s="149">
        <f>(N31-MIN(N$31:N$37))/(MAX(N$31:N$37)-MIN(N$31:N$37))</f>
        <v/>
      </c>
      <c r="AF31" s="149">
        <f>(O31-MIN(O$31:O$37))/(MAX(O$31:O$37)-MIN(O$31:O$37))</f>
        <v/>
      </c>
      <c r="AG31" s="149">
        <f>(P31-MIN(P$31:P$37))/(MAX(P$31:P$37)-MIN(P$31:P$37))</f>
        <v/>
      </c>
      <c r="AH31" s="149">
        <f>(Q31-MIN(Q$31:Q$37))/(MAX(Q$31:Q$37)-MIN(Q$31:Q$37))</f>
        <v/>
      </c>
      <c r="AI31" s="149">
        <f>(R31-MIN(R$31:R$37))/(MAX(R$31:R$37)-MIN(R$31:R$37))</f>
        <v/>
      </c>
      <c r="AJ31" s="149">
        <f>(S31-MIN(S$31:S$37))/(MAX(S$31:S$37)-MIN(S$31:S$37))</f>
        <v/>
      </c>
      <c r="AK31" s="142">
        <f>(MAX(T$31:T$37)-T31)/(MAX(T$31:T$37)-MIN(T$31:T$37))</f>
        <v/>
      </c>
      <c r="AL31" s="142">
        <f>(MAX(U$31:U$37)-U31)/(MAX(U$31:U$37)-MIN(U$31:U$37))</f>
        <v/>
      </c>
      <c r="AM31" s="149">
        <f>(V31-MIN(V$31:V$37))/(MAX(V$31:V$37)-MIN(V$31:V$37))</f>
        <v/>
      </c>
      <c r="AN31" s="143">
        <f t="array" ref="AN31">SUMPRODUCT(W31:Y31, TRANSPOSE('Fund Ranking Criteria'!$E$39:$E$41))+SUMPRODUCT('Fund Ranking_Debt'!Z31:AG31, TRANSPOSE('Fund Ranking Criteria'!$E$30:$E$37))+SUMPRODUCT('Fund Ranking_Debt'!AH31:AM31, TRANSPOSE('Fund Ranking Criteria'!$E$43:$E$48))</f>
        <v/>
      </c>
    </row>
    <row r="32">
      <c r="B32" s="119" t="inlineStr">
        <is>
          <t>Kotak Bond Short Term Fund - Reg - Growth</t>
        </is>
      </c>
      <c r="C32" s="132">
        <f>RANK(AN32,$AN$31:$AN$37,0)</f>
        <v/>
      </c>
      <c r="D32" s="191" t="n"/>
      <c r="E32" s="191">
        <f>B32</f>
        <v/>
      </c>
      <c r="F32" s="248" t="n">
        <v>7.94</v>
      </c>
      <c r="G32" s="248" t="n">
        <v>2.07</v>
      </c>
      <c r="H32" s="249" t="n">
        <v>2.19</v>
      </c>
      <c r="I32" s="248" t="n">
        <v>6.99</v>
      </c>
      <c r="J32" s="248" t="n">
        <v>4.57</v>
      </c>
      <c r="K32" s="248" t="n">
        <v>4.86</v>
      </c>
      <c r="L32" s="248" t="n">
        <v>4.56</v>
      </c>
      <c r="M32" s="248" t="n">
        <v>6.76</v>
      </c>
      <c r="N32" s="248" t="n">
        <v>6.77</v>
      </c>
      <c r="O32" s="248" t="n">
        <v>5.73</v>
      </c>
      <c r="P32" s="248" t="n">
        <v>6.65</v>
      </c>
      <c r="Q32" s="248" t="n">
        <v>15.67</v>
      </c>
      <c r="R32" s="248" t="n">
        <v>81.3</v>
      </c>
      <c r="S32" s="248" t="n">
        <v>0</v>
      </c>
      <c r="T32" s="248" t="n">
        <v>0</v>
      </c>
      <c r="U32" s="248" t="n">
        <v>0</v>
      </c>
      <c r="V32" s="248" t="n">
        <v>3.02</v>
      </c>
      <c r="W32" s="149">
        <f>(F32-MIN(F$31:F$37))/(MAX(F$31:F$37)-MIN(F$31:F$37))</f>
        <v/>
      </c>
      <c r="X32" s="142">
        <f>(MAX(G$31:G$37)-G32)/(MAX(G$31:G$37)-MIN(G$31:G$37))</f>
        <v/>
      </c>
      <c r="Y32" s="142">
        <f>(MAX(H$31:H$37)-H32)/(MAX(H$31:H$37)-MIN(H$31:H$37))</f>
        <v/>
      </c>
      <c r="Z32" s="142">
        <f>(I32-MIN(I$31:I$37))/(MAX(I$31:I$37)-MIN(I$31:I$37))</f>
        <v/>
      </c>
      <c r="AA32" s="142">
        <f>(J32-MIN(J$31:J$37))/(MAX(J$31:J$37)-MIN(J$31:J$37))</f>
        <v/>
      </c>
      <c r="AB32" s="142">
        <f>(K32-MIN(K$31:K$37))/(MAX(K$31:K$37)-MIN(K$31:K$37))</f>
        <v/>
      </c>
      <c r="AC32" s="142">
        <f>(L32-MIN(L$31:L$37))/(MAX(L$31:L$37)-MIN(L$31:L$37))</f>
        <v/>
      </c>
      <c r="AD32" s="142">
        <f>(M32-MIN(M$31:M$37))/(MAX(M$31:M$37)-MIN(M$31:M$37))</f>
        <v/>
      </c>
      <c r="AE32" s="142">
        <f>(N32-MIN(N$31:N$37))/(MAX(N$31:N$37)-MIN(N$31:N$37))</f>
        <v/>
      </c>
      <c r="AF32" s="142">
        <f>(O32-MIN(O$31:O$37))/(MAX(O$31:O$37)-MIN(O$31:O$37))</f>
        <v/>
      </c>
      <c r="AG32" s="142">
        <f>(P32-MIN(P$31:P$37))/(MAX(P$31:P$37)-MIN(P$31:P$37))</f>
        <v/>
      </c>
      <c r="AH32" s="142">
        <f>(Q32-MIN(Q$31:Q$37))/(MAX(Q$31:Q$37)-MIN(Q$31:Q$37))</f>
        <v/>
      </c>
      <c r="AI32" s="142">
        <f>(R32-MIN(R$31:R$37))/(MAX(R$31:R$37)-MIN(R$31:R$37))</f>
        <v/>
      </c>
      <c r="AJ32" s="142">
        <f>(S32-MIN(S$31:S$37))/(MAX(S$31:S$37)-MIN(S$31:S$37))</f>
        <v/>
      </c>
      <c r="AK32" s="142">
        <f>(MAX(T$31:T$37)-T32)/(MAX(T$31:T$37)-MIN(T$31:T$37))</f>
        <v/>
      </c>
      <c r="AL32" s="142">
        <f>(MAX(U$31:U$37)-U32)/(MAX(U$31:U$37)-MIN(U$31:U$37))</f>
        <v/>
      </c>
      <c r="AM32" s="142">
        <f>(V32-MIN(V$31:V$37))/(MAX(V$31:V$37)-MIN(V$31:V$37))</f>
        <v/>
      </c>
      <c r="AN32" s="143">
        <f t="array" ref="AN32">SUMPRODUCT(W32:Y32, TRANSPOSE('Fund Ranking Criteria'!$D$39:$D$41))+SUMPRODUCT('Fund Ranking_Debt'!Z32:AG32, TRANSPOSE('Fund Ranking Criteria'!$D$30:$D$37))+SUMPRODUCT('Fund Ranking_Debt'!AH32:AM32, TRANSPOSE('Fund Ranking Criteria'!$D$43:$D$48))</f>
        <v/>
      </c>
    </row>
    <row r="33">
      <c r="B33" s="119" t="inlineStr">
        <is>
          <t>HDFC Short Term Debt Fund - Growth</t>
        </is>
      </c>
      <c r="C33" s="132">
        <f>RANK(AN33,$AN$31:$AN$37,0)</f>
        <v/>
      </c>
      <c r="D33" s="191" t="n"/>
      <c r="E33" s="191">
        <f>B33</f>
        <v/>
      </c>
      <c r="F33" s="248" t="n">
        <v>8.01</v>
      </c>
      <c r="G33" s="248" t="n">
        <v>2.41</v>
      </c>
      <c r="H33" s="249" t="n">
        <v>2.56</v>
      </c>
      <c r="I33" s="248" t="n">
        <v>8.050000000000001</v>
      </c>
      <c r="J33" s="248" t="n">
        <v>5.33</v>
      </c>
      <c r="K33" s="248" t="n">
        <v>5.65</v>
      </c>
      <c r="L33" s="248" t="n">
        <v>5.41</v>
      </c>
      <c r="M33" s="248" t="n">
        <v>7.35</v>
      </c>
      <c r="N33" s="248" t="n">
        <v>7.36</v>
      </c>
      <c r="O33" s="248" t="n">
        <v>6.31</v>
      </c>
      <c r="P33" s="248" t="n">
        <v>7.22</v>
      </c>
      <c r="Q33" s="248" t="n">
        <v>10.77</v>
      </c>
      <c r="R33" s="248" t="n">
        <v>69.44</v>
      </c>
      <c r="S33" s="248" t="n">
        <v>6.93</v>
      </c>
      <c r="T33" s="248" t="n">
        <v>9.539999999999999</v>
      </c>
      <c r="U33" s="248" t="n">
        <v>0</v>
      </c>
      <c r="V33" s="248" t="n">
        <v>3.33</v>
      </c>
      <c r="W33" s="149">
        <f>(F33-MIN(F$31:F$37))/(MAX(F$31:F$37)-MIN(F$31:F$37))</f>
        <v/>
      </c>
      <c r="X33" s="142">
        <f>(MAX(G$31:G$37)-G33)/(MAX(G$31:G$37)-MIN(G$31:G$37))</f>
        <v/>
      </c>
      <c r="Y33" s="142">
        <f>(MAX(H$31:H$37)-H33)/(MAX(H$31:H$37)-MIN(H$31:H$37))</f>
        <v/>
      </c>
      <c r="Z33" s="142">
        <f>(I33-MIN(I$31:I$37))/(MAX(I$31:I$37)-MIN(I$31:I$37))</f>
        <v/>
      </c>
      <c r="AA33" s="142">
        <f>(J33-MIN(J$31:J$37))/(MAX(J$31:J$37)-MIN(J$31:J$37))</f>
        <v/>
      </c>
      <c r="AB33" s="142">
        <f>(K33-MIN(K$31:K$37))/(MAX(K$31:K$37)-MIN(K$31:K$37))</f>
        <v/>
      </c>
      <c r="AC33" s="142">
        <f>(L33-MIN(L$31:L$37))/(MAX(L$31:L$37)-MIN(L$31:L$37))</f>
        <v/>
      </c>
      <c r="AD33" s="142">
        <f>(M33-MIN(M$31:M$37))/(MAX(M$31:M$37)-MIN(M$31:M$37))</f>
        <v/>
      </c>
      <c r="AE33" s="142">
        <f>(N33-MIN(N$31:N$37))/(MAX(N$31:N$37)-MIN(N$31:N$37))</f>
        <v/>
      </c>
      <c r="AF33" s="142">
        <f>(O33-MIN(O$31:O$37))/(MAX(O$31:O$37)-MIN(O$31:O$37))</f>
        <v/>
      </c>
      <c r="AG33" s="142">
        <f>(P33-MIN(P$31:P$37))/(MAX(P$31:P$37)-MIN(P$31:P$37))</f>
        <v/>
      </c>
      <c r="AH33" s="142">
        <f>(Q33-MIN(Q$31:Q$37))/(MAX(Q$31:Q$37)-MIN(Q$31:Q$37))</f>
        <v/>
      </c>
      <c r="AI33" s="142">
        <f>(R33-MIN(R$31:R$37))/(MAX(R$31:R$37)-MIN(R$31:R$37))</f>
        <v/>
      </c>
      <c r="AJ33" s="142">
        <f>(S33-MIN(S$31:S$37))/(MAX(S$31:S$37)-MIN(S$31:S$37))</f>
        <v/>
      </c>
      <c r="AK33" s="142">
        <f>(MAX(T$31:T$37)-T33)/(MAX(T$31:T$37)-MIN(T$31:T$37))</f>
        <v/>
      </c>
      <c r="AL33" s="142">
        <f>(MAX(U$31:U$37)-U33)/(MAX(U$31:U$37)-MIN(U$31:U$37))</f>
        <v/>
      </c>
      <c r="AM33" s="142">
        <f>(V33-MIN(V$31:V$37))/(MAX(V$31:V$37)-MIN(V$31:V$37))</f>
        <v/>
      </c>
      <c r="AN33" s="143">
        <f t="array" ref="AN33">SUMPRODUCT(W33:Y33, TRANSPOSE('Fund Ranking Criteria'!$D$39:$D$41))+SUMPRODUCT('Fund Ranking_Debt'!Z33:AG33, TRANSPOSE('Fund Ranking Criteria'!$D$30:$D$37))+SUMPRODUCT('Fund Ranking_Debt'!AH33:AM33, TRANSPOSE('Fund Ranking Criteria'!$D$43:$D$48))</f>
        <v/>
      </c>
    </row>
    <row r="34">
      <c r="B34" s="119" t="inlineStr">
        <is>
          <t>SBI Short Term Debt Fund - Growth</t>
        </is>
      </c>
      <c r="C34" s="132">
        <f>RANK(AN34,$AN$31:$AN$37,0)</f>
        <v/>
      </c>
      <c r="D34" s="191" t="n"/>
      <c r="E34" s="191">
        <f>B34</f>
        <v/>
      </c>
      <c r="F34" s="248" t="n">
        <v>7.94</v>
      </c>
      <c r="G34" s="248" t="n">
        <v>2.01</v>
      </c>
      <c r="H34" s="249" t="n">
        <v>2.12</v>
      </c>
      <c r="I34" s="248" t="n">
        <v>7.27</v>
      </c>
      <c r="J34" s="248" t="n">
        <v>4.7</v>
      </c>
      <c r="K34" s="248" t="n">
        <v>4.99</v>
      </c>
      <c r="L34" s="248" t="n">
        <v>4.98</v>
      </c>
      <c r="M34" s="248" t="n">
        <v>7.07</v>
      </c>
      <c r="N34" s="248" t="n">
        <v>6.98</v>
      </c>
      <c r="O34" s="248" t="n">
        <v>5.96</v>
      </c>
      <c r="P34" s="248" t="n">
        <v>6.72</v>
      </c>
      <c r="Q34" s="248" t="n">
        <v>14.62</v>
      </c>
      <c r="R34" s="248" t="n">
        <v>61.45</v>
      </c>
      <c r="S34" s="248" t="n">
        <v>8.31</v>
      </c>
      <c r="T34" s="248" t="n">
        <v>7.39</v>
      </c>
      <c r="U34" s="248" t="n">
        <v>-3.61</v>
      </c>
      <c r="V34" s="248" t="n">
        <v>8.23</v>
      </c>
      <c r="W34" s="149">
        <f>(F34-MIN(F$31:F$37))/(MAX(F$31:F$37)-MIN(F$31:F$37))</f>
        <v/>
      </c>
      <c r="X34" s="142">
        <f>(MAX(G$31:G$37)-G34)/(MAX(G$31:G$37)-MIN(G$31:G$37))</f>
        <v/>
      </c>
      <c r="Y34" s="142">
        <f>(MAX(H$31:H$37)-H34)/(MAX(H$31:H$37)-MIN(H$31:H$37))</f>
        <v/>
      </c>
      <c r="Z34" s="142">
        <f>(I34-MIN(I$31:I$37))/(MAX(I$31:I$37)-MIN(I$31:I$37))</f>
        <v/>
      </c>
      <c r="AA34" s="142">
        <f>(J34-MIN(J$31:J$37))/(MAX(J$31:J$37)-MIN(J$31:J$37))</f>
        <v/>
      </c>
      <c r="AB34" s="142">
        <f>(K34-MIN(K$31:K$37))/(MAX(K$31:K$37)-MIN(K$31:K$37))</f>
        <v/>
      </c>
      <c r="AC34" s="142">
        <f>(L34-MIN(L$31:L$37))/(MAX(L$31:L$37)-MIN(L$31:L$37))</f>
        <v/>
      </c>
      <c r="AD34" s="142">
        <f>(M34-MIN(M$31:M$37))/(MAX(M$31:M$37)-MIN(M$31:M$37))</f>
        <v/>
      </c>
      <c r="AE34" s="142">
        <f>(N34-MIN(N$31:N$37))/(MAX(N$31:N$37)-MIN(N$31:N$37))</f>
        <v/>
      </c>
      <c r="AF34" s="142">
        <f>(O34-MIN(O$31:O$37))/(MAX(O$31:O$37)-MIN(O$31:O$37))</f>
        <v/>
      </c>
      <c r="AG34" s="142">
        <f>(P34-MIN(P$31:P$37))/(MAX(P$31:P$37)-MIN(P$31:P$37))</f>
        <v/>
      </c>
      <c r="AH34" s="142">
        <f>(Q34-MIN(Q$31:Q$37))/(MAX(Q$31:Q$37)-MIN(Q$31:Q$37))</f>
        <v/>
      </c>
      <c r="AI34" s="142">
        <f>(R34-MIN(R$31:R$37))/(MAX(R$31:R$37)-MIN(R$31:R$37))</f>
        <v/>
      </c>
      <c r="AJ34" s="142">
        <f>(S34-MIN(S$31:S$37))/(MAX(S$31:S$37)-MIN(S$31:S$37))</f>
        <v/>
      </c>
      <c r="AK34" s="142">
        <f>(MAX(T$31:T$37)-T34)/(MAX(T$31:T$37)-MIN(T$31:T$37))</f>
        <v/>
      </c>
      <c r="AL34" s="142">
        <f>(MAX(U$31:U$37)-U34)/(MAX(U$31:U$37)-MIN(U$31:U$37))</f>
        <v/>
      </c>
      <c r="AM34" s="142">
        <f>(V34-MIN(V$31:V$37))/(MAX(V$31:V$37)-MIN(V$31:V$37))</f>
        <v/>
      </c>
      <c r="AN34" s="143">
        <f t="array" ref="AN34">SUMPRODUCT(W34:Y34, TRANSPOSE('Fund Ranking Criteria'!$D$39:$D$41))+SUMPRODUCT('Fund Ranking_Debt'!Z34:AG34, TRANSPOSE('Fund Ranking Criteria'!$D$30:$D$37))+SUMPRODUCT('Fund Ranking_Debt'!AH34:AM34, TRANSPOSE('Fund Ranking Criteria'!$D$43:$D$48))</f>
        <v/>
      </c>
    </row>
    <row r="35">
      <c r="B35" s="119" t="inlineStr">
        <is>
          <t>Aditya Birla Sun Life Short Term Fund - Reg - Growth</t>
        </is>
      </c>
      <c r="C35" s="132">
        <f>RANK(AN35,$AN$31:$AN$37,0)</f>
        <v/>
      </c>
      <c r="D35" s="191" t="n"/>
      <c r="E35" s="191">
        <f>B35</f>
        <v/>
      </c>
      <c r="F35" s="248" t="n">
        <v>7.8</v>
      </c>
      <c r="G35" s="248" t="n">
        <v>2.11</v>
      </c>
      <c r="H35" s="249" t="n">
        <v>2.26</v>
      </c>
      <c r="I35" s="248" t="n">
        <v>7.62</v>
      </c>
      <c r="J35" s="248" t="n">
        <v>4.8</v>
      </c>
      <c r="K35" s="248" t="n">
        <v>5.4</v>
      </c>
      <c r="L35" s="248" t="n">
        <v>5.2</v>
      </c>
      <c r="M35" s="248" t="n">
        <v>7.12</v>
      </c>
      <c r="N35" s="248" t="n">
        <v>7.08</v>
      </c>
      <c r="O35" s="248" t="n">
        <v>6.23</v>
      </c>
      <c r="P35" s="248" t="n">
        <v>7.08</v>
      </c>
      <c r="Q35" s="248" t="n">
        <v>11.88</v>
      </c>
      <c r="R35" s="248" t="n">
        <v>65.64</v>
      </c>
      <c r="S35" s="248" t="n">
        <v>5.03</v>
      </c>
      <c r="T35" s="248" t="n">
        <v>10.29</v>
      </c>
      <c r="U35" s="248" t="n">
        <v>0</v>
      </c>
      <c r="V35" s="248" t="n">
        <v>7.16</v>
      </c>
      <c r="W35" s="149">
        <f>(F35-MIN(F$31:F$37))/(MAX(F$31:F$37)-MIN(F$31:F$37))</f>
        <v/>
      </c>
      <c r="X35" s="142">
        <f>(MAX(G$31:G$37)-G35)/(MAX(G$31:G$37)-MIN(G$31:G$37))</f>
        <v/>
      </c>
      <c r="Y35" s="142">
        <f>(MAX(H$31:H$37)-H35)/(MAX(H$31:H$37)-MIN(H$31:H$37))</f>
        <v/>
      </c>
      <c r="Z35" s="142">
        <f>(I35-MIN(I$31:I$37))/(MAX(I$31:I$37)-MIN(I$31:I$37))</f>
        <v/>
      </c>
      <c r="AA35" s="142">
        <f>(J35-MIN(J$31:J$37))/(MAX(J$31:J$37)-MIN(J$31:J$37))</f>
        <v/>
      </c>
      <c r="AB35" s="142">
        <f>(K35-MIN(K$31:K$37))/(MAX(K$31:K$37)-MIN(K$31:K$37))</f>
        <v/>
      </c>
      <c r="AC35" s="142">
        <f>(L35-MIN(L$31:L$37))/(MAX(L$31:L$37)-MIN(L$31:L$37))</f>
        <v/>
      </c>
      <c r="AD35" s="142">
        <f>(M35-MIN(M$31:M$37))/(MAX(M$31:M$37)-MIN(M$31:M$37))</f>
        <v/>
      </c>
      <c r="AE35" s="142">
        <f>(N35-MIN(N$31:N$37))/(MAX(N$31:N$37)-MIN(N$31:N$37))</f>
        <v/>
      </c>
      <c r="AF35" s="142">
        <f>(O35-MIN(O$31:O$37))/(MAX(O$31:O$37)-MIN(O$31:O$37))</f>
        <v/>
      </c>
      <c r="AG35" s="142">
        <f>(P35-MIN(P$31:P$37))/(MAX(P$31:P$37)-MIN(P$31:P$37))</f>
        <v/>
      </c>
      <c r="AH35" s="142">
        <f>(Q35-MIN(Q$31:Q$37))/(MAX(Q$31:Q$37)-MIN(Q$31:Q$37))</f>
        <v/>
      </c>
      <c r="AI35" s="142">
        <f>(R35-MIN(R$31:R$37))/(MAX(R$31:R$37)-MIN(R$31:R$37))</f>
        <v/>
      </c>
      <c r="AJ35" s="142">
        <f>(S35-MIN(S$31:S$37))/(MAX(S$31:S$37)-MIN(S$31:S$37))</f>
        <v/>
      </c>
      <c r="AK35" s="142">
        <f>(MAX(T$31:T$37)-T35)/(MAX(T$31:T$37)-MIN(T$31:T$37))</f>
        <v/>
      </c>
      <c r="AL35" s="142">
        <f>(MAX(U$31:U$37)-U35)/(MAX(U$31:U$37)-MIN(U$31:U$37))</f>
        <v/>
      </c>
      <c r="AM35" s="142">
        <f>(V35-MIN(V$31:V$37))/(MAX(V$31:V$37)-MIN(V$31:V$37))</f>
        <v/>
      </c>
      <c r="AN35" s="143">
        <f t="array" ref="AN35">SUMPRODUCT(W35:Y35, TRANSPOSE('Fund Ranking Criteria'!$D$39:$D$41))+SUMPRODUCT('Fund Ranking_Debt'!Z35:AG35, TRANSPOSE('Fund Ranking Criteria'!$D$30:$D$37))+SUMPRODUCT('Fund Ranking_Debt'!AH35:AM35, TRANSPOSE('Fund Ranking Criteria'!$D$43:$D$48))</f>
        <v/>
      </c>
    </row>
    <row r="36">
      <c r="B36" s="119" t="inlineStr">
        <is>
          <t>Nippon India Short Duration Fund - Reg - Growth</t>
        </is>
      </c>
      <c r="C36" s="132">
        <f>RANK(AN36,$AN$31:$AN$37,0)</f>
        <v/>
      </c>
      <c r="D36" s="191" t="n"/>
      <c r="E36" s="191">
        <f>B36</f>
        <v/>
      </c>
      <c r="F36" s="248" t="n">
        <v>8.029999999999999</v>
      </c>
      <c r="G36" s="248" t="n">
        <v>2.3</v>
      </c>
      <c r="H36" s="249" t="n">
        <v>2.43</v>
      </c>
      <c r="I36" s="248" t="n">
        <v>7.85</v>
      </c>
      <c r="J36" s="248" t="n">
        <v>5.28</v>
      </c>
      <c r="K36" s="248" t="n">
        <v>5.46</v>
      </c>
      <c r="L36" s="248" t="n">
        <v>5.24</v>
      </c>
      <c r="M36" s="248" t="n">
        <v>7.35</v>
      </c>
      <c r="N36" s="248" t="n">
        <v>7.21</v>
      </c>
      <c r="O36" s="248" t="n">
        <v>6.12</v>
      </c>
      <c r="P36" s="248" t="n">
        <v>6.82</v>
      </c>
      <c r="Q36" s="248" t="n">
        <v>21.39</v>
      </c>
      <c r="R36" s="248" t="n">
        <v>60.82</v>
      </c>
      <c r="S36" s="248" t="n">
        <v>7.32</v>
      </c>
      <c r="T36" s="248" t="n">
        <v>6.57</v>
      </c>
      <c r="U36" s="248" t="n">
        <v>0</v>
      </c>
      <c r="V36" s="248" t="n">
        <v>3.9</v>
      </c>
      <c r="W36" s="149">
        <f>(F36-MIN(F$31:F$37))/(MAX(F$31:F$37)-MIN(F$31:F$37))</f>
        <v/>
      </c>
      <c r="X36" s="142">
        <f>(MAX(G$31:G$37)-G36)/(MAX(G$31:G$37)-MIN(G$31:G$37))</f>
        <v/>
      </c>
      <c r="Y36" s="142">
        <f>(MAX(H$31:H$37)-H36)/(MAX(H$31:H$37)-MIN(H$31:H$37))</f>
        <v/>
      </c>
      <c r="Z36" s="142">
        <f>(I36-MIN(I$31:I$37))/(MAX(I$31:I$37)-MIN(I$31:I$37))</f>
        <v/>
      </c>
      <c r="AA36" s="142">
        <f>(J36-MIN(J$31:J$37))/(MAX(J$31:J$37)-MIN(J$31:J$37))</f>
        <v/>
      </c>
      <c r="AB36" s="142">
        <f>(K36-MIN(K$31:K$37))/(MAX(K$31:K$37)-MIN(K$31:K$37))</f>
        <v/>
      </c>
      <c r="AC36" s="142">
        <f>(L36-MIN(L$31:L$37))/(MAX(L$31:L$37)-MIN(L$31:L$37))</f>
        <v/>
      </c>
      <c r="AD36" s="142">
        <f>(M36-MIN(M$31:M$37))/(MAX(M$31:M$37)-MIN(M$31:M$37))</f>
        <v/>
      </c>
      <c r="AE36" s="142">
        <f>(N36-MIN(N$31:N$37))/(MAX(N$31:N$37)-MIN(N$31:N$37))</f>
        <v/>
      </c>
      <c r="AF36" s="142">
        <f>(O36-MIN(O$31:O$37))/(MAX(O$31:O$37)-MIN(O$31:O$37))</f>
        <v/>
      </c>
      <c r="AG36" s="142">
        <f>(P36-MIN(P$31:P$37))/(MAX(P$31:P$37)-MIN(P$31:P$37))</f>
        <v/>
      </c>
      <c r="AH36" s="142">
        <f>(Q36-MIN(Q$31:Q$37))/(MAX(Q$31:Q$37)-MIN(Q$31:Q$37))</f>
        <v/>
      </c>
      <c r="AI36" s="142">
        <f>(R36-MIN(R$31:R$37))/(MAX(R$31:R$37)-MIN(R$31:R$37))</f>
        <v/>
      </c>
      <c r="AJ36" s="142">
        <f>(S36-MIN(S$31:S$37))/(MAX(S$31:S$37)-MIN(S$31:S$37))</f>
        <v/>
      </c>
      <c r="AK36" s="142">
        <f>(MAX(T$31:T$37)-T36)/(MAX(T$31:T$37)-MIN(T$31:T$37))</f>
        <v/>
      </c>
      <c r="AL36" s="142">
        <f>(MAX(U$31:U$37)-U36)/(MAX(U$31:U$37)-MIN(U$31:U$37))</f>
        <v/>
      </c>
      <c r="AM36" s="142">
        <f>(V36-MIN(V$31:V$37))/(MAX(V$31:V$37)-MIN(V$31:V$37))</f>
        <v/>
      </c>
      <c r="AN36" s="143">
        <f t="array" ref="AN36">SUMPRODUCT(W36:Y36, TRANSPOSE('Fund Ranking Criteria'!$D$39:$D$41))+SUMPRODUCT('Fund Ranking_Debt'!Z36:AG36, TRANSPOSE('Fund Ranking Criteria'!$D$30:$D$37))+SUMPRODUCT('Fund Ranking_Debt'!AH36:AM36, TRANSPOSE('Fund Ranking Criteria'!$D$43:$D$48))</f>
        <v/>
      </c>
    </row>
    <row r="37" ht="15" customHeight="1" thickBot="1">
      <c r="B37" s="120" t="inlineStr">
        <is>
          <t>UTI Short Duration Fund - Reg - Growth</t>
        </is>
      </c>
      <c r="C37" s="141">
        <f>RANK(AN37,$AN$31:$AN$37,0)</f>
        <v/>
      </c>
      <c r="D37" s="192" t="n"/>
      <c r="E37" s="192">
        <f>B37</f>
        <v/>
      </c>
      <c r="F37" s="251" t="n">
        <v>7.92</v>
      </c>
      <c r="G37" s="251" t="n">
        <v>1.77</v>
      </c>
      <c r="H37" s="250" t="n">
        <v>2.14</v>
      </c>
      <c r="I37" s="251" t="n">
        <v>7.79</v>
      </c>
      <c r="J37" s="251" t="n">
        <v>4.92</v>
      </c>
      <c r="K37" s="251" t="n">
        <v>5.03</v>
      </c>
      <c r="L37" s="251" t="n">
        <v>4.92</v>
      </c>
      <c r="M37" s="251" t="n">
        <v>6.9</v>
      </c>
      <c r="N37" s="251" t="n">
        <v>6.95</v>
      </c>
      <c r="O37" s="251" t="n">
        <v>7.02</v>
      </c>
      <c r="P37" s="251" t="n">
        <v>6.08</v>
      </c>
      <c r="Q37" s="251" t="n">
        <v>13.56</v>
      </c>
      <c r="R37" s="251" t="n">
        <v>66.84999999999999</v>
      </c>
      <c r="S37" s="251" t="n">
        <v>9.210000000000001</v>
      </c>
      <c r="T37" s="251" t="n">
        <v>5.17</v>
      </c>
      <c r="U37" s="251" t="n">
        <v>0</v>
      </c>
      <c r="V37" s="251" t="n">
        <v>5.22</v>
      </c>
      <c r="W37" s="149">
        <f>(F37-MIN(F$31:F$37))/(MAX(F$31:F$37)-MIN(F$31:F$37))</f>
        <v/>
      </c>
      <c r="X37" s="144">
        <f>(MAX(G$31:G$37)-G37)/(MAX(G$31:G$37)-MIN(G$31:G$37))</f>
        <v/>
      </c>
      <c r="Y37" s="144">
        <f>(MAX(H$31:H$37)-H37)/(MAX(H$31:H$37)-MIN(H$31:H$37))</f>
        <v/>
      </c>
      <c r="Z37" s="144">
        <f>(I37-MIN(I$31:I$37))/(MAX(I$31:I$37)-MIN(I$31:I$37))</f>
        <v/>
      </c>
      <c r="AA37" s="144">
        <f>(J37-MIN(J$31:J$37))/(MAX(J$31:J$37)-MIN(J$31:J$37))</f>
        <v/>
      </c>
      <c r="AB37" s="144">
        <f>(K37-MIN(K$31:K$37))/(MAX(K$31:K$37)-MIN(K$31:K$37))</f>
        <v/>
      </c>
      <c r="AC37" s="144">
        <f>(L37-MIN(L$31:L$37))/(MAX(L$31:L$37)-MIN(L$31:L$37))</f>
        <v/>
      </c>
      <c r="AD37" s="144">
        <f>(M37-MIN(M$31:M$37))/(MAX(M$31:M$37)-MIN(M$31:M$37))</f>
        <v/>
      </c>
      <c r="AE37" s="144">
        <f>(N37-MIN(N$31:N$37))/(MAX(N$31:N$37)-MIN(N$31:N$37))</f>
        <v/>
      </c>
      <c r="AF37" s="144">
        <f>(O37-MIN(O$31:O$37))/(MAX(O$31:O$37)-MIN(O$31:O$37))</f>
        <v/>
      </c>
      <c r="AG37" s="144">
        <f>(P37-MIN(P$31:P$37))/(MAX(P$31:P$37)-MIN(P$31:P$37))</f>
        <v/>
      </c>
      <c r="AH37" s="144">
        <f>(Q37-MIN(Q$31:Q$37))/(MAX(Q$31:Q$37)-MIN(Q$31:Q$37))</f>
        <v/>
      </c>
      <c r="AI37" s="144">
        <f>(R37-MIN(R$31:R$37))/(MAX(R$31:R$37)-MIN(R$31:R$37))</f>
        <v/>
      </c>
      <c r="AJ37" s="144">
        <f>(S37-MIN(S$31:S$37))/(MAX(S$31:S$37)-MIN(S$31:S$37))</f>
        <v/>
      </c>
      <c r="AK37" s="144">
        <f>(MAX(T$31:T$37)-T37)/(MAX(T$31:T$37)-MIN(T$31:T$37))</f>
        <v/>
      </c>
      <c r="AL37" s="144">
        <f>(MAX(U$31:U$37)-U37)/(MAX(U$31:U$37)-MIN(U$31:U$37))</f>
        <v/>
      </c>
      <c r="AM37" s="144">
        <f>(V37-MIN(V$31:V$37))/(MAX(V$31:V$37)-MIN(V$31:V$37))</f>
        <v/>
      </c>
      <c r="AN37" s="145">
        <f t="array" ref="AN37">SUMPRODUCT(W37:Y37, TRANSPOSE('Fund Ranking Criteria'!$D$39:$D$41))+SUMPRODUCT('Fund Ranking_Debt'!Z37:AG37, TRANSPOSE('Fund Ranking Criteria'!$D$30:$D$37))+SUMPRODUCT('Fund Ranking_Debt'!AH37:AM37, TRANSPOSE('Fund Ranking Criteria'!$D$43:$D$48))</f>
        <v/>
      </c>
    </row>
    <row r="38" ht="15" customHeight="1" thickBot="1"/>
    <row r="39" ht="15" customHeight="1" thickBot="1">
      <c r="B39" s="429" t="inlineStr">
        <is>
          <t>Medium Duration Fund</t>
        </is>
      </c>
      <c r="C39" s="426" t="n"/>
      <c r="D39" s="426" t="n"/>
      <c r="E39" s="426" t="n"/>
      <c r="F39" s="426" t="n"/>
      <c r="G39" s="426" t="n"/>
      <c r="H39" s="426" t="n"/>
      <c r="I39" s="426" t="n"/>
      <c r="J39" s="426" t="n"/>
      <c r="K39" s="426" t="n"/>
      <c r="L39" s="426" t="n"/>
      <c r="M39" s="426" t="n"/>
      <c r="N39" s="426" t="n"/>
      <c r="O39" s="426" t="n"/>
      <c r="P39" s="426" t="n"/>
      <c r="Q39" s="426" t="n"/>
      <c r="R39" s="426" t="n"/>
      <c r="S39" s="426" t="n"/>
      <c r="T39" s="426" t="n"/>
      <c r="U39" s="426" t="n"/>
      <c r="V39" s="426" t="n"/>
      <c r="W39" s="426" t="n"/>
      <c r="X39" s="426" t="n"/>
      <c r="Y39" s="426" t="n"/>
      <c r="Z39" s="426" t="n"/>
      <c r="AA39" s="426" t="n"/>
      <c r="AB39" s="426" t="n"/>
      <c r="AC39" s="426" t="n"/>
      <c r="AD39" s="426" t="n"/>
      <c r="AE39" s="426" t="n"/>
      <c r="AF39" s="426" t="n"/>
      <c r="AG39" s="426" t="n"/>
      <c r="AH39" s="426" t="n"/>
      <c r="AI39" s="426" t="n"/>
      <c r="AJ39" s="426" t="n"/>
      <c r="AK39" s="426" t="n"/>
      <c r="AL39" s="426" t="n"/>
      <c r="AM39" s="426" t="n"/>
      <c r="AN39" s="375" t="n"/>
    </row>
    <row r="40" ht="15" customHeight="1" thickBot="1">
      <c r="B40" s="262" t="n"/>
      <c r="C40" s="189" t="n"/>
      <c r="D40" s="189" t="n"/>
      <c r="E40" s="189" t="n"/>
      <c r="F40" s="444" t="n"/>
      <c r="G40" s="445" t="n"/>
      <c r="H40" s="445" t="n"/>
      <c r="I40" s="445" t="n"/>
      <c r="J40" s="445" t="n"/>
      <c r="K40" s="445" t="n"/>
      <c r="L40" s="445" t="n"/>
      <c r="M40" s="445" t="n"/>
      <c r="N40" s="445" t="n"/>
      <c r="O40" s="445" t="n"/>
      <c r="P40" s="445" t="n"/>
      <c r="Q40" s="445" t="n"/>
      <c r="R40" s="445" t="n"/>
      <c r="S40" s="445" t="n"/>
      <c r="T40" s="445" t="n"/>
      <c r="U40" s="445" t="n"/>
      <c r="V40" s="446" t="n"/>
      <c r="W40" s="444" t="n"/>
      <c r="X40" s="445" t="n"/>
      <c r="Y40" s="445" t="n"/>
      <c r="Z40" s="445" t="n"/>
      <c r="AA40" s="445" t="n"/>
      <c r="AB40" s="445" t="n"/>
      <c r="AC40" s="445" t="n"/>
      <c r="AD40" s="445" t="n"/>
      <c r="AE40" s="445" t="n"/>
      <c r="AF40" s="445" t="n"/>
      <c r="AG40" s="445" t="n"/>
      <c r="AH40" s="445" t="n"/>
      <c r="AI40" s="445" t="n"/>
      <c r="AJ40" s="445" t="n"/>
      <c r="AK40" s="445" t="n"/>
      <c r="AL40" s="445" t="n"/>
      <c r="AM40" s="446" t="n"/>
      <c r="AN40" s="442" t="inlineStr">
        <is>
          <t>Score</t>
        </is>
      </c>
    </row>
    <row r="41" ht="43.5" customHeight="1">
      <c r="B41" s="116" t="inlineStr">
        <is>
          <t>Funds</t>
        </is>
      </c>
      <c r="C41" s="282" t="inlineStr">
        <is>
          <t>Rank</t>
        </is>
      </c>
      <c r="D41" s="282" t="n"/>
      <c r="E41" s="281" t="n"/>
      <c r="F41" s="280" t="inlineStr">
        <is>
          <t>YTM</t>
        </is>
      </c>
      <c r="G41" s="280" t="inlineStr">
        <is>
          <t>Modified Duration</t>
        </is>
      </c>
      <c r="H41" s="280" t="inlineStr">
        <is>
          <t>Macaulay Duration</t>
        </is>
      </c>
      <c r="I41" s="280" t="inlineStr">
        <is>
          <t>3 Months</t>
        </is>
      </c>
      <c r="J41" s="280" t="inlineStr">
        <is>
          <t>6 Months</t>
        </is>
      </c>
      <c r="K41" s="280" t="inlineStr">
        <is>
          <t>9 Months</t>
        </is>
      </c>
      <c r="L41" s="280" t="inlineStr">
        <is>
          <t>1 Year</t>
        </is>
      </c>
      <c r="M41" s="280" t="inlineStr">
        <is>
          <t>2 Years</t>
        </is>
      </c>
      <c r="N41" s="280" t="inlineStr">
        <is>
          <t>3 Years</t>
        </is>
      </c>
      <c r="O41" s="280" t="inlineStr">
        <is>
          <t>5 Years</t>
        </is>
      </c>
      <c r="P41" s="280" t="inlineStr">
        <is>
          <t>10 Years</t>
        </is>
      </c>
      <c r="Q41" s="280" t="inlineStr">
        <is>
          <t>Sovereign</t>
        </is>
      </c>
      <c r="R41" s="280" t="inlineStr">
        <is>
          <t>AAA/A1+</t>
        </is>
      </c>
      <c r="S41" s="280" t="inlineStr">
        <is>
          <t>AA+</t>
        </is>
      </c>
      <c r="T41" s="280" t="inlineStr">
        <is>
          <t>AA/AA-</t>
        </is>
      </c>
      <c r="U41" s="280" t="inlineStr">
        <is>
          <t>Below AA-</t>
        </is>
      </c>
      <c r="V41" s="280" t="inlineStr">
        <is>
          <t>Cash and Fixed Deposits</t>
        </is>
      </c>
      <c r="W41" s="198">
        <f>F41</f>
        <v/>
      </c>
      <c r="X41" s="283">
        <f>G41</f>
        <v/>
      </c>
      <c r="Y41" s="283">
        <f>H41</f>
        <v/>
      </c>
      <c r="Z41" s="198">
        <f>I41</f>
        <v/>
      </c>
      <c r="AA41" s="198">
        <f>J41</f>
        <v/>
      </c>
      <c r="AB41" s="198">
        <f>K41</f>
        <v/>
      </c>
      <c r="AC41" s="198">
        <f>L41</f>
        <v/>
      </c>
      <c r="AD41" s="198">
        <f>M41</f>
        <v/>
      </c>
      <c r="AE41" s="198">
        <f>N41</f>
        <v/>
      </c>
      <c r="AF41" s="198">
        <f>O41</f>
        <v/>
      </c>
      <c r="AG41" s="198">
        <f>P41</f>
        <v/>
      </c>
      <c r="AH41" s="198">
        <f>Q41</f>
        <v/>
      </c>
      <c r="AI41" s="198">
        <f>R41</f>
        <v/>
      </c>
      <c r="AJ41" s="198">
        <f>S41</f>
        <v/>
      </c>
      <c r="AK41" s="283">
        <f>T41</f>
        <v/>
      </c>
      <c r="AL41" s="283">
        <f>U41</f>
        <v/>
      </c>
      <c r="AM41" s="198">
        <f>V41</f>
        <v/>
      </c>
      <c r="AN41" s="443" t="n"/>
    </row>
    <row r="42">
      <c r="B42" s="119" t="inlineStr">
        <is>
          <t>SBI Magnum Medium Duration Fund - Growth</t>
        </is>
      </c>
      <c r="C42" s="132">
        <f>RANK(AN42,$AN$42:$AN$48,0)</f>
        <v/>
      </c>
      <c r="D42" s="191" t="n"/>
      <c r="E42" s="191">
        <f>B42</f>
        <v/>
      </c>
      <c r="F42" s="248" t="n">
        <v>7.23</v>
      </c>
      <c r="G42" s="248" t="n">
        <v>3.78</v>
      </c>
      <c r="H42" s="249" t="n">
        <v>3.94</v>
      </c>
      <c r="I42" s="248" t="n">
        <v>6.62</v>
      </c>
      <c r="J42" s="248" t="n">
        <v>9.859999999999999</v>
      </c>
      <c r="K42" s="248" t="n">
        <v>8.69</v>
      </c>
      <c r="L42" s="248" t="n">
        <v>8.960000000000001</v>
      </c>
      <c r="M42" s="248" t="n">
        <v>8.01</v>
      </c>
      <c r="N42" s="248" t="n">
        <v>7.84</v>
      </c>
      <c r="O42" s="248" t="n">
        <v>6.39</v>
      </c>
      <c r="P42" s="248" t="n">
        <v>7.92</v>
      </c>
      <c r="Q42" s="248" t="n">
        <v>40.45</v>
      </c>
      <c r="R42" s="248" t="n">
        <v>7.66</v>
      </c>
      <c r="S42" s="248" t="n">
        <v>16.45</v>
      </c>
      <c r="T42" s="248" t="n">
        <v>23.5</v>
      </c>
      <c r="U42" s="248" t="n">
        <v>6.89</v>
      </c>
      <c r="V42" s="248" t="n">
        <v>4.73</v>
      </c>
      <c r="W42" s="149">
        <f>(F42-MIN(F$42:F$48))/(MAX(F$42:F$48)-MIN(F$42:F$48))</f>
        <v/>
      </c>
      <c r="X42" s="142">
        <f>(MAX(G$42:G$48)-G42)/(MAX(G$42:G$48)-MIN(G$42:G$48))</f>
        <v/>
      </c>
      <c r="Y42" s="142">
        <f>(MAX(H$42:H$48)-H42)/(MAX(H$42:H$48)-MIN(H$42:H$48))</f>
        <v/>
      </c>
      <c r="Z42" s="149">
        <f>(I42-MIN(I$42:I$48))/(MAX(I$42:I$48)-MIN(I$42:I$48))</f>
        <v/>
      </c>
      <c r="AA42" s="149">
        <f>(J42-MIN(J$42:J$48))/(MAX(J$42:J$48)-MIN(J$42:J$48))</f>
        <v/>
      </c>
      <c r="AB42" s="149">
        <f>(K42-MIN(K$42:K$48))/(MAX(K$42:K$48)-MIN(K$42:K$48))</f>
        <v/>
      </c>
      <c r="AC42" s="149">
        <f>(L42-MIN(L$42:L$48))/(MAX(L$42:L$48)-MIN(L$42:L$48))</f>
        <v/>
      </c>
      <c r="AD42" s="149">
        <f>(M42-MIN(M$42:M$48))/(MAX(M$42:M$48)-MIN(M$42:M$48))</f>
        <v/>
      </c>
      <c r="AE42" s="149">
        <f>(N42-MIN(N$42:N$48))/(MAX(N$42:N$48)-MIN(N$42:N$48))</f>
        <v/>
      </c>
      <c r="AF42" s="149">
        <f>(O42-MIN(O$42:O$48))/(MAX(O$42:O$48)-MIN(O$42:O$48))</f>
        <v/>
      </c>
      <c r="AG42" s="149">
        <f>(P42-MIN(P$42:P$48))/(MAX(P$42:P$48)-MIN(P$42:P$48))</f>
        <v/>
      </c>
      <c r="AH42" s="149">
        <f>(Q42-MIN(Q$42:Q$48))/(MAX(Q$42:Q$48)-MIN(Q$42:Q$48))</f>
        <v/>
      </c>
      <c r="AI42" s="149">
        <f>(R42-MIN(R$42:R$48))/(MAX(R$42:R$48)-MIN(R$42:R$48))</f>
        <v/>
      </c>
      <c r="AJ42" s="149">
        <f>(S42-MIN(S$42:S$48))/(MAX(S$42:S$48)-MIN(S$42:S$48))</f>
        <v/>
      </c>
      <c r="AK42" s="142">
        <f>(MAX(T$42:T$48)-T42)/(MAX(T$42:T$48)-MIN(T$42:T$48))</f>
        <v/>
      </c>
      <c r="AL42" s="142">
        <f>(MAX(U$42:U$48)-U42)/(MAX(U$42:U$48)-MIN(U$42:U$48))</f>
        <v/>
      </c>
      <c r="AM42" s="149">
        <f>(V42-MIN(V$42:V$48))/(MAX(V$42:V$48)-MIN(V$42:V$48))</f>
        <v/>
      </c>
      <c r="AN42" s="143">
        <f t="array" ref="AN42">SUMPRODUCT(W42:Y42, TRANSPOSE('Fund Ranking Criteria'!$F$39:$F$41))+SUMPRODUCT('Fund Ranking_Debt'!Z42:AG42, TRANSPOSE('Fund Ranking Criteria'!$F$30:$F$37))+SUMPRODUCT('Fund Ranking_Debt'!AH42:AM42, TRANSPOSE('Fund Ranking Criteria'!$F$43:$F$48))</f>
        <v/>
      </c>
    </row>
    <row r="43">
      <c r="B43" s="119" t="inlineStr">
        <is>
          <t>ICICI Prudential Medium Term Bond Fund - Growth</t>
        </is>
      </c>
      <c r="C43" s="132">
        <f>RANK(AN43,$AN$42:$AN$48,0)</f>
        <v/>
      </c>
      <c r="D43" s="191" t="n"/>
      <c r="E43" s="191">
        <f>B43</f>
        <v/>
      </c>
      <c r="F43" s="248" t="n">
        <v>8.57</v>
      </c>
      <c r="G43" s="248" t="n">
        <v>3.24</v>
      </c>
      <c r="H43" s="249" t="n">
        <v>3.39</v>
      </c>
      <c r="I43" s="248" t="n">
        <v>10.03</v>
      </c>
      <c r="J43" s="248" t="n">
        <v>6.34</v>
      </c>
      <c r="K43" s="248" t="n">
        <v>6.92</v>
      </c>
      <c r="L43" s="248" t="n">
        <v>6.8</v>
      </c>
      <c r="M43" s="248" t="n">
        <v>8.119999999999999</v>
      </c>
      <c r="N43" s="248" t="n">
        <v>7.75</v>
      </c>
      <c r="O43" s="248" t="n">
        <v>6.73</v>
      </c>
      <c r="P43" s="248" t="n">
        <v>7.39</v>
      </c>
      <c r="Q43" s="248" t="n">
        <v>18.44</v>
      </c>
      <c r="R43" s="248" t="n">
        <v>14.48</v>
      </c>
      <c r="S43" s="248" t="n">
        <v>22.58</v>
      </c>
      <c r="T43" s="248" t="n">
        <v>31.76</v>
      </c>
      <c r="U43" s="248" t="n">
        <v>1.38</v>
      </c>
      <c r="V43" s="248" t="n">
        <v>12.75</v>
      </c>
      <c r="W43" s="149">
        <f>(F43-MIN(F$42:F$48))/(MAX(F$42:F$48)-MIN(F$42:F$48))</f>
        <v/>
      </c>
      <c r="X43" s="142">
        <f>(MAX(G$42:G$48)-G43)/(MAX(G$42:G$48)-MIN(G$42:G$48))</f>
        <v/>
      </c>
      <c r="Y43" s="142">
        <f>(MAX(H$42:H$48)-H43)/(MAX(H$42:H$48)-MIN(H$42:H$48))</f>
        <v/>
      </c>
      <c r="Z43" s="142">
        <f>(I43-MIN(I$42:I$48))/(MAX(I$42:I$48)-MIN(I$42:I$48))</f>
        <v/>
      </c>
      <c r="AA43" s="142">
        <f>(J43-MIN(J$42:J$48))/(MAX(J$42:J$48)-MIN(J$42:J$48))</f>
        <v/>
      </c>
      <c r="AB43" s="142">
        <f>(K43-MIN(K$42:K$48))/(MAX(K$42:K$48)-MIN(K$42:K$48))</f>
        <v/>
      </c>
      <c r="AC43" s="142">
        <f>(L43-MIN(L$42:L$48))/(MAX(L$42:L$48)-MIN(L$42:L$48))</f>
        <v/>
      </c>
      <c r="AD43" s="142">
        <f>(M43-MIN(M$42:M$48))/(MAX(M$42:M$48)-MIN(M$42:M$48))</f>
        <v/>
      </c>
      <c r="AE43" s="142">
        <f>(N43-MIN(N$42:N$48))/(MAX(N$42:N$48)-MIN(N$42:N$48))</f>
        <v/>
      </c>
      <c r="AF43" s="142">
        <f>(O43-MIN(O$42:O$48))/(MAX(O$42:O$48)-MIN(O$42:O$48))</f>
        <v/>
      </c>
      <c r="AG43" s="142">
        <f>(P43-MIN(P$42:P$48))/(MAX(P$42:P$48)-MIN(P$42:P$48))</f>
        <v/>
      </c>
      <c r="AH43" s="142">
        <f>(Q43-MIN(Q$42:Q$48))/(MAX(Q$42:Q$48)-MIN(Q$42:Q$48))</f>
        <v/>
      </c>
      <c r="AI43" s="142">
        <f>(R43-MIN(R$42:R$48))/(MAX(R$42:R$48)-MIN(R$42:R$48))</f>
        <v/>
      </c>
      <c r="AJ43" s="142">
        <f>(S43-MIN(S$42:S$48))/(MAX(S$42:S$48)-MIN(S$42:S$48))</f>
        <v/>
      </c>
      <c r="AK43" s="142">
        <f>(MAX(T$42:T$48)-T43)/(MAX(T$42:T$48)-MIN(T$42:T$48))</f>
        <v/>
      </c>
      <c r="AL43" s="142">
        <f>(MAX(U$42:U$48)-U43)/(MAX(U$42:U$48)-MIN(U$42:U$48))</f>
        <v/>
      </c>
      <c r="AM43" s="142">
        <f>(V43-MIN(V$42:V$48))/(MAX(V$42:V$48)-MIN(V$42:V$48))</f>
        <v/>
      </c>
      <c r="AN43" s="143">
        <f t="array" ref="AN43">SUMPRODUCT(W43:Y43, TRANSPOSE('Fund Ranking Criteria'!$F$39:$F$41))+SUMPRODUCT('Fund Ranking_Debt'!Z43:AG43, TRANSPOSE('Fund Ranking Criteria'!$F$30:$F$37))+SUMPRODUCT('Fund Ranking_Debt'!AH43:AM43, TRANSPOSE('Fund Ranking Criteria'!$F$43:$F$48))</f>
        <v/>
      </c>
    </row>
    <row r="44">
      <c r="B44" s="119" t="inlineStr">
        <is>
          <t>HDFC Medium Term Debt Fund - Growth</t>
        </is>
      </c>
      <c r="C44" s="132">
        <f>RANK(AN44,$AN$42:$AN$48,0)</f>
        <v/>
      </c>
      <c r="D44" s="191" t="n"/>
      <c r="E44" s="191">
        <f>B44</f>
        <v/>
      </c>
      <c r="F44" s="248" t="n">
        <v>8.59</v>
      </c>
      <c r="G44" s="248" t="n">
        <v>2.95</v>
      </c>
      <c r="H44" s="249" t="n">
        <v>3.1</v>
      </c>
      <c r="I44" s="248" t="n">
        <v>8.98</v>
      </c>
      <c r="J44" s="248" t="n">
        <v>6.04</v>
      </c>
      <c r="K44" s="248" t="n">
        <v>6.1</v>
      </c>
      <c r="L44" s="248" t="n">
        <v>5.7</v>
      </c>
      <c r="M44" s="248" t="n">
        <v>7.34</v>
      </c>
      <c r="N44" s="248" t="n">
        <v>7.18</v>
      </c>
      <c r="O44" s="248" t="n">
        <v>6.16</v>
      </c>
      <c r="P44" s="248" t="n">
        <v>7.02</v>
      </c>
      <c r="Q44" s="248" t="n">
        <v>16.14</v>
      </c>
      <c r="R44" s="248" t="n">
        <v>23.76</v>
      </c>
      <c r="S44" s="248" t="n">
        <v>16.61</v>
      </c>
      <c r="T44" s="248" t="n">
        <v>29.38</v>
      </c>
      <c r="U44" s="248" t="n">
        <v>6.87</v>
      </c>
      <c r="V44" s="248" t="n">
        <v>7.24</v>
      </c>
      <c r="W44" s="149">
        <f>(F44-MIN(F$42:F$48))/(MAX(F$42:F$48)-MIN(F$42:F$48))</f>
        <v/>
      </c>
      <c r="X44" s="142">
        <f>(MAX(G$42:G$48)-G44)/(MAX(G$42:G$48)-MIN(G$42:G$48))</f>
        <v/>
      </c>
      <c r="Y44" s="142">
        <f>(MAX(H$42:H$48)-H44)/(MAX(H$42:H$48)-MIN(H$42:H$48))</f>
        <v/>
      </c>
      <c r="Z44" s="142">
        <f>(I44-MIN(I$42:I$48))/(MAX(I$42:I$48)-MIN(I$42:I$48))</f>
        <v/>
      </c>
      <c r="AA44" s="142">
        <f>(J44-MIN(J$42:J$48))/(MAX(J$42:J$48)-MIN(J$42:J$48))</f>
        <v/>
      </c>
      <c r="AB44" s="142">
        <f>(K44-MIN(K$42:K$48))/(MAX(K$42:K$48)-MIN(K$42:K$48))</f>
        <v/>
      </c>
      <c r="AC44" s="142">
        <f>(L44-MIN(L$42:L$48))/(MAX(L$42:L$48)-MIN(L$42:L$48))</f>
        <v/>
      </c>
      <c r="AD44" s="142">
        <f>(M44-MIN(M$42:M$48))/(MAX(M$42:M$48)-MIN(M$42:M$48))</f>
        <v/>
      </c>
      <c r="AE44" s="142">
        <f>(N44-MIN(N$42:N$48))/(MAX(N$42:N$48)-MIN(N$42:N$48))</f>
        <v/>
      </c>
      <c r="AF44" s="142">
        <f>(O44-MIN(O$42:O$48))/(MAX(O$42:O$48)-MIN(O$42:O$48))</f>
        <v/>
      </c>
      <c r="AG44" s="142">
        <f>(P44-MIN(P$42:P$48))/(MAX(P$42:P$48)-MIN(P$42:P$48))</f>
        <v/>
      </c>
      <c r="AH44" s="142">
        <f>(Q44-MIN(Q$42:Q$48))/(MAX(Q$42:Q$48)-MIN(Q$42:Q$48))</f>
        <v/>
      </c>
      <c r="AI44" s="142">
        <f>(R44-MIN(R$42:R$48))/(MAX(R$42:R$48)-MIN(R$42:R$48))</f>
        <v/>
      </c>
      <c r="AJ44" s="142">
        <f>(S44-MIN(S$42:S$48))/(MAX(S$42:S$48)-MIN(S$42:S$48))</f>
        <v/>
      </c>
      <c r="AK44" s="142">
        <f>(MAX(T$42:T$48)-T44)/(MAX(T$42:T$48)-MIN(T$42:T$48))</f>
        <v/>
      </c>
      <c r="AL44" s="142">
        <f>(MAX(U$42:U$48)-U44)/(MAX(U$42:U$48)-MIN(U$42:U$48))</f>
        <v/>
      </c>
      <c r="AM44" s="142">
        <f>(V44-MIN(V$42:V$48))/(MAX(V$42:V$48)-MIN(V$42:V$48))</f>
        <v/>
      </c>
      <c r="AN44" s="143">
        <f t="array" ref="AN44">SUMPRODUCT(W44:Y44, TRANSPOSE('Fund Ranking Criteria'!$F$39:$F$41))+SUMPRODUCT('Fund Ranking_Debt'!Z44:AG44, TRANSPOSE('Fund Ranking Criteria'!$F$30:$F$37))+SUMPRODUCT('Fund Ranking_Debt'!AH44:AM44, TRANSPOSE('Fund Ranking Criteria'!$F$43:$F$48))</f>
        <v/>
      </c>
    </row>
    <row r="45">
      <c r="B45" s="119" t="inlineStr">
        <is>
          <t>Aditya Birla Sun Life Medium Term Plan - Reg - Growth</t>
        </is>
      </c>
      <c r="C45" s="132">
        <f>RANK(AN45,$AN$42:$AN$48,0)</f>
        <v/>
      </c>
      <c r="D45" s="191" t="n"/>
      <c r="E45" s="191">
        <f>B45</f>
        <v/>
      </c>
      <c r="F45" s="248" t="n">
        <v>8.49</v>
      </c>
      <c r="G45" s="248" t="n">
        <v>2.85</v>
      </c>
      <c r="H45" s="249" t="n">
        <v>3.01</v>
      </c>
      <c r="I45" s="248" t="n">
        <v>10.49</v>
      </c>
      <c r="J45" s="248" t="n">
        <v>10.11</v>
      </c>
      <c r="K45" s="248" t="n">
        <v>9.109999999999999</v>
      </c>
      <c r="L45" s="248" t="n">
        <v>8.33</v>
      </c>
      <c r="M45" s="248" t="n">
        <v>11.07</v>
      </c>
      <c r="N45" s="248" t="n">
        <v>9.779999999999999</v>
      </c>
      <c r="O45" s="248" t="n">
        <v>11.96</v>
      </c>
      <c r="P45" s="248" t="n">
        <v>8.539999999999999</v>
      </c>
      <c r="Q45" s="248" t="n">
        <v>21.84</v>
      </c>
      <c r="R45" s="248" t="n">
        <v>19.3</v>
      </c>
      <c r="S45" s="248" t="n">
        <v>11.74</v>
      </c>
      <c r="T45" s="248" t="n">
        <v>24.26</v>
      </c>
      <c r="U45" s="248" t="n">
        <v>14.16</v>
      </c>
      <c r="V45" s="248" t="n">
        <v>8.699999999999999</v>
      </c>
      <c r="W45" s="149">
        <f>(F45-MIN(F$42:F$48))/(MAX(F$42:F$48)-MIN(F$42:F$48))</f>
        <v/>
      </c>
      <c r="X45" s="142">
        <f>(MAX(G$42:G$48)-G45)/(MAX(G$42:G$48)-MIN(G$42:G$48))</f>
        <v/>
      </c>
      <c r="Y45" s="142">
        <f>(MAX(H$42:H$48)-H45)/(MAX(H$42:H$48)-MIN(H$42:H$48))</f>
        <v/>
      </c>
      <c r="Z45" s="142">
        <f>(I45-MIN(I$42:I$48))/(MAX(I$42:I$48)-MIN(I$42:I$48))</f>
        <v/>
      </c>
      <c r="AA45" s="142">
        <f>(J45-MIN(J$42:J$48))/(MAX(J$42:J$48)-MIN(J$42:J$48))</f>
        <v/>
      </c>
      <c r="AB45" s="142">
        <f>(K45-MIN(K$42:K$48))/(MAX(K$42:K$48)-MIN(K$42:K$48))</f>
        <v/>
      </c>
      <c r="AC45" s="142">
        <f>(L45-MIN(L$42:L$48))/(MAX(L$42:L$48)-MIN(L$42:L$48))</f>
        <v/>
      </c>
      <c r="AD45" s="142">
        <f>(M45-MIN(M$42:M$48))/(MAX(M$42:M$48)-MIN(M$42:M$48))</f>
        <v/>
      </c>
      <c r="AE45" s="142">
        <f>(N45-MIN(N$42:N$48))/(MAX(N$42:N$48)-MIN(N$42:N$48))</f>
        <v/>
      </c>
      <c r="AF45" s="142">
        <f>(O45-MIN(O$42:O$48))/(MAX(O$42:O$48)-MIN(O$42:O$48))</f>
        <v/>
      </c>
      <c r="AG45" s="142">
        <f>(P45-MIN(P$42:P$48))/(MAX(P$42:P$48)-MIN(P$42:P$48))</f>
        <v/>
      </c>
      <c r="AH45" s="142">
        <f>(Q45-MIN(Q$42:Q$48))/(MAX(Q$42:Q$48)-MIN(Q$42:Q$48))</f>
        <v/>
      </c>
      <c r="AI45" s="142">
        <f>(R45-MIN(R$42:R$48))/(MAX(R$42:R$48)-MIN(R$42:R$48))</f>
        <v/>
      </c>
      <c r="AJ45" s="142">
        <f>(S45-MIN(S$42:S$48))/(MAX(S$42:S$48)-MIN(S$42:S$48))</f>
        <v/>
      </c>
      <c r="AK45" s="142">
        <f>(MAX(T$42:T$48)-T45)/(MAX(T$42:T$48)-MIN(T$42:T$48))</f>
        <v/>
      </c>
      <c r="AL45" s="142">
        <f>(MAX(U$42:U$48)-U45)/(MAX(U$42:U$48)-MIN(U$42:U$48))</f>
        <v/>
      </c>
      <c r="AM45" s="142">
        <f>(V45-MIN(V$42:V$48))/(MAX(V$42:V$48)-MIN(V$42:V$48))</f>
        <v/>
      </c>
      <c r="AN45" s="143">
        <f t="array" ref="AN45">SUMPRODUCT(W45:Y45, TRANSPOSE('Fund Ranking Criteria'!$F$39:$F$41))+SUMPRODUCT('Fund Ranking_Debt'!Z45:AG45, TRANSPOSE('Fund Ranking Criteria'!$F$30:$F$37))+SUMPRODUCT('Fund Ranking_Debt'!AH45:AM45, TRANSPOSE('Fund Ranking Criteria'!$F$43:$F$48))</f>
        <v/>
      </c>
    </row>
    <row r="46">
      <c r="B46" s="119" t="inlineStr">
        <is>
          <t>Kotak Medium Term Fund - Reg - Growth</t>
        </is>
      </c>
      <c r="C46" s="132">
        <f>RANK(AN46,$AN$42:$AN$48,0)</f>
        <v/>
      </c>
      <c r="D46" s="191" t="n"/>
      <c r="E46" s="191">
        <f>B46</f>
        <v/>
      </c>
      <c r="F46" s="248" t="n">
        <v>8.720000000000001</v>
      </c>
      <c r="G46" s="248" t="n">
        <v>2.7</v>
      </c>
      <c r="H46" s="249" t="n">
        <v>2.84</v>
      </c>
      <c r="I46" s="248" t="n">
        <v>8.539999999999999</v>
      </c>
      <c r="J46" s="248" t="n">
        <v>5.31</v>
      </c>
      <c r="K46" s="248" t="n">
        <v>6.17</v>
      </c>
      <c r="L46" s="248" t="n">
        <v>6.18</v>
      </c>
      <c r="M46" s="248" t="n">
        <v>7.92</v>
      </c>
      <c r="N46" s="248" t="n">
        <v>7.89</v>
      </c>
      <c r="O46" s="248" t="n">
        <v>6.48</v>
      </c>
      <c r="P46" s="248" t="n">
        <v>6.82</v>
      </c>
      <c r="Q46" s="248" t="n">
        <v>11.08</v>
      </c>
      <c r="R46" s="248" t="n">
        <v>20.79</v>
      </c>
      <c r="S46" s="248" t="n">
        <v>14.43</v>
      </c>
      <c r="T46" s="248" t="n">
        <v>32.9</v>
      </c>
      <c r="U46" s="248" t="n">
        <v>7.54</v>
      </c>
      <c r="V46" s="248" t="n">
        <v>13.27</v>
      </c>
      <c r="W46" s="149">
        <f>(F46-MIN(F$42:F$48))/(MAX(F$42:F$48)-MIN(F$42:F$48))</f>
        <v/>
      </c>
      <c r="X46" s="142">
        <f>(MAX(G$42:G$48)-G46)/(MAX(G$42:G$48)-MIN(G$42:G$48))</f>
        <v/>
      </c>
      <c r="Y46" s="142">
        <f>(MAX(H$42:H$48)-H46)/(MAX(H$42:H$48)-MIN(H$42:H$48))</f>
        <v/>
      </c>
      <c r="Z46" s="142">
        <f>(I46-MIN(I$42:I$48))/(MAX(I$42:I$48)-MIN(I$42:I$48))</f>
        <v/>
      </c>
      <c r="AA46" s="142">
        <f>(J46-MIN(J$42:J$48))/(MAX(J$42:J$48)-MIN(J$42:J$48))</f>
        <v/>
      </c>
      <c r="AB46" s="142">
        <f>(K46-MIN(K$42:K$48))/(MAX(K$42:K$48)-MIN(K$42:K$48))</f>
        <v/>
      </c>
      <c r="AC46" s="142">
        <f>(L46-MIN(L$42:L$48))/(MAX(L$42:L$48)-MIN(L$42:L$48))</f>
        <v/>
      </c>
      <c r="AD46" s="142">
        <f>(M46-MIN(M$42:M$48))/(MAX(M$42:M$48)-MIN(M$42:M$48))</f>
        <v/>
      </c>
      <c r="AE46" s="142">
        <f>(N46-MIN(N$42:N$48))/(MAX(N$42:N$48)-MIN(N$42:N$48))</f>
        <v/>
      </c>
      <c r="AF46" s="142">
        <f>(O46-MIN(O$42:O$48))/(MAX(O$42:O$48)-MIN(O$42:O$48))</f>
        <v/>
      </c>
      <c r="AG46" s="142">
        <f>(P46-MIN(P$42:P$48))/(MAX(P$42:P$48)-MIN(P$42:P$48))</f>
        <v/>
      </c>
      <c r="AH46" s="142">
        <f>(Q46-MIN(Q$42:Q$48))/(MAX(Q$42:Q$48)-MIN(Q$42:Q$48))</f>
        <v/>
      </c>
      <c r="AI46" s="142">
        <f>(R46-MIN(R$42:R$48))/(MAX(R$42:R$48)-MIN(R$42:R$48))</f>
        <v/>
      </c>
      <c r="AJ46" s="142">
        <f>(S46-MIN(S$42:S$48))/(MAX(S$42:S$48)-MIN(S$42:S$48))</f>
        <v/>
      </c>
      <c r="AK46" s="142">
        <f>(MAX(T$42:T$48)-T46)/(MAX(T$42:T$48)-MIN(T$42:T$48))</f>
        <v/>
      </c>
      <c r="AL46" s="142">
        <f>(MAX(U$42:U$48)-U46)/(MAX(U$42:U$48)-MIN(U$42:U$48))</f>
        <v/>
      </c>
      <c r="AM46" s="142">
        <f>(V46-MIN(V$42:V$48))/(MAX(V$42:V$48)-MIN(V$42:V$48))</f>
        <v/>
      </c>
      <c r="AN46" s="143">
        <f t="array" ref="AN46">SUMPRODUCT(W46:Y46, TRANSPOSE('Fund Ranking Criteria'!$F$39:$F$41))+SUMPRODUCT('Fund Ranking_Debt'!Z46:AG46, TRANSPOSE('Fund Ranking Criteria'!$F$30:$F$37))+SUMPRODUCT('Fund Ranking_Debt'!AH46:AM46, TRANSPOSE('Fund Ranking Criteria'!$F$43:$F$48))</f>
        <v/>
      </c>
    </row>
    <row r="47">
      <c r="B47" s="119" t="inlineStr">
        <is>
          <t>Nippon India Medium Duration Fund - Reg - Growth</t>
        </is>
      </c>
      <c r="C47" s="132">
        <f>RANK(AN47,$AN$42:$AN$48,0)</f>
        <v/>
      </c>
      <c r="D47" s="191" t="n"/>
      <c r="E47" s="191">
        <f>B47</f>
        <v/>
      </c>
      <c r="F47" s="248" t="n">
        <v>8.08</v>
      </c>
      <c r="G47" s="248" t="n">
        <v>3.09</v>
      </c>
      <c r="H47" s="249" t="n">
        <v>3.23</v>
      </c>
      <c r="I47" s="248" t="n">
        <v>8.69</v>
      </c>
      <c r="J47" s="248" t="n">
        <v>6.08</v>
      </c>
      <c r="K47" s="248" t="n">
        <v>6.04</v>
      </c>
      <c r="L47" s="248" t="n">
        <v>7.96</v>
      </c>
      <c r="M47" s="248" t="n">
        <v>8.51</v>
      </c>
      <c r="N47" s="248" t="n">
        <v>7.86</v>
      </c>
      <c r="O47" s="248" t="n">
        <v>9.09</v>
      </c>
      <c r="P47" s="248" t="n">
        <v>3.28</v>
      </c>
      <c r="Q47" s="248" t="n">
        <v>23.42</v>
      </c>
      <c r="R47" s="248" t="n">
        <v>22.09</v>
      </c>
      <c r="S47" s="248" t="n">
        <v>5.48</v>
      </c>
      <c r="T47" s="248" t="n">
        <v>34.16</v>
      </c>
      <c r="U47" s="248" t="n">
        <v>0</v>
      </c>
      <c r="V47" s="248" t="n">
        <v>14.85</v>
      </c>
      <c r="W47" s="149">
        <f>(F47-MIN(F$42:F$48))/(MAX(F$42:F$48)-MIN(F$42:F$48))</f>
        <v/>
      </c>
      <c r="X47" s="142">
        <f>(MAX(G$42:G$48)-G47)/(MAX(G$42:G$48)-MIN(G$42:G$48))</f>
        <v/>
      </c>
      <c r="Y47" s="142">
        <f>(MAX(H$42:H$48)-H47)/(MAX(H$42:H$48)-MIN(H$42:H$48))</f>
        <v/>
      </c>
      <c r="Z47" s="142">
        <f>(I47-MIN(I$42:I$48))/(MAX(I$42:I$48)-MIN(I$42:I$48))</f>
        <v/>
      </c>
      <c r="AA47" s="142">
        <f>(J47-MIN(J$42:J$48))/(MAX(J$42:J$48)-MIN(J$42:J$48))</f>
        <v/>
      </c>
      <c r="AB47" s="142">
        <f>(K47-MIN(K$42:K$48))/(MAX(K$42:K$48)-MIN(K$42:K$48))</f>
        <v/>
      </c>
      <c r="AC47" s="142">
        <f>(L47-MIN(L$42:L$48))/(MAX(L$42:L$48)-MIN(L$42:L$48))</f>
        <v/>
      </c>
      <c r="AD47" s="142">
        <f>(M47-MIN(M$42:M$48))/(MAX(M$42:M$48)-MIN(M$42:M$48))</f>
        <v/>
      </c>
      <c r="AE47" s="142">
        <f>(N47-MIN(N$42:N$48))/(MAX(N$42:N$48)-MIN(N$42:N$48))</f>
        <v/>
      </c>
      <c r="AF47" s="142">
        <f>(O47-MIN(O$42:O$48))/(MAX(O$42:O$48)-MIN(O$42:O$48))</f>
        <v/>
      </c>
      <c r="AG47" s="142">
        <f>(P47-MIN(P$42:P$48))/(MAX(P$42:P$48)-MIN(P$42:P$48))</f>
        <v/>
      </c>
      <c r="AH47" s="142">
        <f>(Q47-MIN(Q$42:Q$48))/(MAX(Q$42:Q$48)-MIN(Q$42:Q$48))</f>
        <v/>
      </c>
      <c r="AI47" s="142">
        <f>(R47-MIN(R$42:R$48))/(MAX(R$42:R$48)-MIN(R$42:R$48))</f>
        <v/>
      </c>
      <c r="AJ47" s="142">
        <f>(S47-MIN(S$42:S$48))/(MAX(S$42:S$48)-MIN(S$42:S$48))</f>
        <v/>
      </c>
      <c r="AK47" s="142">
        <f>(MAX(T$42:T$48)-T47)/(MAX(T$42:T$48)-MIN(T$42:T$48))</f>
        <v/>
      </c>
      <c r="AL47" s="142">
        <f>(MAX(U$42:U$48)-U47)/(MAX(U$42:U$48)-MIN(U$42:U$48))</f>
        <v/>
      </c>
      <c r="AM47" s="142">
        <f>(V47-MIN(V$42:V$48))/(MAX(V$42:V$48)-MIN(V$42:V$48))</f>
        <v/>
      </c>
      <c r="AN47" s="143">
        <f t="array" ref="AN47">SUMPRODUCT(W47:Y47, TRANSPOSE('Fund Ranking Criteria'!$F$39:$F$41))+SUMPRODUCT('Fund Ranking_Debt'!Z47:AG47, TRANSPOSE('Fund Ranking Criteria'!$F$30:$F$37))+SUMPRODUCT('Fund Ranking_Debt'!AH47:AM47, TRANSPOSE('Fund Ranking Criteria'!$F$43:$F$48))</f>
        <v/>
      </c>
    </row>
    <row r="48" ht="15" customHeight="1" thickBot="1">
      <c r="B48" s="119" t="inlineStr">
        <is>
          <t>UTI Medium Duration Fund - Reg - Growth</t>
        </is>
      </c>
      <c r="C48" s="141">
        <f>RANK(AN48,$AN$42:$AN$48,0)</f>
        <v/>
      </c>
      <c r="D48" s="192" t="n"/>
      <c r="E48" s="192">
        <f>B48</f>
        <v/>
      </c>
      <c r="F48" s="251" t="n">
        <v>7.55</v>
      </c>
      <c r="G48" s="251" t="n">
        <v>3.18</v>
      </c>
      <c r="H48" s="250" t="n">
        <v>3.31</v>
      </c>
      <c r="I48" s="251" t="n">
        <v>7.23</v>
      </c>
      <c r="J48" s="251" t="n">
        <v>4.65</v>
      </c>
      <c r="K48" s="251" t="n">
        <v>4.64</v>
      </c>
      <c r="L48" s="251" t="n">
        <v>4.23</v>
      </c>
      <c r="M48" s="251" t="n">
        <v>6.41</v>
      </c>
      <c r="N48" s="251" t="n">
        <v>6.39</v>
      </c>
      <c r="O48" s="251" t="n">
        <v>6.12</v>
      </c>
      <c r="P48" s="251" t="n">
        <v>5.6</v>
      </c>
      <c r="Q48" s="251" t="n">
        <v>44.92</v>
      </c>
      <c r="R48" s="251" t="n">
        <v>16.28</v>
      </c>
      <c r="S48" s="251" t="n">
        <v>2.5</v>
      </c>
      <c r="T48" s="251" t="n">
        <v>19.37</v>
      </c>
      <c r="U48" s="251" t="n">
        <v>0</v>
      </c>
      <c r="V48" s="251" t="n">
        <v>16.93</v>
      </c>
      <c r="W48" s="149">
        <f>(F48-MIN(F$42:F$48))/(MAX(F$42:F$48)-MIN(F$42:F$48))</f>
        <v/>
      </c>
      <c r="X48" s="144">
        <f>(MAX(G$42:G$48)-G48)/(MAX(G$42:G$48)-MIN(G$42:G$48))</f>
        <v/>
      </c>
      <c r="Y48" s="144">
        <f>(MAX(H$42:H$48)-H48)/(MAX(H$42:H$48)-MIN(H$42:H$48))</f>
        <v/>
      </c>
      <c r="Z48" s="144">
        <f>(I48-MIN(I$42:I$48))/(MAX(I$42:I$48)-MIN(I$42:I$48))</f>
        <v/>
      </c>
      <c r="AA48" s="144">
        <f>(J48-MIN(J$42:J$48))/(MAX(J$42:J$48)-MIN(J$42:J$48))</f>
        <v/>
      </c>
      <c r="AB48" s="144">
        <f>(K48-MIN(K$42:K$48))/(MAX(K$42:K$48)-MIN(K$42:K$48))</f>
        <v/>
      </c>
      <c r="AC48" s="144">
        <f>(L48-MIN(L$42:L$48))/(MAX(L$42:L$48)-MIN(L$42:L$48))</f>
        <v/>
      </c>
      <c r="AD48" s="144">
        <f>(M48-MIN(M$42:M$48))/(MAX(M$42:M$48)-MIN(M$42:M$48))</f>
        <v/>
      </c>
      <c r="AE48" s="144">
        <f>(N48-MIN(N$42:N$48))/(MAX(N$42:N$48)-MIN(N$42:N$48))</f>
        <v/>
      </c>
      <c r="AF48" s="144">
        <f>(O48-MIN(O$42:O$48))/(MAX(O$42:O$48)-MIN(O$42:O$48))</f>
        <v/>
      </c>
      <c r="AG48" s="144">
        <f>(P48-MIN(P$42:P$48))/(MAX(P$42:P$48)-MIN(P$42:P$48))</f>
        <v/>
      </c>
      <c r="AH48" s="144">
        <f>(Q48-MIN(Q$42:Q$48))/(MAX(Q$42:Q$48)-MIN(Q$42:Q$48))</f>
        <v/>
      </c>
      <c r="AI48" s="144">
        <f>(R48-MIN(R$42:R$48))/(MAX(R$42:R$48)-MIN(R$42:R$48))</f>
        <v/>
      </c>
      <c r="AJ48" s="144">
        <f>(S48-MIN(S$42:S$48))/(MAX(S$42:S$48)-MIN(S$42:S$48))</f>
        <v/>
      </c>
      <c r="AK48" s="144">
        <f>(MAX(T$42:T$48)-T48)/(MAX(T$42:T$48)-MIN(T$42:T$48))</f>
        <v/>
      </c>
      <c r="AL48" s="144">
        <f>(MAX(U$42:U$48)-U48)/(MAX(U$42:U$48)-MIN(U$42:U$48))</f>
        <v/>
      </c>
      <c r="AM48" s="144">
        <f>(V48-MIN(V$42:V$48))/(MAX(V$42:V$48)-MIN(V$42:V$48))</f>
        <v/>
      </c>
      <c r="AN48" s="145">
        <f t="array" ref="AN48">SUMPRODUCT(W48:Y48, TRANSPOSE('Fund Ranking Criteria'!$F$39:$F$41))+SUMPRODUCT('Fund Ranking_Debt'!Z48:AG48, TRANSPOSE('Fund Ranking Criteria'!$F$30:$F$37))+SUMPRODUCT('Fund Ranking_Debt'!AH48:AM48, TRANSPOSE('Fund Ranking Criteria'!$F$43:$F$48))</f>
        <v/>
      </c>
    </row>
    <row r="49" ht="15" customHeight="1" thickBot="1"/>
    <row r="50" ht="15" customHeight="1" thickBot="1">
      <c r="B50" s="429">
        <f>'Fund Ranking Criteria'!G24</f>
        <v/>
      </c>
      <c r="C50" s="426" t="n"/>
      <c r="D50" s="426" t="n"/>
      <c r="E50" s="426" t="n"/>
      <c r="F50" s="426" t="n"/>
      <c r="G50" s="426" t="n"/>
      <c r="H50" s="426" t="n"/>
      <c r="I50" s="426" t="n"/>
      <c r="J50" s="426" t="n"/>
      <c r="K50" s="426" t="n"/>
      <c r="L50" s="426" t="n"/>
      <c r="M50" s="426" t="n"/>
      <c r="N50" s="426" t="n"/>
      <c r="O50" s="426" t="n"/>
      <c r="P50" s="426" t="n"/>
      <c r="Q50" s="426" t="n"/>
      <c r="R50" s="426" t="n"/>
      <c r="S50" s="426" t="n"/>
      <c r="T50" s="426" t="n"/>
      <c r="U50" s="426" t="n"/>
      <c r="V50" s="426" t="n"/>
      <c r="W50" s="426" t="n"/>
      <c r="X50" s="426" t="n"/>
      <c r="Y50" s="426" t="n"/>
      <c r="Z50" s="426" t="n"/>
      <c r="AA50" s="426" t="n"/>
      <c r="AB50" s="426" t="n"/>
      <c r="AC50" s="426" t="n"/>
      <c r="AD50" s="426" t="n"/>
      <c r="AE50" s="426" t="n"/>
      <c r="AF50" s="426" t="n"/>
      <c r="AG50" s="426" t="n"/>
      <c r="AH50" s="426" t="n"/>
      <c r="AI50" s="426" t="n"/>
      <c r="AJ50" s="426" t="n"/>
      <c r="AK50" s="426" t="n"/>
      <c r="AL50" s="426" t="n"/>
      <c r="AM50" s="426" t="n"/>
      <c r="AN50" s="375" t="n"/>
    </row>
    <row r="51" ht="15" customHeight="1" thickBot="1">
      <c r="B51" s="155" t="n"/>
      <c r="C51" s="156" t="n"/>
      <c r="D51" s="156" t="n"/>
      <c r="E51" s="156" t="n"/>
      <c r="F51" s="448" t="n"/>
      <c r="G51" s="401" t="n"/>
      <c r="H51" s="401" t="n"/>
      <c r="I51" s="401" t="n"/>
      <c r="J51" s="401" t="n"/>
      <c r="K51" s="401" t="n"/>
      <c r="L51" s="401" t="n"/>
      <c r="M51" s="401" t="n"/>
      <c r="N51" s="401" t="n"/>
      <c r="O51" s="401" t="n"/>
      <c r="P51" s="401" t="n"/>
      <c r="Q51" s="401" t="n"/>
      <c r="R51" s="401" t="n"/>
      <c r="S51" s="401" t="n"/>
      <c r="T51" s="401" t="n"/>
      <c r="U51" s="401" t="n"/>
      <c r="V51" s="449" t="n"/>
      <c r="W51" s="448" t="n"/>
      <c r="X51" s="401" t="n"/>
      <c r="Y51" s="401" t="n"/>
      <c r="Z51" s="401" t="n"/>
      <c r="AA51" s="401" t="n"/>
      <c r="AB51" s="401" t="n"/>
      <c r="AC51" s="401" t="n"/>
      <c r="AD51" s="401" t="n"/>
      <c r="AE51" s="401" t="n"/>
      <c r="AF51" s="401" t="n"/>
      <c r="AG51" s="401" t="n"/>
      <c r="AH51" s="401" t="n"/>
      <c r="AI51" s="401" t="n"/>
      <c r="AJ51" s="401" t="n"/>
      <c r="AK51" s="401" t="n"/>
      <c r="AL51" s="401" t="n"/>
      <c r="AM51" s="449" t="n"/>
      <c r="AN51" s="447" t="inlineStr">
        <is>
          <t>Score</t>
        </is>
      </c>
    </row>
    <row r="52" ht="43.5" customHeight="1">
      <c r="B52" s="116" t="inlineStr">
        <is>
          <t>Funds</t>
        </is>
      </c>
      <c r="C52" s="282" t="inlineStr">
        <is>
          <t>Rank</t>
        </is>
      </c>
      <c r="D52" s="282" t="n"/>
      <c r="E52" s="281" t="n"/>
      <c r="F52" s="280" t="inlineStr">
        <is>
          <t>YTM</t>
        </is>
      </c>
      <c r="G52" s="280" t="inlineStr">
        <is>
          <t>Modified Duration</t>
        </is>
      </c>
      <c r="H52" s="280" t="inlineStr">
        <is>
          <t>Macaulay Duration</t>
        </is>
      </c>
      <c r="I52" s="280" t="inlineStr">
        <is>
          <t>3 Months</t>
        </is>
      </c>
      <c r="J52" s="280" t="inlineStr">
        <is>
          <t>6 Months</t>
        </is>
      </c>
      <c r="K52" s="280" t="inlineStr">
        <is>
          <t>9 Months</t>
        </is>
      </c>
      <c r="L52" s="280" t="inlineStr">
        <is>
          <t>1 Year</t>
        </is>
      </c>
      <c r="M52" s="280" t="inlineStr">
        <is>
          <t>2 Years</t>
        </is>
      </c>
      <c r="N52" s="280" t="inlineStr">
        <is>
          <t>3 Years</t>
        </is>
      </c>
      <c r="O52" s="280" t="inlineStr">
        <is>
          <t>5 Years</t>
        </is>
      </c>
      <c r="P52" s="280" t="inlineStr">
        <is>
          <t>10 Years</t>
        </is>
      </c>
      <c r="Q52" s="280" t="inlineStr">
        <is>
          <t>Sovereign</t>
        </is>
      </c>
      <c r="R52" s="280" t="inlineStr">
        <is>
          <t>AAA/A1+</t>
        </is>
      </c>
      <c r="S52" s="280" t="inlineStr">
        <is>
          <t>AA+</t>
        </is>
      </c>
      <c r="T52" s="280" t="inlineStr">
        <is>
          <t>AA/AA-</t>
        </is>
      </c>
      <c r="U52" s="280" t="inlineStr">
        <is>
          <t>Below AA-</t>
        </is>
      </c>
      <c r="V52" s="280" t="inlineStr">
        <is>
          <t>Cash and Fixed Deposits</t>
        </is>
      </c>
      <c r="W52" s="198">
        <f>F52</f>
        <v/>
      </c>
      <c r="X52" s="283">
        <f>G52</f>
        <v/>
      </c>
      <c r="Y52" s="283">
        <f>H52</f>
        <v/>
      </c>
      <c r="Z52" s="198">
        <f>I52</f>
        <v/>
      </c>
      <c r="AA52" s="198">
        <f>J52</f>
        <v/>
      </c>
      <c r="AB52" s="198">
        <f>K52</f>
        <v/>
      </c>
      <c r="AC52" s="198">
        <f>L52</f>
        <v/>
      </c>
      <c r="AD52" s="198">
        <f>M52</f>
        <v/>
      </c>
      <c r="AE52" s="198">
        <f>N52</f>
        <v/>
      </c>
      <c r="AF52" s="198">
        <f>O52</f>
        <v/>
      </c>
      <c r="AG52" s="198">
        <f>P52</f>
        <v/>
      </c>
      <c r="AH52" s="198">
        <f>Q52</f>
        <v/>
      </c>
      <c r="AI52" s="198">
        <f>R52</f>
        <v/>
      </c>
      <c r="AJ52" s="198">
        <f>S52</f>
        <v/>
      </c>
      <c r="AK52" s="283">
        <f>T52</f>
        <v/>
      </c>
      <c r="AL52" s="283">
        <f>U52</f>
        <v/>
      </c>
      <c r="AM52" s="198">
        <f>V52</f>
        <v/>
      </c>
      <c r="AN52" s="443" t="n"/>
    </row>
    <row r="53">
      <c r="B53" s="119" t="inlineStr">
        <is>
          <t>ICICI Prudential Bond Fund - Growth</t>
        </is>
      </c>
      <c r="C53" s="132">
        <f>RANK(AN53,$AN$53:$AN$59,0)</f>
        <v/>
      </c>
      <c r="D53" s="191" t="n"/>
      <c r="E53" s="191">
        <f>B53</f>
        <v/>
      </c>
      <c r="F53" s="248" t="n">
        <v>7.85</v>
      </c>
      <c r="G53" s="248" t="n">
        <v>6.47</v>
      </c>
      <c r="H53" s="249" t="n">
        <v>6.74</v>
      </c>
      <c r="I53" s="248" t="n">
        <v>10.98</v>
      </c>
      <c r="J53" s="248" t="n">
        <v>4.96</v>
      </c>
      <c r="K53" s="248" t="n">
        <v>5.23</v>
      </c>
      <c r="L53" s="248" t="n">
        <v>4</v>
      </c>
      <c r="M53" s="248" t="n">
        <v>6.8</v>
      </c>
      <c r="N53" s="248" t="n">
        <v>7.04</v>
      </c>
      <c r="O53" s="248" t="n">
        <v>6.04</v>
      </c>
      <c r="P53" s="248" t="n">
        <v>7.05</v>
      </c>
      <c r="Q53" s="248" t="n">
        <v>56.18</v>
      </c>
      <c r="R53" s="248" t="n">
        <v>41.27</v>
      </c>
      <c r="S53" s="248" t="n">
        <v>0</v>
      </c>
      <c r="T53" s="248" t="n">
        <v>0</v>
      </c>
      <c r="U53" s="248" t="n">
        <v>0</v>
      </c>
      <c r="V53" s="248" t="n">
        <v>2.55</v>
      </c>
      <c r="W53" s="149">
        <f>(F53-MIN(F$53:F$59))/(MAX(F$53:F$59)-MIN(F$53:F$59))</f>
        <v/>
      </c>
      <c r="X53" s="142">
        <f>(MAX(G$53:G$59)-G53)/(MAX(G$53:G$59)-MIN(G$53:G$59))</f>
        <v/>
      </c>
      <c r="Y53" s="142">
        <f>(MAX(H$53:H$59)-H53)/(MAX(H$53:H$59)-MIN(H$53:H$59))</f>
        <v/>
      </c>
      <c r="Z53" s="149">
        <f>(I53-MIN(I$53:I$59))/(MAX(I$53:I$59)-MIN(I$53:I$59))</f>
        <v/>
      </c>
      <c r="AA53" s="149">
        <f>(J53-MIN(J$53:J$59))/(MAX(J$53:J$59)-MIN(J$53:J$59))</f>
        <v/>
      </c>
      <c r="AB53" s="149">
        <f>(K53-MIN(K$53:K$59))/(MAX(K$53:K$59)-MIN(K$53:K$59))</f>
        <v/>
      </c>
      <c r="AC53" s="149">
        <f>(L53-MIN(L$53:L$59))/(MAX(L$53:L$59)-MIN(L$53:L$59))</f>
        <v/>
      </c>
      <c r="AD53" s="149">
        <f>(M53-MIN(M$53:M$59))/(MAX(M$53:M$59)-MIN(M$53:M$59))</f>
        <v/>
      </c>
      <c r="AE53" s="149">
        <f>(N53-MIN(N$53:N$59))/(MAX(N$53:N$59)-MIN(N$53:N$59))</f>
        <v/>
      </c>
      <c r="AF53" s="149">
        <f>(O53-MIN(O$53:O$59))/(MAX(O$53:O$59)-MIN(O$53:O$59))</f>
        <v/>
      </c>
      <c r="AG53" s="149">
        <f>(P53-MIN(P$53:P$59))/(MAX(P$53:P$59)-MIN(P$53:P$59))</f>
        <v/>
      </c>
      <c r="AH53" s="149">
        <f>(Q53-MIN(Q$53:Q$59))/(MAX(Q$53:Q$59)-MIN(Q$53:Q$59))</f>
        <v/>
      </c>
      <c r="AI53" s="149">
        <f>(R53-MIN(R$53:R$59))/(MAX(R$53:R$59)-MIN(R$53:R$59))</f>
        <v/>
      </c>
      <c r="AJ53" s="149">
        <f>(S53-MIN(S$53:S$59))/(MAX(S$53:S$59)-MIN(S$53:S$59))</f>
        <v/>
      </c>
      <c r="AK53" s="142">
        <f>(MAX(T$53:T$59)-T53)/(MAX(T$53:T$59)-MIN(T$53:T$59))</f>
        <v/>
      </c>
      <c r="AL53" s="142">
        <f>(MAX(U$53:U$59)-U53)/(MAX(U$53:U$59)-MIN(U$53:U$59))</f>
        <v/>
      </c>
      <c r="AM53" s="149">
        <f>(V53-MIN(V$53:V$59))/(MAX(V$53:V$59)-MIN(V$53:V$59))</f>
        <v/>
      </c>
      <c r="AN53" s="143">
        <f t="array" ref="AN53">SUMPRODUCT(W53:Y53, TRANSPOSE('Fund Ranking Criteria'!$G$39:$G$41))+SUMPRODUCT('Fund Ranking_Debt'!Z53:AG53, TRANSPOSE('Fund Ranking Criteria'!$G$30:$G$37))+SUMPRODUCT('Fund Ranking_Debt'!AH53:AM53, TRANSPOSE('Fund Ranking Criteria'!$G$43:$G$48))</f>
        <v/>
      </c>
    </row>
    <row r="54">
      <c r="B54" s="119" t="inlineStr">
        <is>
          <t>Aditya Birla Sun Life Income Fund - Reg - Growth</t>
        </is>
      </c>
      <c r="C54" s="132">
        <f>RANK(AN54,$AN$53:$AN$59,0)</f>
        <v/>
      </c>
      <c r="D54" s="191" t="n"/>
      <c r="E54" s="191">
        <f>B54</f>
        <v/>
      </c>
      <c r="F54" s="248" t="n">
        <v>7.74</v>
      </c>
      <c r="G54" s="248" t="n">
        <v>6.47</v>
      </c>
      <c r="H54" s="249" t="n">
        <v>6.74</v>
      </c>
      <c r="I54" s="248" t="n">
        <v>10.5</v>
      </c>
      <c r="J54" s="248" t="n">
        <v>3.99</v>
      </c>
      <c r="K54" s="248" t="n">
        <v>3.91</v>
      </c>
      <c r="L54" s="248" t="n">
        <v>2.93</v>
      </c>
      <c r="M54" s="248" t="n">
        <v>5.58</v>
      </c>
      <c r="N54" s="248" t="n">
        <v>6</v>
      </c>
      <c r="O54" s="248" t="n">
        <v>5.41</v>
      </c>
      <c r="P54" s="248" t="n">
        <v>6.74</v>
      </c>
      <c r="Q54" s="248" t="n">
        <v>65.14</v>
      </c>
      <c r="R54" s="248" t="n">
        <v>28.63</v>
      </c>
      <c r="S54" s="248" t="n">
        <v>0</v>
      </c>
      <c r="T54" s="248" t="n">
        <v>0</v>
      </c>
      <c r="U54" s="248" t="n">
        <v>0</v>
      </c>
      <c r="V54" s="248" t="n">
        <v>6.23</v>
      </c>
      <c r="W54" s="149">
        <f>(F54-MIN(F$53:F$59))/(MAX(F$53:F$59)-MIN(F$53:F$59))</f>
        <v/>
      </c>
      <c r="X54" s="142">
        <f>(MAX(G$53:G$59)-G54)/(MAX(G$53:G$59)-MIN(G$53:G$59))</f>
        <v/>
      </c>
      <c r="Y54" s="142">
        <f>(MAX(H$53:H$59)-H54)/(MAX(H$53:H$59)-MIN(H$53:H$59))</f>
        <v/>
      </c>
      <c r="Z54" s="142">
        <f>(I54-MIN(I$53:I$59))/(MAX(I$53:I$59)-MIN(I$53:I$59))</f>
        <v/>
      </c>
      <c r="AA54" s="142">
        <f>(J54-MIN(J$53:J$59))/(MAX(J$53:J$59)-MIN(J$53:J$59))</f>
        <v/>
      </c>
      <c r="AB54" s="142">
        <f>(K54-MIN(K$53:K$59))/(MAX(K$53:K$59)-MIN(K$53:K$59))</f>
        <v/>
      </c>
      <c r="AC54" s="142">
        <f>(L54-MIN(L$53:L$59))/(MAX(L$53:L$59)-MIN(L$53:L$59))</f>
        <v/>
      </c>
      <c r="AD54" s="142">
        <f>(M54-MIN(M$53:M$59))/(MAX(M$53:M$59)-MIN(M$53:M$59))</f>
        <v/>
      </c>
      <c r="AE54" s="142">
        <f>(N54-MIN(N$53:N$59))/(MAX(N$53:N$59)-MIN(N$53:N$59))</f>
        <v/>
      </c>
      <c r="AF54" s="142">
        <f>(O54-MIN(O$53:O$59))/(MAX(O$53:O$59)-MIN(O$53:O$59))</f>
        <v/>
      </c>
      <c r="AG54" s="142">
        <f>(P54-MIN(P$53:P$59))/(MAX(P$53:P$59)-MIN(P$53:P$59))</f>
        <v/>
      </c>
      <c r="AH54" s="142">
        <f>(Q54-MIN(Q$53:Q$59))/(MAX(Q$53:Q$59)-MIN(Q$53:Q$59))</f>
        <v/>
      </c>
      <c r="AI54" s="142">
        <f>(R54-MIN(R$53:R$59))/(MAX(R$53:R$59)-MIN(R$53:R$59))</f>
        <v/>
      </c>
      <c r="AJ54" s="142">
        <f>(S54-MIN(S$53:S$59))/(MAX(S$53:S$59)-MIN(S$53:S$59))</f>
        <v/>
      </c>
      <c r="AK54" s="142">
        <f>(MAX(T$53:T$59)-T54)/(MAX(T$53:T$59)-MIN(T$53:T$59))</f>
        <v/>
      </c>
      <c r="AL54" s="142">
        <f>(MAX(U$53:U$59)-U54)/(MAX(U$53:U$59)-MIN(U$53:U$59))</f>
        <v/>
      </c>
      <c r="AM54" s="142">
        <f>(V54-MIN(V$53:V$59))/(MAX(V$53:V$59)-MIN(V$53:V$59))</f>
        <v/>
      </c>
      <c r="AN54" s="143">
        <f t="array" ref="AN54">SUMPRODUCT(W54:Y54, TRANSPOSE('Fund Ranking Criteria'!$G$39:$G$41))+SUMPRODUCT('Fund Ranking_Debt'!Z54:AG54, TRANSPOSE('Fund Ranking Criteria'!$G$30:$G$37))+SUMPRODUCT('Fund Ranking_Debt'!AH54:AM54, TRANSPOSE('Fund Ranking Criteria'!$G$43:$G$48))</f>
        <v/>
      </c>
    </row>
    <row r="55">
      <c r="B55" s="119" t="inlineStr">
        <is>
          <t>Kotak Bond Fund - Reg - Growth</t>
        </is>
      </c>
      <c r="C55" s="132">
        <f>RANK(AN55,$AN$53:$AN$59,0)</f>
        <v/>
      </c>
      <c r="D55" s="191" t="n"/>
      <c r="E55" s="191">
        <f>B55</f>
        <v/>
      </c>
      <c r="F55" s="248" t="n">
        <v>7.59</v>
      </c>
      <c r="G55" s="248" t="n">
        <v>4.64</v>
      </c>
      <c r="H55" s="249" t="n">
        <v>4.83</v>
      </c>
      <c r="I55" s="248" t="n">
        <v>11.52</v>
      </c>
      <c r="J55" s="248" t="n">
        <v>4.92</v>
      </c>
      <c r="K55" s="248" t="n">
        <v>4.54</v>
      </c>
      <c r="L55" s="248" t="n">
        <v>3.27</v>
      </c>
      <c r="M55" s="248" t="n">
        <v>5.74</v>
      </c>
      <c r="N55" s="248" t="n">
        <v>6.28</v>
      </c>
      <c r="O55" s="248" t="n">
        <v>5.35</v>
      </c>
      <c r="P55" s="248" t="n">
        <v>6.35</v>
      </c>
      <c r="Q55" s="248" t="n">
        <v>53.58</v>
      </c>
      <c r="R55" s="248" t="n">
        <v>30.07</v>
      </c>
      <c r="S55" s="248" t="n">
        <v>0</v>
      </c>
      <c r="T55" s="248" t="n">
        <v>0</v>
      </c>
      <c r="U55" s="248" t="n">
        <v>0</v>
      </c>
      <c r="V55" s="248" t="n">
        <v>16.34</v>
      </c>
      <c r="W55" s="149">
        <f>(F55-MIN(F$53:F$59))/(MAX(F$53:F$59)-MIN(F$53:F$59))</f>
        <v/>
      </c>
      <c r="X55" s="142">
        <f>(MAX(G$53:G$59)-G55)/(MAX(G$53:G$59)-MIN(G$53:G$59))</f>
        <v/>
      </c>
      <c r="Y55" s="142">
        <f>(MAX(H$53:H$59)-H55)/(MAX(H$53:H$59)-MIN(H$53:H$59))</f>
        <v/>
      </c>
      <c r="Z55" s="142">
        <f>(I55-MIN(I$53:I$59))/(MAX(I$53:I$59)-MIN(I$53:I$59))</f>
        <v/>
      </c>
      <c r="AA55" s="142">
        <f>(J55-MIN(J$53:J$59))/(MAX(J$53:J$59)-MIN(J$53:J$59))</f>
        <v/>
      </c>
      <c r="AB55" s="142">
        <f>(K55-MIN(K$53:K$59))/(MAX(K$53:K$59)-MIN(K$53:K$59))</f>
        <v/>
      </c>
      <c r="AC55" s="142">
        <f>(L55-MIN(L$53:L$59))/(MAX(L$53:L$59)-MIN(L$53:L$59))</f>
        <v/>
      </c>
      <c r="AD55" s="142">
        <f>(M55-MIN(M$53:M$59))/(MAX(M$53:M$59)-MIN(M$53:M$59))</f>
        <v/>
      </c>
      <c r="AE55" s="142">
        <f>(N55-MIN(N$53:N$59))/(MAX(N$53:N$59)-MIN(N$53:N$59))</f>
        <v/>
      </c>
      <c r="AF55" s="142">
        <f>(O55-MIN(O$53:O$59))/(MAX(O$53:O$59)-MIN(O$53:O$59))</f>
        <v/>
      </c>
      <c r="AG55" s="142">
        <f>(P55-MIN(P$53:P$59))/(MAX(P$53:P$59)-MIN(P$53:P$59))</f>
        <v/>
      </c>
      <c r="AH55" s="142">
        <f>(Q55-MIN(Q$53:Q$59))/(MAX(Q$53:Q$59)-MIN(Q$53:Q$59))</f>
        <v/>
      </c>
      <c r="AI55" s="142">
        <f>(R55-MIN(R$53:R$59))/(MAX(R$53:R$59)-MIN(R$53:R$59))</f>
        <v/>
      </c>
      <c r="AJ55" s="142">
        <f>(S55-MIN(S$53:S$59))/(MAX(S$53:S$59)-MIN(S$53:S$59))</f>
        <v/>
      </c>
      <c r="AK55" s="142">
        <f>(MAX(T$53:T$59)-T55)/(MAX(T$53:T$59)-MIN(T$53:T$59))</f>
        <v/>
      </c>
      <c r="AL55" s="142">
        <f>(MAX(U$53:U$59)-U55)/(MAX(U$53:U$59)-MIN(U$53:U$59))</f>
        <v/>
      </c>
      <c r="AM55" s="142">
        <f>(V55-MIN(V$53:V$59))/(MAX(V$53:V$59)-MIN(V$53:V$59))</f>
        <v/>
      </c>
      <c r="AN55" s="143">
        <f t="array" ref="AN55">SUMPRODUCT(W55:Y55, TRANSPOSE('Fund Ranking Criteria'!$G$39:$G$41))+SUMPRODUCT('Fund Ranking_Debt'!Z55:AG55, TRANSPOSE('Fund Ranking Criteria'!$G$30:$G$37))+SUMPRODUCT('Fund Ranking_Debt'!AH55:AM55, TRANSPOSE('Fund Ranking Criteria'!$G$43:$G$48))</f>
        <v/>
      </c>
    </row>
    <row r="56">
      <c r="B56" s="119" t="inlineStr">
        <is>
          <t>SBI Magnum Income Fund - Growth</t>
        </is>
      </c>
      <c r="C56" s="132">
        <f>RANK(AN56,$AN$53:$AN$59,0)</f>
        <v/>
      </c>
      <c r="D56" s="191" t="n"/>
      <c r="E56" s="191">
        <f>B56</f>
        <v/>
      </c>
      <c r="F56" s="248" t="n">
        <v>6.92</v>
      </c>
      <c r="G56" s="248" t="n">
        <v>5.57</v>
      </c>
      <c r="H56" s="249" t="n">
        <v>5.79</v>
      </c>
      <c r="I56" s="248" t="n">
        <v>4.24</v>
      </c>
      <c r="J56" s="248" t="n">
        <v>9.51</v>
      </c>
      <c r="K56" s="248" t="n">
        <v>7.72</v>
      </c>
      <c r="L56" s="248" t="n">
        <v>8.41</v>
      </c>
      <c r="M56" s="248" t="n">
        <v>7.74</v>
      </c>
      <c r="N56" s="248" t="n">
        <v>7.87</v>
      </c>
      <c r="O56" s="248" t="n">
        <v>6.01</v>
      </c>
      <c r="P56" s="248" t="n">
        <v>7.72</v>
      </c>
      <c r="Q56" s="248" t="n">
        <v>60.4</v>
      </c>
      <c r="R56" s="248" t="n">
        <v>10.75</v>
      </c>
      <c r="S56" s="248" t="n">
        <v>7.83</v>
      </c>
      <c r="T56" s="248" t="n">
        <v>14.7</v>
      </c>
      <c r="U56" s="248" t="n">
        <v>0</v>
      </c>
      <c r="V56" s="248" t="n">
        <v>6.06</v>
      </c>
      <c r="W56" s="149">
        <f>(F56-MIN(F$53:F$59))/(MAX(F$53:F$59)-MIN(F$53:F$59))</f>
        <v/>
      </c>
      <c r="X56" s="142">
        <f>(MAX(G$53:G$59)-G56)/(MAX(G$53:G$59)-MIN(G$53:G$59))</f>
        <v/>
      </c>
      <c r="Y56" s="142">
        <f>(MAX(H$53:H$59)-H56)/(MAX(H$53:H$59)-MIN(H$53:H$59))</f>
        <v/>
      </c>
      <c r="Z56" s="142">
        <f>(I56-MIN(I$53:I$59))/(MAX(I$53:I$59)-MIN(I$53:I$59))</f>
        <v/>
      </c>
      <c r="AA56" s="142">
        <f>(J56-MIN(J$53:J$59))/(MAX(J$53:J$59)-MIN(J$53:J$59))</f>
        <v/>
      </c>
      <c r="AB56" s="142">
        <f>(K56-MIN(K$53:K$59))/(MAX(K$53:K$59)-MIN(K$53:K$59))</f>
        <v/>
      </c>
      <c r="AC56" s="142">
        <f>(L56-MIN(L$53:L$59))/(MAX(L$53:L$59)-MIN(L$53:L$59))</f>
        <v/>
      </c>
      <c r="AD56" s="142">
        <f>(M56-MIN(M$53:M$59))/(MAX(M$53:M$59)-MIN(M$53:M$59))</f>
        <v/>
      </c>
      <c r="AE56" s="142">
        <f>(N56-MIN(N$53:N$59))/(MAX(N$53:N$59)-MIN(N$53:N$59))</f>
        <v/>
      </c>
      <c r="AF56" s="142">
        <f>(O56-MIN(O$53:O$59))/(MAX(O$53:O$59)-MIN(O$53:O$59))</f>
        <v/>
      </c>
      <c r="AG56" s="142">
        <f>(P56-MIN(P$53:P$59))/(MAX(P$53:P$59)-MIN(P$53:P$59))</f>
        <v/>
      </c>
      <c r="AH56" s="142">
        <f>(Q56-MIN(Q$53:Q$59))/(MAX(Q$53:Q$59)-MIN(Q$53:Q$59))</f>
        <v/>
      </c>
      <c r="AI56" s="142">
        <f>(R56-MIN(R$53:R$59))/(MAX(R$53:R$59)-MIN(R$53:R$59))</f>
        <v/>
      </c>
      <c r="AJ56" s="142">
        <f>(S56-MIN(S$53:S$59))/(MAX(S$53:S$59)-MIN(S$53:S$59))</f>
        <v/>
      </c>
      <c r="AK56" s="142">
        <f>(MAX(T$53:T$59)-T56)/(MAX(T$53:T$59)-MIN(T$53:T$59))</f>
        <v/>
      </c>
      <c r="AL56" s="142">
        <f>(MAX(U$53:U$59)-U56)/(MAX(U$53:U$59)-MIN(U$53:U$59))</f>
        <v/>
      </c>
      <c r="AM56" s="142">
        <f>(V56-MIN(V$53:V$59))/(MAX(V$53:V$59)-MIN(V$53:V$59))</f>
        <v/>
      </c>
      <c r="AN56" s="143">
        <f t="array" ref="AN56">SUMPRODUCT(W56:Y56, TRANSPOSE('Fund Ranking Criteria'!$G$39:$G$41))+SUMPRODUCT('Fund Ranking_Debt'!Z56:AG56, TRANSPOSE('Fund Ranking Criteria'!$G$30:$G$37))+SUMPRODUCT('Fund Ranking_Debt'!AH56:AM56, TRANSPOSE('Fund Ranking Criteria'!$G$43:$G$48))</f>
        <v/>
      </c>
    </row>
    <row r="57">
      <c r="B57" s="119" t="inlineStr">
        <is>
          <t>HDFC Income Fund - Growth</t>
        </is>
      </c>
      <c r="C57" s="132">
        <f>RANK(AN57,$AN$53:$AN$59,0)</f>
        <v/>
      </c>
      <c r="D57" s="191" t="n"/>
      <c r="E57" s="191">
        <f>B57</f>
        <v/>
      </c>
      <c r="F57" s="248" t="n">
        <v>7.34</v>
      </c>
      <c r="G57" s="248" t="n">
        <v>6.44</v>
      </c>
      <c r="H57" s="249" t="n">
        <v>6.7</v>
      </c>
      <c r="I57" s="248" t="n">
        <v>10.19</v>
      </c>
      <c r="J57" s="248" t="n">
        <v>4.73</v>
      </c>
      <c r="K57" s="248" t="n">
        <v>4.24</v>
      </c>
      <c r="L57" s="248" t="n">
        <v>3.14</v>
      </c>
      <c r="M57" s="248" t="n">
        <v>5.91</v>
      </c>
      <c r="N57" s="248" t="n">
        <v>6.35</v>
      </c>
      <c r="O57" s="248" t="n">
        <v>5.04</v>
      </c>
      <c r="P57" s="248" t="n">
        <v>5.72</v>
      </c>
      <c r="Q57" s="248" t="n">
        <v>68.77</v>
      </c>
      <c r="R57" s="248" t="n">
        <v>25.02</v>
      </c>
      <c r="S57" s="248" t="n">
        <v>0</v>
      </c>
      <c r="T57" s="248" t="n">
        <v>0</v>
      </c>
      <c r="U57" s="248" t="n">
        <v>0</v>
      </c>
      <c r="V57" s="248" t="n">
        <v>6.21</v>
      </c>
      <c r="W57" s="149">
        <f>(F57-MIN(F$53:F$59))/(MAX(F$53:F$59)-MIN(F$53:F$59))</f>
        <v/>
      </c>
      <c r="X57" s="142">
        <f>(MAX(G$53:G$59)-G57)/(MAX(G$53:G$59)-MIN(G$53:G$59))</f>
        <v/>
      </c>
      <c r="Y57" s="142">
        <f>(MAX(H$53:H$59)-H57)/(MAX(H$53:H$59)-MIN(H$53:H$59))</f>
        <v/>
      </c>
      <c r="Z57" s="142">
        <f>(I57-MIN(I$53:I$59))/(MAX(I$53:I$59)-MIN(I$53:I$59))</f>
        <v/>
      </c>
      <c r="AA57" s="142">
        <f>(J57-MIN(J$53:J$59))/(MAX(J$53:J$59)-MIN(J$53:J$59))</f>
        <v/>
      </c>
      <c r="AB57" s="142">
        <f>(K57-MIN(K$53:K$59))/(MAX(K$53:K$59)-MIN(K$53:K$59))</f>
        <v/>
      </c>
      <c r="AC57" s="142">
        <f>(L57-MIN(L$53:L$59))/(MAX(L$53:L$59)-MIN(L$53:L$59))</f>
        <v/>
      </c>
      <c r="AD57" s="142">
        <f>(M57-MIN(M$53:M$59))/(MAX(M$53:M$59)-MIN(M$53:M$59))</f>
        <v/>
      </c>
      <c r="AE57" s="142">
        <f>(N57-MIN(N$53:N$59))/(MAX(N$53:N$59)-MIN(N$53:N$59))</f>
        <v/>
      </c>
      <c r="AF57" s="142">
        <f>(O57-MIN(O$53:O$59))/(MAX(O$53:O$59)-MIN(O$53:O$59))</f>
        <v/>
      </c>
      <c r="AG57" s="142">
        <f>(P57-MIN(P$53:P$59))/(MAX(P$53:P$59)-MIN(P$53:P$59))</f>
        <v/>
      </c>
      <c r="AH57" s="142">
        <f>(Q57-MIN(Q$53:Q$59))/(MAX(Q$53:Q$59)-MIN(Q$53:Q$59))</f>
        <v/>
      </c>
      <c r="AI57" s="142">
        <f>(R57-MIN(R$53:R$59))/(MAX(R$53:R$59)-MIN(R$53:R$59))</f>
        <v/>
      </c>
      <c r="AJ57" s="142">
        <f>(S57-MIN(S$53:S$59))/(MAX(S$53:S$59)-MIN(S$53:S$59))</f>
        <v/>
      </c>
      <c r="AK57" s="142">
        <f>(MAX(T$53:T$59)-T57)/(MAX(T$53:T$59)-MIN(T$53:T$59))</f>
        <v/>
      </c>
      <c r="AL57" s="142">
        <f>(MAX(U$53:U$59)-U57)/(MAX(U$53:U$59)-MIN(U$53:U$59))</f>
        <v/>
      </c>
      <c r="AM57" s="142">
        <f>(V57-MIN(V$53:V$59))/(MAX(V$53:V$59)-MIN(V$53:V$59))</f>
        <v/>
      </c>
      <c r="AN57" s="143">
        <f t="array" ref="AN57">SUMPRODUCT(W57:Y57, TRANSPOSE('Fund Ranking Criteria'!$G$39:$G$41))+SUMPRODUCT('Fund Ranking_Debt'!Z57:AG57, TRANSPOSE('Fund Ranking Criteria'!$G$30:$G$37))+SUMPRODUCT('Fund Ranking_Debt'!AH57:AM57, TRANSPOSE('Fund Ranking Criteria'!$G$43:$G$48))</f>
        <v/>
      </c>
    </row>
    <row r="58" ht="29.1" customHeight="1">
      <c r="B58" s="119" t="inlineStr">
        <is>
          <t>Nippon India Medium to Long Duration Fund - Reg - G P - Growth</t>
        </is>
      </c>
      <c r="C58" s="132">
        <f>RANK(AN58,$AN$53:$AN$59,0)</f>
        <v/>
      </c>
      <c r="D58" s="191" t="n"/>
      <c r="E58" s="191">
        <f>B58</f>
        <v/>
      </c>
      <c r="F58" s="248" t="n">
        <v>7.41</v>
      </c>
      <c r="G58" s="248" t="n">
        <v>6.43</v>
      </c>
      <c r="H58" s="249" t="n">
        <v>6.69</v>
      </c>
      <c r="I58" s="248" t="n">
        <v>9.869999999999999</v>
      </c>
      <c r="J58" s="248" t="n">
        <v>4.92</v>
      </c>
      <c r="K58" s="248" t="n">
        <v>4.49</v>
      </c>
      <c r="L58" s="248" t="n">
        <v>3.22</v>
      </c>
      <c r="M58" s="248" t="n">
        <v>5.5</v>
      </c>
      <c r="N58" s="248" t="n">
        <v>5.99</v>
      </c>
      <c r="O58" s="248" t="n">
        <v>5.37</v>
      </c>
      <c r="P58" s="248" t="n">
        <v>6.57</v>
      </c>
      <c r="Q58" s="248" t="n">
        <v>84.70999999999999</v>
      </c>
      <c r="R58" s="248" t="n">
        <v>8.380000000000001</v>
      </c>
      <c r="S58" s="248" t="n">
        <v>0</v>
      </c>
      <c r="T58" s="248" t="n">
        <v>0</v>
      </c>
      <c r="U58" s="248" t="n">
        <v>0.24</v>
      </c>
      <c r="V58" s="248" t="n">
        <v>6.66</v>
      </c>
      <c r="W58" s="149">
        <f>(F58-MIN(F$53:F$59))/(MAX(F$53:F$59)-MIN(F$53:F$59))</f>
        <v/>
      </c>
      <c r="X58" s="142">
        <f>(MAX(G$53:G$59)-G58)/(MAX(G$53:G$59)-MIN(G$53:G$59))</f>
        <v/>
      </c>
      <c r="Y58" s="142">
        <f>(MAX(H$53:H$59)-H58)/(MAX(H$53:H$59)-MIN(H$53:H$59))</f>
        <v/>
      </c>
      <c r="Z58" s="142">
        <f>(I58-MIN(I$53:I$59))/(MAX(I$53:I$59)-MIN(I$53:I$59))</f>
        <v/>
      </c>
      <c r="AA58" s="142">
        <f>(J58-MIN(J$53:J$59))/(MAX(J$53:J$59)-MIN(J$53:J$59))</f>
        <v/>
      </c>
      <c r="AB58" s="142">
        <f>(K58-MIN(K$53:K$59))/(MAX(K$53:K$59)-MIN(K$53:K$59))</f>
        <v/>
      </c>
      <c r="AC58" s="142">
        <f>(L58-MIN(L$53:L$59))/(MAX(L$53:L$59)-MIN(L$53:L$59))</f>
        <v/>
      </c>
      <c r="AD58" s="142">
        <f>(M58-MIN(M$53:M$59))/(MAX(M$53:M$59)-MIN(M$53:M$59))</f>
        <v/>
      </c>
      <c r="AE58" s="142">
        <f>(N58-MIN(N$53:N$59))/(MAX(N$53:N$59)-MIN(N$53:N$59))</f>
        <v/>
      </c>
      <c r="AF58" s="142">
        <f>(O58-MIN(O$53:O$59))/(MAX(O$53:O$59)-MIN(O$53:O$59))</f>
        <v/>
      </c>
      <c r="AG58" s="142">
        <f>(P58-MIN(P$53:P$59))/(MAX(P$53:P$59)-MIN(P$53:P$59))</f>
        <v/>
      </c>
      <c r="AH58" s="142">
        <f>(Q58-MIN(Q$53:Q$59))/(MAX(Q$53:Q$59)-MIN(Q$53:Q$59))</f>
        <v/>
      </c>
      <c r="AI58" s="142">
        <f>(R58-MIN(R$53:R$59))/(MAX(R$53:R$59)-MIN(R$53:R$59))</f>
        <v/>
      </c>
      <c r="AJ58" s="142">
        <f>(S58-MIN(S$53:S$59))/(MAX(S$53:S$59)-MIN(S$53:S$59))</f>
        <v/>
      </c>
      <c r="AK58" s="142">
        <f>(MAX(T$53:T$59)-T58)/(MAX(T$53:T$59)-MIN(T$53:T$59))</f>
        <v/>
      </c>
      <c r="AL58" s="142">
        <f>(MAX(U$53:U$59)-U58)/(MAX(U$53:U$59)-MIN(U$53:U$59))</f>
        <v/>
      </c>
      <c r="AM58" s="142">
        <f>(V58-MIN(V$53:V$59))/(MAX(V$53:V$59)-MIN(V$53:V$59))</f>
        <v/>
      </c>
      <c r="AN58" s="143">
        <f t="array" ref="AN58">SUMPRODUCT(W58:Y58, TRANSPOSE('Fund Ranking Criteria'!$G$39:$G$41))+SUMPRODUCT('Fund Ranking_Debt'!Z58:AG58, TRANSPOSE('Fund Ranking Criteria'!$G$30:$G$37))+SUMPRODUCT('Fund Ranking_Debt'!AH58:AM58, TRANSPOSE('Fund Ranking Criteria'!$G$43:$G$48))</f>
        <v/>
      </c>
    </row>
    <row r="59" ht="15" customHeight="1" thickBot="1">
      <c r="B59" s="120" t="inlineStr">
        <is>
          <t>UTI Medium to Long Duration Fund - Growth</t>
        </is>
      </c>
      <c r="C59" s="141">
        <f>RANK(AN59,$AN$53:$AN$59,0)</f>
        <v/>
      </c>
      <c r="D59" s="192" t="n"/>
      <c r="E59" s="192">
        <f>B59</f>
        <v/>
      </c>
      <c r="F59" s="251" t="n">
        <v>8.09</v>
      </c>
      <c r="G59" s="251" t="n">
        <v>4.53</v>
      </c>
      <c r="H59" s="250" t="n">
        <v>4.71</v>
      </c>
      <c r="I59" s="251" t="n">
        <v>8.16</v>
      </c>
      <c r="J59" s="251" t="n">
        <v>3.79</v>
      </c>
      <c r="K59" s="251" t="n">
        <v>3.68</v>
      </c>
      <c r="L59" s="251" t="n">
        <v>2.89</v>
      </c>
      <c r="M59" s="251" t="n">
        <v>5.8</v>
      </c>
      <c r="N59" s="251" t="n">
        <v>6</v>
      </c>
      <c r="O59" s="251" t="n">
        <v>8.220000000000001</v>
      </c>
      <c r="P59" s="251" t="n">
        <v>5.36</v>
      </c>
      <c r="Q59" s="251" t="n">
        <v>43.16</v>
      </c>
      <c r="R59" s="251" t="n">
        <v>30.75</v>
      </c>
      <c r="S59" s="251" t="n">
        <v>17.15</v>
      </c>
      <c r="T59" s="251" t="n">
        <v>4.98</v>
      </c>
      <c r="U59" s="251" t="n">
        <v>0</v>
      </c>
      <c r="V59" s="251" t="n">
        <v>3.97</v>
      </c>
      <c r="W59" s="151">
        <f>(F59-MIN(F$53:F$59))/(MAX(F$53:F$59)-MIN(F$53:F$59))</f>
        <v/>
      </c>
      <c r="X59" s="144">
        <f>(MAX(G$53:G$59)-G59)/(MAX(G$53:G$59)-MIN(G$53:G$59))</f>
        <v/>
      </c>
      <c r="Y59" s="144">
        <f>(MAX(H$53:H$59)-H59)/(MAX(H$53:H$59)-MIN(H$53:H$59))</f>
        <v/>
      </c>
      <c r="Z59" s="144">
        <f>(I59-MIN(I$53:I$59))/(MAX(I$53:I$59)-MIN(I$53:I$59))</f>
        <v/>
      </c>
      <c r="AA59" s="144">
        <f>(J59-MIN(J$53:J$59))/(MAX(J$53:J$59)-MIN(J$53:J$59))</f>
        <v/>
      </c>
      <c r="AB59" s="144">
        <f>(K59-MIN(K$53:K$59))/(MAX(K$53:K$59)-MIN(K$53:K$59))</f>
        <v/>
      </c>
      <c r="AC59" s="144">
        <f>(L59-MIN(L$53:L$59))/(MAX(L$53:L$59)-MIN(L$53:L$59))</f>
        <v/>
      </c>
      <c r="AD59" s="144">
        <f>(M59-MIN(M$53:M$59))/(MAX(M$53:M$59)-MIN(M$53:M$59))</f>
        <v/>
      </c>
      <c r="AE59" s="144">
        <f>(N59-MIN(N$53:N$59))/(MAX(N$53:N$59)-MIN(N$53:N$59))</f>
        <v/>
      </c>
      <c r="AF59" s="144">
        <f>(O59-MIN(O$53:O$59))/(MAX(O$53:O$59)-MIN(O$53:O$59))</f>
        <v/>
      </c>
      <c r="AG59" s="144">
        <f>(P59-MIN(P$53:P$59))/(MAX(P$53:P$59)-MIN(P$53:P$59))</f>
        <v/>
      </c>
      <c r="AH59" s="144">
        <f>(Q59-MIN(Q$53:Q$59))/(MAX(Q$53:Q$59)-MIN(Q$53:Q$59))</f>
        <v/>
      </c>
      <c r="AI59" s="144">
        <f>(R59-MIN(R$53:R$59))/(MAX(R$53:R$59)-MIN(R$53:R$59))</f>
        <v/>
      </c>
      <c r="AJ59" s="144">
        <f>(S59-MIN(S$53:S$59))/(MAX(S$53:S$59)-MIN(S$53:S$59))</f>
        <v/>
      </c>
      <c r="AK59" s="144">
        <f>(MAX(T$53:T$59)-T59)/(MAX(T$53:T$59)-MIN(T$53:T$59))</f>
        <v/>
      </c>
      <c r="AL59" s="144">
        <f>(MAX(U$53:U$59)-U59)/(MAX(U$53:U$59)-MIN(U$53:U$59))</f>
        <v/>
      </c>
      <c r="AM59" s="144">
        <f>(V59-MIN(V$53:V$59))/(MAX(V$53:V$59)-MIN(V$53:V$59))</f>
        <v/>
      </c>
      <c r="AN59" s="145">
        <f t="array" ref="AN59">SUMPRODUCT(W59:Y59, TRANSPOSE('Fund Ranking Criteria'!$G$39:$G$41))+SUMPRODUCT('Fund Ranking_Debt'!Z59:AG59, TRANSPOSE('Fund Ranking Criteria'!$G$30:$G$37))+SUMPRODUCT('Fund Ranking_Debt'!AH59:AM59, TRANSPOSE('Fund Ranking Criteria'!$G$43:$G$48))</f>
        <v/>
      </c>
    </row>
  </sheetData>
  <mergeCells count="20">
    <mergeCell ref="AN40:AN41"/>
    <mergeCell ref="AN5:AN6"/>
    <mergeCell ref="W40:AM40"/>
    <mergeCell ref="F29:V29"/>
    <mergeCell ref="B39:AN39"/>
    <mergeCell ref="AN29:AN30"/>
    <mergeCell ref="AN51:AN52"/>
    <mergeCell ref="W5:AM5"/>
    <mergeCell ref="F40:V40"/>
    <mergeCell ref="W51:AM51"/>
    <mergeCell ref="F51:V51"/>
    <mergeCell ref="F5:V5"/>
    <mergeCell ref="B28:AN28"/>
    <mergeCell ref="F17:V17"/>
    <mergeCell ref="AN17:AN18"/>
    <mergeCell ref="B4:AN4"/>
    <mergeCell ref="B50:AN50"/>
    <mergeCell ref="W17:AM17"/>
    <mergeCell ref="B16:AN16"/>
    <mergeCell ref="W29:AM29"/>
  </mergeCells>
  <conditionalFormatting sqref="C7:C13 C19:C25 C31:C37">
    <cfRule type="cellIs" priority="13" operator="lessThan" dxfId="0">
      <formula>6</formula>
    </cfRule>
    <cfRule type="cellIs" priority="14" operator="lessThan" dxfId="0">
      <formula>5</formula>
    </cfRule>
  </conditionalFormatting>
  <conditionalFormatting sqref="C42:C48">
    <cfRule type="cellIs" priority="7" operator="lessThan" dxfId="0">
      <formula>6</formula>
    </cfRule>
    <cfRule type="cellIs" priority="8" operator="lessThan" dxfId="0">
      <formula>5</formula>
    </cfRule>
  </conditionalFormatting>
  <conditionalFormatting sqref="C53:C59">
    <cfRule type="cellIs" priority="1" operator="lessThan" dxfId="0">
      <formula>6</formula>
    </cfRule>
    <cfRule type="cellIs" priority="2" operator="lessThan" dxfId="0">
      <formula>5</formula>
    </cfRule>
  </conditionalFormatting>
  <conditionalFormatting sqref="W7:W13">
    <cfRule type="dataBar" priority="22">
      <dataBar>
        <cfvo type="min"/>
        <cfvo type="max"/>
        <color rgb="FF638EC6"/>
      </dataBar>
    </cfRule>
  </conditionalFormatting>
  <conditionalFormatting sqref="X7:AM13">
    <cfRule type="dataBar" priority="23">
      <dataBar>
        <cfvo type="min"/>
        <cfvo type="max"/>
        <color rgb="FF638EC6"/>
      </dataBar>
    </cfRule>
  </conditionalFormatting>
  <pageMargins left="0.7" right="0.7" top="0.75" bottom="0.75" header="0.3" footer="0.3"/>
  <pageSetup orientation="portrait"/>
</worksheet>
</file>

<file path=xl/worksheets/sheet13.xml><?xml version="1.0" encoding="utf-8"?>
<worksheet xmlns="http://schemas.openxmlformats.org/spreadsheetml/2006/main">
  <sheetPr codeName="Sheet6">
    <outlinePr summaryBelow="1" summaryRight="1"/>
    <pageSetUpPr/>
  </sheetPr>
  <dimension ref="A3:K71"/>
  <sheetViews>
    <sheetView zoomScale="99" workbookViewId="0">
      <selection activeCell="B1" sqref="B1"/>
    </sheetView>
  </sheetViews>
  <sheetFormatPr baseColWidth="8" defaultRowHeight="15"/>
  <cols>
    <col width="27.28515625" customWidth="1" min="2" max="2"/>
    <col width="20.140625" customWidth="1" min="3" max="3"/>
    <col width="20.42578125" customWidth="1" min="4" max="4"/>
    <col width="20.140625" customWidth="1" min="5" max="7"/>
    <col width="27.42578125" customWidth="1" min="8" max="8"/>
    <col width="20.140625" customWidth="1" min="9" max="9"/>
    <col width="19.140625" customWidth="1" style="115" min="10" max="14"/>
  </cols>
  <sheetData>
    <row r="1" ht="15" customHeight="1" thickBot="1"/>
    <row r="2" hidden="1" ht="15" customHeight="1" thickBot="1"/>
    <row r="3" ht="15" customHeight="1" thickBot="1">
      <c r="B3" s="374" t="inlineStr">
        <is>
          <t>Weightage for Equity Fund Ranking</t>
        </is>
      </c>
      <c r="C3" s="426" t="n"/>
      <c r="D3" s="426" t="n"/>
      <c r="E3" s="426" t="n"/>
      <c r="F3" s="426" t="n"/>
      <c r="G3" s="426" t="n"/>
      <c r="H3" s="426" t="n"/>
      <c r="I3" s="426" t="n"/>
      <c r="J3" s="426" t="n"/>
      <c r="K3" s="375" t="n"/>
    </row>
    <row r="4">
      <c r="B4" s="39" t="n"/>
      <c r="C4" s="41" t="inlineStr">
        <is>
          <t>Large Cap Fund</t>
        </is>
      </c>
      <c r="D4" s="41" t="inlineStr">
        <is>
          <t>Large &amp; Mid Cap Funds</t>
        </is>
      </c>
      <c r="E4" s="41" t="inlineStr">
        <is>
          <t>Flexicap fund</t>
        </is>
      </c>
      <c r="F4" s="41" t="inlineStr">
        <is>
          <t>Midcap</t>
        </is>
      </c>
      <c r="G4" s="41" t="inlineStr">
        <is>
          <t>Small Cap</t>
        </is>
      </c>
      <c r="H4" s="41" t="inlineStr">
        <is>
          <t>Balanced Fund</t>
        </is>
      </c>
      <c r="I4" s="157" t="inlineStr">
        <is>
          <t>Multi-Asset</t>
        </is>
      </c>
      <c r="J4" s="157" t="inlineStr">
        <is>
          <t>Thematic</t>
        </is>
      </c>
      <c r="K4" s="157" t="inlineStr">
        <is>
          <t>Multi Cap</t>
        </is>
      </c>
    </row>
    <row r="5" hidden="1" ht="14.45" customHeight="1">
      <c r="B5" s="79" t="n"/>
      <c r="C5" s="450" t="inlineStr">
        <is>
          <t>80 per cent of the corpus in top 100 companies by market cap</t>
        </is>
      </c>
      <c r="D5" s="450" t="n"/>
      <c r="E5" s="450" t="inlineStr">
        <is>
          <t>Across Large, Mid-cap, Small Cap</t>
        </is>
      </c>
      <c r="F5" s="450" t="inlineStr">
        <is>
          <t xml:space="preserve">65% of their total assets in equity
shares of mid-cap companies </t>
        </is>
      </c>
      <c r="G5" s="450" t="inlineStr">
        <is>
          <t xml:space="preserve">65% of their total assets in equity
shares of small-cap companies </t>
        </is>
      </c>
      <c r="H5" s="450" t="inlineStr">
        <is>
          <t>Set allocation strategy; 60% E &amp; 40% D</t>
        </is>
      </c>
      <c r="I5" s="451" t="inlineStr">
        <is>
          <t>Dynamic Allocation</t>
        </is>
      </c>
      <c r="J5" s="451" t="n"/>
      <c r="K5" s="451" t="n"/>
    </row>
    <row r="6" hidden="1">
      <c r="B6" s="79" t="n"/>
      <c r="C6" s="445" t="n"/>
      <c r="D6" s="445" t="n"/>
      <c r="E6" s="445" t="n"/>
      <c r="F6" s="445" t="n"/>
      <c r="G6" s="445" t="n"/>
      <c r="H6" s="445" t="n"/>
      <c r="I6" s="443" t="n"/>
      <c r="J6" s="443" t="n"/>
      <c r="K6" s="443" t="n"/>
    </row>
    <row r="7" hidden="1">
      <c r="B7" s="79" t="n"/>
      <c r="C7" s="298" t="inlineStr">
        <is>
          <t>Higher weightage</t>
        </is>
      </c>
      <c r="D7" s="298" t="n"/>
      <c r="E7" s="298" t="n"/>
      <c r="F7" s="298" t="inlineStr">
        <is>
          <t>Lower weightage</t>
        </is>
      </c>
      <c r="G7" s="298" t="n"/>
      <c r="H7" s="298" t="n"/>
      <c r="I7" s="158" t="n"/>
      <c r="J7" s="158" t="n"/>
      <c r="K7" s="158" t="n"/>
    </row>
    <row r="8">
      <c r="A8" s="54" t="n"/>
      <c r="B8" s="40" t="inlineStr">
        <is>
          <t>Performance Metrics</t>
        </is>
      </c>
      <c r="C8" s="67">
        <f>SUM(C9:C12)</f>
        <v/>
      </c>
      <c r="D8" s="67">
        <f>SUM(D9:D12)</f>
        <v/>
      </c>
      <c r="E8" s="67">
        <f>SUM(E9:E12)</f>
        <v/>
      </c>
      <c r="F8" s="67">
        <f>SUM(F9:F12)</f>
        <v/>
      </c>
      <c r="G8" s="67">
        <f>SUM(G9:G12)</f>
        <v/>
      </c>
      <c r="H8" s="67">
        <f>SUM(H9:H12)</f>
        <v/>
      </c>
      <c r="I8" s="68">
        <f>SUM(I9:I12)</f>
        <v/>
      </c>
      <c r="J8" s="68" t="n">
        <v>0.5</v>
      </c>
      <c r="K8" s="68">
        <f>SUM(K9:K12)</f>
        <v/>
      </c>
    </row>
    <row r="9">
      <c r="B9" s="398" t="inlineStr">
        <is>
          <t>3-Year CAGR</t>
        </is>
      </c>
      <c r="C9" s="73" t="n">
        <v>0.1</v>
      </c>
      <c r="D9" s="73" t="n">
        <v>0.1</v>
      </c>
      <c r="E9" s="73" t="n">
        <v>0.05</v>
      </c>
      <c r="F9" s="73" t="n">
        <v>0.05</v>
      </c>
      <c r="G9" s="73" t="n">
        <v>0.05</v>
      </c>
      <c r="H9" s="73" t="n">
        <v>0.05</v>
      </c>
      <c r="I9" s="74" t="n">
        <v>0.05</v>
      </c>
      <c r="J9" s="70" t="n">
        <v>0.05</v>
      </c>
      <c r="K9" s="70" t="n">
        <v>0.1</v>
      </c>
    </row>
    <row r="10">
      <c r="B10" s="398" t="inlineStr">
        <is>
          <t>5-Year CAGR</t>
        </is>
      </c>
      <c r="C10" s="73" t="n">
        <v>0.15</v>
      </c>
      <c r="D10" s="73" t="n">
        <v>0.15</v>
      </c>
      <c r="E10" s="73" t="n">
        <v>0.1</v>
      </c>
      <c r="F10" s="73" t="n">
        <v>0.1</v>
      </c>
      <c r="G10" s="73" t="n">
        <v>0.075</v>
      </c>
      <c r="H10" s="73" t="n">
        <v>0.1</v>
      </c>
      <c r="I10" s="74" t="n">
        <v>0.1</v>
      </c>
      <c r="J10" s="70" t="n">
        <v>0.075</v>
      </c>
      <c r="K10" s="70" t="n">
        <v>0.15</v>
      </c>
    </row>
    <row r="11">
      <c r="B11" s="398" t="inlineStr">
        <is>
          <t>10-Year CAGR</t>
        </is>
      </c>
      <c r="C11" s="73" t="n">
        <v>0.2</v>
      </c>
      <c r="D11" s="73" t="n">
        <v>0.2</v>
      </c>
      <c r="E11" s="73" t="n">
        <v>0.15</v>
      </c>
      <c r="F11" s="73" t="n">
        <v>0.15</v>
      </c>
      <c r="G11" s="73" t="n">
        <v>0.1</v>
      </c>
      <c r="H11" s="73" t="n">
        <v>0.15</v>
      </c>
      <c r="I11" s="74" t="n">
        <v>0.15</v>
      </c>
      <c r="J11" s="70" t="n">
        <v>0.1</v>
      </c>
      <c r="K11" s="70" t="n">
        <v>0.05</v>
      </c>
    </row>
    <row r="12">
      <c r="B12" s="398" t="inlineStr">
        <is>
          <t>Alpha</t>
        </is>
      </c>
      <c r="C12" s="73" t="n">
        <v>0.25</v>
      </c>
      <c r="D12" s="73" t="n">
        <v>0.25</v>
      </c>
      <c r="E12" s="73" t="n">
        <v>0.35</v>
      </c>
      <c r="F12" s="73" t="n">
        <v>0.35</v>
      </c>
      <c r="G12" s="73" t="n">
        <v>0.275</v>
      </c>
      <c r="H12" s="73" t="n">
        <v>0.35</v>
      </c>
      <c r="I12" s="74" t="n">
        <v>0.35</v>
      </c>
      <c r="J12" s="70" t="n">
        <v>0.275</v>
      </c>
      <c r="K12" s="70" t="n">
        <v>0.2</v>
      </c>
    </row>
    <row r="13">
      <c r="B13" s="40" t="inlineStr">
        <is>
          <t>Risk</t>
        </is>
      </c>
      <c r="C13" s="67">
        <f>SUM(C14:C16)</f>
        <v/>
      </c>
      <c r="D13" s="159">
        <f>SUM(D14:D16)</f>
        <v/>
      </c>
      <c r="E13" s="67">
        <f>SUM(E14:E16)</f>
        <v/>
      </c>
      <c r="F13" s="67">
        <f>SUM(F14:F16)</f>
        <v/>
      </c>
      <c r="G13" s="67">
        <f>SUM(G14:G16)</f>
        <v/>
      </c>
      <c r="H13" s="67">
        <f>SUM(H14:H16)</f>
        <v/>
      </c>
      <c r="I13" s="68">
        <f>SUM(I14:I16)</f>
        <v/>
      </c>
      <c r="J13" s="68" t="n">
        <v>0.5</v>
      </c>
      <c r="K13" s="68">
        <f>SUM(K14:K19)</f>
        <v/>
      </c>
    </row>
    <row r="14">
      <c r="B14" s="398" t="inlineStr">
        <is>
          <t>Beta</t>
        </is>
      </c>
      <c r="C14" s="73" t="n">
        <v>0.075</v>
      </c>
      <c r="D14" s="73" t="n">
        <v>0.075</v>
      </c>
      <c r="E14" s="73" t="n">
        <v>0.1</v>
      </c>
      <c r="F14" s="73" t="n">
        <v>0.1</v>
      </c>
      <c r="G14" s="73" t="n">
        <v>0.15</v>
      </c>
      <c r="H14" s="73" t="n">
        <v>0.075</v>
      </c>
      <c r="I14" s="74" t="n">
        <v>0.075</v>
      </c>
      <c r="J14" s="70" t="n">
        <v>0.15</v>
      </c>
      <c r="K14" s="70" t="n">
        <v>0.05</v>
      </c>
    </row>
    <row r="15">
      <c r="B15" s="398" t="inlineStr">
        <is>
          <t>SD</t>
        </is>
      </c>
      <c r="C15" s="73" t="n">
        <v>0.075</v>
      </c>
      <c r="D15" s="73" t="n">
        <v>0.075</v>
      </c>
      <c r="E15" s="73" t="n">
        <v>0.075</v>
      </c>
      <c r="F15" s="73" t="n">
        <v>0.075</v>
      </c>
      <c r="G15" s="73" t="n">
        <v>0.15</v>
      </c>
      <c r="H15" s="73" t="n">
        <v>0.075</v>
      </c>
      <c r="I15" s="74" t="n">
        <v>0.075</v>
      </c>
      <c r="J15" s="70" t="n">
        <v>0.15</v>
      </c>
      <c r="K15" s="70" t="n">
        <v>0.15</v>
      </c>
    </row>
    <row r="16" ht="15" customHeight="1" thickBot="1">
      <c r="B16" s="398" t="inlineStr">
        <is>
          <t>Sharpe</t>
        </is>
      </c>
      <c r="C16" s="69" t="n">
        <v>0.15</v>
      </c>
      <c r="D16" s="69" t="n">
        <v>0.15</v>
      </c>
      <c r="E16" s="73" t="n">
        <v>0.175</v>
      </c>
      <c r="F16" s="73" t="n">
        <v>0.175</v>
      </c>
      <c r="G16" s="69" t="n">
        <v>0.2</v>
      </c>
      <c r="H16" s="69" t="n">
        <v>0.2</v>
      </c>
      <c r="I16" s="70" t="n">
        <v>0.2</v>
      </c>
      <c r="J16" s="70" t="n">
        <v>0.2</v>
      </c>
      <c r="K16" s="70" t="n">
        <v>0.3</v>
      </c>
    </row>
    <row r="17" hidden="1">
      <c r="B17" s="40" t="inlineStr">
        <is>
          <t>Return</t>
        </is>
      </c>
      <c r="C17" s="67">
        <f>Assumptions!C8</f>
        <v/>
      </c>
      <c r="D17" s="67">
        <f>Assumptions!D8</f>
        <v/>
      </c>
      <c r="E17" s="67">
        <f>Assumptions!E8</f>
        <v/>
      </c>
      <c r="F17" s="67">
        <f>Assumptions!F8</f>
        <v/>
      </c>
      <c r="G17" s="67">
        <f>Assumptions!G8</f>
        <v/>
      </c>
      <c r="H17" s="67">
        <f>Assumptions!H8</f>
        <v/>
      </c>
      <c r="I17" s="68">
        <f>Assumptions!I8</f>
        <v/>
      </c>
      <c r="J17" s="68" t="n"/>
      <c r="K17" s="68" t="n"/>
    </row>
    <row r="18" hidden="1">
      <c r="B18" s="398" t="n"/>
      <c r="I18" s="431" t="n"/>
      <c r="J18" s="431" t="n"/>
      <c r="K18" s="431" t="n"/>
    </row>
    <row r="19" hidden="1">
      <c r="B19" s="398" t="inlineStr">
        <is>
          <t>Upside Capture Ratio</t>
        </is>
      </c>
      <c r="C19" s="69" t="n"/>
      <c r="D19" s="69" t="n">
        <v>0.05</v>
      </c>
      <c r="E19" s="73" t="n">
        <v>0.075</v>
      </c>
      <c r="F19" s="69" t="n">
        <v>0.15</v>
      </c>
      <c r="G19" s="69" t="n">
        <v>0.2</v>
      </c>
      <c r="H19" s="73" t="n">
        <v>0.075</v>
      </c>
      <c r="I19" s="74" t="n">
        <v>0.075</v>
      </c>
      <c r="J19" s="74" t="n"/>
      <c r="K19" s="74" t="n"/>
    </row>
    <row r="20" hidden="1">
      <c r="B20" s="399" t="inlineStr">
        <is>
          <t>Downside capture ratio</t>
        </is>
      </c>
      <c r="C20" s="71" t="n"/>
      <c r="D20" s="71" t="n">
        <v>0.1</v>
      </c>
      <c r="E20" s="71" t="n">
        <v>0.1</v>
      </c>
      <c r="F20" s="71" t="n">
        <v>0.05</v>
      </c>
      <c r="G20" s="71" t="n">
        <v>0.05</v>
      </c>
      <c r="H20" s="75" t="n">
        <v>0.075</v>
      </c>
      <c r="I20" s="76" t="n">
        <v>0.075</v>
      </c>
      <c r="J20" s="76" t="n"/>
      <c r="K20" s="76" t="n"/>
    </row>
    <row r="21" ht="15" customHeight="1" thickBot="1">
      <c r="B21" s="56" t="inlineStr">
        <is>
          <t>Total Weightage</t>
        </is>
      </c>
      <c r="C21" s="77">
        <f>C13+C8</f>
        <v/>
      </c>
      <c r="D21" s="77">
        <f>D13+D8</f>
        <v/>
      </c>
      <c r="E21" s="77">
        <f>E13+E8</f>
        <v/>
      </c>
      <c r="F21" s="77">
        <f>F13+F8</f>
        <v/>
      </c>
      <c r="G21" s="77">
        <f>G13+G8</f>
        <v/>
      </c>
      <c r="H21" s="77">
        <f>H13+H8</f>
        <v/>
      </c>
      <c r="I21" s="78">
        <f>I13+I8</f>
        <v/>
      </c>
      <c r="J21" s="78">
        <f>J13+J8</f>
        <v/>
      </c>
      <c r="K21" s="78">
        <f>K13+K8</f>
        <v/>
      </c>
    </row>
    <row r="22" ht="15" customHeight="1" thickBot="1">
      <c r="C22" s="54" t="n"/>
      <c r="D22" s="54" t="n"/>
      <c r="E22" s="54" t="n"/>
      <c r="F22" s="54" t="n"/>
      <c r="G22" s="54" t="n"/>
      <c r="H22" s="54" t="n"/>
      <c r="I22" s="54" t="n"/>
      <c r="J22" s="54" t="n"/>
      <c r="K22" s="54" t="n"/>
    </row>
    <row r="23" ht="15" customHeight="1" thickBot="1">
      <c r="B23" s="452" t="inlineStr">
        <is>
          <t>Weightage for Debt Fund Ranking</t>
        </is>
      </c>
      <c r="C23" s="426" t="n"/>
      <c r="D23" s="426" t="n"/>
      <c r="E23" s="426" t="n"/>
      <c r="F23" s="426" t="n"/>
      <c r="G23" s="375" t="n"/>
    </row>
    <row r="24" ht="29.1" customHeight="1">
      <c r="B24" s="39" t="n"/>
      <c r="C24" s="135" t="inlineStr">
        <is>
          <t>Ultra Short Duration Fund</t>
        </is>
      </c>
      <c r="D24" s="204" t="inlineStr">
        <is>
          <t>Low Duration Fund</t>
        </is>
      </c>
      <c r="E24" s="135" t="inlineStr">
        <is>
          <t>Short Duration Fund</t>
        </is>
      </c>
      <c r="F24" s="135" t="inlineStr">
        <is>
          <t>Medium Duration Fund</t>
        </is>
      </c>
      <c r="G24" s="205" t="inlineStr">
        <is>
          <t>Medium to Long Duration Fund</t>
        </is>
      </c>
    </row>
    <row r="25" hidden="1">
      <c r="B25" s="79" t="n"/>
      <c r="C25" s="199" t="n"/>
      <c r="D25" s="115" t="n"/>
      <c r="E25" s="199" t="n"/>
      <c r="F25" s="199" t="n"/>
      <c r="G25" s="200" t="n"/>
    </row>
    <row r="26" hidden="1">
      <c r="B26" s="79" t="n"/>
      <c r="C26" s="199" t="n"/>
      <c r="D26" s="115" t="n"/>
      <c r="E26" s="199" t="n"/>
      <c r="F26" s="199" t="n"/>
      <c r="G26" s="200" t="n"/>
    </row>
    <row r="27" hidden="1">
      <c r="B27" s="79" t="n"/>
      <c r="C27" s="199" t="n"/>
      <c r="D27" s="115" t="n"/>
      <c r="E27" s="199" t="n"/>
      <c r="F27" s="199" t="n"/>
      <c r="G27" s="200" t="n"/>
    </row>
    <row r="28">
      <c r="B28" s="79" t="n"/>
      <c r="C28" s="195" t="inlineStr">
        <is>
          <t>3-6 Months</t>
        </is>
      </c>
      <c r="D28" s="55" t="inlineStr">
        <is>
          <t>6 -12 Months</t>
        </is>
      </c>
      <c r="E28" s="195" t="inlineStr">
        <is>
          <t>1 - 3 Years</t>
        </is>
      </c>
      <c r="F28" s="195" t="inlineStr">
        <is>
          <t>3 - 4 Years</t>
        </is>
      </c>
      <c r="G28" s="210" t="inlineStr">
        <is>
          <t>4 -7 Years</t>
        </is>
      </c>
    </row>
    <row r="29">
      <c r="B29" s="40" t="inlineStr">
        <is>
          <t>Return</t>
        </is>
      </c>
      <c r="C29" s="201">
        <f>SUM(C30:C36)</f>
        <v/>
      </c>
      <c r="D29" s="202">
        <f>SUM(D30:D36)</f>
        <v/>
      </c>
      <c r="E29" s="201">
        <f>SUM(E30:E36)</f>
        <v/>
      </c>
      <c r="F29" s="201">
        <f>SUM(F30:F36)</f>
        <v/>
      </c>
      <c r="G29" s="203">
        <f>SUM(G30:G36)</f>
        <v/>
      </c>
    </row>
    <row r="30">
      <c r="B30" s="398" t="inlineStr">
        <is>
          <t>3 Months</t>
        </is>
      </c>
      <c r="C30" s="214" t="n">
        <v>0.1</v>
      </c>
      <c r="D30" s="217" t="n">
        <v>0</v>
      </c>
      <c r="E30" s="214" t="n">
        <v>0</v>
      </c>
      <c r="F30" s="214" t="n">
        <v>0</v>
      </c>
      <c r="G30" s="236" t="n">
        <v>0</v>
      </c>
    </row>
    <row r="31">
      <c r="B31" s="398" t="inlineStr">
        <is>
          <t>6 Months</t>
        </is>
      </c>
      <c r="C31" s="214" t="n">
        <v>0.1</v>
      </c>
      <c r="D31" s="214" t="n">
        <v>0.1</v>
      </c>
      <c r="E31" s="214" t="n">
        <v>0</v>
      </c>
      <c r="F31" s="214" t="n">
        <v>0</v>
      </c>
      <c r="G31" s="236" t="n">
        <v>0</v>
      </c>
    </row>
    <row r="32">
      <c r="B32" s="398" t="inlineStr">
        <is>
          <t xml:space="preserve">9 Months </t>
        </is>
      </c>
      <c r="C32" s="218" t="n">
        <v>0</v>
      </c>
      <c r="D32" s="214" t="n">
        <v>0.05</v>
      </c>
      <c r="E32" s="214" t="n">
        <v>0</v>
      </c>
      <c r="F32" s="214" t="n">
        <v>0</v>
      </c>
      <c r="G32" s="236" t="n">
        <v>0</v>
      </c>
    </row>
    <row r="33">
      <c r="B33" s="398" t="inlineStr">
        <is>
          <t xml:space="preserve">1 Year </t>
        </is>
      </c>
      <c r="C33" s="218" t="n">
        <v>0</v>
      </c>
      <c r="D33" s="214" t="n">
        <v>0.05</v>
      </c>
      <c r="E33" s="214" t="n">
        <v>0.05</v>
      </c>
      <c r="F33" s="214" t="n">
        <v>0</v>
      </c>
      <c r="G33" s="236" t="n">
        <v>0</v>
      </c>
    </row>
    <row r="34">
      <c r="B34" s="99" t="inlineStr">
        <is>
          <t xml:space="preserve">2 Years </t>
        </is>
      </c>
      <c r="C34" s="218" t="n">
        <v>0</v>
      </c>
      <c r="D34" s="217" t="n">
        <v>0</v>
      </c>
      <c r="E34" s="214" t="n">
        <v>0.05</v>
      </c>
      <c r="F34" s="214" t="n">
        <v>0.05</v>
      </c>
      <c r="G34" s="236" t="n">
        <v>0</v>
      </c>
    </row>
    <row r="35">
      <c r="B35" s="99" t="inlineStr">
        <is>
          <t xml:space="preserve">3 Years </t>
        </is>
      </c>
      <c r="C35" s="218" t="n">
        <v>0</v>
      </c>
      <c r="D35" s="215" t="n">
        <v>0</v>
      </c>
      <c r="E35" s="214" t="n">
        <v>0.1</v>
      </c>
      <c r="F35" s="214" t="n">
        <v>0.05</v>
      </c>
      <c r="G35" s="236" t="n">
        <v>0.2</v>
      </c>
    </row>
    <row r="36">
      <c r="B36" s="398" t="inlineStr">
        <is>
          <t xml:space="preserve">5 Years </t>
        </is>
      </c>
      <c r="C36" s="214" t="n">
        <v>0</v>
      </c>
      <c r="D36" s="215" t="n">
        <v>0</v>
      </c>
      <c r="E36" s="214" t="n">
        <v>0</v>
      </c>
      <c r="F36" s="214" t="n">
        <v>0.1</v>
      </c>
      <c r="G36" s="216" t="n">
        <v>0.1</v>
      </c>
    </row>
    <row r="37">
      <c r="B37" s="398" t="inlineStr">
        <is>
          <t>10 Years</t>
        </is>
      </c>
      <c r="C37" s="220" t="n">
        <v>0</v>
      </c>
      <c r="D37" s="215" t="n">
        <v>0</v>
      </c>
      <c r="E37" s="220" t="n">
        <v>0</v>
      </c>
      <c r="F37" s="220" t="n">
        <v>0</v>
      </c>
      <c r="G37" s="216" t="n">
        <v>0.05</v>
      </c>
    </row>
    <row r="38">
      <c r="B38" s="40" t="inlineStr">
        <is>
          <t>Measures</t>
        </is>
      </c>
      <c r="C38" s="221">
        <f>SUM(C39:C41)</f>
        <v/>
      </c>
      <c r="D38" s="222">
        <f>SUM(D39:D41)</f>
        <v/>
      </c>
      <c r="E38" s="221">
        <f>SUM(E39:E41)</f>
        <v/>
      </c>
      <c r="F38" s="222">
        <f>SUM(F39:F41)</f>
        <v/>
      </c>
      <c r="G38" s="223">
        <f>SUM(G39:G41)</f>
        <v/>
      </c>
    </row>
    <row r="39">
      <c r="B39" s="398" t="inlineStr">
        <is>
          <t>YTM</t>
        </is>
      </c>
      <c r="C39" s="214" t="n">
        <v>0.3</v>
      </c>
      <c r="D39" s="214" t="n">
        <v>0.3</v>
      </c>
      <c r="E39" s="214" t="n">
        <v>0.3</v>
      </c>
      <c r="F39" s="214" t="n">
        <v>0.3</v>
      </c>
      <c r="G39" s="216" t="n">
        <v>0.1</v>
      </c>
    </row>
    <row r="40">
      <c r="B40" s="398" t="inlineStr">
        <is>
          <t>Modified Duration</t>
        </is>
      </c>
      <c r="C40" s="214" t="n">
        <v>0.1</v>
      </c>
      <c r="D40" s="215">
        <f>C40</f>
        <v/>
      </c>
      <c r="E40" s="214">
        <f>D40</f>
        <v/>
      </c>
      <c r="F40" s="215">
        <f>E40</f>
        <v/>
      </c>
      <c r="G40" s="216" t="n">
        <v>0.1</v>
      </c>
    </row>
    <row r="41">
      <c r="B41" s="399" t="inlineStr">
        <is>
          <t>Macaulay Duration</t>
        </is>
      </c>
      <c r="C41" s="224" t="n">
        <v>0.05</v>
      </c>
      <c r="D41" s="225">
        <f>C41</f>
        <v/>
      </c>
      <c r="E41" s="224">
        <f>D41</f>
        <v/>
      </c>
      <c r="F41" s="225">
        <f>E41</f>
        <v/>
      </c>
      <c r="G41" s="226">
        <f>F41</f>
        <v/>
      </c>
    </row>
    <row r="42">
      <c r="B42" s="38" t="inlineStr">
        <is>
          <t>Portfolio Distribution</t>
        </is>
      </c>
      <c r="C42" s="228">
        <f>SUM(C43:C48)</f>
        <v/>
      </c>
      <c r="D42" s="228">
        <f>SUM(D43:D48)</f>
        <v/>
      </c>
      <c r="E42" s="227">
        <f>SUM(E43:E48)</f>
        <v/>
      </c>
      <c r="F42" s="228">
        <f>SUM(F43:F48)</f>
        <v/>
      </c>
      <c r="G42" s="229">
        <f>SUM(G43:G48)</f>
        <v/>
      </c>
    </row>
    <row r="43">
      <c r="B43" s="398">
        <f t="array" ref="B43:B48">TRANSPOSE('[1]Low Duration'!$BA$6:$BF$6)</f>
        <v/>
      </c>
      <c r="C43" s="230" t="n">
        <v>0.1</v>
      </c>
      <c r="D43" s="231">
        <f>C43</f>
        <v/>
      </c>
      <c r="E43" s="230">
        <f>D43</f>
        <v/>
      </c>
      <c r="F43" s="231">
        <f>E43</f>
        <v/>
      </c>
      <c r="G43" s="232" t="n">
        <v>0.2</v>
      </c>
    </row>
    <row r="44">
      <c r="B44" s="398" t="inlineStr">
        <is>
          <t>AAA/A1+</t>
        </is>
      </c>
      <c r="C44" s="230" t="n">
        <v>0.025</v>
      </c>
      <c r="D44" s="231">
        <f>C44</f>
        <v/>
      </c>
      <c r="E44" s="230">
        <f>D44</f>
        <v/>
      </c>
      <c r="F44" s="231">
        <f>E44</f>
        <v/>
      </c>
      <c r="G44" s="232">
        <f>F44</f>
        <v/>
      </c>
    </row>
    <row r="45">
      <c r="B45" s="398" t="inlineStr">
        <is>
          <t>AA+</t>
        </is>
      </c>
      <c r="C45" s="230" t="n">
        <v>0.025</v>
      </c>
      <c r="D45" s="231">
        <f>C45</f>
        <v/>
      </c>
      <c r="E45" s="230">
        <f>D45</f>
        <v/>
      </c>
      <c r="F45" s="231">
        <f>E45</f>
        <v/>
      </c>
      <c r="G45" s="232">
        <f>F45</f>
        <v/>
      </c>
    </row>
    <row r="46">
      <c r="B46" s="398" t="inlineStr">
        <is>
          <t>AA/AA-</t>
        </is>
      </c>
      <c r="C46" s="230" t="n">
        <v>0.05</v>
      </c>
      <c r="D46" s="231">
        <f>C46</f>
        <v/>
      </c>
      <c r="E46" s="230">
        <f>D46</f>
        <v/>
      </c>
      <c r="F46" s="231">
        <f>E46</f>
        <v/>
      </c>
      <c r="G46" s="232">
        <f>F46</f>
        <v/>
      </c>
    </row>
    <row r="47">
      <c r="B47" s="398" t="inlineStr">
        <is>
          <t>Below AA-</t>
        </is>
      </c>
      <c r="C47" s="230" t="n">
        <v>0.1</v>
      </c>
      <c r="D47" s="231">
        <f>C47</f>
        <v/>
      </c>
      <c r="E47" s="230">
        <f>D47</f>
        <v/>
      </c>
      <c r="F47" s="231">
        <f>E47</f>
        <v/>
      </c>
      <c r="G47" s="232">
        <f>F47</f>
        <v/>
      </c>
    </row>
    <row r="48" ht="15" customHeight="1" thickBot="1">
      <c r="B48" s="404" t="inlineStr">
        <is>
          <t>Cash and Fixed Deposits</t>
        </is>
      </c>
      <c r="C48" s="278" t="n">
        <v>0.05</v>
      </c>
      <c r="D48" s="72">
        <f>C48</f>
        <v/>
      </c>
      <c r="E48" s="278">
        <f>D48</f>
        <v/>
      </c>
      <c r="F48" s="72">
        <f>E48</f>
        <v/>
      </c>
      <c r="G48" s="279">
        <f>F48</f>
        <v/>
      </c>
    </row>
    <row r="49">
      <c r="C49" s="69">
        <f>C42+C38+C29</f>
        <v/>
      </c>
      <c r="D49" s="69">
        <f>D42+D38+D29</f>
        <v/>
      </c>
      <c r="E49" s="69">
        <f>E42+E38+E29</f>
        <v/>
      </c>
      <c r="F49" s="69">
        <f>F42+F38+F29</f>
        <v/>
      </c>
      <c r="G49" s="69">
        <f>G42+G38+G29</f>
        <v/>
      </c>
    </row>
    <row r="50" hidden="1" ht="15" customHeight="1" thickBot="1">
      <c r="B50" s="453" t="inlineStr">
        <is>
          <t>Weightage for Hybrid Fund Ranking</t>
        </is>
      </c>
      <c r="C50" s="426" t="n"/>
      <c r="D50" s="426" t="n"/>
      <c r="E50" s="426" t="n"/>
      <c r="F50" s="375" t="n"/>
      <c r="I50" s="115" t="n"/>
    </row>
    <row r="51" hidden="1" ht="29.1" customHeight="1">
      <c r="B51" s="39" t="n"/>
      <c r="C51" s="135" t="inlineStr">
        <is>
          <t>Balanced Advantage Fund</t>
        </is>
      </c>
      <c r="D51" s="204" t="inlineStr">
        <is>
          <t>Multiasset</t>
        </is>
      </c>
      <c r="E51" s="135" t="inlineStr">
        <is>
          <t>Aggressive Hybrid</t>
        </is>
      </c>
      <c r="F51" s="234" t="inlineStr">
        <is>
          <t>Conservative Hybrid</t>
        </is>
      </c>
      <c r="I51" s="115" t="n"/>
    </row>
    <row r="52" hidden="1">
      <c r="B52" s="40" t="inlineStr">
        <is>
          <t>Return</t>
        </is>
      </c>
      <c r="C52" s="201" t="n"/>
      <c r="D52" s="202" t="n"/>
      <c r="E52" s="201" t="n"/>
      <c r="F52" s="235" t="n"/>
      <c r="I52" s="115" t="n"/>
    </row>
    <row r="53" hidden="1">
      <c r="B53" s="99" t="inlineStr">
        <is>
          <t xml:space="preserve">3 Years </t>
        </is>
      </c>
      <c r="C53" s="218" t="n"/>
      <c r="D53" s="219" t="n"/>
      <c r="E53" s="218" t="n"/>
      <c r="F53" s="237" t="n"/>
      <c r="I53" s="115" t="n"/>
    </row>
    <row r="54" hidden="1">
      <c r="B54" s="398" t="inlineStr">
        <is>
          <t xml:space="preserve">5 Years </t>
        </is>
      </c>
      <c r="C54" s="214" t="n"/>
      <c r="D54" s="215" t="n"/>
      <c r="E54" s="214" t="n"/>
      <c r="F54" s="236" t="n"/>
      <c r="I54" s="115" t="n"/>
    </row>
    <row r="55" hidden="1">
      <c r="B55" s="398" t="inlineStr">
        <is>
          <t>10 Years</t>
        </is>
      </c>
      <c r="C55" s="220" t="n"/>
      <c r="D55" s="215" t="n"/>
      <c r="E55" s="220" t="n"/>
      <c r="F55" s="236" t="n"/>
      <c r="I55" s="115" t="n"/>
    </row>
    <row r="56" hidden="1">
      <c r="B56" s="40" t="inlineStr">
        <is>
          <t>Measures</t>
        </is>
      </c>
      <c r="C56" s="221" t="n"/>
      <c r="D56" s="222" t="n"/>
      <c r="E56" s="221" t="n"/>
      <c r="F56" s="238" t="n"/>
      <c r="I56" s="115" t="n"/>
    </row>
    <row r="57" hidden="1">
      <c r="B57" s="398" t="inlineStr">
        <is>
          <t>YTM</t>
        </is>
      </c>
      <c r="C57" s="214" t="n"/>
      <c r="D57" s="215" t="n"/>
      <c r="E57" s="214" t="n"/>
      <c r="F57" s="236" t="n"/>
      <c r="I57" s="115" t="n"/>
    </row>
    <row r="58" hidden="1">
      <c r="B58" s="398" t="inlineStr">
        <is>
          <t>Modified Duration</t>
        </is>
      </c>
      <c r="C58" s="214" t="n"/>
      <c r="D58" s="215" t="n"/>
      <c r="E58" s="214" t="n"/>
      <c r="F58" s="236" t="n"/>
      <c r="I58" s="115" t="n"/>
    </row>
    <row r="59" hidden="1">
      <c r="B59" s="399" t="inlineStr">
        <is>
          <t>Macaulay Duration</t>
        </is>
      </c>
      <c r="C59" s="224" t="n"/>
      <c r="D59" s="225" t="n"/>
      <c r="E59" s="224" t="n"/>
      <c r="F59" s="239" t="n"/>
      <c r="I59" s="115" t="n"/>
    </row>
    <row r="60" hidden="1">
      <c r="B60" s="40" t="inlineStr">
        <is>
          <t>Risk</t>
        </is>
      </c>
      <c r="C60" s="227" t="n"/>
      <c r="D60" s="228" t="n"/>
      <c r="E60" s="227" t="n"/>
      <c r="F60" s="240" t="n"/>
      <c r="I60" s="115" t="n"/>
    </row>
    <row r="61" hidden="1">
      <c r="B61" s="398" t="inlineStr">
        <is>
          <t>Beta</t>
        </is>
      </c>
      <c r="C61" s="230" t="n"/>
      <c r="D61" s="231" t="n"/>
      <c r="E61" s="230" t="n"/>
      <c r="F61" s="241" t="n"/>
      <c r="I61" s="115" t="n"/>
    </row>
    <row r="62" hidden="1">
      <c r="B62" s="398" t="inlineStr">
        <is>
          <t>SD</t>
        </is>
      </c>
      <c r="C62" s="230" t="n"/>
      <c r="D62" s="231" t="n"/>
      <c r="E62" s="230" t="n"/>
      <c r="F62" s="241" t="n"/>
      <c r="I62" s="115" t="n"/>
    </row>
    <row r="63" hidden="1">
      <c r="B63" s="398" t="inlineStr">
        <is>
          <t>Sharpe</t>
        </is>
      </c>
      <c r="C63" s="230" t="n"/>
      <c r="D63" s="231" t="n"/>
      <c r="E63" s="230" t="n"/>
      <c r="F63" s="241" t="n"/>
      <c r="I63" s="115" t="n"/>
    </row>
    <row r="64" hidden="1">
      <c r="B64" s="399" t="inlineStr">
        <is>
          <t>Sortino</t>
        </is>
      </c>
      <c r="C64" s="230" t="n"/>
      <c r="D64" s="231" t="n"/>
      <c r="E64" s="230" t="n"/>
      <c r="F64" s="241" t="n"/>
      <c r="I64" s="115" t="n"/>
    </row>
    <row r="65" hidden="1">
      <c r="B65" s="38" t="inlineStr">
        <is>
          <t>Ratings</t>
        </is>
      </c>
      <c r="C65" s="227" t="n"/>
      <c r="D65" s="228" t="n"/>
      <c r="E65" s="227" t="n"/>
      <c r="F65" s="240" t="n"/>
      <c r="I65" s="115" t="n"/>
    </row>
    <row r="66" hidden="1">
      <c r="B66" s="398" t="inlineStr">
        <is>
          <t>Sovereign</t>
        </is>
      </c>
      <c r="C66" s="230" t="n"/>
      <c r="D66" s="231" t="n"/>
      <c r="E66" s="230" t="n"/>
      <c r="F66" s="241" t="n"/>
      <c r="I66" s="115" t="n"/>
    </row>
    <row r="67" hidden="1">
      <c r="B67" s="398" t="inlineStr">
        <is>
          <t>AAA/A1+</t>
        </is>
      </c>
      <c r="C67" s="230" t="n"/>
      <c r="D67" s="231" t="n"/>
      <c r="E67" s="230" t="n"/>
      <c r="F67" s="241" t="n"/>
      <c r="I67" s="115" t="n"/>
    </row>
    <row r="68" hidden="1">
      <c r="B68" s="398" t="inlineStr">
        <is>
          <t>AA+</t>
        </is>
      </c>
      <c r="C68" s="230" t="n"/>
      <c r="D68" s="231" t="n"/>
      <c r="E68" s="230" t="n"/>
      <c r="F68" s="241" t="n"/>
      <c r="I68" s="115" t="n"/>
    </row>
    <row r="69" hidden="1">
      <c r="B69" s="398" t="inlineStr">
        <is>
          <t>AA/AA-</t>
        </is>
      </c>
      <c r="C69" s="230" t="n"/>
      <c r="D69" s="231" t="n"/>
      <c r="E69" s="230" t="n"/>
      <c r="F69" s="241" t="n"/>
      <c r="I69" s="115" t="n"/>
    </row>
    <row r="70" hidden="1">
      <c r="B70" s="398" t="inlineStr">
        <is>
          <t>Below AA-</t>
        </is>
      </c>
      <c r="C70" s="213" t="n"/>
      <c r="D70" s="211" t="n"/>
      <c r="E70" s="213" t="n"/>
      <c r="F70" s="212" t="n"/>
      <c r="I70" s="115" t="n"/>
    </row>
    <row r="71" hidden="1" ht="15" customHeight="1" thickBot="1">
      <c r="B71" s="404" t="inlineStr">
        <is>
          <t>Cash and Fixed Deposits</t>
        </is>
      </c>
      <c r="C71" s="416" t="n"/>
      <c r="D71" s="233" t="n"/>
      <c r="E71" s="416" t="n"/>
      <c r="F71" s="95" t="n"/>
      <c r="I71" s="115" t="n"/>
    </row>
  </sheetData>
  <mergeCells count="12">
    <mergeCell ref="G5:G6"/>
    <mergeCell ref="E5:E6"/>
    <mergeCell ref="H5:H6"/>
    <mergeCell ref="J5:J6"/>
    <mergeCell ref="B23:G23"/>
    <mergeCell ref="B3:K3"/>
    <mergeCell ref="C5:C6"/>
    <mergeCell ref="F5:F6"/>
    <mergeCell ref="B50:F50"/>
    <mergeCell ref="K5:K6"/>
    <mergeCell ref="I5:I6"/>
    <mergeCell ref="D5:D6"/>
  </mergeCells>
  <conditionalFormatting sqref="C30:G37">
    <cfRule type="cellIs" priority="1" operator="greaterThan" dxfId="0">
      <formula>0</formula>
    </cfRule>
  </conditionalFormatting>
  <pageMargins left="0.7" right="0.7" top="0.75" bottom="0.75" header="0.3" footer="0.3"/>
  <pageSetup orientation="portrait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W157"/>
  <sheetViews>
    <sheetView showGridLines="0" showRuler="0" zoomScaleNormal="100" workbookViewId="0">
      <pane xSplit="1" ySplit="2" topLeftCell="B3" activePane="bottomRight" state="frozenSplit"/>
      <selection activeCell="U3" sqref="U3"/>
      <selection pane="topRight" activeCell="U3" sqref="U3"/>
      <selection pane="bottomLeft" activeCell="U3" sqref="U3"/>
      <selection pane="bottomRight" activeCell="C3" sqref="C3"/>
    </sheetView>
  </sheetViews>
  <sheetFormatPr baseColWidth="8" defaultRowHeight="15"/>
  <cols>
    <col width="63.42578125" customWidth="1" style="261" min="1" max="1"/>
    <col width="10.42578125" customWidth="1" style="261" min="2" max="2"/>
    <col width="8.7109375" customWidth="1" style="261" min="3" max="7"/>
    <col width="16.140625" customWidth="1" style="261" min="8" max="8"/>
    <col width="8.7109375" customWidth="1" style="261" min="9" max="20"/>
    <col hidden="1" width="13" customWidth="1" style="261" min="21" max="21"/>
    <col width="8.7109375" customWidth="1" style="261" min="22" max="22"/>
    <col width="58.42578125" bestFit="1" customWidth="1" style="261" min="23" max="23"/>
    <col width="8.7109375" customWidth="1" style="261" min="24" max="253"/>
    <col width="63.42578125" customWidth="1" style="261" min="254" max="254"/>
    <col width="10.42578125" customWidth="1" style="261" min="255" max="255"/>
    <col width="16.140625" customWidth="1" style="261" min="256" max="256"/>
    <col width="8.7109375" customWidth="1" style="261" min="257" max="264"/>
    <col width="15.140625" bestFit="1" customWidth="1" style="261" min="265" max="265"/>
    <col width="8.7109375" customWidth="1" style="261" min="266" max="509"/>
    <col width="63.42578125" customWidth="1" style="261" min="510" max="510"/>
    <col width="10.42578125" customWidth="1" style="261" min="511" max="511"/>
    <col width="16.140625" customWidth="1" style="261" min="512" max="512"/>
    <col width="8.7109375" customWidth="1" style="261" min="513" max="520"/>
    <col width="15.140625" bestFit="1" customWidth="1" style="261" min="521" max="521"/>
    <col width="8.7109375" customWidth="1" style="261" min="522" max="765"/>
    <col width="63.42578125" customWidth="1" style="261" min="766" max="766"/>
    <col width="10.42578125" customWidth="1" style="261" min="767" max="767"/>
    <col width="16.140625" customWidth="1" style="261" min="768" max="768"/>
    <col width="8.7109375" customWidth="1" style="261" min="769" max="776"/>
    <col width="15.140625" bestFit="1" customWidth="1" style="261" min="777" max="777"/>
    <col width="8.7109375" customWidth="1" style="261" min="778" max="1021"/>
    <col width="63.42578125" customWidth="1" style="261" min="1022" max="1022"/>
    <col width="10.42578125" customWidth="1" style="261" min="1023" max="1023"/>
    <col width="16.140625" customWidth="1" style="261" min="1024" max="1024"/>
    <col width="8.7109375" customWidth="1" style="261" min="1025" max="1032"/>
    <col width="15.140625" bestFit="1" customWidth="1" style="261" min="1033" max="1033"/>
    <col width="8.7109375" customWidth="1" style="261" min="1034" max="1277"/>
    <col width="63.42578125" customWidth="1" style="261" min="1278" max="1278"/>
    <col width="10.42578125" customWidth="1" style="261" min="1279" max="1279"/>
    <col width="16.140625" customWidth="1" style="261" min="1280" max="1280"/>
    <col width="8.7109375" customWidth="1" style="261" min="1281" max="1288"/>
    <col width="15.140625" bestFit="1" customWidth="1" style="261" min="1289" max="1289"/>
    <col width="8.7109375" customWidth="1" style="261" min="1290" max="1533"/>
    <col width="63.42578125" customWidth="1" style="261" min="1534" max="1534"/>
    <col width="10.42578125" customWidth="1" style="261" min="1535" max="1535"/>
    <col width="16.140625" customWidth="1" style="261" min="1536" max="1536"/>
    <col width="8.7109375" customWidth="1" style="261" min="1537" max="1544"/>
    <col width="15.140625" bestFit="1" customWidth="1" style="261" min="1545" max="1545"/>
    <col width="8.7109375" customWidth="1" style="261" min="1546" max="1789"/>
    <col width="63.42578125" customWidth="1" style="261" min="1790" max="1790"/>
    <col width="10.42578125" customWidth="1" style="261" min="1791" max="1791"/>
    <col width="16.140625" customWidth="1" style="261" min="1792" max="1792"/>
    <col width="8.7109375" customWidth="1" style="261" min="1793" max="1800"/>
    <col width="15.140625" bestFit="1" customWidth="1" style="261" min="1801" max="1801"/>
    <col width="8.7109375" customWidth="1" style="261" min="1802" max="2045"/>
    <col width="63.42578125" customWidth="1" style="261" min="2046" max="2046"/>
    <col width="10.42578125" customWidth="1" style="261" min="2047" max="2047"/>
    <col width="16.140625" customWidth="1" style="261" min="2048" max="2048"/>
    <col width="8.7109375" customWidth="1" style="261" min="2049" max="2056"/>
    <col width="15.140625" bestFit="1" customWidth="1" style="261" min="2057" max="2057"/>
    <col width="8.7109375" customWidth="1" style="261" min="2058" max="2301"/>
    <col width="63.42578125" customWidth="1" style="261" min="2302" max="2302"/>
    <col width="10.42578125" customWidth="1" style="261" min="2303" max="2303"/>
    <col width="16.140625" customWidth="1" style="261" min="2304" max="2304"/>
    <col width="8.7109375" customWidth="1" style="261" min="2305" max="2312"/>
    <col width="15.140625" bestFit="1" customWidth="1" style="261" min="2313" max="2313"/>
    <col width="8.7109375" customWidth="1" style="261" min="2314" max="2557"/>
    <col width="63.42578125" customWidth="1" style="261" min="2558" max="2558"/>
    <col width="10.42578125" customWidth="1" style="261" min="2559" max="2559"/>
    <col width="16.140625" customWidth="1" style="261" min="2560" max="2560"/>
    <col width="8.7109375" customWidth="1" style="261" min="2561" max="2568"/>
    <col width="15.140625" bestFit="1" customWidth="1" style="261" min="2569" max="2569"/>
    <col width="8.7109375" customWidth="1" style="261" min="2570" max="2813"/>
    <col width="63.42578125" customWidth="1" style="261" min="2814" max="2814"/>
    <col width="10.42578125" customWidth="1" style="261" min="2815" max="2815"/>
    <col width="16.140625" customWidth="1" style="261" min="2816" max="2816"/>
    <col width="8.7109375" customWidth="1" style="261" min="2817" max="2824"/>
    <col width="15.140625" bestFit="1" customWidth="1" style="261" min="2825" max="2825"/>
    <col width="8.7109375" customWidth="1" style="261" min="2826" max="3069"/>
    <col width="63.42578125" customWidth="1" style="261" min="3070" max="3070"/>
    <col width="10.42578125" customWidth="1" style="261" min="3071" max="3071"/>
    <col width="16.140625" customWidth="1" style="261" min="3072" max="3072"/>
    <col width="8.7109375" customWidth="1" style="261" min="3073" max="3080"/>
    <col width="15.140625" bestFit="1" customWidth="1" style="261" min="3081" max="3081"/>
    <col width="8.7109375" customWidth="1" style="261" min="3082" max="3325"/>
    <col width="63.42578125" customWidth="1" style="261" min="3326" max="3326"/>
    <col width="10.42578125" customWidth="1" style="261" min="3327" max="3327"/>
    <col width="16.140625" customWidth="1" style="261" min="3328" max="3328"/>
    <col width="8.7109375" customWidth="1" style="261" min="3329" max="3336"/>
    <col width="15.140625" bestFit="1" customWidth="1" style="261" min="3337" max="3337"/>
    <col width="8.7109375" customWidth="1" style="261" min="3338" max="3581"/>
    <col width="63.42578125" customWidth="1" style="261" min="3582" max="3582"/>
    <col width="10.42578125" customWidth="1" style="261" min="3583" max="3583"/>
    <col width="16.140625" customWidth="1" style="261" min="3584" max="3584"/>
    <col width="8.7109375" customWidth="1" style="261" min="3585" max="3592"/>
    <col width="15.140625" bestFit="1" customWidth="1" style="261" min="3593" max="3593"/>
    <col width="8.7109375" customWidth="1" style="261" min="3594" max="3837"/>
    <col width="63.42578125" customWidth="1" style="261" min="3838" max="3838"/>
    <col width="10.42578125" customWidth="1" style="261" min="3839" max="3839"/>
    <col width="16.140625" customWidth="1" style="261" min="3840" max="3840"/>
    <col width="8.7109375" customWidth="1" style="261" min="3841" max="3848"/>
    <col width="15.140625" bestFit="1" customWidth="1" style="261" min="3849" max="3849"/>
    <col width="8.7109375" customWidth="1" style="261" min="3850" max="4093"/>
    <col width="63.42578125" customWidth="1" style="261" min="4094" max="4094"/>
    <col width="10.42578125" customWidth="1" style="261" min="4095" max="4095"/>
    <col width="16.140625" customWidth="1" style="261" min="4096" max="4096"/>
    <col width="8.7109375" customWidth="1" style="261" min="4097" max="4104"/>
    <col width="15.140625" bestFit="1" customWidth="1" style="261" min="4105" max="4105"/>
    <col width="8.7109375" customWidth="1" style="261" min="4106" max="4349"/>
    <col width="63.42578125" customWidth="1" style="261" min="4350" max="4350"/>
    <col width="10.42578125" customWidth="1" style="261" min="4351" max="4351"/>
    <col width="16.140625" customWidth="1" style="261" min="4352" max="4352"/>
    <col width="8.7109375" customWidth="1" style="261" min="4353" max="4360"/>
    <col width="15.140625" bestFit="1" customWidth="1" style="261" min="4361" max="4361"/>
    <col width="8.7109375" customWidth="1" style="261" min="4362" max="4605"/>
    <col width="63.42578125" customWidth="1" style="261" min="4606" max="4606"/>
    <col width="10.42578125" customWidth="1" style="261" min="4607" max="4607"/>
    <col width="16.140625" customWidth="1" style="261" min="4608" max="4608"/>
    <col width="8.7109375" customWidth="1" style="261" min="4609" max="4616"/>
    <col width="15.140625" bestFit="1" customWidth="1" style="261" min="4617" max="4617"/>
    <col width="8.7109375" customWidth="1" style="261" min="4618" max="4861"/>
    <col width="63.42578125" customWidth="1" style="261" min="4862" max="4862"/>
    <col width="10.42578125" customWidth="1" style="261" min="4863" max="4863"/>
    <col width="16.140625" customWidth="1" style="261" min="4864" max="4864"/>
    <col width="8.7109375" customWidth="1" style="261" min="4865" max="4872"/>
    <col width="15.140625" bestFit="1" customWidth="1" style="261" min="4873" max="4873"/>
    <col width="8.7109375" customWidth="1" style="261" min="4874" max="5117"/>
    <col width="63.42578125" customWidth="1" style="261" min="5118" max="5118"/>
    <col width="10.42578125" customWidth="1" style="261" min="5119" max="5119"/>
    <col width="16.140625" customWidth="1" style="261" min="5120" max="5120"/>
    <col width="8.7109375" customWidth="1" style="261" min="5121" max="5128"/>
    <col width="15.140625" bestFit="1" customWidth="1" style="261" min="5129" max="5129"/>
    <col width="8.7109375" customWidth="1" style="261" min="5130" max="5373"/>
    <col width="63.42578125" customWidth="1" style="261" min="5374" max="5374"/>
    <col width="10.42578125" customWidth="1" style="261" min="5375" max="5375"/>
    <col width="16.140625" customWidth="1" style="261" min="5376" max="5376"/>
    <col width="8.7109375" customWidth="1" style="261" min="5377" max="5384"/>
    <col width="15.140625" bestFit="1" customWidth="1" style="261" min="5385" max="5385"/>
    <col width="8.7109375" customWidth="1" style="261" min="5386" max="5629"/>
    <col width="63.42578125" customWidth="1" style="261" min="5630" max="5630"/>
    <col width="10.42578125" customWidth="1" style="261" min="5631" max="5631"/>
    <col width="16.140625" customWidth="1" style="261" min="5632" max="5632"/>
    <col width="8.7109375" customWidth="1" style="261" min="5633" max="5640"/>
    <col width="15.140625" bestFit="1" customWidth="1" style="261" min="5641" max="5641"/>
    <col width="8.7109375" customWidth="1" style="261" min="5642" max="5885"/>
    <col width="63.42578125" customWidth="1" style="261" min="5886" max="5886"/>
    <col width="10.42578125" customWidth="1" style="261" min="5887" max="5887"/>
    <col width="16.140625" customWidth="1" style="261" min="5888" max="5888"/>
    <col width="8.7109375" customWidth="1" style="261" min="5889" max="5896"/>
    <col width="15.140625" bestFit="1" customWidth="1" style="261" min="5897" max="5897"/>
    <col width="8.7109375" customWidth="1" style="261" min="5898" max="6141"/>
    <col width="63.42578125" customWidth="1" style="261" min="6142" max="6142"/>
    <col width="10.42578125" customWidth="1" style="261" min="6143" max="6143"/>
    <col width="16.140625" customWidth="1" style="261" min="6144" max="6144"/>
    <col width="8.7109375" customWidth="1" style="261" min="6145" max="6152"/>
    <col width="15.140625" bestFit="1" customWidth="1" style="261" min="6153" max="6153"/>
    <col width="8.7109375" customWidth="1" style="261" min="6154" max="6397"/>
    <col width="63.42578125" customWidth="1" style="261" min="6398" max="6398"/>
    <col width="10.42578125" customWidth="1" style="261" min="6399" max="6399"/>
    <col width="16.140625" customWidth="1" style="261" min="6400" max="6400"/>
    <col width="8.7109375" customWidth="1" style="261" min="6401" max="6408"/>
    <col width="15.140625" bestFit="1" customWidth="1" style="261" min="6409" max="6409"/>
    <col width="8.7109375" customWidth="1" style="261" min="6410" max="6653"/>
    <col width="63.42578125" customWidth="1" style="261" min="6654" max="6654"/>
    <col width="10.42578125" customWidth="1" style="261" min="6655" max="6655"/>
    <col width="16.140625" customWidth="1" style="261" min="6656" max="6656"/>
    <col width="8.7109375" customWidth="1" style="261" min="6657" max="6664"/>
    <col width="15.140625" bestFit="1" customWidth="1" style="261" min="6665" max="6665"/>
    <col width="8.7109375" customWidth="1" style="261" min="6666" max="6909"/>
    <col width="63.42578125" customWidth="1" style="261" min="6910" max="6910"/>
    <col width="10.42578125" customWidth="1" style="261" min="6911" max="6911"/>
    <col width="16.140625" customWidth="1" style="261" min="6912" max="6912"/>
    <col width="8.7109375" customWidth="1" style="261" min="6913" max="6920"/>
    <col width="15.140625" bestFit="1" customWidth="1" style="261" min="6921" max="6921"/>
    <col width="8.7109375" customWidth="1" style="261" min="6922" max="7165"/>
    <col width="63.42578125" customWidth="1" style="261" min="7166" max="7166"/>
    <col width="10.42578125" customWidth="1" style="261" min="7167" max="7167"/>
    <col width="16.140625" customWidth="1" style="261" min="7168" max="7168"/>
    <col width="8.7109375" customWidth="1" style="261" min="7169" max="7176"/>
    <col width="15.140625" bestFit="1" customWidth="1" style="261" min="7177" max="7177"/>
    <col width="8.7109375" customWidth="1" style="261" min="7178" max="7421"/>
    <col width="63.42578125" customWidth="1" style="261" min="7422" max="7422"/>
    <col width="10.42578125" customWidth="1" style="261" min="7423" max="7423"/>
    <col width="16.140625" customWidth="1" style="261" min="7424" max="7424"/>
    <col width="8.7109375" customWidth="1" style="261" min="7425" max="7432"/>
    <col width="15.140625" bestFit="1" customWidth="1" style="261" min="7433" max="7433"/>
    <col width="8.7109375" customWidth="1" style="261" min="7434" max="7677"/>
    <col width="63.42578125" customWidth="1" style="261" min="7678" max="7678"/>
    <col width="10.42578125" customWidth="1" style="261" min="7679" max="7679"/>
    <col width="16.140625" customWidth="1" style="261" min="7680" max="7680"/>
    <col width="8.7109375" customWidth="1" style="261" min="7681" max="7688"/>
    <col width="15.140625" bestFit="1" customWidth="1" style="261" min="7689" max="7689"/>
    <col width="8.7109375" customWidth="1" style="261" min="7690" max="7933"/>
    <col width="63.42578125" customWidth="1" style="261" min="7934" max="7934"/>
    <col width="10.42578125" customWidth="1" style="261" min="7935" max="7935"/>
    <col width="16.140625" customWidth="1" style="261" min="7936" max="7936"/>
    <col width="8.7109375" customWidth="1" style="261" min="7937" max="7944"/>
    <col width="15.140625" bestFit="1" customWidth="1" style="261" min="7945" max="7945"/>
    <col width="8.7109375" customWidth="1" style="261" min="7946" max="8189"/>
    <col width="63.42578125" customWidth="1" style="261" min="8190" max="8190"/>
    <col width="10.42578125" customWidth="1" style="261" min="8191" max="8191"/>
    <col width="16.140625" customWidth="1" style="261" min="8192" max="8192"/>
    <col width="8.7109375" customWidth="1" style="261" min="8193" max="8200"/>
    <col width="15.140625" bestFit="1" customWidth="1" style="261" min="8201" max="8201"/>
    <col width="8.7109375" customWidth="1" style="261" min="8202" max="8445"/>
    <col width="63.42578125" customWidth="1" style="261" min="8446" max="8446"/>
    <col width="10.42578125" customWidth="1" style="261" min="8447" max="8447"/>
    <col width="16.140625" customWidth="1" style="261" min="8448" max="8448"/>
    <col width="8.7109375" customWidth="1" style="261" min="8449" max="8456"/>
    <col width="15.140625" bestFit="1" customWidth="1" style="261" min="8457" max="8457"/>
    <col width="8.7109375" customWidth="1" style="261" min="8458" max="8701"/>
    <col width="63.42578125" customWidth="1" style="261" min="8702" max="8702"/>
    <col width="10.42578125" customWidth="1" style="261" min="8703" max="8703"/>
    <col width="16.140625" customWidth="1" style="261" min="8704" max="8704"/>
    <col width="8.7109375" customWidth="1" style="261" min="8705" max="8712"/>
    <col width="15.140625" bestFit="1" customWidth="1" style="261" min="8713" max="8713"/>
    <col width="8.7109375" customWidth="1" style="261" min="8714" max="8957"/>
    <col width="63.42578125" customWidth="1" style="261" min="8958" max="8958"/>
    <col width="10.42578125" customWidth="1" style="261" min="8959" max="8959"/>
    <col width="16.140625" customWidth="1" style="261" min="8960" max="8960"/>
    <col width="8.7109375" customWidth="1" style="261" min="8961" max="8968"/>
    <col width="15.140625" bestFit="1" customWidth="1" style="261" min="8969" max="8969"/>
    <col width="8.7109375" customWidth="1" style="261" min="8970" max="9213"/>
    <col width="63.42578125" customWidth="1" style="261" min="9214" max="9214"/>
    <col width="10.42578125" customWidth="1" style="261" min="9215" max="9215"/>
    <col width="16.140625" customWidth="1" style="261" min="9216" max="9216"/>
    <col width="8.7109375" customWidth="1" style="261" min="9217" max="9224"/>
    <col width="15.140625" bestFit="1" customWidth="1" style="261" min="9225" max="9225"/>
    <col width="8.7109375" customWidth="1" style="261" min="9226" max="9469"/>
    <col width="63.42578125" customWidth="1" style="261" min="9470" max="9470"/>
    <col width="10.42578125" customWidth="1" style="261" min="9471" max="9471"/>
    <col width="16.140625" customWidth="1" style="261" min="9472" max="9472"/>
    <col width="8.7109375" customWidth="1" style="261" min="9473" max="9480"/>
    <col width="15.140625" bestFit="1" customWidth="1" style="261" min="9481" max="9481"/>
    <col width="8.7109375" customWidth="1" style="261" min="9482" max="9725"/>
    <col width="63.42578125" customWidth="1" style="261" min="9726" max="9726"/>
    <col width="10.42578125" customWidth="1" style="261" min="9727" max="9727"/>
    <col width="16.140625" customWidth="1" style="261" min="9728" max="9728"/>
    <col width="8.7109375" customWidth="1" style="261" min="9729" max="9736"/>
    <col width="15.140625" bestFit="1" customWidth="1" style="261" min="9737" max="9737"/>
    <col width="8.7109375" customWidth="1" style="261" min="9738" max="9981"/>
    <col width="63.42578125" customWidth="1" style="261" min="9982" max="9982"/>
    <col width="10.42578125" customWidth="1" style="261" min="9983" max="9983"/>
    <col width="16.140625" customWidth="1" style="261" min="9984" max="9984"/>
    <col width="8.7109375" customWidth="1" style="261" min="9985" max="9992"/>
    <col width="15.140625" bestFit="1" customWidth="1" style="261" min="9993" max="9993"/>
    <col width="8.7109375" customWidth="1" style="261" min="9994" max="10237"/>
    <col width="63.42578125" customWidth="1" style="261" min="10238" max="10238"/>
    <col width="10.42578125" customWidth="1" style="261" min="10239" max="10239"/>
    <col width="16.140625" customWidth="1" style="261" min="10240" max="10240"/>
    <col width="8.7109375" customWidth="1" style="261" min="10241" max="10248"/>
    <col width="15.140625" bestFit="1" customWidth="1" style="261" min="10249" max="10249"/>
    <col width="8.7109375" customWidth="1" style="261" min="10250" max="10493"/>
    <col width="63.42578125" customWidth="1" style="261" min="10494" max="10494"/>
    <col width="10.42578125" customWidth="1" style="261" min="10495" max="10495"/>
    <col width="16.140625" customWidth="1" style="261" min="10496" max="10496"/>
    <col width="8.7109375" customWidth="1" style="261" min="10497" max="10504"/>
    <col width="15.140625" bestFit="1" customWidth="1" style="261" min="10505" max="10505"/>
    <col width="8.7109375" customWidth="1" style="261" min="10506" max="10749"/>
    <col width="63.42578125" customWidth="1" style="261" min="10750" max="10750"/>
    <col width="10.42578125" customWidth="1" style="261" min="10751" max="10751"/>
    <col width="16.140625" customWidth="1" style="261" min="10752" max="10752"/>
    <col width="8.7109375" customWidth="1" style="261" min="10753" max="10760"/>
    <col width="15.140625" bestFit="1" customWidth="1" style="261" min="10761" max="10761"/>
    <col width="8.7109375" customWidth="1" style="261" min="10762" max="11005"/>
    <col width="63.42578125" customWidth="1" style="261" min="11006" max="11006"/>
    <col width="10.42578125" customWidth="1" style="261" min="11007" max="11007"/>
    <col width="16.140625" customWidth="1" style="261" min="11008" max="11008"/>
    <col width="8.7109375" customWidth="1" style="261" min="11009" max="11016"/>
    <col width="15.140625" bestFit="1" customWidth="1" style="261" min="11017" max="11017"/>
    <col width="8.7109375" customWidth="1" style="261" min="11018" max="11261"/>
    <col width="63.42578125" customWidth="1" style="261" min="11262" max="11262"/>
    <col width="10.42578125" customWidth="1" style="261" min="11263" max="11263"/>
    <col width="16.140625" customWidth="1" style="261" min="11264" max="11264"/>
    <col width="8.7109375" customWidth="1" style="261" min="11265" max="11272"/>
    <col width="15.140625" bestFit="1" customWidth="1" style="261" min="11273" max="11273"/>
    <col width="8.7109375" customWidth="1" style="261" min="11274" max="11517"/>
    <col width="63.42578125" customWidth="1" style="261" min="11518" max="11518"/>
    <col width="10.42578125" customWidth="1" style="261" min="11519" max="11519"/>
    <col width="16.140625" customWidth="1" style="261" min="11520" max="11520"/>
    <col width="8.7109375" customWidth="1" style="261" min="11521" max="11528"/>
    <col width="15.140625" bestFit="1" customWidth="1" style="261" min="11529" max="11529"/>
    <col width="8.7109375" customWidth="1" style="261" min="11530" max="11773"/>
    <col width="63.42578125" customWidth="1" style="261" min="11774" max="11774"/>
    <col width="10.42578125" customWidth="1" style="261" min="11775" max="11775"/>
    <col width="16.140625" customWidth="1" style="261" min="11776" max="11776"/>
    <col width="8.7109375" customWidth="1" style="261" min="11777" max="11784"/>
    <col width="15.140625" bestFit="1" customWidth="1" style="261" min="11785" max="11785"/>
    <col width="8.7109375" customWidth="1" style="261" min="11786" max="12029"/>
    <col width="63.42578125" customWidth="1" style="261" min="12030" max="12030"/>
    <col width="10.42578125" customWidth="1" style="261" min="12031" max="12031"/>
    <col width="16.140625" customWidth="1" style="261" min="12032" max="12032"/>
    <col width="8.7109375" customWidth="1" style="261" min="12033" max="12040"/>
    <col width="15.140625" bestFit="1" customWidth="1" style="261" min="12041" max="12041"/>
    <col width="8.7109375" customWidth="1" style="261" min="12042" max="12285"/>
    <col width="63.42578125" customWidth="1" style="261" min="12286" max="12286"/>
    <col width="10.42578125" customWidth="1" style="261" min="12287" max="12287"/>
    <col width="16.140625" customWidth="1" style="261" min="12288" max="12288"/>
    <col width="8.7109375" customWidth="1" style="261" min="12289" max="12296"/>
    <col width="15.140625" bestFit="1" customWidth="1" style="261" min="12297" max="12297"/>
    <col width="8.7109375" customWidth="1" style="261" min="12298" max="12541"/>
    <col width="63.42578125" customWidth="1" style="261" min="12542" max="12542"/>
    <col width="10.42578125" customWidth="1" style="261" min="12543" max="12543"/>
    <col width="16.140625" customWidth="1" style="261" min="12544" max="12544"/>
    <col width="8.7109375" customWidth="1" style="261" min="12545" max="12552"/>
    <col width="15.140625" bestFit="1" customWidth="1" style="261" min="12553" max="12553"/>
    <col width="8.7109375" customWidth="1" style="261" min="12554" max="12797"/>
    <col width="63.42578125" customWidth="1" style="261" min="12798" max="12798"/>
    <col width="10.42578125" customWidth="1" style="261" min="12799" max="12799"/>
    <col width="16.140625" customWidth="1" style="261" min="12800" max="12800"/>
    <col width="8.7109375" customWidth="1" style="261" min="12801" max="12808"/>
    <col width="15.140625" bestFit="1" customWidth="1" style="261" min="12809" max="12809"/>
    <col width="8.7109375" customWidth="1" style="261" min="12810" max="13053"/>
    <col width="63.42578125" customWidth="1" style="261" min="13054" max="13054"/>
    <col width="10.42578125" customWidth="1" style="261" min="13055" max="13055"/>
    <col width="16.140625" customWidth="1" style="261" min="13056" max="13056"/>
    <col width="8.7109375" customWidth="1" style="261" min="13057" max="13064"/>
    <col width="15.140625" bestFit="1" customWidth="1" style="261" min="13065" max="13065"/>
    <col width="8.7109375" customWidth="1" style="261" min="13066" max="13309"/>
    <col width="63.42578125" customWidth="1" style="261" min="13310" max="13310"/>
    <col width="10.42578125" customWidth="1" style="261" min="13311" max="13311"/>
    <col width="16.140625" customWidth="1" style="261" min="13312" max="13312"/>
    <col width="8.7109375" customWidth="1" style="261" min="13313" max="13320"/>
    <col width="15.140625" bestFit="1" customWidth="1" style="261" min="13321" max="13321"/>
    <col width="8.7109375" customWidth="1" style="261" min="13322" max="13565"/>
    <col width="63.42578125" customWidth="1" style="261" min="13566" max="13566"/>
    <col width="10.42578125" customWidth="1" style="261" min="13567" max="13567"/>
    <col width="16.140625" customWidth="1" style="261" min="13568" max="13568"/>
    <col width="8.7109375" customWidth="1" style="261" min="13569" max="13576"/>
    <col width="15.140625" bestFit="1" customWidth="1" style="261" min="13577" max="13577"/>
    <col width="8.7109375" customWidth="1" style="261" min="13578" max="13821"/>
    <col width="63.42578125" customWidth="1" style="261" min="13822" max="13822"/>
    <col width="10.42578125" customWidth="1" style="261" min="13823" max="13823"/>
    <col width="16.140625" customWidth="1" style="261" min="13824" max="13824"/>
    <col width="8.7109375" customWidth="1" style="261" min="13825" max="13832"/>
    <col width="15.140625" bestFit="1" customWidth="1" style="261" min="13833" max="13833"/>
    <col width="8.7109375" customWidth="1" style="261" min="13834" max="14077"/>
    <col width="63.42578125" customWidth="1" style="261" min="14078" max="14078"/>
    <col width="10.42578125" customWidth="1" style="261" min="14079" max="14079"/>
    <col width="16.140625" customWidth="1" style="261" min="14080" max="14080"/>
    <col width="8.7109375" customWidth="1" style="261" min="14081" max="14088"/>
    <col width="15.140625" bestFit="1" customWidth="1" style="261" min="14089" max="14089"/>
    <col width="8.7109375" customWidth="1" style="261" min="14090" max="14333"/>
    <col width="63.42578125" customWidth="1" style="261" min="14334" max="14334"/>
    <col width="10.42578125" customWidth="1" style="261" min="14335" max="14335"/>
    <col width="16.140625" customWidth="1" style="261" min="14336" max="14336"/>
    <col width="8.7109375" customWidth="1" style="261" min="14337" max="14344"/>
    <col width="15.140625" bestFit="1" customWidth="1" style="261" min="14345" max="14345"/>
    <col width="8.7109375" customWidth="1" style="261" min="14346" max="14589"/>
    <col width="63.42578125" customWidth="1" style="261" min="14590" max="14590"/>
    <col width="10.42578125" customWidth="1" style="261" min="14591" max="14591"/>
    <col width="16.140625" customWidth="1" style="261" min="14592" max="14592"/>
    <col width="8.7109375" customWidth="1" style="261" min="14593" max="14600"/>
    <col width="15.140625" bestFit="1" customWidth="1" style="261" min="14601" max="14601"/>
    <col width="8.7109375" customWidth="1" style="261" min="14602" max="14845"/>
    <col width="63.42578125" customWidth="1" style="261" min="14846" max="14846"/>
    <col width="10.42578125" customWidth="1" style="261" min="14847" max="14847"/>
    <col width="16.140625" customWidth="1" style="261" min="14848" max="14848"/>
    <col width="8.7109375" customWidth="1" style="261" min="14849" max="14856"/>
    <col width="15.140625" bestFit="1" customWidth="1" style="261" min="14857" max="14857"/>
    <col width="8.7109375" customWidth="1" style="261" min="14858" max="15101"/>
    <col width="63.42578125" customWidth="1" style="261" min="15102" max="15102"/>
    <col width="10.42578125" customWidth="1" style="261" min="15103" max="15103"/>
    <col width="16.140625" customWidth="1" style="261" min="15104" max="15104"/>
    <col width="8.7109375" customWidth="1" style="261" min="15105" max="15112"/>
    <col width="15.140625" bestFit="1" customWidth="1" style="261" min="15113" max="15113"/>
    <col width="8.7109375" customWidth="1" style="261" min="15114" max="15357"/>
    <col width="63.42578125" customWidth="1" style="261" min="15358" max="15358"/>
    <col width="10.42578125" customWidth="1" style="261" min="15359" max="15359"/>
    <col width="16.140625" customWidth="1" style="261" min="15360" max="15360"/>
    <col width="8.7109375" customWidth="1" style="261" min="15361" max="15368"/>
    <col width="15.140625" bestFit="1" customWidth="1" style="261" min="15369" max="15369"/>
    <col width="8.7109375" customWidth="1" style="261" min="15370" max="15613"/>
    <col width="63.42578125" customWidth="1" style="261" min="15614" max="15614"/>
    <col width="10.42578125" customWidth="1" style="261" min="15615" max="15615"/>
    <col width="16.140625" customWidth="1" style="261" min="15616" max="15616"/>
    <col width="8.7109375" customWidth="1" style="261" min="15617" max="15624"/>
    <col width="15.140625" bestFit="1" customWidth="1" style="261" min="15625" max="15625"/>
    <col width="8.7109375" customWidth="1" style="261" min="15626" max="15869"/>
    <col width="63.42578125" customWidth="1" style="261" min="15870" max="15870"/>
    <col width="10.42578125" customWidth="1" style="261" min="15871" max="15871"/>
    <col width="16.140625" customWidth="1" style="261" min="15872" max="15872"/>
    <col width="8.7109375" customWidth="1" style="261" min="15873" max="15880"/>
    <col width="15.140625" bestFit="1" customWidth="1" style="261" min="15881" max="15881"/>
    <col width="8.7109375" customWidth="1" style="261" min="15882" max="16125"/>
    <col width="63.42578125" customWidth="1" style="261" min="16126" max="16126"/>
    <col width="10.42578125" customWidth="1" style="261" min="16127" max="16127"/>
    <col width="16.140625" customWidth="1" style="261" min="16128" max="16128"/>
    <col width="8.7109375" customWidth="1" style="261" min="16129" max="16136"/>
    <col width="15.140625" bestFit="1" customWidth="1" style="261" min="16137" max="16137"/>
    <col width="8.7109375" customWidth="1" style="261" min="16138" max="16384"/>
  </cols>
  <sheetData>
    <row r="1">
      <c r="B1" s="261" t="n">
        <v>2</v>
      </c>
      <c r="C1" s="261" t="n">
        <v>3</v>
      </c>
      <c r="D1" s="261">
        <f>C1+1</f>
        <v/>
      </c>
      <c r="E1" s="261">
        <f>D1+2</f>
        <v/>
      </c>
      <c r="F1" s="261">
        <f>E1+1</f>
        <v/>
      </c>
      <c r="G1" s="261">
        <f>F1+1</f>
        <v/>
      </c>
      <c r="H1" s="261">
        <f>G1+1</f>
        <v/>
      </c>
      <c r="I1" s="261">
        <f>H1+2</f>
        <v/>
      </c>
      <c r="J1" s="261">
        <f>I1+1</f>
        <v/>
      </c>
    </row>
    <row r="2" ht="27" customFormat="1" customHeight="1" s="258">
      <c r="A2" s="263" t="inlineStr">
        <is>
          <t>Funds</t>
        </is>
      </c>
      <c r="B2" s="263" t="inlineStr">
        <is>
          <t>1 Yr Ret (%)</t>
        </is>
      </c>
      <c r="C2" s="263" t="inlineStr">
        <is>
          <t>3 Yr Ret (%)</t>
        </is>
      </c>
      <c r="D2" s="263" t="inlineStr">
        <is>
          <t>5 Yr Ret (%)</t>
        </is>
      </c>
      <c r="E2" s="263" t="inlineStr">
        <is>
          <t>Sharpe Ratio</t>
        </is>
      </c>
      <c r="F2" s="263" t="inlineStr">
        <is>
          <t>Sortino Ratio</t>
        </is>
      </c>
      <c r="G2" s="263" t="inlineStr">
        <is>
          <t>Alpha</t>
        </is>
      </c>
      <c r="H2" s="263" t="inlineStr">
        <is>
          <t>Expense Ratio (%)</t>
        </is>
      </c>
      <c r="I2" s="263" t="inlineStr">
        <is>
          <t>Beta</t>
        </is>
      </c>
      <c r="J2" s="263" t="inlineStr">
        <is>
          <t>Standard Deviation</t>
        </is>
      </c>
      <c r="K2" s="265" t="inlineStr">
        <is>
          <t>1 Yr Ret (%)</t>
        </is>
      </c>
      <c r="L2" s="265" t="inlineStr">
        <is>
          <t>Expense Ratio (%)</t>
        </is>
      </c>
      <c r="M2" s="265" t="inlineStr">
        <is>
          <t>3 Yr Ret (%)</t>
        </is>
      </c>
      <c r="N2" s="265" t="inlineStr">
        <is>
          <t>5 Yr Ret (%)</t>
        </is>
      </c>
      <c r="O2" s="265" t="inlineStr">
        <is>
          <t>Standard Deviation</t>
        </is>
      </c>
      <c r="P2" s="265" t="inlineStr">
        <is>
          <t>Sharpe Ratio</t>
        </is>
      </c>
      <c r="Q2" s="265" t="inlineStr">
        <is>
          <t>Sortino Ratio</t>
        </is>
      </c>
      <c r="R2" s="265" t="inlineStr">
        <is>
          <t>Beta</t>
        </is>
      </c>
      <c r="S2" s="265" t="inlineStr">
        <is>
          <t>Alpha</t>
        </is>
      </c>
      <c r="T2" s="266" t="inlineStr">
        <is>
          <t>Score</t>
        </is>
      </c>
      <c r="U2" s="266" t="n"/>
      <c r="V2" s="258" t="inlineStr">
        <is>
          <t>Ranking</t>
        </is>
      </c>
    </row>
    <row r="3">
      <c r="A3" s="259" t="inlineStr">
        <is>
          <t>360 ONE Quant Fund - Regular Plan</t>
        </is>
      </c>
      <c r="B3" s="260">
        <f>VLOOKUP($A3, Sheet4!$A$2:$L$688, Consol_Thematic!B$1,FALSE)</f>
        <v/>
      </c>
      <c r="C3" s="260">
        <f>VLOOKUP($A3, Sheet4!$A$2:$L$688, Consol_Thematic!C$1,FALSE)</f>
        <v/>
      </c>
      <c r="D3" s="260">
        <f>VLOOKUP($A3, Sheet4!$A$2:$L$688, Consol_Thematic!D$1,FALSE)</f>
        <v/>
      </c>
      <c r="E3" s="260">
        <f>VLOOKUP($A3, Sheet4!$A$2:$L$688, Consol_Thematic!E$1,FALSE)</f>
        <v/>
      </c>
      <c r="F3" s="260">
        <f>VLOOKUP($A3, Sheet4!$A$2:$L$688, Consol_Thematic!F$1,FALSE)</f>
        <v/>
      </c>
      <c r="G3" s="260">
        <f>VLOOKUP($A3, Sheet4!$A$2:$L$688, Consol_Thematic!G$1,FALSE)</f>
        <v/>
      </c>
      <c r="H3" s="260">
        <f>VLOOKUP($A3, Sheet4!$A$2:$L$688, Consol_Thematic!H$1,FALSE)</f>
        <v/>
      </c>
      <c r="I3" s="260">
        <f>VLOOKUP($A3, Sheet4!$A$2:$L$688, Consol_Thematic!I$1,FALSE)</f>
        <v/>
      </c>
      <c r="J3" s="260">
        <f>VLOOKUP($A3, Sheet4!$A$2:$L$688, Consol_Thematic!J$1,FALSE)</f>
        <v/>
      </c>
      <c r="K3" s="264">
        <f>(B3-MIN(B$3:B$23))/(MAX(B$3:B$23)-MIN(B$3:B$23))</f>
        <v/>
      </c>
      <c r="L3" s="264">
        <f>(MAX(H$3:H$23)-H3)/(MAX(H$3:H$23)-MIN(H$3:H$23))</f>
        <v/>
      </c>
      <c r="M3" s="264">
        <f>(C3-MIN(C$3:C$23))/(MAX(C$3:C$23)-MIN(C$3:C$23))</f>
        <v/>
      </c>
      <c r="N3" s="264">
        <f>(D3-MIN(D$3:D$23))/(MAX(D$3:D$23)-MIN(D$3:D$23))</f>
        <v/>
      </c>
      <c r="O3" s="264">
        <f>(MAX(J$3:J$23)-J3)/(MAX(J$3:J$23)-MIN(J$3:J$23))</f>
        <v/>
      </c>
      <c r="P3" s="264">
        <f>(E3-MIN(E$3:E$23))/(MAX(E$3:E$23)-MIN(E$3:E$23))</f>
        <v/>
      </c>
      <c r="Q3" s="264">
        <f>(F3-MIN(F$3:F$23))/(MAX(F$3:F$23)-MIN(F$3:F$23))</f>
        <v/>
      </c>
      <c r="R3" s="264">
        <f>(MAX(I$3:I$23)-I3)/(MAX(I$3:I$23)-MIN(I$3:I$23))</f>
        <v/>
      </c>
      <c r="S3" s="264">
        <f>(G3-MIN(G$3:G$23))/(MAX(G$3:G$23)-MIN(G$3:G$23))</f>
        <v/>
      </c>
      <c r="T3" s="264">
        <f>(K3*'Fund Ranking Criteria'!$J$9)+('Fund Ranking Criteria'!$J$10*Consol_Thematic!M3)+('Fund Ranking Criteria'!$J$12*Consol_Thematic!S3)+('Fund Ranking Criteria'!$J$14*Consol_Thematic!R3)+('Fund Ranking Criteria'!$J$15*Consol_Thematic!O3)+('Fund Ranking Criteria'!$J$16*Consol_Thematic!P3)+('Fund Ranking Criteria'!#REF!*Consol_Thematic!Q3)+('Fund Ranking Criteria'!#REF!*Consol_Thematic!L3)</f>
        <v/>
      </c>
      <c r="U3" s="289">
        <f>T3*1</f>
        <v/>
      </c>
      <c r="V3" s="261">
        <f>RANK(U3,$U$3:$U$157,0)</f>
        <v/>
      </c>
      <c r="W3" s="261">
        <f>A3</f>
        <v/>
      </c>
    </row>
    <row r="4">
      <c r="A4" s="259" t="inlineStr">
        <is>
          <t>Aditya Birla Sun Life Business Cycle Fund - Regular Plan</t>
        </is>
      </c>
      <c r="B4" s="260">
        <f>VLOOKUP($A4, Sheet4!$A$2:$L$688, Consol_Thematic!B$1,FALSE)</f>
        <v/>
      </c>
      <c r="C4" s="260">
        <f>VLOOKUP($A4, Sheet4!$A$2:$L$688, Consol_Thematic!C$1,FALSE)</f>
        <v/>
      </c>
      <c r="D4" s="260">
        <f>VLOOKUP($A4, Sheet4!$A$2:$L$688, Consol_Thematic!D$1,FALSE)</f>
        <v/>
      </c>
      <c r="E4" s="260">
        <f>VLOOKUP($A4, Sheet4!$A$2:$L$688, Consol_Thematic!E$1,FALSE)</f>
        <v/>
      </c>
      <c r="F4" s="260">
        <f>VLOOKUP($A4, Sheet4!$A$2:$L$688, Consol_Thematic!F$1,FALSE)</f>
        <v/>
      </c>
      <c r="G4" s="260">
        <f>VLOOKUP($A4, Sheet4!$A$2:$L$688, Consol_Thematic!G$1,FALSE)</f>
        <v/>
      </c>
      <c r="H4" s="260">
        <f>VLOOKUP($A4, Sheet4!$A$2:$L$688, Consol_Thematic!H$1,FALSE)</f>
        <v/>
      </c>
      <c r="I4" s="260">
        <f>VLOOKUP($A4, Sheet4!$A$2:$L$688, Consol_Thematic!I$1,FALSE)</f>
        <v/>
      </c>
      <c r="J4" s="260">
        <f>VLOOKUP($A4, Sheet4!$A$2:$L$688, Consol_Thematic!J$1,FALSE)</f>
        <v/>
      </c>
      <c r="K4" s="264">
        <f>(B4-MIN(B$3:B$23))/(MAX(B$3:B$23)-MIN(B$3:B$23))</f>
        <v/>
      </c>
      <c r="L4" s="264">
        <f>(MAX(H$3:H$23)-H4)/(MAX(H$3:H$23)-MIN(H$3:H$23))</f>
        <v/>
      </c>
      <c r="M4" s="264">
        <f>(C4-MIN(C$3:C$23))/(MAX(C$3:C$23)-MIN(C$3:C$23))</f>
        <v/>
      </c>
      <c r="N4" s="264">
        <f>(D4-MIN(D$3:D$23))/(MAX(D$3:D$23)-MIN(D$3:D$23))</f>
        <v/>
      </c>
      <c r="O4" s="264">
        <f>(MAX(J$3:J$23)-J4)/(MAX(J$3:J$23)-MIN(J$3:J$23))</f>
        <v/>
      </c>
      <c r="P4" s="264">
        <f>(E4-MIN(E$3:E$23))/(MAX(E$3:E$23)-MIN(E$3:E$23))</f>
        <v/>
      </c>
      <c r="Q4" s="264">
        <f>(F4-MIN(F$3:F$23))/(MAX(F$3:F$23)-MIN(F$3:F$23))</f>
        <v/>
      </c>
      <c r="R4" s="264">
        <f>(MAX(I$3:I$23)-I4)/(MAX(I$3:I$23)-MIN(I$3:I$23))</f>
        <v/>
      </c>
      <c r="S4" s="264">
        <f>(G4-MIN(G$3:G$23))/(MAX(G$3:G$23)-MIN(G$3:G$23))</f>
        <v/>
      </c>
      <c r="T4" s="264">
        <f>(K4*'Fund Ranking Criteria'!$J$9)+('Fund Ranking Criteria'!$J$10*Consol_Thematic!M4)+('Fund Ranking Criteria'!$J$12*Consol_Thematic!S4)+('Fund Ranking Criteria'!$J$14*Consol_Thematic!R4)+('Fund Ranking Criteria'!$J$15*Consol_Thematic!O4)+('Fund Ranking Criteria'!$J$16*Consol_Thematic!P4)+('Fund Ranking Criteria'!#REF!*Consol_Thematic!Q4)+('Fund Ranking Criteria'!#REF!*Consol_Thematic!L4)</f>
        <v/>
      </c>
      <c r="U4" s="289">
        <f>T4*1</f>
        <v/>
      </c>
      <c r="V4" s="261">
        <f>RANK(U4,$U$3:$U$157,0)</f>
        <v/>
      </c>
      <c r="W4" s="261">
        <f>A4</f>
        <v/>
      </c>
    </row>
    <row r="5">
      <c r="A5" s="259" t="inlineStr">
        <is>
          <t>Aditya Birla Sun Life Conglomerate - Regular Plan</t>
        </is>
      </c>
      <c r="B5" s="259">
        <f>VLOOKUP($A5, Sheet4!$A$2:$L$688, Consol_Thematic!B$1,FALSE)</f>
        <v/>
      </c>
      <c r="C5" s="259">
        <f>VLOOKUP($A5, Sheet4!$A$2:$L$688, Consol_Thematic!C$1,FALSE)</f>
        <v/>
      </c>
      <c r="D5" s="259">
        <f>VLOOKUP($A5, Sheet4!$A$2:$L$688, Consol_Thematic!D$1,FALSE)</f>
        <v/>
      </c>
      <c r="E5" s="259">
        <f>VLOOKUP($A5, Sheet4!$A$2:$L$688, Consol_Thematic!E$1,FALSE)</f>
        <v/>
      </c>
      <c r="F5" s="259">
        <f>VLOOKUP($A5, Sheet4!$A$2:$L$688, Consol_Thematic!F$1,FALSE)</f>
        <v/>
      </c>
      <c r="G5" s="259">
        <f>VLOOKUP($A5, Sheet4!$A$2:$L$688, Consol_Thematic!G$1,FALSE)</f>
        <v/>
      </c>
      <c r="H5" s="260">
        <f>VLOOKUP($A5, Sheet4!$A$2:$L$688, Consol_Thematic!H$1,FALSE)</f>
        <v/>
      </c>
      <c r="I5" s="259">
        <f>VLOOKUP($A5, Sheet4!$A$2:$L$688, Consol_Thematic!I$1,FALSE)</f>
        <v/>
      </c>
      <c r="J5" s="259">
        <f>VLOOKUP($A5, Sheet4!$A$2:$L$688, Consol_Thematic!J$1,FALSE)</f>
        <v/>
      </c>
      <c r="K5" s="264">
        <f>(B5-MIN(B$3:B$23))/(MAX(B$3:B$23)-MIN(B$3:B$23))</f>
        <v/>
      </c>
      <c r="L5" s="264">
        <f>(MAX(H$3:H$23)-H5)/(MAX(H$3:H$23)-MIN(H$3:H$23))</f>
        <v/>
      </c>
      <c r="M5" s="264">
        <f>(C5-MIN(C$3:C$23))/(MAX(C$3:C$23)-MIN(C$3:C$23))</f>
        <v/>
      </c>
      <c r="N5" s="264">
        <f>(D5-MIN(D$3:D$23))/(MAX(D$3:D$23)-MIN(D$3:D$23))</f>
        <v/>
      </c>
      <c r="O5" s="264">
        <f>(MAX(J$3:J$23)-J5)/(MAX(J$3:J$23)-MIN(J$3:J$23))</f>
        <v/>
      </c>
      <c r="P5" s="264">
        <f>(E5-MIN(E$3:E$23))/(MAX(E$3:E$23)-MIN(E$3:E$23))</f>
        <v/>
      </c>
      <c r="Q5" s="264">
        <f>(F5-MIN(F$3:F$23))/(MAX(F$3:F$23)-MIN(F$3:F$23))</f>
        <v/>
      </c>
      <c r="R5" s="264">
        <f>(MAX(I$3:I$23)-I5)/(MAX(I$3:I$23)-MIN(I$3:I$23))</f>
        <v/>
      </c>
      <c r="S5" s="264">
        <f>(G5-MIN(G$3:G$23))/(MAX(G$3:G$23)-MIN(G$3:G$23))</f>
        <v/>
      </c>
      <c r="T5" s="264">
        <f>(K5*'Fund Ranking Criteria'!$J$9)+('Fund Ranking Criteria'!$J$10*Consol_Thematic!M5)+('Fund Ranking Criteria'!$J$12*Consol_Thematic!S5)+('Fund Ranking Criteria'!$J$14*Consol_Thematic!R5)+('Fund Ranking Criteria'!$J$15*Consol_Thematic!O5)+('Fund Ranking Criteria'!$J$16*Consol_Thematic!P5)+('Fund Ranking Criteria'!#REF!*Consol_Thematic!Q5)+('Fund Ranking Criteria'!#REF!*Consol_Thematic!L5)</f>
        <v/>
      </c>
      <c r="U5" s="289">
        <f>T5*1</f>
        <v/>
      </c>
      <c r="V5" s="261">
        <f>RANK(U5,$U$3:$U$157,0)</f>
        <v/>
      </c>
      <c r="W5" s="261">
        <f>A5</f>
        <v/>
      </c>
    </row>
    <row r="6">
      <c r="A6" s="259" t="inlineStr">
        <is>
          <t>Aditya Birla Sun Life Dividend Yield Fund - Regular Plan</t>
        </is>
      </c>
      <c r="B6" s="260">
        <f>VLOOKUP($A6, Sheet4!$A$2:$L$688, Consol_Thematic!B$1,FALSE)</f>
        <v/>
      </c>
      <c r="C6" s="260">
        <f>VLOOKUP($A6, Sheet4!$A$2:$L$688, Consol_Thematic!C$1,FALSE)</f>
        <v/>
      </c>
      <c r="D6" s="259">
        <f>VLOOKUP($A6, Sheet4!$A$2:$L$688, Consol_Thematic!D$1,FALSE)</f>
        <v/>
      </c>
      <c r="E6" s="260">
        <f>VLOOKUP($A6, Sheet4!$A$2:$L$688, Consol_Thematic!E$1,FALSE)</f>
        <v/>
      </c>
      <c r="F6" s="260">
        <f>VLOOKUP($A6, Sheet4!$A$2:$L$688, Consol_Thematic!F$1,FALSE)</f>
        <v/>
      </c>
      <c r="G6" s="260">
        <f>VLOOKUP($A6, Sheet4!$A$2:$L$688, Consol_Thematic!G$1,FALSE)</f>
        <v/>
      </c>
      <c r="H6" s="260">
        <f>VLOOKUP($A6, Sheet4!$A$2:$L$688, Consol_Thematic!H$1,FALSE)</f>
        <v/>
      </c>
      <c r="I6" s="260">
        <f>VLOOKUP($A6, Sheet4!$A$2:$L$688, Consol_Thematic!I$1,FALSE)</f>
        <v/>
      </c>
      <c r="J6" s="260">
        <f>VLOOKUP($A6, Sheet4!$A$2:$L$688, Consol_Thematic!J$1,FALSE)</f>
        <v/>
      </c>
      <c r="K6" s="264">
        <f>(B6-MIN(B$3:B$23))/(MAX(B$3:B$23)-MIN(B$3:B$23))</f>
        <v/>
      </c>
      <c r="L6" s="264">
        <f>(MAX(H$3:H$23)-H6)/(MAX(H$3:H$23)-MIN(H$3:H$23))</f>
        <v/>
      </c>
      <c r="M6" s="264">
        <f>(C6-MIN(C$3:C$23))/(MAX(C$3:C$23)-MIN(C$3:C$23))</f>
        <v/>
      </c>
      <c r="N6" s="264">
        <f>(D6-MIN(D$3:D$23))/(MAX(D$3:D$23)-MIN(D$3:D$23))</f>
        <v/>
      </c>
      <c r="O6" s="264">
        <f>(MAX(J$3:J$23)-J6)/(MAX(J$3:J$23)-MIN(J$3:J$23))</f>
        <v/>
      </c>
      <c r="P6" s="264">
        <f>(E6-MIN(E$3:E$23))/(MAX(E$3:E$23)-MIN(E$3:E$23))</f>
        <v/>
      </c>
      <c r="Q6" s="264">
        <f>(F6-MIN(F$3:F$23))/(MAX(F$3:F$23)-MIN(F$3:F$23))</f>
        <v/>
      </c>
      <c r="R6" s="264">
        <f>(MAX(I$3:I$23)-I6)/(MAX(I$3:I$23)-MIN(I$3:I$23))</f>
        <v/>
      </c>
      <c r="S6" s="264">
        <f>(G6-MIN(G$3:G$23))/(MAX(G$3:G$23)-MIN(G$3:G$23))</f>
        <v/>
      </c>
      <c r="T6" s="264">
        <f>(K6*'Fund Ranking Criteria'!$J$9)+('Fund Ranking Criteria'!$J$10*Consol_Thematic!M6)+('Fund Ranking Criteria'!$J$12*Consol_Thematic!S6)+('Fund Ranking Criteria'!$J$14*Consol_Thematic!R6)+('Fund Ranking Criteria'!$J$15*Consol_Thematic!O6)+('Fund Ranking Criteria'!$J$16*Consol_Thematic!P6)+('Fund Ranking Criteria'!#REF!*Consol_Thematic!Q6)+('Fund Ranking Criteria'!#REF!*Consol_Thematic!L6)</f>
        <v/>
      </c>
      <c r="U6" s="289">
        <f>T6*1</f>
        <v/>
      </c>
      <c r="V6" s="261">
        <f>RANK(U6,$U$3:$U$157,0)</f>
        <v/>
      </c>
      <c r="W6" s="261">
        <f>A6</f>
        <v/>
      </c>
    </row>
    <row r="7">
      <c r="A7" s="259" t="inlineStr">
        <is>
          <t>Aditya Birla Sun Life ESG Integration Strategy Fund - Regular Plan</t>
        </is>
      </c>
      <c r="B7" s="259">
        <f>VLOOKUP($A7, Sheet4!$A$2:$L$688, Consol_Thematic!B$1,FALSE)</f>
        <v/>
      </c>
      <c r="C7" s="259">
        <f>VLOOKUP($A7, Sheet4!$A$2:$L$688, Consol_Thematic!C$1,FALSE)</f>
        <v/>
      </c>
      <c r="D7" s="259">
        <f>VLOOKUP($A7, Sheet4!$A$2:$L$688, Consol_Thematic!D$1,FALSE)</f>
        <v/>
      </c>
      <c r="E7" s="259">
        <f>VLOOKUP($A7, Sheet4!$A$2:$L$688, Consol_Thematic!E$1,FALSE)</f>
        <v/>
      </c>
      <c r="F7" s="259">
        <f>VLOOKUP($A7, Sheet4!$A$2:$L$688, Consol_Thematic!F$1,FALSE)</f>
        <v/>
      </c>
      <c r="G7" s="259">
        <f>VLOOKUP($A7, Sheet4!$A$2:$L$688, Consol_Thematic!G$1,FALSE)</f>
        <v/>
      </c>
      <c r="H7" s="260">
        <f>VLOOKUP($A7, Sheet4!$A$2:$L$688, Consol_Thematic!H$1,FALSE)</f>
        <v/>
      </c>
      <c r="I7" s="259">
        <f>VLOOKUP($A7, Sheet4!$A$2:$L$688, Consol_Thematic!I$1,FALSE)</f>
        <v/>
      </c>
      <c r="J7" s="259">
        <f>VLOOKUP($A7, Sheet4!$A$2:$L$688, Consol_Thematic!J$1,FALSE)</f>
        <v/>
      </c>
      <c r="K7" s="264">
        <f>(B7-MIN(B$3:B$23))/(MAX(B$3:B$23)-MIN(B$3:B$23))</f>
        <v/>
      </c>
      <c r="L7" s="264">
        <f>(MAX(H$3:H$23)-H7)/(MAX(H$3:H$23)-MIN(H$3:H$23))</f>
        <v/>
      </c>
      <c r="M7" s="264">
        <f>(C7-MIN(C$3:C$23))/(MAX(C$3:C$23)-MIN(C$3:C$23))</f>
        <v/>
      </c>
      <c r="N7" s="264">
        <f>(D7-MIN(D$3:D$23))/(MAX(D$3:D$23)-MIN(D$3:D$23))</f>
        <v/>
      </c>
      <c r="O7" s="264">
        <f>(MAX(J$3:J$23)-J7)/(MAX(J$3:J$23)-MIN(J$3:J$23))</f>
        <v/>
      </c>
      <c r="P7" s="264">
        <f>(E7-MIN(E$3:E$23))/(MAX(E$3:E$23)-MIN(E$3:E$23))</f>
        <v/>
      </c>
      <c r="Q7" s="264">
        <f>(F7-MIN(F$3:F$23))/(MAX(F$3:F$23)-MIN(F$3:F$23))</f>
        <v/>
      </c>
      <c r="R7" s="264">
        <f>(MAX(I$3:I$23)-I7)/(MAX(I$3:I$23)-MIN(I$3:I$23))</f>
        <v/>
      </c>
      <c r="S7" s="264">
        <f>(G7-MIN(G$3:G$23))/(MAX(G$3:G$23)-MIN(G$3:G$23))</f>
        <v/>
      </c>
      <c r="T7" s="264">
        <f>(K7*'Fund Ranking Criteria'!$J$9)+('Fund Ranking Criteria'!$J$10*Consol_Thematic!M7)+('Fund Ranking Criteria'!$J$12*Consol_Thematic!S7)+('Fund Ranking Criteria'!$J$14*Consol_Thematic!R7)+('Fund Ranking Criteria'!$J$15*Consol_Thematic!O7)+('Fund Ranking Criteria'!$J$16*Consol_Thematic!P7)+('Fund Ranking Criteria'!#REF!*Consol_Thematic!Q7)+('Fund Ranking Criteria'!#REF!*Consol_Thematic!L7)</f>
        <v/>
      </c>
      <c r="U7" s="289">
        <f>T7*1</f>
        <v/>
      </c>
      <c r="V7" s="261">
        <f>RANK(U7,$U$3:$U$157,0)</f>
        <v/>
      </c>
      <c r="W7" s="261">
        <f>A7</f>
        <v/>
      </c>
    </row>
    <row r="8">
      <c r="A8" s="259" t="inlineStr">
        <is>
          <t>Aditya Birla Sun Life India GenNext Fund - Regular Plan</t>
        </is>
      </c>
      <c r="B8" s="260">
        <f>VLOOKUP($A8, Sheet4!$A$2:$L$688, Consol_Thematic!B$1,FALSE)</f>
        <v/>
      </c>
      <c r="C8" s="260">
        <f>VLOOKUP($A8, Sheet4!$A$2:$L$688, Consol_Thematic!C$1,FALSE)</f>
        <v/>
      </c>
      <c r="D8" s="260">
        <f>VLOOKUP($A8, Sheet4!$A$2:$L$688, Consol_Thematic!D$1,FALSE)</f>
        <v/>
      </c>
      <c r="E8" s="260">
        <f>VLOOKUP($A8, Sheet4!$A$2:$L$688, Consol_Thematic!E$1,FALSE)</f>
        <v/>
      </c>
      <c r="F8" s="260">
        <f>VLOOKUP($A8, Sheet4!$A$2:$L$688, Consol_Thematic!F$1,FALSE)</f>
        <v/>
      </c>
      <c r="G8" s="260">
        <f>VLOOKUP($A8, Sheet4!$A$2:$L$688, Consol_Thematic!G$1,FALSE)</f>
        <v/>
      </c>
      <c r="H8" s="260">
        <f>VLOOKUP($A8, Sheet4!$A$2:$L$688, Consol_Thematic!H$1,FALSE)</f>
        <v/>
      </c>
      <c r="I8" s="260">
        <f>VLOOKUP($A8, Sheet4!$A$2:$L$688, Consol_Thematic!I$1,FALSE)</f>
        <v/>
      </c>
      <c r="J8" s="260">
        <f>VLOOKUP($A8, Sheet4!$A$2:$L$688, Consol_Thematic!J$1,FALSE)</f>
        <v/>
      </c>
      <c r="K8" s="264">
        <f>(B8-MIN(B$3:B$23))/(MAX(B$3:B$23)-MIN(B$3:B$23))</f>
        <v/>
      </c>
      <c r="L8" s="264">
        <f>(MAX(H$3:H$23)-H8)/(MAX(H$3:H$23)-MIN(H$3:H$23))</f>
        <v/>
      </c>
      <c r="M8" s="264">
        <f>(C8-MIN(C$3:C$23))/(MAX(C$3:C$23)-MIN(C$3:C$23))</f>
        <v/>
      </c>
      <c r="N8" s="264">
        <f>(D8-MIN(D$3:D$23))/(MAX(D$3:D$23)-MIN(D$3:D$23))</f>
        <v/>
      </c>
      <c r="O8" s="264">
        <f>(MAX(J$3:J$23)-J8)/(MAX(J$3:J$23)-MIN(J$3:J$23))</f>
        <v/>
      </c>
      <c r="P8" s="264">
        <f>(E8-MIN(E$3:E$23))/(MAX(E$3:E$23)-MIN(E$3:E$23))</f>
        <v/>
      </c>
      <c r="Q8" s="264">
        <f>(F8-MIN(F$3:F$23))/(MAX(F$3:F$23)-MIN(F$3:F$23))</f>
        <v/>
      </c>
      <c r="R8" s="264">
        <f>(MAX(I$3:I$23)-I8)/(MAX(I$3:I$23)-MIN(I$3:I$23))</f>
        <v/>
      </c>
      <c r="S8" s="264">
        <f>(G8-MIN(G$3:G$23))/(MAX(G$3:G$23)-MIN(G$3:G$23))</f>
        <v/>
      </c>
      <c r="T8" s="264">
        <f>(K8*'Fund Ranking Criteria'!$J$9)+('Fund Ranking Criteria'!$J$10*Consol_Thematic!M8)+('Fund Ranking Criteria'!$J$12*Consol_Thematic!S8)+('Fund Ranking Criteria'!$J$14*Consol_Thematic!R8)+('Fund Ranking Criteria'!$J$15*Consol_Thematic!O8)+('Fund Ranking Criteria'!$J$16*Consol_Thematic!P8)+('Fund Ranking Criteria'!#REF!*Consol_Thematic!Q8)+('Fund Ranking Criteria'!#REF!*Consol_Thematic!L8)</f>
        <v/>
      </c>
      <c r="U8" s="289">
        <f>T8*1</f>
        <v/>
      </c>
      <c r="V8" s="261">
        <f>RANK(U8,$U$3:$U$157,0)</f>
        <v/>
      </c>
      <c r="W8" s="261">
        <f>A8</f>
        <v/>
      </c>
    </row>
    <row r="9">
      <c r="A9" s="259" t="inlineStr">
        <is>
          <t>Aditya Birla Sun Life Manufacturing Equity Fund - Regular Plan</t>
        </is>
      </c>
      <c r="B9" s="260">
        <f>VLOOKUP($A9, Sheet4!$A$2:$L$688, Consol_Thematic!B$1,FALSE)</f>
        <v/>
      </c>
      <c r="C9" s="260">
        <f>VLOOKUP($A9, Sheet4!$A$2:$L$688, Consol_Thematic!C$1,FALSE)</f>
        <v/>
      </c>
      <c r="D9" s="260">
        <f>VLOOKUP($A9, Sheet4!$A$2:$L$688, Consol_Thematic!D$1,FALSE)</f>
        <v/>
      </c>
      <c r="E9" s="260">
        <f>VLOOKUP($A9, Sheet4!$A$2:$L$688, Consol_Thematic!E$1,FALSE)</f>
        <v/>
      </c>
      <c r="F9" s="260">
        <f>VLOOKUP($A9, Sheet4!$A$2:$L$688, Consol_Thematic!F$1,FALSE)</f>
        <v/>
      </c>
      <c r="G9" s="260">
        <f>VLOOKUP($A9, Sheet4!$A$2:$L$688, Consol_Thematic!G$1,FALSE)</f>
        <v/>
      </c>
      <c r="H9" s="260">
        <f>VLOOKUP($A9, Sheet4!$A$2:$L$688, Consol_Thematic!H$1,FALSE)</f>
        <v/>
      </c>
      <c r="I9" s="260">
        <f>VLOOKUP($A9, Sheet4!$A$2:$L$688, Consol_Thematic!I$1,FALSE)</f>
        <v/>
      </c>
      <c r="J9" s="260">
        <f>VLOOKUP($A9, Sheet4!$A$2:$L$688, Consol_Thematic!J$1,FALSE)</f>
        <v/>
      </c>
      <c r="K9" s="264">
        <f>(B9-MIN(B$3:B$23))/(MAX(B$3:B$23)-MIN(B$3:B$23))</f>
        <v/>
      </c>
      <c r="L9" s="264">
        <f>(MAX(H$3:H$23)-H9)/(MAX(H$3:H$23)-MIN(H$3:H$23))</f>
        <v/>
      </c>
      <c r="M9" s="264">
        <f>(C9-MIN(C$3:C$23))/(MAX(C$3:C$23)-MIN(C$3:C$23))</f>
        <v/>
      </c>
      <c r="N9" s="264">
        <f>(D9-MIN(D$3:D$23))/(MAX(D$3:D$23)-MIN(D$3:D$23))</f>
        <v/>
      </c>
      <c r="O9" s="264">
        <f>(MAX(J$3:J$23)-J9)/(MAX(J$3:J$23)-MIN(J$3:J$23))</f>
        <v/>
      </c>
      <c r="P9" s="264">
        <f>(E9-MIN(E$3:E$23))/(MAX(E$3:E$23)-MIN(E$3:E$23))</f>
        <v/>
      </c>
      <c r="Q9" s="264">
        <f>(F9-MIN(F$3:F$23))/(MAX(F$3:F$23)-MIN(F$3:F$23))</f>
        <v/>
      </c>
      <c r="R9" s="264">
        <f>(MAX(I$3:I$23)-I9)/(MAX(I$3:I$23)-MIN(I$3:I$23))</f>
        <v/>
      </c>
      <c r="S9" s="264">
        <f>(G9-MIN(G$3:G$23))/(MAX(G$3:G$23)-MIN(G$3:G$23))</f>
        <v/>
      </c>
      <c r="T9" s="264">
        <f>(K9*'Fund Ranking Criteria'!$J$9)+('Fund Ranking Criteria'!$J$10*Consol_Thematic!M9)+('Fund Ranking Criteria'!$J$12*Consol_Thematic!S9)+('Fund Ranking Criteria'!$J$14*Consol_Thematic!R9)+('Fund Ranking Criteria'!$J$15*Consol_Thematic!O9)+('Fund Ranking Criteria'!$J$16*Consol_Thematic!P9)+('Fund Ranking Criteria'!#REF!*Consol_Thematic!Q9)+('Fund Ranking Criteria'!#REF!*Consol_Thematic!L9)</f>
        <v/>
      </c>
      <c r="U9" s="289">
        <f>T9*1</f>
        <v/>
      </c>
      <c r="V9" s="261">
        <f>RANK(U9,$U$3:$U$157,0)</f>
        <v/>
      </c>
      <c r="W9" s="261">
        <f>A9</f>
        <v/>
      </c>
    </row>
    <row r="10">
      <c r="A10" s="259" t="inlineStr">
        <is>
          <t>Aditya Birla Sun Life MNC Fund - Regular Plan</t>
        </is>
      </c>
      <c r="B10" s="260">
        <f>VLOOKUP($A10, Sheet4!$A$2:$L$688, Consol_Thematic!B$1,FALSE)</f>
        <v/>
      </c>
      <c r="C10" s="259">
        <f>VLOOKUP($A10, Sheet4!$A$2:$L$688, Consol_Thematic!C$1,FALSE)</f>
        <v/>
      </c>
      <c r="D10" s="259">
        <f>VLOOKUP($A10, Sheet4!$A$2:$L$688, Consol_Thematic!D$1,FALSE)</f>
        <v/>
      </c>
      <c r="E10" s="259">
        <f>VLOOKUP($A10, Sheet4!$A$2:$L$688, Consol_Thematic!E$1,FALSE)</f>
        <v/>
      </c>
      <c r="F10" s="259">
        <f>VLOOKUP($A10, Sheet4!$A$2:$L$688, Consol_Thematic!F$1,FALSE)</f>
        <v/>
      </c>
      <c r="G10" s="259">
        <f>VLOOKUP($A10, Sheet4!$A$2:$L$688, Consol_Thematic!G$1,FALSE)</f>
        <v/>
      </c>
      <c r="H10" s="260">
        <f>VLOOKUP($A10, Sheet4!$A$2:$L$688, Consol_Thematic!H$1,FALSE)</f>
        <v/>
      </c>
      <c r="I10" s="259">
        <f>VLOOKUP($A10, Sheet4!$A$2:$L$688, Consol_Thematic!I$1,FALSE)</f>
        <v/>
      </c>
      <c r="J10" s="259">
        <f>VLOOKUP($A10, Sheet4!$A$2:$L$688, Consol_Thematic!J$1,FALSE)</f>
        <v/>
      </c>
      <c r="K10" s="264">
        <f>(B10-MIN(B$3:B$23))/(MAX(B$3:B$23)-MIN(B$3:B$23))</f>
        <v/>
      </c>
      <c r="L10" s="264">
        <f>(MAX(H$3:H$23)-H10)/(MAX(H$3:H$23)-MIN(H$3:H$23))</f>
        <v/>
      </c>
      <c r="M10" s="264">
        <f>(C10-MIN(C$3:C$23))/(MAX(C$3:C$23)-MIN(C$3:C$23))</f>
        <v/>
      </c>
      <c r="N10" s="264">
        <f>(D10-MIN(D$3:D$23))/(MAX(D$3:D$23)-MIN(D$3:D$23))</f>
        <v/>
      </c>
      <c r="O10" s="264">
        <f>(MAX(J$3:J$23)-J10)/(MAX(J$3:J$23)-MIN(J$3:J$23))</f>
        <v/>
      </c>
      <c r="P10" s="264">
        <f>(E10-MIN(E$3:E$23))/(MAX(E$3:E$23)-MIN(E$3:E$23))</f>
        <v/>
      </c>
      <c r="Q10" s="264">
        <f>(F10-MIN(F$3:F$23))/(MAX(F$3:F$23)-MIN(F$3:F$23))</f>
        <v/>
      </c>
      <c r="R10" s="264">
        <f>(MAX(I$3:I$23)-I10)/(MAX(I$3:I$23)-MIN(I$3:I$23))</f>
        <v/>
      </c>
      <c r="S10" s="264">
        <f>(G10-MIN(G$3:G$23))/(MAX(G$3:G$23)-MIN(G$3:G$23))</f>
        <v/>
      </c>
      <c r="T10" s="264">
        <f>(K10*'Fund Ranking Criteria'!$J$9)+('Fund Ranking Criteria'!$J$10*Consol_Thematic!M10)+('Fund Ranking Criteria'!$J$12*Consol_Thematic!S10)+('Fund Ranking Criteria'!$J$14*Consol_Thematic!R10)+('Fund Ranking Criteria'!$J$15*Consol_Thematic!O10)+('Fund Ranking Criteria'!$J$16*Consol_Thematic!P10)+('Fund Ranking Criteria'!#REF!*Consol_Thematic!Q10)+('Fund Ranking Criteria'!#REF!*Consol_Thematic!L10)</f>
        <v/>
      </c>
      <c r="U10" s="289">
        <f>T10*1</f>
        <v/>
      </c>
      <c r="V10" s="261">
        <f>RANK(U10,$U$3:$U$157,0)</f>
        <v/>
      </c>
      <c r="W10" s="261">
        <f>A10</f>
        <v/>
      </c>
    </row>
    <row r="11">
      <c r="A11" s="259" t="inlineStr">
        <is>
          <t>Aditya Birla Sun Life PSU Equity Fund - Regular Plan</t>
        </is>
      </c>
      <c r="B11" s="260">
        <f>VLOOKUP($A11, Sheet4!$A$2:$L$688, Consol_Thematic!B$1,FALSE)</f>
        <v/>
      </c>
      <c r="C11" s="260">
        <f>VLOOKUP($A11, Sheet4!$A$2:$L$688, Consol_Thematic!C$1,FALSE)</f>
        <v/>
      </c>
      <c r="D11" s="259">
        <f>VLOOKUP($A11, Sheet4!$A$2:$L$688, Consol_Thematic!D$1,FALSE)</f>
        <v/>
      </c>
      <c r="E11" s="260">
        <f>VLOOKUP($A11, Sheet4!$A$2:$L$688, Consol_Thematic!E$1,FALSE)</f>
        <v/>
      </c>
      <c r="F11" s="260">
        <f>VLOOKUP($A11, Sheet4!$A$2:$L$688, Consol_Thematic!F$1,FALSE)</f>
        <v/>
      </c>
      <c r="G11" s="260">
        <f>VLOOKUP($A11, Sheet4!$A$2:$L$688, Consol_Thematic!G$1,FALSE)</f>
        <v/>
      </c>
      <c r="H11" s="260">
        <f>VLOOKUP($A11, Sheet4!$A$2:$L$688, Consol_Thematic!H$1,FALSE)</f>
        <v/>
      </c>
      <c r="I11" s="260">
        <f>VLOOKUP($A11, Sheet4!$A$2:$L$688, Consol_Thematic!I$1,FALSE)</f>
        <v/>
      </c>
      <c r="J11" s="260">
        <f>VLOOKUP($A11, Sheet4!$A$2:$L$688, Consol_Thematic!J$1,FALSE)</f>
        <v/>
      </c>
      <c r="K11" s="264">
        <f>(B11-MIN(B$3:B$23))/(MAX(B$3:B$23)-MIN(B$3:B$23))</f>
        <v/>
      </c>
      <c r="L11" s="264">
        <f>(MAX(H$3:H$23)-H11)/(MAX(H$3:H$23)-MIN(H$3:H$23))</f>
        <v/>
      </c>
      <c r="M11" s="264">
        <f>(C11-MIN(C$3:C$23))/(MAX(C$3:C$23)-MIN(C$3:C$23))</f>
        <v/>
      </c>
      <c r="N11" s="264">
        <f>(D11-MIN(D$3:D$23))/(MAX(D$3:D$23)-MIN(D$3:D$23))</f>
        <v/>
      </c>
      <c r="O11" s="264">
        <f>(MAX(J$3:J$23)-J11)/(MAX(J$3:J$23)-MIN(J$3:J$23))</f>
        <v/>
      </c>
      <c r="P11" s="264">
        <f>(E11-MIN(E$3:E$23))/(MAX(E$3:E$23)-MIN(E$3:E$23))</f>
        <v/>
      </c>
      <c r="Q11" s="264">
        <f>(F11-MIN(F$3:F$23))/(MAX(F$3:F$23)-MIN(F$3:F$23))</f>
        <v/>
      </c>
      <c r="R11" s="264">
        <f>(MAX(I$3:I$23)-I11)/(MAX(I$3:I$23)-MIN(I$3:I$23))</f>
        <v/>
      </c>
      <c r="S11" s="264">
        <f>(G11-MIN(G$3:G$23))/(MAX(G$3:G$23)-MIN(G$3:G$23))</f>
        <v/>
      </c>
      <c r="T11" s="264">
        <f>(K11*'Fund Ranking Criteria'!$J$9)+('Fund Ranking Criteria'!$J$10*Consol_Thematic!M11)+('Fund Ranking Criteria'!$J$12*Consol_Thematic!S11)+('Fund Ranking Criteria'!$J$14*Consol_Thematic!R11)+('Fund Ranking Criteria'!$J$15*Consol_Thematic!O11)+('Fund Ranking Criteria'!$J$16*Consol_Thematic!P11)+('Fund Ranking Criteria'!#REF!*Consol_Thematic!Q11)+('Fund Ranking Criteria'!#REF!*Consol_Thematic!L11)</f>
        <v/>
      </c>
      <c r="U11" s="289">
        <f>T11*1</f>
        <v/>
      </c>
      <c r="V11" s="261">
        <f>RANK(U11,$U$3:$U$157,0)</f>
        <v/>
      </c>
      <c r="W11" s="261">
        <f>A11</f>
        <v/>
      </c>
    </row>
    <row r="12">
      <c r="A12" s="259" t="inlineStr">
        <is>
          <t>Aditya Birla Sun Life Quant Fund - Regular Plan</t>
        </is>
      </c>
      <c r="B12" s="260">
        <f>VLOOKUP($A12, Sheet4!$A$2:$L$688, Consol_Thematic!B$1,FALSE)</f>
        <v/>
      </c>
      <c r="C12" s="260">
        <f>VLOOKUP($A12, Sheet4!$A$2:$L$688, Consol_Thematic!C$1,FALSE)</f>
        <v/>
      </c>
      <c r="D12" s="260">
        <f>VLOOKUP($A12, Sheet4!$A$2:$L$688, Consol_Thematic!D$1,FALSE)</f>
        <v/>
      </c>
      <c r="E12" s="260">
        <f>VLOOKUP($A12, Sheet4!$A$2:$L$688, Consol_Thematic!E$1,FALSE)</f>
        <v/>
      </c>
      <c r="F12" s="260">
        <f>VLOOKUP($A12, Sheet4!$A$2:$L$688, Consol_Thematic!F$1,FALSE)</f>
        <v/>
      </c>
      <c r="G12" s="260">
        <f>VLOOKUP($A12, Sheet4!$A$2:$L$688, Consol_Thematic!G$1,FALSE)</f>
        <v/>
      </c>
      <c r="H12" s="260">
        <f>VLOOKUP($A12, Sheet4!$A$2:$L$688, Consol_Thematic!H$1,FALSE)</f>
        <v/>
      </c>
      <c r="I12" s="260">
        <f>VLOOKUP($A12, Sheet4!$A$2:$L$688, Consol_Thematic!I$1,FALSE)</f>
        <v/>
      </c>
      <c r="J12" s="260">
        <f>VLOOKUP($A12, Sheet4!$A$2:$L$688, Consol_Thematic!J$1,FALSE)</f>
        <v/>
      </c>
      <c r="K12" s="264">
        <f>(B12-MIN(B$3:B$23))/(MAX(B$3:B$23)-MIN(B$3:B$23))</f>
        <v/>
      </c>
      <c r="L12" s="264">
        <f>(MAX(H$3:H$23)-H12)/(MAX(H$3:H$23)-MIN(H$3:H$23))</f>
        <v/>
      </c>
      <c r="M12" s="264">
        <f>(C12-MIN(C$3:C$23))/(MAX(C$3:C$23)-MIN(C$3:C$23))</f>
        <v/>
      </c>
      <c r="N12" s="264">
        <f>(D12-MIN(D$3:D$23))/(MAX(D$3:D$23)-MIN(D$3:D$23))</f>
        <v/>
      </c>
      <c r="O12" s="264">
        <f>(MAX(J$3:J$23)-J12)/(MAX(J$3:J$23)-MIN(J$3:J$23))</f>
        <v/>
      </c>
      <c r="P12" s="264">
        <f>(E12-MIN(E$3:E$23))/(MAX(E$3:E$23)-MIN(E$3:E$23))</f>
        <v/>
      </c>
      <c r="Q12" s="264">
        <f>(F12-MIN(F$3:F$23))/(MAX(F$3:F$23)-MIN(F$3:F$23))</f>
        <v/>
      </c>
      <c r="R12" s="264">
        <f>(MAX(I$3:I$23)-I12)/(MAX(I$3:I$23)-MIN(I$3:I$23))</f>
        <v/>
      </c>
      <c r="S12" s="264">
        <f>(G12-MIN(G$3:G$23))/(MAX(G$3:G$23)-MIN(G$3:G$23))</f>
        <v/>
      </c>
      <c r="T12" s="264">
        <f>(K12*'Fund Ranking Criteria'!$J$9)+('Fund Ranking Criteria'!$J$10*Consol_Thematic!M12)+('Fund Ranking Criteria'!$J$12*Consol_Thematic!S12)+('Fund Ranking Criteria'!$J$14*Consol_Thematic!R12)+('Fund Ranking Criteria'!$J$15*Consol_Thematic!O12)+('Fund Ranking Criteria'!$J$16*Consol_Thematic!P12)+('Fund Ranking Criteria'!#REF!*Consol_Thematic!Q12)+('Fund Ranking Criteria'!#REF!*Consol_Thematic!L12)</f>
        <v/>
      </c>
      <c r="U12" s="289">
        <f>T12*1</f>
        <v/>
      </c>
      <c r="V12" s="261">
        <f>RANK(U12,$U$3:$U$157,0)</f>
        <v/>
      </c>
      <c r="W12" s="261">
        <f>A12</f>
        <v/>
      </c>
    </row>
    <row r="13">
      <c r="A13" s="259" t="inlineStr">
        <is>
          <t>Aditya Birla Sun Life Special Opportunities Fund - Regular Plan</t>
        </is>
      </c>
      <c r="B13" s="260">
        <f>VLOOKUP($A13, Sheet4!$A$2:$L$688, Consol_Thematic!B$1,FALSE)</f>
        <v/>
      </c>
      <c r="C13" s="260">
        <f>VLOOKUP($A13, Sheet4!$A$2:$L$688, Consol_Thematic!C$1,FALSE)</f>
        <v/>
      </c>
      <c r="D13" s="259">
        <f>VLOOKUP($A13, Sheet4!$A$2:$L$688, Consol_Thematic!D$1,FALSE)</f>
        <v/>
      </c>
      <c r="E13" s="260">
        <f>VLOOKUP($A13, Sheet4!$A$2:$L$688, Consol_Thematic!E$1,FALSE)</f>
        <v/>
      </c>
      <c r="F13" s="260">
        <f>VLOOKUP($A13, Sheet4!$A$2:$L$688, Consol_Thematic!F$1,FALSE)</f>
        <v/>
      </c>
      <c r="G13" s="260">
        <f>VLOOKUP($A13, Sheet4!$A$2:$L$688, Consol_Thematic!G$1,FALSE)</f>
        <v/>
      </c>
      <c r="H13" s="260">
        <f>VLOOKUP($A13, Sheet4!$A$2:$L$688, Consol_Thematic!H$1,FALSE)</f>
        <v/>
      </c>
      <c r="I13" s="260">
        <f>VLOOKUP($A13, Sheet4!$A$2:$L$688, Consol_Thematic!I$1,FALSE)</f>
        <v/>
      </c>
      <c r="J13" s="260">
        <f>VLOOKUP($A13, Sheet4!$A$2:$L$688, Consol_Thematic!J$1,FALSE)</f>
        <v/>
      </c>
      <c r="K13" s="264">
        <f>(B13-MIN(B$3:B$23))/(MAX(B$3:B$23)-MIN(B$3:B$23))</f>
        <v/>
      </c>
      <c r="L13" s="264">
        <f>(MAX(H$3:H$23)-H13)/(MAX(H$3:H$23)-MIN(H$3:H$23))</f>
        <v/>
      </c>
      <c r="M13" s="264">
        <f>(C13-MIN(C$3:C$23))/(MAX(C$3:C$23)-MIN(C$3:C$23))</f>
        <v/>
      </c>
      <c r="N13" s="264">
        <f>(D13-MIN(D$3:D$23))/(MAX(D$3:D$23)-MIN(D$3:D$23))</f>
        <v/>
      </c>
      <c r="O13" s="264">
        <f>(MAX(J$3:J$23)-J13)/(MAX(J$3:J$23)-MIN(J$3:J$23))</f>
        <v/>
      </c>
      <c r="P13" s="264">
        <f>(E13-MIN(E$3:E$23))/(MAX(E$3:E$23)-MIN(E$3:E$23))</f>
        <v/>
      </c>
      <c r="Q13" s="264">
        <f>(F13-MIN(F$3:F$23))/(MAX(F$3:F$23)-MIN(F$3:F$23))</f>
        <v/>
      </c>
      <c r="R13" s="264">
        <f>(MAX(I$3:I$23)-I13)/(MAX(I$3:I$23)-MIN(I$3:I$23))</f>
        <v/>
      </c>
      <c r="S13" s="264">
        <f>(G13-MIN(G$3:G$23))/(MAX(G$3:G$23)-MIN(G$3:G$23))</f>
        <v/>
      </c>
      <c r="T13" s="264">
        <f>(K13*'Fund Ranking Criteria'!$J$9)+('Fund Ranking Criteria'!$J$10*Consol_Thematic!M13)+('Fund Ranking Criteria'!$J$12*Consol_Thematic!S13)+('Fund Ranking Criteria'!$J$14*Consol_Thematic!R13)+('Fund Ranking Criteria'!$J$15*Consol_Thematic!O13)+('Fund Ranking Criteria'!$J$16*Consol_Thematic!P13)+('Fund Ranking Criteria'!#REF!*Consol_Thematic!Q13)+('Fund Ranking Criteria'!#REF!*Consol_Thematic!L13)</f>
        <v/>
      </c>
      <c r="U13" s="289">
        <f>T13*1</f>
        <v/>
      </c>
      <c r="V13" s="261">
        <f>RANK(U13,$U$3:$U$157,0)</f>
        <v/>
      </c>
      <c r="W13" s="261">
        <f>A13</f>
        <v/>
      </c>
    </row>
    <row r="14">
      <c r="A14" s="259" t="inlineStr">
        <is>
          <t>Aditya Birla Sun Life Transportation and Logistics Fund - Regular Plan</t>
        </is>
      </c>
      <c r="B14" s="260">
        <f>VLOOKUP($A14, Sheet4!$A$2:$L$688, Consol_Thematic!B$1,FALSE)</f>
        <v/>
      </c>
      <c r="C14" s="260">
        <f>VLOOKUP($A14, Sheet4!$A$2:$L$688, Consol_Thematic!C$1,FALSE)</f>
        <v/>
      </c>
      <c r="D14" s="259">
        <f>VLOOKUP($A14, Sheet4!$A$2:$L$688, Consol_Thematic!D$1,FALSE)</f>
        <v/>
      </c>
      <c r="E14" s="260">
        <f>VLOOKUP($A14, Sheet4!$A$2:$L$688, Consol_Thematic!E$1,FALSE)</f>
        <v/>
      </c>
      <c r="F14" s="260">
        <f>VLOOKUP($A14, Sheet4!$A$2:$L$688, Consol_Thematic!F$1,FALSE)</f>
        <v/>
      </c>
      <c r="G14" s="260">
        <f>VLOOKUP($A14, Sheet4!$A$2:$L$688, Consol_Thematic!G$1,FALSE)</f>
        <v/>
      </c>
      <c r="H14" s="260">
        <f>VLOOKUP($A14, Sheet4!$A$2:$L$688, Consol_Thematic!H$1,FALSE)</f>
        <v/>
      </c>
      <c r="I14" s="260">
        <f>VLOOKUP($A14, Sheet4!$A$2:$L$688, Consol_Thematic!I$1,FALSE)</f>
        <v/>
      </c>
      <c r="J14" s="260">
        <f>VLOOKUP($A14, Sheet4!$A$2:$L$688, Consol_Thematic!J$1,FALSE)</f>
        <v/>
      </c>
      <c r="K14" s="264">
        <f>(B14-MIN(B$3:B$23))/(MAX(B$3:B$23)-MIN(B$3:B$23))</f>
        <v/>
      </c>
      <c r="L14" s="264">
        <f>(MAX(H$3:H$23)-H14)/(MAX(H$3:H$23)-MIN(H$3:H$23))</f>
        <v/>
      </c>
      <c r="M14" s="264">
        <f>(C14-MIN(C$3:C$23))/(MAX(C$3:C$23)-MIN(C$3:C$23))</f>
        <v/>
      </c>
      <c r="N14" s="264">
        <f>(D14-MIN(D$3:D$23))/(MAX(D$3:D$23)-MIN(D$3:D$23))</f>
        <v/>
      </c>
      <c r="O14" s="264">
        <f>(MAX(J$3:J$23)-J14)/(MAX(J$3:J$23)-MIN(J$3:J$23))</f>
        <v/>
      </c>
      <c r="P14" s="264">
        <f>(E14-MIN(E$3:E$23))/(MAX(E$3:E$23)-MIN(E$3:E$23))</f>
        <v/>
      </c>
      <c r="Q14" s="264">
        <f>(F14-MIN(F$3:F$23))/(MAX(F$3:F$23)-MIN(F$3:F$23))</f>
        <v/>
      </c>
      <c r="R14" s="264">
        <f>(MAX(I$3:I$23)-I14)/(MAX(I$3:I$23)-MIN(I$3:I$23))</f>
        <v/>
      </c>
      <c r="S14" s="264">
        <f>(G14-MIN(G$3:G$23))/(MAX(G$3:G$23)-MIN(G$3:G$23))</f>
        <v/>
      </c>
      <c r="T14" s="264">
        <f>(K14*'Fund Ranking Criteria'!$J$9)+('Fund Ranking Criteria'!$J$10*Consol_Thematic!M14)+('Fund Ranking Criteria'!$J$12*Consol_Thematic!S14)+('Fund Ranking Criteria'!$J$14*Consol_Thematic!R14)+('Fund Ranking Criteria'!$J$15*Consol_Thematic!O14)+('Fund Ranking Criteria'!$J$16*Consol_Thematic!P14)+('Fund Ranking Criteria'!#REF!*Consol_Thematic!Q14)+('Fund Ranking Criteria'!#REF!*Consol_Thematic!L14)</f>
        <v/>
      </c>
      <c r="U14" s="289">
        <f>T14*1</f>
        <v/>
      </c>
      <c r="V14" s="261">
        <f>RANK(U14,$U$3:$U$157,0)</f>
        <v/>
      </c>
      <c r="W14" s="261">
        <f>A14</f>
        <v/>
      </c>
    </row>
    <row r="15">
      <c r="A15" s="259" t="inlineStr">
        <is>
          <t>Axis Business Cycles Fund - Regular Plan</t>
        </is>
      </c>
      <c r="B15" s="259">
        <f>VLOOKUP($A15, Sheet4!$A$2:$L$688, Consol_Thematic!B$1,FALSE)</f>
        <v/>
      </c>
      <c r="C15" s="259">
        <f>VLOOKUP($A15, Sheet4!$A$2:$L$688, Consol_Thematic!C$1,FALSE)</f>
        <v/>
      </c>
      <c r="D15" s="259">
        <f>VLOOKUP($A15, Sheet4!$A$2:$L$688, Consol_Thematic!D$1,FALSE)</f>
        <v/>
      </c>
      <c r="E15" s="259">
        <f>VLOOKUP($A15, Sheet4!$A$2:$L$688, Consol_Thematic!E$1,FALSE)</f>
        <v/>
      </c>
      <c r="F15" s="259">
        <f>VLOOKUP($A15, Sheet4!$A$2:$L$688, Consol_Thematic!F$1,FALSE)</f>
        <v/>
      </c>
      <c r="G15" s="259">
        <f>VLOOKUP($A15, Sheet4!$A$2:$L$688, Consol_Thematic!G$1,FALSE)</f>
        <v/>
      </c>
      <c r="H15" s="260">
        <f>VLOOKUP($A15, Sheet4!$A$2:$L$688, Consol_Thematic!H$1,FALSE)</f>
        <v/>
      </c>
      <c r="I15" s="259">
        <f>VLOOKUP($A15, Sheet4!$A$2:$L$688, Consol_Thematic!I$1,FALSE)</f>
        <v/>
      </c>
      <c r="J15" s="259">
        <f>VLOOKUP($A15, Sheet4!$A$2:$L$688, Consol_Thematic!J$1,FALSE)</f>
        <v/>
      </c>
      <c r="K15" s="264">
        <f>(B15-MIN(B$3:B$23))/(MAX(B$3:B$23)-MIN(B$3:B$23))</f>
        <v/>
      </c>
      <c r="L15" s="264">
        <f>(MAX(H$3:H$23)-H15)/(MAX(H$3:H$23)-MIN(H$3:H$23))</f>
        <v/>
      </c>
      <c r="M15" s="264">
        <f>(C15-MIN(C$3:C$23))/(MAX(C$3:C$23)-MIN(C$3:C$23))</f>
        <v/>
      </c>
      <c r="N15" s="264">
        <f>(D15-MIN(D$3:D$23))/(MAX(D$3:D$23)-MIN(D$3:D$23))</f>
        <v/>
      </c>
      <c r="O15" s="264">
        <f>(MAX(J$3:J$23)-J15)/(MAX(J$3:J$23)-MIN(J$3:J$23))</f>
        <v/>
      </c>
      <c r="P15" s="264">
        <f>(E15-MIN(E$3:E$23))/(MAX(E$3:E$23)-MIN(E$3:E$23))</f>
        <v/>
      </c>
      <c r="Q15" s="264">
        <f>(F15-MIN(F$3:F$23))/(MAX(F$3:F$23)-MIN(F$3:F$23))</f>
        <v/>
      </c>
      <c r="R15" s="264">
        <f>(MAX(I$3:I$23)-I15)/(MAX(I$3:I$23)-MIN(I$3:I$23))</f>
        <v/>
      </c>
      <c r="S15" s="264">
        <f>(G15-MIN(G$3:G$23))/(MAX(G$3:G$23)-MIN(G$3:G$23))</f>
        <v/>
      </c>
      <c r="T15" s="264">
        <f>(K15*'Fund Ranking Criteria'!$J$9)+('Fund Ranking Criteria'!$J$10*Consol_Thematic!M15)+('Fund Ranking Criteria'!$J$12*Consol_Thematic!S15)+('Fund Ranking Criteria'!$J$14*Consol_Thematic!R15)+('Fund Ranking Criteria'!$J$15*Consol_Thematic!O15)+('Fund Ranking Criteria'!$J$16*Consol_Thematic!P15)+('Fund Ranking Criteria'!#REF!*Consol_Thematic!Q15)+('Fund Ranking Criteria'!#REF!*Consol_Thematic!L15)</f>
        <v/>
      </c>
      <c r="U15" s="289">
        <f>T15*1</f>
        <v/>
      </c>
      <c r="V15" s="261">
        <f>RANK(U15,$U$3:$U$157,0)</f>
        <v/>
      </c>
      <c r="W15" s="261">
        <f>A15</f>
        <v/>
      </c>
    </row>
    <row r="16">
      <c r="A16" s="259" t="inlineStr">
        <is>
          <t>Axis Consumption Fund - Regular Plan</t>
        </is>
      </c>
      <c r="B16" s="260">
        <f>VLOOKUP($A16, Sheet4!$A$2:$L$688, Consol_Thematic!B$1,FALSE)</f>
        <v/>
      </c>
      <c r="C16" s="260">
        <f>VLOOKUP($A16, Sheet4!$A$2:$L$688, Consol_Thematic!C$1,FALSE)</f>
        <v/>
      </c>
      <c r="D16" s="260">
        <f>VLOOKUP($A16, Sheet4!$A$2:$L$688, Consol_Thematic!D$1,FALSE)</f>
        <v/>
      </c>
      <c r="E16" s="260">
        <f>VLOOKUP($A16, Sheet4!$A$2:$L$688, Consol_Thematic!E$1,FALSE)</f>
        <v/>
      </c>
      <c r="F16" s="260">
        <f>VLOOKUP($A16, Sheet4!$A$2:$L$688, Consol_Thematic!F$1,FALSE)</f>
        <v/>
      </c>
      <c r="G16" s="260">
        <f>VLOOKUP($A16, Sheet4!$A$2:$L$688, Consol_Thematic!G$1,FALSE)</f>
        <v/>
      </c>
      <c r="H16" s="260">
        <f>VLOOKUP($A16, Sheet4!$A$2:$L$688, Consol_Thematic!H$1,FALSE)</f>
        <v/>
      </c>
      <c r="I16" s="260">
        <f>VLOOKUP($A16, Sheet4!$A$2:$L$688, Consol_Thematic!I$1,FALSE)</f>
        <v/>
      </c>
      <c r="J16" s="260">
        <f>VLOOKUP($A16, Sheet4!$A$2:$L$688, Consol_Thematic!J$1,FALSE)</f>
        <v/>
      </c>
      <c r="K16" s="264">
        <f>(B16-MIN(B$3:B$23))/(MAX(B$3:B$23)-MIN(B$3:B$23))</f>
        <v/>
      </c>
      <c r="L16" s="264">
        <f>(MAX(H$3:H$23)-H16)/(MAX(H$3:H$23)-MIN(H$3:H$23))</f>
        <v/>
      </c>
      <c r="M16" s="264">
        <f>(C16-MIN(C$3:C$23))/(MAX(C$3:C$23)-MIN(C$3:C$23))</f>
        <v/>
      </c>
      <c r="N16" s="264">
        <f>(D16-MIN(D$3:D$23))/(MAX(D$3:D$23)-MIN(D$3:D$23))</f>
        <v/>
      </c>
      <c r="O16" s="264">
        <f>(MAX(J$3:J$23)-J16)/(MAX(J$3:J$23)-MIN(J$3:J$23))</f>
        <v/>
      </c>
      <c r="P16" s="264">
        <f>(E16-MIN(E$3:E$23))/(MAX(E$3:E$23)-MIN(E$3:E$23))</f>
        <v/>
      </c>
      <c r="Q16" s="264">
        <f>(F16-MIN(F$3:F$23))/(MAX(F$3:F$23)-MIN(F$3:F$23))</f>
        <v/>
      </c>
      <c r="R16" s="264">
        <f>(MAX(I$3:I$23)-I16)/(MAX(I$3:I$23)-MIN(I$3:I$23))</f>
        <v/>
      </c>
      <c r="S16" s="264">
        <f>(G16-MIN(G$3:G$23))/(MAX(G$3:G$23)-MIN(G$3:G$23))</f>
        <v/>
      </c>
      <c r="T16" s="264">
        <f>(K16*'Fund Ranking Criteria'!$J$9)+('Fund Ranking Criteria'!$J$10*Consol_Thematic!M16)+('Fund Ranking Criteria'!$J$12*Consol_Thematic!S16)+('Fund Ranking Criteria'!$J$14*Consol_Thematic!R16)+('Fund Ranking Criteria'!$J$15*Consol_Thematic!O16)+('Fund Ranking Criteria'!$J$16*Consol_Thematic!P16)+('Fund Ranking Criteria'!#REF!*Consol_Thematic!Q16)+('Fund Ranking Criteria'!#REF!*Consol_Thematic!L16)</f>
        <v/>
      </c>
      <c r="U16" s="289">
        <f>T16*1</f>
        <v/>
      </c>
      <c r="V16" s="261">
        <f>RANK(U16,$U$3:$U$157,0)</f>
        <v/>
      </c>
      <c r="W16" s="261">
        <f>A16</f>
        <v/>
      </c>
    </row>
    <row r="17">
      <c r="A17" s="259" t="inlineStr">
        <is>
          <t>Axis ESG Integration Strategy Fund - Regular Plan</t>
        </is>
      </c>
      <c r="B17" s="260">
        <f>VLOOKUP($A17, Sheet4!$A$2:$L$688, Consol_Thematic!B$1,FALSE)</f>
        <v/>
      </c>
      <c r="C17" s="260">
        <f>VLOOKUP($A17, Sheet4!$A$2:$L$688, Consol_Thematic!C$1,FALSE)</f>
        <v/>
      </c>
      <c r="D17" s="259">
        <f>VLOOKUP($A17, Sheet4!$A$2:$L$688, Consol_Thematic!D$1,FALSE)</f>
        <v/>
      </c>
      <c r="E17" s="260">
        <f>VLOOKUP($A17, Sheet4!$A$2:$L$688, Consol_Thematic!E$1,FALSE)</f>
        <v/>
      </c>
      <c r="F17" s="260">
        <f>VLOOKUP($A17, Sheet4!$A$2:$L$688, Consol_Thematic!F$1,FALSE)</f>
        <v/>
      </c>
      <c r="G17" s="260">
        <f>VLOOKUP($A17, Sheet4!$A$2:$L$688, Consol_Thematic!G$1,FALSE)</f>
        <v/>
      </c>
      <c r="H17" s="260">
        <f>VLOOKUP($A17, Sheet4!$A$2:$L$688, Consol_Thematic!H$1,FALSE)</f>
        <v/>
      </c>
      <c r="I17" s="260">
        <f>VLOOKUP($A17, Sheet4!$A$2:$L$688, Consol_Thematic!I$1,FALSE)</f>
        <v/>
      </c>
      <c r="J17" s="260">
        <f>VLOOKUP($A17, Sheet4!$A$2:$L$688, Consol_Thematic!J$1,FALSE)</f>
        <v/>
      </c>
      <c r="K17" s="264">
        <f>(B17-MIN(B$3:B$23))/(MAX(B$3:B$23)-MIN(B$3:B$23))</f>
        <v/>
      </c>
      <c r="L17" s="264">
        <f>(MAX(H$3:H$23)-H17)/(MAX(H$3:H$23)-MIN(H$3:H$23))</f>
        <v/>
      </c>
      <c r="M17" s="264">
        <f>(C17-MIN(C$3:C$23))/(MAX(C$3:C$23)-MIN(C$3:C$23))</f>
        <v/>
      </c>
      <c r="N17" s="264">
        <f>(D17-MIN(D$3:D$23))/(MAX(D$3:D$23)-MIN(D$3:D$23))</f>
        <v/>
      </c>
      <c r="O17" s="264">
        <f>(MAX(J$3:J$23)-J17)/(MAX(J$3:J$23)-MIN(J$3:J$23))</f>
        <v/>
      </c>
      <c r="P17" s="264">
        <f>(E17-MIN(E$3:E$23))/(MAX(E$3:E$23)-MIN(E$3:E$23))</f>
        <v/>
      </c>
      <c r="Q17" s="264">
        <f>(F17-MIN(F$3:F$23))/(MAX(F$3:F$23)-MIN(F$3:F$23))</f>
        <v/>
      </c>
      <c r="R17" s="264">
        <f>(MAX(I$3:I$23)-I17)/(MAX(I$3:I$23)-MIN(I$3:I$23))</f>
        <v/>
      </c>
      <c r="S17" s="264">
        <f>(G17-MIN(G$3:G$23))/(MAX(G$3:G$23)-MIN(G$3:G$23))</f>
        <v/>
      </c>
      <c r="T17" s="264">
        <f>(K17*'Fund Ranking Criteria'!$J$9)+('Fund Ranking Criteria'!$J$10*Consol_Thematic!M17)+('Fund Ranking Criteria'!$J$12*Consol_Thematic!S17)+('Fund Ranking Criteria'!$J$14*Consol_Thematic!R17)+('Fund Ranking Criteria'!$J$15*Consol_Thematic!O17)+('Fund Ranking Criteria'!$J$16*Consol_Thematic!P17)+('Fund Ranking Criteria'!#REF!*Consol_Thematic!Q17)+('Fund Ranking Criteria'!#REF!*Consol_Thematic!L17)</f>
        <v/>
      </c>
      <c r="U17" s="289">
        <f>T17*1</f>
        <v/>
      </c>
      <c r="V17" s="261">
        <f>RANK(U17,$U$3:$U$157,0)</f>
        <v/>
      </c>
      <c r="W17" s="261">
        <f>A17</f>
        <v/>
      </c>
    </row>
    <row r="18">
      <c r="A18" s="259" t="inlineStr">
        <is>
          <t>Axis India Manufacturing Fund - Regular Plan</t>
        </is>
      </c>
      <c r="B18" s="260">
        <f>VLOOKUP($A18, Sheet4!$A$2:$L$688, Consol_Thematic!B$1,FALSE)</f>
        <v/>
      </c>
      <c r="C18" s="260">
        <f>VLOOKUP($A18, Sheet4!$A$2:$L$688, Consol_Thematic!C$1,FALSE)</f>
        <v/>
      </c>
      <c r="D18" s="259">
        <f>VLOOKUP($A18, Sheet4!$A$2:$L$688, Consol_Thematic!D$1,FALSE)</f>
        <v/>
      </c>
      <c r="E18" s="260">
        <f>VLOOKUP($A18, Sheet4!$A$2:$L$688, Consol_Thematic!E$1,FALSE)</f>
        <v/>
      </c>
      <c r="F18" s="260">
        <f>VLOOKUP($A18, Sheet4!$A$2:$L$688, Consol_Thematic!F$1,FALSE)</f>
        <v/>
      </c>
      <c r="G18" s="260">
        <f>VLOOKUP($A18, Sheet4!$A$2:$L$688, Consol_Thematic!G$1,FALSE)</f>
        <v/>
      </c>
      <c r="H18" s="260">
        <f>VLOOKUP($A18, Sheet4!$A$2:$L$688, Consol_Thematic!H$1,FALSE)</f>
        <v/>
      </c>
      <c r="I18" s="260">
        <f>VLOOKUP($A18, Sheet4!$A$2:$L$688, Consol_Thematic!I$1,FALSE)</f>
        <v/>
      </c>
      <c r="J18" s="260">
        <f>VLOOKUP($A18, Sheet4!$A$2:$L$688, Consol_Thematic!J$1,FALSE)</f>
        <v/>
      </c>
      <c r="K18" s="264">
        <f>(B18-MIN(B$3:B$23))/(MAX(B$3:B$23)-MIN(B$3:B$23))</f>
        <v/>
      </c>
      <c r="L18" s="264">
        <f>(MAX(H$3:H$23)-H18)/(MAX(H$3:H$23)-MIN(H$3:H$23))</f>
        <v/>
      </c>
      <c r="M18" s="264">
        <f>(C18-MIN(C$3:C$23))/(MAX(C$3:C$23)-MIN(C$3:C$23))</f>
        <v/>
      </c>
      <c r="N18" s="264">
        <f>(D18-MIN(D$3:D$23))/(MAX(D$3:D$23)-MIN(D$3:D$23))</f>
        <v/>
      </c>
      <c r="O18" s="264">
        <f>(MAX(J$3:J$23)-J18)/(MAX(J$3:J$23)-MIN(J$3:J$23))</f>
        <v/>
      </c>
      <c r="P18" s="264">
        <f>(E18-MIN(E$3:E$23))/(MAX(E$3:E$23)-MIN(E$3:E$23))</f>
        <v/>
      </c>
      <c r="Q18" s="264">
        <f>(F18-MIN(F$3:F$23))/(MAX(F$3:F$23)-MIN(F$3:F$23))</f>
        <v/>
      </c>
      <c r="R18" s="264">
        <f>(MAX(I$3:I$23)-I18)/(MAX(I$3:I$23)-MIN(I$3:I$23))</f>
        <v/>
      </c>
      <c r="S18" s="264">
        <f>(G18-MIN(G$3:G$23))/(MAX(G$3:G$23)-MIN(G$3:G$23))</f>
        <v/>
      </c>
      <c r="T18" s="264">
        <f>(K18*'Fund Ranking Criteria'!$J$9)+('Fund Ranking Criteria'!$J$10*Consol_Thematic!M18)+('Fund Ranking Criteria'!$J$12*Consol_Thematic!S18)+('Fund Ranking Criteria'!$J$14*Consol_Thematic!R18)+('Fund Ranking Criteria'!$J$15*Consol_Thematic!O18)+('Fund Ranking Criteria'!$J$16*Consol_Thematic!P18)+('Fund Ranking Criteria'!#REF!*Consol_Thematic!Q18)+('Fund Ranking Criteria'!#REF!*Consol_Thematic!L18)</f>
        <v/>
      </c>
      <c r="U18" s="289">
        <f>T18*1</f>
        <v/>
      </c>
      <c r="V18" s="261">
        <f>RANK(U18,$U$3:$U$157,0)</f>
        <v/>
      </c>
      <c r="W18" s="261">
        <f>A18</f>
        <v/>
      </c>
    </row>
    <row r="19">
      <c r="A19" s="259" t="inlineStr">
        <is>
          <t>Axis Innovation Fund - Regular Plan</t>
        </is>
      </c>
      <c r="B19" s="259">
        <f>VLOOKUP($A19, Sheet4!$A$2:$L$688, Consol_Thematic!B$1,FALSE)</f>
        <v/>
      </c>
      <c r="C19" s="259">
        <f>VLOOKUP($A19, Sheet4!$A$2:$L$688, Consol_Thematic!C$1,FALSE)</f>
        <v/>
      </c>
      <c r="D19" s="259">
        <f>VLOOKUP($A19, Sheet4!$A$2:$L$688, Consol_Thematic!D$1,FALSE)</f>
        <v/>
      </c>
      <c r="E19" s="259">
        <f>VLOOKUP($A19, Sheet4!$A$2:$L$688, Consol_Thematic!E$1,FALSE)</f>
        <v/>
      </c>
      <c r="F19" s="259">
        <f>VLOOKUP($A19, Sheet4!$A$2:$L$688, Consol_Thematic!F$1,FALSE)</f>
        <v/>
      </c>
      <c r="G19" s="259">
        <f>VLOOKUP($A19, Sheet4!$A$2:$L$688, Consol_Thematic!G$1,FALSE)</f>
        <v/>
      </c>
      <c r="H19" s="260">
        <f>VLOOKUP($A19, Sheet4!$A$2:$L$688, Consol_Thematic!H$1,FALSE)</f>
        <v/>
      </c>
      <c r="I19" s="259">
        <f>VLOOKUP($A19, Sheet4!$A$2:$L$688, Consol_Thematic!I$1,FALSE)</f>
        <v/>
      </c>
      <c r="J19" s="259">
        <f>VLOOKUP($A19, Sheet4!$A$2:$L$688, Consol_Thematic!J$1,FALSE)</f>
        <v/>
      </c>
      <c r="K19" s="264">
        <f>(B19-MIN(B$3:B$23))/(MAX(B$3:B$23)-MIN(B$3:B$23))</f>
        <v/>
      </c>
      <c r="L19" s="264">
        <f>(MAX(H$3:H$23)-H19)/(MAX(H$3:H$23)-MIN(H$3:H$23))</f>
        <v/>
      </c>
      <c r="M19" s="264">
        <f>(C19-MIN(C$3:C$23))/(MAX(C$3:C$23)-MIN(C$3:C$23))</f>
        <v/>
      </c>
      <c r="N19" s="264">
        <f>(D19-MIN(D$3:D$23))/(MAX(D$3:D$23)-MIN(D$3:D$23))</f>
        <v/>
      </c>
      <c r="O19" s="264">
        <f>(MAX(J$3:J$23)-J19)/(MAX(J$3:J$23)-MIN(J$3:J$23))</f>
        <v/>
      </c>
      <c r="P19" s="264">
        <f>(E19-MIN(E$3:E$23))/(MAX(E$3:E$23)-MIN(E$3:E$23))</f>
        <v/>
      </c>
      <c r="Q19" s="264">
        <f>(F19-MIN(F$3:F$23))/(MAX(F$3:F$23)-MIN(F$3:F$23))</f>
        <v/>
      </c>
      <c r="R19" s="264">
        <f>(MAX(I$3:I$23)-I19)/(MAX(I$3:I$23)-MIN(I$3:I$23))</f>
        <v/>
      </c>
      <c r="S19" s="264">
        <f>(G19-MIN(G$3:G$23))/(MAX(G$3:G$23)-MIN(G$3:G$23))</f>
        <v/>
      </c>
      <c r="T19" s="264">
        <f>(K19*'Fund Ranking Criteria'!$J$9)+('Fund Ranking Criteria'!$J$10*Consol_Thematic!M19)+('Fund Ranking Criteria'!$J$12*Consol_Thematic!S19)+('Fund Ranking Criteria'!$J$14*Consol_Thematic!R19)+('Fund Ranking Criteria'!$J$15*Consol_Thematic!O19)+('Fund Ranking Criteria'!$J$16*Consol_Thematic!P19)+('Fund Ranking Criteria'!#REF!*Consol_Thematic!Q19)+('Fund Ranking Criteria'!#REF!*Consol_Thematic!L19)</f>
        <v/>
      </c>
      <c r="U19" s="289">
        <f>T19*1</f>
        <v/>
      </c>
      <c r="V19" s="261">
        <f>RANK(U19,$U$3:$U$157,0)</f>
        <v/>
      </c>
      <c r="W19" s="261">
        <f>A19</f>
        <v/>
      </c>
    </row>
    <row r="20">
      <c r="A20" s="259" t="inlineStr">
        <is>
          <t>Axis Momentum Fund - Regular Plan</t>
        </is>
      </c>
      <c r="B20" s="259">
        <f>VLOOKUP($A20, Sheet4!$A$2:$L$688, Consol_Thematic!B$1,FALSE)</f>
        <v/>
      </c>
      <c r="C20" s="259">
        <f>VLOOKUP($A20, Sheet4!$A$2:$L$688, Consol_Thematic!C$1,FALSE)</f>
        <v/>
      </c>
      <c r="D20" s="259">
        <f>VLOOKUP($A20, Sheet4!$A$2:$L$688, Consol_Thematic!D$1,FALSE)</f>
        <v/>
      </c>
      <c r="E20" s="259">
        <f>VLOOKUP($A20, Sheet4!$A$2:$L$688, Consol_Thematic!E$1,FALSE)</f>
        <v/>
      </c>
      <c r="F20" s="259">
        <f>VLOOKUP($A20, Sheet4!$A$2:$L$688, Consol_Thematic!F$1,FALSE)</f>
        <v/>
      </c>
      <c r="G20" s="259">
        <f>VLOOKUP($A20, Sheet4!$A$2:$L$688, Consol_Thematic!G$1,FALSE)</f>
        <v/>
      </c>
      <c r="H20" s="260">
        <f>VLOOKUP($A20, Sheet4!$A$2:$L$688, Consol_Thematic!H$1,FALSE)</f>
        <v/>
      </c>
      <c r="I20" s="259">
        <f>VLOOKUP($A20, Sheet4!$A$2:$L$688, Consol_Thematic!I$1,FALSE)</f>
        <v/>
      </c>
      <c r="J20" s="259">
        <f>VLOOKUP($A20, Sheet4!$A$2:$L$688, Consol_Thematic!J$1,FALSE)</f>
        <v/>
      </c>
      <c r="K20" s="264">
        <f>(B20-MIN(B$3:B$23))/(MAX(B$3:B$23)-MIN(B$3:B$23))</f>
        <v/>
      </c>
      <c r="L20" s="264">
        <f>(MAX(H$3:H$23)-H20)/(MAX(H$3:H$23)-MIN(H$3:H$23))</f>
        <v/>
      </c>
      <c r="M20" s="264">
        <f>(C20-MIN(C$3:C$23))/(MAX(C$3:C$23)-MIN(C$3:C$23))</f>
        <v/>
      </c>
      <c r="N20" s="264">
        <f>(D20-MIN(D$3:D$23))/(MAX(D$3:D$23)-MIN(D$3:D$23))</f>
        <v/>
      </c>
      <c r="O20" s="264">
        <f>(MAX(J$3:J$23)-J20)/(MAX(J$3:J$23)-MIN(J$3:J$23))</f>
        <v/>
      </c>
      <c r="P20" s="264">
        <f>(E20-MIN(E$3:E$23))/(MAX(E$3:E$23)-MIN(E$3:E$23))</f>
        <v/>
      </c>
      <c r="Q20" s="264">
        <f>(F20-MIN(F$3:F$23))/(MAX(F$3:F$23)-MIN(F$3:F$23))</f>
        <v/>
      </c>
      <c r="R20" s="264">
        <f>(MAX(I$3:I$23)-I20)/(MAX(I$3:I$23)-MIN(I$3:I$23))</f>
        <v/>
      </c>
      <c r="S20" s="264">
        <f>(G20-MIN(G$3:G$23))/(MAX(G$3:G$23)-MIN(G$3:G$23))</f>
        <v/>
      </c>
      <c r="T20" s="264">
        <f>(K20*'Fund Ranking Criteria'!$J$9)+('Fund Ranking Criteria'!$J$10*Consol_Thematic!M20)+('Fund Ranking Criteria'!$J$12*Consol_Thematic!S20)+('Fund Ranking Criteria'!$J$14*Consol_Thematic!R20)+('Fund Ranking Criteria'!$J$15*Consol_Thematic!O20)+('Fund Ranking Criteria'!$J$16*Consol_Thematic!P20)+('Fund Ranking Criteria'!#REF!*Consol_Thematic!Q20)+('Fund Ranking Criteria'!#REF!*Consol_Thematic!L20)</f>
        <v/>
      </c>
      <c r="U20" s="289">
        <f>T20*1</f>
        <v/>
      </c>
      <c r="V20" s="261">
        <f>RANK(U20,$U$3:$U$157,0)</f>
        <v/>
      </c>
      <c r="W20" s="261">
        <f>A20</f>
        <v/>
      </c>
    </row>
    <row r="21">
      <c r="A21" s="259" t="inlineStr">
        <is>
          <t>Axis Quant Fund - Regular Plan</t>
        </is>
      </c>
      <c r="B21" s="260">
        <f>VLOOKUP($A21, Sheet4!$A$2:$L$688, Consol_Thematic!B$1,FALSE)</f>
        <v/>
      </c>
      <c r="C21" s="260">
        <f>VLOOKUP($A21, Sheet4!$A$2:$L$688, Consol_Thematic!C$1,FALSE)</f>
        <v/>
      </c>
      <c r="D21" s="260">
        <f>VLOOKUP($A21, Sheet4!$A$2:$L$688, Consol_Thematic!D$1,FALSE)</f>
        <v/>
      </c>
      <c r="E21" s="260">
        <f>VLOOKUP($A21, Sheet4!$A$2:$L$688, Consol_Thematic!E$1,FALSE)</f>
        <v/>
      </c>
      <c r="F21" s="260">
        <f>VLOOKUP($A21, Sheet4!$A$2:$L$688, Consol_Thematic!F$1,FALSE)</f>
        <v/>
      </c>
      <c r="G21" s="260">
        <f>VLOOKUP($A21, Sheet4!$A$2:$L$688, Consol_Thematic!G$1,FALSE)</f>
        <v/>
      </c>
      <c r="H21" s="260">
        <f>VLOOKUP($A21, Sheet4!$A$2:$L$688, Consol_Thematic!H$1,FALSE)</f>
        <v/>
      </c>
      <c r="I21" s="260">
        <f>VLOOKUP($A21, Sheet4!$A$2:$L$688, Consol_Thematic!I$1,FALSE)</f>
        <v/>
      </c>
      <c r="J21" s="260">
        <f>VLOOKUP($A21, Sheet4!$A$2:$L$688, Consol_Thematic!J$1,FALSE)</f>
        <v/>
      </c>
      <c r="K21" s="264">
        <f>(B21-MIN(B$3:B$23))/(MAX(B$3:B$23)-MIN(B$3:B$23))</f>
        <v/>
      </c>
      <c r="L21" s="264">
        <f>(MAX(H$3:H$23)-H21)/(MAX(H$3:H$23)-MIN(H$3:H$23))</f>
        <v/>
      </c>
      <c r="M21" s="264">
        <f>(C21-MIN(C$3:C$23))/(MAX(C$3:C$23)-MIN(C$3:C$23))</f>
        <v/>
      </c>
      <c r="N21" s="264">
        <f>(D21-MIN(D$3:D$23))/(MAX(D$3:D$23)-MIN(D$3:D$23))</f>
        <v/>
      </c>
      <c r="O21" s="264">
        <f>(MAX(J$3:J$23)-J21)/(MAX(J$3:J$23)-MIN(J$3:J$23))</f>
        <v/>
      </c>
      <c r="P21" s="264">
        <f>(E21-MIN(E$3:E$23))/(MAX(E$3:E$23)-MIN(E$3:E$23))</f>
        <v/>
      </c>
      <c r="Q21" s="264">
        <f>(F21-MIN(F$3:F$23))/(MAX(F$3:F$23)-MIN(F$3:F$23))</f>
        <v/>
      </c>
      <c r="R21" s="264">
        <f>(MAX(I$3:I$23)-I21)/(MAX(I$3:I$23)-MIN(I$3:I$23))</f>
        <v/>
      </c>
      <c r="S21" s="264">
        <f>(G21-MIN(G$3:G$23))/(MAX(G$3:G$23)-MIN(G$3:G$23))</f>
        <v/>
      </c>
      <c r="T21" s="264">
        <f>(K21*'Fund Ranking Criteria'!$J$9)+('Fund Ranking Criteria'!$J$10*Consol_Thematic!M21)+('Fund Ranking Criteria'!$J$12*Consol_Thematic!S21)+('Fund Ranking Criteria'!$J$14*Consol_Thematic!R21)+('Fund Ranking Criteria'!$J$15*Consol_Thematic!O21)+('Fund Ranking Criteria'!$J$16*Consol_Thematic!P21)+('Fund Ranking Criteria'!#REF!*Consol_Thematic!Q21)+('Fund Ranking Criteria'!#REF!*Consol_Thematic!L21)</f>
        <v/>
      </c>
      <c r="U21" s="289">
        <f>T21*1</f>
        <v/>
      </c>
      <c r="V21" s="261">
        <f>RANK(U21,$U$3:$U$157,0)</f>
        <v/>
      </c>
      <c r="W21" s="261">
        <f>A21</f>
        <v/>
      </c>
    </row>
    <row r="22">
      <c r="A22" s="259" t="inlineStr">
        <is>
          <t>Bajaj Finserv Consumption Fund - Regular Plan</t>
        </is>
      </c>
      <c r="B22" s="259">
        <f>VLOOKUP($A22, Sheet4!$A$2:$L$688, Consol_Thematic!B$1,FALSE)</f>
        <v/>
      </c>
      <c r="C22" s="259">
        <f>VLOOKUP($A22, Sheet4!$A$2:$L$688, Consol_Thematic!C$1,FALSE)</f>
        <v/>
      </c>
      <c r="D22" s="259">
        <f>VLOOKUP($A22, Sheet4!$A$2:$L$688, Consol_Thematic!D$1,FALSE)</f>
        <v/>
      </c>
      <c r="E22" s="259">
        <f>VLOOKUP($A22, Sheet4!$A$2:$L$688, Consol_Thematic!E$1,FALSE)</f>
        <v/>
      </c>
      <c r="F22" s="259">
        <f>VLOOKUP($A22, Sheet4!$A$2:$L$688, Consol_Thematic!F$1,FALSE)</f>
        <v/>
      </c>
      <c r="G22" s="259">
        <f>VLOOKUP($A22, Sheet4!$A$2:$L$688, Consol_Thematic!G$1,FALSE)</f>
        <v/>
      </c>
      <c r="H22" s="260">
        <f>VLOOKUP($A22, Sheet4!$A$2:$L$688, Consol_Thematic!H$1,FALSE)</f>
        <v/>
      </c>
      <c r="I22" s="259">
        <f>VLOOKUP($A22, Sheet4!$A$2:$L$688, Consol_Thematic!I$1,FALSE)</f>
        <v/>
      </c>
      <c r="J22" s="259">
        <f>VLOOKUP($A22, Sheet4!$A$2:$L$688, Consol_Thematic!J$1,FALSE)</f>
        <v/>
      </c>
      <c r="K22" s="264">
        <f>(B22-MIN(B$3:B$23))/(MAX(B$3:B$23)-MIN(B$3:B$23))</f>
        <v/>
      </c>
      <c r="L22" s="264">
        <f>(MAX(H$3:H$23)-H22)/(MAX(H$3:H$23)-MIN(H$3:H$23))</f>
        <v/>
      </c>
      <c r="M22" s="264">
        <f>(C22-MIN(C$3:C$23))/(MAX(C$3:C$23)-MIN(C$3:C$23))</f>
        <v/>
      </c>
      <c r="N22" s="264">
        <f>(D22-MIN(D$3:D$23))/(MAX(D$3:D$23)-MIN(D$3:D$23))</f>
        <v/>
      </c>
      <c r="O22" s="264">
        <f>(MAX(J$3:J$23)-J22)/(MAX(J$3:J$23)-MIN(J$3:J$23))</f>
        <v/>
      </c>
      <c r="P22" s="264">
        <f>(E22-MIN(E$3:E$23))/(MAX(E$3:E$23)-MIN(E$3:E$23))</f>
        <v/>
      </c>
      <c r="Q22" s="264">
        <f>(F22-MIN(F$3:F$23))/(MAX(F$3:F$23)-MIN(F$3:F$23))</f>
        <v/>
      </c>
      <c r="R22" s="264">
        <f>(MAX(I$3:I$23)-I22)/(MAX(I$3:I$23)-MIN(I$3:I$23))</f>
        <v/>
      </c>
      <c r="S22" s="264">
        <f>(G22-MIN(G$3:G$23))/(MAX(G$3:G$23)-MIN(G$3:G$23))</f>
        <v/>
      </c>
      <c r="T22" s="264">
        <f>(K22*'Fund Ranking Criteria'!$J$9)+('Fund Ranking Criteria'!$J$10*Consol_Thematic!M22)+('Fund Ranking Criteria'!$J$12*Consol_Thematic!S22)+('Fund Ranking Criteria'!$J$14*Consol_Thematic!R22)+('Fund Ranking Criteria'!$J$15*Consol_Thematic!O22)+('Fund Ranking Criteria'!$J$16*Consol_Thematic!P22)+('Fund Ranking Criteria'!#REF!*Consol_Thematic!Q22)+('Fund Ranking Criteria'!#REF!*Consol_Thematic!L22)</f>
        <v/>
      </c>
      <c r="U22" s="289">
        <f>T22*1</f>
        <v/>
      </c>
      <c r="V22" s="261">
        <f>RANK(U22,$U$3:$U$157,0)</f>
        <v/>
      </c>
      <c r="W22" s="261">
        <f>A22</f>
        <v/>
      </c>
    </row>
    <row r="23">
      <c r="A23" s="259" t="inlineStr">
        <is>
          <t>Bandhan Business Cycle Fund - Regular Plan</t>
        </is>
      </c>
      <c r="B23" s="260">
        <f>VLOOKUP($A23, Sheet4!$A$2:$L$688, Consol_Thematic!B$1,FALSE)</f>
        <v/>
      </c>
      <c r="C23" s="260">
        <f>VLOOKUP($A23, Sheet4!$A$2:$L$688, Consol_Thematic!C$1,FALSE)</f>
        <v/>
      </c>
      <c r="D23" s="260">
        <f>VLOOKUP($A23, Sheet4!$A$2:$L$688, Consol_Thematic!D$1,FALSE)</f>
        <v/>
      </c>
      <c r="E23" s="260">
        <f>VLOOKUP($A23, Sheet4!$A$2:$L$688, Consol_Thematic!E$1,FALSE)</f>
        <v/>
      </c>
      <c r="F23" s="260">
        <f>VLOOKUP($A23, Sheet4!$A$2:$L$688, Consol_Thematic!F$1,FALSE)</f>
        <v/>
      </c>
      <c r="G23" s="260">
        <f>VLOOKUP($A23, Sheet4!$A$2:$L$688, Consol_Thematic!G$1,FALSE)</f>
        <v/>
      </c>
      <c r="H23" s="260">
        <f>VLOOKUP($A23, Sheet4!$A$2:$L$688, Consol_Thematic!H$1,FALSE)</f>
        <v/>
      </c>
      <c r="I23" s="260">
        <f>VLOOKUP($A23, Sheet4!$A$2:$L$688, Consol_Thematic!I$1,FALSE)</f>
        <v/>
      </c>
      <c r="J23" s="260">
        <f>VLOOKUP($A23, Sheet4!$A$2:$L$688, Consol_Thematic!J$1,FALSE)</f>
        <v/>
      </c>
      <c r="K23" s="264">
        <f>(B23-MIN(B$3:B$23))/(MAX(B$3:B$23)-MIN(B$3:B$23))</f>
        <v/>
      </c>
      <c r="L23" s="264">
        <f>(MAX(H$3:H$23)-H23)/(MAX(H$3:H$23)-MIN(H$3:H$23))</f>
        <v/>
      </c>
      <c r="M23" s="264">
        <f>(C23-MIN(C$3:C$23))/(MAX(C$3:C$23)-MIN(C$3:C$23))</f>
        <v/>
      </c>
      <c r="N23" s="264">
        <f>(D23-MIN(D$3:D$23))/(MAX(D$3:D$23)-MIN(D$3:D$23))</f>
        <v/>
      </c>
      <c r="O23" s="264">
        <f>(MAX(J$3:J$23)-J23)/(MAX(J$3:J$23)-MIN(J$3:J$23))</f>
        <v/>
      </c>
      <c r="P23" s="264">
        <f>(E23-MIN(E$3:E$23))/(MAX(E$3:E$23)-MIN(E$3:E$23))</f>
        <v/>
      </c>
      <c r="Q23" s="264">
        <f>(F23-MIN(F$3:F$23))/(MAX(F$3:F$23)-MIN(F$3:F$23))</f>
        <v/>
      </c>
      <c r="R23" s="264">
        <f>(MAX(I$3:I$23)-I23)/(MAX(I$3:I$23)-MIN(I$3:I$23))</f>
        <v/>
      </c>
      <c r="S23" s="264">
        <f>(G23-MIN(G$3:G$23))/(MAX(G$3:G$23)-MIN(G$3:G$23))</f>
        <v/>
      </c>
      <c r="T23" s="264">
        <f>(K23*'Fund Ranking Criteria'!$J$9)+('Fund Ranking Criteria'!$J$10*Consol_Thematic!M23)+('Fund Ranking Criteria'!$J$12*Consol_Thematic!S23)+('Fund Ranking Criteria'!$J$14*Consol_Thematic!R23)+('Fund Ranking Criteria'!$J$15*Consol_Thematic!O23)+('Fund Ranking Criteria'!$J$16*Consol_Thematic!P23)+('Fund Ranking Criteria'!#REF!*Consol_Thematic!Q23)+('Fund Ranking Criteria'!#REF!*Consol_Thematic!L23)</f>
        <v/>
      </c>
      <c r="U23" s="289">
        <f>T23*1</f>
        <v/>
      </c>
      <c r="V23" s="261">
        <f>RANK(U23,$U$3:$U$157,0)</f>
        <v/>
      </c>
      <c r="W23" s="261">
        <f>A23</f>
        <v/>
      </c>
    </row>
    <row r="24">
      <c r="A24" s="261" t="inlineStr">
        <is>
          <t>Bandhan Innovation Fund - Regular Plan</t>
        </is>
      </c>
      <c r="B24" s="261">
        <f>VLOOKUP($A24, Sheet4!$A$2:$L$688, Consol_Thematic!B$1,FALSE)</f>
        <v/>
      </c>
      <c r="C24" s="261">
        <f>VLOOKUP($A24, Sheet4!$A$2:$L$688, Consol_Thematic!C$1,FALSE)</f>
        <v/>
      </c>
      <c r="D24" s="261">
        <f>VLOOKUP($A24, Sheet4!$A$2:$L$688, Consol_Thematic!D$1,FALSE)</f>
        <v/>
      </c>
      <c r="E24" s="261">
        <f>VLOOKUP($A24, Sheet4!$A$2:$L$688, Consol_Thematic!E$1,FALSE)</f>
        <v/>
      </c>
      <c r="F24" s="261">
        <f>VLOOKUP($A24, Sheet4!$A$2:$L$688, Consol_Thematic!F$1,FALSE)</f>
        <v/>
      </c>
      <c r="G24" s="261">
        <f>VLOOKUP($A24, Sheet4!$A$2:$L$688, Consol_Thematic!G$1,FALSE)</f>
        <v/>
      </c>
      <c r="H24" s="261">
        <f>VLOOKUP($A24, Sheet4!$A$2:$L$688, Consol_Thematic!H$1,FALSE)</f>
        <v/>
      </c>
      <c r="I24" s="261">
        <f>VLOOKUP($A24, Sheet4!$A$2:$L$688, Consol_Thematic!I$1,FALSE)</f>
        <v/>
      </c>
      <c r="J24" s="261">
        <f>VLOOKUP($A24, Sheet4!$A$2:$L$688, Consol_Thematic!J$1,FALSE)</f>
        <v/>
      </c>
      <c r="K24" s="288">
        <f>(B24-MIN(B$3:B$23))/(MAX(B$3:B$23)-MIN(B$3:B$23))</f>
        <v/>
      </c>
      <c r="L24" s="288">
        <f>(MAX(H$3:H$23)-H24)/(MAX(H$3:H$23)-MIN(H$3:H$23))</f>
        <v/>
      </c>
      <c r="M24" s="288">
        <f>(C24-MIN(C$3:C$23))/(MAX(C$3:C$23)-MIN(C$3:C$23))</f>
        <v/>
      </c>
      <c r="N24" s="288">
        <f>(D24-MIN(D$3:D$23))/(MAX(D$3:D$23)-MIN(D$3:D$23))</f>
        <v/>
      </c>
      <c r="O24" s="288">
        <f>(MAX(J$3:J$23)-J24)/(MAX(J$3:J$23)-MIN(J$3:J$23))</f>
        <v/>
      </c>
      <c r="P24" s="288">
        <f>(E24-MIN(E$3:E$23))/(MAX(E$3:E$23)-MIN(E$3:E$23))</f>
        <v/>
      </c>
      <c r="Q24" s="288">
        <f>(F24-MIN(F$3:F$23))/(MAX(F$3:F$23)-MIN(F$3:F$23))</f>
        <v/>
      </c>
      <c r="R24" s="288">
        <f>(MAX(I$3:I$23)-I24)/(MAX(I$3:I$23)-MIN(I$3:I$23))</f>
        <v/>
      </c>
      <c r="S24" s="288">
        <f>(G24-MIN(G$3:G$23))/(MAX(G$3:G$23)-MIN(G$3:G$23))</f>
        <v/>
      </c>
      <c r="T24" s="288">
        <f>(K24*'Fund Ranking Criteria'!$J$9)+('Fund Ranking Criteria'!$J$10*Consol_Thematic!M24)+('Fund Ranking Criteria'!$J$12*Consol_Thematic!S24)+('Fund Ranking Criteria'!$J$14*Consol_Thematic!R24)+('Fund Ranking Criteria'!$J$15*Consol_Thematic!O24)+('Fund Ranking Criteria'!$J$16*Consol_Thematic!P24)+('Fund Ranking Criteria'!#REF!*Consol_Thematic!Q24)+('Fund Ranking Criteria'!#REF!*Consol_Thematic!L24)</f>
        <v/>
      </c>
      <c r="U24" s="288">
        <f>T24*1</f>
        <v/>
      </c>
      <c r="V24" s="261">
        <f>RANK(U24,$U$3:$U$157,0)</f>
        <v/>
      </c>
      <c r="W24" s="261">
        <f>A24</f>
        <v/>
      </c>
    </row>
    <row r="25">
      <c r="A25" s="261" t="inlineStr">
        <is>
          <t>Bandhan Transportation and Logistics Fund - Regular Plan</t>
        </is>
      </c>
      <c r="B25" s="261">
        <f>VLOOKUP($A25, Sheet4!$A$2:$L$688, Consol_Thematic!B$1,FALSE)</f>
        <v/>
      </c>
      <c r="C25" s="261">
        <f>VLOOKUP($A25, Sheet4!$A$2:$L$688, Consol_Thematic!C$1,FALSE)</f>
        <v/>
      </c>
      <c r="D25" s="261">
        <f>VLOOKUP($A25, Sheet4!$A$2:$L$688, Consol_Thematic!D$1,FALSE)</f>
        <v/>
      </c>
      <c r="E25" s="261">
        <f>VLOOKUP($A25, Sheet4!$A$2:$L$688, Consol_Thematic!E$1,FALSE)</f>
        <v/>
      </c>
      <c r="F25" s="261">
        <f>VLOOKUP($A25, Sheet4!$A$2:$L$688, Consol_Thematic!F$1,FALSE)</f>
        <v/>
      </c>
      <c r="G25" s="261">
        <f>VLOOKUP($A25, Sheet4!$A$2:$L$688, Consol_Thematic!G$1,FALSE)</f>
        <v/>
      </c>
      <c r="H25" s="261">
        <f>VLOOKUP($A25, Sheet4!$A$2:$L$688, Consol_Thematic!H$1,FALSE)</f>
        <v/>
      </c>
      <c r="I25" s="261">
        <f>VLOOKUP($A25, Sheet4!$A$2:$L$688, Consol_Thematic!I$1,FALSE)</f>
        <v/>
      </c>
      <c r="J25" s="261">
        <f>VLOOKUP($A25, Sheet4!$A$2:$L$688, Consol_Thematic!J$1,FALSE)</f>
        <v/>
      </c>
      <c r="K25" s="288">
        <f>(B25-MIN(B$3:B$23))/(MAX(B$3:B$23)-MIN(B$3:B$23))</f>
        <v/>
      </c>
      <c r="L25" s="288">
        <f>(MAX(H$3:H$23)-H25)/(MAX(H$3:H$23)-MIN(H$3:H$23))</f>
        <v/>
      </c>
      <c r="M25" s="288">
        <f>(C25-MIN(C$3:C$23))/(MAX(C$3:C$23)-MIN(C$3:C$23))</f>
        <v/>
      </c>
      <c r="N25" s="288">
        <f>(D25-MIN(D$3:D$23))/(MAX(D$3:D$23)-MIN(D$3:D$23))</f>
        <v/>
      </c>
      <c r="O25" s="288">
        <f>(MAX(J$3:J$23)-J25)/(MAX(J$3:J$23)-MIN(J$3:J$23))</f>
        <v/>
      </c>
      <c r="P25" s="288">
        <f>(E25-MIN(E$3:E$23))/(MAX(E$3:E$23)-MIN(E$3:E$23))</f>
        <v/>
      </c>
      <c r="Q25" s="288">
        <f>(F25-MIN(F$3:F$23))/(MAX(F$3:F$23)-MIN(F$3:F$23))</f>
        <v/>
      </c>
      <c r="R25" s="288">
        <f>(MAX(I$3:I$23)-I25)/(MAX(I$3:I$23)-MIN(I$3:I$23))</f>
        <v/>
      </c>
      <c r="S25" s="288">
        <f>(G25-MIN(G$3:G$23))/(MAX(G$3:G$23)-MIN(G$3:G$23))</f>
        <v/>
      </c>
      <c r="T25" s="288">
        <f>(K25*'Fund Ranking Criteria'!$J$9)+('Fund Ranking Criteria'!$J$10*Consol_Thematic!M25)+('Fund Ranking Criteria'!$J$12*Consol_Thematic!S25)+('Fund Ranking Criteria'!$J$14*Consol_Thematic!R25)+('Fund Ranking Criteria'!$J$15*Consol_Thematic!O25)+('Fund Ranking Criteria'!$J$16*Consol_Thematic!P25)+('Fund Ranking Criteria'!#REF!*Consol_Thematic!Q25)+('Fund Ranking Criteria'!#REF!*Consol_Thematic!L25)</f>
        <v/>
      </c>
      <c r="U25" s="288">
        <f>T25*1</f>
        <v/>
      </c>
      <c r="V25" s="261">
        <f>RANK(U25,$U$3:$U$157,0)</f>
        <v/>
      </c>
      <c r="W25" s="261">
        <f>A25</f>
        <v/>
      </c>
    </row>
    <row r="26">
      <c r="A26" s="261" t="inlineStr">
        <is>
          <t>Bank of India Business Cycle Fund - Regular Plan</t>
        </is>
      </c>
      <c r="B26" s="261">
        <f>VLOOKUP($A26, Sheet4!$A$2:$L$688, Consol_Thematic!B$1,FALSE)</f>
        <v/>
      </c>
      <c r="C26" s="261">
        <f>VLOOKUP($A26, Sheet4!$A$2:$L$688, Consol_Thematic!C$1,FALSE)</f>
        <v/>
      </c>
      <c r="D26" s="261">
        <f>VLOOKUP($A26, Sheet4!$A$2:$L$688, Consol_Thematic!D$1,FALSE)</f>
        <v/>
      </c>
      <c r="E26" s="261">
        <f>VLOOKUP($A26, Sheet4!$A$2:$L$688, Consol_Thematic!E$1,FALSE)</f>
        <v/>
      </c>
      <c r="F26" s="261">
        <f>VLOOKUP($A26, Sheet4!$A$2:$L$688, Consol_Thematic!F$1,FALSE)</f>
        <v/>
      </c>
      <c r="G26" s="261">
        <f>VLOOKUP($A26, Sheet4!$A$2:$L$688, Consol_Thematic!G$1,FALSE)</f>
        <v/>
      </c>
      <c r="H26" s="261">
        <f>VLOOKUP($A26, Sheet4!$A$2:$L$688, Consol_Thematic!H$1,FALSE)</f>
        <v/>
      </c>
      <c r="I26" s="261">
        <f>VLOOKUP($A26, Sheet4!$A$2:$L$688, Consol_Thematic!I$1,FALSE)</f>
        <v/>
      </c>
      <c r="J26" s="261">
        <f>VLOOKUP($A26, Sheet4!$A$2:$L$688, Consol_Thematic!J$1,FALSE)</f>
        <v/>
      </c>
      <c r="K26" s="288">
        <f>(B26-MIN(B$3:B$23))/(MAX(B$3:B$23)-MIN(B$3:B$23))</f>
        <v/>
      </c>
      <c r="L26" s="288">
        <f>(MAX(H$3:H$23)-H26)/(MAX(H$3:H$23)-MIN(H$3:H$23))</f>
        <v/>
      </c>
      <c r="M26" s="288">
        <f>(C26-MIN(C$3:C$23))/(MAX(C$3:C$23)-MIN(C$3:C$23))</f>
        <v/>
      </c>
      <c r="N26" s="288">
        <f>(D26-MIN(D$3:D$23))/(MAX(D$3:D$23)-MIN(D$3:D$23))</f>
        <v/>
      </c>
      <c r="O26" s="288">
        <f>(MAX(J$3:J$23)-J26)/(MAX(J$3:J$23)-MIN(J$3:J$23))</f>
        <v/>
      </c>
      <c r="P26" s="288">
        <f>(E26-MIN(E$3:E$23))/(MAX(E$3:E$23)-MIN(E$3:E$23))</f>
        <v/>
      </c>
      <c r="Q26" s="288">
        <f>(F26-MIN(F$3:F$23))/(MAX(F$3:F$23)-MIN(F$3:F$23))</f>
        <v/>
      </c>
      <c r="R26" s="288">
        <f>(MAX(I$3:I$23)-I26)/(MAX(I$3:I$23)-MIN(I$3:I$23))</f>
        <v/>
      </c>
      <c r="S26" s="288">
        <f>(G26-MIN(G$3:G$23))/(MAX(G$3:G$23)-MIN(G$3:G$23))</f>
        <v/>
      </c>
      <c r="T26" s="288">
        <f>(K26*'Fund Ranking Criteria'!$J$9)+('Fund Ranking Criteria'!$J$10*Consol_Thematic!M26)+('Fund Ranking Criteria'!$J$12*Consol_Thematic!S26)+('Fund Ranking Criteria'!$J$14*Consol_Thematic!R26)+('Fund Ranking Criteria'!$J$15*Consol_Thematic!O26)+('Fund Ranking Criteria'!$J$16*Consol_Thematic!P26)+('Fund Ranking Criteria'!#REF!*Consol_Thematic!Q26)+('Fund Ranking Criteria'!#REF!*Consol_Thematic!L26)</f>
        <v/>
      </c>
      <c r="U26" s="288">
        <f>T26*1</f>
        <v/>
      </c>
      <c r="V26" s="261">
        <f>RANK(U26,$U$3:$U$157,0)</f>
        <v/>
      </c>
      <c r="W26" s="261">
        <f>A26</f>
        <v/>
      </c>
    </row>
    <row r="27">
      <c r="A27" s="261" t="inlineStr">
        <is>
          <t>Bank of India Consumption Fund - Regular Plan</t>
        </is>
      </c>
      <c r="B27" s="261">
        <f>VLOOKUP($A27, Sheet4!$A$2:$L$688, Consol_Thematic!B$1,FALSE)</f>
        <v/>
      </c>
      <c r="C27" s="261">
        <f>VLOOKUP($A27, Sheet4!$A$2:$L$688, Consol_Thematic!C$1,FALSE)</f>
        <v/>
      </c>
      <c r="D27" s="261">
        <f>VLOOKUP($A27, Sheet4!$A$2:$L$688, Consol_Thematic!D$1,FALSE)</f>
        <v/>
      </c>
      <c r="E27" s="261">
        <f>VLOOKUP($A27, Sheet4!$A$2:$L$688, Consol_Thematic!E$1,FALSE)</f>
        <v/>
      </c>
      <c r="F27" s="261">
        <f>VLOOKUP($A27, Sheet4!$A$2:$L$688, Consol_Thematic!F$1,FALSE)</f>
        <v/>
      </c>
      <c r="G27" s="261">
        <f>VLOOKUP($A27, Sheet4!$A$2:$L$688, Consol_Thematic!G$1,FALSE)</f>
        <v/>
      </c>
      <c r="H27" s="261">
        <f>VLOOKUP($A27, Sheet4!$A$2:$L$688, Consol_Thematic!H$1,FALSE)</f>
        <v/>
      </c>
      <c r="I27" s="261">
        <f>VLOOKUP($A27, Sheet4!$A$2:$L$688, Consol_Thematic!I$1,FALSE)</f>
        <v/>
      </c>
      <c r="J27" s="261">
        <f>VLOOKUP($A27, Sheet4!$A$2:$L$688, Consol_Thematic!J$1,FALSE)</f>
        <v/>
      </c>
      <c r="K27" s="288">
        <f>(B27-MIN(B$3:B$23))/(MAX(B$3:B$23)-MIN(B$3:B$23))</f>
        <v/>
      </c>
      <c r="L27" s="288">
        <f>(MAX(H$3:H$23)-H27)/(MAX(H$3:H$23)-MIN(H$3:H$23))</f>
        <v/>
      </c>
      <c r="M27" s="288">
        <f>(C27-MIN(C$3:C$23))/(MAX(C$3:C$23)-MIN(C$3:C$23))</f>
        <v/>
      </c>
      <c r="N27" s="288">
        <f>(D27-MIN(D$3:D$23))/(MAX(D$3:D$23)-MIN(D$3:D$23))</f>
        <v/>
      </c>
      <c r="O27" s="288">
        <f>(MAX(J$3:J$23)-J27)/(MAX(J$3:J$23)-MIN(J$3:J$23))</f>
        <v/>
      </c>
      <c r="P27" s="288">
        <f>(E27-MIN(E$3:E$23))/(MAX(E$3:E$23)-MIN(E$3:E$23))</f>
        <v/>
      </c>
      <c r="Q27" s="288">
        <f>(F27-MIN(F$3:F$23))/(MAX(F$3:F$23)-MIN(F$3:F$23))</f>
        <v/>
      </c>
      <c r="R27" s="288">
        <f>(MAX(I$3:I$23)-I27)/(MAX(I$3:I$23)-MIN(I$3:I$23))</f>
        <v/>
      </c>
      <c r="S27" s="288">
        <f>(G27-MIN(G$3:G$23))/(MAX(G$3:G$23)-MIN(G$3:G$23))</f>
        <v/>
      </c>
      <c r="T27" s="288">
        <f>(K27*'Fund Ranking Criteria'!$J$9)+('Fund Ranking Criteria'!$J$10*Consol_Thematic!M27)+('Fund Ranking Criteria'!$J$12*Consol_Thematic!S27)+('Fund Ranking Criteria'!$J$14*Consol_Thematic!R27)+('Fund Ranking Criteria'!$J$15*Consol_Thematic!O27)+('Fund Ranking Criteria'!$J$16*Consol_Thematic!P27)+('Fund Ranking Criteria'!#REF!*Consol_Thematic!Q27)+('Fund Ranking Criteria'!#REF!*Consol_Thematic!L27)</f>
        <v/>
      </c>
      <c r="U27" s="288">
        <f>T27*1</f>
        <v/>
      </c>
      <c r="V27" s="261">
        <f>RANK(U27,$U$3:$U$157,0)</f>
        <v/>
      </c>
      <c r="W27" s="261">
        <f>A27</f>
        <v/>
      </c>
    </row>
    <row r="28">
      <c r="A28" s="261" t="inlineStr">
        <is>
          <t>Baroda BNP Paribas Business Cycle Fund - Regular Plan</t>
        </is>
      </c>
      <c r="B28" s="261">
        <f>VLOOKUP($A28, Sheet4!$A$2:$L$688, Consol_Thematic!B$1,FALSE)</f>
        <v/>
      </c>
      <c r="C28" s="261">
        <f>VLOOKUP($A28, Sheet4!$A$2:$L$688, Consol_Thematic!C$1,FALSE)</f>
        <v/>
      </c>
      <c r="D28" s="261">
        <f>VLOOKUP($A28, Sheet4!$A$2:$L$688, Consol_Thematic!D$1,FALSE)</f>
        <v/>
      </c>
      <c r="E28" s="261">
        <f>VLOOKUP($A28, Sheet4!$A$2:$L$688, Consol_Thematic!E$1,FALSE)</f>
        <v/>
      </c>
      <c r="F28" s="261">
        <f>VLOOKUP($A28, Sheet4!$A$2:$L$688, Consol_Thematic!F$1,FALSE)</f>
        <v/>
      </c>
      <c r="G28" s="261">
        <f>VLOOKUP($A28, Sheet4!$A$2:$L$688, Consol_Thematic!G$1,FALSE)</f>
        <v/>
      </c>
      <c r="H28" s="261">
        <f>VLOOKUP($A28, Sheet4!$A$2:$L$688, Consol_Thematic!H$1,FALSE)</f>
        <v/>
      </c>
      <c r="I28" s="261">
        <f>VLOOKUP($A28, Sheet4!$A$2:$L$688, Consol_Thematic!I$1,FALSE)</f>
        <v/>
      </c>
      <c r="J28" s="261">
        <f>VLOOKUP($A28, Sheet4!$A$2:$L$688, Consol_Thematic!J$1,FALSE)</f>
        <v/>
      </c>
      <c r="K28" s="288">
        <f>(B28-MIN(B$3:B$23))/(MAX(B$3:B$23)-MIN(B$3:B$23))</f>
        <v/>
      </c>
      <c r="L28" s="288">
        <f>(MAX(H$3:H$23)-H28)/(MAX(H$3:H$23)-MIN(H$3:H$23))</f>
        <v/>
      </c>
      <c r="M28" s="288">
        <f>(C28-MIN(C$3:C$23))/(MAX(C$3:C$23)-MIN(C$3:C$23))</f>
        <v/>
      </c>
      <c r="N28" s="288">
        <f>(D28-MIN(D$3:D$23))/(MAX(D$3:D$23)-MIN(D$3:D$23))</f>
        <v/>
      </c>
      <c r="O28" s="288">
        <f>(MAX(J$3:J$23)-J28)/(MAX(J$3:J$23)-MIN(J$3:J$23))</f>
        <v/>
      </c>
      <c r="P28" s="288">
        <f>(E28-MIN(E$3:E$23))/(MAX(E$3:E$23)-MIN(E$3:E$23))</f>
        <v/>
      </c>
      <c r="Q28" s="288">
        <f>(F28-MIN(F$3:F$23))/(MAX(F$3:F$23)-MIN(F$3:F$23))</f>
        <v/>
      </c>
      <c r="R28" s="288">
        <f>(MAX(I$3:I$23)-I28)/(MAX(I$3:I$23)-MIN(I$3:I$23))</f>
        <v/>
      </c>
      <c r="S28" s="288">
        <f>(G28-MIN(G$3:G$23))/(MAX(G$3:G$23)-MIN(G$3:G$23))</f>
        <v/>
      </c>
      <c r="T28" s="288">
        <f>(K28*'Fund Ranking Criteria'!$J$9)+('Fund Ranking Criteria'!$J$10*Consol_Thematic!M28)+('Fund Ranking Criteria'!$J$12*Consol_Thematic!S28)+('Fund Ranking Criteria'!$J$14*Consol_Thematic!R28)+('Fund Ranking Criteria'!$J$15*Consol_Thematic!O28)+('Fund Ranking Criteria'!$J$16*Consol_Thematic!P28)+('Fund Ranking Criteria'!#REF!*Consol_Thematic!Q28)+('Fund Ranking Criteria'!#REF!*Consol_Thematic!L28)</f>
        <v/>
      </c>
      <c r="U28" s="288">
        <f>T28*1</f>
        <v/>
      </c>
      <c r="V28" s="261">
        <f>RANK(U28,$U$3:$U$157,0)</f>
        <v/>
      </c>
      <c r="W28" s="261">
        <f>A28</f>
        <v/>
      </c>
    </row>
    <row r="29">
      <c r="A29" s="261" t="inlineStr">
        <is>
          <t>Baroda BNP Paribas Dividend Yield Fund - Regular Plan</t>
        </is>
      </c>
      <c r="B29" s="261">
        <f>VLOOKUP($A29, Sheet4!$A$2:$L$688, Consol_Thematic!B$1,FALSE)</f>
        <v/>
      </c>
      <c r="C29" s="261">
        <f>VLOOKUP($A29, Sheet4!$A$2:$L$688, Consol_Thematic!C$1,FALSE)</f>
        <v/>
      </c>
      <c r="D29" s="261">
        <f>VLOOKUP($A29, Sheet4!$A$2:$L$688, Consol_Thematic!D$1,FALSE)</f>
        <v/>
      </c>
      <c r="E29" s="261">
        <f>VLOOKUP($A29, Sheet4!$A$2:$L$688, Consol_Thematic!E$1,FALSE)</f>
        <v/>
      </c>
      <c r="F29" s="261">
        <f>VLOOKUP($A29, Sheet4!$A$2:$L$688, Consol_Thematic!F$1,FALSE)</f>
        <v/>
      </c>
      <c r="G29" s="261">
        <f>VLOOKUP($A29, Sheet4!$A$2:$L$688, Consol_Thematic!G$1,FALSE)</f>
        <v/>
      </c>
      <c r="H29" s="261">
        <f>VLOOKUP($A29, Sheet4!$A$2:$L$688, Consol_Thematic!H$1,FALSE)</f>
        <v/>
      </c>
      <c r="I29" s="261">
        <f>VLOOKUP($A29, Sheet4!$A$2:$L$688, Consol_Thematic!I$1,FALSE)</f>
        <v/>
      </c>
      <c r="J29" s="261">
        <f>VLOOKUP($A29, Sheet4!$A$2:$L$688, Consol_Thematic!J$1,FALSE)</f>
        <v/>
      </c>
      <c r="K29" s="288">
        <f>(B29-MIN(B$3:B$23))/(MAX(B$3:B$23)-MIN(B$3:B$23))</f>
        <v/>
      </c>
      <c r="L29" s="288">
        <f>(MAX(H$3:H$23)-H29)/(MAX(H$3:H$23)-MIN(H$3:H$23))</f>
        <v/>
      </c>
      <c r="M29" s="288">
        <f>(C29-MIN(C$3:C$23))/(MAX(C$3:C$23)-MIN(C$3:C$23))</f>
        <v/>
      </c>
      <c r="N29" s="288">
        <f>(D29-MIN(D$3:D$23))/(MAX(D$3:D$23)-MIN(D$3:D$23))</f>
        <v/>
      </c>
      <c r="O29" s="288">
        <f>(MAX(J$3:J$23)-J29)/(MAX(J$3:J$23)-MIN(J$3:J$23))</f>
        <v/>
      </c>
      <c r="P29" s="288">
        <f>(E29-MIN(E$3:E$23))/(MAX(E$3:E$23)-MIN(E$3:E$23))</f>
        <v/>
      </c>
      <c r="Q29" s="288">
        <f>(F29-MIN(F$3:F$23))/(MAX(F$3:F$23)-MIN(F$3:F$23))</f>
        <v/>
      </c>
      <c r="R29" s="288">
        <f>(MAX(I$3:I$23)-I29)/(MAX(I$3:I$23)-MIN(I$3:I$23))</f>
        <v/>
      </c>
      <c r="S29" s="288">
        <f>(G29-MIN(G$3:G$23))/(MAX(G$3:G$23)-MIN(G$3:G$23))</f>
        <v/>
      </c>
      <c r="T29" s="288">
        <f>(K29*'Fund Ranking Criteria'!$J$9)+('Fund Ranking Criteria'!$J$10*Consol_Thematic!M29)+('Fund Ranking Criteria'!$J$12*Consol_Thematic!S29)+('Fund Ranking Criteria'!$J$14*Consol_Thematic!R29)+('Fund Ranking Criteria'!$J$15*Consol_Thematic!O29)+('Fund Ranking Criteria'!$J$16*Consol_Thematic!P29)+('Fund Ranking Criteria'!#REF!*Consol_Thematic!Q29)+('Fund Ranking Criteria'!#REF!*Consol_Thematic!L29)</f>
        <v/>
      </c>
      <c r="U29" s="288">
        <f>T29*1</f>
        <v/>
      </c>
      <c r="V29" s="261">
        <f>RANK(U29,$U$3:$U$157,0)</f>
        <v/>
      </c>
      <c r="W29" s="261">
        <f>A29</f>
        <v/>
      </c>
    </row>
    <row r="30">
      <c r="A30" s="261" t="inlineStr">
        <is>
          <t>Baroda BNP Paribas Energy Opportunities Fund - Regular Plan</t>
        </is>
      </c>
      <c r="B30" s="261">
        <f>VLOOKUP($A30, Sheet4!$A$2:$L$688, Consol_Thematic!B$1,FALSE)</f>
        <v/>
      </c>
      <c r="C30" s="261">
        <f>VLOOKUP($A30, Sheet4!$A$2:$L$688, Consol_Thematic!C$1,FALSE)</f>
        <v/>
      </c>
      <c r="D30" s="261">
        <f>VLOOKUP($A30, Sheet4!$A$2:$L$688, Consol_Thematic!D$1,FALSE)</f>
        <v/>
      </c>
      <c r="E30" s="261">
        <f>VLOOKUP($A30, Sheet4!$A$2:$L$688, Consol_Thematic!E$1,FALSE)</f>
        <v/>
      </c>
      <c r="F30" s="261">
        <f>VLOOKUP($A30, Sheet4!$A$2:$L$688, Consol_Thematic!F$1,FALSE)</f>
        <v/>
      </c>
      <c r="G30" s="261">
        <f>VLOOKUP($A30, Sheet4!$A$2:$L$688, Consol_Thematic!G$1,FALSE)</f>
        <v/>
      </c>
      <c r="H30" s="261">
        <f>VLOOKUP($A30, Sheet4!$A$2:$L$688, Consol_Thematic!H$1,FALSE)</f>
        <v/>
      </c>
      <c r="I30" s="261">
        <f>VLOOKUP($A30, Sheet4!$A$2:$L$688, Consol_Thematic!I$1,FALSE)</f>
        <v/>
      </c>
      <c r="J30" s="261">
        <f>VLOOKUP($A30, Sheet4!$A$2:$L$688, Consol_Thematic!J$1,FALSE)</f>
        <v/>
      </c>
      <c r="K30" s="288">
        <f>(B30-MIN(B$3:B$23))/(MAX(B$3:B$23)-MIN(B$3:B$23))</f>
        <v/>
      </c>
      <c r="L30" s="288">
        <f>(MAX(H$3:H$23)-H30)/(MAX(H$3:H$23)-MIN(H$3:H$23))</f>
        <v/>
      </c>
      <c r="M30" s="288">
        <f>(C30-MIN(C$3:C$23))/(MAX(C$3:C$23)-MIN(C$3:C$23))</f>
        <v/>
      </c>
      <c r="N30" s="288">
        <f>(D30-MIN(D$3:D$23))/(MAX(D$3:D$23)-MIN(D$3:D$23))</f>
        <v/>
      </c>
      <c r="O30" s="288">
        <f>(MAX(J$3:J$23)-J30)/(MAX(J$3:J$23)-MIN(J$3:J$23))</f>
        <v/>
      </c>
      <c r="P30" s="288">
        <f>(E30-MIN(E$3:E$23))/(MAX(E$3:E$23)-MIN(E$3:E$23))</f>
        <v/>
      </c>
      <c r="Q30" s="288">
        <f>(F30-MIN(F$3:F$23))/(MAX(F$3:F$23)-MIN(F$3:F$23))</f>
        <v/>
      </c>
      <c r="R30" s="288">
        <f>(MAX(I$3:I$23)-I30)/(MAX(I$3:I$23)-MIN(I$3:I$23))</f>
        <v/>
      </c>
      <c r="S30" s="288">
        <f>(G30-MIN(G$3:G$23))/(MAX(G$3:G$23)-MIN(G$3:G$23))</f>
        <v/>
      </c>
      <c r="T30" s="288">
        <f>(K30*'Fund Ranking Criteria'!$J$9)+('Fund Ranking Criteria'!$J$10*Consol_Thematic!M30)+('Fund Ranking Criteria'!$J$12*Consol_Thematic!S30)+('Fund Ranking Criteria'!$J$14*Consol_Thematic!R30)+('Fund Ranking Criteria'!$J$15*Consol_Thematic!O30)+('Fund Ranking Criteria'!$J$16*Consol_Thematic!P30)+('Fund Ranking Criteria'!#REF!*Consol_Thematic!Q30)+('Fund Ranking Criteria'!#REF!*Consol_Thematic!L30)</f>
        <v/>
      </c>
      <c r="U30" s="288">
        <f>T30*1</f>
        <v/>
      </c>
      <c r="V30" s="261">
        <f>RANK(U30,$U$3:$U$157,0)</f>
        <v/>
      </c>
      <c r="W30" s="261">
        <f>A30</f>
        <v/>
      </c>
    </row>
    <row r="31">
      <c r="A31" s="261" t="inlineStr">
        <is>
          <t>Baroda BNP Paribas India Consumption Fund - Regular Plan</t>
        </is>
      </c>
      <c r="B31" s="261">
        <f>VLOOKUP($A31, Sheet4!$A$2:$L$688, Consol_Thematic!B$1,FALSE)</f>
        <v/>
      </c>
      <c r="C31" s="261">
        <f>VLOOKUP($A31, Sheet4!$A$2:$L$688, Consol_Thematic!C$1,FALSE)</f>
        <v/>
      </c>
      <c r="D31" s="261">
        <f>VLOOKUP($A31, Sheet4!$A$2:$L$688, Consol_Thematic!D$1,FALSE)</f>
        <v/>
      </c>
      <c r="E31" s="261">
        <f>VLOOKUP($A31, Sheet4!$A$2:$L$688, Consol_Thematic!E$1,FALSE)</f>
        <v/>
      </c>
      <c r="F31" s="261">
        <f>VLOOKUP($A31, Sheet4!$A$2:$L$688, Consol_Thematic!F$1,FALSE)</f>
        <v/>
      </c>
      <c r="G31" s="261">
        <f>VLOOKUP($A31, Sheet4!$A$2:$L$688, Consol_Thematic!G$1,FALSE)</f>
        <v/>
      </c>
      <c r="H31" s="261">
        <f>VLOOKUP($A31, Sheet4!$A$2:$L$688, Consol_Thematic!H$1,FALSE)</f>
        <v/>
      </c>
      <c r="I31" s="261">
        <f>VLOOKUP($A31, Sheet4!$A$2:$L$688, Consol_Thematic!I$1,FALSE)</f>
        <v/>
      </c>
      <c r="J31" s="261">
        <f>VLOOKUP($A31, Sheet4!$A$2:$L$688, Consol_Thematic!J$1,FALSE)</f>
        <v/>
      </c>
      <c r="K31" s="288">
        <f>(B31-MIN(B$3:B$23))/(MAX(B$3:B$23)-MIN(B$3:B$23))</f>
        <v/>
      </c>
      <c r="L31" s="288">
        <f>(MAX(H$3:H$23)-H31)/(MAX(H$3:H$23)-MIN(H$3:H$23))</f>
        <v/>
      </c>
      <c r="M31" s="288">
        <f>(C31-MIN(C$3:C$23))/(MAX(C$3:C$23)-MIN(C$3:C$23))</f>
        <v/>
      </c>
      <c r="N31" s="288">
        <f>(D31-MIN(D$3:D$23))/(MAX(D$3:D$23)-MIN(D$3:D$23))</f>
        <v/>
      </c>
      <c r="O31" s="288">
        <f>(MAX(J$3:J$23)-J31)/(MAX(J$3:J$23)-MIN(J$3:J$23))</f>
        <v/>
      </c>
      <c r="P31" s="288">
        <f>(E31-MIN(E$3:E$23))/(MAX(E$3:E$23)-MIN(E$3:E$23))</f>
        <v/>
      </c>
      <c r="Q31" s="288">
        <f>(F31-MIN(F$3:F$23))/(MAX(F$3:F$23)-MIN(F$3:F$23))</f>
        <v/>
      </c>
      <c r="R31" s="288">
        <f>(MAX(I$3:I$23)-I31)/(MAX(I$3:I$23)-MIN(I$3:I$23))</f>
        <v/>
      </c>
      <c r="S31" s="288">
        <f>(G31-MIN(G$3:G$23))/(MAX(G$3:G$23)-MIN(G$3:G$23))</f>
        <v/>
      </c>
      <c r="T31" s="288">
        <f>(K31*'Fund Ranking Criteria'!$J$9)+('Fund Ranking Criteria'!$J$10*Consol_Thematic!M31)+('Fund Ranking Criteria'!$J$12*Consol_Thematic!S31)+('Fund Ranking Criteria'!$J$14*Consol_Thematic!R31)+('Fund Ranking Criteria'!$J$15*Consol_Thematic!O31)+('Fund Ranking Criteria'!$J$16*Consol_Thematic!P31)+('Fund Ranking Criteria'!#REF!*Consol_Thematic!Q31)+('Fund Ranking Criteria'!#REF!*Consol_Thematic!L31)</f>
        <v/>
      </c>
      <c r="U31" s="288">
        <f>T31*1</f>
        <v/>
      </c>
      <c r="V31" s="261">
        <f>RANK(U31,$U$3:$U$157,0)</f>
        <v/>
      </c>
      <c r="W31" s="261">
        <f>A31</f>
        <v/>
      </c>
    </row>
    <row r="32">
      <c r="A32" s="261" t="inlineStr">
        <is>
          <t>Baroda BNP Paribas Innovation Fund - Regular Plan</t>
        </is>
      </c>
      <c r="B32" s="261">
        <f>VLOOKUP($A32, Sheet4!$A$2:$L$688, Consol_Thematic!B$1,FALSE)</f>
        <v/>
      </c>
      <c r="C32" s="261">
        <f>VLOOKUP($A32, Sheet4!$A$2:$L$688, Consol_Thematic!C$1,FALSE)</f>
        <v/>
      </c>
      <c r="D32" s="261">
        <f>VLOOKUP($A32, Sheet4!$A$2:$L$688, Consol_Thematic!D$1,FALSE)</f>
        <v/>
      </c>
      <c r="E32" s="261">
        <f>VLOOKUP($A32, Sheet4!$A$2:$L$688, Consol_Thematic!E$1,FALSE)</f>
        <v/>
      </c>
      <c r="F32" s="261">
        <f>VLOOKUP($A32, Sheet4!$A$2:$L$688, Consol_Thematic!F$1,FALSE)</f>
        <v/>
      </c>
      <c r="G32" s="261">
        <f>VLOOKUP($A32, Sheet4!$A$2:$L$688, Consol_Thematic!G$1,FALSE)</f>
        <v/>
      </c>
      <c r="H32" s="261">
        <f>VLOOKUP($A32, Sheet4!$A$2:$L$688, Consol_Thematic!H$1,FALSE)</f>
        <v/>
      </c>
      <c r="I32" s="261">
        <f>VLOOKUP($A32, Sheet4!$A$2:$L$688, Consol_Thematic!I$1,FALSE)</f>
        <v/>
      </c>
      <c r="J32" s="261">
        <f>VLOOKUP($A32, Sheet4!$A$2:$L$688, Consol_Thematic!J$1,FALSE)</f>
        <v/>
      </c>
      <c r="K32" s="288">
        <f>(B32-MIN(B$3:B$23))/(MAX(B$3:B$23)-MIN(B$3:B$23))</f>
        <v/>
      </c>
      <c r="L32" s="288">
        <f>(MAX(H$3:H$23)-H32)/(MAX(H$3:H$23)-MIN(H$3:H$23))</f>
        <v/>
      </c>
      <c r="M32" s="288">
        <f>(C32-MIN(C$3:C$23))/(MAX(C$3:C$23)-MIN(C$3:C$23))</f>
        <v/>
      </c>
      <c r="N32" s="288">
        <f>(D32-MIN(D$3:D$23))/(MAX(D$3:D$23)-MIN(D$3:D$23))</f>
        <v/>
      </c>
      <c r="O32" s="288">
        <f>(MAX(J$3:J$23)-J32)/(MAX(J$3:J$23)-MIN(J$3:J$23))</f>
        <v/>
      </c>
      <c r="P32" s="288">
        <f>(E32-MIN(E$3:E$23))/(MAX(E$3:E$23)-MIN(E$3:E$23))</f>
        <v/>
      </c>
      <c r="Q32" s="288">
        <f>(F32-MIN(F$3:F$23))/(MAX(F$3:F$23)-MIN(F$3:F$23))</f>
        <v/>
      </c>
      <c r="R32" s="288">
        <f>(MAX(I$3:I$23)-I32)/(MAX(I$3:I$23)-MIN(I$3:I$23))</f>
        <v/>
      </c>
      <c r="S32" s="288">
        <f>(G32-MIN(G$3:G$23))/(MAX(G$3:G$23)-MIN(G$3:G$23))</f>
        <v/>
      </c>
      <c r="T32" s="288">
        <f>(K32*'Fund Ranking Criteria'!$J$9)+('Fund Ranking Criteria'!$J$10*Consol_Thematic!M32)+('Fund Ranking Criteria'!$J$12*Consol_Thematic!S32)+('Fund Ranking Criteria'!$J$14*Consol_Thematic!R32)+('Fund Ranking Criteria'!$J$15*Consol_Thematic!O32)+('Fund Ranking Criteria'!$J$16*Consol_Thematic!P32)+('Fund Ranking Criteria'!#REF!*Consol_Thematic!Q32)+('Fund Ranking Criteria'!#REF!*Consol_Thematic!L32)</f>
        <v/>
      </c>
      <c r="U32" s="288">
        <f>T32*1</f>
        <v/>
      </c>
      <c r="V32" s="261">
        <f>RANK(U32,$U$3:$U$157,0)</f>
        <v/>
      </c>
      <c r="W32" s="261">
        <f>A32</f>
        <v/>
      </c>
    </row>
    <row r="33">
      <c r="A33" s="261" t="inlineStr">
        <is>
          <t>Baroda BNP Paribas Manufacturing Fund - Regular Plan</t>
        </is>
      </c>
      <c r="B33" s="261">
        <f>VLOOKUP($A33, Sheet4!$A$2:$L$688, Consol_Thematic!B$1,FALSE)</f>
        <v/>
      </c>
      <c r="C33" s="261">
        <f>VLOOKUP($A33, Sheet4!$A$2:$L$688, Consol_Thematic!C$1,FALSE)</f>
        <v/>
      </c>
      <c r="D33" s="261">
        <f>VLOOKUP($A33, Sheet4!$A$2:$L$688, Consol_Thematic!D$1,FALSE)</f>
        <v/>
      </c>
      <c r="E33" s="261">
        <f>VLOOKUP($A33, Sheet4!$A$2:$L$688, Consol_Thematic!E$1,FALSE)</f>
        <v/>
      </c>
      <c r="F33" s="261">
        <f>VLOOKUP($A33, Sheet4!$A$2:$L$688, Consol_Thematic!F$1,FALSE)</f>
        <v/>
      </c>
      <c r="G33" s="261">
        <f>VLOOKUP($A33, Sheet4!$A$2:$L$688, Consol_Thematic!G$1,FALSE)</f>
        <v/>
      </c>
      <c r="H33" s="261">
        <f>VLOOKUP($A33, Sheet4!$A$2:$L$688, Consol_Thematic!H$1,FALSE)</f>
        <v/>
      </c>
      <c r="I33" s="261">
        <f>VLOOKUP($A33, Sheet4!$A$2:$L$688, Consol_Thematic!I$1,FALSE)</f>
        <v/>
      </c>
      <c r="J33" s="261">
        <f>VLOOKUP($A33, Sheet4!$A$2:$L$688, Consol_Thematic!J$1,FALSE)</f>
        <v/>
      </c>
      <c r="K33" s="288">
        <f>(B33-MIN(B$3:B$23))/(MAX(B$3:B$23)-MIN(B$3:B$23))</f>
        <v/>
      </c>
      <c r="L33" s="288">
        <f>(MAX(H$3:H$23)-H33)/(MAX(H$3:H$23)-MIN(H$3:H$23))</f>
        <v/>
      </c>
      <c r="M33" s="288">
        <f>(C33-MIN(C$3:C$23))/(MAX(C$3:C$23)-MIN(C$3:C$23))</f>
        <v/>
      </c>
      <c r="N33" s="288">
        <f>(D33-MIN(D$3:D$23))/(MAX(D$3:D$23)-MIN(D$3:D$23))</f>
        <v/>
      </c>
      <c r="O33" s="288">
        <f>(MAX(J$3:J$23)-J33)/(MAX(J$3:J$23)-MIN(J$3:J$23))</f>
        <v/>
      </c>
      <c r="P33" s="288">
        <f>(E33-MIN(E$3:E$23))/(MAX(E$3:E$23)-MIN(E$3:E$23))</f>
        <v/>
      </c>
      <c r="Q33" s="288">
        <f>(F33-MIN(F$3:F$23))/(MAX(F$3:F$23)-MIN(F$3:F$23))</f>
        <v/>
      </c>
      <c r="R33" s="288">
        <f>(MAX(I$3:I$23)-I33)/(MAX(I$3:I$23)-MIN(I$3:I$23))</f>
        <v/>
      </c>
      <c r="S33" s="288">
        <f>(G33-MIN(G$3:G$23))/(MAX(G$3:G$23)-MIN(G$3:G$23))</f>
        <v/>
      </c>
      <c r="T33" s="288">
        <f>(K33*'Fund Ranking Criteria'!$J$9)+('Fund Ranking Criteria'!$J$10*Consol_Thematic!M33)+('Fund Ranking Criteria'!$J$12*Consol_Thematic!S33)+('Fund Ranking Criteria'!$J$14*Consol_Thematic!R33)+('Fund Ranking Criteria'!$J$15*Consol_Thematic!O33)+('Fund Ranking Criteria'!$J$16*Consol_Thematic!P33)+('Fund Ranking Criteria'!#REF!*Consol_Thematic!Q33)+('Fund Ranking Criteria'!#REF!*Consol_Thematic!L33)</f>
        <v/>
      </c>
      <c r="U33" s="288">
        <f>T33*1</f>
        <v/>
      </c>
      <c r="V33" s="261">
        <f>RANK(U33,$U$3:$U$157,0)</f>
        <v/>
      </c>
      <c r="W33" s="261">
        <f>A33</f>
        <v/>
      </c>
    </row>
    <row r="34">
      <c r="A34" s="261" t="inlineStr">
        <is>
          <t>Canara Robeco Consumer Trends Fund - Regular Plan</t>
        </is>
      </c>
      <c r="B34" s="261">
        <f>VLOOKUP($A34, Sheet4!$A$2:$L$688, Consol_Thematic!B$1,FALSE)</f>
        <v/>
      </c>
      <c r="C34" s="261">
        <f>VLOOKUP($A34, Sheet4!$A$2:$L$688, Consol_Thematic!C$1,FALSE)</f>
        <v/>
      </c>
      <c r="D34" s="261">
        <f>VLOOKUP($A34, Sheet4!$A$2:$L$688, Consol_Thematic!D$1,FALSE)</f>
        <v/>
      </c>
      <c r="E34" s="261">
        <f>VLOOKUP($A34, Sheet4!$A$2:$L$688, Consol_Thematic!E$1,FALSE)</f>
        <v/>
      </c>
      <c r="F34" s="261">
        <f>VLOOKUP($A34, Sheet4!$A$2:$L$688, Consol_Thematic!F$1,FALSE)</f>
        <v/>
      </c>
      <c r="G34" s="261">
        <f>VLOOKUP($A34, Sheet4!$A$2:$L$688, Consol_Thematic!G$1,FALSE)</f>
        <v/>
      </c>
      <c r="H34" s="261">
        <f>VLOOKUP($A34, Sheet4!$A$2:$L$688, Consol_Thematic!H$1,FALSE)</f>
        <v/>
      </c>
      <c r="I34" s="261">
        <f>VLOOKUP($A34, Sheet4!$A$2:$L$688, Consol_Thematic!I$1,FALSE)</f>
        <v/>
      </c>
      <c r="J34" s="261">
        <f>VLOOKUP($A34, Sheet4!$A$2:$L$688, Consol_Thematic!J$1,FALSE)</f>
        <v/>
      </c>
      <c r="K34" s="288">
        <f>(B34-MIN(B$3:B$23))/(MAX(B$3:B$23)-MIN(B$3:B$23))</f>
        <v/>
      </c>
      <c r="L34" s="288">
        <f>(MAX(H$3:H$23)-H34)/(MAX(H$3:H$23)-MIN(H$3:H$23))</f>
        <v/>
      </c>
      <c r="M34" s="288">
        <f>(C34-MIN(C$3:C$23))/(MAX(C$3:C$23)-MIN(C$3:C$23))</f>
        <v/>
      </c>
      <c r="N34" s="288">
        <f>(D34-MIN(D$3:D$23))/(MAX(D$3:D$23)-MIN(D$3:D$23))</f>
        <v/>
      </c>
      <c r="O34" s="288">
        <f>(MAX(J$3:J$23)-J34)/(MAX(J$3:J$23)-MIN(J$3:J$23))</f>
        <v/>
      </c>
      <c r="P34" s="288">
        <f>(E34-MIN(E$3:E$23))/(MAX(E$3:E$23)-MIN(E$3:E$23))</f>
        <v/>
      </c>
      <c r="Q34" s="288">
        <f>(F34-MIN(F$3:F$23))/(MAX(F$3:F$23)-MIN(F$3:F$23))</f>
        <v/>
      </c>
      <c r="R34" s="288">
        <f>(MAX(I$3:I$23)-I34)/(MAX(I$3:I$23)-MIN(I$3:I$23))</f>
        <v/>
      </c>
      <c r="S34" s="288">
        <f>(G34-MIN(G$3:G$23))/(MAX(G$3:G$23)-MIN(G$3:G$23))</f>
        <v/>
      </c>
      <c r="T34" s="288">
        <f>(K34*'Fund Ranking Criteria'!$J$9)+('Fund Ranking Criteria'!$J$10*Consol_Thematic!M34)+('Fund Ranking Criteria'!$J$12*Consol_Thematic!S34)+('Fund Ranking Criteria'!$J$14*Consol_Thematic!R34)+('Fund Ranking Criteria'!$J$15*Consol_Thematic!O34)+('Fund Ranking Criteria'!$J$16*Consol_Thematic!P34)+('Fund Ranking Criteria'!#REF!*Consol_Thematic!Q34)+('Fund Ranking Criteria'!#REF!*Consol_Thematic!L34)</f>
        <v/>
      </c>
      <c r="U34" s="288">
        <f>T34*1</f>
        <v/>
      </c>
      <c r="V34" s="261">
        <f>RANK(U34,$U$3:$U$157,0)</f>
        <v/>
      </c>
      <c r="W34" s="261">
        <f>A34</f>
        <v/>
      </c>
    </row>
    <row r="35">
      <c r="A35" s="261" t="inlineStr">
        <is>
          <t>Canara Robeco Manufacturing Fund - Regular Plan</t>
        </is>
      </c>
      <c r="B35" s="261">
        <f>VLOOKUP($A35, Sheet4!$A$2:$L$688, Consol_Thematic!B$1,FALSE)</f>
        <v/>
      </c>
      <c r="C35" s="261">
        <f>VLOOKUP($A35, Sheet4!$A$2:$L$688, Consol_Thematic!C$1,FALSE)</f>
        <v/>
      </c>
      <c r="D35" s="261">
        <f>VLOOKUP($A35, Sheet4!$A$2:$L$688, Consol_Thematic!D$1,FALSE)</f>
        <v/>
      </c>
      <c r="E35" s="261">
        <f>VLOOKUP($A35, Sheet4!$A$2:$L$688, Consol_Thematic!E$1,FALSE)</f>
        <v/>
      </c>
      <c r="F35" s="261">
        <f>VLOOKUP($A35, Sheet4!$A$2:$L$688, Consol_Thematic!F$1,FALSE)</f>
        <v/>
      </c>
      <c r="G35" s="261">
        <f>VLOOKUP($A35, Sheet4!$A$2:$L$688, Consol_Thematic!G$1,FALSE)</f>
        <v/>
      </c>
      <c r="H35" s="261">
        <f>VLOOKUP($A35, Sheet4!$A$2:$L$688, Consol_Thematic!H$1,FALSE)</f>
        <v/>
      </c>
      <c r="I35" s="261">
        <f>VLOOKUP($A35, Sheet4!$A$2:$L$688, Consol_Thematic!I$1,FALSE)</f>
        <v/>
      </c>
      <c r="J35" s="261">
        <f>VLOOKUP($A35, Sheet4!$A$2:$L$688, Consol_Thematic!J$1,FALSE)</f>
        <v/>
      </c>
      <c r="K35" s="288">
        <f>(B35-MIN(B$3:B$23))/(MAX(B$3:B$23)-MIN(B$3:B$23))</f>
        <v/>
      </c>
      <c r="L35" s="288">
        <f>(MAX(H$3:H$23)-H35)/(MAX(H$3:H$23)-MIN(H$3:H$23))</f>
        <v/>
      </c>
      <c r="M35" s="288">
        <f>(C35-MIN(C$3:C$23))/(MAX(C$3:C$23)-MIN(C$3:C$23))</f>
        <v/>
      </c>
      <c r="N35" s="288">
        <f>(D35-MIN(D$3:D$23))/(MAX(D$3:D$23)-MIN(D$3:D$23))</f>
        <v/>
      </c>
      <c r="O35" s="288">
        <f>(MAX(J$3:J$23)-J35)/(MAX(J$3:J$23)-MIN(J$3:J$23))</f>
        <v/>
      </c>
      <c r="P35" s="288">
        <f>(E35-MIN(E$3:E$23))/(MAX(E$3:E$23)-MIN(E$3:E$23))</f>
        <v/>
      </c>
      <c r="Q35" s="288">
        <f>(F35-MIN(F$3:F$23))/(MAX(F$3:F$23)-MIN(F$3:F$23))</f>
        <v/>
      </c>
      <c r="R35" s="288">
        <f>(MAX(I$3:I$23)-I35)/(MAX(I$3:I$23)-MIN(I$3:I$23))</f>
        <v/>
      </c>
      <c r="S35" s="288">
        <f>(G35-MIN(G$3:G$23))/(MAX(G$3:G$23)-MIN(G$3:G$23))</f>
        <v/>
      </c>
      <c r="T35" s="288">
        <f>(K35*'Fund Ranking Criteria'!$J$9)+('Fund Ranking Criteria'!$J$10*Consol_Thematic!M35)+('Fund Ranking Criteria'!$J$12*Consol_Thematic!S35)+('Fund Ranking Criteria'!$J$14*Consol_Thematic!R35)+('Fund Ranking Criteria'!$J$15*Consol_Thematic!O35)+('Fund Ranking Criteria'!$J$16*Consol_Thematic!P35)+('Fund Ranking Criteria'!#REF!*Consol_Thematic!Q35)+('Fund Ranking Criteria'!#REF!*Consol_Thematic!L35)</f>
        <v/>
      </c>
      <c r="U35" s="288">
        <f>T35*1</f>
        <v/>
      </c>
      <c r="V35" s="261">
        <f>RANK(U35,$U$3:$U$157,0)</f>
        <v/>
      </c>
      <c r="W35" s="261">
        <f>A35</f>
        <v/>
      </c>
    </row>
    <row r="36">
      <c r="A36" s="261" t="inlineStr">
        <is>
          <t>DSP Business Cycle Fund - Regular Plan</t>
        </is>
      </c>
      <c r="B36" s="261">
        <f>VLOOKUP($A36, Sheet4!$A$2:$L$688, Consol_Thematic!B$1,FALSE)</f>
        <v/>
      </c>
      <c r="C36" s="261">
        <f>VLOOKUP($A36, Sheet4!$A$2:$L$688, Consol_Thematic!C$1,FALSE)</f>
        <v/>
      </c>
      <c r="D36" s="261">
        <f>VLOOKUP($A36, Sheet4!$A$2:$L$688, Consol_Thematic!D$1,FALSE)</f>
        <v/>
      </c>
      <c r="E36" s="261">
        <f>VLOOKUP($A36, Sheet4!$A$2:$L$688, Consol_Thematic!E$1,FALSE)</f>
        <v/>
      </c>
      <c r="F36" s="261">
        <f>VLOOKUP($A36, Sheet4!$A$2:$L$688, Consol_Thematic!F$1,FALSE)</f>
        <v/>
      </c>
      <c r="G36" s="261">
        <f>VLOOKUP($A36, Sheet4!$A$2:$L$688, Consol_Thematic!G$1,FALSE)</f>
        <v/>
      </c>
      <c r="H36" s="261">
        <f>VLOOKUP($A36, Sheet4!$A$2:$L$688, Consol_Thematic!H$1,FALSE)</f>
        <v/>
      </c>
      <c r="I36" s="261">
        <f>VLOOKUP($A36, Sheet4!$A$2:$L$688, Consol_Thematic!I$1,FALSE)</f>
        <v/>
      </c>
      <c r="J36" s="261">
        <f>VLOOKUP($A36, Sheet4!$A$2:$L$688, Consol_Thematic!J$1,FALSE)</f>
        <v/>
      </c>
      <c r="K36" s="288">
        <f>(B36-MIN(B$3:B$23))/(MAX(B$3:B$23)-MIN(B$3:B$23))</f>
        <v/>
      </c>
      <c r="L36" s="288">
        <f>(MAX(H$3:H$23)-H36)/(MAX(H$3:H$23)-MIN(H$3:H$23))</f>
        <v/>
      </c>
      <c r="M36" s="288">
        <f>(C36-MIN(C$3:C$23))/(MAX(C$3:C$23)-MIN(C$3:C$23))</f>
        <v/>
      </c>
      <c r="N36" s="288">
        <f>(D36-MIN(D$3:D$23))/(MAX(D$3:D$23)-MIN(D$3:D$23))</f>
        <v/>
      </c>
      <c r="O36" s="288">
        <f>(MAX(J$3:J$23)-J36)/(MAX(J$3:J$23)-MIN(J$3:J$23))</f>
        <v/>
      </c>
      <c r="P36" s="288">
        <f>(E36-MIN(E$3:E$23))/(MAX(E$3:E$23)-MIN(E$3:E$23))</f>
        <v/>
      </c>
      <c r="Q36" s="288">
        <f>(F36-MIN(F$3:F$23))/(MAX(F$3:F$23)-MIN(F$3:F$23))</f>
        <v/>
      </c>
      <c r="R36" s="288">
        <f>(MAX(I$3:I$23)-I36)/(MAX(I$3:I$23)-MIN(I$3:I$23))</f>
        <v/>
      </c>
      <c r="S36" s="288">
        <f>(G36-MIN(G$3:G$23))/(MAX(G$3:G$23)-MIN(G$3:G$23))</f>
        <v/>
      </c>
      <c r="T36" s="288">
        <f>(K36*'Fund Ranking Criteria'!$J$9)+('Fund Ranking Criteria'!$J$10*Consol_Thematic!M36)+('Fund Ranking Criteria'!$J$12*Consol_Thematic!S36)+('Fund Ranking Criteria'!$J$14*Consol_Thematic!R36)+('Fund Ranking Criteria'!$J$15*Consol_Thematic!O36)+('Fund Ranking Criteria'!$J$16*Consol_Thematic!P36)+('Fund Ranking Criteria'!#REF!*Consol_Thematic!Q36)+('Fund Ranking Criteria'!#REF!*Consol_Thematic!L36)</f>
        <v/>
      </c>
      <c r="U36" s="288">
        <f>T36*1</f>
        <v/>
      </c>
      <c r="V36" s="261">
        <f>RANK(U36,$U$3:$U$157,0)</f>
        <v/>
      </c>
      <c r="W36" s="261">
        <f>A36</f>
        <v/>
      </c>
    </row>
    <row r="37">
      <c r="A37" s="261" t="inlineStr">
        <is>
          <t>DSP Natural Resources and New Energy Fund - Regular Plan</t>
        </is>
      </c>
      <c r="B37" s="261">
        <f>VLOOKUP($A37, Sheet4!$A$2:$L$688, Consol_Thematic!B$1,FALSE)</f>
        <v/>
      </c>
      <c r="C37" s="261">
        <f>VLOOKUP($A37, Sheet4!$A$2:$L$688, Consol_Thematic!C$1,FALSE)</f>
        <v/>
      </c>
      <c r="D37" s="261">
        <f>VLOOKUP($A37, Sheet4!$A$2:$L$688, Consol_Thematic!D$1,FALSE)</f>
        <v/>
      </c>
      <c r="E37" s="261">
        <f>VLOOKUP($A37, Sheet4!$A$2:$L$688, Consol_Thematic!E$1,FALSE)</f>
        <v/>
      </c>
      <c r="F37" s="261">
        <f>VLOOKUP($A37, Sheet4!$A$2:$L$688, Consol_Thematic!F$1,FALSE)</f>
        <v/>
      </c>
      <c r="G37" s="261">
        <f>VLOOKUP($A37, Sheet4!$A$2:$L$688, Consol_Thematic!G$1,FALSE)</f>
        <v/>
      </c>
      <c r="H37" s="261">
        <f>VLOOKUP($A37, Sheet4!$A$2:$L$688, Consol_Thematic!H$1,FALSE)</f>
        <v/>
      </c>
      <c r="I37" s="261">
        <f>VLOOKUP($A37, Sheet4!$A$2:$L$688, Consol_Thematic!I$1,FALSE)</f>
        <v/>
      </c>
      <c r="J37" s="261">
        <f>VLOOKUP($A37, Sheet4!$A$2:$L$688, Consol_Thematic!J$1,FALSE)</f>
        <v/>
      </c>
      <c r="K37" s="288">
        <f>(B37-MIN(B$3:B$23))/(MAX(B$3:B$23)-MIN(B$3:B$23))</f>
        <v/>
      </c>
      <c r="L37" s="288">
        <f>(MAX(H$3:H$23)-H37)/(MAX(H$3:H$23)-MIN(H$3:H$23))</f>
        <v/>
      </c>
      <c r="M37" s="288">
        <f>(C37-MIN(C$3:C$23))/(MAX(C$3:C$23)-MIN(C$3:C$23))</f>
        <v/>
      </c>
      <c r="N37" s="288">
        <f>(D37-MIN(D$3:D$23))/(MAX(D$3:D$23)-MIN(D$3:D$23))</f>
        <v/>
      </c>
      <c r="O37" s="288">
        <f>(MAX(J$3:J$23)-J37)/(MAX(J$3:J$23)-MIN(J$3:J$23))</f>
        <v/>
      </c>
      <c r="P37" s="288">
        <f>(E37-MIN(E$3:E$23))/(MAX(E$3:E$23)-MIN(E$3:E$23))</f>
        <v/>
      </c>
      <c r="Q37" s="288">
        <f>(F37-MIN(F$3:F$23))/(MAX(F$3:F$23)-MIN(F$3:F$23))</f>
        <v/>
      </c>
      <c r="R37" s="288">
        <f>(MAX(I$3:I$23)-I37)/(MAX(I$3:I$23)-MIN(I$3:I$23))</f>
        <v/>
      </c>
      <c r="S37" s="288">
        <f>(G37-MIN(G$3:G$23))/(MAX(G$3:G$23)-MIN(G$3:G$23))</f>
        <v/>
      </c>
      <c r="T37" s="288">
        <f>(K37*'Fund Ranking Criteria'!$J$9)+('Fund Ranking Criteria'!$J$10*Consol_Thematic!M37)+('Fund Ranking Criteria'!$J$12*Consol_Thematic!S37)+('Fund Ranking Criteria'!$J$14*Consol_Thematic!R37)+('Fund Ranking Criteria'!$J$15*Consol_Thematic!O37)+('Fund Ranking Criteria'!$J$16*Consol_Thematic!P37)+('Fund Ranking Criteria'!#REF!*Consol_Thematic!Q37)+('Fund Ranking Criteria'!#REF!*Consol_Thematic!L37)</f>
        <v/>
      </c>
      <c r="U37" s="288">
        <f>T37*1</f>
        <v/>
      </c>
      <c r="V37" s="261">
        <f>RANK(U37,$U$3:$U$157,0)</f>
        <v/>
      </c>
      <c r="W37" s="261">
        <f>A37</f>
        <v/>
      </c>
    </row>
    <row r="38">
      <c r="A38" s="261" t="inlineStr">
        <is>
          <t>DSP Quant Fund - Regular Plan</t>
        </is>
      </c>
      <c r="B38" s="261">
        <f>VLOOKUP($A38, Sheet4!$A$2:$L$688, Consol_Thematic!B$1,FALSE)</f>
        <v/>
      </c>
      <c r="C38" s="261">
        <f>VLOOKUP($A38, Sheet4!$A$2:$L$688, Consol_Thematic!C$1,FALSE)</f>
        <v/>
      </c>
      <c r="D38" s="261">
        <f>VLOOKUP($A38, Sheet4!$A$2:$L$688, Consol_Thematic!D$1,FALSE)</f>
        <v/>
      </c>
      <c r="E38" s="261">
        <f>VLOOKUP($A38, Sheet4!$A$2:$L$688, Consol_Thematic!E$1,FALSE)</f>
        <v/>
      </c>
      <c r="F38" s="261">
        <f>VLOOKUP($A38, Sheet4!$A$2:$L$688, Consol_Thematic!F$1,FALSE)</f>
        <v/>
      </c>
      <c r="G38" s="261">
        <f>VLOOKUP($A38, Sheet4!$A$2:$L$688, Consol_Thematic!G$1,FALSE)</f>
        <v/>
      </c>
      <c r="H38" s="261">
        <f>VLOOKUP($A38, Sheet4!$A$2:$L$688, Consol_Thematic!H$1,FALSE)</f>
        <v/>
      </c>
      <c r="I38" s="261">
        <f>VLOOKUP($A38, Sheet4!$A$2:$L$688, Consol_Thematic!I$1,FALSE)</f>
        <v/>
      </c>
      <c r="J38" s="261">
        <f>VLOOKUP($A38, Sheet4!$A$2:$L$688, Consol_Thematic!J$1,FALSE)</f>
        <v/>
      </c>
      <c r="K38" s="288">
        <f>(B38-MIN(B$3:B$23))/(MAX(B$3:B$23)-MIN(B$3:B$23))</f>
        <v/>
      </c>
      <c r="L38" s="288">
        <f>(MAX(H$3:H$23)-H38)/(MAX(H$3:H$23)-MIN(H$3:H$23))</f>
        <v/>
      </c>
      <c r="M38" s="288">
        <f>(C38-MIN(C$3:C$23))/(MAX(C$3:C$23)-MIN(C$3:C$23))</f>
        <v/>
      </c>
      <c r="N38" s="288">
        <f>(D38-MIN(D$3:D$23))/(MAX(D$3:D$23)-MIN(D$3:D$23))</f>
        <v/>
      </c>
      <c r="O38" s="288">
        <f>(MAX(J$3:J$23)-J38)/(MAX(J$3:J$23)-MIN(J$3:J$23))</f>
        <v/>
      </c>
      <c r="P38" s="288">
        <f>(E38-MIN(E$3:E$23))/(MAX(E$3:E$23)-MIN(E$3:E$23))</f>
        <v/>
      </c>
      <c r="Q38" s="288">
        <f>(F38-MIN(F$3:F$23))/(MAX(F$3:F$23)-MIN(F$3:F$23))</f>
        <v/>
      </c>
      <c r="R38" s="288">
        <f>(MAX(I$3:I$23)-I38)/(MAX(I$3:I$23)-MIN(I$3:I$23))</f>
        <v/>
      </c>
      <c r="S38" s="288">
        <f>(G38-MIN(G$3:G$23))/(MAX(G$3:G$23)-MIN(G$3:G$23))</f>
        <v/>
      </c>
      <c r="T38" s="288">
        <f>(K38*'Fund Ranking Criteria'!$J$9)+('Fund Ranking Criteria'!$J$10*Consol_Thematic!M38)+('Fund Ranking Criteria'!$J$12*Consol_Thematic!S38)+('Fund Ranking Criteria'!$J$14*Consol_Thematic!R38)+('Fund Ranking Criteria'!$J$15*Consol_Thematic!O38)+('Fund Ranking Criteria'!$J$16*Consol_Thematic!P38)+('Fund Ranking Criteria'!#REF!*Consol_Thematic!Q38)+('Fund Ranking Criteria'!#REF!*Consol_Thematic!L38)</f>
        <v/>
      </c>
      <c r="U38" s="288">
        <f>T38*1</f>
        <v/>
      </c>
      <c r="V38" s="261">
        <f>RANK(U38,$U$3:$U$157,0)</f>
        <v/>
      </c>
      <c r="W38" s="261">
        <f>A38</f>
        <v/>
      </c>
    </row>
    <row r="39">
      <c r="A39" s="261" t="inlineStr">
        <is>
          <t>Edelweiss Business Cycle Fund - Regular Plan</t>
        </is>
      </c>
      <c r="B39" s="261">
        <f>VLOOKUP($A39, Sheet4!$A$2:$L$688, Consol_Thematic!B$1,FALSE)</f>
        <v/>
      </c>
      <c r="C39" s="261">
        <f>VLOOKUP($A39, Sheet4!$A$2:$L$688, Consol_Thematic!C$1,FALSE)</f>
        <v/>
      </c>
      <c r="D39" s="261">
        <f>VLOOKUP($A39, Sheet4!$A$2:$L$688, Consol_Thematic!D$1,FALSE)</f>
        <v/>
      </c>
      <c r="E39" s="261">
        <f>VLOOKUP($A39, Sheet4!$A$2:$L$688, Consol_Thematic!E$1,FALSE)</f>
        <v/>
      </c>
      <c r="F39" s="261">
        <f>VLOOKUP($A39, Sheet4!$A$2:$L$688, Consol_Thematic!F$1,FALSE)</f>
        <v/>
      </c>
      <c r="G39" s="261">
        <f>VLOOKUP($A39, Sheet4!$A$2:$L$688, Consol_Thematic!G$1,FALSE)</f>
        <v/>
      </c>
      <c r="H39" s="261">
        <f>VLOOKUP($A39, Sheet4!$A$2:$L$688, Consol_Thematic!H$1,FALSE)</f>
        <v/>
      </c>
      <c r="I39" s="261">
        <f>VLOOKUP($A39, Sheet4!$A$2:$L$688, Consol_Thematic!I$1,FALSE)</f>
        <v/>
      </c>
      <c r="J39" s="261">
        <f>VLOOKUP($A39, Sheet4!$A$2:$L$688, Consol_Thematic!J$1,FALSE)</f>
        <v/>
      </c>
      <c r="K39" s="288">
        <f>(B39-MIN(B$3:B$23))/(MAX(B$3:B$23)-MIN(B$3:B$23))</f>
        <v/>
      </c>
      <c r="L39" s="288">
        <f>(MAX(H$3:H$23)-H39)/(MAX(H$3:H$23)-MIN(H$3:H$23))</f>
        <v/>
      </c>
      <c r="M39" s="288">
        <f>(C39-MIN(C$3:C$23))/(MAX(C$3:C$23)-MIN(C$3:C$23))</f>
        <v/>
      </c>
      <c r="N39" s="288">
        <f>(D39-MIN(D$3:D$23))/(MAX(D$3:D$23)-MIN(D$3:D$23))</f>
        <v/>
      </c>
      <c r="O39" s="288">
        <f>(MAX(J$3:J$23)-J39)/(MAX(J$3:J$23)-MIN(J$3:J$23))</f>
        <v/>
      </c>
      <c r="P39" s="288">
        <f>(E39-MIN(E$3:E$23))/(MAX(E$3:E$23)-MIN(E$3:E$23))</f>
        <v/>
      </c>
      <c r="Q39" s="288">
        <f>(F39-MIN(F$3:F$23))/(MAX(F$3:F$23)-MIN(F$3:F$23))</f>
        <v/>
      </c>
      <c r="R39" s="288">
        <f>(MAX(I$3:I$23)-I39)/(MAX(I$3:I$23)-MIN(I$3:I$23))</f>
        <v/>
      </c>
      <c r="S39" s="288">
        <f>(G39-MIN(G$3:G$23))/(MAX(G$3:G$23)-MIN(G$3:G$23))</f>
        <v/>
      </c>
      <c r="T39" s="288">
        <f>(K39*'Fund Ranking Criteria'!$J$9)+('Fund Ranking Criteria'!$J$10*Consol_Thematic!M39)+('Fund Ranking Criteria'!$J$12*Consol_Thematic!S39)+('Fund Ranking Criteria'!$J$14*Consol_Thematic!R39)+('Fund Ranking Criteria'!$J$15*Consol_Thematic!O39)+('Fund Ranking Criteria'!$J$16*Consol_Thematic!P39)+('Fund Ranking Criteria'!#REF!*Consol_Thematic!Q39)+('Fund Ranking Criteria'!#REF!*Consol_Thematic!L39)</f>
        <v/>
      </c>
      <c r="U39" s="288">
        <f>T39*1</f>
        <v/>
      </c>
      <c r="V39" s="261">
        <f>RANK(U39,$U$3:$U$157,0)</f>
        <v/>
      </c>
      <c r="W39" s="261">
        <f>A39</f>
        <v/>
      </c>
    </row>
    <row r="40">
      <c r="A40" s="261" t="inlineStr">
        <is>
          <t>Edelweiss Consumption Fund - Regular Plan</t>
        </is>
      </c>
      <c r="B40" s="261">
        <f>VLOOKUP($A40, Sheet4!$A$2:$L$688, Consol_Thematic!B$1,FALSE)</f>
        <v/>
      </c>
      <c r="C40" s="261">
        <f>VLOOKUP($A40, Sheet4!$A$2:$L$688, Consol_Thematic!C$1,FALSE)</f>
        <v/>
      </c>
      <c r="D40" s="261">
        <f>VLOOKUP($A40, Sheet4!$A$2:$L$688, Consol_Thematic!D$1,FALSE)</f>
        <v/>
      </c>
      <c r="E40" s="261">
        <f>VLOOKUP($A40, Sheet4!$A$2:$L$688, Consol_Thematic!E$1,FALSE)</f>
        <v/>
      </c>
      <c r="F40" s="261">
        <f>VLOOKUP($A40, Sheet4!$A$2:$L$688, Consol_Thematic!F$1,FALSE)</f>
        <v/>
      </c>
      <c r="G40" s="261">
        <f>VLOOKUP($A40, Sheet4!$A$2:$L$688, Consol_Thematic!G$1,FALSE)</f>
        <v/>
      </c>
      <c r="H40" s="261">
        <f>VLOOKUP($A40, Sheet4!$A$2:$L$688, Consol_Thematic!H$1,FALSE)</f>
        <v/>
      </c>
      <c r="I40" s="261">
        <f>VLOOKUP($A40, Sheet4!$A$2:$L$688, Consol_Thematic!I$1,FALSE)</f>
        <v/>
      </c>
      <c r="J40" s="261">
        <f>VLOOKUP($A40, Sheet4!$A$2:$L$688, Consol_Thematic!J$1,FALSE)</f>
        <v/>
      </c>
      <c r="K40" s="288">
        <f>(B40-MIN(B$3:B$23))/(MAX(B$3:B$23)-MIN(B$3:B$23))</f>
        <v/>
      </c>
      <c r="L40" s="288">
        <f>(MAX(H$3:H$23)-H40)/(MAX(H$3:H$23)-MIN(H$3:H$23))</f>
        <v/>
      </c>
      <c r="M40" s="288">
        <f>(C40-MIN(C$3:C$23))/(MAX(C$3:C$23)-MIN(C$3:C$23))</f>
        <v/>
      </c>
      <c r="N40" s="288">
        <f>(D40-MIN(D$3:D$23))/(MAX(D$3:D$23)-MIN(D$3:D$23))</f>
        <v/>
      </c>
      <c r="O40" s="288">
        <f>(MAX(J$3:J$23)-J40)/(MAX(J$3:J$23)-MIN(J$3:J$23))</f>
        <v/>
      </c>
      <c r="P40" s="288">
        <f>(E40-MIN(E$3:E$23))/(MAX(E$3:E$23)-MIN(E$3:E$23))</f>
        <v/>
      </c>
      <c r="Q40" s="288">
        <f>(F40-MIN(F$3:F$23))/(MAX(F$3:F$23)-MIN(F$3:F$23))</f>
        <v/>
      </c>
      <c r="R40" s="288">
        <f>(MAX(I$3:I$23)-I40)/(MAX(I$3:I$23)-MIN(I$3:I$23))</f>
        <v/>
      </c>
      <c r="S40" s="288">
        <f>(G40-MIN(G$3:G$23))/(MAX(G$3:G$23)-MIN(G$3:G$23))</f>
        <v/>
      </c>
      <c r="T40" s="288">
        <f>(K40*'Fund Ranking Criteria'!$J$9)+('Fund Ranking Criteria'!$J$10*Consol_Thematic!M40)+('Fund Ranking Criteria'!$J$12*Consol_Thematic!S40)+('Fund Ranking Criteria'!$J$14*Consol_Thematic!R40)+('Fund Ranking Criteria'!$J$15*Consol_Thematic!O40)+('Fund Ranking Criteria'!$J$16*Consol_Thematic!P40)+('Fund Ranking Criteria'!#REF!*Consol_Thematic!Q40)+('Fund Ranking Criteria'!#REF!*Consol_Thematic!L40)</f>
        <v/>
      </c>
      <c r="U40" s="288">
        <f>T40*1</f>
        <v/>
      </c>
      <c r="V40" s="261">
        <f>RANK(U40,$U$3:$U$157,0)</f>
        <v/>
      </c>
      <c r="W40" s="261">
        <f>A40</f>
        <v/>
      </c>
    </row>
    <row r="41">
      <c r="A41" s="261" t="inlineStr">
        <is>
          <t>Edelweiss Recently Listed IPO Fund - Regular Plan</t>
        </is>
      </c>
      <c r="B41" s="261">
        <f>VLOOKUP($A41, Sheet4!$A$2:$L$688, Consol_Thematic!B$1,FALSE)</f>
        <v/>
      </c>
      <c r="C41" s="261">
        <f>VLOOKUP($A41, Sheet4!$A$2:$L$688, Consol_Thematic!C$1,FALSE)</f>
        <v/>
      </c>
      <c r="D41" s="261">
        <f>VLOOKUP($A41, Sheet4!$A$2:$L$688, Consol_Thematic!D$1,FALSE)</f>
        <v/>
      </c>
      <c r="E41" s="261">
        <f>VLOOKUP($A41, Sheet4!$A$2:$L$688, Consol_Thematic!E$1,FALSE)</f>
        <v/>
      </c>
      <c r="F41" s="261">
        <f>VLOOKUP($A41, Sheet4!$A$2:$L$688, Consol_Thematic!F$1,FALSE)</f>
        <v/>
      </c>
      <c r="G41" s="261">
        <f>VLOOKUP($A41, Sheet4!$A$2:$L$688, Consol_Thematic!G$1,FALSE)</f>
        <v/>
      </c>
      <c r="H41" s="261">
        <f>VLOOKUP($A41, Sheet4!$A$2:$L$688, Consol_Thematic!H$1,FALSE)</f>
        <v/>
      </c>
      <c r="I41" s="261">
        <f>VLOOKUP($A41, Sheet4!$A$2:$L$688, Consol_Thematic!I$1,FALSE)</f>
        <v/>
      </c>
      <c r="J41" s="261">
        <f>VLOOKUP($A41, Sheet4!$A$2:$L$688, Consol_Thematic!J$1,FALSE)</f>
        <v/>
      </c>
      <c r="K41" s="288">
        <f>(B41-MIN(B$3:B$23))/(MAX(B$3:B$23)-MIN(B$3:B$23))</f>
        <v/>
      </c>
      <c r="L41" s="288">
        <f>(MAX(H$3:H$23)-H41)/(MAX(H$3:H$23)-MIN(H$3:H$23))</f>
        <v/>
      </c>
      <c r="M41" s="288">
        <f>(C41-MIN(C$3:C$23))/(MAX(C$3:C$23)-MIN(C$3:C$23))</f>
        <v/>
      </c>
      <c r="N41" s="288">
        <f>(D41-MIN(D$3:D$23))/(MAX(D$3:D$23)-MIN(D$3:D$23))</f>
        <v/>
      </c>
      <c r="O41" s="288">
        <f>(MAX(J$3:J$23)-J41)/(MAX(J$3:J$23)-MIN(J$3:J$23))</f>
        <v/>
      </c>
      <c r="P41" s="288">
        <f>(E41-MIN(E$3:E$23))/(MAX(E$3:E$23)-MIN(E$3:E$23))</f>
        <v/>
      </c>
      <c r="Q41" s="288">
        <f>(F41-MIN(F$3:F$23))/(MAX(F$3:F$23)-MIN(F$3:F$23))</f>
        <v/>
      </c>
      <c r="R41" s="288">
        <f>(MAX(I$3:I$23)-I41)/(MAX(I$3:I$23)-MIN(I$3:I$23))</f>
        <v/>
      </c>
      <c r="S41" s="288">
        <f>(G41-MIN(G$3:G$23))/(MAX(G$3:G$23)-MIN(G$3:G$23))</f>
        <v/>
      </c>
      <c r="T41" s="288">
        <f>(K41*'Fund Ranking Criteria'!$J$9)+('Fund Ranking Criteria'!$J$10*Consol_Thematic!M41)+('Fund Ranking Criteria'!$J$12*Consol_Thematic!S41)+('Fund Ranking Criteria'!$J$14*Consol_Thematic!R41)+('Fund Ranking Criteria'!$J$15*Consol_Thematic!O41)+('Fund Ranking Criteria'!$J$16*Consol_Thematic!P41)+('Fund Ranking Criteria'!#REF!*Consol_Thematic!Q41)+('Fund Ranking Criteria'!#REF!*Consol_Thematic!L41)</f>
        <v/>
      </c>
      <c r="U41" s="288">
        <f>T41*1</f>
        <v/>
      </c>
      <c r="V41" s="261">
        <f>RANK(U41,$U$3:$U$157,0)</f>
        <v/>
      </c>
      <c r="W41" s="261">
        <f>A41</f>
        <v/>
      </c>
    </row>
    <row r="42">
      <c r="A42" s="261" t="inlineStr">
        <is>
          <t>Franklin India Opportunities Fund - Regular Plan</t>
        </is>
      </c>
      <c r="B42" s="261">
        <f>VLOOKUP($A42, Sheet4!$A$2:$L$688, Consol_Thematic!B$1,FALSE)</f>
        <v/>
      </c>
      <c r="C42" s="261">
        <f>VLOOKUP($A42, Sheet4!$A$2:$L$688, Consol_Thematic!C$1,FALSE)</f>
        <v/>
      </c>
      <c r="D42" s="261">
        <f>VLOOKUP($A42, Sheet4!$A$2:$L$688, Consol_Thematic!D$1,FALSE)</f>
        <v/>
      </c>
      <c r="E42" s="261">
        <f>VLOOKUP($A42, Sheet4!$A$2:$L$688, Consol_Thematic!E$1,FALSE)</f>
        <v/>
      </c>
      <c r="F42" s="261">
        <f>VLOOKUP($A42, Sheet4!$A$2:$L$688, Consol_Thematic!F$1,FALSE)</f>
        <v/>
      </c>
      <c r="G42" s="261">
        <f>VLOOKUP($A42, Sheet4!$A$2:$L$688, Consol_Thematic!G$1,FALSE)</f>
        <v/>
      </c>
      <c r="H42" s="261">
        <f>VLOOKUP($A42, Sheet4!$A$2:$L$688, Consol_Thematic!H$1,FALSE)</f>
        <v/>
      </c>
      <c r="I42" s="261">
        <f>VLOOKUP($A42, Sheet4!$A$2:$L$688, Consol_Thematic!I$1,FALSE)</f>
        <v/>
      </c>
      <c r="J42" s="261">
        <f>VLOOKUP($A42, Sheet4!$A$2:$L$688, Consol_Thematic!J$1,FALSE)</f>
        <v/>
      </c>
      <c r="K42" s="288">
        <f>(B42-MIN(B$3:B$23))/(MAX(B$3:B$23)-MIN(B$3:B$23))</f>
        <v/>
      </c>
      <c r="L42" s="288">
        <f>(MAX(H$3:H$23)-H42)/(MAX(H$3:H$23)-MIN(H$3:H$23))</f>
        <v/>
      </c>
      <c r="M42" s="288">
        <f>(C42-MIN(C$3:C$23))/(MAX(C$3:C$23)-MIN(C$3:C$23))</f>
        <v/>
      </c>
      <c r="N42" s="288">
        <f>(D42-MIN(D$3:D$23))/(MAX(D$3:D$23)-MIN(D$3:D$23))</f>
        <v/>
      </c>
      <c r="O42" s="288">
        <f>(MAX(J$3:J$23)-J42)/(MAX(J$3:J$23)-MIN(J$3:J$23))</f>
        <v/>
      </c>
      <c r="P42" s="288">
        <f>(E42-MIN(E$3:E$23))/(MAX(E$3:E$23)-MIN(E$3:E$23))</f>
        <v/>
      </c>
      <c r="Q42" s="288">
        <f>(F42-MIN(F$3:F$23))/(MAX(F$3:F$23)-MIN(F$3:F$23))</f>
        <v/>
      </c>
      <c r="R42" s="288">
        <f>(MAX(I$3:I$23)-I42)/(MAX(I$3:I$23)-MIN(I$3:I$23))</f>
        <v/>
      </c>
      <c r="S42" s="288">
        <f>(G42-MIN(G$3:G$23))/(MAX(G$3:G$23)-MIN(G$3:G$23))</f>
        <v/>
      </c>
      <c r="T42" s="288">
        <f>(K42*'Fund Ranking Criteria'!$J$9)+('Fund Ranking Criteria'!$J$10*Consol_Thematic!M42)+('Fund Ranking Criteria'!$J$12*Consol_Thematic!S42)+('Fund Ranking Criteria'!$J$14*Consol_Thematic!R42)+('Fund Ranking Criteria'!$J$15*Consol_Thematic!O42)+('Fund Ranking Criteria'!$J$16*Consol_Thematic!P42)+('Fund Ranking Criteria'!#REF!*Consol_Thematic!Q42)+('Fund Ranking Criteria'!#REF!*Consol_Thematic!L42)</f>
        <v/>
      </c>
      <c r="U42" s="288">
        <f>T42*1</f>
        <v/>
      </c>
      <c r="V42" s="261">
        <f>RANK(U42,$U$3:$U$157,0)</f>
        <v/>
      </c>
      <c r="W42" s="261">
        <f>A42</f>
        <v/>
      </c>
    </row>
    <row r="43">
      <c r="A43" s="261" t="inlineStr">
        <is>
          <t>HDFC Business Cycle Fund - Regular Plan</t>
        </is>
      </c>
      <c r="B43" s="261">
        <f>VLOOKUP($A43, Sheet4!$A$2:$L$688, Consol_Thematic!B$1,FALSE)</f>
        <v/>
      </c>
      <c r="C43" s="261">
        <f>VLOOKUP($A43, Sheet4!$A$2:$L$688, Consol_Thematic!C$1,FALSE)</f>
        <v/>
      </c>
      <c r="D43" s="261">
        <f>VLOOKUP($A43, Sheet4!$A$2:$L$688, Consol_Thematic!D$1,FALSE)</f>
        <v/>
      </c>
      <c r="E43" s="261">
        <f>VLOOKUP($A43, Sheet4!$A$2:$L$688, Consol_Thematic!E$1,FALSE)</f>
        <v/>
      </c>
      <c r="F43" s="261">
        <f>VLOOKUP($A43, Sheet4!$A$2:$L$688, Consol_Thematic!F$1,FALSE)</f>
        <v/>
      </c>
      <c r="G43" s="261">
        <f>VLOOKUP($A43, Sheet4!$A$2:$L$688, Consol_Thematic!G$1,FALSE)</f>
        <v/>
      </c>
      <c r="H43" s="261">
        <f>VLOOKUP($A43, Sheet4!$A$2:$L$688, Consol_Thematic!H$1,FALSE)</f>
        <v/>
      </c>
      <c r="I43" s="261">
        <f>VLOOKUP($A43, Sheet4!$A$2:$L$688, Consol_Thematic!I$1,FALSE)</f>
        <v/>
      </c>
      <c r="J43" s="261">
        <f>VLOOKUP($A43, Sheet4!$A$2:$L$688, Consol_Thematic!J$1,FALSE)</f>
        <v/>
      </c>
      <c r="K43" s="288">
        <f>(B43-MIN(B$3:B$23))/(MAX(B$3:B$23)-MIN(B$3:B$23))</f>
        <v/>
      </c>
      <c r="L43" s="288">
        <f>(MAX(H$3:H$23)-H43)/(MAX(H$3:H$23)-MIN(H$3:H$23))</f>
        <v/>
      </c>
      <c r="M43" s="288">
        <f>(C43-MIN(C$3:C$23))/(MAX(C$3:C$23)-MIN(C$3:C$23))</f>
        <v/>
      </c>
      <c r="N43" s="288">
        <f>(D43-MIN(D$3:D$23))/(MAX(D$3:D$23)-MIN(D$3:D$23))</f>
        <v/>
      </c>
      <c r="O43" s="288">
        <f>(MAX(J$3:J$23)-J43)/(MAX(J$3:J$23)-MIN(J$3:J$23))</f>
        <v/>
      </c>
      <c r="P43" s="288">
        <f>(E43-MIN(E$3:E$23))/(MAX(E$3:E$23)-MIN(E$3:E$23))</f>
        <v/>
      </c>
      <c r="Q43" s="288">
        <f>(F43-MIN(F$3:F$23))/(MAX(F$3:F$23)-MIN(F$3:F$23))</f>
        <v/>
      </c>
      <c r="R43" s="288">
        <f>(MAX(I$3:I$23)-I43)/(MAX(I$3:I$23)-MIN(I$3:I$23))</f>
        <v/>
      </c>
      <c r="S43" s="288">
        <f>(G43-MIN(G$3:G$23))/(MAX(G$3:G$23)-MIN(G$3:G$23))</f>
        <v/>
      </c>
      <c r="T43" s="288">
        <f>(K43*'Fund Ranking Criteria'!$J$9)+('Fund Ranking Criteria'!$J$10*Consol_Thematic!M43)+('Fund Ranking Criteria'!$J$12*Consol_Thematic!S43)+('Fund Ranking Criteria'!$J$14*Consol_Thematic!R43)+('Fund Ranking Criteria'!$J$15*Consol_Thematic!O43)+('Fund Ranking Criteria'!$J$16*Consol_Thematic!P43)+('Fund Ranking Criteria'!#REF!*Consol_Thematic!Q43)+('Fund Ranking Criteria'!#REF!*Consol_Thematic!L43)</f>
        <v/>
      </c>
      <c r="U43" s="288">
        <f>T43*1</f>
        <v/>
      </c>
      <c r="V43" s="261">
        <f>RANK(U43,$U$3:$U$157,0)</f>
        <v/>
      </c>
      <c r="W43" s="261">
        <f>A43</f>
        <v/>
      </c>
    </row>
    <row r="44">
      <c r="A44" s="261" t="inlineStr">
        <is>
          <t>HDFC Defence Fund - Regular Plan</t>
        </is>
      </c>
      <c r="B44" s="261">
        <f>VLOOKUP($A44, Sheet4!$A$2:$L$688, Consol_Thematic!B$1,FALSE)</f>
        <v/>
      </c>
      <c r="C44" s="261">
        <f>VLOOKUP($A44, Sheet4!$A$2:$L$688, Consol_Thematic!C$1,FALSE)</f>
        <v/>
      </c>
      <c r="D44" s="261">
        <f>VLOOKUP($A44, Sheet4!$A$2:$L$688, Consol_Thematic!D$1,FALSE)</f>
        <v/>
      </c>
      <c r="E44" s="261">
        <f>VLOOKUP($A44, Sheet4!$A$2:$L$688, Consol_Thematic!E$1,FALSE)</f>
        <v/>
      </c>
      <c r="F44" s="261">
        <f>VLOOKUP($A44, Sheet4!$A$2:$L$688, Consol_Thematic!F$1,FALSE)</f>
        <v/>
      </c>
      <c r="G44" s="261">
        <f>VLOOKUP($A44, Sheet4!$A$2:$L$688, Consol_Thematic!G$1,FALSE)</f>
        <v/>
      </c>
      <c r="H44" s="261">
        <f>VLOOKUP($A44, Sheet4!$A$2:$L$688, Consol_Thematic!H$1,FALSE)</f>
        <v/>
      </c>
      <c r="I44" s="261">
        <f>VLOOKUP($A44, Sheet4!$A$2:$L$688, Consol_Thematic!I$1,FALSE)</f>
        <v/>
      </c>
      <c r="J44" s="261">
        <f>VLOOKUP($A44, Sheet4!$A$2:$L$688, Consol_Thematic!J$1,FALSE)</f>
        <v/>
      </c>
      <c r="K44" s="288">
        <f>(B44-MIN(B$3:B$23))/(MAX(B$3:B$23)-MIN(B$3:B$23))</f>
        <v/>
      </c>
      <c r="L44" s="288">
        <f>(MAX(H$3:H$23)-H44)/(MAX(H$3:H$23)-MIN(H$3:H$23))</f>
        <v/>
      </c>
      <c r="M44" s="288">
        <f>(C44-MIN(C$3:C$23))/(MAX(C$3:C$23)-MIN(C$3:C$23))</f>
        <v/>
      </c>
      <c r="N44" s="288">
        <f>(D44-MIN(D$3:D$23))/(MAX(D$3:D$23)-MIN(D$3:D$23))</f>
        <v/>
      </c>
      <c r="O44" s="288">
        <f>(MAX(J$3:J$23)-J44)/(MAX(J$3:J$23)-MIN(J$3:J$23))</f>
        <v/>
      </c>
      <c r="P44" s="288">
        <f>(E44-MIN(E$3:E$23))/(MAX(E$3:E$23)-MIN(E$3:E$23))</f>
        <v/>
      </c>
      <c r="Q44" s="288">
        <f>(F44-MIN(F$3:F$23))/(MAX(F$3:F$23)-MIN(F$3:F$23))</f>
        <v/>
      </c>
      <c r="R44" s="288">
        <f>(MAX(I$3:I$23)-I44)/(MAX(I$3:I$23)-MIN(I$3:I$23))</f>
        <v/>
      </c>
      <c r="S44" s="288">
        <f>(G44-MIN(G$3:G$23))/(MAX(G$3:G$23)-MIN(G$3:G$23))</f>
        <v/>
      </c>
      <c r="T44" s="288">
        <f>(K44*'Fund Ranking Criteria'!$J$9)+('Fund Ranking Criteria'!$J$10*Consol_Thematic!M44)+('Fund Ranking Criteria'!$J$12*Consol_Thematic!S44)+('Fund Ranking Criteria'!$J$14*Consol_Thematic!R44)+('Fund Ranking Criteria'!$J$15*Consol_Thematic!O44)+('Fund Ranking Criteria'!$J$16*Consol_Thematic!P44)+('Fund Ranking Criteria'!#REF!*Consol_Thematic!Q44)+('Fund Ranking Criteria'!#REF!*Consol_Thematic!L44)</f>
        <v/>
      </c>
      <c r="U44" s="288">
        <f>T44*1</f>
        <v/>
      </c>
      <c r="V44" s="261">
        <f>RANK(U44,$U$3:$U$157,0)</f>
        <v/>
      </c>
      <c r="W44" s="261">
        <f>A44</f>
        <v/>
      </c>
    </row>
    <row r="45">
      <c r="A45" s="261" t="inlineStr">
        <is>
          <t>HDFC Dividend Yield Fund - Regular Plan</t>
        </is>
      </c>
      <c r="B45" s="261">
        <f>VLOOKUP($A45, Sheet4!$A$2:$L$688, Consol_Thematic!B$1,FALSE)</f>
        <v/>
      </c>
      <c r="C45" s="261">
        <f>VLOOKUP($A45, Sheet4!$A$2:$L$688, Consol_Thematic!C$1,FALSE)</f>
        <v/>
      </c>
      <c r="D45" s="261">
        <f>VLOOKUP($A45, Sheet4!$A$2:$L$688, Consol_Thematic!D$1,FALSE)</f>
        <v/>
      </c>
      <c r="E45" s="261">
        <f>VLOOKUP($A45, Sheet4!$A$2:$L$688, Consol_Thematic!E$1,FALSE)</f>
        <v/>
      </c>
      <c r="F45" s="261">
        <f>VLOOKUP($A45, Sheet4!$A$2:$L$688, Consol_Thematic!F$1,FALSE)</f>
        <v/>
      </c>
      <c r="G45" s="261">
        <f>VLOOKUP($A45, Sheet4!$A$2:$L$688, Consol_Thematic!G$1,FALSE)</f>
        <v/>
      </c>
      <c r="H45" s="261">
        <f>VLOOKUP($A45, Sheet4!$A$2:$L$688, Consol_Thematic!H$1,FALSE)</f>
        <v/>
      </c>
      <c r="I45" s="261">
        <f>VLOOKUP($A45, Sheet4!$A$2:$L$688, Consol_Thematic!I$1,FALSE)</f>
        <v/>
      </c>
      <c r="J45" s="261">
        <f>VLOOKUP($A45, Sheet4!$A$2:$L$688, Consol_Thematic!J$1,FALSE)</f>
        <v/>
      </c>
      <c r="K45" s="288">
        <f>(B45-MIN(B$3:B$23))/(MAX(B$3:B$23)-MIN(B$3:B$23))</f>
        <v/>
      </c>
      <c r="L45" s="288">
        <f>(MAX(H$3:H$23)-H45)/(MAX(H$3:H$23)-MIN(H$3:H$23))</f>
        <v/>
      </c>
      <c r="M45" s="288">
        <f>(C45-MIN(C$3:C$23))/(MAX(C$3:C$23)-MIN(C$3:C$23))</f>
        <v/>
      </c>
      <c r="N45" s="288">
        <f>(D45-MIN(D$3:D$23))/(MAX(D$3:D$23)-MIN(D$3:D$23))</f>
        <v/>
      </c>
      <c r="O45" s="288">
        <f>(MAX(J$3:J$23)-J45)/(MAX(J$3:J$23)-MIN(J$3:J$23))</f>
        <v/>
      </c>
      <c r="P45" s="288">
        <f>(E45-MIN(E$3:E$23))/(MAX(E$3:E$23)-MIN(E$3:E$23))</f>
        <v/>
      </c>
      <c r="Q45" s="288">
        <f>(F45-MIN(F$3:F$23))/(MAX(F$3:F$23)-MIN(F$3:F$23))</f>
        <v/>
      </c>
      <c r="R45" s="288">
        <f>(MAX(I$3:I$23)-I45)/(MAX(I$3:I$23)-MIN(I$3:I$23))</f>
        <v/>
      </c>
      <c r="S45" s="288">
        <f>(G45-MIN(G$3:G$23))/(MAX(G$3:G$23)-MIN(G$3:G$23))</f>
        <v/>
      </c>
      <c r="T45" s="288">
        <f>(K45*'Fund Ranking Criteria'!$J$9)+('Fund Ranking Criteria'!$J$10*Consol_Thematic!M45)+('Fund Ranking Criteria'!$J$12*Consol_Thematic!S45)+('Fund Ranking Criteria'!$J$14*Consol_Thematic!R45)+('Fund Ranking Criteria'!$J$15*Consol_Thematic!O45)+('Fund Ranking Criteria'!$J$16*Consol_Thematic!P45)+('Fund Ranking Criteria'!#REF!*Consol_Thematic!Q45)+('Fund Ranking Criteria'!#REF!*Consol_Thematic!L45)</f>
        <v/>
      </c>
      <c r="U45" s="288">
        <f>T45*1</f>
        <v/>
      </c>
      <c r="V45" s="261">
        <f>RANK(U45,$U$3:$U$157,0)</f>
        <v/>
      </c>
      <c r="W45" s="261">
        <f>A45</f>
        <v/>
      </c>
    </row>
    <row r="46">
      <c r="A46" s="261" t="inlineStr">
        <is>
          <t>HDFC Housing Opportunities Fund - Regular Plan</t>
        </is>
      </c>
      <c r="B46" s="261">
        <f>VLOOKUP($A46, Sheet4!$A$2:$L$688, Consol_Thematic!B$1,FALSE)</f>
        <v/>
      </c>
      <c r="C46" s="261">
        <f>VLOOKUP($A46, Sheet4!$A$2:$L$688, Consol_Thematic!C$1,FALSE)</f>
        <v/>
      </c>
      <c r="D46" s="261">
        <f>VLOOKUP($A46, Sheet4!$A$2:$L$688, Consol_Thematic!D$1,FALSE)</f>
        <v/>
      </c>
      <c r="E46" s="261">
        <f>VLOOKUP($A46, Sheet4!$A$2:$L$688, Consol_Thematic!E$1,FALSE)</f>
        <v/>
      </c>
      <c r="F46" s="261">
        <f>VLOOKUP($A46, Sheet4!$A$2:$L$688, Consol_Thematic!F$1,FALSE)</f>
        <v/>
      </c>
      <c r="G46" s="261">
        <f>VLOOKUP($A46, Sheet4!$A$2:$L$688, Consol_Thematic!G$1,FALSE)</f>
        <v/>
      </c>
      <c r="H46" s="261">
        <f>VLOOKUP($A46, Sheet4!$A$2:$L$688, Consol_Thematic!H$1,FALSE)</f>
        <v/>
      </c>
      <c r="I46" s="261">
        <f>VLOOKUP($A46, Sheet4!$A$2:$L$688, Consol_Thematic!I$1,FALSE)</f>
        <v/>
      </c>
      <c r="J46" s="261">
        <f>VLOOKUP($A46, Sheet4!$A$2:$L$688, Consol_Thematic!J$1,FALSE)</f>
        <v/>
      </c>
      <c r="K46" s="288">
        <f>(B46-MIN(B$3:B$23))/(MAX(B$3:B$23)-MIN(B$3:B$23))</f>
        <v/>
      </c>
      <c r="L46" s="288">
        <f>(MAX(H$3:H$23)-H46)/(MAX(H$3:H$23)-MIN(H$3:H$23))</f>
        <v/>
      </c>
      <c r="M46" s="288">
        <f>(C46-MIN(C$3:C$23))/(MAX(C$3:C$23)-MIN(C$3:C$23))</f>
        <v/>
      </c>
      <c r="N46" s="288">
        <f>(D46-MIN(D$3:D$23))/(MAX(D$3:D$23)-MIN(D$3:D$23))</f>
        <v/>
      </c>
      <c r="O46" s="288">
        <f>(MAX(J$3:J$23)-J46)/(MAX(J$3:J$23)-MIN(J$3:J$23))</f>
        <v/>
      </c>
      <c r="P46" s="288">
        <f>(E46-MIN(E$3:E$23))/(MAX(E$3:E$23)-MIN(E$3:E$23))</f>
        <v/>
      </c>
      <c r="Q46" s="288">
        <f>(F46-MIN(F$3:F$23))/(MAX(F$3:F$23)-MIN(F$3:F$23))</f>
        <v/>
      </c>
      <c r="R46" s="288">
        <f>(MAX(I$3:I$23)-I46)/(MAX(I$3:I$23)-MIN(I$3:I$23))</f>
        <v/>
      </c>
      <c r="S46" s="288">
        <f>(G46-MIN(G$3:G$23))/(MAX(G$3:G$23)-MIN(G$3:G$23))</f>
        <v/>
      </c>
      <c r="T46" s="288">
        <f>(K46*'Fund Ranking Criteria'!$J$9)+('Fund Ranking Criteria'!$J$10*Consol_Thematic!M46)+('Fund Ranking Criteria'!$J$12*Consol_Thematic!S46)+('Fund Ranking Criteria'!$J$14*Consol_Thematic!R46)+('Fund Ranking Criteria'!$J$15*Consol_Thematic!O46)+('Fund Ranking Criteria'!$J$16*Consol_Thematic!P46)+('Fund Ranking Criteria'!#REF!*Consol_Thematic!Q46)+('Fund Ranking Criteria'!#REF!*Consol_Thematic!L46)</f>
        <v/>
      </c>
      <c r="U46" s="288">
        <f>T46*1</f>
        <v/>
      </c>
      <c r="V46" s="261">
        <f>RANK(U46,$U$3:$U$157,0)</f>
        <v/>
      </c>
      <c r="W46" s="261">
        <f>A46</f>
        <v/>
      </c>
    </row>
    <row r="47">
      <c r="A47" s="261" t="inlineStr">
        <is>
          <t>HDFC Innovation Fund - Regular Plan</t>
        </is>
      </c>
      <c r="B47" s="261">
        <f>VLOOKUP($A47, Sheet4!$A$2:$L$688, Consol_Thematic!B$1,FALSE)</f>
        <v/>
      </c>
      <c r="C47" s="261">
        <f>VLOOKUP($A47, Sheet4!$A$2:$L$688, Consol_Thematic!C$1,FALSE)</f>
        <v/>
      </c>
      <c r="D47" s="261">
        <f>VLOOKUP($A47, Sheet4!$A$2:$L$688, Consol_Thematic!D$1,FALSE)</f>
        <v/>
      </c>
      <c r="E47" s="261">
        <f>VLOOKUP($A47, Sheet4!$A$2:$L$688, Consol_Thematic!E$1,FALSE)</f>
        <v/>
      </c>
      <c r="F47" s="261">
        <f>VLOOKUP($A47, Sheet4!$A$2:$L$688, Consol_Thematic!F$1,FALSE)</f>
        <v/>
      </c>
      <c r="G47" s="261">
        <f>VLOOKUP($A47, Sheet4!$A$2:$L$688, Consol_Thematic!G$1,FALSE)</f>
        <v/>
      </c>
      <c r="H47" s="261">
        <f>VLOOKUP($A47, Sheet4!$A$2:$L$688, Consol_Thematic!H$1,FALSE)</f>
        <v/>
      </c>
      <c r="I47" s="261">
        <f>VLOOKUP($A47, Sheet4!$A$2:$L$688, Consol_Thematic!I$1,FALSE)</f>
        <v/>
      </c>
      <c r="J47" s="261">
        <f>VLOOKUP($A47, Sheet4!$A$2:$L$688, Consol_Thematic!J$1,FALSE)</f>
        <v/>
      </c>
      <c r="K47" s="288">
        <f>(B47-MIN(B$3:B$23))/(MAX(B$3:B$23)-MIN(B$3:B$23))</f>
        <v/>
      </c>
      <c r="L47" s="288">
        <f>(MAX(H$3:H$23)-H47)/(MAX(H$3:H$23)-MIN(H$3:H$23))</f>
        <v/>
      </c>
      <c r="M47" s="288">
        <f>(C47-MIN(C$3:C$23))/(MAX(C$3:C$23)-MIN(C$3:C$23))</f>
        <v/>
      </c>
      <c r="N47" s="288">
        <f>(D47-MIN(D$3:D$23))/(MAX(D$3:D$23)-MIN(D$3:D$23))</f>
        <v/>
      </c>
      <c r="O47" s="288">
        <f>(MAX(J$3:J$23)-J47)/(MAX(J$3:J$23)-MIN(J$3:J$23))</f>
        <v/>
      </c>
      <c r="P47" s="288">
        <f>(E47-MIN(E$3:E$23))/(MAX(E$3:E$23)-MIN(E$3:E$23))</f>
        <v/>
      </c>
      <c r="Q47" s="288">
        <f>(F47-MIN(F$3:F$23))/(MAX(F$3:F$23)-MIN(F$3:F$23))</f>
        <v/>
      </c>
      <c r="R47" s="288">
        <f>(MAX(I$3:I$23)-I47)/(MAX(I$3:I$23)-MIN(I$3:I$23))</f>
        <v/>
      </c>
      <c r="S47" s="288">
        <f>(G47-MIN(G$3:G$23))/(MAX(G$3:G$23)-MIN(G$3:G$23))</f>
        <v/>
      </c>
      <c r="T47" s="288">
        <f>(K47*'Fund Ranking Criteria'!$J$9)+('Fund Ranking Criteria'!$J$10*Consol_Thematic!M47)+('Fund Ranking Criteria'!$J$12*Consol_Thematic!S47)+('Fund Ranking Criteria'!$J$14*Consol_Thematic!R47)+('Fund Ranking Criteria'!$J$15*Consol_Thematic!O47)+('Fund Ranking Criteria'!$J$16*Consol_Thematic!P47)+('Fund Ranking Criteria'!#REF!*Consol_Thematic!Q47)+('Fund Ranking Criteria'!#REF!*Consol_Thematic!L47)</f>
        <v/>
      </c>
      <c r="U47" s="288">
        <f>T47*1</f>
        <v/>
      </c>
      <c r="V47" s="261">
        <f>RANK(U47,$U$3:$U$157,0)</f>
        <v/>
      </c>
      <c r="W47" s="261">
        <f>A47</f>
        <v/>
      </c>
    </row>
    <row r="48">
      <c r="A48" s="261" t="inlineStr">
        <is>
          <t>HDFC Manufacturing Fund - Regular Plan</t>
        </is>
      </c>
      <c r="B48" s="261">
        <f>VLOOKUP($A48, Sheet4!$A$2:$L$688, Consol_Thematic!B$1,FALSE)</f>
        <v/>
      </c>
      <c r="C48" s="261">
        <f>VLOOKUP($A48, Sheet4!$A$2:$L$688, Consol_Thematic!C$1,FALSE)</f>
        <v/>
      </c>
      <c r="D48" s="261">
        <f>VLOOKUP($A48, Sheet4!$A$2:$L$688, Consol_Thematic!D$1,FALSE)</f>
        <v/>
      </c>
      <c r="E48" s="261">
        <f>VLOOKUP($A48, Sheet4!$A$2:$L$688, Consol_Thematic!E$1,FALSE)</f>
        <v/>
      </c>
      <c r="F48" s="261">
        <f>VLOOKUP($A48, Sheet4!$A$2:$L$688, Consol_Thematic!F$1,FALSE)</f>
        <v/>
      </c>
      <c r="G48" s="261">
        <f>VLOOKUP($A48, Sheet4!$A$2:$L$688, Consol_Thematic!G$1,FALSE)</f>
        <v/>
      </c>
      <c r="H48" s="261">
        <f>VLOOKUP($A48, Sheet4!$A$2:$L$688, Consol_Thematic!H$1,FALSE)</f>
        <v/>
      </c>
      <c r="I48" s="261">
        <f>VLOOKUP($A48, Sheet4!$A$2:$L$688, Consol_Thematic!I$1,FALSE)</f>
        <v/>
      </c>
      <c r="J48" s="261">
        <f>VLOOKUP($A48, Sheet4!$A$2:$L$688, Consol_Thematic!J$1,FALSE)</f>
        <v/>
      </c>
      <c r="K48" s="288">
        <f>(B48-MIN(B$3:B$23))/(MAX(B$3:B$23)-MIN(B$3:B$23))</f>
        <v/>
      </c>
      <c r="L48" s="288">
        <f>(MAX(H$3:H$23)-H48)/(MAX(H$3:H$23)-MIN(H$3:H$23))</f>
        <v/>
      </c>
      <c r="M48" s="288">
        <f>(C48-MIN(C$3:C$23))/(MAX(C$3:C$23)-MIN(C$3:C$23))</f>
        <v/>
      </c>
      <c r="N48" s="288">
        <f>(D48-MIN(D$3:D$23))/(MAX(D$3:D$23)-MIN(D$3:D$23))</f>
        <v/>
      </c>
      <c r="O48" s="288">
        <f>(MAX(J$3:J$23)-J48)/(MAX(J$3:J$23)-MIN(J$3:J$23))</f>
        <v/>
      </c>
      <c r="P48" s="288">
        <f>(E48-MIN(E$3:E$23))/(MAX(E$3:E$23)-MIN(E$3:E$23))</f>
        <v/>
      </c>
      <c r="Q48" s="288">
        <f>(F48-MIN(F$3:F$23))/(MAX(F$3:F$23)-MIN(F$3:F$23))</f>
        <v/>
      </c>
      <c r="R48" s="288">
        <f>(MAX(I$3:I$23)-I48)/(MAX(I$3:I$23)-MIN(I$3:I$23))</f>
        <v/>
      </c>
      <c r="S48" s="288">
        <f>(G48-MIN(G$3:G$23))/(MAX(G$3:G$23)-MIN(G$3:G$23))</f>
        <v/>
      </c>
      <c r="T48" s="288">
        <f>(K48*'Fund Ranking Criteria'!$J$9)+('Fund Ranking Criteria'!$J$10*Consol_Thematic!M48)+('Fund Ranking Criteria'!$J$12*Consol_Thematic!S48)+('Fund Ranking Criteria'!$J$14*Consol_Thematic!R48)+('Fund Ranking Criteria'!$J$15*Consol_Thematic!O48)+('Fund Ranking Criteria'!$J$16*Consol_Thematic!P48)+('Fund Ranking Criteria'!#REF!*Consol_Thematic!Q48)+('Fund Ranking Criteria'!#REF!*Consol_Thematic!L48)</f>
        <v/>
      </c>
      <c r="U48" s="288">
        <f>T48*1</f>
        <v/>
      </c>
      <c r="V48" s="261">
        <f>RANK(U48,$U$3:$U$157,0)</f>
        <v/>
      </c>
      <c r="W48" s="261">
        <f>A48</f>
        <v/>
      </c>
    </row>
    <row r="49">
      <c r="A49" s="261" t="inlineStr">
        <is>
          <t>HDFC MNC Fund - Regular Plan</t>
        </is>
      </c>
      <c r="B49" s="261">
        <f>VLOOKUP($A49, Sheet4!$A$2:$L$688, Consol_Thematic!B$1,FALSE)</f>
        <v/>
      </c>
      <c r="C49" s="261">
        <f>VLOOKUP($A49, Sheet4!$A$2:$L$688, Consol_Thematic!C$1,FALSE)</f>
        <v/>
      </c>
      <c r="D49" s="261">
        <f>VLOOKUP($A49, Sheet4!$A$2:$L$688, Consol_Thematic!D$1,FALSE)</f>
        <v/>
      </c>
      <c r="E49" s="261">
        <f>VLOOKUP($A49, Sheet4!$A$2:$L$688, Consol_Thematic!E$1,FALSE)</f>
        <v/>
      </c>
      <c r="F49" s="261">
        <f>VLOOKUP($A49, Sheet4!$A$2:$L$688, Consol_Thematic!F$1,FALSE)</f>
        <v/>
      </c>
      <c r="G49" s="261">
        <f>VLOOKUP($A49, Sheet4!$A$2:$L$688, Consol_Thematic!G$1,FALSE)</f>
        <v/>
      </c>
      <c r="H49" s="261">
        <f>VLOOKUP($A49, Sheet4!$A$2:$L$688, Consol_Thematic!H$1,FALSE)</f>
        <v/>
      </c>
      <c r="I49" s="261">
        <f>VLOOKUP($A49, Sheet4!$A$2:$L$688, Consol_Thematic!I$1,FALSE)</f>
        <v/>
      </c>
      <c r="J49" s="261">
        <f>VLOOKUP($A49, Sheet4!$A$2:$L$688, Consol_Thematic!J$1,FALSE)</f>
        <v/>
      </c>
      <c r="K49" s="288">
        <f>(B49-MIN(B$3:B$23))/(MAX(B$3:B$23)-MIN(B$3:B$23))</f>
        <v/>
      </c>
      <c r="L49" s="288">
        <f>(MAX(H$3:H$23)-H49)/(MAX(H$3:H$23)-MIN(H$3:H$23))</f>
        <v/>
      </c>
      <c r="M49" s="288">
        <f>(C49-MIN(C$3:C$23))/(MAX(C$3:C$23)-MIN(C$3:C$23))</f>
        <v/>
      </c>
      <c r="N49" s="288">
        <f>(D49-MIN(D$3:D$23))/(MAX(D$3:D$23)-MIN(D$3:D$23))</f>
        <v/>
      </c>
      <c r="O49" s="288">
        <f>(MAX(J$3:J$23)-J49)/(MAX(J$3:J$23)-MIN(J$3:J$23))</f>
        <v/>
      </c>
      <c r="P49" s="288">
        <f>(E49-MIN(E$3:E$23))/(MAX(E$3:E$23)-MIN(E$3:E$23))</f>
        <v/>
      </c>
      <c r="Q49" s="288">
        <f>(F49-MIN(F$3:F$23))/(MAX(F$3:F$23)-MIN(F$3:F$23))</f>
        <v/>
      </c>
      <c r="R49" s="288">
        <f>(MAX(I$3:I$23)-I49)/(MAX(I$3:I$23)-MIN(I$3:I$23))</f>
        <v/>
      </c>
      <c r="S49" s="288">
        <f>(G49-MIN(G$3:G$23))/(MAX(G$3:G$23)-MIN(G$3:G$23))</f>
        <v/>
      </c>
      <c r="T49" s="288">
        <f>(K49*'Fund Ranking Criteria'!$J$9)+('Fund Ranking Criteria'!$J$10*Consol_Thematic!M49)+('Fund Ranking Criteria'!$J$12*Consol_Thematic!S49)+('Fund Ranking Criteria'!$J$14*Consol_Thematic!R49)+('Fund Ranking Criteria'!$J$15*Consol_Thematic!O49)+('Fund Ranking Criteria'!$J$16*Consol_Thematic!P49)+('Fund Ranking Criteria'!#REF!*Consol_Thematic!Q49)+('Fund Ranking Criteria'!#REF!*Consol_Thematic!L49)</f>
        <v/>
      </c>
      <c r="U49" s="288">
        <f>T49*1</f>
        <v/>
      </c>
      <c r="V49" s="261">
        <f>RANK(U49,$U$3:$U$157,0)</f>
        <v/>
      </c>
      <c r="W49" s="261">
        <f>A49</f>
        <v/>
      </c>
    </row>
    <row r="50">
      <c r="A50" s="261" t="inlineStr">
        <is>
          <t>HDFC Non-Cyclical Consumer Fund - Regular Plan</t>
        </is>
      </c>
      <c r="B50" s="261">
        <f>VLOOKUP($A50, Sheet4!$A$2:$L$688, Consol_Thematic!B$1,FALSE)</f>
        <v/>
      </c>
      <c r="C50" s="261">
        <f>VLOOKUP($A50, Sheet4!$A$2:$L$688, Consol_Thematic!C$1,FALSE)</f>
        <v/>
      </c>
      <c r="D50" s="261">
        <f>VLOOKUP($A50, Sheet4!$A$2:$L$688, Consol_Thematic!D$1,FALSE)</f>
        <v/>
      </c>
      <c r="E50" s="261">
        <f>VLOOKUP($A50, Sheet4!$A$2:$L$688, Consol_Thematic!E$1,FALSE)</f>
        <v/>
      </c>
      <c r="F50" s="261">
        <f>VLOOKUP($A50, Sheet4!$A$2:$L$688, Consol_Thematic!F$1,FALSE)</f>
        <v/>
      </c>
      <c r="G50" s="261">
        <f>VLOOKUP($A50, Sheet4!$A$2:$L$688, Consol_Thematic!G$1,FALSE)</f>
        <v/>
      </c>
      <c r="H50" s="261">
        <f>VLOOKUP($A50, Sheet4!$A$2:$L$688, Consol_Thematic!H$1,FALSE)</f>
        <v/>
      </c>
      <c r="I50" s="261">
        <f>VLOOKUP($A50, Sheet4!$A$2:$L$688, Consol_Thematic!I$1,FALSE)</f>
        <v/>
      </c>
      <c r="J50" s="261">
        <f>VLOOKUP($A50, Sheet4!$A$2:$L$688, Consol_Thematic!J$1,FALSE)</f>
        <v/>
      </c>
      <c r="K50" s="288">
        <f>(B50-MIN(B$3:B$23))/(MAX(B$3:B$23)-MIN(B$3:B$23))</f>
        <v/>
      </c>
      <c r="L50" s="288">
        <f>(MAX(H$3:H$23)-H50)/(MAX(H$3:H$23)-MIN(H$3:H$23))</f>
        <v/>
      </c>
      <c r="M50" s="288">
        <f>(C50-MIN(C$3:C$23))/(MAX(C$3:C$23)-MIN(C$3:C$23))</f>
        <v/>
      </c>
      <c r="N50" s="288">
        <f>(D50-MIN(D$3:D$23))/(MAX(D$3:D$23)-MIN(D$3:D$23))</f>
        <v/>
      </c>
      <c r="O50" s="288">
        <f>(MAX(J$3:J$23)-J50)/(MAX(J$3:J$23)-MIN(J$3:J$23))</f>
        <v/>
      </c>
      <c r="P50" s="288">
        <f>(E50-MIN(E$3:E$23))/(MAX(E$3:E$23)-MIN(E$3:E$23))</f>
        <v/>
      </c>
      <c r="Q50" s="288">
        <f>(F50-MIN(F$3:F$23))/(MAX(F$3:F$23)-MIN(F$3:F$23))</f>
        <v/>
      </c>
      <c r="R50" s="288">
        <f>(MAX(I$3:I$23)-I50)/(MAX(I$3:I$23)-MIN(I$3:I$23))</f>
        <v/>
      </c>
      <c r="S50" s="288">
        <f>(G50-MIN(G$3:G$23))/(MAX(G$3:G$23)-MIN(G$3:G$23))</f>
        <v/>
      </c>
      <c r="T50" s="288">
        <f>(K50*'Fund Ranking Criteria'!$J$9)+('Fund Ranking Criteria'!$J$10*Consol_Thematic!M50)+('Fund Ranking Criteria'!$J$12*Consol_Thematic!S50)+('Fund Ranking Criteria'!$J$14*Consol_Thematic!R50)+('Fund Ranking Criteria'!$J$15*Consol_Thematic!O50)+('Fund Ranking Criteria'!$J$16*Consol_Thematic!P50)+('Fund Ranking Criteria'!#REF!*Consol_Thematic!Q50)+('Fund Ranking Criteria'!#REF!*Consol_Thematic!L50)</f>
        <v/>
      </c>
      <c r="U50" s="288">
        <f>T50*1</f>
        <v/>
      </c>
      <c r="V50" s="261">
        <f>RANK(U50,$U$3:$U$157,0)</f>
        <v/>
      </c>
      <c r="W50" s="261">
        <f>A50</f>
        <v/>
      </c>
    </row>
    <row r="51">
      <c r="A51" s="261" t="inlineStr">
        <is>
          <t>HDFC Transportation and Logistics Fund - Regular Plan</t>
        </is>
      </c>
      <c r="B51" s="261">
        <f>VLOOKUP($A51, Sheet4!$A$2:$L$688, Consol_Thematic!B$1,FALSE)</f>
        <v/>
      </c>
      <c r="C51" s="261">
        <f>VLOOKUP($A51, Sheet4!$A$2:$L$688, Consol_Thematic!C$1,FALSE)</f>
        <v/>
      </c>
      <c r="D51" s="261">
        <f>VLOOKUP($A51, Sheet4!$A$2:$L$688, Consol_Thematic!D$1,FALSE)</f>
        <v/>
      </c>
      <c r="E51" s="261">
        <f>VLOOKUP($A51, Sheet4!$A$2:$L$688, Consol_Thematic!E$1,FALSE)</f>
        <v/>
      </c>
      <c r="F51" s="261">
        <f>VLOOKUP($A51, Sheet4!$A$2:$L$688, Consol_Thematic!F$1,FALSE)</f>
        <v/>
      </c>
      <c r="G51" s="261">
        <f>VLOOKUP($A51, Sheet4!$A$2:$L$688, Consol_Thematic!G$1,FALSE)</f>
        <v/>
      </c>
      <c r="H51" s="261">
        <f>VLOOKUP($A51, Sheet4!$A$2:$L$688, Consol_Thematic!H$1,FALSE)</f>
        <v/>
      </c>
      <c r="I51" s="261">
        <f>VLOOKUP($A51, Sheet4!$A$2:$L$688, Consol_Thematic!I$1,FALSE)</f>
        <v/>
      </c>
      <c r="J51" s="261">
        <f>VLOOKUP($A51, Sheet4!$A$2:$L$688, Consol_Thematic!J$1,FALSE)</f>
        <v/>
      </c>
      <c r="K51" s="288">
        <f>(B51-MIN(B$3:B$23))/(MAX(B$3:B$23)-MIN(B$3:B$23))</f>
        <v/>
      </c>
      <c r="L51" s="288">
        <f>(MAX(H$3:H$23)-H51)/(MAX(H$3:H$23)-MIN(H$3:H$23))</f>
        <v/>
      </c>
      <c r="M51" s="288">
        <f>(C51-MIN(C$3:C$23))/(MAX(C$3:C$23)-MIN(C$3:C$23))</f>
        <v/>
      </c>
      <c r="N51" s="288">
        <f>(D51-MIN(D$3:D$23))/(MAX(D$3:D$23)-MIN(D$3:D$23))</f>
        <v/>
      </c>
      <c r="O51" s="288">
        <f>(MAX(J$3:J$23)-J51)/(MAX(J$3:J$23)-MIN(J$3:J$23))</f>
        <v/>
      </c>
      <c r="P51" s="288">
        <f>(E51-MIN(E$3:E$23))/(MAX(E$3:E$23)-MIN(E$3:E$23))</f>
        <v/>
      </c>
      <c r="Q51" s="288">
        <f>(F51-MIN(F$3:F$23))/(MAX(F$3:F$23)-MIN(F$3:F$23))</f>
        <v/>
      </c>
      <c r="R51" s="288">
        <f>(MAX(I$3:I$23)-I51)/(MAX(I$3:I$23)-MIN(I$3:I$23))</f>
        <v/>
      </c>
      <c r="S51" s="288">
        <f>(G51-MIN(G$3:G$23))/(MAX(G$3:G$23)-MIN(G$3:G$23))</f>
        <v/>
      </c>
      <c r="T51" s="288">
        <f>(K51*'Fund Ranking Criteria'!$J$9)+('Fund Ranking Criteria'!$J$10*Consol_Thematic!M51)+('Fund Ranking Criteria'!$J$12*Consol_Thematic!S51)+('Fund Ranking Criteria'!$J$14*Consol_Thematic!R51)+('Fund Ranking Criteria'!$J$15*Consol_Thematic!O51)+('Fund Ranking Criteria'!$J$16*Consol_Thematic!P51)+('Fund Ranking Criteria'!#REF!*Consol_Thematic!Q51)+('Fund Ranking Criteria'!#REF!*Consol_Thematic!L51)</f>
        <v/>
      </c>
      <c r="U51" s="288">
        <f>T51*1</f>
        <v/>
      </c>
      <c r="V51" s="261">
        <f>RANK(U51,$U$3:$U$157,0)</f>
        <v/>
      </c>
      <c r="W51" s="261">
        <f>A51</f>
        <v/>
      </c>
    </row>
    <row r="52">
      <c r="A52" s="261" t="inlineStr">
        <is>
          <t>HSBC Business Cycles Fund - Regular Plan</t>
        </is>
      </c>
      <c r="B52" s="261">
        <f>VLOOKUP($A52, Sheet4!$A$2:$L$688, Consol_Thematic!B$1,FALSE)</f>
        <v/>
      </c>
      <c r="C52" s="261">
        <f>VLOOKUP($A52, Sheet4!$A$2:$L$688, Consol_Thematic!C$1,FALSE)</f>
        <v/>
      </c>
      <c r="D52" s="261">
        <f>VLOOKUP($A52, Sheet4!$A$2:$L$688, Consol_Thematic!D$1,FALSE)</f>
        <v/>
      </c>
      <c r="E52" s="261">
        <f>VLOOKUP($A52, Sheet4!$A$2:$L$688, Consol_Thematic!E$1,FALSE)</f>
        <v/>
      </c>
      <c r="F52" s="261">
        <f>VLOOKUP($A52, Sheet4!$A$2:$L$688, Consol_Thematic!F$1,FALSE)</f>
        <v/>
      </c>
      <c r="G52" s="261">
        <f>VLOOKUP($A52, Sheet4!$A$2:$L$688, Consol_Thematic!G$1,FALSE)</f>
        <v/>
      </c>
      <c r="H52" s="261">
        <f>VLOOKUP($A52, Sheet4!$A$2:$L$688, Consol_Thematic!H$1,FALSE)</f>
        <v/>
      </c>
      <c r="I52" s="261">
        <f>VLOOKUP($A52, Sheet4!$A$2:$L$688, Consol_Thematic!I$1,FALSE)</f>
        <v/>
      </c>
      <c r="J52" s="261">
        <f>VLOOKUP($A52, Sheet4!$A$2:$L$688, Consol_Thematic!J$1,FALSE)</f>
        <v/>
      </c>
      <c r="K52" s="288">
        <f>(B52-MIN(B$3:B$23))/(MAX(B$3:B$23)-MIN(B$3:B$23))</f>
        <v/>
      </c>
      <c r="L52" s="288">
        <f>(MAX(H$3:H$23)-H52)/(MAX(H$3:H$23)-MIN(H$3:H$23))</f>
        <v/>
      </c>
      <c r="M52" s="288">
        <f>(C52-MIN(C$3:C$23))/(MAX(C$3:C$23)-MIN(C$3:C$23))</f>
        <v/>
      </c>
      <c r="N52" s="288">
        <f>(D52-MIN(D$3:D$23))/(MAX(D$3:D$23)-MIN(D$3:D$23))</f>
        <v/>
      </c>
      <c r="O52" s="288">
        <f>(MAX(J$3:J$23)-J52)/(MAX(J$3:J$23)-MIN(J$3:J$23))</f>
        <v/>
      </c>
      <c r="P52" s="288">
        <f>(E52-MIN(E$3:E$23))/(MAX(E$3:E$23)-MIN(E$3:E$23))</f>
        <v/>
      </c>
      <c r="Q52" s="288">
        <f>(F52-MIN(F$3:F$23))/(MAX(F$3:F$23)-MIN(F$3:F$23))</f>
        <v/>
      </c>
      <c r="R52" s="288">
        <f>(MAX(I$3:I$23)-I52)/(MAX(I$3:I$23)-MIN(I$3:I$23))</f>
        <v/>
      </c>
      <c r="S52" s="288">
        <f>(G52-MIN(G$3:G$23))/(MAX(G$3:G$23)-MIN(G$3:G$23))</f>
        <v/>
      </c>
      <c r="T52" s="288">
        <f>(K52*'Fund Ranking Criteria'!$J$9)+('Fund Ranking Criteria'!$J$10*Consol_Thematic!M52)+('Fund Ranking Criteria'!$J$12*Consol_Thematic!S52)+('Fund Ranking Criteria'!$J$14*Consol_Thematic!R52)+('Fund Ranking Criteria'!$J$15*Consol_Thematic!O52)+('Fund Ranking Criteria'!$J$16*Consol_Thematic!P52)+('Fund Ranking Criteria'!#REF!*Consol_Thematic!Q52)+('Fund Ranking Criteria'!#REF!*Consol_Thematic!L52)</f>
        <v/>
      </c>
      <c r="U52" s="288">
        <f>T52*1</f>
        <v/>
      </c>
      <c r="V52" s="261">
        <f>RANK(U52,$U$3:$U$157,0)</f>
        <v/>
      </c>
      <c r="W52" s="261">
        <f>A52</f>
        <v/>
      </c>
    </row>
    <row r="53">
      <c r="A53" s="261" t="inlineStr">
        <is>
          <t>HSBC Consumption Fund - Regular Plan</t>
        </is>
      </c>
      <c r="B53" s="261">
        <f>VLOOKUP($A53, Sheet4!$A$2:$L$688, Consol_Thematic!B$1,FALSE)</f>
        <v/>
      </c>
      <c r="C53" s="261">
        <f>VLOOKUP($A53, Sheet4!$A$2:$L$688, Consol_Thematic!C$1,FALSE)</f>
        <v/>
      </c>
      <c r="D53" s="261">
        <f>VLOOKUP($A53, Sheet4!$A$2:$L$688, Consol_Thematic!D$1,FALSE)</f>
        <v/>
      </c>
      <c r="E53" s="261">
        <f>VLOOKUP($A53, Sheet4!$A$2:$L$688, Consol_Thematic!E$1,FALSE)</f>
        <v/>
      </c>
      <c r="F53" s="261">
        <f>VLOOKUP($A53, Sheet4!$A$2:$L$688, Consol_Thematic!F$1,FALSE)</f>
        <v/>
      </c>
      <c r="G53" s="261">
        <f>VLOOKUP($A53, Sheet4!$A$2:$L$688, Consol_Thematic!G$1,FALSE)</f>
        <v/>
      </c>
      <c r="H53" s="261">
        <f>VLOOKUP($A53, Sheet4!$A$2:$L$688, Consol_Thematic!H$1,FALSE)</f>
        <v/>
      </c>
      <c r="I53" s="261">
        <f>VLOOKUP($A53, Sheet4!$A$2:$L$688, Consol_Thematic!I$1,FALSE)</f>
        <v/>
      </c>
      <c r="J53" s="261">
        <f>VLOOKUP($A53, Sheet4!$A$2:$L$688, Consol_Thematic!J$1,FALSE)</f>
        <v/>
      </c>
      <c r="K53" s="288">
        <f>(B53-MIN(B$3:B$23))/(MAX(B$3:B$23)-MIN(B$3:B$23))</f>
        <v/>
      </c>
      <c r="L53" s="288">
        <f>(MAX(H$3:H$23)-H53)/(MAX(H$3:H$23)-MIN(H$3:H$23))</f>
        <v/>
      </c>
      <c r="M53" s="288">
        <f>(C53-MIN(C$3:C$23))/(MAX(C$3:C$23)-MIN(C$3:C$23))</f>
        <v/>
      </c>
      <c r="N53" s="288">
        <f>(D53-MIN(D$3:D$23))/(MAX(D$3:D$23)-MIN(D$3:D$23))</f>
        <v/>
      </c>
      <c r="O53" s="288">
        <f>(MAX(J$3:J$23)-J53)/(MAX(J$3:J$23)-MIN(J$3:J$23))</f>
        <v/>
      </c>
      <c r="P53" s="288">
        <f>(E53-MIN(E$3:E$23))/(MAX(E$3:E$23)-MIN(E$3:E$23))</f>
        <v/>
      </c>
      <c r="Q53" s="288">
        <f>(F53-MIN(F$3:F$23))/(MAX(F$3:F$23)-MIN(F$3:F$23))</f>
        <v/>
      </c>
      <c r="R53" s="288">
        <f>(MAX(I$3:I$23)-I53)/(MAX(I$3:I$23)-MIN(I$3:I$23))</f>
        <v/>
      </c>
      <c r="S53" s="288">
        <f>(G53-MIN(G$3:G$23))/(MAX(G$3:G$23)-MIN(G$3:G$23))</f>
        <v/>
      </c>
      <c r="T53" s="288">
        <f>(K53*'Fund Ranking Criteria'!$J$9)+('Fund Ranking Criteria'!$J$10*Consol_Thematic!M53)+('Fund Ranking Criteria'!$J$12*Consol_Thematic!S53)+('Fund Ranking Criteria'!$J$14*Consol_Thematic!R53)+('Fund Ranking Criteria'!$J$15*Consol_Thematic!O53)+('Fund Ranking Criteria'!$J$16*Consol_Thematic!P53)+('Fund Ranking Criteria'!#REF!*Consol_Thematic!Q53)+('Fund Ranking Criteria'!#REF!*Consol_Thematic!L53)</f>
        <v/>
      </c>
      <c r="U53" s="288">
        <f>T53*1</f>
        <v/>
      </c>
      <c r="V53" s="261">
        <f>RANK(U53,$U$3:$U$157,0)</f>
        <v/>
      </c>
      <c r="W53" s="261">
        <f>A53</f>
        <v/>
      </c>
    </row>
    <row r="54">
      <c r="A54" s="261" t="inlineStr">
        <is>
          <t>HSBC India Export Opportunities Fund - Regular Plan</t>
        </is>
      </c>
      <c r="B54" s="261">
        <f>VLOOKUP($A54, Sheet4!$A$2:$L$688, Consol_Thematic!B$1,FALSE)</f>
        <v/>
      </c>
      <c r="C54" s="261">
        <f>VLOOKUP($A54, Sheet4!$A$2:$L$688, Consol_Thematic!C$1,FALSE)</f>
        <v/>
      </c>
      <c r="D54" s="261">
        <f>VLOOKUP($A54, Sheet4!$A$2:$L$688, Consol_Thematic!D$1,FALSE)</f>
        <v/>
      </c>
      <c r="E54" s="261">
        <f>VLOOKUP($A54, Sheet4!$A$2:$L$688, Consol_Thematic!E$1,FALSE)</f>
        <v/>
      </c>
      <c r="F54" s="261">
        <f>VLOOKUP($A54, Sheet4!$A$2:$L$688, Consol_Thematic!F$1,FALSE)</f>
        <v/>
      </c>
      <c r="G54" s="261">
        <f>VLOOKUP($A54, Sheet4!$A$2:$L$688, Consol_Thematic!G$1,FALSE)</f>
        <v/>
      </c>
      <c r="H54" s="261">
        <f>VLOOKUP($A54, Sheet4!$A$2:$L$688, Consol_Thematic!H$1,FALSE)</f>
        <v/>
      </c>
      <c r="I54" s="261">
        <f>VLOOKUP($A54, Sheet4!$A$2:$L$688, Consol_Thematic!I$1,FALSE)</f>
        <v/>
      </c>
      <c r="J54" s="261">
        <f>VLOOKUP($A54, Sheet4!$A$2:$L$688, Consol_Thematic!J$1,FALSE)</f>
        <v/>
      </c>
      <c r="K54" s="288">
        <f>(B54-MIN(B$3:B$23))/(MAX(B$3:B$23)-MIN(B$3:B$23))</f>
        <v/>
      </c>
      <c r="L54" s="288">
        <f>(MAX(H$3:H$23)-H54)/(MAX(H$3:H$23)-MIN(H$3:H$23))</f>
        <v/>
      </c>
      <c r="M54" s="288">
        <f>(C54-MIN(C$3:C$23))/(MAX(C$3:C$23)-MIN(C$3:C$23))</f>
        <v/>
      </c>
      <c r="N54" s="288">
        <f>(D54-MIN(D$3:D$23))/(MAX(D$3:D$23)-MIN(D$3:D$23))</f>
        <v/>
      </c>
      <c r="O54" s="288">
        <f>(MAX(J$3:J$23)-J54)/(MAX(J$3:J$23)-MIN(J$3:J$23))</f>
        <v/>
      </c>
      <c r="P54" s="288">
        <f>(E54-MIN(E$3:E$23))/(MAX(E$3:E$23)-MIN(E$3:E$23))</f>
        <v/>
      </c>
      <c r="Q54" s="288">
        <f>(F54-MIN(F$3:F$23))/(MAX(F$3:F$23)-MIN(F$3:F$23))</f>
        <v/>
      </c>
      <c r="R54" s="288">
        <f>(MAX(I$3:I$23)-I54)/(MAX(I$3:I$23)-MIN(I$3:I$23))</f>
        <v/>
      </c>
      <c r="S54" s="288">
        <f>(G54-MIN(G$3:G$23))/(MAX(G$3:G$23)-MIN(G$3:G$23))</f>
        <v/>
      </c>
      <c r="T54" s="288">
        <f>(K54*'Fund Ranking Criteria'!$J$9)+('Fund Ranking Criteria'!$J$10*Consol_Thematic!M54)+('Fund Ranking Criteria'!$J$12*Consol_Thematic!S54)+('Fund Ranking Criteria'!$J$14*Consol_Thematic!R54)+('Fund Ranking Criteria'!$J$15*Consol_Thematic!O54)+('Fund Ranking Criteria'!$J$16*Consol_Thematic!P54)+('Fund Ranking Criteria'!#REF!*Consol_Thematic!Q54)+('Fund Ranking Criteria'!#REF!*Consol_Thematic!L54)</f>
        <v/>
      </c>
      <c r="U54" s="288">
        <f>T54*1</f>
        <v/>
      </c>
      <c r="V54" s="261">
        <f>RANK(U54,$U$3:$U$157,0)</f>
        <v/>
      </c>
      <c r="W54" s="261">
        <f>A54</f>
        <v/>
      </c>
    </row>
    <row r="55">
      <c r="A55" s="261" t="inlineStr">
        <is>
          <t>ICICI Prudential Bharat Consumption Fund</t>
        </is>
      </c>
      <c r="B55" s="261">
        <f>VLOOKUP($A55, Sheet4!$A$2:$L$688, Consol_Thematic!B$1,FALSE)</f>
        <v/>
      </c>
      <c r="C55" s="261">
        <f>VLOOKUP($A55, Sheet4!$A$2:$L$688, Consol_Thematic!C$1,FALSE)</f>
        <v/>
      </c>
      <c r="D55" s="261">
        <f>VLOOKUP($A55, Sheet4!$A$2:$L$688, Consol_Thematic!D$1,FALSE)</f>
        <v/>
      </c>
      <c r="E55" s="261">
        <f>VLOOKUP($A55, Sheet4!$A$2:$L$688, Consol_Thematic!E$1,FALSE)</f>
        <v/>
      </c>
      <c r="F55" s="261">
        <f>VLOOKUP($A55, Sheet4!$A$2:$L$688, Consol_Thematic!F$1,FALSE)</f>
        <v/>
      </c>
      <c r="G55" s="261">
        <f>VLOOKUP($A55, Sheet4!$A$2:$L$688, Consol_Thematic!G$1,FALSE)</f>
        <v/>
      </c>
      <c r="H55" s="261">
        <f>VLOOKUP($A55, Sheet4!$A$2:$L$688, Consol_Thematic!H$1,FALSE)</f>
        <v/>
      </c>
      <c r="I55" s="261">
        <f>VLOOKUP($A55, Sheet4!$A$2:$L$688, Consol_Thematic!I$1,FALSE)</f>
        <v/>
      </c>
      <c r="J55" s="261">
        <f>VLOOKUP($A55, Sheet4!$A$2:$L$688, Consol_Thematic!J$1,FALSE)</f>
        <v/>
      </c>
      <c r="K55" s="288">
        <f>(B55-MIN(B$3:B$23))/(MAX(B$3:B$23)-MIN(B$3:B$23))</f>
        <v/>
      </c>
      <c r="L55" s="288">
        <f>(MAX(H$3:H$23)-H55)/(MAX(H$3:H$23)-MIN(H$3:H$23))</f>
        <v/>
      </c>
      <c r="M55" s="288">
        <f>(C55-MIN(C$3:C$23))/(MAX(C$3:C$23)-MIN(C$3:C$23))</f>
        <v/>
      </c>
      <c r="N55" s="288">
        <f>(D55-MIN(D$3:D$23))/(MAX(D$3:D$23)-MIN(D$3:D$23))</f>
        <v/>
      </c>
      <c r="O55" s="288">
        <f>(MAX(J$3:J$23)-J55)/(MAX(J$3:J$23)-MIN(J$3:J$23))</f>
        <v/>
      </c>
      <c r="P55" s="288">
        <f>(E55-MIN(E$3:E$23))/(MAX(E$3:E$23)-MIN(E$3:E$23))</f>
        <v/>
      </c>
      <c r="Q55" s="288">
        <f>(F55-MIN(F$3:F$23))/(MAX(F$3:F$23)-MIN(F$3:F$23))</f>
        <v/>
      </c>
      <c r="R55" s="288">
        <f>(MAX(I$3:I$23)-I55)/(MAX(I$3:I$23)-MIN(I$3:I$23))</f>
        <v/>
      </c>
      <c r="S55" s="288">
        <f>(G55-MIN(G$3:G$23))/(MAX(G$3:G$23)-MIN(G$3:G$23))</f>
        <v/>
      </c>
      <c r="T55" s="288">
        <f>(K55*'Fund Ranking Criteria'!$J$9)+('Fund Ranking Criteria'!$J$10*Consol_Thematic!M55)+('Fund Ranking Criteria'!$J$12*Consol_Thematic!S55)+('Fund Ranking Criteria'!$J$14*Consol_Thematic!R55)+('Fund Ranking Criteria'!$J$15*Consol_Thematic!O55)+('Fund Ranking Criteria'!$J$16*Consol_Thematic!P55)+('Fund Ranking Criteria'!#REF!*Consol_Thematic!Q55)+('Fund Ranking Criteria'!#REF!*Consol_Thematic!L55)</f>
        <v/>
      </c>
      <c r="U55" s="288">
        <f>T55*1</f>
        <v/>
      </c>
      <c r="V55" s="261">
        <f>RANK(U55,$U$3:$U$157,0)</f>
        <v/>
      </c>
      <c r="W55" s="261">
        <f>A55</f>
        <v/>
      </c>
    </row>
    <row r="56">
      <c r="A56" s="261" t="inlineStr">
        <is>
          <t>ICICI Prudential Business Cycle Fund</t>
        </is>
      </c>
      <c r="B56" s="261">
        <f>VLOOKUP($A56, Sheet4!$A$2:$L$688, Consol_Thematic!B$1,FALSE)</f>
        <v/>
      </c>
      <c r="C56" s="261">
        <f>VLOOKUP($A56, Sheet4!$A$2:$L$688, Consol_Thematic!C$1,FALSE)</f>
        <v/>
      </c>
      <c r="D56" s="261">
        <f>VLOOKUP($A56, Sheet4!$A$2:$L$688, Consol_Thematic!D$1,FALSE)</f>
        <v/>
      </c>
      <c r="E56" s="261">
        <f>VLOOKUP($A56, Sheet4!$A$2:$L$688, Consol_Thematic!E$1,FALSE)</f>
        <v/>
      </c>
      <c r="F56" s="261">
        <f>VLOOKUP($A56, Sheet4!$A$2:$L$688, Consol_Thematic!F$1,FALSE)</f>
        <v/>
      </c>
      <c r="G56" s="261">
        <f>VLOOKUP($A56, Sheet4!$A$2:$L$688, Consol_Thematic!G$1,FALSE)</f>
        <v/>
      </c>
      <c r="H56" s="261">
        <f>VLOOKUP($A56, Sheet4!$A$2:$L$688, Consol_Thematic!H$1,FALSE)</f>
        <v/>
      </c>
      <c r="I56" s="261">
        <f>VLOOKUP($A56, Sheet4!$A$2:$L$688, Consol_Thematic!I$1,FALSE)</f>
        <v/>
      </c>
      <c r="J56" s="261">
        <f>VLOOKUP($A56, Sheet4!$A$2:$L$688, Consol_Thematic!J$1,FALSE)</f>
        <v/>
      </c>
      <c r="K56" s="288">
        <f>(B56-MIN(B$3:B$23))/(MAX(B$3:B$23)-MIN(B$3:B$23))</f>
        <v/>
      </c>
      <c r="L56" s="288">
        <f>(MAX(H$3:H$23)-H56)/(MAX(H$3:H$23)-MIN(H$3:H$23))</f>
        <v/>
      </c>
      <c r="M56" s="288">
        <f>(C56-MIN(C$3:C$23))/(MAX(C$3:C$23)-MIN(C$3:C$23))</f>
        <v/>
      </c>
      <c r="N56" s="288">
        <f>(D56-MIN(D$3:D$23))/(MAX(D$3:D$23)-MIN(D$3:D$23))</f>
        <v/>
      </c>
      <c r="O56" s="288">
        <f>(MAX(J$3:J$23)-J56)/(MAX(J$3:J$23)-MIN(J$3:J$23))</f>
        <v/>
      </c>
      <c r="P56" s="288">
        <f>(E56-MIN(E$3:E$23))/(MAX(E$3:E$23)-MIN(E$3:E$23))</f>
        <v/>
      </c>
      <c r="Q56" s="288">
        <f>(F56-MIN(F$3:F$23))/(MAX(F$3:F$23)-MIN(F$3:F$23))</f>
        <v/>
      </c>
      <c r="R56" s="288">
        <f>(MAX(I$3:I$23)-I56)/(MAX(I$3:I$23)-MIN(I$3:I$23))</f>
        <v/>
      </c>
      <c r="S56" s="288">
        <f>(G56-MIN(G$3:G$23))/(MAX(G$3:G$23)-MIN(G$3:G$23))</f>
        <v/>
      </c>
      <c r="T56" s="288">
        <f>(K56*'Fund Ranking Criteria'!$J$9)+('Fund Ranking Criteria'!$J$10*Consol_Thematic!M56)+('Fund Ranking Criteria'!$J$12*Consol_Thematic!S56)+('Fund Ranking Criteria'!$J$14*Consol_Thematic!R56)+('Fund Ranking Criteria'!$J$15*Consol_Thematic!O56)+('Fund Ranking Criteria'!$J$16*Consol_Thematic!P56)+('Fund Ranking Criteria'!#REF!*Consol_Thematic!Q56)+('Fund Ranking Criteria'!#REF!*Consol_Thematic!L56)</f>
        <v/>
      </c>
      <c r="U56" s="288">
        <f>T56*1</f>
        <v/>
      </c>
      <c r="V56" s="261">
        <f>RANK(U56,$U$3:$U$157,0)</f>
        <v/>
      </c>
      <c r="W56" s="261">
        <f>A56</f>
        <v/>
      </c>
    </row>
    <row r="57">
      <c r="A57" s="261" t="inlineStr">
        <is>
          <t>ICICI Prudential Commodities Fund</t>
        </is>
      </c>
      <c r="B57" s="261">
        <f>VLOOKUP($A57, Sheet4!$A$2:$L$688, Consol_Thematic!B$1,FALSE)</f>
        <v/>
      </c>
      <c r="C57" s="261">
        <f>VLOOKUP($A57, Sheet4!$A$2:$L$688, Consol_Thematic!C$1,FALSE)</f>
        <v/>
      </c>
      <c r="D57" s="261">
        <f>VLOOKUP($A57, Sheet4!$A$2:$L$688, Consol_Thematic!D$1,FALSE)</f>
        <v/>
      </c>
      <c r="E57" s="261">
        <f>VLOOKUP($A57, Sheet4!$A$2:$L$688, Consol_Thematic!E$1,FALSE)</f>
        <v/>
      </c>
      <c r="F57" s="261">
        <f>VLOOKUP($A57, Sheet4!$A$2:$L$688, Consol_Thematic!F$1,FALSE)</f>
        <v/>
      </c>
      <c r="G57" s="261">
        <f>VLOOKUP($A57, Sheet4!$A$2:$L$688, Consol_Thematic!G$1,FALSE)</f>
        <v/>
      </c>
      <c r="H57" s="261">
        <f>VLOOKUP($A57, Sheet4!$A$2:$L$688, Consol_Thematic!H$1,FALSE)</f>
        <v/>
      </c>
      <c r="I57" s="261">
        <f>VLOOKUP($A57, Sheet4!$A$2:$L$688, Consol_Thematic!I$1,FALSE)</f>
        <v/>
      </c>
      <c r="J57" s="261">
        <f>VLOOKUP($A57, Sheet4!$A$2:$L$688, Consol_Thematic!J$1,FALSE)</f>
        <v/>
      </c>
      <c r="K57" s="288">
        <f>(B57-MIN(B$3:B$23))/(MAX(B$3:B$23)-MIN(B$3:B$23))</f>
        <v/>
      </c>
      <c r="L57" s="288">
        <f>(MAX(H$3:H$23)-H57)/(MAX(H$3:H$23)-MIN(H$3:H$23))</f>
        <v/>
      </c>
      <c r="M57" s="288">
        <f>(C57-MIN(C$3:C$23))/(MAX(C$3:C$23)-MIN(C$3:C$23))</f>
        <v/>
      </c>
      <c r="N57" s="288">
        <f>(D57-MIN(D$3:D$23))/(MAX(D$3:D$23)-MIN(D$3:D$23))</f>
        <v/>
      </c>
      <c r="O57" s="288">
        <f>(MAX(J$3:J$23)-J57)/(MAX(J$3:J$23)-MIN(J$3:J$23))</f>
        <v/>
      </c>
      <c r="P57" s="288">
        <f>(E57-MIN(E$3:E$23))/(MAX(E$3:E$23)-MIN(E$3:E$23))</f>
        <v/>
      </c>
      <c r="Q57" s="288">
        <f>(F57-MIN(F$3:F$23))/(MAX(F$3:F$23)-MIN(F$3:F$23))</f>
        <v/>
      </c>
      <c r="R57" s="288">
        <f>(MAX(I$3:I$23)-I57)/(MAX(I$3:I$23)-MIN(I$3:I$23))</f>
        <v/>
      </c>
      <c r="S57" s="288">
        <f>(G57-MIN(G$3:G$23))/(MAX(G$3:G$23)-MIN(G$3:G$23))</f>
        <v/>
      </c>
      <c r="T57" s="288">
        <f>(K57*'Fund Ranking Criteria'!$J$9)+('Fund Ranking Criteria'!$J$10*Consol_Thematic!M57)+('Fund Ranking Criteria'!$J$12*Consol_Thematic!S57)+('Fund Ranking Criteria'!$J$14*Consol_Thematic!R57)+('Fund Ranking Criteria'!$J$15*Consol_Thematic!O57)+('Fund Ranking Criteria'!$J$16*Consol_Thematic!P57)+('Fund Ranking Criteria'!#REF!*Consol_Thematic!Q57)+('Fund Ranking Criteria'!#REF!*Consol_Thematic!L57)</f>
        <v/>
      </c>
      <c r="U57" s="288">
        <f>T57*1</f>
        <v/>
      </c>
      <c r="V57" s="261">
        <f>RANK(U57,$U$3:$U$157,0)</f>
        <v/>
      </c>
      <c r="W57" s="261">
        <f>A57</f>
        <v/>
      </c>
    </row>
    <row r="58">
      <c r="A58" s="261" t="inlineStr">
        <is>
          <t>ICICI Prudential Dividend Yield Equity Fund</t>
        </is>
      </c>
      <c r="B58" s="261">
        <f>VLOOKUP($A58, Sheet4!$A$2:$L$688, Consol_Thematic!B$1,FALSE)</f>
        <v/>
      </c>
      <c r="C58" s="261">
        <f>VLOOKUP($A58, Sheet4!$A$2:$L$688, Consol_Thematic!C$1,FALSE)</f>
        <v/>
      </c>
      <c r="D58" s="261">
        <f>VLOOKUP($A58, Sheet4!$A$2:$L$688, Consol_Thematic!D$1,FALSE)</f>
        <v/>
      </c>
      <c r="E58" s="261">
        <f>VLOOKUP($A58, Sheet4!$A$2:$L$688, Consol_Thematic!E$1,FALSE)</f>
        <v/>
      </c>
      <c r="F58" s="261">
        <f>VLOOKUP($A58, Sheet4!$A$2:$L$688, Consol_Thematic!F$1,FALSE)</f>
        <v/>
      </c>
      <c r="G58" s="261">
        <f>VLOOKUP($A58, Sheet4!$A$2:$L$688, Consol_Thematic!G$1,FALSE)</f>
        <v/>
      </c>
      <c r="H58" s="261">
        <f>VLOOKUP($A58, Sheet4!$A$2:$L$688, Consol_Thematic!H$1,FALSE)</f>
        <v/>
      </c>
      <c r="I58" s="261">
        <f>VLOOKUP($A58, Sheet4!$A$2:$L$688, Consol_Thematic!I$1,FALSE)</f>
        <v/>
      </c>
      <c r="J58" s="261">
        <f>VLOOKUP($A58, Sheet4!$A$2:$L$688, Consol_Thematic!J$1,FALSE)</f>
        <v/>
      </c>
      <c r="K58" s="288">
        <f>(B58-MIN(B$3:B$23))/(MAX(B$3:B$23)-MIN(B$3:B$23))</f>
        <v/>
      </c>
      <c r="L58" s="288">
        <f>(MAX(H$3:H$23)-H58)/(MAX(H$3:H$23)-MIN(H$3:H$23))</f>
        <v/>
      </c>
      <c r="M58" s="288">
        <f>(C58-MIN(C$3:C$23))/(MAX(C$3:C$23)-MIN(C$3:C$23))</f>
        <v/>
      </c>
      <c r="N58" s="288">
        <f>(D58-MIN(D$3:D$23))/(MAX(D$3:D$23)-MIN(D$3:D$23))</f>
        <v/>
      </c>
      <c r="O58" s="288">
        <f>(MAX(J$3:J$23)-J58)/(MAX(J$3:J$23)-MIN(J$3:J$23))</f>
        <v/>
      </c>
      <c r="P58" s="288">
        <f>(E58-MIN(E$3:E$23))/(MAX(E$3:E$23)-MIN(E$3:E$23))</f>
        <v/>
      </c>
      <c r="Q58" s="288">
        <f>(F58-MIN(F$3:F$23))/(MAX(F$3:F$23)-MIN(F$3:F$23))</f>
        <v/>
      </c>
      <c r="R58" s="288">
        <f>(MAX(I$3:I$23)-I58)/(MAX(I$3:I$23)-MIN(I$3:I$23))</f>
        <v/>
      </c>
      <c r="S58" s="288">
        <f>(G58-MIN(G$3:G$23))/(MAX(G$3:G$23)-MIN(G$3:G$23))</f>
        <v/>
      </c>
      <c r="T58" s="288">
        <f>(K58*'Fund Ranking Criteria'!$J$9)+('Fund Ranking Criteria'!$J$10*Consol_Thematic!M58)+('Fund Ranking Criteria'!$J$12*Consol_Thematic!S58)+('Fund Ranking Criteria'!$J$14*Consol_Thematic!R58)+('Fund Ranking Criteria'!$J$15*Consol_Thematic!O58)+('Fund Ranking Criteria'!$J$16*Consol_Thematic!P58)+('Fund Ranking Criteria'!#REF!*Consol_Thematic!Q58)+('Fund Ranking Criteria'!#REF!*Consol_Thematic!L58)</f>
        <v/>
      </c>
      <c r="U58" s="288">
        <f>T58*1</f>
        <v/>
      </c>
      <c r="V58" s="261">
        <f>RANK(U58,$U$3:$U$157,0)</f>
        <v/>
      </c>
      <c r="W58" s="261">
        <f>A58</f>
        <v/>
      </c>
    </row>
    <row r="59">
      <c r="A59" s="261" t="inlineStr">
        <is>
          <t>ICICI Prudential Energy Opportunities Fund - Regular Plan</t>
        </is>
      </c>
      <c r="B59" s="261">
        <f>VLOOKUP($A59, Sheet4!$A$2:$L$688, Consol_Thematic!B$1,FALSE)</f>
        <v/>
      </c>
      <c r="C59" s="261">
        <f>VLOOKUP($A59, Sheet4!$A$2:$L$688, Consol_Thematic!C$1,FALSE)</f>
        <v/>
      </c>
      <c r="D59" s="261">
        <f>VLOOKUP($A59, Sheet4!$A$2:$L$688, Consol_Thematic!D$1,FALSE)</f>
        <v/>
      </c>
      <c r="E59" s="261">
        <f>VLOOKUP($A59, Sheet4!$A$2:$L$688, Consol_Thematic!E$1,FALSE)</f>
        <v/>
      </c>
      <c r="F59" s="261">
        <f>VLOOKUP($A59, Sheet4!$A$2:$L$688, Consol_Thematic!F$1,FALSE)</f>
        <v/>
      </c>
      <c r="G59" s="261">
        <f>VLOOKUP($A59, Sheet4!$A$2:$L$688, Consol_Thematic!G$1,FALSE)</f>
        <v/>
      </c>
      <c r="H59" s="261">
        <f>VLOOKUP($A59, Sheet4!$A$2:$L$688, Consol_Thematic!H$1,FALSE)</f>
        <v/>
      </c>
      <c r="I59" s="261">
        <f>VLOOKUP($A59, Sheet4!$A$2:$L$688, Consol_Thematic!I$1,FALSE)</f>
        <v/>
      </c>
      <c r="J59" s="261">
        <f>VLOOKUP($A59, Sheet4!$A$2:$L$688, Consol_Thematic!J$1,FALSE)</f>
        <v/>
      </c>
      <c r="K59" s="288">
        <f>(B59-MIN(B$3:B$23))/(MAX(B$3:B$23)-MIN(B$3:B$23))</f>
        <v/>
      </c>
      <c r="L59" s="288">
        <f>(MAX(H$3:H$23)-H59)/(MAX(H$3:H$23)-MIN(H$3:H$23))</f>
        <v/>
      </c>
      <c r="M59" s="288">
        <f>(C59-MIN(C$3:C$23))/(MAX(C$3:C$23)-MIN(C$3:C$23))</f>
        <v/>
      </c>
      <c r="N59" s="288">
        <f>(D59-MIN(D$3:D$23))/(MAX(D$3:D$23)-MIN(D$3:D$23))</f>
        <v/>
      </c>
      <c r="O59" s="288">
        <f>(MAX(J$3:J$23)-J59)/(MAX(J$3:J$23)-MIN(J$3:J$23))</f>
        <v/>
      </c>
      <c r="P59" s="288">
        <f>(E59-MIN(E$3:E$23))/(MAX(E$3:E$23)-MIN(E$3:E$23))</f>
        <v/>
      </c>
      <c r="Q59" s="288">
        <f>(F59-MIN(F$3:F$23))/(MAX(F$3:F$23)-MIN(F$3:F$23))</f>
        <v/>
      </c>
      <c r="R59" s="288">
        <f>(MAX(I$3:I$23)-I59)/(MAX(I$3:I$23)-MIN(I$3:I$23))</f>
        <v/>
      </c>
      <c r="S59" s="288">
        <f>(G59-MIN(G$3:G$23))/(MAX(G$3:G$23)-MIN(G$3:G$23))</f>
        <v/>
      </c>
      <c r="T59" s="288">
        <f>(K59*'Fund Ranking Criteria'!$J$9)+('Fund Ranking Criteria'!$J$10*Consol_Thematic!M59)+('Fund Ranking Criteria'!$J$12*Consol_Thematic!S59)+('Fund Ranking Criteria'!$J$14*Consol_Thematic!R59)+('Fund Ranking Criteria'!$J$15*Consol_Thematic!O59)+('Fund Ranking Criteria'!$J$16*Consol_Thematic!P59)+('Fund Ranking Criteria'!#REF!*Consol_Thematic!Q59)+('Fund Ranking Criteria'!#REF!*Consol_Thematic!L59)</f>
        <v/>
      </c>
      <c r="U59" s="288">
        <f>T59*1</f>
        <v/>
      </c>
      <c r="V59" s="261">
        <f>RANK(U59,$U$3:$U$157,0)</f>
        <v/>
      </c>
      <c r="W59" s="261">
        <f>A59</f>
        <v/>
      </c>
    </row>
    <row r="60">
      <c r="A60" s="261" t="inlineStr">
        <is>
          <t>ICICI Prudential Equity Minimum Variance Fund - Regular Plan</t>
        </is>
      </c>
      <c r="B60" s="261">
        <f>VLOOKUP($A60, Sheet4!$A$2:$L$688, Consol_Thematic!B$1,FALSE)</f>
        <v/>
      </c>
      <c r="C60" s="261">
        <f>VLOOKUP($A60, Sheet4!$A$2:$L$688, Consol_Thematic!C$1,FALSE)</f>
        <v/>
      </c>
      <c r="D60" s="261">
        <f>VLOOKUP($A60, Sheet4!$A$2:$L$688, Consol_Thematic!D$1,FALSE)</f>
        <v/>
      </c>
      <c r="E60" s="261">
        <f>VLOOKUP($A60, Sheet4!$A$2:$L$688, Consol_Thematic!E$1,FALSE)</f>
        <v/>
      </c>
      <c r="F60" s="261">
        <f>VLOOKUP($A60, Sheet4!$A$2:$L$688, Consol_Thematic!F$1,FALSE)</f>
        <v/>
      </c>
      <c r="G60" s="261">
        <f>VLOOKUP($A60, Sheet4!$A$2:$L$688, Consol_Thematic!G$1,FALSE)</f>
        <v/>
      </c>
      <c r="H60" s="261">
        <f>VLOOKUP($A60, Sheet4!$A$2:$L$688, Consol_Thematic!H$1,FALSE)</f>
        <v/>
      </c>
      <c r="I60" s="261">
        <f>VLOOKUP($A60, Sheet4!$A$2:$L$688, Consol_Thematic!I$1,FALSE)</f>
        <v/>
      </c>
      <c r="J60" s="261">
        <f>VLOOKUP($A60, Sheet4!$A$2:$L$688, Consol_Thematic!J$1,FALSE)</f>
        <v/>
      </c>
      <c r="K60" s="288">
        <f>(B60-MIN(B$3:B$23))/(MAX(B$3:B$23)-MIN(B$3:B$23))</f>
        <v/>
      </c>
      <c r="L60" s="288">
        <f>(MAX(H$3:H$23)-H60)/(MAX(H$3:H$23)-MIN(H$3:H$23))</f>
        <v/>
      </c>
      <c r="M60" s="288">
        <f>(C60-MIN(C$3:C$23))/(MAX(C$3:C$23)-MIN(C$3:C$23))</f>
        <v/>
      </c>
      <c r="N60" s="288">
        <f>(D60-MIN(D$3:D$23))/(MAX(D$3:D$23)-MIN(D$3:D$23))</f>
        <v/>
      </c>
      <c r="O60" s="288">
        <f>(MAX(J$3:J$23)-J60)/(MAX(J$3:J$23)-MIN(J$3:J$23))</f>
        <v/>
      </c>
      <c r="P60" s="288">
        <f>(E60-MIN(E$3:E$23))/(MAX(E$3:E$23)-MIN(E$3:E$23))</f>
        <v/>
      </c>
      <c r="Q60" s="288">
        <f>(F60-MIN(F$3:F$23))/(MAX(F$3:F$23)-MIN(F$3:F$23))</f>
        <v/>
      </c>
      <c r="R60" s="288">
        <f>(MAX(I$3:I$23)-I60)/(MAX(I$3:I$23)-MIN(I$3:I$23))</f>
        <v/>
      </c>
      <c r="S60" s="288">
        <f>(G60-MIN(G$3:G$23))/(MAX(G$3:G$23)-MIN(G$3:G$23))</f>
        <v/>
      </c>
      <c r="T60" s="288">
        <f>(K60*'Fund Ranking Criteria'!$J$9)+('Fund Ranking Criteria'!$J$10*Consol_Thematic!M60)+('Fund Ranking Criteria'!$J$12*Consol_Thematic!S60)+('Fund Ranking Criteria'!$J$14*Consol_Thematic!R60)+('Fund Ranking Criteria'!$J$15*Consol_Thematic!O60)+('Fund Ranking Criteria'!$J$16*Consol_Thematic!P60)+('Fund Ranking Criteria'!#REF!*Consol_Thematic!Q60)+('Fund Ranking Criteria'!#REF!*Consol_Thematic!L60)</f>
        <v/>
      </c>
      <c r="U60" s="288">
        <f>T60*1</f>
        <v/>
      </c>
      <c r="V60" s="261">
        <f>RANK(U60,$U$3:$U$157,0)</f>
        <v/>
      </c>
      <c r="W60" s="261">
        <f>A60</f>
        <v/>
      </c>
    </row>
    <row r="61">
      <c r="A61" s="261" t="inlineStr">
        <is>
          <t>ICICI Prudential ESG Exclusionary Strategy Fund</t>
        </is>
      </c>
      <c r="B61" s="261">
        <f>VLOOKUP($A61, Sheet4!$A$2:$L$688, Consol_Thematic!B$1,FALSE)</f>
        <v/>
      </c>
      <c r="C61" s="261">
        <f>VLOOKUP($A61, Sheet4!$A$2:$L$688, Consol_Thematic!C$1,FALSE)</f>
        <v/>
      </c>
      <c r="D61" s="261">
        <f>VLOOKUP($A61, Sheet4!$A$2:$L$688, Consol_Thematic!D$1,FALSE)</f>
        <v/>
      </c>
      <c r="E61" s="261">
        <f>VLOOKUP($A61, Sheet4!$A$2:$L$688, Consol_Thematic!E$1,FALSE)</f>
        <v/>
      </c>
      <c r="F61" s="261">
        <f>VLOOKUP($A61, Sheet4!$A$2:$L$688, Consol_Thematic!F$1,FALSE)</f>
        <v/>
      </c>
      <c r="G61" s="261">
        <f>VLOOKUP($A61, Sheet4!$A$2:$L$688, Consol_Thematic!G$1,FALSE)</f>
        <v/>
      </c>
      <c r="H61" s="261">
        <f>VLOOKUP($A61, Sheet4!$A$2:$L$688, Consol_Thematic!H$1,FALSE)</f>
        <v/>
      </c>
      <c r="I61" s="261">
        <f>VLOOKUP($A61, Sheet4!$A$2:$L$688, Consol_Thematic!I$1,FALSE)</f>
        <v/>
      </c>
      <c r="J61" s="261">
        <f>VLOOKUP($A61, Sheet4!$A$2:$L$688, Consol_Thematic!J$1,FALSE)</f>
        <v/>
      </c>
      <c r="K61" s="288">
        <f>(B61-MIN(B$3:B$23))/(MAX(B$3:B$23)-MIN(B$3:B$23))</f>
        <v/>
      </c>
      <c r="L61" s="288">
        <f>(MAX(H$3:H$23)-H61)/(MAX(H$3:H$23)-MIN(H$3:H$23))</f>
        <v/>
      </c>
      <c r="M61" s="288">
        <f>(C61-MIN(C$3:C$23))/(MAX(C$3:C$23)-MIN(C$3:C$23))</f>
        <v/>
      </c>
      <c r="N61" s="288">
        <f>(D61-MIN(D$3:D$23))/(MAX(D$3:D$23)-MIN(D$3:D$23))</f>
        <v/>
      </c>
      <c r="O61" s="288">
        <f>(MAX(J$3:J$23)-J61)/(MAX(J$3:J$23)-MIN(J$3:J$23))</f>
        <v/>
      </c>
      <c r="P61" s="288">
        <f>(E61-MIN(E$3:E$23))/(MAX(E$3:E$23)-MIN(E$3:E$23))</f>
        <v/>
      </c>
      <c r="Q61" s="288">
        <f>(F61-MIN(F$3:F$23))/(MAX(F$3:F$23)-MIN(F$3:F$23))</f>
        <v/>
      </c>
      <c r="R61" s="288">
        <f>(MAX(I$3:I$23)-I61)/(MAX(I$3:I$23)-MIN(I$3:I$23))</f>
        <v/>
      </c>
      <c r="S61" s="288">
        <f>(G61-MIN(G$3:G$23))/(MAX(G$3:G$23)-MIN(G$3:G$23))</f>
        <v/>
      </c>
      <c r="T61" s="288">
        <f>(K61*'Fund Ranking Criteria'!$J$9)+('Fund Ranking Criteria'!$J$10*Consol_Thematic!M61)+('Fund Ranking Criteria'!$J$12*Consol_Thematic!S61)+('Fund Ranking Criteria'!$J$14*Consol_Thematic!R61)+('Fund Ranking Criteria'!$J$15*Consol_Thematic!O61)+('Fund Ranking Criteria'!$J$16*Consol_Thematic!P61)+('Fund Ranking Criteria'!#REF!*Consol_Thematic!Q61)+('Fund Ranking Criteria'!#REF!*Consol_Thematic!L61)</f>
        <v/>
      </c>
      <c r="U61" s="288">
        <f>T61*1</f>
        <v/>
      </c>
      <c r="V61" s="261">
        <f>RANK(U61,$U$3:$U$157,0)</f>
        <v/>
      </c>
      <c r="W61" s="261">
        <f>A61</f>
        <v/>
      </c>
    </row>
    <row r="62">
      <c r="A62" s="261" t="inlineStr">
        <is>
          <t>ICICI Prudential Exports and Services Fund</t>
        </is>
      </c>
      <c r="B62" s="261">
        <f>VLOOKUP($A62, Sheet4!$A$2:$L$688, Consol_Thematic!B$1,FALSE)</f>
        <v/>
      </c>
      <c r="C62" s="261">
        <f>VLOOKUP($A62, Sheet4!$A$2:$L$688, Consol_Thematic!C$1,FALSE)</f>
        <v/>
      </c>
      <c r="D62" s="261">
        <f>VLOOKUP($A62, Sheet4!$A$2:$L$688, Consol_Thematic!D$1,FALSE)</f>
        <v/>
      </c>
      <c r="E62" s="261">
        <f>VLOOKUP($A62, Sheet4!$A$2:$L$688, Consol_Thematic!E$1,FALSE)</f>
        <v/>
      </c>
      <c r="F62" s="261">
        <f>VLOOKUP($A62, Sheet4!$A$2:$L$688, Consol_Thematic!F$1,FALSE)</f>
        <v/>
      </c>
      <c r="G62" s="261">
        <f>VLOOKUP($A62, Sheet4!$A$2:$L$688, Consol_Thematic!G$1,FALSE)</f>
        <v/>
      </c>
      <c r="H62" s="261">
        <f>VLOOKUP($A62, Sheet4!$A$2:$L$688, Consol_Thematic!H$1,FALSE)</f>
        <v/>
      </c>
      <c r="I62" s="261">
        <f>VLOOKUP($A62, Sheet4!$A$2:$L$688, Consol_Thematic!I$1,FALSE)</f>
        <v/>
      </c>
      <c r="J62" s="261">
        <f>VLOOKUP($A62, Sheet4!$A$2:$L$688, Consol_Thematic!J$1,FALSE)</f>
        <v/>
      </c>
      <c r="K62" s="288">
        <f>(B62-MIN(B$3:B$23))/(MAX(B$3:B$23)-MIN(B$3:B$23))</f>
        <v/>
      </c>
      <c r="L62" s="288">
        <f>(MAX(H$3:H$23)-H62)/(MAX(H$3:H$23)-MIN(H$3:H$23))</f>
        <v/>
      </c>
      <c r="M62" s="288">
        <f>(C62-MIN(C$3:C$23))/(MAX(C$3:C$23)-MIN(C$3:C$23))</f>
        <v/>
      </c>
      <c r="N62" s="288">
        <f>(D62-MIN(D$3:D$23))/(MAX(D$3:D$23)-MIN(D$3:D$23))</f>
        <v/>
      </c>
      <c r="O62" s="288">
        <f>(MAX(J$3:J$23)-J62)/(MAX(J$3:J$23)-MIN(J$3:J$23))</f>
        <v/>
      </c>
      <c r="P62" s="288">
        <f>(E62-MIN(E$3:E$23))/(MAX(E$3:E$23)-MIN(E$3:E$23))</f>
        <v/>
      </c>
      <c r="Q62" s="288">
        <f>(F62-MIN(F$3:F$23))/(MAX(F$3:F$23)-MIN(F$3:F$23))</f>
        <v/>
      </c>
      <c r="R62" s="288">
        <f>(MAX(I$3:I$23)-I62)/(MAX(I$3:I$23)-MIN(I$3:I$23))</f>
        <v/>
      </c>
      <c r="S62" s="288">
        <f>(G62-MIN(G$3:G$23))/(MAX(G$3:G$23)-MIN(G$3:G$23))</f>
        <v/>
      </c>
      <c r="T62" s="288">
        <f>(K62*'Fund Ranking Criteria'!$J$9)+('Fund Ranking Criteria'!$J$10*Consol_Thematic!M62)+('Fund Ranking Criteria'!$J$12*Consol_Thematic!S62)+('Fund Ranking Criteria'!$J$14*Consol_Thematic!R62)+('Fund Ranking Criteria'!$J$15*Consol_Thematic!O62)+('Fund Ranking Criteria'!$J$16*Consol_Thematic!P62)+('Fund Ranking Criteria'!#REF!*Consol_Thematic!Q62)+('Fund Ranking Criteria'!#REF!*Consol_Thematic!L62)</f>
        <v/>
      </c>
      <c r="U62" s="288">
        <f>T62*1</f>
        <v/>
      </c>
      <c r="V62" s="261">
        <f>RANK(U62,$U$3:$U$157,0)</f>
        <v/>
      </c>
      <c r="W62" s="261">
        <f>A62</f>
        <v/>
      </c>
    </row>
    <row r="63">
      <c r="A63" s="261" t="inlineStr">
        <is>
          <t>ICICI Prudential FMCG Fund</t>
        </is>
      </c>
      <c r="B63" s="261">
        <f>VLOOKUP($A63, Sheet4!$A$2:$L$688, Consol_Thematic!B$1,FALSE)</f>
        <v/>
      </c>
      <c r="C63" s="261">
        <f>VLOOKUP($A63, Sheet4!$A$2:$L$688, Consol_Thematic!C$1,FALSE)</f>
        <v/>
      </c>
      <c r="D63" s="261">
        <f>VLOOKUP($A63, Sheet4!$A$2:$L$688, Consol_Thematic!D$1,FALSE)</f>
        <v/>
      </c>
      <c r="E63" s="261">
        <f>VLOOKUP($A63, Sheet4!$A$2:$L$688, Consol_Thematic!E$1,FALSE)</f>
        <v/>
      </c>
      <c r="F63" s="261">
        <f>VLOOKUP($A63, Sheet4!$A$2:$L$688, Consol_Thematic!F$1,FALSE)</f>
        <v/>
      </c>
      <c r="G63" s="261">
        <f>VLOOKUP($A63, Sheet4!$A$2:$L$688, Consol_Thematic!G$1,FALSE)</f>
        <v/>
      </c>
      <c r="H63" s="261">
        <f>VLOOKUP($A63, Sheet4!$A$2:$L$688, Consol_Thematic!H$1,FALSE)</f>
        <v/>
      </c>
      <c r="I63" s="261">
        <f>VLOOKUP($A63, Sheet4!$A$2:$L$688, Consol_Thematic!I$1,FALSE)</f>
        <v/>
      </c>
      <c r="J63" s="261">
        <f>VLOOKUP($A63, Sheet4!$A$2:$L$688, Consol_Thematic!J$1,FALSE)</f>
        <v/>
      </c>
      <c r="K63" s="288">
        <f>(B63-MIN(B$3:B$23))/(MAX(B$3:B$23)-MIN(B$3:B$23))</f>
        <v/>
      </c>
      <c r="L63" s="288">
        <f>(MAX(H$3:H$23)-H63)/(MAX(H$3:H$23)-MIN(H$3:H$23))</f>
        <v/>
      </c>
      <c r="M63" s="288">
        <f>(C63-MIN(C$3:C$23))/(MAX(C$3:C$23)-MIN(C$3:C$23))</f>
        <v/>
      </c>
      <c r="N63" s="288">
        <f>(D63-MIN(D$3:D$23))/(MAX(D$3:D$23)-MIN(D$3:D$23))</f>
        <v/>
      </c>
      <c r="O63" s="288">
        <f>(MAX(J$3:J$23)-J63)/(MAX(J$3:J$23)-MIN(J$3:J$23))</f>
        <v/>
      </c>
      <c r="P63" s="288">
        <f>(E63-MIN(E$3:E$23))/(MAX(E$3:E$23)-MIN(E$3:E$23))</f>
        <v/>
      </c>
      <c r="Q63" s="288">
        <f>(F63-MIN(F$3:F$23))/(MAX(F$3:F$23)-MIN(F$3:F$23))</f>
        <v/>
      </c>
      <c r="R63" s="288">
        <f>(MAX(I$3:I$23)-I63)/(MAX(I$3:I$23)-MIN(I$3:I$23))</f>
        <v/>
      </c>
      <c r="S63" s="288">
        <f>(G63-MIN(G$3:G$23))/(MAX(G$3:G$23)-MIN(G$3:G$23))</f>
        <v/>
      </c>
      <c r="T63" s="288">
        <f>(K63*'Fund Ranking Criteria'!$J$9)+('Fund Ranking Criteria'!$J$10*Consol_Thematic!M63)+('Fund Ranking Criteria'!$J$12*Consol_Thematic!S63)+('Fund Ranking Criteria'!$J$14*Consol_Thematic!R63)+('Fund Ranking Criteria'!$J$15*Consol_Thematic!O63)+('Fund Ranking Criteria'!$J$16*Consol_Thematic!P63)+('Fund Ranking Criteria'!#REF!*Consol_Thematic!Q63)+('Fund Ranking Criteria'!#REF!*Consol_Thematic!L63)</f>
        <v/>
      </c>
      <c r="U63" s="288">
        <f>T63*1</f>
        <v/>
      </c>
      <c r="V63" s="261">
        <f>RANK(U63,$U$3:$U$157,0)</f>
        <v/>
      </c>
      <c r="W63" s="261">
        <f>A63</f>
        <v/>
      </c>
    </row>
    <row r="64">
      <c r="A64" s="261" t="inlineStr">
        <is>
          <t>ICICI Prudential Housing Opportunities Fund</t>
        </is>
      </c>
      <c r="B64" s="261">
        <f>VLOOKUP($A64, Sheet4!$A$2:$L$688, Consol_Thematic!B$1,FALSE)</f>
        <v/>
      </c>
      <c r="C64" s="261">
        <f>VLOOKUP($A64, Sheet4!$A$2:$L$688, Consol_Thematic!C$1,FALSE)</f>
        <v/>
      </c>
      <c r="D64" s="261">
        <f>VLOOKUP($A64, Sheet4!$A$2:$L$688, Consol_Thematic!D$1,FALSE)</f>
        <v/>
      </c>
      <c r="E64" s="261">
        <f>VLOOKUP($A64, Sheet4!$A$2:$L$688, Consol_Thematic!E$1,FALSE)</f>
        <v/>
      </c>
      <c r="F64" s="261">
        <f>VLOOKUP($A64, Sheet4!$A$2:$L$688, Consol_Thematic!F$1,FALSE)</f>
        <v/>
      </c>
      <c r="G64" s="261">
        <f>VLOOKUP($A64, Sheet4!$A$2:$L$688, Consol_Thematic!G$1,FALSE)</f>
        <v/>
      </c>
      <c r="H64" s="261">
        <f>VLOOKUP($A64, Sheet4!$A$2:$L$688, Consol_Thematic!H$1,FALSE)</f>
        <v/>
      </c>
      <c r="I64" s="261">
        <f>VLOOKUP($A64, Sheet4!$A$2:$L$688, Consol_Thematic!I$1,FALSE)</f>
        <v/>
      </c>
      <c r="J64" s="261">
        <f>VLOOKUP($A64, Sheet4!$A$2:$L$688, Consol_Thematic!J$1,FALSE)</f>
        <v/>
      </c>
      <c r="K64" s="288">
        <f>(B64-MIN(B$3:B$23))/(MAX(B$3:B$23)-MIN(B$3:B$23))</f>
        <v/>
      </c>
      <c r="L64" s="288">
        <f>(MAX(H$3:H$23)-H64)/(MAX(H$3:H$23)-MIN(H$3:H$23))</f>
        <v/>
      </c>
      <c r="M64" s="288">
        <f>(C64-MIN(C$3:C$23))/(MAX(C$3:C$23)-MIN(C$3:C$23))</f>
        <v/>
      </c>
      <c r="N64" s="288">
        <f>(D64-MIN(D$3:D$23))/(MAX(D$3:D$23)-MIN(D$3:D$23))</f>
        <v/>
      </c>
      <c r="O64" s="288">
        <f>(MAX(J$3:J$23)-J64)/(MAX(J$3:J$23)-MIN(J$3:J$23))</f>
        <v/>
      </c>
      <c r="P64" s="288">
        <f>(E64-MIN(E$3:E$23))/(MAX(E$3:E$23)-MIN(E$3:E$23))</f>
        <v/>
      </c>
      <c r="Q64" s="288">
        <f>(F64-MIN(F$3:F$23))/(MAX(F$3:F$23)-MIN(F$3:F$23))</f>
        <v/>
      </c>
      <c r="R64" s="288">
        <f>(MAX(I$3:I$23)-I64)/(MAX(I$3:I$23)-MIN(I$3:I$23))</f>
        <v/>
      </c>
      <c r="S64" s="288">
        <f>(G64-MIN(G$3:G$23))/(MAX(G$3:G$23)-MIN(G$3:G$23))</f>
        <v/>
      </c>
      <c r="T64" s="288">
        <f>(K64*'Fund Ranking Criteria'!$J$9)+('Fund Ranking Criteria'!$J$10*Consol_Thematic!M64)+('Fund Ranking Criteria'!$J$12*Consol_Thematic!S64)+('Fund Ranking Criteria'!$J$14*Consol_Thematic!R64)+('Fund Ranking Criteria'!$J$15*Consol_Thematic!O64)+('Fund Ranking Criteria'!$J$16*Consol_Thematic!P64)+('Fund Ranking Criteria'!#REF!*Consol_Thematic!Q64)+('Fund Ranking Criteria'!#REF!*Consol_Thematic!L64)</f>
        <v/>
      </c>
      <c r="U64" s="288">
        <f>T64*1</f>
        <v/>
      </c>
      <c r="V64" s="261">
        <f>RANK(U64,$U$3:$U$157,0)</f>
        <v/>
      </c>
      <c r="W64" s="261">
        <f>A64</f>
        <v/>
      </c>
    </row>
    <row r="65">
      <c r="A65" s="261" t="inlineStr">
        <is>
          <t>ICICI Prudential India Opportunities Fund</t>
        </is>
      </c>
      <c r="B65" s="261">
        <f>VLOOKUP($A65, Sheet4!$A$2:$L$688, Consol_Thematic!B$1,FALSE)</f>
        <v/>
      </c>
      <c r="C65" s="261">
        <f>VLOOKUP($A65, Sheet4!$A$2:$L$688, Consol_Thematic!C$1,FALSE)</f>
        <v/>
      </c>
      <c r="D65" s="261">
        <f>VLOOKUP($A65, Sheet4!$A$2:$L$688, Consol_Thematic!D$1,FALSE)</f>
        <v/>
      </c>
      <c r="E65" s="261">
        <f>VLOOKUP($A65, Sheet4!$A$2:$L$688, Consol_Thematic!E$1,FALSE)</f>
        <v/>
      </c>
      <c r="F65" s="261">
        <f>VLOOKUP($A65, Sheet4!$A$2:$L$688, Consol_Thematic!F$1,FALSE)</f>
        <v/>
      </c>
      <c r="G65" s="261">
        <f>VLOOKUP($A65, Sheet4!$A$2:$L$688, Consol_Thematic!G$1,FALSE)</f>
        <v/>
      </c>
      <c r="H65" s="261">
        <f>VLOOKUP($A65, Sheet4!$A$2:$L$688, Consol_Thematic!H$1,FALSE)</f>
        <v/>
      </c>
      <c r="I65" s="261">
        <f>VLOOKUP($A65, Sheet4!$A$2:$L$688, Consol_Thematic!I$1,FALSE)</f>
        <v/>
      </c>
      <c r="J65" s="261">
        <f>VLOOKUP($A65, Sheet4!$A$2:$L$688, Consol_Thematic!J$1,FALSE)</f>
        <v/>
      </c>
      <c r="K65" s="288">
        <f>(B65-MIN(B$3:B$23))/(MAX(B$3:B$23)-MIN(B$3:B$23))</f>
        <v/>
      </c>
      <c r="L65" s="288">
        <f>(MAX(H$3:H$23)-H65)/(MAX(H$3:H$23)-MIN(H$3:H$23))</f>
        <v/>
      </c>
      <c r="M65" s="288">
        <f>(C65-MIN(C$3:C$23))/(MAX(C$3:C$23)-MIN(C$3:C$23))</f>
        <v/>
      </c>
      <c r="N65" s="288">
        <f>(D65-MIN(D$3:D$23))/(MAX(D$3:D$23)-MIN(D$3:D$23))</f>
        <v/>
      </c>
      <c r="O65" s="288">
        <f>(MAX(J$3:J$23)-J65)/(MAX(J$3:J$23)-MIN(J$3:J$23))</f>
        <v/>
      </c>
      <c r="P65" s="288">
        <f>(E65-MIN(E$3:E$23))/(MAX(E$3:E$23)-MIN(E$3:E$23))</f>
        <v/>
      </c>
      <c r="Q65" s="288">
        <f>(F65-MIN(F$3:F$23))/(MAX(F$3:F$23)-MIN(F$3:F$23))</f>
        <v/>
      </c>
      <c r="R65" s="288">
        <f>(MAX(I$3:I$23)-I65)/(MAX(I$3:I$23)-MIN(I$3:I$23))</f>
        <v/>
      </c>
      <c r="S65" s="288">
        <f>(G65-MIN(G$3:G$23))/(MAX(G$3:G$23)-MIN(G$3:G$23))</f>
        <v/>
      </c>
      <c r="T65" s="288">
        <f>(K65*'Fund Ranking Criteria'!$J$9)+('Fund Ranking Criteria'!$J$10*Consol_Thematic!M65)+('Fund Ranking Criteria'!$J$12*Consol_Thematic!S65)+('Fund Ranking Criteria'!$J$14*Consol_Thematic!R65)+('Fund Ranking Criteria'!$J$15*Consol_Thematic!O65)+('Fund Ranking Criteria'!$J$16*Consol_Thematic!P65)+('Fund Ranking Criteria'!#REF!*Consol_Thematic!Q65)+('Fund Ranking Criteria'!#REF!*Consol_Thematic!L65)</f>
        <v/>
      </c>
      <c r="U65" s="288">
        <f>T65*1</f>
        <v/>
      </c>
      <c r="V65" s="261">
        <f>RANK(U65,$U$3:$U$157,0)</f>
        <v/>
      </c>
      <c r="W65" s="261">
        <f>A65</f>
        <v/>
      </c>
    </row>
    <row r="66">
      <c r="A66" s="261" t="inlineStr">
        <is>
          <t>ICICI Prudential Innovation Fund</t>
        </is>
      </c>
      <c r="B66" s="261">
        <f>VLOOKUP($A66, Sheet4!$A$2:$L$688, Consol_Thematic!B$1,FALSE)</f>
        <v/>
      </c>
      <c r="C66" s="261">
        <f>VLOOKUP($A66, Sheet4!$A$2:$L$688, Consol_Thematic!C$1,FALSE)</f>
        <v/>
      </c>
      <c r="D66" s="261">
        <f>VLOOKUP($A66, Sheet4!$A$2:$L$688, Consol_Thematic!D$1,FALSE)</f>
        <v/>
      </c>
      <c r="E66" s="261">
        <f>VLOOKUP($A66, Sheet4!$A$2:$L$688, Consol_Thematic!E$1,FALSE)</f>
        <v/>
      </c>
      <c r="F66" s="261">
        <f>VLOOKUP($A66, Sheet4!$A$2:$L$688, Consol_Thematic!F$1,FALSE)</f>
        <v/>
      </c>
      <c r="G66" s="261">
        <f>VLOOKUP($A66, Sheet4!$A$2:$L$688, Consol_Thematic!G$1,FALSE)</f>
        <v/>
      </c>
      <c r="H66" s="261">
        <f>VLOOKUP($A66, Sheet4!$A$2:$L$688, Consol_Thematic!H$1,FALSE)</f>
        <v/>
      </c>
      <c r="I66" s="261">
        <f>VLOOKUP($A66, Sheet4!$A$2:$L$688, Consol_Thematic!I$1,FALSE)</f>
        <v/>
      </c>
      <c r="J66" s="261">
        <f>VLOOKUP($A66, Sheet4!$A$2:$L$688, Consol_Thematic!J$1,FALSE)</f>
        <v/>
      </c>
      <c r="K66" s="288">
        <f>(B66-MIN(B$3:B$23))/(MAX(B$3:B$23)-MIN(B$3:B$23))</f>
        <v/>
      </c>
      <c r="L66" s="288">
        <f>(MAX(H$3:H$23)-H66)/(MAX(H$3:H$23)-MIN(H$3:H$23))</f>
        <v/>
      </c>
      <c r="M66" s="288">
        <f>(C66-MIN(C$3:C$23))/(MAX(C$3:C$23)-MIN(C$3:C$23))</f>
        <v/>
      </c>
      <c r="N66" s="288">
        <f>(D66-MIN(D$3:D$23))/(MAX(D$3:D$23)-MIN(D$3:D$23))</f>
        <v/>
      </c>
      <c r="O66" s="288">
        <f>(MAX(J$3:J$23)-J66)/(MAX(J$3:J$23)-MIN(J$3:J$23))</f>
        <v/>
      </c>
      <c r="P66" s="288">
        <f>(E66-MIN(E$3:E$23))/(MAX(E$3:E$23)-MIN(E$3:E$23))</f>
        <v/>
      </c>
      <c r="Q66" s="288">
        <f>(F66-MIN(F$3:F$23))/(MAX(F$3:F$23)-MIN(F$3:F$23))</f>
        <v/>
      </c>
      <c r="R66" s="288">
        <f>(MAX(I$3:I$23)-I66)/(MAX(I$3:I$23)-MIN(I$3:I$23))</f>
        <v/>
      </c>
      <c r="S66" s="288">
        <f>(G66-MIN(G$3:G$23))/(MAX(G$3:G$23)-MIN(G$3:G$23))</f>
        <v/>
      </c>
      <c r="T66" s="288">
        <f>(K66*'Fund Ranking Criteria'!$J$9)+('Fund Ranking Criteria'!$J$10*Consol_Thematic!M66)+('Fund Ranking Criteria'!$J$12*Consol_Thematic!S66)+('Fund Ranking Criteria'!$J$14*Consol_Thematic!R66)+('Fund Ranking Criteria'!$J$15*Consol_Thematic!O66)+('Fund Ranking Criteria'!$J$16*Consol_Thematic!P66)+('Fund Ranking Criteria'!#REF!*Consol_Thematic!Q66)+('Fund Ranking Criteria'!#REF!*Consol_Thematic!L66)</f>
        <v/>
      </c>
      <c r="U66" s="288">
        <f>T66*1</f>
        <v/>
      </c>
      <c r="V66" s="261">
        <f>RANK(U66,$U$3:$U$157,0)</f>
        <v/>
      </c>
      <c r="W66" s="261">
        <f>A66</f>
        <v/>
      </c>
    </row>
    <row r="67">
      <c r="A67" s="261" t="inlineStr">
        <is>
          <t>ICICI Prudential Manufacturing Fund</t>
        </is>
      </c>
      <c r="B67" s="261">
        <f>VLOOKUP($A67, Sheet4!$A$2:$L$688, Consol_Thematic!B$1,FALSE)</f>
        <v/>
      </c>
      <c r="C67" s="261">
        <f>VLOOKUP($A67, Sheet4!$A$2:$L$688, Consol_Thematic!C$1,FALSE)</f>
        <v/>
      </c>
      <c r="D67" s="261">
        <f>VLOOKUP($A67, Sheet4!$A$2:$L$688, Consol_Thematic!D$1,FALSE)</f>
        <v/>
      </c>
      <c r="E67" s="261">
        <f>VLOOKUP($A67, Sheet4!$A$2:$L$688, Consol_Thematic!E$1,FALSE)</f>
        <v/>
      </c>
      <c r="F67" s="261">
        <f>VLOOKUP($A67, Sheet4!$A$2:$L$688, Consol_Thematic!F$1,FALSE)</f>
        <v/>
      </c>
      <c r="G67" s="261">
        <f>VLOOKUP($A67, Sheet4!$A$2:$L$688, Consol_Thematic!G$1,FALSE)</f>
        <v/>
      </c>
      <c r="H67" s="261">
        <f>VLOOKUP($A67, Sheet4!$A$2:$L$688, Consol_Thematic!H$1,FALSE)</f>
        <v/>
      </c>
      <c r="I67" s="261">
        <f>VLOOKUP($A67, Sheet4!$A$2:$L$688, Consol_Thematic!I$1,FALSE)</f>
        <v/>
      </c>
      <c r="J67" s="261">
        <f>VLOOKUP($A67, Sheet4!$A$2:$L$688, Consol_Thematic!J$1,FALSE)</f>
        <v/>
      </c>
      <c r="K67" s="288">
        <f>(B67-MIN(B$3:B$23))/(MAX(B$3:B$23)-MIN(B$3:B$23))</f>
        <v/>
      </c>
      <c r="L67" s="288">
        <f>(MAX(H$3:H$23)-H67)/(MAX(H$3:H$23)-MIN(H$3:H$23))</f>
        <v/>
      </c>
      <c r="M67" s="288">
        <f>(C67-MIN(C$3:C$23))/(MAX(C$3:C$23)-MIN(C$3:C$23))</f>
        <v/>
      </c>
      <c r="N67" s="288">
        <f>(D67-MIN(D$3:D$23))/(MAX(D$3:D$23)-MIN(D$3:D$23))</f>
        <v/>
      </c>
      <c r="O67" s="288">
        <f>(MAX(J$3:J$23)-J67)/(MAX(J$3:J$23)-MIN(J$3:J$23))</f>
        <v/>
      </c>
      <c r="P67" s="288">
        <f>(E67-MIN(E$3:E$23))/(MAX(E$3:E$23)-MIN(E$3:E$23))</f>
        <v/>
      </c>
      <c r="Q67" s="288">
        <f>(F67-MIN(F$3:F$23))/(MAX(F$3:F$23)-MIN(F$3:F$23))</f>
        <v/>
      </c>
      <c r="R67" s="288">
        <f>(MAX(I$3:I$23)-I67)/(MAX(I$3:I$23)-MIN(I$3:I$23))</f>
        <v/>
      </c>
      <c r="S67" s="288">
        <f>(G67-MIN(G$3:G$23))/(MAX(G$3:G$23)-MIN(G$3:G$23))</f>
        <v/>
      </c>
      <c r="T67" s="288">
        <f>(K67*'Fund Ranking Criteria'!$J$9)+('Fund Ranking Criteria'!$J$10*Consol_Thematic!M67)+('Fund Ranking Criteria'!$J$12*Consol_Thematic!S67)+('Fund Ranking Criteria'!$J$14*Consol_Thematic!R67)+('Fund Ranking Criteria'!$J$15*Consol_Thematic!O67)+('Fund Ranking Criteria'!$J$16*Consol_Thematic!P67)+('Fund Ranking Criteria'!#REF!*Consol_Thematic!Q67)+('Fund Ranking Criteria'!#REF!*Consol_Thematic!L67)</f>
        <v/>
      </c>
      <c r="U67" s="288">
        <f>T67*1</f>
        <v/>
      </c>
      <c r="V67" s="261">
        <f>RANK(U67,$U$3:$U$157,0)</f>
        <v/>
      </c>
      <c r="W67" s="261">
        <f>A67</f>
        <v/>
      </c>
    </row>
    <row r="68">
      <c r="A68" s="261" t="inlineStr">
        <is>
          <t>ICICI Prudential MNC Fund</t>
        </is>
      </c>
      <c r="B68" s="261">
        <f>VLOOKUP($A68, Sheet4!$A$2:$L$688, Consol_Thematic!B$1,FALSE)</f>
        <v/>
      </c>
      <c r="C68" s="261">
        <f>VLOOKUP($A68, Sheet4!$A$2:$L$688, Consol_Thematic!C$1,FALSE)</f>
        <v/>
      </c>
      <c r="D68" s="261">
        <f>VLOOKUP($A68, Sheet4!$A$2:$L$688, Consol_Thematic!D$1,FALSE)</f>
        <v/>
      </c>
      <c r="E68" s="261">
        <f>VLOOKUP($A68, Sheet4!$A$2:$L$688, Consol_Thematic!E$1,FALSE)</f>
        <v/>
      </c>
      <c r="F68" s="261">
        <f>VLOOKUP($A68, Sheet4!$A$2:$L$688, Consol_Thematic!F$1,FALSE)</f>
        <v/>
      </c>
      <c r="G68" s="261">
        <f>VLOOKUP($A68, Sheet4!$A$2:$L$688, Consol_Thematic!G$1,FALSE)</f>
        <v/>
      </c>
      <c r="H68" s="261">
        <f>VLOOKUP($A68, Sheet4!$A$2:$L$688, Consol_Thematic!H$1,FALSE)</f>
        <v/>
      </c>
      <c r="I68" s="261">
        <f>VLOOKUP($A68, Sheet4!$A$2:$L$688, Consol_Thematic!I$1,FALSE)</f>
        <v/>
      </c>
      <c r="J68" s="261">
        <f>VLOOKUP($A68, Sheet4!$A$2:$L$688, Consol_Thematic!J$1,FALSE)</f>
        <v/>
      </c>
      <c r="K68" s="288">
        <f>(B68-MIN(B$3:B$23))/(MAX(B$3:B$23)-MIN(B$3:B$23))</f>
        <v/>
      </c>
      <c r="L68" s="288">
        <f>(MAX(H$3:H$23)-H68)/(MAX(H$3:H$23)-MIN(H$3:H$23))</f>
        <v/>
      </c>
      <c r="M68" s="288">
        <f>(C68-MIN(C$3:C$23))/(MAX(C$3:C$23)-MIN(C$3:C$23))</f>
        <v/>
      </c>
      <c r="N68" s="288">
        <f>(D68-MIN(D$3:D$23))/(MAX(D$3:D$23)-MIN(D$3:D$23))</f>
        <v/>
      </c>
      <c r="O68" s="288">
        <f>(MAX(J$3:J$23)-J68)/(MAX(J$3:J$23)-MIN(J$3:J$23))</f>
        <v/>
      </c>
      <c r="P68" s="288">
        <f>(E68-MIN(E$3:E$23))/(MAX(E$3:E$23)-MIN(E$3:E$23))</f>
        <v/>
      </c>
      <c r="Q68" s="288">
        <f>(F68-MIN(F$3:F$23))/(MAX(F$3:F$23)-MIN(F$3:F$23))</f>
        <v/>
      </c>
      <c r="R68" s="288">
        <f>(MAX(I$3:I$23)-I68)/(MAX(I$3:I$23)-MIN(I$3:I$23))</f>
        <v/>
      </c>
      <c r="S68" s="288">
        <f>(G68-MIN(G$3:G$23))/(MAX(G$3:G$23)-MIN(G$3:G$23))</f>
        <v/>
      </c>
      <c r="T68" s="288">
        <f>(K68*'Fund Ranking Criteria'!$J$9)+('Fund Ranking Criteria'!$J$10*Consol_Thematic!M68)+('Fund Ranking Criteria'!$J$12*Consol_Thematic!S68)+('Fund Ranking Criteria'!$J$14*Consol_Thematic!R68)+('Fund Ranking Criteria'!$J$15*Consol_Thematic!O68)+('Fund Ranking Criteria'!$J$16*Consol_Thematic!P68)+('Fund Ranking Criteria'!#REF!*Consol_Thematic!Q68)+('Fund Ranking Criteria'!#REF!*Consol_Thematic!L68)</f>
        <v/>
      </c>
      <c r="U68" s="288">
        <f>T68*1</f>
        <v/>
      </c>
      <c r="V68" s="261">
        <f>RANK(U68,$U$3:$U$157,0)</f>
        <v/>
      </c>
      <c r="W68" s="261">
        <f>A68</f>
        <v/>
      </c>
    </row>
    <row r="69">
      <c r="A69" s="261" t="inlineStr">
        <is>
          <t>ICICI Prudential PSU Equity Fund</t>
        </is>
      </c>
      <c r="B69" s="261">
        <f>VLOOKUP($A69, Sheet4!$A$2:$L$688, Consol_Thematic!B$1,FALSE)</f>
        <v/>
      </c>
      <c r="C69" s="261">
        <f>VLOOKUP($A69, Sheet4!$A$2:$L$688, Consol_Thematic!C$1,FALSE)</f>
        <v/>
      </c>
      <c r="D69" s="261">
        <f>VLOOKUP($A69, Sheet4!$A$2:$L$688, Consol_Thematic!D$1,FALSE)</f>
        <v/>
      </c>
      <c r="E69" s="261">
        <f>VLOOKUP($A69, Sheet4!$A$2:$L$688, Consol_Thematic!E$1,FALSE)</f>
        <v/>
      </c>
      <c r="F69" s="261">
        <f>VLOOKUP($A69, Sheet4!$A$2:$L$688, Consol_Thematic!F$1,FALSE)</f>
        <v/>
      </c>
      <c r="G69" s="261">
        <f>VLOOKUP($A69, Sheet4!$A$2:$L$688, Consol_Thematic!G$1,FALSE)</f>
        <v/>
      </c>
      <c r="H69" s="261">
        <f>VLOOKUP($A69, Sheet4!$A$2:$L$688, Consol_Thematic!H$1,FALSE)</f>
        <v/>
      </c>
      <c r="I69" s="261">
        <f>VLOOKUP($A69, Sheet4!$A$2:$L$688, Consol_Thematic!I$1,FALSE)</f>
        <v/>
      </c>
      <c r="J69" s="261">
        <f>VLOOKUP($A69, Sheet4!$A$2:$L$688, Consol_Thematic!J$1,FALSE)</f>
        <v/>
      </c>
      <c r="K69" s="288">
        <f>(B69-MIN(B$3:B$23))/(MAX(B$3:B$23)-MIN(B$3:B$23))</f>
        <v/>
      </c>
      <c r="L69" s="288">
        <f>(MAX(H$3:H$23)-H69)/(MAX(H$3:H$23)-MIN(H$3:H$23))</f>
        <v/>
      </c>
      <c r="M69" s="288">
        <f>(C69-MIN(C$3:C$23))/(MAX(C$3:C$23)-MIN(C$3:C$23))</f>
        <v/>
      </c>
      <c r="N69" s="288">
        <f>(D69-MIN(D$3:D$23))/(MAX(D$3:D$23)-MIN(D$3:D$23))</f>
        <v/>
      </c>
      <c r="O69" s="288">
        <f>(MAX(J$3:J$23)-J69)/(MAX(J$3:J$23)-MIN(J$3:J$23))</f>
        <v/>
      </c>
      <c r="P69" s="288">
        <f>(E69-MIN(E$3:E$23))/(MAX(E$3:E$23)-MIN(E$3:E$23))</f>
        <v/>
      </c>
      <c r="Q69" s="288">
        <f>(F69-MIN(F$3:F$23))/(MAX(F$3:F$23)-MIN(F$3:F$23))</f>
        <v/>
      </c>
      <c r="R69" s="288">
        <f>(MAX(I$3:I$23)-I69)/(MAX(I$3:I$23)-MIN(I$3:I$23))</f>
        <v/>
      </c>
      <c r="S69" s="288">
        <f>(G69-MIN(G$3:G$23))/(MAX(G$3:G$23)-MIN(G$3:G$23))</f>
        <v/>
      </c>
      <c r="T69" s="288">
        <f>(K69*'Fund Ranking Criteria'!$J$9)+('Fund Ranking Criteria'!$J$10*Consol_Thematic!M69)+('Fund Ranking Criteria'!$J$12*Consol_Thematic!S69)+('Fund Ranking Criteria'!$J$14*Consol_Thematic!R69)+('Fund Ranking Criteria'!$J$15*Consol_Thematic!O69)+('Fund Ranking Criteria'!$J$16*Consol_Thematic!P69)+('Fund Ranking Criteria'!#REF!*Consol_Thematic!Q69)+('Fund Ranking Criteria'!#REF!*Consol_Thematic!L69)</f>
        <v/>
      </c>
      <c r="U69" s="288">
        <f>T69*1</f>
        <v/>
      </c>
      <c r="V69" s="261">
        <f>RANK(U69,$U$3:$U$157,0)</f>
        <v/>
      </c>
      <c r="W69" s="261">
        <f>A69</f>
        <v/>
      </c>
    </row>
    <row r="70">
      <c r="A70" s="261" t="inlineStr">
        <is>
          <t>ICICI Prudential Quality Fund</t>
        </is>
      </c>
      <c r="B70" s="261">
        <f>VLOOKUP($A70, Sheet4!$A$2:$L$688, Consol_Thematic!B$1,FALSE)</f>
        <v/>
      </c>
      <c r="C70" s="261">
        <f>VLOOKUP($A70, Sheet4!$A$2:$L$688, Consol_Thematic!C$1,FALSE)</f>
        <v/>
      </c>
      <c r="D70" s="261">
        <f>VLOOKUP($A70, Sheet4!$A$2:$L$688, Consol_Thematic!D$1,FALSE)</f>
        <v/>
      </c>
      <c r="E70" s="261">
        <f>VLOOKUP($A70, Sheet4!$A$2:$L$688, Consol_Thematic!E$1,FALSE)</f>
        <v/>
      </c>
      <c r="F70" s="261">
        <f>VLOOKUP($A70, Sheet4!$A$2:$L$688, Consol_Thematic!F$1,FALSE)</f>
        <v/>
      </c>
      <c r="G70" s="261">
        <f>VLOOKUP($A70, Sheet4!$A$2:$L$688, Consol_Thematic!G$1,FALSE)</f>
        <v/>
      </c>
      <c r="H70" s="261">
        <f>VLOOKUP($A70, Sheet4!$A$2:$L$688, Consol_Thematic!H$1,FALSE)</f>
        <v/>
      </c>
      <c r="I70" s="261">
        <f>VLOOKUP($A70, Sheet4!$A$2:$L$688, Consol_Thematic!I$1,FALSE)</f>
        <v/>
      </c>
      <c r="J70" s="261">
        <f>VLOOKUP($A70, Sheet4!$A$2:$L$688, Consol_Thematic!J$1,FALSE)</f>
        <v/>
      </c>
      <c r="K70" s="288">
        <f>(B70-MIN(B$3:B$23))/(MAX(B$3:B$23)-MIN(B$3:B$23))</f>
        <v/>
      </c>
      <c r="L70" s="288">
        <f>(MAX(H$3:H$23)-H70)/(MAX(H$3:H$23)-MIN(H$3:H$23))</f>
        <v/>
      </c>
      <c r="M70" s="288">
        <f>(C70-MIN(C$3:C$23))/(MAX(C$3:C$23)-MIN(C$3:C$23))</f>
        <v/>
      </c>
      <c r="N70" s="288">
        <f>(D70-MIN(D$3:D$23))/(MAX(D$3:D$23)-MIN(D$3:D$23))</f>
        <v/>
      </c>
      <c r="O70" s="288">
        <f>(MAX(J$3:J$23)-J70)/(MAX(J$3:J$23)-MIN(J$3:J$23))</f>
        <v/>
      </c>
      <c r="P70" s="288">
        <f>(E70-MIN(E$3:E$23))/(MAX(E$3:E$23)-MIN(E$3:E$23))</f>
        <v/>
      </c>
      <c r="Q70" s="288">
        <f>(F70-MIN(F$3:F$23))/(MAX(F$3:F$23)-MIN(F$3:F$23))</f>
        <v/>
      </c>
      <c r="R70" s="288">
        <f>(MAX(I$3:I$23)-I70)/(MAX(I$3:I$23)-MIN(I$3:I$23))</f>
        <v/>
      </c>
      <c r="S70" s="288">
        <f>(G70-MIN(G$3:G$23))/(MAX(G$3:G$23)-MIN(G$3:G$23))</f>
        <v/>
      </c>
      <c r="T70" s="288">
        <f>(K70*'Fund Ranking Criteria'!$J$9)+('Fund Ranking Criteria'!$J$10*Consol_Thematic!M70)+('Fund Ranking Criteria'!$J$12*Consol_Thematic!S70)+('Fund Ranking Criteria'!$J$14*Consol_Thematic!R70)+('Fund Ranking Criteria'!$J$15*Consol_Thematic!O70)+('Fund Ranking Criteria'!$J$16*Consol_Thematic!P70)+('Fund Ranking Criteria'!#REF!*Consol_Thematic!Q70)+('Fund Ranking Criteria'!#REF!*Consol_Thematic!L70)</f>
        <v/>
      </c>
      <c r="U70" s="288">
        <f>T70*1</f>
        <v/>
      </c>
      <c r="V70" s="261">
        <f>RANK(U70,$U$3:$U$157,0)</f>
        <v/>
      </c>
      <c r="W70" s="261">
        <f>A70</f>
        <v/>
      </c>
    </row>
    <row r="71">
      <c r="A71" s="261" t="inlineStr">
        <is>
          <t>ICICI Prudential Quant Fund</t>
        </is>
      </c>
      <c r="B71" s="261">
        <f>VLOOKUP($A71, Sheet4!$A$2:$L$688, Consol_Thematic!B$1,FALSE)</f>
        <v/>
      </c>
      <c r="C71" s="261">
        <f>VLOOKUP($A71, Sheet4!$A$2:$L$688, Consol_Thematic!C$1,FALSE)</f>
        <v/>
      </c>
      <c r="D71" s="261">
        <f>VLOOKUP($A71, Sheet4!$A$2:$L$688, Consol_Thematic!D$1,FALSE)</f>
        <v/>
      </c>
      <c r="E71" s="261">
        <f>VLOOKUP($A71, Sheet4!$A$2:$L$688, Consol_Thematic!E$1,FALSE)</f>
        <v/>
      </c>
      <c r="F71" s="261">
        <f>VLOOKUP($A71, Sheet4!$A$2:$L$688, Consol_Thematic!F$1,FALSE)</f>
        <v/>
      </c>
      <c r="G71" s="261">
        <f>VLOOKUP($A71, Sheet4!$A$2:$L$688, Consol_Thematic!G$1,FALSE)</f>
        <v/>
      </c>
      <c r="H71" s="261">
        <f>VLOOKUP($A71, Sheet4!$A$2:$L$688, Consol_Thematic!H$1,FALSE)</f>
        <v/>
      </c>
      <c r="I71" s="261">
        <f>VLOOKUP($A71, Sheet4!$A$2:$L$688, Consol_Thematic!I$1,FALSE)</f>
        <v/>
      </c>
      <c r="J71" s="261">
        <f>VLOOKUP($A71, Sheet4!$A$2:$L$688, Consol_Thematic!J$1,FALSE)</f>
        <v/>
      </c>
      <c r="K71" s="288">
        <f>(B71-MIN(B$3:B$23))/(MAX(B$3:B$23)-MIN(B$3:B$23))</f>
        <v/>
      </c>
      <c r="L71" s="288">
        <f>(MAX(H$3:H$23)-H71)/(MAX(H$3:H$23)-MIN(H$3:H$23))</f>
        <v/>
      </c>
      <c r="M71" s="288">
        <f>(C71-MIN(C$3:C$23))/(MAX(C$3:C$23)-MIN(C$3:C$23))</f>
        <v/>
      </c>
      <c r="N71" s="288">
        <f>(D71-MIN(D$3:D$23))/(MAX(D$3:D$23)-MIN(D$3:D$23))</f>
        <v/>
      </c>
      <c r="O71" s="288">
        <f>(MAX(J$3:J$23)-J71)/(MAX(J$3:J$23)-MIN(J$3:J$23))</f>
        <v/>
      </c>
      <c r="P71" s="288">
        <f>(E71-MIN(E$3:E$23))/(MAX(E$3:E$23)-MIN(E$3:E$23))</f>
        <v/>
      </c>
      <c r="Q71" s="288">
        <f>(F71-MIN(F$3:F$23))/(MAX(F$3:F$23)-MIN(F$3:F$23))</f>
        <v/>
      </c>
      <c r="R71" s="288">
        <f>(MAX(I$3:I$23)-I71)/(MAX(I$3:I$23)-MIN(I$3:I$23))</f>
        <v/>
      </c>
      <c r="S71" s="288">
        <f>(G71-MIN(G$3:G$23))/(MAX(G$3:G$23)-MIN(G$3:G$23))</f>
        <v/>
      </c>
      <c r="T71" s="288">
        <f>(K71*'Fund Ranking Criteria'!$J$9)+('Fund Ranking Criteria'!$J$10*Consol_Thematic!M71)+('Fund Ranking Criteria'!$J$12*Consol_Thematic!S71)+('Fund Ranking Criteria'!$J$14*Consol_Thematic!R71)+('Fund Ranking Criteria'!$J$15*Consol_Thematic!O71)+('Fund Ranking Criteria'!$J$16*Consol_Thematic!P71)+('Fund Ranking Criteria'!#REF!*Consol_Thematic!Q71)+('Fund Ranking Criteria'!#REF!*Consol_Thematic!L71)</f>
        <v/>
      </c>
      <c r="U71" s="288">
        <f>T71*1</f>
        <v/>
      </c>
      <c r="V71" s="261">
        <f>RANK(U71,$U$3:$U$157,0)</f>
        <v/>
      </c>
      <c r="W71" s="261">
        <f>A71</f>
        <v/>
      </c>
    </row>
    <row r="72">
      <c r="A72" s="261" t="inlineStr">
        <is>
          <t>ICICI Prudential Rural Opportunities Fund - Regular Plan</t>
        </is>
      </c>
      <c r="B72" s="261">
        <f>VLOOKUP($A72, Sheet4!$A$2:$L$688, Consol_Thematic!B$1,FALSE)</f>
        <v/>
      </c>
      <c r="C72" s="261">
        <f>VLOOKUP($A72, Sheet4!$A$2:$L$688, Consol_Thematic!C$1,FALSE)</f>
        <v/>
      </c>
      <c r="D72" s="261">
        <f>VLOOKUP($A72, Sheet4!$A$2:$L$688, Consol_Thematic!D$1,FALSE)</f>
        <v/>
      </c>
      <c r="E72" s="261">
        <f>VLOOKUP($A72, Sheet4!$A$2:$L$688, Consol_Thematic!E$1,FALSE)</f>
        <v/>
      </c>
      <c r="F72" s="261">
        <f>VLOOKUP($A72, Sheet4!$A$2:$L$688, Consol_Thematic!F$1,FALSE)</f>
        <v/>
      </c>
      <c r="G72" s="261">
        <f>VLOOKUP($A72, Sheet4!$A$2:$L$688, Consol_Thematic!G$1,FALSE)</f>
        <v/>
      </c>
      <c r="H72" s="261">
        <f>VLOOKUP($A72, Sheet4!$A$2:$L$688, Consol_Thematic!H$1,FALSE)</f>
        <v/>
      </c>
      <c r="I72" s="261">
        <f>VLOOKUP($A72, Sheet4!$A$2:$L$688, Consol_Thematic!I$1,FALSE)</f>
        <v/>
      </c>
      <c r="J72" s="261">
        <f>VLOOKUP($A72, Sheet4!$A$2:$L$688, Consol_Thematic!J$1,FALSE)</f>
        <v/>
      </c>
      <c r="K72" s="288">
        <f>(B72-MIN(B$3:B$23))/(MAX(B$3:B$23)-MIN(B$3:B$23))</f>
        <v/>
      </c>
      <c r="L72" s="288">
        <f>(MAX(H$3:H$23)-H72)/(MAX(H$3:H$23)-MIN(H$3:H$23))</f>
        <v/>
      </c>
      <c r="M72" s="288">
        <f>(C72-MIN(C$3:C$23))/(MAX(C$3:C$23)-MIN(C$3:C$23))</f>
        <v/>
      </c>
      <c r="N72" s="288">
        <f>(D72-MIN(D$3:D$23))/(MAX(D$3:D$23)-MIN(D$3:D$23))</f>
        <v/>
      </c>
      <c r="O72" s="288">
        <f>(MAX(J$3:J$23)-J72)/(MAX(J$3:J$23)-MIN(J$3:J$23))</f>
        <v/>
      </c>
      <c r="P72" s="288">
        <f>(E72-MIN(E$3:E$23))/(MAX(E$3:E$23)-MIN(E$3:E$23))</f>
        <v/>
      </c>
      <c r="Q72" s="288">
        <f>(F72-MIN(F$3:F$23))/(MAX(F$3:F$23)-MIN(F$3:F$23))</f>
        <v/>
      </c>
      <c r="R72" s="288">
        <f>(MAX(I$3:I$23)-I72)/(MAX(I$3:I$23)-MIN(I$3:I$23))</f>
        <v/>
      </c>
      <c r="S72" s="288">
        <f>(G72-MIN(G$3:G$23))/(MAX(G$3:G$23)-MIN(G$3:G$23))</f>
        <v/>
      </c>
      <c r="T72" s="288">
        <f>(K72*'Fund Ranking Criteria'!$J$9)+('Fund Ranking Criteria'!$J$10*Consol_Thematic!M72)+('Fund Ranking Criteria'!$J$12*Consol_Thematic!S72)+('Fund Ranking Criteria'!$J$14*Consol_Thematic!R72)+('Fund Ranking Criteria'!$J$15*Consol_Thematic!O72)+('Fund Ranking Criteria'!$J$16*Consol_Thematic!P72)+('Fund Ranking Criteria'!#REF!*Consol_Thematic!Q72)+('Fund Ranking Criteria'!#REF!*Consol_Thematic!L72)</f>
        <v/>
      </c>
      <c r="U72" s="288">
        <f>T72*1</f>
        <v/>
      </c>
      <c r="V72" s="261">
        <f>RANK(U72,$U$3:$U$157,0)</f>
        <v/>
      </c>
      <c r="W72" s="261">
        <f>A72</f>
        <v/>
      </c>
    </row>
    <row r="73">
      <c r="A73" s="261" t="inlineStr">
        <is>
          <t>ICICI Prudential Thematic Advantage Fund (FOF)</t>
        </is>
      </c>
      <c r="B73" s="261">
        <f>VLOOKUP($A73, Sheet4!$A$2:$L$688, Consol_Thematic!B$1,FALSE)</f>
        <v/>
      </c>
      <c r="C73" s="261">
        <f>VLOOKUP($A73, Sheet4!$A$2:$L$688, Consol_Thematic!C$1,FALSE)</f>
        <v/>
      </c>
      <c r="D73" s="261">
        <f>VLOOKUP($A73, Sheet4!$A$2:$L$688, Consol_Thematic!D$1,FALSE)</f>
        <v/>
      </c>
      <c r="E73" s="261">
        <f>VLOOKUP($A73, Sheet4!$A$2:$L$688, Consol_Thematic!E$1,FALSE)</f>
        <v/>
      </c>
      <c r="F73" s="261">
        <f>VLOOKUP($A73, Sheet4!$A$2:$L$688, Consol_Thematic!F$1,FALSE)</f>
        <v/>
      </c>
      <c r="G73" s="261">
        <f>VLOOKUP($A73, Sheet4!$A$2:$L$688, Consol_Thematic!G$1,FALSE)</f>
        <v/>
      </c>
      <c r="H73" s="261">
        <f>VLOOKUP($A73, Sheet4!$A$2:$L$688, Consol_Thematic!H$1,FALSE)</f>
        <v/>
      </c>
      <c r="I73" s="261">
        <f>VLOOKUP($A73, Sheet4!$A$2:$L$688, Consol_Thematic!I$1,FALSE)</f>
        <v/>
      </c>
      <c r="J73" s="261">
        <f>VLOOKUP($A73, Sheet4!$A$2:$L$688, Consol_Thematic!J$1,FALSE)</f>
        <v/>
      </c>
      <c r="K73" s="288">
        <f>(B73-MIN(B$3:B$23))/(MAX(B$3:B$23)-MIN(B$3:B$23))</f>
        <v/>
      </c>
      <c r="L73" s="288">
        <f>(MAX(H$3:H$23)-H73)/(MAX(H$3:H$23)-MIN(H$3:H$23))</f>
        <v/>
      </c>
      <c r="M73" s="288">
        <f>(C73-MIN(C$3:C$23))/(MAX(C$3:C$23)-MIN(C$3:C$23))</f>
        <v/>
      </c>
      <c r="N73" s="288">
        <f>(D73-MIN(D$3:D$23))/(MAX(D$3:D$23)-MIN(D$3:D$23))</f>
        <v/>
      </c>
      <c r="O73" s="288">
        <f>(MAX(J$3:J$23)-J73)/(MAX(J$3:J$23)-MIN(J$3:J$23))</f>
        <v/>
      </c>
      <c r="P73" s="288">
        <f>(E73-MIN(E$3:E$23))/(MAX(E$3:E$23)-MIN(E$3:E$23))</f>
        <v/>
      </c>
      <c r="Q73" s="288">
        <f>(F73-MIN(F$3:F$23))/(MAX(F$3:F$23)-MIN(F$3:F$23))</f>
        <v/>
      </c>
      <c r="R73" s="288">
        <f>(MAX(I$3:I$23)-I73)/(MAX(I$3:I$23)-MIN(I$3:I$23))</f>
        <v/>
      </c>
      <c r="S73" s="288">
        <f>(G73-MIN(G$3:G$23))/(MAX(G$3:G$23)-MIN(G$3:G$23))</f>
        <v/>
      </c>
      <c r="T73" s="288">
        <f>(K73*'Fund Ranking Criteria'!$J$9)+('Fund Ranking Criteria'!$J$10*Consol_Thematic!M73)+('Fund Ranking Criteria'!$J$12*Consol_Thematic!S73)+('Fund Ranking Criteria'!$J$14*Consol_Thematic!R73)+('Fund Ranking Criteria'!$J$15*Consol_Thematic!O73)+('Fund Ranking Criteria'!$J$16*Consol_Thematic!P73)+('Fund Ranking Criteria'!#REF!*Consol_Thematic!Q73)+('Fund Ranking Criteria'!#REF!*Consol_Thematic!L73)</f>
        <v/>
      </c>
      <c r="U73" s="288">
        <f>T73*1</f>
        <v/>
      </c>
      <c r="V73" s="261">
        <f>RANK(U73,$U$3:$U$157,0)</f>
        <v/>
      </c>
      <c r="W73" s="261">
        <f>A73</f>
        <v/>
      </c>
    </row>
    <row r="74">
      <c r="A74" s="261" t="inlineStr">
        <is>
          <t>ICICI Prudential Transportation and Logistics Fund</t>
        </is>
      </c>
      <c r="B74" s="261">
        <f>VLOOKUP($A74, Sheet4!$A$2:$L$688, Consol_Thematic!B$1,FALSE)</f>
        <v/>
      </c>
      <c r="C74" s="261">
        <f>VLOOKUP($A74, Sheet4!$A$2:$L$688, Consol_Thematic!C$1,FALSE)</f>
        <v/>
      </c>
      <c r="D74" s="261">
        <f>VLOOKUP($A74, Sheet4!$A$2:$L$688, Consol_Thematic!D$1,FALSE)</f>
        <v/>
      </c>
      <c r="E74" s="261">
        <f>VLOOKUP($A74, Sheet4!$A$2:$L$688, Consol_Thematic!E$1,FALSE)</f>
        <v/>
      </c>
      <c r="F74" s="261">
        <f>VLOOKUP($A74, Sheet4!$A$2:$L$688, Consol_Thematic!F$1,FALSE)</f>
        <v/>
      </c>
      <c r="G74" s="261">
        <f>VLOOKUP($A74, Sheet4!$A$2:$L$688, Consol_Thematic!G$1,FALSE)</f>
        <v/>
      </c>
      <c r="H74" s="261">
        <f>VLOOKUP($A74, Sheet4!$A$2:$L$688, Consol_Thematic!H$1,FALSE)</f>
        <v/>
      </c>
      <c r="I74" s="261">
        <f>VLOOKUP($A74, Sheet4!$A$2:$L$688, Consol_Thematic!I$1,FALSE)</f>
        <v/>
      </c>
      <c r="J74" s="261">
        <f>VLOOKUP($A74, Sheet4!$A$2:$L$688, Consol_Thematic!J$1,FALSE)</f>
        <v/>
      </c>
      <c r="K74" s="288">
        <f>(B74-MIN(B$3:B$23))/(MAX(B$3:B$23)-MIN(B$3:B$23))</f>
        <v/>
      </c>
      <c r="L74" s="288">
        <f>(MAX(H$3:H$23)-H74)/(MAX(H$3:H$23)-MIN(H$3:H$23))</f>
        <v/>
      </c>
      <c r="M74" s="288">
        <f>(C74-MIN(C$3:C$23))/(MAX(C$3:C$23)-MIN(C$3:C$23))</f>
        <v/>
      </c>
      <c r="N74" s="288">
        <f>(D74-MIN(D$3:D$23))/(MAX(D$3:D$23)-MIN(D$3:D$23))</f>
        <v/>
      </c>
      <c r="O74" s="288">
        <f>(MAX(J$3:J$23)-J74)/(MAX(J$3:J$23)-MIN(J$3:J$23))</f>
        <v/>
      </c>
      <c r="P74" s="288">
        <f>(E74-MIN(E$3:E$23))/(MAX(E$3:E$23)-MIN(E$3:E$23))</f>
        <v/>
      </c>
      <c r="Q74" s="288">
        <f>(F74-MIN(F$3:F$23))/(MAX(F$3:F$23)-MIN(F$3:F$23))</f>
        <v/>
      </c>
      <c r="R74" s="288">
        <f>(MAX(I$3:I$23)-I74)/(MAX(I$3:I$23)-MIN(I$3:I$23))</f>
        <v/>
      </c>
      <c r="S74" s="288">
        <f>(G74-MIN(G$3:G$23))/(MAX(G$3:G$23)-MIN(G$3:G$23))</f>
        <v/>
      </c>
      <c r="T74" s="288">
        <f>(K74*'Fund Ranking Criteria'!$J$9)+('Fund Ranking Criteria'!$J$10*Consol_Thematic!M74)+('Fund Ranking Criteria'!$J$12*Consol_Thematic!S74)+('Fund Ranking Criteria'!$J$14*Consol_Thematic!R74)+('Fund Ranking Criteria'!$J$15*Consol_Thematic!O74)+('Fund Ranking Criteria'!$J$16*Consol_Thematic!P74)+('Fund Ranking Criteria'!#REF!*Consol_Thematic!Q74)+('Fund Ranking Criteria'!#REF!*Consol_Thematic!L74)</f>
        <v/>
      </c>
      <c r="U74" s="288">
        <f>T74*1</f>
        <v/>
      </c>
      <c r="V74" s="261">
        <f>RANK(U74,$U$3:$U$157,0)</f>
        <v/>
      </c>
      <c r="W74" s="261">
        <f>A74</f>
        <v/>
      </c>
    </row>
    <row r="75">
      <c r="A75" s="261" t="inlineStr">
        <is>
          <t>Invesco India Business Cycle Fund - Regular Plan</t>
        </is>
      </c>
      <c r="B75" s="261">
        <f>VLOOKUP($A75, Sheet4!$A$2:$L$688, Consol_Thematic!B$1,FALSE)</f>
        <v/>
      </c>
      <c r="C75" s="261">
        <f>VLOOKUP($A75, Sheet4!$A$2:$L$688, Consol_Thematic!C$1,FALSE)</f>
        <v/>
      </c>
      <c r="D75" s="261">
        <f>VLOOKUP($A75, Sheet4!$A$2:$L$688, Consol_Thematic!D$1,FALSE)</f>
        <v/>
      </c>
      <c r="E75" s="261">
        <f>VLOOKUP($A75, Sheet4!$A$2:$L$688, Consol_Thematic!E$1,FALSE)</f>
        <v/>
      </c>
      <c r="F75" s="261">
        <f>VLOOKUP($A75, Sheet4!$A$2:$L$688, Consol_Thematic!F$1,FALSE)</f>
        <v/>
      </c>
      <c r="G75" s="261">
        <f>VLOOKUP($A75, Sheet4!$A$2:$L$688, Consol_Thematic!G$1,FALSE)</f>
        <v/>
      </c>
      <c r="H75" s="261">
        <f>VLOOKUP($A75, Sheet4!$A$2:$L$688, Consol_Thematic!H$1,FALSE)</f>
        <v/>
      </c>
      <c r="I75" s="261">
        <f>VLOOKUP($A75, Sheet4!$A$2:$L$688, Consol_Thematic!I$1,FALSE)</f>
        <v/>
      </c>
      <c r="J75" s="261">
        <f>VLOOKUP($A75, Sheet4!$A$2:$L$688, Consol_Thematic!J$1,FALSE)</f>
        <v/>
      </c>
      <c r="K75" s="288">
        <f>(B75-MIN(B$3:B$23))/(MAX(B$3:B$23)-MIN(B$3:B$23))</f>
        <v/>
      </c>
      <c r="L75" s="288">
        <f>(MAX(H$3:H$23)-H75)/(MAX(H$3:H$23)-MIN(H$3:H$23))</f>
        <v/>
      </c>
      <c r="M75" s="288">
        <f>(C75-MIN(C$3:C$23))/(MAX(C$3:C$23)-MIN(C$3:C$23))</f>
        <v/>
      </c>
      <c r="N75" s="288">
        <f>(D75-MIN(D$3:D$23))/(MAX(D$3:D$23)-MIN(D$3:D$23))</f>
        <v/>
      </c>
      <c r="O75" s="288">
        <f>(MAX(J$3:J$23)-J75)/(MAX(J$3:J$23)-MIN(J$3:J$23))</f>
        <v/>
      </c>
      <c r="P75" s="288">
        <f>(E75-MIN(E$3:E$23))/(MAX(E$3:E$23)-MIN(E$3:E$23))</f>
        <v/>
      </c>
      <c r="Q75" s="288">
        <f>(F75-MIN(F$3:F$23))/(MAX(F$3:F$23)-MIN(F$3:F$23))</f>
        <v/>
      </c>
      <c r="R75" s="288">
        <f>(MAX(I$3:I$23)-I75)/(MAX(I$3:I$23)-MIN(I$3:I$23))</f>
        <v/>
      </c>
      <c r="S75" s="288">
        <f>(G75-MIN(G$3:G$23))/(MAX(G$3:G$23)-MIN(G$3:G$23))</f>
        <v/>
      </c>
      <c r="T75" s="288">
        <f>(K75*'Fund Ranking Criteria'!$J$9)+('Fund Ranking Criteria'!$J$10*Consol_Thematic!M75)+('Fund Ranking Criteria'!$J$12*Consol_Thematic!S75)+('Fund Ranking Criteria'!$J$14*Consol_Thematic!R75)+('Fund Ranking Criteria'!$J$15*Consol_Thematic!O75)+('Fund Ranking Criteria'!$J$16*Consol_Thematic!P75)+('Fund Ranking Criteria'!#REF!*Consol_Thematic!Q75)+('Fund Ranking Criteria'!#REF!*Consol_Thematic!L75)</f>
        <v/>
      </c>
      <c r="U75" s="288">
        <f>T75*1</f>
        <v/>
      </c>
      <c r="V75" s="261">
        <f>RANK(U75,$U$3:$U$157,0)</f>
        <v/>
      </c>
      <c r="W75" s="261">
        <f>A75</f>
        <v/>
      </c>
    </row>
    <row r="76">
      <c r="A76" s="261" t="inlineStr">
        <is>
          <t>Invesco India ESG Integration Strategy Fund - Regular Plan</t>
        </is>
      </c>
      <c r="B76" s="261">
        <f>VLOOKUP($A76, Sheet4!$A$2:$L$688, Consol_Thematic!B$1,FALSE)</f>
        <v/>
      </c>
      <c r="C76" s="261">
        <f>VLOOKUP($A76, Sheet4!$A$2:$L$688, Consol_Thematic!C$1,FALSE)</f>
        <v/>
      </c>
      <c r="D76" s="261">
        <f>VLOOKUP($A76, Sheet4!$A$2:$L$688, Consol_Thematic!D$1,FALSE)</f>
        <v/>
      </c>
      <c r="E76" s="261">
        <f>VLOOKUP($A76, Sheet4!$A$2:$L$688, Consol_Thematic!E$1,FALSE)</f>
        <v/>
      </c>
      <c r="F76" s="261">
        <f>VLOOKUP($A76, Sheet4!$A$2:$L$688, Consol_Thematic!F$1,FALSE)</f>
        <v/>
      </c>
      <c r="G76" s="261">
        <f>VLOOKUP($A76, Sheet4!$A$2:$L$688, Consol_Thematic!G$1,FALSE)</f>
        <v/>
      </c>
      <c r="H76" s="261">
        <f>VLOOKUP($A76, Sheet4!$A$2:$L$688, Consol_Thematic!H$1,FALSE)</f>
        <v/>
      </c>
      <c r="I76" s="261">
        <f>VLOOKUP($A76, Sheet4!$A$2:$L$688, Consol_Thematic!I$1,FALSE)</f>
        <v/>
      </c>
      <c r="J76" s="261">
        <f>VLOOKUP($A76, Sheet4!$A$2:$L$688, Consol_Thematic!J$1,FALSE)</f>
        <v/>
      </c>
      <c r="K76" s="288">
        <f>(B76-MIN(B$3:B$23))/(MAX(B$3:B$23)-MIN(B$3:B$23))</f>
        <v/>
      </c>
      <c r="L76" s="288">
        <f>(MAX(H$3:H$23)-H76)/(MAX(H$3:H$23)-MIN(H$3:H$23))</f>
        <v/>
      </c>
      <c r="M76" s="288">
        <f>(C76-MIN(C$3:C$23))/(MAX(C$3:C$23)-MIN(C$3:C$23))</f>
        <v/>
      </c>
      <c r="N76" s="288">
        <f>(D76-MIN(D$3:D$23))/(MAX(D$3:D$23)-MIN(D$3:D$23))</f>
        <v/>
      </c>
      <c r="O76" s="288">
        <f>(MAX(J$3:J$23)-J76)/(MAX(J$3:J$23)-MIN(J$3:J$23))</f>
        <v/>
      </c>
      <c r="P76" s="288">
        <f>(E76-MIN(E$3:E$23))/(MAX(E$3:E$23)-MIN(E$3:E$23))</f>
        <v/>
      </c>
      <c r="Q76" s="288">
        <f>(F76-MIN(F$3:F$23))/(MAX(F$3:F$23)-MIN(F$3:F$23))</f>
        <v/>
      </c>
      <c r="R76" s="288">
        <f>(MAX(I$3:I$23)-I76)/(MAX(I$3:I$23)-MIN(I$3:I$23))</f>
        <v/>
      </c>
      <c r="S76" s="288">
        <f>(G76-MIN(G$3:G$23))/(MAX(G$3:G$23)-MIN(G$3:G$23))</f>
        <v/>
      </c>
      <c r="T76" s="288">
        <f>(K76*'Fund Ranking Criteria'!$J$9)+('Fund Ranking Criteria'!$J$10*Consol_Thematic!M76)+('Fund Ranking Criteria'!$J$12*Consol_Thematic!S76)+('Fund Ranking Criteria'!$J$14*Consol_Thematic!R76)+('Fund Ranking Criteria'!$J$15*Consol_Thematic!O76)+('Fund Ranking Criteria'!$J$16*Consol_Thematic!P76)+('Fund Ranking Criteria'!#REF!*Consol_Thematic!Q76)+('Fund Ranking Criteria'!#REF!*Consol_Thematic!L76)</f>
        <v/>
      </c>
      <c r="U76" s="288">
        <f>T76*1</f>
        <v/>
      </c>
      <c r="V76" s="261">
        <f>RANK(U76,$U$3:$U$157,0)</f>
        <v/>
      </c>
      <c r="W76" s="261">
        <f>A76</f>
        <v/>
      </c>
    </row>
    <row r="77">
      <c r="A77" s="261" t="inlineStr">
        <is>
          <t>Invesco India Manufacturing Fund - Regular Plan</t>
        </is>
      </c>
      <c r="B77" s="261">
        <f>VLOOKUP($A77, Sheet4!$A$2:$L$688, Consol_Thematic!B$1,FALSE)</f>
        <v/>
      </c>
      <c r="C77" s="261">
        <f>VLOOKUP($A77, Sheet4!$A$2:$L$688, Consol_Thematic!C$1,FALSE)</f>
        <v/>
      </c>
      <c r="D77" s="261">
        <f>VLOOKUP($A77, Sheet4!$A$2:$L$688, Consol_Thematic!D$1,FALSE)</f>
        <v/>
      </c>
      <c r="E77" s="261">
        <f>VLOOKUP($A77, Sheet4!$A$2:$L$688, Consol_Thematic!E$1,FALSE)</f>
        <v/>
      </c>
      <c r="F77" s="261">
        <f>VLOOKUP($A77, Sheet4!$A$2:$L$688, Consol_Thematic!F$1,FALSE)</f>
        <v/>
      </c>
      <c r="G77" s="261">
        <f>VLOOKUP($A77, Sheet4!$A$2:$L$688, Consol_Thematic!G$1,FALSE)</f>
        <v/>
      </c>
      <c r="H77" s="261">
        <f>VLOOKUP($A77, Sheet4!$A$2:$L$688, Consol_Thematic!H$1,FALSE)</f>
        <v/>
      </c>
      <c r="I77" s="261">
        <f>VLOOKUP($A77, Sheet4!$A$2:$L$688, Consol_Thematic!I$1,FALSE)</f>
        <v/>
      </c>
      <c r="J77" s="261">
        <f>VLOOKUP($A77, Sheet4!$A$2:$L$688, Consol_Thematic!J$1,FALSE)</f>
        <v/>
      </c>
      <c r="K77" s="288">
        <f>(B77-MIN(B$3:B$23))/(MAX(B$3:B$23)-MIN(B$3:B$23))</f>
        <v/>
      </c>
      <c r="L77" s="288">
        <f>(MAX(H$3:H$23)-H77)/(MAX(H$3:H$23)-MIN(H$3:H$23))</f>
        <v/>
      </c>
      <c r="M77" s="288">
        <f>(C77-MIN(C$3:C$23))/(MAX(C$3:C$23)-MIN(C$3:C$23))</f>
        <v/>
      </c>
      <c r="N77" s="288">
        <f>(D77-MIN(D$3:D$23))/(MAX(D$3:D$23)-MIN(D$3:D$23))</f>
        <v/>
      </c>
      <c r="O77" s="288">
        <f>(MAX(J$3:J$23)-J77)/(MAX(J$3:J$23)-MIN(J$3:J$23))</f>
        <v/>
      </c>
      <c r="P77" s="288">
        <f>(E77-MIN(E$3:E$23))/(MAX(E$3:E$23)-MIN(E$3:E$23))</f>
        <v/>
      </c>
      <c r="Q77" s="288">
        <f>(F77-MIN(F$3:F$23))/(MAX(F$3:F$23)-MIN(F$3:F$23))</f>
        <v/>
      </c>
      <c r="R77" s="288">
        <f>(MAX(I$3:I$23)-I77)/(MAX(I$3:I$23)-MIN(I$3:I$23))</f>
        <v/>
      </c>
      <c r="S77" s="288">
        <f>(G77-MIN(G$3:G$23))/(MAX(G$3:G$23)-MIN(G$3:G$23))</f>
        <v/>
      </c>
      <c r="T77" s="288">
        <f>(K77*'Fund Ranking Criteria'!$J$9)+('Fund Ranking Criteria'!$J$10*Consol_Thematic!M77)+('Fund Ranking Criteria'!$J$12*Consol_Thematic!S77)+('Fund Ranking Criteria'!$J$14*Consol_Thematic!R77)+('Fund Ranking Criteria'!$J$15*Consol_Thematic!O77)+('Fund Ranking Criteria'!$J$16*Consol_Thematic!P77)+('Fund Ranking Criteria'!#REF!*Consol_Thematic!Q77)+('Fund Ranking Criteria'!#REF!*Consol_Thematic!L77)</f>
        <v/>
      </c>
      <c r="U77" s="288">
        <f>T77*1</f>
        <v/>
      </c>
      <c r="V77" s="261">
        <f>RANK(U77,$U$3:$U$157,0)</f>
        <v/>
      </c>
      <c r="W77" s="261">
        <f>A77</f>
        <v/>
      </c>
    </row>
    <row r="78">
      <c r="A78" s="261" t="inlineStr">
        <is>
          <t>Invesco India PSU Equity Fund</t>
        </is>
      </c>
      <c r="B78" s="261">
        <f>VLOOKUP($A78, Sheet4!$A$2:$L$688, Consol_Thematic!B$1,FALSE)</f>
        <v/>
      </c>
      <c r="C78" s="261">
        <f>VLOOKUP($A78, Sheet4!$A$2:$L$688, Consol_Thematic!C$1,FALSE)</f>
        <v/>
      </c>
      <c r="D78" s="261">
        <f>VLOOKUP($A78, Sheet4!$A$2:$L$688, Consol_Thematic!D$1,FALSE)</f>
        <v/>
      </c>
      <c r="E78" s="261">
        <f>VLOOKUP($A78, Sheet4!$A$2:$L$688, Consol_Thematic!E$1,FALSE)</f>
        <v/>
      </c>
      <c r="F78" s="261">
        <f>VLOOKUP($A78, Sheet4!$A$2:$L$688, Consol_Thematic!F$1,FALSE)</f>
        <v/>
      </c>
      <c r="G78" s="261">
        <f>VLOOKUP($A78, Sheet4!$A$2:$L$688, Consol_Thematic!G$1,FALSE)</f>
        <v/>
      </c>
      <c r="H78" s="261">
        <f>VLOOKUP($A78, Sheet4!$A$2:$L$688, Consol_Thematic!H$1,FALSE)</f>
        <v/>
      </c>
      <c r="I78" s="261">
        <f>VLOOKUP($A78, Sheet4!$A$2:$L$688, Consol_Thematic!I$1,FALSE)</f>
        <v/>
      </c>
      <c r="J78" s="261">
        <f>VLOOKUP($A78, Sheet4!$A$2:$L$688, Consol_Thematic!J$1,FALSE)</f>
        <v/>
      </c>
      <c r="K78" s="288">
        <f>(B78-MIN(B$3:B$23))/(MAX(B$3:B$23)-MIN(B$3:B$23))</f>
        <v/>
      </c>
      <c r="L78" s="288">
        <f>(MAX(H$3:H$23)-H78)/(MAX(H$3:H$23)-MIN(H$3:H$23))</f>
        <v/>
      </c>
      <c r="M78" s="288">
        <f>(C78-MIN(C$3:C$23))/(MAX(C$3:C$23)-MIN(C$3:C$23))</f>
        <v/>
      </c>
      <c r="N78" s="288">
        <f>(D78-MIN(D$3:D$23))/(MAX(D$3:D$23)-MIN(D$3:D$23))</f>
        <v/>
      </c>
      <c r="O78" s="288">
        <f>(MAX(J$3:J$23)-J78)/(MAX(J$3:J$23)-MIN(J$3:J$23))</f>
        <v/>
      </c>
      <c r="P78" s="288">
        <f>(E78-MIN(E$3:E$23))/(MAX(E$3:E$23)-MIN(E$3:E$23))</f>
        <v/>
      </c>
      <c r="Q78" s="288">
        <f>(F78-MIN(F$3:F$23))/(MAX(F$3:F$23)-MIN(F$3:F$23))</f>
        <v/>
      </c>
      <c r="R78" s="288">
        <f>(MAX(I$3:I$23)-I78)/(MAX(I$3:I$23)-MIN(I$3:I$23))</f>
        <v/>
      </c>
      <c r="S78" s="288">
        <f>(G78-MIN(G$3:G$23))/(MAX(G$3:G$23)-MIN(G$3:G$23))</f>
        <v/>
      </c>
      <c r="T78" s="288">
        <f>(K78*'Fund Ranking Criteria'!$J$9)+('Fund Ranking Criteria'!$J$10*Consol_Thematic!M78)+('Fund Ranking Criteria'!$J$12*Consol_Thematic!S78)+('Fund Ranking Criteria'!$J$14*Consol_Thematic!R78)+('Fund Ranking Criteria'!$J$15*Consol_Thematic!O78)+('Fund Ranking Criteria'!$J$16*Consol_Thematic!P78)+('Fund Ranking Criteria'!#REF!*Consol_Thematic!Q78)+('Fund Ranking Criteria'!#REF!*Consol_Thematic!L78)</f>
        <v/>
      </c>
      <c r="U78" s="288">
        <f>T78*1</f>
        <v/>
      </c>
      <c r="V78" s="261">
        <f>RANK(U78,$U$3:$U$157,0)</f>
        <v/>
      </c>
      <c r="W78" s="261">
        <f>A78</f>
        <v/>
      </c>
    </row>
    <row r="79">
      <c r="A79" s="261" t="inlineStr">
        <is>
          <t>ITI Bharat Consumption Fund - Regular Plan</t>
        </is>
      </c>
      <c r="B79" s="261">
        <f>VLOOKUP($A79, Sheet4!$A$2:$L$688, Consol_Thematic!B$1,FALSE)</f>
        <v/>
      </c>
      <c r="C79" s="261">
        <f>VLOOKUP($A79, Sheet4!$A$2:$L$688, Consol_Thematic!C$1,FALSE)</f>
        <v/>
      </c>
      <c r="D79" s="261">
        <f>VLOOKUP($A79, Sheet4!$A$2:$L$688, Consol_Thematic!D$1,FALSE)</f>
        <v/>
      </c>
      <c r="E79" s="261">
        <f>VLOOKUP($A79, Sheet4!$A$2:$L$688, Consol_Thematic!E$1,FALSE)</f>
        <v/>
      </c>
      <c r="F79" s="261">
        <f>VLOOKUP($A79, Sheet4!$A$2:$L$688, Consol_Thematic!F$1,FALSE)</f>
        <v/>
      </c>
      <c r="G79" s="261">
        <f>VLOOKUP($A79, Sheet4!$A$2:$L$688, Consol_Thematic!G$1,FALSE)</f>
        <v/>
      </c>
      <c r="H79" s="261">
        <f>VLOOKUP($A79, Sheet4!$A$2:$L$688, Consol_Thematic!H$1,FALSE)</f>
        <v/>
      </c>
      <c r="I79" s="261">
        <f>VLOOKUP($A79, Sheet4!$A$2:$L$688, Consol_Thematic!I$1,FALSE)</f>
        <v/>
      </c>
      <c r="J79" s="261">
        <f>VLOOKUP($A79, Sheet4!$A$2:$L$688, Consol_Thematic!J$1,FALSE)</f>
        <v/>
      </c>
      <c r="K79" s="288">
        <f>(B79-MIN(B$3:B$23))/(MAX(B$3:B$23)-MIN(B$3:B$23))</f>
        <v/>
      </c>
      <c r="L79" s="288">
        <f>(MAX(H$3:H$23)-H79)/(MAX(H$3:H$23)-MIN(H$3:H$23))</f>
        <v/>
      </c>
      <c r="M79" s="288">
        <f>(C79-MIN(C$3:C$23))/(MAX(C$3:C$23)-MIN(C$3:C$23))</f>
        <v/>
      </c>
      <c r="N79" s="288">
        <f>(D79-MIN(D$3:D$23))/(MAX(D$3:D$23)-MIN(D$3:D$23))</f>
        <v/>
      </c>
      <c r="O79" s="288">
        <f>(MAX(J$3:J$23)-J79)/(MAX(J$3:J$23)-MIN(J$3:J$23))</f>
        <v/>
      </c>
      <c r="P79" s="288">
        <f>(E79-MIN(E$3:E$23))/(MAX(E$3:E$23)-MIN(E$3:E$23))</f>
        <v/>
      </c>
      <c r="Q79" s="288">
        <f>(F79-MIN(F$3:F$23))/(MAX(F$3:F$23)-MIN(F$3:F$23))</f>
        <v/>
      </c>
      <c r="R79" s="288">
        <f>(MAX(I$3:I$23)-I79)/(MAX(I$3:I$23)-MIN(I$3:I$23))</f>
        <v/>
      </c>
      <c r="S79" s="288">
        <f>(G79-MIN(G$3:G$23))/(MAX(G$3:G$23)-MIN(G$3:G$23))</f>
        <v/>
      </c>
      <c r="T79" s="288">
        <f>(K79*'Fund Ranking Criteria'!$J$9)+('Fund Ranking Criteria'!$J$10*Consol_Thematic!M79)+('Fund Ranking Criteria'!$J$12*Consol_Thematic!S79)+('Fund Ranking Criteria'!$J$14*Consol_Thematic!R79)+('Fund Ranking Criteria'!$J$15*Consol_Thematic!O79)+('Fund Ranking Criteria'!$J$16*Consol_Thematic!P79)+('Fund Ranking Criteria'!#REF!*Consol_Thematic!Q79)+('Fund Ranking Criteria'!#REF!*Consol_Thematic!L79)</f>
        <v/>
      </c>
      <c r="U79" s="288">
        <f>T79*1</f>
        <v/>
      </c>
      <c r="V79" s="261">
        <f>RANK(U79,$U$3:$U$157,0)</f>
        <v/>
      </c>
      <c r="W79" s="261">
        <f>A79</f>
        <v/>
      </c>
    </row>
    <row r="80">
      <c r="A80" s="261" t="inlineStr">
        <is>
          <t>Kotak Business Cycle Fund - Regular Plan</t>
        </is>
      </c>
      <c r="B80" s="261">
        <f>VLOOKUP($A80, Sheet4!$A$2:$L$688, Consol_Thematic!B$1,FALSE)</f>
        <v/>
      </c>
      <c r="C80" s="261">
        <f>VLOOKUP($A80, Sheet4!$A$2:$L$688, Consol_Thematic!C$1,FALSE)</f>
        <v/>
      </c>
      <c r="D80" s="261">
        <f>VLOOKUP($A80, Sheet4!$A$2:$L$688, Consol_Thematic!D$1,FALSE)</f>
        <v/>
      </c>
      <c r="E80" s="261">
        <f>VLOOKUP($A80, Sheet4!$A$2:$L$688, Consol_Thematic!E$1,FALSE)</f>
        <v/>
      </c>
      <c r="F80" s="261">
        <f>VLOOKUP($A80, Sheet4!$A$2:$L$688, Consol_Thematic!F$1,FALSE)</f>
        <v/>
      </c>
      <c r="G80" s="261">
        <f>VLOOKUP($A80, Sheet4!$A$2:$L$688, Consol_Thematic!G$1,FALSE)</f>
        <v/>
      </c>
      <c r="H80" s="261">
        <f>VLOOKUP($A80, Sheet4!$A$2:$L$688, Consol_Thematic!H$1,FALSE)</f>
        <v/>
      </c>
      <c r="I80" s="261">
        <f>VLOOKUP($A80, Sheet4!$A$2:$L$688, Consol_Thematic!I$1,FALSE)</f>
        <v/>
      </c>
      <c r="J80" s="261">
        <f>VLOOKUP($A80, Sheet4!$A$2:$L$688, Consol_Thematic!J$1,FALSE)</f>
        <v/>
      </c>
      <c r="K80" s="288">
        <f>(B80-MIN(B$3:B$23))/(MAX(B$3:B$23)-MIN(B$3:B$23))</f>
        <v/>
      </c>
      <c r="L80" s="288">
        <f>(MAX(H$3:H$23)-H80)/(MAX(H$3:H$23)-MIN(H$3:H$23))</f>
        <v/>
      </c>
      <c r="M80" s="288">
        <f>(C80-MIN(C$3:C$23))/(MAX(C$3:C$23)-MIN(C$3:C$23))</f>
        <v/>
      </c>
      <c r="N80" s="288">
        <f>(D80-MIN(D$3:D$23))/(MAX(D$3:D$23)-MIN(D$3:D$23))</f>
        <v/>
      </c>
      <c r="O80" s="288">
        <f>(MAX(J$3:J$23)-J80)/(MAX(J$3:J$23)-MIN(J$3:J$23))</f>
        <v/>
      </c>
      <c r="P80" s="288">
        <f>(E80-MIN(E$3:E$23))/(MAX(E$3:E$23)-MIN(E$3:E$23))</f>
        <v/>
      </c>
      <c r="Q80" s="288">
        <f>(F80-MIN(F$3:F$23))/(MAX(F$3:F$23)-MIN(F$3:F$23))</f>
        <v/>
      </c>
      <c r="R80" s="288">
        <f>(MAX(I$3:I$23)-I80)/(MAX(I$3:I$23)-MIN(I$3:I$23))</f>
        <v/>
      </c>
      <c r="S80" s="288">
        <f>(G80-MIN(G$3:G$23))/(MAX(G$3:G$23)-MIN(G$3:G$23))</f>
        <v/>
      </c>
      <c r="T80" s="288">
        <f>(K80*'Fund Ranking Criteria'!$J$9)+('Fund Ranking Criteria'!$J$10*Consol_Thematic!M80)+('Fund Ranking Criteria'!$J$12*Consol_Thematic!S80)+('Fund Ranking Criteria'!$J$14*Consol_Thematic!R80)+('Fund Ranking Criteria'!$J$15*Consol_Thematic!O80)+('Fund Ranking Criteria'!$J$16*Consol_Thematic!P80)+('Fund Ranking Criteria'!#REF!*Consol_Thematic!Q80)+('Fund Ranking Criteria'!#REF!*Consol_Thematic!L80)</f>
        <v/>
      </c>
      <c r="U80" s="288">
        <f>T80*1</f>
        <v/>
      </c>
      <c r="V80" s="261">
        <f>RANK(U80,$U$3:$U$157,0)</f>
        <v/>
      </c>
      <c r="W80" s="261">
        <f>A80</f>
        <v/>
      </c>
    </row>
    <row r="81">
      <c r="A81" s="261" t="inlineStr">
        <is>
          <t>Kotak Consumption Fund - Regular Plan</t>
        </is>
      </c>
      <c r="B81" s="261">
        <f>VLOOKUP($A81, Sheet4!$A$2:$L$688, Consol_Thematic!B$1,FALSE)</f>
        <v/>
      </c>
      <c r="C81" s="261">
        <f>VLOOKUP($A81, Sheet4!$A$2:$L$688, Consol_Thematic!C$1,FALSE)</f>
        <v/>
      </c>
      <c r="D81" s="261">
        <f>VLOOKUP($A81, Sheet4!$A$2:$L$688, Consol_Thematic!D$1,FALSE)</f>
        <v/>
      </c>
      <c r="E81" s="261">
        <f>VLOOKUP($A81, Sheet4!$A$2:$L$688, Consol_Thematic!E$1,FALSE)</f>
        <v/>
      </c>
      <c r="F81" s="261">
        <f>VLOOKUP($A81, Sheet4!$A$2:$L$688, Consol_Thematic!F$1,FALSE)</f>
        <v/>
      </c>
      <c r="G81" s="261">
        <f>VLOOKUP($A81, Sheet4!$A$2:$L$688, Consol_Thematic!G$1,FALSE)</f>
        <v/>
      </c>
      <c r="H81" s="261">
        <f>VLOOKUP($A81, Sheet4!$A$2:$L$688, Consol_Thematic!H$1,FALSE)</f>
        <v/>
      </c>
      <c r="I81" s="261">
        <f>VLOOKUP($A81, Sheet4!$A$2:$L$688, Consol_Thematic!I$1,FALSE)</f>
        <v/>
      </c>
      <c r="J81" s="261">
        <f>VLOOKUP($A81, Sheet4!$A$2:$L$688, Consol_Thematic!J$1,FALSE)</f>
        <v/>
      </c>
      <c r="K81" s="288">
        <f>(B81-MIN(B$3:B$23))/(MAX(B$3:B$23)-MIN(B$3:B$23))</f>
        <v/>
      </c>
      <c r="L81" s="288">
        <f>(MAX(H$3:H$23)-H81)/(MAX(H$3:H$23)-MIN(H$3:H$23))</f>
        <v/>
      </c>
      <c r="M81" s="288">
        <f>(C81-MIN(C$3:C$23))/(MAX(C$3:C$23)-MIN(C$3:C$23))</f>
        <v/>
      </c>
      <c r="N81" s="288">
        <f>(D81-MIN(D$3:D$23))/(MAX(D$3:D$23)-MIN(D$3:D$23))</f>
        <v/>
      </c>
      <c r="O81" s="288">
        <f>(MAX(J$3:J$23)-J81)/(MAX(J$3:J$23)-MIN(J$3:J$23))</f>
        <v/>
      </c>
      <c r="P81" s="288">
        <f>(E81-MIN(E$3:E$23))/(MAX(E$3:E$23)-MIN(E$3:E$23))</f>
        <v/>
      </c>
      <c r="Q81" s="288">
        <f>(F81-MIN(F$3:F$23))/(MAX(F$3:F$23)-MIN(F$3:F$23))</f>
        <v/>
      </c>
      <c r="R81" s="288">
        <f>(MAX(I$3:I$23)-I81)/(MAX(I$3:I$23)-MIN(I$3:I$23))</f>
        <v/>
      </c>
      <c r="S81" s="288">
        <f>(G81-MIN(G$3:G$23))/(MAX(G$3:G$23)-MIN(G$3:G$23))</f>
        <v/>
      </c>
      <c r="T81" s="288">
        <f>(K81*'Fund Ranking Criteria'!$J$9)+('Fund Ranking Criteria'!$J$10*Consol_Thematic!M81)+('Fund Ranking Criteria'!$J$12*Consol_Thematic!S81)+('Fund Ranking Criteria'!$J$14*Consol_Thematic!R81)+('Fund Ranking Criteria'!$J$15*Consol_Thematic!O81)+('Fund Ranking Criteria'!$J$16*Consol_Thematic!P81)+('Fund Ranking Criteria'!#REF!*Consol_Thematic!Q81)+('Fund Ranking Criteria'!#REF!*Consol_Thematic!L81)</f>
        <v/>
      </c>
      <c r="U81" s="288">
        <f>T81*1</f>
        <v/>
      </c>
      <c r="V81" s="261">
        <f>RANK(U81,$U$3:$U$157,0)</f>
        <v/>
      </c>
      <c r="W81" s="261">
        <f>A81</f>
        <v/>
      </c>
    </row>
    <row r="82">
      <c r="A82" s="261" t="inlineStr">
        <is>
          <t>Kotak Energy Opportunities Fund - Regular Plan</t>
        </is>
      </c>
      <c r="B82" s="261">
        <f>VLOOKUP($A82, Sheet4!$A$2:$L$688, Consol_Thematic!B$1,FALSE)</f>
        <v/>
      </c>
      <c r="C82" s="261">
        <f>VLOOKUP($A82, Sheet4!$A$2:$L$688, Consol_Thematic!C$1,FALSE)</f>
        <v/>
      </c>
      <c r="D82" s="261">
        <f>VLOOKUP($A82, Sheet4!$A$2:$L$688, Consol_Thematic!D$1,FALSE)</f>
        <v/>
      </c>
      <c r="E82" s="261">
        <f>VLOOKUP($A82, Sheet4!$A$2:$L$688, Consol_Thematic!E$1,FALSE)</f>
        <v/>
      </c>
      <c r="F82" s="261">
        <f>VLOOKUP($A82, Sheet4!$A$2:$L$688, Consol_Thematic!F$1,FALSE)</f>
        <v/>
      </c>
      <c r="G82" s="261">
        <f>VLOOKUP($A82, Sheet4!$A$2:$L$688, Consol_Thematic!G$1,FALSE)</f>
        <v/>
      </c>
      <c r="H82" s="261">
        <f>VLOOKUP($A82, Sheet4!$A$2:$L$688, Consol_Thematic!H$1,FALSE)</f>
        <v/>
      </c>
      <c r="I82" s="261">
        <f>VLOOKUP($A82, Sheet4!$A$2:$L$688, Consol_Thematic!I$1,FALSE)</f>
        <v/>
      </c>
      <c r="J82" s="261">
        <f>VLOOKUP($A82, Sheet4!$A$2:$L$688, Consol_Thematic!J$1,FALSE)</f>
        <v/>
      </c>
      <c r="K82" s="288">
        <f>(B82-MIN(B$3:B$23))/(MAX(B$3:B$23)-MIN(B$3:B$23))</f>
        <v/>
      </c>
      <c r="L82" s="288">
        <f>(MAX(H$3:H$23)-H82)/(MAX(H$3:H$23)-MIN(H$3:H$23))</f>
        <v/>
      </c>
      <c r="M82" s="288">
        <f>(C82-MIN(C$3:C$23))/(MAX(C$3:C$23)-MIN(C$3:C$23))</f>
        <v/>
      </c>
      <c r="N82" s="288">
        <f>(D82-MIN(D$3:D$23))/(MAX(D$3:D$23)-MIN(D$3:D$23))</f>
        <v/>
      </c>
      <c r="O82" s="288">
        <f>(MAX(J$3:J$23)-J82)/(MAX(J$3:J$23)-MIN(J$3:J$23))</f>
        <v/>
      </c>
      <c r="P82" s="288">
        <f>(E82-MIN(E$3:E$23))/(MAX(E$3:E$23)-MIN(E$3:E$23))</f>
        <v/>
      </c>
      <c r="Q82" s="288">
        <f>(F82-MIN(F$3:F$23))/(MAX(F$3:F$23)-MIN(F$3:F$23))</f>
        <v/>
      </c>
      <c r="R82" s="288">
        <f>(MAX(I$3:I$23)-I82)/(MAX(I$3:I$23)-MIN(I$3:I$23))</f>
        <v/>
      </c>
      <c r="S82" s="288">
        <f>(G82-MIN(G$3:G$23))/(MAX(G$3:G$23)-MIN(G$3:G$23))</f>
        <v/>
      </c>
      <c r="T82" s="288">
        <f>(K82*'Fund Ranking Criteria'!$J$9)+('Fund Ranking Criteria'!$J$10*Consol_Thematic!M82)+('Fund Ranking Criteria'!$J$12*Consol_Thematic!S82)+('Fund Ranking Criteria'!$J$14*Consol_Thematic!R82)+('Fund Ranking Criteria'!$J$15*Consol_Thematic!O82)+('Fund Ranking Criteria'!$J$16*Consol_Thematic!P82)+('Fund Ranking Criteria'!#REF!*Consol_Thematic!Q82)+('Fund Ranking Criteria'!#REF!*Consol_Thematic!L82)</f>
        <v/>
      </c>
      <c r="U82" s="288">
        <f>T82*1</f>
        <v/>
      </c>
      <c r="V82" s="261">
        <f>RANK(U82,$U$3:$U$157,0)</f>
        <v/>
      </c>
      <c r="W82" s="261">
        <f>A82</f>
        <v/>
      </c>
    </row>
    <row r="83">
      <c r="A83" s="261" t="inlineStr">
        <is>
          <t>Kotak ESG Exclusionary Strategy Fund - Regular Plan</t>
        </is>
      </c>
      <c r="B83" s="261">
        <f>VLOOKUP($A83, Sheet4!$A$2:$L$688, Consol_Thematic!B$1,FALSE)</f>
        <v/>
      </c>
      <c r="C83" s="261">
        <f>VLOOKUP($A83, Sheet4!$A$2:$L$688, Consol_Thematic!C$1,FALSE)</f>
        <v/>
      </c>
      <c r="D83" s="261">
        <f>VLOOKUP($A83, Sheet4!$A$2:$L$688, Consol_Thematic!D$1,FALSE)</f>
        <v/>
      </c>
      <c r="E83" s="261">
        <f>VLOOKUP($A83, Sheet4!$A$2:$L$688, Consol_Thematic!E$1,FALSE)</f>
        <v/>
      </c>
      <c r="F83" s="261">
        <f>VLOOKUP($A83, Sheet4!$A$2:$L$688, Consol_Thematic!F$1,FALSE)</f>
        <v/>
      </c>
      <c r="G83" s="261">
        <f>VLOOKUP($A83, Sheet4!$A$2:$L$688, Consol_Thematic!G$1,FALSE)</f>
        <v/>
      </c>
      <c r="H83" s="261">
        <f>VLOOKUP($A83, Sheet4!$A$2:$L$688, Consol_Thematic!H$1,FALSE)</f>
        <v/>
      </c>
      <c r="I83" s="261">
        <f>VLOOKUP($A83, Sheet4!$A$2:$L$688, Consol_Thematic!I$1,FALSE)</f>
        <v/>
      </c>
      <c r="J83" s="261">
        <f>VLOOKUP($A83, Sheet4!$A$2:$L$688, Consol_Thematic!J$1,FALSE)</f>
        <v/>
      </c>
      <c r="K83" s="288">
        <f>(B83-MIN(B$3:B$23))/(MAX(B$3:B$23)-MIN(B$3:B$23))</f>
        <v/>
      </c>
      <c r="L83" s="288">
        <f>(MAX(H$3:H$23)-H83)/(MAX(H$3:H$23)-MIN(H$3:H$23))</f>
        <v/>
      </c>
      <c r="M83" s="288">
        <f>(C83-MIN(C$3:C$23))/(MAX(C$3:C$23)-MIN(C$3:C$23))</f>
        <v/>
      </c>
      <c r="N83" s="288">
        <f>(D83-MIN(D$3:D$23))/(MAX(D$3:D$23)-MIN(D$3:D$23))</f>
        <v/>
      </c>
      <c r="O83" s="288">
        <f>(MAX(J$3:J$23)-J83)/(MAX(J$3:J$23)-MIN(J$3:J$23))</f>
        <v/>
      </c>
      <c r="P83" s="288">
        <f>(E83-MIN(E$3:E$23))/(MAX(E$3:E$23)-MIN(E$3:E$23))</f>
        <v/>
      </c>
      <c r="Q83" s="288">
        <f>(F83-MIN(F$3:F$23))/(MAX(F$3:F$23)-MIN(F$3:F$23))</f>
        <v/>
      </c>
      <c r="R83" s="288">
        <f>(MAX(I$3:I$23)-I83)/(MAX(I$3:I$23)-MIN(I$3:I$23))</f>
        <v/>
      </c>
      <c r="S83" s="288">
        <f>(G83-MIN(G$3:G$23))/(MAX(G$3:G$23)-MIN(G$3:G$23))</f>
        <v/>
      </c>
      <c r="T83" s="288">
        <f>(K83*'Fund Ranking Criteria'!$J$9)+('Fund Ranking Criteria'!$J$10*Consol_Thematic!M83)+('Fund Ranking Criteria'!$J$12*Consol_Thematic!S83)+('Fund Ranking Criteria'!$J$14*Consol_Thematic!R83)+('Fund Ranking Criteria'!$J$15*Consol_Thematic!O83)+('Fund Ranking Criteria'!$J$16*Consol_Thematic!P83)+('Fund Ranking Criteria'!#REF!*Consol_Thematic!Q83)+('Fund Ranking Criteria'!#REF!*Consol_Thematic!L83)</f>
        <v/>
      </c>
      <c r="U83" s="288">
        <f>T83*1</f>
        <v/>
      </c>
      <c r="V83" s="261">
        <f>RANK(U83,$U$3:$U$157,0)</f>
        <v/>
      </c>
      <c r="W83" s="261">
        <f>A83</f>
        <v/>
      </c>
    </row>
    <row r="84">
      <c r="A84" s="261" t="inlineStr">
        <is>
          <t>Kotak Manufacture in India Fund - Regular Plan</t>
        </is>
      </c>
      <c r="B84" s="261">
        <f>VLOOKUP($A84, Sheet4!$A$2:$L$688, Consol_Thematic!B$1,FALSE)</f>
        <v/>
      </c>
      <c r="C84" s="261">
        <f>VLOOKUP($A84, Sheet4!$A$2:$L$688, Consol_Thematic!C$1,FALSE)</f>
        <v/>
      </c>
      <c r="D84" s="261">
        <f>VLOOKUP($A84, Sheet4!$A$2:$L$688, Consol_Thematic!D$1,FALSE)</f>
        <v/>
      </c>
      <c r="E84" s="261">
        <f>VLOOKUP($A84, Sheet4!$A$2:$L$688, Consol_Thematic!E$1,FALSE)</f>
        <v/>
      </c>
      <c r="F84" s="261">
        <f>VLOOKUP($A84, Sheet4!$A$2:$L$688, Consol_Thematic!F$1,FALSE)</f>
        <v/>
      </c>
      <c r="G84" s="261">
        <f>VLOOKUP($A84, Sheet4!$A$2:$L$688, Consol_Thematic!G$1,FALSE)</f>
        <v/>
      </c>
      <c r="H84" s="261">
        <f>VLOOKUP($A84, Sheet4!$A$2:$L$688, Consol_Thematic!H$1,FALSE)</f>
        <v/>
      </c>
      <c r="I84" s="261">
        <f>VLOOKUP($A84, Sheet4!$A$2:$L$688, Consol_Thematic!I$1,FALSE)</f>
        <v/>
      </c>
      <c r="J84" s="261">
        <f>VLOOKUP($A84, Sheet4!$A$2:$L$688, Consol_Thematic!J$1,FALSE)</f>
        <v/>
      </c>
      <c r="K84" s="288">
        <f>(B84-MIN(B$3:B$23))/(MAX(B$3:B$23)-MIN(B$3:B$23))</f>
        <v/>
      </c>
      <c r="L84" s="288">
        <f>(MAX(H$3:H$23)-H84)/(MAX(H$3:H$23)-MIN(H$3:H$23))</f>
        <v/>
      </c>
      <c r="M84" s="288">
        <f>(C84-MIN(C$3:C$23))/(MAX(C$3:C$23)-MIN(C$3:C$23))</f>
        <v/>
      </c>
      <c r="N84" s="288">
        <f>(D84-MIN(D$3:D$23))/(MAX(D$3:D$23)-MIN(D$3:D$23))</f>
        <v/>
      </c>
      <c r="O84" s="288">
        <f>(MAX(J$3:J$23)-J84)/(MAX(J$3:J$23)-MIN(J$3:J$23))</f>
        <v/>
      </c>
      <c r="P84" s="288">
        <f>(E84-MIN(E$3:E$23))/(MAX(E$3:E$23)-MIN(E$3:E$23))</f>
        <v/>
      </c>
      <c r="Q84" s="288">
        <f>(F84-MIN(F$3:F$23))/(MAX(F$3:F$23)-MIN(F$3:F$23))</f>
        <v/>
      </c>
      <c r="R84" s="288">
        <f>(MAX(I$3:I$23)-I84)/(MAX(I$3:I$23)-MIN(I$3:I$23))</f>
        <v/>
      </c>
      <c r="S84" s="288">
        <f>(G84-MIN(G$3:G$23))/(MAX(G$3:G$23)-MIN(G$3:G$23))</f>
        <v/>
      </c>
      <c r="T84" s="288">
        <f>(K84*'Fund Ranking Criteria'!$J$9)+('Fund Ranking Criteria'!$J$10*Consol_Thematic!M84)+('Fund Ranking Criteria'!$J$12*Consol_Thematic!S84)+('Fund Ranking Criteria'!$J$14*Consol_Thematic!R84)+('Fund Ranking Criteria'!$J$15*Consol_Thematic!O84)+('Fund Ranking Criteria'!$J$16*Consol_Thematic!P84)+('Fund Ranking Criteria'!#REF!*Consol_Thematic!Q84)+('Fund Ranking Criteria'!#REF!*Consol_Thematic!L84)</f>
        <v/>
      </c>
      <c r="U84" s="288">
        <f>T84*1</f>
        <v/>
      </c>
      <c r="V84" s="261">
        <f>RANK(U84,$U$3:$U$157,0)</f>
        <v/>
      </c>
      <c r="W84" s="261">
        <f>A84</f>
        <v/>
      </c>
    </row>
    <row r="85">
      <c r="A85" s="261" t="inlineStr">
        <is>
          <t>Kotak MNC Fund - Regular Plan</t>
        </is>
      </c>
      <c r="B85" s="261">
        <f>VLOOKUP($A85, Sheet4!$A$2:$L$688, Consol_Thematic!B$1,FALSE)</f>
        <v/>
      </c>
      <c r="C85" s="261">
        <f>VLOOKUP($A85, Sheet4!$A$2:$L$688, Consol_Thematic!C$1,FALSE)</f>
        <v/>
      </c>
      <c r="D85" s="261">
        <f>VLOOKUP($A85, Sheet4!$A$2:$L$688, Consol_Thematic!D$1,FALSE)</f>
        <v/>
      </c>
      <c r="E85" s="261">
        <f>VLOOKUP($A85, Sheet4!$A$2:$L$688, Consol_Thematic!E$1,FALSE)</f>
        <v/>
      </c>
      <c r="F85" s="261">
        <f>VLOOKUP($A85, Sheet4!$A$2:$L$688, Consol_Thematic!F$1,FALSE)</f>
        <v/>
      </c>
      <c r="G85" s="261">
        <f>VLOOKUP($A85, Sheet4!$A$2:$L$688, Consol_Thematic!G$1,FALSE)</f>
        <v/>
      </c>
      <c r="H85" s="261">
        <f>VLOOKUP($A85, Sheet4!$A$2:$L$688, Consol_Thematic!H$1,FALSE)</f>
        <v/>
      </c>
      <c r="I85" s="261">
        <f>VLOOKUP($A85, Sheet4!$A$2:$L$688, Consol_Thematic!I$1,FALSE)</f>
        <v/>
      </c>
      <c r="J85" s="261">
        <f>VLOOKUP($A85, Sheet4!$A$2:$L$688, Consol_Thematic!J$1,FALSE)</f>
        <v/>
      </c>
      <c r="K85" s="288">
        <f>(B85-MIN(B$3:B$23))/(MAX(B$3:B$23)-MIN(B$3:B$23))</f>
        <v/>
      </c>
      <c r="L85" s="288">
        <f>(MAX(H$3:H$23)-H85)/(MAX(H$3:H$23)-MIN(H$3:H$23))</f>
        <v/>
      </c>
      <c r="M85" s="288">
        <f>(C85-MIN(C$3:C$23))/(MAX(C$3:C$23)-MIN(C$3:C$23))</f>
        <v/>
      </c>
      <c r="N85" s="288">
        <f>(D85-MIN(D$3:D$23))/(MAX(D$3:D$23)-MIN(D$3:D$23))</f>
        <v/>
      </c>
      <c r="O85" s="288">
        <f>(MAX(J$3:J$23)-J85)/(MAX(J$3:J$23)-MIN(J$3:J$23))</f>
        <v/>
      </c>
      <c r="P85" s="288">
        <f>(E85-MIN(E$3:E$23))/(MAX(E$3:E$23)-MIN(E$3:E$23))</f>
        <v/>
      </c>
      <c r="Q85" s="288">
        <f>(F85-MIN(F$3:F$23))/(MAX(F$3:F$23)-MIN(F$3:F$23))</f>
        <v/>
      </c>
      <c r="R85" s="288">
        <f>(MAX(I$3:I$23)-I85)/(MAX(I$3:I$23)-MIN(I$3:I$23))</f>
        <v/>
      </c>
      <c r="S85" s="288">
        <f>(G85-MIN(G$3:G$23))/(MAX(G$3:G$23)-MIN(G$3:G$23))</f>
        <v/>
      </c>
      <c r="T85" s="288">
        <f>(K85*'Fund Ranking Criteria'!$J$9)+('Fund Ranking Criteria'!$J$10*Consol_Thematic!M85)+('Fund Ranking Criteria'!$J$12*Consol_Thematic!S85)+('Fund Ranking Criteria'!$J$14*Consol_Thematic!R85)+('Fund Ranking Criteria'!$J$15*Consol_Thematic!O85)+('Fund Ranking Criteria'!$J$16*Consol_Thematic!P85)+('Fund Ranking Criteria'!#REF!*Consol_Thematic!Q85)+('Fund Ranking Criteria'!#REF!*Consol_Thematic!L85)</f>
        <v/>
      </c>
      <c r="U85" s="288">
        <f>T85*1</f>
        <v/>
      </c>
      <c r="V85" s="261">
        <f>RANK(U85,$U$3:$U$157,0)</f>
        <v/>
      </c>
      <c r="W85" s="261">
        <f>A85</f>
        <v/>
      </c>
    </row>
    <row r="86">
      <c r="A86" s="261" t="inlineStr">
        <is>
          <t>Kotak Pioneer Fund - Regular Plan</t>
        </is>
      </c>
      <c r="B86" s="261">
        <f>VLOOKUP($A86, Sheet4!$A$2:$L$688, Consol_Thematic!B$1,FALSE)</f>
        <v/>
      </c>
      <c r="C86" s="261">
        <f>VLOOKUP($A86, Sheet4!$A$2:$L$688, Consol_Thematic!C$1,FALSE)</f>
        <v/>
      </c>
      <c r="D86" s="261">
        <f>VLOOKUP($A86, Sheet4!$A$2:$L$688, Consol_Thematic!D$1,FALSE)</f>
        <v/>
      </c>
      <c r="E86" s="261">
        <f>VLOOKUP($A86, Sheet4!$A$2:$L$688, Consol_Thematic!E$1,FALSE)</f>
        <v/>
      </c>
      <c r="F86" s="261">
        <f>VLOOKUP($A86, Sheet4!$A$2:$L$688, Consol_Thematic!F$1,FALSE)</f>
        <v/>
      </c>
      <c r="G86" s="261">
        <f>VLOOKUP($A86, Sheet4!$A$2:$L$688, Consol_Thematic!G$1,FALSE)</f>
        <v/>
      </c>
      <c r="H86" s="261">
        <f>VLOOKUP($A86, Sheet4!$A$2:$L$688, Consol_Thematic!H$1,FALSE)</f>
        <v/>
      </c>
      <c r="I86" s="261">
        <f>VLOOKUP($A86, Sheet4!$A$2:$L$688, Consol_Thematic!I$1,FALSE)</f>
        <v/>
      </c>
      <c r="J86" s="261">
        <f>VLOOKUP($A86, Sheet4!$A$2:$L$688, Consol_Thematic!J$1,FALSE)</f>
        <v/>
      </c>
      <c r="K86" s="288">
        <f>(B86-MIN(B$3:B$23))/(MAX(B$3:B$23)-MIN(B$3:B$23))</f>
        <v/>
      </c>
      <c r="L86" s="288">
        <f>(MAX(H$3:H$23)-H86)/(MAX(H$3:H$23)-MIN(H$3:H$23))</f>
        <v/>
      </c>
      <c r="M86" s="288">
        <f>(C86-MIN(C$3:C$23))/(MAX(C$3:C$23)-MIN(C$3:C$23))</f>
        <v/>
      </c>
      <c r="N86" s="288">
        <f>(D86-MIN(D$3:D$23))/(MAX(D$3:D$23)-MIN(D$3:D$23))</f>
        <v/>
      </c>
      <c r="O86" s="288">
        <f>(MAX(J$3:J$23)-J86)/(MAX(J$3:J$23)-MIN(J$3:J$23))</f>
        <v/>
      </c>
      <c r="P86" s="288">
        <f>(E86-MIN(E$3:E$23))/(MAX(E$3:E$23)-MIN(E$3:E$23))</f>
        <v/>
      </c>
      <c r="Q86" s="288">
        <f>(F86-MIN(F$3:F$23))/(MAX(F$3:F$23)-MIN(F$3:F$23))</f>
        <v/>
      </c>
      <c r="R86" s="288">
        <f>(MAX(I$3:I$23)-I86)/(MAX(I$3:I$23)-MIN(I$3:I$23))</f>
        <v/>
      </c>
      <c r="S86" s="288">
        <f>(G86-MIN(G$3:G$23))/(MAX(G$3:G$23)-MIN(G$3:G$23))</f>
        <v/>
      </c>
      <c r="T86" s="288">
        <f>(K86*'Fund Ranking Criteria'!$J$9)+('Fund Ranking Criteria'!$J$10*Consol_Thematic!M86)+('Fund Ranking Criteria'!$J$12*Consol_Thematic!S86)+('Fund Ranking Criteria'!$J$14*Consol_Thematic!R86)+('Fund Ranking Criteria'!$J$15*Consol_Thematic!O86)+('Fund Ranking Criteria'!$J$16*Consol_Thematic!P86)+('Fund Ranking Criteria'!#REF!*Consol_Thematic!Q86)+('Fund Ranking Criteria'!#REF!*Consol_Thematic!L86)</f>
        <v/>
      </c>
      <c r="U86" s="288">
        <f>T86*1</f>
        <v/>
      </c>
      <c r="V86" s="261">
        <f>RANK(U86,$U$3:$U$157,0)</f>
        <v/>
      </c>
      <c r="W86" s="261">
        <f>A86</f>
        <v/>
      </c>
    </row>
    <row r="87">
      <c r="A87" s="261" t="inlineStr">
        <is>
          <t>Kotak Quant Fund - Regular Plan</t>
        </is>
      </c>
      <c r="B87" s="261">
        <f>VLOOKUP($A87, Sheet4!$A$2:$L$688, Consol_Thematic!B$1,FALSE)</f>
        <v/>
      </c>
      <c r="C87" s="261">
        <f>VLOOKUP($A87, Sheet4!$A$2:$L$688, Consol_Thematic!C$1,FALSE)</f>
        <v/>
      </c>
      <c r="D87" s="261">
        <f>VLOOKUP($A87, Sheet4!$A$2:$L$688, Consol_Thematic!D$1,FALSE)</f>
        <v/>
      </c>
      <c r="E87" s="261">
        <f>VLOOKUP($A87, Sheet4!$A$2:$L$688, Consol_Thematic!E$1,FALSE)</f>
        <v/>
      </c>
      <c r="F87" s="261">
        <f>VLOOKUP($A87, Sheet4!$A$2:$L$688, Consol_Thematic!F$1,FALSE)</f>
        <v/>
      </c>
      <c r="G87" s="261">
        <f>VLOOKUP($A87, Sheet4!$A$2:$L$688, Consol_Thematic!G$1,FALSE)</f>
        <v/>
      </c>
      <c r="H87" s="261">
        <f>VLOOKUP($A87, Sheet4!$A$2:$L$688, Consol_Thematic!H$1,FALSE)</f>
        <v/>
      </c>
      <c r="I87" s="261">
        <f>VLOOKUP($A87, Sheet4!$A$2:$L$688, Consol_Thematic!I$1,FALSE)</f>
        <v/>
      </c>
      <c r="J87" s="261">
        <f>VLOOKUP($A87, Sheet4!$A$2:$L$688, Consol_Thematic!J$1,FALSE)</f>
        <v/>
      </c>
      <c r="K87" s="288">
        <f>(B87-MIN(B$3:B$23))/(MAX(B$3:B$23)-MIN(B$3:B$23))</f>
        <v/>
      </c>
      <c r="L87" s="288">
        <f>(MAX(H$3:H$23)-H87)/(MAX(H$3:H$23)-MIN(H$3:H$23))</f>
        <v/>
      </c>
      <c r="M87" s="288">
        <f>(C87-MIN(C$3:C$23))/(MAX(C$3:C$23)-MIN(C$3:C$23))</f>
        <v/>
      </c>
      <c r="N87" s="288">
        <f>(D87-MIN(D$3:D$23))/(MAX(D$3:D$23)-MIN(D$3:D$23))</f>
        <v/>
      </c>
      <c r="O87" s="288">
        <f>(MAX(J$3:J$23)-J87)/(MAX(J$3:J$23)-MIN(J$3:J$23))</f>
        <v/>
      </c>
      <c r="P87" s="288">
        <f>(E87-MIN(E$3:E$23))/(MAX(E$3:E$23)-MIN(E$3:E$23))</f>
        <v/>
      </c>
      <c r="Q87" s="288">
        <f>(F87-MIN(F$3:F$23))/(MAX(F$3:F$23)-MIN(F$3:F$23))</f>
        <v/>
      </c>
      <c r="R87" s="288">
        <f>(MAX(I$3:I$23)-I87)/(MAX(I$3:I$23)-MIN(I$3:I$23))</f>
        <v/>
      </c>
      <c r="S87" s="288">
        <f>(G87-MIN(G$3:G$23))/(MAX(G$3:G$23)-MIN(G$3:G$23))</f>
        <v/>
      </c>
      <c r="T87" s="288">
        <f>(K87*'Fund Ranking Criteria'!$J$9)+('Fund Ranking Criteria'!$J$10*Consol_Thematic!M87)+('Fund Ranking Criteria'!$J$12*Consol_Thematic!S87)+('Fund Ranking Criteria'!$J$14*Consol_Thematic!R87)+('Fund Ranking Criteria'!$J$15*Consol_Thematic!O87)+('Fund Ranking Criteria'!$J$16*Consol_Thematic!P87)+('Fund Ranking Criteria'!#REF!*Consol_Thematic!Q87)+('Fund Ranking Criteria'!#REF!*Consol_Thematic!L87)</f>
        <v/>
      </c>
      <c r="U87" s="288">
        <f>T87*1</f>
        <v/>
      </c>
      <c r="V87" s="261">
        <f>RANK(U87,$U$3:$U$157,0)</f>
        <v/>
      </c>
      <c r="W87" s="261">
        <f>A87</f>
        <v/>
      </c>
    </row>
    <row r="88">
      <c r="A88" s="261" t="inlineStr">
        <is>
          <t>Kotak Special Opportunities Fund - Regular Plan</t>
        </is>
      </c>
      <c r="B88" s="261">
        <f>VLOOKUP($A88, Sheet4!$A$2:$L$688, Consol_Thematic!B$1,FALSE)</f>
        <v/>
      </c>
      <c r="C88" s="261">
        <f>VLOOKUP($A88, Sheet4!$A$2:$L$688, Consol_Thematic!C$1,FALSE)</f>
        <v/>
      </c>
      <c r="D88" s="261">
        <f>VLOOKUP($A88, Sheet4!$A$2:$L$688, Consol_Thematic!D$1,FALSE)</f>
        <v/>
      </c>
      <c r="E88" s="261">
        <f>VLOOKUP($A88, Sheet4!$A$2:$L$688, Consol_Thematic!E$1,FALSE)</f>
        <v/>
      </c>
      <c r="F88" s="261">
        <f>VLOOKUP($A88, Sheet4!$A$2:$L$688, Consol_Thematic!F$1,FALSE)</f>
        <v/>
      </c>
      <c r="G88" s="261">
        <f>VLOOKUP($A88, Sheet4!$A$2:$L$688, Consol_Thematic!G$1,FALSE)</f>
        <v/>
      </c>
      <c r="H88" s="261">
        <f>VLOOKUP($A88, Sheet4!$A$2:$L$688, Consol_Thematic!H$1,FALSE)</f>
        <v/>
      </c>
      <c r="I88" s="261">
        <f>VLOOKUP($A88, Sheet4!$A$2:$L$688, Consol_Thematic!I$1,FALSE)</f>
        <v/>
      </c>
      <c r="J88" s="261">
        <f>VLOOKUP($A88, Sheet4!$A$2:$L$688, Consol_Thematic!J$1,FALSE)</f>
        <v/>
      </c>
      <c r="K88" s="288">
        <f>(B88-MIN(B$3:B$23))/(MAX(B$3:B$23)-MIN(B$3:B$23))</f>
        <v/>
      </c>
      <c r="L88" s="288">
        <f>(MAX(H$3:H$23)-H88)/(MAX(H$3:H$23)-MIN(H$3:H$23))</f>
        <v/>
      </c>
      <c r="M88" s="288">
        <f>(C88-MIN(C$3:C$23))/(MAX(C$3:C$23)-MIN(C$3:C$23))</f>
        <v/>
      </c>
      <c r="N88" s="288">
        <f>(D88-MIN(D$3:D$23))/(MAX(D$3:D$23)-MIN(D$3:D$23))</f>
        <v/>
      </c>
      <c r="O88" s="288">
        <f>(MAX(J$3:J$23)-J88)/(MAX(J$3:J$23)-MIN(J$3:J$23))</f>
        <v/>
      </c>
      <c r="P88" s="288">
        <f>(E88-MIN(E$3:E$23))/(MAX(E$3:E$23)-MIN(E$3:E$23))</f>
        <v/>
      </c>
      <c r="Q88" s="288">
        <f>(F88-MIN(F$3:F$23))/(MAX(F$3:F$23)-MIN(F$3:F$23))</f>
        <v/>
      </c>
      <c r="R88" s="288">
        <f>(MAX(I$3:I$23)-I88)/(MAX(I$3:I$23)-MIN(I$3:I$23))</f>
        <v/>
      </c>
      <c r="S88" s="288">
        <f>(G88-MIN(G$3:G$23))/(MAX(G$3:G$23)-MIN(G$3:G$23))</f>
        <v/>
      </c>
      <c r="T88" s="288">
        <f>(K88*'Fund Ranking Criteria'!$J$9)+('Fund Ranking Criteria'!$J$10*Consol_Thematic!M88)+('Fund Ranking Criteria'!$J$12*Consol_Thematic!S88)+('Fund Ranking Criteria'!$J$14*Consol_Thematic!R88)+('Fund Ranking Criteria'!$J$15*Consol_Thematic!O88)+('Fund Ranking Criteria'!$J$16*Consol_Thematic!P88)+('Fund Ranking Criteria'!#REF!*Consol_Thematic!Q88)+('Fund Ranking Criteria'!#REF!*Consol_Thematic!L88)</f>
        <v/>
      </c>
      <c r="U88" s="288">
        <f>T88*1</f>
        <v/>
      </c>
      <c r="V88" s="261">
        <f>RANK(U88,$U$3:$U$157,0)</f>
        <v/>
      </c>
      <c r="W88" s="261">
        <f>A88</f>
        <v/>
      </c>
    </row>
    <row r="89">
      <c r="A89" s="261" t="inlineStr">
        <is>
          <t>Kotak Transportation &amp; Logistics Fund - Regular Plan</t>
        </is>
      </c>
      <c r="B89" s="261">
        <f>VLOOKUP($A89, Sheet4!$A$2:$L$688, Consol_Thematic!B$1,FALSE)</f>
        <v/>
      </c>
      <c r="C89" s="261">
        <f>VLOOKUP($A89, Sheet4!$A$2:$L$688, Consol_Thematic!C$1,FALSE)</f>
        <v/>
      </c>
      <c r="D89" s="261">
        <f>VLOOKUP($A89, Sheet4!$A$2:$L$688, Consol_Thematic!D$1,FALSE)</f>
        <v/>
      </c>
      <c r="E89" s="261">
        <f>VLOOKUP($A89, Sheet4!$A$2:$L$688, Consol_Thematic!E$1,FALSE)</f>
        <v/>
      </c>
      <c r="F89" s="261">
        <f>VLOOKUP($A89, Sheet4!$A$2:$L$688, Consol_Thematic!F$1,FALSE)</f>
        <v/>
      </c>
      <c r="G89" s="261">
        <f>VLOOKUP($A89, Sheet4!$A$2:$L$688, Consol_Thematic!G$1,FALSE)</f>
        <v/>
      </c>
      <c r="H89" s="261">
        <f>VLOOKUP($A89, Sheet4!$A$2:$L$688, Consol_Thematic!H$1,FALSE)</f>
        <v/>
      </c>
      <c r="I89" s="261">
        <f>VLOOKUP($A89, Sheet4!$A$2:$L$688, Consol_Thematic!I$1,FALSE)</f>
        <v/>
      </c>
      <c r="J89" s="261">
        <f>VLOOKUP($A89, Sheet4!$A$2:$L$688, Consol_Thematic!J$1,FALSE)</f>
        <v/>
      </c>
      <c r="K89" s="288">
        <f>(B89-MIN(B$3:B$23))/(MAX(B$3:B$23)-MIN(B$3:B$23))</f>
        <v/>
      </c>
      <c r="L89" s="288">
        <f>(MAX(H$3:H$23)-H89)/(MAX(H$3:H$23)-MIN(H$3:H$23))</f>
        <v/>
      </c>
      <c r="M89" s="288">
        <f>(C89-MIN(C$3:C$23))/(MAX(C$3:C$23)-MIN(C$3:C$23))</f>
        <v/>
      </c>
      <c r="N89" s="288">
        <f>(D89-MIN(D$3:D$23))/(MAX(D$3:D$23)-MIN(D$3:D$23))</f>
        <v/>
      </c>
      <c r="O89" s="288">
        <f>(MAX(J$3:J$23)-J89)/(MAX(J$3:J$23)-MIN(J$3:J$23))</f>
        <v/>
      </c>
      <c r="P89" s="288">
        <f>(E89-MIN(E$3:E$23))/(MAX(E$3:E$23)-MIN(E$3:E$23))</f>
        <v/>
      </c>
      <c r="Q89" s="288">
        <f>(F89-MIN(F$3:F$23))/(MAX(F$3:F$23)-MIN(F$3:F$23))</f>
        <v/>
      </c>
      <c r="R89" s="288">
        <f>(MAX(I$3:I$23)-I89)/(MAX(I$3:I$23)-MIN(I$3:I$23))</f>
        <v/>
      </c>
      <c r="S89" s="288">
        <f>(G89-MIN(G$3:G$23))/(MAX(G$3:G$23)-MIN(G$3:G$23))</f>
        <v/>
      </c>
      <c r="T89" s="288">
        <f>(K89*'Fund Ranking Criteria'!$J$9)+('Fund Ranking Criteria'!$J$10*Consol_Thematic!M89)+('Fund Ranking Criteria'!$J$12*Consol_Thematic!S89)+('Fund Ranking Criteria'!$J$14*Consol_Thematic!R89)+('Fund Ranking Criteria'!$J$15*Consol_Thematic!O89)+('Fund Ranking Criteria'!$J$16*Consol_Thematic!P89)+('Fund Ranking Criteria'!#REF!*Consol_Thematic!Q89)+('Fund Ranking Criteria'!#REF!*Consol_Thematic!L89)</f>
        <v/>
      </c>
      <c r="U89" s="288">
        <f>T89*1</f>
        <v/>
      </c>
      <c r="V89" s="261">
        <f>RANK(U89,$U$3:$U$157,0)</f>
        <v/>
      </c>
      <c r="W89" s="261">
        <f>A89</f>
        <v/>
      </c>
    </row>
    <row r="90">
      <c r="A90" s="261" t="inlineStr">
        <is>
          <t>LIC MF Dividend Yield Fund - Regular Plan</t>
        </is>
      </c>
      <c r="B90" s="261">
        <f>VLOOKUP($A90, Sheet4!$A$2:$L$688, Consol_Thematic!B$1,FALSE)</f>
        <v/>
      </c>
      <c r="C90" s="261">
        <f>VLOOKUP($A90, Sheet4!$A$2:$L$688, Consol_Thematic!C$1,FALSE)</f>
        <v/>
      </c>
      <c r="D90" s="261">
        <f>VLOOKUP($A90, Sheet4!$A$2:$L$688, Consol_Thematic!D$1,FALSE)</f>
        <v/>
      </c>
      <c r="E90" s="261">
        <f>VLOOKUP($A90, Sheet4!$A$2:$L$688, Consol_Thematic!E$1,FALSE)</f>
        <v/>
      </c>
      <c r="F90" s="261">
        <f>VLOOKUP($A90, Sheet4!$A$2:$L$688, Consol_Thematic!F$1,FALSE)</f>
        <v/>
      </c>
      <c r="G90" s="261">
        <f>VLOOKUP($A90, Sheet4!$A$2:$L$688, Consol_Thematic!G$1,FALSE)</f>
        <v/>
      </c>
      <c r="H90" s="261">
        <f>VLOOKUP($A90, Sheet4!$A$2:$L$688, Consol_Thematic!H$1,FALSE)</f>
        <v/>
      </c>
      <c r="I90" s="261">
        <f>VLOOKUP($A90, Sheet4!$A$2:$L$688, Consol_Thematic!I$1,FALSE)</f>
        <v/>
      </c>
      <c r="J90" s="261">
        <f>VLOOKUP($A90, Sheet4!$A$2:$L$688, Consol_Thematic!J$1,FALSE)</f>
        <v/>
      </c>
      <c r="K90" s="288">
        <f>(B90-MIN(B$3:B$23))/(MAX(B$3:B$23)-MIN(B$3:B$23))</f>
        <v/>
      </c>
      <c r="L90" s="288">
        <f>(MAX(H$3:H$23)-H90)/(MAX(H$3:H$23)-MIN(H$3:H$23))</f>
        <v/>
      </c>
      <c r="M90" s="288">
        <f>(C90-MIN(C$3:C$23))/(MAX(C$3:C$23)-MIN(C$3:C$23))</f>
        <v/>
      </c>
      <c r="N90" s="288">
        <f>(D90-MIN(D$3:D$23))/(MAX(D$3:D$23)-MIN(D$3:D$23))</f>
        <v/>
      </c>
      <c r="O90" s="288">
        <f>(MAX(J$3:J$23)-J90)/(MAX(J$3:J$23)-MIN(J$3:J$23))</f>
        <v/>
      </c>
      <c r="P90" s="288">
        <f>(E90-MIN(E$3:E$23))/(MAX(E$3:E$23)-MIN(E$3:E$23))</f>
        <v/>
      </c>
      <c r="Q90" s="288">
        <f>(F90-MIN(F$3:F$23))/(MAX(F$3:F$23)-MIN(F$3:F$23))</f>
        <v/>
      </c>
      <c r="R90" s="288">
        <f>(MAX(I$3:I$23)-I90)/(MAX(I$3:I$23)-MIN(I$3:I$23))</f>
        <v/>
      </c>
      <c r="S90" s="288">
        <f>(G90-MIN(G$3:G$23))/(MAX(G$3:G$23)-MIN(G$3:G$23))</f>
        <v/>
      </c>
      <c r="T90" s="288">
        <f>(K90*'Fund Ranking Criteria'!$J$9)+('Fund Ranking Criteria'!$J$10*Consol_Thematic!M90)+('Fund Ranking Criteria'!$J$12*Consol_Thematic!S90)+('Fund Ranking Criteria'!$J$14*Consol_Thematic!R90)+('Fund Ranking Criteria'!$J$15*Consol_Thematic!O90)+('Fund Ranking Criteria'!$J$16*Consol_Thematic!P90)+('Fund Ranking Criteria'!#REF!*Consol_Thematic!Q90)+('Fund Ranking Criteria'!#REF!*Consol_Thematic!L90)</f>
        <v/>
      </c>
      <c r="U90" s="288">
        <f>T90*1</f>
        <v/>
      </c>
      <c r="V90" s="261">
        <f>RANK(U90,$U$3:$U$157,0)</f>
        <v/>
      </c>
      <c r="W90" s="261">
        <f>A90</f>
        <v/>
      </c>
    </row>
    <row r="91">
      <c r="A91" s="261" t="inlineStr">
        <is>
          <t>LIC MF Manufacturing Fund - Regular Plan</t>
        </is>
      </c>
      <c r="B91" s="261">
        <f>VLOOKUP($A91, Sheet4!$A$2:$L$688, Consol_Thematic!B$1,FALSE)</f>
        <v/>
      </c>
      <c r="C91" s="261">
        <f>VLOOKUP($A91, Sheet4!$A$2:$L$688, Consol_Thematic!C$1,FALSE)</f>
        <v/>
      </c>
      <c r="D91" s="261">
        <f>VLOOKUP($A91, Sheet4!$A$2:$L$688, Consol_Thematic!D$1,FALSE)</f>
        <v/>
      </c>
      <c r="E91" s="261">
        <f>VLOOKUP($A91, Sheet4!$A$2:$L$688, Consol_Thematic!E$1,FALSE)</f>
        <v/>
      </c>
      <c r="F91" s="261">
        <f>VLOOKUP($A91, Sheet4!$A$2:$L$688, Consol_Thematic!F$1,FALSE)</f>
        <v/>
      </c>
      <c r="G91" s="261">
        <f>VLOOKUP($A91, Sheet4!$A$2:$L$688, Consol_Thematic!G$1,FALSE)</f>
        <v/>
      </c>
      <c r="H91" s="261">
        <f>VLOOKUP($A91, Sheet4!$A$2:$L$688, Consol_Thematic!H$1,FALSE)</f>
        <v/>
      </c>
      <c r="I91" s="261">
        <f>VLOOKUP($A91, Sheet4!$A$2:$L$688, Consol_Thematic!I$1,FALSE)</f>
        <v/>
      </c>
      <c r="J91" s="261">
        <f>VLOOKUP($A91, Sheet4!$A$2:$L$688, Consol_Thematic!J$1,FALSE)</f>
        <v/>
      </c>
      <c r="K91" s="288">
        <f>(B91-MIN(B$3:B$23))/(MAX(B$3:B$23)-MIN(B$3:B$23))</f>
        <v/>
      </c>
      <c r="L91" s="288">
        <f>(MAX(H$3:H$23)-H91)/(MAX(H$3:H$23)-MIN(H$3:H$23))</f>
        <v/>
      </c>
      <c r="M91" s="288">
        <f>(C91-MIN(C$3:C$23))/(MAX(C$3:C$23)-MIN(C$3:C$23))</f>
        <v/>
      </c>
      <c r="N91" s="288">
        <f>(D91-MIN(D$3:D$23))/(MAX(D$3:D$23)-MIN(D$3:D$23))</f>
        <v/>
      </c>
      <c r="O91" s="288">
        <f>(MAX(J$3:J$23)-J91)/(MAX(J$3:J$23)-MIN(J$3:J$23))</f>
        <v/>
      </c>
      <c r="P91" s="288">
        <f>(E91-MIN(E$3:E$23))/(MAX(E$3:E$23)-MIN(E$3:E$23))</f>
        <v/>
      </c>
      <c r="Q91" s="288">
        <f>(F91-MIN(F$3:F$23))/(MAX(F$3:F$23)-MIN(F$3:F$23))</f>
        <v/>
      </c>
      <c r="R91" s="288">
        <f>(MAX(I$3:I$23)-I91)/(MAX(I$3:I$23)-MIN(I$3:I$23))</f>
        <v/>
      </c>
      <c r="S91" s="288">
        <f>(G91-MIN(G$3:G$23))/(MAX(G$3:G$23)-MIN(G$3:G$23))</f>
        <v/>
      </c>
      <c r="T91" s="288">
        <f>(K91*'Fund Ranking Criteria'!$J$9)+('Fund Ranking Criteria'!$J$10*Consol_Thematic!M91)+('Fund Ranking Criteria'!$J$12*Consol_Thematic!S91)+('Fund Ranking Criteria'!$J$14*Consol_Thematic!R91)+('Fund Ranking Criteria'!$J$15*Consol_Thematic!O91)+('Fund Ranking Criteria'!$J$16*Consol_Thematic!P91)+('Fund Ranking Criteria'!#REF!*Consol_Thematic!Q91)+('Fund Ranking Criteria'!#REF!*Consol_Thematic!L91)</f>
        <v/>
      </c>
      <c r="U91" s="288">
        <f>T91*1</f>
        <v/>
      </c>
      <c r="V91" s="261">
        <f>RANK(U91,$U$3:$U$157,0)</f>
        <v/>
      </c>
      <c r="W91" s="261">
        <f>A91</f>
        <v/>
      </c>
    </row>
    <row r="92">
      <c r="A92" s="261" t="inlineStr">
        <is>
          <t>Mahindra Manulife Business Cycle Fund - Regular Plan</t>
        </is>
      </c>
      <c r="B92" s="261">
        <f>VLOOKUP($A92, Sheet4!$A$2:$L$688, Consol_Thematic!B$1,FALSE)</f>
        <v/>
      </c>
      <c r="C92" s="261">
        <f>VLOOKUP($A92, Sheet4!$A$2:$L$688, Consol_Thematic!C$1,FALSE)</f>
        <v/>
      </c>
      <c r="D92" s="261">
        <f>VLOOKUP($A92, Sheet4!$A$2:$L$688, Consol_Thematic!D$1,FALSE)</f>
        <v/>
      </c>
      <c r="E92" s="261">
        <f>VLOOKUP($A92, Sheet4!$A$2:$L$688, Consol_Thematic!E$1,FALSE)</f>
        <v/>
      </c>
      <c r="F92" s="261">
        <f>VLOOKUP($A92, Sheet4!$A$2:$L$688, Consol_Thematic!F$1,FALSE)</f>
        <v/>
      </c>
      <c r="G92" s="261">
        <f>VLOOKUP($A92, Sheet4!$A$2:$L$688, Consol_Thematic!G$1,FALSE)</f>
        <v/>
      </c>
      <c r="H92" s="261">
        <f>VLOOKUP($A92, Sheet4!$A$2:$L$688, Consol_Thematic!H$1,FALSE)</f>
        <v/>
      </c>
      <c r="I92" s="261">
        <f>VLOOKUP($A92, Sheet4!$A$2:$L$688, Consol_Thematic!I$1,FALSE)</f>
        <v/>
      </c>
      <c r="J92" s="261">
        <f>VLOOKUP($A92, Sheet4!$A$2:$L$688, Consol_Thematic!J$1,FALSE)</f>
        <v/>
      </c>
      <c r="K92" s="288">
        <f>(B92-MIN(B$3:B$23))/(MAX(B$3:B$23)-MIN(B$3:B$23))</f>
        <v/>
      </c>
      <c r="L92" s="288">
        <f>(MAX(H$3:H$23)-H92)/(MAX(H$3:H$23)-MIN(H$3:H$23))</f>
        <v/>
      </c>
      <c r="M92" s="288">
        <f>(C92-MIN(C$3:C$23))/(MAX(C$3:C$23)-MIN(C$3:C$23))</f>
        <v/>
      </c>
      <c r="N92" s="288">
        <f>(D92-MIN(D$3:D$23))/(MAX(D$3:D$23)-MIN(D$3:D$23))</f>
        <v/>
      </c>
      <c r="O92" s="288">
        <f>(MAX(J$3:J$23)-J92)/(MAX(J$3:J$23)-MIN(J$3:J$23))</f>
        <v/>
      </c>
      <c r="P92" s="288">
        <f>(E92-MIN(E$3:E$23))/(MAX(E$3:E$23)-MIN(E$3:E$23))</f>
        <v/>
      </c>
      <c r="Q92" s="288">
        <f>(F92-MIN(F$3:F$23))/(MAX(F$3:F$23)-MIN(F$3:F$23))</f>
        <v/>
      </c>
      <c r="R92" s="288">
        <f>(MAX(I$3:I$23)-I92)/(MAX(I$3:I$23)-MIN(I$3:I$23))</f>
        <v/>
      </c>
      <c r="S92" s="288">
        <f>(G92-MIN(G$3:G$23))/(MAX(G$3:G$23)-MIN(G$3:G$23))</f>
        <v/>
      </c>
      <c r="T92" s="288">
        <f>(K92*'Fund Ranking Criteria'!$J$9)+('Fund Ranking Criteria'!$J$10*Consol_Thematic!M92)+('Fund Ranking Criteria'!$J$12*Consol_Thematic!S92)+('Fund Ranking Criteria'!$J$14*Consol_Thematic!R92)+('Fund Ranking Criteria'!$J$15*Consol_Thematic!O92)+('Fund Ranking Criteria'!$J$16*Consol_Thematic!P92)+('Fund Ranking Criteria'!#REF!*Consol_Thematic!Q92)+('Fund Ranking Criteria'!#REF!*Consol_Thematic!L92)</f>
        <v/>
      </c>
      <c r="U92" s="288">
        <f>T92*1</f>
        <v/>
      </c>
      <c r="V92" s="261">
        <f>RANK(U92,$U$3:$U$157,0)</f>
        <v/>
      </c>
      <c r="W92" s="261">
        <f>A92</f>
        <v/>
      </c>
    </row>
    <row r="93">
      <c r="A93" s="261" t="inlineStr">
        <is>
          <t>Mahindra Manulife Consumption Fund - Regular Plan</t>
        </is>
      </c>
      <c r="B93" s="261">
        <f>VLOOKUP($A93, Sheet4!$A$2:$L$688, Consol_Thematic!B$1,FALSE)</f>
        <v/>
      </c>
      <c r="C93" s="261">
        <f>VLOOKUP($A93, Sheet4!$A$2:$L$688, Consol_Thematic!C$1,FALSE)</f>
        <v/>
      </c>
      <c r="D93" s="261">
        <f>VLOOKUP($A93, Sheet4!$A$2:$L$688, Consol_Thematic!D$1,FALSE)</f>
        <v/>
      </c>
      <c r="E93" s="261">
        <f>VLOOKUP($A93, Sheet4!$A$2:$L$688, Consol_Thematic!E$1,FALSE)</f>
        <v/>
      </c>
      <c r="F93" s="261">
        <f>VLOOKUP($A93, Sheet4!$A$2:$L$688, Consol_Thematic!F$1,FALSE)</f>
        <v/>
      </c>
      <c r="G93" s="261">
        <f>VLOOKUP($A93, Sheet4!$A$2:$L$688, Consol_Thematic!G$1,FALSE)</f>
        <v/>
      </c>
      <c r="H93" s="261">
        <f>VLOOKUP($A93, Sheet4!$A$2:$L$688, Consol_Thematic!H$1,FALSE)</f>
        <v/>
      </c>
      <c r="I93" s="261">
        <f>VLOOKUP($A93, Sheet4!$A$2:$L$688, Consol_Thematic!I$1,FALSE)</f>
        <v/>
      </c>
      <c r="J93" s="261">
        <f>VLOOKUP($A93, Sheet4!$A$2:$L$688, Consol_Thematic!J$1,FALSE)</f>
        <v/>
      </c>
      <c r="K93" s="288">
        <f>(B93-MIN(B$3:B$23))/(MAX(B$3:B$23)-MIN(B$3:B$23))</f>
        <v/>
      </c>
      <c r="L93" s="288">
        <f>(MAX(H$3:H$23)-H93)/(MAX(H$3:H$23)-MIN(H$3:H$23))</f>
        <v/>
      </c>
      <c r="M93" s="288">
        <f>(C93-MIN(C$3:C$23))/(MAX(C$3:C$23)-MIN(C$3:C$23))</f>
        <v/>
      </c>
      <c r="N93" s="288">
        <f>(D93-MIN(D$3:D$23))/(MAX(D$3:D$23)-MIN(D$3:D$23))</f>
        <v/>
      </c>
      <c r="O93" s="288">
        <f>(MAX(J$3:J$23)-J93)/(MAX(J$3:J$23)-MIN(J$3:J$23))</f>
        <v/>
      </c>
      <c r="P93" s="288">
        <f>(E93-MIN(E$3:E$23))/(MAX(E$3:E$23)-MIN(E$3:E$23))</f>
        <v/>
      </c>
      <c r="Q93" s="288">
        <f>(F93-MIN(F$3:F$23))/(MAX(F$3:F$23)-MIN(F$3:F$23))</f>
        <v/>
      </c>
      <c r="R93" s="288">
        <f>(MAX(I$3:I$23)-I93)/(MAX(I$3:I$23)-MIN(I$3:I$23))</f>
        <v/>
      </c>
      <c r="S93" s="288">
        <f>(G93-MIN(G$3:G$23))/(MAX(G$3:G$23)-MIN(G$3:G$23))</f>
        <v/>
      </c>
      <c r="T93" s="288">
        <f>(K93*'Fund Ranking Criteria'!$J$9)+('Fund Ranking Criteria'!$J$10*Consol_Thematic!M93)+('Fund Ranking Criteria'!$J$12*Consol_Thematic!S93)+('Fund Ranking Criteria'!$J$14*Consol_Thematic!R93)+('Fund Ranking Criteria'!$J$15*Consol_Thematic!O93)+('Fund Ranking Criteria'!$J$16*Consol_Thematic!P93)+('Fund Ranking Criteria'!#REF!*Consol_Thematic!Q93)+('Fund Ranking Criteria'!#REF!*Consol_Thematic!L93)</f>
        <v/>
      </c>
      <c r="U93" s="288">
        <f>T93*1</f>
        <v/>
      </c>
      <c r="V93" s="261">
        <f>RANK(U93,$U$3:$U$157,0)</f>
        <v/>
      </c>
      <c r="W93" s="261">
        <f>A93</f>
        <v/>
      </c>
    </row>
    <row r="94">
      <c r="A94" s="261" t="inlineStr">
        <is>
          <t>Mahindra Manulife Manufacturing Fund - Regular Plan</t>
        </is>
      </c>
      <c r="B94" s="261">
        <f>VLOOKUP($A94, Sheet4!$A$2:$L$688, Consol_Thematic!B$1,FALSE)</f>
        <v/>
      </c>
      <c r="C94" s="261">
        <f>VLOOKUP($A94, Sheet4!$A$2:$L$688, Consol_Thematic!C$1,FALSE)</f>
        <v/>
      </c>
      <c r="D94" s="261">
        <f>VLOOKUP($A94, Sheet4!$A$2:$L$688, Consol_Thematic!D$1,FALSE)</f>
        <v/>
      </c>
      <c r="E94" s="261">
        <f>VLOOKUP($A94, Sheet4!$A$2:$L$688, Consol_Thematic!E$1,FALSE)</f>
        <v/>
      </c>
      <c r="F94" s="261">
        <f>VLOOKUP($A94, Sheet4!$A$2:$L$688, Consol_Thematic!F$1,FALSE)</f>
        <v/>
      </c>
      <c r="G94" s="261">
        <f>VLOOKUP($A94, Sheet4!$A$2:$L$688, Consol_Thematic!G$1,FALSE)</f>
        <v/>
      </c>
      <c r="H94" s="261">
        <f>VLOOKUP($A94, Sheet4!$A$2:$L$688, Consol_Thematic!H$1,FALSE)</f>
        <v/>
      </c>
      <c r="I94" s="261">
        <f>VLOOKUP($A94, Sheet4!$A$2:$L$688, Consol_Thematic!I$1,FALSE)</f>
        <v/>
      </c>
      <c r="J94" s="261">
        <f>VLOOKUP($A94, Sheet4!$A$2:$L$688, Consol_Thematic!J$1,FALSE)</f>
        <v/>
      </c>
      <c r="K94" s="288">
        <f>(B94-MIN(B$3:B$23))/(MAX(B$3:B$23)-MIN(B$3:B$23))</f>
        <v/>
      </c>
      <c r="L94" s="288">
        <f>(MAX(H$3:H$23)-H94)/(MAX(H$3:H$23)-MIN(H$3:H$23))</f>
        <v/>
      </c>
      <c r="M94" s="288">
        <f>(C94-MIN(C$3:C$23))/(MAX(C$3:C$23)-MIN(C$3:C$23))</f>
        <v/>
      </c>
      <c r="N94" s="288">
        <f>(D94-MIN(D$3:D$23))/(MAX(D$3:D$23)-MIN(D$3:D$23))</f>
        <v/>
      </c>
      <c r="O94" s="288">
        <f>(MAX(J$3:J$23)-J94)/(MAX(J$3:J$23)-MIN(J$3:J$23))</f>
        <v/>
      </c>
      <c r="P94" s="288">
        <f>(E94-MIN(E$3:E$23))/(MAX(E$3:E$23)-MIN(E$3:E$23))</f>
        <v/>
      </c>
      <c r="Q94" s="288">
        <f>(F94-MIN(F$3:F$23))/(MAX(F$3:F$23)-MIN(F$3:F$23))</f>
        <v/>
      </c>
      <c r="R94" s="288">
        <f>(MAX(I$3:I$23)-I94)/(MAX(I$3:I$23)-MIN(I$3:I$23))</f>
        <v/>
      </c>
      <c r="S94" s="288">
        <f>(G94-MIN(G$3:G$23))/(MAX(G$3:G$23)-MIN(G$3:G$23))</f>
        <v/>
      </c>
      <c r="T94" s="288">
        <f>(K94*'Fund Ranking Criteria'!$J$9)+('Fund Ranking Criteria'!$J$10*Consol_Thematic!M94)+('Fund Ranking Criteria'!$J$12*Consol_Thematic!S94)+('Fund Ranking Criteria'!$J$14*Consol_Thematic!R94)+('Fund Ranking Criteria'!$J$15*Consol_Thematic!O94)+('Fund Ranking Criteria'!$J$16*Consol_Thematic!P94)+('Fund Ranking Criteria'!#REF!*Consol_Thematic!Q94)+('Fund Ranking Criteria'!#REF!*Consol_Thematic!L94)</f>
        <v/>
      </c>
      <c r="U94" s="288">
        <f>T94*1</f>
        <v/>
      </c>
      <c r="V94" s="261">
        <f>RANK(U94,$U$3:$U$157,0)</f>
        <v/>
      </c>
      <c r="W94" s="261">
        <f>A94</f>
        <v/>
      </c>
    </row>
    <row r="95">
      <c r="A95" s="261" t="inlineStr">
        <is>
          <t>Mirae Asset Great Consumer Fund - Regular Plan</t>
        </is>
      </c>
      <c r="B95" s="261">
        <f>VLOOKUP($A95, Sheet4!$A$2:$L$688, Consol_Thematic!B$1,FALSE)</f>
        <v/>
      </c>
      <c r="C95" s="261">
        <f>VLOOKUP($A95, Sheet4!$A$2:$L$688, Consol_Thematic!C$1,FALSE)</f>
        <v/>
      </c>
      <c r="D95" s="261">
        <f>VLOOKUP($A95, Sheet4!$A$2:$L$688, Consol_Thematic!D$1,FALSE)</f>
        <v/>
      </c>
      <c r="E95" s="261">
        <f>VLOOKUP($A95, Sheet4!$A$2:$L$688, Consol_Thematic!E$1,FALSE)</f>
        <v/>
      </c>
      <c r="F95" s="261">
        <f>VLOOKUP($A95, Sheet4!$A$2:$L$688, Consol_Thematic!F$1,FALSE)</f>
        <v/>
      </c>
      <c r="G95" s="261">
        <f>VLOOKUP($A95, Sheet4!$A$2:$L$688, Consol_Thematic!G$1,FALSE)</f>
        <v/>
      </c>
      <c r="H95" s="261">
        <f>VLOOKUP($A95, Sheet4!$A$2:$L$688, Consol_Thematic!H$1,FALSE)</f>
        <v/>
      </c>
      <c r="I95" s="261">
        <f>VLOOKUP($A95, Sheet4!$A$2:$L$688, Consol_Thematic!I$1,FALSE)</f>
        <v/>
      </c>
      <c r="J95" s="261">
        <f>VLOOKUP($A95, Sheet4!$A$2:$L$688, Consol_Thematic!J$1,FALSE)</f>
        <v/>
      </c>
      <c r="K95" s="288">
        <f>(B95-MIN(B$3:B$23))/(MAX(B$3:B$23)-MIN(B$3:B$23))</f>
        <v/>
      </c>
      <c r="L95" s="288">
        <f>(MAX(H$3:H$23)-H95)/(MAX(H$3:H$23)-MIN(H$3:H$23))</f>
        <v/>
      </c>
      <c r="M95" s="288">
        <f>(C95-MIN(C$3:C$23))/(MAX(C$3:C$23)-MIN(C$3:C$23))</f>
        <v/>
      </c>
      <c r="N95" s="288">
        <f>(D95-MIN(D$3:D$23))/(MAX(D$3:D$23)-MIN(D$3:D$23))</f>
        <v/>
      </c>
      <c r="O95" s="288">
        <f>(MAX(J$3:J$23)-J95)/(MAX(J$3:J$23)-MIN(J$3:J$23))</f>
        <v/>
      </c>
      <c r="P95" s="288">
        <f>(E95-MIN(E$3:E$23))/(MAX(E$3:E$23)-MIN(E$3:E$23))</f>
        <v/>
      </c>
      <c r="Q95" s="288">
        <f>(F95-MIN(F$3:F$23))/(MAX(F$3:F$23)-MIN(F$3:F$23))</f>
        <v/>
      </c>
      <c r="R95" s="288">
        <f>(MAX(I$3:I$23)-I95)/(MAX(I$3:I$23)-MIN(I$3:I$23))</f>
        <v/>
      </c>
      <c r="S95" s="288">
        <f>(G95-MIN(G$3:G$23))/(MAX(G$3:G$23)-MIN(G$3:G$23))</f>
        <v/>
      </c>
      <c r="T95" s="288">
        <f>(K95*'Fund Ranking Criteria'!$J$9)+('Fund Ranking Criteria'!$J$10*Consol_Thematic!M95)+('Fund Ranking Criteria'!$J$12*Consol_Thematic!S95)+('Fund Ranking Criteria'!$J$14*Consol_Thematic!R95)+('Fund Ranking Criteria'!$J$15*Consol_Thematic!O95)+('Fund Ranking Criteria'!$J$16*Consol_Thematic!P95)+('Fund Ranking Criteria'!#REF!*Consol_Thematic!Q95)+('Fund Ranking Criteria'!#REF!*Consol_Thematic!L95)</f>
        <v/>
      </c>
      <c r="U95" s="288">
        <f>T95*1</f>
        <v/>
      </c>
      <c r="V95" s="261">
        <f>RANK(U95,$U$3:$U$157,0)</f>
        <v/>
      </c>
      <c r="W95" s="261">
        <f>A95</f>
        <v/>
      </c>
    </row>
    <row r="96">
      <c r="A96" s="261" t="inlineStr">
        <is>
          <t>Mirae Asset Nifty 100 ESG Sector Leaders FoF - Regular Plan</t>
        </is>
      </c>
      <c r="B96" s="261">
        <f>VLOOKUP($A96, Sheet4!$A$2:$L$688, Consol_Thematic!B$1,FALSE)</f>
        <v/>
      </c>
      <c r="C96" s="261">
        <f>VLOOKUP($A96, Sheet4!$A$2:$L$688, Consol_Thematic!C$1,FALSE)</f>
        <v/>
      </c>
      <c r="D96" s="261">
        <f>VLOOKUP($A96, Sheet4!$A$2:$L$688, Consol_Thematic!D$1,FALSE)</f>
        <v/>
      </c>
      <c r="E96" s="261">
        <f>VLOOKUP($A96, Sheet4!$A$2:$L$688, Consol_Thematic!E$1,FALSE)</f>
        <v/>
      </c>
      <c r="F96" s="261">
        <f>VLOOKUP($A96, Sheet4!$A$2:$L$688, Consol_Thematic!F$1,FALSE)</f>
        <v/>
      </c>
      <c r="G96" s="261">
        <f>VLOOKUP($A96, Sheet4!$A$2:$L$688, Consol_Thematic!G$1,FALSE)</f>
        <v/>
      </c>
      <c r="H96" s="261">
        <f>VLOOKUP($A96, Sheet4!$A$2:$L$688, Consol_Thematic!H$1,FALSE)</f>
        <v/>
      </c>
      <c r="I96" s="261">
        <f>VLOOKUP($A96, Sheet4!$A$2:$L$688, Consol_Thematic!I$1,FALSE)</f>
        <v/>
      </c>
      <c r="J96" s="261">
        <f>VLOOKUP($A96, Sheet4!$A$2:$L$688, Consol_Thematic!J$1,FALSE)</f>
        <v/>
      </c>
      <c r="K96" s="288">
        <f>(B96-MIN(B$3:B$23))/(MAX(B$3:B$23)-MIN(B$3:B$23))</f>
        <v/>
      </c>
      <c r="L96" s="288">
        <f>(MAX(H$3:H$23)-H96)/(MAX(H$3:H$23)-MIN(H$3:H$23))</f>
        <v/>
      </c>
      <c r="M96" s="288">
        <f>(C96-MIN(C$3:C$23))/(MAX(C$3:C$23)-MIN(C$3:C$23))</f>
        <v/>
      </c>
      <c r="N96" s="288">
        <f>(D96-MIN(D$3:D$23))/(MAX(D$3:D$23)-MIN(D$3:D$23))</f>
        <v/>
      </c>
      <c r="O96" s="288">
        <f>(MAX(J$3:J$23)-J96)/(MAX(J$3:J$23)-MIN(J$3:J$23))</f>
        <v/>
      </c>
      <c r="P96" s="288">
        <f>(E96-MIN(E$3:E$23))/(MAX(E$3:E$23)-MIN(E$3:E$23))</f>
        <v/>
      </c>
      <c r="Q96" s="288">
        <f>(F96-MIN(F$3:F$23))/(MAX(F$3:F$23)-MIN(F$3:F$23))</f>
        <v/>
      </c>
      <c r="R96" s="288">
        <f>(MAX(I$3:I$23)-I96)/(MAX(I$3:I$23)-MIN(I$3:I$23))</f>
        <v/>
      </c>
      <c r="S96" s="288">
        <f>(G96-MIN(G$3:G$23))/(MAX(G$3:G$23)-MIN(G$3:G$23))</f>
        <v/>
      </c>
      <c r="T96" s="288">
        <f>(K96*'Fund Ranking Criteria'!$J$9)+('Fund Ranking Criteria'!$J$10*Consol_Thematic!M96)+('Fund Ranking Criteria'!$J$12*Consol_Thematic!S96)+('Fund Ranking Criteria'!$J$14*Consol_Thematic!R96)+('Fund Ranking Criteria'!$J$15*Consol_Thematic!O96)+('Fund Ranking Criteria'!$J$16*Consol_Thematic!P96)+('Fund Ranking Criteria'!#REF!*Consol_Thematic!Q96)+('Fund Ranking Criteria'!#REF!*Consol_Thematic!L96)</f>
        <v/>
      </c>
      <c r="U96" s="288">
        <f>T96*1</f>
        <v/>
      </c>
      <c r="V96" s="261">
        <f>RANK(U96,$U$3:$U$157,0)</f>
        <v/>
      </c>
      <c r="W96" s="261">
        <f>A96</f>
        <v/>
      </c>
    </row>
    <row r="97">
      <c r="A97" s="261" t="inlineStr">
        <is>
          <t>Motilal Oswal Active Momentum Fund - Regular Plan</t>
        </is>
      </c>
      <c r="B97" s="261">
        <f>VLOOKUP($A97, Sheet4!$A$2:$L$688, Consol_Thematic!B$1,FALSE)</f>
        <v/>
      </c>
      <c r="C97" s="261">
        <f>VLOOKUP($A97, Sheet4!$A$2:$L$688, Consol_Thematic!C$1,FALSE)</f>
        <v/>
      </c>
      <c r="D97" s="261">
        <f>VLOOKUP($A97, Sheet4!$A$2:$L$688, Consol_Thematic!D$1,FALSE)</f>
        <v/>
      </c>
      <c r="E97" s="261">
        <f>VLOOKUP($A97, Sheet4!$A$2:$L$688, Consol_Thematic!E$1,FALSE)</f>
        <v/>
      </c>
      <c r="F97" s="261">
        <f>VLOOKUP($A97, Sheet4!$A$2:$L$688, Consol_Thematic!F$1,FALSE)</f>
        <v/>
      </c>
      <c r="G97" s="261">
        <f>VLOOKUP($A97, Sheet4!$A$2:$L$688, Consol_Thematic!G$1,FALSE)</f>
        <v/>
      </c>
      <c r="H97" s="261">
        <f>VLOOKUP($A97, Sheet4!$A$2:$L$688, Consol_Thematic!H$1,FALSE)</f>
        <v/>
      </c>
      <c r="I97" s="261">
        <f>VLOOKUP($A97, Sheet4!$A$2:$L$688, Consol_Thematic!I$1,FALSE)</f>
        <v/>
      </c>
      <c r="J97" s="261">
        <f>VLOOKUP($A97, Sheet4!$A$2:$L$688, Consol_Thematic!J$1,FALSE)</f>
        <v/>
      </c>
      <c r="K97" s="261">
        <f>(B97-MIN(B$3:B$23))/(MAX(B$3:B$23)-MIN(B$3:B$23))</f>
        <v/>
      </c>
      <c r="L97" s="261">
        <f>(MAX(H$3:H$23)-H97)/(MAX(H$3:H$23)-MIN(H$3:H$23))</f>
        <v/>
      </c>
      <c r="M97" s="261">
        <f>(C97-MIN(C$3:C$23))/(MAX(C$3:C$23)-MIN(C$3:C$23))</f>
        <v/>
      </c>
      <c r="N97" s="261">
        <f>(D97-MIN(D$3:D$23))/(MAX(D$3:D$23)-MIN(D$3:D$23))</f>
        <v/>
      </c>
      <c r="O97" s="261">
        <f>(MAX(J$3:J$23)-J97)/(MAX(J$3:J$23)-MIN(J$3:J$23))</f>
        <v/>
      </c>
      <c r="P97" s="261">
        <f>(E97-MIN(E$3:E$23))/(MAX(E$3:E$23)-MIN(E$3:E$23))</f>
        <v/>
      </c>
      <c r="Q97" s="261">
        <f>(F97-MIN(F$3:F$23))/(MAX(F$3:F$23)-MIN(F$3:F$23))</f>
        <v/>
      </c>
      <c r="R97" s="261">
        <f>(MAX(I$3:I$23)-I97)/(MAX(I$3:I$23)-MIN(I$3:I$23))</f>
        <v/>
      </c>
      <c r="S97" s="261">
        <f>(G97-MIN(G$3:G$23))/(MAX(G$3:G$23)-MIN(G$3:G$23))</f>
        <v/>
      </c>
      <c r="T97" s="261">
        <f>(K97*'Fund Ranking Criteria'!$J$9)+('Fund Ranking Criteria'!$J$10*Consol_Thematic!M97)+('Fund Ranking Criteria'!$J$12*Consol_Thematic!S97)+('Fund Ranking Criteria'!$J$14*Consol_Thematic!R97)+('Fund Ranking Criteria'!$J$15*Consol_Thematic!O97)+('Fund Ranking Criteria'!$J$16*Consol_Thematic!P97)+('Fund Ranking Criteria'!#REF!*Consol_Thematic!Q97)+('Fund Ranking Criteria'!#REF!*Consol_Thematic!L97)</f>
        <v/>
      </c>
      <c r="U97" s="261">
        <f>T97*1</f>
        <v/>
      </c>
      <c r="V97" s="261">
        <f>RANK(U97,$U$3:$U$157,0)</f>
        <v/>
      </c>
      <c r="W97" s="261">
        <f>A97</f>
        <v/>
      </c>
    </row>
    <row r="98">
      <c r="A98" s="261" t="inlineStr">
        <is>
          <t>Motilal Oswal Business Cycle Fund - Regular Plan</t>
        </is>
      </c>
      <c r="B98" s="261">
        <f>VLOOKUP($A98, Sheet4!$A$2:$L$688, Consol_Thematic!B$1,FALSE)</f>
        <v/>
      </c>
      <c r="C98" s="261">
        <f>VLOOKUP($A98, Sheet4!$A$2:$L$688, Consol_Thematic!C$1,FALSE)</f>
        <v/>
      </c>
      <c r="D98" s="261">
        <f>VLOOKUP($A98, Sheet4!$A$2:$L$688, Consol_Thematic!D$1,FALSE)</f>
        <v/>
      </c>
      <c r="E98" s="261">
        <f>VLOOKUP($A98, Sheet4!$A$2:$L$688, Consol_Thematic!E$1,FALSE)</f>
        <v/>
      </c>
      <c r="F98" s="261">
        <f>VLOOKUP($A98, Sheet4!$A$2:$L$688, Consol_Thematic!F$1,FALSE)</f>
        <v/>
      </c>
      <c r="G98" s="261">
        <f>VLOOKUP($A98, Sheet4!$A$2:$L$688, Consol_Thematic!G$1,FALSE)</f>
        <v/>
      </c>
      <c r="H98" s="261">
        <f>VLOOKUP($A98, Sheet4!$A$2:$L$688, Consol_Thematic!H$1,FALSE)</f>
        <v/>
      </c>
      <c r="I98" s="261">
        <f>VLOOKUP($A98, Sheet4!$A$2:$L$688, Consol_Thematic!I$1,FALSE)</f>
        <v/>
      </c>
      <c r="J98" s="261">
        <f>VLOOKUP($A98, Sheet4!$A$2:$L$688, Consol_Thematic!J$1,FALSE)</f>
        <v/>
      </c>
      <c r="K98" s="261">
        <f>(B98-MIN(B$3:B$23))/(MAX(B$3:B$23)-MIN(B$3:B$23))</f>
        <v/>
      </c>
      <c r="L98" s="261">
        <f>(MAX(H$3:H$23)-H98)/(MAX(H$3:H$23)-MIN(H$3:H$23))</f>
        <v/>
      </c>
      <c r="M98" s="261">
        <f>(C98-MIN(C$3:C$23))/(MAX(C$3:C$23)-MIN(C$3:C$23))</f>
        <v/>
      </c>
      <c r="N98" s="261">
        <f>(D98-MIN(D$3:D$23))/(MAX(D$3:D$23)-MIN(D$3:D$23))</f>
        <v/>
      </c>
      <c r="O98" s="261">
        <f>(MAX(J$3:J$23)-J98)/(MAX(J$3:J$23)-MIN(J$3:J$23))</f>
        <v/>
      </c>
      <c r="P98" s="261">
        <f>(E98-MIN(E$3:E$23))/(MAX(E$3:E$23)-MIN(E$3:E$23))</f>
        <v/>
      </c>
      <c r="Q98" s="261">
        <f>(F98-MIN(F$3:F$23))/(MAX(F$3:F$23)-MIN(F$3:F$23))</f>
        <v/>
      </c>
      <c r="R98" s="261">
        <f>(MAX(I$3:I$23)-I98)/(MAX(I$3:I$23)-MIN(I$3:I$23))</f>
        <v/>
      </c>
      <c r="S98" s="261">
        <f>(G98-MIN(G$3:G$23))/(MAX(G$3:G$23)-MIN(G$3:G$23))</f>
        <v/>
      </c>
      <c r="T98" s="261">
        <f>(K98*'Fund Ranking Criteria'!$J$9)+('Fund Ranking Criteria'!$J$10*Consol_Thematic!M98)+('Fund Ranking Criteria'!$J$12*Consol_Thematic!S98)+('Fund Ranking Criteria'!$J$14*Consol_Thematic!R98)+('Fund Ranking Criteria'!$J$15*Consol_Thematic!O98)+('Fund Ranking Criteria'!$J$16*Consol_Thematic!P98)+('Fund Ranking Criteria'!#REF!*Consol_Thematic!Q98)+('Fund Ranking Criteria'!#REF!*Consol_Thematic!L98)</f>
        <v/>
      </c>
      <c r="U98" s="261">
        <f>T98*1</f>
        <v/>
      </c>
      <c r="V98" s="261">
        <f>RANK(U98,$U$3:$U$157,0)</f>
        <v/>
      </c>
      <c r="W98" s="261">
        <f>A98</f>
        <v/>
      </c>
    </row>
    <row r="99">
      <c r="A99" s="261" t="inlineStr">
        <is>
          <t>Motilal Oswal Innovation Opportunities Fund - Regular Plan</t>
        </is>
      </c>
      <c r="B99" s="261">
        <f>VLOOKUP($A99, Sheet4!$A$2:$L$688, Consol_Thematic!B$1,FALSE)</f>
        <v/>
      </c>
      <c r="C99" s="261">
        <f>VLOOKUP($A99, Sheet4!$A$2:$L$688, Consol_Thematic!C$1,FALSE)</f>
        <v/>
      </c>
      <c r="D99" s="261">
        <f>VLOOKUP($A99, Sheet4!$A$2:$L$688, Consol_Thematic!D$1,FALSE)</f>
        <v/>
      </c>
      <c r="E99" s="261">
        <f>VLOOKUP($A99, Sheet4!$A$2:$L$688, Consol_Thematic!E$1,FALSE)</f>
        <v/>
      </c>
      <c r="F99" s="261">
        <f>VLOOKUP($A99, Sheet4!$A$2:$L$688, Consol_Thematic!F$1,FALSE)</f>
        <v/>
      </c>
      <c r="G99" s="261">
        <f>VLOOKUP($A99, Sheet4!$A$2:$L$688, Consol_Thematic!G$1,FALSE)</f>
        <v/>
      </c>
      <c r="H99" s="261">
        <f>VLOOKUP($A99, Sheet4!$A$2:$L$688, Consol_Thematic!H$1,FALSE)</f>
        <v/>
      </c>
      <c r="I99" s="261">
        <f>VLOOKUP($A99, Sheet4!$A$2:$L$688, Consol_Thematic!I$1,FALSE)</f>
        <v/>
      </c>
      <c r="J99" s="261">
        <f>VLOOKUP($A99, Sheet4!$A$2:$L$688, Consol_Thematic!J$1,FALSE)</f>
        <v/>
      </c>
      <c r="K99" s="261">
        <f>(B99-MIN(B$3:B$23))/(MAX(B$3:B$23)-MIN(B$3:B$23))</f>
        <v/>
      </c>
      <c r="L99" s="261">
        <f>(MAX(H$3:H$23)-H99)/(MAX(H$3:H$23)-MIN(H$3:H$23))</f>
        <v/>
      </c>
      <c r="M99" s="261">
        <f>(C99-MIN(C$3:C$23))/(MAX(C$3:C$23)-MIN(C$3:C$23))</f>
        <v/>
      </c>
      <c r="N99" s="261">
        <f>(D99-MIN(D$3:D$23))/(MAX(D$3:D$23)-MIN(D$3:D$23))</f>
        <v/>
      </c>
      <c r="O99" s="261">
        <f>(MAX(J$3:J$23)-J99)/(MAX(J$3:J$23)-MIN(J$3:J$23))</f>
        <v/>
      </c>
      <c r="P99" s="261">
        <f>(E99-MIN(E$3:E$23))/(MAX(E$3:E$23)-MIN(E$3:E$23))</f>
        <v/>
      </c>
      <c r="Q99" s="261">
        <f>(F99-MIN(F$3:F$23))/(MAX(F$3:F$23)-MIN(F$3:F$23))</f>
        <v/>
      </c>
      <c r="R99" s="261">
        <f>(MAX(I$3:I$23)-I99)/(MAX(I$3:I$23)-MIN(I$3:I$23))</f>
        <v/>
      </c>
      <c r="S99" s="261">
        <f>(G99-MIN(G$3:G$23))/(MAX(G$3:G$23)-MIN(G$3:G$23))</f>
        <v/>
      </c>
      <c r="T99" s="261">
        <f>(K99*'Fund Ranking Criteria'!$J$9)+('Fund Ranking Criteria'!$J$10*Consol_Thematic!M99)+('Fund Ranking Criteria'!$J$12*Consol_Thematic!S99)+('Fund Ranking Criteria'!$J$14*Consol_Thematic!R99)+('Fund Ranking Criteria'!$J$15*Consol_Thematic!O99)+('Fund Ranking Criteria'!$J$16*Consol_Thematic!P99)+('Fund Ranking Criteria'!#REF!*Consol_Thematic!Q99)+('Fund Ranking Criteria'!#REF!*Consol_Thematic!L99)</f>
        <v/>
      </c>
      <c r="U99" s="261">
        <f>T99*1</f>
        <v/>
      </c>
      <c r="V99" s="261">
        <f>RANK(U99,$U$3:$U$157,0)</f>
        <v/>
      </c>
      <c r="W99" s="261">
        <f>A99</f>
        <v/>
      </c>
    </row>
    <row r="100">
      <c r="A100" s="261" t="inlineStr">
        <is>
          <t>Motilal Oswal Manufacturing Fund - Regular Plan</t>
        </is>
      </c>
      <c r="B100" s="261">
        <f>VLOOKUP($A100, Sheet4!$A$2:$L$688, Consol_Thematic!B$1,FALSE)</f>
        <v/>
      </c>
      <c r="C100" s="261">
        <f>VLOOKUP($A100, Sheet4!$A$2:$L$688, Consol_Thematic!C$1,FALSE)</f>
        <v/>
      </c>
      <c r="D100" s="261">
        <f>VLOOKUP($A100, Sheet4!$A$2:$L$688, Consol_Thematic!D$1,FALSE)</f>
        <v/>
      </c>
      <c r="E100" s="261">
        <f>VLOOKUP($A100, Sheet4!$A$2:$L$688, Consol_Thematic!E$1,FALSE)</f>
        <v/>
      </c>
      <c r="F100" s="261">
        <f>VLOOKUP($A100, Sheet4!$A$2:$L$688, Consol_Thematic!F$1,FALSE)</f>
        <v/>
      </c>
      <c r="G100" s="261">
        <f>VLOOKUP($A100, Sheet4!$A$2:$L$688, Consol_Thematic!G$1,FALSE)</f>
        <v/>
      </c>
      <c r="H100" s="261">
        <f>VLOOKUP($A100, Sheet4!$A$2:$L$688, Consol_Thematic!H$1,FALSE)</f>
        <v/>
      </c>
      <c r="I100" s="261">
        <f>VLOOKUP($A100, Sheet4!$A$2:$L$688, Consol_Thematic!I$1,FALSE)</f>
        <v/>
      </c>
      <c r="J100" s="261">
        <f>VLOOKUP($A100, Sheet4!$A$2:$L$688, Consol_Thematic!J$1,FALSE)</f>
        <v/>
      </c>
      <c r="K100" s="261">
        <f>(B100-MIN(B$3:B$23))/(MAX(B$3:B$23)-MIN(B$3:B$23))</f>
        <v/>
      </c>
      <c r="L100" s="261">
        <f>(MAX(H$3:H$23)-H100)/(MAX(H$3:H$23)-MIN(H$3:H$23))</f>
        <v/>
      </c>
      <c r="M100" s="261">
        <f>(C100-MIN(C$3:C$23))/(MAX(C$3:C$23)-MIN(C$3:C$23))</f>
        <v/>
      </c>
      <c r="N100" s="261">
        <f>(D100-MIN(D$3:D$23))/(MAX(D$3:D$23)-MIN(D$3:D$23))</f>
        <v/>
      </c>
      <c r="O100" s="261">
        <f>(MAX(J$3:J$23)-J100)/(MAX(J$3:J$23)-MIN(J$3:J$23))</f>
        <v/>
      </c>
      <c r="P100" s="261">
        <f>(E100-MIN(E$3:E$23))/(MAX(E$3:E$23)-MIN(E$3:E$23))</f>
        <v/>
      </c>
      <c r="Q100" s="261">
        <f>(F100-MIN(F$3:F$23))/(MAX(F$3:F$23)-MIN(F$3:F$23))</f>
        <v/>
      </c>
      <c r="R100" s="261">
        <f>(MAX(I$3:I$23)-I100)/(MAX(I$3:I$23)-MIN(I$3:I$23))</f>
        <v/>
      </c>
      <c r="S100" s="261">
        <f>(G100-MIN(G$3:G$23))/(MAX(G$3:G$23)-MIN(G$3:G$23))</f>
        <v/>
      </c>
      <c r="T100" s="261">
        <f>(K100*'Fund Ranking Criteria'!$J$9)+('Fund Ranking Criteria'!$J$10*Consol_Thematic!M100)+('Fund Ranking Criteria'!$J$12*Consol_Thematic!S100)+('Fund Ranking Criteria'!$J$14*Consol_Thematic!R100)+('Fund Ranking Criteria'!$J$15*Consol_Thematic!O100)+('Fund Ranking Criteria'!$J$16*Consol_Thematic!P100)+('Fund Ranking Criteria'!#REF!*Consol_Thematic!Q100)+('Fund Ranking Criteria'!#REF!*Consol_Thematic!L100)</f>
        <v/>
      </c>
      <c r="U100" s="261">
        <f>T100*1</f>
        <v/>
      </c>
      <c r="V100" s="261">
        <f>RANK(U100,$U$3:$U$157,0)</f>
        <v/>
      </c>
      <c r="W100" s="261">
        <f>A100</f>
        <v/>
      </c>
    </row>
    <row r="101">
      <c r="A101" s="261" t="inlineStr">
        <is>
          <t>Motilal Oswal Quant Fund - Regular Plan</t>
        </is>
      </c>
      <c r="B101" s="261">
        <f>VLOOKUP($A101, Sheet4!$A$2:$L$688, Consol_Thematic!B$1,FALSE)</f>
        <v/>
      </c>
      <c r="C101" s="261">
        <f>VLOOKUP($A101, Sheet4!$A$2:$L$688, Consol_Thematic!C$1,FALSE)</f>
        <v/>
      </c>
      <c r="D101" s="261">
        <f>VLOOKUP($A101, Sheet4!$A$2:$L$688, Consol_Thematic!D$1,FALSE)</f>
        <v/>
      </c>
      <c r="E101" s="261">
        <f>VLOOKUP($A101, Sheet4!$A$2:$L$688, Consol_Thematic!E$1,FALSE)</f>
        <v/>
      </c>
      <c r="F101" s="261">
        <f>VLOOKUP($A101, Sheet4!$A$2:$L$688, Consol_Thematic!F$1,FALSE)</f>
        <v/>
      </c>
      <c r="G101" s="261">
        <f>VLOOKUP($A101, Sheet4!$A$2:$L$688, Consol_Thematic!G$1,FALSE)</f>
        <v/>
      </c>
      <c r="H101" s="261">
        <f>VLOOKUP($A101, Sheet4!$A$2:$L$688, Consol_Thematic!H$1,FALSE)</f>
        <v/>
      </c>
      <c r="I101" s="261">
        <f>VLOOKUP($A101, Sheet4!$A$2:$L$688, Consol_Thematic!I$1,FALSE)</f>
        <v/>
      </c>
      <c r="J101" s="261">
        <f>VLOOKUP($A101, Sheet4!$A$2:$L$688, Consol_Thematic!J$1,FALSE)</f>
        <v/>
      </c>
      <c r="K101" s="261">
        <f>(B101-MIN(B$3:B$23))/(MAX(B$3:B$23)-MIN(B$3:B$23))</f>
        <v/>
      </c>
      <c r="L101" s="261">
        <f>(MAX(H$3:H$23)-H101)/(MAX(H$3:H$23)-MIN(H$3:H$23))</f>
        <v/>
      </c>
      <c r="M101" s="261">
        <f>(C101-MIN(C$3:C$23))/(MAX(C$3:C$23)-MIN(C$3:C$23))</f>
        <v/>
      </c>
      <c r="N101" s="261">
        <f>(D101-MIN(D$3:D$23))/(MAX(D$3:D$23)-MIN(D$3:D$23))</f>
        <v/>
      </c>
      <c r="O101" s="261">
        <f>(MAX(J$3:J$23)-J101)/(MAX(J$3:J$23)-MIN(J$3:J$23))</f>
        <v/>
      </c>
      <c r="P101" s="261">
        <f>(E101-MIN(E$3:E$23))/(MAX(E$3:E$23)-MIN(E$3:E$23))</f>
        <v/>
      </c>
      <c r="Q101" s="261">
        <f>(F101-MIN(F$3:F$23))/(MAX(F$3:F$23)-MIN(F$3:F$23))</f>
        <v/>
      </c>
      <c r="R101" s="261">
        <f>(MAX(I$3:I$23)-I101)/(MAX(I$3:I$23)-MIN(I$3:I$23))</f>
        <v/>
      </c>
      <c r="S101" s="261">
        <f>(G101-MIN(G$3:G$23))/(MAX(G$3:G$23)-MIN(G$3:G$23))</f>
        <v/>
      </c>
      <c r="T101" s="261">
        <f>(K101*'Fund Ranking Criteria'!$J$9)+('Fund Ranking Criteria'!$J$10*Consol_Thematic!M101)+('Fund Ranking Criteria'!$J$12*Consol_Thematic!S101)+('Fund Ranking Criteria'!$J$14*Consol_Thematic!R101)+('Fund Ranking Criteria'!$J$15*Consol_Thematic!O101)+('Fund Ranking Criteria'!$J$16*Consol_Thematic!P101)+('Fund Ranking Criteria'!#REF!*Consol_Thematic!Q101)+('Fund Ranking Criteria'!#REF!*Consol_Thematic!L101)</f>
        <v/>
      </c>
      <c r="U101" s="261">
        <f>T101*1</f>
        <v/>
      </c>
      <c r="V101" s="261">
        <f>RANK(U101,$U$3:$U$157,0)</f>
        <v/>
      </c>
      <c r="W101" s="261">
        <f>A101</f>
        <v/>
      </c>
    </row>
    <row r="102">
      <c r="A102" s="261" t="inlineStr">
        <is>
          <t>Motilal Oswal Services Fund - Regular Plan</t>
        </is>
      </c>
      <c r="B102" s="261">
        <f>VLOOKUP($A102, Sheet4!$A$2:$L$688, Consol_Thematic!B$1,FALSE)</f>
        <v/>
      </c>
      <c r="C102" s="261">
        <f>VLOOKUP($A102, Sheet4!$A$2:$L$688, Consol_Thematic!C$1,FALSE)</f>
        <v/>
      </c>
      <c r="D102" s="261">
        <f>VLOOKUP($A102, Sheet4!$A$2:$L$688, Consol_Thematic!D$1,FALSE)</f>
        <v/>
      </c>
      <c r="E102" s="261">
        <f>VLOOKUP($A102, Sheet4!$A$2:$L$688, Consol_Thematic!E$1,FALSE)</f>
        <v/>
      </c>
      <c r="F102" s="261">
        <f>VLOOKUP($A102, Sheet4!$A$2:$L$688, Consol_Thematic!F$1,FALSE)</f>
        <v/>
      </c>
      <c r="G102" s="261">
        <f>VLOOKUP($A102, Sheet4!$A$2:$L$688, Consol_Thematic!G$1,FALSE)</f>
        <v/>
      </c>
      <c r="H102" s="261">
        <f>VLOOKUP($A102, Sheet4!$A$2:$L$688, Consol_Thematic!H$1,FALSE)</f>
        <v/>
      </c>
      <c r="I102" s="261">
        <f>VLOOKUP($A102, Sheet4!$A$2:$L$688, Consol_Thematic!I$1,FALSE)</f>
        <v/>
      </c>
      <c r="J102" s="261">
        <f>VLOOKUP($A102, Sheet4!$A$2:$L$688, Consol_Thematic!J$1,FALSE)</f>
        <v/>
      </c>
      <c r="K102" s="261">
        <f>(B102-MIN(B$3:B$23))/(MAX(B$3:B$23)-MIN(B$3:B$23))</f>
        <v/>
      </c>
      <c r="L102" s="261">
        <f>(MAX(H$3:H$23)-H102)/(MAX(H$3:H$23)-MIN(H$3:H$23))</f>
        <v/>
      </c>
      <c r="M102" s="261">
        <f>(C102-MIN(C$3:C$23))/(MAX(C$3:C$23)-MIN(C$3:C$23))</f>
        <v/>
      </c>
      <c r="N102" s="261">
        <f>(D102-MIN(D$3:D$23))/(MAX(D$3:D$23)-MIN(D$3:D$23))</f>
        <v/>
      </c>
      <c r="O102" s="261">
        <f>(MAX(J$3:J$23)-J102)/(MAX(J$3:J$23)-MIN(J$3:J$23))</f>
        <v/>
      </c>
      <c r="P102" s="261">
        <f>(E102-MIN(E$3:E$23))/(MAX(E$3:E$23)-MIN(E$3:E$23))</f>
        <v/>
      </c>
      <c r="Q102" s="261">
        <f>(F102-MIN(F$3:F$23))/(MAX(F$3:F$23)-MIN(F$3:F$23))</f>
        <v/>
      </c>
      <c r="R102" s="261">
        <f>(MAX(I$3:I$23)-I102)/(MAX(I$3:I$23)-MIN(I$3:I$23))</f>
        <v/>
      </c>
      <c r="S102" s="261">
        <f>(G102-MIN(G$3:G$23))/(MAX(G$3:G$23)-MIN(G$3:G$23))</f>
        <v/>
      </c>
      <c r="T102" s="261">
        <f>(K102*'Fund Ranking Criteria'!$J$9)+('Fund Ranking Criteria'!$J$10*Consol_Thematic!M102)+('Fund Ranking Criteria'!$J$12*Consol_Thematic!S102)+('Fund Ranking Criteria'!$J$14*Consol_Thematic!R102)+('Fund Ranking Criteria'!$J$15*Consol_Thematic!O102)+('Fund Ranking Criteria'!$J$16*Consol_Thematic!P102)+('Fund Ranking Criteria'!#REF!*Consol_Thematic!Q102)+('Fund Ranking Criteria'!#REF!*Consol_Thematic!L102)</f>
        <v/>
      </c>
      <c r="U102" s="261">
        <f>T102*1</f>
        <v/>
      </c>
      <c r="V102" s="261">
        <f>RANK(U102,$U$3:$U$157,0)</f>
        <v/>
      </c>
      <c r="W102" s="261">
        <f>A102</f>
        <v/>
      </c>
    </row>
    <row r="103">
      <c r="A103" s="261" t="inlineStr">
        <is>
          <t>Nippon India Active Momentum Fund - Regular Plan</t>
        </is>
      </c>
      <c r="B103" s="261">
        <f>VLOOKUP($A103, Sheet4!$A$2:$L$688, Consol_Thematic!B$1,FALSE)</f>
        <v/>
      </c>
      <c r="C103" s="261">
        <f>VLOOKUP($A103, Sheet4!$A$2:$L$688, Consol_Thematic!C$1,FALSE)</f>
        <v/>
      </c>
      <c r="D103" s="261">
        <f>VLOOKUP($A103, Sheet4!$A$2:$L$688, Consol_Thematic!D$1,FALSE)</f>
        <v/>
      </c>
      <c r="E103" s="261">
        <f>VLOOKUP($A103, Sheet4!$A$2:$L$688, Consol_Thematic!E$1,FALSE)</f>
        <v/>
      </c>
      <c r="F103" s="261">
        <f>VLOOKUP($A103, Sheet4!$A$2:$L$688, Consol_Thematic!F$1,FALSE)</f>
        <v/>
      </c>
      <c r="G103" s="261">
        <f>VLOOKUP($A103, Sheet4!$A$2:$L$688, Consol_Thematic!G$1,FALSE)</f>
        <v/>
      </c>
      <c r="H103" s="261">
        <f>VLOOKUP($A103, Sheet4!$A$2:$L$688, Consol_Thematic!H$1,FALSE)</f>
        <v/>
      </c>
      <c r="I103" s="261">
        <f>VLOOKUP($A103, Sheet4!$A$2:$L$688, Consol_Thematic!I$1,FALSE)</f>
        <v/>
      </c>
      <c r="J103" s="261">
        <f>VLOOKUP($A103, Sheet4!$A$2:$L$688, Consol_Thematic!J$1,FALSE)</f>
        <v/>
      </c>
      <c r="K103" s="261">
        <f>(B103-MIN(B$3:B$23))/(MAX(B$3:B$23)-MIN(B$3:B$23))</f>
        <v/>
      </c>
      <c r="L103" s="261">
        <f>(MAX(H$3:H$23)-H103)/(MAX(H$3:H$23)-MIN(H$3:H$23))</f>
        <v/>
      </c>
      <c r="M103" s="261">
        <f>(C103-MIN(C$3:C$23))/(MAX(C$3:C$23)-MIN(C$3:C$23))</f>
        <v/>
      </c>
      <c r="N103" s="261">
        <f>(D103-MIN(D$3:D$23))/(MAX(D$3:D$23)-MIN(D$3:D$23))</f>
        <v/>
      </c>
      <c r="O103" s="261">
        <f>(MAX(J$3:J$23)-J103)/(MAX(J$3:J$23)-MIN(J$3:J$23))</f>
        <v/>
      </c>
      <c r="P103" s="261">
        <f>(E103-MIN(E$3:E$23))/(MAX(E$3:E$23)-MIN(E$3:E$23))</f>
        <v/>
      </c>
      <c r="Q103" s="261">
        <f>(F103-MIN(F$3:F$23))/(MAX(F$3:F$23)-MIN(F$3:F$23))</f>
        <v/>
      </c>
      <c r="R103" s="261">
        <f>(MAX(I$3:I$23)-I103)/(MAX(I$3:I$23)-MIN(I$3:I$23))</f>
        <v/>
      </c>
      <c r="S103" s="261">
        <f>(G103-MIN(G$3:G$23))/(MAX(G$3:G$23)-MIN(G$3:G$23))</f>
        <v/>
      </c>
      <c r="T103" s="261">
        <f>(K103*'Fund Ranking Criteria'!$J$9)+('Fund Ranking Criteria'!$J$10*Consol_Thematic!M103)+('Fund Ranking Criteria'!$J$12*Consol_Thematic!S103)+('Fund Ranking Criteria'!$J$14*Consol_Thematic!R103)+('Fund Ranking Criteria'!$J$15*Consol_Thematic!O103)+('Fund Ranking Criteria'!$J$16*Consol_Thematic!P103)+('Fund Ranking Criteria'!#REF!*Consol_Thematic!Q103)+('Fund Ranking Criteria'!#REF!*Consol_Thematic!L103)</f>
        <v/>
      </c>
      <c r="U103" s="261">
        <f>T103*1</f>
        <v/>
      </c>
      <c r="V103" s="261">
        <f>RANK(U103,$U$3:$U$157,0)</f>
        <v/>
      </c>
      <c r="W103" s="261">
        <f>A103</f>
        <v/>
      </c>
    </row>
    <row r="104">
      <c r="A104" s="261" t="inlineStr">
        <is>
          <t>Nippon India Consumption Fund</t>
        </is>
      </c>
      <c r="B104" s="261">
        <f>VLOOKUP($A104, Sheet4!$A$2:$L$688, Consol_Thematic!B$1,FALSE)</f>
        <v/>
      </c>
      <c r="C104" s="261">
        <f>VLOOKUP($A104, Sheet4!$A$2:$L$688, Consol_Thematic!C$1,FALSE)</f>
        <v/>
      </c>
      <c r="D104" s="261">
        <f>VLOOKUP($A104, Sheet4!$A$2:$L$688, Consol_Thematic!D$1,FALSE)</f>
        <v/>
      </c>
      <c r="E104" s="261">
        <f>VLOOKUP($A104, Sheet4!$A$2:$L$688, Consol_Thematic!E$1,FALSE)</f>
        <v/>
      </c>
      <c r="F104" s="261">
        <f>VLOOKUP($A104, Sheet4!$A$2:$L$688, Consol_Thematic!F$1,FALSE)</f>
        <v/>
      </c>
      <c r="G104" s="261">
        <f>VLOOKUP($A104, Sheet4!$A$2:$L$688, Consol_Thematic!G$1,FALSE)</f>
        <v/>
      </c>
      <c r="H104" s="261">
        <f>VLOOKUP($A104, Sheet4!$A$2:$L$688, Consol_Thematic!H$1,FALSE)</f>
        <v/>
      </c>
      <c r="I104" s="261">
        <f>VLOOKUP($A104, Sheet4!$A$2:$L$688, Consol_Thematic!I$1,FALSE)</f>
        <v/>
      </c>
      <c r="J104" s="261">
        <f>VLOOKUP($A104, Sheet4!$A$2:$L$688, Consol_Thematic!J$1,FALSE)</f>
        <v/>
      </c>
      <c r="K104" s="261">
        <f>(B104-MIN(B$3:B$23))/(MAX(B$3:B$23)-MIN(B$3:B$23))</f>
        <v/>
      </c>
      <c r="L104" s="261">
        <f>(MAX(H$3:H$23)-H104)/(MAX(H$3:H$23)-MIN(H$3:H$23))</f>
        <v/>
      </c>
      <c r="M104" s="261">
        <f>(C104-MIN(C$3:C$23))/(MAX(C$3:C$23)-MIN(C$3:C$23))</f>
        <v/>
      </c>
      <c r="N104" s="261">
        <f>(D104-MIN(D$3:D$23))/(MAX(D$3:D$23)-MIN(D$3:D$23))</f>
        <v/>
      </c>
      <c r="O104" s="261">
        <f>(MAX(J$3:J$23)-J104)/(MAX(J$3:J$23)-MIN(J$3:J$23))</f>
        <v/>
      </c>
      <c r="P104" s="261">
        <f>(E104-MIN(E$3:E$23))/(MAX(E$3:E$23)-MIN(E$3:E$23))</f>
        <v/>
      </c>
      <c r="Q104" s="261">
        <f>(F104-MIN(F$3:F$23))/(MAX(F$3:F$23)-MIN(F$3:F$23))</f>
        <v/>
      </c>
      <c r="R104" s="261">
        <f>(MAX(I$3:I$23)-I104)/(MAX(I$3:I$23)-MIN(I$3:I$23))</f>
        <v/>
      </c>
      <c r="S104" s="261">
        <f>(G104-MIN(G$3:G$23))/(MAX(G$3:G$23)-MIN(G$3:G$23))</f>
        <v/>
      </c>
      <c r="T104" s="261">
        <f>(K104*'Fund Ranking Criteria'!$J$9)+('Fund Ranking Criteria'!$J$10*Consol_Thematic!M104)+('Fund Ranking Criteria'!$J$12*Consol_Thematic!S104)+('Fund Ranking Criteria'!$J$14*Consol_Thematic!R104)+('Fund Ranking Criteria'!$J$15*Consol_Thematic!O104)+('Fund Ranking Criteria'!$J$16*Consol_Thematic!P104)+('Fund Ranking Criteria'!#REF!*Consol_Thematic!Q104)+('Fund Ranking Criteria'!#REF!*Consol_Thematic!L104)</f>
        <v/>
      </c>
      <c r="U104" s="261">
        <f>T104*1</f>
        <v/>
      </c>
      <c r="V104" s="261">
        <f>RANK(U104,$U$3:$U$157,0)</f>
        <v/>
      </c>
      <c r="W104" s="261">
        <f>A104</f>
        <v/>
      </c>
    </row>
    <row r="105">
      <c r="A105" s="261" t="inlineStr">
        <is>
          <t>Nippon India Innovation Fund - Regular Plan</t>
        </is>
      </c>
      <c r="B105" s="261">
        <f>VLOOKUP($A105, Sheet4!$A$2:$L$688, Consol_Thematic!B$1,FALSE)</f>
        <v/>
      </c>
      <c r="C105" s="261">
        <f>VLOOKUP($A105, Sheet4!$A$2:$L$688, Consol_Thematic!C$1,FALSE)</f>
        <v/>
      </c>
      <c r="D105" s="261">
        <f>VLOOKUP($A105, Sheet4!$A$2:$L$688, Consol_Thematic!D$1,FALSE)</f>
        <v/>
      </c>
      <c r="E105" s="261">
        <f>VLOOKUP($A105, Sheet4!$A$2:$L$688, Consol_Thematic!E$1,FALSE)</f>
        <v/>
      </c>
      <c r="F105" s="261">
        <f>VLOOKUP($A105, Sheet4!$A$2:$L$688, Consol_Thematic!F$1,FALSE)</f>
        <v/>
      </c>
      <c r="G105" s="261">
        <f>VLOOKUP($A105, Sheet4!$A$2:$L$688, Consol_Thematic!G$1,FALSE)</f>
        <v/>
      </c>
      <c r="H105" s="261">
        <f>VLOOKUP($A105, Sheet4!$A$2:$L$688, Consol_Thematic!H$1,FALSE)</f>
        <v/>
      </c>
      <c r="I105" s="261">
        <f>VLOOKUP($A105, Sheet4!$A$2:$L$688, Consol_Thematic!I$1,FALSE)</f>
        <v/>
      </c>
      <c r="J105" s="261">
        <f>VLOOKUP($A105, Sheet4!$A$2:$L$688, Consol_Thematic!J$1,FALSE)</f>
        <v/>
      </c>
      <c r="K105" s="261">
        <f>(B105-MIN(B$3:B$23))/(MAX(B$3:B$23)-MIN(B$3:B$23))</f>
        <v/>
      </c>
      <c r="L105" s="261">
        <f>(MAX(H$3:H$23)-H105)/(MAX(H$3:H$23)-MIN(H$3:H$23))</f>
        <v/>
      </c>
      <c r="M105" s="261">
        <f>(C105-MIN(C$3:C$23))/(MAX(C$3:C$23)-MIN(C$3:C$23))</f>
        <v/>
      </c>
      <c r="N105" s="261">
        <f>(D105-MIN(D$3:D$23))/(MAX(D$3:D$23)-MIN(D$3:D$23))</f>
        <v/>
      </c>
      <c r="O105" s="261">
        <f>(MAX(J$3:J$23)-J105)/(MAX(J$3:J$23)-MIN(J$3:J$23))</f>
        <v/>
      </c>
      <c r="P105" s="261">
        <f>(E105-MIN(E$3:E$23))/(MAX(E$3:E$23)-MIN(E$3:E$23))</f>
        <v/>
      </c>
      <c r="Q105" s="261">
        <f>(F105-MIN(F$3:F$23))/(MAX(F$3:F$23)-MIN(F$3:F$23))</f>
        <v/>
      </c>
      <c r="R105" s="261">
        <f>(MAX(I$3:I$23)-I105)/(MAX(I$3:I$23)-MIN(I$3:I$23))</f>
        <v/>
      </c>
      <c r="S105" s="261">
        <f>(G105-MIN(G$3:G$23))/(MAX(G$3:G$23)-MIN(G$3:G$23))</f>
        <v/>
      </c>
      <c r="T105" s="261">
        <f>(K105*'Fund Ranking Criteria'!$J$9)+('Fund Ranking Criteria'!$J$10*Consol_Thematic!M105)+('Fund Ranking Criteria'!$J$12*Consol_Thematic!S105)+('Fund Ranking Criteria'!$J$14*Consol_Thematic!R105)+('Fund Ranking Criteria'!$J$15*Consol_Thematic!O105)+('Fund Ranking Criteria'!$J$16*Consol_Thematic!P105)+('Fund Ranking Criteria'!#REF!*Consol_Thematic!Q105)+('Fund Ranking Criteria'!#REF!*Consol_Thematic!L105)</f>
        <v/>
      </c>
      <c r="U105" s="261">
        <f>T105*1</f>
        <v/>
      </c>
      <c r="V105" s="261">
        <f>RANK(U105,$U$3:$U$157,0)</f>
        <v/>
      </c>
      <c r="W105" s="261">
        <f>A105</f>
        <v/>
      </c>
    </row>
    <row r="106">
      <c r="A106" s="261" t="inlineStr">
        <is>
          <t>Nippon India MNC Fund - Regular Plan</t>
        </is>
      </c>
      <c r="B106" s="261">
        <f>VLOOKUP($A106, Sheet4!$A$2:$L$688, Consol_Thematic!B$1,FALSE)</f>
        <v/>
      </c>
      <c r="C106" s="261">
        <f>VLOOKUP($A106, Sheet4!$A$2:$L$688, Consol_Thematic!C$1,FALSE)</f>
        <v/>
      </c>
      <c r="D106" s="261">
        <f>VLOOKUP($A106, Sheet4!$A$2:$L$688, Consol_Thematic!D$1,FALSE)</f>
        <v/>
      </c>
      <c r="E106" s="261">
        <f>VLOOKUP($A106, Sheet4!$A$2:$L$688, Consol_Thematic!E$1,FALSE)</f>
        <v/>
      </c>
      <c r="F106" s="261">
        <f>VLOOKUP($A106, Sheet4!$A$2:$L$688, Consol_Thematic!F$1,FALSE)</f>
        <v/>
      </c>
      <c r="G106" s="261">
        <f>VLOOKUP($A106, Sheet4!$A$2:$L$688, Consol_Thematic!G$1,FALSE)</f>
        <v/>
      </c>
      <c r="H106" s="261">
        <f>VLOOKUP($A106, Sheet4!$A$2:$L$688, Consol_Thematic!H$1,FALSE)</f>
        <v/>
      </c>
      <c r="I106" s="261">
        <f>VLOOKUP($A106, Sheet4!$A$2:$L$688, Consol_Thematic!I$1,FALSE)</f>
        <v/>
      </c>
      <c r="J106" s="261">
        <f>VLOOKUP($A106, Sheet4!$A$2:$L$688, Consol_Thematic!J$1,FALSE)</f>
        <v/>
      </c>
      <c r="K106" s="261">
        <f>(B106-MIN(B$3:B$23))/(MAX(B$3:B$23)-MIN(B$3:B$23))</f>
        <v/>
      </c>
      <c r="L106" s="261">
        <f>(MAX(H$3:H$23)-H106)/(MAX(H$3:H$23)-MIN(H$3:H$23))</f>
        <v/>
      </c>
      <c r="M106" s="261">
        <f>(C106-MIN(C$3:C$23))/(MAX(C$3:C$23)-MIN(C$3:C$23))</f>
        <v/>
      </c>
      <c r="N106" s="261">
        <f>(D106-MIN(D$3:D$23))/(MAX(D$3:D$23)-MIN(D$3:D$23))</f>
        <v/>
      </c>
      <c r="O106" s="261">
        <f>(MAX(J$3:J$23)-J106)/(MAX(J$3:J$23)-MIN(J$3:J$23))</f>
        <v/>
      </c>
      <c r="P106" s="261">
        <f>(E106-MIN(E$3:E$23))/(MAX(E$3:E$23)-MIN(E$3:E$23))</f>
        <v/>
      </c>
      <c r="Q106" s="261">
        <f>(F106-MIN(F$3:F$23))/(MAX(F$3:F$23)-MIN(F$3:F$23))</f>
        <v/>
      </c>
      <c r="R106" s="261">
        <f>(MAX(I$3:I$23)-I106)/(MAX(I$3:I$23)-MIN(I$3:I$23))</f>
        <v/>
      </c>
      <c r="S106" s="261">
        <f>(G106-MIN(G$3:G$23))/(MAX(G$3:G$23)-MIN(G$3:G$23))</f>
        <v/>
      </c>
      <c r="T106" s="261">
        <f>(K106*'Fund Ranking Criteria'!$J$9)+('Fund Ranking Criteria'!$J$10*Consol_Thematic!M106)+('Fund Ranking Criteria'!$J$12*Consol_Thematic!S106)+('Fund Ranking Criteria'!$J$14*Consol_Thematic!R106)+('Fund Ranking Criteria'!$J$15*Consol_Thematic!O106)+('Fund Ranking Criteria'!$J$16*Consol_Thematic!P106)+('Fund Ranking Criteria'!#REF!*Consol_Thematic!Q106)+('Fund Ranking Criteria'!#REF!*Consol_Thematic!L106)</f>
        <v/>
      </c>
      <c r="U106" s="261">
        <f>T106*1</f>
        <v/>
      </c>
      <c r="V106" s="261">
        <f>RANK(U106,$U$3:$U$157,0)</f>
        <v/>
      </c>
      <c r="W106" s="261">
        <f>A106</f>
        <v/>
      </c>
    </row>
    <row r="107">
      <c r="A107" s="261" t="inlineStr">
        <is>
          <t>Nippon India Quant Fund - Retail Plan</t>
        </is>
      </c>
      <c r="B107" s="261">
        <f>VLOOKUP($A107, Sheet4!$A$2:$L$688, Consol_Thematic!B$1,FALSE)</f>
        <v/>
      </c>
      <c r="C107" s="261">
        <f>VLOOKUP($A107, Sheet4!$A$2:$L$688, Consol_Thematic!C$1,FALSE)</f>
        <v/>
      </c>
      <c r="D107" s="261">
        <f>VLOOKUP($A107, Sheet4!$A$2:$L$688, Consol_Thematic!D$1,FALSE)</f>
        <v/>
      </c>
      <c r="E107" s="261">
        <f>VLOOKUP($A107, Sheet4!$A$2:$L$688, Consol_Thematic!E$1,FALSE)</f>
        <v/>
      </c>
      <c r="F107" s="261">
        <f>VLOOKUP($A107, Sheet4!$A$2:$L$688, Consol_Thematic!F$1,FALSE)</f>
        <v/>
      </c>
      <c r="G107" s="261">
        <f>VLOOKUP($A107, Sheet4!$A$2:$L$688, Consol_Thematic!G$1,FALSE)</f>
        <v/>
      </c>
      <c r="H107" s="261">
        <f>VLOOKUP($A107, Sheet4!$A$2:$L$688, Consol_Thematic!H$1,FALSE)</f>
        <v/>
      </c>
      <c r="I107" s="261">
        <f>VLOOKUP($A107, Sheet4!$A$2:$L$688, Consol_Thematic!I$1,FALSE)</f>
        <v/>
      </c>
      <c r="J107" s="261">
        <f>VLOOKUP($A107, Sheet4!$A$2:$L$688, Consol_Thematic!J$1,FALSE)</f>
        <v/>
      </c>
      <c r="K107" s="261">
        <f>(B107-MIN(B$3:B$23))/(MAX(B$3:B$23)-MIN(B$3:B$23))</f>
        <v/>
      </c>
      <c r="L107" s="261">
        <f>(MAX(H$3:H$23)-H107)/(MAX(H$3:H$23)-MIN(H$3:H$23))</f>
        <v/>
      </c>
      <c r="M107" s="261">
        <f>(C107-MIN(C$3:C$23))/(MAX(C$3:C$23)-MIN(C$3:C$23))</f>
        <v/>
      </c>
      <c r="N107" s="261">
        <f>(D107-MIN(D$3:D$23))/(MAX(D$3:D$23)-MIN(D$3:D$23))</f>
        <v/>
      </c>
      <c r="O107" s="261">
        <f>(MAX(J$3:J$23)-J107)/(MAX(J$3:J$23)-MIN(J$3:J$23))</f>
        <v/>
      </c>
      <c r="P107" s="261">
        <f>(E107-MIN(E$3:E$23))/(MAX(E$3:E$23)-MIN(E$3:E$23))</f>
        <v/>
      </c>
      <c r="Q107" s="261">
        <f>(F107-MIN(F$3:F$23))/(MAX(F$3:F$23)-MIN(F$3:F$23))</f>
        <v/>
      </c>
      <c r="R107" s="261">
        <f>(MAX(I$3:I$23)-I107)/(MAX(I$3:I$23)-MIN(I$3:I$23))</f>
        <v/>
      </c>
      <c r="S107" s="261">
        <f>(G107-MIN(G$3:G$23))/(MAX(G$3:G$23)-MIN(G$3:G$23))</f>
        <v/>
      </c>
      <c r="T107" s="261">
        <f>(K107*'Fund Ranking Criteria'!$J$9)+('Fund Ranking Criteria'!$J$10*Consol_Thematic!M107)+('Fund Ranking Criteria'!$J$12*Consol_Thematic!S107)+('Fund Ranking Criteria'!$J$14*Consol_Thematic!R107)+('Fund Ranking Criteria'!$J$15*Consol_Thematic!O107)+('Fund Ranking Criteria'!$J$16*Consol_Thematic!P107)+('Fund Ranking Criteria'!#REF!*Consol_Thematic!Q107)+('Fund Ranking Criteria'!#REF!*Consol_Thematic!L107)</f>
        <v/>
      </c>
      <c r="U107" s="261">
        <f>T107*1</f>
        <v/>
      </c>
      <c r="V107" s="261">
        <f>RANK(U107,$U$3:$U$157,0)</f>
        <v/>
      </c>
      <c r="W107" s="261">
        <f>A107</f>
        <v/>
      </c>
    </row>
    <row r="108">
      <c r="A108" s="261" t="inlineStr">
        <is>
          <t>Quant Business Cycle Fund - Regular Plan</t>
        </is>
      </c>
      <c r="B108" s="261">
        <f>VLOOKUP($A108, Sheet4!$A$2:$L$688, Consol_Thematic!B$1,FALSE)</f>
        <v/>
      </c>
      <c r="C108" s="261">
        <f>VLOOKUP($A108, Sheet4!$A$2:$L$688, Consol_Thematic!C$1,FALSE)</f>
        <v/>
      </c>
      <c r="D108" s="261">
        <f>VLOOKUP($A108, Sheet4!$A$2:$L$688, Consol_Thematic!D$1,FALSE)</f>
        <v/>
      </c>
      <c r="E108" s="261">
        <f>VLOOKUP($A108, Sheet4!$A$2:$L$688, Consol_Thematic!E$1,FALSE)</f>
        <v/>
      </c>
      <c r="F108" s="261">
        <f>VLOOKUP($A108, Sheet4!$A$2:$L$688, Consol_Thematic!F$1,FALSE)</f>
        <v/>
      </c>
      <c r="G108" s="261">
        <f>VLOOKUP($A108, Sheet4!$A$2:$L$688, Consol_Thematic!G$1,FALSE)</f>
        <v/>
      </c>
      <c r="H108" s="261">
        <f>VLOOKUP($A108, Sheet4!$A$2:$L$688, Consol_Thematic!H$1,FALSE)</f>
        <v/>
      </c>
      <c r="I108" s="261">
        <f>VLOOKUP($A108, Sheet4!$A$2:$L$688, Consol_Thematic!I$1,FALSE)</f>
        <v/>
      </c>
      <c r="J108" s="261">
        <f>VLOOKUP($A108, Sheet4!$A$2:$L$688, Consol_Thematic!J$1,FALSE)</f>
        <v/>
      </c>
      <c r="K108" s="261">
        <f>(B108-MIN(B$3:B$23))/(MAX(B$3:B$23)-MIN(B$3:B$23))</f>
        <v/>
      </c>
      <c r="L108" s="261">
        <f>(MAX(H$3:H$23)-H108)/(MAX(H$3:H$23)-MIN(H$3:H$23))</f>
        <v/>
      </c>
      <c r="M108" s="261">
        <f>(C108-MIN(C$3:C$23))/(MAX(C$3:C$23)-MIN(C$3:C$23))</f>
        <v/>
      </c>
      <c r="N108" s="261">
        <f>(D108-MIN(D$3:D$23))/(MAX(D$3:D$23)-MIN(D$3:D$23))</f>
        <v/>
      </c>
      <c r="O108" s="261">
        <f>(MAX(J$3:J$23)-J108)/(MAX(J$3:J$23)-MIN(J$3:J$23))</f>
        <v/>
      </c>
      <c r="P108" s="261">
        <f>(E108-MIN(E$3:E$23))/(MAX(E$3:E$23)-MIN(E$3:E$23))</f>
        <v/>
      </c>
      <c r="Q108" s="261">
        <f>(F108-MIN(F$3:F$23))/(MAX(F$3:F$23)-MIN(F$3:F$23))</f>
        <v/>
      </c>
      <c r="R108" s="261">
        <f>(MAX(I$3:I$23)-I108)/(MAX(I$3:I$23)-MIN(I$3:I$23))</f>
        <v/>
      </c>
      <c r="S108" s="261">
        <f>(G108-MIN(G$3:G$23))/(MAX(G$3:G$23)-MIN(G$3:G$23))</f>
        <v/>
      </c>
      <c r="T108" s="261">
        <f>(K108*'Fund Ranking Criteria'!$J$9)+('Fund Ranking Criteria'!$J$10*Consol_Thematic!M108)+('Fund Ranking Criteria'!$J$12*Consol_Thematic!S108)+('Fund Ranking Criteria'!$J$14*Consol_Thematic!R108)+('Fund Ranking Criteria'!$J$15*Consol_Thematic!O108)+('Fund Ranking Criteria'!$J$16*Consol_Thematic!P108)+('Fund Ranking Criteria'!#REF!*Consol_Thematic!Q108)+('Fund Ranking Criteria'!#REF!*Consol_Thematic!L108)</f>
        <v/>
      </c>
      <c r="U108" s="261">
        <f>T108*1</f>
        <v/>
      </c>
      <c r="V108" s="261">
        <f>RANK(U108,$U$3:$U$157,0)</f>
        <v/>
      </c>
      <c r="W108" s="261">
        <f>A108</f>
        <v/>
      </c>
    </row>
    <row r="109">
      <c r="A109" s="261" t="inlineStr">
        <is>
          <t>Quant Commodities Fund - Regular Plan</t>
        </is>
      </c>
      <c r="B109" s="261">
        <f>VLOOKUP($A109, Sheet4!$A$2:$L$688, Consol_Thematic!B$1,FALSE)</f>
        <v/>
      </c>
      <c r="C109" s="261">
        <f>VLOOKUP($A109, Sheet4!$A$2:$L$688, Consol_Thematic!C$1,FALSE)</f>
        <v/>
      </c>
      <c r="D109" s="261">
        <f>VLOOKUP($A109, Sheet4!$A$2:$L$688, Consol_Thematic!D$1,FALSE)</f>
        <v/>
      </c>
      <c r="E109" s="261">
        <f>VLOOKUP($A109, Sheet4!$A$2:$L$688, Consol_Thematic!E$1,FALSE)</f>
        <v/>
      </c>
      <c r="F109" s="261">
        <f>VLOOKUP($A109, Sheet4!$A$2:$L$688, Consol_Thematic!F$1,FALSE)</f>
        <v/>
      </c>
      <c r="G109" s="261">
        <f>VLOOKUP($A109, Sheet4!$A$2:$L$688, Consol_Thematic!G$1,FALSE)</f>
        <v/>
      </c>
      <c r="H109" s="261">
        <f>VLOOKUP($A109, Sheet4!$A$2:$L$688, Consol_Thematic!H$1,FALSE)</f>
        <v/>
      </c>
      <c r="I109" s="261">
        <f>VLOOKUP($A109, Sheet4!$A$2:$L$688, Consol_Thematic!I$1,FALSE)</f>
        <v/>
      </c>
      <c r="J109" s="261">
        <f>VLOOKUP($A109, Sheet4!$A$2:$L$688, Consol_Thematic!J$1,FALSE)</f>
        <v/>
      </c>
      <c r="K109" s="261">
        <f>(B109-MIN(B$3:B$23))/(MAX(B$3:B$23)-MIN(B$3:B$23))</f>
        <v/>
      </c>
      <c r="L109" s="261">
        <f>(MAX(H$3:H$23)-H109)/(MAX(H$3:H$23)-MIN(H$3:H$23))</f>
        <v/>
      </c>
      <c r="M109" s="261">
        <f>(C109-MIN(C$3:C$23))/(MAX(C$3:C$23)-MIN(C$3:C$23))</f>
        <v/>
      </c>
      <c r="N109" s="261">
        <f>(D109-MIN(D$3:D$23))/(MAX(D$3:D$23)-MIN(D$3:D$23))</f>
        <v/>
      </c>
      <c r="O109" s="261">
        <f>(MAX(J$3:J$23)-J109)/(MAX(J$3:J$23)-MIN(J$3:J$23))</f>
        <v/>
      </c>
      <c r="P109" s="261">
        <f>(E109-MIN(E$3:E$23))/(MAX(E$3:E$23)-MIN(E$3:E$23))</f>
        <v/>
      </c>
      <c r="Q109" s="261">
        <f>(F109-MIN(F$3:F$23))/(MAX(F$3:F$23)-MIN(F$3:F$23))</f>
        <v/>
      </c>
      <c r="R109" s="261">
        <f>(MAX(I$3:I$23)-I109)/(MAX(I$3:I$23)-MIN(I$3:I$23))</f>
        <v/>
      </c>
      <c r="S109" s="261">
        <f>(G109-MIN(G$3:G$23))/(MAX(G$3:G$23)-MIN(G$3:G$23))</f>
        <v/>
      </c>
      <c r="T109" s="261">
        <f>(K109*'Fund Ranking Criteria'!$J$9)+('Fund Ranking Criteria'!$J$10*Consol_Thematic!M109)+('Fund Ranking Criteria'!$J$12*Consol_Thematic!S109)+('Fund Ranking Criteria'!$J$14*Consol_Thematic!R109)+('Fund Ranking Criteria'!$J$15*Consol_Thematic!O109)+('Fund Ranking Criteria'!$J$16*Consol_Thematic!P109)+('Fund Ranking Criteria'!#REF!*Consol_Thematic!Q109)+('Fund Ranking Criteria'!#REF!*Consol_Thematic!L109)</f>
        <v/>
      </c>
      <c r="U109" s="261">
        <f>T109*1</f>
        <v/>
      </c>
      <c r="V109" s="261">
        <f>RANK(U109,$U$3:$U$157,0)</f>
        <v/>
      </c>
      <c r="W109" s="261">
        <f>A109</f>
        <v/>
      </c>
    </row>
    <row r="110">
      <c r="A110" s="261" t="inlineStr">
        <is>
          <t>Quant Consumption Fund - Regular Plan</t>
        </is>
      </c>
      <c r="B110" s="261">
        <f>VLOOKUP($A110, Sheet4!$A$2:$L$688, Consol_Thematic!B$1,FALSE)</f>
        <v/>
      </c>
      <c r="C110" s="261">
        <f>VLOOKUP($A110, Sheet4!$A$2:$L$688, Consol_Thematic!C$1,FALSE)</f>
        <v/>
      </c>
      <c r="D110" s="261">
        <f>VLOOKUP($A110, Sheet4!$A$2:$L$688, Consol_Thematic!D$1,FALSE)</f>
        <v/>
      </c>
      <c r="E110" s="261">
        <f>VLOOKUP($A110, Sheet4!$A$2:$L$688, Consol_Thematic!E$1,FALSE)</f>
        <v/>
      </c>
      <c r="F110" s="261">
        <f>VLOOKUP($A110, Sheet4!$A$2:$L$688, Consol_Thematic!F$1,FALSE)</f>
        <v/>
      </c>
      <c r="G110" s="261">
        <f>VLOOKUP($A110, Sheet4!$A$2:$L$688, Consol_Thematic!G$1,FALSE)</f>
        <v/>
      </c>
      <c r="H110" s="261">
        <f>VLOOKUP($A110, Sheet4!$A$2:$L$688, Consol_Thematic!H$1,FALSE)</f>
        <v/>
      </c>
      <c r="I110" s="261">
        <f>VLOOKUP($A110, Sheet4!$A$2:$L$688, Consol_Thematic!I$1,FALSE)</f>
        <v/>
      </c>
      <c r="J110" s="261">
        <f>VLOOKUP($A110, Sheet4!$A$2:$L$688, Consol_Thematic!J$1,FALSE)</f>
        <v/>
      </c>
      <c r="K110" s="261">
        <f>(B110-MIN(B$3:B$23))/(MAX(B$3:B$23)-MIN(B$3:B$23))</f>
        <v/>
      </c>
      <c r="L110" s="261">
        <f>(MAX(H$3:H$23)-H110)/(MAX(H$3:H$23)-MIN(H$3:H$23))</f>
        <v/>
      </c>
      <c r="M110" s="261">
        <f>(C110-MIN(C$3:C$23))/(MAX(C$3:C$23)-MIN(C$3:C$23))</f>
        <v/>
      </c>
      <c r="N110" s="261">
        <f>(D110-MIN(D$3:D$23))/(MAX(D$3:D$23)-MIN(D$3:D$23))</f>
        <v/>
      </c>
      <c r="O110" s="261">
        <f>(MAX(J$3:J$23)-J110)/(MAX(J$3:J$23)-MIN(J$3:J$23))</f>
        <v/>
      </c>
      <c r="P110" s="261">
        <f>(E110-MIN(E$3:E$23))/(MAX(E$3:E$23)-MIN(E$3:E$23))</f>
        <v/>
      </c>
      <c r="Q110" s="261">
        <f>(F110-MIN(F$3:F$23))/(MAX(F$3:F$23)-MIN(F$3:F$23))</f>
        <v/>
      </c>
      <c r="R110" s="261">
        <f>(MAX(I$3:I$23)-I110)/(MAX(I$3:I$23)-MIN(I$3:I$23))</f>
        <v/>
      </c>
      <c r="S110" s="261">
        <f>(G110-MIN(G$3:G$23))/(MAX(G$3:G$23)-MIN(G$3:G$23))</f>
        <v/>
      </c>
      <c r="T110" s="261">
        <f>(K110*'Fund Ranking Criteria'!$J$9)+('Fund Ranking Criteria'!$J$10*Consol_Thematic!M110)+('Fund Ranking Criteria'!$J$12*Consol_Thematic!S110)+('Fund Ranking Criteria'!$J$14*Consol_Thematic!R110)+('Fund Ranking Criteria'!$J$15*Consol_Thematic!O110)+('Fund Ranking Criteria'!$J$16*Consol_Thematic!P110)+('Fund Ranking Criteria'!#REF!*Consol_Thematic!Q110)+('Fund Ranking Criteria'!#REF!*Consol_Thematic!L110)</f>
        <v/>
      </c>
      <c r="U110" s="261">
        <f>T110*1</f>
        <v/>
      </c>
      <c r="V110" s="261">
        <f>RANK(U110,$U$3:$U$157,0)</f>
        <v/>
      </c>
      <c r="W110" s="261">
        <f>A110</f>
        <v/>
      </c>
    </row>
    <row r="111">
      <c r="A111" s="261" t="inlineStr">
        <is>
          <t>Quant ESG Equity Fund - Regular Plan</t>
        </is>
      </c>
      <c r="B111" s="261">
        <f>VLOOKUP($A111, Sheet4!$A$2:$L$688, Consol_Thematic!B$1,FALSE)</f>
        <v/>
      </c>
      <c r="C111" s="261">
        <f>VLOOKUP($A111, Sheet4!$A$2:$L$688, Consol_Thematic!C$1,FALSE)</f>
        <v/>
      </c>
      <c r="D111" s="261">
        <f>VLOOKUP($A111, Sheet4!$A$2:$L$688, Consol_Thematic!D$1,FALSE)</f>
        <v/>
      </c>
      <c r="E111" s="261">
        <f>VLOOKUP($A111, Sheet4!$A$2:$L$688, Consol_Thematic!E$1,FALSE)</f>
        <v/>
      </c>
      <c r="F111" s="261">
        <f>VLOOKUP($A111, Sheet4!$A$2:$L$688, Consol_Thematic!F$1,FALSE)</f>
        <v/>
      </c>
      <c r="G111" s="261">
        <f>VLOOKUP($A111, Sheet4!$A$2:$L$688, Consol_Thematic!G$1,FALSE)</f>
        <v/>
      </c>
      <c r="H111" s="261">
        <f>VLOOKUP($A111, Sheet4!$A$2:$L$688, Consol_Thematic!H$1,FALSE)</f>
        <v/>
      </c>
      <c r="I111" s="261">
        <f>VLOOKUP($A111, Sheet4!$A$2:$L$688, Consol_Thematic!I$1,FALSE)</f>
        <v/>
      </c>
      <c r="J111" s="261">
        <f>VLOOKUP($A111, Sheet4!$A$2:$L$688, Consol_Thematic!J$1,FALSE)</f>
        <v/>
      </c>
      <c r="K111" s="261">
        <f>(B111-MIN(B$3:B$23))/(MAX(B$3:B$23)-MIN(B$3:B$23))</f>
        <v/>
      </c>
      <c r="L111" s="261">
        <f>(MAX(H$3:H$23)-H111)/(MAX(H$3:H$23)-MIN(H$3:H$23))</f>
        <v/>
      </c>
      <c r="M111" s="261">
        <f>(C111-MIN(C$3:C$23))/(MAX(C$3:C$23)-MIN(C$3:C$23))</f>
        <v/>
      </c>
      <c r="N111" s="261">
        <f>(D111-MIN(D$3:D$23))/(MAX(D$3:D$23)-MIN(D$3:D$23))</f>
        <v/>
      </c>
      <c r="O111" s="261">
        <f>(MAX(J$3:J$23)-J111)/(MAX(J$3:J$23)-MIN(J$3:J$23))</f>
        <v/>
      </c>
      <c r="P111" s="261">
        <f>(E111-MIN(E$3:E$23))/(MAX(E$3:E$23)-MIN(E$3:E$23))</f>
        <v/>
      </c>
      <c r="Q111" s="261">
        <f>(F111-MIN(F$3:F$23))/(MAX(F$3:F$23)-MIN(F$3:F$23))</f>
        <v/>
      </c>
      <c r="R111" s="261">
        <f>(MAX(I$3:I$23)-I111)/(MAX(I$3:I$23)-MIN(I$3:I$23))</f>
        <v/>
      </c>
      <c r="S111" s="261">
        <f>(G111-MIN(G$3:G$23))/(MAX(G$3:G$23)-MIN(G$3:G$23))</f>
        <v/>
      </c>
      <c r="T111" s="261">
        <f>(K111*'Fund Ranking Criteria'!$J$9)+('Fund Ranking Criteria'!$J$10*Consol_Thematic!M111)+('Fund Ranking Criteria'!$J$12*Consol_Thematic!S111)+('Fund Ranking Criteria'!$J$14*Consol_Thematic!R111)+('Fund Ranking Criteria'!$J$15*Consol_Thematic!O111)+('Fund Ranking Criteria'!$J$16*Consol_Thematic!P111)+('Fund Ranking Criteria'!#REF!*Consol_Thematic!Q111)+('Fund Ranking Criteria'!#REF!*Consol_Thematic!L111)</f>
        <v/>
      </c>
      <c r="U111" s="261">
        <f>T111*1</f>
        <v/>
      </c>
      <c r="V111" s="261">
        <f>RANK(U111,$U$3:$U$157,0)</f>
        <v/>
      </c>
      <c r="W111" s="261">
        <f>A111</f>
        <v/>
      </c>
    </row>
    <row r="112">
      <c r="A112" s="261" t="inlineStr">
        <is>
          <t>Quant Manufacturing Fund - Regular Plan</t>
        </is>
      </c>
      <c r="B112" s="261">
        <f>VLOOKUP($A112, Sheet4!$A$2:$L$688, Consol_Thematic!B$1,FALSE)</f>
        <v/>
      </c>
      <c r="C112" s="261">
        <f>VLOOKUP($A112, Sheet4!$A$2:$L$688, Consol_Thematic!C$1,FALSE)</f>
        <v/>
      </c>
      <c r="D112" s="261">
        <f>VLOOKUP($A112, Sheet4!$A$2:$L$688, Consol_Thematic!D$1,FALSE)</f>
        <v/>
      </c>
      <c r="E112" s="261">
        <f>VLOOKUP($A112, Sheet4!$A$2:$L$688, Consol_Thematic!E$1,FALSE)</f>
        <v/>
      </c>
      <c r="F112" s="261">
        <f>VLOOKUP($A112, Sheet4!$A$2:$L$688, Consol_Thematic!F$1,FALSE)</f>
        <v/>
      </c>
      <c r="G112" s="261">
        <f>VLOOKUP($A112, Sheet4!$A$2:$L$688, Consol_Thematic!G$1,FALSE)</f>
        <v/>
      </c>
      <c r="H112" s="261">
        <f>VLOOKUP($A112, Sheet4!$A$2:$L$688, Consol_Thematic!H$1,FALSE)</f>
        <v/>
      </c>
      <c r="I112" s="261">
        <f>VLOOKUP($A112, Sheet4!$A$2:$L$688, Consol_Thematic!I$1,FALSE)</f>
        <v/>
      </c>
      <c r="J112" s="261">
        <f>VLOOKUP($A112, Sheet4!$A$2:$L$688, Consol_Thematic!J$1,FALSE)</f>
        <v/>
      </c>
      <c r="K112" s="261">
        <f>(B112-MIN(B$3:B$23))/(MAX(B$3:B$23)-MIN(B$3:B$23))</f>
        <v/>
      </c>
      <c r="L112" s="261">
        <f>(MAX(H$3:H$23)-H112)/(MAX(H$3:H$23)-MIN(H$3:H$23))</f>
        <v/>
      </c>
      <c r="M112" s="261">
        <f>(C112-MIN(C$3:C$23))/(MAX(C$3:C$23)-MIN(C$3:C$23))</f>
        <v/>
      </c>
      <c r="N112" s="261">
        <f>(D112-MIN(D$3:D$23))/(MAX(D$3:D$23)-MIN(D$3:D$23))</f>
        <v/>
      </c>
      <c r="O112" s="261">
        <f>(MAX(J$3:J$23)-J112)/(MAX(J$3:J$23)-MIN(J$3:J$23))</f>
        <v/>
      </c>
      <c r="P112" s="261">
        <f>(E112-MIN(E$3:E$23))/(MAX(E$3:E$23)-MIN(E$3:E$23))</f>
        <v/>
      </c>
      <c r="Q112" s="261">
        <f>(F112-MIN(F$3:F$23))/(MAX(F$3:F$23)-MIN(F$3:F$23))</f>
        <v/>
      </c>
      <c r="R112" s="261">
        <f>(MAX(I$3:I$23)-I112)/(MAX(I$3:I$23)-MIN(I$3:I$23))</f>
        <v/>
      </c>
      <c r="S112" s="261">
        <f>(G112-MIN(G$3:G$23))/(MAX(G$3:G$23)-MIN(G$3:G$23))</f>
        <v/>
      </c>
      <c r="T112" s="261">
        <f>(K112*'Fund Ranking Criteria'!$J$9)+('Fund Ranking Criteria'!$J$10*Consol_Thematic!M112)+('Fund Ranking Criteria'!$J$12*Consol_Thematic!S112)+('Fund Ranking Criteria'!$J$14*Consol_Thematic!R112)+('Fund Ranking Criteria'!$J$15*Consol_Thematic!O112)+('Fund Ranking Criteria'!$J$16*Consol_Thematic!P112)+('Fund Ranking Criteria'!#REF!*Consol_Thematic!Q112)+('Fund Ranking Criteria'!#REF!*Consol_Thematic!L112)</f>
        <v/>
      </c>
      <c r="U112" s="261">
        <f>T112*1</f>
        <v/>
      </c>
      <c r="V112" s="261">
        <f>RANK(U112,$U$3:$U$157,0)</f>
        <v/>
      </c>
      <c r="W112" s="261">
        <f>A112</f>
        <v/>
      </c>
    </row>
    <row r="113">
      <c r="A113" s="261" t="inlineStr">
        <is>
          <t>Quant Momentum Fund - Regular Plan</t>
        </is>
      </c>
      <c r="B113" s="261">
        <f>VLOOKUP($A113, Sheet4!$A$2:$L$688, Consol_Thematic!B$1,FALSE)</f>
        <v/>
      </c>
      <c r="C113" s="261">
        <f>VLOOKUP($A113, Sheet4!$A$2:$L$688, Consol_Thematic!C$1,FALSE)</f>
        <v/>
      </c>
      <c r="D113" s="261">
        <f>VLOOKUP($A113, Sheet4!$A$2:$L$688, Consol_Thematic!D$1,FALSE)</f>
        <v/>
      </c>
      <c r="E113" s="261">
        <f>VLOOKUP($A113, Sheet4!$A$2:$L$688, Consol_Thematic!E$1,FALSE)</f>
        <v/>
      </c>
      <c r="F113" s="261">
        <f>VLOOKUP($A113, Sheet4!$A$2:$L$688, Consol_Thematic!F$1,FALSE)</f>
        <v/>
      </c>
      <c r="G113" s="261">
        <f>VLOOKUP($A113, Sheet4!$A$2:$L$688, Consol_Thematic!G$1,FALSE)</f>
        <v/>
      </c>
      <c r="H113" s="261">
        <f>VLOOKUP($A113, Sheet4!$A$2:$L$688, Consol_Thematic!H$1,FALSE)</f>
        <v/>
      </c>
      <c r="I113" s="261">
        <f>VLOOKUP($A113, Sheet4!$A$2:$L$688, Consol_Thematic!I$1,FALSE)</f>
        <v/>
      </c>
      <c r="J113" s="261">
        <f>VLOOKUP($A113, Sheet4!$A$2:$L$688, Consol_Thematic!J$1,FALSE)</f>
        <v/>
      </c>
      <c r="K113" s="261">
        <f>(B113-MIN(B$3:B$23))/(MAX(B$3:B$23)-MIN(B$3:B$23))</f>
        <v/>
      </c>
      <c r="L113" s="261">
        <f>(MAX(H$3:H$23)-H113)/(MAX(H$3:H$23)-MIN(H$3:H$23))</f>
        <v/>
      </c>
      <c r="M113" s="261">
        <f>(C113-MIN(C$3:C$23))/(MAX(C$3:C$23)-MIN(C$3:C$23))</f>
        <v/>
      </c>
      <c r="N113" s="261">
        <f>(D113-MIN(D$3:D$23))/(MAX(D$3:D$23)-MIN(D$3:D$23))</f>
        <v/>
      </c>
      <c r="O113" s="261">
        <f>(MAX(J$3:J$23)-J113)/(MAX(J$3:J$23)-MIN(J$3:J$23))</f>
        <v/>
      </c>
      <c r="P113" s="261">
        <f>(E113-MIN(E$3:E$23))/(MAX(E$3:E$23)-MIN(E$3:E$23))</f>
        <v/>
      </c>
      <c r="Q113" s="261">
        <f>(F113-MIN(F$3:F$23))/(MAX(F$3:F$23)-MIN(F$3:F$23))</f>
        <v/>
      </c>
      <c r="R113" s="261">
        <f>(MAX(I$3:I$23)-I113)/(MAX(I$3:I$23)-MIN(I$3:I$23))</f>
        <v/>
      </c>
      <c r="S113" s="261">
        <f>(G113-MIN(G$3:G$23))/(MAX(G$3:G$23)-MIN(G$3:G$23))</f>
        <v/>
      </c>
      <c r="T113" s="261">
        <f>(K113*'Fund Ranking Criteria'!$J$9)+('Fund Ranking Criteria'!$J$10*Consol_Thematic!M113)+('Fund Ranking Criteria'!$J$12*Consol_Thematic!S113)+('Fund Ranking Criteria'!$J$14*Consol_Thematic!R113)+('Fund Ranking Criteria'!$J$15*Consol_Thematic!O113)+('Fund Ranking Criteria'!$J$16*Consol_Thematic!P113)+('Fund Ranking Criteria'!#REF!*Consol_Thematic!Q113)+('Fund Ranking Criteria'!#REF!*Consol_Thematic!L113)</f>
        <v/>
      </c>
      <c r="U113" s="261">
        <f>T113*1</f>
        <v/>
      </c>
      <c r="V113" s="261">
        <f>RANK(U113,$U$3:$U$157,0)</f>
        <v/>
      </c>
      <c r="W113" s="261">
        <f>A113</f>
        <v/>
      </c>
    </row>
    <row r="114">
      <c r="A114" s="261" t="inlineStr">
        <is>
          <t>Quant PSU Fund - Regular Plan</t>
        </is>
      </c>
      <c r="B114" s="261">
        <f>VLOOKUP($A114, Sheet4!$A$2:$L$688, Consol_Thematic!B$1,FALSE)</f>
        <v/>
      </c>
      <c r="C114" s="261">
        <f>VLOOKUP($A114, Sheet4!$A$2:$L$688, Consol_Thematic!C$1,FALSE)</f>
        <v/>
      </c>
      <c r="D114" s="261">
        <f>VLOOKUP($A114, Sheet4!$A$2:$L$688, Consol_Thematic!D$1,FALSE)</f>
        <v/>
      </c>
      <c r="E114" s="261">
        <f>VLOOKUP($A114, Sheet4!$A$2:$L$688, Consol_Thematic!E$1,FALSE)</f>
        <v/>
      </c>
      <c r="F114" s="261">
        <f>VLOOKUP($A114, Sheet4!$A$2:$L$688, Consol_Thematic!F$1,FALSE)</f>
        <v/>
      </c>
      <c r="G114" s="261">
        <f>VLOOKUP($A114, Sheet4!$A$2:$L$688, Consol_Thematic!G$1,FALSE)</f>
        <v/>
      </c>
      <c r="H114" s="261">
        <f>VLOOKUP($A114, Sheet4!$A$2:$L$688, Consol_Thematic!H$1,FALSE)</f>
        <v/>
      </c>
      <c r="I114" s="261">
        <f>VLOOKUP($A114, Sheet4!$A$2:$L$688, Consol_Thematic!I$1,FALSE)</f>
        <v/>
      </c>
      <c r="J114" s="261">
        <f>VLOOKUP($A114, Sheet4!$A$2:$L$688, Consol_Thematic!J$1,FALSE)</f>
        <v/>
      </c>
      <c r="K114" s="261">
        <f>(B114-MIN(B$3:B$23))/(MAX(B$3:B$23)-MIN(B$3:B$23))</f>
        <v/>
      </c>
      <c r="L114" s="261">
        <f>(MAX(H$3:H$23)-H114)/(MAX(H$3:H$23)-MIN(H$3:H$23))</f>
        <v/>
      </c>
      <c r="M114" s="261">
        <f>(C114-MIN(C$3:C$23))/(MAX(C$3:C$23)-MIN(C$3:C$23))</f>
        <v/>
      </c>
      <c r="N114" s="261">
        <f>(D114-MIN(D$3:D$23))/(MAX(D$3:D$23)-MIN(D$3:D$23))</f>
        <v/>
      </c>
      <c r="O114" s="261">
        <f>(MAX(J$3:J$23)-J114)/(MAX(J$3:J$23)-MIN(J$3:J$23))</f>
        <v/>
      </c>
      <c r="P114" s="261">
        <f>(E114-MIN(E$3:E$23))/(MAX(E$3:E$23)-MIN(E$3:E$23))</f>
        <v/>
      </c>
      <c r="Q114" s="261">
        <f>(F114-MIN(F$3:F$23))/(MAX(F$3:F$23)-MIN(F$3:F$23))</f>
        <v/>
      </c>
      <c r="R114" s="261">
        <f>(MAX(I$3:I$23)-I114)/(MAX(I$3:I$23)-MIN(I$3:I$23))</f>
        <v/>
      </c>
      <c r="S114" s="261">
        <f>(G114-MIN(G$3:G$23))/(MAX(G$3:G$23)-MIN(G$3:G$23))</f>
        <v/>
      </c>
      <c r="T114" s="261">
        <f>(K114*'Fund Ranking Criteria'!$J$9)+('Fund Ranking Criteria'!$J$10*Consol_Thematic!M114)+('Fund Ranking Criteria'!$J$12*Consol_Thematic!S114)+('Fund Ranking Criteria'!$J$14*Consol_Thematic!R114)+('Fund Ranking Criteria'!$J$15*Consol_Thematic!O114)+('Fund Ranking Criteria'!$J$16*Consol_Thematic!P114)+('Fund Ranking Criteria'!#REF!*Consol_Thematic!Q114)+('Fund Ranking Criteria'!#REF!*Consol_Thematic!L114)</f>
        <v/>
      </c>
      <c r="U114" s="261">
        <f>T114*1</f>
        <v/>
      </c>
      <c r="V114" s="261">
        <f>RANK(U114,$U$3:$U$157,0)</f>
        <v/>
      </c>
      <c r="W114" s="261">
        <f>A114</f>
        <v/>
      </c>
    </row>
    <row r="115">
      <c r="A115" s="261" t="inlineStr">
        <is>
          <t>Quant Quantamental Fund - Regular Plan</t>
        </is>
      </c>
      <c r="B115" s="261">
        <f>VLOOKUP($A115, Sheet4!$A$2:$L$688, Consol_Thematic!B$1,FALSE)</f>
        <v/>
      </c>
      <c r="C115" s="261">
        <f>VLOOKUP($A115, Sheet4!$A$2:$L$688, Consol_Thematic!C$1,FALSE)</f>
        <v/>
      </c>
      <c r="D115" s="261">
        <f>VLOOKUP($A115, Sheet4!$A$2:$L$688, Consol_Thematic!D$1,FALSE)</f>
        <v/>
      </c>
      <c r="E115" s="261">
        <f>VLOOKUP($A115, Sheet4!$A$2:$L$688, Consol_Thematic!E$1,FALSE)</f>
        <v/>
      </c>
      <c r="F115" s="261">
        <f>VLOOKUP($A115, Sheet4!$A$2:$L$688, Consol_Thematic!F$1,FALSE)</f>
        <v/>
      </c>
      <c r="G115" s="261">
        <f>VLOOKUP($A115, Sheet4!$A$2:$L$688, Consol_Thematic!G$1,FALSE)</f>
        <v/>
      </c>
      <c r="H115" s="261">
        <f>VLOOKUP($A115, Sheet4!$A$2:$L$688, Consol_Thematic!H$1,FALSE)</f>
        <v/>
      </c>
      <c r="I115" s="261">
        <f>VLOOKUP($A115, Sheet4!$A$2:$L$688, Consol_Thematic!I$1,FALSE)</f>
        <v/>
      </c>
      <c r="J115" s="261">
        <f>VLOOKUP($A115, Sheet4!$A$2:$L$688, Consol_Thematic!J$1,FALSE)</f>
        <v/>
      </c>
      <c r="K115" s="261">
        <f>(B115-MIN(B$3:B$23))/(MAX(B$3:B$23)-MIN(B$3:B$23))</f>
        <v/>
      </c>
      <c r="L115" s="261">
        <f>(MAX(H$3:H$23)-H115)/(MAX(H$3:H$23)-MIN(H$3:H$23))</f>
        <v/>
      </c>
      <c r="M115" s="261">
        <f>(C115-MIN(C$3:C$23))/(MAX(C$3:C$23)-MIN(C$3:C$23))</f>
        <v/>
      </c>
      <c r="N115" s="261">
        <f>(D115-MIN(D$3:D$23))/(MAX(D$3:D$23)-MIN(D$3:D$23))</f>
        <v/>
      </c>
      <c r="O115" s="261">
        <f>(MAX(J$3:J$23)-J115)/(MAX(J$3:J$23)-MIN(J$3:J$23))</f>
        <v/>
      </c>
      <c r="P115" s="261">
        <f>(E115-MIN(E$3:E$23))/(MAX(E$3:E$23)-MIN(E$3:E$23))</f>
        <v/>
      </c>
      <c r="Q115" s="261">
        <f>(F115-MIN(F$3:F$23))/(MAX(F$3:F$23)-MIN(F$3:F$23))</f>
        <v/>
      </c>
      <c r="R115" s="261">
        <f>(MAX(I$3:I$23)-I115)/(MAX(I$3:I$23)-MIN(I$3:I$23))</f>
        <v/>
      </c>
      <c r="S115" s="261">
        <f>(G115-MIN(G$3:G$23))/(MAX(G$3:G$23)-MIN(G$3:G$23))</f>
        <v/>
      </c>
      <c r="T115" s="261">
        <f>(K115*'Fund Ranking Criteria'!$J$9)+('Fund Ranking Criteria'!$J$10*Consol_Thematic!M115)+('Fund Ranking Criteria'!$J$12*Consol_Thematic!S115)+('Fund Ranking Criteria'!$J$14*Consol_Thematic!R115)+('Fund Ranking Criteria'!$J$15*Consol_Thematic!O115)+('Fund Ranking Criteria'!$J$16*Consol_Thematic!P115)+('Fund Ranking Criteria'!#REF!*Consol_Thematic!Q115)+('Fund Ranking Criteria'!#REF!*Consol_Thematic!L115)</f>
        <v/>
      </c>
      <c r="U115" s="261">
        <f>T115*1</f>
        <v/>
      </c>
      <c r="V115" s="261">
        <f>RANK(U115,$U$3:$U$157,0)</f>
        <v/>
      </c>
      <c r="W115" s="261">
        <f>A115</f>
        <v/>
      </c>
    </row>
    <row r="116">
      <c r="A116" s="261" t="inlineStr">
        <is>
          <t>Quantum ESG Best In Class Strategy Fund - Regular Plan</t>
        </is>
      </c>
      <c r="B116" s="261">
        <f>VLOOKUP($A116, Sheet4!$A$2:$L$688, Consol_Thematic!B$1,FALSE)</f>
        <v/>
      </c>
      <c r="C116" s="261">
        <f>VLOOKUP($A116, Sheet4!$A$2:$L$688, Consol_Thematic!C$1,FALSE)</f>
        <v/>
      </c>
      <c r="D116" s="261">
        <f>VLOOKUP($A116, Sheet4!$A$2:$L$688, Consol_Thematic!D$1,FALSE)</f>
        <v/>
      </c>
      <c r="E116" s="261">
        <f>VLOOKUP($A116, Sheet4!$A$2:$L$688, Consol_Thematic!E$1,FALSE)</f>
        <v/>
      </c>
      <c r="F116" s="261">
        <f>VLOOKUP($A116, Sheet4!$A$2:$L$688, Consol_Thematic!F$1,FALSE)</f>
        <v/>
      </c>
      <c r="G116" s="261">
        <f>VLOOKUP($A116, Sheet4!$A$2:$L$688, Consol_Thematic!G$1,FALSE)</f>
        <v/>
      </c>
      <c r="H116" s="261">
        <f>VLOOKUP($A116, Sheet4!$A$2:$L$688, Consol_Thematic!H$1,FALSE)</f>
        <v/>
      </c>
      <c r="I116" s="261">
        <f>VLOOKUP($A116, Sheet4!$A$2:$L$688, Consol_Thematic!I$1,FALSE)</f>
        <v/>
      </c>
      <c r="J116" s="261">
        <f>VLOOKUP($A116, Sheet4!$A$2:$L$688, Consol_Thematic!J$1,FALSE)</f>
        <v/>
      </c>
      <c r="K116" s="261">
        <f>(B116-MIN(B$3:B$23))/(MAX(B$3:B$23)-MIN(B$3:B$23))</f>
        <v/>
      </c>
      <c r="L116" s="261">
        <f>(MAX(H$3:H$23)-H116)/(MAX(H$3:H$23)-MIN(H$3:H$23))</f>
        <v/>
      </c>
      <c r="M116" s="261">
        <f>(C116-MIN(C$3:C$23))/(MAX(C$3:C$23)-MIN(C$3:C$23))</f>
        <v/>
      </c>
      <c r="N116" s="261">
        <f>(D116-MIN(D$3:D$23))/(MAX(D$3:D$23)-MIN(D$3:D$23))</f>
        <v/>
      </c>
      <c r="O116" s="261">
        <f>(MAX(J$3:J$23)-J116)/(MAX(J$3:J$23)-MIN(J$3:J$23))</f>
        <v/>
      </c>
      <c r="P116" s="261">
        <f>(E116-MIN(E$3:E$23))/(MAX(E$3:E$23)-MIN(E$3:E$23))</f>
        <v/>
      </c>
      <c r="Q116" s="261">
        <f>(F116-MIN(F$3:F$23))/(MAX(F$3:F$23)-MIN(F$3:F$23))</f>
        <v/>
      </c>
      <c r="R116" s="261">
        <f>(MAX(I$3:I$23)-I116)/(MAX(I$3:I$23)-MIN(I$3:I$23))</f>
        <v/>
      </c>
      <c r="S116" s="261">
        <f>(G116-MIN(G$3:G$23))/(MAX(G$3:G$23)-MIN(G$3:G$23))</f>
        <v/>
      </c>
      <c r="T116" s="261">
        <f>(K116*'Fund Ranking Criteria'!$J$9)+('Fund Ranking Criteria'!$J$10*Consol_Thematic!M116)+('Fund Ranking Criteria'!$J$12*Consol_Thematic!S116)+('Fund Ranking Criteria'!$J$14*Consol_Thematic!R116)+('Fund Ranking Criteria'!$J$15*Consol_Thematic!O116)+('Fund Ranking Criteria'!$J$16*Consol_Thematic!P116)+('Fund Ranking Criteria'!#REF!*Consol_Thematic!Q116)+('Fund Ranking Criteria'!#REF!*Consol_Thematic!L116)</f>
        <v/>
      </c>
      <c r="U116" s="261">
        <f>T116*1</f>
        <v/>
      </c>
      <c r="V116" s="261">
        <f>RANK(U116,$U$3:$U$157,0)</f>
        <v/>
      </c>
      <c r="W116" s="261">
        <f>A116</f>
        <v/>
      </c>
    </row>
    <row r="117">
      <c r="A117" s="261" t="inlineStr">
        <is>
          <t>Quantum Ethical Fund - Regular Plan</t>
        </is>
      </c>
      <c r="B117" s="261">
        <f>VLOOKUP($A117, Sheet4!$A$2:$L$688, Consol_Thematic!B$1,FALSE)</f>
        <v/>
      </c>
      <c r="C117" s="261">
        <f>VLOOKUP($A117, Sheet4!$A$2:$L$688, Consol_Thematic!C$1,FALSE)</f>
        <v/>
      </c>
      <c r="D117" s="261">
        <f>VLOOKUP($A117, Sheet4!$A$2:$L$688, Consol_Thematic!D$1,FALSE)</f>
        <v/>
      </c>
      <c r="E117" s="261">
        <f>VLOOKUP($A117, Sheet4!$A$2:$L$688, Consol_Thematic!E$1,FALSE)</f>
        <v/>
      </c>
      <c r="F117" s="261">
        <f>VLOOKUP($A117, Sheet4!$A$2:$L$688, Consol_Thematic!F$1,FALSE)</f>
        <v/>
      </c>
      <c r="G117" s="261">
        <f>VLOOKUP($A117, Sheet4!$A$2:$L$688, Consol_Thematic!G$1,FALSE)</f>
        <v/>
      </c>
      <c r="H117" s="261">
        <f>VLOOKUP($A117, Sheet4!$A$2:$L$688, Consol_Thematic!H$1,FALSE)</f>
        <v/>
      </c>
      <c r="I117" s="261">
        <f>VLOOKUP($A117, Sheet4!$A$2:$L$688, Consol_Thematic!I$1,FALSE)</f>
        <v/>
      </c>
      <c r="J117" s="261">
        <f>VLOOKUP($A117, Sheet4!$A$2:$L$688, Consol_Thematic!J$1,FALSE)</f>
        <v/>
      </c>
      <c r="K117" s="261">
        <f>(B117-MIN(B$3:B$23))/(MAX(B$3:B$23)-MIN(B$3:B$23))</f>
        <v/>
      </c>
      <c r="L117" s="261">
        <f>(MAX(H$3:H$23)-H117)/(MAX(H$3:H$23)-MIN(H$3:H$23))</f>
        <v/>
      </c>
      <c r="M117" s="261">
        <f>(C117-MIN(C$3:C$23))/(MAX(C$3:C$23)-MIN(C$3:C$23))</f>
        <v/>
      </c>
      <c r="N117" s="261">
        <f>(D117-MIN(D$3:D$23))/(MAX(D$3:D$23)-MIN(D$3:D$23))</f>
        <v/>
      </c>
      <c r="O117" s="261">
        <f>(MAX(J$3:J$23)-J117)/(MAX(J$3:J$23)-MIN(J$3:J$23))</f>
        <v/>
      </c>
      <c r="P117" s="261">
        <f>(E117-MIN(E$3:E$23))/(MAX(E$3:E$23)-MIN(E$3:E$23))</f>
        <v/>
      </c>
      <c r="Q117" s="261">
        <f>(F117-MIN(F$3:F$23))/(MAX(F$3:F$23)-MIN(F$3:F$23))</f>
        <v/>
      </c>
      <c r="R117" s="261">
        <f>(MAX(I$3:I$23)-I117)/(MAX(I$3:I$23)-MIN(I$3:I$23))</f>
        <v/>
      </c>
      <c r="S117" s="261">
        <f>(G117-MIN(G$3:G$23))/(MAX(G$3:G$23)-MIN(G$3:G$23))</f>
        <v/>
      </c>
      <c r="T117" s="261">
        <f>(K117*'Fund Ranking Criteria'!$J$9)+('Fund Ranking Criteria'!$J$10*Consol_Thematic!M117)+('Fund Ranking Criteria'!$J$12*Consol_Thematic!S117)+('Fund Ranking Criteria'!$J$14*Consol_Thematic!R117)+('Fund Ranking Criteria'!$J$15*Consol_Thematic!O117)+('Fund Ranking Criteria'!$J$16*Consol_Thematic!P117)+('Fund Ranking Criteria'!#REF!*Consol_Thematic!Q117)+('Fund Ranking Criteria'!#REF!*Consol_Thematic!L117)</f>
        <v/>
      </c>
      <c r="U117" s="261">
        <f>T117*1</f>
        <v/>
      </c>
      <c r="V117" s="261">
        <f>RANK(U117,$U$3:$U$157,0)</f>
        <v/>
      </c>
      <c r="W117" s="261">
        <f>A117</f>
        <v/>
      </c>
    </row>
    <row r="118">
      <c r="A118" s="261" t="inlineStr">
        <is>
          <t>Samco Active Momentum Fund - Regular Plan</t>
        </is>
      </c>
      <c r="B118" s="261">
        <f>VLOOKUP($A118, Sheet4!$A$2:$L$688, Consol_Thematic!B$1,FALSE)</f>
        <v/>
      </c>
      <c r="C118" s="261">
        <f>VLOOKUP($A118, Sheet4!$A$2:$L$688, Consol_Thematic!C$1,FALSE)</f>
        <v/>
      </c>
      <c r="D118" s="261">
        <f>VLOOKUP($A118, Sheet4!$A$2:$L$688, Consol_Thematic!D$1,FALSE)</f>
        <v/>
      </c>
      <c r="E118" s="261">
        <f>VLOOKUP($A118, Sheet4!$A$2:$L$688, Consol_Thematic!E$1,FALSE)</f>
        <v/>
      </c>
      <c r="F118" s="261">
        <f>VLOOKUP($A118, Sheet4!$A$2:$L$688, Consol_Thematic!F$1,FALSE)</f>
        <v/>
      </c>
      <c r="G118" s="261">
        <f>VLOOKUP($A118, Sheet4!$A$2:$L$688, Consol_Thematic!G$1,FALSE)</f>
        <v/>
      </c>
      <c r="H118" s="261">
        <f>VLOOKUP($A118, Sheet4!$A$2:$L$688, Consol_Thematic!H$1,FALSE)</f>
        <v/>
      </c>
      <c r="I118" s="261">
        <f>VLOOKUP($A118, Sheet4!$A$2:$L$688, Consol_Thematic!I$1,FALSE)</f>
        <v/>
      </c>
      <c r="J118" s="261">
        <f>VLOOKUP($A118, Sheet4!$A$2:$L$688, Consol_Thematic!J$1,FALSE)</f>
        <v/>
      </c>
      <c r="K118" s="261">
        <f>(B118-MIN(B$3:B$23))/(MAX(B$3:B$23)-MIN(B$3:B$23))</f>
        <v/>
      </c>
      <c r="L118" s="261">
        <f>(MAX(H$3:H$23)-H118)/(MAX(H$3:H$23)-MIN(H$3:H$23))</f>
        <v/>
      </c>
      <c r="M118" s="261">
        <f>(C118-MIN(C$3:C$23))/(MAX(C$3:C$23)-MIN(C$3:C$23))</f>
        <v/>
      </c>
      <c r="N118" s="261">
        <f>(D118-MIN(D$3:D$23))/(MAX(D$3:D$23)-MIN(D$3:D$23))</f>
        <v/>
      </c>
      <c r="O118" s="261">
        <f>(MAX(J$3:J$23)-J118)/(MAX(J$3:J$23)-MIN(J$3:J$23))</f>
        <v/>
      </c>
      <c r="P118" s="261">
        <f>(E118-MIN(E$3:E$23))/(MAX(E$3:E$23)-MIN(E$3:E$23))</f>
        <v/>
      </c>
      <c r="Q118" s="261">
        <f>(F118-MIN(F$3:F$23))/(MAX(F$3:F$23)-MIN(F$3:F$23))</f>
        <v/>
      </c>
      <c r="R118" s="261">
        <f>(MAX(I$3:I$23)-I118)/(MAX(I$3:I$23)-MIN(I$3:I$23))</f>
        <v/>
      </c>
      <c r="S118" s="261">
        <f>(G118-MIN(G$3:G$23))/(MAX(G$3:G$23)-MIN(G$3:G$23))</f>
        <v/>
      </c>
      <c r="T118" s="261">
        <f>(K118*'Fund Ranking Criteria'!$J$9)+('Fund Ranking Criteria'!$J$10*Consol_Thematic!M118)+('Fund Ranking Criteria'!$J$12*Consol_Thematic!S118)+('Fund Ranking Criteria'!$J$14*Consol_Thematic!R118)+('Fund Ranking Criteria'!$J$15*Consol_Thematic!O118)+('Fund Ranking Criteria'!$J$16*Consol_Thematic!P118)+('Fund Ranking Criteria'!#REF!*Consol_Thematic!Q118)+('Fund Ranking Criteria'!#REF!*Consol_Thematic!L118)</f>
        <v/>
      </c>
      <c r="U118" s="261">
        <f>T118*1</f>
        <v/>
      </c>
      <c r="V118" s="261">
        <f>RANK(U118,$U$3:$U$157,0)</f>
        <v/>
      </c>
      <c r="W118" s="261">
        <f>A118</f>
        <v/>
      </c>
    </row>
    <row r="119">
      <c r="A119" s="261" t="inlineStr">
        <is>
          <t>Samco Special Opportunities Fund - Regular Plan</t>
        </is>
      </c>
      <c r="B119" s="261">
        <f>VLOOKUP($A119, Sheet4!$A$2:$L$688, Consol_Thematic!B$1,FALSE)</f>
        <v/>
      </c>
      <c r="C119" s="261">
        <f>VLOOKUP($A119, Sheet4!$A$2:$L$688, Consol_Thematic!C$1,FALSE)</f>
        <v/>
      </c>
      <c r="D119" s="261">
        <f>VLOOKUP($A119, Sheet4!$A$2:$L$688, Consol_Thematic!D$1,FALSE)</f>
        <v/>
      </c>
      <c r="E119" s="261">
        <f>VLOOKUP($A119, Sheet4!$A$2:$L$688, Consol_Thematic!E$1,FALSE)</f>
        <v/>
      </c>
      <c r="F119" s="261">
        <f>VLOOKUP($A119, Sheet4!$A$2:$L$688, Consol_Thematic!F$1,FALSE)</f>
        <v/>
      </c>
      <c r="G119" s="261">
        <f>VLOOKUP($A119, Sheet4!$A$2:$L$688, Consol_Thematic!G$1,FALSE)</f>
        <v/>
      </c>
      <c r="H119" s="261">
        <f>VLOOKUP($A119, Sheet4!$A$2:$L$688, Consol_Thematic!H$1,FALSE)</f>
        <v/>
      </c>
      <c r="I119" s="261">
        <f>VLOOKUP($A119, Sheet4!$A$2:$L$688, Consol_Thematic!I$1,FALSE)</f>
        <v/>
      </c>
      <c r="J119" s="261">
        <f>VLOOKUP($A119, Sheet4!$A$2:$L$688, Consol_Thematic!J$1,FALSE)</f>
        <v/>
      </c>
      <c r="K119" s="261">
        <f>(B119-MIN(B$3:B$23))/(MAX(B$3:B$23)-MIN(B$3:B$23))</f>
        <v/>
      </c>
      <c r="L119" s="261">
        <f>(MAX(H$3:H$23)-H119)/(MAX(H$3:H$23)-MIN(H$3:H$23))</f>
        <v/>
      </c>
      <c r="M119" s="261">
        <f>(C119-MIN(C$3:C$23))/(MAX(C$3:C$23)-MIN(C$3:C$23))</f>
        <v/>
      </c>
      <c r="N119" s="261">
        <f>(D119-MIN(D$3:D$23))/(MAX(D$3:D$23)-MIN(D$3:D$23))</f>
        <v/>
      </c>
      <c r="O119" s="261">
        <f>(MAX(J$3:J$23)-J119)/(MAX(J$3:J$23)-MIN(J$3:J$23))</f>
        <v/>
      </c>
      <c r="P119" s="261">
        <f>(E119-MIN(E$3:E$23))/(MAX(E$3:E$23)-MIN(E$3:E$23))</f>
        <v/>
      </c>
      <c r="Q119" s="261">
        <f>(F119-MIN(F$3:F$23))/(MAX(F$3:F$23)-MIN(F$3:F$23))</f>
        <v/>
      </c>
      <c r="R119" s="261">
        <f>(MAX(I$3:I$23)-I119)/(MAX(I$3:I$23)-MIN(I$3:I$23))</f>
        <v/>
      </c>
      <c r="S119" s="261">
        <f>(G119-MIN(G$3:G$23))/(MAX(G$3:G$23)-MIN(G$3:G$23))</f>
        <v/>
      </c>
      <c r="T119" s="261">
        <f>(K119*'Fund Ranking Criteria'!$J$9)+('Fund Ranking Criteria'!$J$10*Consol_Thematic!M119)+('Fund Ranking Criteria'!$J$12*Consol_Thematic!S119)+('Fund Ranking Criteria'!$J$14*Consol_Thematic!R119)+('Fund Ranking Criteria'!$J$15*Consol_Thematic!O119)+('Fund Ranking Criteria'!$J$16*Consol_Thematic!P119)+('Fund Ranking Criteria'!#REF!*Consol_Thematic!Q119)+('Fund Ranking Criteria'!#REF!*Consol_Thematic!L119)</f>
        <v/>
      </c>
      <c r="U119" s="261">
        <f>T119*1</f>
        <v/>
      </c>
      <c r="V119" s="261">
        <f>RANK(U119,$U$3:$U$157,0)</f>
        <v/>
      </c>
      <c r="W119" s="261">
        <f>A119</f>
        <v/>
      </c>
    </row>
    <row r="120">
      <c r="A120" s="261" t="inlineStr">
        <is>
          <t>SBI Automotive Opportunities Fund - Regular Plan</t>
        </is>
      </c>
      <c r="B120" s="261">
        <f>VLOOKUP($A120, Sheet4!$A$2:$L$688, Consol_Thematic!B$1,FALSE)</f>
        <v/>
      </c>
      <c r="C120" s="261">
        <f>VLOOKUP($A120, Sheet4!$A$2:$L$688, Consol_Thematic!C$1,FALSE)</f>
        <v/>
      </c>
      <c r="D120" s="261">
        <f>VLOOKUP($A120, Sheet4!$A$2:$L$688, Consol_Thematic!D$1,FALSE)</f>
        <v/>
      </c>
      <c r="E120" s="261">
        <f>VLOOKUP($A120, Sheet4!$A$2:$L$688, Consol_Thematic!E$1,FALSE)</f>
        <v/>
      </c>
      <c r="F120" s="261">
        <f>VLOOKUP($A120, Sheet4!$A$2:$L$688, Consol_Thematic!F$1,FALSE)</f>
        <v/>
      </c>
      <c r="G120" s="261">
        <f>VLOOKUP($A120, Sheet4!$A$2:$L$688, Consol_Thematic!G$1,FALSE)</f>
        <v/>
      </c>
      <c r="H120" s="261">
        <f>VLOOKUP($A120, Sheet4!$A$2:$L$688, Consol_Thematic!H$1,FALSE)</f>
        <v/>
      </c>
      <c r="I120" s="261">
        <f>VLOOKUP($A120, Sheet4!$A$2:$L$688, Consol_Thematic!I$1,FALSE)</f>
        <v/>
      </c>
      <c r="J120" s="261">
        <f>VLOOKUP($A120, Sheet4!$A$2:$L$688, Consol_Thematic!J$1,FALSE)</f>
        <v/>
      </c>
      <c r="K120" s="261">
        <f>(B120-MIN(B$3:B$23))/(MAX(B$3:B$23)-MIN(B$3:B$23))</f>
        <v/>
      </c>
      <c r="L120" s="261">
        <f>(MAX(H$3:H$23)-H120)/(MAX(H$3:H$23)-MIN(H$3:H$23))</f>
        <v/>
      </c>
      <c r="M120" s="261">
        <f>(C120-MIN(C$3:C$23))/(MAX(C$3:C$23)-MIN(C$3:C$23))</f>
        <v/>
      </c>
      <c r="N120" s="261">
        <f>(D120-MIN(D$3:D$23))/(MAX(D$3:D$23)-MIN(D$3:D$23))</f>
        <v/>
      </c>
      <c r="O120" s="261">
        <f>(MAX(J$3:J$23)-J120)/(MAX(J$3:J$23)-MIN(J$3:J$23))</f>
        <v/>
      </c>
      <c r="P120" s="261">
        <f>(E120-MIN(E$3:E$23))/(MAX(E$3:E$23)-MIN(E$3:E$23))</f>
        <v/>
      </c>
      <c r="Q120" s="261">
        <f>(F120-MIN(F$3:F$23))/(MAX(F$3:F$23)-MIN(F$3:F$23))</f>
        <v/>
      </c>
      <c r="R120" s="261">
        <f>(MAX(I$3:I$23)-I120)/(MAX(I$3:I$23)-MIN(I$3:I$23))</f>
        <v/>
      </c>
      <c r="S120" s="261">
        <f>(G120-MIN(G$3:G$23))/(MAX(G$3:G$23)-MIN(G$3:G$23))</f>
        <v/>
      </c>
      <c r="T120" s="261">
        <f>(K120*'Fund Ranking Criteria'!$J$9)+('Fund Ranking Criteria'!$J$10*Consol_Thematic!M120)+('Fund Ranking Criteria'!$J$12*Consol_Thematic!S120)+('Fund Ranking Criteria'!$J$14*Consol_Thematic!R120)+('Fund Ranking Criteria'!$J$15*Consol_Thematic!O120)+('Fund Ranking Criteria'!$J$16*Consol_Thematic!P120)+('Fund Ranking Criteria'!#REF!*Consol_Thematic!Q120)+('Fund Ranking Criteria'!#REF!*Consol_Thematic!L120)</f>
        <v/>
      </c>
      <c r="U120" s="261">
        <f>T120*1</f>
        <v/>
      </c>
      <c r="V120" s="261">
        <f>RANK(U120,$U$3:$U$157,0)</f>
        <v/>
      </c>
      <c r="W120" s="261">
        <f>A120</f>
        <v/>
      </c>
    </row>
    <row r="121">
      <c r="A121" s="261" t="inlineStr">
        <is>
          <t>SBI Consumption Opportunities Fund</t>
        </is>
      </c>
      <c r="B121" s="261">
        <f>VLOOKUP($A121, Sheet4!$A$2:$L$688, Consol_Thematic!B$1,FALSE)</f>
        <v/>
      </c>
      <c r="C121" s="261">
        <f>VLOOKUP($A121, Sheet4!$A$2:$L$688, Consol_Thematic!C$1,FALSE)</f>
        <v/>
      </c>
      <c r="D121" s="261">
        <f>VLOOKUP($A121, Sheet4!$A$2:$L$688, Consol_Thematic!D$1,FALSE)</f>
        <v/>
      </c>
      <c r="E121" s="261">
        <f>VLOOKUP($A121, Sheet4!$A$2:$L$688, Consol_Thematic!E$1,FALSE)</f>
        <v/>
      </c>
      <c r="F121" s="261">
        <f>VLOOKUP($A121, Sheet4!$A$2:$L$688, Consol_Thematic!F$1,FALSE)</f>
        <v/>
      </c>
      <c r="G121" s="261">
        <f>VLOOKUP($A121, Sheet4!$A$2:$L$688, Consol_Thematic!G$1,FALSE)</f>
        <v/>
      </c>
      <c r="H121" s="261">
        <f>VLOOKUP($A121, Sheet4!$A$2:$L$688, Consol_Thematic!H$1,FALSE)</f>
        <v/>
      </c>
      <c r="I121" s="261">
        <f>VLOOKUP($A121, Sheet4!$A$2:$L$688, Consol_Thematic!I$1,FALSE)</f>
        <v/>
      </c>
      <c r="J121" s="261">
        <f>VLOOKUP($A121, Sheet4!$A$2:$L$688, Consol_Thematic!J$1,FALSE)</f>
        <v/>
      </c>
      <c r="K121" s="261">
        <f>(B121-MIN(B$3:B$23))/(MAX(B$3:B$23)-MIN(B$3:B$23))</f>
        <v/>
      </c>
      <c r="L121" s="261">
        <f>(MAX(H$3:H$23)-H121)/(MAX(H$3:H$23)-MIN(H$3:H$23))</f>
        <v/>
      </c>
      <c r="M121" s="261">
        <f>(C121-MIN(C$3:C$23))/(MAX(C$3:C$23)-MIN(C$3:C$23))</f>
        <v/>
      </c>
      <c r="N121" s="261">
        <f>(D121-MIN(D$3:D$23))/(MAX(D$3:D$23)-MIN(D$3:D$23))</f>
        <v/>
      </c>
      <c r="O121" s="261">
        <f>(MAX(J$3:J$23)-J121)/(MAX(J$3:J$23)-MIN(J$3:J$23))</f>
        <v/>
      </c>
      <c r="P121" s="261">
        <f>(E121-MIN(E$3:E$23))/(MAX(E$3:E$23)-MIN(E$3:E$23))</f>
        <v/>
      </c>
      <c r="Q121" s="261">
        <f>(F121-MIN(F$3:F$23))/(MAX(F$3:F$23)-MIN(F$3:F$23))</f>
        <v/>
      </c>
      <c r="R121" s="261">
        <f>(MAX(I$3:I$23)-I121)/(MAX(I$3:I$23)-MIN(I$3:I$23))</f>
        <v/>
      </c>
      <c r="S121" s="261">
        <f>(G121-MIN(G$3:G$23))/(MAX(G$3:G$23)-MIN(G$3:G$23))</f>
        <v/>
      </c>
      <c r="T121" s="261">
        <f>(K121*'Fund Ranking Criteria'!$J$9)+('Fund Ranking Criteria'!$J$10*Consol_Thematic!M121)+('Fund Ranking Criteria'!$J$12*Consol_Thematic!S121)+('Fund Ranking Criteria'!$J$14*Consol_Thematic!R121)+('Fund Ranking Criteria'!$J$15*Consol_Thematic!O121)+('Fund Ranking Criteria'!$J$16*Consol_Thematic!P121)+('Fund Ranking Criteria'!#REF!*Consol_Thematic!Q121)+('Fund Ranking Criteria'!#REF!*Consol_Thematic!L121)</f>
        <v/>
      </c>
      <c r="U121" s="261">
        <f>T121*1</f>
        <v/>
      </c>
      <c r="V121" s="261">
        <f>RANK(U121,$U$3:$U$157,0)</f>
        <v/>
      </c>
      <c r="W121" s="261">
        <f>A121</f>
        <v/>
      </c>
    </row>
    <row r="122">
      <c r="A122" s="261" t="inlineStr">
        <is>
          <t>SBI Dividend Yield Fund - Regular Plan</t>
        </is>
      </c>
      <c r="B122" s="261">
        <f>VLOOKUP($A122, Sheet4!$A$2:$L$688, Consol_Thematic!B$1,FALSE)</f>
        <v/>
      </c>
      <c r="C122" s="261">
        <f>VLOOKUP($A122, Sheet4!$A$2:$L$688, Consol_Thematic!C$1,FALSE)</f>
        <v/>
      </c>
      <c r="D122" s="261">
        <f>VLOOKUP($A122, Sheet4!$A$2:$L$688, Consol_Thematic!D$1,FALSE)</f>
        <v/>
      </c>
      <c r="E122" s="261">
        <f>VLOOKUP($A122, Sheet4!$A$2:$L$688, Consol_Thematic!E$1,FALSE)</f>
        <v/>
      </c>
      <c r="F122" s="261">
        <f>VLOOKUP($A122, Sheet4!$A$2:$L$688, Consol_Thematic!F$1,FALSE)</f>
        <v/>
      </c>
      <c r="G122" s="261">
        <f>VLOOKUP($A122, Sheet4!$A$2:$L$688, Consol_Thematic!G$1,FALSE)</f>
        <v/>
      </c>
      <c r="H122" s="261">
        <f>VLOOKUP($A122, Sheet4!$A$2:$L$688, Consol_Thematic!H$1,FALSE)</f>
        <v/>
      </c>
      <c r="I122" s="261">
        <f>VLOOKUP($A122, Sheet4!$A$2:$L$688, Consol_Thematic!I$1,FALSE)</f>
        <v/>
      </c>
      <c r="J122" s="261">
        <f>VLOOKUP($A122, Sheet4!$A$2:$L$688, Consol_Thematic!J$1,FALSE)</f>
        <v/>
      </c>
      <c r="K122" s="261">
        <f>(B122-MIN(B$3:B$23))/(MAX(B$3:B$23)-MIN(B$3:B$23))</f>
        <v/>
      </c>
      <c r="L122" s="261">
        <f>(MAX(H$3:H$23)-H122)/(MAX(H$3:H$23)-MIN(H$3:H$23))</f>
        <v/>
      </c>
      <c r="M122" s="261">
        <f>(C122-MIN(C$3:C$23))/(MAX(C$3:C$23)-MIN(C$3:C$23))</f>
        <v/>
      </c>
      <c r="N122" s="261">
        <f>(D122-MIN(D$3:D$23))/(MAX(D$3:D$23)-MIN(D$3:D$23))</f>
        <v/>
      </c>
      <c r="O122" s="261">
        <f>(MAX(J$3:J$23)-J122)/(MAX(J$3:J$23)-MIN(J$3:J$23))</f>
        <v/>
      </c>
      <c r="P122" s="261">
        <f>(E122-MIN(E$3:E$23))/(MAX(E$3:E$23)-MIN(E$3:E$23))</f>
        <v/>
      </c>
      <c r="Q122" s="261">
        <f>(F122-MIN(F$3:F$23))/(MAX(F$3:F$23)-MIN(F$3:F$23))</f>
        <v/>
      </c>
      <c r="R122" s="261">
        <f>(MAX(I$3:I$23)-I122)/(MAX(I$3:I$23)-MIN(I$3:I$23))</f>
        <v/>
      </c>
      <c r="S122" s="261">
        <f>(G122-MIN(G$3:G$23))/(MAX(G$3:G$23)-MIN(G$3:G$23))</f>
        <v/>
      </c>
      <c r="T122" s="261">
        <f>(K122*'Fund Ranking Criteria'!$J$9)+('Fund Ranking Criteria'!$J$10*Consol_Thematic!M122)+('Fund Ranking Criteria'!$J$12*Consol_Thematic!S122)+('Fund Ranking Criteria'!$J$14*Consol_Thematic!R122)+('Fund Ranking Criteria'!$J$15*Consol_Thematic!O122)+('Fund Ranking Criteria'!$J$16*Consol_Thematic!P122)+('Fund Ranking Criteria'!#REF!*Consol_Thematic!Q122)+('Fund Ranking Criteria'!#REF!*Consol_Thematic!L122)</f>
        <v/>
      </c>
      <c r="U122" s="261">
        <f>T122*1</f>
        <v/>
      </c>
      <c r="V122" s="261">
        <f>RANK(U122,$U$3:$U$157,0)</f>
        <v/>
      </c>
      <c r="W122" s="261">
        <f>A122</f>
        <v/>
      </c>
    </row>
    <row r="123">
      <c r="A123" s="261" t="inlineStr">
        <is>
          <t>SBI Energy Opportunities Fund - Regular Plan</t>
        </is>
      </c>
      <c r="B123" s="261">
        <f>VLOOKUP($A123, Sheet4!$A$2:$L$688, Consol_Thematic!B$1,FALSE)</f>
        <v/>
      </c>
      <c r="C123" s="261">
        <f>VLOOKUP($A123, Sheet4!$A$2:$L$688, Consol_Thematic!C$1,FALSE)</f>
        <v/>
      </c>
      <c r="D123" s="261">
        <f>VLOOKUP($A123, Sheet4!$A$2:$L$688, Consol_Thematic!D$1,FALSE)</f>
        <v/>
      </c>
      <c r="E123" s="261">
        <f>VLOOKUP($A123, Sheet4!$A$2:$L$688, Consol_Thematic!E$1,FALSE)</f>
        <v/>
      </c>
      <c r="F123" s="261">
        <f>VLOOKUP($A123, Sheet4!$A$2:$L$688, Consol_Thematic!F$1,FALSE)</f>
        <v/>
      </c>
      <c r="G123" s="261">
        <f>VLOOKUP($A123, Sheet4!$A$2:$L$688, Consol_Thematic!G$1,FALSE)</f>
        <v/>
      </c>
      <c r="H123" s="261">
        <f>VLOOKUP($A123, Sheet4!$A$2:$L$688, Consol_Thematic!H$1,FALSE)</f>
        <v/>
      </c>
      <c r="I123" s="261">
        <f>VLOOKUP($A123, Sheet4!$A$2:$L$688, Consol_Thematic!I$1,FALSE)</f>
        <v/>
      </c>
      <c r="J123" s="261">
        <f>VLOOKUP($A123, Sheet4!$A$2:$L$688, Consol_Thematic!J$1,FALSE)</f>
        <v/>
      </c>
      <c r="K123" s="261">
        <f>(B123-MIN(B$3:B$23))/(MAX(B$3:B$23)-MIN(B$3:B$23))</f>
        <v/>
      </c>
      <c r="L123" s="261">
        <f>(MAX(H$3:H$23)-H123)/(MAX(H$3:H$23)-MIN(H$3:H$23))</f>
        <v/>
      </c>
      <c r="M123" s="261">
        <f>(C123-MIN(C$3:C$23))/(MAX(C$3:C$23)-MIN(C$3:C$23))</f>
        <v/>
      </c>
      <c r="N123" s="261">
        <f>(D123-MIN(D$3:D$23))/(MAX(D$3:D$23)-MIN(D$3:D$23))</f>
        <v/>
      </c>
      <c r="O123" s="261">
        <f>(MAX(J$3:J$23)-J123)/(MAX(J$3:J$23)-MIN(J$3:J$23))</f>
        <v/>
      </c>
      <c r="P123" s="261">
        <f>(E123-MIN(E$3:E$23))/(MAX(E$3:E$23)-MIN(E$3:E$23))</f>
        <v/>
      </c>
      <c r="Q123" s="261">
        <f>(F123-MIN(F$3:F$23))/(MAX(F$3:F$23)-MIN(F$3:F$23))</f>
        <v/>
      </c>
      <c r="R123" s="261">
        <f>(MAX(I$3:I$23)-I123)/(MAX(I$3:I$23)-MIN(I$3:I$23))</f>
        <v/>
      </c>
      <c r="S123" s="261">
        <f>(G123-MIN(G$3:G$23))/(MAX(G$3:G$23)-MIN(G$3:G$23))</f>
        <v/>
      </c>
      <c r="T123" s="261">
        <f>(K123*'Fund Ranking Criteria'!$J$9)+('Fund Ranking Criteria'!$J$10*Consol_Thematic!M123)+('Fund Ranking Criteria'!$J$12*Consol_Thematic!S123)+('Fund Ranking Criteria'!$J$14*Consol_Thematic!R123)+('Fund Ranking Criteria'!$J$15*Consol_Thematic!O123)+('Fund Ranking Criteria'!$J$16*Consol_Thematic!P123)+('Fund Ranking Criteria'!#REF!*Consol_Thematic!Q123)+('Fund Ranking Criteria'!#REF!*Consol_Thematic!L123)</f>
        <v/>
      </c>
      <c r="U123" s="261">
        <f>T123*1</f>
        <v/>
      </c>
      <c r="V123" s="261">
        <f>RANK(U123,$U$3:$U$157,0)</f>
        <v/>
      </c>
      <c r="W123" s="261">
        <f>A123</f>
        <v/>
      </c>
    </row>
    <row r="124">
      <c r="A124" s="261" t="inlineStr">
        <is>
          <t>SBI Equity Minimum Variance Fund - Regular Plan</t>
        </is>
      </c>
      <c r="B124" s="261">
        <f>VLOOKUP($A124, Sheet4!$A$2:$L$688, Consol_Thematic!B$1,FALSE)</f>
        <v/>
      </c>
      <c r="C124" s="261">
        <f>VLOOKUP($A124, Sheet4!$A$2:$L$688, Consol_Thematic!C$1,FALSE)</f>
        <v/>
      </c>
      <c r="D124" s="261">
        <f>VLOOKUP($A124, Sheet4!$A$2:$L$688, Consol_Thematic!D$1,FALSE)</f>
        <v/>
      </c>
      <c r="E124" s="261">
        <f>VLOOKUP($A124, Sheet4!$A$2:$L$688, Consol_Thematic!E$1,FALSE)</f>
        <v/>
      </c>
      <c r="F124" s="261">
        <f>VLOOKUP($A124, Sheet4!$A$2:$L$688, Consol_Thematic!F$1,FALSE)</f>
        <v/>
      </c>
      <c r="G124" s="261">
        <f>VLOOKUP($A124, Sheet4!$A$2:$L$688, Consol_Thematic!G$1,FALSE)</f>
        <v/>
      </c>
      <c r="H124" s="261">
        <f>VLOOKUP($A124, Sheet4!$A$2:$L$688, Consol_Thematic!H$1,FALSE)</f>
        <v/>
      </c>
      <c r="I124" s="261">
        <f>VLOOKUP($A124, Sheet4!$A$2:$L$688, Consol_Thematic!I$1,FALSE)</f>
        <v/>
      </c>
      <c r="J124" s="261">
        <f>VLOOKUP($A124, Sheet4!$A$2:$L$688, Consol_Thematic!J$1,FALSE)</f>
        <v/>
      </c>
      <c r="K124" s="261">
        <f>(B124-MIN(B$3:B$23))/(MAX(B$3:B$23)-MIN(B$3:B$23))</f>
        <v/>
      </c>
      <c r="L124" s="261">
        <f>(MAX(H$3:H$23)-H124)/(MAX(H$3:H$23)-MIN(H$3:H$23))</f>
        <v/>
      </c>
      <c r="M124" s="261">
        <f>(C124-MIN(C$3:C$23))/(MAX(C$3:C$23)-MIN(C$3:C$23))</f>
        <v/>
      </c>
      <c r="N124" s="261">
        <f>(D124-MIN(D$3:D$23))/(MAX(D$3:D$23)-MIN(D$3:D$23))</f>
        <v/>
      </c>
      <c r="O124" s="261">
        <f>(MAX(J$3:J$23)-J124)/(MAX(J$3:J$23)-MIN(J$3:J$23))</f>
        <v/>
      </c>
      <c r="P124" s="261">
        <f>(E124-MIN(E$3:E$23))/(MAX(E$3:E$23)-MIN(E$3:E$23))</f>
        <v/>
      </c>
      <c r="Q124" s="261">
        <f>(F124-MIN(F$3:F$23))/(MAX(F$3:F$23)-MIN(F$3:F$23))</f>
        <v/>
      </c>
      <c r="R124" s="261">
        <f>(MAX(I$3:I$23)-I124)/(MAX(I$3:I$23)-MIN(I$3:I$23))</f>
        <v/>
      </c>
      <c r="S124" s="261">
        <f>(G124-MIN(G$3:G$23))/(MAX(G$3:G$23)-MIN(G$3:G$23))</f>
        <v/>
      </c>
      <c r="T124" s="261">
        <f>(K124*'Fund Ranking Criteria'!$J$9)+('Fund Ranking Criteria'!$J$10*Consol_Thematic!M124)+('Fund Ranking Criteria'!$J$12*Consol_Thematic!S124)+('Fund Ranking Criteria'!$J$14*Consol_Thematic!R124)+('Fund Ranking Criteria'!$J$15*Consol_Thematic!O124)+('Fund Ranking Criteria'!$J$16*Consol_Thematic!P124)+('Fund Ranking Criteria'!#REF!*Consol_Thematic!Q124)+('Fund Ranking Criteria'!#REF!*Consol_Thematic!L124)</f>
        <v/>
      </c>
      <c r="U124" s="261">
        <f>T124*1</f>
        <v/>
      </c>
      <c r="V124" s="261">
        <f>RANK(U124,$U$3:$U$157,0)</f>
        <v/>
      </c>
      <c r="W124" s="261">
        <f>A124</f>
        <v/>
      </c>
    </row>
    <row r="125">
      <c r="A125" s="261" t="inlineStr">
        <is>
          <t>SBI ESG Exclusionary Strategy Fund</t>
        </is>
      </c>
      <c r="B125" s="261">
        <f>VLOOKUP($A125, Sheet4!$A$2:$L$688, Consol_Thematic!B$1,FALSE)</f>
        <v/>
      </c>
      <c r="C125" s="261">
        <f>VLOOKUP($A125, Sheet4!$A$2:$L$688, Consol_Thematic!C$1,FALSE)</f>
        <v/>
      </c>
      <c r="D125" s="261">
        <f>VLOOKUP($A125, Sheet4!$A$2:$L$688, Consol_Thematic!D$1,FALSE)</f>
        <v/>
      </c>
      <c r="E125" s="261">
        <f>VLOOKUP($A125, Sheet4!$A$2:$L$688, Consol_Thematic!E$1,FALSE)</f>
        <v/>
      </c>
      <c r="F125" s="261">
        <f>VLOOKUP($A125, Sheet4!$A$2:$L$688, Consol_Thematic!F$1,FALSE)</f>
        <v/>
      </c>
      <c r="G125" s="261">
        <f>VLOOKUP($A125, Sheet4!$A$2:$L$688, Consol_Thematic!G$1,FALSE)</f>
        <v/>
      </c>
      <c r="H125" s="261">
        <f>VLOOKUP($A125, Sheet4!$A$2:$L$688, Consol_Thematic!H$1,FALSE)</f>
        <v/>
      </c>
      <c r="I125" s="261">
        <f>VLOOKUP($A125, Sheet4!$A$2:$L$688, Consol_Thematic!I$1,FALSE)</f>
        <v/>
      </c>
      <c r="J125" s="261">
        <f>VLOOKUP($A125, Sheet4!$A$2:$L$688, Consol_Thematic!J$1,FALSE)</f>
        <v/>
      </c>
      <c r="K125" s="261">
        <f>(B125-MIN(B$3:B$23))/(MAX(B$3:B$23)-MIN(B$3:B$23))</f>
        <v/>
      </c>
      <c r="L125" s="261">
        <f>(MAX(H$3:H$23)-H125)/(MAX(H$3:H$23)-MIN(H$3:H$23))</f>
        <v/>
      </c>
      <c r="M125" s="261">
        <f>(C125-MIN(C$3:C$23))/(MAX(C$3:C$23)-MIN(C$3:C$23))</f>
        <v/>
      </c>
      <c r="N125" s="261">
        <f>(D125-MIN(D$3:D$23))/(MAX(D$3:D$23)-MIN(D$3:D$23))</f>
        <v/>
      </c>
      <c r="O125" s="261">
        <f>(MAX(J$3:J$23)-J125)/(MAX(J$3:J$23)-MIN(J$3:J$23))</f>
        <v/>
      </c>
      <c r="P125" s="261">
        <f>(E125-MIN(E$3:E$23))/(MAX(E$3:E$23)-MIN(E$3:E$23))</f>
        <v/>
      </c>
      <c r="Q125" s="261">
        <f>(F125-MIN(F$3:F$23))/(MAX(F$3:F$23)-MIN(F$3:F$23))</f>
        <v/>
      </c>
      <c r="R125" s="261">
        <f>(MAX(I$3:I$23)-I125)/(MAX(I$3:I$23)-MIN(I$3:I$23))</f>
        <v/>
      </c>
      <c r="S125" s="261">
        <f>(G125-MIN(G$3:G$23))/(MAX(G$3:G$23)-MIN(G$3:G$23))</f>
        <v/>
      </c>
      <c r="T125" s="261">
        <f>(K125*'Fund Ranking Criteria'!$J$9)+('Fund Ranking Criteria'!$J$10*Consol_Thematic!M125)+('Fund Ranking Criteria'!$J$12*Consol_Thematic!S125)+('Fund Ranking Criteria'!$J$14*Consol_Thematic!R125)+('Fund Ranking Criteria'!$J$15*Consol_Thematic!O125)+('Fund Ranking Criteria'!$J$16*Consol_Thematic!P125)+('Fund Ranking Criteria'!#REF!*Consol_Thematic!Q125)+('Fund Ranking Criteria'!#REF!*Consol_Thematic!L125)</f>
        <v/>
      </c>
      <c r="U125" s="261">
        <f>T125*1</f>
        <v/>
      </c>
      <c r="V125" s="261">
        <f>RANK(U125,$U$3:$U$157,0)</f>
        <v/>
      </c>
      <c r="W125" s="261">
        <f>A125</f>
        <v/>
      </c>
    </row>
    <row r="126">
      <c r="A126" s="261" t="inlineStr">
        <is>
          <t>SBI Innovative Opportunities Fund - Regular Plan</t>
        </is>
      </c>
      <c r="B126" s="261">
        <f>VLOOKUP($A126, Sheet4!$A$2:$L$688, Consol_Thematic!B$1,FALSE)</f>
        <v/>
      </c>
      <c r="C126" s="261">
        <f>VLOOKUP($A126, Sheet4!$A$2:$L$688, Consol_Thematic!C$1,FALSE)</f>
        <v/>
      </c>
      <c r="D126" s="261">
        <f>VLOOKUP($A126, Sheet4!$A$2:$L$688, Consol_Thematic!D$1,FALSE)</f>
        <v/>
      </c>
      <c r="E126" s="261">
        <f>VLOOKUP($A126, Sheet4!$A$2:$L$688, Consol_Thematic!E$1,FALSE)</f>
        <v/>
      </c>
      <c r="F126" s="261">
        <f>VLOOKUP($A126, Sheet4!$A$2:$L$688, Consol_Thematic!F$1,FALSE)</f>
        <v/>
      </c>
      <c r="G126" s="261">
        <f>VLOOKUP($A126, Sheet4!$A$2:$L$688, Consol_Thematic!G$1,FALSE)</f>
        <v/>
      </c>
      <c r="H126" s="261">
        <f>VLOOKUP($A126, Sheet4!$A$2:$L$688, Consol_Thematic!H$1,FALSE)</f>
        <v/>
      </c>
      <c r="I126" s="261">
        <f>VLOOKUP($A126, Sheet4!$A$2:$L$688, Consol_Thematic!I$1,FALSE)</f>
        <v/>
      </c>
      <c r="J126" s="261">
        <f>VLOOKUP($A126, Sheet4!$A$2:$L$688, Consol_Thematic!J$1,FALSE)</f>
        <v/>
      </c>
      <c r="K126" s="261">
        <f>(B126-MIN(B$3:B$23))/(MAX(B$3:B$23)-MIN(B$3:B$23))</f>
        <v/>
      </c>
      <c r="L126" s="261">
        <f>(MAX(H$3:H$23)-H126)/(MAX(H$3:H$23)-MIN(H$3:H$23))</f>
        <v/>
      </c>
      <c r="M126" s="261">
        <f>(C126-MIN(C$3:C$23))/(MAX(C$3:C$23)-MIN(C$3:C$23))</f>
        <v/>
      </c>
      <c r="N126" s="261">
        <f>(D126-MIN(D$3:D$23))/(MAX(D$3:D$23)-MIN(D$3:D$23))</f>
        <v/>
      </c>
      <c r="O126" s="261">
        <f>(MAX(J$3:J$23)-J126)/(MAX(J$3:J$23)-MIN(J$3:J$23))</f>
        <v/>
      </c>
      <c r="P126" s="261">
        <f>(E126-MIN(E$3:E$23))/(MAX(E$3:E$23)-MIN(E$3:E$23))</f>
        <v/>
      </c>
      <c r="Q126" s="261">
        <f>(F126-MIN(F$3:F$23))/(MAX(F$3:F$23)-MIN(F$3:F$23))</f>
        <v/>
      </c>
      <c r="R126" s="261">
        <f>(MAX(I$3:I$23)-I126)/(MAX(I$3:I$23)-MIN(I$3:I$23))</f>
        <v/>
      </c>
      <c r="S126" s="261">
        <f>(G126-MIN(G$3:G$23))/(MAX(G$3:G$23)-MIN(G$3:G$23))</f>
        <v/>
      </c>
      <c r="T126" s="261">
        <f>(K126*'Fund Ranking Criteria'!$J$9)+('Fund Ranking Criteria'!$J$10*Consol_Thematic!M126)+('Fund Ranking Criteria'!$J$12*Consol_Thematic!S126)+('Fund Ranking Criteria'!$J$14*Consol_Thematic!R126)+('Fund Ranking Criteria'!$J$15*Consol_Thematic!O126)+('Fund Ranking Criteria'!$J$16*Consol_Thematic!P126)+('Fund Ranking Criteria'!#REF!*Consol_Thematic!Q126)+('Fund Ranking Criteria'!#REF!*Consol_Thematic!L126)</f>
        <v/>
      </c>
      <c r="U126" s="261">
        <f>T126*1</f>
        <v/>
      </c>
      <c r="V126" s="261">
        <f>RANK(U126,$U$3:$U$157,0)</f>
        <v/>
      </c>
      <c r="W126" s="261">
        <f>A126</f>
        <v/>
      </c>
    </row>
    <row r="127">
      <c r="A127" s="261" t="inlineStr">
        <is>
          <t>SBI Magnum COMMA Fund</t>
        </is>
      </c>
      <c r="B127" s="261">
        <f>VLOOKUP($A127, Sheet4!$A$2:$L$688, Consol_Thematic!B$1,FALSE)</f>
        <v/>
      </c>
      <c r="C127" s="261">
        <f>VLOOKUP($A127, Sheet4!$A$2:$L$688, Consol_Thematic!C$1,FALSE)</f>
        <v/>
      </c>
      <c r="D127" s="261">
        <f>VLOOKUP($A127, Sheet4!$A$2:$L$688, Consol_Thematic!D$1,FALSE)</f>
        <v/>
      </c>
      <c r="E127" s="261">
        <f>VLOOKUP($A127, Sheet4!$A$2:$L$688, Consol_Thematic!E$1,FALSE)</f>
        <v/>
      </c>
      <c r="F127" s="261">
        <f>VLOOKUP($A127, Sheet4!$A$2:$L$688, Consol_Thematic!F$1,FALSE)</f>
        <v/>
      </c>
      <c r="G127" s="261">
        <f>VLOOKUP($A127, Sheet4!$A$2:$L$688, Consol_Thematic!G$1,FALSE)</f>
        <v/>
      </c>
      <c r="H127" s="261">
        <f>VLOOKUP($A127, Sheet4!$A$2:$L$688, Consol_Thematic!H$1,FALSE)</f>
        <v/>
      </c>
      <c r="I127" s="261">
        <f>VLOOKUP($A127, Sheet4!$A$2:$L$688, Consol_Thematic!I$1,FALSE)</f>
        <v/>
      </c>
      <c r="J127" s="261">
        <f>VLOOKUP($A127, Sheet4!$A$2:$L$688, Consol_Thematic!J$1,FALSE)</f>
        <v/>
      </c>
      <c r="K127" s="261">
        <f>(B127-MIN(B$3:B$23))/(MAX(B$3:B$23)-MIN(B$3:B$23))</f>
        <v/>
      </c>
      <c r="L127" s="261">
        <f>(MAX(H$3:H$23)-H127)/(MAX(H$3:H$23)-MIN(H$3:H$23))</f>
        <v/>
      </c>
      <c r="M127" s="261">
        <f>(C127-MIN(C$3:C$23))/(MAX(C$3:C$23)-MIN(C$3:C$23))</f>
        <v/>
      </c>
      <c r="N127" s="261">
        <f>(D127-MIN(D$3:D$23))/(MAX(D$3:D$23)-MIN(D$3:D$23))</f>
        <v/>
      </c>
      <c r="O127" s="261">
        <f>(MAX(J$3:J$23)-J127)/(MAX(J$3:J$23)-MIN(J$3:J$23))</f>
        <v/>
      </c>
      <c r="P127" s="261">
        <f>(E127-MIN(E$3:E$23))/(MAX(E$3:E$23)-MIN(E$3:E$23))</f>
        <v/>
      </c>
      <c r="Q127" s="261">
        <f>(F127-MIN(F$3:F$23))/(MAX(F$3:F$23)-MIN(F$3:F$23))</f>
        <v/>
      </c>
      <c r="R127" s="261">
        <f>(MAX(I$3:I$23)-I127)/(MAX(I$3:I$23)-MIN(I$3:I$23))</f>
        <v/>
      </c>
      <c r="S127" s="261">
        <f>(G127-MIN(G$3:G$23))/(MAX(G$3:G$23)-MIN(G$3:G$23))</f>
        <v/>
      </c>
      <c r="T127" s="261">
        <f>(K127*'Fund Ranking Criteria'!$J$9)+('Fund Ranking Criteria'!$J$10*Consol_Thematic!M127)+('Fund Ranking Criteria'!$J$12*Consol_Thematic!S127)+('Fund Ranking Criteria'!$J$14*Consol_Thematic!R127)+('Fund Ranking Criteria'!$J$15*Consol_Thematic!O127)+('Fund Ranking Criteria'!$J$16*Consol_Thematic!P127)+('Fund Ranking Criteria'!#REF!*Consol_Thematic!Q127)+('Fund Ranking Criteria'!#REF!*Consol_Thematic!L127)</f>
        <v/>
      </c>
      <c r="U127" s="261">
        <f>T127*1</f>
        <v/>
      </c>
      <c r="V127" s="261">
        <f>RANK(U127,$U$3:$U$157,0)</f>
        <v/>
      </c>
      <c r="W127" s="261">
        <f>A127</f>
        <v/>
      </c>
    </row>
    <row r="128">
      <c r="A128" s="261" t="inlineStr">
        <is>
          <t>SBI Magnum Global Fund</t>
        </is>
      </c>
      <c r="B128" s="261">
        <f>VLOOKUP($A128, Sheet4!$A$2:$L$688, Consol_Thematic!B$1,FALSE)</f>
        <v/>
      </c>
      <c r="C128" s="261">
        <f>VLOOKUP($A128, Sheet4!$A$2:$L$688, Consol_Thematic!C$1,FALSE)</f>
        <v/>
      </c>
      <c r="D128" s="261">
        <f>VLOOKUP($A128, Sheet4!$A$2:$L$688, Consol_Thematic!D$1,FALSE)</f>
        <v/>
      </c>
      <c r="E128" s="261">
        <f>VLOOKUP($A128, Sheet4!$A$2:$L$688, Consol_Thematic!E$1,FALSE)</f>
        <v/>
      </c>
      <c r="F128" s="261">
        <f>VLOOKUP($A128, Sheet4!$A$2:$L$688, Consol_Thematic!F$1,FALSE)</f>
        <v/>
      </c>
      <c r="G128" s="261">
        <f>VLOOKUP($A128, Sheet4!$A$2:$L$688, Consol_Thematic!G$1,FALSE)</f>
        <v/>
      </c>
      <c r="H128" s="261">
        <f>VLOOKUP($A128, Sheet4!$A$2:$L$688, Consol_Thematic!H$1,FALSE)</f>
        <v/>
      </c>
      <c r="I128" s="261">
        <f>VLOOKUP($A128, Sheet4!$A$2:$L$688, Consol_Thematic!I$1,FALSE)</f>
        <v/>
      </c>
      <c r="J128" s="261">
        <f>VLOOKUP($A128, Sheet4!$A$2:$L$688, Consol_Thematic!J$1,FALSE)</f>
        <v/>
      </c>
      <c r="K128" s="261">
        <f>(B128-MIN(B$3:B$23))/(MAX(B$3:B$23)-MIN(B$3:B$23))</f>
        <v/>
      </c>
      <c r="L128" s="261">
        <f>(MAX(H$3:H$23)-H128)/(MAX(H$3:H$23)-MIN(H$3:H$23))</f>
        <v/>
      </c>
      <c r="M128" s="261">
        <f>(C128-MIN(C$3:C$23))/(MAX(C$3:C$23)-MIN(C$3:C$23))</f>
        <v/>
      </c>
      <c r="N128" s="261">
        <f>(D128-MIN(D$3:D$23))/(MAX(D$3:D$23)-MIN(D$3:D$23))</f>
        <v/>
      </c>
      <c r="O128" s="261">
        <f>(MAX(J$3:J$23)-J128)/(MAX(J$3:J$23)-MIN(J$3:J$23))</f>
        <v/>
      </c>
      <c r="P128" s="261">
        <f>(E128-MIN(E$3:E$23))/(MAX(E$3:E$23)-MIN(E$3:E$23))</f>
        <v/>
      </c>
      <c r="Q128" s="261">
        <f>(F128-MIN(F$3:F$23))/(MAX(F$3:F$23)-MIN(F$3:F$23))</f>
        <v/>
      </c>
      <c r="R128" s="261">
        <f>(MAX(I$3:I$23)-I128)/(MAX(I$3:I$23)-MIN(I$3:I$23))</f>
        <v/>
      </c>
      <c r="S128" s="261">
        <f>(G128-MIN(G$3:G$23))/(MAX(G$3:G$23)-MIN(G$3:G$23))</f>
        <v/>
      </c>
      <c r="T128" s="261">
        <f>(K128*'Fund Ranking Criteria'!$J$9)+('Fund Ranking Criteria'!$J$10*Consol_Thematic!M128)+('Fund Ranking Criteria'!$J$12*Consol_Thematic!S128)+('Fund Ranking Criteria'!$J$14*Consol_Thematic!R128)+('Fund Ranking Criteria'!$J$15*Consol_Thematic!O128)+('Fund Ranking Criteria'!$J$16*Consol_Thematic!P128)+('Fund Ranking Criteria'!#REF!*Consol_Thematic!Q128)+('Fund Ranking Criteria'!#REF!*Consol_Thematic!L128)</f>
        <v/>
      </c>
      <c r="U128" s="261">
        <f>T128*1</f>
        <v/>
      </c>
      <c r="V128" s="261">
        <f>RANK(U128,$U$3:$U$157,0)</f>
        <v/>
      </c>
      <c r="W128" s="261">
        <f>A128</f>
        <v/>
      </c>
    </row>
    <row r="129">
      <c r="A129" s="261" t="inlineStr">
        <is>
          <t>SBI PSU Fund</t>
        </is>
      </c>
      <c r="B129" s="261">
        <f>VLOOKUP($A129, Sheet4!$A$2:$L$688, Consol_Thematic!B$1,FALSE)</f>
        <v/>
      </c>
      <c r="C129" s="261">
        <f>VLOOKUP($A129, Sheet4!$A$2:$L$688, Consol_Thematic!C$1,FALSE)</f>
        <v/>
      </c>
      <c r="D129" s="261">
        <f>VLOOKUP($A129, Sheet4!$A$2:$L$688, Consol_Thematic!D$1,FALSE)</f>
        <v/>
      </c>
      <c r="E129" s="261">
        <f>VLOOKUP($A129, Sheet4!$A$2:$L$688, Consol_Thematic!E$1,FALSE)</f>
        <v/>
      </c>
      <c r="F129" s="261">
        <f>VLOOKUP($A129, Sheet4!$A$2:$L$688, Consol_Thematic!F$1,FALSE)</f>
        <v/>
      </c>
      <c r="G129" s="261">
        <f>VLOOKUP($A129, Sheet4!$A$2:$L$688, Consol_Thematic!G$1,FALSE)</f>
        <v/>
      </c>
      <c r="H129" s="261">
        <f>VLOOKUP($A129, Sheet4!$A$2:$L$688, Consol_Thematic!H$1,FALSE)</f>
        <v/>
      </c>
      <c r="I129" s="261">
        <f>VLOOKUP($A129, Sheet4!$A$2:$L$688, Consol_Thematic!I$1,FALSE)</f>
        <v/>
      </c>
      <c r="J129" s="261">
        <f>VLOOKUP($A129, Sheet4!$A$2:$L$688, Consol_Thematic!J$1,FALSE)</f>
        <v/>
      </c>
      <c r="K129" s="261">
        <f>(B129-MIN(B$3:B$23))/(MAX(B$3:B$23)-MIN(B$3:B$23))</f>
        <v/>
      </c>
      <c r="L129" s="261">
        <f>(MAX(H$3:H$23)-H129)/(MAX(H$3:H$23)-MIN(H$3:H$23))</f>
        <v/>
      </c>
      <c r="M129" s="261">
        <f>(C129-MIN(C$3:C$23))/(MAX(C$3:C$23)-MIN(C$3:C$23))</f>
        <v/>
      </c>
      <c r="N129" s="261">
        <f>(D129-MIN(D$3:D$23))/(MAX(D$3:D$23)-MIN(D$3:D$23))</f>
        <v/>
      </c>
      <c r="O129" s="261">
        <f>(MAX(J$3:J$23)-J129)/(MAX(J$3:J$23)-MIN(J$3:J$23))</f>
        <v/>
      </c>
      <c r="P129" s="261">
        <f>(E129-MIN(E$3:E$23))/(MAX(E$3:E$23)-MIN(E$3:E$23))</f>
        <v/>
      </c>
      <c r="Q129" s="261">
        <f>(F129-MIN(F$3:F$23))/(MAX(F$3:F$23)-MIN(F$3:F$23))</f>
        <v/>
      </c>
      <c r="R129" s="261">
        <f>(MAX(I$3:I$23)-I129)/(MAX(I$3:I$23)-MIN(I$3:I$23))</f>
        <v/>
      </c>
      <c r="S129" s="261">
        <f>(G129-MIN(G$3:G$23))/(MAX(G$3:G$23)-MIN(G$3:G$23))</f>
        <v/>
      </c>
      <c r="T129" s="261">
        <f>(K129*'Fund Ranking Criteria'!$J$9)+('Fund Ranking Criteria'!$J$10*Consol_Thematic!M129)+('Fund Ranking Criteria'!$J$12*Consol_Thematic!S129)+('Fund Ranking Criteria'!$J$14*Consol_Thematic!R129)+('Fund Ranking Criteria'!$J$15*Consol_Thematic!O129)+('Fund Ranking Criteria'!$J$16*Consol_Thematic!P129)+('Fund Ranking Criteria'!#REF!*Consol_Thematic!Q129)+('Fund Ranking Criteria'!#REF!*Consol_Thematic!L129)</f>
        <v/>
      </c>
      <c r="U129" s="261">
        <f>T129*1</f>
        <v/>
      </c>
      <c r="V129" s="261">
        <f>RANK(U129,$U$3:$U$157,0)</f>
        <v/>
      </c>
      <c r="W129" s="261">
        <f>A129</f>
        <v/>
      </c>
    </row>
    <row r="130">
      <c r="A130" s="261" t="inlineStr">
        <is>
          <t>SBI Quant Fund - Regular Plan</t>
        </is>
      </c>
      <c r="B130" s="261">
        <f>VLOOKUP($A130, Sheet4!$A$2:$L$688, Consol_Thematic!B$1,FALSE)</f>
        <v/>
      </c>
      <c r="C130" s="261">
        <f>VLOOKUP($A130, Sheet4!$A$2:$L$688, Consol_Thematic!C$1,FALSE)</f>
        <v/>
      </c>
      <c r="D130" s="261">
        <f>VLOOKUP($A130, Sheet4!$A$2:$L$688, Consol_Thematic!D$1,FALSE)</f>
        <v/>
      </c>
      <c r="E130" s="261">
        <f>VLOOKUP($A130, Sheet4!$A$2:$L$688, Consol_Thematic!E$1,FALSE)</f>
        <v/>
      </c>
      <c r="F130" s="261">
        <f>VLOOKUP($A130, Sheet4!$A$2:$L$688, Consol_Thematic!F$1,FALSE)</f>
        <v/>
      </c>
      <c r="G130" s="261">
        <f>VLOOKUP($A130, Sheet4!$A$2:$L$688, Consol_Thematic!G$1,FALSE)</f>
        <v/>
      </c>
      <c r="H130" s="261">
        <f>VLOOKUP($A130, Sheet4!$A$2:$L$688, Consol_Thematic!H$1,FALSE)</f>
        <v/>
      </c>
      <c r="I130" s="261">
        <f>VLOOKUP($A130, Sheet4!$A$2:$L$688, Consol_Thematic!I$1,FALSE)</f>
        <v/>
      </c>
      <c r="J130" s="261">
        <f>VLOOKUP($A130, Sheet4!$A$2:$L$688, Consol_Thematic!J$1,FALSE)</f>
        <v/>
      </c>
      <c r="K130" s="261">
        <f>(B130-MIN(B$3:B$23))/(MAX(B$3:B$23)-MIN(B$3:B$23))</f>
        <v/>
      </c>
      <c r="L130" s="261">
        <f>(MAX(H$3:H$23)-H130)/(MAX(H$3:H$23)-MIN(H$3:H$23))</f>
        <v/>
      </c>
      <c r="M130" s="261">
        <f>(C130-MIN(C$3:C$23))/(MAX(C$3:C$23)-MIN(C$3:C$23))</f>
        <v/>
      </c>
      <c r="N130" s="261">
        <f>(D130-MIN(D$3:D$23))/(MAX(D$3:D$23)-MIN(D$3:D$23))</f>
        <v/>
      </c>
      <c r="O130" s="261">
        <f>(MAX(J$3:J$23)-J130)/(MAX(J$3:J$23)-MIN(J$3:J$23))</f>
        <v/>
      </c>
      <c r="P130" s="261">
        <f>(E130-MIN(E$3:E$23))/(MAX(E$3:E$23)-MIN(E$3:E$23))</f>
        <v/>
      </c>
      <c r="Q130" s="261">
        <f>(F130-MIN(F$3:F$23))/(MAX(F$3:F$23)-MIN(F$3:F$23))</f>
        <v/>
      </c>
      <c r="R130" s="261">
        <f>(MAX(I$3:I$23)-I130)/(MAX(I$3:I$23)-MIN(I$3:I$23))</f>
        <v/>
      </c>
      <c r="S130" s="261">
        <f>(G130-MIN(G$3:G$23))/(MAX(G$3:G$23)-MIN(G$3:G$23))</f>
        <v/>
      </c>
      <c r="T130" s="261">
        <f>(K130*'Fund Ranking Criteria'!$J$9)+('Fund Ranking Criteria'!$J$10*Consol_Thematic!M130)+('Fund Ranking Criteria'!$J$12*Consol_Thematic!S130)+('Fund Ranking Criteria'!$J$14*Consol_Thematic!R130)+('Fund Ranking Criteria'!$J$15*Consol_Thematic!O130)+('Fund Ranking Criteria'!$J$16*Consol_Thematic!P130)+('Fund Ranking Criteria'!#REF!*Consol_Thematic!Q130)+('Fund Ranking Criteria'!#REF!*Consol_Thematic!L130)</f>
        <v/>
      </c>
      <c r="U130" s="261">
        <f>T130*1</f>
        <v/>
      </c>
      <c r="V130" s="261">
        <f>RANK(U130,$U$3:$U$157,0)</f>
        <v/>
      </c>
      <c r="W130" s="261">
        <f>A130</f>
        <v/>
      </c>
    </row>
    <row r="131">
      <c r="A131" s="261" t="inlineStr">
        <is>
          <t>Shriram Multi Sector Rotation Fund - Regular Plan</t>
        </is>
      </c>
      <c r="B131" s="261">
        <f>VLOOKUP($A131, Sheet4!$A$2:$L$688, Consol_Thematic!B$1,FALSE)</f>
        <v/>
      </c>
      <c r="C131" s="261">
        <f>VLOOKUP($A131, Sheet4!$A$2:$L$688, Consol_Thematic!C$1,FALSE)</f>
        <v/>
      </c>
      <c r="D131" s="261">
        <f>VLOOKUP($A131, Sheet4!$A$2:$L$688, Consol_Thematic!D$1,FALSE)</f>
        <v/>
      </c>
      <c r="E131" s="261">
        <f>VLOOKUP($A131, Sheet4!$A$2:$L$688, Consol_Thematic!E$1,FALSE)</f>
        <v/>
      </c>
      <c r="F131" s="261">
        <f>VLOOKUP($A131, Sheet4!$A$2:$L$688, Consol_Thematic!F$1,FALSE)</f>
        <v/>
      </c>
      <c r="G131" s="261">
        <f>VLOOKUP($A131, Sheet4!$A$2:$L$688, Consol_Thematic!G$1,FALSE)</f>
        <v/>
      </c>
      <c r="H131" s="261">
        <f>VLOOKUP($A131, Sheet4!$A$2:$L$688, Consol_Thematic!H$1,FALSE)</f>
        <v/>
      </c>
      <c r="I131" s="261">
        <f>VLOOKUP($A131, Sheet4!$A$2:$L$688, Consol_Thematic!I$1,FALSE)</f>
        <v/>
      </c>
      <c r="J131" s="261">
        <f>VLOOKUP($A131, Sheet4!$A$2:$L$688, Consol_Thematic!J$1,FALSE)</f>
        <v/>
      </c>
      <c r="K131" s="261">
        <f>(B131-MIN(B$3:B$23))/(MAX(B$3:B$23)-MIN(B$3:B$23))</f>
        <v/>
      </c>
      <c r="L131" s="261">
        <f>(MAX(H$3:H$23)-H131)/(MAX(H$3:H$23)-MIN(H$3:H$23))</f>
        <v/>
      </c>
      <c r="M131" s="261">
        <f>(C131-MIN(C$3:C$23))/(MAX(C$3:C$23)-MIN(C$3:C$23))</f>
        <v/>
      </c>
      <c r="N131" s="261">
        <f>(D131-MIN(D$3:D$23))/(MAX(D$3:D$23)-MIN(D$3:D$23))</f>
        <v/>
      </c>
      <c r="O131" s="261">
        <f>(MAX(J$3:J$23)-J131)/(MAX(J$3:J$23)-MIN(J$3:J$23))</f>
        <v/>
      </c>
      <c r="P131" s="261">
        <f>(E131-MIN(E$3:E$23))/(MAX(E$3:E$23)-MIN(E$3:E$23))</f>
        <v/>
      </c>
      <c r="Q131" s="261">
        <f>(F131-MIN(F$3:F$23))/(MAX(F$3:F$23)-MIN(F$3:F$23))</f>
        <v/>
      </c>
      <c r="R131" s="261">
        <f>(MAX(I$3:I$23)-I131)/(MAX(I$3:I$23)-MIN(I$3:I$23))</f>
        <v/>
      </c>
      <c r="S131" s="261">
        <f>(G131-MIN(G$3:G$23))/(MAX(G$3:G$23)-MIN(G$3:G$23))</f>
        <v/>
      </c>
      <c r="T131" s="261">
        <f>(K131*'Fund Ranking Criteria'!$J$9)+('Fund Ranking Criteria'!$J$10*Consol_Thematic!M131)+('Fund Ranking Criteria'!$J$12*Consol_Thematic!S131)+('Fund Ranking Criteria'!$J$14*Consol_Thematic!R131)+('Fund Ranking Criteria'!$J$15*Consol_Thematic!O131)+('Fund Ranking Criteria'!$J$16*Consol_Thematic!P131)+('Fund Ranking Criteria'!#REF!*Consol_Thematic!Q131)+('Fund Ranking Criteria'!#REF!*Consol_Thematic!L131)</f>
        <v/>
      </c>
      <c r="U131" s="261">
        <f>T131*1</f>
        <v/>
      </c>
      <c r="V131" s="261">
        <f>RANK(U131,$U$3:$U$157,0)</f>
        <v/>
      </c>
      <c r="W131" s="261">
        <f>A131</f>
        <v/>
      </c>
    </row>
    <row r="132">
      <c r="A132" s="261" t="inlineStr">
        <is>
          <t>Sundaram Business Cycle Fund - Regular Plan</t>
        </is>
      </c>
      <c r="B132" s="261">
        <f>VLOOKUP($A132, Sheet4!$A$2:$L$688, Consol_Thematic!B$1,FALSE)</f>
        <v/>
      </c>
      <c r="C132" s="261">
        <f>VLOOKUP($A132, Sheet4!$A$2:$L$688, Consol_Thematic!C$1,FALSE)</f>
        <v/>
      </c>
      <c r="D132" s="261">
        <f>VLOOKUP($A132, Sheet4!$A$2:$L$688, Consol_Thematic!D$1,FALSE)</f>
        <v/>
      </c>
      <c r="E132" s="261">
        <f>VLOOKUP($A132, Sheet4!$A$2:$L$688, Consol_Thematic!E$1,FALSE)</f>
        <v/>
      </c>
      <c r="F132" s="261">
        <f>VLOOKUP($A132, Sheet4!$A$2:$L$688, Consol_Thematic!F$1,FALSE)</f>
        <v/>
      </c>
      <c r="G132" s="261">
        <f>VLOOKUP($A132, Sheet4!$A$2:$L$688, Consol_Thematic!G$1,FALSE)</f>
        <v/>
      </c>
      <c r="H132" s="261">
        <f>VLOOKUP($A132, Sheet4!$A$2:$L$688, Consol_Thematic!H$1,FALSE)</f>
        <v/>
      </c>
      <c r="I132" s="261">
        <f>VLOOKUP($A132, Sheet4!$A$2:$L$688, Consol_Thematic!I$1,FALSE)</f>
        <v/>
      </c>
      <c r="J132" s="261">
        <f>VLOOKUP($A132, Sheet4!$A$2:$L$688, Consol_Thematic!J$1,FALSE)</f>
        <v/>
      </c>
      <c r="K132" s="261">
        <f>(B132-MIN(B$3:B$23))/(MAX(B$3:B$23)-MIN(B$3:B$23))</f>
        <v/>
      </c>
      <c r="L132" s="261">
        <f>(MAX(H$3:H$23)-H132)/(MAX(H$3:H$23)-MIN(H$3:H$23))</f>
        <v/>
      </c>
      <c r="M132" s="261">
        <f>(C132-MIN(C$3:C$23))/(MAX(C$3:C$23)-MIN(C$3:C$23))</f>
        <v/>
      </c>
      <c r="N132" s="261">
        <f>(D132-MIN(D$3:D$23))/(MAX(D$3:D$23)-MIN(D$3:D$23))</f>
        <v/>
      </c>
      <c r="O132" s="261">
        <f>(MAX(J$3:J$23)-J132)/(MAX(J$3:J$23)-MIN(J$3:J$23))</f>
        <v/>
      </c>
      <c r="P132" s="261">
        <f>(E132-MIN(E$3:E$23))/(MAX(E$3:E$23)-MIN(E$3:E$23))</f>
        <v/>
      </c>
      <c r="Q132" s="261">
        <f>(F132-MIN(F$3:F$23))/(MAX(F$3:F$23)-MIN(F$3:F$23))</f>
        <v/>
      </c>
      <c r="R132" s="261">
        <f>(MAX(I$3:I$23)-I132)/(MAX(I$3:I$23)-MIN(I$3:I$23))</f>
        <v/>
      </c>
      <c r="S132" s="261">
        <f>(G132-MIN(G$3:G$23))/(MAX(G$3:G$23)-MIN(G$3:G$23))</f>
        <v/>
      </c>
      <c r="T132" s="261">
        <f>(K132*'Fund Ranking Criteria'!$J$9)+('Fund Ranking Criteria'!$J$10*Consol_Thematic!M132)+('Fund Ranking Criteria'!$J$12*Consol_Thematic!S132)+('Fund Ranking Criteria'!$J$14*Consol_Thematic!R132)+('Fund Ranking Criteria'!$J$15*Consol_Thematic!O132)+('Fund Ranking Criteria'!$J$16*Consol_Thematic!P132)+('Fund Ranking Criteria'!#REF!*Consol_Thematic!Q132)+('Fund Ranking Criteria'!#REF!*Consol_Thematic!L132)</f>
        <v/>
      </c>
      <c r="U132" s="261">
        <f>T132*1</f>
        <v/>
      </c>
      <c r="V132" s="261">
        <f>RANK(U132,$U$3:$U$157,0)</f>
        <v/>
      </c>
      <c r="W132" s="261">
        <f>A132</f>
        <v/>
      </c>
    </row>
    <row r="133">
      <c r="A133" s="261" t="inlineStr">
        <is>
          <t>Sundaram Consumption Fund - Regular Plan</t>
        </is>
      </c>
      <c r="B133" s="261">
        <f>VLOOKUP($A133, Sheet4!$A$2:$L$688, Consol_Thematic!B$1,FALSE)</f>
        <v/>
      </c>
      <c r="C133" s="261">
        <f>VLOOKUP($A133, Sheet4!$A$2:$L$688, Consol_Thematic!C$1,FALSE)</f>
        <v/>
      </c>
      <c r="D133" s="261">
        <f>VLOOKUP($A133, Sheet4!$A$2:$L$688, Consol_Thematic!D$1,FALSE)</f>
        <v/>
      </c>
      <c r="E133" s="261">
        <f>VLOOKUP($A133, Sheet4!$A$2:$L$688, Consol_Thematic!E$1,FALSE)</f>
        <v/>
      </c>
      <c r="F133" s="261">
        <f>VLOOKUP($A133, Sheet4!$A$2:$L$688, Consol_Thematic!F$1,FALSE)</f>
        <v/>
      </c>
      <c r="G133" s="261">
        <f>VLOOKUP($A133, Sheet4!$A$2:$L$688, Consol_Thematic!G$1,FALSE)</f>
        <v/>
      </c>
      <c r="H133" s="261">
        <f>VLOOKUP($A133, Sheet4!$A$2:$L$688, Consol_Thematic!H$1,FALSE)</f>
        <v/>
      </c>
      <c r="I133" s="261">
        <f>VLOOKUP($A133, Sheet4!$A$2:$L$688, Consol_Thematic!I$1,FALSE)</f>
        <v/>
      </c>
      <c r="J133" s="261">
        <f>VLOOKUP($A133, Sheet4!$A$2:$L$688, Consol_Thematic!J$1,FALSE)</f>
        <v/>
      </c>
      <c r="K133" s="261">
        <f>(B133-MIN(B$3:B$23))/(MAX(B$3:B$23)-MIN(B$3:B$23))</f>
        <v/>
      </c>
      <c r="L133" s="261">
        <f>(MAX(H$3:H$23)-H133)/(MAX(H$3:H$23)-MIN(H$3:H$23))</f>
        <v/>
      </c>
      <c r="M133" s="261">
        <f>(C133-MIN(C$3:C$23))/(MAX(C$3:C$23)-MIN(C$3:C$23))</f>
        <v/>
      </c>
      <c r="N133" s="261">
        <f>(D133-MIN(D$3:D$23))/(MAX(D$3:D$23)-MIN(D$3:D$23))</f>
        <v/>
      </c>
      <c r="O133" s="261">
        <f>(MAX(J$3:J$23)-J133)/(MAX(J$3:J$23)-MIN(J$3:J$23))</f>
        <v/>
      </c>
      <c r="P133" s="261">
        <f>(E133-MIN(E$3:E$23))/(MAX(E$3:E$23)-MIN(E$3:E$23))</f>
        <v/>
      </c>
      <c r="Q133" s="261">
        <f>(F133-MIN(F$3:F$23))/(MAX(F$3:F$23)-MIN(F$3:F$23))</f>
        <v/>
      </c>
      <c r="R133" s="261">
        <f>(MAX(I$3:I$23)-I133)/(MAX(I$3:I$23)-MIN(I$3:I$23))</f>
        <v/>
      </c>
      <c r="S133" s="261">
        <f>(G133-MIN(G$3:G$23))/(MAX(G$3:G$23)-MIN(G$3:G$23))</f>
        <v/>
      </c>
      <c r="T133" s="261">
        <f>(K133*'Fund Ranking Criteria'!$J$9)+('Fund Ranking Criteria'!$J$10*Consol_Thematic!M133)+('Fund Ranking Criteria'!$J$12*Consol_Thematic!S133)+('Fund Ranking Criteria'!$J$14*Consol_Thematic!R133)+('Fund Ranking Criteria'!$J$15*Consol_Thematic!O133)+('Fund Ranking Criteria'!$J$16*Consol_Thematic!P133)+('Fund Ranking Criteria'!#REF!*Consol_Thematic!Q133)+('Fund Ranking Criteria'!#REF!*Consol_Thematic!L133)</f>
        <v/>
      </c>
      <c r="U133" s="261">
        <f>T133*1</f>
        <v/>
      </c>
      <c r="V133" s="261">
        <f>RANK(U133,$U$3:$U$157,0)</f>
        <v/>
      </c>
      <c r="W133" s="261">
        <f>A133</f>
        <v/>
      </c>
    </row>
    <row r="134">
      <c r="A134" s="261" t="inlineStr">
        <is>
          <t>Sundaram Dividend Yield Fund</t>
        </is>
      </c>
      <c r="B134" s="261">
        <f>VLOOKUP($A134, Sheet4!$A$2:$L$688, Consol_Thematic!B$1,FALSE)</f>
        <v/>
      </c>
      <c r="C134" s="261">
        <f>VLOOKUP($A134, Sheet4!$A$2:$L$688, Consol_Thematic!C$1,FALSE)</f>
        <v/>
      </c>
      <c r="D134" s="261">
        <f>VLOOKUP($A134, Sheet4!$A$2:$L$688, Consol_Thematic!D$1,FALSE)</f>
        <v/>
      </c>
      <c r="E134" s="261">
        <f>VLOOKUP($A134, Sheet4!$A$2:$L$688, Consol_Thematic!E$1,FALSE)</f>
        <v/>
      </c>
      <c r="F134" s="261">
        <f>VLOOKUP($A134, Sheet4!$A$2:$L$688, Consol_Thematic!F$1,FALSE)</f>
        <v/>
      </c>
      <c r="G134" s="261">
        <f>VLOOKUP($A134, Sheet4!$A$2:$L$688, Consol_Thematic!G$1,FALSE)</f>
        <v/>
      </c>
      <c r="H134" s="261">
        <f>VLOOKUP($A134, Sheet4!$A$2:$L$688, Consol_Thematic!H$1,FALSE)</f>
        <v/>
      </c>
      <c r="I134" s="261">
        <f>VLOOKUP($A134, Sheet4!$A$2:$L$688, Consol_Thematic!I$1,FALSE)</f>
        <v/>
      </c>
      <c r="J134" s="261">
        <f>VLOOKUP($A134, Sheet4!$A$2:$L$688, Consol_Thematic!J$1,FALSE)</f>
        <v/>
      </c>
      <c r="K134" s="261">
        <f>(B134-MIN(B$3:B$23))/(MAX(B$3:B$23)-MIN(B$3:B$23))</f>
        <v/>
      </c>
      <c r="L134" s="261">
        <f>(MAX(H$3:H$23)-H134)/(MAX(H$3:H$23)-MIN(H$3:H$23))</f>
        <v/>
      </c>
      <c r="M134" s="261">
        <f>(C134-MIN(C$3:C$23))/(MAX(C$3:C$23)-MIN(C$3:C$23))</f>
        <v/>
      </c>
      <c r="N134" s="261">
        <f>(D134-MIN(D$3:D$23))/(MAX(D$3:D$23)-MIN(D$3:D$23))</f>
        <v/>
      </c>
      <c r="O134" s="261">
        <f>(MAX(J$3:J$23)-J134)/(MAX(J$3:J$23)-MIN(J$3:J$23))</f>
        <v/>
      </c>
      <c r="P134" s="261">
        <f>(E134-MIN(E$3:E$23))/(MAX(E$3:E$23)-MIN(E$3:E$23))</f>
        <v/>
      </c>
      <c r="Q134" s="261">
        <f>(F134-MIN(F$3:F$23))/(MAX(F$3:F$23)-MIN(F$3:F$23))</f>
        <v/>
      </c>
      <c r="R134" s="261">
        <f>(MAX(I$3:I$23)-I134)/(MAX(I$3:I$23)-MIN(I$3:I$23))</f>
        <v/>
      </c>
      <c r="S134" s="261">
        <f>(G134-MIN(G$3:G$23))/(MAX(G$3:G$23)-MIN(G$3:G$23))</f>
        <v/>
      </c>
      <c r="T134" s="261">
        <f>(K134*'Fund Ranking Criteria'!$J$9)+('Fund Ranking Criteria'!$J$10*Consol_Thematic!M134)+('Fund Ranking Criteria'!$J$12*Consol_Thematic!S134)+('Fund Ranking Criteria'!$J$14*Consol_Thematic!R134)+('Fund Ranking Criteria'!$J$15*Consol_Thematic!O134)+('Fund Ranking Criteria'!$J$16*Consol_Thematic!P134)+('Fund Ranking Criteria'!#REF!*Consol_Thematic!Q134)+('Fund Ranking Criteria'!#REF!*Consol_Thematic!L134)</f>
        <v/>
      </c>
      <c r="U134" s="261">
        <f>T134*1</f>
        <v/>
      </c>
      <c r="V134" s="261">
        <f>RANK(U134,$U$3:$U$157,0)</f>
        <v/>
      </c>
      <c r="W134" s="261">
        <f>A134</f>
        <v/>
      </c>
    </row>
    <row r="135">
      <c r="A135" s="261" t="inlineStr">
        <is>
          <t>Sundaram Multi-Factor Fund - Regular Plan</t>
        </is>
      </c>
      <c r="B135" s="261">
        <f>VLOOKUP($A135, Sheet4!$A$2:$L$688, Consol_Thematic!B$1,FALSE)</f>
        <v/>
      </c>
      <c r="C135" s="261">
        <f>VLOOKUP($A135, Sheet4!$A$2:$L$688, Consol_Thematic!C$1,FALSE)</f>
        <v/>
      </c>
      <c r="D135" s="261">
        <f>VLOOKUP($A135, Sheet4!$A$2:$L$688, Consol_Thematic!D$1,FALSE)</f>
        <v/>
      </c>
      <c r="E135" s="261">
        <f>VLOOKUP($A135, Sheet4!$A$2:$L$688, Consol_Thematic!E$1,FALSE)</f>
        <v/>
      </c>
      <c r="F135" s="261">
        <f>VLOOKUP($A135, Sheet4!$A$2:$L$688, Consol_Thematic!F$1,FALSE)</f>
        <v/>
      </c>
      <c r="G135" s="261">
        <f>VLOOKUP($A135, Sheet4!$A$2:$L$688, Consol_Thematic!G$1,FALSE)</f>
        <v/>
      </c>
      <c r="H135" s="261">
        <f>VLOOKUP($A135, Sheet4!$A$2:$L$688, Consol_Thematic!H$1,FALSE)</f>
        <v/>
      </c>
      <c r="I135" s="261">
        <f>VLOOKUP($A135, Sheet4!$A$2:$L$688, Consol_Thematic!I$1,FALSE)</f>
        <v/>
      </c>
      <c r="J135" s="261">
        <f>VLOOKUP($A135, Sheet4!$A$2:$L$688, Consol_Thematic!J$1,FALSE)</f>
        <v/>
      </c>
      <c r="K135" s="261">
        <f>(B135-MIN(B$3:B$23))/(MAX(B$3:B$23)-MIN(B$3:B$23))</f>
        <v/>
      </c>
      <c r="L135" s="261">
        <f>(MAX(H$3:H$23)-H135)/(MAX(H$3:H$23)-MIN(H$3:H$23))</f>
        <v/>
      </c>
      <c r="M135" s="261">
        <f>(C135-MIN(C$3:C$23))/(MAX(C$3:C$23)-MIN(C$3:C$23))</f>
        <v/>
      </c>
      <c r="N135" s="261">
        <f>(D135-MIN(D$3:D$23))/(MAX(D$3:D$23)-MIN(D$3:D$23))</f>
        <v/>
      </c>
      <c r="O135" s="261">
        <f>(MAX(J$3:J$23)-J135)/(MAX(J$3:J$23)-MIN(J$3:J$23))</f>
        <v/>
      </c>
      <c r="P135" s="261">
        <f>(E135-MIN(E$3:E$23))/(MAX(E$3:E$23)-MIN(E$3:E$23))</f>
        <v/>
      </c>
      <c r="Q135" s="261">
        <f>(F135-MIN(F$3:F$23))/(MAX(F$3:F$23)-MIN(F$3:F$23))</f>
        <v/>
      </c>
      <c r="R135" s="261">
        <f>(MAX(I$3:I$23)-I135)/(MAX(I$3:I$23)-MIN(I$3:I$23))</f>
        <v/>
      </c>
      <c r="S135" s="261">
        <f>(G135-MIN(G$3:G$23))/(MAX(G$3:G$23)-MIN(G$3:G$23))</f>
        <v/>
      </c>
      <c r="T135" s="261">
        <f>(K135*'Fund Ranking Criteria'!$J$9)+('Fund Ranking Criteria'!$J$10*Consol_Thematic!M135)+('Fund Ranking Criteria'!$J$12*Consol_Thematic!S135)+('Fund Ranking Criteria'!$J$14*Consol_Thematic!R135)+('Fund Ranking Criteria'!$J$15*Consol_Thematic!O135)+('Fund Ranking Criteria'!$J$16*Consol_Thematic!P135)+('Fund Ranking Criteria'!#REF!*Consol_Thematic!Q135)+('Fund Ranking Criteria'!#REF!*Consol_Thematic!L135)</f>
        <v/>
      </c>
      <c r="U135" s="261">
        <f>T135*1</f>
        <v/>
      </c>
      <c r="V135" s="261">
        <f>RANK(U135,$U$3:$U$157,0)</f>
        <v/>
      </c>
      <c r="W135" s="261">
        <f>A135</f>
        <v/>
      </c>
    </row>
    <row r="136">
      <c r="A136" s="261" t="inlineStr">
        <is>
          <t>Sundaram Services Fund - Regular Plan</t>
        </is>
      </c>
      <c r="B136" s="261">
        <f>VLOOKUP($A136, Sheet4!$A$2:$L$688, Consol_Thematic!B$1,FALSE)</f>
        <v/>
      </c>
      <c r="C136" s="261">
        <f>VLOOKUP($A136, Sheet4!$A$2:$L$688, Consol_Thematic!C$1,FALSE)</f>
        <v/>
      </c>
      <c r="D136" s="261">
        <f>VLOOKUP($A136, Sheet4!$A$2:$L$688, Consol_Thematic!D$1,FALSE)</f>
        <v/>
      </c>
      <c r="E136" s="261">
        <f>VLOOKUP($A136, Sheet4!$A$2:$L$688, Consol_Thematic!E$1,FALSE)</f>
        <v/>
      </c>
      <c r="F136" s="261">
        <f>VLOOKUP($A136, Sheet4!$A$2:$L$688, Consol_Thematic!F$1,FALSE)</f>
        <v/>
      </c>
      <c r="G136" s="261">
        <f>VLOOKUP($A136, Sheet4!$A$2:$L$688, Consol_Thematic!G$1,FALSE)</f>
        <v/>
      </c>
      <c r="H136" s="261">
        <f>VLOOKUP($A136, Sheet4!$A$2:$L$688, Consol_Thematic!H$1,FALSE)</f>
        <v/>
      </c>
      <c r="I136" s="261">
        <f>VLOOKUP($A136, Sheet4!$A$2:$L$688, Consol_Thematic!I$1,FALSE)</f>
        <v/>
      </c>
      <c r="J136" s="261">
        <f>VLOOKUP($A136, Sheet4!$A$2:$L$688, Consol_Thematic!J$1,FALSE)</f>
        <v/>
      </c>
      <c r="K136" s="261">
        <f>(B136-MIN(B$3:B$23))/(MAX(B$3:B$23)-MIN(B$3:B$23))</f>
        <v/>
      </c>
      <c r="L136" s="261">
        <f>(MAX(H$3:H$23)-H136)/(MAX(H$3:H$23)-MIN(H$3:H$23))</f>
        <v/>
      </c>
      <c r="M136" s="261">
        <f>(C136-MIN(C$3:C$23))/(MAX(C$3:C$23)-MIN(C$3:C$23))</f>
        <v/>
      </c>
      <c r="N136" s="261">
        <f>(D136-MIN(D$3:D$23))/(MAX(D$3:D$23)-MIN(D$3:D$23))</f>
        <v/>
      </c>
      <c r="O136" s="261">
        <f>(MAX(J$3:J$23)-J136)/(MAX(J$3:J$23)-MIN(J$3:J$23))</f>
        <v/>
      </c>
      <c r="P136" s="261">
        <f>(E136-MIN(E$3:E$23))/(MAX(E$3:E$23)-MIN(E$3:E$23))</f>
        <v/>
      </c>
      <c r="Q136" s="261">
        <f>(F136-MIN(F$3:F$23))/(MAX(F$3:F$23)-MIN(F$3:F$23))</f>
        <v/>
      </c>
      <c r="R136" s="261">
        <f>(MAX(I$3:I$23)-I136)/(MAX(I$3:I$23)-MIN(I$3:I$23))</f>
        <v/>
      </c>
      <c r="S136" s="261">
        <f>(G136-MIN(G$3:G$23))/(MAX(G$3:G$23)-MIN(G$3:G$23))</f>
        <v/>
      </c>
      <c r="T136" s="261">
        <f>(K136*'Fund Ranking Criteria'!$J$9)+('Fund Ranking Criteria'!$J$10*Consol_Thematic!M136)+('Fund Ranking Criteria'!$J$12*Consol_Thematic!S136)+('Fund Ranking Criteria'!$J$14*Consol_Thematic!R136)+('Fund Ranking Criteria'!$J$15*Consol_Thematic!O136)+('Fund Ranking Criteria'!$J$16*Consol_Thematic!P136)+('Fund Ranking Criteria'!#REF!*Consol_Thematic!Q136)+('Fund Ranking Criteria'!#REF!*Consol_Thematic!L136)</f>
        <v/>
      </c>
      <c r="U136" s="261">
        <f>T136*1</f>
        <v/>
      </c>
      <c r="V136" s="261">
        <f>RANK(U136,$U$3:$U$157,0)</f>
        <v/>
      </c>
      <c r="W136" s="261">
        <f>A136</f>
        <v/>
      </c>
    </row>
    <row r="137">
      <c r="A137" s="261" t="inlineStr">
        <is>
          <t>Tata Business Cycle Fund - Regular Plan</t>
        </is>
      </c>
      <c r="B137" s="261">
        <f>VLOOKUP($A137, Sheet4!$A$2:$L$688, Consol_Thematic!B$1,FALSE)</f>
        <v/>
      </c>
      <c r="C137" s="261">
        <f>VLOOKUP($A137, Sheet4!$A$2:$L$688, Consol_Thematic!C$1,FALSE)</f>
        <v/>
      </c>
      <c r="D137" s="261">
        <f>VLOOKUP($A137, Sheet4!$A$2:$L$688, Consol_Thematic!D$1,FALSE)</f>
        <v/>
      </c>
      <c r="E137" s="261">
        <f>VLOOKUP($A137, Sheet4!$A$2:$L$688, Consol_Thematic!E$1,FALSE)</f>
        <v/>
      </c>
      <c r="F137" s="261">
        <f>VLOOKUP($A137, Sheet4!$A$2:$L$688, Consol_Thematic!F$1,FALSE)</f>
        <v/>
      </c>
      <c r="G137" s="261">
        <f>VLOOKUP($A137, Sheet4!$A$2:$L$688, Consol_Thematic!G$1,FALSE)</f>
        <v/>
      </c>
      <c r="H137" s="261">
        <f>VLOOKUP($A137, Sheet4!$A$2:$L$688, Consol_Thematic!H$1,FALSE)</f>
        <v/>
      </c>
      <c r="I137" s="261">
        <f>VLOOKUP($A137, Sheet4!$A$2:$L$688, Consol_Thematic!I$1,FALSE)</f>
        <v/>
      </c>
      <c r="J137" s="261">
        <f>VLOOKUP($A137, Sheet4!$A$2:$L$688, Consol_Thematic!J$1,FALSE)</f>
        <v/>
      </c>
      <c r="K137" s="261">
        <f>(B137-MIN(B$3:B$23))/(MAX(B$3:B$23)-MIN(B$3:B$23))</f>
        <v/>
      </c>
      <c r="L137" s="261">
        <f>(MAX(H$3:H$23)-H137)/(MAX(H$3:H$23)-MIN(H$3:H$23))</f>
        <v/>
      </c>
      <c r="M137" s="261">
        <f>(C137-MIN(C$3:C$23))/(MAX(C$3:C$23)-MIN(C$3:C$23))</f>
        <v/>
      </c>
      <c r="N137" s="261">
        <f>(D137-MIN(D$3:D$23))/(MAX(D$3:D$23)-MIN(D$3:D$23))</f>
        <v/>
      </c>
      <c r="O137" s="261">
        <f>(MAX(J$3:J$23)-J137)/(MAX(J$3:J$23)-MIN(J$3:J$23))</f>
        <v/>
      </c>
      <c r="P137" s="261">
        <f>(E137-MIN(E$3:E$23))/(MAX(E$3:E$23)-MIN(E$3:E$23))</f>
        <v/>
      </c>
      <c r="Q137" s="261">
        <f>(F137-MIN(F$3:F$23))/(MAX(F$3:F$23)-MIN(F$3:F$23))</f>
        <v/>
      </c>
      <c r="R137" s="261">
        <f>(MAX(I$3:I$23)-I137)/(MAX(I$3:I$23)-MIN(I$3:I$23))</f>
        <v/>
      </c>
      <c r="S137" s="261">
        <f>(G137-MIN(G$3:G$23))/(MAX(G$3:G$23)-MIN(G$3:G$23))</f>
        <v/>
      </c>
      <c r="T137" s="261">
        <f>(K137*'Fund Ranking Criteria'!$J$9)+('Fund Ranking Criteria'!$J$10*Consol_Thematic!M137)+('Fund Ranking Criteria'!$J$12*Consol_Thematic!S137)+('Fund Ranking Criteria'!$J$14*Consol_Thematic!R137)+('Fund Ranking Criteria'!$J$15*Consol_Thematic!O137)+('Fund Ranking Criteria'!$J$16*Consol_Thematic!P137)+('Fund Ranking Criteria'!#REF!*Consol_Thematic!Q137)+('Fund Ranking Criteria'!#REF!*Consol_Thematic!L137)</f>
        <v/>
      </c>
      <c r="U137" s="261">
        <f>T137*1</f>
        <v/>
      </c>
      <c r="V137" s="261">
        <f>RANK(U137,$U$3:$U$157,0)</f>
        <v/>
      </c>
      <c r="W137" s="261">
        <f>A137</f>
        <v/>
      </c>
    </row>
    <row r="138">
      <c r="A138" s="261" t="inlineStr">
        <is>
          <t>Tata Dividend Yield Fund - Regular Plan</t>
        </is>
      </c>
      <c r="B138" s="261">
        <f>VLOOKUP($A138, Sheet4!$A$2:$L$688, Consol_Thematic!B$1,FALSE)</f>
        <v/>
      </c>
      <c r="C138" s="261">
        <f>VLOOKUP($A138, Sheet4!$A$2:$L$688, Consol_Thematic!C$1,FALSE)</f>
        <v/>
      </c>
      <c r="D138" s="261">
        <f>VLOOKUP($A138, Sheet4!$A$2:$L$688, Consol_Thematic!D$1,FALSE)</f>
        <v/>
      </c>
      <c r="E138" s="261">
        <f>VLOOKUP($A138, Sheet4!$A$2:$L$688, Consol_Thematic!E$1,FALSE)</f>
        <v/>
      </c>
      <c r="F138" s="261">
        <f>VLOOKUP($A138, Sheet4!$A$2:$L$688, Consol_Thematic!F$1,FALSE)</f>
        <v/>
      </c>
      <c r="G138" s="261">
        <f>VLOOKUP($A138, Sheet4!$A$2:$L$688, Consol_Thematic!G$1,FALSE)</f>
        <v/>
      </c>
      <c r="H138" s="261">
        <f>VLOOKUP($A138, Sheet4!$A$2:$L$688, Consol_Thematic!H$1,FALSE)</f>
        <v/>
      </c>
      <c r="I138" s="261">
        <f>VLOOKUP($A138, Sheet4!$A$2:$L$688, Consol_Thematic!I$1,FALSE)</f>
        <v/>
      </c>
      <c r="J138" s="261">
        <f>VLOOKUP($A138, Sheet4!$A$2:$L$688, Consol_Thematic!J$1,FALSE)</f>
        <v/>
      </c>
      <c r="K138" s="261">
        <f>(B138-MIN(B$3:B$23))/(MAX(B$3:B$23)-MIN(B$3:B$23))</f>
        <v/>
      </c>
      <c r="L138" s="261">
        <f>(MAX(H$3:H$23)-H138)/(MAX(H$3:H$23)-MIN(H$3:H$23))</f>
        <v/>
      </c>
      <c r="M138" s="261">
        <f>(C138-MIN(C$3:C$23))/(MAX(C$3:C$23)-MIN(C$3:C$23))</f>
        <v/>
      </c>
      <c r="N138" s="261">
        <f>(D138-MIN(D$3:D$23))/(MAX(D$3:D$23)-MIN(D$3:D$23))</f>
        <v/>
      </c>
      <c r="O138" s="261">
        <f>(MAX(J$3:J$23)-J138)/(MAX(J$3:J$23)-MIN(J$3:J$23))</f>
        <v/>
      </c>
      <c r="P138" s="261">
        <f>(E138-MIN(E$3:E$23))/(MAX(E$3:E$23)-MIN(E$3:E$23))</f>
        <v/>
      </c>
      <c r="Q138" s="261">
        <f>(F138-MIN(F$3:F$23))/(MAX(F$3:F$23)-MIN(F$3:F$23))</f>
        <v/>
      </c>
      <c r="R138" s="261">
        <f>(MAX(I$3:I$23)-I138)/(MAX(I$3:I$23)-MIN(I$3:I$23))</f>
        <v/>
      </c>
      <c r="S138" s="261">
        <f>(G138-MIN(G$3:G$23))/(MAX(G$3:G$23)-MIN(G$3:G$23))</f>
        <v/>
      </c>
      <c r="T138" s="261">
        <f>(K138*'Fund Ranking Criteria'!$J$9)+('Fund Ranking Criteria'!$J$10*Consol_Thematic!M138)+('Fund Ranking Criteria'!$J$12*Consol_Thematic!S138)+('Fund Ranking Criteria'!$J$14*Consol_Thematic!R138)+('Fund Ranking Criteria'!$J$15*Consol_Thematic!O138)+('Fund Ranking Criteria'!$J$16*Consol_Thematic!P138)+('Fund Ranking Criteria'!#REF!*Consol_Thematic!Q138)+('Fund Ranking Criteria'!#REF!*Consol_Thematic!L138)</f>
        <v/>
      </c>
      <c r="U138" s="261">
        <f>T138*1</f>
        <v/>
      </c>
      <c r="V138" s="261">
        <f>RANK(U138,$U$3:$U$157,0)</f>
        <v/>
      </c>
      <c r="W138" s="261">
        <f>A138</f>
        <v/>
      </c>
    </row>
    <row r="139">
      <c r="A139" s="261" t="inlineStr">
        <is>
          <t>Tata Ethical Fund - Regular Plan</t>
        </is>
      </c>
      <c r="B139" s="261">
        <f>VLOOKUP($A139, Sheet4!$A$2:$L$688, Consol_Thematic!B$1,FALSE)</f>
        <v/>
      </c>
      <c r="C139" s="261">
        <f>VLOOKUP($A139, Sheet4!$A$2:$L$688, Consol_Thematic!C$1,FALSE)</f>
        <v/>
      </c>
      <c r="D139" s="261">
        <f>VLOOKUP($A139, Sheet4!$A$2:$L$688, Consol_Thematic!D$1,FALSE)</f>
        <v/>
      </c>
      <c r="E139" s="261">
        <f>VLOOKUP($A139, Sheet4!$A$2:$L$688, Consol_Thematic!E$1,FALSE)</f>
        <v/>
      </c>
      <c r="F139" s="261">
        <f>VLOOKUP($A139, Sheet4!$A$2:$L$688, Consol_Thematic!F$1,FALSE)</f>
        <v/>
      </c>
      <c r="G139" s="261">
        <f>VLOOKUP($A139, Sheet4!$A$2:$L$688, Consol_Thematic!G$1,FALSE)</f>
        <v/>
      </c>
      <c r="H139" s="261">
        <f>VLOOKUP($A139, Sheet4!$A$2:$L$688, Consol_Thematic!H$1,FALSE)</f>
        <v/>
      </c>
      <c r="I139" s="261">
        <f>VLOOKUP($A139, Sheet4!$A$2:$L$688, Consol_Thematic!I$1,FALSE)</f>
        <v/>
      </c>
      <c r="J139" s="261">
        <f>VLOOKUP($A139, Sheet4!$A$2:$L$688, Consol_Thematic!J$1,FALSE)</f>
        <v/>
      </c>
      <c r="K139" s="261">
        <f>(B139-MIN(B$3:B$23))/(MAX(B$3:B$23)-MIN(B$3:B$23))</f>
        <v/>
      </c>
      <c r="L139" s="261">
        <f>(MAX(H$3:H$23)-H139)/(MAX(H$3:H$23)-MIN(H$3:H$23))</f>
        <v/>
      </c>
      <c r="M139" s="261">
        <f>(C139-MIN(C$3:C$23))/(MAX(C$3:C$23)-MIN(C$3:C$23))</f>
        <v/>
      </c>
      <c r="N139" s="261">
        <f>(D139-MIN(D$3:D$23))/(MAX(D$3:D$23)-MIN(D$3:D$23))</f>
        <v/>
      </c>
      <c r="O139" s="261">
        <f>(MAX(J$3:J$23)-J139)/(MAX(J$3:J$23)-MIN(J$3:J$23))</f>
        <v/>
      </c>
      <c r="P139" s="261">
        <f>(E139-MIN(E$3:E$23))/(MAX(E$3:E$23)-MIN(E$3:E$23))</f>
        <v/>
      </c>
      <c r="Q139" s="261">
        <f>(F139-MIN(F$3:F$23))/(MAX(F$3:F$23)-MIN(F$3:F$23))</f>
        <v/>
      </c>
      <c r="R139" s="261">
        <f>(MAX(I$3:I$23)-I139)/(MAX(I$3:I$23)-MIN(I$3:I$23))</f>
        <v/>
      </c>
      <c r="S139" s="261">
        <f>(G139-MIN(G$3:G$23))/(MAX(G$3:G$23)-MIN(G$3:G$23))</f>
        <v/>
      </c>
      <c r="T139" s="261">
        <f>(K139*'Fund Ranking Criteria'!$J$9)+('Fund Ranking Criteria'!$J$10*Consol_Thematic!M139)+('Fund Ranking Criteria'!$J$12*Consol_Thematic!S139)+('Fund Ranking Criteria'!$J$14*Consol_Thematic!R139)+('Fund Ranking Criteria'!$J$15*Consol_Thematic!O139)+('Fund Ranking Criteria'!$J$16*Consol_Thematic!P139)+('Fund Ranking Criteria'!#REF!*Consol_Thematic!Q139)+('Fund Ranking Criteria'!#REF!*Consol_Thematic!L139)</f>
        <v/>
      </c>
      <c r="U139" s="261">
        <f>T139*1</f>
        <v/>
      </c>
      <c r="V139" s="261">
        <f>RANK(U139,$U$3:$U$157,0)</f>
        <v/>
      </c>
      <c r="W139" s="261">
        <f>A139</f>
        <v/>
      </c>
    </row>
    <row r="140">
      <c r="A140" s="261" t="inlineStr">
        <is>
          <t>Tata Housing Opportunities Fund - Regular Plan</t>
        </is>
      </c>
      <c r="B140" s="261">
        <f>VLOOKUP($A140, Sheet4!$A$2:$L$688, Consol_Thematic!B$1,FALSE)</f>
        <v/>
      </c>
      <c r="C140" s="261">
        <f>VLOOKUP($A140, Sheet4!$A$2:$L$688, Consol_Thematic!C$1,FALSE)</f>
        <v/>
      </c>
      <c r="D140" s="261">
        <f>VLOOKUP($A140, Sheet4!$A$2:$L$688, Consol_Thematic!D$1,FALSE)</f>
        <v/>
      </c>
      <c r="E140" s="261">
        <f>VLOOKUP($A140, Sheet4!$A$2:$L$688, Consol_Thematic!E$1,FALSE)</f>
        <v/>
      </c>
      <c r="F140" s="261">
        <f>VLOOKUP($A140, Sheet4!$A$2:$L$688, Consol_Thematic!F$1,FALSE)</f>
        <v/>
      </c>
      <c r="G140" s="261">
        <f>VLOOKUP($A140, Sheet4!$A$2:$L$688, Consol_Thematic!G$1,FALSE)</f>
        <v/>
      </c>
      <c r="H140" s="261">
        <f>VLOOKUP($A140, Sheet4!$A$2:$L$688, Consol_Thematic!H$1,FALSE)</f>
        <v/>
      </c>
      <c r="I140" s="261">
        <f>VLOOKUP($A140, Sheet4!$A$2:$L$688, Consol_Thematic!I$1,FALSE)</f>
        <v/>
      </c>
      <c r="J140" s="261">
        <f>VLOOKUP($A140, Sheet4!$A$2:$L$688, Consol_Thematic!J$1,FALSE)</f>
        <v/>
      </c>
      <c r="K140" s="261">
        <f>(B140-MIN(B$3:B$23))/(MAX(B$3:B$23)-MIN(B$3:B$23))</f>
        <v/>
      </c>
      <c r="L140" s="261">
        <f>(MAX(H$3:H$23)-H140)/(MAX(H$3:H$23)-MIN(H$3:H$23))</f>
        <v/>
      </c>
      <c r="M140" s="261">
        <f>(C140-MIN(C$3:C$23))/(MAX(C$3:C$23)-MIN(C$3:C$23))</f>
        <v/>
      </c>
      <c r="N140" s="261">
        <f>(D140-MIN(D$3:D$23))/(MAX(D$3:D$23)-MIN(D$3:D$23))</f>
        <v/>
      </c>
      <c r="O140" s="261">
        <f>(MAX(J$3:J$23)-J140)/(MAX(J$3:J$23)-MIN(J$3:J$23))</f>
        <v/>
      </c>
      <c r="P140" s="261">
        <f>(E140-MIN(E$3:E$23))/(MAX(E$3:E$23)-MIN(E$3:E$23))</f>
        <v/>
      </c>
      <c r="Q140" s="261">
        <f>(F140-MIN(F$3:F$23))/(MAX(F$3:F$23)-MIN(F$3:F$23))</f>
        <v/>
      </c>
      <c r="R140" s="261">
        <f>(MAX(I$3:I$23)-I140)/(MAX(I$3:I$23)-MIN(I$3:I$23))</f>
        <v/>
      </c>
      <c r="S140" s="261">
        <f>(G140-MIN(G$3:G$23))/(MAX(G$3:G$23)-MIN(G$3:G$23))</f>
        <v/>
      </c>
      <c r="T140" s="261">
        <f>(K140*'Fund Ranking Criteria'!$J$9)+('Fund Ranking Criteria'!$J$10*Consol_Thematic!M140)+('Fund Ranking Criteria'!$J$12*Consol_Thematic!S140)+('Fund Ranking Criteria'!$J$14*Consol_Thematic!R140)+('Fund Ranking Criteria'!$J$15*Consol_Thematic!O140)+('Fund Ranking Criteria'!$J$16*Consol_Thematic!P140)+('Fund Ranking Criteria'!#REF!*Consol_Thematic!Q140)+('Fund Ranking Criteria'!#REF!*Consol_Thematic!L140)</f>
        <v/>
      </c>
      <c r="U140" s="261">
        <f>T140*1</f>
        <v/>
      </c>
      <c r="V140" s="261">
        <f>RANK(U140,$U$3:$U$157,0)</f>
        <v/>
      </c>
      <c r="W140" s="261">
        <f>A140</f>
        <v/>
      </c>
    </row>
    <row r="141">
      <c r="A141" s="261" t="inlineStr">
        <is>
          <t>Tata India Consumer Fund - Regular Plan</t>
        </is>
      </c>
      <c r="B141" s="261">
        <f>VLOOKUP($A141, Sheet4!$A$2:$L$688, Consol_Thematic!B$1,FALSE)</f>
        <v/>
      </c>
      <c r="C141" s="261">
        <f>VLOOKUP($A141, Sheet4!$A$2:$L$688, Consol_Thematic!C$1,FALSE)</f>
        <v/>
      </c>
      <c r="D141" s="261">
        <f>VLOOKUP($A141, Sheet4!$A$2:$L$688, Consol_Thematic!D$1,FALSE)</f>
        <v/>
      </c>
      <c r="E141" s="261">
        <f>VLOOKUP($A141, Sheet4!$A$2:$L$688, Consol_Thematic!E$1,FALSE)</f>
        <v/>
      </c>
      <c r="F141" s="261">
        <f>VLOOKUP($A141, Sheet4!$A$2:$L$688, Consol_Thematic!F$1,FALSE)</f>
        <v/>
      </c>
      <c r="G141" s="261">
        <f>VLOOKUP($A141, Sheet4!$A$2:$L$688, Consol_Thematic!G$1,FALSE)</f>
        <v/>
      </c>
      <c r="H141" s="261">
        <f>VLOOKUP($A141, Sheet4!$A$2:$L$688, Consol_Thematic!H$1,FALSE)</f>
        <v/>
      </c>
      <c r="I141" s="261">
        <f>VLOOKUP($A141, Sheet4!$A$2:$L$688, Consol_Thematic!I$1,FALSE)</f>
        <v/>
      </c>
      <c r="J141" s="261">
        <f>VLOOKUP($A141, Sheet4!$A$2:$L$688, Consol_Thematic!J$1,FALSE)</f>
        <v/>
      </c>
      <c r="K141" s="261">
        <f>(B141-MIN(B$3:B$23))/(MAX(B$3:B$23)-MIN(B$3:B$23))</f>
        <v/>
      </c>
      <c r="L141" s="261">
        <f>(MAX(H$3:H$23)-H141)/(MAX(H$3:H$23)-MIN(H$3:H$23))</f>
        <v/>
      </c>
      <c r="M141" s="261">
        <f>(C141-MIN(C$3:C$23))/(MAX(C$3:C$23)-MIN(C$3:C$23))</f>
        <v/>
      </c>
      <c r="N141" s="261">
        <f>(D141-MIN(D$3:D$23))/(MAX(D$3:D$23)-MIN(D$3:D$23))</f>
        <v/>
      </c>
      <c r="O141" s="261">
        <f>(MAX(J$3:J$23)-J141)/(MAX(J$3:J$23)-MIN(J$3:J$23))</f>
        <v/>
      </c>
      <c r="P141" s="261">
        <f>(E141-MIN(E$3:E$23))/(MAX(E$3:E$23)-MIN(E$3:E$23))</f>
        <v/>
      </c>
      <c r="Q141" s="261">
        <f>(F141-MIN(F$3:F$23))/(MAX(F$3:F$23)-MIN(F$3:F$23))</f>
        <v/>
      </c>
      <c r="R141" s="261">
        <f>(MAX(I$3:I$23)-I141)/(MAX(I$3:I$23)-MIN(I$3:I$23))</f>
        <v/>
      </c>
      <c r="S141" s="261">
        <f>(G141-MIN(G$3:G$23))/(MAX(G$3:G$23)-MIN(G$3:G$23))</f>
        <v/>
      </c>
      <c r="T141" s="261">
        <f>(K141*'Fund Ranking Criteria'!$J$9)+('Fund Ranking Criteria'!$J$10*Consol_Thematic!M141)+('Fund Ranking Criteria'!$J$12*Consol_Thematic!S141)+('Fund Ranking Criteria'!$J$14*Consol_Thematic!R141)+('Fund Ranking Criteria'!$J$15*Consol_Thematic!O141)+('Fund Ranking Criteria'!$J$16*Consol_Thematic!P141)+('Fund Ranking Criteria'!#REF!*Consol_Thematic!Q141)+('Fund Ranking Criteria'!#REF!*Consol_Thematic!L141)</f>
        <v/>
      </c>
      <c r="U141" s="261">
        <f>T141*1</f>
        <v/>
      </c>
      <c r="V141" s="261">
        <f>RANK(U141,$U$3:$U$157,0)</f>
        <v/>
      </c>
      <c r="W141" s="261">
        <f>A141</f>
        <v/>
      </c>
    </row>
    <row r="142">
      <c r="A142" s="261" t="inlineStr">
        <is>
          <t>Tata India Innovation Fund - Regular Plan</t>
        </is>
      </c>
      <c r="B142" s="261">
        <f>VLOOKUP($A142, Sheet4!$A$2:$L$688, Consol_Thematic!B$1,FALSE)</f>
        <v/>
      </c>
      <c r="C142" s="261">
        <f>VLOOKUP($A142, Sheet4!$A$2:$L$688, Consol_Thematic!C$1,FALSE)</f>
        <v/>
      </c>
      <c r="D142" s="261">
        <f>VLOOKUP($A142, Sheet4!$A$2:$L$688, Consol_Thematic!D$1,FALSE)</f>
        <v/>
      </c>
      <c r="E142" s="261">
        <f>VLOOKUP($A142, Sheet4!$A$2:$L$688, Consol_Thematic!E$1,FALSE)</f>
        <v/>
      </c>
      <c r="F142" s="261">
        <f>VLOOKUP($A142, Sheet4!$A$2:$L$688, Consol_Thematic!F$1,FALSE)</f>
        <v/>
      </c>
      <c r="G142" s="261">
        <f>VLOOKUP($A142, Sheet4!$A$2:$L$688, Consol_Thematic!G$1,FALSE)</f>
        <v/>
      </c>
      <c r="H142" s="261">
        <f>VLOOKUP($A142, Sheet4!$A$2:$L$688, Consol_Thematic!H$1,FALSE)</f>
        <v/>
      </c>
      <c r="I142" s="261">
        <f>VLOOKUP($A142, Sheet4!$A$2:$L$688, Consol_Thematic!I$1,FALSE)</f>
        <v/>
      </c>
      <c r="J142" s="261">
        <f>VLOOKUP($A142, Sheet4!$A$2:$L$688, Consol_Thematic!J$1,FALSE)</f>
        <v/>
      </c>
      <c r="K142" s="261">
        <f>(B142-MIN(B$3:B$23))/(MAX(B$3:B$23)-MIN(B$3:B$23))</f>
        <v/>
      </c>
      <c r="L142" s="261">
        <f>(MAX(H$3:H$23)-H142)/(MAX(H$3:H$23)-MIN(H$3:H$23))</f>
        <v/>
      </c>
      <c r="M142" s="261">
        <f>(C142-MIN(C$3:C$23))/(MAX(C$3:C$23)-MIN(C$3:C$23))</f>
        <v/>
      </c>
      <c r="N142" s="261">
        <f>(D142-MIN(D$3:D$23))/(MAX(D$3:D$23)-MIN(D$3:D$23))</f>
        <v/>
      </c>
      <c r="O142" s="261">
        <f>(MAX(J$3:J$23)-J142)/(MAX(J$3:J$23)-MIN(J$3:J$23))</f>
        <v/>
      </c>
      <c r="P142" s="261">
        <f>(E142-MIN(E$3:E$23))/(MAX(E$3:E$23)-MIN(E$3:E$23))</f>
        <v/>
      </c>
      <c r="Q142" s="261">
        <f>(F142-MIN(F$3:F$23))/(MAX(F$3:F$23)-MIN(F$3:F$23))</f>
        <v/>
      </c>
      <c r="R142" s="261">
        <f>(MAX(I$3:I$23)-I142)/(MAX(I$3:I$23)-MIN(I$3:I$23))</f>
        <v/>
      </c>
      <c r="S142" s="261">
        <f>(G142-MIN(G$3:G$23))/(MAX(G$3:G$23)-MIN(G$3:G$23))</f>
        <v/>
      </c>
      <c r="T142" s="261">
        <f>(K142*'Fund Ranking Criteria'!$J$9)+('Fund Ranking Criteria'!$J$10*Consol_Thematic!M142)+('Fund Ranking Criteria'!$J$12*Consol_Thematic!S142)+('Fund Ranking Criteria'!$J$14*Consol_Thematic!R142)+('Fund Ranking Criteria'!$J$15*Consol_Thematic!O142)+('Fund Ranking Criteria'!$J$16*Consol_Thematic!P142)+('Fund Ranking Criteria'!#REF!*Consol_Thematic!Q142)+('Fund Ranking Criteria'!#REF!*Consol_Thematic!L142)</f>
        <v/>
      </c>
      <c r="U142" s="261">
        <f>T142*1</f>
        <v/>
      </c>
      <c r="V142" s="261">
        <f>RANK(U142,$U$3:$U$157,0)</f>
        <v/>
      </c>
      <c r="W142" s="261">
        <f>A142</f>
        <v/>
      </c>
    </row>
    <row r="143">
      <c r="A143" s="261" t="inlineStr">
        <is>
          <t>Tata Resources &amp; Energy Fund - Regular Plan</t>
        </is>
      </c>
      <c r="B143" s="261">
        <f>VLOOKUP($A143, Sheet4!$A$2:$L$688, Consol_Thematic!B$1,FALSE)</f>
        <v/>
      </c>
      <c r="C143" s="261">
        <f>VLOOKUP($A143, Sheet4!$A$2:$L$688, Consol_Thematic!C$1,FALSE)</f>
        <v/>
      </c>
      <c r="D143" s="261">
        <f>VLOOKUP($A143, Sheet4!$A$2:$L$688, Consol_Thematic!D$1,FALSE)</f>
        <v/>
      </c>
      <c r="E143" s="261">
        <f>VLOOKUP($A143, Sheet4!$A$2:$L$688, Consol_Thematic!E$1,FALSE)</f>
        <v/>
      </c>
      <c r="F143" s="261">
        <f>VLOOKUP($A143, Sheet4!$A$2:$L$688, Consol_Thematic!F$1,FALSE)</f>
        <v/>
      </c>
      <c r="G143" s="261">
        <f>VLOOKUP($A143, Sheet4!$A$2:$L$688, Consol_Thematic!G$1,FALSE)</f>
        <v/>
      </c>
      <c r="H143" s="261">
        <f>VLOOKUP($A143, Sheet4!$A$2:$L$688, Consol_Thematic!H$1,FALSE)</f>
        <v/>
      </c>
      <c r="I143" s="261">
        <f>VLOOKUP($A143, Sheet4!$A$2:$L$688, Consol_Thematic!I$1,FALSE)</f>
        <v/>
      </c>
      <c r="J143" s="261">
        <f>VLOOKUP($A143, Sheet4!$A$2:$L$688, Consol_Thematic!J$1,FALSE)</f>
        <v/>
      </c>
      <c r="K143" s="261">
        <f>(B143-MIN(B$3:B$23))/(MAX(B$3:B$23)-MIN(B$3:B$23))</f>
        <v/>
      </c>
      <c r="L143" s="261">
        <f>(MAX(H$3:H$23)-H143)/(MAX(H$3:H$23)-MIN(H$3:H$23))</f>
        <v/>
      </c>
      <c r="M143" s="261">
        <f>(C143-MIN(C$3:C$23))/(MAX(C$3:C$23)-MIN(C$3:C$23))</f>
        <v/>
      </c>
      <c r="N143" s="261">
        <f>(D143-MIN(D$3:D$23))/(MAX(D$3:D$23)-MIN(D$3:D$23))</f>
        <v/>
      </c>
      <c r="O143" s="261">
        <f>(MAX(J$3:J$23)-J143)/(MAX(J$3:J$23)-MIN(J$3:J$23))</f>
        <v/>
      </c>
      <c r="P143" s="261">
        <f>(E143-MIN(E$3:E$23))/(MAX(E$3:E$23)-MIN(E$3:E$23))</f>
        <v/>
      </c>
      <c r="Q143" s="261">
        <f>(F143-MIN(F$3:F$23))/(MAX(F$3:F$23)-MIN(F$3:F$23))</f>
        <v/>
      </c>
      <c r="R143" s="261">
        <f>(MAX(I$3:I$23)-I143)/(MAX(I$3:I$23)-MIN(I$3:I$23))</f>
        <v/>
      </c>
      <c r="S143" s="261">
        <f>(G143-MIN(G$3:G$23))/(MAX(G$3:G$23)-MIN(G$3:G$23))</f>
        <v/>
      </c>
      <c r="T143" s="261">
        <f>(K143*'Fund Ranking Criteria'!$J$9)+('Fund Ranking Criteria'!$J$10*Consol_Thematic!M143)+('Fund Ranking Criteria'!$J$12*Consol_Thematic!S143)+('Fund Ranking Criteria'!$J$14*Consol_Thematic!R143)+('Fund Ranking Criteria'!$J$15*Consol_Thematic!O143)+('Fund Ranking Criteria'!$J$16*Consol_Thematic!P143)+('Fund Ranking Criteria'!#REF!*Consol_Thematic!Q143)+('Fund Ranking Criteria'!#REF!*Consol_Thematic!L143)</f>
        <v/>
      </c>
      <c r="U143" s="261">
        <f>T143*1</f>
        <v/>
      </c>
      <c r="V143" s="261">
        <f>RANK(U143,$U$3:$U$157,0)</f>
        <v/>
      </c>
      <c r="W143" s="261">
        <f>A143</f>
        <v/>
      </c>
    </row>
    <row r="144">
      <c r="A144" s="261" t="inlineStr">
        <is>
          <t>Taurus Ethical Fund - Regular Plan</t>
        </is>
      </c>
      <c r="B144" s="261">
        <f>VLOOKUP($A144, Sheet4!$A$2:$L$688, Consol_Thematic!B$1,FALSE)</f>
        <v/>
      </c>
      <c r="C144" s="261">
        <f>VLOOKUP($A144, Sheet4!$A$2:$L$688, Consol_Thematic!C$1,FALSE)</f>
        <v/>
      </c>
      <c r="D144" s="261">
        <f>VLOOKUP($A144, Sheet4!$A$2:$L$688, Consol_Thematic!D$1,FALSE)</f>
        <v/>
      </c>
      <c r="E144" s="261">
        <f>VLOOKUP($A144, Sheet4!$A$2:$L$688, Consol_Thematic!E$1,FALSE)</f>
        <v/>
      </c>
      <c r="F144" s="261">
        <f>VLOOKUP($A144, Sheet4!$A$2:$L$688, Consol_Thematic!F$1,FALSE)</f>
        <v/>
      </c>
      <c r="G144" s="261">
        <f>VLOOKUP($A144, Sheet4!$A$2:$L$688, Consol_Thematic!G$1,FALSE)</f>
        <v/>
      </c>
      <c r="H144" s="261">
        <f>VLOOKUP($A144, Sheet4!$A$2:$L$688, Consol_Thematic!H$1,FALSE)</f>
        <v/>
      </c>
      <c r="I144" s="261">
        <f>VLOOKUP($A144, Sheet4!$A$2:$L$688, Consol_Thematic!I$1,FALSE)</f>
        <v/>
      </c>
      <c r="J144" s="261">
        <f>VLOOKUP($A144, Sheet4!$A$2:$L$688, Consol_Thematic!J$1,FALSE)</f>
        <v/>
      </c>
      <c r="K144" s="261">
        <f>(B144-MIN(B$3:B$23))/(MAX(B$3:B$23)-MIN(B$3:B$23))</f>
        <v/>
      </c>
      <c r="L144" s="261">
        <f>(MAX(H$3:H$23)-H144)/(MAX(H$3:H$23)-MIN(H$3:H$23))</f>
        <v/>
      </c>
      <c r="M144" s="261">
        <f>(C144-MIN(C$3:C$23))/(MAX(C$3:C$23)-MIN(C$3:C$23))</f>
        <v/>
      </c>
      <c r="N144" s="261">
        <f>(D144-MIN(D$3:D$23))/(MAX(D$3:D$23)-MIN(D$3:D$23))</f>
        <v/>
      </c>
      <c r="O144" s="261">
        <f>(MAX(J$3:J$23)-J144)/(MAX(J$3:J$23)-MIN(J$3:J$23))</f>
        <v/>
      </c>
      <c r="P144" s="261">
        <f>(E144-MIN(E$3:E$23))/(MAX(E$3:E$23)-MIN(E$3:E$23))</f>
        <v/>
      </c>
      <c r="Q144" s="261">
        <f>(F144-MIN(F$3:F$23))/(MAX(F$3:F$23)-MIN(F$3:F$23))</f>
        <v/>
      </c>
      <c r="R144" s="261">
        <f>(MAX(I$3:I$23)-I144)/(MAX(I$3:I$23)-MIN(I$3:I$23))</f>
        <v/>
      </c>
      <c r="S144" s="261">
        <f>(G144-MIN(G$3:G$23))/(MAX(G$3:G$23)-MIN(G$3:G$23))</f>
        <v/>
      </c>
      <c r="T144" s="261">
        <f>(K144*'Fund Ranking Criteria'!$J$9)+('Fund Ranking Criteria'!$J$10*Consol_Thematic!M144)+('Fund Ranking Criteria'!$J$12*Consol_Thematic!S144)+('Fund Ranking Criteria'!$J$14*Consol_Thematic!R144)+('Fund Ranking Criteria'!$J$15*Consol_Thematic!O144)+('Fund Ranking Criteria'!$J$16*Consol_Thematic!P144)+('Fund Ranking Criteria'!#REF!*Consol_Thematic!Q144)+('Fund Ranking Criteria'!#REF!*Consol_Thematic!L144)</f>
        <v/>
      </c>
      <c r="U144" s="261">
        <f>T144*1</f>
        <v/>
      </c>
      <c r="V144" s="261">
        <f>RANK(U144,$U$3:$U$157,0)</f>
        <v/>
      </c>
      <c r="W144" s="261">
        <f>A144</f>
        <v/>
      </c>
    </row>
    <row r="145">
      <c r="A145" s="261" t="inlineStr">
        <is>
          <t>Templeton India Equity Income Fund</t>
        </is>
      </c>
      <c r="B145" s="261">
        <f>VLOOKUP($A145, Sheet4!$A$2:$L$688, Consol_Thematic!B$1,FALSE)</f>
        <v/>
      </c>
      <c r="C145" s="261">
        <f>VLOOKUP($A145, Sheet4!$A$2:$L$688, Consol_Thematic!C$1,FALSE)</f>
        <v/>
      </c>
      <c r="D145" s="261">
        <f>VLOOKUP($A145, Sheet4!$A$2:$L$688, Consol_Thematic!D$1,FALSE)</f>
        <v/>
      </c>
      <c r="E145" s="261">
        <f>VLOOKUP($A145, Sheet4!$A$2:$L$688, Consol_Thematic!E$1,FALSE)</f>
        <v/>
      </c>
      <c r="F145" s="261">
        <f>VLOOKUP($A145, Sheet4!$A$2:$L$688, Consol_Thematic!F$1,FALSE)</f>
        <v/>
      </c>
      <c r="G145" s="261">
        <f>VLOOKUP($A145, Sheet4!$A$2:$L$688, Consol_Thematic!G$1,FALSE)</f>
        <v/>
      </c>
      <c r="H145" s="261">
        <f>VLOOKUP($A145, Sheet4!$A$2:$L$688, Consol_Thematic!H$1,FALSE)</f>
        <v/>
      </c>
      <c r="I145" s="261">
        <f>VLOOKUP($A145, Sheet4!$A$2:$L$688, Consol_Thematic!I$1,FALSE)</f>
        <v/>
      </c>
      <c r="J145" s="261">
        <f>VLOOKUP($A145, Sheet4!$A$2:$L$688, Consol_Thematic!J$1,FALSE)</f>
        <v/>
      </c>
      <c r="K145" s="261">
        <f>(B145-MIN(B$3:B$23))/(MAX(B$3:B$23)-MIN(B$3:B$23))</f>
        <v/>
      </c>
      <c r="L145" s="261">
        <f>(MAX(H$3:H$23)-H145)/(MAX(H$3:H$23)-MIN(H$3:H$23))</f>
        <v/>
      </c>
      <c r="M145" s="261">
        <f>(C145-MIN(C$3:C$23))/(MAX(C$3:C$23)-MIN(C$3:C$23))</f>
        <v/>
      </c>
      <c r="N145" s="261">
        <f>(D145-MIN(D$3:D$23))/(MAX(D$3:D$23)-MIN(D$3:D$23))</f>
        <v/>
      </c>
      <c r="O145" s="261">
        <f>(MAX(J$3:J$23)-J145)/(MAX(J$3:J$23)-MIN(J$3:J$23))</f>
        <v/>
      </c>
      <c r="P145" s="261">
        <f>(E145-MIN(E$3:E$23))/(MAX(E$3:E$23)-MIN(E$3:E$23))</f>
        <v/>
      </c>
      <c r="Q145" s="261">
        <f>(F145-MIN(F$3:F$23))/(MAX(F$3:F$23)-MIN(F$3:F$23))</f>
        <v/>
      </c>
      <c r="R145" s="261">
        <f>(MAX(I$3:I$23)-I145)/(MAX(I$3:I$23)-MIN(I$3:I$23))</f>
        <v/>
      </c>
      <c r="S145" s="261">
        <f>(G145-MIN(G$3:G$23))/(MAX(G$3:G$23)-MIN(G$3:G$23))</f>
        <v/>
      </c>
      <c r="T145" s="261">
        <f>(K145*'Fund Ranking Criteria'!$J$9)+('Fund Ranking Criteria'!$J$10*Consol_Thematic!M145)+('Fund Ranking Criteria'!$J$12*Consol_Thematic!S145)+('Fund Ranking Criteria'!$J$14*Consol_Thematic!R145)+('Fund Ranking Criteria'!$J$15*Consol_Thematic!O145)+('Fund Ranking Criteria'!$J$16*Consol_Thematic!P145)+('Fund Ranking Criteria'!#REF!*Consol_Thematic!Q145)+('Fund Ranking Criteria'!#REF!*Consol_Thematic!L145)</f>
        <v/>
      </c>
      <c r="U145" s="261">
        <f>T145*1</f>
        <v/>
      </c>
      <c r="V145" s="261">
        <f>RANK(U145,$U$3:$U$157,0)</f>
        <v/>
      </c>
      <c r="W145" s="261">
        <f>A145</f>
        <v/>
      </c>
    </row>
    <row r="146">
      <c r="A146" s="261" t="inlineStr">
        <is>
          <t>Union Active Momentum Fund - Regular Plan</t>
        </is>
      </c>
      <c r="B146" s="261">
        <f>VLOOKUP($A146, Sheet4!$A$2:$L$688, Consol_Thematic!B$1,FALSE)</f>
        <v/>
      </c>
      <c r="C146" s="261">
        <f>VLOOKUP($A146, Sheet4!$A$2:$L$688, Consol_Thematic!C$1,FALSE)</f>
        <v/>
      </c>
      <c r="D146" s="261">
        <f>VLOOKUP($A146, Sheet4!$A$2:$L$688, Consol_Thematic!D$1,FALSE)</f>
        <v/>
      </c>
      <c r="E146" s="261">
        <f>VLOOKUP($A146, Sheet4!$A$2:$L$688, Consol_Thematic!E$1,FALSE)</f>
        <v/>
      </c>
      <c r="F146" s="261">
        <f>VLOOKUP($A146, Sheet4!$A$2:$L$688, Consol_Thematic!F$1,FALSE)</f>
        <v/>
      </c>
      <c r="G146" s="261">
        <f>VLOOKUP($A146, Sheet4!$A$2:$L$688, Consol_Thematic!G$1,FALSE)</f>
        <v/>
      </c>
      <c r="H146" s="261">
        <f>VLOOKUP($A146, Sheet4!$A$2:$L$688, Consol_Thematic!H$1,FALSE)</f>
        <v/>
      </c>
      <c r="I146" s="261">
        <f>VLOOKUP($A146, Sheet4!$A$2:$L$688, Consol_Thematic!I$1,FALSE)</f>
        <v/>
      </c>
      <c r="J146" s="261">
        <f>VLOOKUP($A146, Sheet4!$A$2:$L$688, Consol_Thematic!J$1,FALSE)</f>
        <v/>
      </c>
      <c r="K146" s="261">
        <f>(B146-MIN(B$3:B$23))/(MAX(B$3:B$23)-MIN(B$3:B$23))</f>
        <v/>
      </c>
      <c r="L146" s="261">
        <f>(MAX(H$3:H$23)-H146)/(MAX(H$3:H$23)-MIN(H$3:H$23))</f>
        <v/>
      </c>
      <c r="M146" s="261">
        <f>(C146-MIN(C$3:C$23))/(MAX(C$3:C$23)-MIN(C$3:C$23))</f>
        <v/>
      </c>
      <c r="N146" s="261">
        <f>(D146-MIN(D$3:D$23))/(MAX(D$3:D$23)-MIN(D$3:D$23))</f>
        <v/>
      </c>
      <c r="O146" s="261">
        <f>(MAX(J$3:J$23)-J146)/(MAX(J$3:J$23)-MIN(J$3:J$23))</f>
        <v/>
      </c>
      <c r="P146" s="261">
        <f>(E146-MIN(E$3:E$23))/(MAX(E$3:E$23)-MIN(E$3:E$23))</f>
        <v/>
      </c>
      <c r="Q146" s="261">
        <f>(F146-MIN(F$3:F$23))/(MAX(F$3:F$23)-MIN(F$3:F$23))</f>
        <v/>
      </c>
      <c r="R146" s="261">
        <f>(MAX(I$3:I$23)-I146)/(MAX(I$3:I$23)-MIN(I$3:I$23))</f>
        <v/>
      </c>
      <c r="S146" s="261">
        <f>(G146-MIN(G$3:G$23))/(MAX(G$3:G$23)-MIN(G$3:G$23))</f>
        <v/>
      </c>
      <c r="T146" s="261">
        <f>(K146*'Fund Ranking Criteria'!$J$9)+('Fund Ranking Criteria'!$J$10*Consol_Thematic!M146)+('Fund Ranking Criteria'!$J$12*Consol_Thematic!S146)+('Fund Ranking Criteria'!$J$14*Consol_Thematic!R146)+('Fund Ranking Criteria'!$J$15*Consol_Thematic!O146)+('Fund Ranking Criteria'!$J$16*Consol_Thematic!P146)+('Fund Ranking Criteria'!#REF!*Consol_Thematic!Q146)+('Fund Ranking Criteria'!#REF!*Consol_Thematic!L146)</f>
        <v/>
      </c>
      <c r="U146" s="261">
        <f>T146*1</f>
        <v/>
      </c>
      <c r="V146" s="261">
        <f>RANK(U146,$U$3:$U$157,0)</f>
        <v/>
      </c>
      <c r="W146" s="261">
        <f>A146</f>
        <v/>
      </c>
    </row>
    <row r="147">
      <c r="A147" s="261" t="inlineStr">
        <is>
          <t>Union Business Cycle Fund - Regular Plan</t>
        </is>
      </c>
      <c r="B147" s="261">
        <f>VLOOKUP($A147, Sheet4!$A$2:$L$688, Consol_Thematic!B$1,FALSE)</f>
        <v/>
      </c>
      <c r="C147" s="261">
        <f>VLOOKUP($A147, Sheet4!$A$2:$L$688, Consol_Thematic!C$1,FALSE)</f>
        <v/>
      </c>
      <c r="D147" s="261">
        <f>VLOOKUP($A147, Sheet4!$A$2:$L$688, Consol_Thematic!D$1,FALSE)</f>
        <v/>
      </c>
      <c r="E147" s="261">
        <f>VLOOKUP($A147, Sheet4!$A$2:$L$688, Consol_Thematic!E$1,FALSE)</f>
        <v/>
      </c>
      <c r="F147" s="261">
        <f>VLOOKUP($A147, Sheet4!$A$2:$L$688, Consol_Thematic!F$1,FALSE)</f>
        <v/>
      </c>
      <c r="G147" s="261">
        <f>VLOOKUP($A147, Sheet4!$A$2:$L$688, Consol_Thematic!G$1,FALSE)</f>
        <v/>
      </c>
      <c r="H147" s="261">
        <f>VLOOKUP($A147, Sheet4!$A$2:$L$688, Consol_Thematic!H$1,FALSE)</f>
        <v/>
      </c>
      <c r="I147" s="261">
        <f>VLOOKUP($A147, Sheet4!$A$2:$L$688, Consol_Thematic!I$1,FALSE)</f>
        <v/>
      </c>
      <c r="J147" s="261">
        <f>VLOOKUP($A147, Sheet4!$A$2:$L$688, Consol_Thematic!J$1,FALSE)</f>
        <v/>
      </c>
      <c r="K147" s="261">
        <f>(B147-MIN(B$3:B$23))/(MAX(B$3:B$23)-MIN(B$3:B$23))</f>
        <v/>
      </c>
      <c r="L147" s="261">
        <f>(MAX(H$3:H$23)-H147)/(MAX(H$3:H$23)-MIN(H$3:H$23))</f>
        <v/>
      </c>
      <c r="M147" s="261">
        <f>(C147-MIN(C$3:C$23))/(MAX(C$3:C$23)-MIN(C$3:C$23))</f>
        <v/>
      </c>
      <c r="N147" s="261">
        <f>(D147-MIN(D$3:D$23))/(MAX(D$3:D$23)-MIN(D$3:D$23))</f>
        <v/>
      </c>
      <c r="O147" s="261">
        <f>(MAX(J$3:J$23)-J147)/(MAX(J$3:J$23)-MIN(J$3:J$23))</f>
        <v/>
      </c>
      <c r="P147" s="261">
        <f>(E147-MIN(E$3:E$23))/(MAX(E$3:E$23)-MIN(E$3:E$23))</f>
        <v/>
      </c>
      <c r="Q147" s="261">
        <f>(F147-MIN(F$3:F$23))/(MAX(F$3:F$23)-MIN(F$3:F$23))</f>
        <v/>
      </c>
      <c r="R147" s="261">
        <f>(MAX(I$3:I$23)-I147)/(MAX(I$3:I$23)-MIN(I$3:I$23))</f>
        <v/>
      </c>
      <c r="S147" s="261">
        <f>(G147-MIN(G$3:G$23))/(MAX(G$3:G$23)-MIN(G$3:G$23))</f>
        <v/>
      </c>
      <c r="T147" s="261">
        <f>(K147*'Fund Ranking Criteria'!$J$9)+('Fund Ranking Criteria'!$J$10*Consol_Thematic!M147)+('Fund Ranking Criteria'!$J$12*Consol_Thematic!S147)+('Fund Ranking Criteria'!$J$14*Consol_Thematic!R147)+('Fund Ranking Criteria'!$J$15*Consol_Thematic!O147)+('Fund Ranking Criteria'!$J$16*Consol_Thematic!P147)+('Fund Ranking Criteria'!#REF!*Consol_Thematic!Q147)+('Fund Ranking Criteria'!#REF!*Consol_Thematic!L147)</f>
        <v/>
      </c>
      <c r="U147" s="261">
        <f>T147*1</f>
        <v/>
      </c>
      <c r="V147" s="261">
        <f>RANK(U147,$U$3:$U$157,0)</f>
        <v/>
      </c>
      <c r="W147" s="261">
        <f>A147</f>
        <v/>
      </c>
    </row>
    <row r="148">
      <c r="A148" s="261" t="inlineStr">
        <is>
          <t>Union Innovation &amp; Opportunities Fund - Regular Plan</t>
        </is>
      </c>
      <c r="B148" s="261">
        <f>VLOOKUP($A148, Sheet4!$A$2:$L$688, Consol_Thematic!B$1,FALSE)</f>
        <v/>
      </c>
      <c r="C148" s="261">
        <f>VLOOKUP($A148, Sheet4!$A$2:$L$688, Consol_Thematic!C$1,FALSE)</f>
        <v/>
      </c>
      <c r="D148" s="261">
        <f>VLOOKUP($A148, Sheet4!$A$2:$L$688, Consol_Thematic!D$1,FALSE)</f>
        <v/>
      </c>
      <c r="E148" s="261">
        <f>VLOOKUP($A148, Sheet4!$A$2:$L$688, Consol_Thematic!E$1,FALSE)</f>
        <v/>
      </c>
      <c r="F148" s="261">
        <f>VLOOKUP($A148, Sheet4!$A$2:$L$688, Consol_Thematic!F$1,FALSE)</f>
        <v/>
      </c>
      <c r="G148" s="261">
        <f>VLOOKUP($A148, Sheet4!$A$2:$L$688, Consol_Thematic!G$1,FALSE)</f>
        <v/>
      </c>
      <c r="H148" s="261">
        <f>VLOOKUP($A148, Sheet4!$A$2:$L$688, Consol_Thematic!H$1,FALSE)</f>
        <v/>
      </c>
      <c r="I148" s="261">
        <f>VLOOKUP($A148, Sheet4!$A$2:$L$688, Consol_Thematic!I$1,FALSE)</f>
        <v/>
      </c>
      <c r="J148" s="261">
        <f>VLOOKUP($A148, Sheet4!$A$2:$L$688, Consol_Thematic!J$1,FALSE)</f>
        <v/>
      </c>
      <c r="K148" s="261">
        <f>(B148-MIN(B$3:B$23))/(MAX(B$3:B$23)-MIN(B$3:B$23))</f>
        <v/>
      </c>
      <c r="L148" s="261">
        <f>(MAX(H$3:H$23)-H148)/(MAX(H$3:H$23)-MIN(H$3:H$23))</f>
        <v/>
      </c>
      <c r="M148" s="261">
        <f>(C148-MIN(C$3:C$23))/(MAX(C$3:C$23)-MIN(C$3:C$23))</f>
        <v/>
      </c>
      <c r="N148" s="261">
        <f>(D148-MIN(D$3:D$23))/(MAX(D$3:D$23)-MIN(D$3:D$23))</f>
        <v/>
      </c>
      <c r="O148" s="261">
        <f>(MAX(J$3:J$23)-J148)/(MAX(J$3:J$23)-MIN(J$3:J$23))</f>
        <v/>
      </c>
      <c r="P148" s="261">
        <f>(E148-MIN(E$3:E$23))/(MAX(E$3:E$23)-MIN(E$3:E$23))</f>
        <v/>
      </c>
      <c r="Q148" s="261">
        <f>(F148-MIN(F$3:F$23))/(MAX(F$3:F$23)-MIN(F$3:F$23))</f>
        <v/>
      </c>
      <c r="R148" s="261">
        <f>(MAX(I$3:I$23)-I148)/(MAX(I$3:I$23)-MIN(I$3:I$23))</f>
        <v/>
      </c>
      <c r="S148" s="261">
        <f>(G148-MIN(G$3:G$23))/(MAX(G$3:G$23)-MIN(G$3:G$23))</f>
        <v/>
      </c>
      <c r="T148" s="261">
        <f>(K148*'Fund Ranking Criteria'!$J$9)+('Fund Ranking Criteria'!$J$10*Consol_Thematic!M148)+('Fund Ranking Criteria'!$J$12*Consol_Thematic!S148)+('Fund Ranking Criteria'!$J$14*Consol_Thematic!R148)+('Fund Ranking Criteria'!$J$15*Consol_Thematic!O148)+('Fund Ranking Criteria'!$J$16*Consol_Thematic!P148)+('Fund Ranking Criteria'!#REF!*Consol_Thematic!Q148)+('Fund Ranking Criteria'!#REF!*Consol_Thematic!L148)</f>
        <v/>
      </c>
      <c r="U148" s="261">
        <f>T148*1</f>
        <v/>
      </c>
      <c r="V148" s="261">
        <f>RANK(U148,$U$3:$U$157,0)</f>
        <v/>
      </c>
      <c r="W148" s="261">
        <f>A148</f>
        <v/>
      </c>
    </row>
    <row r="149">
      <c r="A149" s="261" t="inlineStr">
        <is>
          <t>UTI Dividend Yield Fund - Regular Plan</t>
        </is>
      </c>
      <c r="B149" s="261">
        <f>VLOOKUP($A149, Sheet4!$A$2:$L$688, Consol_Thematic!B$1,FALSE)</f>
        <v/>
      </c>
      <c r="C149" s="261">
        <f>VLOOKUP($A149, Sheet4!$A$2:$L$688, Consol_Thematic!C$1,FALSE)</f>
        <v/>
      </c>
      <c r="D149" s="261">
        <f>VLOOKUP($A149, Sheet4!$A$2:$L$688, Consol_Thematic!D$1,FALSE)</f>
        <v/>
      </c>
      <c r="E149" s="261">
        <f>VLOOKUP($A149, Sheet4!$A$2:$L$688, Consol_Thematic!E$1,FALSE)</f>
        <v/>
      </c>
      <c r="F149" s="261">
        <f>VLOOKUP($A149, Sheet4!$A$2:$L$688, Consol_Thematic!F$1,FALSE)</f>
        <v/>
      </c>
      <c r="G149" s="261">
        <f>VLOOKUP($A149, Sheet4!$A$2:$L$688, Consol_Thematic!G$1,FALSE)</f>
        <v/>
      </c>
      <c r="H149" s="261">
        <f>VLOOKUP($A149, Sheet4!$A$2:$L$688, Consol_Thematic!H$1,FALSE)</f>
        <v/>
      </c>
      <c r="I149" s="261">
        <f>VLOOKUP($A149, Sheet4!$A$2:$L$688, Consol_Thematic!I$1,FALSE)</f>
        <v/>
      </c>
      <c r="J149" s="261">
        <f>VLOOKUP($A149, Sheet4!$A$2:$L$688, Consol_Thematic!J$1,FALSE)</f>
        <v/>
      </c>
      <c r="K149" s="261">
        <f>(B149-MIN(B$3:B$23))/(MAX(B$3:B$23)-MIN(B$3:B$23))</f>
        <v/>
      </c>
      <c r="L149" s="261">
        <f>(MAX(H$3:H$23)-H149)/(MAX(H$3:H$23)-MIN(H$3:H$23))</f>
        <v/>
      </c>
      <c r="M149" s="261">
        <f>(C149-MIN(C$3:C$23))/(MAX(C$3:C$23)-MIN(C$3:C$23))</f>
        <v/>
      </c>
      <c r="N149" s="261">
        <f>(D149-MIN(D$3:D$23))/(MAX(D$3:D$23)-MIN(D$3:D$23))</f>
        <v/>
      </c>
      <c r="O149" s="261">
        <f>(MAX(J$3:J$23)-J149)/(MAX(J$3:J$23)-MIN(J$3:J$23))</f>
        <v/>
      </c>
      <c r="P149" s="261">
        <f>(E149-MIN(E$3:E$23))/(MAX(E$3:E$23)-MIN(E$3:E$23))</f>
        <v/>
      </c>
      <c r="Q149" s="261">
        <f>(F149-MIN(F$3:F$23))/(MAX(F$3:F$23)-MIN(F$3:F$23))</f>
        <v/>
      </c>
      <c r="R149" s="261">
        <f>(MAX(I$3:I$23)-I149)/(MAX(I$3:I$23)-MIN(I$3:I$23))</f>
        <v/>
      </c>
      <c r="S149" s="261">
        <f>(G149-MIN(G$3:G$23))/(MAX(G$3:G$23)-MIN(G$3:G$23))</f>
        <v/>
      </c>
      <c r="T149" s="261">
        <f>(K149*'Fund Ranking Criteria'!$J$9)+('Fund Ranking Criteria'!$J$10*Consol_Thematic!M149)+('Fund Ranking Criteria'!$J$12*Consol_Thematic!S149)+('Fund Ranking Criteria'!$J$14*Consol_Thematic!R149)+('Fund Ranking Criteria'!$J$15*Consol_Thematic!O149)+('Fund Ranking Criteria'!$J$16*Consol_Thematic!P149)+('Fund Ranking Criteria'!#REF!*Consol_Thematic!Q149)+('Fund Ranking Criteria'!#REF!*Consol_Thematic!L149)</f>
        <v/>
      </c>
      <c r="U149" s="261">
        <f>T149*1</f>
        <v/>
      </c>
      <c r="V149" s="261">
        <f>RANK(U149,$U$3:$U$157,0)</f>
        <v/>
      </c>
      <c r="W149" s="261">
        <f>A149</f>
        <v/>
      </c>
    </row>
    <row r="150">
      <c r="A150" s="261" t="inlineStr">
        <is>
          <t>UTI India Consumer Fund - Regular Plan</t>
        </is>
      </c>
      <c r="B150" s="261">
        <f>VLOOKUP($A150, Sheet4!$A$2:$L$688, Consol_Thematic!B$1,FALSE)</f>
        <v/>
      </c>
      <c r="C150" s="261">
        <f>VLOOKUP($A150, Sheet4!$A$2:$L$688, Consol_Thematic!C$1,FALSE)</f>
        <v/>
      </c>
      <c r="D150" s="261">
        <f>VLOOKUP($A150, Sheet4!$A$2:$L$688, Consol_Thematic!D$1,FALSE)</f>
        <v/>
      </c>
      <c r="E150" s="261">
        <f>VLOOKUP($A150, Sheet4!$A$2:$L$688, Consol_Thematic!E$1,FALSE)</f>
        <v/>
      </c>
      <c r="F150" s="261">
        <f>VLOOKUP($A150, Sheet4!$A$2:$L$688, Consol_Thematic!F$1,FALSE)</f>
        <v/>
      </c>
      <c r="G150" s="261">
        <f>VLOOKUP($A150, Sheet4!$A$2:$L$688, Consol_Thematic!G$1,FALSE)</f>
        <v/>
      </c>
      <c r="H150" s="261">
        <f>VLOOKUP($A150, Sheet4!$A$2:$L$688, Consol_Thematic!H$1,FALSE)</f>
        <v/>
      </c>
      <c r="I150" s="261">
        <f>VLOOKUP($A150, Sheet4!$A$2:$L$688, Consol_Thematic!I$1,FALSE)</f>
        <v/>
      </c>
      <c r="J150" s="261">
        <f>VLOOKUP($A150, Sheet4!$A$2:$L$688, Consol_Thematic!J$1,FALSE)</f>
        <v/>
      </c>
      <c r="K150" s="261">
        <f>(B150-MIN(B$3:B$23))/(MAX(B$3:B$23)-MIN(B$3:B$23))</f>
        <v/>
      </c>
      <c r="L150" s="261">
        <f>(MAX(H$3:H$23)-H150)/(MAX(H$3:H$23)-MIN(H$3:H$23))</f>
        <v/>
      </c>
      <c r="M150" s="261">
        <f>(C150-MIN(C$3:C$23))/(MAX(C$3:C$23)-MIN(C$3:C$23))</f>
        <v/>
      </c>
      <c r="N150" s="261">
        <f>(D150-MIN(D$3:D$23))/(MAX(D$3:D$23)-MIN(D$3:D$23))</f>
        <v/>
      </c>
      <c r="O150" s="261">
        <f>(MAX(J$3:J$23)-J150)/(MAX(J$3:J$23)-MIN(J$3:J$23))</f>
        <v/>
      </c>
      <c r="P150" s="261">
        <f>(E150-MIN(E$3:E$23))/(MAX(E$3:E$23)-MIN(E$3:E$23))</f>
        <v/>
      </c>
      <c r="Q150" s="261">
        <f>(F150-MIN(F$3:F$23))/(MAX(F$3:F$23)-MIN(F$3:F$23))</f>
        <v/>
      </c>
      <c r="R150" s="261">
        <f>(MAX(I$3:I$23)-I150)/(MAX(I$3:I$23)-MIN(I$3:I$23))</f>
        <v/>
      </c>
      <c r="S150" s="261">
        <f>(G150-MIN(G$3:G$23))/(MAX(G$3:G$23)-MIN(G$3:G$23))</f>
        <v/>
      </c>
      <c r="T150" s="261">
        <f>(K150*'Fund Ranking Criteria'!$J$9)+('Fund Ranking Criteria'!$J$10*Consol_Thematic!M150)+('Fund Ranking Criteria'!$J$12*Consol_Thematic!S150)+('Fund Ranking Criteria'!$J$14*Consol_Thematic!R150)+('Fund Ranking Criteria'!$J$15*Consol_Thematic!O150)+('Fund Ranking Criteria'!$J$16*Consol_Thematic!P150)+('Fund Ranking Criteria'!#REF!*Consol_Thematic!Q150)+('Fund Ranking Criteria'!#REF!*Consol_Thematic!L150)</f>
        <v/>
      </c>
      <c r="U150" s="261">
        <f>T150*1</f>
        <v/>
      </c>
      <c r="V150" s="261">
        <f>RANK(U150,$U$3:$U$157,0)</f>
        <v/>
      </c>
      <c r="W150" s="261">
        <f>A150</f>
        <v/>
      </c>
    </row>
    <row r="151">
      <c r="A151" s="261" t="inlineStr">
        <is>
          <t>UTI Innovation Fund - Regular Plan</t>
        </is>
      </c>
      <c r="B151" s="261">
        <f>VLOOKUP($A151, Sheet4!$A$2:$L$688, Consol_Thematic!B$1,FALSE)</f>
        <v/>
      </c>
      <c r="C151" s="261">
        <f>VLOOKUP($A151, Sheet4!$A$2:$L$688, Consol_Thematic!C$1,FALSE)</f>
        <v/>
      </c>
      <c r="D151" s="261">
        <f>VLOOKUP($A151, Sheet4!$A$2:$L$688, Consol_Thematic!D$1,FALSE)</f>
        <v/>
      </c>
      <c r="E151" s="261">
        <f>VLOOKUP($A151, Sheet4!$A$2:$L$688, Consol_Thematic!E$1,FALSE)</f>
        <v/>
      </c>
      <c r="F151" s="261">
        <f>VLOOKUP($A151, Sheet4!$A$2:$L$688, Consol_Thematic!F$1,FALSE)</f>
        <v/>
      </c>
      <c r="G151" s="261">
        <f>VLOOKUP($A151, Sheet4!$A$2:$L$688, Consol_Thematic!G$1,FALSE)</f>
        <v/>
      </c>
      <c r="H151" s="261">
        <f>VLOOKUP($A151, Sheet4!$A$2:$L$688, Consol_Thematic!H$1,FALSE)</f>
        <v/>
      </c>
      <c r="I151" s="261">
        <f>VLOOKUP($A151, Sheet4!$A$2:$L$688, Consol_Thematic!I$1,FALSE)</f>
        <v/>
      </c>
      <c r="J151" s="261">
        <f>VLOOKUP($A151, Sheet4!$A$2:$L$688, Consol_Thematic!J$1,FALSE)</f>
        <v/>
      </c>
      <c r="K151" s="261">
        <f>(B151-MIN(B$3:B$23))/(MAX(B$3:B$23)-MIN(B$3:B$23))</f>
        <v/>
      </c>
      <c r="L151" s="261">
        <f>(MAX(H$3:H$23)-H151)/(MAX(H$3:H$23)-MIN(H$3:H$23))</f>
        <v/>
      </c>
      <c r="M151" s="261">
        <f>(C151-MIN(C$3:C$23))/(MAX(C$3:C$23)-MIN(C$3:C$23))</f>
        <v/>
      </c>
      <c r="N151" s="261">
        <f>(D151-MIN(D$3:D$23))/(MAX(D$3:D$23)-MIN(D$3:D$23))</f>
        <v/>
      </c>
      <c r="O151" s="261">
        <f>(MAX(J$3:J$23)-J151)/(MAX(J$3:J$23)-MIN(J$3:J$23))</f>
        <v/>
      </c>
      <c r="P151" s="261">
        <f>(E151-MIN(E$3:E$23))/(MAX(E$3:E$23)-MIN(E$3:E$23))</f>
        <v/>
      </c>
      <c r="Q151" s="261">
        <f>(F151-MIN(F$3:F$23))/(MAX(F$3:F$23)-MIN(F$3:F$23))</f>
        <v/>
      </c>
      <c r="R151" s="261">
        <f>(MAX(I$3:I$23)-I151)/(MAX(I$3:I$23)-MIN(I$3:I$23))</f>
        <v/>
      </c>
      <c r="S151" s="261">
        <f>(G151-MIN(G$3:G$23))/(MAX(G$3:G$23)-MIN(G$3:G$23))</f>
        <v/>
      </c>
      <c r="T151" s="261">
        <f>(K151*'Fund Ranking Criteria'!$J$9)+('Fund Ranking Criteria'!$J$10*Consol_Thematic!M151)+('Fund Ranking Criteria'!$J$12*Consol_Thematic!S151)+('Fund Ranking Criteria'!$J$14*Consol_Thematic!R151)+('Fund Ranking Criteria'!$J$15*Consol_Thematic!O151)+('Fund Ranking Criteria'!$J$16*Consol_Thematic!P151)+('Fund Ranking Criteria'!#REF!*Consol_Thematic!Q151)+('Fund Ranking Criteria'!#REF!*Consol_Thematic!L151)</f>
        <v/>
      </c>
      <c r="U151" s="261">
        <f>T151*1</f>
        <v/>
      </c>
      <c r="V151" s="261">
        <f>RANK(U151,$U$3:$U$157,0)</f>
        <v/>
      </c>
      <c r="W151" s="261">
        <f>A151</f>
        <v/>
      </c>
    </row>
    <row r="152">
      <c r="A152" s="261" t="inlineStr">
        <is>
          <t>UTI MNC Fund - Regular Plan</t>
        </is>
      </c>
      <c r="B152" s="261">
        <f>VLOOKUP($A152, Sheet4!$A$2:$L$688, Consol_Thematic!B$1,FALSE)</f>
        <v/>
      </c>
      <c r="C152" s="261">
        <f>VLOOKUP($A152, Sheet4!$A$2:$L$688, Consol_Thematic!C$1,FALSE)</f>
        <v/>
      </c>
      <c r="D152" s="261">
        <f>VLOOKUP($A152, Sheet4!$A$2:$L$688, Consol_Thematic!D$1,FALSE)</f>
        <v/>
      </c>
      <c r="E152" s="261">
        <f>VLOOKUP($A152, Sheet4!$A$2:$L$688, Consol_Thematic!E$1,FALSE)</f>
        <v/>
      </c>
      <c r="F152" s="261">
        <f>VLOOKUP($A152, Sheet4!$A$2:$L$688, Consol_Thematic!F$1,FALSE)</f>
        <v/>
      </c>
      <c r="G152" s="261">
        <f>VLOOKUP($A152, Sheet4!$A$2:$L$688, Consol_Thematic!G$1,FALSE)</f>
        <v/>
      </c>
      <c r="H152" s="261">
        <f>VLOOKUP($A152, Sheet4!$A$2:$L$688, Consol_Thematic!H$1,FALSE)</f>
        <v/>
      </c>
      <c r="I152" s="261">
        <f>VLOOKUP($A152, Sheet4!$A$2:$L$688, Consol_Thematic!I$1,FALSE)</f>
        <v/>
      </c>
      <c r="J152" s="261">
        <f>VLOOKUP($A152, Sheet4!$A$2:$L$688, Consol_Thematic!J$1,FALSE)</f>
        <v/>
      </c>
      <c r="K152" s="261">
        <f>(B152-MIN(B$3:B$23))/(MAX(B$3:B$23)-MIN(B$3:B$23))</f>
        <v/>
      </c>
      <c r="L152" s="261">
        <f>(MAX(H$3:H$23)-H152)/(MAX(H$3:H$23)-MIN(H$3:H$23))</f>
        <v/>
      </c>
      <c r="M152" s="261">
        <f>(C152-MIN(C$3:C$23))/(MAX(C$3:C$23)-MIN(C$3:C$23))</f>
        <v/>
      </c>
      <c r="N152" s="261">
        <f>(D152-MIN(D$3:D$23))/(MAX(D$3:D$23)-MIN(D$3:D$23))</f>
        <v/>
      </c>
      <c r="O152" s="261">
        <f>(MAX(J$3:J$23)-J152)/(MAX(J$3:J$23)-MIN(J$3:J$23))</f>
        <v/>
      </c>
      <c r="P152" s="261">
        <f>(E152-MIN(E$3:E$23))/(MAX(E$3:E$23)-MIN(E$3:E$23))</f>
        <v/>
      </c>
      <c r="Q152" s="261">
        <f>(F152-MIN(F$3:F$23))/(MAX(F$3:F$23)-MIN(F$3:F$23))</f>
        <v/>
      </c>
      <c r="R152" s="261">
        <f>(MAX(I$3:I$23)-I152)/(MAX(I$3:I$23)-MIN(I$3:I$23))</f>
        <v/>
      </c>
      <c r="S152" s="261">
        <f>(G152-MIN(G$3:G$23))/(MAX(G$3:G$23)-MIN(G$3:G$23))</f>
        <v/>
      </c>
      <c r="T152" s="261">
        <f>(K152*'Fund Ranking Criteria'!$J$9)+('Fund Ranking Criteria'!$J$10*Consol_Thematic!M152)+('Fund Ranking Criteria'!$J$12*Consol_Thematic!S152)+('Fund Ranking Criteria'!$J$14*Consol_Thematic!R152)+('Fund Ranking Criteria'!$J$15*Consol_Thematic!O152)+('Fund Ranking Criteria'!$J$16*Consol_Thematic!P152)+('Fund Ranking Criteria'!#REF!*Consol_Thematic!Q152)+('Fund Ranking Criteria'!#REF!*Consol_Thematic!L152)</f>
        <v/>
      </c>
      <c r="U152" s="261">
        <f>T152*1</f>
        <v/>
      </c>
      <c r="V152" s="261">
        <f>RANK(U152,$U$3:$U$157,0)</f>
        <v/>
      </c>
      <c r="W152" s="261">
        <f>A152</f>
        <v/>
      </c>
    </row>
    <row r="153">
      <c r="A153" s="261" t="inlineStr">
        <is>
          <t>UTI Quant Fund - Regular Plan</t>
        </is>
      </c>
      <c r="B153" s="261">
        <f>VLOOKUP($A153, Sheet4!$A$2:$L$688, Consol_Thematic!B$1,FALSE)</f>
        <v/>
      </c>
      <c r="C153" s="261">
        <f>VLOOKUP($A153, Sheet4!$A$2:$L$688, Consol_Thematic!C$1,FALSE)</f>
        <v/>
      </c>
      <c r="D153" s="261">
        <f>VLOOKUP($A153, Sheet4!$A$2:$L$688, Consol_Thematic!D$1,FALSE)</f>
        <v/>
      </c>
      <c r="E153" s="261">
        <f>VLOOKUP($A153, Sheet4!$A$2:$L$688, Consol_Thematic!E$1,FALSE)</f>
        <v/>
      </c>
      <c r="F153" s="261">
        <f>VLOOKUP($A153, Sheet4!$A$2:$L$688, Consol_Thematic!F$1,FALSE)</f>
        <v/>
      </c>
      <c r="G153" s="261">
        <f>VLOOKUP($A153, Sheet4!$A$2:$L$688, Consol_Thematic!G$1,FALSE)</f>
        <v/>
      </c>
      <c r="H153" s="261">
        <f>VLOOKUP($A153, Sheet4!$A$2:$L$688, Consol_Thematic!H$1,FALSE)</f>
        <v/>
      </c>
      <c r="I153" s="261">
        <f>VLOOKUP($A153, Sheet4!$A$2:$L$688, Consol_Thematic!I$1,FALSE)</f>
        <v/>
      </c>
      <c r="J153" s="261">
        <f>VLOOKUP($A153, Sheet4!$A$2:$L$688, Consol_Thematic!J$1,FALSE)</f>
        <v/>
      </c>
      <c r="K153" s="261">
        <f>(B153-MIN(B$3:B$23))/(MAX(B$3:B$23)-MIN(B$3:B$23))</f>
        <v/>
      </c>
      <c r="L153" s="261">
        <f>(MAX(H$3:H$23)-H153)/(MAX(H$3:H$23)-MIN(H$3:H$23))</f>
        <v/>
      </c>
      <c r="M153" s="261">
        <f>(C153-MIN(C$3:C$23))/(MAX(C$3:C$23)-MIN(C$3:C$23))</f>
        <v/>
      </c>
      <c r="N153" s="261">
        <f>(D153-MIN(D$3:D$23))/(MAX(D$3:D$23)-MIN(D$3:D$23))</f>
        <v/>
      </c>
      <c r="O153" s="261">
        <f>(MAX(J$3:J$23)-J153)/(MAX(J$3:J$23)-MIN(J$3:J$23))</f>
        <v/>
      </c>
      <c r="P153" s="261">
        <f>(E153-MIN(E$3:E$23))/(MAX(E$3:E$23)-MIN(E$3:E$23))</f>
        <v/>
      </c>
      <c r="Q153" s="261">
        <f>(F153-MIN(F$3:F$23))/(MAX(F$3:F$23)-MIN(F$3:F$23))</f>
        <v/>
      </c>
      <c r="R153" s="261">
        <f>(MAX(I$3:I$23)-I153)/(MAX(I$3:I$23)-MIN(I$3:I$23))</f>
        <v/>
      </c>
      <c r="S153" s="261">
        <f>(G153-MIN(G$3:G$23))/(MAX(G$3:G$23)-MIN(G$3:G$23))</f>
        <v/>
      </c>
      <c r="T153" s="261">
        <f>(K153*'Fund Ranking Criteria'!$J$9)+('Fund Ranking Criteria'!$J$10*Consol_Thematic!M153)+('Fund Ranking Criteria'!$J$12*Consol_Thematic!S153)+('Fund Ranking Criteria'!$J$14*Consol_Thematic!R153)+('Fund Ranking Criteria'!$J$15*Consol_Thematic!O153)+('Fund Ranking Criteria'!$J$16*Consol_Thematic!P153)+('Fund Ranking Criteria'!#REF!*Consol_Thematic!Q153)+('Fund Ranking Criteria'!#REF!*Consol_Thematic!L153)</f>
        <v/>
      </c>
      <c r="U153" s="261">
        <f>T153*1</f>
        <v/>
      </c>
      <c r="V153" s="261">
        <f>RANK(U153,$U$3:$U$157,0)</f>
        <v/>
      </c>
      <c r="W153" s="261">
        <f>A153</f>
        <v/>
      </c>
    </row>
    <row r="154">
      <c r="A154" s="261" t="inlineStr">
        <is>
          <t>UTI Transportation and Logistics Fund - Regular Plan</t>
        </is>
      </c>
      <c r="B154" s="261">
        <f>VLOOKUP($A154, Sheet4!$A$2:$L$688, Consol_Thematic!B$1,FALSE)</f>
        <v/>
      </c>
      <c r="C154" s="261">
        <f>VLOOKUP($A154, Sheet4!$A$2:$L$688, Consol_Thematic!C$1,FALSE)</f>
        <v/>
      </c>
      <c r="D154" s="261">
        <f>VLOOKUP($A154, Sheet4!$A$2:$L$688, Consol_Thematic!D$1,FALSE)</f>
        <v/>
      </c>
      <c r="E154" s="261">
        <f>VLOOKUP($A154, Sheet4!$A$2:$L$688, Consol_Thematic!E$1,FALSE)</f>
        <v/>
      </c>
      <c r="F154" s="261">
        <f>VLOOKUP($A154, Sheet4!$A$2:$L$688, Consol_Thematic!F$1,FALSE)</f>
        <v/>
      </c>
      <c r="G154" s="261">
        <f>VLOOKUP($A154, Sheet4!$A$2:$L$688, Consol_Thematic!G$1,FALSE)</f>
        <v/>
      </c>
      <c r="H154" s="261">
        <f>VLOOKUP($A154, Sheet4!$A$2:$L$688, Consol_Thematic!H$1,FALSE)</f>
        <v/>
      </c>
      <c r="I154" s="261">
        <f>VLOOKUP($A154, Sheet4!$A$2:$L$688, Consol_Thematic!I$1,FALSE)</f>
        <v/>
      </c>
      <c r="J154" s="261">
        <f>VLOOKUP($A154, Sheet4!$A$2:$L$688, Consol_Thematic!J$1,FALSE)</f>
        <v/>
      </c>
      <c r="K154" s="261">
        <f>(B154-MIN(B$3:B$23))/(MAX(B$3:B$23)-MIN(B$3:B$23))</f>
        <v/>
      </c>
      <c r="L154" s="261">
        <f>(MAX(H$3:H$23)-H154)/(MAX(H$3:H$23)-MIN(H$3:H$23))</f>
        <v/>
      </c>
      <c r="M154" s="261">
        <f>(C154-MIN(C$3:C$23))/(MAX(C$3:C$23)-MIN(C$3:C$23))</f>
        <v/>
      </c>
      <c r="N154" s="261">
        <f>(D154-MIN(D$3:D$23))/(MAX(D$3:D$23)-MIN(D$3:D$23))</f>
        <v/>
      </c>
      <c r="O154" s="261">
        <f>(MAX(J$3:J$23)-J154)/(MAX(J$3:J$23)-MIN(J$3:J$23))</f>
        <v/>
      </c>
      <c r="P154" s="261">
        <f>(E154-MIN(E$3:E$23))/(MAX(E$3:E$23)-MIN(E$3:E$23))</f>
        <v/>
      </c>
      <c r="Q154" s="261">
        <f>(F154-MIN(F$3:F$23))/(MAX(F$3:F$23)-MIN(F$3:F$23))</f>
        <v/>
      </c>
      <c r="R154" s="261">
        <f>(MAX(I$3:I$23)-I154)/(MAX(I$3:I$23)-MIN(I$3:I$23))</f>
        <v/>
      </c>
      <c r="S154" s="261">
        <f>(G154-MIN(G$3:G$23))/(MAX(G$3:G$23)-MIN(G$3:G$23))</f>
        <v/>
      </c>
      <c r="T154" s="261">
        <f>(K154*'Fund Ranking Criteria'!$J$9)+('Fund Ranking Criteria'!$J$10*Consol_Thematic!M154)+('Fund Ranking Criteria'!$J$12*Consol_Thematic!S154)+('Fund Ranking Criteria'!$J$14*Consol_Thematic!R154)+('Fund Ranking Criteria'!$J$15*Consol_Thematic!O154)+('Fund Ranking Criteria'!$J$16*Consol_Thematic!P154)+('Fund Ranking Criteria'!#REF!*Consol_Thematic!Q154)+('Fund Ranking Criteria'!#REF!*Consol_Thematic!L154)</f>
        <v/>
      </c>
      <c r="U154" s="261">
        <f>T154*1</f>
        <v/>
      </c>
      <c r="V154" s="261">
        <f>RANK(U154,$U$3:$U$157,0)</f>
        <v/>
      </c>
      <c r="W154" s="261">
        <f>A154</f>
        <v/>
      </c>
    </row>
    <row r="155">
      <c r="A155" s="261" t="inlineStr">
        <is>
          <t>WhiteOak Capital ESG Best-In-Class Strategy Fund - Regular Plan</t>
        </is>
      </c>
      <c r="B155" s="261">
        <f>VLOOKUP($A155, Sheet4!$A$2:$L$688, Consol_Thematic!B$1,FALSE)</f>
        <v/>
      </c>
      <c r="C155" s="261">
        <f>VLOOKUP($A155, Sheet4!$A$2:$L$688, Consol_Thematic!C$1,FALSE)</f>
        <v/>
      </c>
      <c r="D155" s="261">
        <f>VLOOKUP($A155, Sheet4!$A$2:$L$688, Consol_Thematic!D$1,FALSE)</f>
        <v/>
      </c>
      <c r="E155" s="261">
        <f>VLOOKUP($A155, Sheet4!$A$2:$L$688, Consol_Thematic!E$1,FALSE)</f>
        <v/>
      </c>
      <c r="F155" s="261">
        <f>VLOOKUP($A155, Sheet4!$A$2:$L$688, Consol_Thematic!F$1,FALSE)</f>
        <v/>
      </c>
      <c r="G155" s="261">
        <f>VLOOKUP($A155, Sheet4!$A$2:$L$688, Consol_Thematic!G$1,FALSE)</f>
        <v/>
      </c>
      <c r="H155" s="261">
        <f>VLOOKUP($A155, Sheet4!$A$2:$L$688, Consol_Thematic!H$1,FALSE)</f>
        <v/>
      </c>
      <c r="I155" s="261">
        <f>VLOOKUP($A155, Sheet4!$A$2:$L$688, Consol_Thematic!I$1,FALSE)</f>
        <v/>
      </c>
      <c r="J155" s="261">
        <f>VLOOKUP($A155, Sheet4!$A$2:$L$688, Consol_Thematic!J$1,FALSE)</f>
        <v/>
      </c>
      <c r="K155" s="261">
        <f>(B155-MIN(B$3:B$23))/(MAX(B$3:B$23)-MIN(B$3:B$23))</f>
        <v/>
      </c>
      <c r="L155" s="261">
        <f>(MAX(H$3:H$23)-H155)/(MAX(H$3:H$23)-MIN(H$3:H$23))</f>
        <v/>
      </c>
      <c r="M155" s="261">
        <f>(C155-MIN(C$3:C$23))/(MAX(C$3:C$23)-MIN(C$3:C$23))</f>
        <v/>
      </c>
      <c r="N155" s="261">
        <f>(D155-MIN(D$3:D$23))/(MAX(D$3:D$23)-MIN(D$3:D$23))</f>
        <v/>
      </c>
      <c r="O155" s="261">
        <f>(MAX(J$3:J$23)-J155)/(MAX(J$3:J$23)-MIN(J$3:J$23))</f>
        <v/>
      </c>
      <c r="P155" s="261">
        <f>(E155-MIN(E$3:E$23))/(MAX(E$3:E$23)-MIN(E$3:E$23))</f>
        <v/>
      </c>
      <c r="Q155" s="261">
        <f>(F155-MIN(F$3:F$23))/(MAX(F$3:F$23)-MIN(F$3:F$23))</f>
        <v/>
      </c>
      <c r="R155" s="261">
        <f>(MAX(I$3:I$23)-I155)/(MAX(I$3:I$23)-MIN(I$3:I$23))</f>
        <v/>
      </c>
      <c r="S155" s="261">
        <f>(G155-MIN(G$3:G$23))/(MAX(G$3:G$23)-MIN(G$3:G$23))</f>
        <v/>
      </c>
      <c r="T155" s="261">
        <f>(K155*'Fund Ranking Criteria'!$J$9)+('Fund Ranking Criteria'!$J$10*Consol_Thematic!M155)+('Fund Ranking Criteria'!$J$12*Consol_Thematic!S155)+('Fund Ranking Criteria'!$J$14*Consol_Thematic!R155)+('Fund Ranking Criteria'!$J$15*Consol_Thematic!O155)+('Fund Ranking Criteria'!$J$16*Consol_Thematic!P155)+('Fund Ranking Criteria'!#REF!*Consol_Thematic!Q155)+('Fund Ranking Criteria'!#REF!*Consol_Thematic!L155)</f>
        <v/>
      </c>
      <c r="U155" s="261">
        <f>T155*1</f>
        <v/>
      </c>
      <c r="V155" s="261">
        <f>RANK(U155,$U$3:$U$157,0)</f>
        <v/>
      </c>
      <c r="W155" s="261">
        <f>A155</f>
        <v/>
      </c>
    </row>
    <row r="156">
      <c r="A156" s="261" t="inlineStr">
        <is>
          <t>WhiteOak Capital Quality Equity Fund - Regular Plan</t>
        </is>
      </c>
      <c r="B156" s="261">
        <f>VLOOKUP($A156, Sheet4!$A$2:$L$688, Consol_Thematic!B$1,FALSE)</f>
        <v/>
      </c>
      <c r="C156" s="261">
        <f>VLOOKUP($A156, Sheet4!$A$2:$L$688, Consol_Thematic!C$1,FALSE)</f>
        <v/>
      </c>
      <c r="D156" s="261">
        <f>VLOOKUP($A156, Sheet4!$A$2:$L$688, Consol_Thematic!D$1,FALSE)</f>
        <v/>
      </c>
      <c r="E156" s="261">
        <f>VLOOKUP($A156, Sheet4!$A$2:$L$688, Consol_Thematic!E$1,FALSE)</f>
        <v/>
      </c>
      <c r="F156" s="261">
        <f>VLOOKUP($A156, Sheet4!$A$2:$L$688, Consol_Thematic!F$1,FALSE)</f>
        <v/>
      </c>
      <c r="G156" s="261">
        <f>VLOOKUP($A156, Sheet4!$A$2:$L$688, Consol_Thematic!G$1,FALSE)</f>
        <v/>
      </c>
      <c r="H156" s="261">
        <f>VLOOKUP($A156, Sheet4!$A$2:$L$688, Consol_Thematic!H$1,FALSE)</f>
        <v/>
      </c>
      <c r="I156" s="261">
        <f>VLOOKUP($A156, Sheet4!$A$2:$L$688, Consol_Thematic!I$1,FALSE)</f>
        <v/>
      </c>
      <c r="J156" s="261">
        <f>VLOOKUP($A156, Sheet4!$A$2:$L$688, Consol_Thematic!J$1,FALSE)</f>
        <v/>
      </c>
      <c r="K156" s="261">
        <f>(B156-MIN(B$3:B$23))/(MAX(B$3:B$23)-MIN(B$3:B$23))</f>
        <v/>
      </c>
      <c r="L156" s="261">
        <f>(MAX(H$3:H$23)-H156)/(MAX(H$3:H$23)-MIN(H$3:H$23))</f>
        <v/>
      </c>
      <c r="M156" s="261">
        <f>(C156-MIN(C$3:C$23))/(MAX(C$3:C$23)-MIN(C$3:C$23))</f>
        <v/>
      </c>
      <c r="N156" s="261">
        <f>(D156-MIN(D$3:D$23))/(MAX(D$3:D$23)-MIN(D$3:D$23))</f>
        <v/>
      </c>
      <c r="O156" s="261">
        <f>(MAX(J$3:J$23)-J156)/(MAX(J$3:J$23)-MIN(J$3:J$23))</f>
        <v/>
      </c>
      <c r="P156" s="261">
        <f>(E156-MIN(E$3:E$23))/(MAX(E$3:E$23)-MIN(E$3:E$23))</f>
        <v/>
      </c>
      <c r="Q156" s="261">
        <f>(F156-MIN(F$3:F$23))/(MAX(F$3:F$23)-MIN(F$3:F$23))</f>
        <v/>
      </c>
      <c r="R156" s="261">
        <f>(MAX(I$3:I$23)-I156)/(MAX(I$3:I$23)-MIN(I$3:I$23))</f>
        <v/>
      </c>
      <c r="S156" s="261">
        <f>(G156-MIN(G$3:G$23))/(MAX(G$3:G$23)-MIN(G$3:G$23))</f>
        <v/>
      </c>
      <c r="T156" s="261">
        <f>(K156*'Fund Ranking Criteria'!$J$9)+('Fund Ranking Criteria'!$J$10*Consol_Thematic!M156)+('Fund Ranking Criteria'!$J$12*Consol_Thematic!S156)+('Fund Ranking Criteria'!$J$14*Consol_Thematic!R156)+('Fund Ranking Criteria'!$J$15*Consol_Thematic!O156)+('Fund Ranking Criteria'!$J$16*Consol_Thematic!P156)+('Fund Ranking Criteria'!#REF!*Consol_Thematic!Q156)+('Fund Ranking Criteria'!#REF!*Consol_Thematic!L156)</f>
        <v/>
      </c>
      <c r="U156" s="261">
        <f>T156*1</f>
        <v/>
      </c>
      <c r="V156" s="261">
        <f>RANK(U156,$U$3:$U$157,0)</f>
        <v/>
      </c>
      <c r="W156" s="261">
        <f>A156</f>
        <v/>
      </c>
    </row>
    <row r="157">
      <c r="A157" s="261" t="inlineStr">
        <is>
          <t>WhiteOak Capital Special Opportunities Fund - Regular Plan</t>
        </is>
      </c>
      <c r="B157" s="261">
        <f>VLOOKUP($A157, Sheet4!$A$2:$L$688, Consol_Thematic!B$1,FALSE)</f>
        <v/>
      </c>
      <c r="C157" s="261">
        <f>VLOOKUP($A157, Sheet4!$A$2:$L$688, Consol_Thematic!C$1,FALSE)</f>
        <v/>
      </c>
      <c r="D157" s="261">
        <f>VLOOKUP($A157, Sheet4!$A$2:$L$688, Consol_Thematic!D$1,FALSE)</f>
        <v/>
      </c>
      <c r="E157" s="261">
        <f>VLOOKUP($A157, Sheet4!$A$2:$L$688, Consol_Thematic!E$1,FALSE)</f>
        <v/>
      </c>
      <c r="F157" s="261">
        <f>VLOOKUP($A157, Sheet4!$A$2:$L$688, Consol_Thematic!F$1,FALSE)</f>
        <v/>
      </c>
      <c r="G157" s="261">
        <f>VLOOKUP($A157, Sheet4!$A$2:$L$688, Consol_Thematic!G$1,FALSE)</f>
        <v/>
      </c>
      <c r="H157" s="261">
        <f>VLOOKUP($A157, Sheet4!$A$2:$L$688, Consol_Thematic!H$1,FALSE)</f>
        <v/>
      </c>
      <c r="I157" s="261">
        <f>VLOOKUP($A157, Sheet4!$A$2:$L$688, Consol_Thematic!I$1,FALSE)</f>
        <v/>
      </c>
      <c r="J157" s="261">
        <f>VLOOKUP($A157, Sheet4!$A$2:$L$688, Consol_Thematic!J$1,FALSE)</f>
        <v/>
      </c>
      <c r="K157" s="261">
        <f>(B157-MIN(B$3:B$23))/(MAX(B$3:B$23)-MIN(B$3:B$23))</f>
        <v/>
      </c>
      <c r="L157" s="261">
        <f>(MAX(H$3:H$23)-H157)/(MAX(H$3:H$23)-MIN(H$3:H$23))</f>
        <v/>
      </c>
      <c r="M157" s="261">
        <f>(C157-MIN(C$3:C$23))/(MAX(C$3:C$23)-MIN(C$3:C$23))</f>
        <v/>
      </c>
      <c r="N157" s="261">
        <f>(D157-MIN(D$3:D$23))/(MAX(D$3:D$23)-MIN(D$3:D$23))</f>
        <v/>
      </c>
      <c r="O157" s="261">
        <f>(MAX(J$3:J$23)-J157)/(MAX(J$3:J$23)-MIN(J$3:J$23))</f>
        <v/>
      </c>
      <c r="P157" s="261">
        <f>(E157-MIN(E$3:E$23))/(MAX(E$3:E$23)-MIN(E$3:E$23))</f>
        <v/>
      </c>
      <c r="Q157" s="261">
        <f>(F157-MIN(F$3:F$23))/(MAX(F$3:F$23)-MIN(F$3:F$23))</f>
        <v/>
      </c>
      <c r="R157" s="261">
        <f>(MAX(I$3:I$23)-I157)/(MAX(I$3:I$23)-MIN(I$3:I$23))</f>
        <v/>
      </c>
      <c r="S157" s="261">
        <f>(G157-MIN(G$3:G$23))/(MAX(G$3:G$23)-MIN(G$3:G$23))</f>
        <v/>
      </c>
      <c r="T157" s="261">
        <f>(K157*'Fund Ranking Criteria'!$J$9)+('Fund Ranking Criteria'!$J$10*Consol_Thematic!M157)+('Fund Ranking Criteria'!$J$12*Consol_Thematic!S157)+('Fund Ranking Criteria'!$J$14*Consol_Thematic!R157)+('Fund Ranking Criteria'!$J$15*Consol_Thematic!O157)+('Fund Ranking Criteria'!$J$16*Consol_Thematic!P157)+('Fund Ranking Criteria'!#REF!*Consol_Thematic!Q157)+('Fund Ranking Criteria'!#REF!*Consol_Thematic!L157)</f>
        <v/>
      </c>
      <c r="U157" s="261">
        <f>T157*1</f>
        <v/>
      </c>
      <c r="V157" s="261">
        <f>RANK(U157,$U$3:$U$157,0)</f>
        <v/>
      </c>
      <c r="W157" s="261">
        <f>A157</f>
        <v/>
      </c>
    </row>
  </sheetData>
  <autoFilter ref="A2:W96"/>
  <pageMargins left="0.7" right="0.7" top="0.75" bottom="0.75" header="0.3" footer="0.3"/>
  <pageSetup orientation="portrait"/>
</worksheet>
</file>

<file path=xl/worksheets/sheet15.xml><?xml version="1.0" encoding="utf-8"?>
<worksheet xmlns="http://schemas.openxmlformats.org/spreadsheetml/2006/main">
  <sheetPr filterMode="1">
    <outlinePr summaryBelow="1" summaryRight="1"/>
    <pageSetUpPr/>
  </sheetPr>
  <dimension ref="A1:L853"/>
  <sheetViews>
    <sheetView workbookViewId="0">
      <selection activeCell="C1" sqref="C1"/>
    </sheetView>
  </sheetViews>
  <sheetFormatPr baseColWidth="8" defaultColWidth="8.7109375" defaultRowHeight="15"/>
  <cols>
    <col width="69.140625" bestFit="1" customWidth="1" style="261" min="1" max="1"/>
    <col hidden="1" width="31.42578125" customWidth="1" style="261" min="2" max="2"/>
    <col width="15.42578125" customWidth="1" style="258" min="3" max="3"/>
    <col width="20" customWidth="1" style="261" min="4" max="12"/>
    <col width="8.7109375" customWidth="1" style="261" min="13" max="19"/>
    <col width="8.7109375" customWidth="1" style="261" min="20" max="16384"/>
  </cols>
  <sheetData>
    <row r="1" ht="32.1" customHeight="1">
      <c r="C1" s="257" t="inlineStr">
        <is>
          <t>1 Yr Ret (%)</t>
        </is>
      </c>
      <c r="D1" s="257" t="inlineStr">
        <is>
          <t>Expense Ratio (%)</t>
        </is>
      </c>
      <c r="E1" s="257" t="inlineStr">
        <is>
          <t>3 Yr Ret (%)</t>
        </is>
      </c>
      <c r="F1" s="257" t="inlineStr">
        <is>
          <t>5 Yr Ret (%)</t>
        </is>
      </c>
      <c r="G1" s="257" t="inlineStr">
        <is>
          <t>Expense Ratio (%)</t>
        </is>
      </c>
      <c r="H1" s="257" t="inlineStr">
        <is>
          <t>Standard Deviation</t>
        </is>
      </c>
      <c r="I1" s="257" t="inlineStr">
        <is>
          <t>Sharpe Ratio</t>
        </is>
      </c>
      <c r="J1" s="257" t="inlineStr">
        <is>
          <t>Sortino Ratio</t>
        </is>
      </c>
      <c r="K1" s="257" t="inlineStr">
        <is>
          <t>Beta</t>
        </is>
      </c>
      <c r="L1" s="257" t="inlineStr">
        <is>
          <t>Alpha</t>
        </is>
      </c>
    </row>
    <row r="2" hidden="1">
      <c r="A2" s="259" t="inlineStr">
        <is>
          <t>360 ONE Balanced Hybrid Fund - Regular Plan</t>
        </is>
      </c>
      <c r="B2" s="261">
        <f>VLOOKUP(A2, '[2]fund-selector'!$A$2:$F$853,6,FALSE)</f>
        <v/>
      </c>
      <c r="C2" s="258" t="n">
        <v>4.8</v>
      </c>
      <c r="D2" s="260" t="n">
        <v>1.95</v>
      </c>
      <c r="E2" s="259" t="n">
        <v>0</v>
      </c>
      <c r="F2" s="259" t="n">
        <v>0</v>
      </c>
      <c r="G2" s="260" t="n">
        <v>1.95</v>
      </c>
      <c r="H2" s="259" t="n">
        <v>0</v>
      </c>
      <c r="I2" s="259" t="n">
        <v>0</v>
      </c>
      <c r="J2" s="259" t="n">
        <v>0</v>
      </c>
      <c r="K2" s="259" t="n">
        <v>0</v>
      </c>
      <c r="L2" s="259" t="n">
        <v>0</v>
      </c>
    </row>
    <row r="3" hidden="1">
      <c r="A3" s="259" t="inlineStr">
        <is>
          <t>360 ONE FlexiCap Fund - Regular Plan</t>
        </is>
      </c>
      <c r="B3" s="261">
        <f>VLOOKUP(A3, '[2]fund-selector'!$A$2:$F$853,6,FALSE)</f>
        <v/>
      </c>
      <c r="C3" s="258" t="n">
        <v>0.34</v>
      </c>
      <c r="D3" s="260" t="n">
        <v>2.03</v>
      </c>
      <c r="E3" s="259" t="n">
        <v>0</v>
      </c>
      <c r="F3" s="259" t="n">
        <v>0</v>
      </c>
      <c r="G3" s="260" t="n">
        <v>2.03</v>
      </c>
      <c r="H3" s="259" t="n">
        <v>0</v>
      </c>
      <c r="I3" s="259" t="n">
        <v>0</v>
      </c>
      <c r="J3" s="259" t="n">
        <v>0</v>
      </c>
      <c r="K3" s="259" t="n">
        <v>0</v>
      </c>
      <c r="L3" s="259" t="n">
        <v>0</v>
      </c>
    </row>
    <row r="4" hidden="1">
      <c r="A4" s="259" t="inlineStr">
        <is>
          <t>360 ONE Focused Equity Fund - Regular Plan</t>
        </is>
      </c>
      <c r="B4" s="261">
        <f>VLOOKUP(A4, '[2]fund-selector'!$A$2:$F$853,6,FALSE)</f>
        <v/>
      </c>
      <c r="C4" s="258" t="n">
        <v>-0.77</v>
      </c>
      <c r="D4" s="260" t="n">
        <v>1.8</v>
      </c>
      <c r="E4" s="260" t="n">
        <v>21.91</v>
      </c>
      <c r="F4" s="260" t="n">
        <v>23.23</v>
      </c>
      <c r="G4" s="260" t="n">
        <v>1.8</v>
      </c>
      <c r="H4" s="260" t="n">
        <v>13.28</v>
      </c>
      <c r="I4" s="260" t="n">
        <v>0.9399999999999999</v>
      </c>
      <c r="J4" s="260" t="n">
        <v>1.58</v>
      </c>
      <c r="K4" s="260" t="n">
        <v>0.88</v>
      </c>
      <c r="L4" s="260" t="n">
        <v>2.4</v>
      </c>
    </row>
    <row r="5" hidden="1">
      <c r="A5" s="259" t="inlineStr">
        <is>
          <t>360 ONE Quant Fund - Regular Plan</t>
        </is>
      </c>
      <c r="B5" s="261">
        <f>VLOOKUP(A5, '[2]fund-selector'!$A$2:$F$853,6,FALSE)</f>
        <v/>
      </c>
      <c r="C5" s="258" t="n">
        <v>2.85</v>
      </c>
      <c r="D5" s="260" t="n">
        <v>1.95</v>
      </c>
      <c r="E5" s="260" t="n">
        <v>30.6</v>
      </c>
      <c r="F5" s="259" t="n">
        <v>0</v>
      </c>
      <c r="G5" s="260" t="n">
        <v>1.95</v>
      </c>
      <c r="H5" s="260" t="n">
        <v>18.03</v>
      </c>
      <c r="I5" s="260" t="n">
        <v>1.07</v>
      </c>
      <c r="J5" s="260" t="n">
        <v>1.6</v>
      </c>
      <c r="K5" s="260" t="n">
        <v>1.19</v>
      </c>
      <c r="L5" s="260" t="n">
        <v>5.59</v>
      </c>
    </row>
    <row r="6" hidden="1">
      <c r="A6" s="259" t="inlineStr">
        <is>
          <t>Aditya Birla Sun Life Arbitrage Fund - Regular Plan</t>
        </is>
      </c>
      <c r="B6" s="261">
        <f>VLOOKUP(A6, '[2]fund-selector'!$A$2:$F$853,6,FALSE)</f>
        <v/>
      </c>
      <c r="C6" s="258" t="n">
        <v>6.99</v>
      </c>
      <c r="D6" s="260" t="n">
        <v>1.03</v>
      </c>
      <c r="E6" s="260" t="n">
        <v>6.83</v>
      </c>
      <c r="F6" s="260" t="n">
        <v>5.48</v>
      </c>
      <c r="G6" s="260" t="n">
        <v>1.03</v>
      </c>
      <c r="H6" s="260" t="n">
        <v>0.53</v>
      </c>
      <c r="I6" s="260" t="n">
        <v>0.41</v>
      </c>
      <c r="J6" s="260" t="n">
        <v>0.45</v>
      </c>
      <c r="K6" s="260" t="n">
        <v>0.61</v>
      </c>
      <c r="L6" s="260" t="n">
        <v>1.39</v>
      </c>
    </row>
    <row r="7" hidden="1">
      <c r="A7" s="259" t="inlineStr">
        <is>
          <t>Aditya Birla Sun Life Asset Allocator FoF - Regular Plan</t>
        </is>
      </c>
      <c r="B7" s="261">
        <f>VLOOKUP(A7, '[2]fund-selector'!$A$2:$F$853,6,FALSE)</f>
        <v/>
      </c>
      <c r="C7" s="258" t="n">
        <v>8.119999999999999</v>
      </c>
      <c r="D7" s="260" t="n">
        <v>1.27</v>
      </c>
      <c r="E7" s="260" t="n">
        <v>18.02</v>
      </c>
      <c r="F7" s="260" t="n">
        <v>17.7</v>
      </c>
      <c r="G7" s="260" t="n">
        <v>1.27</v>
      </c>
      <c r="H7" s="260" t="n">
        <v>8.449999999999999</v>
      </c>
      <c r="I7" s="260" t="n">
        <v>1.12</v>
      </c>
      <c r="J7" s="260" t="n">
        <v>1.9</v>
      </c>
      <c r="K7" s="260" t="n">
        <v>0.84</v>
      </c>
      <c r="L7" s="260" t="n">
        <v>1.96</v>
      </c>
    </row>
    <row r="8" hidden="1">
      <c r="A8" s="259" t="inlineStr">
        <is>
          <t>Aditya Birla Sun Life Balanced Advantage Fund - Regular Plan</t>
        </is>
      </c>
      <c r="B8" s="261">
        <f>VLOOKUP(A8, '[2]fund-selector'!$A$2:$F$853,6,FALSE)</f>
        <v/>
      </c>
      <c r="C8" s="258" t="n">
        <v>7.95</v>
      </c>
      <c r="D8" s="260" t="n">
        <v>1.79</v>
      </c>
      <c r="E8" s="260" t="n">
        <v>15.33</v>
      </c>
      <c r="F8" s="260" t="n">
        <v>15.03</v>
      </c>
      <c r="G8" s="260" t="n">
        <v>1.79</v>
      </c>
      <c r="H8" s="260" t="n">
        <v>7.75</v>
      </c>
      <c r="I8" s="260" t="n">
        <v>0.91</v>
      </c>
      <c r="J8" s="260" t="n">
        <v>1.39</v>
      </c>
      <c r="K8" s="260" t="n">
        <v>0.74</v>
      </c>
      <c r="L8" s="260" t="n">
        <v>1.17</v>
      </c>
    </row>
    <row r="9" hidden="1">
      <c r="A9" s="259" t="inlineStr">
        <is>
          <t>Aditya Birla Sun Life Bal Bhavishya Yojna - Regular Plan</t>
        </is>
      </c>
      <c r="B9" s="261">
        <f>VLOOKUP(A9, '[2]fund-selector'!$A$2:$F$853,6,FALSE)</f>
        <v/>
      </c>
      <c r="C9" s="258" t="n">
        <v>1.83</v>
      </c>
      <c r="D9" s="260" t="n">
        <v>2.16</v>
      </c>
      <c r="E9" s="260" t="n">
        <v>18.03</v>
      </c>
      <c r="F9" s="260" t="n">
        <v>14.85</v>
      </c>
      <c r="G9" s="260" t="n">
        <v>2.16</v>
      </c>
      <c r="H9" s="260" t="n">
        <v>13.97</v>
      </c>
      <c r="I9" s="260" t="n">
        <v>0.65</v>
      </c>
      <c r="J9" s="260" t="n">
        <v>0.98</v>
      </c>
      <c r="K9" s="260" t="n">
        <v>0.9399999999999999</v>
      </c>
      <c r="L9" s="260" t="n">
        <v>-1.75</v>
      </c>
    </row>
    <row r="10" hidden="1">
      <c r="A10" s="259" t="inlineStr">
        <is>
          <t>Aditya Birla Sun Life BSE Sensex ETF</t>
        </is>
      </c>
      <c r="B10" s="261">
        <f>VLOOKUP(A10, '[2]fund-selector'!$A$2:$F$853,6,FALSE)</f>
        <v/>
      </c>
      <c r="C10" s="258" t="n">
        <v>6.25</v>
      </c>
      <c r="D10" s="260" t="n">
        <v>0.04</v>
      </c>
      <c r="E10" s="260" t="n">
        <v>17.81</v>
      </c>
      <c r="F10" s="260" t="n">
        <v>19.88</v>
      </c>
      <c r="G10" s="260" t="n">
        <v>0.04</v>
      </c>
      <c r="H10" s="260" t="n">
        <v>12.69</v>
      </c>
      <c r="I10" s="260" t="n">
        <v>0.66</v>
      </c>
      <c r="J10" s="260" t="n">
        <v>1.1</v>
      </c>
      <c r="K10" s="260" t="n">
        <v>0.91</v>
      </c>
      <c r="L10" s="260" t="n">
        <v>-0.96</v>
      </c>
    </row>
    <row r="11" hidden="1">
      <c r="A11" s="259" t="inlineStr">
        <is>
          <t>Aditya Birla Sun Life Business Cycle Fund - Regular Plan</t>
        </is>
      </c>
      <c r="B11" s="261">
        <f>VLOOKUP(A11, '[2]fund-selector'!$A$2:$F$853,6,FALSE)</f>
        <v/>
      </c>
      <c r="C11" s="258" t="n">
        <v>3.91</v>
      </c>
      <c r="D11" s="260" t="n">
        <v>2.14</v>
      </c>
      <c r="E11" s="260" t="n">
        <v>19.23</v>
      </c>
      <c r="F11" s="259" t="n">
        <v>0</v>
      </c>
      <c r="G11" s="260" t="n">
        <v>2.14</v>
      </c>
      <c r="H11" s="260" t="n">
        <v>14.21</v>
      </c>
      <c r="I11" s="260" t="n">
        <v>0.68</v>
      </c>
      <c r="J11" s="260" t="n">
        <v>1.09</v>
      </c>
      <c r="K11" s="260" t="n">
        <v>0.96</v>
      </c>
      <c r="L11" s="260" t="n">
        <v>-1.45</v>
      </c>
    </row>
    <row r="12" hidden="1">
      <c r="A12" s="259" t="inlineStr">
        <is>
          <t>Aditya Birla Sun Life Conglomerate - Regular Plan</t>
        </is>
      </c>
      <c r="B12" s="261">
        <f>VLOOKUP(A12, '[2]fund-selector'!$A$2:$F$853,6,FALSE)</f>
        <v/>
      </c>
      <c r="C12" s="258" t="inlineStr">
        <is>
          <t>--</t>
        </is>
      </c>
      <c r="D12" s="260" t="n">
        <v>2.07</v>
      </c>
      <c r="E12" s="259" t="n">
        <v>0</v>
      </c>
      <c r="F12" s="259" t="n">
        <v>0</v>
      </c>
      <c r="G12" s="260" t="n">
        <v>2.07</v>
      </c>
      <c r="H12" s="259" t="n">
        <v>0</v>
      </c>
      <c r="I12" s="259" t="n">
        <v>0</v>
      </c>
      <c r="J12" s="259" t="n">
        <v>0</v>
      </c>
      <c r="K12" s="259" t="n">
        <v>0</v>
      </c>
      <c r="L12" s="259" t="n">
        <v>0</v>
      </c>
    </row>
    <row r="13" hidden="1">
      <c r="A13" s="259" t="inlineStr">
        <is>
          <t>Aditya Birla Sun Life Equity Advantage Fund - Regular Plan</t>
        </is>
      </c>
      <c r="B13" s="261">
        <f>VLOOKUP(A13, '[2]fund-selector'!$A$2:$F$853,6,FALSE)</f>
        <v/>
      </c>
      <c r="C13" s="258" t="n">
        <v>1.13</v>
      </c>
      <c r="D13" s="260" t="n">
        <v>1.9</v>
      </c>
      <c r="E13" s="260" t="n">
        <v>19</v>
      </c>
      <c r="F13" s="260" t="n">
        <v>19.95</v>
      </c>
      <c r="G13" s="260" t="n">
        <v>1.9</v>
      </c>
      <c r="H13" s="260" t="n">
        <v>15.21</v>
      </c>
      <c r="I13" s="260" t="n">
        <v>0.62</v>
      </c>
      <c r="J13" s="260" t="n">
        <v>0.86</v>
      </c>
      <c r="K13" s="260" t="n">
        <v>1.01</v>
      </c>
      <c r="L13" s="260" t="n">
        <v>-1.71</v>
      </c>
    </row>
    <row r="14" hidden="1">
      <c r="A14" s="259" t="inlineStr">
        <is>
          <t>Aditya Birla Sun Life Equity Hybrid '95 Fund - Regular Plan</t>
        </is>
      </c>
      <c r="B14" s="261">
        <f>VLOOKUP(A14, '[2]fund-selector'!$A$2:$F$853,6,FALSE)</f>
        <v/>
      </c>
      <c r="C14" s="258" t="n">
        <v>4.88</v>
      </c>
      <c r="D14" s="260" t="n">
        <v>1.84</v>
      </c>
      <c r="E14" s="260" t="n">
        <v>16.49</v>
      </c>
      <c r="F14" s="260" t="n">
        <v>18.25</v>
      </c>
      <c r="G14" s="260" t="n">
        <v>1.84</v>
      </c>
      <c r="H14" s="260" t="n">
        <v>10.28</v>
      </c>
      <c r="I14" s="260" t="n">
        <v>0.72</v>
      </c>
      <c r="J14" s="260" t="n">
        <v>1.04</v>
      </c>
      <c r="K14" s="260" t="n">
        <v>0.85</v>
      </c>
      <c r="L14" s="260" t="n">
        <v>-0.6899999999999999</v>
      </c>
    </row>
    <row r="15" hidden="1">
      <c r="A15" s="259" t="inlineStr">
        <is>
          <t>Aditya Birla Sun Life Financial Planning FoF - Aggressive Plan - Regular Plan</t>
        </is>
      </c>
      <c r="B15" s="261">
        <f>VLOOKUP(A15, '[2]fund-selector'!$A$2:$F$853,6,FALSE)</f>
        <v/>
      </c>
      <c r="C15" s="258" t="n">
        <v>6.07</v>
      </c>
      <c r="D15" s="260" t="n">
        <v>1.13</v>
      </c>
      <c r="E15" s="260" t="n">
        <v>19.73</v>
      </c>
      <c r="F15" s="260" t="n">
        <v>18.92</v>
      </c>
      <c r="G15" s="260" t="n">
        <v>1.13</v>
      </c>
      <c r="H15" s="260" t="n">
        <v>10.49</v>
      </c>
      <c r="I15" s="260" t="n">
        <v>1</v>
      </c>
      <c r="J15" s="260" t="n">
        <v>1.44</v>
      </c>
      <c r="K15" s="260" t="n">
        <v>1.07</v>
      </c>
      <c r="L15" s="260" t="n">
        <v>1.02</v>
      </c>
    </row>
    <row r="16" hidden="1">
      <c r="A16" s="259" t="inlineStr">
        <is>
          <t>Aditya Birla Sun Life Financial Planning FoF - Conservative Plan - Regular Plan</t>
        </is>
      </c>
      <c r="B16" s="261">
        <f>VLOOKUP(A16, '[2]fund-selector'!$A$2:$F$853,6,FALSE)</f>
        <v/>
      </c>
      <c r="C16" s="258" t="n">
        <v>7.92</v>
      </c>
      <c r="D16" s="260" t="n">
        <v>0.9399999999999999</v>
      </c>
      <c r="E16" s="260" t="n">
        <v>13.19</v>
      </c>
      <c r="F16" s="260" t="n">
        <v>12.11</v>
      </c>
      <c r="G16" s="260" t="n">
        <v>0.9399999999999999</v>
      </c>
      <c r="H16" s="260" t="n">
        <v>4.72</v>
      </c>
      <c r="I16" s="260" t="n">
        <v>1.21</v>
      </c>
      <c r="J16" s="260" t="n">
        <v>1.84</v>
      </c>
      <c r="K16" s="260" t="n">
        <v>0.47</v>
      </c>
      <c r="L16" s="260" t="n">
        <v>1.49</v>
      </c>
    </row>
    <row r="17" hidden="1">
      <c r="A17" s="259" t="inlineStr">
        <is>
          <t>Aditya Birla Sun Life Financial Planning FoF - Moderate Plan - Regular Plan</t>
        </is>
      </c>
      <c r="B17" s="261">
        <f>VLOOKUP(A17, '[2]fund-selector'!$A$2:$F$853,6,FALSE)</f>
        <v/>
      </c>
      <c r="C17" s="258" t="n">
        <v>7.29</v>
      </c>
      <c r="D17" s="260" t="n">
        <v>1.09</v>
      </c>
      <c r="E17" s="260" t="n">
        <v>16.36</v>
      </c>
      <c r="F17" s="260" t="n">
        <v>15.53</v>
      </c>
      <c r="G17" s="260" t="n">
        <v>1.09</v>
      </c>
      <c r="H17" s="260" t="n">
        <v>7.64</v>
      </c>
      <c r="I17" s="260" t="n">
        <v>1.06</v>
      </c>
      <c r="J17" s="260" t="n">
        <v>1.54</v>
      </c>
      <c r="K17" s="260" t="n">
        <v>0.77</v>
      </c>
      <c r="L17" s="260" t="n">
        <v>1.24</v>
      </c>
    </row>
    <row r="18" hidden="1">
      <c r="A18" s="259" t="inlineStr">
        <is>
          <t>Aditya Birla Sun Life Flexi Cap Fund - Regular Plan</t>
        </is>
      </c>
      <c r="B18" s="261">
        <f>VLOOKUP(A18, '[2]fund-selector'!$A$2:$F$853,6,FALSE)</f>
        <v/>
      </c>
      <c r="C18" s="258" t="n">
        <v>7.34</v>
      </c>
      <c r="D18" s="260" t="n">
        <v>1.67</v>
      </c>
      <c r="E18" s="260" t="n">
        <v>22.02</v>
      </c>
      <c r="F18" s="260" t="n">
        <v>22.44</v>
      </c>
      <c r="G18" s="260" t="n">
        <v>1.67</v>
      </c>
      <c r="H18" s="260" t="n">
        <v>13.82</v>
      </c>
      <c r="I18" s="260" t="n">
        <v>0.87</v>
      </c>
      <c r="J18" s="260" t="n">
        <v>1.43</v>
      </c>
      <c r="K18" s="260" t="n">
        <v>0.9399999999999999</v>
      </c>
      <c r="L18" s="260" t="n">
        <v>1.15</v>
      </c>
    </row>
    <row r="19" hidden="1">
      <c r="A19" s="259" t="inlineStr">
        <is>
          <t>Aditya Birla Sun Life Focused Fund - Regular Plan</t>
        </is>
      </c>
      <c r="B19" s="261">
        <f>VLOOKUP(A19, '[2]fund-selector'!$A$2:$F$853,6,FALSE)</f>
        <v/>
      </c>
      <c r="C19" s="258" t="n">
        <v>7.43</v>
      </c>
      <c r="D19" s="260" t="n">
        <v>1.81</v>
      </c>
      <c r="E19" s="260" t="n">
        <v>20.76</v>
      </c>
      <c r="F19" s="260" t="n">
        <v>21.03</v>
      </c>
      <c r="G19" s="260" t="n">
        <v>1.81</v>
      </c>
      <c r="H19" s="260" t="n">
        <v>13.24</v>
      </c>
      <c r="I19" s="260" t="n">
        <v>0.8</v>
      </c>
      <c r="J19" s="260" t="n">
        <v>1.57</v>
      </c>
      <c r="K19" s="260" t="n">
        <v>0.9</v>
      </c>
      <c r="L19" s="260" t="n">
        <v>0.3</v>
      </c>
    </row>
    <row r="20" hidden="1">
      <c r="A20" s="259" t="inlineStr">
        <is>
          <t>Aditya Birla Sun Life Frontline Equity Fund - Regular Plan</t>
        </is>
      </c>
      <c r="B20" s="261">
        <f>VLOOKUP(A20, '[2]fund-selector'!$A$2:$F$853,6,FALSE)</f>
        <v/>
      </c>
      <c r="C20" s="258" t="n">
        <v>5.71</v>
      </c>
      <c r="D20" s="260" t="n">
        <v>1.64</v>
      </c>
      <c r="E20" s="260" t="n">
        <v>20.48</v>
      </c>
      <c r="F20" s="260" t="n">
        <v>21.61</v>
      </c>
      <c r="G20" s="260" t="n">
        <v>1.64</v>
      </c>
      <c r="H20" s="260" t="n">
        <v>13.13</v>
      </c>
      <c r="I20" s="260" t="n">
        <v>0.8100000000000001</v>
      </c>
      <c r="J20" s="260" t="n">
        <v>1.3</v>
      </c>
      <c r="K20" s="260" t="n">
        <v>0.95</v>
      </c>
      <c r="L20" s="260" t="n">
        <v>0.83</v>
      </c>
    </row>
    <row r="21" hidden="1">
      <c r="A21" s="259" t="inlineStr">
        <is>
          <t>Aditya Birla Sun Life Manufacturing Equity Fund - Regular Plan</t>
        </is>
      </c>
      <c r="B21" s="261">
        <f>VLOOKUP(A21, '[2]fund-selector'!$A$2:$F$853,6,FALSE)</f>
        <v/>
      </c>
      <c r="C21" s="258" t="n">
        <v>-1.62</v>
      </c>
      <c r="D21" s="260" t="n">
        <v>2.29</v>
      </c>
      <c r="E21" s="260" t="n">
        <v>21.81</v>
      </c>
      <c r="F21" s="260" t="n">
        <v>20.33</v>
      </c>
      <c r="G21" s="260" t="n">
        <v>2.29</v>
      </c>
      <c r="H21" s="260" t="n">
        <v>16.43</v>
      </c>
      <c r="I21" s="260" t="n">
        <v>0.8</v>
      </c>
      <c r="J21" s="260" t="n">
        <v>1.25</v>
      </c>
      <c r="K21" s="260" t="n">
        <v>1.07</v>
      </c>
      <c r="L21" s="260" t="n">
        <v>0.88</v>
      </c>
    </row>
    <row r="22" hidden="1">
      <c r="A22" s="259" t="inlineStr">
        <is>
          <t>Aditya Birla Sun Life Mid Cap Fund - Regular Plan</t>
        </is>
      </c>
      <c r="B22" s="261">
        <f>VLOOKUP(A22, '[2]fund-selector'!$A$2:$F$853,6,FALSE)</f>
        <v/>
      </c>
      <c r="C22" s="258" t="n">
        <v>2.95</v>
      </c>
      <c r="D22" s="260" t="n">
        <v>1.89</v>
      </c>
      <c r="E22" s="260" t="n">
        <v>23.81</v>
      </c>
      <c r="F22" s="260" t="n">
        <v>27.55</v>
      </c>
      <c r="G22" s="260" t="n">
        <v>1.89</v>
      </c>
      <c r="H22" s="260" t="n">
        <v>16.24</v>
      </c>
      <c r="I22" s="260" t="n">
        <v>0.85</v>
      </c>
      <c r="J22" s="260" t="n">
        <v>1.39</v>
      </c>
      <c r="K22" s="260" t="n">
        <v>0.92</v>
      </c>
      <c r="L22" s="260" t="n">
        <v>-2.87</v>
      </c>
    </row>
    <row r="23" hidden="1">
      <c r="A23" s="259" t="inlineStr">
        <is>
          <t>Aditya Birla Sun Life Multi Asset Allocation Fund - Regular Plan</t>
        </is>
      </c>
      <c r="B23" s="261">
        <f>VLOOKUP(A23, '[2]fund-selector'!$A$2:$F$853,6,FALSE)</f>
        <v/>
      </c>
      <c r="C23" s="258" t="n">
        <v>9.16</v>
      </c>
      <c r="D23" s="260" t="n">
        <v>1.83</v>
      </c>
      <c r="E23" s="259" t="n">
        <v>0</v>
      </c>
      <c r="F23" s="259" t="n">
        <v>0</v>
      </c>
      <c r="G23" s="260" t="n">
        <v>1.83</v>
      </c>
      <c r="H23" s="259" t="n">
        <v>0</v>
      </c>
      <c r="I23" s="259" t="n">
        <v>0</v>
      </c>
      <c r="J23" s="259" t="n">
        <v>0</v>
      </c>
      <c r="K23" s="259" t="n">
        <v>0</v>
      </c>
      <c r="L23" s="259" t="n">
        <v>0</v>
      </c>
    </row>
    <row r="24">
      <c r="A24" s="296" t="inlineStr">
        <is>
          <t>Aditya Birla Sun Life Multi-Cap Fund - Regular Plan</t>
        </is>
      </c>
      <c r="B24" s="261">
        <f>VLOOKUP(A24, '[2]fund-selector'!$A$2:$F$853,6,FALSE)</f>
        <v/>
      </c>
      <c r="C24" s="258" t="n">
        <v>2.14</v>
      </c>
      <c r="D24" s="260" t="n">
        <v>1.84</v>
      </c>
      <c r="E24" s="260" t="n">
        <v>21.1</v>
      </c>
      <c r="F24" s="259" t="n">
        <v>0</v>
      </c>
      <c r="G24" s="260" t="n">
        <v>1.84</v>
      </c>
      <c r="H24" s="260" t="n">
        <v>14.3</v>
      </c>
      <c r="I24" s="260" t="n">
        <v>0.8</v>
      </c>
      <c r="J24" s="260" t="n">
        <v>1.06</v>
      </c>
      <c r="K24" s="260" t="n">
        <v>0.88</v>
      </c>
      <c r="L24" s="260" t="n">
        <v>-1.43</v>
      </c>
    </row>
    <row r="25" hidden="1">
      <c r="A25" s="259" t="inlineStr">
        <is>
          <t>Aditya Birla Sun Life Multi - Index FoF - Regular Plan</t>
        </is>
      </c>
      <c r="B25" s="261">
        <f>VLOOKUP(A25, '[2]fund-selector'!$A$2:$F$853,6,FALSE)</f>
        <v/>
      </c>
      <c r="C25" s="258" t="n">
        <v>4.49</v>
      </c>
      <c r="D25" s="260" t="n">
        <v>0.61</v>
      </c>
      <c r="E25" s="259" t="n">
        <v>0</v>
      </c>
      <c r="F25" s="259" t="n">
        <v>0</v>
      </c>
      <c r="G25" s="260" t="n">
        <v>0.61</v>
      </c>
      <c r="H25" s="259" t="n">
        <v>0</v>
      </c>
      <c r="I25" s="259" t="n">
        <v>0</v>
      </c>
      <c r="J25" s="259" t="n">
        <v>0</v>
      </c>
      <c r="K25" s="259" t="n">
        <v>0</v>
      </c>
      <c r="L25" s="259" t="n">
        <v>0</v>
      </c>
    </row>
    <row r="26" hidden="1">
      <c r="A26" s="259" t="inlineStr">
        <is>
          <t>Aditya Birla Sun Life Nifty 200 Momentum 30 ETF</t>
        </is>
      </c>
      <c r="B26" s="261">
        <f>VLOOKUP(A26, '[2]fund-selector'!$A$2:$F$853,6,FALSE)</f>
        <v/>
      </c>
      <c r="C26" s="258" t="n">
        <v>-12.89</v>
      </c>
      <c r="D26" s="260" t="n">
        <v>0.29</v>
      </c>
      <c r="E26" s="259" t="n">
        <v>0</v>
      </c>
      <c r="F26" s="259" t="n">
        <v>0</v>
      </c>
      <c r="G26" s="260" t="n">
        <v>0.29</v>
      </c>
      <c r="H26" s="259" t="n">
        <v>0</v>
      </c>
      <c r="I26" s="259" t="n">
        <v>0</v>
      </c>
      <c r="J26" s="259" t="n">
        <v>0</v>
      </c>
      <c r="K26" s="259" t="n">
        <v>0</v>
      </c>
      <c r="L26" s="259" t="n">
        <v>0</v>
      </c>
    </row>
    <row r="27" hidden="1">
      <c r="A27" s="259" t="inlineStr">
        <is>
          <t>Aditya Birla Sun Life Nifty 200 Quality 30 ETF</t>
        </is>
      </c>
      <c r="B27" s="261">
        <f>VLOOKUP(A27, '[2]fund-selector'!$A$2:$F$853,6,FALSE)</f>
        <v/>
      </c>
      <c r="C27" s="258" t="n">
        <v>1.23</v>
      </c>
      <c r="D27" s="260" t="n">
        <v>0.29</v>
      </c>
      <c r="E27" s="259" t="n">
        <v>0</v>
      </c>
      <c r="F27" s="259" t="n">
        <v>0</v>
      </c>
      <c r="G27" s="260" t="n">
        <v>0.29</v>
      </c>
      <c r="H27" s="259" t="n">
        <v>0</v>
      </c>
      <c r="I27" s="259" t="n">
        <v>0</v>
      </c>
      <c r="J27" s="259" t="n">
        <v>0</v>
      </c>
      <c r="K27" s="259" t="n">
        <v>0</v>
      </c>
      <c r="L27" s="259" t="n">
        <v>0</v>
      </c>
    </row>
    <row r="28" hidden="1">
      <c r="A28" s="259" t="inlineStr">
        <is>
          <t>Aditya Birla Sun Life Nifty 50 Equal Weight Index Fund - Regular Plan</t>
        </is>
      </c>
      <c r="B28" s="261">
        <f>VLOOKUP(A28, '[2]fund-selector'!$A$2:$F$853,6,FALSE)</f>
        <v/>
      </c>
      <c r="C28" s="258" t="n">
        <v>3.92</v>
      </c>
      <c r="D28" s="260" t="n">
        <v>1.02</v>
      </c>
      <c r="E28" s="260" t="n">
        <v>21.61</v>
      </c>
      <c r="F28" s="259" t="n">
        <v>0</v>
      </c>
      <c r="G28" s="260" t="n">
        <v>1.02</v>
      </c>
      <c r="H28" s="260" t="n">
        <v>14.76</v>
      </c>
      <c r="I28" s="260" t="n">
        <v>0.77</v>
      </c>
      <c r="J28" s="260" t="n">
        <v>1.17</v>
      </c>
      <c r="K28" s="260" t="n">
        <v>1.04</v>
      </c>
      <c r="L28" s="260" t="n">
        <v>0.57</v>
      </c>
    </row>
    <row r="29" hidden="1">
      <c r="A29" s="259" t="inlineStr">
        <is>
          <t>Aditya Birla Sun Life Nifty 50 ETF</t>
        </is>
      </c>
      <c r="B29" s="261">
        <f>VLOOKUP(A29, '[2]fund-selector'!$A$2:$F$853,6,FALSE)</f>
        <v/>
      </c>
      <c r="C29" s="258" t="n">
        <v>6.49</v>
      </c>
      <c r="D29" s="260" t="n">
        <v>0.04</v>
      </c>
      <c r="E29" s="260" t="n">
        <v>18.66</v>
      </c>
      <c r="F29" s="260" t="n">
        <v>20.66</v>
      </c>
      <c r="G29" s="260" t="n">
        <v>0.04</v>
      </c>
      <c r="H29" s="260" t="n">
        <v>13.14</v>
      </c>
      <c r="I29" s="260" t="n">
        <v>0.6899999999999999</v>
      </c>
      <c r="J29" s="260" t="n">
        <v>1.18</v>
      </c>
      <c r="K29" s="260" t="n">
        <v>0.95</v>
      </c>
      <c r="L29" s="260" t="n">
        <v>-0.72</v>
      </c>
    </row>
    <row r="30" hidden="1">
      <c r="A30" s="259" t="inlineStr">
        <is>
          <t>Aditya Birla Sun Life Nifty 50 Index Fund - Regular Plan</t>
        </is>
      </c>
      <c r="B30" s="261">
        <f>VLOOKUP(A30, '[2]fund-selector'!$A$2:$F$853,6,FALSE)</f>
        <v/>
      </c>
      <c r="C30" s="258" t="n">
        <v>6.02</v>
      </c>
      <c r="D30" s="260" t="n">
        <v>0.47</v>
      </c>
      <c r="E30" s="260" t="n">
        <v>18.03</v>
      </c>
      <c r="F30" s="260" t="n">
        <v>19.89</v>
      </c>
      <c r="G30" s="260" t="n">
        <v>0.47</v>
      </c>
      <c r="H30" s="260" t="n">
        <v>13.12</v>
      </c>
      <c r="I30" s="260" t="n">
        <v>0.65</v>
      </c>
      <c r="J30" s="260" t="n">
        <v>1.11</v>
      </c>
      <c r="K30" s="260" t="n">
        <v>0.95</v>
      </c>
      <c r="L30" s="260" t="n">
        <v>-1.25</v>
      </c>
    </row>
    <row r="31" hidden="1">
      <c r="A31" s="259" t="inlineStr">
        <is>
          <t>Aditya Birla Sun Life Nifty India Defence Index Fund - Regular Plan</t>
        </is>
      </c>
      <c r="B31" s="261">
        <f>VLOOKUP(A31, '[2]fund-selector'!$A$2:$F$853,6,FALSE)</f>
        <v/>
      </c>
      <c r="C31" s="258" t="inlineStr">
        <is>
          <t>--</t>
        </is>
      </c>
      <c r="D31" s="260" t="n">
        <v>1.06</v>
      </c>
      <c r="E31" s="259" t="n">
        <v>0</v>
      </c>
      <c r="F31" s="259" t="n">
        <v>0</v>
      </c>
      <c r="G31" s="260" t="n">
        <v>1.06</v>
      </c>
      <c r="H31" s="259" t="n">
        <v>0</v>
      </c>
      <c r="I31" s="259" t="n">
        <v>0</v>
      </c>
      <c r="J31" s="259" t="n">
        <v>0</v>
      </c>
      <c r="K31" s="259" t="n">
        <v>0</v>
      </c>
      <c r="L31" s="259" t="n">
        <v>0</v>
      </c>
    </row>
    <row r="32" hidden="1">
      <c r="A32" s="259" t="inlineStr">
        <is>
          <t>Aditya Birla Sun Life Nifty Midcap 150 Index Fund - Regular Plan</t>
        </is>
      </c>
      <c r="B32" s="261">
        <f>VLOOKUP(A32, '[2]fund-selector'!$A$2:$F$853,6,FALSE)</f>
        <v/>
      </c>
      <c r="C32" s="258" t="n">
        <v>1.58</v>
      </c>
      <c r="D32" s="260" t="n">
        <v>1.01</v>
      </c>
      <c r="E32" s="260" t="n">
        <v>28.63</v>
      </c>
      <c r="F32" s="259" t="n">
        <v>0</v>
      </c>
      <c r="G32" s="260" t="n">
        <v>1.01</v>
      </c>
      <c r="H32" s="260" t="n">
        <v>17.01</v>
      </c>
      <c r="I32" s="260" t="n">
        <v>1.06</v>
      </c>
      <c r="J32" s="260" t="n">
        <v>1.53</v>
      </c>
      <c r="K32" s="260" t="n">
        <v>1</v>
      </c>
      <c r="L32" s="260" t="n">
        <v>-0.09</v>
      </c>
    </row>
    <row r="33" hidden="1">
      <c r="A33" s="259" t="inlineStr">
        <is>
          <t>Aditya Birla Sun Life Nifty Next 50 ETF</t>
        </is>
      </c>
      <c r="B33" s="261">
        <f>VLOOKUP(A33, '[2]fund-selector'!$A$2:$F$853,6,FALSE)</f>
        <v/>
      </c>
      <c r="C33" s="258" t="n">
        <v>-7.34</v>
      </c>
      <c r="D33" s="260" t="n">
        <v>0.09</v>
      </c>
      <c r="E33" s="260" t="n">
        <v>23.29</v>
      </c>
      <c r="F33" s="260" t="n">
        <v>21.86</v>
      </c>
      <c r="G33" s="260" t="n">
        <v>0.09</v>
      </c>
      <c r="H33" s="260" t="n">
        <v>19.54</v>
      </c>
      <c r="I33" s="260" t="n">
        <v>0.73</v>
      </c>
      <c r="J33" s="260" t="n">
        <v>1.09</v>
      </c>
      <c r="K33" s="260" t="n">
        <v>1.3</v>
      </c>
      <c r="L33" s="260" t="n">
        <v>0.85</v>
      </c>
    </row>
    <row r="34" hidden="1">
      <c r="A34" s="259" t="inlineStr">
        <is>
          <t>Aditya Birla Sun Life Nifty Next 50 Index Fund - Regular Plan</t>
        </is>
      </c>
      <c r="B34" s="261">
        <f>VLOOKUP(A34, '[2]fund-selector'!$A$2:$F$853,6,FALSE)</f>
        <v/>
      </c>
      <c r="C34" s="258" t="n">
        <v>-8.44</v>
      </c>
      <c r="D34" s="260" t="n">
        <v>0.88</v>
      </c>
      <c r="E34" s="260" t="n">
        <v>21.93</v>
      </c>
      <c r="F34" s="259" t="n">
        <v>0</v>
      </c>
      <c r="G34" s="260" t="n">
        <v>0.88</v>
      </c>
      <c r="H34" s="260" t="n">
        <v>19.52</v>
      </c>
      <c r="I34" s="260" t="n">
        <v>0.67</v>
      </c>
      <c r="J34" s="260" t="n">
        <v>1</v>
      </c>
      <c r="K34" s="260" t="n">
        <v>1.3</v>
      </c>
      <c r="L34" s="260" t="n">
        <v>-0.25</v>
      </c>
    </row>
    <row r="35" hidden="1">
      <c r="A35" s="259" t="inlineStr">
        <is>
          <t>Aditya Birla Sun Life Nifty Smallcap 50 Index Fund - Regular Plan</t>
        </is>
      </c>
      <c r="B35" s="261">
        <f>VLOOKUP(A35, '[2]fund-selector'!$A$2:$F$853,6,FALSE)</f>
        <v/>
      </c>
      <c r="C35" s="258" t="n">
        <v>1.81</v>
      </c>
      <c r="D35" s="260" t="n">
        <v>1.01</v>
      </c>
      <c r="E35" s="260" t="n">
        <v>31.37</v>
      </c>
      <c r="F35" s="259" t="n">
        <v>0</v>
      </c>
      <c r="G35" s="260" t="n">
        <v>1.01</v>
      </c>
      <c r="H35" s="260" t="n">
        <v>20.71</v>
      </c>
      <c r="I35" s="260" t="n">
        <v>0.92</v>
      </c>
      <c r="J35" s="260" t="n">
        <v>1.48</v>
      </c>
      <c r="K35" s="260" t="n">
        <v>1.03</v>
      </c>
      <c r="L35" s="260" t="n">
        <v>0.22</v>
      </c>
    </row>
    <row r="36" hidden="1">
      <c r="A36" s="259" t="inlineStr">
        <is>
          <t>Aditya Birla Sun Life Quant Fund - Regular Plan</t>
        </is>
      </c>
      <c r="B36" s="261">
        <f>VLOOKUP(A36, '[2]fund-selector'!$A$2:$F$853,6,FALSE)</f>
        <v/>
      </c>
      <c r="C36" s="258" t="inlineStr">
        <is>
          <t>--</t>
        </is>
      </c>
      <c r="D36" s="260" t="n">
        <v>1.97</v>
      </c>
      <c r="E36" s="259" t="n">
        <v>0</v>
      </c>
      <c r="F36" s="259" t="n">
        <v>0</v>
      </c>
      <c r="G36" s="260" t="n">
        <v>1.97</v>
      </c>
      <c r="H36" s="259" t="n">
        <v>0</v>
      </c>
      <c r="I36" s="259" t="n">
        <v>0</v>
      </c>
      <c r="J36" s="259" t="n">
        <v>0</v>
      </c>
      <c r="K36" s="259" t="n">
        <v>0</v>
      </c>
      <c r="L36" s="259" t="n">
        <v>0</v>
      </c>
    </row>
    <row r="37" hidden="1">
      <c r="A37" s="259" t="inlineStr">
        <is>
          <t>Aditya Birla Sun Life Regular Savings Fund - Regular Plan</t>
        </is>
      </c>
      <c r="B37" s="261">
        <f>VLOOKUP(A37, '[2]fund-selector'!$A$2:$F$853,6,FALSE)</f>
        <v/>
      </c>
      <c r="C37" s="258" t="n">
        <v>8.789999999999999</v>
      </c>
      <c r="D37" s="260" t="n">
        <v>1.92</v>
      </c>
      <c r="E37" s="260" t="n">
        <v>10.46</v>
      </c>
      <c r="F37" s="260" t="n">
        <v>11.88</v>
      </c>
      <c r="G37" s="260" t="n">
        <v>1.92</v>
      </c>
      <c r="H37" s="260" t="n">
        <v>3.55</v>
      </c>
      <c r="I37" s="260" t="n">
        <v>0.86</v>
      </c>
      <c r="J37" s="260" t="n">
        <v>1.66</v>
      </c>
      <c r="K37" s="260" t="n">
        <v>0.82</v>
      </c>
      <c r="L37" s="260" t="n">
        <v>0.04</v>
      </c>
    </row>
    <row r="38" hidden="1">
      <c r="A38" s="259" t="inlineStr">
        <is>
          <t>Aditya Birla Sun Life Retirement Fund - The 30s Plan - Regular Plan</t>
        </is>
      </c>
      <c r="B38" s="261">
        <f>VLOOKUP(A38, '[2]fund-selector'!$A$2:$F$853,6,FALSE)</f>
        <v/>
      </c>
      <c r="C38" s="258" t="n">
        <v>5.12</v>
      </c>
      <c r="D38" s="260" t="n">
        <v>2.41</v>
      </c>
      <c r="E38" s="260" t="n">
        <v>19.1</v>
      </c>
      <c r="F38" s="260" t="n">
        <v>15.74</v>
      </c>
      <c r="G38" s="260" t="n">
        <v>2.41</v>
      </c>
      <c r="H38" s="260" t="n">
        <v>14.35</v>
      </c>
      <c r="I38" s="260" t="n">
        <v>0.6899999999999999</v>
      </c>
      <c r="J38" s="260" t="n">
        <v>1.1</v>
      </c>
      <c r="K38" s="260" t="n">
        <v>0.9399999999999999</v>
      </c>
      <c r="L38" s="260" t="n">
        <v>-0.98</v>
      </c>
    </row>
    <row r="39" hidden="1">
      <c r="A39" s="259" t="inlineStr">
        <is>
          <t>Aditya Birla Sun Life Retirement Fund - The 40s Plan - Regular Plan</t>
        </is>
      </c>
      <c r="B39" s="261">
        <f>VLOOKUP(A39, '[2]fund-selector'!$A$2:$F$853,6,FALSE)</f>
        <v/>
      </c>
      <c r="C39" s="258" t="n">
        <v>7.45</v>
      </c>
      <c r="D39" s="260" t="n">
        <v>2.38</v>
      </c>
      <c r="E39" s="260" t="n">
        <v>16.95</v>
      </c>
      <c r="F39" s="260" t="n">
        <v>13.73</v>
      </c>
      <c r="G39" s="260" t="n">
        <v>2.38</v>
      </c>
      <c r="H39" s="260" t="n">
        <v>10.97</v>
      </c>
      <c r="I39" s="260" t="n">
        <v>0.74</v>
      </c>
      <c r="J39" s="260" t="n">
        <v>1.2</v>
      </c>
      <c r="K39" s="260" t="n">
        <v>0.87</v>
      </c>
      <c r="L39" s="260" t="n">
        <v>-0.3</v>
      </c>
    </row>
    <row r="40" hidden="1">
      <c r="A40" s="259" t="inlineStr">
        <is>
          <t>Aditya Birla Sun Life Retirement Fund - The 50s Plan - Regular Plan</t>
        </is>
      </c>
      <c r="B40" s="261">
        <f>VLOOKUP(A40, '[2]fund-selector'!$A$2:$F$853,6,FALSE)</f>
        <v/>
      </c>
      <c r="C40" s="258" t="n">
        <v>6.57</v>
      </c>
      <c r="D40" s="260" t="n">
        <v>1.93</v>
      </c>
      <c r="E40" s="260" t="n">
        <v>9.52</v>
      </c>
      <c r="F40" s="260" t="n">
        <v>5.49</v>
      </c>
      <c r="G40" s="260" t="n">
        <v>1.93</v>
      </c>
      <c r="H40" s="260" t="n">
        <v>3.71</v>
      </c>
      <c r="I40" s="260" t="n">
        <v>0.62</v>
      </c>
      <c r="J40" s="260" t="n">
        <v>0.99</v>
      </c>
      <c r="K40" s="260" t="n">
        <v>0.88</v>
      </c>
      <c r="L40" s="260" t="n">
        <v>-0.92</v>
      </c>
    </row>
    <row r="41" hidden="1">
      <c r="A41" s="259" t="inlineStr">
        <is>
          <t>Aditya Birla Sun Life Small Cap Fund - Regular Plan</t>
        </is>
      </c>
      <c r="B41" s="261">
        <f>VLOOKUP(A41, '[2]fund-selector'!$A$2:$F$853,6,FALSE)</f>
        <v/>
      </c>
      <c r="C41" s="258" t="n">
        <v>-0.93</v>
      </c>
      <c r="D41" s="260" t="n">
        <v>1.92</v>
      </c>
      <c r="E41" s="260" t="n">
        <v>23.42</v>
      </c>
      <c r="F41" s="260" t="n">
        <v>27.93</v>
      </c>
      <c r="G41" s="260" t="n">
        <v>1.92</v>
      </c>
      <c r="H41" s="260" t="n">
        <v>17.91</v>
      </c>
      <c r="I41" s="260" t="n">
        <v>0.78</v>
      </c>
      <c r="J41" s="260" t="n">
        <v>1.18</v>
      </c>
      <c r="K41" s="260" t="n">
        <v>0.89</v>
      </c>
      <c r="L41" s="260" t="n">
        <v>-2.19</v>
      </c>
    </row>
    <row r="42" hidden="1">
      <c r="A42" s="259" t="inlineStr">
        <is>
          <t>Aditya Birla Sun Life Special Opportunities Fund - Regular Plan</t>
        </is>
      </c>
      <c r="B42" s="261">
        <f>VLOOKUP(A42, '[2]fund-selector'!$A$2:$F$853,6,FALSE)</f>
        <v/>
      </c>
      <c r="C42" s="258" t="n">
        <v>5.43</v>
      </c>
      <c r="D42" s="260" t="n">
        <v>2.39</v>
      </c>
      <c r="E42" s="260" t="n">
        <v>21.86</v>
      </c>
      <c r="F42" s="259" t="n">
        <v>0</v>
      </c>
      <c r="G42" s="260" t="n">
        <v>2.39</v>
      </c>
      <c r="H42" s="260" t="n">
        <v>14.79</v>
      </c>
      <c r="I42" s="260" t="n">
        <v>0.79</v>
      </c>
      <c r="J42" s="260" t="n">
        <v>1.39</v>
      </c>
      <c r="K42" s="260" t="n">
        <v>0.99</v>
      </c>
      <c r="L42" s="260" t="n">
        <v>0.3</v>
      </c>
    </row>
    <row r="43" hidden="1">
      <c r="A43" s="259" t="inlineStr">
        <is>
          <t>Aditya Birla Sun Life Transportation and Logistics Fund - Regular Plan</t>
        </is>
      </c>
      <c r="B43" s="261">
        <f>VLOOKUP(A43, '[2]fund-selector'!$A$2:$F$853,6,FALSE)</f>
        <v/>
      </c>
      <c r="C43" s="258" t="n">
        <v>-7.4</v>
      </c>
      <c r="D43" s="260" t="n">
        <v>2.11</v>
      </c>
      <c r="E43" s="259" t="n">
        <v>0</v>
      </c>
      <c r="F43" s="259" t="n">
        <v>0</v>
      </c>
      <c r="G43" s="260" t="n">
        <v>2.11</v>
      </c>
      <c r="H43" s="259" t="n">
        <v>0</v>
      </c>
      <c r="I43" s="259" t="n">
        <v>0</v>
      </c>
      <c r="J43" s="259" t="n">
        <v>0</v>
      </c>
      <c r="K43" s="259" t="n">
        <v>0</v>
      </c>
      <c r="L43" s="259" t="n">
        <v>0</v>
      </c>
    </row>
    <row r="44" hidden="1">
      <c r="A44" s="259" t="inlineStr">
        <is>
          <t>Angel One Nifty 50 ETF</t>
        </is>
      </c>
      <c r="B44" s="261">
        <f>VLOOKUP(A44, '[2]fund-selector'!$A$2:$F$853,6,FALSE)</f>
        <v/>
      </c>
      <c r="C44" s="258" t="inlineStr">
        <is>
          <t>--</t>
        </is>
      </c>
      <c r="D44" s="260" t="n">
        <v>0.09</v>
      </c>
      <c r="E44" s="259" t="n">
        <v>0</v>
      </c>
      <c r="F44" s="259" t="n">
        <v>0</v>
      </c>
      <c r="G44" s="260" t="n">
        <v>0.09</v>
      </c>
      <c r="H44" s="259" t="n">
        <v>0</v>
      </c>
      <c r="I44" s="259" t="n">
        <v>0</v>
      </c>
      <c r="J44" s="259" t="n">
        <v>0</v>
      </c>
      <c r="K44" s="259" t="n">
        <v>0</v>
      </c>
      <c r="L44" s="259" t="n">
        <v>0</v>
      </c>
    </row>
    <row r="45" hidden="1">
      <c r="A45" s="259" t="inlineStr">
        <is>
          <t>Angel One Nifty 50 Index Fund - Regular Plan</t>
        </is>
      </c>
      <c r="B45" s="261">
        <f>VLOOKUP(A45, '[2]fund-selector'!$A$2:$F$853,6,FALSE)</f>
        <v/>
      </c>
      <c r="C45" s="258" t="inlineStr">
        <is>
          <t>--</t>
        </is>
      </c>
      <c r="D45" s="260" t="n">
        <v>0.7</v>
      </c>
      <c r="E45" s="259" t="n">
        <v>0</v>
      </c>
      <c r="F45" s="259" t="n">
        <v>0</v>
      </c>
      <c r="G45" s="260" t="n">
        <v>0.7</v>
      </c>
      <c r="H45" s="259" t="n">
        <v>0</v>
      </c>
      <c r="I45" s="259" t="n">
        <v>0</v>
      </c>
      <c r="J45" s="259" t="n">
        <v>0</v>
      </c>
      <c r="K45" s="259" t="n">
        <v>0</v>
      </c>
      <c r="L45" s="259" t="n">
        <v>0</v>
      </c>
    </row>
    <row r="46" hidden="1">
      <c r="A46" s="259" t="inlineStr">
        <is>
          <t>Angel One Nifty Total Market ETF</t>
        </is>
      </c>
      <c r="B46" s="261">
        <f>VLOOKUP(A46, '[2]fund-selector'!$A$2:$F$853,6,FALSE)</f>
        <v/>
      </c>
      <c r="C46" s="258" t="inlineStr">
        <is>
          <t>--</t>
        </is>
      </c>
      <c r="D46" s="260" t="n">
        <v>0.28</v>
      </c>
      <c r="E46" s="259" t="n">
        <v>0</v>
      </c>
      <c r="F46" s="259" t="n">
        <v>0</v>
      </c>
      <c r="G46" s="260" t="n">
        <v>0.28</v>
      </c>
      <c r="H46" s="259" t="n">
        <v>0</v>
      </c>
      <c r="I46" s="259" t="n">
        <v>0</v>
      </c>
      <c r="J46" s="259" t="n">
        <v>0</v>
      </c>
      <c r="K46" s="259" t="n">
        <v>0</v>
      </c>
      <c r="L46" s="259" t="n">
        <v>0</v>
      </c>
    </row>
    <row r="47" hidden="1">
      <c r="A47" s="259" t="inlineStr">
        <is>
          <t>Angel One Nifty Total Market Index Fund - Regular Plan</t>
        </is>
      </c>
      <c r="B47" s="261">
        <f>VLOOKUP(A47, '[2]fund-selector'!$A$2:$F$853,6,FALSE)</f>
        <v/>
      </c>
      <c r="C47" s="258" t="inlineStr">
        <is>
          <t>--</t>
        </is>
      </c>
      <c r="D47" s="260" t="n">
        <v>1.03</v>
      </c>
      <c r="E47" s="259" t="n">
        <v>0</v>
      </c>
      <c r="F47" s="259" t="n">
        <v>0</v>
      </c>
      <c r="G47" s="260" t="n">
        <v>1.03</v>
      </c>
      <c r="H47" s="259" t="n">
        <v>0</v>
      </c>
      <c r="I47" s="259" t="n">
        <v>0</v>
      </c>
      <c r="J47" s="259" t="n">
        <v>0</v>
      </c>
      <c r="K47" s="259" t="n">
        <v>0</v>
      </c>
      <c r="L47" s="259" t="n">
        <v>0</v>
      </c>
    </row>
    <row r="48" hidden="1">
      <c r="A48" s="259" t="inlineStr">
        <is>
          <t>Axis Aggressive Hybrid Fund - Regular Plan</t>
        </is>
      </c>
      <c r="B48" s="261">
        <f>VLOOKUP(A48, '[2]fund-selector'!$A$2:$F$853,6,FALSE)</f>
        <v/>
      </c>
      <c r="C48" s="258" t="n">
        <v>6.5</v>
      </c>
      <c r="D48" s="260" t="n">
        <v>2.15</v>
      </c>
      <c r="E48" s="260" t="n">
        <v>14.18</v>
      </c>
      <c r="F48" s="260" t="n">
        <v>14.9</v>
      </c>
      <c r="G48" s="260" t="n">
        <v>2.15</v>
      </c>
      <c r="H48" s="260" t="n">
        <v>11.35</v>
      </c>
      <c r="I48" s="260" t="n">
        <v>0.51</v>
      </c>
      <c r="J48" s="260" t="n">
        <v>0.9</v>
      </c>
      <c r="K48" s="260" t="n">
        <v>0.92</v>
      </c>
      <c r="L48" s="260" t="n">
        <v>-3.07</v>
      </c>
    </row>
    <row r="49" hidden="1">
      <c r="A49" s="259" t="inlineStr">
        <is>
          <t>Axis Arbitrage Fund - Regular Plan</t>
        </is>
      </c>
      <c r="B49" s="261">
        <f>VLOOKUP(A49, '[2]fund-selector'!$A$2:$F$853,6,FALSE)</f>
        <v/>
      </c>
      <c r="C49" s="258" t="n">
        <v>6.89</v>
      </c>
      <c r="D49" s="260" t="n">
        <v>1.02</v>
      </c>
      <c r="E49" s="260" t="n">
        <v>6.7</v>
      </c>
      <c r="F49" s="260" t="n">
        <v>5.44</v>
      </c>
      <c r="G49" s="260" t="n">
        <v>1.02</v>
      </c>
      <c r="H49" s="260" t="n">
        <v>0.5600000000000001</v>
      </c>
      <c r="I49" s="260" t="n">
        <v>0.17</v>
      </c>
      <c r="J49" s="260" t="n">
        <v>0.18</v>
      </c>
      <c r="K49" s="260" t="n">
        <v>0.65</v>
      </c>
      <c r="L49" s="260" t="n">
        <v>1.33</v>
      </c>
    </row>
    <row r="50" hidden="1">
      <c r="A50" s="259" t="inlineStr">
        <is>
          <t>Axis Balanced Advantage Fund - Regular Plan</t>
        </is>
      </c>
      <c r="B50" s="261">
        <f>VLOOKUP(A50, '[2]fund-selector'!$A$2:$F$853,6,FALSE)</f>
        <v/>
      </c>
      <c r="C50" s="258" t="n">
        <v>7.96</v>
      </c>
      <c r="D50" s="260" t="n">
        <v>1.94</v>
      </c>
      <c r="E50" s="260" t="n">
        <v>16.24</v>
      </c>
      <c r="F50" s="260" t="n">
        <v>13.83</v>
      </c>
      <c r="G50" s="260" t="n">
        <v>1.94</v>
      </c>
      <c r="H50" s="260" t="n">
        <v>8.06</v>
      </c>
      <c r="I50" s="260" t="n">
        <v>1.01</v>
      </c>
      <c r="J50" s="260" t="n">
        <v>1.7</v>
      </c>
      <c r="K50" s="260" t="n">
        <v>0.75</v>
      </c>
      <c r="L50" s="260" t="n">
        <v>2.22</v>
      </c>
    </row>
    <row r="51" hidden="1">
      <c r="A51" s="259" t="inlineStr">
        <is>
          <t>Axis BSE Sensex ETF</t>
        </is>
      </c>
      <c r="B51" s="261">
        <f>VLOOKUP(A51, '[2]fund-selector'!$A$2:$F$853,6,FALSE)</f>
        <v/>
      </c>
      <c r="C51" s="258" t="n">
        <v>6.27</v>
      </c>
      <c r="D51" s="260" t="n">
        <v>0.04</v>
      </c>
      <c r="E51" s="259" t="n">
        <v>0</v>
      </c>
      <c r="F51" s="259" t="n">
        <v>0</v>
      </c>
      <c r="G51" s="260" t="n">
        <v>0.04</v>
      </c>
      <c r="H51" s="259" t="n">
        <v>0</v>
      </c>
      <c r="I51" s="259" t="n">
        <v>0</v>
      </c>
      <c r="J51" s="259" t="n">
        <v>0</v>
      </c>
      <c r="K51" s="259" t="n">
        <v>0</v>
      </c>
      <c r="L51" s="259" t="n">
        <v>0</v>
      </c>
    </row>
    <row r="52" hidden="1">
      <c r="A52" s="259" t="inlineStr">
        <is>
          <t>Axis BSE Sensex Index Fund - Regular Plan</t>
        </is>
      </c>
      <c r="B52" s="261">
        <f>VLOOKUP(A52, '[2]fund-selector'!$A$2:$F$853,6,FALSE)</f>
        <v/>
      </c>
      <c r="C52" s="258" t="n">
        <v>5.54</v>
      </c>
      <c r="D52" s="260" t="n">
        <v>0.7</v>
      </c>
      <c r="E52" s="259" t="n">
        <v>0</v>
      </c>
      <c r="F52" s="259" t="n">
        <v>0</v>
      </c>
      <c r="G52" s="260" t="n">
        <v>0.7</v>
      </c>
      <c r="H52" s="259" t="n">
        <v>0</v>
      </c>
      <c r="I52" s="259" t="n">
        <v>0</v>
      </c>
      <c r="J52" s="259" t="n">
        <v>0</v>
      </c>
      <c r="K52" s="259" t="n">
        <v>0</v>
      </c>
      <c r="L52" s="259" t="n">
        <v>0</v>
      </c>
    </row>
    <row r="53" hidden="1">
      <c r="A53" s="259" t="inlineStr">
        <is>
          <t>Axis Business Cycles Fund - Regular Plan</t>
        </is>
      </c>
      <c r="B53" s="261">
        <f>VLOOKUP(A53, '[2]fund-selector'!$A$2:$F$853,6,FALSE)</f>
        <v/>
      </c>
      <c r="C53" s="258" t="n">
        <v>2.55</v>
      </c>
      <c r="D53" s="260" t="n">
        <v>1.99</v>
      </c>
      <c r="E53" s="259" t="n">
        <v>0</v>
      </c>
      <c r="F53" s="259" t="n">
        <v>0</v>
      </c>
      <c r="G53" s="260" t="n">
        <v>1.99</v>
      </c>
      <c r="H53" s="259" t="n">
        <v>0</v>
      </c>
      <c r="I53" s="259" t="n">
        <v>0</v>
      </c>
      <c r="J53" s="259" t="n">
        <v>0</v>
      </c>
      <c r="K53" s="259" t="n">
        <v>0</v>
      </c>
      <c r="L53" s="259" t="n">
        <v>0</v>
      </c>
    </row>
    <row r="54" hidden="1">
      <c r="A54" s="259" t="inlineStr">
        <is>
          <t>Axis Children's - Regular Plan</t>
        </is>
      </c>
      <c r="B54" s="261">
        <f>VLOOKUP(A54, '[2]fund-selector'!$A$2:$F$853,6,FALSE)</f>
        <v/>
      </c>
      <c r="C54" s="258" t="n">
        <v>6.76</v>
      </c>
      <c r="D54" s="260" t="n">
        <v>2.29</v>
      </c>
      <c r="E54" s="260" t="n">
        <v>13.21</v>
      </c>
      <c r="F54" s="260" t="n">
        <v>14.42</v>
      </c>
      <c r="G54" s="260" t="n">
        <v>2.29</v>
      </c>
      <c r="H54" s="260" t="n">
        <v>10.78</v>
      </c>
      <c r="I54" s="260" t="n">
        <v>0.44</v>
      </c>
      <c r="J54" s="260" t="n">
        <v>0.74</v>
      </c>
      <c r="K54" s="260" t="n">
        <v>0.86</v>
      </c>
      <c r="L54" s="260" t="n">
        <v>-3.53</v>
      </c>
    </row>
    <row r="55" hidden="1">
      <c r="A55" s="259" t="inlineStr">
        <is>
          <t>Axis Conservative Hybrid Fund - Regular Plan</t>
        </is>
      </c>
      <c r="B55" s="261">
        <f>VLOOKUP(A55, '[2]fund-selector'!$A$2:$F$853,6,FALSE)</f>
        <v/>
      </c>
      <c r="C55" s="258" t="n">
        <v>7.14</v>
      </c>
      <c r="D55" s="260" t="n">
        <v>2.19</v>
      </c>
      <c r="E55" s="260" t="n">
        <v>8.82</v>
      </c>
      <c r="F55" s="260" t="n">
        <v>8.56</v>
      </c>
      <c r="G55" s="260" t="n">
        <v>2.19</v>
      </c>
      <c r="H55" s="260" t="n">
        <v>4.11</v>
      </c>
      <c r="I55" s="260" t="n">
        <v>0.4</v>
      </c>
      <c r="J55" s="260" t="n">
        <v>0.72</v>
      </c>
      <c r="K55" s="260" t="n">
        <v>0.99</v>
      </c>
      <c r="L55" s="260" t="n">
        <v>-1.98</v>
      </c>
    </row>
    <row r="56" hidden="1">
      <c r="A56" s="259" t="inlineStr">
        <is>
          <t>Axis Equity ETFs FoF - Regular Plan</t>
        </is>
      </c>
      <c r="B56" s="261">
        <f>VLOOKUP(A56, '[2]fund-selector'!$A$2:$F$853,6,FALSE)</f>
        <v/>
      </c>
      <c r="C56" s="258" t="n">
        <v>-5.11</v>
      </c>
      <c r="D56" s="260" t="n">
        <v>0.7</v>
      </c>
      <c r="E56" s="260" t="n">
        <v>17.62</v>
      </c>
      <c r="F56" s="259" t="n">
        <v>0</v>
      </c>
      <c r="G56" s="260" t="n">
        <v>0.7</v>
      </c>
      <c r="H56" s="260" t="n">
        <v>14.4</v>
      </c>
      <c r="I56" s="260" t="n">
        <v>0.6</v>
      </c>
      <c r="J56" s="260" t="n">
        <v>0.89</v>
      </c>
      <c r="K56" s="260" t="n">
        <v>0.98</v>
      </c>
      <c r="L56" s="260" t="n">
        <v>-2.69</v>
      </c>
    </row>
    <row r="57" hidden="1">
      <c r="A57" s="259" t="inlineStr">
        <is>
          <t>Axis Flexi Cap Fund - Regular Plan</t>
        </is>
      </c>
      <c r="B57" s="261">
        <f>VLOOKUP(A57, '[2]fund-selector'!$A$2:$F$853,6,FALSE)</f>
        <v/>
      </c>
      <c r="C57" s="258" t="n">
        <v>4.31</v>
      </c>
      <c r="D57" s="260" t="n">
        <v>1.71</v>
      </c>
      <c r="E57" s="260" t="n">
        <v>18.68</v>
      </c>
      <c r="F57" s="260" t="n">
        <v>18.26</v>
      </c>
      <c r="G57" s="260" t="n">
        <v>1.71</v>
      </c>
      <c r="H57" s="260" t="n">
        <v>14.62</v>
      </c>
      <c r="I57" s="260" t="n">
        <v>0.64</v>
      </c>
      <c r="J57" s="260" t="n">
        <v>0.9</v>
      </c>
      <c r="K57" s="260" t="n">
        <v>0.96</v>
      </c>
      <c r="L57" s="260" t="n">
        <v>-1.74</v>
      </c>
    </row>
    <row r="58" hidden="1">
      <c r="A58" s="259" t="inlineStr">
        <is>
          <t>Axis Focused Fund</t>
        </is>
      </c>
      <c r="B58" s="261">
        <f>VLOOKUP(A58, '[2]fund-selector'!$A$2:$F$853,6,FALSE)</f>
        <v/>
      </c>
      <c r="C58" s="258" t="n">
        <v>4.41</v>
      </c>
      <c r="D58" s="260" t="n">
        <v>1.74</v>
      </c>
      <c r="E58" s="260" t="n">
        <v>14.79</v>
      </c>
      <c r="F58" s="260" t="n">
        <v>15.11</v>
      </c>
      <c r="G58" s="260" t="n">
        <v>1.74</v>
      </c>
      <c r="H58" s="260" t="n">
        <v>15.7</v>
      </c>
      <c r="I58" s="260" t="n">
        <v>0.36</v>
      </c>
      <c r="J58" s="260" t="n">
        <v>0.61</v>
      </c>
      <c r="K58" s="260" t="n">
        <v>0.99</v>
      </c>
      <c r="L58" s="260" t="n">
        <v>-5.72</v>
      </c>
    </row>
    <row r="59" hidden="1">
      <c r="A59" s="259" t="inlineStr">
        <is>
          <t>Axis India Manufacturing Fund - Regular Plan</t>
        </is>
      </c>
      <c r="B59" s="261">
        <f>VLOOKUP(A59, '[2]fund-selector'!$A$2:$F$853,6,FALSE)</f>
        <v/>
      </c>
      <c r="C59" s="258" t="n">
        <v>-3.34</v>
      </c>
      <c r="D59" s="260" t="n">
        <v>1.81</v>
      </c>
      <c r="E59" s="259" t="n">
        <v>0</v>
      </c>
      <c r="F59" s="259" t="n">
        <v>0</v>
      </c>
      <c r="G59" s="260" t="n">
        <v>1.81</v>
      </c>
      <c r="H59" s="259" t="n">
        <v>0</v>
      </c>
      <c r="I59" s="259" t="n">
        <v>0</v>
      </c>
      <c r="J59" s="259" t="n">
        <v>0</v>
      </c>
      <c r="K59" s="259" t="n">
        <v>0</v>
      </c>
      <c r="L59" s="259" t="n">
        <v>0</v>
      </c>
    </row>
    <row r="60" hidden="1">
      <c r="A60" s="259" t="inlineStr">
        <is>
          <t>Axis Innovation Fund - Regular Plan</t>
        </is>
      </c>
      <c r="B60" s="261">
        <f>VLOOKUP(A60, '[2]fund-selector'!$A$2:$F$853,6,FALSE)</f>
        <v/>
      </c>
      <c r="C60" s="258" t="n">
        <v>3.26</v>
      </c>
      <c r="D60" s="260" t="n">
        <v>2.25</v>
      </c>
      <c r="E60" s="260" t="n">
        <v>19.41</v>
      </c>
      <c r="F60" s="259" t="n">
        <v>0</v>
      </c>
      <c r="G60" s="260" t="n">
        <v>2.25</v>
      </c>
      <c r="H60" s="260" t="n">
        <v>14.04</v>
      </c>
      <c r="I60" s="260" t="n">
        <v>0.68</v>
      </c>
      <c r="J60" s="260" t="n">
        <v>0.93</v>
      </c>
      <c r="K60" s="260" t="n">
        <v>0.86</v>
      </c>
      <c r="L60" s="260" t="n">
        <v>-0.41</v>
      </c>
    </row>
    <row r="61" hidden="1">
      <c r="A61" s="259" t="inlineStr">
        <is>
          <t>Axis Large Cap Fund - Regular Plan</t>
        </is>
      </c>
      <c r="B61" s="261">
        <f>VLOOKUP(A61, '[2]fund-selector'!$A$2:$F$853,6,FALSE)</f>
        <v/>
      </c>
      <c r="C61" s="258" t="n">
        <v>3.08</v>
      </c>
      <c r="D61" s="260" t="n">
        <v>1.57</v>
      </c>
      <c r="E61" s="260" t="n">
        <v>15.96</v>
      </c>
      <c r="F61" s="260" t="n">
        <v>15.91</v>
      </c>
      <c r="G61" s="260" t="n">
        <v>1.57</v>
      </c>
      <c r="H61" s="260" t="n">
        <v>13.3</v>
      </c>
      <c r="I61" s="260" t="n">
        <v>0.51</v>
      </c>
      <c r="J61" s="260" t="n">
        <v>0.85</v>
      </c>
      <c r="K61" s="260" t="n">
        <v>0.93</v>
      </c>
      <c r="L61" s="260" t="n">
        <v>-2.78</v>
      </c>
    </row>
    <row r="62" hidden="1">
      <c r="A62" s="259" t="inlineStr">
        <is>
          <t>Axis Large &amp; Mid Cap Fund - Regular Plan</t>
        </is>
      </c>
      <c r="B62" s="261">
        <f>VLOOKUP(A62, '[2]fund-selector'!$A$2:$F$853,6,FALSE)</f>
        <v/>
      </c>
      <c r="C62" s="258" t="n">
        <v>3.22</v>
      </c>
      <c r="D62" s="260" t="n">
        <v>1.68</v>
      </c>
      <c r="E62" s="260" t="n">
        <v>22.44</v>
      </c>
      <c r="F62" s="260" t="n">
        <v>23.36</v>
      </c>
      <c r="G62" s="260" t="n">
        <v>1.68</v>
      </c>
      <c r="H62" s="260" t="n">
        <v>14.14</v>
      </c>
      <c r="I62" s="260" t="n">
        <v>0.88</v>
      </c>
      <c r="J62" s="260" t="n">
        <v>1.32</v>
      </c>
      <c r="K62" s="260" t="n">
        <v>0.88</v>
      </c>
      <c r="L62" s="260" t="n">
        <v>2.71</v>
      </c>
    </row>
    <row r="63" hidden="1">
      <c r="A63" s="259" t="inlineStr">
        <is>
          <t>Axis Midcap Fund - Regular Plan</t>
        </is>
      </c>
      <c r="B63" s="261">
        <f>VLOOKUP(A63, '[2]fund-selector'!$A$2:$F$853,6,FALSE)</f>
        <v/>
      </c>
      <c r="C63" s="258" t="n">
        <v>2.3</v>
      </c>
      <c r="D63" s="260" t="n">
        <v>1.57</v>
      </c>
      <c r="E63" s="260" t="n">
        <v>23.64</v>
      </c>
      <c r="F63" s="260" t="n">
        <v>24.2</v>
      </c>
      <c r="G63" s="260" t="n">
        <v>1.57</v>
      </c>
      <c r="H63" s="260" t="n">
        <v>15.55</v>
      </c>
      <c r="I63" s="260" t="n">
        <v>0.88</v>
      </c>
      <c r="J63" s="260" t="n">
        <v>1.23</v>
      </c>
      <c r="K63" s="260" t="n">
        <v>0.85</v>
      </c>
      <c r="L63" s="260" t="n">
        <v>-1.78</v>
      </c>
    </row>
    <row r="64" hidden="1">
      <c r="A64" s="259" t="inlineStr">
        <is>
          <t>Axis Momentum Fund - Regular Plan</t>
        </is>
      </c>
      <c r="B64" s="261">
        <f>VLOOKUP(A64, '[2]fund-selector'!$A$2:$F$853,6,FALSE)</f>
        <v/>
      </c>
      <c r="C64" s="258" t="inlineStr">
        <is>
          <t>--</t>
        </is>
      </c>
      <c r="D64" s="260" t="n">
        <v>2.11</v>
      </c>
      <c r="E64" s="259" t="n">
        <v>0</v>
      </c>
      <c r="F64" s="259" t="n">
        <v>0</v>
      </c>
      <c r="G64" s="260" t="n">
        <v>2.11</v>
      </c>
      <c r="H64" s="259" t="n">
        <v>0</v>
      </c>
      <c r="I64" s="259" t="n">
        <v>0</v>
      </c>
      <c r="J64" s="259" t="n">
        <v>0</v>
      </c>
      <c r="K64" s="259" t="n">
        <v>0</v>
      </c>
      <c r="L64" s="259" t="n">
        <v>0</v>
      </c>
    </row>
    <row r="65" hidden="1">
      <c r="A65" s="259" t="inlineStr">
        <is>
          <t>Axis Multi Asset Allocation Fund - Regular Plan</t>
        </is>
      </c>
      <c r="B65" s="261">
        <f>VLOOKUP(A65, '[2]fund-selector'!$A$2:$F$853,6,FALSE)</f>
        <v/>
      </c>
      <c r="C65" s="258" t="n">
        <v>7.74</v>
      </c>
      <c r="D65" s="260" t="n">
        <v>2.08</v>
      </c>
      <c r="E65" s="260" t="n">
        <v>14.18</v>
      </c>
      <c r="F65" s="260" t="n">
        <v>14.67</v>
      </c>
      <c r="G65" s="260" t="n">
        <v>2.08</v>
      </c>
      <c r="H65" s="260" t="n">
        <v>10</v>
      </c>
      <c r="I65" s="260" t="n">
        <v>0.52</v>
      </c>
      <c r="J65" s="260" t="n">
        <v>0.99</v>
      </c>
      <c r="K65" s="260" t="n">
        <v>0.98</v>
      </c>
      <c r="L65" s="260" t="n">
        <v>-3.51</v>
      </c>
    </row>
    <row r="66" hidden="1">
      <c r="A66" s="259" t="inlineStr">
        <is>
          <t>Axis Multicap Fund - Regular Plan</t>
        </is>
      </c>
      <c r="B66" s="261">
        <f>VLOOKUP(A66, '[2]fund-selector'!$A$2:$F$853,6,FALSE)</f>
        <v/>
      </c>
      <c r="C66" s="258" t="n">
        <v>5.68</v>
      </c>
      <c r="D66" s="260" t="n">
        <v>1.79</v>
      </c>
      <c r="E66" s="260" t="n">
        <v>27.3</v>
      </c>
      <c r="F66" s="259" t="n">
        <v>0</v>
      </c>
      <c r="G66" s="260" t="n">
        <v>1.79</v>
      </c>
      <c r="H66" s="260" t="n">
        <v>14.9</v>
      </c>
      <c r="I66" s="260" t="n">
        <v>1.12</v>
      </c>
      <c r="J66" s="260" t="n">
        <v>1.49</v>
      </c>
      <c r="K66" s="260" t="n">
        <v>0.91</v>
      </c>
      <c r="L66" s="260" t="n">
        <v>3.3</v>
      </c>
    </row>
    <row r="67" hidden="1">
      <c r="A67" s="259" t="inlineStr">
        <is>
          <t>Axis Nifty 100 Index Fund - Regular Plan</t>
        </is>
      </c>
      <c r="B67" s="261">
        <f>VLOOKUP(A67, '[2]fund-selector'!$A$2:$F$853,6,FALSE)</f>
        <v/>
      </c>
      <c r="C67" s="258" t="n">
        <v>3.02</v>
      </c>
      <c r="D67" s="260" t="n">
        <v>0.92</v>
      </c>
      <c r="E67" s="260" t="n">
        <v>17.92</v>
      </c>
      <c r="F67" s="260" t="n">
        <v>19.44</v>
      </c>
      <c r="G67" s="260" t="n">
        <v>0.92</v>
      </c>
      <c r="H67" s="260" t="n">
        <v>13.94</v>
      </c>
      <c r="I67" s="260" t="n">
        <v>0.61</v>
      </c>
      <c r="J67" s="260" t="n">
        <v>1</v>
      </c>
      <c r="K67" s="260" t="n">
        <v>1.01</v>
      </c>
      <c r="L67" s="260" t="n">
        <v>-1.81</v>
      </c>
    </row>
    <row r="68" hidden="1">
      <c r="A68" s="259" t="inlineStr">
        <is>
          <t>Axis Nifty 500 Index Fund - Regular Plan</t>
        </is>
      </c>
      <c r="B68" s="261">
        <f>VLOOKUP(A68, '[2]fund-selector'!$A$2:$F$853,6,FALSE)</f>
        <v/>
      </c>
      <c r="C68" s="258" t="inlineStr">
        <is>
          <t>--</t>
        </is>
      </c>
      <c r="D68" s="260" t="n">
        <v>1</v>
      </c>
      <c r="E68" s="259" t="n">
        <v>0</v>
      </c>
      <c r="F68" s="259" t="n">
        <v>0</v>
      </c>
      <c r="G68" s="260" t="n">
        <v>1</v>
      </c>
      <c r="H68" s="259" t="n">
        <v>0</v>
      </c>
      <c r="I68" s="259" t="n">
        <v>0</v>
      </c>
      <c r="J68" s="259" t="n">
        <v>0</v>
      </c>
      <c r="K68" s="259" t="n">
        <v>0</v>
      </c>
      <c r="L68" s="259" t="n">
        <v>0</v>
      </c>
    </row>
    <row r="69" hidden="1">
      <c r="A69" s="259" t="inlineStr">
        <is>
          <t>Axis Nifty500 Momentum 50 Index Fund - Regular Plan</t>
        </is>
      </c>
      <c r="B69" s="261">
        <f>VLOOKUP(A69, '[2]fund-selector'!$A$2:$F$853,6,FALSE)</f>
        <v/>
      </c>
      <c r="C69" s="258" t="inlineStr">
        <is>
          <t>--</t>
        </is>
      </c>
      <c r="D69" s="260" t="n">
        <v>1.06</v>
      </c>
      <c r="E69" s="259" t="n">
        <v>0</v>
      </c>
      <c r="F69" s="259" t="n">
        <v>0</v>
      </c>
      <c r="G69" s="260" t="n">
        <v>1.06</v>
      </c>
      <c r="H69" s="259" t="n">
        <v>0</v>
      </c>
      <c r="I69" s="259" t="n">
        <v>0</v>
      </c>
      <c r="J69" s="259" t="n">
        <v>0</v>
      </c>
      <c r="K69" s="259" t="n">
        <v>0</v>
      </c>
      <c r="L69" s="259" t="n">
        <v>0</v>
      </c>
    </row>
    <row r="70" hidden="1">
      <c r="A70" s="259" t="inlineStr">
        <is>
          <t>Axis Nifty 50 ETF</t>
        </is>
      </c>
      <c r="B70" s="261">
        <f>VLOOKUP(A70, '[2]fund-selector'!$A$2:$F$853,6,FALSE)</f>
        <v/>
      </c>
      <c r="C70" s="258" t="n">
        <v>6.49</v>
      </c>
      <c r="D70" s="260" t="n">
        <v>0.04</v>
      </c>
      <c r="E70" s="260" t="n">
        <v>18.65</v>
      </c>
      <c r="F70" s="260" t="n">
        <v>20.63</v>
      </c>
      <c r="G70" s="260" t="n">
        <v>0.04</v>
      </c>
      <c r="H70" s="260" t="n">
        <v>13.12</v>
      </c>
      <c r="I70" s="260" t="n">
        <v>0.6899999999999999</v>
      </c>
      <c r="J70" s="260" t="n">
        <v>1.18</v>
      </c>
      <c r="K70" s="260" t="n">
        <v>0.95</v>
      </c>
      <c r="L70" s="260" t="n">
        <v>-0.72</v>
      </c>
    </row>
    <row r="71" hidden="1">
      <c r="A71" s="259" t="inlineStr">
        <is>
          <t>Axis Nifty 50 Index Fund - Regular Plan</t>
        </is>
      </c>
      <c r="B71" s="261">
        <f>VLOOKUP(A71, '[2]fund-selector'!$A$2:$F$853,6,FALSE)</f>
        <v/>
      </c>
      <c r="C71" s="258" t="n">
        <v>6.11</v>
      </c>
      <c r="D71" s="260" t="n">
        <v>0.42</v>
      </c>
      <c r="E71" s="260" t="n">
        <v>18.1</v>
      </c>
      <c r="F71" s="259" t="n">
        <v>0</v>
      </c>
      <c r="G71" s="260" t="n">
        <v>0.42</v>
      </c>
      <c r="H71" s="260" t="n">
        <v>13.08</v>
      </c>
      <c r="I71" s="260" t="n">
        <v>0.65</v>
      </c>
      <c r="J71" s="260" t="n">
        <v>1.12</v>
      </c>
      <c r="K71" s="260" t="n">
        <v>0.9399999999999999</v>
      </c>
      <c r="L71" s="260" t="n">
        <v>-1.15</v>
      </c>
    </row>
    <row r="72" hidden="1">
      <c r="A72" s="259" t="inlineStr">
        <is>
          <t>Axis Nifty Midcap 50 Index Fund - Regular Plan</t>
        </is>
      </c>
      <c r="B72" s="261">
        <f>VLOOKUP(A72, '[2]fund-selector'!$A$2:$F$853,6,FALSE)</f>
        <v/>
      </c>
      <c r="C72" s="258" t="n">
        <v>3.67</v>
      </c>
      <c r="D72" s="260" t="n">
        <v>1.03</v>
      </c>
      <c r="E72" s="260" t="n">
        <v>29.95</v>
      </c>
      <c r="F72" s="259" t="n">
        <v>0</v>
      </c>
      <c r="G72" s="260" t="n">
        <v>1.03</v>
      </c>
      <c r="H72" s="260" t="n">
        <v>17.57</v>
      </c>
      <c r="I72" s="260" t="n">
        <v>1.07</v>
      </c>
      <c r="J72" s="260" t="n">
        <v>1.52</v>
      </c>
      <c r="K72" s="260" t="n">
        <v>1.01</v>
      </c>
      <c r="L72" s="260" t="n">
        <v>0.41</v>
      </c>
    </row>
    <row r="73" hidden="1">
      <c r="A73" s="259" t="inlineStr">
        <is>
          <t>Axis Nifty Next 50 Index Fund - Regular Plan</t>
        </is>
      </c>
      <c r="B73" s="261">
        <f>VLOOKUP(A73, '[2]fund-selector'!$A$2:$F$853,6,FALSE)</f>
        <v/>
      </c>
      <c r="C73" s="258" t="n">
        <v>-8.19</v>
      </c>
      <c r="D73" s="260" t="n">
        <v>1.01</v>
      </c>
      <c r="E73" s="260" t="n">
        <v>22.22</v>
      </c>
      <c r="F73" s="259" t="n">
        <v>0</v>
      </c>
      <c r="G73" s="260" t="n">
        <v>1.01</v>
      </c>
      <c r="H73" s="260" t="n">
        <v>19.43</v>
      </c>
      <c r="I73" s="260" t="n">
        <v>0.6899999999999999</v>
      </c>
      <c r="J73" s="260" t="n">
        <v>1.03</v>
      </c>
      <c r="K73" s="260" t="n">
        <v>1.29</v>
      </c>
      <c r="L73" s="260" t="n">
        <v>0.08</v>
      </c>
    </row>
    <row r="74" hidden="1">
      <c r="A74" s="259" t="inlineStr">
        <is>
          <t>Axis Nifty Smallcap 50 Index Fund - Regular Plan</t>
        </is>
      </c>
      <c r="B74" s="261">
        <f>VLOOKUP(A74, '[2]fund-selector'!$A$2:$F$853,6,FALSE)</f>
        <v/>
      </c>
      <c r="C74" s="258" t="n">
        <v>1.26</v>
      </c>
      <c r="D74" s="260" t="n">
        <v>1.02</v>
      </c>
      <c r="E74" s="260" t="n">
        <v>30.96</v>
      </c>
      <c r="F74" s="259" t="n">
        <v>0</v>
      </c>
      <c r="G74" s="260" t="n">
        <v>1.02</v>
      </c>
      <c r="H74" s="260" t="n">
        <v>20.53</v>
      </c>
      <c r="I74" s="260" t="n">
        <v>0.91</v>
      </c>
      <c r="J74" s="260" t="n">
        <v>1.48</v>
      </c>
      <c r="K74" s="260" t="n">
        <v>1.02</v>
      </c>
      <c r="L74" s="260" t="n">
        <v>0.09</v>
      </c>
    </row>
    <row r="75" hidden="1">
      <c r="A75" s="259" t="inlineStr">
        <is>
          <t>Axis Quant Fund - Regular Plan</t>
        </is>
      </c>
      <c r="B75" s="261">
        <f>VLOOKUP(A75, '[2]fund-selector'!$A$2:$F$853,6,FALSE)</f>
        <v/>
      </c>
      <c r="C75" s="258" t="n">
        <v>-4.5</v>
      </c>
      <c r="D75" s="260" t="n">
        <v>2.22</v>
      </c>
      <c r="E75" s="260" t="n">
        <v>18.28</v>
      </c>
      <c r="F75" s="259" t="n">
        <v>0</v>
      </c>
      <c r="G75" s="260" t="n">
        <v>2.22</v>
      </c>
      <c r="H75" s="260" t="n">
        <v>14.8</v>
      </c>
      <c r="I75" s="260" t="n">
        <v>0.61</v>
      </c>
      <c r="J75" s="260" t="n">
        <v>0.86</v>
      </c>
      <c r="K75" s="260" t="n">
        <v>0.97</v>
      </c>
      <c r="L75" s="260" t="n">
        <v>-2.21</v>
      </c>
    </row>
    <row r="76" hidden="1">
      <c r="A76" s="259" t="inlineStr">
        <is>
          <t>Axis Retirement Fund - Aggressive Plan - Regular Plan</t>
        </is>
      </c>
      <c r="B76" s="261">
        <f>VLOOKUP(A76, '[2]fund-selector'!$A$2:$F$853,6,FALSE)</f>
        <v/>
      </c>
      <c r="C76" s="258" t="n">
        <v>5.77</v>
      </c>
      <c r="D76" s="260" t="n">
        <v>2.29</v>
      </c>
      <c r="E76" s="260" t="n">
        <v>17.48</v>
      </c>
      <c r="F76" s="260" t="n">
        <v>14.75</v>
      </c>
      <c r="G76" s="260" t="n">
        <v>2.29</v>
      </c>
      <c r="H76" s="260" t="n">
        <v>11.85</v>
      </c>
      <c r="I76" s="260" t="n">
        <v>0.74</v>
      </c>
      <c r="J76" s="260" t="n">
        <v>1.16</v>
      </c>
      <c r="K76" s="260" t="n">
        <v>0.93</v>
      </c>
      <c r="L76" s="260" t="n">
        <v>-0.23</v>
      </c>
    </row>
    <row r="77" hidden="1">
      <c r="A77" s="259" t="inlineStr">
        <is>
          <t>Axis Retirement Fund - Conservative Plan - Regular Plan</t>
        </is>
      </c>
      <c r="B77" s="261">
        <f>VLOOKUP(A77, '[2]fund-selector'!$A$2:$F$853,6,FALSE)</f>
        <v/>
      </c>
      <c r="C77" s="258" t="n">
        <v>5.43</v>
      </c>
      <c r="D77" s="260" t="n">
        <v>2.15</v>
      </c>
      <c r="E77" s="260" t="n">
        <v>10.52</v>
      </c>
      <c r="F77" s="260" t="n">
        <v>9.529999999999999</v>
      </c>
      <c r="G77" s="260" t="n">
        <v>2.15</v>
      </c>
      <c r="H77" s="260" t="n">
        <v>6.17</v>
      </c>
      <c r="I77" s="260" t="n">
        <v>0.52</v>
      </c>
      <c r="J77" s="260" t="n">
        <v>0.84</v>
      </c>
      <c r="K77" s="260" t="n">
        <v>1.44</v>
      </c>
      <c r="L77" s="260" t="n">
        <v>-2.1</v>
      </c>
    </row>
    <row r="78" hidden="1">
      <c r="A78" s="259" t="inlineStr">
        <is>
          <t>Axis Retirement Fund - Dynamic Plan - Regular Plan</t>
        </is>
      </c>
      <c r="B78" s="261">
        <f>VLOOKUP(A78, '[2]fund-selector'!$A$2:$F$853,6,FALSE)</f>
        <v/>
      </c>
      <c r="C78" s="258" t="n">
        <v>5.23</v>
      </c>
      <c r="D78" s="260" t="n">
        <v>2.43</v>
      </c>
      <c r="E78" s="260" t="n">
        <v>17.27</v>
      </c>
      <c r="F78" s="260" t="n">
        <v>15.28</v>
      </c>
      <c r="G78" s="260" t="n">
        <v>2.43</v>
      </c>
      <c r="H78" s="260" t="n">
        <v>12.64</v>
      </c>
      <c r="I78" s="260" t="n">
        <v>0.75</v>
      </c>
      <c r="J78" s="260" t="n">
        <v>1.08</v>
      </c>
      <c r="K78" s="260" t="n">
        <v>1.15</v>
      </c>
      <c r="L78" s="260" t="n">
        <v>0.41</v>
      </c>
    </row>
    <row r="79" hidden="1">
      <c r="A79" s="259" t="inlineStr">
        <is>
          <t>Axis Small Cap Fund - Regular Plan</t>
        </is>
      </c>
      <c r="B79" s="261">
        <f>VLOOKUP(A79, '[2]fund-selector'!$A$2:$F$853,6,FALSE)</f>
        <v/>
      </c>
      <c r="C79" s="258" t="n">
        <v>5.09</v>
      </c>
      <c r="D79" s="260" t="n">
        <v>1.6</v>
      </c>
      <c r="E79" s="260" t="n">
        <v>24.05</v>
      </c>
      <c r="F79" s="260" t="n">
        <v>29.96</v>
      </c>
      <c r="G79" s="260" t="n">
        <v>1.6</v>
      </c>
      <c r="H79" s="260" t="n">
        <v>14.41</v>
      </c>
      <c r="I79" s="260" t="n">
        <v>1.01</v>
      </c>
      <c r="J79" s="260" t="n">
        <v>1.36</v>
      </c>
      <c r="K79" s="260" t="n">
        <v>0.71</v>
      </c>
      <c r="L79" s="260" t="n">
        <v>1.64</v>
      </c>
    </row>
    <row r="80" hidden="1">
      <c r="A80" s="259" t="inlineStr">
        <is>
          <t>Bajaj Finserv Arbitrage Fund - Regular Plan</t>
        </is>
      </c>
      <c r="B80" s="261">
        <f>VLOOKUP(A80, '[2]fund-selector'!$A$2:$F$853,6,FALSE)</f>
        <v/>
      </c>
      <c r="C80" s="258" t="n">
        <v>6.4</v>
      </c>
      <c r="D80" s="260" t="n">
        <v>1.03</v>
      </c>
      <c r="E80" s="259" t="n">
        <v>0</v>
      </c>
      <c r="F80" s="259" t="n">
        <v>0</v>
      </c>
      <c r="G80" s="260" t="n">
        <v>1.03</v>
      </c>
      <c r="H80" s="259" t="n">
        <v>0</v>
      </c>
      <c r="I80" s="259" t="n">
        <v>0</v>
      </c>
      <c r="J80" s="259" t="n">
        <v>0</v>
      </c>
      <c r="K80" s="259" t="n">
        <v>0</v>
      </c>
      <c r="L80" s="259" t="n">
        <v>0</v>
      </c>
    </row>
    <row r="81" hidden="1">
      <c r="A81" s="259" t="inlineStr">
        <is>
          <t>Bajaj Finserv Balanced Advantage Fund - Regular Plan</t>
        </is>
      </c>
      <c r="B81" s="261">
        <f>VLOOKUP(A81, '[2]fund-selector'!$A$2:$F$853,6,FALSE)</f>
        <v/>
      </c>
      <c r="C81" s="258" t="n">
        <v>2.36</v>
      </c>
      <c r="D81" s="260" t="n">
        <v>2.05</v>
      </c>
      <c r="E81" s="259" t="n">
        <v>0</v>
      </c>
      <c r="F81" s="259" t="n">
        <v>0</v>
      </c>
      <c r="G81" s="260" t="n">
        <v>2.05</v>
      </c>
      <c r="H81" s="259" t="n">
        <v>0</v>
      </c>
      <c r="I81" s="259" t="n">
        <v>0</v>
      </c>
      <c r="J81" s="259" t="n">
        <v>0</v>
      </c>
      <c r="K81" s="259" t="n">
        <v>0</v>
      </c>
      <c r="L81" s="259" t="n">
        <v>0</v>
      </c>
    </row>
    <row r="82" hidden="1">
      <c r="A82" s="259" t="inlineStr">
        <is>
          <t>Bajaj Finserv Flexi Cap Fund - Regular Plan</t>
        </is>
      </c>
      <c r="B82" s="261">
        <f>VLOOKUP(A82, '[2]fund-selector'!$A$2:$F$853,6,FALSE)</f>
        <v/>
      </c>
      <c r="C82" s="258" t="n">
        <v>5.51</v>
      </c>
      <c r="D82" s="260" t="n">
        <v>1.83</v>
      </c>
      <c r="E82" s="259" t="n">
        <v>0</v>
      </c>
      <c r="F82" s="259" t="n">
        <v>0</v>
      </c>
      <c r="G82" s="260" t="n">
        <v>1.83</v>
      </c>
      <c r="H82" s="259" t="n">
        <v>0</v>
      </c>
      <c r="I82" s="259" t="n">
        <v>0</v>
      </c>
      <c r="J82" s="259" t="n">
        <v>0</v>
      </c>
      <c r="K82" s="259" t="n">
        <v>0</v>
      </c>
      <c r="L82" s="259" t="n">
        <v>0</v>
      </c>
    </row>
    <row r="83" hidden="1">
      <c r="A83" s="259" t="inlineStr">
        <is>
          <t>Bajaj Finserv Large and Mid Cap Fund - Regular Plan</t>
        </is>
      </c>
      <c r="B83" s="261">
        <f>VLOOKUP(A83, '[2]fund-selector'!$A$2:$F$853,6,FALSE)</f>
        <v/>
      </c>
      <c r="C83" s="258" t="n">
        <v>3.69</v>
      </c>
      <c r="D83" s="260" t="n">
        <v>2.02</v>
      </c>
      <c r="E83" s="259" t="n">
        <v>0</v>
      </c>
      <c r="F83" s="259" t="n">
        <v>0</v>
      </c>
      <c r="G83" s="260" t="n">
        <v>2.02</v>
      </c>
      <c r="H83" s="259" t="n">
        <v>0</v>
      </c>
      <c r="I83" s="259" t="n">
        <v>0</v>
      </c>
      <c r="J83" s="259" t="n">
        <v>0</v>
      </c>
      <c r="K83" s="259" t="n">
        <v>0</v>
      </c>
      <c r="L83" s="259" t="n">
        <v>0</v>
      </c>
    </row>
    <row r="84" hidden="1">
      <c r="A84" s="259" t="inlineStr">
        <is>
          <t>Bajaj Finserv Large Cap Fund - Regular Plan</t>
        </is>
      </c>
      <c r="B84" s="261">
        <f>VLOOKUP(A84, '[2]fund-selector'!$A$2:$F$853,6,FALSE)</f>
        <v/>
      </c>
      <c r="C84" s="258" t="inlineStr">
        <is>
          <t>--</t>
        </is>
      </c>
      <c r="D84" s="260" t="n">
        <v>2.07</v>
      </c>
      <c r="E84" s="259" t="n">
        <v>0</v>
      </c>
      <c r="F84" s="259" t="n">
        <v>0</v>
      </c>
      <c r="G84" s="260" t="n">
        <v>2.07</v>
      </c>
      <c r="H84" s="259" t="n">
        <v>0</v>
      </c>
      <c r="I84" s="259" t="n">
        <v>0</v>
      </c>
      <c r="J84" s="259" t="n">
        <v>0</v>
      </c>
      <c r="K84" s="259" t="n">
        <v>0</v>
      </c>
      <c r="L84" s="259" t="n">
        <v>0</v>
      </c>
    </row>
    <row r="85" hidden="1">
      <c r="A85" s="259" t="inlineStr">
        <is>
          <t>Bajaj Finserv Multi Asset Allocation Fund - Regular Plan</t>
        </is>
      </c>
      <c r="B85" s="261">
        <f>VLOOKUP(A85, '[2]fund-selector'!$A$2:$F$853,6,FALSE)</f>
        <v/>
      </c>
      <c r="C85" s="258" t="n">
        <v>5.84</v>
      </c>
      <c r="D85" s="260" t="n">
        <v>2.03</v>
      </c>
      <c r="E85" s="259" t="n">
        <v>0</v>
      </c>
      <c r="F85" s="259" t="n">
        <v>0</v>
      </c>
      <c r="G85" s="260" t="n">
        <v>2.03</v>
      </c>
      <c r="H85" s="259" t="n">
        <v>0</v>
      </c>
      <c r="I85" s="259" t="n">
        <v>0</v>
      </c>
      <c r="J85" s="259" t="n">
        <v>0</v>
      </c>
      <c r="K85" s="259" t="n">
        <v>0</v>
      </c>
      <c r="L85" s="259" t="n">
        <v>0</v>
      </c>
    </row>
    <row r="86" hidden="1">
      <c r="A86" s="259" t="inlineStr">
        <is>
          <t>Bajaj Finserv Multi Cap Fund - Regular Plan</t>
        </is>
      </c>
      <c r="B86" s="261">
        <f>VLOOKUP(A86, '[2]fund-selector'!$A$2:$F$853,6,FALSE)</f>
        <v/>
      </c>
      <c r="C86" s="258" t="inlineStr">
        <is>
          <t>--</t>
        </is>
      </c>
      <c r="D86" s="260" t="n">
        <v>2.3</v>
      </c>
      <c r="E86" s="259" t="n">
        <v>0</v>
      </c>
      <c r="F86" s="259" t="n">
        <v>0</v>
      </c>
      <c r="G86" s="260" t="n">
        <v>2.3</v>
      </c>
      <c r="H86" s="259" t="n">
        <v>0</v>
      </c>
      <c r="I86" s="259" t="n">
        <v>0</v>
      </c>
      <c r="J86" s="259" t="n">
        <v>0</v>
      </c>
      <c r="K86" s="259" t="n">
        <v>0</v>
      </c>
      <c r="L86" s="259" t="n">
        <v>0</v>
      </c>
    </row>
    <row r="87" hidden="1">
      <c r="A87" s="259" t="inlineStr">
        <is>
          <t>Bajaj Finserv Nifty 50 ETF</t>
        </is>
      </c>
      <c r="B87" s="261">
        <f>VLOOKUP(A87, '[2]fund-selector'!$A$2:$F$853,6,FALSE)</f>
        <v/>
      </c>
      <c r="C87" s="258" t="n">
        <v>6.47</v>
      </c>
      <c r="D87" s="260" t="n">
        <v>0.07000000000000001</v>
      </c>
      <c r="E87" s="259" t="n">
        <v>0</v>
      </c>
      <c r="F87" s="259" t="n">
        <v>0</v>
      </c>
      <c r="G87" s="260" t="n">
        <v>0.07000000000000001</v>
      </c>
      <c r="H87" s="259" t="n">
        <v>0</v>
      </c>
      <c r="I87" s="259" t="n">
        <v>0</v>
      </c>
      <c r="J87" s="259" t="n">
        <v>0</v>
      </c>
      <c r="K87" s="259" t="n">
        <v>0</v>
      </c>
      <c r="L87" s="259" t="n">
        <v>0</v>
      </c>
    </row>
    <row r="88" hidden="1">
      <c r="A88" s="259" t="inlineStr">
        <is>
          <t>Bajaj Finserv Nifty 50 Index Fund - Regular Plan</t>
        </is>
      </c>
      <c r="B88" s="261">
        <f>VLOOKUP(A88, '[2]fund-selector'!$A$2:$F$853,6,FALSE)</f>
        <v/>
      </c>
      <c r="C88" s="258" t="inlineStr">
        <is>
          <t>--</t>
        </is>
      </c>
      <c r="D88" s="260" t="n">
        <v>0.9</v>
      </c>
      <c r="E88" s="259" t="n">
        <v>0</v>
      </c>
      <c r="F88" s="259" t="n">
        <v>0</v>
      </c>
      <c r="G88" s="260" t="n">
        <v>0.9</v>
      </c>
      <c r="H88" s="259" t="n">
        <v>0</v>
      </c>
      <c r="I88" s="259" t="n">
        <v>0</v>
      </c>
      <c r="J88" s="259" t="n">
        <v>0</v>
      </c>
      <c r="K88" s="259" t="n">
        <v>0</v>
      </c>
      <c r="L88" s="259" t="n">
        <v>0</v>
      </c>
    </row>
    <row r="89" hidden="1">
      <c r="A89" s="259" t="inlineStr">
        <is>
          <t>Bajaj Finserv Nifty Next 50 Index Fund - Regular Plan</t>
        </is>
      </c>
      <c r="B89" s="261">
        <f>VLOOKUP(A89, '[2]fund-selector'!$A$2:$F$853,6,FALSE)</f>
        <v/>
      </c>
      <c r="C89" s="258" t="inlineStr">
        <is>
          <t>--</t>
        </is>
      </c>
      <c r="D89" s="260" t="n">
        <v>0.95</v>
      </c>
      <c r="E89" s="259" t="n">
        <v>0</v>
      </c>
      <c r="F89" s="259" t="n">
        <v>0</v>
      </c>
      <c r="G89" s="260" t="n">
        <v>0.95</v>
      </c>
      <c r="H89" s="259" t="n">
        <v>0</v>
      </c>
      <c r="I89" s="259" t="n">
        <v>0</v>
      </c>
      <c r="J89" s="259" t="n">
        <v>0</v>
      </c>
      <c r="K89" s="259" t="n">
        <v>0</v>
      </c>
      <c r="L89" s="259" t="n">
        <v>0</v>
      </c>
    </row>
    <row r="90" hidden="1">
      <c r="A90" s="259" t="inlineStr">
        <is>
          <t>Bajaj Finserv Small Cap Fund - Regular Plan</t>
        </is>
      </c>
      <c r="B90" s="261">
        <f>VLOOKUP(A90, '[2]fund-selector'!$A$2:$F$853,6,FALSE)</f>
        <v/>
      </c>
      <c r="C90" s="258" t="inlineStr">
        <is>
          <t>--</t>
        </is>
      </c>
      <c r="D90" s="259" t="n">
        <v>0</v>
      </c>
      <c r="E90" s="259" t="n">
        <v>0</v>
      </c>
      <c r="F90" s="259" t="n">
        <v>0</v>
      </c>
      <c r="G90" s="259" t="n">
        <v>0</v>
      </c>
      <c r="H90" s="259" t="n">
        <v>0</v>
      </c>
      <c r="I90" s="259" t="n">
        <v>0</v>
      </c>
      <c r="J90" s="259" t="n">
        <v>0</v>
      </c>
      <c r="K90" s="259" t="n">
        <v>0</v>
      </c>
      <c r="L90" s="259" t="n">
        <v>0</v>
      </c>
    </row>
    <row r="91" hidden="1">
      <c r="A91" s="259" t="inlineStr">
        <is>
          <t>Bandhan Aggressive Hybrid Fund - Regular Plan</t>
        </is>
      </c>
      <c r="B91" s="261">
        <f>VLOOKUP(A91, '[2]fund-selector'!$A$2:$F$853,6,FALSE)</f>
        <v/>
      </c>
      <c r="C91" s="258" t="n">
        <v>10.72</v>
      </c>
      <c r="D91" s="260" t="n">
        <v>2.29</v>
      </c>
      <c r="E91" s="260" t="n">
        <v>18.48</v>
      </c>
      <c r="F91" s="260" t="n">
        <v>19.91</v>
      </c>
      <c r="G91" s="260" t="n">
        <v>2.29</v>
      </c>
      <c r="H91" s="260" t="n">
        <v>11.65</v>
      </c>
      <c r="I91" s="260" t="n">
        <v>0.79</v>
      </c>
      <c r="J91" s="260" t="n">
        <v>1.1</v>
      </c>
      <c r="K91" s="260" t="n">
        <v>0.91</v>
      </c>
      <c r="L91" s="260" t="n">
        <v>0.42</v>
      </c>
    </row>
    <row r="92" hidden="1">
      <c r="A92" s="259" t="inlineStr">
        <is>
          <t>Bandhan Arbitrage Fund - Regular Plan</t>
        </is>
      </c>
      <c r="B92" s="261">
        <f>VLOOKUP(A92, '[2]fund-selector'!$A$2:$F$853,6,FALSE)</f>
        <v/>
      </c>
      <c r="C92" s="258" t="n">
        <v>6.93</v>
      </c>
      <c r="D92" s="260" t="n">
        <v>1.08</v>
      </c>
      <c r="E92" s="260" t="n">
        <v>6.83</v>
      </c>
      <c r="F92" s="260" t="n">
        <v>5.42</v>
      </c>
      <c r="G92" s="260" t="n">
        <v>1.08</v>
      </c>
      <c r="H92" s="260" t="n">
        <v>0.53</v>
      </c>
      <c r="I92" s="260" t="n">
        <v>0.43</v>
      </c>
      <c r="J92" s="260" t="n">
        <v>0.46</v>
      </c>
      <c r="K92" s="260" t="n">
        <v>0.64</v>
      </c>
      <c r="L92" s="260" t="n">
        <v>1.45</v>
      </c>
    </row>
    <row r="93" hidden="1">
      <c r="A93" s="259" t="inlineStr">
        <is>
          <t>Bandhan Asset Allocation Fund - Aggressive Plan - Regular Plan</t>
        </is>
      </c>
      <c r="B93" s="261">
        <f>VLOOKUP(A93, '[2]fund-selector'!$A$2:$F$853,6,FALSE)</f>
        <v/>
      </c>
      <c r="C93" s="258" t="n">
        <v>5.58</v>
      </c>
      <c r="D93" s="260" t="n">
        <v>1.22</v>
      </c>
      <c r="E93" s="260" t="n">
        <v>16.84</v>
      </c>
      <c r="F93" s="260" t="n">
        <v>16.33</v>
      </c>
      <c r="G93" s="260" t="n">
        <v>1.22</v>
      </c>
      <c r="H93" s="260" t="n">
        <v>9.48</v>
      </c>
      <c r="I93" s="260" t="n">
        <v>0.85</v>
      </c>
      <c r="J93" s="260" t="n">
        <v>1.35</v>
      </c>
      <c r="K93" s="260" t="n">
        <v>0.77</v>
      </c>
      <c r="L93" s="260" t="n">
        <v>0.63</v>
      </c>
    </row>
    <row r="94" hidden="1">
      <c r="A94" s="259" t="inlineStr">
        <is>
          <t>Bandhan Asset Allocation Fund - Conservative Plan - Regular Plan</t>
        </is>
      </c>
      <c r="B94" s="261">
        <f>VLOOKUP(A94, '[2]fund-selector'!$A$2:$F$853,6,FALSE)</f>
        <v/>
      </c>
      <c r="C94" s="258" t="n">
        <v>7.04</v>
      </c>
      <c r="D94" s="260" t="n">
        <v>0.76</v>
      </c>
      <c r="E94" s="260" t="n">
        <v>10.03</v>
      </c>
      <c r="F94" s="260" t="n">
        <v>8.369999999999999</v>
      </c>
      <c r="G94" s="260" t="n">
        <v>0.76</v>
      </c>
      <c r="H94" s="260" t="n">
        <v>3.63</v>
      </c>
      <c r="I94" s="260" t="n">
        <v>0.74</v>
      </c>
      <c r="J94" s="260" t="n">
        <v>1.26</v>
      </c>
      <c r="K94" s="260" t="n">
        <v>0.88</v>
      </c>
      <c r="L94" s="260" t="n">
        <v>-0.55</v>
      </c>
    </row>
    <row r="95" hidden="1">
      <c r="A95" s="259" t="inlineStr">
        <is>
          <t>Bandhan Asset Allocation Fund - Moderate Plan - Regular Plan</t>
        </is>
      </c>
      <c r="B95" s="261">
        <f>VLOOKUP(A95, '[2]fund-selector'!$A$2:$F$853,6,FALSE)</f>
        <v/>
      </c>
      <c r="C95" s="258" t="n">
        <v>6.54</v>
      </c>
      <c r="D95" s="260" t="n">
        <v>1.03</v>
      </c>
      <c r="E95" s="260" t="n">
        <v>13.78</v>
      </c>
      <c r="F95" s="260" t="n">
        <v>12.35</v>
      </c>
      <c r="G95" s="260" t="n">
        <v>1.03</v>
      </c>
      <c r="H95" s="260" t="n">
        <v>6.81</v>
      </c>
      <c r="I95" s="260" t="n">
        <v>0.84</v>
      </c>
      <c r="J95" s="260" t="n">
        <v>1.28</v>
      </c>
      <c r="K95" s="260" t="n">
        <v>0.68</v>
      </c>
      <c r="L95" s="260" t="n">
        <v>0.3</v>
      </c>
    </row>
    <row r="96" hidden="1">
      <c r="A96" s="259" t="inlineStr">
        <is>
          <t>Bandhan Balanced Advantage Fund - Regular Plan</t>
        </is>
      </c>
      <c r="B96" s="261">
        <f>VLOOKUP(A96, '[2]fund-selector'!$A$2:$F$853,6,FALSE)</f>
        <v/>
      </c>
      <c r="C96" s="258" t="n">
        <v>5.74</v>
      </c>
      <c r="D96" s="260" t="n">
        <v>2.02</v>
      </c>
      <c r="E96" s="260" t="n">
        <v>13.45</v>
      </c>
      <c r="F96" s="260" t="n">
        <v>11.63</v>
      </c>
      <c r="G96" s="260" t="n">
        <v>2.02</v>
      </c>
      <c r="H96" s="260" t="n">
        <v>7.5</v>
      </c>
      <c r="I96" s="260" t="n">
        <v>0.6899999999999999</v>
      </c>
      <c r="J96" s="260" t="n">
        <v>0.99</v>
      </c>
      <c r="K96" s="260" t="n">
        <v>0.6899999999999999</v>
      </c>
      <c r="L96" s="260" t="n">
        <v>-0.25</v>
      </c>
    </row>
    <row r="97" hidden="1">
      <c r="A97" s="259" t="inlineStr">
        <is>
          <t>Bandhan BSE Sensex ETF</t>
        </is>
      </c>
      <c r="B97" s="261">
        <f>VLOOKUP(A97, '[2]fund-selector'!$A$2:$F$853,6,FALSE)</f>
        <v/>
      </c>
      <c r="C97" s="258" t="n">
        <v>5.93</v>
      </c>
      <c r="D97" s="260" t="n">
        <v>0.38</v>
      </c>
      <c r="E97" s="260" t="n">
        <v>17.44</v>
      </c>
      <c r="F97" s="260" t="n">
        <v>19.37</v>
      </c>
      <c r="G97" s="260" t="n">
        <v>0.38</v>
      </c>
      <c r="H97" s="260" t="n">
        <v>12.69</v>
      </c>
      <c r="I97" s="260" t="n">
        <v>0.64</v>
      </c>
      <c r="J97" s="260" t="n">
        <v>1.06</v>
      </c>
      <c r="K97" s="260" t="n">
        <v>0.91</v>
      </c>
      <c r="L97" s="260" t="n">
        <v>-1.29</v>
      </c>
    </row>
    <row r="98" hidden="1">
      <c r="A98" s="259" t="inlineStr">
        <is>
          <t>Bandhan Business Cycle Fund - Regular Plan</t>
        </is>
      </c>
      <c r="B98" s="261">
        <f>VLOOKUP(A98, '[2]fund-selector'!$A$2:$F$853,6,FALSE)</f>
        <v/>
      </c>
      <c r="C98" s="258" t="inlineStr">
        <is>
          <t>--</t>
        </is>
      </c>
      <c r="D98" s="260" t="n">
        <v>2.05</v>
      </c>
      <c r="E98" s="259" t="n">
        <v>0</v>
      </c>
      <c r="F98" s="259" t="n">
        <v>0</v>
      </c>
      <c r="G98" s="260" t="n">
        <v>2.05</v>
      </c>
      <c r="H98" s="259" t="n">
        <v>0</v>
      </c>
      <c r="I98" s="259" t="n">
        <v>0</v>
      </c>
      <c r="J98" s="259" t="n">
        <v>0</v>
      </c>
      <c r="K98" s="259" t="n">
        <v>0</v>
      </c>
      <c r="L98" s="259" t="n">
        <v>0</v>
      </c>
    </row>
    <row r="99" hidden="1">
      <c r="A99" s="259" t="inlineStr">
        <is>
          <t>Bandhan Conservative Hybrid Fund - Regular Plan</t>
        </is>
      </c>
      <c r="B99" s="261">
        <f>VLOOKUP(A99, '[2]fund-selector'!$A$2:$F$853,6,FALSE)</f>
        <v/>
      </c>
      <c r="C99" s="258" t="n">
        <v>5.82</v>
      </c>
      <c r="D99" s="260" t="n">
        <v>2.01</v>
      </c>
      <c r="E99" s="260" t="n">
        <v>8.460000000000001</v>
      </c>
      <c r="F99" s="260" t="n">
        <v>7.15</v>
      </c>
      <c r="G99" s="260" t="n">
        <v>2.01</v>
      </c>
      <c r="H99" s="260" t="n">
        <v>3.89</v>
      </c>
      <c r="I99" s="260" t="n">
        <v>0.42</v>
      </c>
      <c r="J99" s="260" t="n">
        <v>0.66</v>
      </c>
      <c r="K99" s="260" t="n">
        <v>0.9399999999999999</v>
      </c>
      <c r="L99" s="260" t="n">
        <v>-1.8</v>
      </c>
    </row>
    <row r="100" hidden="1">
      <c r="A100" s="259" t="inlineStr">
        <is>
          <t>Bandhan Flexi Cap Fund - Regular Plan</t>
        </is>
      </c>
      <c r="B100" s="261">
        <f>VLOOKUP(A100, '[2]fund-selector'!$A$2:$F$853,6,FALSE)</f>
        <v/>
      </c>
      <c r="C100" s="258" t="n">
        <v>5.18</v>
      </c>
      <c r="D100" s="260" t="n">
        <v>1.86</v>
      </c>
      <c r="E100" s="260" t="n">
        <v>21.04</v>
      </c>
      <c r="F100" s="260" t="n">
        <v>20.93</v>
      </c>
      <c r="G100" s="260" t="n">
        <v>1.86</v>
      </c>
      <c r="H100" s="260" t="n">
        <v>13.24</v>
      </c>
      <c r="I100" s="260" t="n">
        <v>0.82</v>
      </c>
      <c r="J100" s="260" t="n">
        <v>1.33</v>
      </c>
      <c r="K100" s="260" t="n">
        <v>0.88</v>
      </c>
      <c r="L100" s="260" t="n">
        <v>0.73</v>
      </c>
    </row>
    <row r="101" hidden="1">
      <c r="A101" s="259" t="inlineStr">
        <is>
          <t>Bandhan Focused Fund - Regular Plan</t>
        </is>
      </c>
      <c r="B101" s="261">
        <f>VLOOKUP(A101, '[2]fund-selector'!$A$2:$F$853,6,FALSE)</f>
        <v/>
      </c>
      <c r="C101" s="258" t="n">
        <v>8.43</v>
      </c>
      <c r="D101" s="260" t="n">
        <v>2.09</v>
      </c>
      <c r="E101" s="260" t="n">
        <v>22.95</v>
      </c>
      <c r="F101" s="260" t="n">
        <v>20.4</v>
      </c>
      <c r="G101" s="260" t="n">
        <v>2.09</v>
      </c>
      <c r="H101" s="260" t="n">
        <v>14.89</v>
      </c>
      <c r="I101" s="260" t="n">
        <v>0.87</v>
      </c>
      <c r="J101" s="260" t="n">
        <v>1.27</v>
      </c>
      <c r="K101" s="260" t="n">
        <v>0.9</v>
      </c>
      <c r="L101" s="260" t="n">
        <v>2.48</v>
      </c>
    </row>
    <row r="102" hidden="1">
      <c r="A102" s="259" t="inlineStr">
        <is>
          <t>Bandhan Innovation Fund - Regular Plan</t>
        </is>
      </c>
      <c r="B102" s="261">
        <f>VLOOKUP(A102, '[2]fund-selector'!$A$2:$F$853,6,FALSE)</f>
        <v/>
      </c>
      <c r="C102" s="258" t="n">
        <v>14.38</v>
      </c>
      <c r="D102" s="260" t="n">
        <v>2.08</v>
      </c>
      <c r="E102" s="259" t="n">
        <v>0</v>
      </c>
      <c r="F102" s="259" t="n">
        <v>0</v>
      </c>
      <c r="G102" s="260" t="n">
        <v>2.08</v>
      </c>
      <c r="H102" s="259" t="n">
        <v>0</v>
      </c>
      <c r="I102" s="259" t="n">
        <v>0</v>
      </c>
      <c r="J102" s="259" t="n">
        <v>0</v>
      </c>
      <c r="K102" s="259" t="n">
        <v>0</v>
      </c>
      <c r="L102" s="259" t="n">
        <v>0</v>
      </c>
    </row>
    <row r="103" hidden="1">
      <c r="A103" s="259" t="inlineStr">
        <is>
          <t>Bandhan Large Cap Fund - Regular Plan</t>
        </is>
      </c>
      <c r="B103" s="261">
        <f>VLOOKUP(A103, '[2]fund-selector'!$A$2:$F$853,6,FALSE)</f>
        <v/>
      </c>
      <c r="C103" s="258" t="n">
        <v>4.57</v>
      </c>
      <c r="D103" s="260" t="n">
        <v>2.04</v>
      </c>
      <c r="E103" s="260" t="n">
        <v>21.02</v>
      </c>
      <c r="F103" s="260" t="n">
        <v>20.01</v>
      </c>
      <c r="G103" s="260" t="n">
        <v>2.04</v>
      </c>
      <c r="H103" s="260" t="n">
        <v>14.13</v>
      </c>
      <c r="I103" s="260" t="n">
        <v>0.79</v>
      </c>
      <c r="J103" s="260" t="n">
        <v>1.32</v>
      </c>
      <c r="K103" s="260" t="n">
        <v>1</v>
      </c>
      <c r="L103" s="260" t="n">
        <v>0.9399999999999999</v>
      </c>
    </row>
    <row r="104" hidden="1">
      <c r="A104" s="259" t="inlineStr">
        <is>
          <t>Bandhan Large &amp; Mid Cap Fund - Regular Plan</t>
        </is>
      </c>
      <c r="B104" s="261">
        <f>VLOOKUP(A104, '[2]fund-selector'!$A$2:$F$853,6,FALSE)</f>
        <v/>
      </c>
      <c r="C104" s="258" t="n">
        <v>5.59</v>
      </c>
      <c r="D104" s="260" t="n">
        <v>1.74</v>
      </c>
      <c r="E104" s="260" t="n">
        <v>29.24</v>
      </c>
      <c r="F104" s="260" t="n">
        <v>27.93</v>
      </c>
      <c r="G104" s="260" t="n">
        <v>1.74</v>
      </c>
      <c r="H104" s="260" t="n">
        <v>14.42</v>
      </c>
      <c r="I104" s="260" t="n">
        <v>1.26</v>
      </c>
      <c r="J104" s="260" t="n">
        <v>1.82</v>
      </c>
      <c r="K104" s="260" t="n">
        <v>0.95</v>
      </c>
      <c r="L104" s="260" t="n">
        <v>7.63</v>
      </c>
    </row>
    <row r="105" hidden="1">
      <c r="A105" s="259" t="inlineStr">
        <is>
          <t>Bandhan Midcap Fund - Regular Plan</t>
        </is>
      </c>
      <c r="B105" s="261">
        <f>VLOOKUP(A105, '[2]fund-selector'!$A$2:$F$853,6,FALSE)</f>
        <v/>
      </c>
      <c r="C105" s="258" t="n">
        <v>1.4</v>
      </c>
      <c r="D105" s="260" t="n">
        <v>2.07</v>
      </c>
      <c r="E105" s="259" t="n">
        <v>0</v>
      </c>
      <c r="F105" s="259" t="n">
        <v>0</v>
      </c>
      <c r="G105" s="260" t="n">
        <v>2.07</v>
      </c>
      <c r="H105" s="259" t="n">
        <v>0</v>
      </c>
      <c r="I105" s="259" t="n">
        <v>0</v>
      </c>
      <c r="J105" s="259" t="n">
        <v>0</v>
      </c>
      <c r="K105" s="259" t="n">
        <v>0</v>
      </c>
      <c r="L105" s="259" t="n">
        <v>0</v>
      </c>
    </row>
    <row r="106" hidden="1">
      <c r="A106" s="259" t="inlineStr">
        <is>
          <t>Bandhan Multi Asset Allocation Fund - Regular Plan</t>
        </is>
      </c>
      <c r="B106" s="261">
        <f>VLOOKUP(A106, '[2]fund-selector'!$A$2:$F$853,6,FALSE)</f>
        <v/>
      </c>
      <c r="C106" s="258" t="n">
        <v>8.65</v>
      </c>
      <c r="D106" s="260" t="n">
        <v>1.98</v>
      </c>
      <c r="E106" s="259" t="n">
        <v>0</v>
      </c>
      <c r="F106" s="259" t="n">
        <v>0</v>
      </c>
      <c r="G106" s="260" t="n">
        <v>1.98</v>
      </c>
      <c r="H106" s="259" t="n">
        <v>0</v>
      </c>
      <c r="I106" s="259" t="n">
        <v>0</v>
      </c>
      <c r="J106" s="259" t="n">
        <v>0</v>
      </c>
      <c r="K106" s="259" t="n">
        <v>0</v>
      </c>
      <c r="L106" s="259" t="n">
        <v>0</v>
      </c>
    </row>
    <row r="107" hidden="1">
      <c r="A107" s="259" t="inlineStr">
        <is>
          <t>Bandhan Multi Cap Fund - Regular Plan</t>
        </is>
      </c>
      <c r="B107" s="261">
        <f>VLOOKUP(A107, '[2]fund-selector'!$A$2:$F$853,6,FALSE)</f>
        <v/>
      </c>
      <c r="C107" s="258" t="n">
        <v>2.79</v>
      </c>
      <c r="D107" s="260" t="n">
        <v>1.95</v>
      </c>
      <c r="E107" s="260" t="n">
        <v>23.92</v>
      </c>
      <c r="F107" s="259" t="n">
        <v>0</v>
      </c>
      <c r="G107" s="260" t="n">
        <v>1.95</v>
      </c>
      <c r="H107" s="260" t="n">
        <v>13.66</v>
      </c>
      <c r="I107" s="260" t="n">
        <v>0.99</v>
      </c>
      <c r="J107" s="260" t="n">
        <v>1.49</v>
      </c>
      <c r="K107" s="260" t="n">
        <v>0.86</v>
      </c>
      <c r="L107" s="260" t="n">
        <v>1.05</v>
      </c>
    </row>
    <row r="108" hidden="1">
      <c r="A108" s="259" t="inlineStr">
        <is>
          <t>Bandhan Nifty 100 Index Fund - Regular Plan</t>
        </is>
      </c>
      <c r="B108" s="261">
        <f>VLOOKUP(A108, '[2]fund-selector'!$A$2:$F$853,6,FALSE)</f>
        <v/>
      </c>
      <c r="C108" s="258" t="n">
        <v>3.26</v>
      </c>
      <c r="D108" s="260" t="n">
        <v>0.61</v>
      </c>
      <c r="E108" s="260" t="n">
        <v>18.25</v>
      </c>
      <c r="F108" s="259" t="n">
        <v>0</v>
      </c>
      <c r="G108" s="260" t="n">
        <v>0.61</v>
      </c>
      <c r="H108" s="260" t="n">
        <v>13.96</v>
      </c>
      <c r="I108" s="260" t="n">
        <v>0.63</v>
      </c>
      <c r="J108" s="260" t="n">
        <v>1.03</v>
      </c>
      <c r="K108" s="260" t="n">
        <v>1.01</v>
      </c>
      <c r="L108" s="260" t="n">
        <v>-1.55</v>
      </c>
    </row>
    <row r="109" hidden="1">
      <c r="A109" s="259" t="inlineStr">
        <is>
          <t>Bandhan Nifty100 Low Volatility 30 Index Fund - Regular Plan</t>
        </is>
      </c>
      <c r="B109" s="261">
        <f>VLOOKUP(A109, '[2]fund-selector'!$A$2:$F$853,6,FALSE)</f>
        <v/>
      </c>
      <c r="C109" s="258" t="n">
        <v>4.58</v>
      </c>
      <c r="D109" s="260" t="n">
        <v>1.04</v>
      </c>
      <c r="E109" s="259" t="n">
        <v>0</v>
      </c>
      <c r="F109" s="259" t="n">
        <v>0</v>
      </c>
      <c r="G109" s="260" t="n">
        <v>1.04</v>
      </c>
      <c r="H109" s="259" t="n">
        <v>0</v>
      </c>
      <c r="I109" s="259" t="n">
        <v>0</v>
      </c>
      <c r="J109" s="259" t="n">
        <v>0</v>
      </c>
      <c r="K109" s="259" t="n">
        <v>0</v>
      </c>
      <c r="L109" s="259" t="n">
        <v>0</v>
      </c>
    </row>
    <row r="110" hidden="1">
      <c r="A110" s="259" t="inlineStr">
        <is>
          <t>Bandhan Nifty200 Momentum 30 Index Fund - Regular Plan</t>
        </is>
      </c>
      <c r="B110" s="261">
        <f>VLOOKUP(A110, '[2]fund-selector'!$A$2:$F$853,6,FALSE)</f>
        <v/>
      </c>
      <c r="C110" s="258" t="n">
        <v>-13.72</v>
      </c>
      <c r="D110" s="260" t="n">
        <v>1.07</v>
      </c>
      <c r="E110" s="259" t="n">
        <v>0</v>
      </c>
      <c r="F110" s="259" t="n">
        <v>0</v>
      </c>
      <c r="G110" s="260" t="n">
        <v>1.07</v>
      </c>
      <c r="H110" s="259" t="n">
        <v>0</v>
      </c>
      <c r="I110" s="259" t="n">
        <v>0</v>
      </c>
      <c r="J110" s="259" t="n">
        <v>0</v>
      </c>
      <c r="K110" s="259" t="n">
        <v>0</v>
      </c>
      <c r="L110" s="259" t="n">
        <v>0</v>
      </c>
    </row>
    <row r="111" hidden="1">
      <c r="A111" s="259" t="inlineStr">
        <is>
          <t>Bandhan Nifty 200 Quality 30 Index Fund - Regular Plan</t>
        </is>
      </c>
      <c r="B111" s="261">
        <f>VLOOKUP(A111, '[2]fund-selector'!$A$2:$F$853,6,FALSE)</f>
        <v/>
      </c>
      <c r="C111" s="258" t="inlineStr">
        <is>
          <t>--</t>
        </is>
      </c>
      <c r="D111" s="260" t="n">
        <v>0.98</v>
      </c>
      <c r="E111" s="259" t="n">
        <v>0</v>
      </c>
      <c r="F111" s="259" t="n">
        <v>0</v>
      </c>
      <c r="G111" s="260" t="n">
        <v>0.98</v>
      </c>
      <c r="H111" s="259" t="n">
        <v>0</v>
      </c>
      <c r="I111" s="259" t="n">
        <v>0</v>
      </c>
      <c r="J111" s="259" t="n">
        <v>0</v>
      </c>
      <c r="K111" s="259" t="n">
        <v>0</v>
      </c>
      <c r="L111" s="259" t="n">
        <v>0</v>
      </c>
    </row>
    <row r="112" hidden="1">
      <c r="A112" s="259" t="inlineStr">
        <is>
          <t>Bandhan Nifty 500 Momentum 50 Index Fund - Regular Plan</t>
        </is>
      </c>
      <c r="B112" s="261">
        <f>VLOOKUP(A112, '[2]fund-selector'!$A$2:$F$853,6,FALSE)</f>
        <v/>
      </c>
      <c r="C112" s="258" t="inlineStr">
        <is>
          <t>--</t>
        </is>
      </c>
      <c r="D112" s="260" t="n">
        <v>1.01</v>
      </c>
      <c r="E112" s="259" t="n">
        <v>0</v>
      </c>
      <c r="F112" s="259" t="n">
        <v>0</v>
      </c>
      <c r="G112" s="260" t="n">
        <v>1.01</v>
      </c>
      <c r="H112" s="259" t="n">
        <v>0</v>
      </c>
      <c r="I112" s="259" t="n">
        <v>0</v>
      </c>
      <c r="J112" s="259" t="n">
        <v>0</v>
      </c>
      <c r="K112" s="259" t="n">
        <v>0</v>
      </c>
      <c r="L112" s="259" t="n">
        <v>0</v>
      </c>
    </row>
    <row r="113" hidden="1">
      <c r="A113" s="259" t="inlineStr">
        <is>
          <t>Bandhan Nifty 50 ETF</t>
        </is>
      </c>
      <c r="B113" s="261">
        <f>VLOOKUP(A113, '[2]fund-selector'!$A$2:$F$853,6,FALSE)</f>
        <v/>
      </c>
      <c r="C113" s="258" t="n">
        <v>6.45</v>
      </c>
      <c r="D113" s="260" t="n">
        <v>0.09</v>
      </c>
      <c r="E113" s="260" t="n">
        <v>18.62</v>
      </c>
      <c r="F113" s="260" t="n">
        <v>20.41</v>
      </c>
      <c r="G113" s="260" t="n">
        <v>0.09</v>
      </c>
      <c r="H113" s="260" t="n">
        <v>13.12</v>
      </c>
      <c r="I113" s="260" t="n">
        <v>0.6899999999999999</v>
      </c>
      <c r="J113" s="260" t="n">
        <v>1.17</v>
      </c>
      <c r="K113" s="260" t="n">
        <v>0.95</v>
      </c>
      <c r="L113" s="260" t="n">
        <v>-0.74</v>
      </c>
    </row>
    <row r="114" hidden="1">
      <c r="A114" s="259" t="inlineStr">
        <is>
          <t>Bandhan Nifty 50 Index Fund - Regular Plan</t>
        </is>
      </c>
      <c r="B114" s="261">
        <f>VLOOKUP(A114, '[2]fund-selector'!$A$2:$F$853,6,FALSE)</f>
        <v/>
      </c>
      <c r="C114" s="258" t="n">
        <v>5.75</v>
      </c>
      <c r="D114" s="260" t="n">
        <v>0.6</v>
      </c>
      <c r="E114" s="260" t="n">
        <v>17.93</v>
      </c>
      <c r="F114" s="260" t="n">
        <v>19.94</v>
      </c>
      <c r="G114" s="260" t="n">
        <v>0.6</v>
      </c>
      <c r="H114" s="260" t="n">
        <v>13.13</v>
      </c>
      <c r="I114" s="260" t="n">
        <v>0.64</v>
      </c>
      <c r="J114" s="260" t="n">
        <v>1.1</v>
      </c>
      <c r="K114" s="260" t="n">
        <v>0.95</v>
      </c>
      <c r="L114" s="260" t="n">
        <v>-1.34</v>
      </c>
    </row>
    <row r="115" hidden="1">
      <c r="A115" s="259" t="inlineStr">
        <is>
          <t>Bandhan Nifty Alpha 50 Index Fund - Regular Plan</t>
        </is>
      </c>
      <c r="B115" s="261">
        <f>VLOOKUP(A115, '[2]fund-selector'!$A$2:$F$853,6,FALSE)</f>
        <v/>
      </c>
      <c r="C115" s="258" t="n">
        <v>-9.31</v>
      </c>
      <c r="D115" s="260" t="n">
        <v>1.02</v>
      </c>
      <c r="E115" s="259" t="n">
        <v>0</v>
      </c>
      <c r="F115" s="259" t="n">
        <v>0</v>
      </c>
      <c r="G115" s="260" t="n">
        <v>1.02</v>
      </c>
      <c r="H115" s="259" t="n">
        <v>0</v>
      </c>
      <c r="I115" s="259" t="n">
        <v>0</v>
      </c>
      <c r="J115" s="259" t="n">
        <v>0</v>
      </c>
      <c r="K115" s="259" t="n">
        <v>0</v>
      </c>
      <c r="L115" s="259" t="n">
        <v>0</v>
      </c>
    </row>
    <row r="116" hidden="1">
      <c r="A116" s="259" t="inlineStr">
        <is>
          <t>Bandhan Nifty Alpha Low Volatility 30 Index Fund - Regular Plan</t>
        </is>
      </c>
      <c r="B116" s="261">
        <f>VLOOKUP(A116, '[2]fund-selector'!$A$2:$F$853,6,FALSE)</f>
        <v/>
      </c>
      <c r="C116" s="258" t="inlineStr">
        <is>
          <t>--</t>
        </is>
      </c>
      <c r="D116" s="260" t="n">
        <v>1</v>
      </c>
      <c r="E116" s="259" t="n">
        <v>0</v>
      </c>
      <c r="F116" s="259" t="n">
        <v>0</v>
      </c>
      <c r="G116" s="260" t="n">
        <v>1</v>
      </c>
      <c r="H116" s="259" t="n">
        <v>0</v>
      </c>
      <c r="I116" s="259" t="n">
        <v>0</v>
      </c>
      <c r="J116" s="259" t="n">
        <v>0</v>
      </c>
      <c r="K116" s="259" t="n">
        <v>0</v>
      </c>
      <c r="L116" s="259" t="n">
        <v>0</v>
      </c>
    </row>
    <row r="117" hidden="1">
      <c r="A117" s="259" t="inlineStr">
        <is>
          <t>Bandhan Nifty Midcap 150 Index Fund - Regular Plan</t>
        </is>
      </c>
      <c r="B117" s="261">
        <f>VLOOKUP(A117, '[2]fund-selector'!$A$2:$F$853,6,FALSE)</f>
        <v/>
      </c>
      <c r="C117" s="258" t="inlineStr">
        <is>
          <t>--</t>
        </is>
      </c>
      <c r="D117" s="260" t="n">
        <v>0.85</v>
      </c>
      <c r="E117" s="259" t="n">
        <v>0</v>
      </c>
      <c r="F117" s="259" t="n">
        <v>0</v>
      </c>
      <c r="G117" s="260" t="n">
        <v>0.85</v>
      </c>
      <c r="H117" s="259" t="n">
        <v>0</v>
      </c>
      <c r="I117" s="259" t="n">
        <v>0</v>
      </c>
      <c r="J117" s="259" t="n">
        <v>0</v>
      </c>
      <c r="K117" s="259" t="n">
        <v>0</v>
      </c>
      <c r="L117" s="259" t="n">
        <v>0</v>
      </c>
    </row>
    <row r="118" hidden="1">
      <c r="A118" s="259" t="inlineStr">
        <is>
          <t>Bandhan Nifty Next 50 Index Fund - Regular Plan</t>
        </is>
      </c>
      <c r="B118" s="261">
        <f>VLOOKUP(A118, '[2]fund-selector'!$A$2:$F$853,6,FALSE)</f>
        <v/>
      </c>
      <c r="C118" s="258" t="inlineStr">
        <is>
          <t>--</t>
        </is>
      </c>
      <c r="D118" s="260" t="n">
        <v>1</v>
      </c>
      <c r="E118" s="259" t="n">
        <v>0</v>
      </c>
      <c r="F118" s="259" t="n">
        <v>0</v>
      </c>
      <c r="G118" s="260" t="n">
        <v>1</v>
      </c>
      <c r="H118" s="259" t="n">
        <v>0</v>
      </c>
      <c r="I118" s="259" t="n">
        <v>0</v>
      </c>
      <c r="J118" s="259" t="n">
        <v>0</v>
      </c>
      <c r="K118" s="259" t="n">
        <v>0</v>
      </c>
      <c r="L118" s="259" t="n">
        <v>0</v>
      </c>
    </row>
    <row r="119" hidden="1">
      <c r="A119" s="259" t="inlineStr">
        <is>
          <t>Bandhan Nifty Smallcap 250 Index Fund - Regular Plan</t>
        </is>
      </c>
      <c r="B119" s="261">
        <f>VLOOKUP(A119, '[2]fund-selector'!$A$2:$F$853,6,FALSE)</f>
        <v/>
      </c>
      <c r="C119" s="258" t="n">
        <v>-1.61</v>
      </c>
      <c r="D119" s="260" t="n">
        <v>0.89</v>
      </c>
      <c r="E119" s="259" t="n">
        <v>0</v>
      </c>
      <c r="F119" s="259" t="n">
        <v>0</v>
      </c>
      <c r="G119" s="260" t="n">
        <v>0.89</v>
      </c>
      <c r="H119" s="259" t="n">
        <v>0</v>
      </c>
      <c r="I119" s="259" t="n">
        <v>0</v>
      </c>
      <c r="J119" s="259" t="n">
        <v>0</v>
      </c>
      <c r="K119" s="259" t="n">
        <v>0</v>
      </c>
      <c r="L119" s="259" t="n">
        <v>0</v>
      </c>
    </row>
    <row r="120" hidden="1">
      <c r="A120" s="259" t="inlineStr">
        <is>
          <t>Bandhan Nifty Total Market Index Fund - Regular Plan</t>
        </is>
      </c>
      <c r="B120" s="261">
        <f>VLOOKUP(A120, '[2]fund-selector'!$A$2:$F$853,6,FALSE)</f>
        <v/>
      </c>
      <c r="C120" s="258" t="inlineStr">
        <is>
          <t>--</t>
        </is>
      </c>
      <c r="D120" s="260" t="n">
        <v>1.05</v>
      </c>
      <c r="E120" s="259" t="n">
        <v>0</v>
      </c>
      <c r="F120" s="259" t="n">
        <v>0</v>
      </c>
      <c r="G120" s="260" t="n">
        <v>1.05</v>
      </c>
      <c r="H120" s="259" t="n">
        <v>0</v>
      </c>
      <c r="I120" s="259" t="n">
        <v>0</v>
      </c>
      <c r="J120" s="259" t="n">
        <v>0</v>
      </c>
      <c r="K120" s="259" t="n">
        <v>0</v>
      </c>
      <c r="L120" s="259" t="n">
        <v>0</v>
      </c>
    </row>
    <row r="121" hidden="1">
      <c r="A121" s="259" t="inlineStr">
        <is>
          <t>Bandhan Retirement Fund - Regular Plan</t>
        </is>
      </c>
      <c r="B121" s="261">
        <f>VLOOKUP(A121, '[2]fund-selector'!$A$2:$F$853,6,FALSE)</f>
        <v/>
      </c>
      <c r="C121" s="258" t="n">
        <v>3.71</v>
      </c>
      <c r="D121" s="260" t="n">
        <v>2.34</v>
      </c>
      <c r="E121" s="259" t="n">
        <v>0</v>
      </c>
      <c r="F121" s="259" t="n">
        <v>0</v>
      </c>
      <c r="G121" s="260" t="n">
        <v>2.34</v>
      </c>
      <c r="H121" s="259" t="n">
        <v>0</v>
      </c>
      <c r="I121" s="259" t="n">
        <v>0</v>
      </c>
      <c r="J121" s="259" t="n">
        <v>0</v>
      </c>
      <c r="K121" s="259" t="n">
        <v>0</v>
      </c>
      <c r="L121" s="259" t="n">
        <v>0</v>
      </c>
    </row>
    <row r="122" hidden="1">
      <c r="A122" s="259" t="inlineStr">
        <is>
          <t>Bandhan Small Cap Fund - Regular Plan</t>
        </is>
      </c>
      <c r="B122" s="261">
        <f>VLOOKUP(A122, '[2]fund-selector'!$A$2:$F$853,6,FALSE)</f>
        <v/>
      </c>
      <c r="C122" s="258" t="n">
        <v>12.78</v>
      </c>
      <c r="D122" s="260" t="n">
        <v>1.68</v>
      </c>
      <c r="E122" s="260" t="n">
        <v>35.18</v>
      </c>
      <c r="F122" s="260" t="n">
        <v>35.59</v>
      </c>
      <c r="G122" s="260" t="n">
        <v>1.68</v>
      </c>
      <c r="H122" s="260" t="n">
        <v>18.17</v>
      </c>
      <c r="I122" s="260" t="n">
        <v>1.29</v>
      </c>
      <c r="J122" s="260" t="n">
        <v>2.02</v>
      </c>
      <c r="K122" s="260" t="n">
        <v>0.9</v>
      </c>
      <c r="L122" s="260" t="n">
        <v>7.06</v>
      </c>
    </row>
    <row r="123" hidden="1">
      <c r="A123" s="259" t="inlineStr">
        <is>
          <t>Bandhan Transportation and Logistics Fund - Regular Plan</t>
        </is>
      </c>
      <c r="B123" s="261">
        <f>VLOOKUP(A123, '[2]fund-selector'!$A$2:$F$853,6,FALSE)</f>
        <v/>
      </c>
      <c r="C123" s="258" t="n">
        <v>-6.88</v>
      </c>
      <c r="D123" s="260" t="n">
        <v>2.4</v>
      </c>
      <c r="E123" s="259" t="n">
        <v>0</v>
      </c>
      <c r="F123" s="259" t="n">
        <v>0</v>
      </c>
      <c r="G123" s="260" t="n">
        <v>2.4</v>
      </c>
      <c r="H123" s="259" t="n">
        <v>0</v>
      </c>
      <c r="I123" s="259" t="n">
        <v>0</v>
      </c>
      <c r="J123" s="259" t="n">
        <v>0</v>
      </c>
      <c r="K123" s="259" t="n">
        <v>0</v>
      </c>
      <c r="L123" s="259" t="n">
        <v>0</v>
      </c>
    </row>
    <row r="124" hidden="1">
      <c r="A124" s="259" t="inlineStr">
        <is>
          <t>Bank of India Arbitrage Fund - Regular Plan</t>
        </is>
      </c>
      <c r="B124" s="261">
        <f>VLOOKUP(A124, '[2]fund-selector'!$A$2:$F$853,6,FALSE)</f>
        <v/>
      </c>
      <c r="C124" s="258" t="n">
        <v>6.53</v>
      </c>
      <c r="D124" s="260" t="n">
        <v>0.9399999999999999</v>
      </c>
      <c r="E124" s="260" t="n">
        <v>6.04</v>
      </c>
      <c r="F124" s="260" t="n">
        <v>4.53</v>
      </c>
      <c r="G124" s="260" t="n">
        <v>0.9399999999999999</v>
      </c>
      <c r="H124" s="260" t="n">
        <v>0.55</v>
      </c>
      <c r="I124" s="260" t="n">
        <v>-0.96</v>
      </c>
      <c r="J124" s="260" t="n">
        <v>-0.97</v>
      </c>
      <c r="K124" s="260" t="n">
        <v>0.7</v>
      </c>
      <c r="L124" s="260" t="n">
        <v>0.82</v>
      </c>
    </row>
    <row r="125" hidden="1">
      <c r="A125" s="259" t="inlineStr">
        <is>
          <t>Bank of India Balanced Advantage Fund - Regular Plan</t>
        </is>
      </c>
      <c r="B125" s="261">
        <f>VLOOKUP(A125, '[2]fund-selector'!$A$2:$F$853,6,FALSE)</f>
        <v/>
      </c>
      <c r="C125" s="258" t="n">
        <v>-0.13</v>
      </c>
      <c r="D125" s="260" t="n">
        <v>2.51</v>
      </c>
      <c r="E125" s="260" t="n">
        <v>13.51</v>
      </c>
      <c r="F125" s="260" t="n">
        <v>11.86</v>
      </c>
      <c r="G125" s="260" t="n">
        <v>2.51</v>
      </c>
      <c r="H125" s="260" t="n">
        <v>10.19</v>
      </c>
      <c r="I125" s="260" t="n">
        <v>0.52</v>
      </c>
      <c r="J125" s="260" t="n">
        <v>1.02</v>
      </c>
      <c r="K125" s="260" t="n">
        <v>0.95</v>
      </c>
      <c r="L125" s="260" t="n">
        <v>-2.16</v>
      </c>
    </row>
    <row r="126" hidden="1">
      <c r="A126" s="259" t="inlineStr">
        <is>
          <t>Bank of India Bluechip Fund - Regular Plan</t>
        </is>
      </c>
      <c r="B126" s="261">
        <f>VLOOKUP(A126, '[2]fund-selector'!$A$2:$F$853,6,FALSE)</f>
        <v/>
      </c>
      <c r="C126" s="258" t="n">
        <v>-4.07</v>
      </c>
      <c r="D126" s="260" t="n">
        <v>2.44</v>
      </c>
      <c r="E126" s="260" t="n">
        <v>19.78</v>
      </c>
      <c r="F126" s="259" t="n">
        <v>0</v>
      </c>
      <c r="G126" s="260" t="n">
        <v>2.44</v>
      </c>
      <c r="H126" s="260" t="n">
        <v>15.33</v>
      </c>
      <c r="I126" s="260" t="n">
        <v>0.6899999999999999</v>
      </c>
      <c r="J126" s="260" t="n">
        <v>1.13</v>
      </c>
      <c r="K126" s="260" t="n">
        <v>1.06</v>
      </c>
      <c r="L126" s="260" t="n">
        <v>-0.3</v>
      </c>
    </row>
    <row r="127" hidden="1">
      <c r="A127" s="259" t="inlineStr">
        <is>
          <t>Bank of India Business Cycle Fund - Regular Plan</t>
        </is>
      </c>
      <c r="B127" s="261">
        <f>VLOOKUP(A127, '[2]fund-selector'!$A$2:$F$853,6,FALSE)</f>
        <v/>
      </c>
      <c r="C127" s="258" t="inlineStr">
        <is>
          <t>--</t>
        </is>
      </c>
      <c r="D127" s="260" t="n">
        <v>2.45</v>
      </c>
      <c r="E127" s="259" t="n">
        <v>0</v>
      </c>
      <c r="F127" s="259" t="n">
        <v>0</v>
      </c>
      <c r="G127" s="260" t="n">
        <v>2.45</v>
      </c>
      <c r="H127" s="259" t="n">
        <v>0</v>
      </c>
      <c r="I127" s="259" t="n">
        <v>0</v>
      </c>
      <c r="J127" s="259" t="n">
        <v>0</v>
      </c>
      <c r="K127" s="259" t="n">
        <v>0</v>
      </c>
      <c r="L127" s="259" t="n">
        <v>0</v>
      </c>
    </row>
    <row r="128" hidden="1">
      <c r="A128" s="259" t="inlineStr">
        <is>
          <t>Bank of India Conservative Hybrid Fund - Regular Plan</t>
        </is>
      </c>
      <c r="B128" s="261">
        <f>VLOOKUP(A128, '[2]fund-selector'!$A$2:$F$853,6,FALSE)</f>
        <v/>
      </c>
      <c r="C128" s="258" t="n">
        <v>3.54</v>
      </c>
      <c r="D128" s="260" t="n">
        <v>2.23</v>
      </c>
      <c r="E128" s="260" t="n">
        <v>8.800000000000001</v>
      </c>
      <c r="F128" s="260" t="n">
        <v>12.24</v>
      </c>
      <c r="G128" s="260" t="n">
        <v>2.23</v>
      </c>
      <c r="H128" s="260" t="n">
        <v>3.93</v>
      </c>
      <c r="I128" s="260" t="n">
        <v>0.47</v>
      </c>
      <c r="J128" s="260" t="n">
        <v>0.74</v>
      </c>
      <c r="K128" s="260" t="n">
        <v>0.85</v>
      </c>
      <c r="L128" s="260" t="n">
        <v>-1.29</v>
      </c>
    </row>
    <row r="129" hidden="1">
      <c r="A129" s="259" t="inlineStr">
        <is>
          <t>Bank of India Flexi Cap Fund - Regular Plan</t>
        </is>
      </c>
      <c r="B129" s="261">
        <f>VLOOKUP(A129, '[2]fund-selector'!$A$2:$F$853,6,FALSE)</f>
        <v/>
      </c>
      <c r="C129" s="258" t="n">
        <v>-4.55</v>
      </c>
      <c r="D129" s="260" t="n">
        <v>1.99</v>
      </c>
      <c r="E129" s="260" t="n">
        <v>26</v>
      </c>
      <c r="F129" s="259" t="n">
        <v>0</v>
      </c>
      <c r="G129" s="260" t="n">
        <v>1.99</v>
      </c>
      <c r="H129" s="260" t="n">
        <v>18.12</v>
      </c>
      <c r="I129" s="260" t="n">
        <v>0.91</v>
      </c>
      <c r="J129" s="260" t="n">
        <v>1.35</v>
      </c>
      <c r="K129" s="260" t="n">
        <v>1.13</v>
      </c>
      <c r="L129" s="260" t="n">
        <v>3.39</v>
      </c>
    </row>
    <row r="130" hidden="1">
      <c r="A130" s="259" t="inlineStr">
        <is>
          <t>Bank of India Large &amp; Mid Cap Equity Fund - Regular Plan</t>
        </is>
      </c>
      <c r="B130" s="261">
        <f>VLOOKUP(A130, '[2]fund-selector'!$A$2:$F$853,6,FALSE)</f>
        <v/>
      </c>
      <c r="C130" s="258" t="n">
        <v>-0.9399999999999999</v>
      </c>
      <c r="D130" s="260" t="n">
        <v>2.48</v>
      </c>
      <c r="E130" s="260" t="n">
        <v>22.38</v>
      </c>
      <c r="F130" s="260" t="n">
        <v>22.67</v>
      </c>
      <c r="G130" s="260" t="n">
        <v>2.48</v>
      </c>
      <c r="H130" s="260" t="n">
        <v>15.43</v>
      </c>
      <c r="I130" s="260" t="n">
        <v>0.83</v>
      </c>
      <c r="J130" s="260" t="n">
        <v>1.26</v>
      </c>
      <c r="K130" s="260" t="n">
        <v>1.03</v>
      </c>
      <c r="L130" s="260" t="n">
        <v>1.51</v>
      </c>
    </row>
    <row r="131" hidden="1">
      <c r="A131" s="259" t="inlineStr">
        <is>
          <t>Bank of India Mid &amp; Small Cap Equity &amp; Debt Fund - Regular Plan</t>
        </is>
      </c>
      <c r="B131" s="261">
        <f>VLOOKUP(A131, '[2]fund-selector'!$A$2:$F$853,6,FALSE)</f>
        <v/>
      </c>
      <c r="C131" s="258" t="n">
        <v>1.21</v>
      </c>
      <c r="D131" s="260" t="n">
        <v>2.18</v>
      </c>
      <c r="E131" s="260" t="n">
        <v>23.46</v>
      </c>
      <c r="F131" s="260" t="n">
        <v>26.95</v>
      </c>
      <c r="G131" s="260" t="n">
        <v>2.18</v>
      </c>
      <c r="H131" s="260" t="n">
        <v>14.76</v>
      </c>
      <c r="I131" s="260" t="n">
        <v>0.98</v>
      </c>
      <c r="J131" s="260" t="n">
        <v>1.26</v>
      </c>
      <c r="K131" s="260" t="n">
        <v>1.04</v>
      </c>
      <c r="L131" s="260" t="n">
        <v>4.39</v>
      </c>
    </row>
    <row r="132" hidden="1">
      <c r="A132" s="259" t="inlineStr">
        <is>
          <t>Bank of India Multi Asset Allocation Fund - Regular Plan</t>
        </is>
      </c>
      <c r="B132" s="261">
        <f>VLOOKUP(A132, '[2]fund-selector'!$A$2:$F$853,6,FALSE)</f>
        <v/>
      </c>
      <c r="C132" s="258" t="n">
        <v>4.47</v>
      </c>
      <c r="D132" s="260" t="n">
        <v>2.04</v>
      </c>
      <c r="E132" s="259" t="n">
        <v>0</v>
      </c>
      <c r="F132" s="259" t="n">
        <v>0</v>
      </c>
      <c r="G132" s="260" t="n">
        <v>2.04</v>
      </c>
      <c r="H132" s="259" t="n">
        <v>0</v>
      </c>
      <c r="I132" s="259" t="n">
        <v>0</v>
      </c>
      <c r="J132" s="259" t="n">
        <v>0</v>
      </c>
      <c r="K132" s="259" t="n">
        <v>0</v>
      </c>
      <c r="L132" s="259" t="n">
        <v>0</v>
      </c>
    </row>
    <row r="133" hidden="1">
      <c r="A133" s="259" t="inlineStr">
        <is>
          <t>Bank of India Multi Cap Fund - Regular Plan</t>
        </is>
      </c>
      <c r="B133" s="261">
        <f>VLOOKUP(A133, '[2]fund-selector'!$A$2:$F$853,6,FALSE)</f>
        <v/>
      </c>
      <c r="C133" s="258" t="n">
        <v>1.76</v>
      </c>
      <c r="D133" s="260" t="n">
        <v>2.31</v>
      </c>
      <c r="E133" s="259" t="n">
        <v>0</v>
      </c>
      <c r="F133" s="259" t="n">
        <v>0</v>
      </c>
      <c r="G133" s="260" t="n">
        <v>2.31</v>
      </c>
      <c r="H133" s="259" t="n">
        <v>0</v>
      </c>
      <c r="I133" s="259" t="n">
        <v>0</v>
      </c>
      <c r="J133" s="259" t="n">
        <v>0</v>
      </c>
      <c r="K133" s="259" t="n">
        <v>0</v>
      </c>
      <c r="L133" s="259" t="n">
        <v>0</v>
      </c>
    </row>
    <row r="134" hidden="1">
      <c r="A134" s="259" t="inlineStr">
        <is>
          <t>Bank of India Small Cap Fund - Regular Plan</t>
        </is>
      </c>
      <c r="B134" s="261">
        <f>VLOOKUP(A134, '[2]fund-selector'!$A$2:$F$853,6,FALSE)</f>
        <v/>
      </c>
      <c r="C134" s="258" t="n">
        <v>-0.55</v>
      </c>
      <c r="D134" s="260" t="n">
        <v>2.03</v>
      </c>
      <c r="E134" s="260" t="n">
        <v>26.5</v>
      </c>
      <c r="F134" s="260" t="n">
        <v>33.74</v>
      </c>
      <c r="G134" s="260" t="n">
        <v>2.03</v>
      </c>
      <c r="H134" s="260" t="n">
        <v>18.22</v>
      </c>
      <c r="I134" s="260" t="n">
        <v>0.95</v>
      </c>
      <c r="J134" s="260" t="n">
        <v>1.27</v>
      </c>
      <c r="K134" s="260" t="n">
        <v>0.89</v>
      </c>
      <c r="L134" s="260" t="n">
        <v>1.16</v>
      </c>
    </row>
    <row r="135" hidden="1">
      <c r="A135" s="259" t="inlineStr">
        <is>
          <t>Baroda BNP Paribas Aggressive Hybrid Fund - Regular Plan</t>
        </is>
      </c>
      <c r="B135" s="261">
        <f>VLOOKUP(A135, '[2]fund-selector'!$A$2:$F$853,6,FALSE)</f>
        <v/>
      </c>
      <c r="C135" s="258" t="n">
        <v>3.99</v>
      </c>
      <c r="D135" s="260" t="n">
        <v>2.13</v>
      </c>
      <c r="E135" s="260" t="n">
        <v>18.3</v>
      </c>
      <c r="F135" s="260" t="n">
        <v>17.97</v>
      </c>
      <c r="G135" s="260" t="n">
        <v>2.13</v>
      </c>
      <c r="H135" s="260" t="n">
        <v>10.15</v>
      </c>
      <c r="I135" s="260" t="n">
        <v>0.9399999999999999</v>
      </c>
      <c r="J135" s="260" t="n">
        <v>1.38</v>
      </c>
      <c r="K135" s="260" t="n">
        <v>0.83</v>
      </c>
      <c r="L135" s="260" t="n">
        <v>1.6</v>
      </c>
    </row>
    <row r="136" hidden="1">
      <c r="A136" s="259" t="inlineStr">
        <is>
          <t>Baroda BNP Paribas Arbitrage Fund - Regular Plan</t>
        </is>
      </c>
      <c r="B136" s="261">
        <f>VLOOKUP(A136, '[2]fund-selector'!$A$2:$F$853,6,FALSE)</f>
        <v/>
      </c>
      <c r="C136" s="258" t="n">
        <v>6.65</v>
      </c>
      <c r="D136" s="260" t="n">
        <v>1.12</v>
      </c>
      <c r="E136" s="260" t="n">
        <v>6.7</v>
      </c>
      <c r="F136" s="260" t="n">
        <v>5.36</v>
      </c>
      <c r="G136" s="260" t="n">
        <v>1.12</v>
      </c>
      <c r="H136" s="260" t="n">
        <v>0.57</v>
      </c>
      <c r="I136" s="260" t="n">
        <v>0.17</v>
      </c>
      <c r="J136" s="260" t="n">
        <v>0.18</v>
      </c>
      <c r="K136" s="260" t="n">
        <v>0.66</v>
      </c>
      <c r="L136" s="260" t="n">
        <v>1.35</v>
      </c>
    </row>
    <row r="137" hidden="1">
      <c r="A137" s="259" t="inlineStr">
        <is>
          <t>Baroda BNP Paribas Balanced Advantage Fund - Regular Plan</t>
        </is>
      </c>
      <c r="B137" s="261">
        <f>VLOOKUP(A137, '[2]fund-selector'!$A$2:$F$853,6,FALSE)</f>
        <v/>
      </c>
      <c r="C137" s="258" t="n">
        <v>6.78</v>
      </c>
      <c r="D137" s="260" t="n">
        <v>1.89</v>
      </c>
      <c r="E137" s="260" t="n">
        <v>18.07</v>
      </c>
      <c r="F137" s="260" t="n">
        <v>16.72</v>
      </c>
      <c r="G137" s="260" t="n">
        <v>1.89</v>
      </c>
      <c r="H137" s="260" t="n">
        <v>10.14</v>
      </c>
      <c r="I137" s="260" t="n">
        <v>0.9</v>
      </c>
      <c r="J137" s="260" t="n">
        <v>1.3</v>
      </c>
      <c r="K137" s="260" t="n">
        <v>0.9399999999999999</v>
      </c>
      <c r="L137" s="260" t="n">
        <v>1.68</v>
      </c>
    </row>
    <row r="138" hidden="1">
      <c r="A138" s="259" t="inlineStr">
        <is>
          <t>Baroda BNP Paribas Business Cycle Fund - Regular Plan</t>
        </is>
      </c>
      <c r="B138" s="261">
        <f>VLOOKUP(A138, '[2]fund-selector'!$A$2:$F$853,6,FALSE)</f>
        <v/>
      </c>
      <c r="C138" s="258" t="n">
        <v>-1.56</v>
      </c>
      <c r="D138" s="260" t="n">
        <v>2.38</v>
      </c>
      <c r="E138" s="260" t="n">
        <v>22.07</v>
      </c>
      <c r="F138" s="259" t="n">
        <v>0</v>
      </c>
      <c r="G138" s="260" t="n">
        <v>2.38</v>
      </c>
      <c r="H138" s="260" t="n">
        <v>15.21</v>
      </c>
      <c r="I138" s="260" t="n">
        <v>0.82</v>
      </c>
      <c r="J138" s="260" t="n">
        <v>1.2</v>
      </c>
      <c r="K138" s="260" t="n">
        <v>1.02</v>
      </c>
      <c r="L138" s="260" t="n">
        <v>0.6899999999999999</v>
      </c>
    </row>
    <row r="139" hidden="1">
      <c r="A139" s="259" t="inlineStr">
        <is>
          <t>Baroda BNP Paribas Children's Fund - Regular Plan</t>
        </is>
      </c>
      <c r="B139" s="261">
        <f>VLOOKUP(A139, '[2]fund-selector'!$A$2:$F$853,6,FALSE)</f>
        <v/>
      </c>
      <c r="C139" s="258" t="inlineStr">
        <is>
          <t>--</t>
        </is>
      </c>
      <c r="D139" s="260" t="n">
        <v>2.34</v>
      </c>
      <c r="E139" s="259" t="n">
        <v>0</v>
      </c>
      <c r="F139" s="259" t="n">
        <v>0</v>
      </c>
      <c r="G139" s="260" t="n">
        <v>2.34</v>
      </c>
      <c r="H139" s="259" t="n">
        <v>0</v>
      </c>
      <c r="I139" s="259" t="n">
        <v>0</v>
      </c>
      <c r="J139" s="259" t="n">
        <v>0</v>
      </c>
      <c r="K139" s="259" t="n">
        <v>0</v>
      </c>
      <c r="L139" s="259" t="n">
        <v>0</v>
      </c>
    </row>
    <row r="140" hidden="1">
      <c r="A140" s="259" t="inlineStr">
        <is>
          <t>Baroda BNP Paribas Conservative Hybrid Fund - Regular Plan</t>
        </is>
      </c>
      <c r="B140" s="261">
        <f>VLOOKUP(A140, '[2]fund-selector'!$A$2:$F$853,6,FALSE)</f>
        <v/>
      </c>
      <c r="C140" s="258" t="n">
        <v>6.33</v>
      </c>
      <c r="D140" s="260" t="n">
        <v>2</v>
      </c>
      <c r="E140" s="260" t="n">
        <v>9.82</v>
      </c>
      <c r="F140" s="260" t="n">
        <v>8.050000000000001</v>
      </c>
      <c r="G140" s="260" t="n">
        <v>2</v>
      </c>
      <c r="H140" s="260" t="n">
        <v>3.56</v>
      </c>
      <c r="I140" s="260" t="n">
        <v>0.79</v>
      </c>
      <c r="J140" s="260" t="n">
        <v>1.09</v>
      </c>
      <c r="K140" s="260" t="n">
        <v>0.84</v>
      </c>
      <c r="L140" s="260" t="n">
        <v>-0.27</v>
      </c>
    </row>
    <row r="141" hidden="1">
      <c r="A141" s="259" t="inlineStr">
        <is>
          <t>Baroda BNP Paribas Flexi Cap Fund - Regular Plan</t>
        </is>
      </c>
      <c r="B141" s="261">
        <f>VLOOKUP(A141, '[2]fund-selector'!$A$2:$F$853,6,FALSE)</f>
        <v/>
      </c>
      <c r="C141" s="258" t="n">
        <v>1.39</v>
      </c>
      <c r="D141" s="260" t="n">
        <v>2.17</v>
      </c>
      <c r="E141" s="259" t="n">
        <v>0</v>
      </c>
      <c r="F141" s="259" t="n">
        <v>0</v>
      </c>
      <c r="G141" s="260" t="n">
        <v>2.17</v>
      </c>
      <c r="H141" s="259" t="n">
        <v>0</v>
      </c>
      <c r="I141" s="259" t="n">
        <v>0</v>
      </c>
      <c r="J141" s="259" t="n">
        <v>0</v>
      </c>
      <c r="K141" s="259" t="n">
        <v>0</v>
      </c>
      <c r="L141" s="259" t="n">
        <v>0</v>
      </c>
    </row>
    <row r="142" hidden="1">
      <c r="A142" s="259" t="inlineStr">
        <is>
          <t>Baroda BNP Paribas Focused Fund - Regular Plan</t>
        </is>
      </c>
      <c r="B142" s="261">
        <f>VLOOKUP(A142, '[2]fund-selector'!$A$2:$F$853,6,FALSE)</f>
        <v/>
      </c>
      <c r="C142" s="258" t="n">
        <v>-4.72</v>
      </c>
      <c r="D142" s="260" t="n">
        <v>2.29</v>
      </c>
      <c r="E142" s="260" t="n">
        <v>18.55</v>
      </c>
      <c r="F142" s="260" t="n">
        <v>19.09</v>
      </c>
      <c r="G142" s="260" t="n">
        <v>2.29</v>
      </c>
      <c r="H142" s="260" t="n">
        <v>15.32</v>
      </c>
      <c r="I142" s="260" t="n">
        <v>0.66</v>
      </c>
      <c r="J142" s="260" t="n">
        <v>0.86</v>
      </c>
      <c r="K142" s="260" t="n">
        <v>0.99</v>
      </c>
      <c r="L142" s="260" t="n">
        <v>-1.35</v>
      </c>
    </row>
    <row r="143" hidden="1">
      <c r="A143" s="259" t="inlineStr">
        <is>
          <t>Baroda BNP Paribas Innovation Fund - Regular Plan</t>
        </is>
      </c>
      <c r="B143" s="261">
        <f>VLOOKUP(A143, '[2]fund-selector'!$A$2:$F$853,6,FALSE)</f>
        <v/>
      </c>
      <c r="C143" s="258" t="n">
        <v>1.85</v>
      </c>
      <c r="D143" s="260" t="n">
        <v>2.26</v>
      </c>
      <c r="E143" s="259" t="n">
        <v>0</v>
      </c>
      <c r="F143" s="259" t="n">
        <v>0</v>
      </c>
      <c r="G143" s="260" t="n">
        <v>2.26</v>
      </c>
      <c r="H143" s="259" t="n">
        <v>0</v>
      </c>
      <c r="I143" s="259" t="n">
        <v>0</v>
      </c>
      <c r="J143" s="259" t="n">
        <v>0</v>
      </c>
      <c r="K143" s="259" t="n">
        <v>0</v>
      </c>
      <c r="L143" s="259" t="n">
        <v>0</v>
      </c>
    </row>
    <row r="144" hidden="1">
      <c r="A144" s="259" t="inlineStr">
        <is>
          <t>Baroda BNP Paribas Large Cap Fund - Regular Plan</t>
        </is>
      </c>
      <c r="B144" s="261">
        <f>VLOOKUP(A144, '[2]fund-selector'!$A$2:$F$853,6,FALSE)</f>
        <v/>
      </c>
      <c r="C144" s="258" t="n">
        <v>1.52</v>
      </c>
      <c r="D144" s="260" t="n">
        <v>1.98</v>
      </c>
      <c r="E144" s="260" t="n">
        <v>20.75</v>
      </c>
      <c r="F144" s="260" t="n">
        <v>20.27</v>
      </c>
      <c r="G144" s="260" t="n">
        <v>1.98</v>
      </c>
      <c r="H144" s="260" t="n">
        <v>13.37</v>
      </c>
      <c r="I144" s="260" t="n">
        <v>0.85</v>
      </c>
      <c r="J144" s="260" t="n">
        <v>1.31</v>
      </c>
      <c r="K144" s="260" t="n">
        <v>0.95</v>
      </c>
      <c r="L144" s="260" t="n">
        <v>1.58</v>
      </c>
    </row>
    <row r="145" hidden="1">
      <c r="A145" s="259" t="inlineStr">
        <is>
          <t>Baroda BNP Paribas Large &amp; Mid Cap Fund - Regular Plan</t>
        </is>
      </c>
      <c r="B145" s="261">
        <f>VLOOKUP(A145, '[2]fund-selector'!$A$2:$F$853,6,FALSE)</f>
        <v/>
      </c>
      <c r="C145" s="258" t="n">
        <v>1.98</v>
      </c>
      <c r="D145" s="260" t="n">
        <v>2.11</v>
      </c>
      <c r="E145" s="260" t="n">
        <v>23.78</v>
      </c>
      <c r="F145" s="259" t="n">
        <v>0</v>
      </c>
      <c r="G145" s="260" t="n">
        <v>2.11</v>
      </c>
      <c r="H145" s="260" t="n">
        <v>14.99</v>
      </c>
      <c r="I145" s="260" t="n">
        <v>0.93</v>
      </c>
      <c r="J145" s="260" t="n">
        <v>1.22</v>
      </c>
      <c r="K145" s="260" t="n">
        <v>0.98</v>
      </c>
      <c r="L145" s="260" t="n">
        <v>3.16</v>
      </c>
    </row>
    <row r="146" hidden="1">
      <c r="A146" s="259" t="inlineStr">
        <is>
          <t>Baroda BNP Paribas Manufacturing Fund - Regular Plan</t>
        </is>
      </c>
      <c r="B146" s="261">
        <f>VLOOKUP(A146, '[2]fund-selector'!$A$2:$F$853,6,FALSE)</f>
        <v/>
      </c>
      <c r="C146" s="258" t="inlineStr">
        <is>
          <t>--</t>
        </is>
      </c>
      <c r="D146" s="260" t="n">
        <v>2.12</v>
      </c>
      <c r="E146" s="259" t="n">
        <v>0</v>
      </c>
      <c r="F146" s="259" t="n">
        <v>0</v>
      </c>
      <c r="G146" s="260" t="n">
        <v>2.12</v>
      </c>
      <c r="H146" s="259" t="n">
        <v>0</v>
      </c>
      <c r="I146" s="259" t="n">
        <v>0</v>
      </c>
      <c r="J146" s="259" t="n">
        <v>0</v>
      </c>
      <c r="K146" s="259" t="n">
        <v>0</v>
      </c>
      <c r="L146" s="259" t="n">
        <v>0</v>
      </c>
    </row>
    <row r="147" hidden="1">
      <c r="A147" s="259" t="inlineStr">
        <is>
          <t>Baroda BNP Paribas Midcap Fund - Regular Plan</t>
        </is>
      </c>
      <c r="B147" s="261">
        <f>VLOOKUP(A147, '[2]fund-selector'!$A$2:$F$853,6,FALSE)</f>
        <v/>
      </c>
      <c r="C147" s="258" t="n">
        <v>0.34</v>
      </c>
      <c r="D147" s="260" t="n">
        <v>2.01</v>
      </c>
      <c r="E147" s="260" t="n">
        <v>24.6</v>
      </c>
      <c r="F147" s="260" t="n">
        <v>27.11</v>
      </c>
      <c r="G147" s="260" t="n">
        <v>2.01</v>
      </c>
      <c r="H147" s="260" t="n">
        <v>14.39</v>
      </c>
      <c r="I147" s="260" t="n">
        <v>1.03</v>
      </c>
      <c r="J147" s="260" t="n">
        <v>1.45</v>
      </c>
      <c r="K147" s="260" t="n">
        <v>0.83</v>
      </c>
      <c r="L147" s="260" t="n">
        <v>-0.12</v>
      </c>
    </row>
    <row r="148" hidden="1">
      <c r="A148" s="259" t="inlineStr">
        <is>
          <t>Baroda BNP Paribas Multi Asset Active FoF - Regular Plan</t>
        </is>
      </c>
      <c r="B148" s="261">
        <f>VLOOKUP(A148, '[2]fund-selector'!$A$2:$F$853,6,FALSE)</f>
        <v/>
      </c>
      <c r="C148" s="258" t="inlineStr">
        <is>
          <t>--</t>
        </is>
      </c>
      <c r="D148" s="259" t="n">
        <v>0</v>
      </c>
      <c r="E148" s="259" t="n">
        <v>0</v>
      </c>
      <c r="F148" s="259" t="n">
        <v>0</v>
      </c>
      <c r="G148" s="259" t="n">
        <v>0</v>
      </c>
      <c r="H148" s="259" t="n">
        <v>0</v>
      </c>
      <c r="I148" s="259" t="n">
        <v>0</v>
      </c>
      <c r="J148" s="259" t="n">
        <v>0</v>
      </c>
      <c r="K148" s="259" t="n">
        <v>0</v>
      </c>
      <c r="L148" s="259" t="n">
        <v>0</v>
      </c>
    </row>
    <row r="149" hidden="1">
      <c r="A149" s="259" t="inlineStr">
        <is>
          <t>Baroda BNP Paribas Multi Asset Fund - Regular Plan</t>
        </is>
      </c>
      <c r="B149" s="261">
        <f>VLOOKUP(A149, '[2]fund-selector'!$A$2:$F$853,6,FALSE)</f>
        <v/>
      </c>
      <c r="C149" s="258" t="n">
        <v>6.87</v>
      </c>
      <c r="D149" s="260" t="n">
        <v>2.11</v>
      </c>
      <c r="E149" s="259" t="n">
        <v>0</v>
      </c>
      <c r="F149" s="259" t="n">
        <v>0</v>
      </c>
      <c r="G149" s="260" t="n">
        <v>2.11</v>
      </c>
      <c r="H149" s="259" t="n">
        <v>0</v>
      </c>
      <c r="I149" s="259" t="n">
        <v>0</v>
      </c>
      <c r="J149" s="259" t="n">
        <v>0</v>
      </c>
      <c r="K149" s="259" t="n">
        <v>0</v>
      </c>
      <c r="L149" s="259" t="n">
        <v>0</v>
      </c>
    </row>
    <row r="150" hidden="1">
      <c r="A150" s="259" t="inlineStr">
        <is>
          <t>Baroda BNP Paribas Multi Cap Fund - Regular Plan</t>
        </is>
      </c>
      <c r="B150" s="261">
        <f>VLOOKUP(A150, '[2]fund-selector'!$A$2:$F$853,6,FALSE)</f>
        <v/>
      </c>
      <c r="C150" s="258" t="n">
        <v>0.72</v>
      </c>
      <c r="D150" s="260" t="n">
        <v>1.99</v>
      </c>
      <c r="E150" s="260" t="n">
        <v>23.98</v>
      </c>
      <c r="F150" s="260" t="n">
        <v>25.14</v>
      </c>
      <c r="G150" s="260" t="n">
        <v>1.99</v>
      </c>
      <c r="H150" s="260" t="n">
        <v>14.5</v>
      </c>
      <c r="I150" s="260" t="n">
        <v>0.97</v>
      </c>
      <c r="J150" s="260" t="n">
        <v>1.2</v>
      </c>
      <c r="K150" s="260" t="n">
        <v>0.88</v>
      </c>
      <c r="L150" s="260" t="n">
        <v>1.18</v>
      </c>
    </row>
    <row r="151" hidden="1">
      <c r="A151" s="259" t="inlineStr">
        <is>
          <t>Baroda BNP Paribas Nifty200 Momentum 30 Index Fund - Regular Plan</t>
        </is>
      </c>
      <c r="B151" s="261">
        <f>VLOOKUP(A151, '[2]fund-selector'!$A$2:$F$853,6,FALSE)</f>
        <v/>
      </c>
      <c r="C151" s="258" t="inlineStr">
        <is>
          <t>--</t>
        </is>
      </c>
      <c r="D151" s="260" t="n">
        <v>1.1</v>
      </c>
      <c r="E151" s="259" t="n">
        <v>0</v>
      </c>
      <c r="F151" s="259" t="n">
        <v>0</v>
      </c>
      <c r="G151" s="260" t="n">
        <v>1.1</v>
      </c>
      <c r="H151" s="259" t="n">
        <v>0</v>
      </c>
      <c r="I151" s="259" t="n">
        <v>0</v>
      </c>
      <c r="J151" s="259" t="n">
        <v>0</v>
      </c>
      <c r="K151" s="259" t="n">
        <v>0</v>
      </c>
      <c r="L151" s="259" t="n">
        <v>0</v>
      </c>
    </row>
    <row r="152" hidden="1">
      <c r="A152" s="259" t="inlineStr">
        <is>
          <t>Baroda BNP Paribas NIFTY 50 Index Fund - Regular Plan</t>
        </is>
      </c>
      <c r="B152" s="261">
        <f>VLOOKUP(A152, '[2]fund-selector'!$A$2:$F$853,6,FALSE)</f>
        <v/>
      </c>
      <c r="C152" s="258" t="n">
        <v>5.75</v>
      </c>
      <c r="D152" s="260" t="n">
        <v>0.5600000000000001</v>
      </c>
      <c r="E152" s="259" t="n">
        <v>0</v>
      </c>
      <c r="F152" s="259" t="n">
        <v>0</v>
      </c>
      <c r="G152" s="260" t="n">
        <v>0.5600000000000001</v>
      </c>
      <c r="H152" s="259" t="n">
        <v>0</v>
      </c>
      <c r="I152" s="259" t="n">
        <v>0</v>
      </c>
      <c r="J152" s="259" t="n">
        <v>0</v>
      </c>
      <c r="K152" s="259" t="n">
        <v>0</v>
      </c>
      <c r="L152" s="259" t="n">
        <v>0</v>
      </c>
    </row>
    <row r="153" hidden="1">
      <c r="A153" s="259" t="inlineStr">
        <is>
          <t>Baroda BNP Paribas Nifty Midcap 150 Index Fund - Regular Plan</t>
        </is>
      </c>
      <c r="B153" s="261">
        <f>VLOOKUP(A153, '[2]fund-selector'!$A$2:$F$853,6,FALSE)</f>
        <v/>
      </c>
      <c r="C153" s="258" t="inlineStr">
        <is>
          <t>--</t>
        </is>
      </c>
      <c r="D153" s="260" t="n">
        <v>1.08</v>
      </c>
      <c r="E153" s="259" t="n">
        <v>0</v>
      </c>
      <c r="F153" s="259" t="n">
        <v>0</v>
      </c>
      <c r="G153" s="260" t="n">
        <v>1.08</v>
      </c>
      <c r="H153" s="259" t="n">
        <v>0</v>
      </c>
      <c r="I153" s="259" t="n">
        <v>0</v>
      </c>
      <c r="J153" s="259" t="n">
        <v>0</v>
      </c>
      <c r="K153" s="259" t="n">
        <v>0</v>
      </c>
      <c r="L153" s="259" t="n">
        <v>0</v>
      </c>
    </row>
    <row r="154" hidden="1">
      <c r="A154" s="259" t="inlineStr">
        <is>
          <t>Baroda BNP Paribas Retirement Fund - Regular Plan</t>
        </is>
      </c>
      <c r="B154" s="261">
        <f>VLOOKUP(A154, '[2]fund-selector'!$A$2:$F$853,6,FALSE)</f>
        <v/>
      </c>
      <c r="C154" s="258" t="n">
        <v>5.64</v>
      </c>
      <c r="D154" s="260" t="n">
        <v>2.3</v>
      </c>
      <c r="E154" s="259" t="n">
        <v>0</v>
      </c>
      <c r="F154" s="259" t="n">
        <v>0</v>
      </c>
      <c r="G154" s="260" t="n">
        <v>2.3</v>
      </c>
      <c r="H154" s="259" t="n">
        <v>0</v>
      </c>
      <c r="I154" s="259" t="n">
        <v>0</v>
      </c>
      <c r="J154" s="259" t="n">
        <v>0</v>
      </c>
      <c r="K154" s="259" t="n">
        <v>0</v>
      </c>
      <c r="L154" s="259" t="n">
        <v>0</v>
      </c>
    </row>
    <row r="155" hidden="1">
      <c r="A155" s="259" t="inlineStr">
        <is>
          <t>Baroda BNP Paribas Small Cap Fund - Regular Plan</t>
        </is>
      </c>
      <c r="B155" s="261">
        <f>VLOOKUP(A155, '[2]fund-selector'!$A$2:$F$853,6,FALSE)</f>
        <v/>
      </c>
      <c r="C155" s="258" t="n">
        <v>-2.47</v>
      </c>
      <c r="D155" s="260" t="n">
        <v>2.16</v>
      </c>
      <c r="E155" s="259" t="n">
        <v>0</v>
      </c>
      <c r="F155" s="259" t="n">
        <v>0</v>
      </c>
      <c r="G155" s="260" t="n">
        <v>2.16</v>
      </c>
      <c r="H155" s="259" t="n">
        <v>0</v>
      </c>
      <c r="I155" s="259" t="n">
        <v>0</v>
      </c>
      <c r="J155" s="259" t="n">
        <v>0</v>
      </c>
      <c r="K155" s="259" t="n">
        <v>0</v>
      </c>
      <c r="L155" s="259" t="n">
        <v>0</v>
      </c>
    </row>
    <row r="156" hidden="1">
      <c r="A156" s="259" t="inlineStr">
        <is>
          <t>BHARAT 22 ETF</t>
        </is>
      </c>
      <c r="B156" s="261">
        <f>VLOOKUP(A156, '[2]fund-selector'!$A$2:$F$853,6,FALSE)</f>
        <v/>
      </c>
      <c r="C156" s="258" t="n">
        <v>-1.93</v>
      </c>
      <c r="D156" s="260" t="n">
        <v>0.07000000000000001</v>
      </c>
      <c r="E156" s="260" t="n">
        <v>34.08</v>
      </c>
      <c r="F156" s="260" t="n">
        <v>34.18</v>
      </c>
      <c r="G156" s="260" t="n">
        <v>0.07000000000000001</v>
      </c>
      <c r="H156" s="260" t="n">
        <v>17.89</v>
      </c>
      <c r="I156" s="260" t="n">
        <v>1.27</v>
      </c>
      <c r="J156" s="260" t="n">
        <v>2.06</v>
      </c>
      <c r="K156" s="260" t="n">
        <v>1.12</v>
      </c>
      <c r="L156" s="260" t="n">
        <v>11.19</v>
      </c>
    </row>
    <row r="157" hidden="1">
      <c r="A157" s="259" t="inlineStr">
        <is>
          <t>Canara Robeco Balanced Advantage Fund - Regular Plan</t>
        </is>
      </c>
      <c r="B157" s="261">
        <f>VLOOKUP(A157, '[2]fund-selector'!$A$2:$F$853,6,FALSE)</f>
        <v/>
      </c>
      <c r="C157" s="258" t="inlineStr">
        <is>
          <t>--</t>
        </is>
      </c>
      <c r="D157" s="260" t="n">
        <v>2.09</v>
      </c>
      <c r="E157" s="259" t="n">
        <v>0</v>
      </c>
      <c r="F157" s="259" t="n">
        <v>0</v>
      </c>
      <c r="G157" s="260" t="n">
        <v>2.09</v>
      </c>
      <c r="H157" s="259" t="n">
        <v>0</v>
      </c>
      <c r="I157" s="259" t="n">
        <v>0</v>
      </c>
      <c r="J157" s="259" t="n">
        <v>0</v>
      </c>
      <c r="K157" s="259" t="n">
        <v>0</v>
      </c>
      <c r="L157" s="259" t="n">
        <v>0</v>
      </c>
    </row>
    <row r="158" hidden="1">
      <c r="A158" s="259" t="inlineStr">
        <is>
          <t>Canara Robeco Conservative Hybrid Fund - Regular Plan</t>
        </is>
      </c>
      <c r="B158" s="261">
        <f>VLOOKUP(A158, '[2]fund-selector'!$A$2:$F$853,6,FALSE)</f>
        <v/>
      </c>
      <c r="C158" s="258" t="n">
        <v>7.72</v>
      </c>
      <c r="D158" s="260" t="n">
        <v>1.84</v>
      </c>
      <c r="E158" s="260" t="n">
        <v>9.720000000000001</v>
      </c>
      <c r="F158" s="260" t="n">
        <v>9.25</v>
      </c>
      <c r="G158" s="260" t="n">
        <v>1.84</v>
      </c>
      <c r="H158" s="260" t="n">
        <v>3.77</v>
      </c>
      <c r="I158" s="260" t="n">
        <v>0.73</v>
      </c>
      <c r="J158" s="260" t="n">
        <v>1.23</v>
      </c>
      <c r="K158" s="260" t="n">
        <v>0.9</v>
      </c>
      <c r="L158" s="260" t="n">
        <v>-0.55</v>
      </c>
    </row>
    <row r="159" hidden="1">
      <c r="A159" s="259" t="inlineStr">
        <is>
          <t>Canara Robeco Equity Hybrid Fund - Regular Plan</t>
        </is>
      </c>
      <c r="B159" s="261">
        <f>VLOOKUP(A159, '[2]fund-selector'!$A$2:$F$853,6,FALSE)</f>
        <v/>
      </c>
      <c r="C159" s="258" t="n">
        <v>6.57</v>
      </c>
      <c r="D159" s="260" t="n">
        <v>1.72</v>
      </c>
      <c r="E159" s="260" t="n">
        <v>17.53</v>
      </c>
      <c r="F159" s="260" t="n">
        <v>17.33</v>
      </c>
      <c r="G159" s="260" t="n">
        <v>1.72</v>
      </c>
      <c r="H159" s="260" t="n">
        <v>10.36</v>
      </c>
      <c r="I159" s="260" t="n">
        <v>0.82</v>
      </c>
      <c r="J159" s="260" t="n">
        <v>1.26</v>
      </c>
      <c r="K159" s="260" t="n">
        <v>0.86</v>
      </c>
      <c r="L159" s="260" t="n">
        <v>0.32</v>
      </c>
    </row>
    <row r="160" hidden="1">
      <c r="A160" s="259" t="inlineStr">
        <is>
          <t>Canara Robeco Flexi Cap Fund - Regular Plan</t>
        </is>
      </c>
      <c r="B160" s="261">
        <f>VLOOKUP(A160, '[2]fund-selector'!$A$2:$F$853,6,FALSE)</f>
        <v/>
      </c>
      <c r="C160" s="258" t="n">
        <v>5.19</v>
      </c>
      <c r="D160" s="260" t="n">
        <v>1.68</v>
      </c>
      <c r="E160" s="260" t="n">
        <v>19.96</v>
      </c>
      <c r="F160" s="260" t="n">
        <v>20.94</v>
      </c>
      <c r="G160" s="260" t="n">
        <v>1.68</v>
      </c>
      <c r="H160" s="260" t="n">
        <v>13.46</v>
      </c>
      <c r="I160" s="260" t="n">
        <v>0.75</v>
      </c>
      <c r="J160" s="260" t="n">
        <v>1.15</v>
      </c>
      <c r="K160" s="260" t="n">
        <v>0.91</v>
      </c>
      <c r="L160" s="260" t="n">
        <v>-0.37</v>
      </c>
    </row>
    <row r="161" hidden="1">
      <c r="A161" s="259" t="inlineStr">
        <is>
          <t>Canara Robeco Focused Fund - Regular Plan</t>
        </is>
      </c>
      <c r="B161" s="261">
        <f>VLOOKUP(A161, '[2]fund-selector'!$A$2:$F$853,6,FALSE)</f>
        <v/>
      </c>
      <c r="C161" s="258" t="n">
        <v>9.57</v>
      </c>
      <c r="D161" s="260" t="n">
        <v>1.93</v>
      </c>
      <c r="E161" s="260" t="n">
        <v>23.05</v>
      </c>
      <c r="F161" s="259" t="n">
        <v>0</v>
      </c>
      <c r="G161" s="260" t="n">
        <v>1.93</v>
      </c>
      <c r="H161" s="260" t="n">
        <v>13.44</v>
      </c>
      <c r="I161" s="260" t="n">
        <v>0.9399999999999999</v>
      </c>
      <c r="J161" s="260" t="n">
        <v>1.45</v>
      </c>
      <c r="K161" s="260" t="n">
        <v>0.89</v>
      </c>
      <c r="L161" s="260" t="n">
        <v>2.37</v>
      </c>
    </row>
    <row r="162" hidden="1">
      <c r="A162" s="259" t="inlineStr">
        <is>
          <t>Canara Robeco Large and Mid Cap Fund - Regular Plan</t>
        </is>
      </c>
      <c r="B162" s="261">
        <f>VLOOKUP(A162, '[2]fund-selector'!$A$2:$F$853,6,FALSE)</f>
        <v/>
      </c>
      <c r="C162" s="258" t="n">
        <v>4.25</v>
      </c>
      <c r="D162" s="260" t="n">
        <v>1.6</v>
      </c>
      <c r="E162" s="260" t="n">
        <v>21.64</v>
      </c>
      <c r="F162" s="260" t="n">
        <v>23.62</v>
      </c>
      <c r="G162" s="260" t="n">
        <v>1.6</v>
      </c>
      <c r="H162" s="260" t="n">
        <v>14.62</v>
      </c>
      <c r="I162" s="260" t="n">
        <v>0.82</v>
      </c>
      <c r="J162" s="260" t="n">
        <v>1.17</v>
      </c>
      <c r="K162" s="260" t="n">
        <v>0.97</v>
      </c>
      <c r="L162" s="260" t="n">
        <v>1.31</v>
      </c>
    </row>
    <row r="163" hidden="1">
      <c r="A163" s="259" t="inlineStr">
        <is>
          <t>Canara Robeco Large Cap Fund - Regular Plan</t>
        </is>
      </c>
      <c r="B163" s="261">
        <f>VLOOKUP(A163, '[2]fund-selector'!$A$2:$F$853,6,FALSE)</f>
        <v/>
      </c>
      <c r="C163" s="258" t="n">
        <v>6.94</v>
      </c>
      <c r="D163" s="260" t="n">
        <v>1.65</v>
      </c>
      <c r="E163" s="260" t="n">
        <v>20.14</v>
      </c>
      <c r="F163" s="260" t="n">
        <v>20.13</v>
      </c>
      <c r="G163" s="260" t="n">
        <v>1.65</v>
      </c>
      <c r="H163" s="260" t="n">
        <v>12.49</v>
      </c>
      <c r="I163" s="260" t="n">
        <v>0.83</v>
      </c>
      <c r="J163" s="260" t="n">
        <v>1.33</v>
      </c>
      <c r="K163" s="260" t="n">
        <v>0.9</v>
      </c>
      <c r="L163" s="260" t="n">
        <v>1.05</v>
      </c>
    </row>
    <row r="164" hidden="1">
      <c r="A164" s="259" t="inlineStr">
        <is>
          <t>Canara Robeco Manufacturing Fund - Regular Plan</t>
        </is>
      </c>
      <c r="B164" s="261">
        <f>VLOOKUP(A164, '[2]fund-selector'!$A$2:$F$853,6,FALSE)</f>
        <v/>
      </c>
      <c r="C164" s="258" t="n">
        <v>-1.95</v>
      </c>
      <c r="D164" s="260" t="n">
        <v>2.08</v>
      </c>
      <c r="E164" s="259" t="n">
        <v>0</v>
      </c>
      <c r="F164" s="259" t="n">
        <v>0</v>
      </c>
      <c r="G164" s="260" t="n">
        <v>2.08</v>
      </c>
      <c r="H164" s="259" t="n">
        <v>0</v>
      </c>
      <c r="I164" s="259" t="n">
        <v>0</v>
      </c>
      <c r="J164" s="259" t="n">
        <v>0</v>
      </c>
      <c r="K164" s="259" t="n">
        <v>0</v>
      </c>
      <c r="L164" s="259" t="n">
        <v>0</v>
      </c>
    </row>
    <row r="165" hidden="1">
      <c r="A165" s="259" t="inlineStr">
        <is>
          <t>Canara Robeco Mid Cap Fund - Regular Plan</t>
        </is>
      </c>
      <c r="B165" s="261">
        <f>VLOOKUP(A165, '[2]fund-selector'!$A$2:$F$853,6,FALSE)</f>
        <v/>
      </c>
      <c r="C165" s="258" t="n">
        <v>4.44</v>
      </c>
      <c r="D165" s="260" t="n">
        <v>1.93</v>
      </c>
      <c r="E165" s="259" t="n">
        <v>0</v>
      </c>
      <c r="F165" s="259" t="n">
        <v>0</v>
      </c>
      <c r="G165" s="260" t="n">
        <v>1.93</v>
      </c>
      <c r="H165" s="259" t="n">
        <v>0</v>
      </c>
      <c r="I165" s="259" t="n">
        <v>0</v>
      </c>
      <c r="J165" s="259" t="n">
        <v>0</v>
      </c>
      <c r="K165" s="259" t="n">
        <v>0</v>
      </c>
      <c r="L165" s="259" t="n">
        <v>0</v>
      </c>
    </row>
    <row r="166" hidden="1">
      <c r="A166" s="259" t="inlineStr">
        <is>
          <t>Canara Robeco Multi Asset Allocation Fund - Regular Plan</t>
        </is>
      </c>
      <c r="B166" s="261">
        <f>VLOOKUP(A166, '[2]fund-selector'!$A$2:$F$853,6,FALSE)</f>
        <v/>
      </c>
      <c r="C166" s="258" t="inlineStr">
        <is>
          <t>--</t>
        </is>
      </c>
      <c r="D166" s="259" t="n">
        <v>0</v>
      </c>
      <c r="E166" s="259" t="n">
        <v>0</v>
      </c>
      <c r="F166" s="259" t="n">
        <v>0</v>
      </c>
      <c r="G166" s="259" t="n">
        <v>0</v>
      </c>
      <c r="H166" s="259" t="n">
        <v>0</v>
      </c>
      <c r="I166" s="259" t="n">
        <v>0</v>
      </c>
      <c r="J166" s="259" t="n">
        <v>0</v>
      </c>
      <c r="K166" s="259" t="n">
        <v>0</v>
      </c>
      <c r="L166" s="259" t="n">
        <v>0</v>
      </c>
    </row>
    <row r="167" hidden="1">
      <c r="A167" s="259" t="inlineStr">
        <is>
          <t>Canara Robeco Multi Cap Fund - Regular Plan</t>
        </is>
      </c>
      <c r="B167" s="261">
        <f>VLOOKUP(A167, '[2]fund-selector'!$A$2:$F$853,6,FALSE)</f>
        <v/>
      </c>
      <c r="C167" s="258" t="n">
        <v>4.65</v>
      </c>
      <c r="D167" s="260" t="n">
        <v>1.84</v>
      </c>
      <c r="E167" s="259" t="n">
        <v>0</v>
      </c>
      <c r="F167" s="259" t="n">
        <v>0</v>
      </c>
      <c r="G167" s="260" t="n">
        <v>1.84</v>
      </c>
      <c r="H167" s="259" t="n">
        <v>0</v>
      </c>
      <c r="I167" s="259" t="n">
        <v>0</v>
      </c>
      <c r="J167" s="259" t="n">
        <v>0</v>
      </c>
      <c r="K167" s="259" t="n">
        <v>0</v>
      </c>
      <c r="L167" s="259" t="n">
        <v>0</v>
      </c>
    </row>
    <row r="168" hidden="1">
      <c r="A168" s="259" t="inlineStr">
        <is>
          <t>Canara Robeco Small Cap Fund - Regular Plan</t>
        </is>
      </c>
      <c r="B168" s="261">
        <f>VLOOKUP(A168, '[2]fund-selector'!$A$2:$F$853,6,FALSE)</f>
        <v/>
      </c>
      <c r="C168" s="258" t="n">
        <v>-1.17</v>
      </c>
      <c r="D168" s="260" t="n">
        <v>1.68</v>
      </c>
      <c r="E168" s="260" t="n">
        <v>21.64</v>
      </c>
      <c r="F168" s="260" t="n">
        <v>32.91</v>
      </c>
      <c r="G168" s="260" t="n">
        <v>1.68</v>
      </c>
      <c r="H168" s="260" t="n">
        <v>16.23</v>
      </c>
      <c r="I168" s="260" t="n">
        <v>0.74</v>
      </c>
      <c r="J168" s="260" t="n">
        <v>0.98</v>
      </c>
      <c r="K168" s="260" t="n">
        <v>0.8</v>
      </c>
      <c r="L168" s="260" t="n">
        <v>-2.66</v>
      </c>
    </row>
    <row r="169" hidden="1">
      <c r="A169" s="259" t="inlineStr">
        <is>
          <t>DSP Aggressive Hybrid Fund - Regular Plan</t>
        </is>
      </c>
      <c r="B169" s="261">
        <f>VLOOKUP(A169, '[2]fund-selector'!$A$2:$F$853,6,FALSE)</f>
        <v/>
      </c>
      <c r="C169" s="258" t="n">
        <v>10.12</v>
      </c>
      <c r="D169" s="260" t="n">
        <v>1.71</v>
      </c>
      <c r="E169" s="260" t="n">
        <v>20.52</v>
      </c>
      <c r="F169" s="260" t="n">
        <v>18.57</v>
      </c>
      <c r="G169" s="260" t="n">
        <v>1.71</v>
      </c>
      <c r="H169" s="260" t="n">
        <v>10.84</v>
      </c>
      <c r="I169" s="260" t="n">
        <v>1.02</v>
      </c>
      <c r="J169" s="260" t="n">
        <v>1.83</v>
      </c>
      <c r="K169" s="260" t="n">
        <v>0.85</v>
      </c>
      <c r="L169" s="260" t="n">
        <v>2.82</v>
      </c>
    </row>
    <row r="170" hidden="1">
      <c r="A170" s="259" t="inlineStr">
        <is>
          <t>DSP Arbitrage Fund - Regular Plan</t>
        </is>
      </c>
      <c r="B170" s="261">
        <f>VLOOKUP(A170, '[2]fund-selector'!$A$2:$F$853,6,FALSE)</f>
        <v/>
      </c>
      <c r="C170" s="258" t="n">
        <v>6.85</v>
      </c>
      <c r="D170" s="260" t="n">
        <v>0.99</v>
      </c>
      <c r="E170" s="260" t="n">
        <v>6.78</v>
      </c>
      <c r="F170" s="260" t="n">
        <v>5.36</v>
      </c>
      <c r="G170" s="260" t="n">
        <v>0.99</v>
      </c>
      <c r="H170" s="260" t="n">
        <v>0.52</v>
      </c>
      <c r="I170" s="260" t="n">
        <v>0.37</v>
      </c>
      <c r="J170" s="260" t="n">
        <v>0.38</v>
      </c>
      <c r="K170" s="260" t="n">
        <v>0.55</v>
      </c>
      <c r="L170" s="260" t="n">
        <v>1.23</v>
      </c>
    </row>
    <row r="171" hidden="1">
      <c r="A171" s="259" t="inlineStr">
        <is>
          <t>DSP BSE Sensex ETF</t>
        </is>
      </c>
      <c r="B171" s="261">
        <f>VLOOKUP(A171, '[2]fund-selector'!$A$2:$F$853,6,FALSE)</f>
        <v/>
      </c>
      <c r="C171" s="258" t="n">
        <v>6.12</v>
      </c>
      <c r="D171" s="260" t="n">
        <v>0.07000000000000001</v>
      </c>
      <c r="E171" s="259" t="n">
        <v>0</v>
      </c>
      <c r="F171" s="259" t="n">
        <v>0</v>
      </c>
      <c r="G171" s="260" t="n">
        <v>0.07000000000000001</v>
      </c>
      <c r="H171" s="259" t="n">
        <v>0</v>
      </c>
      <c r="I171" s="259" t="n">
        <v>0</v>
      </c>
      <c r="J171" s="259" t="n">
        <v>0</v>
      </c>
      <c r="K171" s="259" t="n">
        <v>0</v>
      </c>
      <c r="L171" s="259" t="n">
        <v>0</v>
      </c>
    </row>
    <row r="172" hidden="1">
      <c r="A172" s="259" t="inlineStr">
        <is>
          <t>DSP BSE Sensex Next 30 ETF</t>
        </is>
      </c>
      <c r="B172" s="261">
        <f>VLOOKUP(A172, '[2]fund-selector'!$A$2:$F$853,6,FALSE)</f>
        <v/>
      </c>
      <c r="C172" s="258" t="inlineStr">
        <is>
          <t>--</t>
        </is>
      </c>
      <c r="D172" s="260" t="n">
        <v>0.15</v>
      </c>
      <c r="E172" s="259" t="n">
        <v>0</v>
      </c>
      <c r="F172" s="259" t="n">
        <v>0</v>
      </c>
      <c r="G172" s="260" t="n">
        <v>0.15</v>
      </c>
      <c r="H172" s="259" t="n">
        <v>0</v>
      </c>
      <c r="I172" s="259" t="n">
        <v>0</v>
      </c>
      <c r="J172" s="259" t="n">
        <v>0</v>
      </c>
      <c r="K172" s="259" t="n">
        <v>0</v>
      </c>
      <c r="L172" s="259" t="n">
        <v>0</v>
      </c>
    </row>
    <row r="173" hidden="1">
      <c r="A173" s="259" t="inlineStr">
        <is>
          <t>DSP BSE Sensex Next 30 Index Fund - Regular Plan</t>
        </is>
      </c>
      <c r="B173" s="261">
        <f>VLOOKUP(A173, '[2]fund-selector'!$A$2:$F$853,6,FALSE)</f>
        <v/>
      </c>
      <c r="C173" s="258" t="inlineStr">
        <is>
          <t>--</t>
        </is>
      </c>
      <c r="D173" s="260" t="n">
        <v>0.83</v>
      </c>
      <c r="E173" s="259" t="n">
        <v>0</v>
      </c>
      <c r="F173" s="259" t="n">
        <v>0</v>
      </c>
      <c r="G173" s="260" t="n">
        <v>0.83</v>
      </c>
      <c r="H173" s="259" t="n">
        <v>0</v>
      </c>
      <c r="I173" s="259" t="n">
        <v>0</v>
      </c>
      <c r="J173" s="259" t="n">
        <v>0</v>
      </c>
      <c r="K173" s="259" t="n">
        <v>0</v>
      </c>
      <c r="L173" s="259" t="n">
        <v>0</v>
      </c>
    </row>
    <row r="174" hidden="1">
      <c r="A174" s="259" t="inlineStr">
        <is>
          <t>DSP Business Cycle Fund - Regular Plan</t>
        </is>
      </c>
      <c r="B174" s="261">
        <f>VLOOKUP(A174, '[2]fund-selector'!$A$2:$F$853,6,FALSE)</f>
        <v/>
      </c>
      <c r="C174" s="258" t="inlineStr">
        <is>
          <t>--</t>
        </is>
      </c>
      <c r="D174" s="260" t="n">
        <v>2.18</v>
      </c>
      <c r="E174" s="259" t="n">
        <v>0</v>
      </c>
      <c r="F174" s="259" t="n">
        <v>0</v>
      </c>
      <c r="G174" s="260" t="n">
        <v>2.18</v>
      </c>
      <c r="H174" s="259" t="n">
        <v>0</v>
      </c>
      <c r="I174" s="259" t="n">
        <v>0</v>
      </c>
      <c r="J174" s="259" t="n">
        <v>0</v>
      </c>
      <c r="K174" s="259" t="n">
        <v>0</v>
      </c>
      <c r="L174" s="259" t="n">
        <v>0</v>
      </c>
    </row>
    <row r="175" hidden="1">
      <c r="A175" s="259" t="inlineStr">
        <is>
          <t>DSP Dynamic Asset Allocation Fund - Regular Plan</t>
        </is>
      </c>
      <c r="B175" s="261">
        <f>VLOOKUP(A175, '[2]fund-selector'!$A$2:$F$853,6,FALSE)</f>
        <v/>
      </c>
      <c r="C175" s="258" t="n">
        <v>7.4</v>
      </c>
      <c r="D175" s="260" t="n">
        <v>1.9</v>
      </c>
      <c r="E175" s="260" t="n">
        <v>13.85</v>
      </c>
      <c r="F175" s="260" t="n">
        <v>11.42</v>
      </c>
      <c r="G175" s="260" t="n">
        <v>1.9</v>
      </c>
      <c r="H175" s="260" t="n">
        <v>6.77</v>
      </c>
      <c r="I175" s="260" t="n">
        <v>0.86</v>
      </c>
      <c r="J175" s="260" t="n">
        <v>1.73</v>
      </c>
      <c r="K175" s="260" t="n">
        <v>0.6</v>
      </c>
      <c r="L175" s="260" t="n">
        <v>1.15</v>
      </c>
    </row>
    <row r="176" hidden="1">
      <c r="A176" s="259" t="inlineStr">
        <is>
          <t>DSP Flexi Cap Fund - Regular Plan</t>
        </is>
      </c>
      <c r="B176" s="261">
        <f>VLOOKUP(A176, '[2]fund-selector'!$A$2:$F$853,6,FALSE)</f>
        <v/>
      </c>
      <c r="C176" s="258" t="n">
        <v>4.39</v>
      </c>
      <c r="D176" s="260" t="n">
        <v>1.74</v>
      </c>
      <c r="E176" s="260" t="n">
        <v>23</v>
      </c>
      <c r="F176" s="260" t="n">
        <v>21.74</v>
      </c>
      <c r="G176" s="260" t="n">
        <v>1.74</v>
      </c>
      <c r="H176" s="260" t="n">
        <v>14.97</v>
      </c>
      <c r="I176" s="260" t="n">
        <v>0.86</v>
      </c>
      <c r="J176" s="260" t="n">
        <v>1.58</v>
      </c>
      <c r="K176" s="260" t="n">
        <v>0.98</v>
      </c>
      <c r="L176" s="260" t="n">
        <v>1.67</v>
      </c>
    </row>
    <row r="177" hidden="1">
      <c r="A177" s="259" t="inlineStr">
        <is>
          <t>DSP Focused Fund - Regular Plan</t>
        </is>
      </c>
      <c r="B177" s="261">
        <f>VLOOKUP(A177, '[2]fund-selector'!$A$2:$F$853,6,FALSE)</f>
        <v/>
      </c>
      <c r="C177" s="258" t="n">
        <v>5.33</v>
      </c>
      <c r="D177" s="260" t="n">
        <v>2.03</v>
      </c>
      <c r="E177" s="260" t="n">
        <v>23.53</v>
      </c>
      <c r="F177" s="260" t="n">
        <v>20.53</v>
      </c>
      <c r="G177" s="260" t="n">
        <v>2.03</v>
      </c>
      <c r="H177" s="260" t="n">
        <v>15.24</v>
      </c>
      <c r="I177" s="260" t="n">
        <v>0.88</v>
      </c>
      <c r="J177" s="260" t="n">
        <v>1.56</v>
      </c>
      <c r="K177" s="260" t="n">
        <v>0.97</v>
      </c>
      <c r="L177" s="260" t="n">
        <v>2.21</v>
      </c>
    </row>
    <row r="178" hidden="1">
      <c r="A178" s="259" t="inlineStr">
        <is>
          <t>DSP Large Cap Fund - Regular Plan</t>
        </is>
      </c>
      <c r="B178" s="261">
        <f>VLOOKUP(A178, '[2]fund-selector'!$A$2:$F$853,6,FALSE)</f>
        <v/>
      </c>
      <c r="C178" s="258" t="n">
        <v>9.32</v>
      </c>
      <c r="D178" s="260" t="n">
        <v>1.87</v>
      </c>
      <c r="E178" s="260" t="n">
        <v>23.82</v>
      </c>
      <c r="F178" s="260" t="n">
        <v>20.74</v>
      </c>
      <c r="G178" s="260" t="n">
        <v>1.87</v>
      </c>
      <c r="H178" s="260" t="n">
        <v>12.85</v>
      </c>
      <c r="I178" s="260" t="n">
        <v>1.03</v>
      </c>
      <c r="J178" s="260" t="n">
        <v>1.96</v>
      </c>
      <c r="K178" s="260" t="n">
        <v>0.9</v>
      </c>
      <c r="L178" s="260" t="n">
        <v>3.96</v>
      </c>
    </row>
    <row r="179" hidden="1">
      <c r="A179" s="259" t="inlineStr">
        <is>
          <t>DSP Large &amp; Mid Cap Fund - Regular Plan</t>
        </is>
      </c>
      <c r="B179" s="261">
        <f>VLOOKUP(A179, '[2]fund-selector'!$A$2:$F$853,6,FALSE)</f>
        <v/>
      </c>
      <c r="C179" s="258" t="n">
        <v>4.09</v>
      </c>
      <c r="D179" s="260" t="n">
        <v>1.7</v>
      </c>
      <c r="E179" s="260" t="n">
        <v>25.75</v>
      </c>
      <c r="F179" s="260" t="n">
        <v>24.54</v>
      </c>
      <c r="G179" s="260" t="n">
        <v>1.7</v>
      </c>
      <c r="H179" s="260" t="n">
        <v>14.57</v>
      </c>
      <c r="I179" s="260" t="n">
        <v>1.06</v>
      </c>
      <c r="J179" s="260" t="n">
        <v>1.79</v>
      </c>
      <c r="K179" s="260" t="n">
        <v>0.97</v>
      </c>
      <c r="L179" s="260" t="n">
        <v>4.76</v>
      </c>
    </row>
    <row r="180" hidden="1">
      <c r="A180" s="259" t="inlineStr">
        <is>
          <t>DSP Midcap Fund - Regular Plan</t>
        </is>
      </c>
      <c r="B180" s="261">
        <f>VLOOKUP(A180, '[2]fund-selector'!$A$2:$F$853,6,FALSE)</f>
        <v/>
      </c>
      <c r="C180" s="258" t="n">
        <v>0.73</v>
      </c>
      <c r="D180" s="260" t="n">
        <v>1.68</v>
      </c>
      <c r="E180" s="260" t="n">
        <v>23.2</v>
      </c>
      <c r="F180" s="260" t="n">
        <v>21.79</v>
      </c>
      <c r="G180" s="260" t="n">
        <v>1.68</v>
      </c>
      <c r="H180" s="260" t="n">
        <v>17.33</v>
      </c>
      <c r="I180" s="260" t="n">
        <v>0.79</v>
      </c>
      <c r="J180" s="260" t="n">
        <v>1.21</v>
      </c>
      <c r="K180" s="260" t="n">
        <v>0.98</v>
      </c>
      <c r="L180" s="260" t="n">
        <v>-4.17</v>
      </c>
    </row>
    <row r="181" hidden="1">
      <c r="A181" s="259" t="inlineStr">
        <is>
          <t>DSP Multi Asset Allocation Fund - Regular Plan</t>
        </is>
      </c>
      <c r="B181" s="261">
        <f>VLOOKUP(A181, '[2]fund-selector'!$A$2:$F$853,6,FALSE)</f>
        <v/>
      </c>
      <c r="C181" s="258" t="n">
        <v>13.14</v>
      </c>
      <c r="D181" s="260" t="n">
        <v>1.58</v>
      </c>
      <c r="E181" s="259" t="n">
        <v>0</v>
      </c>
      <c r="F181" s="259" t="n">
        <v>0</v>
      </c>
      <c r="G181" s="260" t="n">
        <v>1.58</v>
      </c>
      <c r="H181" s="259" t="n">
        <v>0</v>
      </c>
      <c r="I181" s="259" t="n">
        <v>0</v>
      </c>
      <c r="J181" s="259" t="n">
        <v>0</v>
      </c>
      <c r="K181" s="259" t="n">
        <v>0</v>
      </c>
      <c r="L181" s="259" t="n">
        <v>0</v>
      </c>
    </row>
    <row r="182" hidden="1">
      <c r="A182" s="259" t="inlineStr">
        <is>
          <t>DSP Multicap Fund - Regular Plan</t>
        </is>
      </c>
      <c r="B182" s="261">
        <f>VLOOKUP(A182, '[2]fund-selector'!$A$2:$F$853,6,FALSE)</f>
        <v/>
      </c>
      <c r="C182" s="258" t="n">
        <v>1.02</v>
      </c>
      <c r="D182" s="260" t="n">
        <v>1.99</v>
      </c>
      <c r="E182" s="259" t="n">
        <v>0</v>
      </c>
      <c r="F182" s="259" t="n">
        <v>0</v>
      </c>
      <c r="G182" s="260" t="n">
        <v>1.99</v>
      </c>
      <c r="H182" s="259" t="n">
        <v>0</v>
      </c>
      <c r="I182" s="259" t="n">
        <v>0</v>
      </c>
      <c r="J182" s="259" t="n">
        <v>0</v>
      </c>
      <c r="K182" s="259" t="n">
        <v>0</v>
      </c>
      <c r="L182" s="259" t="n">
        <v>0</v>
      </c>
    </row>
    <row r="183" hidden="1">
      <c r="A183" s="259" t="inlineStr">
        <is>
          <t>DSP NIFTY 50 Equal Weight ETF</t>
        </is>
      </c>
      <c r="B183" s="261">
        <f>VLOOKUP(A183, '[2]fund-selector'!$A$2:$F$853,6,FALSE)</f>
        <v/>
      </c>
      <c r="C183" s="258" t="n">
        <v>4.76</v>
      </c>
      <c r="D183" s="260" t="n">
        <v>0.2</v>
      </c>
      <c r="E183" s="260" t="n">
        <v>22.75</v>
      </c>
      <c r="F183" s="259" t="n">
        <v>0</v>
      </c>
      <c r="G183" s="260" t="n">
        <v>0.2</v>
      </c>
      <c r="H183" s="260" t="n">
        <v>14.78</v>
      </c>
      <c r="I183" s="260" t="n">
        <v>0.83</v>
      </c>
      <c r="J183" s="260" t="n">
        <v>1.26</v>
      </c>
      <c r="K183" s="260" t="n">
        <v>1.05</v>
      </c>
      <c r="L183" s="260" t="n">
        <v>1.5</v>
      </c>
    </row>
    <row r="184" hidden="1">
      <c r="A184" s="259" t="inlineStr">
        <is>
          <t>DSP Nifty 50 Equal Weight Index Fund - Regular Plan</t>
        </is>
      </c>
      <c r="B184" s="261">
        <f>VLOOKUP(A184, '[2]fund-selector'!$A$2:$F$853,6,FALSE)</f>
        <v/>
      </c>
      <c r="C184" s="258" t="n">
        <v>4.02</v>
      </c>
      <c r="D184" s="260" t="n">
        <v>0.92</v>
      </c>
      <c r="E184" s="260" t="n">
        <v>21.92</v>
      </c>
      <c r="F184" s="260" t="n">
        <v>24.45</v>
      </c>
      <c r="G184" s="260" t="n">
        <v>0.92</v>
      </c>
      <c r="H184" s="260" t="n">
        <v>14.77</v>
      </c>
      <c r="I184" s="260" t="n">
        <v>0.78</v>
      </c>
      <c r="J184" s="260" t="n">
        <v>1.19</v>
      </c>
      <c r="K184" s="260" t="n">
        <v>1.05</v>
      </c>
      <c r="L184" s="260" t="n">
        <v>0.82</v>
      </c>
    </row>
    <row r="185" hidden="1">
      <c r="A185" s="259" t="inlineStr">
        <is>
          <t>DSP Nifty 50 ETF</t>
        </is>
      </c>
      <c r="B185" s="261">
        <f>VLOOKUP(A185, '[2]fund-selector'!$A$2:$F$853,6,FALSE)</f>
        <v/>
      </c>
      <c r="C185" s="258" t="n">
        <v>6.47</v>
      </c>
      <c r="D185" s="260" t="n">
        <v>0.06</v>
      </c>
      <c r="E185" s="260" t="n">
        <v>18.62</v>
      </c>
      <c r="F185" s="259" t="n">
        <v>0</v>
      </c>
      <c r="G185" s="260" t="n">
        <v>0.06</v>
      </c>
      <c r="H185" s="260" t="n">
        <v>13.11</v>
      </c>
      <c r="I185" s="260" t="n">
        <v>0.6899999999999999</v>
      </c>
      <c r="J185" s="260" t="n">
        <v>1.17</v>
      </c>
      <c r="K185" s="260" t="n">
        <v>0.95</v>
      </c>
      <c r="L185" s="260" t="n">
        <v>-0.74</v>
      </c>
    </row>
    <row r="186" hidden="1">
      <c r="A186" s="259" t="inlineStr">
        <is>
          <t>DSP Nifty 50 Index Fund - Regular Plan</t>
        </is>
      </c>
      <c r="B186" s="261">
        <f>VLOOKUP(A186, '[2]fund-selector'!$A$2:$F$853,6,FALSE)</f>
        <v/>
      </c>
      <c r="C186" s="258" t="n">
        <v>6.11</v>
      </c>
      <c r="D186" s="260" t="n">
        <v>0.36</v>
      </c>
      <c r="E186" s="260" t="n">
        <v>18.19</v>
      </c>
      <c r="F186" s="260" t="n">
        <v>20.14</v>
      </c>
      <c r="G186" s="260" t="n">
        <v>0.36</v>
      </c>
      <c r="H186" s="260" t="n">
        <v>13.13</v>
      </c>
      <c r="I186" s="260" t="n">
        <v>0.66</v>
      </c>
      <c r="J186" s="260" t="n">
        <v>1.13</v>
      </c>
      <c r="K186" s="260" t="n">
        <v>0.95</v>
      </c>
      <c r="L186" s="260" t="n">
        <v>-1.11</v>
      </c>
    </row>
    <row r="187" hidden="1">
      <c r="A187" s="259" t="inlineStr">
        <is>
          <t>DSP Nifty Midcap 150 Quality 50 ETF</t>
        </is>
      </c>
      <c r="B187" s="261">
        <f>VLOOKUP(A187, '[2]fund-selector'!$A$2:$F$853,6,FALSE)</f>
        <v/>
      </c>
      <c r="C187" s="258" t="n">
        <v>0.16</v>
      </c>
      <c r="D187" s="260" t="n">
        <v>0.3</v>
      </c>
      <c r="E187" s="260" t="n">
        <v>18.61</v>
      </c>
      <c r="F187" s="259" t="n">
        <v>0</v>
      </c>
      <c r="G187" s="260" t="n">
        <v>0.3</v>
      </c>
      <c r="H187" s="260" t="n">
        <v>15.59</v>
      </c>
      <c r="I187" s="260" t="n">
        <v>0.65</v>
      </c>
      <c r="J187" s="260" t="n">
        <v>1</v>
      </c>
      <c r="K187" s="260" t="n">
        <v>0.87</v>
      </c>
      <c r="L187" s="260" t="n">
        <v>-5.73</v>
      </c>
    </row>
    <row r="188" hidden="1">
      <c r="A188" s="259" t="inlineStr">
        <is>
          <t>DSP Nifty Midcap 150 Quality 50 Index Fund - Regular Plan</t>
        </is>
      </c>
      <c r="B188" s="261">
        <f>VLOOKUP(A188, '[2]fund-selector'!$A$2:$F$853,6,FALSE)</f>
        <v/>
      </c>
      <c r="C188" s="258" t="n">
        <v>-0.44</v>
      </c>
      <c r="D188" s="260" t="n">
        <v>0.86</v>
      </c>
      <c r="E188" s="259" t="n">
        <v>0</v>
      </c>
      <c r="F188" s="259" t="n">
        <v>0</v>
      </c>
      <c r="G188" s="260" t="n">
        <v>0.86</v>
      </c>
      <c r="H188" s="259" t="n">
        <v>0</v>
      </c>
      <c r="I188" s="259" t="n">
        <v>0</v>
      </c>
      <c r="J188" s="259" t="n">
        <v>0</v>
      </c>
      <c r="K188" s="259" t="n">
        <v>0</v>
      </c>
      <c r="L188" s="259" t="n">
        <v>0</v>
      </c>
    </row>
    <row r="189" hidden="1">
      <c r="A189" s="259" t="inlineStr">
        <is>
          <t>DSP Nifty Next 50 Index Fund - Regular Plan</t>
        </is>
      </c>
      <c r="B189" s="261">
        <f>VLOOKUP(A189, '[2]fund-selector'!$A$2:$F$853,6,FALSE)</f>
        <v/>
      </c>
      <c r="C189" s="258" t="n">
        <v>-8</v>
      </c>
      <c r="D189" s="260" t="n">
        <v>0.61</v>
      </c>
      <c r="E189" s="260" t="n">
        <v>22.6</v>
      </c>
      <c r="F189" s="260" t="n">
        <v>21.19</v>
      </c>
      <c r="G189" s="260" t="n">
        <v>0.61</v>
      </c>
      <c r="H189" s="260" t="n">
        <v>19.54</v>
      </c>
      <c r="I189" s="260" t="n">
        <v>0.7</v>
      </c>
      <c r="J189" s="260" t="n">
        <v>1.04</v>
      </c>
      <c r="K189" s="260" t="n">
        <v>1.3</v>
      </c>
      <c r="L189" s="260" t="n">
        <v>0.28</v>
      </c>
    </row>
    <row r="190" hidden="1">
      <c r="A190" s="259" t="inlineStr">
        <is>
          <t>DSP Nifty Smallcap250 Quality 50 Index Fund - Regular Plan</t>
        </is>
      </c>
      <c r="B190" s="261">
        <f>VLOOKUP(A190, '[2]fund-selector'!$A$2:$F$853,6,FALSE)</f>
        <v/>
      </c>
      <c r="C190" s="258" t="n">
        <v>-1.09</v>
      </c>
      <c r="D190" s="260" t="n">
        <v>0.98</v>
      </c>
      <c r="E190" s="259" t="n">
        <v>0</v>
      </c>
      <c r="F190" s="259" t="n">
        <v>0</v>
      </c>
      <c r="G190" s="260" t="n">
        <v>0.98</v>
      </c>
      <c r="H190" s="259" t="n">
        <v>0</v>
      </c>
      <c r="I190" s="259" t="n">
        <v>0</v>
      </c>
      <c r="J190" s="259" t="n">
        <v>0</v>
      </c>
      <c r="K190" s="259" t="n">
        <v>0</v>
      </c>
      <c r="L190" s="259" t="n">
        <v>0</v>
      </c>
    </row>
    <row r="191" hidden="1">
      <c r="A191" s="259" t="inlineStr">
        <is>
          <t>DSP Nifty Top 10 Equal Weight ETF</t>
        </is>
      </c>
      <c r="B191" s="261">
        <f>VLOOKUP(A191, '[2]fund-selector'!$A$2:$F$853,6,FALSE)</f>
        <v/>
      </c>
      <c r="C191" s="258" t="inlineStr">
        <is>
          <t>--</t>
        </is>
      </c>
      <c r="D191" s="260" t="n">
        <v>0.15</v>
      </c>
      <c r="E191" s="259" t="n">
        <v>0</v>
      </c>
      <c r="F191" s="259" t="n">
        <v>0</v>
      </c>
      <c r="G191" s="260" t="n">
        <v>0.15</v>
      </c>
      <c r="H191" s="259" t="n">
        <v>0</v>
      </c>
      <c r="I191" s="259" t="n">
        <v>0</v>
      </c>
      <c r="J191" s="259" t="n">
        <v>0</v>
      </c>
      <c r="K191" s="259" t="n">
        <v>0</v>
      </c>
      <c r="L191" s="259" t="n">
        <v>0</v>
      </c>
    </row>
    <row r="192" hidden="1">
      <c r="A192" s="259" t="inlineStr">
        <is>
          <t>DSP Nifty Top 10 Equal Weight Index Fund - Regular Plan</t>
        </is>
      </c>
      <c r="B192" s="261">
        <f>VLOOKUP(A192, '[2]fund-selector'!$A$2:$F$853,6,FALSE)</f>
        <v/>
      </c>
      <c r="C192" s="258" t="inlineStr">
        <is>
          <t>--</t>
        </is>
      </c>
      <c r="D192" s="260" t="n">
        <v>0.9399999999999999</v>
      </c>
      <c r="E192" s="259" t="n">
        <v>0</v>
      </c>
      <c r="F192" s="259" t="n">
        <v>0</v>
      </c>
      <c r="G192" s="260" t="n">
        <v>0.9399999999999999</v>
      </c>
      <c r="H192" s="259" t="n">
        <v>0</v>
      </c>
      <c r="I192" s="259" t="n">
        <v>0</v>
      </c>
      <c r="J192" s="259" t="n">
        <v>0</v>
      </c>
      <c r="K192" s="259" t="n">
        <v>0</v>
      </c>
      <c r="L192" s="259" t="n">
        <v>0</v>
      </c>
    </row>
    <row r="193" hidden="1">
      <c r="A193" s="259" t="inlineStr">
        <is>
          <t>DSP Quant Fund - Regular Plan</t>
        </is>
      </c>
      <c r="B193" s="261">
        <f>VLOOKUP(A193, '[2]fund-selector'!$A$2:$F$853,6,FALSE)</f>
        <v/>
      </c>
      <c r="C193" s="258" t="n">
        <v>2.76</v>
      </c>
      <c r="D193" s="260" t="n">
        <v>1.28</v>
      </c>
      <c r="E193" s="260" t="n">
        <v>15.3</v>
      </c>
      <c r="F193" s="260" t="n">
        <v>16.61</v>
      </c>
      <c r="G193" s="260" t="n">
        <v>1.28</v>
      </c>
      <c r="H193" s="260" t="n">
        <v>14.11</v>
      </c>
      <c r="I193" s="260" t="n">
        <v>0.39</v>
      </c>
      <c r="J193" s="260" t="n">
        <v>0.67</v>
      </c>
      <c r="K193" s="260" t="n">
        <v>0.92</v>
      </c>
      <c r="L193" s="260" t="n">
        <v>-5.12</v>
      </c>
    </row>
    <row r="194" hidden="1">
      <c r="A194" s="259" t="inlineStr">
        <is>
          <t>DSP Regular Savings Fund - Regular Plan</t>
        </is>
      </c>
      <c r="B194" s="261">
        <f>VLOOKUP(A194, '[2]fund-selector'!$A$2:$F$853,6,FALSE)</f>
        <v/>
      </c>
      <c r="C194" s="258" t="n">
        <v>9.66</v>
      </c>
      <c r="D194" s="260" t="n">
        <v>1.16</v>
      </c>
      <c r="E194" s="260" t="n">
        <v>11.31</v>
      </c>
      <c r="F194" s="260" t="n">
        <v>9.800000000000001</v>
      </c>
      <c r="G194" s="260" t="n">
        <v>1.16</v>
      </c>
      <c r="H194" s="260" t="n">
        <v>3.62</v>
      </c>
      <c r="I194" s="260" t="n">
        <v>1.07</v>
      </c>
      <c r="J194" s="260" t="n">
        <v>1.83</v>
      </c>
      <c r="K194" s="260" t="n">
        <v>0.85</v>
      </c>
      <c r="L194" s="260" t="n">
        <v>0.74</v>
      </c>
    </row>
    <row r="195" hidden="1">
      <c r="A195" s="259" t="inlineStr">
        <is>
          <t>DSP Small Cap Fund - Regular Plan</t>
        </is>
      </c>
      <c r="B195" s="261">
        <f>VLOOKUP(A195, '[2]fund-selector'!$A$2:$F$853,6,FALSE)</f>
        <v/>
      </c>
      <c r="C195" s="258" t="n">
        <v>6.94</v>
      </c>
      <c r="D195" s="260" t="n">
        <v>1.71</v>
      </c>
      <c r="E195" s="260" t="n">
        <v>25.93</v>
      </c>
      <c r="F195" s="260" t="n">
        <v>32.07</v>
      </c>
      <c r="G195" s="260" t="n">
        <v>1.71</v>
      </c>
      <c r="H195" s="260" t="n">
        <v>19.32</v>
      </c>
      <c r="I195" s="260" t="n">
        <v>0.83</v>
      </c>
      <c r="J195" s="260" t="n">
        <v>1.29</v>
      </c>
      <c r="K195" s="260" t="n">
        <v>0.9399999999999999</v>
      </c>
      <c r="L195" s="260" t="n">
        <v>-1.15</v>
      </c>
    </row>
    <row r="196" hidden="1">
      <c r="A196" s="259" t="inlineStr">
        <is>
          <t>Edelweiss Aggressive Hybrid Fund - Regular Plan</t>
        </is>
      </c>
      <c r="B196" s="261">
        <f>VLOOKUP(A196, '[2]fund-selector'!$A$2:$F$853,6,FALSE)</f>
        <v/>
      </c>
      <c r="C196" s="258" t="n">
        <v>7.55</v>
      </c>
      <c r="D196" s="260" t="n">
        <v>1.9</v>
      </c>
      <c r="E196" s="260" t="n">
        <v>21.1</v>
      </c>
      <c r="F196" s="260" t="n">
        <v>21.14</v>
      </c>
      <c r="G196" s="260" t="n">
        <v>1.9</v>
      </c>
      <c r="H196" s="260" t="n">
        <v>10.35</v>
      </c>
      <c r="I196" s="260" t="n">
        <v>1.12</v>
      </c>
      <c r="J196" s="260" t="n">
        <v>1.64</v>
      </c>
      <c r="K196" s="260" t="n">
        <v>0.85</v>
      </c>
      <c r="L196" s="260" t="n">
        <v>3.47</v>
      </c>
    </row>
    <row r="197" hidden="1">
      <c r="A197" s="259" t="inlineStr">
        <is>
          <t>Edelweiss Arbitrage Fund - Regular Plan</t>
        </is>
      </c>
      <c r="B197" s="261">
        <f>VLOOKUP(A197, '[2]fund-selector'!$A$2:$F$853,6,FALSE)</f>
        <v/>
      </c>
      <c r="C197" s="258" t="n">
        <v>6.96</v>
      </c>
      <c r="D197" s="260" t="n">
        <v>1.06</v>
      </c>
      <c r="E197" s="260" t="n">
        <v>6.9</v>
      </c>
      <c r="F197" s="260" t="n">
        <v>5.57</v>
      </c>
      <c r="G197" s="260" t="n">
        <v>1.06</v>
      </c>
      <c r="H197" s="260" t="n">
        <v>0.55</v>
      </c>
      <c r="I197" s="260" t="n">
        <v>0.53</v>
      </c>
      <c r="J197" s="260" t="n">
        <v>0.59</v>
      </c>
      <c r="K197" s="260" t="n">
        <v>0.55</v>
      </c>
      <c r="L197" s="260" t="n">
        <v>1.34</v>
      </c>
    </row>
    <row r="198" hidden="1">
      <c r="A198" s="259" t="inlineStr">
        <is>
          <t>Edelweiss Balanced Advantage Fund - Regular Plan</t>
        </is>
      </c>
      <c r="B198" s="261">
        <f>VLOOKUP(A198, '[2]fund-selector'!$A$2:$F$853,6,FALSE)</f>
        <v/>
      </c>
      <c r="C198" s="258" t="n">
        <v>3.33</v>
      </c>
      <c r="D198" s="260" t="n">
        <v>1.68</v>
      </c>
      <c r="E198" s="260" t="n">
        <v>14.61</v>
      </c>
      <c r="F198" s="260" t="n">
        <v>15.14</v>
      </c>
      <c r="G198" s="260" t="n">
        <v>1.68</v>
      </c>
      <c r="H198" s="260" t="n">
        <v>8.56</v>
      </c>
      <c r="I198" s="260" t="n">
        <v>0.76</v>
      </c>
      <c r="J198" s="260" t="n">
        <v>1.14</v>
      </c>
      <c r="K198" s="260" t="n">
        <v>0.8100000000000001</v>
      </c>
      <c r="L198" s="260" t="n">
        <v>0.09</v>
      </c>
    </row>
    <row r="199" hidden="1">
      <c r="A199" s="259" t="inlineStr">
        <is>
          <t>Edelweiss BSE Capital Markets &amp; Insurance ETF</t>
        </is>
      </c>
      <c r="B199" s="261">
        <f>VLOOKUP(A199, '[2]fund-selector'!$A$2:$F$853,6,FALSE)</f>
        <v/>
      </c>
      <c r="C199" s="258" t="inlineStr">
        <is>
          <t>--</t>
        </is>
      </c>
      <c r="D199" s="260" t="n">
        <v>0.25</v>
      </c>
      <c r="E199" s="259" t="n">
        <v>0</v>
      </c>
      <c r="F199" s="259" t="n">
        <v>0</v>
      </c>
      <c r="G199" s="260" t="n">
        <v>0.25</v>
      </c>
      <c r="H199" s="259" t="n">
        <v>0</v>
      </c>
      <c r="I199" s="259" t="n">
        <v>0</v>
      </c>
      <c r="J199" s="259" t="n">
        <v>0</v>
      </c>
      <c r="K199" s="259" t="n">
        <v>0</v>
      </c>
      <c r="L199" s="259" t="n">
        <v>0</v>
      </c>
    </row>
    <row r="200" hidden="1">
      <c r="A200" s="259" t="inlineStr">
        <is>
          <t>Edelweiss BSE Internet Economy Index Fund - Regular Plan</t>
        </is>
      </c>
      <c r="B200" s="261">
        <f>VLOOKUP(A200, '[2]fund-selector'!$A$2:$F$853,6,FALSE)</f>
        <v/>
      </c>
      <c r="C200" s="258" t="inlineStr">
        <is>
          <t>--</t>
        </is>
      </c>
      <c r="D200" s="260" t="n">
        <v>1.09</v>
      </c>
      <c r="E200" s="259" t="n">
        <v>0</v>
      </c>
      <c r="F200" s="259" t="n">
        <v>0</v>
      </c>
      <c r="G200" s="260" t="n">
        <v>1.09</v>
      </c>
      <c r="H200" s="259" t="n">
        <v>0</v>
      </c>
      <c r="I200" s="259" t="n">
        <v>0</v>
      </c>
      <c r="J200" s="259" t="n">
        <v>0</v>
      </c>
      <c r="K200" s="259" t="n">
        <v>0</v>
      </c>
      <c r="L200" s="259" t="n">
        <v>0</v>
      </c>
    </row>
    <row r="201" hidden="1">
      <c r="A201" s="259" t="inlineStr">
        <is>
          <t>Edelweiss Business Cycle Fund - Regular Plan</t>
        </is>
      </c>
      <c r="B201" s="261">
        <f>VLOOKUP(A201, '[2]fund-selector'!$A$2:$F$853,6,FALSE)</f>
        <v/>
      </c>
      <c r="C201" s="258" t="inlineStr">
        <is>
          <t>--</t>
        </is>
      </c>
      <c r="D201" s="260" t="n">
        <v>2.02</v>
      </c>
      <c r="E201" s="259" t="n">
        <v>0</v>
      </c>
      <c r="F201" s="259" t="n">
        <v>0</v>
      </c>
      <c r="G201" s="260" t="n">
        <v>2.02</v>
      </c>
      <c r="H201" s="259" t="n">
        <v>0</v>
      </c>
      <c r="I201" s="259" t="n">
        <v>0</v>
      </c>
      <c r="J201" s="259" t="n">
        <v>0</v>
      </c>
      <c r="K201" s="259" t="n">
        <v>0</v>
      </c>
      <c r="L201" s="259" t="n">
        <v>0</v>
      </c>
    </row>
    <row r="202" hidden="1">
      <c r="A202" s="259" t="inlineStr">
        <is>
          <t>Edelweiss Flexi Cap Fund - Regular Plan</t>
        </is>
      </c>
      <c r="B202" s="261">
        <f>VLOOKUP(A202, '[2]fund-selector'!$A$2:$F$853,6,FALSE)</f>
        <v/>
      </c>
      <c r="C202" s="258" t="n">
        <v>2.6</v>
      </c>
      <c r="D202" s="260" t="n">
        <v>1.93</v>
      </c>
      <c r="E202" s="260" t="n">
        <v>23.6</v>
      </c>
      <c r="F202" s="260" t="n">
        <v>24.1</v>
      </c>
      <c r="G202" s="260" t="n">
        <v>1.93</v>
      </c>
      <c r="H202" s="260" t="n">
        <v>14.47</v>
      </c>
      <c r="I202" s="260" t="n">
        <v>0.91</v>
      </c>
      <c r="J202" s="260" t="n">
        <v>1.32</v>
      </c>
      <c r="K202" s="260" t="n">
        <v>0.97</v>
      </c>
      <c r="L202" s="260" t="n">
        <v>1.92</v>
      </c>
    </row>
    <row r="203" hidden="1">
      <c r="A203" s="259" t="inlineStr">
        <is>
          <t>Edelweiss Focused Fund - Regular Plan</t>
        </is>
      </c>
      <c r="B203" s="261">
        <f>VLOOKUP(A203, '[2]fund-selector'!$A$2:$F$853,6,FALSE)</f>
        <v/>
      </c>
      <c r="C203" s="258" t="n">
        <v>2.95</v>
      </c>
      <c r="D203" s="260" t="n">
        <v>2.21</v>
      </c>
      <c r="E203" s="259" t="n">
        <v>0</v>
      </c>
      <c r="F203" s="259" t="n">
        <v>0</v>
      </c>
      <c r="G203" s="260" t="n">
        <v>2.21</v>
      </c>
      <c r="H203" s="259" t="n">
        <v>0</v>
      </c>
      <c r="I203" s="259" t="n">
        <v>0</v>
      </c>
      <c r="J203" s="259" t="n">
        <v>0</v>
      </c>
      <c r="K203" s="259" t="n">
        <v>0</v>
      </c>
      <c r="L203" s="259" t="n">
        <v>0</v>
      </c>
    </row>
    <row r="204" hidden="1">
      <c r="A204" s="259" t="inlineStr">
        <is>
          <t>Edelweiss Large Cap Fund - Regular Plan</t>
        </is>
      </c>
      <c r="B204" s="261">
        <f>VLOOKUP(A204, '[2]fund-selector'!$A$2:$F$853,6,FALSE)</f>
        <v/>
      </c>
      <c r="C204" s="258" t="n">
        <v>2.94</v>
      </c>
      <c r="D204" s="260" t="n">
        <v>2.12</v>
      </c>
      <c r="E204" s="260" t="n">
        <v>20.53</v>
      </c>
      <c r="F204" s="260" t="n">
        <v>20.55</v>
      </c>
      <c r="G204" s="260" t="n">
        <v>2.12</v>
      </c>
      <c r="H204" s="260" t="n">
        <v>13.04</v>
      </c>
      <c r="I204" s="260" t="n">
        <v>0.83</v>
      </c>
      <c r="J204" s="260" t="n">
        <v>1.34</v>
      </c>
      <c r="K204" s="260" t="n">
        <v>0.9399999999999999</v>
      </c>
      <c r="L204" s="260" t="n">
        <v>1.1</v>
      </c>
    </row>
    <row r="205" hidden="1">
      <c r="A205" s="259" t="inlineStr">
        <is>
          <t>Edelweiss Large &amp; Mid Cap Fund - Regular Plan</t>
        </is>
      </c>
      <c r="B205" s="261">
        <f>VLOOKUP(A205, '[2]fund-selector'!$A$2:$F$853,6,FALSE)</f>
        <v/>
      </c>
      <c r="C205" s="258" t="n">
        <v>4.34</v>
      </c>
      <c r="D205" s="260" t="n">
        <v>1.86</v>
      </c>
      <c r="E205" s="260" t="n">
        <v>23.4</v>
      </c>
      <c r="F205" s="260" t="n">
        <v>24.47</v>
      </c>
      <c r="G205" s="260" t="n">
        <v>1.86</v>
      </c>
      <c r="H205" s="260" t="n">
        <v>14.81</v>
      </c>
      <c r="I205" s="260" t="n">
        <v>0.88</v>
      </c>
      <c r="J205" s="260" t="n">
        <v>1.23</v>
      </c>
      <c r="K205" s="260" t="n">
        <v>0.99</v>
      </c>
      <c r="L205" s="260" t="n">
        <v>2.12</v>
      </c>
    </row>
    <row r="206" hidden="1">
      <c r="A206" s="259" t="inlineStr">
        <is>
          <t>Edelweiss Mid Cap Fund - Regular Plan</t>
        </is>
      </c>
      <c r="B206" s="261">
        <f>VLOOKUP(A206, '[2]fund-selector'!$A$2:$F$853,6,FALSE)</f>
        <v/>
      </c>
      <c r="C206" s="258" t="n">
        <v>8.73</v>
      </c>
      <c r="D206" s="260" t="n">
        <v>1.7</v>
      </c>
      <c r="E206" s="260" t="n">
        <v>31.44</v>
      </c>
      <c r="F206" s="260" t="n">
        <v>32.83</v>
      </c>
      <c r="G206" s="260" t="n">
        <v>1.7</v>
      </c>
      <c r="H206" s="260" t="n">
        <v>16.63</v>
      </c>
      <c r="I206" s="260" t="n">
        <v>1.17</v>
      </c>
      <c r="J206" s="260" t="n">
        <v>1.58</v>
      </c>
      <c r="K206" s="260" t="n">
        <v>0.95</v>
      </c>
      <c r="L206" s="260" t="n">
        <v>2.35</v>
      </c>
    </row>
    <row r="207" hidden="1">
      <c r="A207" s="259" t="inlineStr">
        <is>
          <t>Edelweiss Multi Asset Allocation Fund - Regular Plan</t>
        </is>
      </c>
      <c r="B207" s="261">
        <f>VLOOKUP(A207, '[2]fund-selector'!$A$2:$F$853,6,FALSE)</f>
        <v/>
      </c>
      <c r="C207" s="258" t="n">
        <v>8.609999999999999</v>
      </c>
      <c r="D207" s="260" t="n">
        <v>0.72</v>
      </c>
      <c r="E207" s="259" t="n">
        <v>0</v>
      </c>
      <c r="F207" s="259" t="n">
        <v>0</v>
      </c>
      <c r="G207" s="260" t="n">
        <v>0.72</v>
      </c>
      <c r="H207" s="259" t="n">
        <v>0</v>
      </c>
      <c r="I207" s="259" t="n">
        <v>0</v>
      </c>
      <c r="J207" s="259" t="n">
        <v>0</v>
      </c>
      <c r="K207" s="259" t="n">
        <v>0</v>
      </c>
      <c r="L207" s="259" t="n">
        <v>0</v>
      </c>
    </row>
    <row r="208" hidden="1">
      <c r="A208" s="259" t="inlineStr">
        <is>
          <t>Edelweiss Multi Cap Fund - Regular Plan</t>
        </is>
      </c>
      <c r="B208" s="261">
        <f>VLOOKUP(A208, '[2]fund-selector'!$A$2:$F$853,6,FALSE)</f>
        <v/>
      </c>
      <c r="C208" s="258" t="n">
        <v>3.62</v>
      </c>
      <c r="D208" s="260" t="n">
        <v>1.92</v>
      </c>
      <c r="E208" s="259" t="n">
        <v>0</v>
      </c>
      <c r="F208" s="259" t="n">
        <v>0</v>
      </c>
      <c r="G208" s="260" t="n">
        <v>1.92</v>
      </c>
      <c r="H208" s="259" t="n">
        <v>0</v>
      </c>
      <c r="I208" s="259" t="n">
        <v>0</v>
      </c>
      <c r="J208" s="259" t="n">
        <v>0</v>
      </c>
      <c r="K208" s="259" t="n">
        <v>0</v>
      </c>
      <c r="L208" s="259" t="n">
        <v>0</v>
      </c>
    </row>
    <row r="209" hidden="1">
      <c r="A209" s="259" t="inlineStr">
        <is>
          <t>Edelweiss Nifty 100 Quality 30 Index Fund - Regular Plan</t>
        </is>
      </c>
      <c r="B209" s="261">
        <f>VLOOKUP(A209, '[2]fund-selector'!$A$2:$F$853,6,FALSE)</f>
        <v/>
      </c>
      <c r="C209" s="258" t="n">
        <v>-0.27</v>
      </c>
      <c r="D209" s="260" t="n">
        <v>0.85</v>
      </c>
      <c r="E209" s="260" t="n">
        <v>18.9</v>
      </c>
      <c r="F209" s="259" t="n">
        <v>0</v>
      </c>
      <c r="G209" s="260" t="n">
        <v>0.85</v>
      </c>
      <c r="H209" s="260" t="n">
        <v>14.51</v>
      </c>
      <c r="I209" s="260" t="n">
        <v>0.64</v>
      </c>
      <c r="J209" s="260" t="n">
        <v>0.86</v>
      </c>
      <c r="K209" s="260" t="n">
        <v>0.98</v>
      </c>
      <c r="L209" s="260" t="n">
        <v>-0.88</v>
      </c>
    </row>
    <row r="210" hidden="1">
      <c r="A210" s="259" t="inlineStr">
        <is>
          <t>Edelweiss Nifty500 Multicap Momentum Quality 50 ETF</t>
        </is>
      </c>
      <c r="B210" s="261">
        <f>VLOOKUP(A210, '[2]fund-selector'!$A$2:$F$853,6,FALSE)</f>
        <v/>
      </c>
      <c r="C210" s="258" t="inlineStr">
        <is>
          <t>--</t>
        </is>
      </c>
      <c r="D210" s="260" t="n">
        <v>0.3</v>
      </c>
      <c r="E210" s="259" t="n">
        <v>0</v>
      </c>
      <c r="F210" s="259" t="n">
        <v>0</v>
      </c>
      <c r="G210" s="260" t="n">
        <v>0.3</v>
      </c>
      <c r="H210" s="259" t="n">
        <v>0</v>
      </c>
      <c r="I210" s="259" t="n">
        <v>0</v>
      </c>
      <c r="J210" s="259" t="n">
        <v>0</v>
      </c>
      <c r="K210" s="259" t="n">
        <v>0</v>
      </c>
      <c r="L210" s="259" t="n">
        <v>0</v>
      </c>
    </row>
    <row r="211" hidden="1">
      <c r="A211" s="259" t="inlineStr">
        <is>
          <t>Edelweiss Nifty500 Multicap Momentum Quality 50 Index Fund - Regular Plan</t>
        </is>
      </c>
      <c r="B211" s="261">
        <f>VLOOKUP(A211, '[2]fund-selector'!$A$2:$F$853,6,FALSE)</f>
        <v/>
      </c>
      <c r="C211" s="258" t="inlineStr">
        <is>
          <t>--</t>
        </is>
      </c>
      <c r="D211" s="260" t="n">
        <v>1.02</v>
      </c>
      <c r="E211" s="259" t="n">
        <v>0</v>
      </c>
      <c r="F211" s="259" t="n">
        <v>0</v>
      </c>
      <c r="G211" s="260" t="n">
        <v>1.02</v>
      </c>
      <c r="H211" s="259" t="n">
        <v>0</v>
      </c>
      <c r="I211" s="259" t="n">
        <v>0</v>
      </c>
      <c r="J211" s="259" t="n">
        <v>0</v>
      </c>
      <c r="K211" s="259" t="n">
        <v>0</v>
      </c>
      <c r="L211" s="259" t="n">
        <v>0</v>
      </c>
    </row>
    <row r="212" hidden="1">
      <c r="A212" s="259" t="inlineStr">
        <is>
          <t>Edelweiss Nifty 50 Index Fund - Regular Plan</t>
        </is>
      </c>
      <c r="B212" s="261">
        <f>VLOOKUP(A212, '[2]fund-selector'!$A$2:$F$853,6,FALSE)</f>
        <v/>
      </c>
      <c r="C212" s="258" t="n">
        <v>5.85</v>
      </c>
      <c r="D212" s="260" t="n">
        <v>0.5</v>
      </c>
      <c r="E212" s="260" t="n">
        <v>17.79</v>
      </c>
      <c r="F212" s="259" t="n">
        <v>0</v>
      </c>
      <c r="G212" s="260" t="n">
        <v>0.5</v>
      </c>
      <c r="H212" s="260" t="n">
        <v>13.09</v>
      </c>
      <c r="I212" s="260" t="n">
        <v>0.63</v>
      </c>
      <c r="J212" s="260" t="n">
        <v>1.08</v>
      </c>
      <c r="K212" s="260" t="n">
        <v>0.9399999999999999</v>
      </c>
      <c r="L212" s="260" t="n">
        <v>-1.43</v>
      </c>
    </row>
    <row r="213" hidden="1">
      <c r="A213" s="259" t="inlineStr">
        <is>
          <t>Edelweiss Nifty Alpha Low Volatility 30 Index Fund - Regular Plan</t>
        </is>
      </c>
      <c r="B213" s="261">
        <f>VLOOKUP(A213, '[2]fund-selector'!$A$2:$F$853,6,FALSE)</f>
        <v/>
      </c>
      <c r="C213" s="258" t="n">
        <v>-4.3</v>
      </c>
      <c r="D213" s="260" t="n">
        <v>1.1</v>
      </c>
      <c r="E213" s="259" t="n">
        <v>0</v>
      </c>
      <c r="F213" s="259" t="n">
        <v>0</v>
      </c>
      <c r="G213" s="260" t="n">
        <v>1.1</v>
      </c>
      <c r="H213" s="259" t="n">
        <v>0</v>
      </c>
      <c r="I213" s="259" t="n">
        <v>0</v>
      </c>
      <c r="J213" s="259" t="n">
        <v>0</v>
      </c>
      <c r="K213" s="259" t="n">
        <v>0</v>
      </c>
      <c r="L213" s="259" t="n">
        <v>0</v>
      </c>
    </row>
    <row r="214" hidden="1">
      <c r="A214" s="259" t="inlineStr">
        <is>
          <t>Edelweiss NIFTY Large Mid Cap 250 Index Fund - Regular Plan</t>
        </is>
      </c>
      <c r="B214" s="261">
        <f>VLOOKUP(A214, '[2]fund-selector'!$A$2:$F$853,6,FALSE)</f>
        <v/>
      </c>
      <c r="C214" s="258" t="n">
        <v>2.49</v>
      </c>
      <c r="D214" s="260" t="n">
        <v>0.9</v>
      </c>
      <c r="E214" s="260" t="n">
        <v>23.22</v>
      </c>
      <c r="F214" s="259" t="n">
        <v>0</v>
      </c>
      <c r="G214" s="260" t="n">
        <v>0.9</v>
      </c>
      <c r="H214" s="260" t="n">
        <v>14.9</v>
      </c>
      <c r="I214" s="260" t="n">
        <v>0.89</v>
      </c>
      <c r="J214" s="260" t="n">
        <v>1.33</v>
      </c>
      <c r="K214" s="260" t="n">
        <v>1.03</v>
      </c>
      <c r="L214" s="260" t="n">
        <v>1.94</v>
      </c>
    </row>
    <row r="215" hidden="1">
      <c r="A215" s="259" t="inlineStr">
        <is>
          <t>Edelweiss Nifty Midcap150 Momentum 50 Index Fund - Regular Plan</t>
        </is>
      </c>
      <c r="B215" s="261">
        <f>VLOOKUP(A215, '[2]fund-selector'!$A$2:$F$853,6,FALSE)</f>
        <v/>
      </c>
      <c r="C215" s="258" t="n">
        <v>-3.25</v>
      </c>
      <c r="D215" s="260" t="n">
        <v>1.1</v>
      </c>
      <c r="E215" s="259" t="n">
        <v>0</v>
      </c>
      <c r="F215" s="259" t="n">
        <v>0</v>
      </c>
      <c r="G215" s="260" t="n">
        <v>1.1</v>
      </c>
      <c r="H215" s="259" t="n">
        <v>0</v>
      </c>
      <c r="I215" s="259" t="n">
        <v>0</v>
      </c>
      <c r="J215" s="259" t="n">
        <v>0</v>
      </c>
      <c r="K215" s="259" t="n">
        <v>0</v>
      </c>
      <c r="L215" s="259" t="n">
        <v>0</v>
      </c>
    </row>
    <row r="216" hidden="1">
      <c r="A216" s="259" t="inlineStr">
        <is>
          <t>Edelweiss Nifty Next 50 Index Fund - Regular Plan</t>
        </is>
      </c>
      <c r="B216" s="261">
        <f>VLOOKUP(A216, '[2]fund-selector'!$A$2:$F$853,6,FALSE)</f>
        <v/>
      </c>
      <c r="C216" s="258" t="n">
        <v>-8.220000000000001</v>
      </c>
      <c r="D216" s="260" t="n">
        <v>0.75</v>
      </c>
      <c r="E216" s="259" t="n">
        <v>0</v>
      </c>
      <c r="F216" s="259" t="n">
        <v>0</v>
      </c>
      <c r="G216" s="260" t="n">
        <v>0.75</v>
      </c>
      <c r="H216" s="259" t="n">
        <v>0</v>
      </c>
      <c r="I216" s="259" t="n">
        <v>0</v>
      </c>
      <c r="J216" s="259" t="n">
        <v>0</v>
      </c>
      <c r="K216" s="259" t="n">
        <v>0</v>
      </c>
      <c r="L216" s="259" t="n">
        <v>0</v>
      </c>
    </row>
    <row r="217" hidden="1">
      <c r="A217" s="259" t="inlineStr">
        <is>
          <t>Edelweiss Nifty Smallcap 250 Index Fund - Regular Plan</t>
        </is>
      </c>
      <c r="B217" s="261">
        <f>VLOOKUP(A217, '[2]fund-selector'!$A$2:$F$853,6,FALSE)</f>
        <v/>
      </c>
      <c r="C217" s="258" t="n">
        <v>-1.38</v>
      </c>
      <c r="D217" s="260" t="n">
        <v>0.78</v>
      </c>
      <c r="E217" s="259" t="n">
        <v>0</v>
      </c>
      <c r="F217" s="259" t="n">
        <v>0</v>
      </c>
      <c r="G217" s="260" t="n">
        <v>0.78</v>
      </c>
      <c r="H217" s="259" t="n">
        <v>0</v>
      </c>
      <c r="I217" s="259" t="n">
        <v>0</v>
      </c>
      <c r="J217" s="259" t="n">
        <v>0</v>
      </c>
      <c r="K217" s="259" t="n">
        <v>0</v>
      </c>
      <c r="L217" s="259" t="n">
        <v>0</v>
      </c>
    </row>
    <row r="218" hidden="1">
      <c r="A218" s="259" t="inlineStr">
        <is>
          <t>Edelweiss Recently Listed IPO Fund - Regular Plan</t>
        </is>
      </c>
      <c r="B218" s="261">
        <f>VLOOKUP(A218, '[2]fund-selector'!$A$2:$F$853,6,FALSE)</f>
        <v/>
      </c>
      <c r="C218" s="258" t="n">
        <v>-2.56</v>
      </c>
      <c r="D218" s="260" t="n">
        <v>2.29</v>
      </c>
      <c r="E218" s="260" t="n">
        <v>17.34</v>
      </c>
      <c r="F218" s="260" t="n">
        <v>21.24</v>
      </c>
      <c r="G218" s="260" t="n">
        <v>2.29</v>
      </c>
      <c r="H218" s="260" t="n">
        <v>18.53</v>
      </c>
      <c r="I218" s="260" t="n">
        <v>0.5</v>
      </c>
      <c r="J218" s="260" t="n">
        <v>0.6899999999999999</v>
      </c>
      <c r="K218" s="260" t="n">
        <v>0.99</v>
      </c>
      <c r="L218" s="260" t="n">
        <v>-2.22</v>
      </c>
    </row>
    <row r="219" hidden="1">
      <c r="A219" s="259" t="inlineStr">
        <is>
          <t>Edelweiss Small Cap Fund - Regular Plan</t>
        </is>
      </c>
      <c r="B219" s="261">
        <f>VLOOKUP(A219, '[2]fund-selector'!$A$2:$F$853,6,FALSE)</f>
        <v/>
      </c>
      <c r="C219" s="258" t="n">
        <v>1.24</v>
      </c>
      <c r="D219" s="260" t="n">
        <v>1.83</v>
      </c>
      <c r="E219" s="260" t="n">
        <v>26.62</v>
      </c>
      <c r="F219" s="260" t="n">
        <v>33.4</v>
      </c>
      <c r="G219" s="260" t="n">
        <v>1.83</v>
      </c>
      <c r="H219" s="260" t="n">
        <v>16.79</v>
      </c>
      <c r="I219" s="260" t="n">
        <v>0.95</v>
      </c>
      <c r="J219" s="260" t="n">
        <v>1.34</v>
      </c>
      <c r="K219" s="260" t="n">
        <v>0.83</v>
      </c>
      <c r="L219" s="260" t="n">
        <v>0.76</v>
      </c>
    </row>
    <row r="220" hidden="1">
      <c r="A220" s="259" t="inlineStr">
        <is>
          <t>Franklin India Arbitrage Fund - Regular Plan</t>
        </is>
      </c>
      <c r="B220" s="261">
        <f>VLOOKUP(A220, '[2]fund-selector'!$A$2:$F$853,6,FALSE)</f>
        <v/>
      </c>
      <c r="C220" s="258" t="inlineStr">
        <is>
          <t>--</t>
        </is>
      </c>
      <c r="D220" s="260" t="n">
        <v>1.01</v>
      </c>
      <c r="E220" s="259" t="n">
        <v>0</v>
      </c>
      <c r="F220" s="259" t="n">
        <v>0</v>
      </c>
      <c r="G220" s="260" t="n">
        <v>1.01</v>
      </c>
      <c r="H220" s="259" t="n">
        <v>0</v>
      </c>
      <c r="I220" s="259" t="n">
        <v>0</v>
      </c>
      <c r="J220" s="259" t="n">
        <v>0</v>
      </c>
      <c r="K220" s="259" t="n">
        <v>0</v>
      </c>
      <c r="L220" s="259" t="n">
        <v>0</v>
      </c>
    </row>
    <row r="221" hidden="1">
      <c r="A221" s="259" t="inlineStr">
        <is>
          <t>Franklin India Balanced Advantage Fund - Regular Plan</t>
        </is>
      </c>
      <c r="B221" s="261">
        <f>VLOOKUP(A221, '[2]fund-selector'!$A$2:$F$853,6,FALSE)</f>
        <v/>
      </c>
      <c r="C221" s="258" t="n">
        <v>6.21</v>
      </c>
      <c r="D221" s="260" t="n">
        <v>1.94</v>
      </c>
      <c r="E221" s="259" t="n">
        <v>0</v>
      </c>
      <c r="F221" s="259" t="n">
        <v>0</v>
      </c>
      <c r="G221" s="260" t="n">
        <v>1.94</v>
      </c>
      <c r="H221" s="259" t="n">
        <v>0</v>
      </c>
      <c r="I221" s="259" t="n">
        <v>0</v>
      </c>
      <c r="J221" s="259" t="n">
        <v>0</v>
      </c>
      <c r="K221" s="259" t="n">
        <v>0</v>
      </c>
      <c r="L221" s="259" t="n">
        <v>0</v>
      </c>
    </row>
    <row r="222" hidden="1">
      <c r="A222" s="259" t="inlineStr">
        <is>
          <t>Franklin India Bluechip Fund - Regular Plan</t>
        </is>
      </c>
      <c r="B222" s="261">
        <f>VLOOKUP(A222, '[2]fund-selector'!$A$2:$F$853,6,FALSE)</f>
        <v/>
      </c>
      <c r="C222" s="258" t="n">
        <v>5.97</v>
      </c>
      <c r="D222" s="260" t="n">
        <v>1.84</v>
      </c>
      <c r="E222" s="260" t="n">
        <v>18.27</v>
      </c>
      <c r="F222" s="260" t="n">
        <v>19.83</v>
      </c>
      <c r="G222" s="260" t="n">
        <v>1.84</v>
      </c>
      <c r="H222" s="260" t="n">
        <v>12.8</v>
      </c>
      <c r="I222" s="260" t="n">
        <v>0.65</v>
      </c>
      <c r="J222" s="260" t="n">
        <v>1</v>
      </c>
      <c r="K222" s="260" t="n">
        <v>0.91</v>
      </c>
      <c r="L222" s="260" t="n">
        <v>-1.03</v>
      </c>
    </row>
    <row r="223" hidden="1">
      <c r="A223" s="259" t="inlineStr">
        <is>
          <t>Franklin India Debt Hybrid Fund - Regular Plan</t>
        </is>
      </c>
      <c r="B223" s="261">
        <f>VLOOKUP(A223, '[2]fund-selector'!$A$2:$F$853,6,FALSE)</f>
        <v/>
      </c>
      <c r="C223" s="258" t="n">
        <v>8.140000000000001</v>
      </c>
      <c r="D223" s="260" t="n">
        <v>1.41</v>
      </c>
      <c r="E223" s="260" t="n">
        <v>11.15</v>
      </c>
      <c r="F223" s="260" t="n">
        <v>9.51</v>
      </c>
      <c r="G223" s="260" t="n">
        <v>1.41</v>
      </c>
      <c r="H223" s="260" t="n">
        <v>3.71</v>
      </c>
      <c r="I223" s="260" t="n">
        <v>1.02</v>
      </c>
      <c r="J223" s="260" t="n">
        <v>1.61</v>
      </c>
      <c r="K223" s="260" t="n">
        <v>0.89</v>
      </c>
      <c r="L223" s="260" t="n">
        <v>0.52</v>
      </c>
    </row>
    <row r="224" hidden="1">
      <c r="A224" s="259" t="inlineStr">
        <is>
          <t>Franklin India Dynamic Asset Allocation Fund of Fund - Regular Plan</t>
        </is>
      </c>
      <c r="B224" s="261">
        <f>VLOOKUP(A224, '[2]fund-selector'!$A$2:$F$853,6,FALSE)</f>
        <v/>
      </c>
      <c r="C224" s="258" t="n">
        <v>7.09</v>
      </c>
      <c r="D224" s="260" t="n">
        <v>2.01</v>
      </c>
      <c r="E224" s="260" t="n">
        <v>16.75</v>
      </c>
      <c r="F224" s="260" t="n">
        <v>19.6</v>
      </c>
      <c r="G224" s="260" t="n">
        <v>2.01</v>
      </c>
      <c r="H224" s="260" t="n">
        <v>7.14</v>
      </c>
      <c r="I224" s="260" t="n">
        <v>1.12</v>
      </c>
      <c r="J224" s="260" t="n">
        <v>1.64</v>
      </c>
      <c r="K224" s="260" t="n">
        <v>0.66</v>
      </c>
      <c r="L224" s="260" t="n">
        <v>2.84</v>
      </c>
    </row>
    <row r="225" hidden="1">
      <c r="A225" s="259" t="inlineStr">
        <is>
          <t>Franklin India Equity Advantage Fund - Regular Plan</t>
        </is>
      </c>
      <c r="B225" s="261">
        <f>VLOOKUP(A225, '[2]fund-selector'!$A$2:$F$853,6,FALSE)</f>
        <v/>
      </c>
      <c r="C225" s="258" t="n">
        <v>7.27</v>
      </c>
      <c r="D225" s="260" t="n">
        <v>2.02</v>
      </c>
      <c r="E225" s="260" t="n">
        <v>20.83</v>
      </c>
      <c r="F225" s="260" t="n">
        <v>24.25</v>
      </c>
      <c r="G225" s="260" t="n">
        <v>2.02</v>
      </c>
      <c r="H225" s="260" t="n">
        <v>14.1</v>
      </c>
      <c r="I225" s="260" t="n">
        <v>0.74</v>
      </c>
      <c r="J225" s="260" t="n">
        <v>1.11</v>
      </c>
      <c r="K225" s="260" t="n">
        <v>0.95</v>
      </c>
      <c r="L225" s="260" t="n">
        <v>-0.01</v>
      </c>
    </row>
    <row r="226" hidden="1">
      <c r="A226" s="259" t="inlineStr">
        <is>
          <t>Franklin India Equity Hybrid Fund - Regular Plan</t>
        </is>
      </c>
      <c r="B226" s="261">
        <f>VLOOKUP(A226, '[2]fund-selector'!$A$2:$F$853,6,FALSE)</f>
        <v/>
      </c>
      <c r="C226" s="258" t="n">
        <v>6.3</v>
      </c>
      <c r="D226" s="260" t="n">
        <v>2.07</v>
      </c>
      <c r="E226" s="260" t="n">
        <v>19.19</v>
      </c>
      <c r="F226" s="260" t="n">
        <v>19.44</v>
      </c>
      <c r="G226" s="260" t="n">
        <v>2.07</v>
      </c>
      <c r="H226" s="260" t="n">
        <v>9.73</v>
      </c>
      <c r="I226" s="260" t="n">
        <v>1.02</v>
      </c>
      <c r="J226" s="260" t="n">
        <v>1.48</v>
      </c>
      <c r="K226" s="260" t="n">
        <v>0.79</v>
      </c>
      <c r="L226" s="260" t="n">
        <v>2.34</v>
      </c>
    </row>
    <row r="227" hidden="1">
      <c r="A227" s="259" t="inlineStr">
        <is>
          <t>Franklin India Flexi Cap Fund - Regular Plan</t>
        </is>
      </c>
      <c r="B227" s="261">
        <f>VLOOKUP(A227, '[2]fund-selector'!$A$2:$F$853,6,FALSE)</f>
        <v/>
      </c>
      <c r="C227" s="258" t="n">
        <v>6.13</v>
      </c>
      <c r="D227" s="260" t="n">
        <v>1.7</v>
      </c>
      <c r="E227" s="260" t="n">
        <v>24.67</v>
      </c>
      <c r="F227" s="260" t="n">
        <v>26.36</v>
      </c>
      <c r="G227" s="260" t="n">
        <v>1.7</v>
      </c>
      <c r="H227" s="260" t="n">
        <v>13.6</v>
      </c>
      <c r="I227" s="260" t="n">
        <v>1.03</v>
      </c>
      <c r="J227" s="260" t="n">
        <v>1.52</v>
      </c>
      <c r="K227" s="260" t="n">
        <v>0.92</v>
      </c>
      <c r="L227" s="260" t="n">
        <v>3.47</v>
      </c>
    </row>
    <row r="228" hidden="1">
      <c r="A228" s="259" t="inlineStr">
        <is>
          <t>Franklin India Focused Equity Fund - Regular Plan</t>
        </is>
      </c>
      <c r="B228" s="261">
        <f>VLOOKUP(A228, '[2]fund-selector'!$A$2:$F$853,6,FALSE)</f>
        <v/>
      </c>
      <c r="C228" s="258" t="n">
        <v>1.93</v>
      </c>
      <c r="D228" s="260" t="n">
        <v>1.76</v>
      </c>
      <c r="E228" s="260" t="n">
        <v>22.02</v>
      </c>
      <c r="F228" s="260" t="n">
        <v>24.21</v>
      </c>
      <c r="G228" s="260" t="n">
        <v>1.76</v>
      </c>
      <c r="H228" s="260" t="n">
        <v>13.24</v>
      </c>
      <c r="I228" s="260" t="n">
        <v>0.92</v>
      </c>
      <c r="J228" s="260" t="n">
        <v>1.43</v>
      </c>
      <c r="K228" s="260" t="n">
        <v>0.87</v>
      </c>
      <c r="L228" s="260" t="n">
        <v>2.09</v>
      </c>
    </row>
    <row r="229" hidden="1">
      <c r="A229" s="259" t="inlineStr">
        <is>
          <t>Franklin India Multi Asset Solution Fund of Funds - Regular Plan</t>
        </is>
      </c>
      <c r="B229" s="261">
        <f>VLOOKUP(A229, '[2]fund-selector'!$A$2:$F$853,6,FALSE)</f>
        <v/>
      </c>
      <c r="C229" s="258" t="n">
        <v>14.01</v>
      </c>
      <c r="D229" s="260" t="n">
        <v>2.13</v>
      </c>
      <c r="E229" s="260" t="n">
        <v>14.73</v>
      </c>
      <c r="F229" s="260" t="n">
        <v>15.64</v>
      </c>
      <c r="G229" s="260" t="n">
        <v>2.13</v>
      </c>
      <c r="H229" s="260" t="n">
        <v>5.15</v>
      </c>
      <c r="I229" s="260" t="n">
        <v>1.25</v>
      </c>
      <c r="J229" s="260" t="n">
        <v>2.04</v>
      </c>
      <c r="K229" s="260" t="n">
        <v>0.43</v>
      </c>
      <c r="L229" s="260" t="n">
        <v>2.56</v>
      </c>
    </row>
    <row r="230" hidden="1">
      <c r="A230" s="259" t="inlineStr">
        <is>
          <t>Franklin India Multi Cap Fund - Regular Plan</t>
        </is>
      </c>
      <c r="B230" s="261">
        <f>VLOOKUP(A230, '[2]fund-selector'!$A$2:$F$853,6,FALSE)</f>
        <v/>
      </c>
      <c r="C230" s="258" t="inlineStr">
        <is>
          <t>--</t>
        </is>
      </c>
      <c r="D230" s="260" t="n">
        <v>1.81</v>
      </c>
      <c r="E230" s="259" t="n">
        <v>0</v>
      </c>
      <c r="F230" s="259" t="n">
        <v>0</v>
      </c>
      <c r="G230" s="260" t="n">
        <v>1.81</v>
      </c>
      <c r="H230" s="259" t="n">
        <v>0</v>
      </c>
      <c r="I230" s="259" t="n">
        <v>0</v>
      </c>
      <c r="J230" s="259" t="n">
        <v>0</v>
      </c>
      <c r="K230" s="259" t="n">
        <v>0</v>
      </c>
      <c r="L230" s="259" t="n">
        <v>0</v>
      </c>
    </row>
    <row r="231" hidden="1">
      <c r="A231" s="259" t="inlineStr">
        <is>
          <t>Franklin India NSE Nifty 50 Index - Regular Plan</t>
        </is>
      </c>
      <c r="B231" s="261">
        <f>VLOOKUP(A231, '[2]fund-selector'!$A$2:$F$853,6,FALSE)</f>
        <v/>
      </c>
      <c r="C231" s="258" t="n">
        <v>5.99</v>
      </c>
      <c r="D231" s="260" t="n">
        <v>0.63</v>
      </c>
      <c r="E231" s="260" t="n">
        <v>17.85</v>
      </c>
      <c r="F231" s="260" t="n">
        <v>19.77</v>
      </c>
      <c r="G231" s="260" t="n">
        <v>0.63</v>
      </c>
      <c r="H231" s="260" t="n">
        <v>13.03</v>
      </c>
      <c r="I231" s="260" t="n">
        <v>0.64</v>
      </c>
      <c r="J231" s="260" t="n">
        <v>1.1</v>
      </c>
      <c r="K231" s="260" t="n">
        <v>0.9399999999999999</v>
      </c>
      <c r="L231" s="260" t="n">
        <v>-1.3</v>
      </c>
    </row>
    <row r="232" hidden="1">
      <c r="A232" s="259" t="inlineStr">
        <is>
          <t>Franklin India Opportunities Fund - Regular Plan</t>
        </is>
      </c>
      <c r="B232" s="261">
        <f>VLOOKUP(A232, '[2]fund-selector'!$A$2:$F$853,6,FALSE)</f>
        <v/>
      </c>
      <c r="C232" s="258" t="n">
        <v>2.72</v>
      </c>
      <c r="D232" s="260" t="n">
        <v>1.77</v>
      </c>
      <c r="E232" s="260" t="n">
        <v>35.52</v>
      </c>
      <c r="F232" s="260" t="n">
        <v>31.08</v>
      </c>
      <c r="G232" s="260" t="n">
        <v>1.77</v>
      </c>
      <c r="H232" s="260" t="n">
        <v>16.41</v>
      </c>
      <c r="I232" s="260" t="n">
        <v>1.43</v>
      </c>
      <c r="J232" s="260" t="n">
        <v>2.03</v>
      </c>
      <c r="K232" s="260" t="n">
        <v>1</v>
      </c>
      <c r="L232" s="260" t="n">
        <v>12</v>
      </c>
    </row>
    <row r="233" hidden="1">
      <c r="A233" s="259" t="inlineStr">
        <is>
          <t>Franklin India Pension Fund - Regular Plan</t>
        </is>
      </c>
      <c r="B233" s="261">
        <f>VLOOKUP(A233, '[2]fund-selector'!$A$2:$F$853,6,FALSE)</f>
        <v/>
      </c>
      <c r="C233" s="258" t="n">
        <v>6.96</v>
      </c>
      <c r="D233" s="260" t="n">
        <v>2.26</v>
      </c>
      <c r="E233" s="260" t="n">
        <v>13.1</v>
      </c>
      <c r="F233" s="260" t="n">
        <v>10.78</v>
      </c>
      <c r="G233" s="260" t="n">
        <v>2.26</v>
      </c>
      <c r="H233" s="260" t="n">
        <v>5.7</v>
      </c>
      <c r="I233" s="260" t="n">
        <v>0.91</v>
      </c>
      <c r="J233" s="260" t="n">
        <v>1.33</v>
      </c>
      <c r="K233" s="260" t="n">
        <v>0.57</v>
      </c>
      <c r="L233" s="260" t="n">
        <v>0.6</v>
      </c>
    </row>
    <row r="234" hidden="1">
      <c r="A234" s="259" t="inlineStr">
        <is>
          <t>Franklin India Prima Fund - Regular Plan</t>
        </is>
      </c>
      <c r="B234" s="261">
        <f>VLOOKUP(A234, '[2]fund-selector'!$A$2:$F$853,6,FALSE)</f>
        <v/>
      </c>
      <c r="C234" s="258" t="n">
        <v>3.79</v>
      </c>
      <c r="D234" s="260" t="n">
        <v>1.76</v>
      </c>
      <c r="E234" s="260" t="n">
        <v>29.26</v>
      </c>
      <c r="F234" s="260" t="n">
        <v>26.84</v>
      </c>
      <c r="G234" s="260" t="n">
        <v>1.76</v>
      </c>
      <c r="H234" s="260" t="n">
        <v>15.83</v>
      </c>
      <c r="I234" s="260" t="n">
        <v>1.15</v>
      </c>
      <c r="J234" s="260" t="n">
        <v>1.64</v>
      </c>
      <c r="K234" s="260" t="n">
        <v>0.91</v>
      </c>
      <c r="L234" s="260" t="n">
        <v>1.78</v>
      </c>
    </row>
    <row r="235" hidden="1">
      <c r="A235" s="259" t="inlineStr">
        <is>
          <t>Franklin India Smaller Companies Fund - Regular Plan</t>
        </is>
      </c>
      <c r="B235" s="261">
        <f>VLOOKUP(A235, '[2]fund-selector'!$A$2:$F$853,6,FALSE)</f>
        <v/>
      </c>
      <c r="C235" s="258" t="n">
        <v>-4.18</v>
      </c>
      <c r="D235" s="260" t="n">
        <v>1.74</v>
      </c>
      <c r="E235" s="260" t="n">
        <v>29.96</v>
      </c>
      <c r="F235" s="260" t="n">
        <v>33.86</v>
      </c>
      <c r="G235" s="260" t="n">
        <v>1.74</v>
      </c>
      <c r="H235" s="260" t="n">
        <v>17.06</v>
      </c>
      <c r="I235" s="260" t="n">
        <v>1.14</v>
      </c>
      <c r="J235" s="260" t="n">
        <v>1.49</v>
      </c>
      <c r="K235" s="260" t="n">
        <v>0.83</v>
      </c>
      <c r="L235" s="260" t="n">
        <v>4.29</v>
      </c>
    </row>
    <row r="236" hidden="1">
      <c r="A236" s="259" t="inlineStr">
        <is>
          <t>Groww Aggressive Hybrid Fund - Regular Plan</t>
        </is>
      </c>
      <c r="B236" s="261">
        <f>VLOOKUP(A236, '[2]fund-selector'!$A$2:$F$853,6,FALSE)</f>
        <v/>
      </c>
      <c r="C236" s="258" t="n">
        <v>0.09</v>
      </c>
      <c r="D236" s="260" t="n">
        <v>2.38</v>
      </c>
      <c r="E236" s="260" t="n">
        <v>15.69</v>
      </c>
      <c r="F236" s="260" t="n">
        <v>16.18</v>
      </c>
      <c r="G236" s="260" t="n">
        <v>2.38</v>
      </c>
      <c r="H236" s="260" t="n">
        <v>10.6</v>
      </c>
      <c r="I236" s="260" t="n">
        <v>0.66</v>
      </c>
      <c r="J236" s="260" t="n">
        <v>1.17</v>
      </c>
      <c r="K236" s="260" t="n">
        <v>0.86</v>
      </c>
      <c r="L236" s="260" t="n">
        <v>-1.29</v>
      </c>
    </row>
    <row r="237" hidden="1">
      <c r="A237" s="259" t="inlineStr">
        <is>
          <t>Groww Large Cap Fund - Regular Plan</t>
        </is>
      </c>
      <c r="B237" s="261">
        <f>VLOOKUP(A237, '[2]fund-selector'!$A$2:$F$853,6,FALSE)</f>
        <v/>
      </c>
      <c r="C237" s="258" t="n">
        <v>-0.26</v>
      </c>
      <c r="D237" s="260" t="n">
        <v>2.46</v>
      </c>
      <c r="E237" s="260" t="n">
        <v>18.53</v>
      </c>
      <c r="F237" s="260" t="n">
        <v>17.89</v>
      </c>
      <c r="G237" s="260" t="n">
        <v>2.46</v>
      </c>
      <c r="H237" s="260" t="n">
        <v>13.83</v>
      </c>
      <c r="I237" s="260" t="n">
        <v>0.64</v>
      </c>
      <c r="J237" s="260" t="n">
        <v>1.12</v>
      </c>
      <c r="K237" s="260" t="n">
        <v>0.98</v>
      </c>
      <c r="L237" s="260" t="n">
        <v>-1.2</v>
      </c>
    </row>
    <row r="238" hidden="1">
      <c r="A238" s="259" t="inlineStr">
        <is>
          <t>Groww Multicap Fund - Regular Plan</t>
        </is>
      </c>
      <c r="B238" s="261">
        <f>VLOOKUP(A238, '[2]fund-selector'!$A$2:$F$853,6,FALSE)</f>
        <v/>
      </c>
      <c r="C238" s="258" t="inlineStr">
        <is>
          <t>--</t>
        </is>
      </c>
      <c r="D238" s="260" t="n">
        <v>2.3</v>
      </c>
      <c r="E238" s="259" t="n">
        <v>0</v>
      </c>
      <c r="F238" s="259" t="n">
        <v>0</v>
      </c>
      <c r="G238" s="260" t="n">
        <v>2.3</v>
      </c>
      <c r="H238" s="259" t="n">
        <v>0</v>
      </c>
      <c r="I238" s="259" t="n">
        <v>0</v>
      </c>
      <c r="J238" s="259" t="n">
        <v>0</v>
      </c>
      <c r="K238" s="259" t="n">
        <v>0</v>
      </c>
      <c r="L238" s="259" t="n">
        <v>0</v>
      </c>
    </row>
    <row r="239" hidden="1">
      <c r="A239" s="259" t="inlineStr">
        <is>
          <t>Groww Nifty 200 ETF</t>
        </is>
      </c>
      <c r="B239" s="261">
        <f>VLOOKUP(A239, '[2]fund-selector'!$A$2:$F$853,6,FALSE)</f>
        <v/>
      </c>
      <c r="C239" s="258" t="inlineStr">
        <is>
          <t>--</t>
        </is>
      </c>
      <c r="D239" s="260" t="n">
        <v>0.35</v>
      </c>
      <c r="E239" s="259" t="n">
        <v>0</v>
      </c>
      <c r="F239" s="259" t="n">
        <v>0</v>
      </c>
      <c r="G239" s="260" t="n">
        <v>0.35</v>
      </c>
      <c r="H239" s="259" t="n">
        <v>0</v>
      </c>
      <c r="I239" s="259" t="n">
        <v>0</v>
      </c>
      <c r="J239" s="259" t="n">
        <v>0</v>
      </c>
      <c r="K239" s="259" t="n">
        <v>0</v>
      </c>
      <c r="L239" s="259" t="n">
        <v>0</v>
      </c>
    </row>
    <row r="240" hidden="1">
      <c r="A240" s="259" t="inlineStr">
        <is>
          <t>Groww Nifty 200 ETF FoF - Regular Plan</t>
        </is>
      </c>
      <c r="B240" s="261">
        <f>VLOOKUP(A240, '[2]fund-selector'!$A$2:$F$853,6,FALSE)</f>
        <v/>
      </c>
      <c r="C240" s="258" t="inlineStr">
        <is>
          <t>--</t>
        </is>
      </c>
      <c r="D240" s="260" t="n">
        <v>0.7</v>
      </c>
      <c r="E240" s="259" t="n">
        <v>0</v>
      </c>
      <c r="F240" s="259" t="n">
        <v>0</v>
      </c>
      <c r="G240" s="260" t="n">
        <v>0.7</v>
      </c>
      <c r="H240" s="259" t="n">
        <v>0</v>
      </c>
      <c r="I240" s="259" t="n">
        <v>0</v>
      </c>
      <c r="J240" s="259" t="n">
        <v>0</v>
      </c>
      <c r="K240" s="259" t="n">
        <v>0</v>
      </c>
      <c r="L240" s="259" t="n">
        <v>0</v>
      </c>
    </row>
    <row r="241" hidden="1">
      <c r="A241" s="259" t="inlineStr">
        <is>
          <t>Groww Nifty 500 Low Volatility 50 ETF</t>
        </is>
      </c>
      <c r="B241" s="261">
        <f>VLOOKUP(A241, '[2]fund-selector'!$A$2:$F$853,6,FALSE)</f>
        <v/>
      </c>
      <c r="C241" s="258" t="inlineStr">
        <is>
          <t>--</t>
        </is>
      </c>
      <c r="D241" s="259" t="n">
        <v>0</v>
      </c>
      <c r="E241" s="259" t="n">
        <v>0</v>
      </c>
      <c r="F241" s="259" t="n">
        <v>0</v>
      </c>
      <c r="G241" s="259" t="n">
        <v>0</v>
      </c>
      <c r="H241" s="259" t="n">
        <v>0</v>
      </c>
      <c r="I241" s="259" t="n">
        <v>0</v>
      </c>
      <c r="J241" s="259" t="n">
        <v>0</v>
      </c>
      <c r="K241" s="259" t="n">
        <v>0</v>
      </c>
      <c r="L241" s="259" t="n">
        <v>0</v>
      </c>
    </row>
    <row r="242" hidden="1">
      <c r="A242" s="259" t="inlineStr">
        <is>
          <t>Groww Nifty 500 Momentum 50 ETF</t>
        </is>
      </c>
      <c r="B242" s="261">
        <f>VLOOKUP(A242, '[2]fund-selector'!$A$2:$F$853,6,FALSE)</f>
        <v/>
      </c>
      <c r="C242" s="258" t="inlineStr">
        <is>
          <t>--</t>
        </is>
      </c>
      <c r="D242" s="260" t="n">
        <v>0.44</v>
      </c>
      <c r="E242" s="259" t="n">
        <v>0</v>
      </c>
      <c r="F242" s="259" t="n">
        <v>0</v>
      </c>
      <c r="G242" s="260" t="n">
        <v>0.44</v>
      </c>
      <c r="H242" s="259" t="n">
        <v>0</v>
      </c>
      <c r="I242" s="259" t="n">
        <v>0</v>
      </c>
      <c r="J242" s="259" t="n">
        <v>0</v>
      </c>
      <c r="K242" s="259" t="n">
        <v>0</v>
      </c>
      <c r="L242" s="259" t="n">
        <v>0</v>
      </c>
    </row>
    <row r="243" hidden="1">
      <c r="A243" s="259" t="inlineStr">
        <is>
          <t>Groww Nifty 500 Momentum 50 ETF FoF - Regular Plan</t>
        </is>
      </c>
      <c r="B243" s="261">
        <f>VLOOKUP(A243, '[2]fund-selector'!$A$2:$F$853,6,FALSE)</f>
        <v/>
      </c>
      <c r="C243" s="258" t="inlineStr">
        <is>
          <t>--</t>
        </is>
      </c>
      <c r="D243" s="260" t="n">
        <v>0.65</v>
      </c>
      <c r="E243" s="259" t="n">
        <v>0</v>
      </c>
      <c r="F243" s="259" t="n">
        <v>0</v>
      </c>
      <c r="G243" s="260" t="n">
        <v>0.65</v>
      </c>
      <c r="H243" s="259" t="n">
        <v>0</v>
      </c>
      <c r="I243" s="259" t="n">
        <v>0</v>
      </c>
      <c r="J243" s="259" t="n">
        <v>0</v>
      </c>
      <c r="K243" s="259" t="n">
        <v>0</v>
      </c>
      <c r="L243" s="259" t="n">
        <v>0</v>
      </c>
    </row>
    <row r="244" hidden="1">
      <c r="A244" s="259" t="inlineStr">
        <is>
          <t>Groww Nifty EV &amp; New Age Automotive ETF</t>
        </is>
      </c>
      <c r="B244" s="261">
        <f>VLOOKUP(A244, '[2]fund-selector'!$A$2:$F$853,6,FALSE)</f>
        <v/>
      </c>
      <c r="C244" s="258" t="inlineStr">
        <is>
          <t>--</t>
        </is>
      </c>
      <c r="D244" s="260" t="n">
        <v>0.47</v>
      </c>
      <c r="E244" s="259" t="n">
        <v>0</v>
      </c>
      <c r="F244" s="259" t="n">
        <v>0</v>
      </c>
      <c r="G244" s="260" t="n">
        <v>0.47</v>
      </c>
      <c r="H244" s="259" t="n">
        <v>0</v>
      </c>
      <c r="I244" s="259" t="n">
        <v>0</v>
      </c>
      <c r="J244" s="259" t="n">
        <v>0</v>
      </c>
      <c r="K244" s="259" t="n">
        <v>0</v>
      </c>
      <c r="L244" s="259" t="n">
        <v>0</v>
      </c>
    </row>
    <row r="245" hidden="1">
      <c r="A245" s="259" t="inlineStr">
        <is>
          <t>Groww Nifty EV &amp; New Age Automotive ETF FoF - Regular Plan</t>
        </is>
      </c>
      <c r="B245" s="261">
        <f>VLOOKUP(A245, '[2]fund-selector'!$A$2:$F$853,6,FALSE)</f>
        <v/>
      </c>
      <c r="C245" s="258" t="inlineStr">
        <is>
          <t>--</t>
        </is>
      </c>
      <c r="D245" s="260" t="n">
        <v>0.62</v>
      </c>
      <c r="E245" s="259" t="n">
        <v>0</v>
      </c>
      <c r="F245" s="259" t="n">
        <v>0</v>
      </c>
      <c r="G245" s="260" t="n">
        <v>0.62</v>
      </c>
      <c r="H245" s="259" t="n">
        <v>0</v>
      </c>
      <c r="I245" s="259" t="n">
        <v>0</v>
      </c>
      <c r="J245" s="259" t="n">
        <v>0</v>
      </c>
      <c r="K245" s="259" t="n">
        <v>0</v>
      </c>
      <c r="L245" s="259" t="n">
        <v>0</v>
      </c>
    </row>
    <row r="246" hidden="1">
      <c r="A246" s="259" t="inlineStr">
        <is>
          <t>Groww Nifty India Defence ETF</t>
        </is>
      </c>
      <c r="B246" s="261">
        <f>VLOOKUP(A246, '[2]fund-selector'!$A$2:$F$853,6,FALSE)</f>
        <v/>
      </c>
      <c r="C246" s="258" t="inlineStr">
        <is>
          <t>--</t>
        </is>
      </c>
      <c r="D246" s="260" t="n">
        <v>0.43</v>
      </c>
      <c r="E246" s="259" t="n">
        <v>0</v>
      </c>
      <c r="F246" s="259" t="n">
        <v>0</v>
      </c>
      <c r="G246" s="260" t="n">
        <v>0.43</v>
      </c>
      <c r="H246" s="259" t="n">
        <v>0</v>
      </c>
      <c r="I246" s="259" t="n">
        <v>0</v>
      </c>
      <c r="J246" s="259" t="n">
        <v>0</v>
      </c>
      <c r="K246" s="259" t="n">
        <v>0</v>
      </c>
      <c r="L246" s="259" t="n">
        <v>0</v>
      </c>
    </row>
    <row r="247" hidden="1">
      <c r="A247" s="259" t="inlineStr">
        <is>
          <t>Groww Nifty India Defence ETF FoF - Regular Plan</t>
        </is>
      </c>
      <c r="B247" s="261">
        <f>VLOOKUP(A247, '[2]fund-selector'!$A$2:$F$853,6,FALSE)</f>
        <v/>
      </c>
      <c r="C247" s="258" t="inlineStr">
        <is>
          <t>--</t>
        </is>
      </c>
      <c r="D247" s="260" t="n">
        <v>0.63</v>
      </c>
      <c r="E247" s="259" t="n">
        <v>0</v>
      </c>
      <c r="F247" s="259" t="n">
        <v>0</v>
      </c>
      <c r="G247" s="260" t="n">
        <v>0.63</v>
      </c>
      <c r="H247" s="259" t="n">
        <v>0</v>
      </c>
      <c r="I247" s="259" t="n">
        <v>0</v>
      </c>
      <c r="J247" s="259" t="n">
        <v>0</v>
      </c>
      <c r="K247" s="259" t="n">
        <v>0</v>
      </c>
      <c r="L247" s="259" t="n">
        <v>0</v>
      </c>
    </row>
    <row r="248" hidden="1">
      <c r="A248" s="259" t="inlineStr">
        <is>
          <t>Groww Nifty India Internet ETF</t>
        </is>
      </c>
      <c r="B248" s="261">
        <f>VLOOKUP(A248, '[2]fund-selector'!$A$2:$F$853,6,FALSE)</f>
        <v/>
      </c>
      <c r="C248" s="258" t="inlineStr">
        <is>
          <t>--</t>
        </is>
      </c>
      <c r="D248" s="259" t="n">
        <v>0</v>
      </c>
      <c r="E248" s="259" t="n">
        <v>0</v>
      </c>
      <c r="F248" s="259" t="n">
        <v>0</v>
      </c>
      <c r="G248" s="259" t="n">
        <v>0</v>
      </c>
      <c r="H248" s="259" t="n">
        <v>0</v>
      </c>
      <c r="I248" s="259" t="n">
        <v>0</v>
      </c>
      <c r="J248" s="259" t="n">
        <v>0</v>
      </c>
      <c r="K248" s="259" t="n">
        <v>0</v>
      </c>
      <c r="L248" s="259" t="n">
        <v>0</v>
      </c>
    </row>
    <row r="249" hidden="1">
      <c r="A249" s="259" t="inlineStr">
        <is>
          <t>Groww Nifty India Internet ETF FoF - Regular Plan</t>
        </is>
      </c>
      <c r="B249" s="261">
        <f>VLOOKUP(A249, '[2]fund-selector'!$A$2:$F$853,6,FALSE)</f>
        <v/>
      </c>
      <c r="C249" s="258" t="inlineStr">
        <is>
          <t>--</t>
        </is>
      </c>
      <c r="D249" s="259" t="n">
        <v>0</v>
      </c>
      <c r="E249" s="259" t="n">
        <v>0</v>
      </c>
      <c r="F249" s="259" t="n">
        <v>0</v>
      </c>
      <c r="G249" s="259" t="n">
        <v>0</v>
      </c>
      <c r="H249" s="259" t="n">
        <v>0</v>
      </c>
      <c r="I249" s="259" t="n">
        <v>0</v>
      </c>
      <c r="J249" s="259" t="n">
        <v>0</v>
      </c>
      <c r="K249" s="259" t="n">
        <v>0</v>
      </c>
      <c r="L249" s="259" t="n">
        <v>0</v>
      </c>
    </row>
    <row r="250" hidden="1">
      <c r="A250" s="259" t="inlineStr">
        <is>
          <t>Groww Nifty Smallcap 250 Index Fund - Regular Plan</t>
        </is>
      </c>
      <c r="B250" s="261">
        <f>VLOOKUP(A250, '[2]fund-selector'!$A$2:$F$853,6,FALSE)</f>
        <v/>
      </c>
      <c r="C250" s="258" t="n">
        <v>-1.42</v>
      </c>
      <c r="D250" s="260" t="n">
        <v>1.05</v>
      </c>
      <c r="E250" s="259" t="n">
        <v>0</v>
      </c>
      <c r="F250" s="259" t="n">
        <v>0</v>
      </c>
      <c r="G250" s="260" t="n">
        <v>1.05</v>
      </c>
      <c r="H250" s="259" t="n">
        <v>0</v>
      </c>
      <c r="I250" s="259" t="n">
        <v>0</v>
      </c>
      <c r="J250" s="259" t="n">
        <v>0</v>
      </c>
      <c r="K250" s="259" t="n">
        <v>0</v>
      </c>
      <c r="L250" s="259" t="n">
        <v>0</v>
      </c>
    </row>
    <row r="251" hidden="1">
      <c r="A251" s="259" t="inlineStr">
        <is>
          <t>Groww Nifty Total Market Index Fund - Regular Plan</t>
        </is>
      </c>
      <c r="B251" s="261">
        <f>VLOOKUP(A251, '[2]fund-selector'!$A$2:$F$853,6,FALSE)</f>
        <v/>
      </c>
      <c r="C251" s="258" t="n">
        <v>2.18</v>
      </c>
      <c r="D251" s="260" t="n">
        <v>1.05</v>
      </c>
      <c r="E251" s="259" t="n">
        <v>0</v>
      </c>
      <c r="F251" s="259" t="n">
        <v>0</v>
      </c>
      <c r="G251" s="260" t="n">
        <v>1.05</v>
      </c>
      <c r="H251" s="259" t="n">
        <v>0</v>
      </c>
      <c r="I251" s="259" t="n">
        <v>0</v>
      </c>
      <c r="J251" s="259" t="n">
        <v>0</v>
      </c>
      <c r="K251" s="259" t="n">
        <v>0</v>
      </c>
      <c r="L251" s="259" t="n">
        <v>0</v>
      </c>
    </row>
    <row r="252" hidden="1">
      <c r="A252" s="259" t="inlineStr">
        <is>
          <t>HDFC Arbitrage Fund - Wholesale - Regular Plan</t>
        </is>
      </c>
      <c r="B252" s="261">
        <f>VLOOKUP(A252, '[2]fund-selector'!$A$2:$F$853,6,FALSE)</f>
        <v/>
      </c>
      <c r="C252" s="258" t="n">
        <v>6.95</v>
      </c>
      <c r="D252" s="260" t="n">
        <v>0.97</v>
      </c>
      <c r="E252" s="260" t="n">
        <v>6.89</v>
      </c>
      <c r="F252" s="260" t="n">
        <v>5.49</v>
      </c>
      <c r="G252" s="260" t="n">
        <v>0.97</v>
      </c>
      <c r="H252" s="260" t="n">
        <v>0.54</v>
      </c>
      <c r="I252" s="260" t="n">
        <v>0.54</v>
      </c>
      <c r="J252" s="260" t="n">
        <v>0.59</v>
      </c>
      <c r="K252" s="260" t="n">
        <v>0.52</v>
      </c>
      <c r="L252" s="260" t="n">
        <v>1.27</v>
      </c>
    </row>
    <row r="253" hidden="1">
      <c r="A253" s="259" t="inlineStr">
        <is>
          <t>HDFC Balanced Advantage Fund - Regular Plan</t>
        </is>
      </c>
      <c r="B253" s="261">
        <f>VLOOKUP(A253, '[2]fund-selector'!$A$2:$F$853,6,FALSE)</f>
        <v/>
      </c>
      <c r="C253" s="258" t="n">
        <v>5.04</v>
      </c>
      <c r="D253" s="260" t="n">
        <v>1.37</v>
      </c>
      <c r="E253" s="260" t="n">
        <v>23.25</v>
      </c>
      <c r="F253" s="260" t="n">
        <v>24.77</v>
      </c>
      <c r="G253" s="260" t="n">
        <v>1.37</v>
      </c>
      <c r="H253" s="260" t="n">
        <v>9.74</v>
      </c>
      <c r="I253" s="260" t="n">
        <v>1.42</v>
      </c>
      <c r="J253" s="260" t="n">
        <v>2.51</v>
      </c>
      <c r="K253" s="260" t="n">
        <v>0.88</v>
      </c>
      <c r="L253" s="260" t="n">
        <v>6.9</v>
      </c>
    </row>
    <row r="254" hidden="1">
      <c r="A254" s="259" t="inlineStr">
        <is>
          <t>HDFC BSE 500 ETF</t>
        </is>
      </c>
      <c r="B254" s="261">
        <f>VLOOKUP(A254, '[2]fund-selector'!$A$2:$F$853,6,FALSE)</f>
        <v/>
      </c>
      <c r="C254" s="258" t="n">
        <v>2.45</v>
      </c>
      <c r="D254" s="260" t="n">
        <v>0.3</v>
      </c>
      <c r="E254" s="259" t="n">
        <v>0</v>
      </c>
      <c r="F254" s="259" t="n">
        <v>0</v>
      </c>
      <c r="G254" s="260" t="n">
        <v>0.3</v>
      </c>
      <c r="H254" s="259" t="n">
        <v>0</v>
      </c>
      <c r="I254" s="259" t="n">
        <v>0</v>
      </c>
      <c r="J254" s="259" t="n">
        <v>0</v>
      </c>
      <c r="K254" s="259" t="n">
        <v>0</v>
      </c>
      <c r="L254" s="259" t="n">
        <v>0</v>
      </c>
    </row>
    <row r="255" hidden="1">
      <c r="A255" s="259" t="inlineStr">
        <is>
          <t>HDFC BSE 500 Index Fund - Regular Plan</t>
        </is>
      </c>
      <c r="B255" s="261">
        <f>VLOOKUP(A255, '[2]fund-selector'!$A$2:$F$853,6,FALSE)</f>
        <v/>
      </c>
      <c r="C255" s="258" t="n">
        <v>1.77</v>
      </c>
      <c r="D255" s="260" t="n">
        <v>0.8100000000000001</v>
      </c>
      <c r="E255" s="259" t="n">
        <v>0</v>
      </c>
      <c r="F255" s="259" t="n">
        <v>0</v>
      </c>
      <c r="G255" s="260" t="n">
        <v>0.8100000000000001</v>
      </c>
      <c r="H255" s="259" t="n">
        <v>0</v>
      </c>
      <c r="I255" s="259" t="n">
        <v>0</v>
      </c>
      <c r="J255" s="259" t="n">
        <v>0</v>
      </c>
      <c r="K255" s="259" t="n">
        <v>0</v>
      </c>
      <c r="L255" s="259" t="n">
        <v>0</v>
      </c>
    </row>
    <row r="256" hidden="1">
      <c r="A256" s="259" t="inlineStr">
        <is>
          <t>HDFC BSE Sensex ETF</t>
        </is>
      </c>
      <c r="B256" s="261">
        <f>VLOOKUP(A256, '[2]fund-selector'!$A$2:$F$853,6,FALSE)</f>
        <v/>
      </c>
      <c r="C256" s="258" t="n">
        <v>6.28</v>
      </c>
      <c r="D256" s="260" t="n">
        <v>0.05</v>
      </c>
      <c r="E256" s="260" t="n">
        <v>17.83</v>
      </c>
      <c r="F256" s="260" t="n">
        <v>19.91</v>
      </c>
      <c r="G256" s="260" t="n">
        <v>0.05</v>
      </c>
      <c r="H256" s="260" t="n">
        <v>12.7</v>
      </c>
      <c r="I256" s="260" t="n">
        <v>0.66</v>
      </c>
      <c r="J256" s="260" t="n">
        <v>1.11</v>
      </c>
      <c r="K256" s="260" t="n">
        <v>0.91</v>
      </c>
      <c r="L256" s="260" t="n">
        <v>-0.93</v>
      </c>
    </row>
    <row r="257" hidden="1">
      <c r="A257" s="259" t="inlineStr">
        <is>
          <t>HDFC BSE Sensex Index Fund - Regular Plan</t>
        </is>
      </c>
      <c r="B257" s="261">
        <f>VLOOKUP(A257, '[2]fund-selector'!$A$2:$F$853,6,FALSE)</f>
        <v/>
      </c>
      <c r="C257" s="258" t="n">
        <v>5.92</v>
      </c>
      <c r="D257" s="260" t="n">
        <v>0.36</v>
      </c>
      <c r="E257" s="260" t="n">
        <v>17.41</v>
      </c>
      <c r="F257" s="260" t="n">
        <v>19.47</v>
      </c>
      <c r="G257" s="260" t="n">
        <v>0.36</v>
      </c>
      <c r="H257" s="260" t="n">
        <v>12.71</v>
      </c>
      <c r="I257" s="260" t="n">
        <v>0.63</v>
      </c>
      <c r="J257" s="260" t="n">
        <v>1.06</v>
      </c>
      <c r="K257" s="260" t="n">
        <v>0.91</v>
      </c>
      <c r="L257" s="260" t="n">
        <v>-1.31</v>
      </c>
    </row>
    <row r="258" hidden="1">
      <c r="A258" s="259" t="inlineStr">
        <is>
          <t>HDFC Business Cycle Fund - Regular Plan</t>
        </is>
      </c>
      <c r="B258" s="261">
        <f>VLOOKUP(A258, '[2]fund-selector'!$A$2:$F$853,6,FALSE)</f>
        <v/>
      </c>
      <c r="C258" s="258" t="n">
        <v>0.93</v>
      </c>
      <c r="D258" s="260" t="n">
        <v>1.97</v>
      </c>
      <c r="E258" s="259" t="n">
        <v>0</v>
      </c>
      <c r="F258" s="259" t="n">
        <v>0</v>
      </c>
      <c r="G258" s="260" t="n">
        <v>1.97</v>
      </c>
      <c r="H258" s="259" t="n">
        <v>0</v>
      </c>
      <c r="I258" s="259" t="n">
        <v>0</v>
      </c>
      <c r="J258" s="259" t="n">
        <v>0</v>
      </c>
      <c r="K258" s="259" t="n">
        <v>0</v>
      </c>
      <c r="L258" s="259" t="n">
        <v>0</v>
      </c>
    </row>
    <row r="259" hidden="1">
      <c r="A259" s="259" t="inlineStr">
        <is>
          <t>HDFC Children's Fund - Regular Plan</t>
        </is>
      </c>
      <c r="B259" s="261">
        <f>VLOOKUP(A259, '[2]fund-selector'!$A$2:$F$853,6,FALSE)</f>
        <v/>
      </c>
      <c r="C259" s="258" t="n">
        <v>3.92</v>
      </c>
      <c r="D259" s="260" t="n">
        <v>1.73</v>
      </c>
      <c r="E259" s="260" t="n">
        <v>19.31</v>
      </c>
      <c r="F259" s="260" t="n">
        <v>20.67</v>
      </c>
      <c r="G259" s="260" t="n">
        <v>1.73</v>
      </c>
      <c r="H259" s="260" t="n">
        <v>9.81</v>
      </c>
      <c r="I259" s="260" t="n">
        <v>1.09</v>
      </c>
      <c r="J259" s="260" t="n">
        <v>1.61</v>
      </c>
      <c r="K259" s="260" t="n">
        <v>0.78</v>
      </c>
      <c r="L259" s="260" t="n">
        <v>3.23</v>
      </c>
    </row>
    <row r="260" hidden="1">
      <c r="A260" s="259" t="inlineStr">
        <is>
          <t>HDFC Defence Fund - Regular Plan</t>
        </is>
      </c>
      <c r="B260" s="261">
        <f>VLOOKUP(A260, '[2]fund-selector'!$A$2:$F$853,6,FALSE)</f>
        <v/>
      </c>
      <c r="C260" s="258" t="n">
        <v>5.93</v>
      </c>
      <c r="D260" s="260" t="n">
        <v>1.77</v>
      </c>
      <c r="E260" s="259" t="n">
        <v>0</v>
      </c>
      <c r="F260" s="259" t="n">
        <v>0</v>
      </c>
      <c r="G260" s="260" t="n">
        <v>1.77</v>
      </c>
      <c r="H260" s="259" t="n">
        <v>0</v>
      </c>
      <c r="I260" s="259" t="n">
        <v>0</v>
      </c>
      <c r="J260" s="259" t="n">
        <v>0</v>
      </c>
      <c r="K260" s="259" t="n">
        <v>0</v>
      </c>
      <c r="L260" s="259" t="n">
        <v>0</v>
      </c>
    </row>
    <row r="261" hidden="1">
      <c r="A261" s="259" t="inlineStr">
        <is>
          <t>HDFC Flexi Cap Fund - Regular Plan</t>
        </is>
      </c>
      <c r="B261" s="261">
        <f>VLOOKUP(A261, '[2]fund-selector'!$A$2:$F$853,6,FALSE)</f>
        <v/>
      </c>
      <c r="C261" s="258" t="n">
        <v>9.67</v>
      </c>
      <c r="D261" s="260" t="n">
        <v>1.39</v>
      </c>
      <c r="E261" s="260" t="n">
        <v>27.86</v>
      </c>
      <c r="F261" s="260" t="n">
        <v>29.65</v>
      </c>
      <c r="G261" s="260" t="n">
        <v>1.39</v>
      </c>
      <c r="H261" s="260" t="n">
        <v>12.4</v>
      </c>
      <c r="I261" s="260" t="n">
        <v>1.37</v>
      </c>
      <c r="J261" s="260" t="n">
        <v>2.36</v>
      </c>
      <c r="K261" s="260" t="n">
        <v>0.83</v>
      </c>
      <c r="L261" s="260" t="n">
        <v>7.35</v>
      </c>
    </row>
    <row r="262" hidden="1">
      <c r="A262" s="259" t="inlineStr">
        <is>
          <t>HDFC Focused 30 Fund - Regular Plan</t>
        </is>
      </c>
      <c r="B262" s="261">
        <f>VLOOKUP(A262, '[2]fund-selector'!$A$2:$F$853,6,FALSE)</f>
        <v/>
      </c>
      <c r="C262" s="258" t="n">
        <v>9.449999999999999</v>
      </c>
      <c r="D262" s="260" t="n">
        <v>1.66</v>
      </c>
      <c r="E262" s="260" t="n">
        <v>27.52</v>
      </c>
      <c r="F262" s="260" t="n">
        <v>29.24</v>
      </c>
      <c r="G262" s="260" t="n">
        <v>1.66</v>
      </c>
      <c r="H262" s="260" t="n">
        <v>11.27</v>
      </c>
      <c r="I262" s="260" t="n">
        <v>1.48</v>
      </c>
      <c r="J262" s="260" t="n">
        <v>2.41</v>
      </c>
      <c r="K262" s="260" t="n">
        <v>0.75</v>
      </c>
      <c r="L262" s="260" t="n">
        <v>8.039999999999999</v>
      </c>
    </row>
    <row r="263" hidden="1">
      <c r="A263" s="259" t="inlineStr">
        <is>
          <t>HDFC Housing Opportunities Fund - Regular Plan</t>
        </is>
      </c>
      <c r="B263" s="261">
        <f>VLOOKUP(A263, '[2]fund-selector'!$A$2:$F$853,6,FALSE)</f>
        <v/>
      </c>
      <c r="C263" s="258" t="n">
        <v>-6.7</v>
      </c>
      <c r="D263" s="260" t="n">
        <v>2.21</v>
      </c>
      <c r="E263" s="260" t="n">
        <v>26.3</v>
      </c>
      <c r="F263" s="260" t="n">
        <v>24.92</v>
      </c>
      <c r="G263" s="260" t="n">
        <v>2.21</v>
      </c>
      <c r="H263" s="260" t="n">
        <v>16.97</v>
      </c>
      <c r="I263" s="260" t="n">
        <v>0.92</v>
      </c>
      <c r="J263" s="260" t="n">
        <v>1.43</v>
      </c>
      <c r="K263" s="260" t="n">
        <v>1.09</v>
      </c>
      <c r="L263" s="260" t="n">
        <v>3.08</v>
      </c>
    </row>
    <row r="264" hidden="1">
      <c r="A264" s="259" t="inlineStr">
        <is>
          <t>HDFC Hybrid Debt Fund - Regular Plan</t>
        </is>
      </c>
      <c r="B264" s="261">
        <f>VLOOKUP(A264, '[2]fund-selector'!$A$2:$F$853,6,FALSE)</f>
        <v/>
      </c>
      <c r="C264" s="258" t="n">
        <v>6.76</v>
      </c>
      <c r="D264" s="260" t="n">
        <v>1.72</v>
      </c>
      <c r="E264" s="260" t="n">
        <v>12.17</v>
      </c>
      <c r="F264" s="260" t="n">
        <v>12.26</v>
      </c>
      <c r="G264" s="260" t="n">
        <v>1.72</v>
      </c>
      <c r="H264" s="260" t="n">
        <v>4.09</v>
      </c>
      <c r="I264" s="260" t="n">
        <v>1.22</v>
      </c>
      <c r="J264" s="260" t="n">
        <v>2.01</v>
      </c>
      <c r="K264" s="260" t="n">
        <v>0.97</v>
      </c>
      <c r="L264" s="260" t="n">
        <v>1.43</v>
      </c>
    </row>
    <row r="265" hidden="1">
      <c r="A265" s="259" t="inlineStr">
        <is>
          <t>HDFC Hybrid Equity Fund - Regular Plan</t>
        </is>
      </c>
      <c r="B265" s="261">
        <f>VLOOKUP(A265, '[2]fund-selector'!$A$2:$F$853,6,FALSE)</f>
        <v/>
      </c>
      <c r="C265" s="258" t="n">
        <v>5.94</v>
      </c>
      <c r="D265" s="260" t="n">
        <v>1.69</v>
      </c>
      <c r="E265" s="260" t="n">
        <v>17.29</v>
      </c>
      <c r="F265" s="260" t="n">
        <v>19.46</v>
      </c>
      <c r="G265" s="260" t="n">
        <v>1.69</v>
      </c>
      <c r="H265" s="260" t="n">
        <v>9.460000000000001</v>
      </c>
      <c r="I265" s="260" t="n">
        <v>0.9</v>
      </c>
      <c r="J265" s="260" t="n">
        <v>1.39</v>
      </c>
      <c r="K265" s="260" t="n">
        <v>0.77</v>
      </c>
      <c r="L265" s="260" t="n">
        <v>1.07</v>
      </c>
    </row>
    <row r="266" hidden="1">
      <c r="A266" s="259" t="inlineStr">
        <is>
          <t>HDFC Large and Mid Cap Fund - Regular Plan</t>
        </is>
      </c>
      <c r="B266" s="261">
        <f>VLOOKUP(A266, '[2]fund-selector'!$A$2:$F$853,6,FALSE)</f>
        <v/>
      </c>
      <c r="C266" s="258" t="n">
        <v>2.44</v>
      </c>
      <c r="D266" s="260" t="n">
        <v>1.65</v>
      </c>
      <c r="E266" s="260" t="n">
        <v>25.97</v>
      </c>
      <c r="F266" s="260" t="n">
        <v>28.23</v>
      </c>
      <c r="G266" s="260" t="n">
        <v>1.65</v>
      </c>
      <c r="H266" s="260" t="n">
        <v>14.9</v>
      </c>
      <c r="I266" s="260" t="n">
        <v>1.03</v>
      </c>
      <c r="J266" s="260" t="n">
        <v>1.57</v>
      </c>
      <c r="K266" s="260" t="n">
        <v>1.01</v>
      </c>
      <c r="L266" s="260" t="n">
        <v>4.28</v>
      </c>
    </row>
    <row r="267" hidden="1">
      <c r="A267" s="259" t="inlineStr">
        <is>
          <t>HDFC Large Cap Fund - Regular Plan</t>
        </is>
      </c>
      <c r="B267" s="261">
        <f>VLOOKUP(A267, '[2]fund-selector'!$A$2:$F$853,6,FALSE)</f>
        <v/>
      </c>
      <c r="C267" s="258" t="n">
        <v>2.94</v>
      </c>
      <c r="D267" s="260" t="n">
        <v>1.61</v>
      </c>
      <c r="E267" s="260" t="n">
        <v>21.14</v>
      </c>
      <c r="F267" s="260" t="n">
        <v>22.62</v>
      </c>
      <c r="G267" s="260" t="n">
        <v>1.61</v>
      </c>
      <c r="H267" s="260" t="n">
        <v>13.01</v>
      </c>
      <c r="I267" s="260" t="n">
        <v>0.88</v>
      </c>
      <c r="J267" s="260" t="n">
        <v>1.44</v>
      </c>
      <c r="K267" s="260" t="n">
        <v>0.92</v>
      </c>
      <c r="L267" s="260" t="n">
        <v>1.97</v>
      </c>
    </row>
    <row r="268" hidden="1">
      <c r="A268" s="259" t="inlineStr">
        <is>
          <t>HDFC Manufacturing Fund - Regular Plan</t>
        </is>
      </c>
      <c r="B268" s="261">
        <f>VLOOKUP(A268, '[2]fund-selector'!$A$2:$F$853,6,FALSE)</f>
        <v/>
      </c>
      <c r="C268" s="258" t="n">
        <v>-3.17</v>
      </c>
      <c r="D268" s="260" t="n">
        <v>1.69</v>
      </c>
      <c r="E268" s="259" t="n">
        <v>0</v>
      </c>
      <c r="F268" s="259" t="n">
        <v>0</v>
      </c>
      <c r="G268" s="260" t="n">
        <v>1.69</v>
      </c>
      <c r="H268" s="259" t="n">
        <v>0</v>
      </c>
      <c r="I268" s="259" t="n">
        <v>0</v>
      </c>
      <c r="J268" s="259" t="n">
        <v>0</v>
      </c>
      <c r="K268" s="259" t="n">
        <v>0</v>
      </c>
      <c r="L268" s="259" t="n">
        <v>0</v>
      </c>
    </row>
    <row r="269" hidden="1">
      <c r="A269" s="259" t="inlineStr">
        <is>
          <t>HDFC Mid-Cap Opportunities Fund - Regular Plan</t>
        </is>
      </c>
      <c r="B269" s="261">
        <f>VLOOKUP(A269, '[2]fund-selector'!$A$2:$F$853,6,FALSE)</f>
        <v/>
      </c>
      <c r="C269" s="258" t="n">
        <v>5.5</v>
      </c>
      <c r="D269" s="260" t="n">
        <v>1.4</v>
      </c>
      <c r="E269" s="260" t="n">
        <v>32.15</v>
      </c>
      <c r="F269" s="260" t="n">
        <v>32.15</v>
      </c>
      <c r="G269" s="260" t="n">
        <v>1.4</v>
      </c>
      <c r="H269" s="260" t="n">
        <v>15.1</v>
      </c>
      <c r="I269" s="260" t="n">
        <v>1.36</v>
      </c>
      <c r="J269" s="260" t="n">
        <v>2.02</v>
      </c>
      <c r="K269" s="260" t="n">
        <v>0.87</v>
      </c>
      <c r="L269" s="260" t="n">
        <v>4.83</v>
      </c>
    </row>
    <row r="270" hidden="1">
      <c r="A270" s="259" t="inlineStr">
        <is>
          <t>HDFC Multi-Asset Active FoF - Regular Plan</t>
        </is>
      </c>
      <c r="B270" s="261">
        <f>VLOOKUP(A270, '[2]fund-selector'!$A$2:$F$853,6,FALSE)</f>
        <v/>
      </c>
      <c r="C270" s="258" t="n">
        <v>10.32</v>
      </c>
      <c r="D270" s="260" t="n">
        <v>1.16</v>
      </c>
      <c r="E270" s="260" t="n">
        <v>18.49</v>
      </c>
      <c r="F270" s="259" t="n">
        <v>0</v>
      </c>
      <c r="G270" s="260" t="n">
        <v>1.16</v>
      </c>
      <c r="H270" s="260" t="n">
        <v>6.67</v>
      </c>
      <c r="I270" s="260" t="n">
        <v>1.45</v>
      </c>
      <c r="J270" s="260" t="n">
        <v>2.4</v>
      </c>
      <c r="K270" s="260" t="n">
        <v>0.67</v>
      </c>
      <c r="L270" s="260" t="n">
        <v>3.68</v>
      </c>
    </row>
    <row r="271" hidden="1">
      <c r="A271" s="259" t="inlineStr">
        <is>
          <t>HDFC Multi Asset Fund - Regular Plan</t>
        </is>
      </c>
      <c r="B271" s="261">
        <f>VLOOKUP(A271, '[2]fund-selector'!$A$2:$F$853,6,FALSE)</f>
        <v/>
      </c>
      <c r="C271" s="258" t="n">
        <v>8.890000000000001</v>
      </c>
      <c r="D271" s="260" t="n">
        <v>1.89</v>
      </c>
      <c r="E271" s="260" t="n">
        <v>16.37</v>
      </c>
      <c r="F271" s="260" t="n">
        <v>17.26</v>
      </c>
      <c r="G271" s="260" t="n">
        <v>1.89</v>
      </c>
      <c r="H271" s="260" t="n">
        <v>6.67</v>
      </c>
      <c r="I271" s="260" t="n">
        <v>1.16</v>
      </c>
      <c r="J271" s="260" t="n">
        <v>2.32</v>
      </c>
      <c r="K271" s="260" t="n">
        <v>0.68</v>
      </c>
      <c r="L271" s="260" t="n">
        <v>1.7</v>
      </c>
    </row>
    <row r="272">
      <c r="A272" s="296" t="inlineStr">
        <is>
          <t>HDFC Multi Cap Fund - Regular Plan</t>
        </is>
      </c>
      <c r="B272" s="261">
        <f>VLOOKUP(A272, '[2]fund-selector'!$A$2:$F$853,6,FALSE)</f>
        <v/>
      </c>
      <c r="C272" s="258" t="n">
        <v>0.93</v>
      </c>
      <c r="D272" s="260" t="n">
        <v>1.68</v>
      </c>
      <c r="E272" s="260" t="n">
        <v>27.7</v>
      </c>
      <c r="F272" s="259" t="n">
        <v>0</v>
      </c>
      <c r="G272" s="260" t="n">
        <v>1.68</v>
      </c>
      <c r="H272" s="260" t="n">
        <v>15.11</v>
      </c>
      <c r="I272" s="260" t="n">
        <v>1.14</v>
      </c>
      <c r="J272" s="260" t="n">
        <v>1.7</v>
      </c>
      <c r="K272" s="260" t="n">
        <v>0.95</v>
      </c>
      <c r="L272" s="260" t="n">
        <v>3.31</v>
      </c>
    </row>
    <row r="273" hidden="1">
      <c r="A273" s="259" t="inlineStr">
        <is>
          <t>HDFC NIFTY 100 Equal Weight Index Fund - Regular Plan</t>
        </is>
      </c>
      <c r="B273" s="261">
        <f>VLOOKUP(A273, '[2]fund-selector'!$A$2:$F$853,6,FALSE)</f>
        <v/>
      </c>
      <c r="C273" s="258" t="n">
        <v>-1.32</v>
      </c>
      <c r="D273" s="260" t="n">
        <v>0.83</v>
      </c>
      <c r="E273" s="260" t="n">
        <v>21.25</v>
      </c>
      <c r="F273" s="259" t="n">
        <v>0</v>
      </c>
      <c r="G273" s="260" t="n">
        <v>0.83</v>
      </c>
      <c r="H273" s="260" t="n">
        <v>16.09</v>
      </c>
      <c r="I273" s="260" t="n">
        <v>0.72</v>
      </c>
      <c r="J273" s="260" t="n">
        <v>1.24</v>
      </c>
      <c r="K273" s="260" t="n">
        <v>1.13</v>
      </c>
      <c r="L273" s="260" t="n">
        <v>0.01</v>
      </c>
    </row>
    <row r="274" hidden="1">
      <c r="A274" s="259" t="inlineStr">
        <is>
          <t>HDFC NIFTY 100 ETF</t>
        </is>
      </c>
      <c r="B274" s="261">
        <f>VLOOKUP(A274, '[2]fund-selector'!$A$2:$F$853,6,FALSE)</f>
        <v/>
      </c>
      <c r="C274" s="258" t="n">
        <v>3.62</v>
      </c>
      <c r="D274" s="260" t="n">
        <v>0.3</v>
      </c>
      <c r="E274" s="259" t="n">
        <v>0</v>
      </c>
      <c r="F274" s="259" t="n">
        <v>0</v>
      </c>
      <c r="G274" s="260" t="n">
        <v>0.3</v>
      </c>
      <c r="H274" s="259" t="n">
        <v>0</v>
      </c>
      <c r="I274" s="259" t="n">
        <v>0</v>
      </c>
      <c r="J274" s="259" t="n">
        <v>0</v>
      </c>
      <c r="K274" s="259" t="n">
        <v>0</v>
      </c>
      <c r="L274" s="259" t="n">
        <v>0</v>
      </c>
    </row>
    <row r="275" hidden="1">
      <c r="A275" s="259" t="inlineStr">
        <is>
          <t>HDFC NIFTY 100 Index Fund - Regular Plan</t>
        </is>
      </c>
      <c r="B275" s="261">
        <f>VLOOKUP(A275, '[2]fund-selector'!$A$2:$F$853,6,FALSE)</f>
        <v/>
      </c>
      <c r="C275" s="258" t="n">
        <v>3.1</v>
      </c>
      <c r="D275" s="260" t="n">
        <v>0.75</v>
      </c>
      <c r="E275" s="260" t="n">
        <v>17.94</v>
      </c>
      <c r="F275" s="259" t="n">
        <v>0</v>
      </c>
      <c r="G275" s="260" t="n">
        <v>0.75</v>
      </c>
      <c r="H275" s="260" t="n">
        <v>13.91</v>
      </c>
      <c r="I275" s="260" t="n">
        <v>0.62</v>
      </c>
      <c r="J275" s="260" t="n">
        <v>1.01</v>
      </c>
      <c r="K275" s="260" t="n">
        <v>1.01</v>
      </c>
      <c r="L275" s="260" t="n">
        <v>-1.76</v>
      </c>
    </row>
    <row r="276" hidden="1">
      <c r="A276" s="259" t="inlineStr">
        <is>
          <t>HDFC NIFTY100 Low Volatility 30 ETF</t>
        </is>
      </c>
      <c r="B276" s="261">
        <f>VLOOKUP(A276, '[2]fund-selector'!$A$2:$F$853,6,FALSE)</f>
        <v/>
      </c>
      <c r="C276" s="258" t="n">
        <v>5.48</v>
      </c>
      <c r="D276" s="260" t="n">
        <v>0.3</v>
      </c>
      <c r="E276" s="259" t="n">
        <v>0</v>
      </c>
      <c r="F276" s="259" t="n">
        <v>0</v>
      </c>
      <c r="G276" s="260" t="n">
        <v>0.3</v>
      </c>
      <c r="H276" s="259" t="n">
        <v>0</v>
      </c>
      <c r="I276" s="259" t="n">
        <v>0</v>
      </c>
      <c r="J276" s="259" t="n">
        <v>0</v>
      </c>
      <c r="K276" s="259" t="n">
        <v>0</v>
      </c>
      <c r="L276" s="259" t="n">
        <v>0</v>
      </c>
    </row>
    <row r="277" hidden="1">
      <c r="A277" s="259" t="inlineStr">
        <is>
          <t>HDFC NIFTY100 Low Volatility 30 Index Fund - Regular Plan</t>
        </is>
      </c>
      <c r="B277" s="261">
        <f>VLOOKUP(A277, '[2]fund-selector'!$A$2:$F$853,6,FALSE)</f>
        <v/>
      </c>
      <c r="C277" s="258" t="inlineStr">
        <is>
          <t>--</t>
        </is>
      </c>
      <c r="D277" s="260" t="n">
        <v>0.9</v>
      </c>
      <c r="E277" s="259" t="n">
        <v>0</v>
      </c>
      <c r="F277" s="259" t="n">
        <v>0</v>
      </c>
      <c r="G277" s="260" t="n">
        <v>0.9</v>
      </c>
      <c r="H277" s="259" t="n">
        <v>0</v>
      </c>
      <c r="I277" s="259" t="n">
        <v>0</v>
      </c>
      <c r="J277" s="259" t="n">
        <v>0</v>
      </c>
      <c r="K277" s="259" t="n">
        <v>0</v>
      </c>
      <c r="L277" s="259" t="n">
        <v>0</v>
      </c>
    </row>
    <row r="278" hidden="1">
      <c r="A278" s="259" t="inlineStr">
        <is>
          <t>HDFC NIFTY100 Quality 30 ETF</t>
        </is>
      </c>
      <c r="B278" s="261">
        <f>VLOOKUP(A278, '[2]fund-selector'!$A$2:$F$853,6,FALSE)</f>
        <v/>
      </c>
      <c r="C278" s="258" t="n">
        <v>0.34</v>
      </c>
      <c r="D278" s="260" t="n">
        <v>0.3</v>
      </c>
      <c r="E278" s="259" t="n">
        <v>0</v>
      </c>
      <c r="F278" s="259" t="n">
        <v>0</v>
      </c>
      <c r="G278" s="260" t="n">
        <v>0.3</v>
      </c>
      <c r="H278" s="259" t="n">
        <v>0</v>
      </c>
      <c r="I278" s="259" t="n">
        <v>0</v>
      </c>
      <c r="J278" s="259" t="n">
        <v>0</v>
      </c>
      <c r="K278" s="259" t="n">
        <v>0</v>
      </c>
      <c r="L278" s="259" t="n">
        <v>0</v>
      </c>
    </row>
    <row r="279" hidden="1">
      <c r="A279" s="259" t="inlineStr">
        <is>
          <t>HDFC Nifty100 Quality 30 Index Fund - Regular Plan</t>
        </is>
      </c>
      <c r="B279" s="261">
        <f>VLOOKUP(A279, '[2]fund-selector'!$A$2:$F$853,6,FALSE)</f>
        <v/>
      </c>
      <c r="C279" s="258" t="inlineStr">
        <is>
          <t>--</t>
        </is>
      </c>
      <c r="D279" s="260" t="n">
        <v>0.89</v>
      </c>
      <c r="E279" s="259" t="n">
        <v>0</v>
      </c>
      <c r="F279" s="259" t="n">
        <v>0</v>
      </c>
      <c r="G279" s="260" t="n">
        <v>0.89</v>
      </c>
      <c r="H279" s="259" t="n">
        <v>0</v>
      </c>
      <c r="I279" s="259" t="n">
        <v>0</v>
      </c>
      <c r="J279" s="259" t="n">
        <v>0</v>
      </c>
      <c r="K279" s="259" t="n">
        <v>0</v>
      </c>
      <c r="L279" s="259" t="n">
        <v>0</v>
      </c>
    </row>
    <row r="280" hidden="1">
      <c r="A280" s="259" t="inlineStr">
        <is>
          <t>HDFC NIFTY200 Momentum 30 ETF</t>
        </is>
      </c>
      <c r="B280" s="261">
        <f>VLOOKUP(A280, '[2]fund-selector'!$A$2:$F$853,6,FALSE)</f>
        <v/>
      </c>
      <c r="C280" s="258" t="n">
        <v>-12.93</v>
      </c>
      <c r="D280" s="260" t="n">
        <v>0.3</v>
      </c>
      <c r="E280" s="259" t="n">
        <v>0</v>
      </c>
      <c r="F280" s="259" t="n">
        <v>0</v>
      </c>
      <c r="G280" s="260" t="n">
        <v>0.3</v>
      </c>
      <c r="H280" s="259" t="n">
        <v>0</v>
      </c>
      <c r="I280" s="259" t="n">
        <v>0</v>
      </c>
      <c r="J280" s="259" t="n">
        <v>0</v>
      </c>
      <c r="K280" s="259" t="n">
        <v>0</v>
      </c>
      <c r="L280" s="259" t="n">
        <v>0</v>
      </c>
    </row>
    <row r="281" hidden="1">
      <c r="A281" s="259" t="inlineStr">
        <is>
          <t>HDFC NIFTY200 Momentum 30 Index Fund - Regular Plan</t>
        </is>
      </c>
      <c r="B281" s="261">
        <f>VLOOKUP(A281, '[2]fund-selector'!$A$2:$F$853,6,FALSE)</f>
        <v/>
      </c>
      <c r="C281" s="258" t="n">
        <v>-13.49</v>
      </c>
      <c r="D281" s="260" t="n">
        <v>0.89</v>
      </c>
      <c r="E281" s="259" t="n">
        <v>0</v>
      </c>
      <c r="F281" s="259" t="n">
        <v>0</v>
      </c>
      <c r="G281" s="260" t="n">
        <v>0.89</v>
      </c>
      <c r="H281" s="259" t="n">
        <v>0</v>
      </c>
      <c r="I281" s="259" t="n">
        <v>0</v>
      </c>
      <c r="J281" s="259" t="n">
        <v>0</v>
      </c>
      <c r="K281" s="259" t="n">
        <v>0</v>
      </c>
      <c r="L281" s="259" t="n">
        <v>0</v>
      </c>
    </row>
    <row r="282" hidden="1">
      <c r="A282" s="259" t="inlineStr">
        <is>
          <t>HDFC Nifty500 Multicap 50:25:25 Index Fund - Regular Plan</t>
        </is>
      </c>
      <c r="B282" s="261">
        <f>VLOOKUP(A282, '[2]fund-selector'!$A$2:$F$853,6,FALSE)</f>
        <v/>
      </c>
      <c r="C282" s="258" t="inlineStr">
        <is>
          <t>--</t>
        </is>
      </c>
      <c r="D282" s="260" t="n">
        <v>0.8</v>
      </c>
      <c r="E282" s="259" t="n">
        <v>0</v>
      </c>
      <c r="F282" s="259" t="n">
        <v>0</v>
      </c>
      <c r="G282" s="260" t="n">
        <v>0.8</v>
      </c>
      <c r="H282" s="259" t="n">
        <v>0</v>
      </c>
      <c r="I282" s="259" t="n">
        <v>0</v>
      </c>
      <c r="J282" s="259" t="n">
        <v>0</v>
      </c>
      <c r="K282" s="259" t="n">
        <v>0</v>
      </c>
      <c r="L282" s="259" t="n">
        <v>0</v>
      </c>
    </row>
    <row r="283" hidden="1">
      <c r="A283" s="259" t="inlineStr">
        <is>
          <t>HDFC NIFTY50 Equal Weight Index Fund - Regular Plan</t>
        </is>
      </c>
      <c r="B283" s="261">
        <f>VLOOKUP(A283, '[2]fund-selector'!$A$2:$F$853,6,FALSE)</f>
        <v/>
      </c>
      <c r="C283" s="258" t="n">
        <v>4.09</v>
      </c>
      <c r="D283" s="260" t="n">
        <v>0.86</v>
      </c>
      <c r="E283" s="260" t="n">
        <v>21.91</v>
      </c>
      <c r="F283" s="259" t="n">
        <v>0</v>
      </c>
      <c r="G283" s="260" t="n">
        <v>0.86</v>
      </c>
      <c r="H283" s="260" t="n">
        <v>14.77</v>
      </c>
      <c r="I283" s="260" t="n">
        <v>0.78</v>
      </c>
      <c r="J283" s="260" t="n">
        <v>1.22</v>
      </c>
      <c r="K283" s="260" t="n">
        <v>1.05</v>
      </c>
      <c r="L283" s="260" t="n">
        <v>0.8100000000000001</v>
      </c>
    </row>
    <row r="284" hidden="1">
      <c r="A284" s="259" t="inlineStr">
        <is>
          <t>HDFC NIFTY 50 ETF</t>
        </is>
      </c>
      <c r="B284" s="261">
        <f>VLOOKUP(A284, '[2]fund-selector'!$A$2:$F$853,6,FALSE)</f>
        <v/>
      </c>
      <c r="C284" s="258" t="n">
        <v>6.49</v>
      </c>
      <c r="D284" s="260" t="n">
        <v>0.05</v>
      </c>
      <c r="E284" s="260" t="n">
        <v>18.64</v>
      </c>
      <c r="F284" s="260" t="n">
        <v>20.64</v>
      </c>
      <c r="G284" s="260" t="n">
        <v>0.05</v>
      </c>
      <c r="H284" s="260" t="n">
        <v>13.13</v>
      </c>
      <c r="I284" s="260" t="n">
        <v>0.6899999999999999</v>
      </c>
      <c r="J284" s="260" t="n">
        <v>1.17</v>
      </c>
      <c r="K284" s="260" t="n">
        <v>0.95</v>
      </c>
      <c r="L284" s="260" t="n">
        <v>-0.73</v>
      </c>
    </row>
    <row r="285" hidden="1">
      <c r="A285" s="259" t="inlineStr">
        <is>
          <t>HDFC NIFTY 50 Index Fund - Regular Plan</t>
        </is>
      </c>
      <c r="B285" s="261">
        <f>VLOOKUP(A285, '[2]fund-selector'!$A$2:$F$853,6,FALSE)</f>
        <v/>
      </c>
      <c r="C285" s="258" t="n">
        <v>6.11</v>
      </c>
      <c r="D285" s="260" t="n">
        <v>0.35</v>
      </c>
      <c r="E285" s="260" t="n">
        <v>18.21</v>
      </c>
      <c r="F285" s="260" t="n">
        <v>20.18</v>
      </c>
      <c r="G285" s="260" t="n">
        <v>0.35</v>
      </c>
      <c r="H285" s="260" t="n">
        <v>13.12</v>
      </c>
      <c r="I285" s="260" t="n">
        <v>0.66</v>
      </c>
      <c r="J285" s="260" t="n">
        <v>1.13</v>
      </c>
      <c r="K285" s="260" t="n">
        <v>0.95</v>
      </c>
      <c r="L285" s="260" t="n">
        <v>-1.1</v>
      </c>
    </row>
    <row r="286" hidden="1">
      <c r="A286" s="259" t="inlineStr">
        <is>
          <t>HDFC NIFTY Growth Sectors 15 ETF</t>
        </is>
      </c>
      <c r="B286" s="261">
        <f>VLOOKUP(A286, '[2]fund-selector'!$A$2:$F$853,6,FALSE)</f>
        <v/>
      </c>
      <c r="C286" s="258" t="n">
        <v>4.24</v>
      </c>
      <c r="D286" s="260" t="n">
        <v>0.3</v>
      </c>
      <c r="E286" s="259" t="n">
        <v>0</v>
      </c>
      <c r="F286" s="259" t="n">
        <v>0</v>
      </c>
      <c r="G286" s="260" t="n">
        <v>0.3</v>
      </c>
      <c r="H286" s="259" t="n">
        <v>0</v>
      </c>
      <c r="I286" s="259" t="n">
        <v>0</v>
      </c>
      <c r="J286" s="259" t="n">
        <v>0</v>
      </c>
      <c r="K286" s="259" t="n">
        <v>0</v>
      </c>
      <c r="L286" s="259" t="n">
        <v>0</v>
      </c>
    </row>
    <row r="287" hidden="1">
      <c r="A287" s="259" t="inlineStr">
        <is>
          <t>HDFC Nifty LargeMidcap 250 Index Fund - Regular Plan</t>
        </is>
      </c>
      <c r="B287" s="261">
        <f>VLOOKUP(A287, '[2]fund-selector'!$A$2:$F$853,6,FALSE)</f>
        <v/>
      </c>
      <c r="C287" s="258" t="inlineStr">
        <is>
          <t>--</t>
        </is>
      </c>
      <c r="D287" s="260" t="n">
        <v>0.75</v>
      </c>
      <c r="E287" s="259" t="n">
        <v>0</v>
      </c>
      <c r="F287" s="259" t="n">
        <v>0</v>
      </c>
      <c r="G287" s="260" t="n">
        <v>0.75</v>
      </c>
      <c r="H287" s="259" t="n">
        <v>0</v>
      </c>
      <c r="I287" s="259" t="n">
        <v>0</v>
      </c>
      <c r="J287" s="259" t="n">
        <v>0</v>
      </c>
      <c r="K287" s="259" t="n">
        <v>0</v>
      </c>
      <c r="L287" s="259" t="n">
        <v>0</v>
      </c>
    </row>
    <row r="288" hidden="1">
      <c r="A288" s="259" t="inlineStr">
        <is>
          <t>HDFC NIFTY Midcap 150 ETF</t>
        </is>
      </c>
      <c r="B288" s="261">
        <f>VLOOKUP(A288, '[2]fund-selector'!$A$2:$F$853,6,FALSE)</f>
        <v/>
      </c>
      <c r="C288" s="258" t="n">
        <v>2.44</v>
      </c>
      <c r="D288" s="260" t="n">
        <v>0.2</v>
      </c>
      <c r="E288" s="259" t="n">
        <v>0</v>
      </c>
      <c r="F288" s="259" t="n">
        <v>0</v>
      </c>
      <c r="G288" s="260" t="n">
        <v>0.2</v>
      </c>
      <c r="H288" s="259" t="n">
        <v>0</v>
      </c>
      <c r="I288" s="259" t="n">
        <v>0</v>
      </c>
      <c r="J288" s="259" t="n">
        <v>0</v>
      </c>
      <c r="K288" s="259" t="n">
        <v>0</v>
      </c>
      <c r="L288" s="259" t="n">
        <v>0</v>
      </c>
    </row>
    <row r="289" hidden="1">
      <c r="A289" s="259" t="inlineStr">
        <is>
          <t>HDFC NIFTY Midcap 150 Index Fund - Regular Plan</t>
        </is>
      </c>
      <c r="B289" s="261">
        <f>VLOOKUP(A289, '[2]fund-selector'!$A$2:$F$853,6,FALSE)</f>
        <v/>
      </c>
      <c r="C289" s="258" t="n">
        <v>1.64</v>
      </c>
      <c r="D289" s="260" t="n">
        <v>0.83</v>
      </c>
      <c r="E289" s="259" t="n">
        <v>0</v>
      </c>
      <c r="F289" s="259" t="n">
        <v>0</v>
      </c>
      <c r="G289" s="260" t="n">
        <v>0.83</v>
      </c>
      <c r="H289" s="259" t="n">
        <v>0</v>
      </c>
      <c r="I289" s="259" t="n">
        <v>0</v>
      </c>
      <c r="J289" s="259" t="n">
        <v>0</v>
      </c>
      <c r="K289" s="259" t="n">
        <v>0</v>
      </c>
      <c r="L289" s="259" t="n">
        <v>0</v>
      </c>
    </row>
    <row r="290" hidden="1">
      <c r="A290" s="259" t="inlineStr">
        <is>
          <t>HDFC NIFTY Next 50 ETF</t>
        </is>
      </c>
      <c r="B290" s="261">
        <f>VLOOKUP(A290, '[2]fund-selector'!$A$2:$F$853,6,FALSE)</f>
        <v/>
      </c>
      <c r="C290" s="258" t="n">
        <v>-7.47</v>
      </c>
      <c r="D290" s="260" t="n">
        <v>0.25</v>
      </c>
      <c r="E290" s="259" t="n">
        <v>0</v>
      </c>
      <c r="F290" s="259" t="n">
        <v>0</v>
      </c>
      <c r="G290" s="260" t="n">
        <v>0.25</v>
      </c>
      <c r="H290" s="259" t="n">
        <v>0</v>
      </c>
      <c r="I290" s="259" t="n">
        <v>0</v>
      </c>
      <c r="J290" s="259" t="n">
        <v>0</v>
      </c>
      <c r="K290" s="259" t="n">
        <v>0</v>
      </c>
      <c r="L290" s="259" t="n">
        <v>0</v>
      </c>
    </row>
    <row r="291" hidden="1">
      <c r="A291" s="259" t="inlineStr">
        <is>
          <t>HDFC NIFTY Next 50 Index Fund - Regular Plan</t>
        </is>
      </c>
      <c r="B291" s="261">
        <f>VLOOKUP(A291, '[2]fund-selector'!$A$2:$F$853,6,FALSE)</f>
        <v/>
      </c>
      <c r="C291" s="258" t="n">
        <v>-8.199999999999999</v>
      </c>
      <c r="D291" s="260" t="n">
        <v>0.66</v>
      </c>
      <c r="E291" s="260" t="n">
        <v>22.19</v>
      </c>
      <c r="F291" s="259" t="n">
        <v>0</v>
      </c>
      <c r="G291" s="260" t="n">
        <v>0.66</v>
      </c>
      <c r="H291" s="260" t="n">
        <v>19.53</v>
      </c>
      <c r="I291" s="260" t="n">
        <v>0.68</v>
      </c>
      <c r="J291" s="260" t="n">
        <v>1.02</v>
      </c>
      <c r="K291" s="260" t="n">
        <v>1.3</v>
      </c>
      <c r="L291" s="260" t="n">
        <v>-0.04</v>
      </c>
    </row>
    <row r="292" hidden="1">
      <c r="A292" s="259" t="inlineStr">
        <is>
          <t>HDFC NIFTY Realty Index Fund - Regular Plan</t>
        </is>
      </c>
      <c r="B292" s="261">
        <f>VLOOKUP(A292, '[2]fund-selector'!$A$2:$F$853,6,FALSE)</f>
        <v/>
      </c>
      <c r="C292" s="258" t="n">
        <v>-11.74</v>
      </c>
      <c r="D292" s="260" t="n">
        <v>0.89</v>
      </c>
      <c r="E292" s="259" t="n">
        <v>0</v>
      </c>
      <c r="F292" s="259" t="n">
        <v>0</v>
      </c>
      <c r="G292" s="260" t="n">
        <v>0.89</v>
      </c>
      <c r="H292" s="259" t="n">
        <v>0</v>
      </c>
      <c r="I292" s="259" t="n">
        <v>0</v>
      </c>
      <c r="J292" s="259" t="n">
        <v>0</v>
      </c>
      <c r="K292" s="259" t="n">
        <v>0</v>
      </c>
      <c r="L292" s="259" t="n">
        <v>0</v>
      </c>
    </row>
    <row r="293" hidden="1">
      <c r="A293" s="259" t="inlineStr">
        <is>
          <t>HDFC Nifty Smallcap 250 ETF</t>
        </is>
      </c>
      <c r="B293" s="261">
        <f>VLOOKUP(A293, '[2]fund-selector'!$A$2:$F$853,6,FALSE)</f>
        <v/>
      </c>
      <c r="C293" s="258" t="n">
        <v>-0.64</v>
      </c>
      <c r="D293" s="260" t="n">
        <v>0.2</v>
      </c>
      <c r="E293" s="259" t="n">
        <v>0</v>
      </c>
      <c r="F293" s="259" t="n">
        <v>0</v>
      </c>
      <c r="G293" s="260" t="n">
        <v>0.2</v>
      </c>
      <c r="H293" s="259" t="n">
        <v>0</v>
      </c>
      <c r="I293" s="259" t="n">
        <v>0</v>
      </c>
      <c r="J293" s="259" t="n">
        <v>0</v>
      </c>
      <c r="K293" s="259" t="n">
        <v>0</v>
      </c>
      <c r="L293" s="259" t="n">
        <v>0</v>
      </c>
    </row>
    <row r="294" hidden="1">
      <c r="A294" s="259" t="inlineStr">
        <is>
          <t>HDFC Nifty Smallcap 250 Index Fund - Regular Plan</t>
        </is>
      </c>
      <c r="B294" s="261">
        <f>VLOOKUP(A294, '[2]fund-selector'!$A$2:$F$853,6,FALSE)</f>
        <v/>
      </c>
      <c r="C294" s="258" t="n">
        <v>-1.34</v>
      </c>
      <c r="D294" s="260" t="n">
        <v>0.8100000000000001</v>
      </c>
      <c r="E294" s="259" t="n">
        <v>0</v>
      </c>
      <c r="F294" s="259" t="n">
        <v>0</v>
      </c>
      <c r="G294" s="260" t="n">
        <v>0.8100000000000001</v>
      </c>
      <c r="H294" s="259" t="n">
        <v>0</v>
      </c>
      <c r="I294" s="259" t="n">
        <v>0</v>
      </c>
      <c r="J294" s="259" t="n">
        <v>0</v>
      </c>
      <c r="K294" s="259" t="n">
        <v>0</v>
      </c>
      <c r="L294" s="259" t="n">
        <v>0</v>
      </c>
    </row>
    <row r="295" hidden="1">
      <c r="A295" s="259" t="inlineStr">
        <is>
          <t>HDFC Nifty Top 20 Equal Weight Index Fund - Regular Plan</t>
        </is>
      </c>
      <c r="B295" s="261">
        <f>VLOOKUP(A295, '[2]fund-selector'!$A$2:$F$853,6,FALSE)</f>
        <v/>
      </c>
      <c r="C295" s="258" t="inlineStr">
        <is>
          <t>--</t>
        </is>
      </c>
      <c r="D295" s="260" t="n">
        <v>0.9</v>
      </c>
      <c r="E295" s="259" t="n">
        <v>0</v>
      </c>
      <c r="F295" s="259" t="n">
        <v>0</v>
      </c>
      <c r="G295" s="260" t="n">
        <v>0.9</v>
      </c>
      <c r="H295" s="259" t="n">
        <v>0</v>
      </c>
      <c r="I295" s="259" t="n">
        <v>0</v>
      </c>
      <c r="J295" s="259" t="n">
        <v>0</v>
      </c>
      <c r="K295" s="259" t="n">
        <v>0</v>
      </c>
      <c r="L295" s="259" t="n">
        <v>0</v>
      </c>
    </row>
    <row r="296" hidden="1">
      <c r="A296" s="259" t="inlineStr">
        <is>
          <t>HDFC Retirement Savings Fund Equity Plan - Regular Plan</t>
        </is>
      </c>
      <c r="B296" s="261">
        <f>VLOOKUP(A296, '[2]fund-selector'!$A$2:$F$853,6,FALSE)</f>
        <v/>
      </c>
      <c r="C296" s="258" t="n">
        <v>3.36</v>
      </c>
      <c r="D296" s="260" t="n">
        <v>1.77</v>
      </c>
      <c r="E296" s="260" t="n">
        <v>23.9</v>
      </c>
      <c r="F296" s="260" t="n">
        <v>27.05</v>
      </c>
      <c r="G296" s="260" t="n">
        <v>1.77</v>
      </c>
      <c r="H296" s="260" t="n">
        <v>11.86</v>
      </c>
      <c r="I296" s="260" t="n">
        <v>1.18</v>
      </c>
      <c r="J296" s="260" t="n">
        <v>1.8</v>
      </c>
      <c r="K296" s="260" t="n">
        <v>0.8</v>
      </c>
      <c r="L296" s="260" t="n">
        <v>4.81</v>
      </c>
    </row>
    <row r="297" hidden="1">
      <c r="A297" s="259" t="inlineStr">
        <is>
          <t>HDFC Retirement Savings Fund - Hybrid Debt Plan - Regular Plan</t>
        </is>
      </c>
      <c r="B297" s="261">
        <f>VLOOKUP(A297, '[2]fund-selector'!$A$2:$F$853,6,FALSE)</f>
        <v/>
      </c>
      <c r="C297" s="258" t="n">
        <v>6.22</v>
      </c>
      <c r="D297" s="260" t="n">
        <v>2.14</v>
      </c>
      <c r="E297" s="260" t="n">
        <v>10.55</v>
      </c>
      <c r="F297" s="260" t="n">
        <v>9.33</v>
      </c>
      <c r="G297" s="260" t="n">
        <v>2.14</v>
      </c>
      <c r="H297" s="260" t="n">
        <v>3.63</v>
      </c>
      <c r="I297" s="260" t="n">
        <v>0.95</v>
      </c>
      <c r="J297" s="260" t="n">
        <v>1.63</v>
      </c>
      <c r="K297" s="260" t="n">
        <v>0.85</v>
      </c>
      <c r="L297" s="260" t="n">
        <v>0.33</v>
      </c>
    </row>
    <row r="298" hidden="1">
      <c r="A298" s="259" t="inlineStr">
        <is>
          <t>HDFC Retirement Savings Fund - Hybrid Equity Plan - Regular Plan</t>
        </is>
      </c>
      <c r="B298" s="261">
        <f>VLOOKUP(A298, '[2]fund-selector'!$A$2:$F$853,6,FALSE)</f>
        <v/>
      </c>
      <c r="C298" s="258" t="n">
        <v>4.24</v>
      </c>
      <c r="D298" s="260" t="n">
        <v>2.03</v>
      </c>
      <c r="E298" s="260" t="n">
        <v>18.74</v>
      </c>
      <c r="F298" s="260" t="n">
        <v>19.72</v>
      </c>
      <c r="G298" s="260" t="n">
        <v>2.03</v>
      </c>
      <c r="H298" s="260" t="n">
        <v>9.1</v>
      </c>
      <c r="I298" s="260" t="n">
        <v>1.11</v>
      </c>
      <c r="J298" s="260" t="n">
        <v>1.75</v>
      </c>
      <c r="K298" s="260" t="n">
        <v>0.74</v>
      </c>
      <c r="L298" s="260" t="n">
        <v>2.99</v>
      </c>
    </row>
    <row r="299" hidden="1">
      <c r="A299" s="259" t="inlineStr">
        <is>
          <t>HDFC Small Cap Fund - Regular Plan</t>
        </is>
      </c>
      <c r="B299" s="261">
        <f>VLOOKUP(A299, '[2]fund-selector'!$A$2:$F$853,6,FALSE)</f>
        <v/>
      </c>
      <c r="C299" s="258" t="n">
        <v>2.39</v>
      </c>
      <c r="D299" s="260" t="n">
        <v>1.59</v>
      </c>
      <c r="E299" s="260" t="n">
        <v>29.03</v>
      </c>
      <c r="F299" s="260" t="n">
        <v>33.75</v>
      </c>
      <c r="G299" s="260" t="n">
        <v>1.59</v>
      </c>
      <c r="H299" s="260" t="n">
        <v>16.33</v>
      </c>
      <c r="I299" s="260" t="n">
        <v>1.13</v>
      </c>
      <c r="J299" s="260" t="n">
        <v>1.67</v>
      </c>
      <c r="K299" s="260" t="n">
        <v>0.8100000000000001</v>
      </c>
      <c r="L299" s="260" t="n">
        <v>3.63</v>
      </c>
    </row>
    <row r="300" hidden="1">
      <c r="A300" s="259" t="inlineStr">
        <is>
          <t>HDFC Transportation and Logistics Fund - Regular Plan</t>
        </is>
      </c>
      <c r="B300" s="261">
        <f>VLOOKUP(A300, '[2]fund-selector'!$A$2:$F$853,6,FALSE)</f>
        <v/>
      </c>
      <c r="C300" s="258" t="n">
        <v>-4.53</v>
      </c>
      <c r="D300" s="260" t="n">
        <v>2.12</v>
      </c>
      <c r="E300" s="259" t="n">
        <v>0</v>
      </c>
      <c r="F300" s="259" t="n">
        <v>0</v>
      </c>
      <c r="G300" s="260" t="n">
        <v>2.12</v>
      </c>
      <c r="H300" s="259" t="n">
        <v>0</v>
      </c>
      <c r="I300" s="259" t="n">
        <v>0</v>
      </c>
      <c r="J300" s="259" t="n">
        <v>0</v>
      </c>
      <c r="K300" s="259" t="n">
        <v>0</v>
      </c>
      <c r="L300" s="259" t="n">
        <v>0</v>
      </c>
    </row>
    <row r="301" hidden="1">
      <c r="A301" s="259" t="inlineStr">
        <is>
          <t>Helios Balanced Advantage Fund - Regular Plan</t>
        </is>
      </c>
      <c r="B301" s="261">
        <f>VLOOKUP(A301, '[2]fund-selector'!$A$2:$F$853,6,FALSE)</f>
        <v/>
      </c>
      <c r="C301" s="258" t="n">
        <v>1.01</v>
      </c>
      <c r="D301" s="260" t="n">
        <v>2.4</v>
      </c>
      <c r="E301" s="259" t="n">
        <v>0</v>
      </c>
      <c r="F301" s="259" t="n">
        <v>0</v>
      </c>
      <c r="G301" s="260" t="n">
        <v>2.4</v>
      </c>
      <c r="H301" s="259" t="n">
        <v>0</v>
      </c>
      <c r="I301" s="259" t="n">
        <v>0</v>
      </c>
      <c r="J301" s="259" t="n">
        <v>0</v>
      </c>
      <c r="K301" s="259" t="n">
        <v>0</v>
      </c>
      <c r="L301" s="259" t="n">
        <v>0</v>
      </c>
    </row>
    <row r="302" hidden="1">
      <c r="A302" s="259" t="inlineStr">
        <is>
          <t>Helios Flexi Cap Fund - Regular Plan</t>
        </is>
      </c>
      <c r="B302" s="261">
        <f>VLOOKUP(A302, '[2]fund-selector'!$A$2:$F$853,6,FALSE)</f>
        <v/>
      </c>
      <c r="C302" s="258" t="n">
        <v>2.83</v>
      </c>
      <c r="D302" s="260" t="n">
        <v>1.9</v>
      </c>
      <c r="E302" s="259" t="n">
        <v>0</v>
      </c>
      <c r="F302" s="259" t="n">
        <v>0</v>
      </c>
      <c r="G302" s="260" t="n">
        <v>1.9</v>
      </c>
      <c r="H302" s="259" t="n">
        <v>0</v>
      </c>
      <c r="I302" s="259" t="n">
        <v>0</v>
      </c>
      <c r="J302" s="259" t="n">
        <v>0</v>
      </c>
      <c r="K302" s="259" t="n">
        <v>0</v>
      </c>
      <c r="L302" s="259" t="n">
        <v>0</v>
      </c>
    </row>
    <row r="303" hidden="1">
      <c r="A303" s="259" t="inlineStr">
        <is>
          <t>Helios Large &amp; Mid Cap Fund - Regular Plan</t>
        </is>
      </c>
      <c r="B303" s="261">
        <f>VLOOKUP(A303, '[2]fund-selector'!$A$2:$F$853,6,FALSE)</f>
        <v/>
      </c>
      <c r="C303" s="258" t="inlineStr">
        <is>
          <t>--</t>
        </is>
      </c>
      <c r="D303" s="260" t="n">
        <v>2.38</v>
      </c>
      <c r="E303" s="259" t="n">
        <v>0</v>
      </c>
      <c r="F303" s="259" t="n">
        <v>0</v>
      </c>
      <c r="G303" s="260" t="n">
        <v>2.38</v>
      </c>
      <c r="H303" s="259" t="n">
        <v>0</v>
      </c>
      <c r="I303" s="259" t="n">
        <v>0</v>
      </c>
      <c r="J303" s="259" t="n">
        <v>0</v>
      </c>
      <c r="K303" s="259" t="n">
        <v>0</v>
      </c>
      <c r="L303" s="259" t="n">
        <v>0</v>
      </c>
    </row>
    <row r="304" hidden="1">
      <c r="A304" s="259" t="inlineStr">
        <is>
          <t>Helios Mid Cap Fund - Regular Plan</t>
        </is>
      </c>
      <c r="B304" s="261">
        <f>VLOOKUP(A304, '[2]fund-selector'!$A$2:$F$853,6,FALSE)</f>
        <v/>
      </c>
      <c r="C304" s="258" t="inlineStr">
        <is>
          <t>--</t>
        </is>
      </c>
      <c r="D304" s="260" t="n">
        <v>2.39</v>
      </c>
      <c r="E304" s="259" t="n">
        <v>0</v>
      </c>
      <c r="F304" s="259" t="n">
        <v>0</v>
      </c>
      <c r="G304" s="260" t="n">
        <v>2.39</v>
      </c>
      <c r="H304" s="259" t="n">
        <v>0</v>
      </c>
      <c r="I304" s="259" t="n">
        <v>0</v>
      </c>
      <c r="J304" s="259" t="n">
        <v>0</v>
      </c>
      <c r="K304" s="259" t="n">
        <v>0</v>
      </c>
      <c r="L304" s="259" t="n">
        <v>0</v>
      </c>
    </row>
    <row r="305" hidden="1">
      <c r="A305" s="259" t="inlineStr">
        <is>
          <t>HSBC Aggressive Hybrid Active FoF - Regular Plan</t>
        </is>
      </c>
      <c r="B305" s="261">
        <f>VLOOKUP(A305, '[2]fund-selector'!$A$2:$F$853,6,FALSE)</f>
        <v/>
      </c>
      <c r="C305" s="258" t="n">
        <v>3.62</v>
      </c>
      <c r="D305" s="260" t="n">
        <v>1.35</v>
      </c>
      <c r="E305" s="260" t="n">
        <v>19.21</v>
      </c>
      <c r="F305" s="260" t="n">
        <v>19.21</v>
      </c>
      <c r="G305" s="260" t="n">
        <v>1.35</v>
      </c>
      <c r="H305" s="260" t="n">
        <v>11.62</v>
      </c>
      <c r="I305" s="260" t="n">
        <v>0.82</v>
      </c>
      <c r="J305" s="260" t="n">
        <v>1.15</v>
      </c>
      <c r="K305" s="260" t="n">
        <v>0.9399999999999999</v>
      </c>
      <c r="L305" s="260" t="n">
        <v>0.53</v>
      </c>
    </row>
    <row r="306" hidden="1">
      <c r="A306" s="259" t="inlineStr">
        <is>
          <t>HSBC Aggressive Hybrid Fund</t>
        </is>
      </c>
      <c r="B306" s="261">
        <f>VLOOKUP(A306, '[2]fund-selector'!$A$2:$F$853,6,FALSE)</f>
        <v/>
      </c>
      <c r="C306" s="258" t="n">
        <v>2.15</v>
      </c>
      <c r="D306" s="260" t="n">
        <v>1.86</v>
      </c>
      <c r="E306" s="260" t="n">
        <v>18.54</v>
      </c>
      <c r="F306" s="260" t="n">
        <v>17.24</v>
      </c>
      <c r="G306" s="260" t="n">
        <v>1.86</v>
      </c>
      <c r="H306" s="260" t="n">
        <v>13.28</v>
      </c>
      <c r="I306" s="260" t="n">
        <v>0.7</v>
      </c>
      <c r="J306" s="260" t="n">
        <v>0.83</v>
      </c>
      <c r="K306" s="260" t="n">
        <v>1.01</v>
      </c>
      <c r="L306" s="260" t="n">
        <v>-0.36</v>
      </c>
    </row>
    <row r="307" hidden="1">
      <c r="A307" s="259" t="inlineStr">
        <is>
          <t>HSBC Arbitrage Fund - Regular Plan</t>
        </is>
      </c>
      <c r="B307" s="261">
        <f>VLOOKUP(A307, '[2]fund-selector'!$A$2:$F$853,6,FALSE)</f>
        <v/>
      </c>
      <c r="C307" s="258" t="n">
        <v>6.69</v>
      </c>
      <c r="D307" s="260" t="n">
        <v>0.91</v>
      </c>
      <c r="E307" s="260" t="n">
        <v>6.65</v>
      </c>
      <c r="F307" s="260" t="n">
        <v>5.4</v>
      </c>
      <c r="G307" s="260" t="n">
        <v>0.91</v>
      </c>
      <c r="H307" s="260" t="n">
        <v>0.53</v>
      </c>
      <c r="I307" s="260" t="n">
        <v>0.12</v>
      </c>
      <c r="J307" s="260" t="n">
        <v>0.13</v>
      </c>
      <c r="K307" s="260" t="n">
        <v>0.55</v>
      </c>
      <c r="L307" s="260" t="n">
        <v>1.12</v>
      </c>
    </row>
    <row r="308" hidden="1">
      <c r="A308" s="259" t="inlineStr">
        <is>
          <t>HSBC Balanced Advantage Fund</t>
        </is>
      </c>
      <c r="B308" s="261">
        <f>VLOOKUP(A308, '[2]fund-selector'!$A$2:$F$853,6,FALSE)</f>
        <v/>
      </c>
      <c r="C308" s="258" t="n">
        <v>6.26</v>
      </c>
      <c r="D308" s="260" t="n">
        <v>2.11</v>
      </c>
      <c r="E308" s="260" t="n">
        <v>13.68</v>
      </c>
      <c r="F308" s="260" t="n">
        <v>11.33</v>
      </c>
      <c r="G308" s="260" t="n">
        <v>2.11</v>
      </c>
      <c r="H308" s="260" t="n">
        <v>6.95</v>
      </c>
      <c r="I308" s="260" t="n">
        <v>0.8</v>
      </c>
      <c r="J308" s="260" t="n">
        <v>1.18</v>
      </c>
      <c r="K308" s="260" t="n">
        <v>0.61</v>
      </c>
      <c r="L308" s="260" t="n">
        <v>0.74</v>
      </c>
    </row>
    <row r="309" hidden="1">
      <c r="A309" s="259" t="inlineStr">
        <is>
          <t>HSBC Business Cycles Fund - Regular Plan</t>
        </is>
      </c>
      <c r="B309" s="261">
        <f>VLOOKUP(A309, '[2]fund-selector'!$A$2:$F$853,6,FALSE)</f>
        <v/>
      </c>
      <c r="C309" s="258" t="n">
        <v>4.59</v>
      </c>
      <c r="D309" s="260" t="n">
        <v>2.24</v>
      </c>
      <c r="E309" s="260" t="n">
        <v>28.58</v>
      </c>
      <c r="F309" s="260" t="n">
        <v>27.4</v>
      </c>
      <c r="G309" s="260" t="n">
        <v>2.24</v>
      </c>
      <c r="H309" s="260" t="n">
        <v>17.87</v>
      </c>
      <c r="I309" s="260" t="n">
        <v>0.99</v>
      </c>
      <c r="J309" s="260" t="n">
        <v>1.39</v>
      </c>
      <c r="K309" s="260" t="n">
        <v>1.11</v>
      </c>
      <c r="L309" s="260" t="n">
        <v>4.87</v>
      </c>
    </row>
    <row r="310" hidden="1">
      <c r="A310" s="259" t="inlineStr">
        <is>
          <t>HSBC Conservative Hybrid Fund</t>
        </is>
      </c>
      <c r="B310" s="261">
        <f>VLOOKUP(A310, '[2]fund-selector'!$A$2:$F$853,6,FALSE)</f>
        <v/>
      </c>
      <c r="C310" s="258" t="n">
        <v>6.99</v>
      </c>
      <c r="D310" s="260" t="n">
        <v>2.17</v>
      </c>
      <c r="E310" s="260" t="n">
        <v>11.55</v>
      </c>
      <c r="F310" s="260" t="n">
        <v>9.380000000000001</v>
      </c>
      <c r="G310" s="260" t="n">
        <v>2.17</v>
      </c>
      <c r="H310" s="260" t="n">
        <v>4.99</v>
      </c>
      <c r="I310" s="260" t="n">
        <v>0.88</v>
      </c>
      <c r="J310" s="260" t="n">
        <v>1.06</v>
      </c>
      <c r="K310" s="260" t="n">
        <v>1.05</v>
      </c>
      <c r="L310" s="260" t="n">
        <v>0.55</v>
      </c>
    </row>
    <row r="311" hidden="1">
      <c r="A311" s="259" t="inlineStr">
        <is>
          <t>HSBC Flexi Cap Fund</t>
        </is>
      </c>
      <c r="B311" s="261">
        <f>VLOOKUP(A311, '[2]fund-selector'!$A$2:$F$853,6,FALSE)</f>
        <v/>
      </c>
      <c r="C311" s="258" t="n">
        <v>4.06</v>
      </c>
      <c r="D311" s="260" t="n">
        <v>1.93</v>
      </c>
      <c r="E311" s="260" t="n">
        <v>24.82</v>
      </c>
      <c r="F311" s="260" t="n">
        <v>23.04</v>
      </c>
      <c r="G311" s="260" t="n">
        <v>1.93</v>
      </c>
      <c r="H311" s="260" t="n">
        <v>14.83</v>
      </c>
      <c r="I311" s="260" t="n">
        <v>0.98</v>
      </c>
      <c r="J311" s="260" t="n">
        <v>1.27</v>
      </c>
      <c r="K311" s="260" t="n">
        <v>0.97</v>
      </c>
      <c r="L311" s="260" t="n">
        <v>3.32</v>
      </c>
    </row>
    <row r="312" hidden="1">
      <c r="A312" s="259" t="inlineStr">
        <is>
          <t>HSBC Focused Fund - Regular Plan</t>
        </is>
      </c>
      <c r="B312" s="261">
        <f>VLOOKUP(A312, '[2]fund-selector'!$A$2:$F$853,6,FALSE)</f>
        <v/>
      </c>
      <c r="C312" s="258" t="n">
        <v>4.49</v>
      </c>
      <c r="D312" s="260" t="n">
        <v>2.12</v>
      </c>
      <c r="E312" s="260" t="n">
        <v>20.27</v>
      </c>
      <c r="F312" s="259" t="n">
        <v>0</v>
      </c>
      <c r="G312" s="260" t="n">
        <v>2.12</v>
      </c>
      <c r="H312" s="260" t="n">
        <v>15.13</v>
      </c>
      <c r="I312" s="260" t="n">
        <v>0.6899999999999999</v>
      </c>
      <c r="J312" s="260" t="n">
        <v>0.96</v>
      </c>
      <c r="K312" s="260" t="n">
        <v>0.96</v>
      </c>
      <c r="L312" s="260" t="n">
        <v>-0.64</v>
      </c>
    </row>
    <row r="313" hidden="1">
      <c r="A313" s="259" t="inlineStr">
        <is>
          <t>HSBC India Export Opportunities Fund - Regular Plan</t>
        </is>
      </c>
      <c r="B313" s="261">
        <f>VLOOKUP(A313, '[2]fund-selector'!$A$2:$F$853,6,FALSE)</f>
        <v/>
      </c>
      <c r="C313" s="258" t="inlineStr">
        <is>
          <t>--</t>
        </is>
      </c>
      <c r="D313" s="260" t="n">
        <v>2.07</v>
      </c>
      <c r="E313" s="259" t="n">
        <v>0</v>
      </c>
      <c r="F313" s="259" t="n">
        <v>0</v>
      </c>
      <c r="G313" s="260" t="n">
        <v>2.07</v>
      </c>
      <c r="H313" s="259" t="n">
        <v>0</v>
      </c>
      <c r="I313" s="259" t="n">
        <v>0</v>
      </c>
      <c r="J313" s="259" t="n">
        <v>0</v>
      </c>
      <c r="K313" s="259" t="n">
        <v>0</v>
      </c>
      <c r="L313" s="259" t="n">
        <v>0</v>
      </c>
    </row>
    <row r="314" hidden="1">
      <c r="A314" s="259" t="inlineStr">
        <is>
          <t>HSBC Large and Mid Cap Fund - Regular Plan</t>
        </is>
      </c>
      <c r="B314" s="261">
        <f>VLOOKUP(A314, '[2]fund-selector'!$A$2:$F$853,6,FALSE)</f>
        <v/>
      </c>
      <c r="C314" s="258" t="n">
        <v>-0.41</v>
      </c>
      <c r="D314" s="260" t="n">
        <v>1.91</v>
      </c>
      <c r="E314" s="260" t="n">
        <v>25.19</v>
      </c>
      <c r="F314" s="260" t="n">
        <v>23.29</v>
      </c>
      <c r="G314" s="260" t="n">
        <v>1.91</v>
      </c>
      <c r="H314" s="260" t="n">
        <v>16.95</v>
      </c>
      <c r="I314" s="260" t="n">
        <v>0.88</v>
      </c>
      <c r="J314" s="260" t="n">
        <v>0.98</v>
      </c>
      <c r="K314" s="260" t="n">
        <v>0.99</v>
      </c>
      <c r="L314" s="260" t="n">
        <v>4.02</v>
      </c>
    </row>
    <row r="315" hidden="1">
      <c r="A315" s="259" t="inlineStr">
        <is>
          <t>HSBC Large Cap Fund</t>
        </is>
      </c>
      <c r="B315" s="261">
        <f>VLOOKUP(A315, '[2]fund-selector'!$A$2:$F$853,6,FALSE)</f>
        <v/>
      </c>
      <c r="C315" s="258" t="n">
        <v>2.2</v>
      </c>
      <c r="D315" s="260" t="n">
        <v>2.14</v>
      </c>
      <c r="E315" s="260" t="n">
        <v>19.49</v>
      </c>
      <c r="F315" s="260" t="n">
        <v>19.16</v>
      </c>
      <c r="G315" s="260" t="n">
        <v>2.14</v>
      </c>
      <c r="H315" s="260" t="n">
        <v>13.9</v>
      </c>
      <c r="I315" s="260" t="n">
        <v>0.7</v>
      </c>
      <c r="J315" s="260" t="n">
        <v>1.07</v>
      </c>
      <c r="K315" s="260" t="n">
        <v>0.98</v>
      </c>
      <c r="L315" s="260" t="n">
        <v>-0.36</v>
      </c>
    </row>
    <row r="316" hidden="1">
      <c r="A316" s="259" t="inlineStr">
        <is>
          <t>HSBC Midcap Fund</t>
        </is>
      </c>
      <c r="B316" s="261">
        <f>VLOOKUP(A316, '[2]fund-selector'!$A$2:$F$853,6,FALSE)</f>
        <v/>
      </c>
      <c r="C316" s="258" t="n">
        <v>2.65</v>
      </c>
      <c r="D316" s="260" t="n">
        <v>1.73</v>
      </c>
      <c r="E316" s="260" t="n">
        <v>28.02</v>
      </c>
      <c r="F316" s="260" t="n">
        <v>26.15</v>
      </c>
      <c r="G316" s="260" t="n">
        <v>1.73</v>
      </c>
      <c r="H316" s="260" t="n">
        <v>17.34</v>
      </c>
      <c r="I316" s="260" t="n">
        <v>1.01</v>
      </c>
      <c r="J316" s="260" t="n">
        <v>1.12</v>
      </c>
      <c r="K316" s="260" t="n">
        <v>0.95</v>
      </c>
      <c r="L316" s="260" t="n">
        <v>0.36</v>
      </c>
    </row>
    <row r="317" hidden="1">
      <c r="A317" s="259" t="inlineStr">
        <is>
          <t>HSBC Multi Asset Active FoF - Regular Plan</t>
        </is>
      </c>
      <c r="B317" s="261">
        <f>VLOOKUP(A317, '[2]fund-selector'!$A$2:$F$853,6,FALSE)</f>
        <v/>
      </c>
      <c r="C317" s="258" t="n">
        <v>6.75</v>
      </c>
      <c r="D317" s="260" t="n">
        <v>1.45</v>
      </c>
      <c r="E317" s="260" t="n">
        <v>17.59</v>
      </c>
      <c r="F317" s="260" t="n">
        <v>17.03</v>
      </c>
      <c r="G317" s="260" t="n">
        <v>1.45</v>
      </c>
      <c r="H317" s="260" t="n">
        <v>9.630000000000001</v>
      </c>
      <c r="I317" s="260" t="n">
        <v>0.85</v>
      </c>
      <c r="J317" s="260" t="n">
        <v>1.21</v>
      </c>
      <c r="K317" s="260" t="n">
        <v>0.95</v>
      </c>
      <c r="L317" s="260" t="n">
        <v>-0.26</v>
      </c>
    </row>
    <row r="318" hidden="1">
      <c r="A318" s="259" t="inlineStr">
        <is>
          <t>HSBC Multi Asset Allocation Fund - Regular Plan</t>
        </is>
      </c>
      <c r="B318" s="261">
        <f>VLOOKUP(A318, '[2]fund-selector'!$A$2:$F$853,6,FALSE)</f>
        <v/>
      </c>
      <c r="C318" s="258" t="n">
        <v>2.42</v>
      </c>
      <c r="D318" s="260" t="n">
        <v>1.87</v>
      </c>
      <c r="E318" s="259" t="n">
        <v>0</v>
      </c>
      <c r="F318" s="259" t="n">
        <v>0</v>
      </c>
      <c r="G318" s="260" t="n">
        <v>1.87</v>
      </c>
      <c r="H318" s="259" t="n">
        <v>0</v>
      </c>
      <c r="I318" s="259" t="n">
        <v>0</v>
      </c>
      <c r="J318" s="259" t="n">
        <v>0</v>
      </c>
      <c r="K318" s="259" t="n">
        <v>0</v>
      </c>
      <c r="L318" s="259" t="n">
        <v>0</v>
      </c>
    </row>
    <row r="319" hidden="1">
      <c r="A319" s="259" t="inlineStr">
        <is>
          <t>HSBC Multi Cap Fund - Regular Plan</t>
        </is>
      </c>
      <c r="B319" s="261">
        <f>VLOOKUP(A319, '[2]fund-selector'!$A$2:$F$853,6,FALSE)</f>
        <v/>
      </c>
      <c r="C319" s="258" t="n">
        <v>0.99</v>
      </c>
      <c r="D319" s="260" t="n">
        <v>1.85</v>
      </c>
      <c r="E319" s="259" t="n">
        <v>0</v>
      </c>
      <c r="F319" s="259" t="n">
        <v>0</v>
      </c>
      <c r="G319" s="260" t="n">
        <v>1.85</v>
      </c>
      <c r="H319" s="259" t="n">
        <v>0</v>
      </c>
      <c r="I319" s="259" t="n">
        <v>0</v>
      </c>
      <c r="J319" s="259" t="n">
        <v>0</v>
      </c>
      <c r="K319" s="259" t="n">
        <v>0</v>
      </c>
      <c r="L319" s="259" t="n">
        <v>0</v>
      </c>
    </row>
    <row r="320" hidden="1">
      <c r="A320" s="259" t="inlineStr">
        <is>
          <t>HSBC Nifty 50 Index Fund - Regular Plan</t>
        </is>
      </c>
      <c r="B320" s="261">
        <f>VLOOKUP(A320, '[2]fund-selector'!$A$2:$F$853,6,FALSE)</f>
        <v/>
      </c>
      <c r="C320" s="258" t="n">
        <v>5.99</v>
      </c>
      <c r="D320" s="260" t="n">
        <v>0.44</v>
      </c>
      <c r="E320" s="260" t="n">
        <v>18.09</v>
      </c>
      <c r="F320" s="260" t="n">
        <v>19.97</v>
      </c>
      <c r="G320" s="260" t="n">
        <v>0.44</v>
      </c>
      <c r="H320" s="260" t="n">
        <v>13.1</v>
      </c>
      <c r="I320" s="260" t="n">
        <v>0.65</v>
      </c>
      <c r="J320" s="260" t="n">
        <v>1.12</v>
      </c>
      <c r="K320" s="260" t="n">
        <v>0.95</v>
      </c>
      <c r="L320" s="260" t="n">
        <v>-1.18</v>
      </c>
    </row>
    <row r="321" hidden="1">
      <c r="A321" s="259" t="inlineStr">
        <is>
          <t>HSBC Nifty Next 50 Index Fund - Regular Plan</t>
        </is>
      </c>
      <c r="B321" s="261">
        <f>VLOOKUP(A321, '[2]fund-selector'!$A$2:$F$853,6,FALSE)</f>
        <v/>
      </c>
      <c r="C321" s="258" t="n">
        <v>-8.26</v>
      </c>
      <c r="D321" s="260" t="n">
        <v>0.72</v>
      </c>
      <c r="E321" s="260" t="n">
        <v>22.1</v>
      </c>
      <c r="F321" s="260" t="n">
        <v>20.78</v>
      </c>
      <c r="G321" s="260" t="n">
        <v>0.72</v>
      </c>
      <c r="H321" s="260" t="n">
        <v>19.49</v>
      </c>
      <c r="I321" s="260" t="n">
        <v>0.68</v>
      </c>
      <c r="J321" s="260" t="n">
        <v>1.01</v>
      </c>
      <c r="K321" s="260" t="n">
        <v>1.3</v>
      </c>
      <c r="L321" s="260" t="n">
        <v>-0.14</v>
      </c>
    </row>
    <row r="322" hidden="1">
      <c r="A322" s="259" t="inlineStr">
        <is>
          <t>HSBC Small Cap Fund</t>
        </is>
      </c>
      <c r="B322" s="261">
        <f>VLOOKUP(A322, '[2]fund-selector'!$A$2:$F$853,6,FALSE)</f>
        <v/>
      </c>
      <c r="C322" s="258" t="n">
        <v>-3.65</v>
      </c>
      <c r="D322" s="260" t="n">
        <v>1.68</v>
      </c>
      <c r="E322" s="260" t="n">
        <v>26.44</v>
      </c>
      <c r="F322" s="260" t="n">
        <v>34.31</v>
      </c>
      <c r="G322" s="260" t="n">
        <v>1.68</v>
      </c>
      <c r="H322" s="260" t="n">
        <v>18.41</v>
      </c>
      <c r="I322" s="260" t="n">
        <v>0.9</v>
      </c>
      <c r="J322" s="260" t="n">
        <v>1.16</v>
      </c>
      <c r="K322" s="260" t="n">
        <v>0.9</v>
      </c>
      <c r="L322" s="260" t="n">
        <v>0.12</v>
      </c>
    </row>
    <row r="323" hidden="1">
      <c r="A323" s="259" t="inlineStr">
        <is>
          <t>ICICI Prudential Asset Allocator (FOF) Fund</t>
        </is>
      </c>
      <c r="B323" s="261">
        <f>VLOOKUP(A323, '[2]fund-selector'!$A$2:$F$853,6,FALSE)</f>
        <v/>
      </c>
      <c r="C323" s="258" t="n">
        <v>10.09</v>
      </c>
      <c r="D323" s="260" t="n">
        <v>1.27</v>
      </c>
      <c r="E323" s="260" t="n">
        <v>15.68</v>
      </c>
      <c r="F323" s="260" t="n">
        <v>16.6</v>
      </c>
      <c r="G323" s="260" t="n">
        <v>1.27</v>
      </c>
      <c r="H323" s="260" t="n">
        <v>5.27</v>
      </c>
      <c r="I323" s="260" t="n">
        <v>1.45</v>
      </c>
      <c r="J323" s="260" t="n">
        <v>1.94</v>
      </c>
      <c r="K323" s="260" t="n">
        <v>0.52</v>
      </c>
      <c r="L323" s="260" t="n">
        <v>3.02</v>
      </c>
    </row>
    <row r="324" hidden="1">
      <c r="A324" s="259" t="inlineStr">
        <is>
          <t>ICICI Prudential Balanced Advantage Fund</t>
        </is>
      </c>
      <c r="B324" s="261">
        <f>VLOOKUP(A324, '[2]fund-selector'!$A$2:$F$853,6,FALSE)</f>
        <v/>
      </c>
      <c r="C324" s="258" t="n">
        <v>9.09</v>
      </c>
      <c r="D324" s="260" t="n">
        <v>1.45</v>
      </c>
      <c r="E324" s="260" t="n">
        <v>15.12</v>
      </c>
      <c r="F324" s="260" t="n">
        <v>15.77</v>
      </c>
      <c r="G324" s="260" t="n">
        <v>1.45</v>
      </c>
      <c r="H324" s="260" t="n">
        <v>5.76</v>
      </c>
      <c r="I324" s="260" t="n">
        <v>1.18</v>
      </c>
      <c r="J324" s="260" t="n">
        <v>1.86</v>
      </c>
      <c r="K324" s="260" t="n">
        <v>0.54</v>
      </c>
      <c r="L324" s="260" t="n">
        <v>2.57</v>
      </c>
    </row>
    <row r="325" hidden="1">
      <c r="A325" s="259" t="inlineStr">
        <is>
          <t>ICICI Prudential BHARAT 22 FOF</t>
        </is>
      </c>
      <c r="B325" s="261">
        <f>VLOOKUP(A325, '[2]fund-selector'!$A$2:$F$853,6,FALSE)</f>
        <v/>
      </c>
      <c r="C325" s="258" t="n">
        <v>-2.33</v>
      </c>
      <c r="D325" s="260" t="n">
        <v>0.13</v>
      </c>
      <c r="E325" s="260" t="n">
        <v>33.43</v>
      </c>
      <c r="F325" s="260" t="n">
        <v>33.86</v>
      </c>
      <c r="G325" s="260" t="n">
        <v>0.13</v>
      </c>
      <c r="H325" s="260" t="n">
        <v>17.7</v>
      </c>
      <c r="I325" s="260" t="n">
        <v>1.27</v>
      </c>
      <c r="J325" s="260" t="n">
        <v>2.07</v>
      </c>
      <c r="K325" s="260" t="n">
        <v>1.1</v>
      </c>
      <c r="L325" s="260" t="n">
        <v>11.14</v>
      </c>
    </row>
    <row r="326" hidden="1">
      <c r="A326" s="259" t="inlineStr">
        <is>
          <t>ICICI Prudential BSE 500 ETF</t>
        </is>
      </c>
      <c r="B326" s="261">
        <f>VLOOKUP(A326, '[2]fund-selector'!$A$2:$F$853,6,FALSE)</f>
        <v/>
      </c>
      <c r="C326" s="258" t="n">
        <v>2.5</v>
      </c>
      <c r="D326" s="260" t="n">
        <v>0.32</v>
      </c>
      <c r="E326" s="260" t="n">
        <v>20.91</v>
      </c>
      <c r="F326" s="260" t="n">
        <v>22.9</v>
      </c>
      <c r="G326" s="260" t="n">
        <v>0.32</v>
      </c>
      <c r="H326" s="260" t="n">
        <v>14.5</v>
      </c>
      <c r="I326" s="260" t="n">
        <v>0.77</v>
      </c>
      <c r="J326" s="260" t="n">
        <v>1.22</v>
      </c>
      <c r="K326" s="260" t="n">
        <v>1</v>
      </c>
      <c r="L326" s="260" t="n">
        <v>-0.32</v>
      </c>
    </row>
    <row r="327" hidden="1">
      <c r="A327" s="259" t="inlineStr">
        <is>
          <t>ICICI Prudential BSE 500 ETF FOF</t>
        </is>
      </c>
      <c r="B327" s="261">
        <f>VLOOKUP(A327, '[2]fund-selector'!$A$2:$F$853,6,FALSE)</f>
        <v/>
      </c>
      <c r="C327" s="258" t="n">
        <v>1.77</v>
      </c>
      <c r="D327" s="260" t="n">
        <v>0.58</v>
      </c>
      <c r="E327" s="260" t="n">
        <v>19.73</v>
      </c>
      <c r="F327" s="259" t="n">
        <v>0</v>
      </c>
      <c r="G327" s="260" t="n">
        <v>0.58</v>
      </c>
      <c r="H327" s="260" t="n">
        <v>14.05</v>
      </c>
      <c r="I327" s="260" t="n">
        <v>0.74</v>
      </c>
      <c r="J327" s="260" t="n">
        <v>1.12</v>
      </c>
      <c r="K327" s="260" t="n">
        <v>0.96</v>
      </c>
      <c r="L327" s="260" t="n">
        <v>-0.66</v>
      </c>
    </row>
    <row r="328" hidden="1">
      <c r="A328" s="259" t="inlineStr">
        <is>
          <t>ICICI Prudential BSE Midcap Select ETF</t>
        </is>
      </c>
      <c r="B328" s="261">
        <f>VLOOKUP(A328, '[2]fund-selector'!$A$2:$F$853,6,FALSE)</f>
        <v/>
      </c>
      <c r="C328" s="258" t="n">
        <v>0.22</v>
      </c>
      <c r="D328" s="260" t="n">
        <v>0.15</v>
      </c>
      <c r="E328" s="260" t="n">
        <v>24.19</v>
      </c>
      <c r="F328" s="260" t="n">
        <v>25.54</v>
      </c>
      <c r="G328" s="260" t="n">
        <v>0.15</v>
      </c>
      <c r="H328" s="260" t="n">
        <v>18.08</v>
      </c>
      <c r="I328" s="260" t="n">
        <v>0.8</v>
      </c>
      <c r="J328" s="260" t="n">
        <v>1.11</v>
      </c>
      <c r="K328" s="260" t="n">
        <v>1.02</v>
      </c>
      <c r="L328" s="260" t="n">
        <v>-4.03</v>
      </c>
    </row>
    <row r="329" hidden="1">
      <c r="A329" s="259" t="inlineStr">
        <is>
          <t>ICICI Prudential BSE Sensex ETF</t>
        </is>
      </c>
      <c r="B329" s="261">
        <f>VLOOKUP(A329, '[2]fund-selector'!$A$2:$F$853,6,FALSE)</f>
        <v/>
      </c>
      <c r="C329" s="258" t="n">
        <v>6.31</v>
      </c>
      <c r="D329" s="260" t="n">
        <v>0.03</v>
      </c>
      <c r="E329" s="260" t="n">
        <v>17.88</v>
      </c>
      <c r="F329" s="260" t="n">
        <v>19.92</v>
      </c>
      <c r="G329" s="260" t="n">
        <v>0.03</v>
      </c>
      <c r="H329" s="260" t="n">
        <v>12.71</v>
      </c>
      <c r="I329" s="260" t="n">
        <v>0.67</v>
      </c>
      <c r="J329" s="260" t="n">
        <v>1.11</v>
      </c>
      <c r="K329" s="260" t="n">
        <v>0.91</v>
      </c>
      <c r="L329" s="260" t="n">
        <v>-0.91</v>
      </c>
    </row>
    <row r="330" hidden="1">
      <c r="A330" s="259" t="inlineStr">
        <is>
          <t>ICICI Prudential BSE Sensex Index Fund</t>
        </is>
      </c>
      <c r="B330" s="261">
        <f>VLOOKUP(A330, '[2]fund-selector'!$A$2:$F$853,6,FALSE)</f>
        <v/>
      </c>
      <c r="C330" s="258" t="n">
        <v>6</v>
      </c>
      <c r="D330" s="260" t="n">
        <v>0.28</v>
      </c>
      <c r="E330" s="260" t="n">
        <v>17.49</v>
      </c>
      <c r="F330" s="260" t="n">
        <v>19.45</v>
      </c>
      <c r="G330" s="260" t="n">
        <v>0.28</v>
      </c>
      <c r="H330" s="260" t="n">
        <v>12.71</v>
      </c>
      <c r="I330" s="260" t="n">
        <v>0.64</v>
      </c>
      <c r="J330" s="260" t="n">
        <v>1.07</v>
      </c>
      <c r="K330" s="260" t="n">
        <v>0.91</v>
      </c>
      <c r="L330" s="260" t="n">
        <v>-1.24</v>
      </c>
    </row>
    <row r="331" hidden="1">
      <c r="A331" s="259" t="inlineStr">
        <is>
          <t>ICICI Prudential Business Cycle Fund</t>
        </is>
      </c>
      <c r="B331" s="261">
        <f>VLOOKUP(A331, '[2]fund-selector'!$A$2:$F$853,6,FALSE)</f>
        <v/>
      </c>
      <c r="C331" s="258" t="n">
        <v>8.01</v>
      </c>
      <c r="D331" s="260" t="n">
        <v>1.7</v>
      </c>
      <c r="E331" s="260" t="n">
        <v>26.39</v>
      </c>
      <c r="F331" s="259" t="n">
        <v>0</v>
      </c>
      <c r="G331" s="260" t="n">
        <v>1.7</v>
      </c>
      <c r="H331" s="260" t="n">
        <v>12.98</v>
      </c>
      <c r="I331" s="260" t="n">
        <v>1.21</v>
      </c>
      <c r="J331" s="260" t="n">
        <v>2.53</v>
      </c>
      <c r="K331" s="260" t="n">
        <v>0.85</v>
      </c>
      <c r="L331" s="260" t="n">
        <v>6</v>
      </c>
    </row>
    <row r="332" hidden="1">
      <c r="A332" s="259" t="inlineStr">
        <is>
          <t>ICICI Prudential Child Care Fund - Gift Plan</t>
        </is>
      </c>
      <c r="B332" s="261">
        <f>VLOOKUP(A332, '[2]fund-selector'!$A$2:$F$853,6,FALSE)</f>
        <v/>
      </c>
      <c r="C332" s="258" t="n">
        <v>5.07</v>
      </c>
      <c r="D332" s="260" t="n">
        <v>2.19</v>
      </c>
      <c r="E332" s="260" t="n">
        <v>22.06</v>
      </c>
      <c r="F332" s="260" t="n">
        <v>20.46</v>
      </c>
      <c r="G332" s="260" t="n">
        <v>2.19</v>
      </c>
      <c r="H332" s="260" t="n">
        <v>12.45</v>
      </c>
      <c r="I332" s="260" t="n">
        <v>0.96</v>
      </c>
      <c r="J332" s="260" t="n">
        <v>1.33</v>
      </c>
      <c r="K332" s="260" t="n">
        <v>1</v>
      </c>
      <c r="L332" s="260" t="n">
        <v>2.35</v>
      </c>
    </row>
    <row r="333" hidden="1">
      <c r="A333" s="259" t="inlineStr">
        <is>
          <t>ICICI Prudential Commodities Fund</t>
        </is>
      </c>
      <c r="B333" s="261">
        <f>VLOOKUP(A333, '[2]fund-selector'!$A$2:$F$853,6,FALSE)</f>
        <v/>
      </c>
      <c r="C333" s="258" t="n">
        <v>-5.02</v>
      </c>
      <c r="D333" s="260" t="n">
        <v>2</v>
      </c>
      <c r="E333" s="260" t="n">
        <v>23.07</v>
      </c>
      <c r="F333" s="260" t="n">
        <v>34.55</v>
      </c>
      <c r="G333" s="260" t="n">
        <v>2</v>
      </c>
      <c r="H333" s="260" t="n">
        <v>16.79</v>
      </c>
      <c r="I333" s="260" t="n">
        <v>0.76</v>
      </c>
      <c r="J333" s="260" t="n">
        <v>1.17</v>
      </c>
      <c r="K333" s="260" t="n">
        <v>1.03</v>
      </c>
      <c r="L333" s="260" t="n">
        <v>0.88</v>
      </c>
    </row>
    <row r="334" hidden="1">
      <c r="A334" s="259" t="inlineStr">
        <is>
          <t>ICICI Prudential Equity Arbitrage Fund</t>
        </is>
      </c>
      <c r="B334" s="261">
        <f>VLOOKUP(A334, '[2]fund-selector'!$A$2:$F$853,6,FALSE)</f>
        <v/>
      </c>
      <c r="C334" s="258" t="n">
        <v>7.08</v>
      </c>
      <c r="D334" s="260" t="n">
        <v>0.95</v>
      </c>
      <c r="E334" s="260" t="n">
        <v>6.91</v>
      </c>
      <c r="F334" s="260" t="n">
        <v>5.55</v>
      </c>
      <c r="G334" s="260" t="n">
        <v>0.95</v>
      </c>
      <c r="H334" s="260" t="n">
        <v>0.53</v>
      </c>
      <c r="I334" s="260" t="n">
        <v>0.55</v>
      </c>
      <c r="J334" s="260" t="n">
        <v>0.61</v>
      </c>
      <c r="K334" s="260" t="n">
        <v>0.6</v>
      </c>
      <c r="L334" s="260" t="n">
        <v>1.43</v>
      </c>
    </row>
    <row r="335" hidden="1">
      <c r="A335" s="259" t="inlineStr">
        <is>
          <t>ICICI Prudential Equity &amp; Debt Fund</t>
        </is>
      </c>
      <c r="B335" s="261">
        <f>VLOOKUP(A335, '[2]fund-selector'!$A$2:$F$853,6,FALSE)</f>
        <v/>
      </c>
      <c r="C335" s="258" t="n">
        <v>9.25</v>
      </c>
      <c r="D335" s="260" t="n">
        <v>1.57</v>
      </c>
      <c r="E335" s="260" t="n">
        <v>22.83</v>
      </c>
      <c r="F335" s="260" t="n">
        <v>25.83</v>
      </c>
      <c r="G335" s="260" t="n">
        <v>1.57</v>
      </c>
      <c r="H335" s="260" t="n">
        <v>9.869999999999999</v>
      </c>
      <c r="I335" s="260" t="n">
        <v>1.29</v>
      </c>
      <c r="J335" s="260" t="n">
        <v>2.23</v>
      </c>
      <c r="K335" s="260" t="n">
        <v>0.77</v>
      </c>
      <c r="L335" s="260" t="n">
        <v>5.3</v>
      </c>
    </row>
    <row r="336" hidden="1">
      <c r="A336" s="259" t="inlineStr">
        <is>
          <t>ICICI Prudential Equity Minimum Variance Fund - Regular Plan</t>
        </is>
      </c>
      <c r="B336" s="261">
        <f>VLOOKUP(A336, '[2]fund-selector'!$A$2:$F$853,6,FALSE)</f>
        <v/>
      </c>
      <c r="C336" s="258" t="inlineStr">
        <is>
          <t>--</t>
        </is>
      </c>
      <c r="D336" s="260" t="n">
        <v>1.91</v>
      </c>
      <c r="E336" s="259" t="n">
        <v>0</v>
      </c>
      <c r="F336" s="259" t="n">
        <v>0</v>
      </c>
      <c r="G336" s="260" t="n">
        <v>1.91</v>
      </c>
      <c r="H336" s="259" t="n">
        <v>0</v>
      </c>
      <c r="I336" s="259" t="n">
        <v>0</v>
      </c>
      <c r="J336" s="259" t="n">
        <v>0</v>
      </c>
      <c r="K336" s="259" t="n">
        <v>0</v>
      </c>
      <c r="L336" s="259" t="n">
        <v>0</v>
      </c>
    </row>
    <row r="337" hidden="1">
      <c r="A337" s="259" t="inlineStr">
        <is>
          <t>ICICI Prudential Exports and Services Fund</t>
        </is>
      </c>
      <c r="B337" s="261">
        <f>VLOOKUP(A337, '[2]fund-selector'!$A$2:$F$853,6,FALSE)</f>
        <v/>
      </c>
      <c r="C337" s="258" t="n">
        <v>10.23</v>
      </c>
      <c r="D337" s="260" t="n">
        <v>2.27</v>
      </c>
      <c r="E337" s="260" t="n">
        <v>24.47</v>
      </c>
      <c r="F337" s="260" t="n">
        <v>26.33</v>
      </c>
      <c r="G337" s="260" t="n">
        <v>2.27</v>
      </c>
      <c r="H337" s="260" t="n">
        <v>11.63</v>
      </c>
      <c r="I337" s="260" t="n">
        <v>1.23</v>
      </c>
      <c r="J337" s="260" t="n">
        <v>2.49</v>
      </c>
      <c r="K337" s="260" t="n">
        <v>0.76</v>
      </c>
      <c r="L337" s="260" t="n">
        <v>5.59</v>
      </c>
    </row>
    <row r="338" hidden="1">
      <c r="A338" s="259" t="inlineStr">
        <is>
          <t>ICICI Prudential Flexicap Fund</t>
        </is>
      </c>
      <c r="B338" s="261">
        <f>VLOOKUP(A338, '[2]fund-selector'!$A$2:$F$853,6,FALSE)</f>
        <v/>
      </c>
      <c r="C338" s="258" t="n">
        <v>3.59</v>
      </c>
      <c r="D338" s="260" t="n">
        <v>1.69</v>
      </c>
      <c r="E338" s="260" t="n">
        <v>22.95</v>
      </c>
      <c r="F338" s="259" t="n">
        <v>0</v>
      </c>
      <c r="G338" s="260" t="n">
        <v>1.69</v>
      </c>
      <c r="H338" s="260" t="n">
        <v>13.5</v>
      </c>
      <c r="I338" s="260" t="n">
        <v>0.97</v>
      </c>
      <c r="J338" s="260" t="n">
        <v>1.48</v>
      </c>
      <c r="K338" s="260" t="n">
        <v>0.89</v>
      </c>
      <c r="L338" s="260" t="n">
        <v>2.95</v>
      </c>
    </row>
    <row r="339" hidden="1">
      <c r="A339" s="259" t="inlineStr">
        <is>
          <t>ICICI Prudential FMCG Fund</t>
        </is>
      </c>
      <c r="B339" s="261">
        <f>VLOOKUP(A339, '[2]fund-selector'!$A$2:$F$853,6,FALSE)</f>
        <v/>
      </c>
      <c r="C339" s="258" t="n">
        <v>-2.48</v>
      </c>
      <c r="D339" s="260" t="n">
        <v>2.13</v>
      </c>
      <c r="E339" s="260" t="n">
        <v>13.28</v>
      </c>
      <c r="F339" s="260" t="n">
        <v>15.7</v>
      </c>
      <c r="G339" s="260" t="n">
        <v>2.13</v>
      </c>
      <c r="H339" s="260" t="n">
        <v>13.18</v>
      </c>
      <c r="I339" s="260" t="n">
        <v>0.43</v>
      </c>
      <c r="J339" s="260" t="n">
        <v>0.5600000000000001</v>
      </c>
      <c r="K339" s="260" t="n">
        <v>0.73</v>
      </c>
      <c r="L339" s="260" t="n">
        <v>-2.76</v>
      </c>
    </row>
    <row r="340" hidden="1">
      <c r="A340" s="259" t="inlineStr">
        <is>
          <t>ICICI Prudential Focused Equity Fund</t>
        </is>
      </c>
      <c r="B340" s="261">
        <f>VLOOKUP(A340, '[2]fund-selector'!$A$2:$F$853,6,FALSE)</f>
        <v/>
      </c>
      <c r="C340" s="258" t="n">
        <v>10.18</v>
      </c>
      <c r="D340" s="260" t="n">
        <v>1.72</v>
      </c>
      <c r="E340" s="260" t="n">
        <v>27.16</v>
      </c>
      <c r="F340" s="260" t="n">
        <v>26.21</v>
      </c>
      <c r="G340" s="260" t="n">
        <v>1.72</v>
      </c>
      <c r="H340" s="260" t="n">
        <v>13.93</v>
      </c>
      <c r="I340" s="260" t="n">
        <v>1.16</v>
      </c>
      <c r="J340" s="260" t="n">
        <v>2.08</v>
      </c>
      <c r="K340" s="260" t="n">
        <v>0.92</v>
      </c>
      <c r="L340" s="260" t="n">
        <v>5.61</v>
      </c>
    </row>
    <row r="341" hidden="1">
      <c r="A341" s="259" t="inlineStr">
        <is>
          <t>ICICI Prudential Housing Opportunities Fund</t>
        </is>
      </c>
      <c r="B341" s="261">
        <f>VLOOKUP(A341, '[2]fund-selector'!$A$2:$F$853,6,FALSE)</f>
        <v/>
      </c>
      <c r="C341" s="258" t="n">
        <v>2.8</v>
      </c>
      <c r="D341" s="260" t="n">
        <v>2.05</v>
      </c>
      <c r="E341" s="260" t="n">
        <v>21.96</v>
      </c>
      <c r="F341" s="259" t="n">
        <v>0</v>
      </c>
      <c r="G341" s="260" t="n">
        <v>2.05</v>
      </c>
      <c r="H341" s="260" t="n">
        <v>12.77</v>
      </c>
      <c r="I341" s="260" t="n">
        <v>1.01</v>
      </c>
      <c r="J341" s="260" t="n">
        <v>1.74</v>
      </c>
      <c r="K341" s="260" t="n">
        <v>0.83</v>
      </c>
      <c r="L341" s="260" t="n">
        <v>3.35</v>
      </c>
    </row>
    <row r="342" hidden="1">
      <c r="A342" s="259" t="inlineStr">
        <is>
          <t>ICICI Prudential India Equity FOF</t>
        </is>
      </c>
      <c r="B342" s="261">
        <f>VLOOKUP(A342, '[2]fund-selector'!$A$2:$F$853,6,FALSE)</f>
        <v/>
      </c>
      <c r="C342" s="258" t="n">
        <v>7.17</v>
      </c>
      <c r="D342" s="260" t="n">
        <v>1.24</v>
      </c>
      <c r="E342" s="260" t="n">
        <v>25.3</v>
      </c>
      <c r="F342" s="260" t="n">
        <v>27.98</v>
      </c>
      <c r="G342" s="260" t="n">
        <v>1.24</v>
      </c>
      <c r="H342" s="260" t="n">
        <v>12.57</v>
      </c>
      <c r="I342" s="260" t="n">
        <v>1.17</v>
      </c>
      <c r="J342" s="260" t="n">
        <v>1.93</v>
      </c>
      <c r="K342" s="260" t="n">
        <v>0.84</v>
      </c>
      <c r="L342" s="260" t="n">
        <v>4.99</v>
      </c>
    </row>
    <row r="343" hidden="1">
      <c r="A343" s="259" t="inlineStr">
        <is>
          <t>ICICI Prudential India Opportunities Fund</t>
        </is>
      </c>
      <c r="B343" s="261">
        <f>VLOOKUP(A343, '[2]fund-selector'!$A$2:$F$853,6,FALSE)</f>
        <v/>
      </c>
      <c r="C343" s="258" t="n">
        <v>10.41</v>
      </c>
      <c r="D343" s="260" t="n">
        <v>1.6</v>
      </c>
      <c r="E343" s="260" t="n">
        <v>28.84</v>
      </c>
      <c r="F343" s="260" t="n">
        <v>31.85</v>
      </c>
      <c r="G343" s="260" t="n">
        <v>1.6</v>
      </c>
      <c r="H343" s="260" t="n">
        <v>12.31</v>
      </c>
      <c r="I343" s="260" t="n">
        <v>1.43</v>
      </c>
      <c r="J343" s="260" t="n">
        <v>2.83</v>
      </c>
      <c r="K343" s="260" t="n">
        <v>0.8</v>
      </c>
      <c r="L343" s="260" t="n">
        <v>8.41</v>
      </c>
    </row>
    <row r="344" hidden="1">
      <c r="A344" s="259" t="inlineStr">
        <is>
          <t>ICICI Prudential Innovation Fund</t>
        </is>
      </c>
      <c r="B344" s="261">
        <f>VLOOKUP(A344, '[2]fund-selector'!$A$2:$F$853,6,FALSE)</f>
        <v/>
      </c>
      <c r="C344" s="258" t="n">
        <v>6.26</v>
      </c>
      <c r="D344" s="260" t="n">
        <v>1.81</v>
      </c>
      <c r="E344" s="259" t="n">
        <v>0</v>
      </c>
      <c r="F344" s="259" t="n">
        <v>0</v>
      </c>
      <c r="G344" s="260" t="n">
        <v>1.81</v>
      </c>
      <c r="H344" s="259" t="n">
        <v>0</v>
      </c>
      <c r="I344" s="259" t="n">
        <v>0</v>
      </c>
      <c r="J344" s="259" t="n">
        <v>0</v>
      </c>
      <c r="K344" s="259" t="n">
        <v>0</v>
      </c>
      <c r="L344" s="259" t="n">
        <v>0</v>
      </c>
    </row>
    <row r="345" hidden="1">
      <c r="A345" s="259" t="inlineStr">
        <is>
          <t>ICICI Prudential Large Cap Fund</t>
        </is>
      </c>
      <c r="B345" s="261">
        <f>VLOOKUP(A345, '[2]fund-selector'!$A$2:$F$853,6,FALSE)</f>
        <v/>
      </c>
      <c r="C345" s="258" t="n">
        <v>7.19</v>
      </c>
      <c r="D345" s="260" t="n">
        <v>1.42</v>
      </c>
      <c r="E345" s="260" t="n">
        <v>22.84</v>
      </c>
      <c r="F345" s="260" t="n">
        <v>23.5</v>
      </c>
      <c r="G345" s="260" t="n">
        <v>1.42</v>
      </c>
      <c r="H345" s="260" t="n">
        <v>12.53</v>
      </c>
      <c r="I345" s="260" t="n">
        <v>1.01</v>
      </c>
      <c r="J345" s="260" t="n">
        <v>1.79</v>
      </c>
      <c r="K345" s="260" t="n">
        <v>0.89</v>
      </c>
      <c r="L345" s="260" t="n">
        <v>3.56</v>
      </c>
    </row>
    <row r="346" hidden="1">
      <c r="A346" s="259" t="inlineStr">
        <is>
          <t>ICICI Prudential Large &amp; Mid Cap Fund</t>
        </is>
      </c>
      <c r="B346" s="261">
        <f>VLOOKUP(A346, '[2]fund-selector'!$A$2:$F$853,6,FALSE)</f>
        <v/>
      </c>
      <c r="C346" s="258" t="n">
        <v>7.7</v>
      </c>
      <c r="D346" s="260" t="n">
        <v>1.66</v>
      </c>
      <c r="E346" s="260" t="n">
        <v>26.33</v>
      </c>
      <c r="F346" s="260" t="n">
        <v>28.76</v>
      </c>
      <c r="G346" s="260" t="n">
        <v>1.66</v>
      </c>
      <c r="H346" s="260" t="n">
        <v>12.58</v>
      </c>
      <c r="I346" s="260" t="n">
        <v>1.26</v>
      </c>
      <c r="J346" s="260" t="n">
        <v>2.04</v>
      </c>
      <c r="K346" s="260" t="n">
        <v>0.84</v>
      </c>
      <c r="L346" s="260" t="n">
        <v>6.58</v>
      </c>
    </row>
    <row r="347" hidden="1">
      <c r="A347" s="259" t="inlineStr">
        <is>
          <t>ICICI Prudential Manufacturing Fund</t>
        </is>
      </c>
      <c r="B347" s="261">
        <f>VLOOKUP(A347, '[2]fund-selector'!$A$2:$F$853,6,FALSE)</f>
        <v/>
      </c>
      <c r="C347" s="258" t="n">
        <v>-3.84</v>
      </c>
      <c r="D347" s="260" t="n">
        <v>1.82</v>
      </c>
      <c r="E347" s="260" t="n">
        <v>29.32</v>
      </c>
      <c r="F347" s="260" t="n">
        <v>29.9</v>
      </c>
      <c r="G347" s="260" t="n">
        <v>1.82</v>
      </c>
      <c r="H347" s="260" t="n">
        <v>16.92</v>
      </c>
      <c r="I347" s="260" t="n">
        <v>1.11</v>
      </c>
      <c r="J347" s="260" t="n">
        <v>1.63</v>
      </c>
      <c r="K347" s="260" t="n">
        <v>1.08</v>
      </c>
      <c r="L347" s="260" t="n">
        <v>6.38</v>
      </c>
    </row>
    <row r="348" hidden="1">
      <c r="A348" s="259" t="inlineStr">
        <is>
          <t>ICICI Prudential Midcap Fund</t>
        </is>
      </c>
      <c r="B348" s="261">
        <f>VLOOKUP(A348, '[2]fund-selector'!$A$2:$F$853,6,FALSE)</f>
        <v/>
      </c>
      <c r="C348" s="258" t="n">
        <v>2.26</v>
      </c>
      <c r="D348" s="260" t="n">
        <v>1.87</v>
      </c>
      <c r="E348" s="260" t="n">
        <v>27.32</v>
      </c>
      <c r="F348" s="260" t="n">
        <v>30.16</v>
      </c>
      <c r="G348" s="260" t="n">
        <v>1.87</v>
      </c>
      <c r="H348" s="260" t="n">
        <v>16.6</v>
      </c>
      <c r="I348" s="260" t="n">
        <v>1</v>
      </c>
      <c r="J348" s="260" t="n">
        <v>1.45</v>
      </c>
      <c r="K348" s="260" t="n">
        <v>0.93</v>
      </c>
      <c r="L348" s="260" t="n">
        <v>-0.31</v>
      </c>
    </row>
    <row r="349" hidden="1">
      <c r="A349" s="259" t="inlineStr">
        <is>
          <t>ICICI Prudential Multi Asset Fund</t>
        </is>
      </c>
      <c r="B349" s="261">
        <f>VLOOKUP(A349, '[2]fund-selector'!$A$2:$F$853,6,FALSE)</f>
        <v/>
      </c>
      <c r="C349" s="258" t="n">
        <v>11.49</v>
      </c>
      <c r="D349" s="260" t="n">
        <v>1.4</v>
      </c>
      <c r="E349" s="260" t="n">
        <v>22.26</v>
      </c>
      <c r="F349" s="260" t="n">
        <v>24.62</v>
      </c>
      <c r="G349" s="260" t="n">
        <v>1.4</v>
      </c>
      <c r="H349" s="260" t="n">
        <v>7.57</v>
      </c>
      <c r="I349" s="260" t="n">
        <v>1.61</v>
      </c>
      <c r="J349" s="260" t="n">
        <v>2.76</v>
      </c>
      <c r="K349" s="260" t="n">
        <v>0.72</v>
      </c>
      <c r="L349" s="260" t="n">
        <v>5.85</v>
      </c>
    </row>
    <row r="350">
      <c r="A350" s="296" t="inlineStr">
        <is>
          <t>ICICI Prudential Multicap Fund</t>
        </is>
      </c>
      <c r="B350" s="261">
        <f>VLOOKUP(A350, '[2]fund-selector'!$A$2:$F$853,6,FALSE)</f>
        <v/>
      </c>
      <c r="C350" s="258" t="n">
        <v>5.46</v>
      </c>
      <c r="D350" s="260" t="n">
        <v>1.74</v>
      </c>
      <c r="E350" s="260" t="n">
        <v>26.04</v>
      </c>
      <c r="F350" s="260" t="n">
        <v>26.12</v>
      </c>
      <c r="G350" s="260" t="n">
        <v>1.74</v>
      </c>
      <c r="H350" s="260" t="n">
        <v>13.41</v>
      </c>
      <c r="I350" s="260" t="n">
        <v>1.18</v>
      </c>
      <c r="J350" s="260" t="n">
        <v>1.95</v>
      </c>
      <c r="K350" s="260" t="n">
        <v>0.83</v>
      </c>
      <c r="L350" s="260" t="n">
        <v>3.71</v>
      </c>
    </row>
    <row r="351" hidden="1">
      <c r="A351" s="259" t="inlineStr">
        <is>
          <t>ICICI Prudential Nifty 100 ETF</t>
        </is>
      </c>
      <c r="B351" s="261">
        <f>VLOOKUP(A351, '[2]fund-selector'!$A$2:$F$853,6,FALSE)</f>
        <v/>
      </c>
      <c r="C351" s="258" t="n">
        <v>3.45</v>
      </c>
      <c r="D351" s="260" t="n">
        <v>0.48</v>
      </c>
      <c r="E351" s="260" t="n">
        <v>18.48</v>
      </c>
      <c r="F351" s="260" t="n">
        <v>20.17</v>
      </c>
      <c r="G351" s="260" t="n">
        <v>0.48</v>
      </c>
      <c r="H351" s="260" t="n">
        <v>13.96</v>
      </c>
      <c r="I351" s="260" t="n">
        <v>0.65</v>
      </c>
      <c r="J351" s="260" t="n">
        <v>1.05</v>
      </c>
      <c r="K351" s="260" t="n">
        <v>1.01</v>
      </c>
      <c r="L351" s="260" t="n">
        <v>-1.36</v>
      </c>
    </row>
    <row r="352" hidden="1">
      <c r="A352" s="259" t="inlineStr">
        <is>
          <t>ICICI Prudential Nifty 100 Low Volatility 30 ETF</t>
        </is>
      </c>
      <c r="B352" s="261">
        <f>VLOOKUP(A352, '[2]fund-selector'!$A$2:$F$853,6,FALSE)</f>
        <v/>
      </c>
      <c r="C352" s="258" t="n">
        <v>5.37</v>
      </c>
      <c r="D352" s="260" t="n">
        <v>0.41</v>
      </c>
      <c r="E352" s="260" t="n">
        <v>20.15</v>
      </c>
      <c r="F352" s="260" t="n">
        <v>20.56</v>
      </c>
      <c r="G352" s="260" t="n">
        <v>0.41</v>
      </c>
      <c r="H352" s="260" t="n">
        <v>13.91</v>
      </c>
      <c r="I352" s="260" t="n">
        <v>0.72</v>
      </c>
      <c r="J352" s="260" t="n">
        <v>1.06</v>
      </c>
      <c r="K352" s="260" t="n">
        <v>0.96</v>
      </c>
      <c r="L352" s="260" t="n">
        <v>0.16</v>
      </c>
    </row>
    <row r="353" hidden="1">
      <c r="A353" s="259" t="inlineStr">
        <is>
          <t>ICICI Prudential Nifty 100 Low Volatility 30 ETF FOF</t>
        </is>
      </c>
      <c r="B353" s="261">
        <f>VLOOKUP(A353, '[2]fund-selector'!$A$2:$F$853,6,FALSE)</f>
        <v/>
      </c>
      <c r="C353" s="258" t="n">
        <v>4.36</v>
      </c>
      <c r="D353" s="260" t="n">
        <v>0.54</v>
      </c>
      <c r="E353" s="260" t="n">
        <v>19.43</v>
      </c>
      <c r="F353" s="259" t="n">
        <v>0</v>
      </c>
      <c r="G353" s="260" t="n">
        <v>0.54</v>
      </c>
      <c r="H353" s="260" t="n">
        <v>13.46</v>
      </c>
      <c r="I353" s="260" t="n">
        <v>0.6899999999999999</v>
      </c>
      <c r="J353" s="260" t="n">
        <v>1.04</v>
      </c>
      <c r="K353" s="260" t="n">
        <v>0.92</v>
      </c>
      <c r="L353" s="260" t="n">
        <v>-0.11</v>
      </c>
    </row>
    <row r="354" hidden="1">
      <c r="A354" s="259" t="inlineStr">
        <is>
          <t>ICICI Prudential Nifty 200 Momentum 30 ETF</t>
        </is>
      </c>
      <c r="B354" s="261">
        <f>VLOOKUP(A354, '[2]fund-selector'!$A$2:$F$853,6,FALSE)</f>
        <v/>
      </c>
      <c r="C354" s="258" t="n">
        <v>-13.02</v>
      </c>
      <c r="D354" s="260" t="n">
        <v>0.3</v>
      </c>
      <c r="E354" s="259" t="n">
        <v>0</v>
      </c>
      <c r="F354" s="259" t="n">
        <v>0</v>
      </c>
      <c r="G354" s="260" t="n">
        <v>0.3</v>
      </c>
      <c r="H354" s="259" t="n">
        <v>0</v>
      </c>
      <c r="I354" s="259" t="n">
        <v>0</v>
      </c>
      <c r="J354" s="259" t="n">
        <v>0</v>
      </c>
      <c r="K354" s="259" t="n">
        <v>0</v>
      </c>
      <c r="L354" s="259" t="n">
        <v>0</v>
      </c>
    </row>
    <row r="355" hidden="1">
      <c r="A355" s="259" t="inlineStr">
        <is>
          <t>ICICI Prudential Nifty 200 Momentum 30 Index Fund</t>
        </is>
      </c>
      <c r="B355" s="261">
        <f>VLOOKUP(A355, '[2]fund-selector'!$A$2:$F$853,6,FALSE)</f>
        <v/>
      </c>
      <c r="C355" s="258" t="n">
        <v>-13.63</v>
      </c>
      <c r="D355" s="260" t="n">
        <v>1</v>
      </c>
      <c r="E355" s="259" t="n">
        <v>0</v>
      </c>
      <c r="F355" s="259" t="n">
        <v>0</v>
      </c>
      <c r="G355" s="260" t="n">
        <v>1</v>
      </c>
      <c r="H355" s="259" t="n">
        <v>0</v>
      </c>
      <c r="I355" s="259" t="n">
        <v>0</v>
      </c>
      <c r="J355" s="259" t="n">
        <v>0</v>
      </c>
      <c r="K355" s="259" t="n">
        <v>0</v>
      </c>
      <c r="L355" s="259" t="n">
        <v>0</v>
      </c>
    </row>
    <row r="356" hidden="1">
      <c r="A356" s="259" t="inlineStr">
        <is>
          <t>ICICI Prudential Nifty 200 Quality 30 ETF</t>
        </is>
      </c>
      <c r="B356" s="261">
        <f>VLOOKUP(A356, '[2]fund-selector'!$A$2:$F$853,6,FALSE)</f>
        <v/>
      </c>
      <c r="C356" s="258" t="n">
        <v>1.25</v>
      </c>
      <c r="D356" s="260" t="n">
        <v>0.3</v>
      </c>
      <c r="E356" s="259" t="n">
        <v>0</v>
      </c>
      <c r="F356" s="259" t="n">
        <v>0</v>
      </c>
      <c r="G356" s="260" t="n">
        <v>0.3</v>
      </c>
      <c r="H356" s="259" t="n">
        <v>0</v>
      </c>
      <c r="I356" s="259" t="n">
        <v>0</v>
      </c>
      <c r="J356" s="259" t="n">
        <v>0</v>
      </c>
      <c r="K356" s="259" t="n">
        <v>0</v>
      </c>
      <c r="L356" s="259" t="n">
        <v>0</v>
      </c>
    </row>
    <row r="357" hidden="1">
      <c r="A357" s="259" t="inlineStr">
        <is>
          <t>ICICI Prudential Nifty200 Quality 30 Index Fund</t>
        </is>
      </c>
      <c r="B357" s="261">
        <f>VLOOKUP(A357, '[2]fund-selector'!$A$2:$F$853,6,FALSE)</f>
        <v/>
      </c>
      <c r="C357" s="258" t="inlineStr">
        <is>
          <t>--</t>
        </is>
      </c>
      <c r="D357" s="259" t="n">
        <v>0</v>
      </c>
      <c r="E357" s="259" t="n">
        <v>0</v>
      </c>
      <c r="F357" s="259" t="n">
        <v>0</v>
      </c>
      <c r="G357" s="259" t="n">
        <v>0</v>
      </c>
      <c r="H357" s="259" t="n">
        <v>0</v>
      </c>
      <c r="I357" s="259" t="n">
        <v>0</v>
      </c>
      <c r="J357" s="259" t="n">
        <v>0</v>
      </c>
      <c r="K357" s="259" t="n">
        <v>0</v>
      </c>
      <c r="L357" s="259" t="n">
        <v>0</v>
      </c>
    </row>
    <row r="358" hidden="1">
      <c r="A358" s="259" t="inlineStr">
        <is>
          <t>ICICI Prudential Nifty 500 Index Fund - Regular Plan</t>
        </is>
      </c>
      <c r="B358" s="261">
        <f>VLOOKUP(A358, '[2]fund-selector'!$A$2:$F$853,6,FALSE)</f>
        <v/>
      </c>
      <c r="C358" s="258" t="inlineStr">
        <is>
          <t>--</t>
        </is>
      </c>
      <c r="D358" s="260" t="n">
        <v>0.88</v>
      </c>
      <c r="E358" s="259" t="n">
        <v>0</v>
      </c>
      <c r="F358" s="259" t="n">
        <v>0</v>
      </c>
      <c r="G358" s="260" t="n">
        <v>0.88</v>
      </c>
      <c r="H358" s="259" t="n">
        <v>0</v>
      </c>
      <c r="I358" s="259" t="n">
        <v>0</v>
      </c>
      <c r="J358" s="259" t="n">
        <v>0</v>
      </c>
      <c r="K358" s="259" t="n">
        <v>0</v>
      </c>
      <c r="L358" s="259" t="n">
        <v>0</v>
      </c>
    </row>
    <row r="359" hidden="1">
      <c r="A359" s="259" t="inlineStr">
        <is>
          <t>ICICI Prudential Nifty50 Equal Weight Index Fund</t>
        </is>
      </c>
      <c r="B359" s="261">
        <f>VLOOKUP(A359, '[2]fund-selector'!$A$2:$F$853,6,FALSE)</f>
        <v/>
      </c>
      <c r="C359" s="258" t="n">
        <v>4.02</v>
      </c>
      <c r="D359" s="260" t="n">
        <v>0.99</v>
      </c>
      <c r="E359" s="259" t="n">
        <v>0</v>
      </c>
      <c r="F359" s="259" t="n">
        <v>0</v>
      </c>
      <c r="G359" s="260" t="n">
        <v>0.99</v>
      </c>
      <c r="H359" s="259" t="n">
        <v>0</v>
      </c>
      <c r="I359" s="259" t="n">
        <v>0</v>
      </c>
      <c r="J359" s="259" t="n">
        <v>0</v>
      </c>
      <c r="K359" s="259" t="n">
        <v>0</v>
      </c>
      <c r="L359" s="259" t="n">
        <v>0</v>
      </c>
    </row>
    <row r="360" hidden="1">
      <c r="A360" s="259" t="inlineStr">
        <is>
          <t>ICICI Prudential Nifty 50 ETF</t>
        </is>
      </c>
      <c r="B360" s="261">
        <f>VLOOKUP(A360, '[2]fund-selector'!$A$2:$F$853,6,FALSE)</f>
        <v/>
      </c>
      <c r="C360" s="258" t="n">
        <v>6.51</v>
      </c>
      <c r="D360" s="260" t="n">
        <v>0.03</v>
      </c>
      <c r="E360" s="260" t="n">
        <v>18.68</v>
      </c>
      <c r="F360" s="260" t="n">
        <v>20.66</v>
      </c>
      <c r="G360" s="260" t="n">
        <v>0.03</v>
      </c>
      <c r="H360" s="260" t="n">
        <v>13.13</v>
      </c>
      <c r="I360" s="260" t="n">
        <v>0.6899999999999999</v>
      </c>
      <c r="J360" s="260" t="n">
        <v>1.18</v>
      </c>
      <c r="K360" s="260" t="n">
        <v>0.95</v>
      </c>
      <c r="L360" s="260" t="n">
        <v>-0.7</v>
      </c>
    </row>
    <row r="361" hidden="1">
      <c r="A361" s="259" t="inlineStr">
        <is>
          <t>ICICI Prudential Nifty 50 Index Fund</t>
        </is>
      </c>
      <c r="B361" s="261">
        <f>VLOOKUP(A361, '[2]fund-selector'!$A$2:$F$853,6,FALSE)</f>
        <v/>
      </c>
      <c r="C361" s="258" t="n">
        <v>6.07</v>
      </c>
      <c r="D361" s="260" t="n">
        <v>0.36</v>
      </c>
      <c r="E361" s="260" t="n">
        <v>18.19</v>
      </c>
      <c r="F361" s="260" t="n">
        <v>20.11</v>
      </c>
      <c r="G361" s="260" t="n">
        <v>0.36</v>
      </c>
      <c r="H361" s="260" t="n">
        <v>13.12</v>
      </c>
      <c r="I361" s="260" t="n">
        <v>0.66</v>
      </c>
      <c r="J361" s="260" t="n">
        <v>1.12</v>
      </c>
      <c r="K361" s="260" t="n">
        <v>0.95</v>
      </c>
      <c r="L361" s="260" t="n">
        <v>-1.11</v>
      </c>
    </row>
    <row r="362" hidden="1">
      <c r="A362" s="259" t="inlineStr">
        <is>
          <t>ICICI Prudential Nifty Alpha Low Volatility 30 ETF</t>
        </is>
      </c>
      <c r="B362" s="261">
        <f>VLOOKUP(A362, '[2]fund-selector'!$A$2:$F$853,6,FALSE)</f>
        <v/>
      </c>
      <c r="C362" s="258" t="n">
        <v>-3.71</v>
      </c>
      <c r="D362" s="260" t="n">
        <v>0.41</v>
      </c>
      <c r="E362" s="260" t="n">
        <v>22.75</v>
      </c>
      <c r="F362" s="259" t="n">
        <v>0</v>
      </c>
      <c r="G362" s="260" t="n">
        <v>0.41</v>
      </c>
      <c r="H362" s="260" t="n">
        <v>16.07</v>
      </c>
      <c r="I362" s="260" t="n">
        <v>0.79</v>
      </c>
      <c r="J362" s="260" t="n">
        <v>1.14</v>
      </c>
      <c r="K362" s="260" t="n">
        <v>1.05</v>
      </c>
      <c r="L362" s="260" t="n">
        <v>1.01</v>
      </c>
    </row>
    <row r="363" hidden="1">
      <c r="A363" s="259" t="inlineStr">
        <is>
          <t>ICICI Prudential Nifty Alpha Low Volatility 30 ETF FOF</t>
        </is>
      </c>
      <c r="B363" s="261">
        <f>VLOOKUP(A363, '[2]fund-selector'!$A$2:$F$853,6,FALSE)</f>
        <v/>
      </c>
      <c r="C363" s="258" t="n">
        <v>-4.12</v>
      </c>
      <c r="D363" s="260" t="n">
        <v>0.53</v>
      </c>
      <c r="E363" s="260" t="n">
        <v>21.95</v>
      </c>
      <c r="F363" s="259" t="n">
        <v>0</v>
      </c>
      <c r="G363" s="260" t="n">
        <v>0.53</v>
      </c>
      <c r="H363" s="260" t="n">
        <v>15.96</v>
      </c>
      <c r="I363" s="260" t="n">
        <v>0.76</v>
      </c>
      <c r="J363" s="260" t="n">
        <v>1.03</v>
      </c>
      <c r="K363" s="260" t="n">
        <v>1.03</v>
      </c>
      <c r="L363" s="260" t="n">
        <v>0.66</v>
      </c>
    </row>
    <row r="364" hidden="1">
      <c r="A364" s="259" t="inlineStr">
        <is>
          <t>ICICI Prudential Nifty Auto ETF</t>
        </is>
      </c>
      <c r="B364" s="261">
        <f>VLOOKUP(A364, '[2]fund-selector'!$A$2:$F$853,6,FALSE)</f>
        <v/>
      </c>
      <c r="C364" s="258" t="n">
        <v>-7.14</v>
      </c>
      <c r="D364" s="260" t="n">
        <v>0.2</v>
      </c>
      <c r="E364" s="260" t="n">
        <v>30.11</v>
      </c>
      <c r="F364" s="259" t="n">
        <v>0</v>
      </c>
      <c r="G364" s="260" t="n">
        <v>0.2</v>
      </c>
      <c r="H364" s="260" t="n">
        <v>18.11</v>
      </c>
      <c r="I364" s="260" t="n">
        <v>1.08</v>
      </c>
      <c r="J364" s="260" t="n">
        <v>1.4</v>
      </c>
      <c r="K364" s="260" t="n">
        <v>1</v>
      </c>
      <c r="L364" s="260" t="n">
        <v>8.029999999999999</v>
      </c>
    </row>
    <row r="365" hidden="1">
      <c r="A365" s="259" t="inlineStr">
        <is>
          <t>ICICI Prudential Nifty Auto Index Fund</t>
        </is>
      </c>
      <c r="B365" s="261">
        <f>VLOOKUP(A365, '[2]fund-selector'!$A$2:$F$853,6,FALSE)</f>
        <v/>
      </c>
      <c r="C365" s="258" t="n">
        <v>-7.79</v>
      </c>
      <c r="D365" s="260" t="n">
        <v>0.9399999999999999</v>
      </c>
      <c r="E365" s="259" t="n">
        <v>0</v>
      </c>
      <c r="F365" s="259" t="n">
        <v>0</v>
      </c>
      <c r="G365" s="260" t="n">
        <v>0.9399999999999999</v>
      </c>
      <c r="H365" s="259" t="n">
        <v>0</v>
      </c>
      <c r="I365" s="259" t="n">
        <v>0</v>
      </c>
      <c r="J365" s="259" t="n">
        <v>0</v>
      </c>
      <c r="K365" s="259" t="n">
        <v>0</v>
      </c>
      <c r="L365" s="259" t="n">
        <v>0</v>
      </c>
    </row>
    <row r="366" hidden="1">
      <c r="A366" s="259" t="inlineStr">
        <is>
          <t>ICICI Prudential Nifty Commodities ETF</t>
        </is>
      </c>
      <c r="B366" s="261">
        <f>VLOOKUP(A366, '[2]fund-selector'!$A$2:$F$853,6,FALSE)</f>
        <v/>
      </c>
      <c r="C366" s="258" t="n">
        <v>-5.3</v>
      </c>
      <c r="D366" s="260" t="n">
        <v>0.3</v>
      </c>
      <c r="E366" s="259" t="n">
        <v>0</v>
      </c>
      <c r="F366" s="259" t="n">
        <v>0</v>
      </c>
      <c r="G366" s="260" t="n">
        <v>0.3</v>
      </c>
      <c r="H366" s="259" t="n">
        <v>0</v>
      </c>
      <c r="I366" s="259" t="n">
        <v>0</v>
      </c>
      <c r="J366" s="259" t="n">
        <v>0</v>
      </c>
      <c r="K366" s="259" t="n">
        <v>0</v>
      </c>
      <c r="L366" s="259" t="n">
        <v>0</v>
      </c>
    </row>
    <row r="367" hidden="1">
      <c r="A367" s="259" t="inlineStr">
        <is>
          <t>ICICI Prudential Nifty EV &amp; New Age Automotive ETF</t>
        </is>
      </c>
      <c r="B367" s="261">
        <f>VLOOKUP(A367, '[2]fund-selector'!$A$2:$F$853,6,FALSE)</f>
        <v/>
      </c>
      <c r="C367" s="258" t="inlineStr">
        <is>
          <t>--</t>
        </is>
      </c>
      <c r="D367" s="260" t="n">
        <v>0.44</v>
      </c>
      <c r="E367" s="259" t="n">
        <v>0</v>
      </c>
      <c r="F367" s="259" t="n">
        <v>0</v>
      </c>
      <c r="G367" s="260" t="n">
        <v>0.44</v>
      </c>
      <c r="H367" s="259" t="n">
        <v>0</v>
      </c>
      <c r="I367" s="259" t="n">
        <v>0</v>
      </c>
      <c r="J367" s="259" t="n">
        <v>0</v>
      </c>
      <c r="K367" s="259" t="n">
        <v>0</v>
      </c>
      <c r="L367" s="259" t="n">
        <v>0</v>
      </c>
    </row>
    <row r="368" hidden="1">
      <c r="A368" s="259" t="inlineStr">
        <is>
          <t>ICICI Prudential Nifty EV &amp; New Age Automotive ETF FoF - Regular Plan</t>
        </is>
      </c>
      <c r="B368" s="261">
        <f>VLOOKUP(A368, '[2]fund-selector'!$A$2:$F$853,6,FALSE)</f>
        <v/>
      </c>
      <c r="C368" s="258" t="inlineStr">
        <is>
          <t>--</t>
        </is>
      </c>
      <c r="D368" s="260" t="n">
        <v>0.61</v>
      </c>
      <c r="E368" s="259" t="n">
        <v>0</v>
      </c>
      <c r="F368" s="259" t="n">
        <v>0</v>
      </c>
      <c r="G368" s="260" t="n">
        <v>0.61</v>
      </c>
      <c r="H368" s="259" t="n">
        <v>0</v>
      </c>
      <c r="I368" s="259" t="n">
        <v>0</v>
      </c>
      <c r="J368" s="259" t="n">
        <v>0</v>
      </c>
      <c r="K368" s="259" t="n">
        <v>0</v>
      </c>
      <c r="L368" s="259" t="n">
        <v>0</v>
      </c>
    </row>
    <row r="369" hidden="1">
      <c r="A369" s="259" t="inlineStr">
        <is>
          <t>ICICI Prudential Nifty FMCG ETF</t>
        </is>
      </c>
      <c r="B369" s="261">
        <f>VLOOKUP(A369, '[2]fund-selector'!$A$2:$F$853,6,FALSE)</f>
        <v/>
      </c>
      <c r="C369" s="258" t="n">
        <v>-2.68</v>
      </c>
      <c r="D369" s="260" t="n">
        <v>0.2</v>
      </c>
      <c r="E369" s="260" t="n">
        <v>15.94</v>
      </c>
      <c r="F369" s="259" t="n">
        <v>0</v>
      </c>
      <c r="G369" s="260" t="n">
        <v>0.2</v>
      </c>
      <c r="H369" s="260" t="n">
        <v>15.7</v>
      </c>
      <c r="I369" s="260" t="n">
        <v>0.53</v>
      </c>
      <c r="J369" s="260" t="n">
        <v>0.77</v>
      </c>
      <c r="K369" s="260" t="n">
        <v>0.86</v>
      </c>
      <c r="L369" s="260" t="n">
        <v>-1.55</v>
      </c>
    </row>
    <row r="370" hidden="1">
      <c r="A370" s="259" t="inlineStr">
        <is>
          <t>ICICI Prudential Nifty LargeMidcap 250 Index Fund</t>
        </is>
      </c>
      <c r="B370" s="261">
        <f>VLOOKUP(A370, '[2]fund-selector'!$A$2:$F$853,6,FALSE)</f>
        <v/>
      </c>
      <c r="C370" s="258" t="n">
        <v>2.44</v>
      </c>
      <c r="D370" s="260" t="n">
        <v>0.8</v>
      </c>
      <c r="E370" s="259" t="n">
        <v>0</v>
      </c>
      <c r="F370" s="259" t="n">
        <v>0</v>
      </c>
      <c r="G370" s="260" t="n">
        <v>0.8</v>
      </c>
      <c r="H370" s="259" t="n">
        <v>0</v>
      </c>
      <c r="I370" s="259" t="n">
        <v>0</v>
      </c>
      <c r="J370" s="259" t="n">
        <v>0</v>
      </c>
      <c r="K370" s="259" t="n">
        <v>0</v>
      </c>
      <c r="L370" s="259" t="n">
        <v>0</v>
      </c>
    </row>
    <row r="371" hidden="1">
      <c r="A371" s="259" t="inlineStr">
        <is>
          <t>ICICI Prudential Nifty Metal ETF</t>
        </is>
      </c>
      <c r="B371" s="261">
        <f>VLOOKUP(A371, '[2]fund-selector'!$A$2:$F$853,6,FALSE)</f>
        <v/>
      </c>
      <c r="C371" s="258" t="inlineStr">
        <is>
          <t>--</t>
        </is>
      </c>
      <c r="D371" s="260" t="n">
        <v>0.4</v>
      </c>
      <c r="E371" s="259" t="n">
        <v>0</v>
      </c>
      <c r="F371" s="259" t="n">
        <v>0</v>
      </c>
      <c r="G371" s="260" t="n">
        <v>0.4</v>
      </c>
      <c r="H371" s="259" t="n">
        <v>0</v>
      </c>
      <c r="I371" s="259" t="n">
        <v>0</v>
      </c>
      <c r="J371" s="259" t="n">
        <v>0</v>
      </c>
      <c r="K371" s="259" t="n">
        <v>0</v>
      </c>
      <c r="L371" s="259" t="n">
        <v>0</v>
      </c>
    </row>
    <row r="372" hidden="1">
      <c r="A372" s="259" t="inlineStr">
        <is>
          <t>ICICI Prudential Nifty Midcap 150 ETF</t>
        </is>
      </c>
      <c r="B372" s="261">
        <f>VLOOKUP(A372, '[2]fund-selector'!$A$2:$F$853,6,FALSE)</f>
        <v/>
      </c>
      <c r="C372" s="258" t="n">
        <v>2.49</v>
      </c>
      <c r="D372" s="260" t="n">
        <v>0.15</v>
      </c>
      <c r="E372" s="260" t="n">
        <v>29.57</v>
      </c>
      <c r="F372" s="260" t="n">
        <v>30.96</v>
      </c>
      <c r="G372" s="260" t="n">
        <v>0.15</v>
      </c>
      <c r="H372" s="260" t="n">
        <v>16.99</v>
      </c>
      <c r="I372" s="260" t="n">
        <v>1.1</v>
      </c>
      <c r="J372" s="260" t="n">
        <v>1.6</v>
      </c>
      <c r="K372" s="260" t="n">
        <v>1</v>
      </c>
      <c r="L372" s="260" t="n">
        <v>0.6899999999999999</v>
      </c>
    </row>
    <row r="373" hidden="1">
      <c r="A373" s="259" t="inlineStr">
        <is>
          <t>ICICI Prudential Nifty Midcap 150 Index Fund</t>
        </is>
      </c>
      <c r="B373" s="261">
        <f>VLOOKUP(A373, '[2]fund-selector'!$A$2:$F$853,6,FALSE)</f>
        <v/>
      </c>
      <c r="C373" s="258" t="n">
        <v>1.54</v>
      </c>
      <c r="D373" s="260" t="n">
        <v>0.92</v>
      </c>
      <c r="E373" s="260" t="n">
        <v>28.27</v>
      </c>
      <c r="F373" s="259" t="n">
        <v>0</v>
      </c>
      <c r="G373" s="260" t="n">
        <v>0.92</v>
      </c>
      <c r="H373" s="260" t="n">
        <v>16.94</v>
      </c>
      <c r="I373" s="260" t="n">
        <v>1.05</v>
      </c>
      <c r="J373" s="260" t="n">
        <v>1.51</v>
      </c>
      <c r="K373" s="260" t="n">
        <v>0.99</v>
      </c>
      <c r="L373" s="260" t="n">
        <v>-0.29</v>
      </c>
    </row>
    <row r="374" hidden="1">
      <c r="A374" s="259" t="inlineStr">
        <is>
          <t>ICICI Prudential Nifty Next 50 ETF</t>
        </is>
      </c>
      <c r="B374" s="261">
        <f>VLOOKUP(A374, '[2]fund-selector'!$A$2:$F$853,6,FALSE)</f>
        <v/>
      </c>
      <c r="C374" s="258" t="n">
        <v>-7.34</v>
      </c>
      <c r="D374" s="260" t="n">
        <v>0.1</v>
      </c>
      <c r="E374" s="260" t="n">
        <v>23.27</v>
      </c>
      <c r="F374" s="260" t="n">
        <v>21.97</v>
      </c>
      <c r="G374" s="260" t="n">
        <v>0.1</v>
      </c>
      <c r="H374" s="260" t="n">
        <v>19.54</v>
      </c>
      <c r="I374" s="260" t="n">
        <v>0.73</v>
      </c>
      <c r="J374" s="260" t="n">
        <v>1.08</v>
      </c>
      <c r="K374" s="260" t="n">
        <v>1.3</v>
      </c>
      <c r="L374" s="260" t="n">
        <v>0.83</v>
      </c>
    </row>
    <row r="375" hidden="1">
      <c r="A375" s="259" t="inlineStr">
        <is>
          <t>ICICI Prudential Nifty Next 50 Index Fund</t>
        </is>
      </c>
      <c r="B375" s="261">
        <f>VLOOKUP(A375, '[2]fund-selector'!$A$2:$F$853,6,FALSE)</f>
        <v/>
      </c>
      <c r="C375" s="258" t="n">
        <v>-8.199999999999999</v>
      </c>
      <c r="D375" s="260" t="n">
        <v>0.68</v>
      </c>
      <c r="E375" s="260" t="n">
        <v>22.42</v>
      </c>
      <c r="F375" s="260" t="n">
        <v>20.97</v>
      </c>
      <c r="G375" s="260" t="n">
        <v>0.68</v>
      </c>
      <c r="H375" s="260" t="n">
        <v>19.55</v>
      </c>
      <c r="I375" s="260" t="n">
        <v>0.6899999999999999</v>
      </c>
      <c r="J375" s="260" t="n">
        <v>1.03</v>
      </c>
      <c r="K375" s="260" t="n">
        <v>1.3</v>
      </c>
      <c r="L375" s="260" t="n">
        <v>0.13</v>
      </c>
    </row>
    <row r="376" hidden="1">
      <c r="A376" s="259" t="inlineStr">
        <is>
          <t>ICICI Prudential Nifty Oil &amp; Gas ETF</t>
        </is>
      </c>
      <c r="B376" s="261">
        <f>VLOOKUP(A376, '[2]fund-selector'!$A$2:$F$853,6,FALSE)</f>
        <v/>
      </c>
      <c r="C376" s="258" t="inlineStr">
        <is>
          <t>--</t>
        </is>
      </c>
      <c r="D376" s="260" t="n">
        <v>0.4</v>
      </c>
      <c r="E376" s="259" t="n">
        <v>0</v>
      </c>
      <c r="F376" s="259" t="n">
        <v>0</v>
      </c>
      <c r="G376" s="260" t="n">
        <v>0.4</v>
      </c>
      <c r="H376" s="259" t="n">
        <v>0</v>
      </c>
      <c r="I376" s="259" t="n">
        <v>0</v>
      </c>
      <c r="J376" s="259" t="n">
        <v>0</v>
      </c>
      <c r="K376" s="259" t="n">
        <v>0</v>
      </c>
      <c r="L376" s="259" t="n">
        <v>0</v>
      </c>
    </row>
    <row r="377" hidden="1">
      <c r="A377" s="259" t="inlineStr">
        <is>
          <t>ICICI Prudential Nifty Smallcap 250 Index Fund</t>
        </is>
      </c>
      <c r="B377" s="261">
        <f>VLOOKUP(A377, '[2]fund-selector'!$A$2:$F$853,6,FALSE)</f>
        <v/>
      </c>
      <c r="C377" s="258" t="n">
        <v>-1.45</v>
      </c>
      <c r="D377" s="260" t="n">
        <v>0.84</v>
      </c>
      <c r="E377" s="260" t="n">
        <v>27.83</v>
      </c>
      <c r="F377" s="259" t="n">
        <v>0</v>
      </c>
      <c r="G377" s="260" t="n">
        <v>0.84</v>
      </c>
      <c r="H377" s="260" t="n">
        <v>19.89</v>
      </c>
      <c r="I377" s="260" t="n">
        <v>0.88</v>
      </c>
      <c r="J377" s="260" t="n">
        <v>1.28</v>
      </c>
      <c r="K377" s="260" t="n">
        <v>1.01</v>
      </c>
      <c r="L377" s="260" t="n">
        <v>-1.03</v>
      </c>
    </row>
    <row r="378" hidden="1">
      <c r="A378" s="259" t="inlineStr">
        <is>
          <t>ICICI Prudential Nifty Top 15 Equal Weight ETF</t>
        </is>
      </c>
      <c r="B378" s="261">
        <f>VLOOKUP(A378, '[2]fund-selector'!$A$2:$F$853,6,FALSE)</f>
        <v/>
      </c>
      <c r="C378" s="258" t="inlineStr">
        <is>
          <t>--</t>
        </is>
      </c>
      <c r="D378" s="259" t="n">
        <v>0</v>
      </c>
      <c r="E378" s="259" t="n">
        <v>0</v>
      </c>
      <c r="F378" s="259" t="n">
        <v>0</v>
      </c>
      <c r="G378" s="259" t="n">
        <v>0</v>
      </c>
      <c r="H378" s="259" t="n">
        <v>0</v>
      </c>
      <c r="I378" s="259" t="n">
        <v>0</v>
      </c>
      <c r="J378" s="259" t="n">
        <v>0</v>
      </c>
      <c r="K378" s="259" t="n">
        <v>0</v>
      </c>
      <c r="L378" s="259" t="n">
        <v>0</v>
      </c>
    </row>
    <row r="379" hidden="1">
      <c r="A379" s="259" t="inlineStr">
        <is>
          <t>ICICI Prudential Nifty Top 15 Equal Weight Index Fund</t>
        </is>
      </c>
      <c r="B379" s="261">
        <f>VLOOKUP(A379, '[2]fund-selector'!$A$2:$F$853,6,FALSE)</f>
        <v/>
      </c>
      <c r="C379" s="258" t="inlineStr">
        <is>
          <t>--</t>
        </is>
      </c>
      <c r="D379" s="259" t="n">
        <v>0</v>
      </c>
      <c r="E379" s="259" t="n">
        <v>0</v>
      </c>
      <c r="F379" s="259" t="n">
        <v>0</v>
      </c>
      <c r="G379" s="259" t="n">
        <v>0</v>
      </c>
      <c r="H379" s="259" t="n">
        <v>0</v>
      </c>
      <c r="I379" s="259" t="n">
        <v>0</v>
      </c>
      <c r="J379" s="259" t="n">
        <v>0</v>
      </c>
      <c r="K379" s="259" t="n">
        <v>0</v>
      </c>
      <c r="L379" s="259" t="n">
        <v>0</v>
      </c>
    </row>
    <row r="380" hidden="1">
      <c r="A380" s="259" t="inlineStr">
        <is>
          <t>ICICI Prudential Passive Multi-Asset FoF</t>
        </is>
      </c>
      <c r="B380" s="261">
        <f>VLOOKUP(A380, '[2]fund-selector'!$A$2:$F$853,6,FALSE)</f>
        <v/>
      </c>
      <c r="C380" s="258" t="n">
        <v>12.97</v>
      </c>
      <c r="D380" s="260" t="n">
        <v>0.59</v>
      </c>
      <c r="E380" s="260" t="n">
        <v>16.2</v>
      </c>
      <c r="F380" s="259" t="n">
        <v>0</v>
      </c>
      <c r="G380" s="260" t="n">
        <v>0.59</v>
      </c>
      <c r="H380" s="260" t="n">
        <v>6.62</v>
      </c>
      <c r="I380" s="260" t="n">
        <v>1.1</v>
      </c>
      <c r="J380" s="260" t="n">
        <v>1.87</v>
      </c>
      <c r="K380" s="260" t="n">
        <v>0.54</v>
      </c>
      <c r="L380" s="260" t="n">
        <v>2.52</v>
      </c>
    </row>
    <row r="381" hidden="1">
      <c r="A381" s="259" t="inlineStr">
        <is>
          <t>ICICI Prudential Passive Strategy Fund (FOF)</t>
        </is>
      </c>
      <c r="B381" s="261">
        <f>VLOOKUP(A381, '[2]fund-selector'!$A$2:$F$853,6,FALSE)</f>
        <v/>
      </c>
      <c r="C381" s="258" t="n">
        <v>8.050000000000001</v>
      </c>
      <c r="D381" s="260" t="n">
        <v>0.44</v>
      </c>
      <c r="E381" s="260" t="n">
        <v>22.93</v>
      </c>
      <c r="F381" s="260" t="n">
        <v>23.62</v>
      </c>
      <c r="G381" s="260" t="n">
        <v>0.44</v>
      </c>
      <c r="H381" s="260" t="n">
        <v>12.54</v>
      </c>
      <c r="I381" s="260" t="n">
        <v>1.01</v>
      </c>
      <c r="J381" s="260" t="n">
        <v>1.7</v>
      </c>
      <c r="K381" s="260" t="n">
        <v>0.84</v>
      </c>
      <c r="L381" s="260" t="n">
        <v>2.98</v>
      </c>
    </row>
    <row r="382" hidden="1">
      <c r="A382" s="259" t="inlineStr">
        <is>
          <t>ICICI Prudential Quality Fund</t>
        </is>
      </c>
      <c r="B382" s="261">
        <f>VLOOKUP(A382, '[2]fund-selector'!$A$2:$F$853,6,FALSE)</f>
        <v/>
      </c>
      <c r="C382" s="258" t="inlineStr">
        <is>
          <t>--</t>
        </is>
      </c>
      <c r="D382" s="260" t="n">
        <v>2.07</v>
      </c>
      <c r="E382" s="259" t="n">
        <v>0</v>
      </c>
      <c r="F382" s="259" t="n">
        <v>0</v>
      </c>
      <c r="G382" s="260" t="n">
        <v>2.07</v>
      </c>
      <c r="H382" s="259" t="n">
        <v>0</v>
      </c>
      <c r="I382" s="259" t="n">
        <v>0</v>
      </c>
      <c r="J382" s="259" t="n">
        <v>0</v>
      </c>
      <c r="K382" s="259" t="n">
        <v>0</v>
      </c>
      <c r="L382" s="259" t="n">
        <v>0</v>
      </c>
    </row>
    <row r="383" hidden="1">
      <c r="A383" s="259" t="inlineStr">
        <is>
          <t>ICICI Prudential Quant Fund</t>
        </is>
      </c>
      <c r="B383" s="261">
        <f>VLOOKUP(A383, '[2]fund-selector'!$A$2:$F$853,6,FALSE)</f>
        <v/>
      </c>
      <c r="C383" s="258" t="n">
        <v>6.91</v>
      </c>
      <c r="D383" s="260" t="n">
        <v>2.32</v>
      </c>
      <c r="E383" s="260" t="n">
        <v>20.93</v>
      </c>
      <c r="F383" s="259" t="n">
        <v>0</v>
      </c>
      <c r="G383" s="260" t="n">
        <v>2.32</v>
      </c>
      <c r="H383" s="260" t="n">
        <v>11.89</v>
      </c>
      <c r="I383" s="260" t="n">
        <v>0.9399999999999999</v>
      </c>
      <c r="J383" s="260" t="n">
        <v>1.42</v>
      </c>
      <c r="K383" s="260" t="n">
        <v>0.78</v>
      </c>
      <c r="L383" s="260" t="n">
        <v>2.11</v>
      </c>
    </row>
    <row r="384" hidden="1">
      <c r="A384" s="259" t="inlineStr">
        <is>
          <t>ICICI Prudential Regular Savings Fund</t>
        </is>
      </c>
      <c r="B384" s="261">
        <f>VLOOKUP(A384, '[2]fund-selector'!$A$2:$F$853,6,FALSE)</f>
        <v/>
      </c>
      <c r="C384" s="258" t="n">
        <v>8.84</v>
      </c>
      <c r="D384" s="260" t="n">
        <v>1.72</v>
      </c>
      <c r="E384" s="260" t="n">
        <v>11.3</v>
      </c>
      <c r="F384" s="260" t="n">
        <v>10.56</v>
      </c>
      <c r="G384" s="260" t="n">
        <v>1.72</v>
      </c>
      <c r="H384" s="260" t="n">
        <v>3.23</v>
      </c>
      <c r="I384" s="260" t="n">
        <v>1.2</v>
      </c>
      <c r="J384" s="260" t="n">
        <v>1.91</v>
      </c>
      <c r="K384" s="260" t="n">
        <v>0.77</v>
      </c>
      <c r="L384" s="260" t="n">
        <v>1.05</v>
      </c>
    </row>
    <row r="385" hidden="1">
      <c r="A385" s="259" t="inlineStr">
        <is>
          <t>ICICI Prudential Retirement Fund - Hybrid Aggressive Plan</t>
        </is>
      </c>
      <c r="B385" s="261">
        <f>VLOOKUP(A385, '[2]fund-selector'!$A$2:$F$853,6,FALSE)</f>
        <v/>
      </c>
      <c r="C385" s="258" t="n">
        <v>4.15</v>
      </c>
      <c r="D385" s="260" t="n">
        <v>2.24</v>
      </c>
      <c r="E385" s="260" t="n">
        <v>23.26</v>
      </c>
      <c r="F385" s="260" t="n">
        <v>21.67</v>
      </c>
      <c r="G385" s="260" t="n">
        <v>2.24</v>
      </c>
      <c r="H385" s="260" t="n">
        <v>12.78</v>
      </c>
      <c r="I385" s="260" t="n">
        <v>1</v>
      </c>
      <c r="J385" s="260" t="n">
        <v>1.51</v>
      </c>
      <c r="K385" s="260" t="n">
        <v>1.02</v>
      </c>
      <c r="L385" s="260" t="n">
        <v>3.04</v>
      </c>
    </row>
    <row r="386" hidden="1">
      <c r="A386" s="259" t="inlineStr">
        <is>
          <t>ICICI Prudential Retirement Fund - Hybrid Conservative Plan</t>
        </is>
      </c>
      <c r="B386" s="261">
        <f>VLOOKUP(A386, '[2]fund-selector'!$A$2:$F$853,6,FALSE)</f>
        <v/>
      </c>
      <c r="C386" s="258" t="n">
        <v>6.77</v>
      </c>
      <c r="D386" s="260" t="n">
        <v>2.1</v>
      </c>
      <c r="E386" s="260" t="n">
        <v>11.64</v>
      </c>
      <c r="F386" s="260" t="n">
        <v>9.51</v>
      </c>
      <c r="G386" s="260" t="n">
        <v>2.1</v>
      </c>
      <c r="H386" s="260" t="n">
        <v>4.47</v>
      </c>
      <c r="I386" s="260" t="n">
        <v>0.87</v>
      </c>
      <c r="J386" s="260" t="n">
        <v>1.21</v>
      </c>
      <c r="K386" s="260" t="n">
        <v>1.01</v>
      </c>
      <c r="L386" s="260" t="n">
        <v>0.19</v>
      </c>
    </row>
    <row r="387" hidden="1">
      <c r="A387" s="259" t="inlineStr">
        <is>
          <t>ICICI Prudential Retirement Fund - Pure Equity Plan</t>
        </is>
      </c>
      <c r="B387" s="261">
        <f>VLOOKUP(A387, '[2]fund-selector'!$A$2:$F$853,6,FALSE)</f>
        <v/>
      </c>
      <c r="C387" s="258" t="n">
        <v>6.84</v>
      </c>
      <c r="D387" s="260" t="n">
        <v>2.11</v>
      </c>
      <c r="E387" s="260" t="n">
        <v>27.56</v>
      </c>
      <c r="F387" s="260" t="n">
        <v>29.1</v>
      </c>
      <c r="G387" s="260" t="n">
        <v>2.11</v>
      </c>
      <c r="H387" s="260" t="n">
        <v>14.67</v>
      </c>
      <c r="I387" s="260" t="n">
        <v>1.08</v>
      </c>
      <c r="J387" s="260" t="n">
        <v>1.6</v>
      </c>
      <c r="K387" s="260" t="n">
        <v>0.95</v>
      </c>
      <c r="L387" s="260" t="n">
        <v>4.91</v>
      </c>
    </row>
    <row r="388" hidden="1">
      <c r="A388" s="259" t="inlineStr">
        <is>
          <t>ICICI Prudential Rural Opportunities Fund - Regular Plan</t>
        </is>
      </c>
      <c r="B388" s="261">
        <f>VLOOKUP(A388, '[2]fund-selector'!$A$2:$F$853,6,FALSE)</f>
        <v/>
      </c>
      <c r="C388" s="258" t="inlineStr">
        <is>
          <t>--</t>
        </is>
      </c>
      <c r="D388" s="260" t="n">
        <v>2.17</v>
      </c>
      <c r="E388" s="259" t="n">
        <v>0</v>
      </c>
      <c r="F388" s="259" t="n">
        <v>0</v>
      </c>
      <c r="G388" s="260" t="n">
        <v>2.17</v>
      </c>
      <c r="H388" s="259" t="n">
        <v>0</v>
      </c>
      <c r="I388" s="259" t="n">
        <v>0</v>
      </c>
      <c r="J388" s="259" t="n">
        <v>0</v>
      </c>
      <c r="K388" s="259" t="n">
        <v>0</v>
      </c>
      <c r="L388" s="259" t="n">
        <v>0</v>
      </c>
    </row>
    <row r="389" hidden="1">
      <c r="A389" s="259" t="inlineStr">
        <is>
          <t>ICICI Prudential Smallcap Fund</t>
        </is>
      </c>
      <c r="B389" s="261">
        <f>VLOOKUP(A389, '[2]fund-selector'!$A$2:$F$853,6,FALSE)</f>
        <v/>
      </c>
      <c r="C389" s="258" t="n">
        <v>-1.38</v>
      </c>
      <c r="D389" s="260" t="n">
        <v>1.78</v>
      </c>
      <c r="E389" s="260" t="n">
        <v>22.49</v>
      </c>
      <c r="F389" s="260" t="n">
        <v>32.36</v>
      </c>
      <c r="G389" s="260" t="n">
        <v>1.78</v>
      </c>
      <c r="H389" s="260" t="n">
        <v>15.46</v>
      </c>
      <c r="I389" s="260" t="n">
        <v>0.87</v>
      </c>
      <c r="J389" s="260" t="n">
        <v>1.27</v>
      </c>
      <c r="K389" s="260" t="n">
        <v>0.75</v>
      </c>
      <c r="L389" s="260" t="n">
        <v>-0.14</v>
      </c>
    </row>
    <row r="390" hidden="1">
      <c r="A390" s="259" t="inlineStr">
        <is>
          <t>ICICI Prudential Thematic Advantage Fund (FOF)</t>
        </is>
      </c>
      <c r="B390" s="261">
        <f>VLOOKUP(A390, '[2]fund-selector'!$A$2:$F$853,6,FALSE)</f>
        <v/>
      </c>
      <c r="C390" s="258" t="n">
        <v>14.93</v>
      </c>
      <c r="D390" s="260" t="n">
        <v>1.52</v>
      </c>
      <c r="E390" s="260" t="n">
        <v>24.09</v>
      </c>
      <c r="F390" s="260" t="n">
        <v>27.15</v>
      </c>
      <c r="G390" s="260" t="n">
        <v>1.52</v>
      </c>
      <c r="H390" s="260" t="n">
        <v>11.07</v>
      </c>
      <c r="I390" s="260" t="n">
        <v>1.25</v>
      </c>
      <c r="J390" s="260" t="n">
        <v>2.36</v>
      </c>
      <c r="K390" s="260" t="n">
        <v>0.73</v>
      </c>
      <c r="L390" s="260" t="n">
        <v>5.41</v>
      </c>
    </row>
    <row r="391" hidden="1">
      <c r="A391" s="259" t="inlineStr">
        <is>
          <t>ICICI Prudential Transportation and Logistics Fund</t>
        </is>
      </c>
      <c r="B391" s="261">
        <f>VLOOKUP(A391, '[2]fund-selector'!$A$2:$F$853,6,FALSE)</f>
        <v/>
      </c>
      <c r="C391" s="258" t="n">
        <v>-1.91</v>
      </c>
      <c r="D391" s="260" t="n">
        <v>1.98</v>
      </c>
      <c r="E391" s="259" t="n">
        <v>0</v>
      </c>
      <c r="F391" s="259" t="n">
        <v>0</v>
      </c>
      <c r="G391" s="260" t="n">
        <v>1.98</v>
      </c>
      <c r="H391" s="259" t="n">
        <v>0</v>
      </c>
      <c r="I391" s="259" t="n">
        <v>0</v>
      </c>
      <c r="J391" s="259" t="n">
        <v>0</v>
      </c>
      <c r="K391" s="259" t="n">
        <v>0</v>
      </c>
      <c r="L391" s="259" t="n">
        <v>0</v>
      </c>
    </row>
    <row r="392" hidden="1">
      <c r="A392" s="259" t="inlineStr">
        <is>
          <t>Invesco India Aggressive Hybrid Fund - Regular Plan</t>
        </is>
      </c>
      <c r="B392" s="261">
        <f>VLOOKUP(A392, '[2]fund-selector'!$A$2:$F$853,6,FALSE)</f>
        <v/>
      </c>
      <c r="C392" s="258" t="n">
        <v>5.99</v>
      </c>
      <c r="D392" s="260" t="n">
        <v>2.33</v>
      </c>
      <c r="E392" s="260" t="n">
        <v>20.57</v>
      </c>
      <c r="F392" s="260" t="n">
        <v>17.72</v>
      </c>
      <c r="G392" s="260" t="n">
        <v>2.33</v>
      </c>
      <c r="H392" s="260" t="n">
        <v>11.25</v>
      </c>
      <c r="I392" s="260" t="n">
        <v>1</v>
      </c>
      <c r="J392" s="260" t="n">
        <v>1.31</v>
      </c>
      <c r="K392" s="260" t="n">
        <v>0.9</v>
      </c>
      <c r="L392" s="260" t="n">
        <v>2.67</v>
      </c>
    </row>
    <row r="393" hidden="1">
      <c r="A393" s="259" t="inlineStr">
        <is>
          <t>Invesco India Arbitrage Fund</t>
        </is>
      </c>
      <c r="B393" s="261">
        <f>VLOOKUP(A393, '[2]fund-selector'!$A$2:$F$853,6,FALSE)</f>
        <v/>
      </c>
      <c r="C393" s="258" t="n">
        <v>6.98</v>
      </c>
      <c r="D393" s="260" t="n">
        <v>1.06</v>
      </c>
      <c r="E393" s="260" t="n">
        <v>7.07</v>
      </c>
      <c r="F393" s="260" t="n">
        <v>5.68</v>
      </c>
      <c r="G393" s="260" t="n">
        <v>1.06</v>
      </c>
      <c r="H393" s="260" t="n">
        <v>0.48</v>
      </c>
      <c r="I393" s="260" t="n">
        <v>0.98</v>
      </c>
      <c r="J393" s="260" t="n">
        <v>1.11</v>
      </c>
      <c r="K393" s="260" t="n">
        <v>0.41</v>
      </c>
      <c r="L393" s="260" t="n">
        <v>1.25</v>
      </c>
    </row>
    <row r="394" hidden="1">
      <c r="A394" s="259" t="inlineStr">
        <is>
          <t>Invesco India Balanced Advantage Fund</t>
        </is>
      </c>
      <c r="B394" s="261">
        <f>VLOOKUP(A394, '[2]fund-selector'!$A$2:$F$853,6,FALSE)</f>
        <v/>
      </c>
      <c r="C394" s="258" t="n">
        <v>5.51</v>
      </c>
      <c r="D394" s="260" t="n">
        <v>2.13</v>
      </c>
      <c r="E394" s="260" t="n">
        <v>16.26</v>
      </c>
      <c r="F394" s="260" t="n">
        <v>13.62</v>
      </c>
      <c r="G394" s="260" t="n">
        <v>2.13</v>
      </c>
      <c r="H394" s="260" t="n">
        <v>8.390000000000001</v>
      </c>
      <c r="I394" s="260" t="n">
        <v>0.89</v>
      </c>
      <c r="J394" s="260" t="n">
        <v>1.27</v>
      </c>
      <c r="K394" s="260" t="n">
        <v>0.79</v>
      </c>
      <c r="L394" s="260" t="n">
        <v>1.24</v>
      </c>
    </row>
    <row r="395" hidden="1">
      <c r="A395" s="259" t="inlineStr">
        <is>
          <t>Invesco India Business Cycle Fund - Regular Plan</t>
        </is>
      </c>
      <c r="B395" s="261">
        <f>VLOOKUP(A395, '[2]fund-selector'!$A$2:$F$853,6,FALSE)</f>
        <v/>
      </c>
      <c r="C395" s="258" t="inlineStr">
        <is>
          <t>--</t>
        </is>
      </c>
      <c r="D395" s="260" t="n">
        <v>2.38</v>
      </c>
      <c r="E395" s="259" t="n">
        <v>0</v>
      </c>
      <c r="F395" s="259" t="n">
        <v>0</v>
      </c>
      <c r="G395" s="260" t="n">
        <v>2.38</v>
      </c>
      <c r="H395" s="259" t="n">
        <v>0</v>
      </c>
      <c r="I395" s="259" t="n">
        <v>0</v>
      </c>
      <c r="J395" s="259" t="n">
        <v>0</v>
      </c>
      <c r="K395" s="259" t="n">
        <v>0</v>
      </c>
      <c r="L395" s="259" t="n">
        <v>0</v>
      </c>
    </row>
    <row r="396" hidden="1">
      <c r="A396" s="259" t="inlineStr">
        <is>
          <t>Invesco India Flexi Cap Fund - Regular Plan</t>
        </is>
      </c>
      <c r="B396" s="261">
        <f>VLOOKUP(A396, '[2]fund-selector'!$A$2:$F$853,6,FALSE)</f>
        <v/>
      </c>
      <c r="C396" s="258" t="n">
        <v>7.54</v>
      </c>
      <c r="D396" s="260" t="n">
        <v>1.94</v>
      </c>
      <c r="E396" s="260" t="n">
        <v>27.38</v>
      </c>
      <c r="F396" s="259" t="n">
        <v>0</v>
      </c>
      <c r="G396" s="260" t="n">
        <v>1.94</v>
      </c>
      <c r="H396" s="260" t="n">
        <v>14.81</v>
      </c>
      <c r="I396" s="260" t="n">
        <v>1.11</v>
      </c>
      <c r="J396" s="260" t="n">
        <v>1.33</v>
      </c>
      <c r="K396" s="260" t="n">
        <v>0.9399999999999999</v>
      </c>
      <c r="L396" s="260" t="n">
        <v>5.55</v>
      </c>
    </row>
    <row r="397" hidden="1">
      <c r="A397" s="259" t="inlineStr">
        <is>
          <t>Invesco India Focused Fund - Regular Plan</t>
        </is>
      </c>
      <c r="B397" s="261">
        <f>VLOOKUP(A397, '[2]fund-selector'!$A$2:$F$853,6,FALSE)</f>
        <v/>
      </c>
      <c r="C397" s="258" t="n">
        <v>7.53</v>
      </c>
      <c r="D397" s="260" t="n">
        <v>1.88</v>
      </c>
      <c r="E397" s="260" t="n">
        <v>28.45</v>
      </c>
      <c r="F397" s="259" t="n">
        <v>0</v>
      </c>
      <c r="G397" s="260" t="n">
        <v>1.88</v>
      </c>
      <c r="H397" s="260" t="n">
        <v>15.57</v>
      </c>
      <c r="I397" s="260" t="n">
        <v>1.16</v>
      </c>
      <c r="J397" s="260" t="n">
        <v>1.61</v>
      </c>
      <c r="K397" s="260" t="n">
        <v>0.96</v>
      </c>
      <c r="L397" s="260" t="n">
        <v>6.93</v>
      </c>
    </row>
    <row r="398" hidden="1">
      <c r="A398" s="259" t="inlineStr">
        <is>
          <t>Invesco India Largecap Fund</t>
        </is>
      </c>
      <c r="B398" s="261">
        <f>VLOOKUP(A398, '[2]fund-selector'!$A$2:$F$853,6,FALSE)</f>
        <v/>
      </c>
      <c r="C398" s="258" t="n">
        <v>5.18</v>
      </c>
      <c r="D398" s="260" t="n">
        <v>2.06</v>
      </c>
      <c r="E398" s="260" t="n">
        <v>21.71</v>
      </c>
      <c r="F398" s="260" t="n">
        <v>20.96</v>
      </c>
      <c r="G398" s="260" t="n">
        <v>2.06</v>
      </c>
      <c r="H398" s="260" t="n">
        <v>14.58</v>
      </c>
      <c r="I398" s="260" t="n">
        <v>0.8100000000000001</v>
      </c>
      <c r="J398" s="260" t="n">
        <v>1.17</v>
      </c>
      <c r="K398" s="260" t="n">
        <v>1.02</v>
      </c>
      <c r="L398" s="260" t="n">
        <v>1.24</v>
      </c>
    </row>
    <row r="399" hidden="1">
      <c r="A399" s="259" t="inlineStr">
        <is>
          <t>Invesco India Large &amp; Mid Cap Fund</t>
        </is>
      </c>
      <c r="B399" s="261">
        <f>VLOOKUP(A399, '[2]fund-selector'!$A$2:$F$853,6,FALSE)</f>
        <v/>
      </c>
      <c r="C399" s="258" t="n">
        <v>11.08</v>
      </c>
      <c r="D399" s="260" t="n">
        <v>1.79</v>
      </c>
      <c r="E399" s="260" t="n">
        <v>29.61</v>
      </c>
      <c r="F399" s="260" t="n">
        <v>25.29</v>
      </c>
      <c r="G399" s="260" t="n">
        <v>1.79</v>
      </c>
      <c r="H399" s="260" t="n">
        <v>15.45</v>
      </c>
      <c r="I399" s="260" t="n">
        <v>1.16</v>
      </c>
      <c r="J399" s="260" t="n">
        <v>1.49</v>
      </c>
      <c r="K399" s="260" t="n">
        <v>0.99</v>
      </c>
      <c r="L399" s="260" t="n">
        <v>7.08</v>
      </c>
    </row>
    <row r="400" hidden="1">
      <c r="A400" s="259" t="inlineStr">
        <is>
          <t>Invesco India Manufacturing Fund - Regular Plan</t>
        </is>
      </c>
      <c r="B400" s="261">
        <f>VLOOKUP(A400, '[2]fund-selector'!$A$2:$F$853,6,FALSE)</f>
        <v/>
      </c>
      <c r="C400" s="258" t="inlineStr">
        <is>
          <t>--</t>
        </is>
      </c>
      <c r="D400" s="260" t="n">
        <v>2.28</v>
      </c>
      <c r="E400" s="259" t="n">
        <v>0</v>
      </c>
      <c r="F400" s="259" t="n">
        <v>0</v>
      </c>
      <c r="G400" s="260" t="n">
        <v>2.28</v>
      </c>
      <c r="H400" s="259" t="n">
        <v>0</v>
      </c>
      <c r="I400" s="259" t="n">
        <v>0</v>
      </c>
      <c r="J400" s="259" t="n">
        <v>0</v>
      </c>
      <c r="K400" s="259" t="n">
        <v>0</v>
      </c>
      <c r="L400" s="259" t="n">
        <v>0</v>
      </c>
    </row>
    <row r="401" hidden="1">
      <c r="A401" s="259" t="inlineStr">
        <is>
          <t>Invesco India Mid Cap Fund</t>
        </is>
      </c>
      <c r="B401" s="261">
        <f>VLOOKUP(A401, '[2]fund-selector'!$A$2:$F$853,6,FALSE)</f>
        <v/>
      </c>
      <c r="C401" s="258" t="n">
        <v>13.5</v>
      </c>
      <c r="D401" s="260" t="n">
        <v>1.8</v>
      </c>
      <c r="E401" s="260" t="n">
        <v>32.06</v>
      </c>
      <c r="F401" s="260" t="n">
        <v>29.84</v>
      </c>
      <c r="G401" s="260" t="n">
        <v>1.8</v>
      </c>
      <c r="H401" s="260" t="n">
        <v>16.83</v>
      </c>
      <c r="I401" s="260" t="n">
        <v>1.18</v>
      </c>
      <c r="J401" s="260" t="n">
        <v>1.51</v>
      </c>
      <c r="K401" s="260" t="n">
        <v>0.9399999999999999</v>
      </c>
      <c r="L401" s="260" t="n">
        <v>2.9</v>
      </c>
    </row>
    <row r="402" hidden="1">
      <c r="A402" s="259" t="inlineStr">
        <is>
          <t>Invesco India Multi Asset Allocation Fund - Regular Plan</t>
        </is>
      </c>
      <c r="B402" s="261">
        <f>VLOOKUP(A402, '[2]fund-selector'!$A$2:$F$853,6,FALSE)</f>
        <v/>
      </c>
      <c r="C402" s="258" t="inlineStr">
        <is>
          <t>--</t>
        </is>
      </c>
      <c r="D402" s="260" t="n">
        <v>1.86</v>
      </c>
      <c r="E402" s="259" t="n">
        <v>0</v>
      </c>
      <c r="F402" s="259" t="n">
        <v>0</v>
      </c>
      <c r="G402" s="260" t="n">
        <v>1.86</v>
      </c>
      <c r="H402" s="259" t="n">
        <v>0</v>
      </c>
      <c r="I402" s="259" t="n">
        <v>0</v>
      </c>
      <c r="J402" s="259" t="n">
        <v>0</v>
      </c>
      <c r="K402" s="259" t="n">
        <v>0</v>
      </c>
      <c r="L402" s="259" t="n">
        <v>0</v>
      </c>
    </row>
    <row r="403" hidden="1">
      <c r="A403" s="259" t="inlineStr">
        <is>
          <t>Invesco India Multicap Fund</t>
        </is>
      </c>
      <c r="B403" s="261">
        <f>VLOOKUP(A403, '[2]fund-selector'!$A$2:$F$853,6,FALSE)</f>
        <v/>
      </c>
      <c r="C403" s="258" t="n">
        <v>4.84</v>
      </c>
      <c r="D403" s="260" t="n">
        <v>1.89</v>
      </c>
      <c r="E403" s="260" t="n">
        <v>24.58</v>
      </c>
      <c r="F403" s="260" t="n">
        <v>24.54</v>
      </c>
      <c r="G403" s="260" t="n">
        <v>1.89</v>
      </c>
      <c r="H403" s="260" t="n">
        <v>15.02</v>
      </c>
      <c r="I403" s="260" t="n">
        <v>0.97</v>
      </c>
      <c r="J403" s="260" t="n">
        <v>1.23</v>
      </c>
      <c r="K403" s="260" t="n">
        <v>0.93</v>
      </c>
      <c r="L403" s="260" t="n">
        <v>1.05</v>
      </c>
    </row>
    <row r="404" hidden="1">
      <c r="A404" s="259" t="inlineStr">
        <is>
          <t>Invesco India Nifty 50 ETF</t>
        </is>
      </c>
      <c r="B404" s="261">
        <f>VLOOKUP(A404, '[2]fund-selector'!$A$2:$F$853,6,FALSE)</f>
        <v/>
      </c>
      <c r="C404" s="258" t="n">
        <v>6.42</v>
      </c>
      <c r="D404" s="260" t="n">
        <v>0.1</v>
      </c>
      <c r="E404" s="260" t="n">
        <v>18.57</v>
      </c>
      <c r="F404" s="260" t="n">
        <v>20.57</v>
      </c>
      <c r="G404" s="260" t="n">
        <v>0.1</v>
      </c>
      <c r="H404" s="260" t="n">
        <v>13.13</v>
      </c>
      <c r="I404" s="260" t="n">
        <v>0.68</v>
      </c>
      <c r="J404" s="260" t="n">
        <v>1.17</v>
      </c>
      <c r="K404" s="260" t="n">
        <v>0.95</v>
      </c>
      <c r="L404" s="260" t="n">
        <v>-0.79</v>
      </c>
    </row>
    <row r="405" hidden="1">
      <c r="A405" s="259" t="inlineStr">
        <is>
          <t>Invesco India Smallcap Fund - Regular Plan</t>
        </is>
      </c>
      <c r="B405" s="261">
        <f>VLOOKUP(A405, '[2]fund-selector'!$A$2:$F$853,6,FALSE)</f>
        <v/>
      </c>
      <c r="C405" s="258" t="n">
        <v>7.71</v>
      </c>
      <c r="D405" s="260" t="n">
        <v>1.76</v>
      </c>
      <c r="E405" s="260" t="n">
        <v>31.3</v>
      </c>
      <c r="F405" s="260" t="n">
        <v>33</v>
      </c>
      <c r="G405" s="260" t="n">
        <v>1.76</v>
      </c>
      <c r="H405" s="260" t="n">
        <v>16.67</v>
      </c>
      <c r="I405" s="260" t="n">
        <v>1.19</v>
      </c>
      <c r="J405" s="260" t="n">
        <v>1.43</v>
      </c>
      <c r="K405" s="260" t="n">
        <v>0.8</v>
      </c>
      <c r="L405" s="260" t="n">
        <v>5.17</v>
      </c>
    </row>
    <row r="406" hidden="1">
      <c r="A406" s="259" t="inlineStr">
        <is>
          <t>ITI Arbitrage Fund - Regular Plan</t>
        </is>
      </c>
      <c r="B406" s="261">
        <f>VLOOKUP(A406, '[2]fund-selector'!$A$2:$F$853,6,FALSE)</f>
        <v/>
      </c>
      <c r="C406" s="258" t="n">
        <v>6.84</v>
      </c>
      <c r="D406" s="260" t="n">
        <v>0.93</v>
      </c>
      <c r="E406" s="260" t="n">
        <v>6.15</v>
      </c>
      <c r="F406" s="260" t="n">
        <v>4.6</v>
      </c>
      <c r="G406" s="260" t="n">
        <v>0.93</v>
      </c>
      <c r="H406" s="260" t="n">
        <v>0.66</v>
      </c>
      <c r="I406" s="260" t="n">
        <v>-0.6899999999999999</v>
      </c>
      <c r="J406" s="260" t="n">
        <v>-0.77</v>
      </c>
      <c r="K406" s="260" t="n">
        <v>1.01</v>
      </c>
      <c r="L406" s="260" t="n">
        <v>1.46</v>
      </c>
    </row>
    <row r="407" hidden="1">
      <c r="A407" s="259" t="inlineStr">
        <is>
          <t>ITI Balanced Advantage Fund - Regular Plan</t>
        </is>
      </c>
      <c r="B407" s="261">
        <f>VLOOKUP(A407, '[2]fund-selector'!$A$2:$F$853,6,FALSE)</f>
        <v/>
      </c>
      <c r="C407" s="258" t="n">
        <v>5.72</v>
      </c>
      <c r="D407" s="260" t="n">
        <v>2.37</v>
      </c>
      <c r="E407" s="260" t="n">
        <v>12.89</v>
      </c>
      <c r="F407" s="260" t="n">
        <v>11.03</v>
      </c>
      <c r="G407" s="260" t="n">
        <v>2.37</v>
      </c>
      <c r="H407" s="260" t="n">
        <v>7.31</v>
      </c>
      <c r="I407" s="260" t="n">
        <v>0.7</v>
      </c>
      <c r="J407" s="260" t="n">
        <v>1.19</v>
      </c>
      <c r="K407" s="260" t="n">
        <v>0.64</v>
      </c>
      <c r="L407" s="260" t="n">
        <v>0.05</v>
      </c>
    </row>
    <row r="408" hidden="1">
      <c r="A408" s="259" t="inlineStr">
        <is>
          <t>ITI Flexi Cap Fund - Regular Plan</t>
        </is>
      </c>
      <c r="B408" s="261">
        <f>VLOOKUP(A408, '[2]fund-selector'!$A$2:$F$853,6,FALSE)</f>
        <v/>
      </c>
      <c r="C408" s="258" t="n">
        <v>0.96</v>
      </c>
      <c r="D408" s="260" t="n">
        <v>2.05</v>
      </c>
      <c r="E408" s="259" t="n">
        <v>0</v>
      </c>
      <c r="F408" s="259" t="n">
        <v>0</v>
      </c>
      <c r="G408" s="260" t="n">
        <v>2.05</v>
      </c>
      <c r="H408" s="259" t="n">
        <v>0</v>
      </c>
      <c r="I408" s="259" t="n">
        <v>0</v>
      </c>
      <c r="J408" s="259" t="n">
        <v>0</v>
      </c>
      <c r="K408" s="259" t="n">
        <v>0</v>
      </c>
      <c r="L408" s="259" t="n">
        <v>0</v>
      </c>
    </row>
    <row r="409" hidden="1">
      <c r="A409" s="259" t="inlineStr">
        <is>
          <t>ITI Focused Equity Fund - Regular Plan</t>
        </is>
      </c>
      <c r="B409" s="261">
        <f>VLOOKUP(A409, '[2]fund-selector'!$A$2:$F$853,6,FALSE)</f>
        <v/>
      </c>
      <c r="C409" s="258" t="n">
        <v>4.77</v>
      </c>
      <c r="D409" s="260" t="n">
        <v>2.37</v>
      </c>
      <c r="E409" s="259" t="n">
        <v>0</v>
      </c>
      <c r="F409" s="259" t="n">
        <v>0</v>
      </c>
      <c r="G409" s="260" t="n">
        <v>2.37</v>
      </c>
      <c r="H409" s="259" t="n">
        <v>0</v>
      </c>
      <c r="I409" s="259" t="n">
        <v>0</v>
      </c>
      <c r="J409" s="259" t="n">
        <v>0</v>
      </c>
      <c r="K409" s="259" t="n">
        <v>0</v>
      </c>
      <c r="L409" s="259" t="n">
        <v>0</v>
      </c>
    </row>
    <row r="410" hidden="1">
      <c r="A410" s="259" t="inlineStr">
        <is>
          <t>ITI Large Cap Fund - Regular Plan</t>
        </is>
      </c>
      <c r="B410" s="261">
        <f>VLOOKUP(A410, '[2]fund-selector'!$A$2:$F$853,6,FALSE)</f>
        <v/>
      </c>
      <c r="C410" s="258" t="n">
        <v>-1.14</v>
      </c>
      <c r="D410" s="260" t="n">
        <v>2.35</v>
      </c>
      <c r="E410" s="260" t="n">
        <v>19.01</v>
      </c>
      <c r="F410" s="259" t="n">
        <v>0</v>
      </c>
      <c r="G410" s="260" t="n">
        <v>2.35</v>
      </c>
      <c r="H410" s="260" t="n">
        <v>14.44</v>
      </c>
      <c r="I410" s="260" t="n">
        <v>0.68</v>
      </c>
      <c r="J410" s="260" t="n">
        <v>1.1</v>
      </c>
      <c r="K410" s="260" t="n">
        <v>1.01</v>
      </c>
      <c r="L410" s="260" t="n">
        <v>-0.58</v>
      </c>
    </row>
    <row r="411" hidden="1">
      <c r="A411" s="259" t="inlineStr">
        <is>
          <t>ITI Large &amp; Mid Cap Fund - Regular Plan</t>
        </is>
      </c>
      <c r="B411" s="261">
        <f>VLOOKUP(A411, '[2]fund-selector'!$A$2:$F$853,6,FALSE)</f>
        <v/>
      </c>
      <c r="C411" s="258" t="inlineStr">
        <is>
          <t>--</t>
        </is>
      </c>
      <c r="D411" s="260" t="n">
        <v>2.15</v>
      </c>
      <c r="E411" s="259" t="n">
        <v>0</v>
      </c>
      <c r="F411" s="259" t="n">
        <v>0</v>
      </c>
      <c r="G411" s="260" t="n">
        <v>2.15</v>
      </c>
      <c r="H411" s="259" t="n">
        <v>0</v>
      </c>
      <c r="I411" s="259" t="n">
        <v>0</v>
      </c>
      <c r="J411" s="259" t="n">
        <v>0</v>
      </c>
      <c r="K411" s="259" t="n">
        <v>0</v>
      </c>
      <c r="L411" s="259" t="n">
        <v>0</v>
      </c>
    </row>
    <row r="412" hidden="1">
      <c r="A412" s="259" t="inlineStr">
        <is>
          <t>ITI Mid Cap Fund - Regular Plan</t>
        </is>
      </c>
      <c r="B412" s="261">
        <f>VLOOKUP(A412, '[2]fund-selector'!$A$2:$F$853,6,FALSE)</f>
        <v/>
      </c>
      <c r="C412" s="258" t="n">
        <v>-3.44</v>
      </c>
      <c r="D412" s="260" t="n">
        <v>2.06</v>
      </c>
      <c r="E412" s="260" t="n">
        <v>28.37</v>
      </c>
      <c r="F412" s="259" t="n">
        <v>0</v>
      </c>
      <c r="G412" s="260" t="n">
        <v>2.06</v>
      </c>
      <c r="H412" s="260" t="n">
        <v>16.92</v>
      </c>
      <c r="I412" s="260" t="n">
        <v>1.11</v>
      </c>
      <c r="J412" s="260" t="n">
        <v>1.59</v>
      </c>
      <c r="K412" s="260" t="n">
        <v>0.96</v>
      </c>
      <c r="L412" s="260" t="n">
        <v>1.39</v>
      </c>
    </row>
    <row r="413" hidden="1">
      <c r="A413" s="259" t="inlineStr">
        <is>
          <t>ITI Multi Cap Fund - Regular Plan</t>
        </is>
      </c>
      <c r="B413" s="261">
        <f>VLOOKUP(A413, '[2]fund-selector'!$A$2:$F$853,6,FALSE)</f>
        <v/>
      </c>
      <c r="C413" s="258" t="n">
        <v>-1.94</v>
      </c>
      <c r="D413" s="260" t="n">
        <v>2.02</v>
      </c>
      <c r="E413" s="260" t="n">
        <v>25.02</v>
      </c>
      <c r="F413" s="260" t="n">
        <v>20.53</v>
      </c>
      <c r="G413" s="260" t="n">
        <v>2.02</v>
      </c>
      <c r="H413" s="260" t="n">
        <v>15.61</v>
      </c>
      <c r="I413" s="260" t="n">
        <v>0.98</v>
      </c>
      <c r="J413" s="260" t="n">
        <v>1.26</v>
      </c>
      <c r="K413" s="260" t="n">
        <v>0.97</v>
      </c>
      <c r="L413" s="260" t="n">
        <v>1.16</v>
      </c>
    </row>
    <row r="414" hidden="1">
      <c r="A414" s="259" t="inlineStr">
        <is>
          <t>ITI Small Cap Fund - Regular Plan</t>
        </is>
      </c>
      <c r="B414" s="261">
        <f>VLOOKUP(A414, '[2]fund-selector'!$A$2:$F$853,6,FALSE)</f>
        <v/>
      </c>
      <c r="C414" s="258" t="n">
        <v>1.93</v>
      </c>
      <c r="D414" s="260" t="n">
        <v>1.93</v>
      </c>
      <c r="E414" s="260" t="n">
        <v>32.36</v>
      </c>
      <c r="F414" s="260" t="n">
        <v>27.99</v>
      </c>
      <c r="G414" s="260" t="n">
        <v>1.93</v>
      </c>
      <c r="H414" s="260" t="n">
        <v>17.19</v>
      </c>
      <c r="I414" s="260" t="n">
        <v>1.24</v>
      </c>
      <c r="J414" s="260" t="n">
        <v>1.55</v>
      </c>
      <c r="K414" s="260" t="n">
        <v>0.84</v>
      </c>
      <c r="L414" s="260" t="n">
        <v>6.01</v>
      </c>
    </row>
    <row r="415" hidden="1">
      <c r="A415" s="259" t="inlineStr">
        <is>
          <t>JM Aggressive Hybrid Fund</t>
        </is>
      </c>
      <c r="B415" s="261">
        <f>VLOOKUP(A415, '[2]fund-selector'!$A$2:$F$853,6,FALSE)</f>
        <v/>
      </c>
      <c r="C415" s="258" t="n">
        <v>-2.4</v>
      </c>
      <c r="D415" s="260" t="n">
        <v>2.22</v>
      </c>
      <c r="E415" s="260" t="n">
        <v>25.1</v>
      </c>
      <c r="F415" s="260" t="n">
        <v>26.65</v>
      </c>
      <c r="G415" s="260" t="n">
        <v>2.22</v>
      </c>
      <c r="H415" s="260" t="n">
        <v>12.16</v>
      </c>
      <c r="I415" s="260" t="n">
        <v>1.22</v>
      </c>
      <c r="J415" s="260" t="n">
        <v>1.87</v>
      </c>
      <c r="K415" s="260" t="n">
        <v>0.86</v>
      </c>
      <c r="L415" s="260" t="n">
        <v>6.55</v>
      </c>
    </row>
    <row r="416" hidden="1">
      <c r="A416" s="259" t="inlineStr">
        <is>
          <t>JM Arbitrage Fund</t>
        </is>
      </c>
      <c r="B416" s="261">
        <f>VLOOKUP(A416, '[2]fund-selector'!$A$2:$F$853,6,FALSE)</f>
        <v/>
      </c>
      <c r="C416" s="258" t="n">
        <v>6.37</v>
      </c>
      <c r="D416" s="260" t="n">
        <v>1.06</v>
      </c>
      <c r="E416" s="260" t="n">
        <v>6.4</v>
      </c>
      <c r="F416" s="260" t="n">
        <v>4.88</v>
      </c>
      <c r="G416" s="260" t="n">
        <v>1.06</v>
      </c>
      <c r="H416" s="260" t="n">
        <v>0.52</v>
      </c>
      <c r="I416" s="260" t="n">
        <v>-0.34</v>
      </c>
      <c r="J416" s="260" t="n">
        <v>-0.39</v>
      </c>
      <c r="K416" s="260" t="n">
        <v>0.48</v>
      </c>
      <c r="L416" s="260" t="n">
        <v>0.73</v>
      </c>
    </row>
    <row r="417" hidden="1">
      <c r="A417" s="259" t="inlineStr">
        <is>
          <t>JM Flexicap Fund</t>
        </is>
      </c>
      <c r="B417" s="261">
        <f>VLOOKUP(A417, '[2]fund-selector'!$A$2:$F$853,6,FALSE)</f>
        <v/>
      </c>
      <c r="C417" s="258" t="n">
        <v>-5.26</v>
      </c>
      <c r="D417" s="260" t="n">
        <v>1.77</v>
      </c>
      <c r="E417" s="260" t="n">
        <v>28.34</v>
      </c>
      <c r="F417" s="260" t="n">
        <v>26.65</v>
      </c>
      <c r="G417" s="260" t="n">
        <v>1.77</v>
      </c>
      <c r="H417" s="260" t="n">
        <v>15.55</v>
      </c>
      <c r="I417" s="260" t="n">
        <v>1.16</v>
      </c>
      <c r="J417" s="260" t="n">
        <v>1.66</v>
      </c>
      <c r="K417" s="260" t="n">
        <v>0.98</v>
      </c>
      <c r="L417" s="260" t="n">
        <v>6.73</v>
      </c>
    </row>
    <row r="418" hidden="1">
      <c r="A418" s="259" t="inlineStr">
        <is>
          <t>JM Focused Fund</t>
        </is>
      </c>
      <c r="B418" s="261">
        <f>VLOOKUP(A418, '[2]fund-selector'!$A$2:$F$853,6,FALSE)</f>
        <v/>
      </c>
      <c r="C418" s="258" t="n">
        <v>-2.16</v>
      </c>
      <c r="D418" s="260" t="n">
        <v>2.37</v>
      </c>
      <c r="E418" s="260" t="n">
        <v>23.61</v>
      </c>
      <c r="F418" s="260" t="n">
        <v>20.68</v>
      </c>
      <c r="G418" s="260" t="n">
        <v>2.37</v>
      </c>
      <c r="H418" s="260" t="n">
        <v>14.92</v>
      </c>
      <c r="I418" s="260" t="n">
        <v>0.93</v>
      </c>
      <c r="J418" s="260" t="n">
        <v>1.41</v>
      </c>
      <c r="K418" s="260" t="n">
        <v>0.9399999999999999</v>
      </c>
      <c r="L418" s="260" t="n">
        <v>3.02</v>
      </c>
    </row>
    <row r="419" hidden="1">
      <c r="A419" s="259" t="inlineStr">
        <is>
          <t>JM Large Cap Fund</t>
        </is>
      </c>
      <c r="B419" s="261">
        <f>VLOOKUP(A419, '[2]fund-selector'!$A$2:$F$853,6,FALSE)</f>
        <v/>
      </c>
      <c r="C419" s="258" t="n">
        <v>-4.35</v>
      </c>
      <c r="D419" s="260" t="n">
        <v>2.36</v>
      </c>
      <c r="E419" s="260" t="n">
        <v>20.48</v>
      </c>
      <c r="F419" s="260" t="n">
        <v>18.05</v>
      </c>
      <c r="G419" s="260" t="n">
        <v>2.36</v>
      </c>
      <c r="H419" s="260" t="n">
        <v>13.89</v>
      </c>
      <c r="I419" s="260" t="n">
        <v>0.78</v>
      </c>
      <c r="J419" s="260" t="n">
        <v>1.32</v>
      </c>
      <c r="K419" s="260" t="n">
        <v>0.95</v>
      </c>
      <c r="L419" s="260" t="n">
        <v>1.03</v>
      </c>
    </row>
    <row r="420" hidden="1">
      <c r="A420" s="259" t="inlineStr">
        <is>
          <t>JM Midcap Fund - Regular Plan</t>
        </is>
      </c>
      <c r="B420" s="261">
        <f>VLOOKUP(A420, '[2]fund-selector'!$A$2:$F$853,6,FALSE)</f>
        <v/>
      </c>
      <c r="C420" s="258" t="n">
        <v>-2.59</v>
      </c>
      <c r="D420" s="260" t="n">
        <v>2.05</v>
      </c>
      <c r="E420" s="259" t="n">
        <v>0</v>
      </c>
      <c r="F420" s="259" t="n">
        <v>0</v>
      </c>
      <c r="G420" s="260" t="n">
        <v>2.05</v>
      </c>
      <c r="H420" s="259" t="n">
        <v>0</v>
      </c>
      <c r="I420" s="259" t="n">
        <v>0</v>
      </c>
      <c r="J420" s="259" t="n">
        <v>0</v>
      </c>
      <c r="K420" s="259" t="n">
        <v>0</v>
      </c>
      <c r="L420" s="259" t="n">
        <v>0</v>
      </c>
    </row>
    <row r="421" hidden="1">
      <c r="A421" s="259" t="inlineStr">
        <is>
          <t>JM Small Cap Fund - Regular Plan</t>
        </is>
      </c>
      <c r="B421" s="261">
        <f>VLOOKUP(A421, '[2]fund-selector'!$A$2:$F$853,6,FALSE)</f>
        <v/>
      </c>
      <c r="C421" s="258" t="inlineStr">
        <is>
          <t>--</t>
        </is>
      </c>
      <c r="D421" s="260" t="n">
        <v>2.27</v>
      </c>
      <c r="E421" s="259" t="n">
        <v>0</v>
      </c>
      <c r="F421" s="259" t="n">
        <v>0</v>
      </c>
      <c r="G421" s="260" t="n">
        <v>2.27</v>
      </c>
      <c r="H421" s="259" t="n">
        <v>0</v>
      </c>
      <c r="I421" s="259" t="n">
        <v>0</v>
      </c>
      <c r="J421" s="259" t="n">
        <v>0</v>
      </c>
      <c r="K421" s="259" t="n">
        <v>0</v>
      </c>
      <c r="L421" s="259" t="n">
        <v>0</v>
      </c>
    </row>
    <row r="422" hidden="1">
      <c r="A422" s="259" t="inlineStr">
        <is>
          <t>Kotak Balanced Advantage Fund - Regular Plan</t>
        </is>
      </c>
      <c r="B422" s="261">
        <f>VLOOKUP(A422, '[2]fund-selector'!$A$2:$F$853,6,FALSE)</f>
        <v/>
      </c>
      <c r="C422" s="258" t="n">
        <v>7.24</v>
      </c>
      <c r="D422" s="260" t="n">
        <v>1.66</v>
      </c>
      <c r="E422" s="260" t="n">
        <v>14.48</v>
      </c>
      <c r="F422" s="260" t="n">
        <v>13.7</v>
      </c>
      <c r="G422" s="260" t="n">
        <v>1.66</v>
      </c>
      <c r="H422" s="260" t="n">
        <v>7.54</v>
      </c>
      <c r="I422" s="260" t="n">
        <v>0.82</v>
      </c>
      <c r="J422" s="260" t="n">
        <v>1.07</v>
      </c>
      <c r="K422" s="260" t="n">
        <v>0.71</v>
      </c>
      <c r="L422" s="260" t="n">
        <v>0.62</v>
      </c>
    </row>
    <row r="423" hidden="1">
      <c r="A423" s="259" t="inlineStr">
        <is>
          <t>Kotak Bluechip Fund - Regular Plan</t>
        </is>
      </c>
      <c r="B423" s="261">
        <f>VLOOKUP(A423, '[2]fund-selector'!$A$2:$F$853,6,FALSE)</f>
        <v/>
      </c>
      <c r="C423" s="258" t="n">
        <v>4.75</v>
      </c>
      <c r="D423" s="260" t="n">
        <v>1.73</v>
      </c>
      <c r="E423" s="260" t="n">
        <v>20.05</v>
      </c>
      <c r="F423" s="260" t="n">
        <v>21.14</v>
      </c>
      <c r="G423" s="260" t="n">
        <v>1.73</v>
      </c>
      <c r="H423" s="260" t="n">
        <v>13.04</v>
      </c>
      <c r="I423" s="260" t="n">
        <v>0.78</v>
      </c>
      <c r="J423" s="260" t="n">
        <v>1.21</v>
      </c>
      <c r="K423" s="260" t="n">
        <v>0.9399999999999999</v>
      </c>
      <c r="L423" s="260" t="n">
        <v>0.53</v>
      </c>
    </row>
    <row r="424" hidden="1">
      <c r="A424" s="259" t="inlineStr">
        <is>
          <t>Kotak BSE Housing Index Fund - Regular Plan</t>
        </is>
      </c>
      <c r="B424" s="261">
        <f>VLOOKUP(A424, '[2]fund-selector'!$A$2:$F$853,6,FALSE)</f>
        <v/>
      </c>
      <c r="C424" s="258" t="n">
        <v>-8.199999999999999</v>
      </c>
      <c r="D424" s="260" t="n">
        <v>0.72</v>
      </c>
      <c r="E424" s="259" t="n">
        <v>0</v>
      </c>
      <c r="F424" s="259" t="n">
        <v>0</v>
      </c>
      <c r="G424" s="260" t="n">
        <v>0.72</v>
      </c>
      <c r="H424" s="259" t="n">
        <v>0</v>
      </c>
      <c r="I424" s="259" t="n">
        <v>0</v>
      </c>
      <c r="J424" s="259" t="n">
        <v>0</v>
      </c>
      <c r="K424" s="259" t="n">
        <v>0</v>
      </c>
      <c r="L424" s="259" t="n">
        <v>0</v>
      </c>
    </row>
    <row r="425" hidden="1">
      <c r="A425" s="259" t="inlineStr">
        <is>
          <t>Kotak BSE Sensex ETF</t>
        </is>
      </c>
      <c r="B425" s="261">
        <f>VLOOKUP(A425, '[2]fund-selector'!$A$2:$F$853,6,FALSE)</f>
        <v/>
      </c>
      <c r="C425" s="258" t="n">
        <v>6.12</v>
      </c>
      <c r="D425" s="260" t="n">
        <v>0.18</v>
      </c>
      <c r="E425" s="260" t="n">
        <v>17.59</v>
      </c>
      <c r="F425" s="260" t="n">
        <v>19.67</v>
      </c>
      <c r="G425" s="260" t="n">
        <v>0.18</v>
      </c>
      <c r="H425" s="260" t="n">
        <v>12.69</v>
      </c>
      <c r="I425" s="260" t="n">
        <v>0.65</v>
      </c>
      <c r="J425" s="260" t="n">
        <v>1.08</v>
      </c>
      <c r="K425" s="260" t="n">
        <v>0.91</v>
      </c>
      <c r="L425" s="260" t="n">
        <v>-1.15</v>
      </c>
    </row>
    <row r="426" hidden="1">
      <c r="A426" s="259" t="inlineStr">
        <is>
          <t>Kotak BSE Sensex Index Fund - Regular Plan</t>
        </is>
      </c>
      <c r="B426" s="261">
        <f>VLOOKUP(A426, '[2]fund-selector'!$A$2:$F$853,6,FALSE)</f>
        <v/>
      </c>
      <c r="C426" s="258" t="inlineStr">
        <is>
          <t>--</t>
        </is>
      </c>
      <c r="D426" s="260" t="n">
        <v>0.31</v>
      </c>
      <c r="E426" s="259" t="n">
        <v>0</v>
      </c>
      <c r="F426" s="259" t="n">
        <v>0</v>
      </c>
      <c r="G426" s="260" t="n">
        <v>0.31</v>
      </c>
      <c r="H426" s="259" t="n">
        <v>0</v>
      </c>
      <c r="I426" s="259" t="n">
        <v>0</v>
      </c>
      <c r="J426" s="259" t="n">
        <v>0</v>
      </c>
      <c r="K426" s="259" t="n">
        <v>0</v>
      </c>
      <c r="L426" s="259" t="n">
        <v>0</v>
      </c>
    </row>
    <row r="427" hidden="1">
      <c r="A427" s="259" t="inlineStr">
        <is>
          <t>Kotak Business Cycle Fund - Regular Plan</t>
        </is>
      </c>
      <c r="B427" s="261">
        <f>VLOOKUP(A427, '[2]fund-selector'!$A$2:$F$853,6,FALSE)</f>
        <v/>
      </c>
      <c r="C427" s="258" t="n">
        <v>6.56</v>
      </c>
      <c r="D427" s="260" t="n">
        <v>1.95</v>
      </c>
      <c r="E427" s="259" t="n">
        <v>0</v>
      </c>
      <c r="F427" s="259" t="n">
        <v>0</v>
      </c>
      <c r="G427" s="260" t="n">
        <v>1.95</v>
      </c>
      <c r="H427" s="259" t="n">
        <v>0</v>
      </c>
      <c r="I427" s="259" t="n">
        <v>0</v>
      </c>
      <c r="J427" s="259" t="n">
        <v>0</v>
      </c>
      <c r="K427" s="259" t="n">
        <v>0</v>
      </c>
      <c r="L427" s="259" t="n">
        <v>0</v>
      </c>
    </row>
    <row r="428" hidden="1">
      <c r="A428" s="259" t="inlineStr">
        <is>
          <t>Kotak Debt Hybrid Fund - Regular Plan</t>
        </is>
      </c>
      <c r="B428" s="261">
        <f>VLOOKUP(A428, '[2]fund-selector'!$A$2:$F$853,6,FALSE)</f>
        <v/>
      </c>
      <c r="C428" s="258" t="n">
        <v>6.19</v>
      </c>
      <c r="D428" s="260" t="n">
        <v>1.66</v>
      </c>
      <c r="E428" s="260" t="n">
        <v>12.05</v>
      </c>
      <c r="F428" s="260" t="n">
        <v>11.77</v>
      </c>
      <c r="G428" s="260" t="n">
        <v>1.66</v>
      </c>
      <c r="H428" s="260" t="n">
        <v>4.61</v>
      </c>
      <c r="I428" s="260" t="n">
        <v>1.07</v>
      </c>
      <c r="J428" s="260" t="n">
        <v>1.51</v>
      </c>
      <c r="K428" s="260" t="n">
        <v>1.1</v>
      </c>
      <c r="L428" s="260" t="n">
        <v>0.92</v>
      </c>
    </row>
    <row r="429" hidden="1">
      <c r="A429" s="259" t="inlineStr">
        <is>
          <t>Kotak Emerging Equity Fund - Regular Plan</t>
        </is>
      </c>
      <c r="B429" s="261">
        <f>VLOOKUP(A429, '[2]fund-selector'!$A$2:$F$853,6,FALSE)</f>
        <v/>
      </c>
      <c r="C429" s="258" t="n">
        <v>4.31</v>
      </c>
      <c r="D429" s="260" t="n">
        <v>1.42</v>
      </c>
      <c r="E429" s="260" t="n">
        <v>26.94</v>
      </c>
      <c r="F429" s="260" t="n">
        <v>30.22</v>
      </c>
      <c r="G429" s="260" t="n">
        <v>1.42</v>
      </c>
      <c r="H429" s="260" t="n">
        <v>16.23</v>
      </c>
      <c r="I429" s="260" t="n">
        <v>1</v>
      </c>
      <c r="J429" s="260" t="n">
        <v>1.31</v>
      </c>
      <c r="K429" s="260" t="n">
        <v>0.91</v>
      </c>
      <c r="L429" s="260" t="n">
        <v>-0.12</v>
      </c>
    </row>
    <row r="430" hidden="1">
      <c r="A430" s="259" t="inlineStr">
        <is>
          <t>Kotak Equity Arbitrage Fund - Regular Plan</t>
        </is>
      </c>
      <c r="B430" s="261">
        <f>VLOOKUP(A430, '[2]fund-selector'!$A$2:$F$853,6,FALSE)</f>
        <v/>
      </c>
      <c r="C430" s="258" t="n">
        <v>7.08</v>
      </c>
      <c r="D430" s="260" t="n">
        <v>1.05</v>
      </c>
      <c r="E430" s="260" t="n">
        <v>7.08</v>
      </c>
      <c r="F430" s="260" t="n">
        <v>5.74</v>
      </c>
      <c r="G430" s="260" t="n">
        <v>1.05</v>
      </c>
      <c r="H430" s="260" t="n">
        <v>0.5600000000000001</v>
      </c>
      <c r="I430" s="260" t="n">
        <v>0.82</v>
      </c>
      <c r="J430" s="260" t="n">
        <v>0.92</v>
      </c>
      <c r="K430" s="260" t="n">
        <v>0.5600000000000001</v>
      </c>
      <c r="L430" s="260" t="n">
        <v>1.52</v>
      </c>
    </row>
    <row r="431" hidden="1">
      <c r="A431" s="259" t="inlineStr">
        <is>
          <t>Kotak Equity Hybrid Fund - Regular Plan</t>
        </is>
      </c>
      <c r="B431" s="261">
        <f>VLOOKUP(A431, '[2]fund-selector'!$A$2:$F$853,6,FALSE)</f>
        <v/>
      </c>
      <c r="C431" s="258" t="n">
        <v>5.16</v>
      </c>
      <c r="D431" s="260" t="n">
        <v>1.76</v>
      </c>
      <c r="E431" s="260" t="n">
        <v>18.63</v>
      </c>
      <c r="F431" s="260" t="n">
        <v>21.02</v>
      </c>
      <c r="G431" s="260" t="n">
        <v>1.76</v>
      </c>
      <c r="H431" s="260" t="n">
        <v>11.01</v>
      </c>
      <c r="I431" s="260" t="n">
        <v>0.86</v>
      </c>
      <c r="J431" s="260" t="n">
        <v>1.1</v>
      </c>
      <c r="K431" s="260" t="n">
        <v>0.88</v>
      </c>
      <c r="L431" s="260" t="n">
        <v>0.9399999999999999</v>
      </c>
    </row>
    <row r="432" hidden="1">
      <c r="A432" s="259" t="inlineStr">
        <is>
          <t>Kotak Equity Opportunities Fund - Regular Plan</t>
        </is>
      </c>
      <c r="B432" s="261">
        <f>VLOOKUP(A432, '[2]fund-selector'!$A$2:$F$853,6,FALSE)</f>
        <v/>
      </c>
      <c r="C432" s="258" t="n">
        <v>0.38</v>
      </c>
      <c r="D432" s="260" t="n">
        <v>1.59</v>
      </c>
      <c r="E432" s="260" t="n">
        <v>24.2</v>
      </c>
      <c r="F432" s="260" t="n">
        <v>24.16</v>
      </c>
      <c r="G432" s="260" t="n">
        <v>1.59</v>
      </c>
      <c r="H432" s="260" t="n">
        <v>14.06</v>
      </c>
      <c r="I432" s="260" t="n">
        <v>1</v>
      </c>
      <c r="J432" s="260" t="n">
        <v>1.4</v>
      </c>
      <c r="K432" s="260" t="n">
        <v>0.93</v>
      </c>
      <c r="L432" s="260" t="n">
        <v>3.75</v>
      </c>
    </row>
    <row r="433" hidden="1">
      <c r="A433" s="259" t="inlineStr">
        <is>
          <t>Kotak Flexicap Fund - Regular Plan</t>
        </is>
      </c>
      <c r="B433" s="261">
        <f>VLOOKUP(A433, '[2]fund-selector'!$A$2:$F$853,6,FALSE)</f>
        <v/>
      </c>
      <c r="C433" s="258" t="n">
        <v>4.69</v>
      </c>
      <c r="D433" s="260" t="n">
        <v>1.46</v>
      </c>
      <c r="E433" s="260" t="n">
        <v>22.43</v>
      </c>
      <c r="F433" s="260" t="n">
        <v>21.38</v>
      </c>
      <c r="G433" s="260" t="n">
        <v>1.46</v>
      </c>
      <c r="H433" s="260" t="n">
        <v>13.86</v>
      </c>
      <c r="I433" s="260" t="n">
        <v>0.87</v>
      </c>
      <c r="J433" s="260" t="n">
        <v>1.38</v>
      </c>
      <c r="K433" s="260" t="n">
        <v>0.93</v>
      </c>
      <c r="L433" s="260" t="n">
        <v>1.31</v>
      </c>
    </row>
    <row r="434" hidden="1">
      <c r="A434" s="259" t="inlineStr">
        <is>
          <t>Kotak Focused Equity Fund - Regular Plan</t>
        </is>
      </c>
      <c r="B434" s="261">
        <f>VLOOKUP(A434, '[2]fund-selector'!$A$2:$F$853,6,FALSE)</f>
        <v/>
      </c>
      <c r="C434" s="258" t="n">
        <v>2.68</v>
      </c>
      <c r="D434" s="260" t="n">
        <v>1.89</v>
      </c>
      <c r="E434" s="260" t="n">
        <v>19.9</v>
      </c>
      <c r="F434" s="260" t="n">
        <v>21.34</v>
      </c>
      <c r="G434" s="260" t="n">
        <v>1.89</v>
      </c>
      <c r="H434" s="260" t="n">
        <v>13.28</v>
      </c>
      <c r="I434" s="260" t="n">
        <v>0.75</v>
      </c>
      <c r="J434" s="260" t="n">
        <v>1.15</v>
      </c>
      <c r="K434" s="260" t="n">
        <v>0.9</v>
      </c>
      <c r="L434" s="260" t="n">
        <v>-0.33</v>
      </c>
    </row>
    <row r="435" hidden="1">
      <c r="A435" s="259" t="inlineStr">
        <is>
          <t>Kotak Manufacture in India Fund - Regular Plan</t>
        </is>
      </c>
      <c r="B435" s="261">
        <f>VLOOKUP(A435, '[2]fund-selector'!$A$2:$F$853,6,FALSE)</f>
        <v/>
      </c>
      <c r="C435" s="258" t="n">
        <v>-2.86</v>
      </c>
      <c r="D435" s="260" t="n">
        <v>1.97</v>
      </c>
      <c r="E435" s="260" t="n">
        <v>23.21</v>
      </c>
      <c r="F435" s="259" t="n">
        <v>0</v>
      </c>
      <c r="G435" s="260" t="n">
        <v>1.97</v>
      </c>
      <c r="H435" s="260" t="n">
        <v>15.85</v>
      </c>
      <c r="I435" s="260" t="n">
        <v>0.88</v>
      </c>
      <c r="J435" s="260" t="n">
        <v>1.17</v>
      </c>
      <c r="K435" s="260" t="n">
        <v>1</v>
      </c>
      <c r="L435" s="260" t="n">
        <v>2.38</v>
      </c>
    </row>
    <row r="436" hidden="1">
      <c r="A436" s="259" t="inlineStr">
        <is>
          <t>Kotak MSCI India ETF</t>
        </is>
      </c>
      <c r="B436" s="261">
        <f>VLOOKUP(A436, '[2]fund-selector'!$A$2:$F$853,6,FALSE)</f>
        <v/>
      </c>
      <c r="C436" s="258" t="inlineStr">
        <is>
          <t>--</t>
        </is>
      </c>
      <c r="D436" s="260" t="n">
        <v>0.4</v>
      </c>
      <c r="E436" s="259" t="n">
        <v>0</v>
      </c>
      <c r="F436" s="259" t="n">
        <v>0</v>
      </c>
      <c r="G436" s="260" t="n">
        <v>0.4</v>
      </c>
      <c r="H436" s="259" t="n">
        <v>0</v>
      </c>
      <c r="I436" s="259" t="n">
        <v>0</v>
      </c>
      <c r="J436" s="259" t="n">
        <v>0</v>
      </c>
      <c r="K436" s="259" t="n">
        <v>0</v>
      </c>
      <c r="L436" s="259" t="n">
        <v>0</v>
      </c>
    </row>
    <row r="437" hidden="1">
      <c r="A437" s="259" t="inlineStr">
        <is>
          <t>Kotak Multi Asset Allocation Fund - Regular Plan</t>
        </is>
      </c>
      <c r="B437" s="261">
        <f>VLOOKUP(A437, '[2]fund-selector'!$A$2:$F$853,6,FALSE)</f>
        <v/>
      </c>
      <c r="C437" s="258" t="n">
        <v>3.57</v>
      </c>
      <c r="D437" s="260" t="n">
        <v>1.74</v>
      </c>
      <c r="E437" s="259" t="n">
        <v>0</v>
      </c>
      <c r="F437" s="259" t="n">
        <v>0</v>
      </c>
      <c r="G437" s="260" t="n">
        <v>1.74</v>
      </c>
      <c r="H437" s="259" t="n">
        <v>0</v>
      </c>
      <c r="I437" s="259" t="n">
        <v>0</v>
      </c>
      <c r="J437" s="259" t="n">
        <v>0</v>
      </c>
      <c r="K437" s="259" t="n">
        <v>0</v>
      </c>
      <c r="L437" s="259" t="n">
        <v>0</v>
      </c>
    </row>
    <row r="438" hidden="1">
      <c r="A438" s="259" t="inlineStr">
        <is>
          <t>Kotak Multi Asset Allocator FoF - Dynamic Regular Plan</t>
        </is>
      </c>
      <c r="B438" s="261">
        <f>VLOOKUP(A438, '[2]fund-selector'!$A$2:$F$853,6,FALSE)</f>
        <v/>
      </c>
      <c r="C438" s="258" t="n">
        <v>7.07</v>
      </c>
      <c r="D438" s="260" t="n">
        <v>0.99</v>
      </c>
      <c r="E438" s="260" t="n">
        <v>22.47</v>
      </c>
      <c r="F438" s="260" t="n">
        <v>21.39</v>
      </c>
      <c r="G438" s="260" t="n">
        <v>0.99</v>
      </c>
      <c r="H438" s="260" t="n">
        <v>9.16</v>
      </c>
      <c r="I438" s="260" t="n">
        <v>1.38</v>
      </c>
      <c r="J438" s="260" t="n">
        <v>1.9</v>
      </c>
      <c r="K438" s="260" t="n">
        <v>0.91</v>
      </c>
      <c r="L438" s="260" t="n">
        <v>4.56</v>
      </c>
    </row>
    <row r="439">
      <c r="A439" s="296" t="inlineStr">
        <is>
          <t>Kotak Multicap Fund - Regular Plan</t>
        </is>
      </c>
      <c r="B439" s="261">
        <f>VLOOKUP(A439, '[2]fund-selector'!$A$2:$F$853,6,FALSE)</f>
        <v/>
      </c>
      <c r="C439" s="258" t="n">
        <v>0.67</v>
      </c>
      <c r="D439" s="260" t="n">
        <v>1.63</v>
      </c>
      <c r="E439" s="260" t="n">
        <v>29.06</v>
      </c>
      <c r="F439" s="259" t="n">
        <v>0</v>
      </c>
      <c r="G439" s="260" t="n">
        <v>1.63</v>
      </c>
      <c r="H439" s="260" t="n">
        <v>16.12</v>
      </c>
      <c r="I439" s="260" t="n">
        <v>1.15</v>
      </c>
      <c r="J439" s="260" t="n">
        <v>1.58</v>
      </c>
      <c r="K439" s="260" t="n">
        <v>1</v>
      </c>
      <c r="L439" s="260" t="n">
        <v>4.02</v>
      </c>
    </row>
    <row r="440" hidden="1">
      <c r="A440" s="259" t="inlineStr">
        <is>
          <t>Kotak Nifty 100 Equal Weight ETF</t>
        </is>
      </c>
      <c r="B440" s="261">
        <f>VLOOKUP(A440, '[2]fund-selector'!$A$2:$F$853,6,FALSE)</f>
        <v/>
      </c>
      <c r="C440" s="258" t="inlineStr">
        <is>
          <t>--</t>
        </is>
      </c>
      <c r="D440" s="260" t="n">
        <v>0.25</v>
      </c>
      <c r="E440" s="259" t="n">
        <v>0</v>
      </c>
      <c r="F440" s="259" t="n">
        <v>0</v>
      </c>
      <c r="G440" s="260" t="n">
        <v>0.25</v>
      </c>
      <c r="H440" s="259" t="n">
        <v>0</v>
      </c>
      <c r="I440" s="259" t="n">
        <v>0</v>
      </c>
      <c r="J440" s="259" t="n">
        <v>0</v>
      </c>
      <c r="K440" s="259" t="n">
        <v>0</v>
      </c>
      <c r="L440" s="259" t="n">
        <v>0</v>
      </c>
    </row>
    <row r="441" hidden="1">
      <c r="A441" s="259" t="inlineStr">
        <is>
          <t>Kotak Nifty 100 Equal Weight Index Fund - Regular Plan</t>
        </is>
      </c>
      <c r="B441" s="261">
        <f>VLOOKUP(A441, '[2]fund-selector'!$A$2:$F$853,6,FALSE)</f>
        <v/>
      </c>
      <c r="C441" s="258" t="inlineStr">
        <is>
          <t>--</t>
        </is>
      </c>
      <c r="D441" s="260" t="n">
        <v>0.72</v>
      </c>
      <c r="E441" s="259" t="n">
        <v>0</v>
      </c>
      <c r="F441" s="259" t="n">
        <v>0</v>
      </c>
      <c r="G441" s="260" t="n">
        <v>0.72</v>
      </c>
      <c r="H441" s="259" t="n">
        <v>0</v>
      </c>
      <c r="I441" s="259" t="n">
        <v>0</v>
      </c>
      <c r="J441" s="259" t="n">
        <v>0</v>
      </c>
      <c r="K441" s="259" t="n">
        <v>0</v>
      </c>
      <c r="L441" s="259" t="n">
        <v>0</v>
      </c>
    </row>
    <row r="442" hidden="1">
      <c r="A442" s="259" t="inlineStr">
        <is>
          <t>Kotak Nifty 100 Low Volatility 30 ETF</t>
        </is>
      </c>
      <c r="B442" s="261">
        <f>VLOOKUP(A442, '[2]fund-selector'!$A$2:$F$853,6,FALSE)</f>
        <v/>
      </c>
      <c r="C442" s="258" t="n">
        <v>5.66</v>
      </c>
      <c r="D442" s="260" t="n">
        <v>0.09</v>
      </c>
      <c r="E442" s="260" t="n">
        <v>20.53</v>
      </c>
      <c r="F442" s="259" t="n">
        <v>0</v>
      </c>
      <c r="G442" s="260" t="n">
        <v>0.09</v>
      </c>
      <c r="H442" s="260" t="n">
        <v>13.86</v>
      </c>
      <c r="I442" s="260" t="n">
        <v>0.75</v>
      </c>
      <c r="J442" s="260" t="n">
        <v>1.1</v>
      </c>
      <c r="K442" s="260" t="n">
        <v>0.95</v>
      </c>
      <c r="L442" s="260" t="n">
        <v>0.52</v>
      </c>
    </row>
    <row r="443" hidden="1">
      <c r="A443" s="259" t="inlineStr">
        <is>
          <t>Kotak Nifty 100 Low Volatility 30 Index Fund - Regular Plan</t>
        </is>
      </c>
      <c r="B443" s="261">
        <f>VLOOKUP(A443, '[2]fund-selector'!$A$2:$F$853,6,FALSE)</f>
        <v/>
      </c>
      <c r="C443" s="258" t="n">
        <v>4.44</v>
      </c>
      <c r="D443" s="260" t="n">
        <v>0.9399999999999999</v>
      </c>
      <c r="E443" s="259" t="n">
        <v>0</v>
      </c>
      <c r="F443" s="259" t="n">
        <v>0</v>
      </c>
      <c r="G443" s="260" t="n">
        <v>0.9399999999999999</v>
      </c>
      <c r="H443" s="259" t="n">
        <v>0</v>
      </c>
      <c r="I443" s="259" t="n">
        <v>0</v>
      </c>
      <c r="J443" s="259" t="n">
        <v>0</v>
      </c>
      <c r="K443" s="259" t="n">
        <v>0</v>
      </c>
      <c r="L443" s="259" t="n">
        <v>0</v>
      </c>
    </row>
    <row r="444" hidden="1">
      <c r="A444" s="259" t="inlineStr">
        <is>
          <t>Kotak Nifty 200 Momentum 30 Index Fund - Regular Plan</t>
        </is>
      </c>
      <c r="B444" s="261">
        <f>VLOOKUP(A444, '[2]fund-selector'!$A$2:$F$853,6,FALSE)</f>
        <v/>
      </c>
      <c r="C444" s="258" t="n">
        <v>-12.42</v>
      </c>
      <c r="D444" s="260" t="n">
        <v>0.79</v>
      </c>
      <c r="E444" s="259" t="n">
        <v>0</v>
      </c>
      <c r="F444" s="259" t="n">
        <v>0</v>
      </c>
      <c r="G444" s="260" t="n">
        <v>0.79</v>
      </c>
      <c r="H444" s="259" t="n">
        <v>0</v>
      </c>
      <c r="I444" s="259" t="n">
        <v>0</v>
      </c>
      <c r="J444" s="259" t="n">
        <v>0</v>
      </c>
      <c r="K444" s="259" t="n">
        <v>0</v>
      </c>
      <c r="L444" s="259" t="n">
        <v>0</v>
      </c>
    </row>
    <row r="445" hidden="1">
      <c r="A445" s="259" t="inlineStr">
        <is>
          <t>Kotak Nifty200 Quality 30 ETF</t>
        </is>
      </c>
      <c r="B445" s="261">
        <f>VLOOKUP(A445, '[2]fund-selector'!$A$2:$F$853,6,FALSE)</f>
        <v/>
      </c>
      <c r="C445" s="258" t="inlineStr">
        <is>
          <t>--</t>
        </is>
      </c>
      <c r="D445" s="259" t="n">
        <v>0</v>
      </c>
      <c r="E445" s="259" t="n">
        <v>0</v>
      </c>
      <c r="F445" s="259" t="n">
        <v>0</v>
      </c>
      <c r="G445" s="259" t="n">
        <v>0</v>
      </c>
      <c r="H445" s="259" t="n">
        <v>0</v>
      </c>
      <c r="I445" s="259" t="n">
        <v>0</v>
      </c>
      <c r="J445" s="259" t="n">
        <v>0</v>
      </c>
      <c r="K445" s="259" t="n">
        <v>0</v>
      </c>
      <c r="L445" s="259" t="n">
        <v>0</v>
      </c>
    </row>
    <row r="446" hidden="1">
      <c r="A446" s="259" t="inlineStr">
        <is>
          <t>Kotak Nifty 200 Quality 30 Index Fund - Regular Plan</t>
        </is>
      </c>
      <c r="B446" s="261">
        <f>VLOOKUP(A446, '[2]fund-selector'!$A$2:$F$853,6,FALSE)</f>
        <v/>
      </c>
      <c r="C446" s="258" t="inlineStr">
        <is>
          <t>--</t>
        </is>
      </c>
      <c r="D446" s="259" t="n">
        <v>0</v>
      </c>
      <c r="E446" s="259" t="n">
        <v>0</v>
      </c>
      <c r="F446" s="259" t="n">
        <v>0</v>
      </c>
      <c r="G446" s="259" t="n">
        <v>0</v>
      </c>
      <c r="H446" s="259" t="n">
        <v>0</v>
      </c>
      <c r="I446" s="259" t="n">
        <v>0</v>
      </c>
      <c r="J446" s="259" t="n">
        <v>0</v>
      </c>
      <c r="K446" s="259" t="n">
        <v>0</v>
      </c>
      <c r="L446" s="259" t="n">
        <v>0</v>
      </c>
    </row>
    <row r="447" hidden="1">
      <c r="A447" s="259" t="inlineStr">
        <is>
          <t>Kotak Nifty 50 Equal Weight Index Fund - Regular Plan</t>
        </is>
      </c>
      <c r="B447" s="261">
        <f>VLOOKUP(A447, '[2]fund-selector'!$A$2:$F$853,6,FALSE)</f>
        <v/>
      </c>
      <c r="C447" s="258" t="inlineStr">
        <is>
          <t>--</t>
        </is>
      </c>
      <c r="D447" s="260" t="n">
        <v>0.72</v>
      </c>
      <c r="E447" s="259" t="n">
        <v>0</v>
      </c>
      <c r="F447" s="259" t="n">
        <v>0</v>
      </c>
      <c r="G447" s="260" t="n">
        <v>0.72</v>
      </c>
      <c r="H447" s="259" t="n">
        <v>0</v>
      </c>
      <c r="I447" s="259" t="n">
        <v>0</v>
      </c>
      <c r="J447" s="259" t="n">
        <v>0</v>
      </c>
      <c r="K447" s="259" t="n">
        <v>0</v>
      </c>
      <c r="L447" s="259" t="n">
        <v>0</v>
      </c>
    </row>
    <row r="448" hidden="1">
      <c r="A448" s="259" t="inlineStr">
        <is>
          <t>Kotak Nifty 50 ETF</t>
        </is>
      </c>
      <c r="B448" s="261">
        <f>VLOOKUP(A448, '[2]fund-selector'!$A$2:$F$853,6,FALSE)</f>
        <v/>
      </c>
      <c r="C448" s="258" t="n">
        <v>6.49</v>
      </c>
      <c r="D448" s="260" t="n">
        <v>0.04</v>
      </c>
      <c r="E448" s="260" t="n">
        <v>18.58</v>
      </c>
      <c r="F448" s="260" t="n">
        <v>20.56</v>
      </c>
      <c r="G448" s="260" t="n">
        <v>0.04</v>
      </c>
      <c r="H448" s="260" t="n">
        <v>13.13</v>
      </c>
      <c r="I448" s="260" t="n">
        <v>0.68</v>
      </c>
      <c r="J448" s="260" t="n">
        <v>1.17</v>
      </c>
      <c r="K448" s="260" t="n">
        <v>0.95</v>
      </c>
      <c r="L448" s="260" t="n">
        <v>-0.78</v>
      </c>
    </row>
    <row r="449" hidden="1">
      <c r="A449" s="259" t="inlineStr">
        <is>
          <t>Kotak Nifty 50 Index Fund - Regular Plan</t>
        </is>
      </c>
      <c r="B449" s="261">
        <f>VLOOKUP(A449, '[2]fund-selector'!$A$2:$F$853,6,FALSE)</f>
        <v/>
      </c>
      <c r="C449" s="258" t="n">
        <v>5.85</v>
      </c>
      <c r="D449" s="260" t="n">
        <v>0.35</v>
      </c>
      <c r="E449" s="260" t="n">
        <v>17.91</v>
      </c>
      <c r="F449" s="259" t="n">
        <v>0</v>
      </c>
      <c r="G449" s="260" t="n">
        <v>0.35</v>
      </c>
      <c r="H449" s="260" t="n">
        <v>13.11</v>
      </c>
      <c r="I449" s="260" t="n">
        <v>0.64</v>
      </c>
      <c r="J449" s="260" t="n">
        <v>1.1</v>
      </c>
      <c r="K449" s="260" t="n">
        <v>0.95</v>
      </c>
      <c r="L449" s="260" t="n">
        <v>-1.34</v>
      </c>
    </row>
    <row r="450" hidden="1">
      <c r="A450" s="259" t="inlineStr">
        <is>
          <t>Kotak Nifty Alpha 50 ETF</t>
        </is>
      </c>
      <c r="B450" s="261">
        <f>VLOOKUP(A450, '[2]fund-selector'!$A$2:$F$853,6,FALSE)</f>
        <v/>
      </c>
      <c r="C450" s="258" t="n">
        <v>-7.96</v>
      </c>
      <c r="D450" s="260" t="n">
        <v>0.3</v>
      </c>
      <c r="E450" s="260" t="n">
        <v>24.35</v>
      </c>
      <c r="F450" s="259" t="n">
        <v>0</v>
      </c>
      <c r="G450" s="260" t="n">
        <v>0.3</v>
      </c>
      <c r="H450" s="260" t="n">
        <v>23.27</v>
      </c>
      <c r="I450" s="260" t="n">
        <v>0.59</v>
      </c>
      <c r="J450" s="260" t="n">
        <v>0.74</v>
      </c>
      <c r="K450" s="260" t="n">
        <v>1.4</v>
      </c>
      <c r="L450" s="260" t="n">
        <v>-2.51</v>
      </c>
    </row>
    <row r="451" hidden="1">
      <c r="A451" s="259" t="inlineStr">
        <is>
          <t>Kotak Nifty Commodities Index Fund - Regular Plan</t>
        </is>
      </c>
      <c r="B451" s="261">
        <f>VLOOKUP(A451, '[2]fund-selector'!$A$2:$F$853,6,FALSE)</f>
        <v/>
      </c>
      <c r="C451" s="258" t="inlineStr">
        <is>
          <t>--</t>
        </is>
      </c>
      <c r="D451" s="260" t="n">
        <v>0.48</v>
      </c>
      <c r="E451" s="259" t="n">
        <v>0</v>
      </c>
      <c r="F451" s="259" t="n">
        <v>0</v>
      </c>
      <c r="G451" s="260" t="n">
        <v>0.48</v>
      </c>
      <c r="H451" s="259" t="n">
        <v>0</v>
      </c>
      <c r="I451" s="259" t="n">
        <v>0</v>
      </c>
      <c r="J451" s="259" t="n">
        <v>0</v>
      </c>
      <c r="K451" s="259" t="n">
        <v>0</v>
      </c>
      <c r="L451" s="259" t="n">
        <v>0</v>
      </c>
    </row>
    <row r="452" hidden="1">
      <c r="A452" s="259" t="inlineStr">
        <is>
          <t>Kotak Nifty India Tourism Index Fund - Regular Plan</t>
        </is>
      </c>
      <c r="B452" s="261">
        <f>VLOOKUP(A452, '[2]fund-selector'!$A$2:$F$853,6,FALSE)</f>
        <v/>
      </c>
      <c r="C452" s="258" t="inlineStr">
        <is>
          <t>--</t>
        </is>
      </c>
      <c r="D452" s="260" t="n">
        <v>0.96</v>
      </c>
      <c r="E452" s="259" t="n">
        <v>0</v>
      </c>
      <c r="F452" s="259" t="n">
        <v>0</v>
      </c>
      <c r="G452" s="260" t="n">
        <v>0.96</v>
      </c>
      <c r="H452" s="259" t="n">
        <v>0</v>
      </c>
      <c r="I452" s="259" t="n">
        <v>0</v>
      </c>
      <c r="J452" s="259" t="n">
        <v>0</v>
      </c>
      <c r="K452" s="259" t="n">
        <v>0</v>
      </c>
      <c r="L452" s="259" t="n">
        <v>0</v>
      </c>
    </row>
    <row r="453" hidden="1">
      <c r="A453" s="259" t="inlineStr">
        <is>
          <t>Kotak Nifty Midcap 150 ETF</t>
        </is>
      </c>
      <c r="B453" s="261">
        <f>VLOOKUP(A453, '[2]fund-selector'!$A$2:$F$853,6,FALSE)</f>
        <v/>
      </c>
      <c r="C453" s="258" t="inlineStr">
        <is>
          <t>--</t>
        </is>
      </c>
      <c r="D453" s="260" t="n">
        <v>0.1</v>
      </c>
      <c r="E453" s="259" t="n">
        <v>0</v>
      </c>
      <c r="F453" s="259" t="n">
        <v>0</v>
      </c>
      <c r="G453" s="260" t="n">
        <v>0.1</v>
      </c>
      <c r="H453" s="259" t="n">
        <v>0</v>
      </c>
      <c r="I453" s="259" t="n">
        <v>0</v>
      </c>
      <c r="J453" s="259" t="n">
        <v>0</v>
      </c>
      <c r="K453" s="259" t="n">
        <v>0</v>
      </c>
      <c r="L453" s="259" t="n">
        <v>0</v>
      </c>
    </row>
    <row r="454" hidden="1">
      <c r="A454" s="259" t="inlineStr">
        <is>
          <t>Kotak Nifty Midcap 150 Index Fund - Regular Plan</t>
        </is>
      </c>
      <c r="B454" s="261">
        <f>VLOOKUP(A454, '[2]fund-selector'!$A$2:$F$853,6,FALSE)</f>
        <v/>
      </c>
      <c r="C454" s="258" t="inlineStr">
        <is>
          <t>--</t>
        </is>
      </c>
      <c r="D454" s="260" t="n">
        <v>0.78</v>
      </c>
      <c r="E454" s="259" t="n">
        <v>0</v>
      </c>
      <c r="F454" s="259" t="n">
        <v>0</v>
      </c>
      <c r="G454" s="260" t="n">
        <v>0.78</v>
      </c>
      <c r="H454" s="259" t="n">
        <v>0</v>
      </c>
      <c r="I454" s="259" t="n">
        <v>0</v>
      </c>
      <c r="J454" s="259" t="n">
        <v>0</v>
      </c>
      <c r="K454" s="259" t="n">
        <v>0</v>
      </c>
      <c r="L454" s="259" t="n">
        <v>0</v>
      </c>
    </row>
    <row r="455" hidden="1">
      <c r="A455" s="259" t="inlineStr">
        <is>
          <t>Kotak Nifty Midcap 150 Momentum 50 Index Fund - Regular Plan</t>
        </is>
      </c>
      <c r="B455" s="261">
        <f>VLOOKUP(A455, '[2]fund-selector'!$A$2:$F$853,6,FALSE)</f>
        <v/>
      </c>
      <c r="C455" s="258" t="inlineStr">
        <is>
          <t>--</t>
        </is>
      </c>
      <c r="D455" s="260" t="n">
        <v>0.93</v>
      </c>
      <c r="E455" s="259" t="n">
        <v>0</v>
      </c>
      <c r="F455" s="259" t="n">
        <v>0</v>
      </c>
      <c r="G455" s="260" t="n">
        <v>0.93</v>
      </c>
      <c r="H455" s="259" t="n">
        <v>0</v>
      </c>
      <c r="I455" s="259" t="n">
        <v>0</v>
      </c>
      <c r="J455" s="259" t="n">
        <v>0</v>
      </c>
      <c r="K455" s="259" t="n">
        <v>0</v>
      </c>
      <c r="L455" s="259" t="n">
        <v>0</v>
      </c>
    </row>
    <row r="456" hidden="1">
      <c r="A456" s="259" t="inlineStr">
        <is>
          <t>Kotak Nifty Midcap 50 ETF</t>
        </is>
      </c>
      <c r="B456" s="261">
        <f>VLOOKUP(A456, '[2]fund-selector'!$A$2:$F$853,6,FALSE)</f>
        <v/>
      </c>
      <c r="C456" s="258" t="n">
        <v>4.56</v>
      </c>
      <c r="D456" s="260" t="n">
        <v>0.05</v>
      </c>
      <c r="E456" s="260" t="n">
        <v>31.4</v>
      </c>
      <c r="F456" s="259" t="n">
        <v>0</v>
      </c>
      <c r="G456" s="260" t="n">
        <v>0.05</v>
      </c>
      <c r="H456" s="260" t="n">
        <v>17.7</v>
      </c>
      <c r="I456" s="260" t="n">
        <v>1.13</v>
      </c>
      <c r="J456" s="260" t="n">
        <v>1.6</v>
      </c>
      <c r="K456" s="260" t="n">
        <v>1.02</v>
      </c>
      <c r="L456" s="260" t="n">
        <v>1.41</v>
      </c>
    </row>
    <row r="457" hidden="1">
      <c r="A457" s="259" t="inlineStr">
        <is>
          <t>Kotak Nifty Midcap 50 Index Fund - Regular Plan</t>
        </is>
      </c>
      <c r="B457" s="261">
        <f>VLOOKUP(A457, '[2]fund-selector'!$A$2:$F$853,6,FALSE)</f>
        <v/>
      </c>
      <c r="C457" s="258" t="inlineStr">
        <is>
          <t>--</t>
        </is>
      </c>
      <c r="D457" s="260" t="n">
        <v>0.86</v>
      </c>
      <c r="E457" s="259" t="n">
        <v>0</v>
      </c>
      <c r="F457" s="259" t="n">
        <v>0</v>
      </c>
      <c r="G457" s="260" t="n">
        <v>0.86</v>
      </c>
      <c r="H457" s="259" t="n">
        <v>0</v>
      </c>
      <c r="I457" s="259" t="n">
        <v>0</v>
      </c>
      <c r="J457" s="259" t="n">
        <v>0</v>
      </c>
      <c r="K457" s="259" t="n">
        <v>0</v>
      </c>
      <c r="L457" s="259" t="n">
        <v>0</v>
      </c>
    </row>
    <row r="458" hidden="1">
      <c r="A458" s="259" t="inlineStr">
        <is>
          <t>Kotak Nifty Next 50 Index Fund - Regular Plan</t>
        </is>
      </c>
      <c r="B458" s="261">
        <f>VLOOKUP(A458, '[2]fund-selector'!$A$2:$F$853,6,FALSE)</f>
        <v/>
      </c>
      <c r="C458" s="258" t="n">
        <v>-7.89</v>
      </c>
      <c r="D458" s="260" t="n">
        <v>0.57</v>
      </c>
      <c r="E458" s="260" t="n">
        <v>22.54</v>
      </c>
      <c r="F458" s="259" t="n">
        <v>0</v>
      </c>
      <c r="G458" s="260" t="n">
        <v>0.57</v>
      </c>
      <c r="H458" s="260" t="n">
        <v>19.43</v>
      </c>
      <c r="I458" s="260" t="n">
        <v>0.7</v>
      </c>
      <c r="J458" s="260" t="n">
        <v>1.04</v>
      </c>
      <c r="K458" s="260" t="n">
        <v>1.29</v>
      </c>
      <c r="L458" s="260" t="n">
        <v>0.31</v>
      </c>
    </row>
    <row r="459" hidden="1">
      <c r="A459" s="259" t="inlineStr">
        <is>
          <t>Kotak Nifty Smallcap 250 Index Fund - Regular Plan</t>
        </is>
      </c>
      <c r="B459" s="261">
        <f>VLOOKUP(A459, '[2]fund-selector'!$A$2:$F$853,6,FALSE)</f>
        <v/>
      </c>
      <c r="C459" s="258" t="inlineStr">
        <is>
          <t>--</t>
        </is>
      </c>
      <c r="D459" s="260" t="n">
        <v>0.73</v>
      </c>
      <c r="E459" s="259" t="n">
        <v>0</v>
      </c>
      <c r="F459" s="259" t="n">
        <v>0</v>
      </c>
      <c r="G459" s="260" t="n">
        <v>0.73</v>
      </c>
      <c r="H459" s="259" t="n">
        <v>0</v>
      </c>
      <c r="I459" s="259" t="n">
        <v>0</v>
      </c>
      <c r="J459" s="259" t="n">
        <v>0</v>
      </c>
      <c r="K459" s="259" t="n">
        <v>0</v>
      </c>
      <c r="L459" s="259" t="n">
        <v>0</v>
      </c>
    </row>
    <row r="460" hidden="1">
      <c r="A460" s="259" t="inlineStr">
        <is>
          <t>Kotak Nifty Smallcap 50 Index Fund - Regular Plan</t>
        </is>
      </c>
      <c r="B460" s="261">
        <f>VLOOKUP(A460, '[2]fund-selector'!$A$2:$F$853,6,FALSE)</f>
        <v/>
      </c>
      <c r="C460" s="258" t="n">
        <v>1.78</v>
      </c>
      <c r="D460" s="260" t="n">
        <v>0.9</v>
      </c>
      <c r="E460" s="259" t="n">
        <v>0</v>
      </c>
      <c r="F460" s="259" t="n">
        <v>0</v>
      </c>
      <c r="G460" s="260" t="n">
        <v>0.9</v>
      </c>
      <c r="H460" s="259" t="n">
        <v>0</v>
      </c>
      <c r="I460" s="259" t="n">
        <v>0</v>
      </c>
      <c r="J460" s="259" t="n">
        <v>0</v>
      </c>
      <c r="K460" s="259" t="n">
        <v>0</v>
      </c>
      <c r="L460" s="259" t="n">
        <v>0</v>
      </c>
    </row>
    <row r="461" hidden="1">
      <c r="A461" s="259" t="inlineStr">
        <is>
          <t>Kotak Nifty Top 10 Equal Weight Index Fund - Regular Plan</t>
        </is>
      </c>
      <c r="B461" s="261">
        <f>VLOOKUP(A461, '[2]fund-selector'!$A$2:$F$853,6,FALSE)</f>
        <v/>
      </c>
      <c r="C461" s="258" t="inlineStr">
        <is>
          <t>--</t>
        </is>
      </c>
      <c r="D461" s="260" t="n">
        <v>0.92</v>
      </c>
      <c r="E461" s="259" t="n">
        <v>0</v>
      </c>
      <c r="F461" s="259" t="n">
        <v>0</v>
      </c>
      <c r="G461" s="260" t="n">
        <v>0.92</v>
      </c>
      <c r="H461" s="259" t="n">
        <v>0</v>
      </c>
      <c r="I461" s="259" t="n">
        <v>0</v>
      </c>
      <c r="J461" s="259" t="n">
        <v>0</v>
      </c>
      <c r="K461" s="259" t="n">
        <v>0</v>
      </c>
      <c r="L461" s="259" t="n">
        <v>0</v>
      </c>
    </row>
    <row r="462" hidden="1">
      <c r="A462" s="259" t="inlineStr">
        <is>
          <t>Kotak Pioneer Fund - Regular Plan</t>
        </is>
      </c>
      <c r="B462" s="261">
        <f>VLOOKUP(A462, '[2]fund-selector'!$A$2:$F$853,6,FALSE)</f>
        <v/>
      </c>
      <c r="C462" s="258" t="n">
        <v>5.01</v>
      </c>
      <c r="D462" s="260" t="n">
        <v>1.88</v>
      </c>
      <c r="E462" s="260" t="n">
        <v>25.04</v>
      </c>
      <c r="F462" s="260" t="n">
        <v>25.7</v>
      </c>
      <c r="G462" s="260" t="n">
        <v>1.88</v>
      </c>
      <c r="H462" s="260" t="n">
        <v>14.37</v>
      </c>
      <c r="I462" s="260" t="n">
        <v>1</v>
      </c>
      <c r="J462" s="260" t="n">
        <v>1.26</v>
      </c>
      <c r="K462" s="260" t="n">
        <v>0.88</v>
      </c>
      <c r="L462" s="260" t="n">
        <v>4.19</v>
      </c>
    </row>
    <row r="463" hidden="1">
      <c r="A463" s="259" t="inlineStr">
        <is>
          <t>Kotak Quant Fund - Regular Plan</t>
        </is>
      </c>
      <c r="B463" s="261">
        <f>VLOOKUP(A463, '[2]fund-selector'!$A$2:$F$853,6,FALSE)</f>
        <v/>
      </c>
      <c r="C463" s="258" t="n">
        <v>-6.81</v>
      </c>
      <c r="D463" s="260" t="n">
        <v>1.66</v>
      </c>
      <c r="E463" s="259" t="n">
        <v>0</v>
      </c>
      <c r="F463" s="259" t="n">
        <v>0</v>
      </c>
      <c r="G463" s="260" t="n">
        <v>1.66</v>
      </c>
      <c r="H463" s="259" t="n">
        <v>0</v>
      </c>
      <c r="I463" s="259" t="n">
        <v>0</v>
      </c>
      <c r="J463" s="259" t="n">
        <v>0</v>
      </c>
      <c r="K463" s="259" t="n">
        <v>0</v>
      </c>
      <c r="L463" s="259" t="n">
        <v>0</v>
      </c>
    </row>
    <row r="464" hidden="1">
      <c r="A464" s="259" t="inlineStr">
        <is>
          <t>Kotak Small Cap Fund - Regular Plan</t>
        </is>
      </c>
      <c r="B464" s="261">
        <f>VLOOKUP(A464, '[2]fund-selector'!$A$2:$F$853,6,FALSE)</f>
        <v/>
      </c>
      <c r="C464" s="258" t="n">
        <v>-1.57</v>
      </c>
      <c r="D464" s="260" t="n">
        <v>1.66</v>
      </c>
      <c r="E464" s="260" t="n">
        <v>21.45</v>
      </c>
      <c r="F464" s="260" t="n">
        <v>32.3</v>
      </c>
      <c r="G464" s="260" t="n">
        <v>1.66</v>
      </c>
      <c r="H464" s="260" t="n">
        <v>17.11</v>
      </c>
      <c r="I464" s="260" t="n">
        <v>0.73</v>
      </c>
      <c r="J464" s="260" t="n">
        <v>1.06</v>
      </c>
      <c r="K464" s="260" t="n">
        <v>0.83</v>
      </c>
      <c r="L464" s="260" t="n">
        <v>-2.64</v>
      </c>
    </row>
    <row r="465" hidden="1">
      <c r="A465" s="259" t="inlineStr">
        <is>
          <t>Kotak Special Opportunities Fund - Regular Plan</t>
        </is>
      </c>
      <c r="B465" s="261">
        <f>VLOOKUP(A465, '[2]fund-selector'!$A$2:$F$853,6,FALSE)</f>
        <v/>
      </c>
      <c r="C465" s="258" t="inlineStr">
        <is>
          <t>--</t>
        </is>
      </c>
      <c r="D465" s="260" t="n">
        <v>2.02</v>
      </c>
      <c r="E465" s="259" t="n">
        <v>0</v>
      </c>
      <c r="F465" s="259" t="n">
        <v>0</v>
      </c>
      <c r="G465" s="260" t="n">
        <v>2.02</v>
      </c>
      <c r="H465" s="259" t="n">
        <v>0</v>
      </c>
      <c r="I465" s="259" t="n">
        <v>0</v>
      </c>
      <c r="J465" s="259" t="n">
        <v>0</v>
      </c>
      <c r="K465" s="259" t="n">
        <v>0</v>
      </c>
      <c r="L465" s="259" t="n">
        <v>0</v>
      </c>
    </row>
    <row r="466" hidden="1">
      <c r="A466" s="259" t="inlineStr">
        <is>
          <t>Kotak Transportation &amp; Logistics Fund - Regular Plan</t>
        </is>
      </c>
      <c r="B466" s="261">
        <f>VLOOKUP(A466, '[2]fund-selector'!$A$2:$F$853,6,FALSE)</f>
        <v/>
      </c>
      <c r="C466" s="258" t="inlineStr">
        <is>
          <t>--</t>
        </is>
      </c>
      <c r="D466" s="260" t="n">
        <v>2.41</v>
      </c>
      <c r="E466" s="259" t="n">
        <v>0</v>
      </c>
      <c r="F466" s="259" t="n">
        <v>0</v>
      </c>
      <c r="G466" s="260" t="n">
        <v>2.41</v>
      </c>
      <c r="H466" s="259" t="n">
        <v>0</v>
      </c>
      <c r="I466" s="259" t="n">
        <v>0</v>
      </c>
      <c r="J466" s="259" t="n">
        <v>0</v>
      </c>
      <c r="K466" s="259" t="n">
        <v>0</v>
      </c>
      <c r="L466" s="259" t="n">
        <v>0</v>
      </c>
    </row>
    <row r="467" hidden="1">
      <c r="A467" s="259" t="inlineStr">
        <is>
          <t>LIC MF Aggressive Hybrid Fund</t>
        </is>
      </c>
      <c r="B467" s="261">
        <f>VLOOKUP(A467, '[2]fund-selector'!$A$2:$F$853,6,FALSE)</f>
        <v/>
      </c>
      <c r="C467" s="258" t="n">
        <v>4.64</v>
      </c>
      <c r="D467" s="260" t="n">
        <v>2.48</v>
      </c>
      <c r="E467" s="260" t="n">
        <v>16.93</v>
      </c>
      <c r="F467" s="260" t="n">
        <v>15.24</v>
      </c>
      <c r="G467" s="260" t="n">
        <v>2.48</v>
      </c>
      <c r="H467" s="260" t="n">
        <v>11.01</v>
      </c>
      <c r="I467" s="260" t="n">
        <v>0.73</v>
      </c>
      <c r="J467" s="260" t="n">
        <v>1.09</v>
      </c>
      <c r="K467" s="260" t="n">
        <v>0.89</v>
      </c>
      <c r="L467" s="260" t="n">
        <v>-0.57</v>
      </c>
    </row>
    <row r="468" hidden="1">
      <c r="A468" s="259" t="inlineStr">
        <is>
          <t>LIC MF Arbitrage Fund - Regular Plan</t>
        </is>
      </c>
      <c r="B468" s="261">
        <f>VLOOKUP(A468, '[2]fund-selector'!$A$2:$F$853,6,FALSE)</f>
        <v/>
      </c>
      <c r="C468" s="258" t="n">
        <v>6.66</v>
      </c>
      <c r="D468" s="260" t="n">
        <v>0.99</v>
      </c>
      <c r="E468" s="260" t="n">
        <v>6.45</v>
      </c>
      <c r="F468" s="260" t="n">
        <v>5.09</v>
      </c>
      <c r="G468" s="260" t="n">
        <v>0.99</v>
      </c>
      <c r="H468" s="260" t="n">
        <v>0.52</v>
      </c>
      <c r="I468" s="260" t="n">
        <v>-0.2</v>
      </c>
      <c r="J468" s="260" t="n">
        <v>-0.19</v>
      </c>
      <c r="K468" s="260" t="n">
        <v>0.6</v>
      </c>
      <c r="L468" s="260" t="n">
        <v>1.03</v>
      </c>
    </row>
    <row r="469" hidden="1">
      <c r="A469" s="259" t="inlineStr">
        <is>
          <t>LIC MF Balanced Advantage Fund - Regular Plan</t>
        </is>
      </c>
      <c r="B469" s="261">
        <f>VLOOKUP(A469, '[2]fund-selector'!$A$2:$F$853,6,FALSE)</f>
        <v/>
      </c>
      <c r="C469" s="258" t="n">
        <v>8.800000000000001</v>
      </c>
      <c r="D469" s="260" t="n">
        <v>2.27</v>
      </c>
      <c r="E469" s="260" t="n">
        <v>13.35</v>
      </c>
      <c r="F469" s="259" t="n">
        <v>0</v>
      </c>
      <c r="G469" s="260" t="n">
        <v>2.27</v>
      </c>
      <c r="H469" s="260" t="n">
        <v>8.050000000000001</v>
      </c>
      <c r="I469" s="260" t="n">
        <v>0.66</v>
      </c>
      <c r="J469" s="260" t="n">
        <v>1.02</v>
      </c>
      <c r="K469" s="260" t="n">
        <v>0.74</v>
      </c>
      <c r="L469" s="260" t="n">
        <v>-0.5</v>
      </c>
    </row>
    <row r="470" hidden="1">
      <c r="A470" s="259" t="inlineStr">
        <is>
          <t>LIC MF BSE Sensex ETF</t>
        </is>
      </c>
      <c r="B470" s="261">
        <f>VLOOKUP(A470, '[2]fund-selector'!$A$2:$F$853,6,FALSE)</f>
        <v/>
      </c>
      <c r="C470" s="258" t="n">
        <v>6.21</v>
      </c>
      <c r="D470" s="260" t="n">
        <v>0.1</v>
      </c>
      <c r="E470" s="260" t="n">
        <v>17.78</v>
      </c>
      <c r="F470" s="260" t="n">
        <v>19.85</v>
      </c>
      <c r="G470" s="260" t="n">
        <v>0.1</v>
      </c>
      <c r="H470" s="260" t="n">
        <v>12.7</v>
      </c>
      <c r="I470" s="260" t="n">
        <v>0.66</v>
      </c>
      <c r="J470" s="260" t="n">
        <v>1.1</v>
      </c>
      <c r="K470" s="260" t="n">
        <v>0.91</v>
      </c>
      <c r="L470" s="260" t="n">
        <v>-0.99</v>
      </c>
    </row>
    <row r="471" hidden="1">
      <c r="A471" s="259" t="inlineStr">
        <is>
          <t>LIC MF BSE Sensex Index Plan</t>
        </is>
      </c>
      <c r="B471" s="261">
        <f>VLOOKUP(A471, '[2]fund-selector'!$A$2:$F$853,6,FALSE)</f>
        <v/>
      </c>
      <c r="C471" s="258" t="n">
        <v>5.17</v>
      </c>
      <c r="D471" s="260" t="n">
        <v>1.08</v>
      </c>
      <c r="E471" s="260" t="n">
        <v>16.64</v>
      </c>
      <c r="F471" s="260" t="n">
        <v>18.64</v>
      </c>
      <c r="G471" s="260" t="n">
        <v>1.08</v>
      </c>
      <c r="H471" s="260" t="n">
        <v>12.66</v>
      </c>
      <c r="I471" s="260" t="n">
        <v>0.59</v>
      </c>
      <c r="J471" s="260" t="n">
        <v>0.97</v>
      </c>
      <c r="K471" s="260" t="n">
        <v>0.91</v>
      </c>
      <c r="L471" s="260" t="n">
        <v>-1.94</v>
      </c>
    </row>
    <row r="472" hidden="1">
      <c r="A472" s="259" t="inlineStr">
        <is>
          <t>LIC MF Children's Fund</t>
        </is>
      </c>
      <c r="B472" s="261">
        <f>VLOOKUP(A472, '[2]fund-selector'!$A$2:$F$853,6,FALSE)</f>
        <v/>
      </c>
      <c r="C472" s="258" t="n">
        <v>-2.2</v>
      </c>
      <c r="D472" s="260" t="n">
        <v>2.45</v>
      </c>
      <c r="E472" s="260" t="n">
        <v>14.67</v>
      </c>
      <c r="F472" s="260" t="n">
        <v>14.48</v>
      </c>
      <c r="G472" s="260" t="n">
        <v>2.45</v>
      </c>
      <c r="H472" s="260" t="n">
        <v>13.96</v>
      </c>
      <c r="I472" s="260" t="n">
        <v>0.45</v>
      </c>
      <c r="J472" s="260" t="n">
        <v>0.54</v>
      </c>
      <c r="K472" s="260" t="n">
        <v>0.88</v>
      </c>
      <c r="L472" s="260" t="n">
        <v>-3.89</v>
      </c>
    </row>
    <row r="473" hidden="1">
      <c r="A473" s="259" t="inlineStr">
        <is>
          <t>LIC MF Conservative Hybrid Fund</t>
        </is>
      </c>
      <c r="B473" s="261">
        <f>VLOOKUP(A473, '[2]fund-selector'!$A$2:$F$853,6,FALSE)</f>
        <v/>
      </c>
      <c r="C473" s="258" t="n">
        <v>7.08</v>
      </c>
      <c r="D473" s="260" t="n">
        <v>2.25</v>
      </c>
      <c r="E473" s="260" t="n">
        <v>7.93</v>
      </c>
      <c r="F473" s="260" t="n">
        <v>6.92</v>
      </c>
      <c r="G473" s="260" t="n">
        <v>2.25</v>
      </c>
      <c r="H473" s="260" t="n">
        <v>3.54</v>
      </c>
      <c r="I473" s="260" t="n">
        <v>0.26</v>
      </c>
      <c r="J473" s="260" t="n">
        <v>0.4</v>
      </c>
      <c r="K473" s="260" t="n">
        <v>0.83</v>
      </c>
      <c r="L473" s="260" t="n">
        <v>-2.16</v>
      </c>
    </row>
    <row r="474" hidden="1">
      <c r="A474" s="259" t="inlineStr">
        <is>
          <t>LIC MF Flexi Cap Fund</t>
        </is>
      </c>
      <c r="B474" s="261">
        <f>VLOOKUP(A474, '[2]fund-selector'!$A$2:$F$853,6,FALSE)</f>
        <v/>
      </c>
      <c r="C474" s="258" t="n">
        <v>-4.63</v>
      </c>
      <c r="D474" s="260" t="n">
        <v>2.28</v>
      </c>
      <c r="E474" s="260" t="n">
        <v>17.52</v>
      </c>
      <c r="F474" s="260" t="n">
        <v>18.15</v>
      </c>
      <c r="G474" s="260" t="n">
        <v>2.28</v>
      </c>
      <c r="H474" s="260" t="n">
        <v>15.52</v>
      </c>
      <c r="I474" s="260" t="n">
        <v>0.52</v>
      </c>
      <c r="J474" s="260" t="n">
        <v>0.68</v>
      </c>
      <c r="K474" s="260" t="n">
        <v>1.01</v>
      </c>
      <c r="L474" s="260" t="n">
        <v>-3.62</v>
      </c>
    </row>
    <row r="475" hidden="1">
      <c r="A475" s="259" t="inlineStr">
        <is>
          <t>LIC MF Focused Fund - Regular Plan</t>
        </is>
      </c>
      <c r="B475" s="261">
        <f>VLOOKUP(A475, '[2]fund-selector'!$A$2:$F$853,6,FALSE)</f>
        <v/>
      </c>
      <c r="C475" s="258" t="n">
        <v>4.56</v>
      </c>
      <c r="D475" s="260" t="n">
        <v>2.52</v>
      </c>
      <c r="E475" s="260" t="n">
        <v>17.55</v>
      </c>
      <c r="F475" s="260" t="n">
        <v>18.78</v>
      </c>
      <c r="G475" s="260" t="n">
        <v>2.52</v>
      </c>
      <c r="H475" s="260" t="n">
        <v>14.48</v>
      </c>
      <c r="I475" s="260" t="n">
        <v>0.58</v>
      </c>
      <c r="J475" s="260" t="n">
        <v>0.84</v>
      </c>
      <c r="K475" s="260" t="n">
        <v>0.9399999999999999</v>
      </c>
      <c r="L475" s="260" t="n">
        <v>-2.51</v>
      </c>
    </row>
    <row r="476" hidden="1">
      <c r="A476" s="259" t="inlineStr">
        <is>
          <t>LIC MF Large Cap Fund</t>
        </is>
      </c>
      <c r="B476" s="261">
        <f>VLOOKUP(A476, '[2]fund-selector'!$A$2:$F$853,6,FALSE)</f>
        <v/>
      </c>
      <c r="C476" s="258" t="n">
        <v>4.24</v>
      </c>
      <c r="D476" s="260" t="n">
        <v>2.12</v>
      </c>
      <c r="E476" s="260" t="n">
        <v>17.62</v>
      </c>
      <c r="F476" s="260" t="n">
        <v>18.84</v>
      </c>
      <c r="G476" s="260" t="n">
        <v>2.12</v>
      </c>
      <c r="H476" s="260" t="n">
        <v>14.26</v>
      </c>
      <c r="I476" s="260" t="n">
        <v>0.58</v>
      </c>
      <c r="J476" s="260" t="n">
        <v>0.88</v>
      </c>
      <c r="K476" s="260" t="n">
        <v>1.02</v>
      </c>
      <c r="L476" s="260" t="n">
        <v>-2.31</v>
      </c>
    </row>
    <row r="477" hidden="1">
      <c r="A477" s="259" t="inlineStr">
        <is>
          <t>LIC MF Large &amp; Mid Cap Fund - Regular Plan</t>
        </is>
      </c>
      <c r="B477" s="261">
        <f>VLOOKUP(A477, '[2]fund-selector'!$A$2:$F$853,6,FALSE)</f>
        <v/>
      </c>
      <c r="C477" s="258" t="n">
        <v>2.67</v>
      </c>
      <c r="D477" s="260" t="n">
        <v>1.91</v>
      </c>
      <c r="E477" s="260" t="n">
        <v>21.53</v>
      </c>
      <c r="F477" s="260" t="n">
        <v>22.93</v>
      </c>
      <c r="G477" s="260" t="n">
        <v>1.91</v>
      </c>
      <c r="H477" s="260" t="n">
        <v>15.78</v>
      </c>
      <c r="I477" s="260" t="n">
        <v>0.76</v>
      </c>
      <c r="J477" s="260" t="n">
        <v>1.15</v>
      </c>
      <c r="K477" s="260" t="n">
        <v>0.99</v>
      </c>
      <c r="L477" s="260" t="n">
        <v>1.11</v>
      </c>
    </row>
    <row r="478" hidden="1">
      <c r="A478" s="259" t="inlineStr">
        <is>
          <t>LIC MF Manufacturing Fund - Regular Plan</t>
        </is>
      </c>
      <c r="B478" s="261">
        <f>VLOOKUP(A478, '[2]fund-selector'!$A$2:$F$853,6,FALSE)</f>
        <v/>
      </c>
      <c r="C478" s="258" t="inlineStr">
        <is>
          <t>--</t>
        </is>
      </c>
      <c r="D478" s="260" t="n">
        <v>2.21</v>
      </c>
      <c r="E478" s="259" t="n">
        <v>0</v>
      </c>
      <c r="F478" s="259" t="n">
        <v>0</v>
      </c>
      <c r="G478" s="260" t="n">
        <v>2.21</v>
      </c>
      <c r="H478" s="259" t="n">
        <v>0</v>
      </c>
      <c r="I478" s="259" t="n">
        <v>0</v>
      </c>
      <c r="J478" s="259" t="n">
        <v>0</v>
      </c>
      <c r="K478" s="259" t="n">
        <v>0</v>
      </c>
      <c r="L478" s="259" t="n">
        <v>0</v>
      </c>
    </row>
    <row r="479" hidden="1">
      <c r="A479" s="259" t="inlineStr">
        <is>
          <t>LIC MF Midcap Fund - Regular Plan</t>
        </is>
      </c>
      <c r="B479" s="261">
        <f>VLOOKUP(A479, '[2]fund-selector'!$A$2:$F$853,6,FALSE)</f>
        <v/>
      </c>
      <c r="C479" s="258" t="n">
        <v>0.6899999999999999</v>
      </c>
      <c r="D479" s="260" t="n">
        <v>2.48</v>
      </c>
      <c r="E479" s="260" t="n">
        <v>26.16</v>
      </c>
      <c r="F479" s="260" t="n">
        <v>25.27</v>
      </c>
      <c r="G479" s="260" t="n">
        <v>2.48</v>
      </c>
      <c r="H479" s="260" t="n">
        <v>17.55</v>
      </c>
      <c r="I479" s="260" t="n">
        <v>0.9</v>
      </c>
      <c r="J479" s="260" t="n">
        <v>1.33</v>
      </c>
      <c r="K479" s="260" t="n">
        <v>1</v>
      </c>
      <c r="L479" s="260" t="n">
        <v>-2.33</v>
      </c>
    </row>
    <row r="480" hidden="1">
      <c r="A480" s="259" t="inlineStr">
        <is>
          <t>LIC MF Multi Asset Allocation Fund - Regular Plan</t>
        </is>
      </c>
      <c r="B480" s="261">
        <f>VLOOKUP(A480, '[2]fund-selector'!$A$2:$F$853,6,FALSE)</f>
        <v/>
      </c>
      <c r="C480" s="258" t="inlineStr">
        <is>
          <t>--</t>
        </is>
      </c>
      <c r="D480" s="260" t="n">
        <v>2.25</v>
      </c>
      <c r="E480" s="259" t="n">
        <v>0</v>
      </c>
      <c r="F480" s="259" t="n">
        <v>0</v>
      </c>
      <c r="G480" s="260" t="n">
        <v>2.25</v>
      </c>
      <c r="H480" s="259" t="n">
        <v>0</v>
      </c>
      <c r="I480" s="259" t="n">
        <v>0</v>
      </c>
      <c r="J480" s="259" t="n">
        <v>0</v>
      </c>
      <c r="K480" s="259" t="n">
        <v>0</v>
      </c>
      <c r="L480" s="259" t="n">
        <v>0</v>
      </c>
    </row>
    <row r="481" hidden="1">
      <c r="A481" s="259" t="inlineStr">
        <is>
          <t>LIC MF Multi Cap Fund - Regular Plan</t>
        </is>
      </c>
      <c r="B481" s="261">
        <f>VLOOKUP(A481, '[2]fund-selector'!$A$2:$F$853,6,FALSE)</f>
        <v/>
      </c>
      <c r="C481" s="258" t="n">
        <v>4.09</v>
      </c>
      <c r="D481" s="260" t="n">
        <v>2.04</v>
      </c>
      <c r="E481" s="259" t="n">
        <v>0</v>
      </c>
      <c r="F481" s="259" t="n">
        <v>0</v>
      </c>
      <c r="G481" s="260" t="n">
        <v>2.04</v>
      </c>
      <c r="H481" s="259" t="n">
        <v>0</v>
      </c>
      <c r="I481" s="259" t="n">
        <v>0</v>
      </c>
      <c r="J481" s="259" t="n">
        <v>0</v>
      </c>
      <c r="K481" s="259" t="n">
        <v>0</v>
      </c>
      <c r="L481" s="259" t="n">
        <v>0</v>
      </c>
    </row>
    <row r="482" hidden="1">
      <c r="A482" s="259" t="inlineStr">
        <is>
          <t>LIC MF Nifty 100 ETF</t>
        </is>
      </c>
      <c r="B482" s="261">
        <f>VLOOKUP(A482, '[2]fund-selector'!$A$2:$F$853,6,FALSE)</f>
        <v/>
      </c>
      <c r="C482" s="258" t="n">
        <v>3.68</v>
      </c>
      <c r="D482" s="260" t="n">
        <v>0.28</v>
      </c>
      <c r="E482" s="260" t="n">
        <v>18.71</v>
      </c>
      <c r="F482" s="260" t="n">
        <v>20.41</v>
      </c>
      <c r="G482" s="260" t="n">
        <v>0.28</v>
      </c>
      <c r="H482" s="260" t="n">
        <v>13.97</v>
      </c>
      <c r="I482" s="260" t="n">
        <v>0.66</v>
      </c>
      <c r="J482" s="260" t="n">
        <v>1.08</v>
      </c>
      <c r="K482" s="260" t="n">
        <v>1.01</v>
      </c>
      <c r="L482" s="260" t="n">
        <v>-1.17</v>
      </c>
    </row>
    <row r="483" hidden="1">
      <c r="A483" s="259" t="inlineStr">
        <is>
          <t>LIC MF Nifty 50 ETF</t>
        </is>
      </c>
      <c r="B483" s="261">
        <f>VLOOKUP(A483, '[2]fund-selector'!$A$2:$F$853,6,FALSE)</f>
        <v/>
      </c>
      <c r="C483" s="258" t="n">
        <v>6.46</v>
      </c>
      <c r="D483" s="260" t="n">
        <v>0.06</v>
      </c>
      <c r="E483" s="260" t="n">
        <v>18.58</v>
      </c>
      <c r="F483" s="260" t="n">
        <v>20.58</v>
      </c>
      <c r="G483" s="260" t="n">
        <v>0.06</v>
      </c>
      <c r="H483" s="260" t="n">
        <v>13.14</v>
      </c>
      <c r="I483" s="260" t="n">
        <v>0.68</v>
      </c>
      <c r="J483" s="260" t="n">
        <v>1.17</v>
      </c>
      <c r="K483" s="260" t="n">
        <v>0.95</v>
      </c>
      <c r="L483" s="260" t="n">
        <v>-0.79</v>
      </c>
    </row>
    <row r="484" hidden="1">
      <c r="A484" s="259" t="inlineStr">
        <is>
          <t>LIC MF Nifty 50 Index Plan</t>
        </is>
      </c>
      <c r="B484" s="261">
        <f>VLOOKUP(A484, '[2]fund-selector'!$A$2:$F$853,6,FALSE)</f>
        <v/>
      </c>
      <c r="C484" s="258" t="n">
        <v>5.42</v>
      </c>
      <c r="D484" s="260" t="n">
        <v>1.01</v>
      </c>
      <c r="E484" s="260" t="n">
        <v>17.47</v>
      </c>
      <c r="F484" s="260" t="n">
        <v>19.34</v>
      </c>
      <c r="G484" s="260" t="n">
        <v>1.01</v>
      </c>
      <c r="H484" s="260" t="n">
        <v>13.12</v>
      </c>
      <c r="I484" s="260" t="n">
        <v>0.61</v>
      </c>
      <c r="J484" s="260" t="n">
        <v>1.04</v>
      </c>
      <c r="K484" s="260" t="n">
        <v>0.95</v>
      </c>
      <c r="L484" s="260" t="n">
        <v>-1.73</v>
      </c>
    </row>
    <row r="485" hidden="1">
      <c r="A485" s="259" t="inlineStr">
        <is>
          <t>LIC MF Nifty Midcap 100 ETF</t>
        </is>
      </c>
      <c r="B485" s="261">
        <f>VLOOKUP(A485, '[2]fund-selector'!$A$2:$F$853,6,FALSE)</f>
        <v/>
      </c>
      <c r="C485" s="258" t="n">
        <v>4.25</v>
      </c>
      <c r="D485" s="260" t="n">
        <v>0.16</v>
      </c>
      <c r="E485" s="259" t="n">
        <v>0</v>
      </c>
      <c r="F485" s="259" t="n">
        <v>0</v>
      </c>
      <c r="G485" s="260" t="n">
        <v>0.16</v>
      </c>
      <c r="H485" s="259" t="n">
        <v>0</v>
      </c>
      <c r="I485" s="259" t="n">
        <v>0</v>
      </c>
      <c r="J485" s="259" t="n">
        <v>0</v>
      </c>
      <c r="K485" s="259" t="n">
        <v>0</v>
      </c>
      <c r="L485" s="259" t="n">
        <v>0</v>
      </c>
    </row>
    <row r="486" hidden="1">
      <c r="A486" s="259" t="inlineStr">
        <is>
          <t>LIC MF Nifty Next 50 Index Fund</t>
        </is>
      </c>
      <c r="B486" s="261">
        <f>VLOOKUP(A486, '[2]fund-selector'!$A$2:$F$853,6,FALSE)</f>
        <v/>
      </c>
      <c r="C486" s="258" t="n">
        <v>-8.06</v>
      </c>
      <c r="D486" s="260" t="n">
        <v>0.9</v>
      </c>
      <c r="E486" s="260" t="n">
        <v>22.23</v>
      </c>
      <c r="F486" s="260" t="n">
        <v>20.66</v>
      </c>
      <c r="G486" s="260" t="n">
        <v>0.9</v>
      </c>
      <c r="H486" s="260" t="n">
        <v>19.44</v>
      </c>
      <c r="I486" s="260" t="n">
        <v>0.68</v>
      </c>
      <c r="J486" s="260" t="n">
        <v>1.02</v>
      </c>
      <c r="K486" s="260" t="n">
        <v>1.29</v>
      </c>
      <c r="L486" s="260" t="n">
        <v>-0.02</v>
      </c>
    </row>
    <row r="487" hidden="1">
      <c r="A487" s="259" t="inlineStr">
        <is>
          <t>LIC MF Small Cap Fund - Regular Plan</t>
        </is>
      </c>
      <c r="B487" s="261">
        <f>VLOOKUP(A487, '[2]fund-selector'!$A$2:$F$853,6,FALSE)</f>
        <v/>
      </c>
      <c r="C487" s="258" t="n">
        <v>-4.73</v>
      </c>
      <c r="D487" s="260" t="n">
        <v>2.38</v>
      </c>
      <c r="E487" s="260" t="n">
        <v>23.38</v>
      </c>
      <c r="F487" s="260" t="n">
        <v>31.41</v>
      </c>
      <c r="G487" s="260" t="n">
        <v>2.38</v>
      </c>
      <c r="H487" s="260" t="n">
        <v>19.31</v>
      </c>
      <c r="I487" s="260" t="n">
        <v>0.78</v>
      </c>
      <c r="J487" s="260" t="n">
        <v>0.97</v>
      </c>
      <c r="K487" s="260" t="n">
        <v>0.93</v>
      </c>
      <c r="L487" s="260" t="n">
        <v>-1.83</v>
      </c>
    </row>
    <row r="488" hidden="1">
      <c r="A488" s="259" t="inlineStr">
        <is>
          <t>LIC MF Unit Linked Insurance</t>
        </is>
      </c>
      <c r="B488" s="261">
        <f>VLOOKUP(A488, '[2]fund-selector'!$A$2:$F$853,6,FALSE)</f>
        <v/>
      </c>
      <c r="C488" s="258" t="n">
        <v>5.9</v>
      </c>
      <c r="D488" s="260" t="n">
        <v>2.37</v>
      </c>
      <c r="E488" s="260" t="n">
        <v>15.16</v>
      </c>
      <c r="F488" s="260" t="n">
        <v>17.11</v>
      </c>
      <c r="G488" s="260" t="n">
        <v>2.37</v>
      </c>
      <c r="H488" s="260" t="n">
        <v>10.81</v>
      </c>
      <c r="I488" s="260" t="n">
        <v>0.61</v>
      </c>
      <c r="J488" s="260" t="n">
        <v>0.99</v>
      </c>
      <c r="K488" s="260" t="n">
        <v>0.85</v>
      </c>
      <c r="L488" s="260" t="n">
        <v>-1.66</v>
      </c>
    </row>
    <row r="489" hidden="1">
      <c r="A489" s="259" t="inlineStr">
        <is>
          <t>Mahindra Manulife Aggressive Hybrid Fund - Regular Plan</t>
        </is>
      </c>
      <c r="B489" s="261">
        <f>VLOOKUP(A489, '[2]fund-selector'!$A$2:$F$853,6,FALSE)</f>
        <v/>
      </c>
      <c r="C489" s="258" t="n">
        <v>7.46</v>
      </c>
      <c r="D489" s="260" t="n">
        <v>2.03</v>
      </c>
      <c r="E489" s="260" t="n">
        <v>20.89</v>
      </c>
      <c r="F489" s="260" t="n">
        <v>21.32</v>
      </c>
      <c r="G489" s="260" t="n">
        <v>2.03</v>
      </c>
      <c r="H489" s="260" t="n">
        <v>11.15</v>
      </c>
      <c r="I489" s="260" t="n">
        <v>1.03</v>
      </c>
      <c r="J489" s="260" t="n">
        <v>1.63</v>
      </c>
      <c r="K489" s="260" t="n">
        <v>0.91</v>
      </c>
      <c r="L489" s="260" t="n">
        <v>2.67</v>
      </c>
    </row>
    <row r="490" hidden="1">
      <c r="A490" s="259" t="inlineStr">
        <is>
          <t>Mahindra Manulife Arbitrage Fund - Regular Plan</t>
        </is>
      </c>
      <c r="B490" s="261">
        <f>VLOOKUP(A490, '[2]fund-selector'!$A$2:$F$853,6,FALSE)</f>
        <v/>
      </c>
      <c r="C490" s="258" t="n">
        <v>5.52</v>
      </c>
      <c r="D490" s="260" t="n">
        <v>1.22</v>
      </c>
      <c r="E490" s="260" t="n">
        <v>5.46</v>
      </c>
      <c r="F490" s="259" t="n">
        <v>0</v>
      </c>
      <c r="G490" s="260" t="n">
        <v>1.22</v>
      </c>
      <c r="H490" s="260" t="n">
        <v>0.52</v>
      </c>
      <c r="I490" s="260" t="n">
        <v>-2.07</v>
      </c>
      <c r="J490" s="260" t="n">
        <v>-2.31</v>
      </c>
      <c r="K490" s="260" t="n">
        <v>0.39</v>
      </c>
      <c r="L490" s="260" t="n">
        <v>-0.33</v>
      </c>
    </row>
    <row r="491" hidden="1">
      <c r="A491" s="259" t="inlineStr">
        <is>
          <t>Mahindra Manulife Balanced Advantage Fund - Regular Plan</t>
        </is>
      </c>
      <c r="B491" s="261">
        <f>VLOOKUP(A491, '[2]fund-selector'!$A$2:$F$853,6,FALSE)</f>
        <v/>
      </c>
      <c r="C491" s="258" t="n">
        <v>4.39</v>
      </c>
      <c r="D491" s="260" t="n">
        <v>2.22</v>
      </c>
      <c r="E491" s="260" t="n">
        <v>15.09</v>
      </c>
      <c r="F491" s="259" t="n">
        <v>0</v>
      </c>
      <c r="G491" s="260" t="n">
        <v>2.22</v>
      </c>
      <c r="H491" s="260" t="n">
        <v>8.69</v>
      </c>
      <c r="I491" s="260" t="n">
        <v>0.79</v>
      </c>
      <c r="J491" s="260" t="n">
        <v>1.22</v>
      </c>
      <c r="K491" s="260" t="n">
        <v>0.79</v>
      </c>
      <c r="L491" s="260" t="n">
        <v>0.62</v>
      </c>
    </row>
    <row r="492" hidden="1">
      <c r="A492" s="259" t="inlineStr">
        <is>
          <t>Mahindra Manulife Business Cycle Fund - Regular Plan</t>
        </is>
      </c>
      <c r="B492" s="261">
        <f>VLOOKUP(A492, '[2]fund-selector'!$A$2:$F$853,6,FALSE)</f>
        <v/>
      </c>
      <c r="C492" s="258" t="n">
        <v>0.34</v>
      </c>
      <c r="D492" s="260" t="n">
        <v>2.11</v>
      </c>
      <c r="E492" s="259" t="n">
        <v>0</v>
      </c>
      <c r="F492" s="259" t="n">
        <v>0</v>
      </c>
      <c r="G492" s="260" t="n">
        <v>2.11</v>
      </c>
      <c r="H492" s="259" t="n">
        <v>0</v>
      </c>
      <c r="I492" s="259" t="n">
        <v>0</v>
      </c>
      <c r="J492" s="259" t="n">
        <v>0</v>
      </c>
      <c r="K492" s="259" t="n">
        <v>0</v>
      </c>
      <c r="L492" s="259" t="n">
        <v>0</v>
      </c>
    </row>
    <row r="493" hidden="1">
      <c r="A493" s="259" t="inlineStr">
        <is>
          <t>Mahindra Manulife Flexi Cap Fund - Regular Plan</t>
        </is>
      </c>
      <c r="B493" s="261">
        <f>VLOOKUP(A493, '[2]fund-selector'!$A$2:$F$853,6,FALSE)</f>
        <v/>
      </c>
      <c r="C493" s="258" t="n">
        <v>3.35</v>
      </c>
      <c r="D493" s="260" t="n">
        <v>2.05</v>
      </c>
      <c r="E493" s="260" t="n">
        <v>21.82</v>
      </c>
      <c r="F493" s="259" t="n">
        <v>0</v>
      </c>
      <c r="G493" s="260" t="n">
        <v>2.05</v>
      </c>
      <c r="H493" s="260" t="n">
        <v>13.82</v>
      </c>
      <c r="I493" s="260" t="n">
        <v>0.84</v>
      </c>
      <c r="J493" s="260" t="n">
        <v>1.24</v>
      </c>
      <c r="K493" s="260" t="n">
        <v>0.93</v>
      </c>
      <c r="L493" s="260" t="n">
        <v>0.84</v>
      </c>
    </row>
    <row r="494" hidden="1">
      <c r="A494" s="259" t="inlineStr">
        <is>
          <t>Mahindra Manulife Focused Fund - Regular Plan</t>
        </is>
      </c>
      <c r="B494" s="261">
        <f>VLOOKUP(A494, '[2]fund-selector'!$A$2:$F$853,6,FALSE)</f>
        <v/>
      </c>
      <c r="C494" s="258" t="n">
        <v>2.55</v>
      </c>
      <c r="D494" s="260" t="n">
        <v>1.98</v>
      </c>
      <c r="E494" s="260" t="n">
        <v>24.77</v>
      </c>
      <c r="F494" s="259" t="n">
        <v>0</v>
      </c>
      <c r="G494" s="260" t="n">
        <v>1.98</v>
      </c>
      <c r="H494" s="260" t="n">
        <v>13.72</v>
      </c>
      <c r="I494" s="260" t="n">
        <v>1.04</v>
      </c>
      <c r="J494" s="260" t="n">
        <v>1.58</v>
      </c>
      <c r="K494" s="260" t="n">
        <v>0.9</v>
      </c>
      <c r="L494" s="260" t="n">
        <v>3.94</v>
      </c>
    </row>
    <row r="495" hidden="1">
      <c r="A495" s="259" t="inlineStr">
        <is>
          <t>Mahindra Manulife Large Cap Fund - Regular Plan</t>
        </is>
      </c>
      <c r="B495" s="261">
        <f>VLOOKUP(A495, '[2]fund-selector'!$A$2:$F$853,6,FALSE)</f>
        <v/>
      </c>
      <c r="C495" s="258" t="n">
        <v>4.23</v>
      </c>
      <c r="D495" s="260" t="n">
        <v>2.31</v>
      </c>
      <c r="E495" s="260" t="n">
        <v>18.74</v>
      </c>
      <c r="F495" s="260" t="n">
        <v>20.09</v>
      </c>
      <c r="G495" s="260" t="n">
        <v>2.31</v>
      </c>
      <c r="H495" s="260" t="n">
        <v>13.09</v>
      </c>
      <c r="I495" s="260" t="n">
        <v>0.6899999999999999</v>
      </c>
      <c r="J495" s="260" t="n">
        <v>1.09</v>
      </c>
      <c r="K495" s="260" t="n">
        <v>0.93</v>
      </c>
      <c r="L495" s="260" t="n">
        <v>-0.59</v>
      </c>
    </row>
    <row r="496" hidden="1">
      <c r="A496" s="259" t="inlineStr">
        <is>
          <t>Mahindra Manulife Large &amp; Mid Cap Fund - Regular Plan</t>
        </is>
      </c>
      <c r="B496" s="261">
        <f>VLOOKUP(A496, '[2]fund-selector'!$A$2:$F$853,6,FALSE)</f>
        <v/>
      </c>
      <c r="C496" s="258" t="n">
        <v>-0.5</v>
      </c>
      <c r="D496" s="260" t="n">
        <v>1.93</v>
      </c>
      <c r="E496" s="260" t="n">
        <v>21.1</v>
      </c>
      <c r="F496" s="260" t="n">
        <v>24.52</v>
      </c>
      <c r="G496" s="260" t="n">
        <v>1.93</v>
      </c>
      <c r="H496" s="260" t="n">
        <v>14.59</v>
      </c>
      <c r="I496" s="260" t="n">
        <v>0.79</v>
      </c>
      <c r="J496" s="260" t="n">
        <v>1.17</v>
      </c>
      <c r="K496" s="260" t="n">
        <v>0.95</v>
      </c>
      <c r="L496" s="260" t="n">
        <v>1.03</v>
      </c>
    </row>
    <row r="497" hidden="1">
      <c r="A497" s="259" t="inlineStr">
        <is>
          <t>Mahindra Manulife Manufacturing Fund - Regular Plan</t>
        </is>
      </c>
      <c r="B497" s="261">
        <f>VLOOKUP(A497, '[2]fund-selector'!$A$2:$F$853,6,FALSE)</f>
        <v/>
      </c>
      <c r="C497" s="258" t="inlineStr">
        <is>
          <t>--</t>
        </is>
      </c>
      <c r="D497" s="260" t="n">
        <v>2.24</v>
      </c>
      <c r="E497" s="259" t="n">
        <v>0</v>
      </c>
      <c r="F497" s="259" t="n">
        <v>0</v>
      </c>
      <c r="G497" s="260" t="n">
        <v>2.24</v>
      </c>
      <c r="H497" s="259" t="n">
        <v>0</v>
      </c>
      <c r="I497" s="259" t="n">
        <v>0</v>
      </c>
      <c r="J497" s="259" t="n">
        <v>0</v>
      </c>
      <c r="K497" s="259" t="n">
        <v>0</v>
      </c>
      <c r="L497" s="259" t="n">
        <v>0</v>
      </c>
    </row>
    <row r="498" hidden="1">
      <c r="A498" s="259" t="inlineStr">
        <is>
          <t>Mahindra Manulife Mid Cap Fund - Regular Plan</t>
        </is>
      </c>
      <c r="B498" s="261">
        <f>VLOOKUP(A498, '[2]fund-selector'!$A$2:$F$853,6,FALSE)</f>
        <v/>
      </c>
      <c r="C498" s="258" t="n">
        <v>0.13</v>
      </c>
      <c r="D498" s="260" t="n">
        <v>1.86</v>
      </c>
      <c r="E498" s="260" t="n">
        <v>29.09</v>
      </c>
      <c r="F498" s="260" t="n">
        <v>29.21</v>
      </c>
      <c r="G498" s="260" t="n">
        <v>1.86</v>
      </c>
      <c r="H498" s="260" t="n">
        <v>16.48</v>
      </c>
      <c r="I498" s="260" t="n">
        <v>1.12</v>
      </c>
      <c r="J498" s="260" t="n">
        <v>1.58</v>
      </c>
      <c r="K498" s="260" t="n">
        <v>0.96</v>
      </c>
      <c r="L498" s="260" t="n">
        <v>1.01</v>
      </c>
    </row>
    <row r="499" hidden="1">
      <c r="A499" s="259" t="inlineStr">
        <is>
          <t>Mahindra Manulife Multi Asset Allocation Fund - Regular Plan</t>
        </is>
      </c>
      <c r="B499" s="261">
        <f>VLOOKUP(A499, '[2]fund-selector'!$A$2:$F$853,6,FALSE)</f>
        <v/>
      </c>
      <c r="C499" s="258" t="n">
        <v>9</v>
      </c>
      <c r="D499" s="260" t="n">
        <v>2.04</v>
      </c>
      <c r="E499" s="259" t="n">
        <v>0</v>
      </c>
      <c r="F499" s="259" t="n">
        <v>0</v>
      </c>
      <c r="G499" s="260" t="n">
        <v>2.04</v>
      </c>
      <c r="H499" s="259" t="n">
        <v>0</v>
      </c>
      <c r="I499" s="259" t="n">
        <v>0</v>
      </c>
      <c r="J499" s="259" t="n">
        <v>0</v>
      </c>
      <c r="K499" s="259" t="n">
        <v>0</v>
      </c>
      <c r="L499" s="259" t="n">
        <v>0</v>
      </c>
    </row>
    <row r="500" hidden="1">
      <c r="A500" s="259" t="inlineStr">
        <is>
          <t>Mahindra Manulife Multi Cap Fund - Regular Plan</t>
        </is>
      </c>
      <c r="B500" s="261">
        <f>VLOOKUP(A500, '[2]fund-selector'!$A$2:$F$853,6,FALSE)</f>
        <v/>
      </c>
      <c r="C500" s="258" t="n">
        <v>2.68</v>
      </c>
      <c r="D500" s="260" t="n">
        <v>1.8</v>
      </c>
      <c r="E500" s="260" t="n">
        <v>24.74</v>
      </c>
      <c r="F500" s="260" t="n">
        <v>27.02</v>
      </c>
      <c r="G500" s="260" t="n">
        <v>1.8</v>
      </c>
      <c r="H500" s="260" t="n">
        <v>15.64</v>
      </c>
      <c r="I500" s="260" t="n">
        <v>0.91</v>
      </c>
      <c r="J500" s="260" t="n">
        <v>1.25</v>
      </c>
      <c r="K500" s="260" t="n">
        <v>0.96</v>
      </c>
      <c r="L500" s="260" t="n">
        <v>0.24</v>
      </c>
    </row>
    <row r="501" hidden="1">
      <c r="A501" s="259" t="inlineStr">
        <is>
          <t>Mahindra Manulife Small Cap Fund - Regular Plan</t>
        </is>
      </c>
      <c r="B501" s="261">
        <f>VLOOKUP(A501, '[2]fund-selector'!$A$2:$F$853,6,FALSE)</f>
        <v/>
      </c>
      <c r="C501" s="258" t="n">
        <v>-1.49</v>
      </c>
      <c r="D501" s="260" t="n">
        <v>1.85</v>
      </c>
      <c r="E501" s="259" t="n">
        <v>0</v>
      </c>
      <c r="F501" s="259" t="n">
        <v>0</v>
      </c>
      <c r="G501" s="260" t="n">
        <v>1.85</v>
      </c>
      <c r="H501" s="259" t="n">
        <v>0</v>
      </c>
      <c r="I501" s="259" t="n">
        <v>0</v>
      </c>
      <c r="J501" s="259" t="n">
        <v>0</v>
      </c>
      <c r="K501" s="259" t="n">
        <v>0</v>
      </c>
      <c r="L501" s="259" t="n">
        <v>0</v>
      </c>
    </row>
    <row r="502" hidden="1">
      <c r="A502" s="259" t="inlineStr">
        <is>
          <t>Mirae Asset Aggressive Hybrid Fund - Regular Plan</t>
        </is>
      </c>
      <c r="B502" s="261">
        <f>VLOOKUP(A502, '[2]fund-selector'!$A$2:$F$853,6,FALSE)</f>
        <v/>
      </c>
      <c r="C502" s="258" t="n">
        <v>5.97</v>
      </c>
      <c r="D502" s="260" t="n">
        <v>1.72</v>
      </c>
      <c r="E502" s="260" t="n">
        <v>16.91</v>
      </c>
      <c r="F502" s="260" t="n">
        <v>17.34</v>
      </c>
      <c r="G502" s="260" t="n">
        <v>1.72</v>
      </c>
      <c r="H502" s="260" t="n">
        <v>10.52</v>
      </c>
      <c r="I502" s="260" t="n">
        <v>0.76</v>
      </c>
      <c r="J502" s="260" t="n">
        <v>1.19</v>
      </c>
      <c r="K502" s="260" t="n">
        <v>0.87</v>
      </c>
      <c r="L502" s="260" t="n">
        <v>-0.31</v>
      </c>
    </row>
    <row r="503" hidden="1">
      <c r="A503" s="259" t="inlineStr">
        <is>
          <t>Mirae Asset Arbitrage Fund - Regular Plan</t>
        </is>
      </c>
      <c r="B503" s="261">
        <f>VLOOKUP(A503, '[2]fund-selector'!$A$2:$F$853,6,FALSE)</f>
        <v/>
      </c>
      <c r="C503" s="258" t="n">
        <v>6.71</v>
      </c>
      <c r="D503" s="260" t="n">
        <v>0.93</v>
      </c>
      <c r="E503" s="260" t="n">
        <v>6.74</v>
      </c>
      <c r="F503" s="260" t="n">
        <v>5.39</v>
      </c>
      <c r="G503" s="260" t="n">
        <v>0.93</v>
      </c>
      <c r="H503" s="260" t="n">
        <v>0.55</v>
      </c>
      <c r="I503" s="260" t="n">
        <v>0.21</v>
      </c>
      <c r="J503" s="260" t="n">
        <v>0.25</v>
      </c>
      <c r="K503" s="260" t="n">
        <v>0.5600000000000001</v>
      </c>
      <c r="L503" s="260" t="n">
        <v>1.18</v>
      </c>
    </row>
    <row r="504" hidden="1">
      <c r="A504" s="259" t="inlineStr">
        <is>
          <t>Mirae Asset Balanced Advantage Fund - Regular Plan</t>
        </is>
      </c>
      <c r="B504" s="261">
        <f>VLOOKUP(A504, '[2]fund-selector'!$A$2:$F$853,6,FALSE)</f>
        <v/>
      </c>
      <c r="C504" s="258" t="n">
        <v>6.65</v>
      </c>
      <c r="D504" s="260" t="n">
        <v>2.06</v>
      </c>
      <c r="E504" s="259" t="n">
        <v>0</v>
      </c>
      <c r="F504" s="259" t="n">
        <v>0</v>
      </c>
      <c r="G504" s="260" t="n">
        <v>2.06</v>
      </c>
      <c r="H504" s="259" t="n">
        <v>0</v>
      </c>
      <c r="I504" s="259" t="n">
        <v>0</v>
      </c>
      <c r="J504" s="259" t="n">
        <v>0</v>
      </c>
      <c r="K504" s="259" t="n">
        <v>0</v>
      </c>
      <c r="L504" s="259" t="n">
        <v>0</v>
      </c>
    </row>
    <row r="505" hidden="1">
      <c r="A505" s="259" t="inlineStr">
        <is>
          <t>Mirae Asset BSE 200 Equal Weight ETF</t>
        </is>
      </c>
      <c r="B505" s="261">
        <f>VLOOKUP(A505, '[2]fund-selector'!$A$2:$F$853,6,FALSE)</f>
        <v/>
      </c>
      <c r="C505" s="258" t="inlineStr">
        <is>
          <t>--</t>
        </is>
      </c>
      <c r="D505" s="260" t="n">
        <v>0.36</v>
      </c>
      <c r="E505" s="259" t="n">
        <v>0</v>
      </c>
      <c r="F505" s="259" t="n">
        <v>0</v>
      </c>
      <c r="G505" s="260" t="n">
        <v>0.36</v>
      </c>
      <c r="H505" s="259" t="n">
        <v>0</v>
      </c>
      <c r="I505" s="259" t="n">
        <v>0</v>
      </c>
      <c r="J505" s="259" t="n">
        <v>0</v>
      </c>
      <c r="K505" s="259" t="n">
        <v>0</v>
      </c>
      <c r="L505" s="259" t="n">
        <v>0</v>
      </c>
    </row>
    <row r="506" hidden="1">
      <c r="A506" s="259" t="inlineStr">
        <is>
          <t>Mirae Asset BSE 200 Equal Weight ETF FoF - Regular Plan</t>
        </is>
      </c>
      <c r="B506" s="261">
        <f>VLOOKUP(A506, '[2]fund-selector'!$A$2:$F$853,6,FALSE)</f>
        <v/>
      </c>
      <c r="C506" s="258" t="inlineStr">
        <is>
          <t>--</t>
        </is>
      </c>
      <c r="D506" s="260" t="n">
        <v>0.64</v>
      </c>
      <c r="E506" s="259" t="n">
        <v>0</v>
      </c>
      <c r="F506" s="259" t="n">
        <v>0</v>
      </c>
      <c r="G506" s="260" t="n">
        <v>0.64</v>
      </c>
      <c r="H506" s="259" t="n">
        <v>0</v>
      </c>
      <c r="I506" s="259" t="n">
        <v>0</v>
      </c>
      <c r="J506" s="259" t="n">
        <v>0</v>
      </c>
      <c r="K506" s="259" t="n">
        <v>0</v>
      </c>
      <c r="L506" s="259" t="n">
        <v>0</v>
      </c>
    </row>
    <row r="507" hidden="1">
      <c r="A507" s="259" t="inlineStr">
        <is>
          <t>Mirae Asset BSE Select IPO ETF</t>
        </is>
      </c>
      <c r="B507" s="261">
        <f>VLOOKUP(A507, '[2]fund-selector'!$A$2:$F$853,6,FALSE)</f>
        <v/>
      </c>
      <c r="C507" s="258" t="inlineStr">
        <is>
          <t>--</t>
        </is>
      </c>
      <c r="D507" s="260" t="n">
        <v>0.36</v>
      </c>
      <c r="E507" s="259" t="n">
        <v>0</v>
      </c>
      <c r="F507" s="259" t="n">
        <v>0</v>
      </c>
      <c r="G507" s="260" t="n">
        <v>0.36</v>
      </c>
      <c r="H507" s="259" t="n">
        <v>0</v>
      </c>
      <c r="I507" s="259" t="n">
        <v>0</v>
      </c>
      <c r="J507" s="259" t="n">
        <v>0</v>
      </c>
      <c r="K507" s="259" t="n">
        <v>0</v>
      </c>
      <c r="L507" s="259" t="n">
        <v>0</v>
      </c>
    </row>
    <row r="508" hidden="1">
      <c r="A508" s="259" t="inlineStr">
        <is>
          <t>Mirae Asset BSE Select IPO ETF FoF - Regular Plan</t>
        </is>
      </c>
      <c r="B508" s="261">
        <f>VLOOKUP(A508, '[2]fund-selector'!$A$2:$F$853,6,FALSE)</f>
        <v/>
      </c>
      <c r="C508" s="258" t="inlineStr">
        <is>
          <t>--</t>
        </is>
      </c>
      <c r="D508" s="260" t="n">
        <v>0.64</v>
      </c>
      <c r="E508" s="259" t="n">
        <v>0</v>
      </c>
      <c r="F508" s="259" t="n">
        <v>0</v>
      </c>
      <c r="G508" s="260" t="n">
        <v>0.64</v>
      </c>
      <c r="H508" s="259" t="n">
        <v>0</v>
      </c>
      <c r="I508" s="259" t="n">
        <v>0</v>
      </c>
      <c r="J508" s="259" t="n">
        <v>0</v>
      </c>
      <c r="K508" s="259" t="n">
        <v>0</v>
      </c>
      <c r="L508" s="259" t="n">
        <v>0</v>
      </c>
    </row>
    <row r="509" hidden="1">
      <c r="A509" s="259" t="inlineStr">
        <is>
          <t>Mirae Asset BSE Sensex ETF</t>
        </is>
      </c>
      <c r="B509" s="261">
        <f>VLOOKUP(A509, '[2]fund-selector'!$A$2:$F$853,6,FALSE)</f>
        <v/>
      </c>
      <c r="C509" s="258" t="n">
        <v>6.28</v>
      </c>
      <c r="D509" s="260" t="n">
        <v>0.05</v>
      </c>
      <c r="E509" s="259" t="n">
        <v>0</v>
      </c>
      <c r="F509" s="259" t="n">
        <v>0</v>
      </c>
      <c r="G509" s="260" t="n">
        <v>0.05</v>
      </c>
      <c r="H509" s="259" t="n">
        <v>0</v>
      </c>
      <c r="I509" s="259" t="n">
        <v>0</v>
      </c>
      <c r="J509" s="259" t="n">
        <v>0</v>
      </c>
      <c r="K509" s="259" t="n">
        <v>0</v>
      </c>
      <c r="L509" s="259" t="n">
        <v>0</v>
      </c>
    </row>
    <row r="510" hidden="1">
      <c r="A510" s="259" t="inlineStr">
        <is>
          <t>Mirae Asset Diversified Equity Allocator Passive FoF - Regular Plan</t>
        </is>
      </c>
      <c r="B510" s="261">
        <f>VLOOKUP(A510, '[2]fund-selector'!$A$2:$F$853,6,FALSE)</f>
        <v/>
      </c>
      <c r="C510" s="258" t="n">
        <v>2.88</v>
      </c>
      <c r="D510" s="260" t="n">
        <v>0.11</v>
      </c>
      <c r="E510" s="260" t="n">
        <v>20.74</v>
      </c>
      <c r="F510" s="259" t="n">
        <v>0</v>
      </c>
      <c r="G510" s="260" t="n">
        <v>0.11</v>
      </c>
      <c r="H510" s="260" t="n">
        <v>14.05</v>
      </c>
      <c r="I510" s="260" t="n">
        <v>0.79</v>
      </c>
      <c r="J510" s="260" t="n">
        <v>1.22</v>
      </c>
      <c r="K510" s="260" t="n">
        <v>1.01</v>
      </c>
      <c r="L510" s="260" t="n">
        <v>0.73</v>
      </c>
    </row>
    <row r="511" hidden="1">
      <c r="A511" s="259" t="inlineStr">
        <is>
          <t>Mirae Asset Flexi Cap Fund - Regular Plan</t>
        </is>
      </c>
      <c r="B511" s="261">
        <f>VLOOKUP(A511, '[2]fund-selector'!$A$2:$F$853,6,FALSE)</f>
        <v/>
      </c>
      <c r="C511" s="258" t="n">
        <v>5.03</v>
      </c>
      <c r="D511" s="260" t="n">
        <v>1.93</v>
      </c>
      <c r="E511" s="259" t="n">
        <v>0</v>
      </c>
      <c r="F511" s="259" t="n">
        <v>0</v>
      </c>
      <c r="G511" s="260" t="n">
        <v>1.93</v>
      </c>
      <c r="H511" s="259" t="n">
        <v>0</v>
      </c>
      <c r="I511" s="259" t="n">
        <v>0</v>
      </c>
      <c r="J511" s="259" t="n">
        <v>0</v>
      </c>
      <c r="K511" s="259" t="n">
        <v>0</v>
      </c>
      <c r="L511" s="259" t="n">
        <v>0</v>
      </c>
    </row>
    <row r="512" hidden="1">
      <c r="A512" s="259" t="inlineStr">
        <is>
          <t>Mirae Asset Focused Fund - Regular Plan</t>
        </is>
      </c>
      <c r="B512" s="261">
        <f>VLOOKUP(A512, '[2]fund-selector'!$A$2:$F$853,6,FALSE)</f>
        <v/>
      </c>
      <c r="C512" s="258" t="n">
        <v>8.890000000000001</v>
      </c>
      <c r="D512" s="260" t="n">
        <v>1.77</v>
      </c>
      <c r="E512" s="260" t="n">
        <v>14.95</v>
      </c>
      <c r="F512" s="260" t="n">
        <v>19.73</v>
      </c>
      <c r="G512" s="260" t="n">
        <v>1.77</v>
      </c>
      <c r="H512" s="260" t="n">
        <v>12.75</v>
      </c>
      <c r="I512" s="260" t="n">
        <v>0.47</v>
      </c>
      <c r="J512" s="260" t="n">
        <v>0.74</v>
      </c>
      <c r="K512" s="260" t="n">
        <v>0.8100000000000001</v>
      </c>
      <c r="L512" s="260" t="n">
        <v>-3.36</v>
      </c>
    </row>
    <row r="513" hidden="1">
      <c r="A513" s="259" t="inlineStr">
        <is>
          <t>Mirae Asset Large Cap Fund - Regular Plan</t>
        </is>
      </c>
      <c r="B513" s="261">
        <f>VLOOKUP(A513, '[2]fund-selector'!$A$2:$F$853,6,FALSE)</f>
        <v/>
      </c>
      <c r="C513" s="258" t="n">
        <v>6.13</v>
      </c>
      <c r="D513" s="260" t="n">
        <v>1.52</v>
      </c>
      <c r="E513" s="260" t="n">
        <v>17.15</v>
      </c>
      <c r="F513" s="260" t="n">
        <v>19.2</v>
      </c>
      <c r="G513" s="260" t="n">
        <v>1.52</v>
      </c>
      <c r="H513" s="260" t="n">
        <v>12.52</v>
      </c>
      <c r="I513" s="260" t="n">
        <v>0.63</v>
      </c>
      <c r="J513" s="260" t="n">
        <v>1.01</v>
      </c>
      <c r="K513" s="260" t="n">
        <v>0.9</v>
      </c>
      <c r="L513" s="260" t="n">
        <v>-1.36</v>
      </c>
    </row>
    <row r="514" hidden="1">
      <c r="A514" s="259" t="inlineStr">
        <is>
          <t>Mirae Asset Large &amp; Midcap Fund - Regular Plan</t>
        </is>
      </c>
      <c r="B514" s="261">
        <f>VLOOKUP(A514, '[2]fund-selector'!$A$2:$F$853,6,FALSE)</f>
        <v/>
      </c>
      <c r="C514" s="258" t="n">
        <v>2.37</v>
      </c>
      <c r="D514" s="260" t="n">
        <v>1.53</v>
      </c>
      <c r="E514" s="260" t="n">
        <v>20.53</v>
      </c>
      <c r="F514" s="260" t="n">
        <v>23.46</v>
      </c>
      <c r="G514" s="260" t="n">
        <v>1.53</v>
      </c>
      <c r="H514" s="260" t="n">
        <v>14.51</v>
      </c>
      <c r="I514" s="260" t="n">
        <v>0.73</v>
      </c>
      <c r="J514" s="260" t="n">
        <v>1.08</v>
      </c>
      <c r="K514" s="260" t="n">
        <v>0.98</v>
      </c>
      <c r="L514" s="260" t="n">
        <v>-0.19</v>
      </c>
    </row>
    <row r="515" hidden="1">
      <c r="A515" s="259" t="inlineStr">
        <is>
          <t>Mirae Asset Midcap Fund - Regular Plan</t>
        </is>
      </c>
      <c r="B515" s="261">
        <f>VLOOKUP(A515, '[2]fund-selector'!$A$2:$F$853,6,FALSE)</f>
        <v/>
      </c>
      <c r="C515" s="258" t="n">
        <v>1.68</v>
      </c>
      <c r="D515" s="260" t="n">
        <v>1.67</v>
      </c>
      <c r="E515" s="260" t="n">
        <v>24.34</v>
      </c>
      <c r="F515" s="260" t="n">
        <v>29.05</v>
      </c>
      <c r="G515" s="260" t="n">
        <v>1.67</v>
      </c>
      <c r="H515" s="260" t="n">
        <v>16.88</v>
      </c>
      <c r="I515" s="260" t="n">
        <v>0.84</v>
      </c>
      <c r="J515" s="260" t="n">
        <v>1.21</v>
      </c>
      <c r="K515" s="260" t="n">
        <v>0.97</v>
      </c>
      <c r="L515" s="260" t="n">
        <v>-3.37</v>
      </c>
    </row>
    <row r="516" hidden="1">
      <c r="A516" s="259" t="inlineStr">
        <is>
          <t>Mirae Asset Multi Asset Allocation Fund - Regular Plan</t>
        </is>
      </c>
      <c r="B516" s="261">
        <f>VLOOKUP(A516, '[2]fund-selector'!$A$2:$F$853,6,FALSE)</f>
        <v/>
      </c>
      <c r="C516" s="258" t="n">
        <v>10.58</v>
      </c>
      <c r="D516" s="260" t="n">
        <v>1.98</v>
      </c>
      <c r="E516" s="259" t="n">
        <v>0</v>
      </c>
      <c r="F516" s="259" t="n">
        <v>0</v>
      </c>
      <c r="G516" s="260" t="n">
        <v>1.98</v>
      </c>
      <c r="H516" s="259" t="n">
        <v>0</v>
      </c>
      <c r="I516" s="259" t="n">
        <v>0</v>
      </c>
      <c r="J516" s="259" t="n">
        <v>0</v>
      </c>
      <c r="K516" s="259" t="n">
        <v>0</v>
      </c>
      <c r="L516" s="259" t="n">
        <v>0</v>
      </c>
    </row>
    <row r="517" hidden="1">
      <c r="A517" s="259" t="inlineStr">
        <is>
          <t>Mirae Asset Multicap Fund - Regular Plan</t>
        </is>
      </c>
      <c r="B517" s="261">
        <f>VLOOKUP(A517, '[2]fund-selector'!$A$2:$F$853,6,FALSE)</f>
        <v/>
      </c>
      <c r="C517" s="258" t="n">
        <v>5.94</v>
      </c>
      <c r="D517" s="260" t="n">
        <v>1.87</v>
      </c>
      <c r="E517" s="259" t="n">
        <v>0</v>
      </c>
      <c r="F517" s="259" t="n">
        <v>0</v>
      </c>
      <c r="G517" s="260" t="n">
        <v>1.87</v>
      </c>
      <c r="H517" s="259" t="n">
        <v>0</v>
      </c>
      <c r="I517" s="259" t="n">
        <v>0</v>
      </c>
      <c r="J517" s="259" t="n">
        <v>0</v>
      </c>
      <c r="K517" s="259" t="n">
        <v>0</v>
      </c>
      <c r="L517" s="259" t="n">
        <v>0</v>
      </c>
    </row>
    <row r="518" hidden="1">
      <c r="A518" s="259" t="inlineStr">
        <is>
          <t>Mirae Asset Nifty 100 Low Volatility 30 ETF</t>
        </is>
      </c>
      <c r="B518" s="261">
        <f>VLOOKUP(A518, '[2]fund-selector'!$A$2:$F$853,6,FALSE)</f>
        <v/>
      </c>
      <c r="C518" s="258" t="n">
        <v>5.59</v>
      </c>
      <c r="D518" s="260" t="n">
        <v>0.33</v>
      </c>
      <c r="E518" s="259" t="n">
        <v>0</v>
      </c>
      <c r="F518" s="259" t="n">
        <v>0</v>
      </c>
      <c r="G518" s="260" t="n">
        <v>0.33</v>
      </c>
      <c r="H518" s="259" t="n">
        <v>0</v>
      </c>
      <c r="I518" s="259" t="n">
        <v>0</v>
      </c>
      <c r="J518" s="259" t="n">
        <v>0</v>
      </c>
      <c r="K518" s="259" t="n">
        <v>0</v>
      </c>
      <c r="L518" s="259" t="n">
        <v>0</v>
      </c>
    </row>
    <row r="519" hidden="1">
      <c r="A519" s="259" t="inlineStr">
        <is>
          <t>Mirae Asset Nifty 200 Alpha 30 ETF</t>
        </is>
      </c>
      <c r="B519" s="261">
        <f>VLOOKUP(A519, '[2]fund-selector'!$A$2:$F$853,6,FALSE)</f>
        <v/>
      </c>
      <c r="C519" s="258" t="n">
        <v>-9.789999999999999</v>
      </c>
      <c r="D519" s="260" t="n">
        <v>0.47</v>
      </c>
      <c r="E519" s="259" t="n">
        <v>0</v>
      </c>
      <c r="F519" s="259" t="n">
        <v>0</v>
      </c>
      <c r="G519" s="260" t="n">
        <v>0.47</v>
      </c>
      <c r="H519" s="259" t="n">
        <v>0</v>
      </c>
      <c r="I519" s="259" t="n">
        <v>0</v>
      </c>
      <c r="J519" s="259" t="n">
        <v>0</v>
      </c>
      <c r="K519" s="259" t="n">
        <v>0</v>
      </c>
      <c r="L519" s="259" t="n">
        <v>0</v>
      </c>
    </row>
    <row r="520" hidden="1">
      <c r="A520" s="259" t="inlineStr">
        <is>
          <t>Mirae Asset Nifty 200 Alpha 30 ETF FoF - Regular Plan</t>
        </is>
      </c>
      <c r="B520" s="261">
        <f>VLOOKUP(A520, '[2]fund-selector'!$A$2:$F$853,6,FALSE)</f>
        <v/>
      </c>
      <c r="C520" s="258" t="inlineStr">
        <is>
          <t>--</t>
        </is>
      </c>
      <c r="D520" s="260" t="n">
        <v>0.63</v>
      </c>
      <c r="E520" s="259" t="n">
        <v>0</v>
      </c>
      <c r="F520" s="259" t="n">
        <v>0</v>
      </c>
      <c r="G520" s="260" t="n">
        <v>0.63</v>
      </c>
      <c r="H520" s="259" t="n">
        <v>0</v>
      </c>
      <c r="I520" s="259" t="n">
        <v>0</v>
      </c>
      <c r="J520" s="259" t="n">
        <v>0</v>
      </c>
      <c r="K520" s="259" t="n">
        <v>0</v>
      </c>
      <c r="L520" s="259" t="n">
        <v>0</v>
      </c>
    </row>
    <row r="521" hidden="1">
      <c r="A521" s="259" t="inlineStr">
        <is>
          <t>Mirae Asset Nifty500 Multicap 50:25:25 ETF</t>
        </is>
      </c>
      <c r="B521" s="261">
        <f>VLOOKUP(A521, '[2]fund-selector'!$A$2:$F$853,6,FALSE)</f>
        <v/>
      </c>
      <c r="C521" s="258" t="inlineStr">
        <is>
          <t>--</t>
        </is>
      </c>
      <c r="D521" s="260" t="n">
        <v>0.16</v>
      </c>
      <c r="E521" s="259" t="n">
        <v>0</v>
      </c>
      <c r="F521" s="259" t="n">
        <v>0</v>
      </c>
      <c r="G521" s="260" t="n">
        <v>0.16</v>
      </c>
      <c r="H521" s="259" t="n">
        <v>0</v>
      </c>
      <c r="I521" s="259" t="n">
        <v>0</v>
      </c>
      <c r="J521" s="259" t="n">
        <v>0</v>
      </c>
      <c r="K521" s="259" t="n">
        <v>0</v>
      </c>
      <c r="L521" s="259" t="n">
        <v>0</v>
      </c>
    </row>
    <row r="522" hidden="1">
      <c r="A522" s="259" t="inlineStr">
        <is>
          <t>Mirae Asset Nifty50 Equal Weight ETF</t>
        </is>
      </c>
      <c r="B522" s="261">
        <f>VLOOKUP(A522, '[2]fund-selector'!$A$2:$F$853,6,FALSE)</f>
        <v/>
      </c>
      <c r="C522" s="258" t="inlineStr">
        <is>
          <t>--</t>
        </is>
      </c>
      <c r="D522" s="260" t="n">
        <v>0.07000000000000001</v>
      </c>
      <c r="E522" s="259" t="n">
        <v>0</v>
      </c>
      <c r="F522" s="259" t="n">
        <v>0</v>
      </c>
      <c r="G522" s="260" t="n">
        <v>0.07000000000000001</v>
      </c>
      <c r="H522" s="259" t="n">
        <v>0</v>
      </c>
      <c r="I522" s="259" t="n">
        <v>0</v>
      </c>
      <c r="J522" s="259" t="n">
        <v>0</v>
      </c>
      <c r="K522" s="259" t="n">
        <v>0</v>
      </c>
      <c r="L522" s="259" t="n">
        <v>0</v>
      </c>
    </row>
    <row r="523" hidden="1">
      <c r="A523" s="259" t="inlineStr">
        <is>
          <t>Mirae Asset Nifty 50 ETF</t>
        </is>
      </c>
      <c r="B523" s="261">
        <f>VLOOKUP(A523, '[2]fund-selector'!$A$2:$F$853,6,FALSE)</f>
        <v/>
      </c>
      <c r="C523" s="258" t="n">
        <v>6.49</v>
      </c>
      <c r="D523" s="260" t="n">
        <v>0.04</v>
      </c>
      <c r="E523" s="260" t="n">
        <v>18.65</v>
      </c>
      <c r="F523" s="260" t="n">
        <v>20.66</v>
      </c>
      <c r="G523" s="260" t="n">
        <v>0.04</v>
      </c>
      <c r="H523" s="260" t="n">
        <v>13.13</v>
      </c>
      <c r="I523" s="260" t="n">
        <v>0.6899999999999999</v>
      </c>
      <c r="J523" s="260" t="n">
        <v>1.17</v>
      </c>
      <c r="K523" s="260" t="n">
        <v>0.95</v>
      </c>
      <c r="L523" s="260" t="n">
        <v>-0.73</v>
      </c>
    </row>
    <row r="524" hidden="1">
      <c r="A524" s="259" t="inlineStr">
        <is>
          <t>Mirae Asset Nifty 50 Index Fund - Regular Plan</t>
        </is>
      </c>
      <c r="B524" s="261">
        <f>VLOOKUP(A524, '[2]fund-selector'!$A$2:$F$853,6,FALSE)</f>
        <v/>
      </c>
      <c r="C524" s="258" t="inlineStr">
        <is>
          <t>--</t>
        </is>
      </c>
      <c r="D524" s="260" t="n">
        <v>0.75</v>
      </c>
      <c r="E524" s="259" t="n">
        <v>0</v>
      </c>
      <c r="F524" s="259" t="n">
        <v>0</v>
      </c>
      <c r="G524" s="260" t="n">
        <v>0.75</v>
      </c>
      <c r="H524" s="259" t="n">
        <v>0</v>
      </c>
      <c r="I524" s="259" t="n">
        <v>0</v>
      </c>
      <c r="J524" s="259" t="n">
        <v>0</v>
      </c>
      <c r="K524" s="259" t="n">
        <v>0</v>
      </c>
      <c r="L524" s="259" t="n">
        <v>0</v>
      </c>
    </row>
    <row r="525" hidden="1">
      <c r="A525" s="259" t="inlineStr">
        <is>
          <t>Mirae Asset Nifty EV and New Age Automotive ETF</t>
        </is>
      </c>
      <c r="B525" s="261">
        <f>VLOOKUP(A525, '[2]fund-selector'!$A$2:$F$853,6,FALSE)</f>
        <v/>
      </c>
      <c r="C525" s="258" t="inlineStr">
        <is>
          <t>--</t>
        </is>
      </c>
      <c r="D525" s="260" t="n">
        <v>0.44</v>
      </c>
      <c r="E525" s="259" t="n">
        <v>0</v>
      </c>
      <c r="F525" s="259" t="n">
        <v>0</v>
      </c>
      <c r="G525" s="260" t="n">
        <v>0.44</v>
      </c>
      <c r="H525" s="259" t="n">
        <v>0</v>
      </c>
      <c r="I525" s="259" t="n">
        <v>0</v>
      </c>
      <c r="J525" s="259" t="n">
        <v>0</v>
      </c>
      <c r="K525" s="259" t="n">
        <v>0</v>
      </c>
      <c r="L525" s="259" t="n">
        <v>0</v>
      </c>
    </row>
    <row r="526" hidden="1">
      <c r="A526" s="259" t="inlineStr">
        <is>
          <t>Mirae Asset Nifty India Internet ETF</t>
        </is>
      </c>
      <c r="B526" s="261">
        <f>VLOOKUP(A526, '[2]fund-selector'!$A$2:$F$853,6,FALSE)</f>
        <v/>
      </c>
      <c r="C526" s="258" t="inlineStr">
        <is>
          <t>--</t>
        </is>
      </c>
      <c r="D526" s="259" t="n">
        <v>0</v>
      </c>
      <c r="E526" s="259" t="n">
        <v>0</v>
      </c>
      <c r="F526" s="259" t="n">
        <v>0</v>
      </c>
      <c r="G526" s="259" t="n">
        <v>0</v>
      </c>
      <c r="H526" s="259" t="n">
        <v>0</v>
      </c>
      <c r="I526" s="259" t="n">
        <v>0</v>
      </c>
      <c r="J526" s="259" t="n">
        <v>0</v>
      </c>
      <c r="K526" s="259" t="n">
        <v>0</v>
      </c>
      <c r="L526" s="259" t="n">
        <v>0</v>
      </c>
    </row>
    <row r="527" hidden="1">
      <c r="A527" s="259" t="inlineStr">
        <is>
          <t>Mirae Asset Nifty India Manufacturing ETF</t>
        </is>
      </c>
      <c r="B527" s="261">
        <f>VLOOKUP(A527, '[2]fund-selector'!$A$2:$F$853,6,FALSE)</f>
        <v/>
      </c>
      <c r="C527" s="258" t="n">
        <v>-3.09</v>
      </c>
      <c r="D527" s="260" t="n">
        <v>0.5</v>
      </c>
      <c r="E527" s="260" t="n">
        <v>26</v>
      </c>
      <c r="F527" s="259" t="n">
        <v>0</v>
      </c>
      <c r="G527" s="260" t="n">
        <v>0.5</v>
      </c>
      <c r="H527" s="260" t="n">
        <v>16.42</v>
      </c>
      <c r="I527" s="260" t="n">
        <v>0.97</v>
      </c>
      <c r="J527" s="260" t="n">
        <v>1.41</v>
      </c>
      <c r="K527" s="260" t="n">
        <v>1.07</v>
      </c>
      <c r="L527" s="260" t="n">
        <v>3.62</v>
      </c>
    </row>
    <row r="528" hidden="1">
      <c r="A528" s="259" t="inlineStr">
        <is>
          <t>Mirae Asset Nifty India Manufacturing ETF FoF - Regular Plan</t>
        </is>
      </c>
      <c r="B528" s="261">
        <f>VLOOKUP(A528, '[2]fund-selector'!$A$2:$F$853,6,FALSE)</f>
        <v/>
      </c>
      <c r="C528" s="258" t="n">
        <v>-3.74</v>
      </c>
      <c r="D528" s="260" t="n">
        <v>0.46</v>
      </c>
      <c r="E528" s="260" t="n">
        <v>25.02</v>
      </c>
      <c r="F528" s="259" t="n">
        <v>0</v>
      </c>
      <c r="G528" s="260" t="n">
        <v>0.46</v>
      </c>
      <c r="H528" s="260" t="n">
        <v>16.35</v>
      </c>
      <c r="I528" s="260" t="n">
        <v>0.93</v>
      </c>
      <c r="J528" s="260" t="n">
        <v>1.35</v>
      </c>
      <c r="K528" s="260" t="n">
        <v>1.06</v>
      </c>
      <c r="L528" s="260" t="n">
        <v>2.96</v>
      </c>
    </row>
    <row r="529" hidden="1">
      <c r="A529" s="259" t="inlineStr">
        <is>
          <t>Mirae Asset Nifty LargeMidcap 250 Index Fund - Regular Plan</t>
        </is>
      </c>
      <c r="B529" s="261">
        <f>VLOOKUP(A529, '[2]fund-selector'!$A$2:$F$853,6,FALSE)</f>
        <v/>
      </c>
      <c r="C529" s="258" t="inlineStr">
        <is>
          <t>--</t>
        </is>
      </c>
      <c r="D529" s="260" t="n">
        <v>0.86</v>
      </c>
      <c r="E529" s="259" t="n">
        <v>0</v>
      </c>
      <c r="F529" s="259" t="n">
        <v>0</v>
      </c>
      <c r="G529" s="260" t="n">
        <v>0.86</v>
      </c>
      <c r="H529" s="259" t="n">
        <v>0</v>
      </c>
      <c r="I529" s="259" t="n">
        <v>0</v>
      </c>
      <c r="J529" s="259" t="n">
        <v>0</v>
      </c>
      <c r="K529" s="259" t="n">
        <v>0</v>
      </c>
      <c r="L529" s="259" t="n">
        <v>0</v>
      </c>
    </row>
    <row r="530" hidden="1">
      <c r="A530" s="259" t="inlineStr">
        <is>
          <t>Mirae Asset Nifty Metal ETF</t>
        </is>
      </c>
      <c r="B530" s="261">
        <f>VLOOKUP(A530, '[2]fund-selector'!$A$2:$F$853,6,FALSE)</f>
        <v/>
      </c>
      <c r="C530" s="258" t="inlineStr">
        <is>
          <t>--</t>
        </is>
      </c>
      <c r="D530" s="260" t="n">
        <v>0.27</v>
      </c>
      <c r="E530" s="259" t="n">
        <v>0</v>
      </c>
      <c r="F530" s="259" t="n">
        <v>0</v>
      </c>
      <c r="G530" s="260" t="n">
        <v>0.27</v>
      </c>
      <c r="H530" s="259" t="n">
        <v>0</v>
      </c>
      <c r="I530" s="259" t="n">
        <v>0</v>
      </c>
      <c r="J530" s="259" t="n">
        <v>0</v>
      </c>
      <c r="K530" s="259" t="n">
        <v>0</v>
      </c>
      <c r="L530" s="259" t="n">
        <v>0</v>
      </c>
    </row>
    <row r="531" hidden="1">
      <c r="A531" s="259" t="inlineStr">
        <is>
          <t>Mirae Asset Nifty Midcap 150 ETF</t>
        </is>
      </c>
      <c r="B531" s="261">
        <f>VLOOKUP(A531, '[2]fund-selector'!$A$2:$F$853,6,FALSE)</f>
        <v/>
      </c>
      <c r="C531" s="258" t="n">
        <v>2.55</v>
      </c>
      <c r="D531" s="260" t="n">
        <v>0.05</v>
      </c>
      <c r="E531" s="260" t="n">
        <v>29.65</v>
      </c>
      <c r="F531" s="259" t="n">
        <v>0</v>
      </c>
      <c r="G531" s="260" t="n">
        <v>0.05</v>
      </c>
      <c r="H531" s="260" t="n">
        <v>16.99</v>
      </c>
      <c r="I531" s="260" t="n">
        <v>1.11</v>
      </c>
      <c r="J531" s="260" t="n">
        <v>1.6</v>
      </c>
      <c r="K531" s="260" t="n">
        <v>1</v>
      </c>
      <c r="L531" s="260" t="n">
        <v>0.75</v>
      </c>
    </row>
    <row r="532" hidden="1">
      <c r="A532" s="259" t="inlineStr">
        <is>
          <t>Mirae Asset Nifty MidSmallcap400 Momentum Quality 100 ETF</t>
        </is>
      </c>
      <c r="B532" s="261">
        <f>VLOOKUP(A532, '[2]fund-selector'!$A$2:$F$853,6,FALSE)</f>
        <v/>
      </c>
      <c r="C532" s="258" t="n">
        <v>-4.85</v>
      </c>
      <c r="D532" s="260" t="n">
        <v>0.46</v>
      </c>
      <c r="E532" s="259" t="n">
        <v>0</v>
      </c>
      <c r="F532" s="259" t="n">
        <v>0</v>
      </c>
      <c r="G532" s="260" t="n">
        <v>0.46</v>
      </c>
      <c r="H532" s="259" t="n">
        <v>0</v>
      </c>
      <c r="I532" s="259" t="n">
        <v>0</v>
      </c>
      <c r="J532" s="259" t="n">
        <v>0</v>
      </c>
      <c r="K532" s="259" t="n">
        <v>0</v>
      </c>
      <c r="L532" s="259" t="n">
        <v>0</v>
      </c>
    </row>
    <row r="533" hidden="1">
      <c r="A533" s="259" t="inlineStr">
        <is>
          <t>Mirae Asset Nifty MidSmallcap400 Momentum Quality 100 ETF FoF - Regular Plan</t>
        </is>
      </c>
      <c r="B533" s="261">
        <f>VLOOKUP(A533, '[2]fund-selector'!$A$2:$F$853,6,FALSE)</f>
        <v/>
      </c>
      <c r="C533" s="258" t="n">
        <v>-6.2</v>
      </c>
      <c r="D533" s="260" t="n">
        <v>0.66</v>
      </c>
      <c r="E533" s="259" t="n">
        <v>0</v>
      </c>
      <c r="F533" s="259" t="n">
        <v>0</v>
      </c>
      <c r="G533" s="260" t="n">
        <v>0.66</v>
      </c>
      <c r="H533" s="259" t="n">
        <v>0</v>
      </c>
      <c r="I533" s="259" t="n">
        <v>0</v>
      </c>
      <c r="J533" s="259" t="n">
        <v>0</v>
      </c>
      <c r="K533" s="259" t="n">
        <v>0</v>
      </c>
      <c r="L533" s="259" t="n">
        <v>0</v>
      </c>
    </row>
    <row r="534" hidden="1">
      <c r="A534" s="259" t="inlineStr">
        <is>
          <t>Mirae Asset Nifty Next 50 ETF</t>
        </is>
      </c>
      <c r="B534" s="261">
        <f>VLOOKUP(A534, '[2]fund-selector'!$A$2:$F$853,6,FALSE)</f>
        <v/>
      </c>
      <c r="C534" s="258" t="n">
        <v>-7.35</v>
      </c>
      <c r="D534" s="260" t="n">
        <v>0.05</v>
      </c>
      <c r="E534" s="260" t="n">
        <v>23.14</v>
      </c>
      <c r="F534" s="260" t="n">
        <v>21.56</v>
      </c>
      <c r="G534" s="260" t="n">
        <v>0.05</v>
      </c>
      <c r="H534" s="260" t="n">
        <v>19.55</v>
      </c>
      <c r="I534" s="260" t="n">
        <v>0.72</v>
      </c>
      <c r="J534" s="260" t="n">
        <v>1.08</v>
      </c>
      <c r="K534" s="260" t="n">
        <v>1.3</v>
      </c>
      <c r="L534" s="260" t="n">
        <v>0.73</v>
      </c>
    </row>
    <row r="535" hidden="1">
      <c r="A535" s="259" t="inlineStr">
        <is>
          <t>Mirae Asset Nifty Smallcap 250 Momentum Quality 100 ETF</t>
        </is>
      </c>
      <c r="B535" s="261">
        <f>VLOOKUP(A535, '[2]fund-selector'!$A$2:$F$853,6,FALSE)</f>
        <v/>
      </c>
      <c r="C535" s="258" t="n">
        <v>-8.699999999999999</v>
      </c>
      <c r="D535" s="260" t="n">
        <v>0.47</v>
      </c>
      <c r="E535" s="259" t="n">
        <v>0</v>
      </c>
      <c r="F535" s="259" t="n">
        <v>0</v>
      </c>
      <c r="G535" s="260" t="n">
        <v>0.47</v>
      </c>
      <c r="H535" s="259" t="n">
        <v>0</v>
      </c>
      <c r="I535" s="259" t="n">
        <v>0</v>
      </c>
      <c r="J535" s="259" t="n">
        <v>0</v>
      </c>
      <c r="K535" s="259" t="n">
        <v>0</v>
      </c>
      <c r="L535" s="259" t="n">
        <v>0</v>
      </c>
    </row>
    <row r="536" hidden="1">
      <c r="A536" s="259" t="inlineStr">
        <is>
          <t>Mirae Asset Nifty Smallcap 250 Momentum Quality 100 ETF FoF - Regular Plan</t>
        </is>
      </c>
      <c r="B536" s="261">
        <f>VLOOKUP(A536, '[2]fund-selector'!$A$2:$F$853,6,FALSE)</f>
        <v/>
      </c>
      <c r="C536" s="258" t="n">
        <v>-9.779999999999999</v>
      </c>
      <c r="D536" s="260" t="n">
        <v>0.64</v>
      </c>
      <c r="E536" s="259" t="n">
        <v>0</v>
      </c>
      <c r="F536" s="259" t="n">
        <v>0</v>
      </c>
      <c r="G536" s="260" t="n">
        <v>0.64</v>
      </c>
      <c r="H536" s="259" t="n">
        <v>0</v>
      </c>
      <c r="I536" s="259" t="n">
        <v>0</v>
      </c>
      <c r="J536" s="259" t="n">
        <v>0</v>
      </c>
      <c r="K536" s="259" t="n">
        <v>0</v>
      </c>
      <c r="L536" s="259" t="n">
        <v>0</v>
      </c>
    </row>
    <row r="537" hidden="1">
      <c r="A537" s="259" t="inlineStr">
        <is>
          <t>Mirae Asset Nifty Total Market Index Fund - Regular Plan</t>
        </is>
      </c>
      <c r="B537" s="261">
        <f>VLOOKUP(A537, '[2]fund-selector'!$A$2:$F$853,6,FALSE)</f>
        <v/>
      </c>
      <c r="C537" s="258" t="inlineStr">
        <is>
          <t>--</t>
        </is>
      </c>
      <c r="D537" s="260" t="n">
        <v>0.91</v>
      </c>
      <c r="E537" s="259" t="n">
        <v>0</v>
      </c>
      <c r="F537" s="259" t="n">
        <v>0</v>
      </c>
      <c r="G537" s="260" t="n">
        <v>0.91</v>
      </c>
      <c r="H537" s="259" t="n">
        <v>0</v>
      </c>
      <c r="I537" s="259" t="n">
        <v>0</v>
      </c>
      <c r="J537" s="259" t="n">
        <v>0</v>
      </c>
      <c r="K537" s="259" t="n">
        <v>0</v>
      </c>
      <c r="L537" s="259" t="n">
        <v>0</v>
      </c>
    </row>
    <row r="538" hidden="1">
      <c r="A538" s="259" t="inlineStr">
        <is>
          <t>Mirae Asset Small Cap Fund - Regular Plan</t>
        </is>
      </c>
      <c r="B538" s="261">
        <f>VLOOKUP(A538, '[2]fund-selector'!$A$2:$F$853,6,FALSE)</f>
        <v/>
      </c>
      <c r="C538" s="258" t="inlineStr">
        <is>
          <t>--</t>
        </is>
      </c>
      <c r="D538" s="260" t="n">
        <v>2.05</v>
      </c>
      <c r="E538" s="259" t="n">
        <v>0</v>
      </c>
      <c r="F538" s="259" t="n">
        <v>0</v>
      </c>
      <c r="G538" s="260" t="n">
        <v>2.05</v>
      </c>
      <c r="H538" s="259" t="n">
        <v>0</v>
      </c>
      <c r="I538" s="259" t="n">
        <v>0</v>
      </c>
      <c r="J538" s="259" t="n">
        <v>0</v>
      </c>
      <c r="K538" s="259" t="n">
        <v>0</v>
      </c>
      <c r="L538" s="259" t="n">
        <v>0</v>
      </c>
    </row>
    <row r="539" hidden="1">
      <c r="A539" s="259" t="inlineStr">
        <is>
          <t>Motilal Oswal Active Momentum Fund - Regular Plan</t>
        </is>
      </c>
      <c r="B539" s="261">
        <f>VLOOKUP(A539, '[2]fund-selector'!$A$2:$F$853,6,FALSE)</f>
        <v/>
      </c>
      <c r="C539" s="258" t="inlineStr">
        <is>
          <t>--</t>
        </is>
      </c>
      <c r="D539" s="260" t="n">
        <v>2.68</v>
      </c>
      <c r="E539" s="259" t="n">
        <v>0</v>
      </c>
      <c r="F539" s="259" t="n">
        <v>0</v>
      </c>
      <c r="G539" s="260" t="n">
        <v>2.68</v>
      </c>
      <c r="H539" s="259" t="n">
        <v>0</v>
      </c>
      <c r="I539" s="259" t="n">
        <v>0</v>
      </c>
      <c r="J539" s="259" t="n">
        <v>0</v>
      </c>
      <c r="K539" s="259" t="n">
        <v>0</v>
      </c>
      <c r="L539" s="259" t="n">
        <v>0</v>
      </c>
    </row>
    <row r="540" hidden="1">
      <c r="A540" s="259" t="inlineStr">
        <is>
          <t>Motilal Oswal Arbitrage Fund - Regular Plan</t>
        </is>
      </c>
      <c r="B540" s="261">
        <f>VLOOKUP(A540, '[2]fund-selector'!$A$2:$F$853,6,FALSE)</f>
        <v/>
      </c>
      <c r="C540" s="258" t="inlineStr">
        <is>
          <t>--</t>
        </is>
      </c>
      <c r="D540" s="260" t="n">
        <v>1</v>
      </c>
      <c r="E540" s="259" t="n">
        <v>0</v>
      </c>
      <c r="F540" s="259" t="n">
        <v>0</v>
      </c>
      <c r="G540" s="260" t="n">
        <v>1</v>
      </c>
      <c r="H540" s="259" t="n">
        <v>0</v>
      </c>
      <c r="I540" s="259" t="n">
        <v>0</v>
      </c>
      <c r="J540" s="259" t="n">
        <v>0</v>
      </c>
      <c r="K540" s="259" t="n">
        <v>0</v>
      </c>
      <c r="L540" s="259" t="n">
        <v>0</v>
      </c>
    </row>
    <row r="541" hidden="1">
      <c r="A541" s="259" t="inlineStr">
        <is>
          <t>Motilal Oswal Asset Allocation Passive FoF - Aggressive - Regular Plan</t>
        </is>
      </c>
      <c r="B541" s="261">
        <f>VLOOKUP(A541, '[2]fund-selector'!$A$2:$F$853,6,FALSE)</f>
        <v/>
      </c>
      <c r="C541" s="258" t="n">
        <v>9.66</v>
      </c>
      <c r="D541" s="260" t="n">
        <v>0.51</v>
      </c>
      <c r="E541" s="260" t="n">
        <v>18.94</v>
      </c>
      <c r="F541" s="259" t="n">
        <v>0</v>
      </c>
      <c r="G541" s="260" t="n">
        <v>0.51</v>
      </c>
      <c r="H541" s="260" t="n">
        <v>8.869999999999999</v>
      </c>
      <c r="I541" s="260" t="n">
        <v>1.02</v>
      </c>
      <c r="J541" s="260" t="n">
        <v>1.74</v>
      </c>
      <c r="K541" s="260" t="n">
        <v>0.84</v>
      </c>
      <c r="L541" s="260" t="n">
        <v>1.53</v>
      </c>
    </row>
    <row r="542" hidden="1">
      <c r="A542" s="259" t="inlineStr">
        <is>
          <t>Motilal Oswal Asset Allocation Passive FoF - Conservative - Regular Plan</t>
        </is>
      </c>
      <c r="B542" s="261">
        <f>VLOOKUP(A542, '[2]fund-selector'!$A$2:$F$853,6,FALSE)</f>
        <v/>
      </c>
      <c r="C542" s="258" t="n">
        <v>10.78</v>
      </c>
      <c r="D542" s="260" t="n">
        <v>0.49</v>
      </c>
      <c r="E542" s="260" t="n">
        <v>14.98</v>
      </c>
      <c r="F542" s="259" t="n">
        <v>0</v>
      </c>
      <c r="G542" s="260" t="n">
        <v>0.49</v>
      </c>
      <c r="H542" s="260" t="n">
        <v>5.5</v>
      </c>
      <c r="I542" s="260" t="n">
        <v>1.17</v>
      </c>
      <c r="J542" s="260" t="n">
        <v>1.87</v>
      </c>
      <c r="K542" s="260" t="n">
        <v>0.48</v>
      </c>
      <c r="L542" s="260" t="n">
        <v>2.16</v>
      </c>
    </row>
    <row r="543" hidden="1">
      <c r="A543" s="259" t="inlineStr">
        <is>
          <t>Motilal Oswal Balanced Advantage Fund - Regular Plan</t>
        </is>
      </c>
      <c r="B543" s="261">
        <f>VLOOKUP(A543, '[2]fund-selector'!$A$2:$F$853,6,FALSE)</f>
        <v/>
      </c>
      <c r="C543" s="258" t="n">
        <v>-9.5</v>
      </c>
      <c r="D543" s="260" t="n">
        <v>2.27</v>
      </c>
      <c r="E543" s="260" t="n">
        <v>11.18</v>
      </c>
      <c r="F543" s="260" t="n">
        <v>8.460000000000001</v>
      </c>
      <c r="G543" s="260" t="n">
        <v>2.27</v>
      </c>
      <c r="H543" s="260" t="n">
        <v>14.27</v>
      </c>
      <c r="I543" s="260" t="n">
        <v>0.28</v>
      </c>
      <c r="J543" s="260" t="n">
        <v>0.39</v>
      </c>
      <c r="K543" s="260" t="n">
        <v>1.04</v>
      </c>
      <c r="L543" s="260" t="n">
        <v>-4.19</v>
      </c>
    </row>
    <row r="544" hidden="1">
      <c r="A544" s="259" t="inlineStr">
        <is>
          <t>Motilal Oswal BSE 1000 Index Fund - Regular Plan</t>
        </is>
      </c>
      <c r="B544" s="261">
        <f>VLOOKUP(A544, '[2]fund-selector'!$A$2:$F$853,6,FALSE)</f>
        <v/>
      </c>
      <c r="C544" s="258" t="inlineStr">
        <is>
          <t>--</t>
        </is>
      </c>
      <c r="D544" s="259" t="n">
        <v>0</v>
      </c>
      <c r="E544" s="259" t="n">
        <v>0</v>
      </c>
      <c r="F544" s="259" t="n">
        <v>0</v>
      </c>
      <c r="G544" s="259" t="n">
        <v>0</v>
      </c>
      <c r="H544" s="259" t="n">
        <v>0</v>
      </c>
      <c r="I544" s="259" t="n">
        <v>0</v>
      </c>
      <c r="J544" s="259" t="n">
        <v>0</v>
      </c>
      <c r="K544" s="259" t="n">
        <v>0</v>
      </c>
      <c r="L544" s="259" t="n">
        <v>0</v>
      </c>
    </row>
    <row r="545" hidden="1">
      <c r="A545" s="259" t="inlineStr">
        <is>
          <t>Motilal Oswal BSE Low Volatility ETF</t>
        </is>
      </c>
      <c r="B545" s="261">
        <f>VLOOKUP(A545, '[2]fund-selector'!$A$2:$F$853,6,FALSE)</f>
        <v/>
      </c>
      <c r="C545" s="258" t="n">
        <v>1.03</v>
      </c>
      <c r="D545" s="260" t="n">
        <v>0.37</v>
      </c>
      <c r="E545" s="260" t="n">
        <v>20.28</v>
      </c>
      <c r="F545" s="259" t="n">
        <v>0</v>
      </c>
      <c r="G545" s="260" t="n">
        <v>0.37</v>
      </c>
      <c r="H545" s="260" t="n">
        <v>13.56</v>
      </c>
      <c r="I545" s="260" t="n">
        <v>0.79</v>
      </c>
      <c r="J545" s="260" t="n">
        <v>1.21</v>
      </c>
      <c r="K545" s="260" t="n">
        <v>0.9</v>
      </c>
      <c r="L545" s="260" t="n">
        <v>0.78</v>
      </c>
    </row>
    <row r="546" hidden="1">
      <c r="A546" s="259" t="inlineStr">
        <is>
          <t>Motilal Oswal BSE Low Volatility Index Fund - Regular Plan</t>
        </is>
      </c>
      <c r="B546" s="261">
        <f>VLOOKUP(A546, '[2]fund-selector'!$A$2:$F$853,6,FALSE)</f>
        <v/>
      </c>
      <c r="C546" s="258" t="n">
        <v>0.12</v>
      </c>
      <c r="D546" s="260" t="n">
        <v>1.05</v>
      </c>
      <c r="E546" s="260" t="n">
        <v>19.08</v>
      </c>
      <c r="F546" s="259" t="n">
        <v>0</v>
      </c>
      <c r="G546" s="260" t="n">
        <v>1.05</v>
      </c>
      <c r="H546" s="260" t="n">
        <v>13.56</v>
      </c>
      <c r="I546" s="260" t="n">
        <v>0.71</v>
      </c>
      <c r="J546" s="260" t="n">
        <v>1.08</v>
      </c>
      <c r="K546" s="260" t="n">
        <v>0.9</v>
      </c>
      <c r="L546" s="260" t="n">
        <v>-0.24</v>
      </c>
    </row>
    <row r="547" hidden="1">
      <c r="A547" s="259" t="inlineStr">
        <is>
          <t>Motilal Oswal BSE Quality ETF</t>
        </is>
      </c>
      <c r="B547" s="261">
        <f>VLOOKUP(A547, '[2]fund-selector'!$A$2:$F$853,6,FALSE)</f>
        <v/>
      </c>
      <c r="C547" s="258" t="n">
        <v>-4.32</v>
      </c>
      <c r="D547" s="260" t="n">
        <v>0.31</v>
      </c>
      <c r="E547" s="259" t="n">
        <v>0</v>
      </c>
      <c r="F547" s="259" t="n">
        <v>0</v>
      </c>
      <c r="G547" s="260" t="n">
        <v>0.31</v>
      </c>
      <c r="H547" s="259" t="n">
        <v>0</v>
      </c>
      <c r="I547" s="259" t="n">
        <v>0</v>
      </c>
      <c r="J547" s="259" t="n">
        <v>0</v>
      </c>
      <c r="K547" s="259" t="n">
        <v>0</v>
      </c>
      <c r="L547" s="259" t="n">
        <v>0</v>
      </c>
    </row>
    <row r="548" hidden="1">
      <c r="A548" s="259" t="inlineStr">
        <is>
          <t>Motilal Oswal BSE Quality Index Fund - Regular Plan</t>
        </is>
      </c>
      <c r="B548" s="261">
        <f>VLOOKUP(A548, '[2]fund-selector'!$A$2:$F$853,6,FALSE)</f>
        <v/>
      </c>
      <c r="C548" s="258" t="n">
        <v>-4.89</v>
      </c>
      <c r="D548" s="260" t="n">
        <v>1.05</v>
      </c>
      <c r="E548" s="259" t="n">
        <v>0</v>
      </c>
      <c r="F548" s="259" t="n">
        <v>0</v>
      </c>
      <c r="G548" s="260" t="n">
        <v>1.05</v>
      </c>
      <c r="H548" s="259" t="n">
        <v>0</v>
      </c>
      <c r="I548" s="259" t="n">
        <v>0</v>
      </c>
      <c r="J548" s="259" t="n">
        <v>0</v>
      </c>
      <c r="K548" s="259" t="n">
        <v>0</v>
      </c>
      <c r="L548" s="259" t="n">
        <v>0</v>
      </c>
    </row>
    <row r="549" hidden="1">
      <c r="A549" s="259" t="inlineStr">
        <is>
          <t>Motilal Oswal Business Cycle Fund - Regular Plan</t>
        </is>
      </c>
      <c r="B549" s="261">
        <f>VLOOKUP(A549, '[2]fund-selector'!$A$2:$F$853,6,FALSE)</f>
        <v/>
      </c>
      <c r="C549" s="258" t="inlineStr">
        <is>
          <t>--</t>
        </is>
      </c>
      <c r="D549" s="260" t="n">
        <v>2.02</v>
      </c>
      <c r="E549" s="259" t="n">
        <v>0</v>
      </c>
      <c r="F549" s="259" t="n">
        <v>0</v>
      </c>
      <c r="G549" s="260" t="n">
        <v>2.02</v>
      </c>
      <c r="H549" s="259" t="n">
        <v>0</v>
      </c>
      <c r="I549" s="259" t="n">
        <v>0</v>
      </c>
      <c r="J549" s="259" t="n">
        <v>0</v>
      </c>
      <c r="K549" s="259" t="n">
        <v>0</v>
      </c>
      <c r="L549" s="259" t="n">
        <v>0</v>
      </c>
    </row>
    <row r="550" hidden="1">
      <c r="A550" s="259" t="inlineStr">
        <is>
          <t>Motilal Oswal Flexi Cap Fund - Regular Plan</t>
        </is>
      </c>
      <c r="B550" s="261">
        <f>VLOOKUP(A550, '[2]fund-selector'!$A$2:$F$853,6,FALSE)</f>
        <v/>
      </c>
      <c r="C550" s="258" t="n">
        <v>9.27</v>
      </c>
      <c r="D550" s="260" t="n">
        <v>1.72</v>
      </c>
      <c r="E550" s="260" t="n">
        <v>27.73</v>
      </c>
      <c r="F550" s="260" t="n">
        <v>21.35</v>
      </c>
      <c r="G550" s="260" t="n">
        <v>1.72</v>
      </c>
      <c r="H550" s="260" t="n">
        <v>16.01</v>
      </c>
      <c r="I550" s="260" t="n">
        <v>1.07</v>
      </c>
      <c r="J550" s="260" t="n">
        <v>1.35</v>
      </c>
      <c r="K550" s="260" t="n">
        <v>0.9</v>
      </c>
      <c r="L550" s="260" t="n">
        <v>6.75</v>
      </c>
    </row>
    <row r="551" hidden="1">
      <c r="A551" s="259" t="inlineStr">
        <is>
          <t>Motilal Oswal Focused Fund - Regular Plan</t>
        </is>
      </c>
      <c r="B551" s="261">
        <f>VLOOKUP(A551, '[2]fund-selector'!$A$2:$F$853,6,FALSE)</f>
        <v/>
      </c>
      <c r="C551" s="258" t="n">
        <v>-6.97</v>
      </c>
      <c r="D551" s="260" t="n">
        <v>2.14</v>
      </c>
      <c r="E551" s="260" t="n">
        <v>13.86</v>
      </c>
      <c r="F551" s="260" t="n">
        <v>14.43</v>
      </c>
      <c r="G551" s="260" t="n">
        <v>2.14</v>
      </c>
      <c r="H551" s="260" t="n">
        <v>18.5</v>
      </c>
      <c r="I551" s="260" t="n">
        <v>0.37</v>
      </c>
      <c r="J551" s="260" t="n">
        <v>0.51</v>
      </c>
      <c r="K551" s="260" t="n">
        <v>1.1</v>
      </c>
      <c r="L551" s="260" t="n">
        <v>-5.82</v>
      </c>
    </row>
    <row r="552" hidden="1">
      <c r="A552" s="259" t="inlineStr">
        <is>
          <t>Motilal Oswal Innovation Opportunities Fund - Regular Plan</t>
        </is>
      </c>
      <c r="B552" s="261">
        <f>VLOOKUP(A552, '[2]fund-selector'!$A$2:$F$853,6,FALSE)</f>
        <v/>
      </c>
      <c r="C552" s="258" t="inlineStr">
        <is>
          <t>--</t>
        </is>
      </c>
      <c r="D552" s="260" t="n">
        <v>2.43</v>
      </c>
      <c r="E552" s="259" t="n">
        <v>0</v>
      </c>
      <c r="F552" s="259" t="n">
        <v>0</v>
      </c>
      <c r="G552" s="260" t="n">
        <v>2.43</v>
      </c>
      <c r="H552" s="259" t="n">
        <v>0</v>
      </c>
      <c r="I552" s="259" t="n">
        <v>0</v>
      </c>
      <c r="J552" s="259" t="n">
        <v>0</v>
      </c>
      <c r="K552" s="259" t="n">
        <v>0</v>
      </c>
      <c r="L552" s="259" t="n">
        <v>0</v>
      </c>
    </row>
    <row r="553" hidden="1">
      <c r="A553" s="259" t="inlineStr">
        <is>
          <t>Motilal Oswal Large and Midcap Fund - Regular Plan</t>
        </is>
      </c>
      <c r="B553" s="261">
        <f>VLOOKUP(A553, '[2]fund-selector'!$A$2:$F$853,6,FALSE)</f>
        <v/>
      </c>
      <c r="C553" s="258" t="n">
        <v>11.4</v>
      </c>
      <c r="D553" s="260" t="n">
        <v>1.73</v>
      </c>
      <c r="E553" s="260" t="n">
        <v>33.64</v>
      </c>
      <c r="F553" s="260" t="n">
        <v>29.14</v>
      </c>
      <c r="G553" s="260" t="n">
        <v>1.73</v>
      </c>
      <c r="H553" s="260" t="n">
        <v>19.22</v>
      </c>
      <c r="I553" s="260" t="n">
        <v>1.19</v>
      </c>
      <c r="J553" s="260" t="n">
        <v>1.32</v>
      </c>
      <c r="K553" s="260" t="n">
        <v>1.09</v>
      </c>
      <c r="L553" s="260" t="n">
        <v>10.73</v>
      </c>
    </row>
    <row r="554" hidden="1">
      <c r="A554" s="259" t="inlineStr">
        <is>
          <t>Motilal Oswal Large Cap Fund - Regular Plan</t>
        </is>
      </c>
      <c r="B554" s="261">
        <f>VLOOKUP(A554, '[2]fund-selector'!$A$2:$F$853,6,FALSE)</f>
        <v/>
      </c>
      <c r="C554" s="258" t="n">
        <v>16.5</v>
      </c>
      <c r="D554" s="260" t="n">
        <v>2.01</v>
      </c>
      <c r="E554" s="259" t="n">
        <v>0</v>
      </c>
      <c r="F554" s="259" t="n">
        <v>0</v>
      </c>
      <c r="G554" s="260" t="n">
        <v>2.01</v>
      </c>
      <c r="H554" s="259" t="n">
        <v>0</v>
      </c>
      <c r="I554" s="259" t="n">
        <v>0</v>
      </c>
      <c r="J554" s="259" t="n">
        <v>0</v>
      </c>
      <c r="K554" s="259" t="n">
        <v>0</v>
      </c>
      <c r="L554" s="259" t="n">
        <v>0</v>
      </c>
    </row>
    <row r="555" hidden="1">
      <c r="A555" s="259" t="inlineStr">
        <is>
          <t>Motilal Oswal Manufacturing Fund - Regular Plan</t>
        </is>
      </c>
      <c r="B555" s="261">
        <f>VLOOKUP(A555, '[2]fund-selector'!$A$2:$F$853,6,FALSE)</f>
        <v/>
      </c>
      <c r="C555" s="258" t="inlineStr">
        <is>
          <t>--</t>
        </is>
      </c>
      <c r="D555" s="260" t="n">
        <v>2.3</v>
      </c>
      <c r="E555" s="259" t="n">
        <v>0</v>
      </c>
      <c r="F555" s="259" t="n">
        <v>0</v>
      </c>
      <c r="G555" s="260" t="n">
        <v>2.3</v>
      </c>
      <c r="H555" s="259" t="n">
        <v>0</v>
      </c>
      <c r="I555" s="259" t="n">
        <v>0</v>
      </c>
      <c r="J555" s="259" t="n">
        <v>0</v>
      </c>
      <c r="K555" s="259" t="n">
        <v>0</v>
      </c>
      <c r="L555" s="259" t="n">
        <v>0</v>
      </c>
    </row>
    <row r="556" hidden="1">
      <c r="A556" s="259" t="inlineStr">
        <is>
          <t>Motilal Oswal Midcap Fund - Regular Plan</t>
        </is>
      </c>
      <c r="B556" s="261">
        <f>VLOOKUP(A556, '[2]fund-selector'!$A$2:$F$853,6,FALSE)</f>
        <v/>
      </c>
      <c r="C556" s="258" t="n">
        <v>7.47</v>
      </c>
      <c r="D556" s="260" t="n">
        <v>1.58</v>
      </c>
      <c r="E556" s="260" t="n">
        <v>35.39</v>
      </c>
      <c r="F556" s="260" t="n">
        <v>36.03</v>
      </c>
      <c r="G556" s="260" t="n">
        <v>1.58</v>
      </c>
      <c r="H556" s="260" t="n">
        <v>18.2</v>
      </c>
      <c r="I556" s="260" t="n">
        <v>1.27</v>
      </c>
      <c r="J556" s="260" t="n">
        <v>1.56</v>
      </c>
      <c r="K556" s="260" t="n">
        <v>0.89</v>
      </c>
      <c r="L556" s="260" t="n">
        <v>7.1</v>
      </c>
    </row>
    <row r="557" hidden="1">
      <c r="A557" s="259" t="inlineStr">
        <is>
          <t>Motilal Oswal Multi Asset Fund - Regular Plan</t>
        </is>
      </c>
      <c r="B557" s="261">
        <f>VLOOKUP(A557, '[2]fund-selector'!$A$2:$F$853,6,FALSE)</f>
        <v/>
      </c>
      <c r="C557" s="258" t="n">
        <v>-9.140000000000001</v>
      </c>
      <c r="D557" s="260" t="n">
        <v>2.04</v>
      </c>
      <c r="E557" s="260" t="n">
        <v>5.2</v>
      </c>
      <c r="F557" s="259" t="n">
        <v>0</v>
      </c>
      <c r="G557" s="260" t="n">
        <v>2.04</v>
      </c>
      <c r="H557" s="260" t="n">
        <v>9.630000000000001</v>
      </c>
      <c r="I557" s="260" t="n">
        <v>-0.16</v>
      </c>
      <c r="J557" s="260" t="n">
        <v>-0.19</v>
      </c>
      <c r="K557" s="260" t="n">
        <v>0.73</v>
      </c>
      <c r="L557" s="260" t="n">
        <v>-8.029999999999999</v>
      </c>
    </row>
    <row r="558" hidden="1">
      <c r="A558" s="259" t="inlineStr">
        <is>
          <t>Motilal Oswal Multi Cap Fund - Regular Plan</t>
        </is>
      </c>
      <c r="B558" s="261">
        <f>VLOOKUP(A558, '[2]fund-selector'!$A$2:$F$853,6,FALSE)</f>
        <v/>
      </c>
      <c r="C558" s="258" t="inlineStr">
        <is>
          <t>--</t>
        </is>
      </c>
      <c r="D558" s="260" t="n">
        <v>1.88</v>
      </c>
      <c r="E558" s="259" t="n">
        <v>0</v>
      </c>
      <c r="F558" s="259" t="n">
        <v>0</v>
      </c>
      <c r="G558" s="260" t="n">
        <v>1.88</v>
      </c>
      <c r="H558" s="259" t="n">
        <v>0</v>
      </c>
      <c r="I558" s="259" t="n">
        <v>0</v>
      </c>
      <c r="J558" s="259" t="n">
        <v>0</v>
      </c>
      <c r="K558" s="259" t="n">
        <v>0</v>
      </c>
      <c r="L558" s="259" t="n">
        <v>0</v>
      </c>
    </row>
    <row r="559" hidden="1">
      <c r="A559" s="259" t="inlineStr">
        <is>
          <t>Motilal Oswal Nifty 200 Momentum 30 ETF</t>
        </is>
      </c>
      <c r="B559" s="261">
        <f>VLOOKUP(A559, '[2]fund-selector'!$A$2:$F$853,6,FALSE)</f>
        <v/>
      </c>
      <c r="C559" s="258" t="n">
        <v>-12.81</v>
      </c>
      <c r="D559" s="260" t="n">
        <v>0.3</v>
      </c>
      <c r="E559" s="260" t="n">
        <v>24.67</v>
      </c>
      <c r="F559" s="259" t="n">
        <v>0</v>
      </c>
      <c r="G559" s="260" t="n">
        <v>0.3</v>
      </c>
      <c r="H559" s="260" t="n">
        <v>19.37</v>
      </c>
      <c r="I559" s="260" t="n">
        <v>0.71</v>
      </c>
      <c r="J559" s="260" t="n">
        <v>1.01</v>
      </c>
      <c r="K559" s="260" t="n">
        <v>1.23</v>
      </c>
      <c r="L559" s="260" t="n">
        <v>0.22</v>
      </c>
    </row>
    <row r="560" hidden="1">
      <c r="A560" s="259" t="inlineStr">
        <is>
          <t>Motilal Oswal Nifty 200 Momentum 30 Index Fund - Regular Plan</t>
        </is>
      </c>
      <c r="B560" s="261">
        <f>VLOOKUP(A560, '[2]fund-selector'!$A$2:$F$853,6,FALSE)</f>
        <v/>
      </c>
      <c r="C560" s="258" t="n">
        <v>-13.39</v>
      </c>
      <c r="D560" s="260" t="n">
        <v>1</v>
      </c>
      <c r="E560" s="260" t="n">
        <v>23.92</v>
      </c>
      <c r="F560" s="259" t="n">
        <v>0</v>
      </c>
      <c r="G560" s="260" t="n">
        <v>1</v>
      </c>
      <c r="H560" s="260" t="n">
        <v>19.3</v>
      </c>
      <c r="I560" s="260" t="n">
        <v>0.68</v>
      </c>
      <c r="J560" s="260" t="n">
        <v>0.97</v>
      </c>
      <c r="K560" s="260" t="n">
        <v>1.22</v>
      </c>
      <c r="L560" s="260" t="n">
        <v>-0.34</v>
      </c>
    </row>
    <row r="561" hidden="1">
      <c r="A561" s="259" t="inlineStr">
        <is>
          <t>Motilal Oswal Nifty 500 ETF</t>
        </is>
      </c>
      <c r="B561" s="261">
        <f>VLOOKUP(A561, '[2]fund-selector'!$A$2:$F$853,6,FALSE)</f>
        <v/>
      </c>
      <c r="C561" s="258" t="n">
        <v>3.13</v>
      </c>
      <c r="D561" s="260" t="n">
        <v>0.21</v>
      </c>
      <c r="E561" s="259" t="n">
        <v>0</v>
      </c>
      <c r="F561" s="259" t="n">
        <v>0</v>
      </c>
      <c r="G561" s="260" t="n">
        <v>0.21</v>
      </c>
      <c r="H561" s="259" t="n">
        <v>0</v>
      </c>
      <c r="I561" s="259" t="n">
        <v>0</v>
      </c>
      <c r="J561" s="259" t="n">
        <v>0</v>
      </c>
      <c r="K561" s="259" t="n">
        <v>0</v>
      </c>
      <c r="L561" s="259" t="n">
        <v>0</v>
      </c>
    </row>
    <row r="562" hidden="1">
      <c r="A562" s="259" t="inlineStr">
        <is>
          <t>Motilal Oswal Nifty 500 Index Fund - Regular Plan</t>
        </is>
      </c>
      <c r="B562" s="261">
        <f>VLOOKUP(A562, '[2]fund-selector'!$A$2:$F$853,6,FALSE)</f>
        <v/>
      </c>
      <c r="C562" s="258" t="n">
        <v>2.43</v>
      </c>
      <c r="D562" s="260" t="n">
        <v>0.88</v>
      </c>
      <c r="E562" s="260" t="n">
        <v>20.35</v>
      </c>
      <c r="F562" s="260" t="n">
        <v>21.83</v>
      </c>
      <c r="G562" s="260" t="n">
        <v>0.88</v>
      </c>
      <c r="H562" s="260" t="n">
        <v>14.47</v>
      </c>
      <c r="I562" s="260" t="n">
        <v>0.74</v>
      </c>
      <c r="J562" s="260" t="n">
        <v>1.17</v>
      </c>
      <c r="K562" s="260" t="n">
        <v>1</v>
      </c>
      <c r="L562" s="260" t="n">
        <v>-0.78</v>
      </c>
    </row>
    <row r="563" hidden="1">
      <c r="A563" s="259" t="inlineStr">
        <is>
          <t>Motilal Oswal Nifty 500 Momentum 50 ETF</t>
        </is>
      </c>
      <c r="B563" s="261">
        <f>VLOOKUP(A563, '[2]fund-selector'!$A$2:$F$853,6,FALSE)</f>
        <v/>
      </c>
      <c r="C563" s="258" t="inlineStr">
        <is>
          <t>--</t>
        </is>
      </c>
      <c r="D563" s="260" t="n">
        <v>0.41</v>
      </c>
      <c r="E563" s="259" t="n">
        <v>0</v>
      </c>
      <c r="F563" s="259" t="n">
        <v>0</v>
      </c>
      <c r="G563" s="260" t="n">
        <v>0.41</v>
      </c>
      <c r="H563" s="259" t="n">
        <v>0</v>
      </c>
      <c r="I563" s="259" t="n">
        <v>0</v>
      </c>
      <c r="J563" s="259" t="n">
        <v>0</v>
      </c>
      <c r="K563" s="259" t="n">
        <v>0</v>
      </c>
      <c r="L563" s="259" t="n">
        <v>0</v>
      </c>
    </row>
    <row r="564" hidden="1">
      <c r="A564" s="259" t="inlineStr">
        <is>
          <t>Motilal Oswal Nifty 500 Momentum 50 Index Fund - Regular Plan</t>
        </is>
      </c>
      <c r="B564" s="261">
        <f>VLOOKUP(A564, '[2]fund-selector'!$A$2:$F$853,6,FALSE)</f>
        <v/>
      </c>
      <c r="C564" s="258" t="inlineStr">
        <is>
          <t>--</t>
        </is>
      </c>
      <c r="D564" s="260" t="n">
        <v>1.09</v>
      </c>
      <c r="E564" s="259" t="n">
        <v>0</v>
      </c>
      <c r="F564" s="259" t="n">
        <v>0</v>
      </c>
      <c r="G564" s="260" t="n">
        <v>1.09</v>
      </c>
      <c r="H564" s="259" t="n">
        <v>0</v>
      </c>
      <c r="I564" s="259" t="n">
        <v>0</v>
      </c>
      <c r="J564" s="259" t="n">
        <v>0</v>
      </c>
      <c r="K564" s="259" t="n">
        <v>0</v>
      </c>
      <c r="L564" s="259" t="n">
        <v>0</v>
      </c>
    </row>
    <row r="565" hidden="1">
      <c r="A565" s="259" t="inlineStr">
        <is>
          <t>Motilal Oswal Nifty 50 Equal Weight ETF</t>
        </is>
      </c>
      <c r="B565" s="261">
        <f>VLOOKUP(A565, '[2]fund-selector'!$A$2:$F$853,6,FALSE)</f>
        <v/>
      </c>
      <c r="C565" s="258" t="inlineStr">
        <is>
          <t>--</t>
        </is>
      </c>
      <c r="D565" s="260" t="n">
        <v>0.15</v>
      </c>
      <c r="E565" s="259" t="n">
        <v>0</v>
      </c>
      <c r="F565" s="259" t="n">
        <v>0</v>
      </c>
      <c r="G565" s="260" t="n">
        <v>0.15</v>
      </c>
      <c r="H565" s="259" t="n">
        <v>0</v>
      </c>
      <c r="I565" s="259" t="n">
        <v>0</v>
      </c>
      <c r="J565" s="259" t="n">
        <v>0</v>
      </c>
      <c r="K565" s="259" t="n">
        <v>0</v>
      </c>
      <c r="L565" s="259" t="n">
        <v>0</v>
      </c>
    </row>
    <row r="566" hidden="1">
      <c r="A566" s="259" t="inlineStr">
        <is>
          <t>Motilal Oswal Nifty 50 ETF</t>
        </is>
      </c>
      <c r="B566" s="261">
        <f>VLOOKUP(A566, '[2]fund-selector'!$A$2:$F$853,6,FALSE)</f>
        <v/>
      </c>
      <c r="C566" s="258" t="n">
        <v>6.47</v>
      </c>
      <c r="D566" s="260" t="n">
        <v>0.06</v>
      </c>
      <c r="E566" s="260" t="n">
        <v>18.64</v>
      </c>
      <c r="F566" s="260" t="n">
        <v>20.6</v>
      </c>
      <c r="G566" s="260" t="n">
        <v>0.06</v>
      </c>
      <c r="H566" s="260" t="n">
        <v>13.14</v>
      </c>
      <c r="I566" s="260" t="n">
        <v>0.6899999999999999</v>
      </c>
      <c r="J566" s="260" t="n">
        <v>1.17</v>
      </c>
      <c r="K566" s="260" t="n">
        <v>0.95</v>
      </c>
      <c r="L566" s="260" t="n">
        <v>-0.74</v>
      </c>
    </row>
    <row r="567" hidden="1">
      <c r="A567" s="259" t="inlineStr">
        <is>
          <t>Motilal Oswal Nifty 50 Index Fund - Regular Plan</t>
        </is>
      </c>
      <c r="B567" s="261">
        <f>VLOOKUP(A567, '[2]fund-selector'!$A$2:$F$853,6,FALSE)</f>
        <v/>
      </c>
      <c r="C567" s="258" t="n">
        <v>5.93</v>
      </c>
      <c r="D567" s="260" t="n">
        <v>0.51</v>
      </c>
      <c r="E567" s="260" t="n">
        <v>18.02</v>
      </c>
      <c r="F567" s="260" t="n">
        <v>19.9</v>
      </c>
      <c r="G567" s="260" t="n">
        <v>0.51</v>
      </c>
      <c r="H567" s="260" t="n">
        <v>13.14</v>
      </c>
      <c r="I567" s="260" t="n">
        <v>0.65</v>
      </c>
      <c r="J567" s="260" t="n">
        <v>1.11</v>
      </c>
      <c r="K567" s="260" t="n">
        <v>0.95</v>
      </c>
      <c r="L567" s="260" t="n">
        <v>-1.27</v>
      </c>
    </row>
    <row r="568" hidden="1">
      <c r="A568" s="259" t="inlineStr">
        <is>
          <t>Motilal Oswal Nifty Capital Market ETF</t>
        </is>
      </c>
      <c r="B568" s="261">
        <f>VLOOKUP(A568, '[2]fund-selector'!$A$2:$F$853,6,FALSE)</f>
        <v/>
      </c>
      <c r="C568" s="258" t="inlineStr">
        <is>
          <t>--</t>
        </is>
      </c>
      <c r="D568" s="260" t="n">
        <v>0.52</v>
      </c>
      <c r="E568" s="259" t="n">
        <v>0</v>
      </c>
      <c r="F568" s="259" t="n">
        <v>0</v>
      </c>
      <c r="G568" s="260" t="n">
        <v>0.52</v>
      </c>
      <c r="H568" s="259" t="n">
        <v>0</v>
      </c>
      <c r="I568" s="259" t="n">
        <v>0</v>
      </c>
      <c r="J568" s="259" t="n">
        <v>0</v>
      </c>
      <c r="K568" s="259" t="n">
        <v>0</v>
      </c>
      <c r="L568" s="259" t="n">
        <v>0</v>
      </c>
    </row>
    <row r="569" hidden="1">
      <c r="A569" s="259" t="inlineStr">
        <is>
          <t>Motilal Oswal Nifty Capital Market Index Fund - Regular Plan</t>
        </is>
      </c>
      <c r="B569" s="261">
        <f>VLOOKUP(A569, '[2]fund-selector'!$A$2:$F$853,6,FALSE)</f>
        <v/>
      </c>
      <c r="C569" s="258" t="inlineStr">
        <is>
          <t>--</t>
        </is>
      </c>
      <c r="D569" s="260" t="n">
        <v>1.1</v>
      </c>
      <c r="E569" s="259" t="n">
        <v>0</v>
      </c>
      <c r="F569" s="259" t="n">
        <v>0</v>
      </c>
      <c r="G569" s="260" t="n">
        <v>1.1</v>
      </c>
      <c r="H569" s="259" t="n">
        <v>0</v>
      </c>
      <c r="I569" s="259" t="n">
        <v>0</v>
      </c>
      <c r="J569" s="259" t="n">
        <v>0</v>
      </c>
      <c r="K569" s="259" t="n">
        <v>0</v>
      </c>
      <c r="L569" s="259" t="n">
        <v>0</v>
      </c>
    </row>
    <row r="570" hidden="1">
      <c r="A570" s="259" t="inlineStr">
        <is>
          <t>Motilal Oswal Nifty India Defence ETF</t>
        </is>
      </c>
      <c r="B570" s="261">
        <f>VLOOKUP(A570, '[2]fund-selector'!$A$2:$F$853,6,FALSE)</f>
        <v/>
      </c>
      <c r="C570" s="258" t="inlineStr">
        <is>
          <t>--</t>
        </is>
      </c>
      <c r="D570" s="260" t="n">
        <v>0.41</v>
      </c>
      <c r="E570" s="259" t="n">
        <v>0</v>
      </c>
      <c r="F570" s="259" t="n">
        <v>0</v>
      </c>
      <c r="G570" s="260" t="n">
        <v>0.41</v>
      </c>
      <c r="H570" s="259" t="n">
        <v>0</v>
      </c>
      <c r="I570" s="259" t="n">
        <v>0</v>
      </c>
      <c r="J570" s="259" t="n">
        <v>0</v>
      </c>
      <c r="K570" s="259" t="n">
        <v>0</v>
      </c>
      <c r="L570" s="259" t="n">
        <v>0</v>
      </c>
    </row>
    <row r="571" hidden="1">
      <c r="A571" s="259" t="inlineStr">
        <is>
          <t>Motilal Oswal Nifty India Defence Index Fund - Regular Plan</t>
        </is>
      </c>
      <c r="B571" s="261">
        <f>VLOOKUP(A571, '[2]fund-selector'!$A$2:$F$853,6,FALSE)</f>
        <v/>
      </c>
      <c r="C571" s="258" t="inlineStr">
        <is>
          <t>--</t>
        </is>
      </c>
      <c r="D571" s="260" t="n">
        <v>1.1</v>
      </c>
      <c r="E571" s="259" t="n">
        <v>0</v>
      </c>
      <c r="F571" s="259" t="n">
        <v>0</v>
      </c>
      <c r="G571" s="260" t="n">
        <v>1.1</v>
      </c>
      <c r="H571" s="259" t="n">
        <v>0</v>
      </c>
      <c r="I571" s="259" t="n">
        <v>0</v>
      </c>
      <c r="J571" s="259" t="n">
        <v>0</v>
      </c>
      <c r="K571" s="259" t="n">
        <v>0</v>
      </c>
      <c r="L571" s="259" t="n">
        <v>0</v>
      </c>
    </row>
    <row r="572" hidden="1">
      <c r="A572" s="259" t="inlineStr">
        <is>
          <t>Motilal Oswal Nifty India Manufacturing ETF</t>
        </is>
      </c>
      <c r="B572" s="261">
        <f>VLOOKUP(A572, '[2]fund-selector'!$A$2:$F$853,6,FALSE)</f>
        <v/>
      </c>
      <c r="C572" s="258" t="inlineStr">
        <is>
          <t>--</t>
        </is>
      </c>
      <c r="D572" s="260" t="n">
        <v>0.31</v>
      </c>
      <c r="E572" s="259" t="n">
        <v>0</v>
      </c>
      <c r="F572" s="259" t="n">
        <v>0</v>
      </c>
      <c r="G572" s="260" t="n">
        <v>0.31</v>
      </c>
      <c r="H572" s="259" t="n">
        <v>0</v>
      </c>
      <c r="I572" s="259" t="n">
        <v>0</v>
      </c>
      <c r="J572" s="259" t="n">
        <v>0</v>
      </c>
      <c r="K572" s="259" t="n">
        <v>0</v>
      </c>
      <c r="L572" s="259" t="n">
        <v>0</v>
      </c>
    </row>
    <row r="573" hidden="1">
      <c r="A573" s="259" t="inlineStr">
        <is>
          <t>Motilal Oswal Nifty India Tourism ETF</t>
        </is>
      </c>
      <c r="B573" s="261">
        <f>VLOOKUP(A573, '[2]fund-selector'!$A$2:$F$853,6,FALSE)</f>
        <v/>
      </c>
      <c r="C573" s="258" t="inlineStr">
        <is>
          <t>--</t>
        </is>
      </c>
      <c r="D573" s="259" t="n">
        <v>0</v>
      </c>
      <c r="E573" s="259" t="n">
        <v>0</v>
      </c>
      <c r="F573" s="259" t="n">
        <v>0</v>
      </c>
      <c r="G573" s="259" t="n">
        <v>0</v>
      </c>
      <c r="H573" s="259" t="n">
        <v>0</v>
      </c>
      <c r="I573" s="259" t="n">
        <v>0</v>
      </c>
      <c r="J573" s="259" t="n">
        <v>0</v>
      </c>
      <c r="K573" s="259" t="n">
        <v>0</v>
      </c>
      <c r="L573" s="259" t="n">
        <v>0</v>
      </c>
    </row>
    <row r="574" hidden="1">
      <c r="A574" s="259" t="inlineStr">
        <is>
          <t>Motilal Oswal Nifty Microcap 250 Index Fund - Regular Plan</t>
        </is>
      </c>
      <c r="B574" s="261">
        <f>VLOOKUP(A574, '[2]fund-selector'!$A$2:$F$853,6,FALSE)</f>
        <v/>
      </c>
      <c r="C574" s="258" t="n">
        <v>0.75</v>
      </c>
      <c r="D574" s="260" t="n">
        <v>1.11</v>
      </c>
      <c r="E574" s="259" t="n">
        <v>0</v>
      </c>
      <c r="F574" s="259" t="n">
        <v>0</v>
      </c>
      <c r="G574" s="260" t="n">
        <v>1.11</v>
      </c>
      <c r="H574" s="259" t="n">
        <v>0</v>
      </c>
      <c r="I574" s="259" t="n">
        <v>0</v>
      </c>
      <c r="J574" s="259" t="n">
        <v>0</v>
      </c>
      <c r="K574" s="259" t="n">
        <v>0</v>
      </c>
      <c r="L574" s="259" t="n">
        <v>0</v>
      </c>
    </row>
    <row r="575" hidden="1">
      <c r="A575" s="259" t="inlineStr">
        <is>
          <t>Motilal Oswal Nifty Midcap 100 ETF</t>
        </is>
      </c>
      <c r="B575" s="261">
        <f>VLOOKUP(A575, '[2]fund-selector'!$A$2:$F$853,6,FALSE)</f>
        <v/>
      </c>
      <c r="C575" s="258" t="n">
        <v>4.52</v>
      </c>
      <c r="D575" s="260" t="n">
        <v>0.23</v>
      </c>
      <c r="E575" s="260" t="n">
        <v>30.74</v>
      </c>
      <c r="F575" s="260" t="n">
        <v>31.9</v>
      </c>
      <c r="G575" s="260" t="n">
        <v>0.23</v>
      </c>
      <c r="H575" s="260" t="n">
        <v>17.89</v>
      </c>
      <c r="I575" s="260" t="n">
        <v>1.1</v>
      </c>
      <c r="J575" s="260" t="n">
        <v>1.6</v>
      </c>
      <c r="K575" s="260" t="n">
        <v>1.05</v>
      </c>
      <c r="L575" s="260" t="n">
        <v>0.67</v>
      </c>
    </row>
    <row r="576" hidden="1">
      <c r="A576" s="259" t="inlineStr">
        <is>
          <t>Motilal Oswal Nifty Midcap 150 Index Fund - Regular Plan</t>
        </is>
      </c>
      <c r="B576" s="261">
        <f>VLOOKUP(A576, '[2]fund-selector'!$A$2:$F$853,6,FALSE)</f>
        <v/>
      </c>
      <c r="C576" s="258" t="n">
        <v>1.75</v>
      </c>
      <c r="D576" s="260" t="n">
        <v>1</v>
      </c>
      <c r="E576" s="260" t="n">
        <v>28.57</v>
      </c>
      <c r="F576" s="260" t="n">
        <v>29.83</v>
      </c>
      <c r="G576" s="260" t="n">
        <v>1</v>
      </c>
      <c r="H576" s="260" t="n">
        <v>17</v>
      </c>
      <c r="I576" s="260" t="n">
        <v>1.06</v>
      </c>
      <c r="J576" s="260" t="n">
        <v>1.53</v>
      </c>
      <c r="K576" s="260" t="n">
        <v>1</v>
      </c>
      <c r="L576" s="260" t="n">
        <v>-0.09</v>
      </c>
    </row>
    <row r="577" hidden="1">
      <c r="A577" s="259" t="inlineStr">
        <is>
          <t>Motilal Oswal Nifty MidSmall IT and Telecom Index Fund - Regular Plan</t>
        </is>
      </c>
      <c r="B577" s="261">
        <f>VLOOKUP(A577, '[2]fund-selector'!$A$2:$F$853,6,FALSE)</f>
        <v/>
      </c>
      <c r="C577" s="258" t="inlineStr">
        <is>
          <t>--</t>
        </is>
      </c>
      <c r="D577" s="260" t="n">
        <v>1.1</v>
      </c>
      <c r="E577" s="259" t="n">
        <v>0</v>
      </c>
      <c r="F577" s="259" t="n">
        <v>0</v>
      </c>
      <c r="G577" s="260" t="n">
        <v>1.1</v>
      </c>
      <c r="H577" s="259" t="n">
        <v>0</v>
      </c>
      <c r="I577" s="259" t="n">
        <v>0</v>
      </c>
      <c r="J577" s="259" t="n">
        <v>0</v>
      </c>
      <c r="K577" s="259" t="n">
        <v>0</v>
      </c>
      <c r="L577" s="259" t="n">
        <v>0</v>
      </c>
    </row>
    <row r="578" hidden="1">
      <c r="A578" s="259" t="inlineStr">
        <is>
          <t>Motilal Oswal Nifty Next 50 ETF</t>
        </is>
      </c>
      <c r="B578" s="261">
        <f>VLOOKUP(A578, '[2]fund-selector'!$A$2:$F$853,6,FALSE)</f>
        <v/>
      </c>
      <c r="C578" s="258" t="inlineStr">
        <is>
          <t>--</t>
        </is>
      </c>
      <c r="D578" s="260" t="n">
        <v>0.2</v>
      </c>
      <c r="E578" s="259" t="n">
        <v>0</v>
      </c>
      <c r="F578" s="259" t="n">
        <v>0</v>
      </c>
      <c r="G578" s="260" t="n">
        <v>0.2</v>
      </c>
      <c r="H578" s="259" t="n">
        <v>0</v>
      </c>
      <c r="I578" s="259" t="n">
        <v>0</v>
      </c>
      <c r="J578" s="259" t="n">
        <v>0</v>
      </c>
      <c r="K578" s="259" t="n">
        <v>0</v>
      </c>
      <c r="L578" s="259" t="n">
        <v>0</v>
      </c>
    </row>
    <row r="579" hidden="1">
      <c r="A579" s="259" t="inlineStr">
        <is>
          <t>Motilal Oswal Nifty Next 50 Index Fund - Regular Plan</t>
        </is>
      </c>
      <c r="B579" s="261">
        <f>VLOOKUP(A579, '[2]fund-selector'!$A$2:$F$853,6,FALSE)</f>
        <v/>
      </c>
      <c r="C579" s="258" t="n">
        <v>-8.16</v>
      </c>
      <c r="D579" s="260" t="n">
        <v>1.04</v>
      </c>
      <c r="E579" s="260" t="n">
        <v>22.22</v>
      </c>
      <c r="F579" s="260" t="n">
        <v>20.51</v>
      </c>
      <c r="G579" s="260" t="n">
        <v>1.04</v>
      </c>
      <c r="H579" s="260" t="n">
        <v>19.5</v>
      </c>
      <c r="I579" s="260" t="n">
        <v>0.68</v>
      </c>
      <c r="J579" s="260" t="n">
        <v>1.01</v>
      </c>
      <c r="K579" s="260" t="n">
        <v>1.3</v>
      </c>
      <c r="L579" s="260" t="n">
        <v>-0.03</v>
      </c>
    </row>
    <row r="580" hidden="1">
      <c r="A580" s="259" t="inlineStr">
        <is>
          <t>Motilal Oswal Nifty Realty ETF</t>
        </is>
      </c>
      <c r="B580" s="261">
        <f>VLOOKUP(A580, '[2]fund-selector'!$A$2:$F$853,6,FALSE)</f>
        <v/>
      </c>
      <c r="C580" s="258" t="n">
        <v>-11.24</v>
      </c>
      <c r="D580" s="260" t="n">
        <v>0.41</v>
      </c>
      <c r="E580" s="259" t="n">
        <v>0</v>
      </c>
      <c r="F580" s="259" t="n">
        <v>0</v>
      </c>
      <c r="G580" s="260" t="n">
        <v>0.41</v>
      </c>
      <c r="H580" s="259" t="n">
        <v>0</v>
      </c>
      <c r="I580" s="259" t="n">
        <v>0</v>
      </c>
      <c r="J580" s="259" t="n">
        <v>0</v>
      </c>
      <c r="K580" s="259" t="n">
        <v>0</v>
      </c>
      <c r="L580" s="259" t="n">
        <v>0</v>
      </c>
    </row>
    <row r="581" hidden="1">
      <c r="A581" s="259" t="inlineStr">
        <is>
          <t>Motilal Oswal Nifty Smallcap 250 ETF</t>
        </is>
      </c>
      <c r="B581" s="261">
        <f>VLOOKUP(A581, '[2]fund-selector'!$A$2:$F$853,6,FALSE)</f>
        <v/>
      </c>
      <c r="C581" s="258" t="n">
        <v>-0.85</v>
      </c>
      <c r="D581" s="260" t="n">
        <v>0.31</v>
      </c>
      <c r="E581" s="259" t="n">
        <v>0</v>
      </c>
      <c r="F581" s="259" t="n">
        <v>0</v>
      </c>
      <c r="G581" s="260" t="n">
        <v>0.31</v>
      </c>
      <c r="H581" s="259" t="n">
        <v>0</v>
      </c>
      <c r="I581" s="259" t="n">
        <v>0</v>
      </c>
      <c r="J581" s="259" t="n">
        <v>0</v>
      </c>
      <c r="K581" s="259" t="n">
        <v>0</v>
      </c>
      <c r="L581" s="259" t="n">
        <v>0</v>
      </c>
    </row>
    <row r="582" hidden="1">
      <c r="A582" s="259" t="inlineStr">
        <is>
          <t>Motilal Oswal Nifty Smallcap 250 Index Fund - Regular Plan</t>
        </is>
      </c>
      <c r="B582" s="261">
        <f>VLOOKUP(A582, '[2]fund-selector'!$A$2:$F$853,6,FALSE)</f>
        <v/>
      </c>
      <c r="C582" s="258" t="n">
        <v>-1.26</v>
      </c>
      <c r="D582" s="260" t="n">
        <v>1.04</v>
      </c>
      <c r="E582" s="260" t="n">
        <v>27.85</v>
      </c>
      <c r="F582" s="260" t="n">
        <v>31.99</v>
      </c>
      <c r="G582" s="260" t="n">
        <v>1.04</v>
      </c>
      <c r="H582" s="260" t="n">
        <v>19.96</v>
      </c>
      <c r="I582" s="260" t="n">
        <v>0.87</v>
      </c>
      <c r="J582" s="260" t="n">
        <v>1.28</v>
      </c>
      <c r="K582" s="260" t="n">
        <v>1.02</v>
      </c>
      <c r="L582" s="260" t="n">
        <v>-1.07</v>
      </c>
    </row>
    <row r="583" hidden="1">
      <c r="A583" s="259" t="inlineStr">
        <is>
          <t>Motilal Oswal Quant Fund - Regular Plan</t>
        </is>
      </c>
      <c r="B583" s="261">
        <f>VLOOKUP(A583, '[2]fund-selector'!$A$2:$F$853,6,FALSE)</f>
        <v/>
      </c>
      <c r="C583" s="258" t="inlineStr">
        <is>
          <t>--</t>
        </is>
      </c>
      <c r="D583" s="260" t="n">
        <v>0.96</v>
      </c>
      <c r="E583" s="259" t="n">
        <v>0</v>
      </c>
      <c r="F583" s="259" t="n">
        <v>0</v>
      </c>
      <c r="G583" s="260" t="n">
        <v>0.96</v>
      </c>
      <c r="H583" s="259" t="n">
        <v>0</v>
      </c>
      <c r="I583" s="259" t="n">
        <v>0</v>
      </c>
      <c r="J583" s="259" t="n">
        <v>0</v>
      </c>
      <c r="K583" s="259" t="n">
        <v>0</v>
      </c>
      <c r="L583" s="259" t="n">
        <v>0</v>
      </c>
    </row>
    <row r="584" hidden="1">
      <c r="A584" s="259" t="inlineStr">
        <is>
          <t>Motilal Oswal Services Fund - Regular Plan</t>
        </is>
      </c>
      <c r="B584" s="261">
        <f>VLOOKUP(A584, '[2]fund-selector'!$A$2:$F$853,6,FALSE)</f>
        <v/>
      </c>
      <c r="C584" s="258" t="inlineStr">
        <is>
          <t>--</t>
        </is>
      </c>
      <c r="D584" s="259" t="n">
        <v>0</v>
      </c>
      <c r="E584" s="259" t="n">
        <v>0</v>
      </c>
      <c r="F584" s="259" t="n">
        <v>0</v>
      </c>
      <c r="G584" s="259" t="n">
        <v>0</v>
      </c>
      <c r="H584" s="259" t="n">
        <v>0</v>
      </c>
      <c r="I584" s="259" t="n">
        <v>0</v>
      </c>
      <c r="J584" s="259" t="n">
        <v>0</v>
      </c>
      <c r="K584" s="259" t="n">
        <v>0</v>
      </c>
      <c r="L584" s="259" t="n">
        <v>0</v>
      </c>
    </row>
    <row r="585" hidden="1">
      <c r="A585" s="259" t="inlineStr">
        <is>
          <t>Motilal Oswal Small Cap Fund - Regular Plan</t>
        </is>
      </c>
      <c r="B585" s="261">
        <f>VLOOKUP(A585, '[2]fund-selector'!$A$2:$F$853,6,FALSE)</f>
        <v/>
      </c>
      <c r="C585" s="258" t="n">
        <v>14.07</v>
      </c>
      <c r="D585" s="260" t="n">
        <v>1.84</v>
      </c>
      <c r="E585" s="259" t="n">
        <v>0</v>
      </c>
      <c r="F585" s="259" t="n">
        <v>0</v>
      </c>
      <c r="G585" s="260" t="n">
        <v>1.84</v>
      </c>
      <c r="H585" s="259" t="n">
        <v>0</v>
      </c>
      <c r="I585" s="259" t="n">
        <v>0</v>
      </c>
      <c r="J585" s="259" t="n">
        <v>0</v>
      </c>
      <c r="K585" s="259" t="n">
        <v>0</v>
      </c>
      <c r="L585" s="259" t="n">
        <v>0</v>
      </c>
    </row>
    <row r="586" hidden="1">
      <c r="A586" s="259" t="inlineStr">
        <is>
          <t>Navi Aggressive Hybrid Fund - Regular Plan</t>
        </is>
      </c>
      <c r="B586" s="261">
        <f>VLOOKUP(A586, '[2]fund-selector'!$A$2:$F$853,6,FALSE)</f>
        <v/>
      </c>
      <c r="C586" s="258" t="n">
        <v>3.63</v>
      </c>
      <c r="D586" s="260" t="n">
        <v>2.28</v>
      </c>
      <c r="E586" s="260" t="n">
        <v>15.83</v>
      </c>
      <c r="F586" s="260" t="n">
        <v>15.48</v>
      </c>
      <c r="G586" s="260" t="n">
        <v>2.28</v>
      </c>
      <c r="H586" s="260" t="n">
        <v>10.21</v>
      </c>
      <c r="I586" s="260" t="n">
        <v>0.68</v>
      </c>
      <c r="J586" s="260" t="n">
        <v>1.04</v>
      </c>
      <c r="K586" s="260" t="n">
        <v>0.82</v>
      </c>
      <c r="L586" s="260" t="n">
        <v>-0.91</v>
      </c>
    </row>
    <row r="587" hidden="1">
      <c r="A587" s="259" t="inlineStr">
        <is>
          <t>Navi BSE Sensex Index Fund - Regular Plan</t>
        </is>
      </c>
      <c r="B587" s="261">
        <f>VLOOKUP(A587, '[2]fund-selector'!$A$2:$F$853,6,FALSE)</f>
        <v/>
      </c>
      <c r="C587" s="258" t="n">
        <v>5.41</v>
      </c>
      <c r="D587" s="260" t="n">
        <v>0.9</v>
      </c>
      <c r="E587" s="259" t="n">
        <v>0</v>
      </c>
      <c r="F587" s="259" t="n">
        <v>0</v>
      </c>
      <c r="G587" s="260" t="n">
        <v>0.9</v>
      </c>
      <c r="H587" s="259" t="n">
        <v>0</v>
      </c>
      <c r="I587" s="259" t="n">
        <v>0</v>
      </c>
      <c r="J587" s="259" t="n">
        <v>0</v>
      </c>
      <c r="K587" s="259" t="n">
        <v>0</v>
      </c>
      <c r="L587" s="259" t="n">
        <v>0</v>
      </c>
    </row>
    <row r="588" hidden="1">
      <c r="A588" s="259" t="inlineStr">
        <is>
          <t>Navi Flexi Cap Fund - Regular Plan</t>
        </is>
      </c>
      <c r="B588" s="261">
        <f>VLOOKUP(A588, '[2]fund-selector'!$A$2:$F$853,6,FALSE)</f>
        <v/>
      </c>
      <c r="C588" s="258" t="n">
        <v>-1.73</v>
      </c>
      <c r="D588" s="260" t="n">
        <v>2.29</v>
      </c>
      <c r="E588" s="260" t="n">
        <v>17.25</v>
      </c>
      <c r="F588" s="260" t="n">
        <v>18.88</v>
      </c>
      <c r="G588" s="260" t="n">
        <v>2.29</v>
      </c>
      <c r="H588" s="260" t="n">
        <v>14.08</v>
      </c>
      <c r="I588" s="260" t="n">
        <v>0.59</v>
      </c>
      <c r="J588" s="260" t="n">
        <v>0.95</v>
      </c>
      <c r="K588" s="260" t="n">
        <v>0.93</v>
      </c>
      <c r="L588" s="260" t="n">
        <v>-2.5</v>
      </c>
    </row>
    <row r="589" hidden="1">
      <c r="A589" s="259" t="inlineStr">
        <is>
          <t>Navi Large &amp; Midcap Fund</t>
        </is>
      </c>
      <c r="B589" s="261">
        <f>VLOOKUP(A589, '[2]fund-selector'!$A$2:$F$853,6,FALSE)</f>
        <v/>
      </c>
      <c r="C589" s="258" t="n">
        <v>1.44</v>
      </c>
      <c r="D589" s="260" t="n">
        <v>2.26</v>
      </c>
      <c r="E589" s="260" t="n">
        <v>17.88</v>
      </c>
      <c r="F589" s="260" t="n">
        <v>21.56</v>
      </c>
      <c r="G589" s="260" t="n">
        <v>2.26</v>
      </c>
      <c r="H589" s="260" t="n">
        <v>14.96</v>
      </c>
      <c r="I589" s="260" t="n">
        <v>0.59</v>
      </c>
      <c r="J589" s="260" t="n">
        <v>0.89</v>
      </c>
      <c r="K589" s="260" t="n">
        <v>0.97</v>
      </c>
      <c r="L589" s="260" t="n">
        <v>-1.93</v>
      </c>
    </row>
    <row r="590" hidden="1">
      <c r="A590" s="259" t="inlineStr">
        <is>
          <t>Navi Nifty 500 Multicap 50:25:25 Index Fund - Regular Plan</t>
        </is>
      </c>
      <c r="B590" s="261">
        <f>VLOOKUP(A590, '[2]fund-selector'!$A$2:$F$853,6,FALSE)</f>
        <v/>
      </c>
      <c r="C590" s="258" t="inlineStr">
        <is>
          <t>--</t>
        </is>
      </c>
      <c r="D590" s="260" t="n">
        <v>0.99</v>
      </c>
      <c r="E590" s="259" t="n">
        <v>0</v>
      </c>
      <c r="F590" s="259" t="n">
        <v>0</v>
      </c>
      <c r="G590" s="260" t="n">
        <v>0.99</v>
      </c>
      <c r="H590" s="259" t="n">
        <v>0</v>
      </c>
      <c r="I590" s="259" t="n">
        <v>0</v>
      </c>
      <c r="J590" s="259" t="n">
        <v>0</v>
      </c>
      <c r="K590" s="259" t="n">
        <v>0</v>
      </c>
      <c r="L590" s="259" t="n">
        <v>0</v>
      </c>
    </row>
    <row r="591" hidden="1">
      <c r="A591" s="259" t="inlineStr">
        <is>
          <t>Navi Nifty 50 Index Fund - Regular Plan</t>
        </is>
      </c>
      <c r="B591" s="261">
        <f>VLOOKUP(A591, '[2]fund-selector'!$A$2:$F$853,6,FALSE)</f>
        <v/>
      </c>
      <c r="C591" s="258" t="n">
        <v>6.14</v>
      </c>
      <c r="D591" s="260" t="n">
        <v>0.26</v>
      </c>
      <c r="E591" s="260" t="n">
        <v>18.24</v>
      </c>
      <c r="F591" s="259" t="n">
        <v>0</v>
      </c>
      <c r="G591" s="260" t="n">
        <v>0.26</v>
      </c>
      <c r="H591" s="260" t="n">
        <v>13.13</v>
      </c>
      <c r="I591" s="260" t="n">
        <v>0.66</v>
      </c>
      <c r="J591" s="260" t="n">
        <v>1.13</v>
      </c>
      <c r="K591" s="260" t="n">
        <v>0.95</v>
      </c>
      <c r="L591" s="260" t="n">
        <v>-1.08</v>
      </c>
    </row>
    <row r="592" hidden="1">
      <c r="A592" s="259" t="inlineStr">
        <is>
          <t>Navi Nifty India Manufacturing Index Fund - Regular Plan</t>
        </is>
      </c>
      <c r="B592" s="261">
        <f>VLOOKUP(A592, '[2]fund-selector'!$A$2:$F$853,6,FALSE)</f>
        <v/>
      </c>
      <c r="C592" s="258" t="n">
        <v>-3.99</v>
      </c>
      <c r="D592" s="260" t="n">
        <v>1</v>
      </c>
      <c r="E592" s="259" t="n">
        <v>0</v>
      </c>
      <c r="F592" s="259" t="n">
        <v>0</v>
      </c>
      <c r="G592" s="260" t="n">
        <v>1</v>
      </c>
      <c r="H592" s="259" t="n">
        <v>0</v>
      </c>
      <c r="I592" s="259" t="n">
        <v>0</v>
      </c>
      <c r="J592" s="259" t="n">
        <v>0</v>
      </c>
      <c r="K592" s="259" t="n">
        <v>0</v>
      </c>
      <c r="L592" s="259" t="n">
        <v>0</v>
      </c>
    </row>
    <row r="593" hidden="1">
      <c r="A593" s="259" t="inlineStr">
        <is>
          <t>Navi Nifty Midcap 150 Index Fund - Regular Plan</t>
        </is>
      </c>
      <c r="B593" s="261">
        <f>VLOOKUP(A593, '[2]fund-selector'!$A$2:$F$853,6,FALSE)</f>
        <v/>
      </c>
      <c r="C593" s="258" t="n">
        <v>1.38</v>
      </c>
      <c r="D593" s="260" t="n">
        <v>1</v>
      </c>
      <c r="E593" s="260" t="n">
        <v>28.08</v>
      </c>
      <c r="F593" s="259" t="n">
        <v>0</v>
      </c>
      <c r="G593" s="260" t="n">
        <v>1</v>
      </c>
      <c r="H593" s="260" t="n">
        <v>16.92</v>
      </c>
      <c r="I593" s="260" t="n">
        <v>1.04</v>
      </c>
      <c r="J593" s="260" t="n">
        <v>1.5</v>
      </c>
      <c r="K593" s="260" t="n">
        <v>0.99</v>
      </c>
      <c r="L593" s="260" t="n">
        <v>-0.42</v>
      </c>
    </row>
    <row r="594" hidden="1">
      <c r="A594" s="259" t="inlineStr">
        <is>
          <t>Navi Nifty Next 50 Index Fund - Regular Plan</t>
        </is>
      </c>
      <c r="B594" s="261">
        <f>VLOOKUP(A594, '[2]fund-selector'!$A$2:$F$853,6,FALSE)</f>
        <v/>
      </c>
      <c r="C594" s="258" t="n">
        <v>-7.95</v>
      </c>
      <c r="D594" s="260" t="n">
        <v>0.58</v>
      </c>
      <c r="E594" s="260" t="n">
        <v>22.39</v>
      </c>
      <c r="F594" s="259" t="n">
        <v>0</v>
      </c>
      <c r="G594" s="260" t="n">
        <v>0.58</v>
      </c>
      <c r="H594" s="260" t="n">
        <v>19.47</v>
      </c>
      <c r="I594" s="260" t="n">
        <v>0.6899999999999999</v>
      </c>
      <c r="J594" s="260" t="n">
        <v>1.03</v>
      </c>
      <c r="K594" s="260" t="n">
        <v>1.29</v>
      </c>
      <c r="L594" s="260" t="n">
        <v>0.14</v>
      </c>
    </row>
    <row r="595" hidden="1">
      <c r="A595" s="259" t="inlineStr">
        <is>
          <t>Navi Nifty Smallcap250 Momentum Quality 100 Index Fund - Regular Plan</t>
        </is>
      </c>
      <c r="B595" s="261">
        <f>VLOOKUP(A595, '[2]fund-selector'!$A$2:$F$853,6,FALSE)</f>
        <v/>
      </c>
      <c r="C595" s="258" t="inlineStr">
        <is>
          <t>--</t>
        </is>
      </c>
      <c r="D595" s="260" t="n">
        <v>1</v>
      </c>
      <c r="E595" s="259" t="n">
        <v>0</v>
      </c>
      <c r="F595" s="259" t="n">
        <v>0</v>
      </c>
      <c r="G595" s="260" t="n">
        <v>1</v>
      </c>
      <c r="H595" s="259" t="n">
        <v>0</v>
      </c>
      <c r="I595" s="259" t="n">
        <v>0</v>
      </c>
      <c r="J595" s="259" t="n">
        <v>0</v>
      </c>
      <c r="K595" s="259" t="n">
        <v>0</v>
      </c>
      <c r="L595" s="259" t="n">
        <v>0</v>
      </c>
    </row>
    <row r="596" hidden="1">
      <c r="A596" s="259" t="inlineStr">
        <is>
          <t>Nippon India Active Momentum Fund - Regular Plan</t>
        </is>
      </c>
      <c r="B596" s="261">
        <f>VLOOKUP(A596, '[2]fund-selector'!$A$2:$F$853,6,FALSE)</f>
        <v/>
      </c>
      <c r="C596" s="258" t="inlineStr">
        <is>
          <t>--</t>
        </is>
      </c>
      <c r="D596" s="260" t="n">
        <v>1.66</v>
      </c>
      <c r="E596" s="259" t="n">
        <v>0</v>
      </c>
      <c r="F596" s="259" t="n">
        <v>0</v>
      </c>
      <c r="G596" s="260" t="n">
        <v>1.66</v>
      </c>
      <c r="H596" s="259" t="n">
        <v>0</v>
      </c>
      <c r="I596" s="259" t="n">
        <v>0</v>
      </c>
      <c r="J596" s="259" t="n">
        <v>0</v>
      </c>
      <c r="K596" s="259" t="n">
        <v>0</v>
      </c>
      <c r="L596" s="259" t="n">
        <v>0</v>
      </c>
    </row>
    <row r="597" hidden="1">
      <c r="A597" s="259" t="inlineStr">
        <is>
          <t>Nippon India Arbitrage Fund</t>
        </is>
      </c>
      <c r="B597" s="261">
        <f>VLOOKUP(A597, '[2]fund-selector'!$A$2:$F$853,6,FALSE)</f>
        <v/>
      </c>
      <c r="C597" s="258" t="n">
        <v>6.76</v>
      </c>
      <c r="D597" s="260" t="n">
        <v>1.07</v>
      </c>
      <c r="E597" s="260" t="n">
        <v>6.73</v>
      </c>
      <c r="F597" s="260" t="n">
        <v>5.45</v>
      </c>
      <c r="G597" s="260" t="n">
        <v>1.07</v>
      </c>
      <c r="H597" s="260" t="n">
        <v>0.52</v>
      </c>
      <c r="I597" s="260" t="n">
        <v>0.24</v>
      </c>
      <c r="J597" s="260" t="n">
        <v>0.26</v>
      </c>
      <c r="K597" s="260" t="n">
        <v>0.57</v>
      </c>
      <c r="L597" s="260" t="n">
        <v>1.2</v>
      </c>
    </row>
    <row r="598" hidden="1">
      <c r="A598" s="259" t="inlineStr">
        <is>
          <t>Nippon India Balanced Advantage Fund</t>
        </is>
      </c>
      <c r="B598" s="261">
        <f>VLOOKUP(A598, '[2]fund-selector'!$A$2:$F$853,6,FALSE)</f>
        <v/>
      </c>
      <c r="C598" s="258" t="n">
        <v>5.95</v>
      </c>
      <c r="D598" s="260" t="n">
        <v>1.74</v>
      </c>
      <c r="E598" s="260" t="n">
        <v>14.65</v>
      </c>
      <c r="F598" s="260" t="n">
        <v>14.78</v>
      </c>
      <c r="G598" s="260" t="n">
        <v>1.74</v>
      </c>
      <c r="H598" s="260" t="n">
        <v>7.42</v>
      </c>
      <c r="I598" s="260" t="n">
        <v>0.91</v>
      </c>
      <c r="J598" s="260" t="n">
        <v>1.38</v>
      </c>
      <c r="K598" s="260" t="n">
        <v>0.71</v>
      </c>
      <c r="L598" s="260" t="n">
        <v>1.16</v>
      </c>
    </row>
    <row r="599" hidden="1">
      <c r="A599" s="259" t="inlineStr">
        <is>
          <t>Nippon India BSE Sensex Next 30 ETF</t>
        </is>
      </c>
      <c r="B599" s="261">
        <f>VLOOKUP(A599, '[2]fund-selector'!$A$2:$F$853,6,FALSE)</f>
        <v/>
      </c>
      <c r="C599" s="258" t="inlineStr">
        <is>
          <t>--</t>
        </is>
      </c>
      <c r="D599" s="259" t="n">
        <v>0</v>
      </c>
      <c r="E599" s="259" t="n">
        <v>0</v>
      </c>
      <c r="F599" s="259" t="n">
        <v>0</v>
      </c>
      <c r="G599" s="259" t="n">
        <v>0</v>
      </c>
      <c r="H599" s="259" t="n">
        <v>0</v>
      </c>
      <c r="I599" s="259" t="n">
        <v>0</v>
      </c>
      <c r="J599" s="259" t="n">
        <v>0</v>
      </c>
      <c r="K599" s="259" t="n">
        <v>0</v>
      </c>
      <c r="L599" s="259" t="n">
        <v>0</v>
      </c>
    </row>
    <row r="600" hidden="1">
      <c r="A600" s="259" t="inlineStr">
        <is>
          <t>Nippon India BSE Sensex Next 30 Index Fund - Regular Plan</t>
        </is>
      </c>
      <c r="B600" s="261">
        <f>VLOOKUP(A600, '[2]fund-selector'!$A$2:$F$853,6,FALSE)</f>
        <v/>
      </c>
      <c r="C600" s="258" t="inlineStr">
        <is>
          <t>--</t>
        </is>
      </c>
      <c r="D600" s="259" t="n">
        <v>0</v>
      </c>
      <c r="E600" s="259" t="n">
        <v>0</v>
      </c>
      <c r="F600" s="259" t="n">
        <v>0</v>
      </c>
      <c r="G600" s="259" t="n">
        <v>0</v>
      </c>
      <c r="H600" s="259" t="n">
        <v>0</v>
      </c>
      <c r="I600" s="259" t="n">
        <v>0</v>
      </c>
      <c r="J600" s="259" t="n">
        <v>0</v>
      </c>
      <c r="K600" s="259" t="n">
        <v>0</v>
      </c>
      <c r="L600" s="259" t="n">
        <v>0</v>
      </c>
    </row>
    <row r="601" hidden="1">
      <c r="A601" s="259" t="inlineStr">
        <is>
          <t>Nippon India Diversified Equity Flexicap Passive FoF - Regular Plan</t>
        </is>
      </c>
      <c r="B601" s="261">
        <f>VLOOKUP(A601, '[2]fund-selector'!$A$2:$F$853,6,FALSE)</f>
        <v/>
      </c>
      <c r="C601" s="258" t="n">
        <v>1.84</v>
      </c>
      <c r="D601" s="260" t="n">
        <v>0.58</v>
      </c>
      <c r="E601" s="260" t="n">
        <v>20.02</v>
      </c>
      <c r="F601" s="259" t="n">
        <v>0</v>
      </c>
      <c r="G601" s="260" t="n">
        <v>0.58</v>
      </c>
      <c r="H601" s="260" t="n">
        <v>14.36</v>
      </c>
      <c r="I601" s="260" t="n">
        <v>0.74</v>
      </c>
      <c r="J601" s="260" t="n">
        <v>1.29</v>
      </c>
      <c r="K601" s="260" t="n">
        <v>0.98</v>
      </c>
      <c r="L601" s="260" t="n">
        <v>-0.66</v>
      </c>
    </row>
    <row r="602" hidden="1">
      <c r="A602" s="259" t="inlineStr">
        <is>
          <t>Nippon India Equity Hybrid Fund</t>
        </is>
      </c>
      <c r="B602" s="261">
        <f>VLOOKUP(A602, '[2]fund-selector'!$A$2:$F$853,6,FALSE)</f>
        <v/>
      </c>
      <c r="C602" s="258" t="n">
        <v>5.35</v>
      </c>
      <c r="D602" s="260" t="n">
        <v>1.97</v>
      </c>
      <c r="E602" s="260" t="n">
        <v>19.45</v>
      </c>
      <c r="F602" s="260" t="n">
        <v>20.12</v>
      </c>
      <c r="G602" s="260" t="n">
        <v>1.97</v>
      </c>
      <c r="H602" s="260" t="n">
        <v>10.13</v>
      </c>
      <c r="I602" s="260" t="n">
        <v>1</v>
      </c>
      <c r="J602" s="260" t="n">
        <v>1.64</v>
      </c>
      <c r="K602" s="260" t="n">
        <v>0.83</v>
      </c>
      <c r="L602" s="260" t="n">
        <v>2.16</v>
      </c>
    </row>
    <row r="603" hidden="1">
      <c r="A603" s="259" t="inlineStr">
        <is>
          <t>Nippon India ETF BSE Sensex</t>
        </is>
      </c>
      <c r="B603" s="261">
        <f>VLOOKUP(A603, '[2]fund-selector'!$A$2:$F$853,6,FALSE)</f>
        <v/>
      </c>
      <c r="C603" s="258" t="n">
        <v>6.29</v>
      </c>
      <c r="D603" s="260" t="n">
        <v>0.04</v>
      </c>
      <c r="E603" s="260" t="n">
        <v>17.86</v>
      </c>
      <c r="F603" s="260" t="n">
        <v>19.9</v>
      </c>
      <c r="G603" s="260" t="n">
        <v>0.04</v>
      </c>
      <c r="H603" s="260" t="n">
        <v>12.7</v>
      </c>
      <c r="I603" s="260" t="n">
        <v>0.67</v>
      </c>
      <c r="J603" s="260" t="n">
        <v>1.11</v>
      </c>
      <c r="K603" s="260" t="n">
        <v>0.91</v>
      </c>
      <c r="L603" s="260" t="n">
        <v>-0.91</v>
      </c>
    </row>
    <row r="604" hidden="1">
      <c r="A604" s="259" t="inlineStr">
        <is>
          <t>Nippon India ETF BSE Sensex Next 50</t>
        </is>
      </c>
      <c r="B604" s="261">
        <f>VLOOKUP(A604, '[2]fund-selector'!$A$2:$F$853,6,FALSE)</f>
        <v/>
      </c>
      <c r="C604" s="258" t="n">
        <v>1.06</v>
      </c>
      <c r="D604" s="260" t="n">
        <v>0.23</v>
      </c>
      <c r="E604" s="260" t="n">
        <v>25.72</v>
      </c>
      <c r="F604" s="260" t="n">
        <v>25.49</v>
      </c>
      <c r="G604" s="260" t="n">
        <v>0.23</v>
      </c>
      <c r="H604" s="260" t="n">
        <v>17.72</v>
      </c>
      <c r="I604" s="260" t="n">
        <v>0.88</v>
      </c>
      <c r="J604" s="260" t="n">
        <v>1.29</v>
      </c>
      <c r="K604" s="260" t="n">
        <v>1.21</v>
      </c>
      <c r="L604" s="260" t="n">
        <v>3.15</v>
      </c>
    </row>
    <row r="605" hidden="1">
      <c r="A605" s="259" t="inlineStr">
        <is>
          <t>Nippon India ETF Nifty 100</t>
        </is>
      </c>
      <c r="B605" s="261">
        <f>VLOOKUP(A605, '[2]fund-selector'!$A$2:$F$853,6,FALSE)</f>
        <v/>
      </c>
      <c r="C605" s="258" t="n">
        <v>3.42</v>
      </c>
      <c r="D605" s="260" t="n">
        <v>0.5</v>
      </c>
      <c r="E605" s="260" t="n">
        <v>18.43</v>
      </c>
      <c r="F605" s="260" t="n">
        <v>20.04</v>
      </c>
      <c r="G605" s="260" t="n">
        <v>0.5</v>
      </c>
      <c r="H605" s="260" t="n">
        <v>13.95</v>
      </c>
      <c r="I605" s="260" t="n">
        <v>0.65</v>
      </c>
      <c r="J605" s="260" t="n">
        <v>1.05</v>
      </c>
      <c r="K605" s="260" t="n">
        <v>1.01</v>
      </c>
      <c r="L605" s="260" t="n">
        <v>-1.39</v>
      </c>
    </row>
    <row r="606" hidden="1">
      <c r="A606" s="259" t="inlineStr">
        <is>
          <t>Nippon India ETF Nifty 50 BeES</t>
        </is>
      </c>
      <c r="B606" s="261">
        <f>VLOOKUP(A606, '[2]fund-selector'!$A$2:$F$853,6,FALSE)</f>
        <v/>
      </c>
      <c r="C606" s="258" t="n">
        <v>6.5</v>
      </c>
      <c r="D606" s="260" t="n">
        <v>0.04</v>
      </c>
      <c r="E606" s="260" t="n">
        <v>18.66</v>
      </c>
      <c r="F606" s="260" t="n">
        <v>20.65</v>
      </c>
      <c r="G606" s="260" t="n">
        <v>0.04</v>
      </c>
      <c r="H606" s="260" t="n">
        <v>13.13</v>
      </c>
      <c r="I606" s="260" t="n">
        <v>0.6899999999999999</v>
      </c>
      <c r="J606" s="260" t="n">
        <v>1.18</v>
      </c>
      <c r="K606" s="260" t="n">
        <v>0.95</v>
      </c>
      <c r="L606" s="260" t="n">
        <v>-0.72</v>
      </c>
    </row>
    <row r="607" hidden="1">
      <c r="A607" s="259" t="inlineStr">
        <is>
          <t>Nippon India ETF Nifty 50 Shariah BeES</t>
        </is>
      </c>
      <c r="B607" s="261">
        <f>VLOOKUP(A607, '[2]fund-selector'!$A$2:$F$853,6,FALSE)</f>
        <v/>
      </c>
      <c r="C607" s="258" t="n">
        <v>-0.46</v>
      </c>
      <c r="D607" s="260" t="n">
        <v>0.96</v>
      </c>
      <c r="E607" s="260" t="n">
        <v>11.13</v>
      </c>
      <c r="F607" s="260" t="n">
        <v>15.45</v>
      </c>
      <c r="G607" s="260" t="n">
        <v>0.96</v>
      </c>
      <c r="H607" s="260" t="n">
        <v>15.97</v>
      </c>
      <c r="I607" s="260" t="n">
        <v>0.14</v>
      </c>
      <c r="J607" s="260" t="n">
        <v>0.22</v>
      </c>
      <c r="K607" s="260" t="n">
        <v>0.99</v>
      </c>
      <c r="L607" s="260" t="n">
        <v>-7.96</v>
      </c>
    </row>
    <row r="608" hidden="1">
      <c r="A608" s="259" t="inlineStr">
        <is>
          <t>Nippon India ETF Nifty Dividend Opportunities 50</t>
        </is>
      </c>
      <c r="B608" s="261">
        <f>VLOOKUP(A608, '[2]fund-selector'!$A$2:$F$853,6,FALSE)</f>
        <v/>
      </c>
      <c r="C608" s="258" t="n">
        <v>-1.72</v>
      </c>
      <c r="D608" s="260" t="n">
        <v>0.37</v>
      </c>
      <c r="E608" s="260" t="n">
        <v>24.5</v>
      </c>
      <c r="F608" s="260" t="n">
        <v>24.57</v>
      </c>
      <c r="G608" s="260" t="n">
        <v>0.37</v>
      </c>
      <c r="H608" s="260" t="n">
        <v>15.6</v>
      </c>
      <c r="I608" s="260" t="n">
        <v>0.91</v>
      </c>
      <c r="J608" s="260" t="n">
        <v>1.3</v>
      </c>
      <c r="K608" s="260" t="n">
        <v>0.97</v>
      </c>
      <c r="L608" s="260" t="n">
        <v>3.01</v>
      </c>
    </row>
    <row r="609" hidden="1">
      <c r="A609" s="259" t="inlineStr">
        <is>
          <t>Nippon India ETF Nifty Midcap 150</t>
        </is>
      </c>
      <c r="B609" s="261">
        <f>VLOOKUP(A609, '[2]fund-selector'!$A$2:$F$853,6,FALSE)</f>
        <v/>
      </c>
      <c r="C609" s="258" t="n">
        <v>2.37</v>
      </c>
      <c r="D609" s="260" t="n">
        <v>0.21</v>
      </c>
      <c r="E609" s="260" t="n">
        <v>29.53</v>
      </c>
      <c r="F609" s="260" t="n">
        <v>31.12</v>
      </c>
      <c r="G609" s="260" t="n">
        <v>0.21</v>
      </c>
      <c r="H609" s="260" t="n">
        <v>16.98</v>
      </c>
      <c r="I609" s="260" t="n">
        <v>1.1</v>
      </c>
      <c r="J609" s="260" t="n">
        <v>1.6</v>
      </c>
      <c r="K609" s="260" t="n">
        <v>1</v>
      </c>
      <c r="L609" s="260" t="n">
        <v>0.66</v>
      </c>
    </row>
    <row r="610" hidden="1">
      <c r="A610" s="259" t="inlineStr">
        <is>
          <t>Nippon India ETF Nifty Next 50 Junior BeES</t>
        </is>
      </c>
      <c r="B610" s="261">
        <f>VLOOKUP(A610, '[2]fund-selector'!$A$2:$F$853,6,FALSE)</f>
        <v/>
      </c>
      <c r="C610" s="258" t="n">
        <v>-7.42</v>
      </c>
      <c r="D610" s="260" t="n">
        <v>0.17</v>
      </c>
      <c r="E610" s="260" t="n">
        <v>23.18</v>
      </c>
      <c r="F610" s="260" t="n">
        <v>21.75</v>
      </c>
      <c r="G610" s="260" t="n">
        <v>0.17</v>
      </c>
      <c r="H610" s="260" t="n">
        <v>19.54</v>
      </c>
      <c r="I610" s="260" t="n">
        <v>0.72</v>
      </c>
      <c r="J610" s="260" t="n">
        <v>1.08</v>
      </c>
      <c r="K610" s="260" t="n">
        <v>1.3</v>
      </c>
      <c r="L610" s="260" t="n">
        <v>0.76</v>
      </c>
    </row>
    <row r="611" hidden="1">
      <c r="A611" s="259" t="inlineStr">
        <is>
          <t>Nippon India Flexi Cap Fund - Regular Plan</t>
        </is>
      </c>
      <c r="B611" s="261">
        <f>VLOOKUP(A611, '[2]fund-selector'!$A$2:$F$853,6,FALSE)</f>
        <v/>
      </c>
      <c r="C611" s="258" t="n">
        <v>-0.71</v>
      </c>
      <c r="D611" s="260" t="n">
        <v>1.72</v>
      </c>
      <c r="E611" s="260" t="n">
        <v>20.14</v>
      </c>
      <c r="F611" s="259" t="n">
        <v>0</v>
      </c>
      <c r="G611" s="260" t="n">
        <v>1.72</v>
      </c>
      <c r="H611" s="260" t="n">
        <v>14.07</v>
      </c>
      <c r="I611" s="260" t="n">
        <v>0.75</v>
      </c>
      <c r="J611" s="260" t="n">
        <v>1.13</v>
      </c>
      <c r="K611" s="260" t="n">
        <v>0.9399999999999999</v>
      </c>
      <c r="L611" s="260" t="n">
        <v>-0.26</v>
      </c>
    </row>
    <row r="612" hidden="1">
      <c r="A612" s="259" t="inlineStr">
        <is>
          <t>Nippon India Focused Equity Fund</t>
        </is>
      </c>
      <c r="B612" s="261">
        <f>VLOOKUP(A612, '[2]fund-selector'!$A$2:$F$853,6,FALSE)</f>
        <v/>
      </c>
      <c r="C612" s="258" t="n">
        <v>3.73</v>
      </c>
      <c r="D612" s="260" t="n">
        <v>1.84</v>
      </c>
      <c r="E612" s="260" t="n">
        <v>19.97</v>
      </c>
      <c r="F612" s="260" t="n">
        <v>24.51</v>
      </c>
      <c r="G612" s="260" t="n">
        <v>1.84</v>
      </c>
      <c r="H612" s="260" t="n">
        <v>13.84</v>
      </c>
      <c r="I612" s="260" t="n">
        <v>0.76</v>
      </c>
      <c r="J612" s="260" t="n">
        <v>1.58</v>
      </c>
      <c r="K612" s="260" t="n">
        <v>0.91</v>
      </c>
      <c r="L612" s="260" t="n">
        <v>-0.02</v>
      </c>
    </row>
    <row r="613" hidden="1">
      <c r="A613" s="259" t="inlineStr">
        <is>
          <t>Nippon India Growth Fund</t>
        </is>
      </c>
      <c r="B613" s="261">
        <f>VLOOKUP(A613, '[2]fund-selector'!$A$2:$F$853,6,FALSE)</f>
        <v/>
      </c>
      <c r="C613" s="258" t="n">
        <v>4.96</v>
      </c>
      <c r="D613" s="260" t="n">
        <v>1.56</v>
      </c>
      <c r="E613" s="260" t="n">
        <v>30.5</v>
      </c>
      <c r="F613" s="260" t="n">
        <v>32.25</v>
      </c>
      <c r="G613" s="260" t="n">
        <v>1.56</v>
      </c>
      <c r="H613" s="260" t="n">
        <v>16.21</v>
      </c>
      <c r="I613" s="260" t="n">
        <v>1.23</v>
      </c>
      <c r="J613" s="260" t="n">
        <v>1.83</v>
      </c>
      <c r="K613" s="260" t="n">
        <v>0.93</v>
      </c>
      <c r="L613" s="260" t="n">
        <v>2.96</v>
      </c>
    </row>
    <row r="614" hidden="1">
      <c r="A614" s="259" t="inlineStr">
        <is>
          <t>Nippon India Hybrid Bond Fund</t>
        </is>
      </c>
      <c r="B614" s="261">
        <f>VLOOKUP(A614, '[2]fund-selector'!$A$2:$F$853,6,FALSE)</f>
        <v/>
      </c>
      <c r="C614" s="258" t="n">
        <v>8.5</v>
      </c>
      <c r="D614" s="260" t="n">
        <v>1.88</v>
      </c>
      <c r="E614" s="260" t="n">
        <v>9.449999999999999</v>
      </c>
      <c r="F614" s="260" t="n">
        <v>9.09</v>
      </c>
      <c r="G614" s="260" t="n">
        <v>1.88</v>
      </c>
      <c r="H614" s="260" t="n">
        <v>2.08</v>
      </c>
      <c r="I614" s="260" t="n">
        <v>1.13</v>
      </c>
      <c r="J614" s="260" t="n">
        <v>1.87</v>
      </c>
      <c r="K614" s="260" t="n">
        <v>0.47</v>
      </c>
      <c r="L614" s="260" t="n">
        <v>0.63</v>
      </c>
    </row>
    <row r="615" hidden="1">
      <c r="A615" s="259" t="inlineStr">
        <is>
          <t>Nippon India Index Fund - BSE Sensex Plan</t>
        </is>
      </c>
      <c r="B615" s="261">
        <f>VLOOKUP(A615, '[2]fund-selector'!$A$2:$F$853,6,FALSE)</f>
        <v/>
      </c>
      <c r="C615" s="258" t="n">
        <v>5.8</v>
      </c>
      <c r="D615" s="260" t="n">
        <v>0.49</v>
      </c>
      <c r="E615" s="260" t="n">
        <v>17.12</v>
      </c>
      <c r="F615" s="260" t="n">
        <v>19.21</v>
      </c>
      <c r="G615" s="260" t="n">
        <v>0.49</v>
      </c>
      <c r="H615" s="260" t="n">
        <v>12.69</v>
      </c>
      <c r="I615" s="260" t="n">
        <v>0.62</v>
      </c>
      <c r="J615" s="260" t="n">
        <v>1.03</v>
      </c>
      <c r="K615" s="260" t="n">
        <v>0.91</v>
      </c>
      <c r="L615" s="260" t="n">
        <v>-1.54</v>
      </c>
    </row>
    <row r="616" hidden="1">
      <c r="A616" s="259" t="inlineStr">
        <is>
          <t>Nippon India Index Fund - Nifty 50 Plan</t>
        </is>
      </c>
      <c r="B616" s="261">
        <f>VLOOKUP(A616, '[2]fund-selector'!$A$2:$F$853,6,FALSE)</f>
        <v/>
      </c>
      <c r="C616" s="258" t="n">
        <v>6</v>
      </c>
      <c r="D616" s="260" t="n">
        <v>0.42</v>
      </c>
      <c r="E616" s="260" t="n">
        <v>17.96</v>
      </c>
      <c r="F616" s="260" t="n">
        <v>19.64</v>
      </c>
      <c r="G616" s="260" t="n">
        <v>0.42</v>
      </c>
      <c r="H616" s="260" t="n">
        <v>13.11</v>
      </c>
      <c r="I616" s="260" t="n">
        <v>0.64</v>
      </c>
      <c r="J616" s="260" t="n">
        <v>1.1</v>
      </c>
      <c r="K616" s="260" t="n">
        <v>0.95</v>
      </c>
      <c r="L616" s="260" t="n">
        <v>-1.32</v>
      </c>
    </row>
    <row r="617" hidden="1">
      <c r="A617" s="259" t="inlineStr">
        <is>
          <t>Nippon India Innovation Fund - Regular Plan</t>
        </is>
      </c>
      <c r="B617" s="261">
        <f>VLOOKUP(A617, '[2]fund-selector'!$A$2:$F$853,6,FALSE)</f>
        <v/>
      </c>
      <c r="C617" s="258" t="n">
        <v>-0.9399999999999999</v>
      </c>
      <c r="D617" s="260" t="n">
        <v>1.97</v>
      </c>
      <c r="E617" s="259" t="n">
        <v>0</v>
      </c>
      <c r="F617" s="259" t="n">
        <v>0</v>
      </c>
      <c r="G617" s="260" t="n">
        <v>1.97</v>
      </c>
      <c r="H617" s="259" t="n">
        <v>0</v>
      </c>
      <c r="I617" s="259" t="n">
        <v>0</v>
      </c>
      <c r="J617" s="259" t="n">
        <v>0</v>
      </c>
      <c r="K617" s="259" t="n">
        <v>0</v>
      </c>
      <c r="L617" s="259" t="n">
        <v>0</v>
      </c>
    </row>
    <row r="618" hidden="1">
      <c r="A618" s="259" t="inlineStr">
        <is>
          <t>Nippon India Large Cap Fund</t>
        </is>
      </c>
      <c r="B618" s="261">
        <f>VLOOKUP(A618, '[2]fund-selector'!$A$2:$F$853,6,FALSE)</f>
        <v/>
      </c>
      <c r="C618" s="258" t="n">
        <v>5.19</v>
      </c>
      <c r="D618" s="260" t="n">
        <v>1.53</v>
      </c>
      <c r="E618" s="260" t="n">
        <v>25.51</v>
      </c>
      <c r="F618" s="260" t="n">
        <v>26.11</v>
      </c>
      <c r="G618" s="260" t="n">
        <v>1.53</v>
      </c>
      <c r="H618" s="260" t="n">
        <v>13.18</v>
      </c>
      <c r="I618" s="260" t="n">
        <v>1.12</v>
      </c>
      <c r="J618" s="260" t="n">
        <v>1.9</v>
      </c>
      <c r="K618" s="260" t="n">
        <v>0.9399999999999999</v>
      </c>
      <c r="L618" s="260" t="n">
        <v>5.13</v>
      </c>
    </row>
    <row r="619" hidden="1">
      <c r="A619" s="259" t="inlineStr">
        <is>
          <t>Nippon India Multi Asset Active FoF - Regular Plan</t>
        </is>
      </c>
      <c r="B619" s="261">
        <f>VLOOKUP(A619, '[2]fund-selector'!$A$2:$F$853,6,FALSE)</f>
        <v/>
      </c>
      <c r="C619" s="258" t="n">
        <v>11.04</v>
      </c>
      <c r="D619" s="260" t="n">
        <v>1.16</v>
      </c>
      <c r="E619" s="260" t="n">
        <v>22.29</v>
      </c>
      <c r="F619" s="259" t="n">
        <v>0</v>
      </c>
      <c r="G619" s="260" t="n">
        <v>1.16</v>
      </c>
      <c r="H619" s="260" t="n">
        <v>7.86</v>
      </c>
      <c r="I619" s="260" t="n">
        <v>1.66</v>
      </c>
      <c r="J619" s="260" t="n">
        <v>2.73</v>
      </c>
      <c r="K619" s="260" t="n">
        <v>0.77</v>
      </c>
      <c r="L619" s="260" t="n">
        <v>6.2</v>
      </c>
    </row>
    <row r="620" hidden="1">
      <c r="A620" s="259" t="inlineStr">
        <is>
          <t>Nippon India Multi Asset Allocation Fund - Regular Plan</t>
        </is>
      </c>
      <c r="B620" s="261">
        <f>VLOOKUP(A620, '[2]fund-selector'!$A$2:$F$853,6,FALSE)</f>
        <v/>
      </c>
      <c r="C620" s="258" t="n">
        <v>10.32</v>
      </c>
      <c r="D620" s="260" t="n">
        <v>1.45</v>
      </c>
      <c r="E620" s="260" t="n">
        <v>20.34</v>
      </c>
      <c r="F620" s="259" t="n">
        <v>0</v>
      </c>
      <c r="G620" s="260" t="n">
        <v>1.45</v>
      </c>
      <c r="H620" s="260" t="n">
        <v>8.76</v>
      </c>
      <c r="I620" s="260" t="n">
        <v>1.23</v>
      </c>
      <c r="J620" s="260" t="n">
        <v>2.17</v>
      </c>
      <c r="K620" s="260" t="n">
        <v>0.86</v>
      </c>
      <c r="L620" s="260" t="n">
        <v>3.12</v>
      </c>
    </row>
    <row r="621">
      <c r="A621" s="296" t="inlineStr">
        <is>
          <t>Nippon India Multi Cap Fund</t>
        </is>
      </c>
      <c r="B621" s="261">
        <f>VLOOKUP(A621, '[2]fund-selector'!$A$2:$F$853,6,FALSE)</f>
        <v/>
      </c>
      <c r="C621" s="258" t="n">
        <v>2.4</v>
      </c>
      <c r="D621" s="260" t="n">
        <v>1.53</v>
      </c>
      <c r="E621" s="260" t="n">
        <v>30.1</v>
      </c>
      <c r="F621" s="260" t="n">
        <v>32.05</v>
      </c>
      <c r="G621" s="260" t="n">
        <v>1.53</v>
      </c>
      <c r="H621" s="260" t="n">
        <v>14.43</v>
      </c>
      <c r="I621" s="260" t="n">
        <v>1.31</v>
      </c>
      <c r="J621" s="260" t="n">
        <v>1.91</v>
      </c>
      <c r="K621" s="260" t="n">
        <v>0.88</v>
      </c>
      <c r="L621" s="260" t="n">
        <v>6.18</v>
      </c>
    </row>
    <row r="622" hidden="1">
      <c r="A622" s="259" t="inlineStr">
        <is>
          <t>Nippon India Nifty 500 Equal Weight Index Fund - Regular Plan</t>
        </is>
      </c>
      <c r="B622" s="261">
        <f>VLOOKUP(A622, '[2]fund-selector'!$A$2:$F$853,6,FALSE)</f>
        <v/>
      </c>
      <c r="C622" s="258" t="inlineStr">
        <is>
          <t>--</t>
        </is>
      </c>
      <c r="D622" s="260" t="n">
        <v>0.89</v>
      </c>
      <c r="E622" s="259" t="n">
        <v>0</v>
      </c>
      <c r="F622" s="259" t="n">
        <v>0</v>
      </c>
      <c r="G622" s="260" t="n">
        <v>0.89</v>
      </c>
      <c r="H622" s="259" t="n">
        <v>0</v>
      </c>
      <c r="I622" s="259" t="n">
        <v>0</v>
      </c>
      <c r="J622" s="259" t="n">
        <v>0</v>
      </c>
      <c r="K622" s="259" t="n">
        <v>0</v>
      </c>
      <c r="L622" s="259" t="n">
        <v>0</v>
      </c>
    </row>
    <row r="623" hidden="1">
      <c r="A623" s="259" t="inlineStr">
        <is>
          <t>Nippon India Nifty 500 Low Volatility 50 Index Fund - Regular Plan</t>
        </is>
      </c>
      <c r="B623" s="261">
        <f>VLOOKUP(A623, '[2]fund-selector'!$A$2:$F$853,6,FALSE)</f>
        <v/>
      </c>
      <c r="C623" s="258" t="inlineStr">
        <is>
          <t>--</t>
        </is>
      </c>
      <c r="D623" s="260" t="n">
        <v>0.9</v>
      </c>
      <c r="E623" s="259" t="n">
        <v>0</v>
      </c>
      <c r="F623" s="259" t="n">
        <v>0</v>
      </c>
      <c r="G623" s="260" t="n">
        <v>0.9</v>
      </c>
      <c r="H623" s="259" t="n">
        <v>0</v>
      </c>
      <c r="I623" s="259" t="n">
        <v>0</v>
      </c>
      <c r="J623" s="259" t="n">
        <v>0</v>
      </c>
      <c r="K623" s="259" t="n">
        <v>0</v>
      </c>
      <c r="L623" s="259" t="n">
        <v>0</v>
      </c>
    </row>
    <row r="624" hidden="1">
      <c r="A624" s="259" t="inlineStr">
        <is>
          <t>Nippon India Nifty 500 Momentum 50 Index Fund - Regular Plan</t>
        </is>
      </c>
      <c r="B624" s="261">
        <f>VLOOKUP(A624, '[2]fund-selector'!$A$2:$F$853,6,FALSE)</f>
        <v/>
      </c>
      <c r="C624" s="258" t="inlineStr">
        <is>
          <t>--</t>
        </is>
      </c>
      <c r="D624" s="260" t="n">
        <v>0.87</v>
      </c>
      <c r="E624" s="259" t="n">
        <v>0</v>
      </c>
      <c r="F624" s="259" t="n">
        <v>0</v>
      </c>
      <c r="G624" s="260" t="n">
        <v>0.87</v>
      </c>
      <c r="H624" s="259" t="n">
        <v>0</v>
      </c>
      <c r="I624" s="259" t="n">
        <v>0</v>
      </c>
      <c r="J624" s="259" t="n">
        <v>0</v>
      </c>
      <c r="K624" s="259" t="n">
        <v>0</v>
      </c>
      <c r="L624" s="259" t="n">
        <v>0</v>
      </c>
    </row>
    <row r="625" hidden="1">
      <c r="A625" s="259" t="inlineStr">
        <is>
          <t>Nippon India Nifty 500 Quality 50 Index Fund - Regular Plan</t>
        </is>
      </c>
      <c r="B625" s="261">
        <f>VLOOKUP(A625, '[2]fund-selector'!$A$2:$F$853,6,FALSE)</f>
        <v/>
      </c>
      <c r="C625" s="258" t="inlineStr">
        <is>
          <t>--</t>
        </is>
      </c>
      <c r="D625" s="260" t="n">
        <v>0.91</v>
      </c>
      <c r="E625" s="259" t="n">
        <v>0</v>
      </c>
      <c r="F625" s="259" t="n">
        <v>0</v>
      </c>
      <c r="G625" s="260" t="n">
        <v>0.91</v>
      </c>
      <c r="H625" s="259" t="n">
        <v>0</v>
      </c>
      <c r="I625" s="259" t="n">
        <v>0</v>
      </c>
      <c r="J625" s="259" t="n">
        <v>0</v>
      </c>
      <c r="K625" s="259" t="n">
        <v>0</v>
      </c>
      <c r="L625" s="259" t="n">
        <v>0</v>
      </c>
    </row>
    <row r="626" hidden="1">
      <c r="A626" s="259" t="inlineStr">
        <is>
          <t>Nippon India Nifty Alpha Low Volatility 30 Index Fund - Regular Plan</t>
        </is>
      </c>
      <c r="B626" s="261">
        <f>VLOOKUP(A626, '[2]fund-selector'!$A$2:$F$853,6,FALSE)</f>
        <v/>
      </c>
      <c r="C626" s="258" t="n">
        <v>-4.27</v>
      </c>
      <c r="D626" s="260" t="n">
        <v>0.89</v>
      </c>
      <c r="E626" s="259" t="n">
        <v>0</v>
      </c>
      <c r="F626" s="259" t="n">
        <v>0</v>
      </c>
      <c r="G626" s="260" t="n">
        <v>0.89</v>
      </c>
      <c r="H626" s="259" t="n">
        <v>0</v>
      </c>
      <c r="I626" s="259" t="n">
        <v>0</v>
      </c>
      <c r="J626" s="259" t="n">
        <v>0</v>
      </c>
      <c r="K626" s="259" t="n">
        <v>0</v>
      </c>
      <c r="L626" s="259" t="n">
        <v>0</v>
      </c>
    </row>
    <row r="627" hidden="1">
      <c r="A627" s="259" t="inlineStr">
        <is>
          <t>Nippon India Nifty Auto ETF</t>
        </is>
      </c>
      <c r="B627" s="261">
        <f>VLOOKUP(A627, '[2]fund-selector'!$A$2:$F$853,6,FALSE)</f>
        <v/>
      </c>
      <c r="C627" s="258" t="n">
        <v>-7.22</v>
      </c>
      <c r="D627" s="260" t="n">
        <v>0.22</v>
      </c>
      <c r="E627" s="260" t="n">
        <v>30.04</v>
      </c>
      <c r="F627" s="259" t="n">
        <v>0</v>
      </c>
      <c r="G627" s="260" t="n">
        <v>0.22</v>
      </c>
      <c r="H627" s="260" t="n">
        <v>18.1</v>
      </c>
      <c r="I627" s="260" t="n">
        <v>1.08</v>
      </c>
      <c r="J627" s="260" t="n">
        <v>1.4</v>
      </c>
      <c r="K627" s="260" t="n">
        <v>1</v>
      </c>
      <c r="L627" s="260" t="n">
        <v>7.99</v>
      </c>
    </row>
    <row r="628" hidden="1">
      <c r="A628" s="259" t="inlineStr">
        <is>
          <t>Nippon India Nifty Auto Index Fund - Regular Plan</t>
        </is>
      </c>
      <c r="B628" s="261">
        <f>VLOOKUP(A628, '[2]fund-selector'!$A$2:$F$853,6,FALSE)</f>
        <v/>
      </c>
      <c r="C628" s="258" t="inlineStr">
        <is>
          <t>--</t>
        </is>
      </c>
      <c r="D628" s="260" t="n">
        <v>0.86</v>
      </c>
      <c r="E628" s="259" t="n">
        <v>0</v>
      </c>
      <c r="F628" s="259" t="n">
        <v>0</v>
      </c>
      <c r="G628" s="260" t="n">
        <v>0.86</v>
      </c>
      <c r="H628" s="259" t="n">
        <v>0</v>
      </c>
      <c r="I628" s="259" t="n">
        <v>0</v>
      </c>
      <c r="J628" s="259" t="n">
        <v>0</v>
      </c>
      <c r="K628" s="259" t="n">
        <v>0</v>
      </c>
      <c r="L628" s="259" t="n">
        <v>0</v>
      </c>
    </row>
    <row r="629" hidden="1">
      <c r="A629" s="259" t="inlineStr">
        <is>
          <t>Nippon India Nifty Midcap 150 Index Fund - Regular Plan</t>
        </is>
      </c>
      <c r="B629" s="261">
        <f>VLOOKUP(A629, '[2]fund-selector'!$A$2:$F$853,6,FALSE)</f>
        <v/>
      </c>
      <c r="C629" s="258" t="n">
        <v>1.68</v>
      </c>
      <c r="D629" s="260" t="n">
        <v>0.8</v>
      </c>
      <c r="E629" s="260" t="n">
        <v>28.6</v>
      </c>
      <c r="F629" s="259" t="n">
        <v>0</v>
      </c>
      <c r="G629" s="260" t="n">
        <v>0.8</v>
      </c>
      <c r="H629" s="260" t="n">
        <v>16.97</v>
      </c>
      <c r="I629" s="260" t="n">
        <v>1.06</v>
      </c>
      <c r="J629" s="260" t="n">
        <v>1.53</v>
      </c>
      <c r="K629" s="260" t="n">
        <v>1</v>
      </c>
      <c r="L629" s="260" t="n">
        <v>-0.06</v>
      </c>
    </row>
    <row r="630" hidden="1">
      <c r="A630" s="259" t="inlineStr">
        <is>
          <t>Nippon India Nifty Next 50 Junior BeES FoF - Regular Plan</t>
        </is>
      </c>
      <c r="B630" s="261">
        <f>VLOOKUP(A630, '[2]fund-selector'!$A$2:$F$853,6,FALSE)</f>
        <v/>
      </c>
      <c r="C630" s="258" t="n">
        <v>-7.69</v>
      </c>
      <c r="D630" s="260" t="n">
        <v>0.29</v>
      </c>
      <c r="E630" s="260" t="n">
        <v>22.73</v>
      </c>
      <c r="F630" s="260" t="n">
        <v>21.34</v>
      </c>
      <c r="G630" s="260" t="n">
        <v>0.29</v>
      </c>
      <c r="H630" s="260" t="n">
        <v>19.33</v>
      </c>
      <c r="I630" s="260" t="n">
        <v>0.71</v>
      </c>
      <c r="J630" s="260" t="n">
        <v>1.05</v>
      </c>
      <c r="K630" s="260" t="n">
        <v>1.28</v>
      </c>
      <c r="L630" s="260" t="n">
        <v>0.57</v>
      </c>
    </row>
    <row r="631" hidden="1">
      <c r="A631" s="259" t="inlineStr">
        <is>
          <t>Nippon India Nifty Realty Index Fund - Regular Plan</t>
        </is>
      </c>
      <c r="B631" s="261">
        <f>VLOOKUP(A631, '[2]fund-selector'!$A$2:$F$853,6,FALSE)</f>
        <v/>
      </c>
      <c r="C631" s="258" t="inlineStr">
        <is>
          <t>--</t>
        </is>
      </c>
      <c r="D631" s="260" t="n">
        <v>0.88</v>
      </c>
      <c r="E631" s="259" t="n">
        <v>0</v>
      </c>
      <c r="F631" s="259" t="n">
        <v>0</v>
      </c>
      <c r="G631" s="260" t="n">
        <v>0.88</v>
      </c>
      <c r="H631" s="259" t="n">
        <v>0</v>
      </c>
      <c r="I631" s="259" t="n">
        <v>0</v>
      </c>
      <c r="J631" s="259" t="n">
        <v>0</v>
      </c>
      <c r="K631" s="259" t="n">
        <v>0</v>
      </c>
      <c r="L631" s="259" t="n">
        <v>0</v>
      </c>
    </row>
    <row r="632" hidden="1">
      <c r="A632" s="259" t="inlineStr">
        <is>
          <t>Nippon India Nifty Smallcap 250 Index Fund - Regular Plan</t>
        </is>
      </c>
      <c r="B632" s="261">
        <f>VLOOKUP(A632, '[2]fund-selector'!$A$2:$F$853,6,FALSE)</f>
        <v/>
      </c>
      <c r="C632" s="258" t="n">
        <v>-1.88</v>
      </c>
      <c r="D632" s="260" t="n">
        <v>0.95</v>
      </c>
      <c r="E632" s="260" t="n">
        <v>27.49</v>
      </c>
      <c r="F632" s="259" t="n">
        <v>0</v>
      </c>
      <c r="G632" s="260" t="n">
        <v>0.95</v>
      </c>
      <c r="H632" s="260" t="n">
        <v>19.85</v>
      </c>
      <c r="I632" s="260" t="n">
        <v>0.86</v>
      </c>
      <c r="J632" s="260" t="n">
        <v>1.26</v>
      </c>
      <c r="K632" s="260" t="n">
        <v>1.01</v>
      </c>
      <c r="L632" s="260" t="n">
        <v>-1.28</v>
      </c>
    </row>
    <row r="633" hidden="1">
      <c r="A633" s="259" t="inlineStr">
        <is>
          <t>Nippon India Quant Fund - Retail Plan</t>
        </is>
      </c>
      <c r="B633" s="261">
        <f>VLOOKUP(A633, '[2]fund-selector'!$A$2:$F$853,6,FALSE)</f>
        <v/>
      </c>
      <c r="C633" s="258" t="n">
        <v>4.56</v>
      </c>
      <c r="D633" s="260" t="n">
        <v>0.9399999999999999</v>
      </c>
      <c r="E633" s="260" t="n">
        <v>25.51</v>
      </c>
      <c r="F633" s="260" t="n">
        <v>23.92</v>
      </c>
      <c r="G633" s="260" t="n">
        <v>0.9399999999999999</v>
      </c>
      <c r="H633" s="260" t="n">
        <v>14.43</v>
      </c>
      <c r="I633" s="260" t="n">
        <v>1.05</v>
      </c>
      <c r="J633" s="260" t="n">
        <v>1.69</v>
      </c>
      <c r="K633" s="260" t="n">
        <v>0.96</v>
      </c>
      <c r="L633" s="260" t="n">
        <v>4.08</v>
      </c>
    </row>
    <row r="634" hidden="1">
      <c r="A634" s="259" t="inlineStr">
        <is>
          <t>Nippon India Retirement Fund - Income Generation Scheme</t>
        </is>
      </c>
      <c r="B634" s="261">
        <f>VLOOKUP(A634, '[2]fund-selector'!$A$2:$F$853,6,FALSE)</f>
        <v/>
      </c>
      <c r="C634" s="258" t="n">
        <v>6.29</v>
      </c>
      <c r="D634" s="260" t="n">
        <v>2.08</v>
      </c>
      <c r="E634" s="260" t="n">
        <v>11.17</v>
      </c>
      <c r="F634" s="260" t="n">
        <v>7.63</v>
      </c>
      <c r="G634" s="260" t="n">
        <v>2.08</v>
      </c>
      <c r="H634" s="260" t="n">
        <v>4.46</v>
      </c>
      <c r="I634" s="260" t="n">
        <v>0.91</v>
      </c>
      <c r="J634" s="260" t="n">
        <v>1.67</v>
      </c>
      <c r="K634" s="260" t="n">
        <v>1.02</v>
      </c>
      <c r="L634" s="260" t="n">
        <v>0.29</v>
      </c>
    </row>
    <row r="635" hidden="1">
      <c r="A635" s="259" t="inlineStr">
        <is>
          <t>Nippon India Retirement Fund - Wealth Creation Scheme</t>
        </is>
      </c>
      <c r="B635" s="261">
        <f>VLOOKUP(A635, '[2]fund-selector'!$A$2:$F$853,6,FALSE)</f>
        <v/>
      </c>
      <c r="C635" s="258" t="n">
        <v>1.01</v>
      </c>
      <c r="D635" s="260" t="n">
        <v>1.93</v>
      </c>
      <c r="E635" s="260" t="n">
        <v>22.5</v>
      </c>
      <c r="F635" s="260" t="n">
        <v>22.14</v>
      </c>
      <c r="G635" s="260" t="n">
        <v>1.93</v>
      </c>
      <c r="H635" s="260" t="n">
        <v>14.44</v>
      </c>
      <c r="I635" s="260" t="n">
        <v>0.88</v>
      </c>
      <c r="J635" s="260" t="n">
        <v>1.28</v>
      </c>
      <c r="K635" s="260" t="n">
        <v>0.97</v>
      </c>
      <c r="L635" s="260" t="n">
        <v>1.53</v>
      </c>
    </row>
    <row r="636" hidden="1">
      <c r="A636" s="259" t="inlineStr">
        <is>
          <t>Nippon India Small Cap Fund</t>
        </is>
      </c>
      <c r="B636" s="261">
        <f>VLOOKUP(A636, '[2]fund-selector'!$A$2:$F$853,6,FALSE)</f>
        <v/>
      </c>
      <c r="C636" s="258" t="n">
        <v>-1.87</v>
      </c>
      <c r="D636" s="260" t="n">
        <v>1.41</v>
      </c>
      <c r="E636" s="260" t="n">
        <v>30.01</v>
      </c>
      <c r="F636" s="260" t="n">
        <v>37.2</v>
      </c>
      <c r="G636" s="260" t="n">
        <v>1.41</v>
      </c>
      <c r="H636" s="260" t="n">
        <v>16.86</v>
      </c>
      <c r="I636" s="260" t="n">
        <v>1.15</v>
      </c>
      <c r="J636" s="260" t="n">
        <v>1.59</v>
      </c>
      <c r="K636" s="260" t="n">
        <v>0.84</v>
      </c>
      <c r="L636" s="260" t="n">
        <v>4.08</v>
      </c>
    </row>
    <row r="637" hidden="1">
      <c r="A637" s="259" t="inlineStr">
        <is>
          <t>Nippon India Vision Fund</t>
        </is>
      </c>
      <c r="B637" s="261">
        <f>VLOOKUP(A637, '[2]fund-selector'!$A$2:$F$853,6,FALSE)</f>
        <v/>
      </c>
      <c r="C637" s="258" t="n">
        <v>4.76</v>
      </c>
      <c r="D637" s="260" t="n">
        <v>1.93</v>
      </c>
      <c r="E637" s="260" t="n">
        <v>25.64</v>
      </c>
      <c r="F637" s="260" t="n">
        <v>26.22</v>
      </c>
      <c r="G637" s="260" t="n">
        <v>1.93</v>
      </c>
      <c r="H637" s="260" t="n">
        <v>14.06</v>
      </c>
      <c r="I637" s="260" t="n">
        <v>1.08</v>
      </c>
      <c r="J637" s="260" t="n">
        <v>1.47</v>
      </c>
      <c r="K637" s="260" t="n">
        <v>0.95</v>
      </c>
      <c r="L637" s="260" t="n">
        <v>4.63</v>
      </c>
    </row>
    <row r="638" hidden="1">
      <c r="A638" s="259" t="inlineStr">
        <is>
          <t>NJ Arbitrage Fund - Regular Plan</t>
        </is>
      </c>
      <c r="B638" s="261">
        <f>VLOOKUP(A638, '[2]fund-selector'!$A$2:$F$853,6,FALSE)</f>
        <v/>
      </c>
      <c r="C638" s="258" t="n">
        <v>6.04</v>
      </c>
      <c r="D638" s="260" t="n">
        <v>1</v>
      </c>
      <c r="E638" s="259" t="n">
        <v>0</v>
      </c>
      <c r="F638" s="259" t="n">
        <v>0</v>
      </c>
      <c r="G638" s="260" t="n">
        <v>1</v>
      </c>
      <c r="H638" s="259" t="n">
        <v>0</v>
      </c>
      <c r="I638" s="259" t="n">
        <v>0</v>
      </c>
      <c r="J638" s="259" t="n">
        <v>0</v>
      </c>
      <c r="K638" s="259" t="n">
        <v>0</v>
      </c>
      <c r="L638" s="259" t="n">
        <v>0</v>
      </c>
    </row>
    <row r="639" hidden="1">
      <c r="A639" s="259" t="inlineStr">
        <is>
          <t>NJ Balanced Advantage Fund - Regular Plan</t>
        </is>
      </c>
      <c r="B639" s="261">
        <f>VLOOKUP(A639, '[2]fund-selector'!$A$2:$F$853,6,FALSE)</f>
        <v/>
      </c>
      <c r="C639" s="258" t="n">
        <v>0.15</v>
      </c>
      <c r="D639" s="260" t="n">
        <v>1.89</v>
      </c>
      <c r="E639" s="260" t="n">
        <v>14.04</v>
      </c>
      <c r="F639" s="259" t="n">
        <v>0</v>
      </c>
      <c r="G639" s="260" t="n">
        <v>1.89</v>
      </c>
      <c r="H639" s="260" t="n">
        <v>9.06</v>
      </c>
      <c r="I639" s="260" t="n">
        <v>0.65</v>
      </c>
      <c r="J639" s="260" t="n">
        <v>0.91</v>
      </c>
      <c r="K639" s="260" t="n">
        <v>0.8100000000000001</v>
      </c>
      <c r="L639" s="260" t="n">
        <v>-0.5</v>
      </c>
    </row>
    <row r="640" hidden="1">
      <c r="A640" s="259" t="inlineStr">
        <is>
          <t>NJ Flexi Cap Fund - Regular Plan</t>
        </is>
      </c>
      <c r="B640" s="261">
        <f>VLOOKUP(A640, '[2]fund-selector'!$A$2:$F$853,6,FALSE)</f>
        <v/>
      </c>
      <c r="C640" s="258" t="n">
        <v>-5.87</v>
      </c>
      <c r="D640" s="260" t="n">
        <v>1.99</v>
      </c>
      <c r="E640" s="259" t="n">
        <v>0</v>
      </c>
      <c r="F640" s="259" t="n">
        <v>0</v>
      </c>
      <c r="G640" s="260" t="n">
        <v>1.99</v>
      </c>
      <c r="H640" s="259" t="n">
        <v>0</v>
      </c>
      <c r="I640" s="259" t="n">
        <v>0</v>
      </c>
      <c r="J640" s="259" t="n">
        <v>0</v>
      </c>
      <c r="K640" s="259" t="n">
        <v>0</v>
      </c>
      <c r="L640" s="259" t="n">
        <v>0</v>
      </c>
    </row>
    <row r="641" hidden="1">
      <c r="A641" s="259" t="inlineStr">
        <is>
          <t>Old Bridge Focused Equity Fund - Regular Plan</t>
        </is>
      </c>
      <c r="B641" s="261">
        <f>VLOOKUP(A641, '[2]fund-selector'!$A$2:$F$853,6,FALSE)</f>
        <v/>
      </c>
      <c r="C641" s="258" t="n">
        <v>6.69</v>
      </c>
      <c r="D641" s="260" t="n">
        <v>2.12</v>
      </c>
      <c r="E641" s="259" t="n">
        <v>0</v>
      </c>
      <c r="F641" s="259" t="n">
        <v>0</v>
      </c>
      <c r="G641" s="260" t="n">
        <v>2.12</v>
      </c>
      <c r="H641" s="259" t="n">
        <v>0</v>
      </c>
      <c r="I641" s="259" t="n">
        <v>0</v>
      </c>
      <c r="J641" s="259" t="n">
        <v>0</v>
      </c>
      <c r="K641" s="259" t="n">
        <v>0</v>
      </c>
      <c r="L641" s="259" t="n">
        <v>0</v>
      </c>
    </row>
    <row r="642" hidden="1">
      <c r="A642" s="259" t="inlineStr">
        <is>
          <t>Parag Parikh Arbitrage Fund - Regular Plan</t>
        </is>
      </c>
      <c r="B642" s="261">
        <f>VLOOKUP(A642, '[2]fund-selector'!$A$2:$F$853,6,FALSE)</f>
        <v/>
      </c>
      <c r="C642" s="258" t="n">
        <v>6.78</v>
      </c>
      <c r="D642" s="260" t="n">
        <v>0.66</v>
      </c>
      <c r="E642" s="259" t="n">
        <v>0</v>
      </c>
      <c r="F642" s="259" t="n">
        <v>0</v>
      </c>
      <c r="G642" s="260" t="n">
        <v>0.66</v>
      </c>
      <c r="H642" s="259" t="n">
        <v>0</v>
      </c>
      <c r="I642" s="259" t="n">
        <v>0</v>
      </c>
      <c r="J642" s="259" t="n">
        <v>0</v>
      </c>
      <c r="K642" s="259" t="n">
        <v>0</v>
      </c>
      <c r="L642" s="259" t="n">
        <v>0</v>
      </c>
    </row>
    <row r="643" hidden="1">
      <c r="A643" s="259" t="inlineStr">
        <is>
          <t>Parag Parikh Conservative Hybrid Fund - Regular Plan</t>
        </is>
      </c>
      <c r="B643" s="261">
        <f>VLOOKUP(A643, '[2]fund-selector'!$A$2:$F$853,6,FALSE)</f>
        <v/>
      </c>
      <c r="C643" s="258" t="n">
        <v>9.43</v>
      </c>
      <c r="D643" s="260" t="n">
        <v>0.64</v>
      </c>
      <c r="E643" s="260" t="n">
        <v>12.59</v>
      </c>
      <c r="F643" s="259" t="n">
        <v>0</v>
      </c>
      <c r="G643" s="260" t="n">
        <v>0.64</v>
      </c>
      <c r="H643" s="260" t="n">
        <v>3.27</v>
      </c>
      <c r="I643" s="260" t="n">
        <v>1.63</v>
      </c>
      <c r="J643" s="260" t="n">
        <v>2.42</v>
      </c>
      <c r="K643" s="260" t="n">
        <v>0.63</v>
      </c>
      <c r="L643" s="260" t="n">
        <v>3</v>
      </c>
    </row>
    <row r="644" hidden="1">
      <c r="A644" s="259" t="inlineStr">
        <is>
          <t>Parag Parikh Dynamic Asset Allocation Fund - Regular Plan</t>
        </is>
      </c>
      <c r="B644" s="261">
        <f>VLOOKUP(A644, '[2]fund-selector'!$A$2:$F$853,6,FALSE)</f>
        <v/>
      </c>
      <c r="C644" s="258" t="n">
        <v>8.1</v>
      </c>
      <c r="D644" s="260" t="n">
        <v>0.63</v>
      </c>
      <c r="E644" s="259" t="n">
        <v>0</v>
      </c>
      <c r="F644" s="259" t="n">
        <v>0</v>
      </c>
      <c r="G644" s="260" t="n">
        <v>0.63</v>
      </c>
      <c r="H644" s="259" t="n">
        <v>0</v>
      </c>
      <c r="I644" s="259" t="n">
        <v>0</v>
      </c>
      <c r="J644" s="259" t="n">
        <v>0</v>
      </c>
      <c r="K644" s="259" t="n">
        <v>0</v>
      </c>
      <c r="L644" s="259" t="n">
        <v>0</v>
      </c>
    </row>
    <row r="645" hidden="1">
      <c r="A645" s="259" t="inlineStr">
        <is>
          <t>Parag Parikh Flexi Cap Fund - Regular Plan</t>
        </is>
      </c>
      <c r="B645" s="261">
        <f>VLOOKUP(A645, '[2]fund-selector'!$A$2:$F$853,6,FALSE)</f>
        <v/>
      </c>
      <c r="C645" s="258" t="n">
        <v>11.39</v>
      </c>
      <c r="D645" s="260" t="n">
        <v>1.28</v>
      </c>
      <c r="E645" s="260" t="n">
        <v>24.93</v>
      </c>
      <c r="F645" s="260" t="n">
        <v>25.87</v>
      </c>
      <c r="G645" s="260" t="n">
        <v>1.28</v>
      </c>
      <c r="H645" s="260" t="n">
        <v>10</v>
      </c>
      <c r="I645" s="260" t="n">
        <v>1.34</v>
      </c>
      <c r="J645" s="260" t="n">
        <v>1.75</v>
      </c>
      <c r="K645" s="260" t="n">
        <v>0.61</v>
      </c>
      <c r="L645" s="260" t="n">
        <v>6.3</v>
      </c>
    </row>
    <row r="646" hidden="1">
      <c r="A646" s="259" t="inlineStr">
        <is>
          <t>PGIM India Aggressive Hybrid Equity Fund</t>
        </is>
      </c>
      <c r="B646" s="261">
        <f>VLOOKUP(A646, '[2]fund-selector'!$A$2:$F$853,6,FALSE)</f>
        <v/>
      </c>
      <c r="C646" s="258" t="n">
        <v>5.37</v>
      </c>
      <c r="D646" s="260" t="n">
        <v>2.33</v>
      </c>
      <c r="E646" s="260" t="n">
        <v>16.16</v>
      </c>
      <c r="F646" s="260" t="n">
        <v>15.35</v>
      </c>
      <c r="G646" s="260" t="n">
        <v>2.33</v>
      </c>
      <c r="H646" s="260" t="n">
        <v>9.460000000000001</v>
      </c>
      <c r="I646" s="260" t="n">
        <v>0.75</v>
      </c>
      <c r="J646" s="260" t="n">
        <v>1.28</v>
      </c>
      <c r="K646" s="260" t="n">
        <v>0.72</v>
      </c>
      <c r="L646" s="260" t="n">
        <v>0.1</v>
      </c>
    </row>
    <row r="647" hidden="1">
      <c r="A647" s="259" t="inlineStr">
        <is>
          <t>PGIM India Arbitrage Fund - Regular Plan</t>
        </is>
      </c>
      <c r="B647" s="261">
        <f>VLOOKUP(A647, '[2]fund-selector'!$A$2:$F$853,6,FALSE)</f>
        <v/>
      </c>
      <c r="C647" s="258" t="n">
        <v>6.7</v>
      </c>
      <c r="D647" s="260" t="n">
        <v>1.07</v>
      </c>
      <c r="E647" s="260" t="n">
        <v>6.42</v>
      </c>
      <c r="F647" s="260" t="n">
        <v>5.21</v>
      </c>
      <c r="G647" s="260" t="n">
        <v>1.07</v>
      </c>
      <c r="H647" s="260" t="n">
        <v>0.54</v>
      </c>
      <c r="I647" s="260" t="n">
        <v>-0.23</v>
      </c>
      <c r="J647" s="260" t="n">
        <v>-0.25</v>
      </c>
      <c r="K647" s="260" t="n">
        <v>0.73</v>
      </c>
      <c r="L647" s="260" t="n">
        <v>1.26</v>
      </c>
    </row>
    <row r="648" hidden="1">
      <c r="A648" s="259" t="inlineStr">
        <is>
          <t>PGIM India Balanced Advantage Fund - Regular Plan</t>
        </is>
      </c>
      <c r="B648" s="261">
        <f>VLOOKUP(A648, '[2]fund-selector'!$A$2:$F$853,6,FALSE)</f>
        <v/>
      </c>
      <c r="C648" s="258" t="n">
        <v>5.86</v>
      </c>
      <c r="D648" s="260" t="n">
        <v>2.19</v>
      </c>
      <c r="E648" s="260" t="n">
        <v>13.63</v>
      </c>
      <c r="F648" s="259" t="n">
        <v>0</v>
      </c>
      <c r="G648" s="260" t="n">
        <v>2.19</v>
      </c>
      <c r="H648" s="260" t="n">
        <v>9.25</v>
      </c>
      <c r="I648" s="260" t="n">
        <v>0.54</v>
      </c>
      <c r="J648" s="260" t="n">
        <v>0.9399999999999999</v>
      </c>
      <c r="K648" s="260" t="n">
        <v>0.85</v>
      </c>
      <c r="L648" s="260" t="n">
        <v>-1.78</v>
      </c>
    </row>
    <row r="649" hidden="1">
      <c r="A649" s="259" t="inlineStr">
        <is>
          <t>PGIM India Flexi Cap Fund - Regular Plan</t>
        </is>
      </c>
      <c r="B649" s="261">
        <f>VLOOKUP(A649, '[2]fund-selector'!$A$2:$F$853,6,FALSE)</f>
        <v/>
      </c>
      <c r="C649" s="258" t="n">
        <v>5.26</v>
      </c>
      <c r="D649" s="260" t="n">
        <v>1.78</v>
      </c>
      <c r="E649" s="260" t="n">
        <v>17.38</v>
      </c>
      <c r="F649" s="260" t="n">
        <v>21.87</v>
      </c>
      <c r="G649" s="260" t="n">
        <v>1.78</v>
      </c>
      <c r="H649" s="260" t="n">
        <v>13.54</v>
      </c>
      <c r="I649" s="260" t="n">
        <v>0.58</v>
      </c>
      <c r="J649" s="260" t="n">
        <v>0.91</v>
      </c>
      <c r="K649" s="260" t="n">
        <v>0.89</v>
      </c>
      <c r="L649" s="260" t="n">
        <v>-2.34</v>
      </c>
    </row>
    <row r="650" hidden="1">
      <c r="A650" s="259" t="inlineStr">
        <is>
          <t>PGIM India Large and Mid Cap Fund - Regular Plan</t>
        </is>
      </c>
      <c r="B650" s="261">
        <f>VLOOKUP(A650, '[2]fund-selector'!$A$2:$F$853,6,FALSE)</f>
        <v/>
      </c>
      <c r="C650" s="258" t="n">
        <v>7.28</v>
      </c>
      <c r="D650" s="260" t="n">
        <v>2.31</v>
      </c>
      <c r="E650" s="259" t="n">
        <v>0</v>
      </c>
      <c r="F650" s="259" t="n">
        <v>0</v>
      </c>
      <c r="G650" s="260" t="n">
        <v>2.31</v>
      </c>
      <c r="H650" s="259" t="n">
        <v>0</v>
      </c>
      <c r="I650" s="259" t="n">
        <v>0</v>
      </c>
      <c r="J650" s="259" t="n">
        <v>0</v>
      </c>
      <c r="K650" s="259" t="n">
        <v>0</v>
      </c>
      <c r="L650" s="259" t="n">
        <v>0</v>
      </c>
    </row>
    <row r="651" hidden="1">
      <c r="A651" s="259" t="inlineStr">
        <is>
          <t>PGIM India Large Cap Fund</t>
        </is>
      </c>
      <c r="B651" s="261">
        <f>VLOOKUP(A651, '[2]fund-selector'!$A$2:$F$853,6,FALSE)</f>
        <v/>
      </c>
      <c r="C651" s="258" t="n">
        <v>4.22</v>
      </c>
      <c r="D651" s="260" t="n">
        <v>2.38</v>
      </c>
      <c r="E651" s="260" t="n">
        <v>16.96</v>
      </c>
      <c r="F651" s="260" t="n">
        <v>17.48</v>
      </c>
      <c r="G651" s="260" t="n">
        <v>2.38</v>
      </c>
      <c r="H651" s="260" t="n">
        <v>12.88</v>
      </c>
      <c r="I651" s="260" t="n">
        <v>0.59</v>
      </c>
      <c r="J651" s="260" t="n">
        <v>0.92</v>
      </c>
      <c r="K651" s="260" t="n">
        <v>0.92</v>
      </c>
      <c r="L651" s="260" t="n">
        <v>-1.77</v>
      </c>
    </row>
    <row r="652" hidden="1">
      <c r="A652" s="259" t="inlineStr">
        <is>
          <t>PGIM India Midcap Fund - Regular Plan</t>
        </is>
      </c>
      <c r="B652" s="261">
        <f>VLOOKUP(A652, '[2]fund-selector'!$A$2:$F$853,6,FALSE)</f>
        <v/>
      </c>
      <c r="C652" s="258" t="n">
        <v>2.83</v>
      </c>
      <c r="D652" s="260" t="n">
        <v>1.7</v>
      </c>
      <c r="E652" s="260" t="n">
        <v>19.12</v>
      </c>
      <c r="F652" s="260" t="n">
        <v>28.54</v>
      </c>
      <c r="G652" s="260" t="n">
        <v>1.7</v>
      </c>
      <c r="H652" s="260" t="n">
        <v>15.11</v>
      </c>
      <c r="I652" s="260" t="n">
        <v>0.65</v>
      </c>
      <c r="J652" s="260" t="n">
        <v>0.9399999999999999</v>
      </c>
      <c r="K652" s="260" t="n">
        <v>0.83</v>
      </c>
      <c r="L652" s="260" t="n">
        <v>-5.26</v>
      </c>
    </row>
    <row r="653" hidden="1">
      <c r="A653" s="259" t="inlineStr">
        <is>
          <t>PGIM India Multi Cap Fund - Regular Plan</t>
        </is>
      </c>
      <c r="B653" s="261">
        <f>VLOOKUP(A653, '[2]fund-selector'!$A$2:$F$853,6,FALSE)</f>
        <v/>
      </c>
      <c r="C653" s="258" t="inlineStr">
        <is>
          <t>--</t>
        </is>
      </c>
      <c r="D653" s="260" t="n">
        <v>2.38</v>
      </c>
      <c r="E653" s="259" t="n">
        <v>0</v>
      </c>
      <c r="F653" s="259" t="n">
        <v>0</v>
      </c>
      <c r="G653" s="260" t="n">
        <v>2.38</v>
      </c>
      <c r="H653" s="259" t="n">
        <v>0</v>
      </c>
      <c r="I653" s="259" t="n">
        <v>0</v>
      </c>
      <c r="J653" s="259" t="n">
        <v>0</v>
      </c>
      <c r="K653" s="259" t="n">
        <v>0</v>
      </c>
      <c r="L653" s="259" t="n">
        <v>0</v>
      </c>
    </row>
    <row r="654" hidden="1">
      <c r="A654" s="259" t="inlineStr">
        <is>
          <t>PGIM India Retirement Fund - Regular Plan</t>
        </is>
      </c>
      <c r="B654" s="261">
        <f>VLOOKUP(A654, '[2]fund-selector'!$A$2:$F$853,6,FALSE)</f>
        <v/>
      </c>
      <c r="C654" s="258" t="n">
        <v>7.85</v>
      </c>
      <c r="D654" s="260" t="n">
        <v>2.32</v>
      </c>
      <c r="E654" s="259" t="n">
        <v>0</v>
      </c>
      <c r="F654" s="259" t="n">
        <v>0</v>
      </c>
      <c r="G654" s="260" t="n">
        <v>2.32</v>
      </c>
      <c r="H654" s="259" t="n">
        <v>0</v>
      </c>
      <c r="I654" s="259" t="n">
        <v>0</v>
      </c>
      <c r="J654" s="259" t="n">
        <v>0</v>
      </c>
      <c r="K654" s="259" t="n">
        <v>0</v>
      </c>
      <c r="L654" s="259" t="n">
        <v>0</v>
      </c>
    </row>
    <row r="655" hidden="1">
      <c r="A655" s="259" t="inlineStr">
        <is>
          <t>PGIM India Small Cap Fund - Regular Plan</t>
        </is>
      </c>
      <c r="B655" s="261">
        <f>VLOOKUP(A655, '[2]fund-selector'!$A$2:$F$853,6,FALSE)</f>
        <v/>
      </c>
      <c r="C655" s="258" t="n">
        <v>2.92</v>
      </c>
      <c r="D655" s="260" t="n">
        <v>2.08</v>
      </c>
      <c r="E655" s="260" t="n">
        <v>18.53</v>
      </c>
      <c r="F655" s="259" t="n">
        <v>0</v>
      </c>
      <c r="G655" s="260" t="n">
        <v>2.08</v>
      </c>
      <c r="H655" s="260" t="n">
        <v>16.17</v>
      </c>
      <c r="I655" s="260" t="n">
        <v>0.57</v>
      </c>
      <c r="J655" s="260" t="n">
        <v>0.89</v>
      </c>
      <c r="K655" s="260" t="n">
        <v>0.78</v>
      </c>
      <c r="L655" s="260" t="n">
        <v>-4.96</v>
      </c>
    </row>
    <row r="656" hidden="1">
      <c r="A656" s="259" t="inlineStr">
        <is>
          <t>Quant Absolute Fund</t>
        </is>
      </c>
      <c r="B656" s="261">
        <f>VLOOKUP(A656, '[2]fund-selector'!$A$2:$F$853,6,FALSE)</f>
        <v/>
      </c>
      <c r="C656" s="258" t="n">
        <v>-3.28</v>
      </c>
      <c r="D656" s="260" t="n">
        <v>2.02</v>
      </c>
      <c r="E656" s="260" t="n">
        <v>16.88</v>
      </c>
      <c r="F656" s="260" t="n">
        <v>25.74</v>
      </c>
      <c r="G656" s="260" t="n">
        <v>2.02</v>
      </c>
      <c r="H656" s="260" t="n">
        <v>13.29</v>
      </c>
      <c r="I656" s="260" t="n">
        <v>0.63</v>
      </c>
      <c r="J656" s="260" t="n">
        <v>1.05</v>
      </c>
      <c r="K656" s="260" t="n">
        <v>1.02</v>
      </c>
      <c r="L656" s="260" t="n">
        <v>-1.38</v>
      </c>
    </row>
    <row r="657" hidden="1">
      <c r="A657" s="259" t="inlineStr">
        <is>
          <t>Quant Active Fund</t>
        </is>
      </c>
      <c r="B657" s="261">
        <f>VLOOKUP(A657, '[2]fund-selector'!$A$2:$F$853,6,FALSE)</f>
        <v/>
      </c>
      <c r="C657" s="258" t="n">
        <v>-12.58</v>
      </c>
      <c r="D657" s="260" t="n">
        <v>1.73</v>
      </c>
      <c r="E657" s="260" t="n">
        <v>19.06</v>
      </c>
      <c r="F657" s="260" t="n">
        <v>27.84</v>
      </c>
      <c r="G657" s="260" t="n">
        <v>1.73</v>
      </c>
      <c r="H657" s="260" t="n">
        <v>17.33</v>
      </c>
      <c r="I657" s="260" t="n">
        <v>0.6</v>
      </c>
      <c r="J657" s="260" t="n">
        <v>0.88</v>
      </c>
      <c r="K657" s="260" t="n">
        <v>1.04</v>
      </c>
      <c r="L657" s="260" t="n">
        <v>-4.79</v>
      </c>
    </row>
    <row r="658" hidden="1">
      <c r="A658" s="259" t="inlineStr">
        <is>
          <t>Quant Arbitrage Fund - Regular Plan</t>
        </is>
      </c>
      <c r="B658" s="261">
        <f>VLOOKUP(A658, '[2]fund-selector'!$A$2:$F$853,6,FALSE)</f>
        <v/>
      </c>
      <c r="C658" s="258" t="inlineStr">
        <is>
          <t>--</t>
        </is>
      </c>
      <c r="D658" s="260" t="n">
        <v>0.89</v>
      </c>
      <c r="E658" s="259" t="n">
        <v>0</v>
      </c>
      <c r="F658" s="259" t="n">
        <v>0</v>
      </c>
      <c r="G658" s="260" t="n">
        <v>0.89</v>
      </c>
      <c r="H658" s="259" t="n">
        <v>0</v>
      </c>
      <c r="I658" s="259" t="n">
        <v>0</v>
      </c>
      <c r="J658" s="259" t="n">
        <v>0</v>
      </c>
      <c r="K658" s="259" t="n">
        <v>0</v>
      </c>
      <c r="L658" s="259" t="n">
        <v>0</v>
      </c>
    </row>
    <row r="659" hidden="1">
      <c r="A659" s="259" t="inlineStr">
        <is>
          <t>Quant Business Cycle Fund - Regular Plan</t>
        </is>
      </c>
      <c r="B659" s="261">
        <f>VLOOKUP(A659, '[2]fund-selector'!$A$2:$F$853,6,FALSE)</f>
        <v/>
      </c>
      <c r="C659" s="258" t="n">
        <v>-8.08</v>
      </c>
      <c r="D659" s="260" t="n">
        <v>2.09</v>
      </c>
      <c r="E659" s="259" t="n">
        <v>0</v>
      </c>
      <c r="F659" s="259" t="n">
        <v>0</v>
      </c>
      <c r="G659" s="260" t="n">
        <v>2.09</v>
      </c>
      <c r="H659" s="259" t="n">
        <v>0</v>
      </c>
      <c r="I659" s="259" t="n">
        <v>0</v>
      </c>
      <c r="J659" s="259" t="n">
        <v>0</v>
      </c>
      <c r="K659" s="259" t="n">
        <v>0</v>
      </c>
      <c r="L659" s="259" t="n">
        <v>0</v>
      </c>
    </row>
    <row r="660" hidden="1">
      <c r="A660" s="259" t="inlineStr">
        <is>
          <t>Quant Commodities Fund - Regular Plan</t>
        </is>
      </c>
      <c r="B660" s="261">
        <f>VLOOKUP(A660, '[2]fund-selector'!$A$2:$F$853,6,FALSE)</f>
        <v/>
      </c>
      <c r="C660" s="258" t="n">
        <v>-2.12</v>
      </c>
      <c r="D660" s="260" t="n">
        <v>2.42</v>
      </c>
      <c r="E660" s="259" t="n">
        <v>0</v>
      </c>
      <c r="F660" s="259" t="n">
        <v>0</v>
      </c>
      <c r="G660" s="260" t="n">
        <v>2.42</v>
      </c>
      <c r="H660" s="259" t="n">
        <v>0</v>
      </c>
      <c r="I660" s="259" t="n">
        <v>0</v>
      </c>
      <c r="J660" s="259" t="n">
        <v>0</v>
      </c>
      <c r="K660" s="259" t="n">
        <v>0</v>
      </c>
      <c r="L660" s="259" t="n">
        <v>0</v>
      </c>
    </row>
    <row r="661" hidden="1">
      <c r="A661" s="259" t="inlineStr">
        <is>
          <t>Quant Dynamic Asset Allocation Fund - Regular Plan</t>
        </is>
      </c>
      <c r="B661" s="261">
        <f>VLOOKUP(A661, '[2]fund-selector'!$A$2:$F$853,6,FALSE)</f>
        <v/>
      </c>
      <c r="C661" s="258" t="n">
        <v>-2.66</v>
      </c>
      <c r="D661" s="260" t="n">
        <v>2.13</v>
      </c>
      <c r="E661" s="259" t="n">
        <v>0</v>
      </c>
      <c r="F661" s="259" t="n">
        <v>0</v>
      </c>
      <c r="G661" s="260" t="n">
        <v>2.13</v>
      </c>
      <c r="H661" s="259" t="n">
        <v>0</v>
      </c>
      <c r="I661" s="259" t="n">
        <v>0</v>
      </c>
      <c r="J661" s="259" t="n">
        <v>0</v>
      </c>
      <c r="K661" s="259" t="n">
        <v>0</v>
      </c>
      <c r="L661" s="259" t="n">
        <v>0</v>
      </c>
    </row>
    <row r="662" hidden="1">
      <c r="A662" s="259" t="inlineStr">
        <is>
          <t>Quant Flexi Cap Fund</t>
        </is>
      </c>
      <c r="B662" s="261">
        <f>VLOOKUP(A662, '[2]fund-selector'!$A$2:$F$853,6,FALSE)</f>
        <v/>
      </c>
      <c r="C662" s="258" t="n">
        <v>-9.82</v>
      </c>
      <c r="D662" s="260" t="n">
        <v>1.78</v>
      </c>
      <c r="E662" s="260" t="n">
        <v>23.25</v>
      </c>
      <c r="F662" s="260" t="n">
        <v>31.48</v>
      </c>
      <c r="G662" s="260" t="n">
        <v>1.78</v>
      </c>
      <c r="H662" s="260" t="n">
        <v>17.13</v>
      </c>
      <c r="I662" s="260" t="n">
        <v>0.83</v>
      </c>
      <c r="J662" s="260" t="n">
        <v>1.27</v>
      </c>
      <c r="K662" s="260" t="n">
        <v>1.07</v>
      </c>
      <c r="L662" s="260" t="n">
        <v>1.79</v>
      </c>
    </row>
    <row r="663" hidden="1">
      <c r="A663" s="259" t="inlineStr">
        <is>
          <t>Quant Focused Fund</t>
        </is>
      </c>
      <c r="B663" s="261">
        <f>VLOOKUP(A663, '[2]fund-selector'!$A$2:$F$853,6,FALSE)</f>
        <v/>
      </c>
      <c r="C663" s="258" t="n">
        <v>-6.2</v>
      </c>
      <c r="D663" s="260" t="n">
        <v>2.18</v>
      </c>
      <c r="E663" s="260" t="n">
        <v>20.15</v>
      </c>
      <c r="F663" s="260" t="n">
        <v>23.59</v>
      </c>
      <c r="G663" s="260" t="n">
        <v>2.18</v>
      </c>
      <c r="H663" s="260" t="n">
        <v>16.06</v>
      </c>
      <c r="I663" s="260" t="n">
        <v>0.68</v>
      </c>
      <c r="J663" s="260" t="n">
        <v>1.1</v>
      </c>
      <c r="K663" s="260" t="n">
        <v>1.05</v>
      </c>
      <c r="L663" s="260" t="n">
        <v>0.09</v>
      </c>
    </row>
    <row r="664" hidden="1">
      <c r="A664" s="259" t="inlineStr">
        <is>
          <t>Quant Large and Mid Cap Fund</t>
        </is>
      </c>
      <c r="B664" s="261">
        <f>VLOOKUP(A664, '[2]fund-selector'!$A$2:$F$853,6,FALSE)</f>
        <v/>
      </c>
      <c r="C664" s="258" t="n">
        <v>-9.59</v>
      </c>
      <c r="D664" s="260" t="n">
        <v>1.88</v>
      </c>
      <c r="E664" s="260" t="n">
        <v>23.53</v>
      </c>
      <c r="F664" s="260" t="n">
        <v>24.67</v>
      </c>
      <c r="G664" s="260" t="n">
        <v>1.88</v>
      </c>
      <c r="H664" s="260" t="n">
        <v>16.88</v>
      </c>
      <c r="I664" s="260" t="n">
        <v>0.82</v>
      </c>
      <c r="J664" s="260" t="n">
        <v>1.31</v>
      </c>
      <c r="K664" s="260" t="n">
        <v>1.09</v>
      </c>
      <c r="L664" s="260" t="n">
        <v>1.95</v>
      </c>
    </row>
    <row r="665" hidden="1">
      <c r="A665" s="259" t="inlineStr">
        <is>
          <t>Quant Large Cap Fund - Regular Plan</t>
        </is>
      </c>
      <c r="B665" s="261">
        <f>VLOOKUP(A665, '[2]fund-selector'!$A$2:$F$853,6,FALSE)</f>
        <v/>
      </c>
      <c r="C665" s="258" t="n">
        <v>-4.3</v>
      </c>
      <c r="D665" s="260" t="n">
        <v>1.92</v>
      </c>
      <c r="E665" s="259" t="n">
        <v>0</v>
      </c>
      <c r="F665" s="259" t="n">
        <v>0</v>
      </c>
      <c r="G665" s="260" t="n">
        <v>1.92</v>
      </c>
      <c r="H665" s="259" t="n">
        <v>0</v>
      </c>
      <c r="I665" s="259" t="n">
        <v>0</v>
      </c>
      <c r="J665" s="259" t="n">
        <v>0</v>
      </c>
      <c r="K665" s="259" t="n">
        <v>0</v>
      </c>
      <c r="L665" s="259" t="n">
        <v>0</v>
      </c>
    </row>
    <row r="666" hidden="1">
      <c r="A666" s="259" t="inlineStr">
        <is>
          <t>Quant Manufacturing Fund - Regular Plan</t>
        </is>
      </c>
      <c r="B666" s="261">
        <f>VLOOKUP(A666, '[2]fund-selector'!$A$2:$F$853,6,FALSE)</f>
        <v/>
      </c>
      <c r="C666" s="258" t="n">
        <v>-11.8</v>
      </c>
      <c r="D666" s="260" t="n">
        <v>2.25</v>
      </c>
      <c r="E666" s="259" t="n">
        <v>0</v>
      </c>
      <c r="F666" s="259" t="n">
        <v>0</v>
      </c>
      <c r="G666" s="260" t="n">
        <v>2.25</v>
      </c>
      <c r="H666" s="259" t="n">
        <v>0</v>
      </c>
      <c r="I666" s="259" t="n">
        <v>0</v>
      </c>
      <c r="J666" s="259" t="n">
        <v>0</v>
      </c>
      <c r="K666" s="259" t="n">
        <v>0</v>
      </c>
      <c r="L666" s="259" t="n">
        <v>0</v>
      </c>
    </row>
    <row r="667" hidden="1">
      <c r="A667" s="259" t="inlineStr">
        <is>
          <t>Quant Mid Cap Fund</t>
        </is>
      </c>
      <c r="B667" s="261">
        <f>VLOOKUP(A667, '[2]fund-selector'!$A$2:$F$853,6,FALSE)</f>
        <v/>
      </c>
      <c r="C667" s="258" t="n">
        <v>-13</v>
      </c>
      <c r="D667" s="260" t="n">
        <v>1.74</v>
      </c>
      <c r="E667" s="260" t="n">
        <v>24.76</v>
      </c>
      <c r="F667" s="260" t="n">
        <v>31.49</v>
      </c>
      <c r="G667" s="260" t="n">
        <v>1.74</v>
      </c>
      <c r="H667" s="260" t="n">
        <v>17.67</v>
      </c>
      <c r="I667" s="260" t="n">
        <v>0.87</v>
      </c>
      <c r="J667" s="260" t="n">
        <v>1.23</v>
      </c>
      <c r="K667" s="260" t="n">
        <v>0.95</v>
      </c>
      <c r="L667" s="260" t="n">
        <v>-1.82</v>
      </c>
    </row>
    <row r="668" hidden="1">
      <c r="A668" s="259" t="inlineStr">
        <is>
          <t>Quant Momentum Fund - Regular Plan</t>
        </is>
      </c>
      <c r="B668" s="261">
        <f>VLOOKUP(A668, '[2]fund-selector'!$A$2:$F$853,6,FALSE)</f>
        <v/>
      </c>
      <c r="C668" s="258" t="n">
        <v>-7.77</v>
      </c>
      <c r="D668" s="260" t="n">
        <v>2.09</v>
      </c>
      <c r="E668" s="259" t="n">
        <v>0</v>
      </c>
      <c r="F668" s="259" t="n">
        <v>0</v>
      </c>
      <c r="G668" s="260" t="n">
        <v>2.09</v>
      </c>
      <c r="H668" s="259" t="n">
        <v>0</v>
      </c>
      <c r="I668" s="259" t="n">
        <v>0</v>
      </c>
      <c r="J668" s="259" t="n">
        <v>0</v>
      </c>
      <c r="K668" s="259" t="n">
        <v>0</v>
      </c>
      <c r="L668" s="259" t="n">
        <v>0</v>
      </c>
    </row>
    <row r="669" hidden="1">
      <c r="A669" s="259" t="inlineStr">
        <is>
          <t>Quant Multi Asset Fund</t>
        </is>
      </c>
      <c r="B669" s="261">
        <f>VLOOKUP(A669, '[2]fund-selector'!$A$2:$F$853,6,FALSE)</f>
        <v/>
      </c>
      <c r="C669" s="258" t="n">
        <v>4.94</v>
      </c>
      <c r="D669" s="260" t="n">
        <v>1.88</v>
      </c>
      <c r="E669" s="260" t="n">
        <v>24.02</v>
      </c>
      <c r="F669" s="260" t="n">
        <v>31.56</v>
      </c>
      <c r="G669" s="260" t="n">
        <v>1.88</v>
      </c>
      <c r="H669" s="260" t="n">
        <v>12.15</v>
      </c>
      <c r="I669" s="260" t="n">
        <v>1.16</v>
      </c>
      <c r="J669" s="260" t="n">
        <v>1.87</v>
      </c>
      <c r="K669" s="260" t="n">
        <v>1.05</v>
      </c>
      <c r="L669" s="260" t="n">
        <v>4.73</v>
      </c>
    </row>
    <row r="670" hidden="1">
      <c r="A670" s="259" t="inlineStr">
        <is>
          <t>Quant Quantamental Fund - Regular Plan</t>
        </is>
      </c>
      <c r="B670" s="261">
        <f>VLOOKUP(A670, '[2]fund-selector'!$A$2:$F$853,6,FALSE)</f>
        <v/>
      </c>
      <c r="C670" s="258" t="n">
        <v>-9.48</v>
      </c>
      <c r="D670" s="260" t="n">
        <v>2.04</v>
      </c>
      <c r="E670" s="260" t="n">
        <v>28.08</v>
      </c>
      <c r="F670" s="259" t="n">
        <v>0</v>
      </c>
      <c r="G670" s="260" t="n">
        <v>2.04</v>
      </c>
      <c r="H670" s="260" t="n">
        <v>16.42</v>
      </c>
      <c r="I670" s="260" t="n">
        <v>1.07</v>
      </c>
      <c r="J670" s="260" t="n">
        <v>1.54</v>
      </c>
      <c r="K670" s="260" t="n">
        <v>1.02</v>
      </c>
      <c r="L670" s="260" t="n">
        <v>5.86</v>
      </c>
    </row>
    <row r="671" hidden="1">
      <c r="A671" s="259" t="inlineStr">
        <is>
          <t>Quant Small Cap Fund</t>
        </is>
      </c>
      <c r="B671" s="261">
        <f>VLOOKUP(A671, '[2]fund-selector'!$A$2:$F$853,6,FALSE)</f>
        <v/>
      </c>
      <c r="C671" s="258" t="n">
        <v>-6.78</v>
      </c>
      <c r="D671" s="260" t="n">
        <v>1.58</v>
      </c>
      <c r="E671" s="260" t="n">
        <v>30.61</v>
      </c>
      <c r="F671" s="260" t="n">
        <v>43.89</v>
      </c>
      <c r="G671" s="260" t="n">
        <v>1.58</v>
      </c>
      <c r="H671" s="260" t="n">
        <v>17.97</v>
      </c>
      <c r="I671" s="260" t="n">
        <v>1.1</v>
      </c>
      <c r="J671" s="260" t="n">
        <v>1.67</v>
      </c>
      <c r="K671" s="260" t="n">
        <v>0.87</v>
      </c>
      <c r="L671" s="260" t="n">
        <v>3.86</v>
      </c>
    </row>
    <row r="672" hidden="1">
      <c r="A672" s="259" t="inlineStr">
        <is>
          <t>Quantum Equity FoF - Regular Plan</t>
        </is>
      </c>
      <c r="B672" s="261">
        <f>VLOOKUP(A672, '[2]fund-selector'!$A$2:$F$853,6,FALSE)</f>
        <v/>
      </c>
      <c r="C672" s="258" t="n">
        <v>4.63</v>
      </c>
      <c r="D672" s="260" t="n">
        <v>0.75</v>
      </c>
      <c r="E672" s="260" t="n">
        <v>21.18</v>
      </c>
      <c r="F672" s="260" t="n">
        <v>21.05</v>
      </c>
      <c r="G672" s="260" t="n">
        <v>0.75</v>
      </c>
      <c r="H672" s="260" t="n">
        <v>13.11</v>
      </c>
      <c r="I672" s="260" t="n">
        <v>0.87</v>
      </c>
      <c r="J672" s="260" t="n">
        <v>1.36</v>
      </c>
      <c r="K672" s="260" t="n">
        <v>0.89</v>
      </c>
      <c r="L672" s="260" t="n">
        <v>1.11</v>
      </c>
    </row>
    <row r="673" hidden="1">
      <c r="A673" s="259" t="inlineStr">
        <is>
          <t>Quantum Ethical Fund - Regular Plan</t>
        </is>
      </c>
      <c r="B673" s="261">
        <f>VLOOKUP(A673, '[2]fund-selector'!$A$2:$F$853,6,FALSE)</f>
        <v/>
      </c>
      <c r="C673" s="258" t="inlineStr">
        <is>
          <t>--</t>
        </is>
      </c>
      <c r="D673" s="260" t="n">
        <v>2.1</v>
      </c>
      <c r="E673" s="259" t="n">
        <v>0</v>
      </c>
      <c r="F673" s="259" t="n">
        <v>0</v>
      </c>
      <c r="G673" s="260" t="n">
        <v>2.1</v>
      </c>
      <c r="H673" s="259" t="n">
        <v>0</v>
      </c>
      <c r="I673" s="259" t="n">
        <v>0</v>
      </c>
      <c r="J673" s="259" t="n">
        <v>0</v>
      </c>
      <c r="K673" s="259" t="n">
        <v>0</v>
      </c>
      <c r="L673" s="259" t="n">
        <v>0</v>
      </c>
    </row>
    <row r="674" hidden="1">
      <c r="A674" s="259" t="inlineStr">
        <is>
          <t>Quantum Multi Asset Allocation Fund - Regular Plan</t>
        </is>
      </c>
      <c r="B674" s="261">
        <f>VLOOKUP(A674, '[2]fund-selector'!$A$2:$F$853,6,FALSE)</f>
        <v/>
      </c>
      <c r="C674" s="258" t="n">
        <v>8.539999999999999</v>
      </c>
      <c r="D674" s="260" t="n">
        <v>1.96</v>
      </c>
      <c r="E674" s="259" t="n">
        <v>0</v>
      </c>
      <c r="F674" s="259" t="n">
        <v>0</v>
      </c>
      <c r="G674" s="260" t="n">
        <v>1.96</v>
      </c>
      <c r="H674" s="259" t="n">
        <v>0</v>
      </c>
      <c r="I674" s="259" t="n">
        <v>0</v>
      </c>
      <c r="J674" s="259" t="n">
        <v>0</v>
      </c>
      <c r="K674" s="259" t="n">
        <v>0</v>
      </c>
      <c r="L674" s="259" t="n">
        <v>0</v>
      </c>
    </row>
    <row r="675" hidden="1">
      <c r="A675" s="259" t="inlineStr">
        <is>
          <t>Quantum Multi Asset Fund of Funds - Regular Plan</t>
        </is>
      </c>
      <c r="B675" s="261">
        <f>VLOOKUP(A675, '[2]fund-selector'!$A$2:$F$853,6,FALSE)</f>
        <v/>
      </c>
      <c r="C675" s="258" t="n">
        <v>11.04</v>
      </c>
      <c r="D675" s="260" t="n">
        <v>0.47</v>
      </c>
      <c r="E675" s="260" t="n">
        <v>14.02</v>
      </c>
      <c r="F675" s="260" t="n">
        <v>11.85</v>
      </c>
      <c r="G675" s="260" t="n">
        <v>0.47</v>
      </c>
      <c r="H675" s="260" t="n">
        <v>5.09</v>
      </c>
      <c r="I675" s="260" t="n">
        <v>1.18</v>
      </c>
      <c r="J675" s="260" t="n">
        <v>1.88</v>
      </c>
      <c r="K675" s="260" t="n">
        <v>0.5</v>
      </c>
      <c r="L675" s="260" t="n">
        <v>1.6</v>
      </c>
    </row>
    <row r="676" hidden="1">
      <c r="A676" s="259" t="inlineStr">
        <is>
          <t>Quantum Nifty 50 ETF</t>
        </is>
      </c>
      <c r="B676" s="261">
        <f>VLOOKUP(A676, '[2]fund-selector'!$A$2:$F$853,6,FALSE)</f>
        <v/>
      </c>
      <c r="C676" s="258" t="n">
        <v>6.43</v>
      </c>
      <c r="D676" s="260" t="n">
        <v>0.09</v>
      </c>
      <c r="E676" s="260" t="n">
        <v>18.61</v>
      </c>
      <c r="F676" s="260" t="n">
        <v>20.6</v>
      </c>
      <c r="G676" s="260" t="n">
        <v>0.09</v>
      </c>
      <c r="H676" s="260" t="n">
        <v>13.13</v>
      </c>
      <c r="I676" s="260" t="n">
        <v>0.68</v>
      </c>
      <c r="J676" s="260" t="n">
        <v>1.17</v>
      </c>
      <c r="K676" s="260" t="n">
        <v>0.95</v>
      </c>
      <c r="L676" s="260" t="n">
        <v>-0.76</v>
      </c>
    </row>
    <row r="677" hidden="1">
      <c r="A677" s="259" t="inlineStr">
        <is>
          <t>Quantum Nifty 50 ETF FoF - Regular Plan</t>
        </is>
      </c>
      <c r="B677" s="261">
        <f>VLOOKUP(A677, '[2]fund-selector'!$A$2:$F$853,6,FALSE)</f>
        <v/>
      </c>
      <c r="C677" s="258" t="n">
        <v>6.25</v>
      </c>
      <c r="D677" s="260" t="n">
        <v>0.18</v>
      </c>
      <c r="E677" s="259" t="n">
        <v>0</v>
      </c>
      <c r="F677" s="259" t="n">
        <v>0</v>
      </c>
      <c r="G677" s="260" t="n">
        <v>0.18</v>
      </c>
      <c r="H677" s="259" t="n">
        <v>0</v>
      </c>
      <c r="I677" s="259" t="n">
        <v>0</v>
      </c>
      <c r="J677" s="259" t="n">
        <v>0</v>
      </c>
      <c r="K677" s="259" t="n">
        <v>0</v>
      </c>
      <c r="L677" s="259" t="n">
        <v>0</v>
      </c>
    </row>
    <row r="678" hidden="1">
      <c r="A678" s="259" t="inlineStr">
        <is>
          <t>Quantum Small Cap Fund - Regular Plan</t>
        </is>
      </c>
      <c r="B678" s="261">
        <f>VLOOKUP(A678, '[2]fund-selector'!$A$2:$F$853,6,FALSE)</f>
        <v/>
      </c>
      <c r="C678" s="258" t="n">
        <v>5.75</v>
      </c>
      <c r="D678" s="260" t="n">
        <v>2.1</v>
      </c>
      <c r="E678" s="259" t="n">
        <v>0</v>
      </c>
      <c r="F678" s="259" t="n">
        <v>0</v>
      </c>
      <c r="G678" s="260" t="n">
        <v>2.1</v>
      </c>
      <c r="H678" s="259" t="n">
        <v>0</v>
      </c>
      <c r="I678" s="259" t="n">
        <v>0</v>
      </c>
      <c r="J678" s="259" t="n">
        <v>0</v>
      </c>
      <c r="K678" s="259" t="n">
        <v>0</v>
      </c>
      <c r="L678" s="259" t="n">
        <v>0</v>
      </c>
    </row>
    <row r="679" hidden="1">
      <c r="A679" s="259" t="inlineStr">
        <is>
          <t>Samco Active Momentum Fund - Regular Plan</t>
        </is>
      </c>
      <c r="B679" s="261">
        <f>VLOOKUP(A679, '[2]fund-selector'!$A$2:$F$853,6,FALSE)</f>
        <v/>
      </c>
      <c r="C679" s="258" t="n">
        <v>0.44</v>
      </c>
      <c r="D679" s="260" t="n">
        <v>2.25</v>
      </c>
      <c r="E679" s="259" t="n">
        <v>0</v>
      </c>
      <c r="F679" s="259" t="n">
        <v>0</v>
      </c>
      <c r="G679" s="260" t="n">
        <v>2.25</v>
      </c>
      <c r="H679" s="259" t="n">
        <v>0</v>
      </c>
      <c r="I679" s="259" t="n">
        <v>0</v>
      </c>
      <c r="J679" s="259" t="n">
        <v>0</v>
      </c>
      <c r="K679" s="259" t="n">
        <v>0</v>
      </c>
      <c r="L679" s="259" t="n">
        <v>0</v>
      </c>
    </row>
    <row r="680" hidden="1">
      <c r="A680" s="259" t="inlineStr">
        <is>
          <t>Samco Arbitrage Fund - Regular Plan</t>
        </is>
      </c>
      <c r="B680" s="261">
        <f>VLOOKUP(A680, '[2]fund-selector'!$A$2:$F$853,6,FALSE)</f>
        <v/>
      </c>
      <c r="C680" s="258" t="inlineStr">
        <is>
          <t>--</t>
        </is>
      </c>
      <c r="D680" s="260" t="n">
        <v>1.63</v>
      </c>
      <c r="E680" s="259" t="n">
        <v>0</v>
      </c>
      <c r="F680" s="259" t="n">
        <v>0</v>
      </c>
      <c r="G680" s="260" t="n">
        <v>1.63</v>
      </c>
      <c r="H680" s="259" t="n">
        <v>0</v>
      </c>
      <c r="I680" s="259" t="n">
        <v>0</v>
      </c>
      <c r="J680" s="259" t="n">
        <v>0</v>
      </c>
      <c r="K680" s="259" t="n">
        <v>0</v>
      </c>
      <c r="L680" s="259" t="n">
        <v>0</v>
      </c>
    </row>
    <row r="681" hidden="1">
      <c r="A681" s="259" t="inlineStr">
        <is>
          <t>Samco Dynamic Asset Allocation Fund - Regular Plan</t>
        </is>
      </c>
      <c r="B681" s="261">
        <f>VLOOKUP(A681, '[2]fund-selector'!$A$2:$F$853,6,FALSE)</f>
        <v/>
      </c>
      <c r="C681" s="258" t="n">
        <v>-3.55</v>
      </c>
      <c r="D681" s="260" t="n">
        <v>2.41</v>
      </c>
      <c r="E681" s="259" t="n">
        <v>0</v>
      </c>
      <c r="F681" s="259" t="n">
        <v>0</v>
      </c>
      <c r="G681" s="260" t="n">
        <v>2.41</v>
      </c>
      <c r="H681" s="259" t="n">
        <v>0</v>
      </c>
      <c r="I681" s="259" t="n">
        <v>0</v>
      </c>
      <c r="J681" s="259" t="n">
        <v>0</v>
      </c>
      <c r="K681" s="259" t="n">
        <v>0</v>
      </c>
      <c r="L681" s="259" t="n">
        <v>0</v>
      </c>
    </row>
    <row r="682" hidden="1">
      <c r="A682" s="259" t="inlineStr">
        <is>
          <t>Samco Flexi Cap Fund - Regular Plan</t>
        </is>
      </c>
      <c r="B682" s="261">
        <f>VLOOKUP(A682, '[2]fund-selector'!$A$2:$F$853,6,FALSE)</f>
        <v/>
      </c>
      <c r="C682" s="258" t="n">
        <v>-14.81</v>
      </c>
      <c r="D682" s="260" t="n">
        <v>2.41</v>
      </c>
      <c r="E682" s="260" t="n">
        <v>9.220000000000001</v>
      </c>
      <c r="F682" s="259" t="n">
        <v>0</v>
      </c>
      <c r="G682" s="260" t="n">
        <v>2.41</v>
      </c>
      <c r="H682" s="260" t="n">
        <v>19.05</v>
      </c>
      <c r="I682" s="260" t="n">
        <v>0.04</v>
      </c>
      <c r="J682" s="260" t="n">
        <v>0.05</v>
      </c>
      <c r="K682" s="260" t="n">
        <v>1.08</v>
      </c>
      <c r="L682" s="260" t="n">
        <v>-11.72</v>
      </c>
    </row>
    <row r="683" hidden="1">
      <c r="A683" s="259" t="inlineStr">
        <is>
          <t>Samco Large Cap Fund - Regular Plan</t>
        </is>
      </c>
      <c r="B683" s="261">
        <f>VLOOKUP(A683, '[2]fund-selector'!$A$2:$F$853,6,FALSE)</f>
        <v/>
      </c>
      <c r="C683" s="258" t="inlineStr">
        <is>
          <t>--</t>
        </is>
      </c>
      <c r="D683" s="260" t="n">
        <v>2.37</v>
      </c>
      <c r="E683" s="259" t="n">
        <v>0</v>
      </c>
      <c r="F683" s="259" t="n">
        <v>0</v>
      </c>
      <c r="G683" s="260" t="n">
        <v>2.37</v>
      </c>
      <c r="H683" s="259" t="n">
        <v>0</v>
      </c>
      <c r="I683" s="259" t="n">
        <v>0</v>
      </c>
      <c r="J683" s="259" t="n">
        <v>0</v>
      </c>
      <c r="K683" s="259" t="n">
        <v>0</v>
      </c>
      <c r="L683" s="259" t="n">
        <v>0</v>
      </c>
    </row>
    <row r="684" hidden="1">
      <c r="A684" s="259" t="inlineStr">
        <is>
          <t>Samco Large &amp; Mid Cap Fund - Regular Plan</t>
        </is>
      </c>
      <c r="B684" s="261">
        <f>VLOOKUP(A684, '[2]fund-selector'!$A$2:$F$853,6,FALSE)</f>
        <v/>
      </c>
      <c r="C684" s="258" t="inlineStr">
        <is>
          <t>--</t>
        </is>
      </c>
      <c r="D684" s="259" t="n">
        <v>0</v>
      </c>
      <c r="E684" s="259" t="n">
        <v>0</v>
      </c>
      <c r="F684" s="259" t="n">
        <v>0</v>
      </c>
      <c r="G684" s="259" t="n">
        <v>0</v>
      </c>
      <c r="H684" s="259" t="n">
        <v>0</v>
      </c>
      <c r="I684" s="259" t="n">
        <v>0</v>
      </c>
      <c r="J684" s="259" t="n">
        <v>0</v>
      </c>
      <c r="K684" s="259" t="n">
        <v>0</v>
      </c>
      <c r="L684" s="259" t="n">
        <v>0</v>
      </c>
    </row>
    <row r="685" hidden="1">
      <c r="A685" s="259" t="inlineStr">
        <is>
          <t>Samco Multi Asset Allocation Fund - Regular Plan</t>
        </is>
      </c>
      <c r="B685" s="261">
        <f>VLOOKUP(A685, '[2]fund-selector'!$A$2:$F$853,6,FALSE)</f>
        <v/>
      </c>
      <c r="C685" s="258" t="inlineStr">
        <is>
          <t>--</t>
        </is>
      </c>
      <c r="D685" s="260" t="n">
        <v>2.21</v>
      </c>
      <c r="E685" s="259" t="n">
        <v>0</v>
      </c>
      <c r="F685" s="259" t="n">
        <v>0</v>
      </c>
      <c r="G685" s="260" t="n">
        <v>2.21</v>
      </c>
      <c r="H685" s="259" t="n">
        <v>0</v>
      </c>
      <c r="I685" s="259" t="n">
        <v>0</v>
      </c>
      <c r="J685" s="259" t="n">
        <v>0</v>
      </c>
      <c r="K685" s="259" t="n">
        <v>0</v>
      </c>
      <c r="L685" s="259" t="n">
        <v>0</v>
      </c>
    </row>
    <row r="686" hidden="1">
      <c r="A686" s="259" t="inlineStr">
        <is>
          <t>Samco Multi Cap Fund - Regular Plan</t>
        </is>
      </c>
      <c r="B686" s="261">
        <f>VLOOKUP(A686, '[2]fund-selector'!$A$2:$F$853,6,FALSE)</f>
        <v/>
      </c>
      <c r="C686" s="258" t="inlineStr">
        <is>
          <t>--</t>
        </is>
      </c>
      <c r="D686" s="260" t="n">
        <v>2.39</v>
      </c>
      <c r="E686" s="259" t="n">
        <v>0</v>
      </c>
      <c r="F686" s="259" t="n">
        <v>0</v>
      </c>
      <c r="G686" s="260" t="n">
        <v>2.39</v>
      </c>
      <c r="H686" s="259" t="n">
        <v>0</v>
      </c>
      <c r="I686" s="259" t="n">
        <v>0</v>
      </c>
      <c r="J686" s="259" t="n">
        <v>0</v>
      </c>
      <c r="K686" s="259" t="n">
        <v>0</v>
      </c>
      <c r="L686" s="259" t="n">
        <v>0</v>
      </c>
    </row>
    <row r="687" hidden="1">
      <c r="A687" s="259" t="inlineStr">
        <is>
          <t>Samco Special Opportunities Fund - Regular Plan</t>
        </is>
      </c>
      <c r="B687" s="261">
        <f>VLOOKUP(A687, '[2]fund-selector'!$A$2:$F$853,6,FALSE)</f>
        <v/>
      </c>
      <c r="C687" s="258" t="n">
        <v>-19.23</v>
      </c>
      <c r="D687" s="260" t="n">
        <v>2.41</v>
      </c>
      <c r="E687" s="259" t="n">
        <v>0</v>
      </c>
      <c r="F687" s="259" t="n">
        <v>0</v>
      </c>
      <c r="G687" s="260" t="n">
        <v>2.41</v>
      </c>
      <c r="H687" s="259" t="n">
        <v>0</v>
      </c>
      <c r="I687" s="259" t="n">
        <v>0</v>
      </c>
      <c r="J687" s="259" t="n">
        <v>0</v>
      </c>
      <c r="K687" s="259" t="n">
        <v>0</v>
      </c>
      <c r="L687" s="259" t="n">
        <v>0</v>
      </c>
    </row>
    <row r="688" hidden="1">
      <c r="A688" s="259" t="inlineStr">
        <is>
          <t>SBI Arbitrage Opportunities Fund</t>
        </is>
      </c>
      <c r="B688" s="261">
        <f>VLOOKUP(A688, '[2]fund-selector'!$A$2:$F$853,6,FALSE)</f>
        <v/>
      </c>
      <c r="C688" s="258" t="n">
        <v>7.04</v>
      </c>
      <c r="D688" s="260" t="n">
        <v>0.9</v>
      </c>
      <c r="E688" s="260" t="n">
        <v>7.05</v>
      </c>
      <c r="F688" s="260" t="n">
        <v>5.64</v>
      </c>
      <c r="G688" s="260" t="n">
        <v>0.9</v>
      </c>
      <c r="H688" s="260" t="n">
        <v>0.53</v>
      </c>
      <c r="I688" s="260" t="n">
        <v>0.8</v>
      </c>
      <c r="J688" s="260" t="n">
        <v>0.89</v>
      </c>
      <c r="K688" s="260" t="n">
        <v>0.55</v>
      </c>
      <c r="L688" s="260" t="n">
        <v>1.46</v>
      </c>
    </row>
    <row r="689" hidden="1">
      <c r="A689" s="259" t="inlineStr">
        <is>
          <t>SBI Automotive Opportunities Fund - Regular Plan</t>
        </is>
      </c>
      <c r="B689" s="261">
        <f>VLOOKUP(A689, '[2]fund-selector'!$A$2:$F$853,6,FALSE)</f>
        <v/>
      </c>
      <c r="C689" s="258" t="n">
        <v>-9.609999999999999</v>
      </c>
      <c r="D689" s="260" t="n">
        <v>1.84</v>
      </c>
      <c r="E689" s="259" t="n">
        <v>0</v>
      </c>
      <c r="F689" s="259" t="n">
        <v>0</v>
      </c>
      <c r="G689" s="260" t="n">
        <v>1.84</v>
      </c>
      <c r="H689" s="259" t="n">
        <v>0</v>
      </c>
      <c r="I689" s="259" t="n">
        <v>0</v>
      </c>
      <c r="J689" s="259" t="n">
        <v>0</v>
      </c>
      <c r="K689" s="259" t="n">
        <v>0</v>
      </c>
      <c r="L689" s="259" t="n">
        <v>0</v>
      </c>
    </row>
    <row r="690" hidden="1">
      <c r="A690" s="259" t="inlineStr">
        <is>
          <t>SBI Balanced Advantage Fund - Regular Plan</t>
        </is>
      </c>
      <c r="B690" s="261">
        <f>VLOOKUP(A690, '[2]fund-selector'!$A$2:$F$853,6,FALSE)</f>
        <v/>
      </c>
      <c r="C690" s="258" t="n">
        <v>6.02</v>
      </c>
      <c r="D690" s="260" t="n">
        <v>1.57</v>
      </c>
      <c r="E690" s="260" t="n">
        <v>15.88</v>
      </c>
      <c r="F690" s="259" t="n">
        <v>0</v>
      </c>
      <c r="G690" s="260" t="n">
        <v>1.57</v>
      </c>
      <c r="H690" s="260" t="n">
        <v>6.44</v>
      </c>
      <c r="I690" s="260" t="n">
        <v>1.18</v>
      </c>
      <c r="J690" s="260" t="n">
        <v>1.88</v>
      </c>
      <c r="K690" s="260" t="n">
        <v>0.6</v>
      </c>
      <c r="L690" s="260" t="n">
        <v>2.88</v>
      </c>
    </row>
    <row r="691" hidden="1">
      <c r="A691" s="259" t="inlineStr">
        <is>
          <t>SBI Bluechip Fund</t>
        </is>
      </c>
      <c r="B691" s="261">
        <f>VLOOKUP(A691, '[2]fund-selector'!$A$2:$F$853,6,FALSE)</f>
        <v/>
      </c>
      <c r="C691" s="258" t="n">
        <v>5.1</v>
      </c>
      <c r="D691" s="260" t="n">
        <v>1.49</v>
      </c>
      <c r="E691" s="260" t="n">
        <v>19.16</v>
      </c>
      <c r="F691" s="260" t="n">
        <v>21.01</v>
      </c>
      <c r="G691" s="260" t="n">
        <v>1.49</v>
      </c>
      <c r="H691" s="260" t="n">
        <v>12.69</v>
      </c>
      <c r="I691" s="260" t="n">
        <v>0.77</v>
      </c>
      <c r="J691" s="260" t="n">
        <v>1.41</v>
      </c>
      <c r="K691" s="260" t="n">
        <v>0.9</v>
      </c>
      <c r="L691" s="260" t="n">
        <v>0.43</v>
      </c>
    </row>
    <row r="692" hidden="1">
      <c r="A692" s="259" t="inlineStr">
        <is>
          <t>SBI BSE 100 ETF</t>
        </is>
      </c>
      <c r="B692" s="261">
        <f>VLOOKUP(A692, '[2]fund-selector'!$A$2:$F$853,6,FALSE)</f>
        <v/>
      </c>
      <c r="C692" s="258" t="n">
        <v>4.83</v>
      </c>
      <c r="D692" s="260" t="n">
        <v>0.14</v>
      </c>
      <c r="E692" s="260" t="n">
        <v>19.77</v>
      </c>
      <c r="F692" s="260" t="n">
        <v>21.53</v>
      </c>
      <c r="G692" s="260" t="n">
        <v>0.14</v>
      </c>
      <c r="H692" s="260" t="n">
        <v>13.75</v>
      </c>
      <c r="I692" s="260" t="n">
        <v>0.74</v>
      </c>
      <c r="J692" s="260" t="n">
        <v>1.2</v>
      </c>
      <c r="K692" s="260" t="n">
        <v>1</v>
      </c>
      <c r="L692" s="260" t="n">
        <v>-0.14</v>
      </c>
    </row>
    <row r="693" hidden="1">
      <c r="A693" s="259" t="inlineStr">
        <is>
          <t>SBI BSE Sensex ETF</t>
        </is>
      </c>
      <c r="B693" s="261">
        <f>VLOOKUP(A693, '[2]fund-selector'!$A$2:$F$853,6,FALSE)</f>
        <v/>
      </c>
      <c r="C693" s="258" t="n">
        <v>6.27</v>
      </c>
      <c r="D693" s="260" t="n">
        <v>0.04</v>
      </c>
      <c r="E693" s="260" t="n">
        <v>17.82</v>
      </c>
      <c r="F693" s="260" t="n">
        <v>19.91</v>
      </c>
      <c r="G693" s="260" t="n">
        <v>0.04</v>
      </c>
      <c r="H693" s="260" t="n">
        <v>12.71</v>
      </c>
      <c r="I693" s="260" t="n">
        <v>0.66</v>
      </c>
      <c r="J693" s="260" t="n">
        <v>1.1</v>
      </c>
      <c r="K693" s="260" t="n">
        <v>0.91</v>
      </c>
      <c r="L693" s="260" t="n">
        <v>-0.96</v>
      </c>
    </row>
    <row r="694" hidden="1">
      <c r="A694" s="259" t="inlineStr">
        <is>
          <t>SBI BSE Sensex Index Fund - Regular Plan</t>
        </is>
      </c>
      <c r="B694" s="261">
        <f>VLOOKUP(A694, '[2]fund-selector'!$A$2:$F$853,6,FALSE)</f>
        <v/>
      </c>
      <c r="C694" s="258" t="n">
        <v>5.77</v>
      </c>
      <c r="D694" s="260" t="n">
        <v>0.43</v>
      </c>
      <c r="E694" s="259" t="n">
        <v>0</v>
      </c>
      <c r="F694" s="259" t="n">
        <v>0</v>
      </c>
      <c r="G694" s="260" t="n">
        <v>0.43</v>
      </c>
      <c r="H694" s="259" t="n">
        <v>0</v>
      </c>
      <c r="I694" s="259" t="n">
        <v>0</v>
      </c>
      <c r="J694" s="259" t="n">
        <v>0</v>
      </c>
      <c r="K694" s="259" t="n">
        <v>0</v>
      </c>
      <c r="L694" s="259" t="n">
        <v>0</v>
      </c>
    </row>
    <row r="695" hidden="1">
      <c r="A695" s="259" t="inlineStr">
        <is>
          <t>SBI BSE Sensex Next 50 ETF</t>
        </is>
      </c>
      <c r="B695" s="261">
        <f>VLOOKUP(A695, '[2]fund-selector'!$A$2:$F$853,6,FALSE)</f>
        <v/>
      </c>
      <c r="C695" s="258" t="n">
        <v>1.13</v>
      </c>
      <c r="D695" s="260" t="n">
        <v>0.12</v>
      </c>
      <c r="E695" s="260" t="n">
        <v>25.97</v>
      </c>
      <c r="F695" s="260" t="n">
        <v>25.77</v>
      </c>
      <c r="G695" s="260" t="n">
        <v>0.12</v>
      </c>
      <c r="H695" s="260" t="n">
        <v>17.75</v>
      </c>
      <c r="I695" s="260" t="n">
        <v>0.89</v>
      </c>
      <c r="J695" s="260" t="n">
        <v>1.3</v>
      </c>
      <c r="K695" s="260" t="n">
        <v>1.22</v>
      </c>
      <c r="L695" s="260" t="n">
        <v>3.33</v>
      </c>
    </row>
    <row r="696" hidden="1">
      <c r="A696" s="259" t="inlineStr">
        <is>
          <t>SBI Conservative Hybrid Fund</t>
        </is>
      </c>
      <c r="B696" s="261">
        <f>VLOOKUP(A696, '[2]fund-selector'!$A$2:$F$853,6,FALSE)</f>
        <v/>
      </c>
      <c r="C696" s="258" t="n">
        <v>6.49</v>
      </c>
      <c r="D696" s="260" t="n">
        <v>1.54</v>
      </c>
      <c r="E696" s="260" t="n">
        <v>11.31</v>
      </c>
      <c r="F696" s="260" t="n">
        <v>11.77</v>
      </c>
      <c r="G696" s="260" t="n">
        <v>1.54</v>
      </c>
      <c r="H696" s="260" t="n">
        <v>3.57</v>
      </c>
      <c r="I696" s="260" t="n">
        <v>1.16</v>
      </c>
      <c r="J696" s="260" t="n">
        <v>1.89</v>
      </c>
      <c r="K696" s="260" t="n">
        <v>0.8100000000000001</v>
      </c>
      <c r="L696" s="260" t="n">
        <v>1.17</v>
      </c>
    </row>
    <row r="697" hidden="1">
      <c r="A697" s="259" t="inlineStr">
        <is>
          <t>SBI Equity Hybrid Fund</t>
        </is>
      </c>
      <c r="B697" s="261">
        <f>VLOOKUP(A697, '[2]fund-selector'!$A$2:$F$853,6,FALSE)</f>
        <v/>
      </c>
      <c r="C697" s="258" t="n">
        <v>10.88</v>
      </c>
      <c r="D697" s="260" t="n">
        <v>1.39</v>
      </c>
      <c r="E697" s="260" t="n">
        <v>17.44</v>
      </c>
      <c r="F697" s="260" t="n">
        <v>17.82</v>
      </c>
      <c r="G697" s="260" t="n">
        <v>1.39</v>
      </c>
      <c r="H697" s="260" t="n">
        <v>9.56</v>
      </c>
      <c r="I697" s="260" t="n">
        <v>0.84</v>
      </c>
      <c r="J697" s="260" t="n">
        <v>1.28</v>
      </c>
      <c r="K697" s="260" t="n">
        <v>0.77</v>
      </c>
      <c r="L697" s="260" t="n">
        <v>0.62</v>
      </c>
    </row>
    <row r="698" hidden="1">
      <c r="A698" s="259" t="inlineStr">
        <is>
          <t>SBI Equity Minimum Variance Fund - Regular Plan</t>
        </is>
      </c>
      <c r="B698" s="261">
        <f>VLOOKUP(A698, '[2]fund-selector'!$A$2:$F$853,6,FALSE)</f>
        <v/>
      </c>
      <c r="C698" s="258" t="n">
        <v>0.99</v>
      </c>
      <c r="D698" s="260" t="n">
        <v>0.75</v>
      </c>
      <c r="E698" s="260" t="n">
        <v>18.47</v>
      </c>
      <c r="F698" s="260" t="n">
        <v>19.82</v>
      </c>
      <c r="G698" s="260" t="n">
        <v>0.75</v>
      </c>
      <c r="H698" s="260" t="n">
        <v>14.22</v>
      </c>
      <c r="I698" s="260" t="n">
        <v>0.62</v>
      </c>
      <c r="J698" s="260" t="n">
        <v>0.91</v>
      </c>
      <c r="K698" s="260" t="n">
        <v>0.91</v>
      </c>
      <c r="L698" s="260" t="n">
        <v>-1.65</v>
      </c>
    </row>
    <row r="699" hidden="1">
      <c r="A699" s="259" t="inlineStr">
        <is>
          <t>SBI Flexicap Fund</t>
        </is>
      </c>
      <c r="B699" s="261">
        <f>VLOOKUP(A699, '[2]fund-selector'!$A$2:$F$853,6,FALSE)</f>
        <v/>
      </c>
      <c r="C699" s="258" t="n">
        <v>1.3</v>
      </c>
      <c r="D699" s="260" t="n">
        <v>1.67</v>
      </c>
      <c r="E699" s="260" t="n">
        <v>16.72</v>
      </c>
      <c r="F699" s="260" t="n">
        <v>19.99</v>
      </c>
      <c r="G699" s="260" t="n">
        <v>1.67</v>
      </c>
      <c r="H699" s="260" t="n">
        <v>12.31</v>
      </c>
      <c r="I699" s="260" t="n">
        <v>0.61</v>
      </c>
      <c r="J699" s="260" t="n">
        <v>0.91</v>
      </c>
      <c r="K699" s="260" t="n">
        <v>0.82</v>
      </c>
      <c r="L699" s="260" t="n">
        <v>-2.03</v>
      </c>
    </row>
    <row r="700" hidden="1">
      <c r="A700" s="259" t="inlineStr">
        <is>
          <t>SBI Focused Equity Fund</t>
        </is>
      </c>
      <c r="B700" s="261">
        <f>VLOOKUP(A700, '[2]fund-selector'!$A$2:$F$853,6,FALSE)</f>
        <v/>
      </c>
      <c r="C700" s="258" t="n">
        <v>8.01</v>
      </c>
      <c r="D700" s="260" t="n">
        <v>1.56</v>
      </c>
      <c r="E700" s="260" t="n">
        <v>19.55</v>
      </c>
      <c r="F700" s="260" t="n">
        <v>20.49</v>
      </c>
      <c r="G700" s="260" t="n">
        <v>1.56</v>
      </c>
      <c r="H700" s="260" t="n">
        <v>11.41</v>
      </c>
      <c r="I700" s="260" t="n">
        <v>0.87</v>
      </c>
      <c r="J700" s="260" t="n">
        <v>1.45</v>
      </c>
      <c r="K700" s="260" t="n">
        <v>0.71</v>
      </c>
      <c r="L700" s="260" t="n">
        <v>1.81</v>
      </c>
    </row>
    <row r="701" hidden="1">
      <c r="A701" s="259" t="inlineStr">
        <is>
          <t>SBI Innovative Opportunities Fund - Regular Plan</t>
        </is>
      </c>
      <c r="B701" s="261">
        <f>VLOOKUP(A701, '[2]fund-selector'!$A$2:$F$853,6,FALSE)</f>
        <v/>
      </c>
      <c r="C701" s="258" t="inlineStr">
        <is>
          <t>--</t>
        </is>
      </c>
      <c r="D701" s="260" t="n">
        <v>1.78</v>
      </c>
      <c r="E701" s="259" t="n">
        <v>0</v>
      </c>
      <c r="F701" s="259" t="n">
        <v>0</v>
      </c>
      <c r="G701" s="260" t="n">
        <v>1.78</v>
      </c>
      <c r="H701" s="259" t="n">
        <v>0</v>
      </c>
      <c r="I701" s="259" t="n">
        <v>0</v>
      </c>
      <c r="J701" s="259" t="n">
        <v>0</v>
      </c>
      <c r="K701" s="259" t="n">
        <v>0</v>
      </c>
      <c r="L701" s="259" t="n">
        <v>0</v>
      </c>
    </row>
    <row r="702" hidden="1">
      <c r="A702" s="259" t="inlineStr">
        <is>
          <t>SBI Large &amp; Midcap Fund</t>
        </is>
      </c>
      <c r="B702" s="261">
        <f>VLOOKUP(A702, '[2]fund-selector'!$A$2:$F$853,6,FALSE)</f>
        <v/>
      </c>
      <c r="C702" s="258" t="n">
        <v>4.86</v>
      </c>
      <c r="D702" s="260" t="n">
        <v>1.59</v>
      </c>
      <c r="E702" s="260" t="n">
        <v>22.48</v>
      </c>
      <c r="F702" s="260" t="n">
        <v>25.12</v>
      </c>
      <c r="G702" s="260" t="n">
        <v>1.59</v>
      </c>
      <c r="H702" s="260" t="n">
        <v>12.51</v>
      </c>
      <c r="I702" s="260" t="n">
        <v>1.02</v>
      </c>
      <c r="J702" s="260" t="n">
        <v>1.66</v>
      </c>
      <c r="K702" s="260" t="n">
        <v>0.84</v>
      </c>
      <c r="L702" s="260" t="n">
        <v>3.47</v>
      </c>
    </row>
    <row r="703" hidden="1">
      <c r="A703" s="259" t="inlineStr">
        <is>
          <t>SBI Magnum Children's Benefit Fund - Investment Plan - Regular Plan</t>
        </is>
      </c>
      <c r="B703" s="261">
        <f>VLOOKUP(A703, '[2]fund-selector'!$A$2:$F$853,6,FALSE)</f>
        <v/>
      </c>
      <c r="C703" s="258" t="n">
        <v>8.02</v>
      </c>
      <c r="D703" s="260" t="n">
        <v>1.87</v>
      </c>
      <c r="E703" s="260" t="n">
        <v>24.56</v>
      </c>
      <c r="F703" s="259" t="n">
        <v>0</v>
      </c>
      <c r="G703" s="260" t="n">
        <v>1.87</v>
      </c>
      <c r="H703" s="260" t="n">
        <v>13.85</v>
      </c>
      <c r="I703" s="260" t="n">
        <v>1.03</v>
      </c>
      <c r="J703" s="260" t="n">
        <v>1.49</v>
      </c>
      <c r="K703" s="260" t="n">
        <v>0.92</v>
      </c>
      <c r="L703" s="260" t="n">
        <v>5.41</v>
      </c>
    </row>
    <row r="704" hidden="1">
      <c r="A704" s="259" t="inlineStr">
        <is>
          <t>SBI Magnum Children's Benefit Fund - Savings Plan</t>
        </is>
      </c>
      <c r="B704" s="261">
        <f>VLOOKUP(A704, '[2]fund-selector'!$A$2:$F$853,6,FALSE)</f>
        <v/>
      </c>
      <c r="C704" s="258" t="n">
        <v>9.720000000000001</v>
      </c>
      <c r="D704" s="260" t="n">
        <v>1.21</v>
      </c>
      <c r="E704" s="260" t="n">
        <v>13.68</v>
      </c>
      <c r="F704" s="260" t="n">
        <v>14.22</v>
      </c>
      <c r="G704" s="260" t="n">
        <v>1.21</v>
      </c>
      <c r="H704" s="260" t="n">
        <v>4.43</v>
      </c>
      <c r="I704" s="260" t="n">
        <v>1.45</v>
      </c>
      <c r="J704" s="260" t="n">
        <v>2.08</v>
      </c>
      <c r="K704" s="260" t="n">
        <v>0.8100000000000001</v>
      </c>
      <c r="L704" s="260" t="n">
        <v>3.43</v>
      </c>
    </row>
    <row r="705" hidden="1">
      <c r="A705" s="259" t="inlineStr">
        <is>
          <t>SBI Magnum COMMA Fund</t>
        </is>
      </c>
      <c r="B705" s="261">
        <f>VLOOKUP(A705, '[2]fund-selector'!$A$2:$F$853,6,FALSE)</f>
        <v/>
      </c>
      <c r="C705" s="258" t="n">
        <v>0.88</v>
      </c>
      <c r="D705" s="260" t="n">
        <v>2.5</v>
      </c>
      <c r="E705" s="260" t="n">
        <v>19.03</v>
      </c>
      <c r="F705" s="260" t="n">
        <v>23.35</v>
      </c>
      <c r="G705" s="260" t="n">
        <v>2.5</v>
      </c>
      <c r="H705" s="260" t="n">
        <v>17.07</v>
      </c>
      <c r="I705" s="260" t="n">
        <v>0.57</v>
      </c>
      <c r="J705" s="260" t="n">
        <v>0.89</v>
      </c>
      <c r="K705" s="260" t="n">
        <v>1.08</v>
      </c>
      <c r="L705" s="260" t="n">
        <v>-2.73</v>
      </c>
    </row>
    <row r="706" hidden="1">
      <c r="A706" s="259" t="inlineStr">
        <is>
          <t>SBI Magnum Midcap Fund</t>
        </is>
      </c>
      <c r="B706" s="261">
        <f>VLOOKUP(A706, '[2]fund-selector'!$A$2:$F$853,6,FALSE)</f>
        <v/>
      </c>
      <c r="C706" s="258" t="n">
        <v>-0.73</v>
      </c>
      <c r="D706" s="260" t="n">
        <v>1.66</v>
      </c>
      <c r="E706" s="260" t="n">
        <v>22.73</v>
      </c>
      <c r="F706" s="260" t="n">
        <v>28.91</v>
      </c>
      <c r="G706" s="260" t="n">
        <v>1.66</v>
      </c>
      <c r="H706" s="260" t="n">
        <v>13.88</v>
      </c>
      <c r="I706" s="260" t="n">
        <v>0.95</v>
      </c>
      <c r="J706" s="260" t="n">
        <v>1.37</v>
      </c>
      <c r="K706" s="260" t="n">
        <v>0.77</v>
      </c>
      <c r="L706" s="260" t="n">
        <v>-0.8</v>
      </c>
    </row>
    <row r="707" hidden="1">
      <c r="A707" s="259" t="inlineStr">
        <is>
          <t>SBI Multi Asset Allocation Fund</t>
        </is>
      </c>
      <c r="B707" s="261">
        <f>VLOOKUP(A707, '[2]fund-selector'!$A$2:$F$853,6,FALSE)</f>
        <v/>
      </c>
      <c r="C707" s="258" t="n">
        <v>8.699999999999999</v>
      </c>
      <c r="D707" s="260" t="n">
        <v>1.44</v>
      </c>
      <c r="E707" s="260" t="n">
        <v>18.43</v>
      </c>
      <c r="F707" s="260" t="n">
        <v>15.17</v>
      </c>
      <c r="G707" s="260" t="n">
        <v>1.44</v>
      </c>
      <c r="H707" s="260" t="n">
        <v>7.39</v>
      </c>
      <c r="I707" s="260" t="n">
        <v>1.26</v>
      </c>
      <c r="J707" s="260" t="n">
        <v>2.16</v>
      </c>
      <c r="K707" s="260" t="n">
        <v>0.7</v>
      </c>
      <c r="L707" s="260" t="n">
        <v>3.14</v>
      </c>
    </row>
    <row r="708">
      <c r="A708" s="296" t="inlineStr">
        <is>
          <t>SBI Multicap Fund - Regular Plan</t>
        </is>
      </c>
      <c r="B708" s="261">
        <f>VLOOKUP(A708, '[2]fund-selector'!$A$2:$F$853,6,FALSE)</f>
        <v/>
      </c>
      <c r="C708" s="258" t="n">
        <v>8.619999999999999</v>
      </c>
      <c r="D708" s="260" t="n">
        <v>1.68</v>
      </c>
      <c r="E708" s="260" t="n">
        <v>21.61</v>
      </c>
      <c r="F708" s="259" t="n">
        <v>0</v>
      </c>
      <c r="G708" s="260" t="n">
        <v>1.68</v>
      </c>
      <c r="H708" s="260" t="n">
        <v>13.5</v>
      </c>
      <c r="I708" s="260" t="n">
        <v>0.85</v>
      </c>
      <c r="J708" s="260" t="n">
        <v>1.33</v>
      </c>
      <c r="K708" s="260" t="n">
        <v>0.82</v>
      </c>
      <c r="L708" s="260" t="n">
        <v>-0.35</v>
      </c>
    </row>
    <row r="709" hidden="1">
      <c r="A709" s="259" t="inlineStr">
        <is>
          <t>SBI Nifty200 Momentum 30 Index Fund - Regular Plan</t>
        </is>
      </c>
      <c r="B709" s="261">
        <f>VLOOKUP(A709, '[2]fund-selector'!$A$2:$F$853,6,FALSE)</f>
        <v/>
      </c>
      <c r="C709" s="258" t="inlineStr">
        <is>
          <t>--</t>
        </is>
      </c>
      <c r="D709" s="259" t="n">
        <v>0</v>
      </c>
      <c r="E709" s="259" t="n">
        <v>0</v>
      </c>
      <c r="F709" s="259" t="n">
        <v>0</v>
      </c>
      <c r="G709" s="259" t="n">
        <v>0</v>
      </c>
      <c r="H709" s="259" t="n">
        <v>0</v>
      </c>
      <c r="I709" s="259" t="n">
        <v>0</v>
      </c>
      <c r="J709" s="259" t="n">
        <v>0</v>
      </c>
      <c r="K709" s="259" t="n">
        <v>0</v>
      </c>
      <c r="L709" s="259" t="n">
        <v>0</v>
      </c>
    </row>
    <row r="710" hidden="1">
      <c r="A710" s="259" t="inlineStr">
        <is>
          <t>SBI Nifty 200 Quality 30 ETF</t>
        </is>
      </c>
      <c r="B710" s="261">
        <f>VLOOKUP(A710, '[2]fund-selector'!$A$2:$F$853,6,FALSE)</f>
        <v/>
      </c>
      <c r="C710" s="258" t="n">
        <v>1.02</v>
      </c>
      <c r="D710" s="260" t="n">
        <v>0.5</v>
      </c>
      <c r="E710" s="260" t="n">
        <v>18.61</v>
      </c>
      <c r="F710" s="260" t="n">
        <v>19.17</v>
      </c>
      <c r="G710" s="260" t="n">
        <v>0.5</v>
      </c>
      <c r="H710" s="260" t="n">
        <v>15.29</v>
      </c>
      <c r="I710" s="260" t="n">
        <v>0.6</v>
      </c>
      <c r="J710" s="260" t="n">
        <v>0.78</v>
      </c>
      <c r="K710" s="260" t="n">
        <v>0.99</v>
      </c>
      <c r="L710" s="260" t="n">
        <v>-1.75</v>
      </c>
    </row>
    <row r="711" hidden="1">
      <c r="A711" s="259" t="inlineStr">
        <is>
          <t>SBI Nifty200 Quality 30 Index Fund - Regular Plan</t>
        </is>
      </c>
      <c r="B711" s="261">
        <f>VLOOKUP(A711, '[2]fund-selector'!$A$2:$F$853,6,FALSE)</f>
        <v/>
      </c>
      <c r="C711" s="258" t="inlineStr">
        <is>
          <t>--</t>
        </is>
      </c>
      <c r="D711" s="259" t="n">
        <v>0</v>
      </c>
      <c r="E711" s="259" t="n">
        <v>0</v>
      </c>
      <c r="F711" s="259" t="n">
        <v>0</v>
      </c>
      <c r="G711" s="259" t="n">
        <v>0</v>
      </c>
      <c r="H711" s="259" t="n">
        <v>0</v>
      </c>
      <c r="I711" s="259" t="n">
        <v>0</v>
      </c>
      <c r="J711" s="259" t="n">
        <v>0</v>
      </c>
      <c r="K711" s="259" t="n">
        <v>0</v>
      </c>
      <c r="L711" s="259" t="n">
        <v>0</v>
      </c>
    </row>
    <row r="712" hidden="1">
      <c r="A712" s="259" t="inlineStr">
        <is>
          <t>SBI Nifty 500 Index Fund - Regular Plan</t>
        </is>
      </c>
      <c r="B712" s="261">
        <f>VLOOKUP(A712, '[2]fund-selector'!$A$2:$F$853,6,FALSE)</f>
        <v/>
      </c>
      <c r="C712" s="258" t="inlineStr">
        <is>
          <t>--</t>
        </is>
      </c>
      <c r="D712" s="260" t="n">
        <v>0.87</v>
      </c>
      <c r="E712" s="259" t="n">
        <v>0</v>
      </c>
      <c r="F712" s="259" t="n">
        <v>0</v>
      </c>
      <c r="G712" s="260" t="n">
        <v>0.87</v>
      </c>
      <c r="H712" s="259" t="n">
        <v>0</v>
      </c>
      <c r="I712" s="259" t="n">
        <v>0</v>
      </c>
      <c r="J712" s="259" t="n">
        <v>0</v>
      </c>
      <c r="K712" s="259" t="n">
        <v>0</v>
      </c>
      <c r="L712" s="259" t="n">
        <v>0</v>
      </c>
    </row>
    <row r="713" hidden="1">
      <c r="A713" s="259" t="inlineStr">
        <is>
          <t>SBI Nifty 50 Equal Weight ETF</t>
        </is>
      </c>
      <c r="B713" s="261">
        <f>VLOOKUP(A713, '[2]fund-selector'!$A$2:$F$853,6,FALSE)</f>
        <v/>
      </c>
      <c r="C713" s="258" t="inlineStr">
        <is>
          <t>--</t>
        </is>
      </c>
      <c r="D713" s="260" t="n">
        <v>0.3</v>
      </c>
      <c r="E713" s="259" t="n">
        <v>0</v>
      </c>
      <c r="F713" s="259" t="n">
        <v>0</v>
      </c>
      <c r="G713" s="260" t="n">
        <v>0.3</v>
      </c>
      <c r="H713" s="259" t="n">
        <v>0</v>
      </c>
      <c r="I713" s="259" t="n">
        <v>0</v>
      </c>
      <c r="J713" s="259" t="n">
        <v>0</v>
      </c>
      <c r="K713" s="259" t="n">
        <v>0</v>
      </c>
      <c r="L713" s="259" t="n">
        <v>0</v>
      </c>
    </row>
    <row r="714" hidden="1">
      <c r="A714" s="259" t="inlineStr">
        <is>
          <t>SBI Nifty50 Equal Weight Index Fund - Regular Plan</t>
        </is>
      </c>
      <c r="B714" s="261">
        <f>VLOOKUP(A714, '[2]fund-selector'!$A$2:$F$853,6,FALSE)</f>
        <v/>
      </c>
      <c r="C714" s="258" t="n">
        <v>3.93</v>
      </c>
      <c r="D714" s="260" t="n">
        <v>1.02</v>
      </c>
      <c r="E714" s="259" t="n">
        <v>0</v>
      </c>
      <c r="F714" s="259" t="n">
        <v>0</v>
      </c>
      <c r="G714" s="260" t="n">
        <v>1.02</v>
      </c>
      <c r="H714" s="259" t="n">
        <v>0</v>
      </c>
      <c r="I714" s="259" t="n">
        <v>0</v>
      </c>
      <c r="J714" s="259" t="n">
        <v>0</v>
      </c>
      <c r="K714" s="259" t="n">
        <v>0</v>
      </c>
      <c r="L714" s="259" t="n">
        <v>0</v>
      </c>
    </row>
    <row r="715" hidden="1">
      <c r="A715" s="259" t="inlineStr">
        <is>
          <t>SBI Nifty 50 ETF</t>
        </is>
      </c>
      <c r="B715" s="261">
        <f>VLOOKUP(A715, '[2]fund-selector'!$A$2:$F$853,6,FALSE)</f>
        <v/>
      </c>
      <c r="C715" s="258" t="n">
        <v>6.48</v>
      </c>
      <c r="D715" s="260" t="n">
        <v>0.04</v>
      </c>
      <c r="E715" s="260" t="n">
        <v>18.64</v>
      </c>
      <c r="F715" s="260" t="n">
        <v>20.63</v>
      </c>
      <c r="G715" s="260" t="n">
        <v>0.04</v>
      </c>
      <c r="H715" s="260" t="n">
        <v>13.13</v>
      </c>
      <c r="I715" s="260" t="n">
        <v>0.6899999999999999</v>
      </c>
      <c r="J715" s="260" t="n">
        <v>1.17</v>
      </c>
      <c r="K715" s="260" t="n">
        <v>0.95</v>
      </c>
      <c r="L715" s="260" t="n">
        <v>-0.74</v>
      </c>
    </row>
    <row r="716" hidden="1">
      <c r="A716" s="259" t="inlineStr">
        <is>
          <t>SBI Nifty Index Fund</t>
        </is>
      </c>
      <c r="B716" s="261">
        <f>VLOOKUP(A716, '[2]fund-selector'!$A$2:$F$853,6,FALSE)</f>
        <v/>
      </c>
      <c r="C716" s="258" t="n">
        <v>6.01</v>
      </c>
      <c r="D716" s="260" t="n">
        <v>0.44</v>
      </c>
      <c r="E716" s="260" t="n">
        <v>18.09</v>
      </c>
      <c r="F716" s="260" t="n">
        <v>20.01</v>
      </c>
      <c r="G716" s="260" t="n">
        <v>0.44</v>
      </c>
      <c r="H716" s="260" t="n">
        <v>13.14</v>
      </c>
      <c r="I716" s="260" t="n">
        <v>0.65</v>
      </c>
      <c r="J716" s="260" t="n">
        <v>1.11</v>
      </c>
      <c r="K716" s="260" t="n">
        <v>0.95</v>
      </c>
      <c r="L716" s="260" t="n">
        <v>-1.22</v>
      </c>
    </row>
    <row r="717" hidden="1">
      <c r="A717" s="259" t="inlineStr">
        <is>
          <t>SBI Nifty Midcap 150 Index Fund - Regular Plan</t>
        </is>
      </c>
      <c r="B717" s="261">
        <f>VLOOKUP(A717, '[2]fund-selector'!$A$2:$F$853,6,FALSE)</f>
        <v/>
      </c>
      <c r="C717" s="258" t="n">
        <v>1.65</v>
      </c>
      <c r="D717" s="260" t="n">
        <v>0.87</v>
      </c>
      <c r="E717" s="259" t="n">
        <v>0</v>
      </c>
      <c r="F717" s="259" t="n">
        <v>0</v>
      </c>
      <c r="G717" s="260" t="n">
        <v>0.87</v>
      </c>
      <c r="H717" s="259" t="n">
        <v>0</v>
      </c>
      <c r="I717" s="259" t="n">
        <v>0</v>
      </c>
      <c r="J717" s="259" t="n">
        <v>0</v>
      </c>
      <c r="K717" s="259" t="n">
        <v>0</v>
      </c>
      <c r="L717" s="259" t="n">
        <v>0</v>
      </c>
    </row>
    <row r="718" hidden="1">
      <c r="A718" s="259" t="inlineStr">
        <is>
          <t>SBI Nifty Next 50 ETF</t>
        </is>
      </c>
      <c r="B718" s="261">
        <f>VLOOKUP(A718, '[2]fund-selector'!$A$2:$F$853,6,FALSE)</f>
        <v/>
      </c>
      <c r="C718" s="258" t="n">
        <v>-7.39</v>
      </c>
      <c r="D718" s="260" t="n">
        <v>0.15</v>
      </c>
      <c r="E718" s="260" t="n">
        <v>23.25</v>
      </c>
      <c r="F718" s="260" t="n">
        <v>21.8</v>
      </c>
      <c r="G718" s="260" t="n">
        <v>0.15</v>
      </c>
      <c r="H718" s="260" t="n">
        <v>19.54</v>
      </c>
      <c r="I718" s="260" t="n">
        <v>0.72</v>
      </c>
      <c r="J718" s="260" t="n">
        <v>1.08</v>
      </c>
      <c r="K718" s="260" t="n">
        <v>1.3</v>
      </c>
      <c r="L718" s="260" t="n">
        <v>0.8</v>
      </c>
    </row>
    <row r="719" hidden="1">
      <c r="A719" s="259" t="inlineStr">
        <is>
          <t>SBI Nifty Next 50 Index Fund - Regular Plan</t>
        </is>
      </c>
      <c r="B719" s="261">
        <f>VLOOKUP(A719, '[2]fund-selector'!$A$2:$F$853,6,FALSE)</f>
        <v/>
      </c>
      <c r="C719" s="258" t="n">
        <v>-8.029999999999999</v>
      </c>
      <c r="D719" s="260" t="n">
        <v>0.75</v>
      </c>
      <c r="E719" s="260" t="n">
        <v>22.39</v>
      </c>
      <c r="F719" s="259" t="n">
        <v>0</v>
      </c>
      <c r="G719" s="260" t="n">
        <v>0.75</v>
      </c>
      <c r="H719" s="260" t="n">
        <v>19.53</v>
      </c>
      <c r="I719" s="260" t="n">
        <v>0.6899999999999999</v>
      </c>
      <c r="J719" s="260" t="n">
        <v>1.03</v>
      </c>
      <c r="K719" s="260" t="n">
        <v>1.3</v>
      </c>
      <c r="L719" s="260" t="n">
        <v>0.11</v>
      </c>
    </row>
    <row r="720" hidden="1">
      <c r="A720" s="259" t="inlineStr">
        <is>
          <t>SBI Nifty Smallcap 250 Index Fund - Regular Plan</t>
        </is>
      </c>
      <c r="B720" s="261">
        <f>VLOOKUP(A720, '[2]fund-selector'!$A$2:$F$853,6,FALSE)</f>
        <v/>
      </c>
      <c r="C720" s="258" t="n">
        <v>-1.38</v>
      </c>
      <c r="D720" s="260" t="n">
        <v>0.88</v>
      </c>
      <c r="E720" s="259" t="n">
        <v>0</v>
      </c>
      <c r="F720" s="259" t="n">
        <v>0</v>
      </c>
      <c r="G720" s="260" t="n">
        <v>0.88</v>
      </c>
      <c r="H720" s="259" t="n">
        <v>0</v>
      </c>
      <c r="I720" s="259" t="n">
        <v>0</v>
      </c>
      <c r="J720" s="259" t="n">
        <v>0</v>
      </c>
      <c r="K720" s="259" t="n">
        <v>0</v>
      </c>
      <c r="L720" s="259" t="n">
        <v>0</v>
      </c>
    </row>
    <row r="721" hidden="1">
      <c r="A721" s="259" t="inlineStr">
        <is>
          <t>SBI Quant Fund - Regular Plan</t>
        </is>
      </c>
      <c r="B721" s="261">
        <f>VLOOKUP(A721, '[2]fund-selector'!$A$2:$F$853,6,FALSE)</f>
        <v/>
      </c>
      <c r="C721" s="258" t="inlineStr">
        <is>
          <t>--</t>
        </is>
      </c>
      <c r="D721" s="260" t="n">
        <v>1.9</v>
      </c>
      <c r="E721" s="259" t="n">
        <v>0</v>
      </c>
      <c r="F721" s="259" t="n">
        <v>0</v>
      </c>
      <c r="G721" s="260" t="n">
        <v>1.9</v>
      </c>
      <c r="H721" s="259" t="n">
        <v>0</v>
      </c>
      <c r="I721" s="259" t="n">
        <v>0</v>
      </c>
      <c r="J721" s="259" t="n">
        <v>0</v>
      </c>
      <c r="K721" s="259" t="n">
        <v>0</v>
      </c>
      <c r="L721" s="259" t="n">
        <v>0</v>
      </c>
    </row>
    <row r="722" hidden="1">
      <c r="A722" s="259" t="inlineStr">
        <is>
          <t>SBI Retirement Benefit Fund - Aggressive Hybrid Plan - Regular Plan</t>
        </is>
      </c>
      <c r="B722" s="261">
        <f>VLOOKUP(A722, '[2]fund-selector'!$A$2:$F$853,6,FALSE)</f>
        <v/>
      </c>
      <c r="C722" s="258" t="n">
        <v>0.51</v>
      </c>
      <c r="D722" s="260" t="n">
        <v>2.09</v>
      </c>
      <c r="E722" s="260" t="n">
        <v>17.46</v>
      </c>
      <c r="F722" s="259" t="n">
        <v>0</v>
      </c>
      <c r="G722" s="260" t="n">
        <v>2.09</v>
      </c>
      <c r="H722" s="260" t="n">
        <v>10.6</v>
      </c>
      <c r="I722" s="260" t="n">
        <v>0.77</v>
      </c>
      <c r="J722" s="260" t="n">
        <v>1.18</v>
      </c>
      <c r="K722" s="260" t="n">
        <v>0.85</v>
      </c>
      <c r="L722" s="260" t="n">
        <v>0.03</v>
      </c>
    </row>
    <row r="723" hidden="1">
      <c r="A723" s="259" t="inlineStr">
        <is>
          <t>SBI Retirement Benefit Fund - Aggressive Plan - Regular Plan</t>
        </is>
      </c>
      <c r="B723" s="261">
        <f>VLOOKUP(A723, '[2]fund-selector'!$A$2:$F$853,6,FALSE)</f>
        <v/>
      </c>
      <c r="C723" s="258" t="n">
        <v>-1.52</v>
      </c>
      <c r="D723" s="260" t="n">
        <v>1.93</v>
      </c>
      <c r="E723" s="260" t="n">
        <v>19.52</v>
      </c>
      <c r="F723" s="259" t="n">
        <v>0</v>
      </c>
      <c r="G723" s="260" t="n">
        <v>1.93</v>
      </c>
      <c r="H723" s="260" t="n">
        <v>13.05</v>
      </c>
      <c r="I723" s="260" t="n">
        <v>0.77</v>
      </c>
      <c r="J723" s="260" t="n">
        <v>1.2</v>
      </c>
      <c r="K723" s="260" t="n">
        <v>0.86</v>
      </c>
      <c r="L723" s="260" t="n">
        <v>0.08</v>
      </c>
    </row>
    <row r="724" hidden="1">
      <c r="A724" s="259" t="inlineStr">
        <is>
          <t>SBI Retirement Benefit Fund - Conservative Hybrid Plan - Regular Plan</t>
        </is>
      </c>
      <c r="B724" s="261">
        <f>VLOOKUP(A724, '[2]fund-selector'!$A$2:$F$853,6,FALSE)</f>
        <v/>
      </c>
      <c r="C724" s="258" t="n">
        <v>4.47</v>
      </c>
      <c r="D724" s="260" t="n">
        <v>1.67</v>
      </c>
      <c r="E724" s="260" t="n">
        <v>12.84</v>
      </c>
      <c r="F724" s="259" t="n">
        <v>0</v>
      </c>
      <c r="G724" s="260" t="n">
        <v>1.67</v>
      </c>
      <c r="H724" s="260" t="n">
        <v>5.72</v>
      </c>
      <c r="I724" s="260" t="n">
        <v>0.9</v>
      </c>
      <c r="J724" s="260" t="n">
        <v>1.34</v>
      </c>
      <c r="K724" s="260" t="n">
        <v>1.35</v>
      </c>
      <c r="L724" s="260" t="n">
        <v>0.21</v>
      </c>
    </row>
    <row r="725" hidden="1">
      <c r="A725" s="259" t="inlineStr">
        <is>
          <t>SBI Retirement Benefit Fund - Conservative Plan - Regular Plan</t>
        </is>
      </c>
      <c r="B725" s="261">
        <f>VLOOKUP(A725, '[2]fund-selector'!$A$2:$F$853,6,FALSE)</f>
        <v/>
      </c>
      <c r="C725" s="258" t="n">
        <v>6.94</v>
      </c>
      <c r="D725" s="260" t="n">
        <v>1.38</v>
      </c>
      <c r="E725" s="260" t="n">
        <v>10.66</v>
      </c>
      <c r="F725" s="259" t="n">
        <v>0</v>
      </c>
      <c r="G725" s="260" t="n">
        <v>1.38</v>
      </c>
      <c r="H725" s="260" t="n">
        <v>3.47</v>
      </c>
      <c r="I725" s="260" t="n">
        <v>1.05</v>
      </c>
      <c r="J725" s="260" t="n">
        <v>1.58</v>
      </c>
      <c r="K725" s="260" t="n">
        <v>0.82</v>
      </c>
      <c r="L725" s="260" t="n">
        <v>0.61</v>
      </c>
    </row>
    <row r="726" hidden="1">
      <c r="A726" s="259" t="inlineStr">
        <is>
          <t>SBI Small Cap Fund</t>
        </is>
      </c>
      <c r="B726" s="261">
        <f>VLOOKUP(A726, '[2]fund-selector'!$A$2:$F$853,6,FALSE)</f>
        <v/>
      </c>
      <c r="C726" s="258" t="n">
        <v>-3.74</v>
      </c>
      <c r="D726" s="260" t="n">
        <v>1.56</v>
      </c>
      <c r="E726" s="260" t="n">
        <v>21.11</v>
      </c>
      <c r="F726" s="260" t="n">
        <v>28.39</v>
      </c>
      <c r="G726" s="260" t="n">
        <v>1.56</v>
      </c>
      <c r="H726" s="260" t="n">
        <v>15.01</v>
      </c>
      <c r="I726" s="260" t="n">
        <v>0.8100000000000001</v>
      </c>
      <c r="J726" s="260" t="n">
        <v>1.13</v>
      </c>
      <c r="K726" s="260" t="n">
        <v>0.74</v>
      </c>
      <c r="L726" s="260" t="n">
        <v>-1.24</v>
      </c>
    </row>
    <row r="727" hidden="1">
      <c r="A727" s="259" t="inlineStr">
        <is>
          <t>Shriram Aggressive Hybrid Fund</t>
        </is>
      </c>
      <c r="B727" s="261">
        <f>VLOOKUP(A727, '[2]fund-selector'!$A$2:$F$853,6,FALSE)</f>
        <v/>
      </c>
      <c r="C727" s="258" t="n">
        <v>-3.31</v>
      </c>
      <c r="D727" s="260" t="n">
        <v>2.41</v>
      </c>
      <c r="E727" s="260" t="n">
        <v>14.11</v>
      </c>
      <c r="F727" s="260" t="n">
        <v>14.06</v>
      </c>
      <c r="G727" s="260" t="n">
        <v>2.41</v>
      </c>
      <c r="H727" s="260" t="n">
        <v>11.15</v>
      </c>
      <c r="I727" s="260" t="n">
        <v>0.51</v>
      </c>
      <c r="J727" s="260" t="n">
        <v>0.72</v>
      </c>
      <c r="K727" s="260" t="n">
        <v>0.87</v>
      </c>
      <c r="L727" s="260" t="n">
        <v>-2.75</v>
      </c>
    </row>
    <row r="728" hidden="1">
      <c r="A728" s="259" t="inlineStr">
        <is>
          <t>Shriram Balanced Advantage Fund - Regular Plan</t>
        </is>
      </c>
      <c r="B728" s="261">
        <f>VLOOKUP(A728, '[2]fund-selector'!$A$2:$F$853,6,FALSE)</f>
        <v/>
      </c>
      <c r="C728" s="258" t="n">
        <v>-4.75</v>
      </c>
      <c r="D728" s="260" t="n">
        <v>2.39</v>
      </c>
      <c r="E728" s="260" t="n">
        <v>10.46</v>
      </c>
      <c r="F728" s="260" t="n">
        <v>10.52</v>
      </c>
      <c r="G728" s="260" t="n">
        <v>2.39</v>
      </c>
      <c r="H728" s="260" t="n">
        <v>9.970000000000001</v>
      </c>
      <c r="I728" s="260" t="n">
        <v>0.31</v>
      </c>
      <c r="J728" s="260" t="n">
        <v>0.39</v>
      </c>
      <c r="K728" s="260" t="n">
        <v>0.84</v>
      </c>
      <c r="L728" s="260" t="n">
        <v>-3.5</v>
      </c>
    </row>
    <row r="729" hidden="1">
      <c r="A729" s="259" t="inlineStr">
        <is>
          <t>Shriram Flexi Cap Fund - Regular Plan</t>
        </is>
      </c>
      <c r="B729" s="261">
        <f>VLOOKUP(A729, '[2]fund-selector'!$A$2:$F$853,6,FALSE)</f>
        <v/>
      </c>
      <c r="C729" s="258" t="n">
        <v>-11.72</v>
      </c>
      <c r="D729" s="260" t="n">
        <v>2.4</v>
      </c>
      <c r="E729" s="260" t="n">
        <v>15.9</v>
      </c>
      <c r="F729" s="260" t="n">
        <v>15.91</v>
      </c>
      <c r="G729" s="260" t="n">
        <v>2.4</v>
      </c>
      <c r="H729" s="260" t="n">
        <v>16.01</v>
      </c>
      <c r="I729" s="260" t="n">
        <v>0.44</v>
      </c>
      <c r="J729" s="260" t="n">
        <v>0.58</v>
      </c>
      <c r="K729" s="260" t="n">
        <v>0.99</v>
      </c>
      <c r="L729" s="260" t="n">
        <v>-4.33</v>
      </c>
    </row>
    <row r="730" hidden="1">
      <c r="A730" s="259" t="inlineStr">
        <is>
          <t>Shriram Multi Asset Allocation Fund - Regular Plan</t>
        </is>
      </c>
      <c r="B730" s="261">
        <f>VLOOKUP(A730, '[2]fund-selector'!$A$2:$F$853,6,FALSE)</f>
        <v/>
      </c>
      <c r="C730" s="258" t="n">
        <v>-5.01</v>
      </c>
      <c r="D730" s="260" t="n">
        <v>2.35</v>
      </c>
      <c r="E730" s="259" t="n">
        <v>0</v>
      </c>
      <c r="F730" s="259" t="n">
        <v>0</v>
      </c>
      <c r="G730" s="260" t="n">
        <v>2.35</v>
      </c>
      <c r="H730" s="259" t="n">
        <v>0</v>
      </c>
      <c r="I730" s="259" t="n">
        <v>0</v>
      </c>
      <c r="J730" s="259" t="n">
        <v>0</v>
      </c>
      <c r="K730" s="259" t="n">
        <v>0</v>
      </c>
      <c r="L730" s="259" t="n">
        <v>0</v>
      </c>
    </row>
    <row r="731" hidden="1">
      <c r="A731" s="259" t="inlineStr">
        <is>
          <t>Shriram Multi Sector Rotation Fund - Regular Plan</t>
        </is>
      </c>
      <c r="B731" s="261">
        <f>VLOOKUP(A731, '[2]fund-selector'!$A$2:$F$853,6,FALSE)</f>
        <v/>
      </c>
      <c r="C731" s="258" t="inlineStr">
        <is>
          <t>--</t>
        </is>
      </c>
      <c r="D731" s="260" t="n">
        <v>2.35</v>
      </c>
      <c r="E731" s="259" t="n">
        <v>0</v>
      </c>
      <c r="F731" s="259" t="n">
        <v>0</v>
      </c>
      <c r="G731" s="260" t="n">
        <v>2.35</v>
      </c>
      <c r="H731" s="259" t="n">
        <v>0</v>
      </c>
      <c r="I731" s="259" t="n">
        <v>0</v>
      </c>
      <c r="J731" s="259" t="n">
        <v>0</v>
      </c>
      <c r="K731" s="259" t="n">
        <v>0</v>
      </c>
      <c r="L731" s="259" t="n">
        <v>0</v>
      </c>
    </row>
    <row r="732" hidden="1">
      <c r="A732" s="259" t="inlineStr">
        <is>
          <t>Sundaram Aggressive Hybrid Fund</t>
        </is>
      </c>
      <c r="B732" s="261">
        <f>VLOOKUP(A732, '[2]fund-selector'!$A$2:$F$853,6,FALSE)</f>
        <v/>
      </c>
      <c r="C732" s="258" t="n">
        <v>5.44</v>
      </c>
      <c r="D732" s="260" t="n">
        <v>1.81</v>
      </c>
      <c r="E732" s="260" t="n">
        <v>16.49</v>
      </c>
      <c r="F732" s="260" t="n">
        <v>17.42</v>
      </c>
      <c r="G732" s="260" t="n">
        <v>1.81</v>
      </c>
      <c r="H732" s="260" t="n">
        <v>10.41</v>
      </c>
      <c r="I732" s="260" t="n">
        <v>0.76</v>
      </c>
      <c r="J732" s="260" t="n">
        <v>1.23</v>
      </c>
      <c r="K732" s="260" t="n">
        <v>0.85</v>
      </c>
      <c r="L732" s="260" t="n">
        <v>-0.24</v>
      </c>
    </row>
    <row r="733" hidden="1">
      <c r="A733" s="259" t="inlineStr">
        <is>
          <t>Sundaram Arbitrage Fund - Regular Plan</t>
        </is>
      </c>
      <c r="B733" s="261">
        <f>VLOOKUP(A733, '[2]fund-selector'!$A$2:$F$853,6,FALSE)</f>
        <v/>
      </c>
      <c r="C733" s="258" t="n">
        <v>6.75</v>
      </c>
      <c r="D733" s="260" t="n">
        <v>1</v>
      </c>
      <c r="E733" s="260" t="n">
        <v>6.5</v>
      </c>
      <c r="F733" s="260" t="n">
        <v>5.17</v>
      </c>
      <c r="G733" s="260" t="n">
        <v>1</v>
      </c>
      <c r="H733" s="260" t="n">
        <v>0.5600000000000001</v>
      </c>
      <c r="I733" s="260" t="n">
        <v>-0.16</v>
      </c>
      <c r="J733" s="260" t="n">
        <v>-0.16</v>
      </c>
      <c r="K733" s="260" t="n">
        <v>0.67</v>
      </c>
      <c r="L733" s="260" t="n">
        <v>1.19</v>
      </c>
    </row>
    <row r="734" hidden="1">
      <c r="A734" s="259" t="inlineStr">
        <is>
          <t>Sundaram Balanced Advantage Fund</t>
        </is>
      </c>
      <c r="B734" s="261">
        <f>VLOOKUP(A734, '[2]fund-selector'!$A$2:$F$853,6,FALSE)</f>
        <v/>
      </c>
      <c r="C734" s="258" t="n">
        <v>5.73</v>
      </c>
      <c r="D734" s="260" t="n">
        <v>2.08</v>
      </c>
      <c r="E734" s="260" t="n">
        <v>13.85</v>
      </c>
      <c r="F734" s="260" t="n">
        <v>13.11</v>
      </c>
      <c r="G734" s="260" t="n">
        <v>2.08</v>
      </c>
      <c r="H734" s="260" t="n">
        <v>7.9</v>
      </c>
      <c r="I734" s="260" t="n">
        <v>0.73</v>
      </c>
      <c r="J734" s="260" t="n">
        <v>1.16</v>
      </c>
      <c r="K734" s="260" t="n">
        <v>0.75</v>
      </c>
      <c r="L734" s="260" t="n">
        <v>-0.12</v>
      </c>
    </row>
    <row r="735" hidden="1">
      <c r="A735" s="259" t="inlineStr">
        <is>
          <t>Sundaram Business Cycle Fund - Regular Plan</t>
        </is>
      </c>
      <c r="B735" s="261">
        <f>VLOOKUP(A735, '[2]fund-selector'!$A$2:$F$853,6,FALSE)</f>
        <v/>
      </c>
      <c r="C735" s="258" t="inlineStr">
        <is>
          <t>--</t>
        </is>
      </c>
      <c r="D735" s="260" t="n">
        <v>2.03</v>
      </c>
      <c r="E735" s="259" t="n">
        <v>0</v>
      </c>
      <c r="F735" s="259" t="n">
        <v>0</v>
      </c>
      <c r="G735" s="260" t="n">
        <v>2.03</v>
      </c>
      <c r="H735" s="259" t="n">
        <v>0</v>
      </c>
      <c r="I735" s="259" t="n">
        <v>0</v>
      </c>
      <c r="J735" s="259" t="n">
        <v>0</v>
      </c>
      <c r="K735" s="259" t="n">
        <v>0</v>
      </c>
      <c r="L735" s="259" t="n">
        <v>0</v>
      </c>
    </row>
    <row r="736" hidden="1">
      <c r="A736" s="259" t="inlineStr">
        <is>
          <t>Sundaram Conservative Hybrid Fund</t>
        </is>
      </c>
      <c r="B736" s="261">
        <f>VLOOKUP(A736, '[2]fund-selector'!$A$2:$F$853,6,FALSE)</f>
        <v/>
      </c>
      <c r="C736" s="258" t="n">
        <v>5.95</v>
      </c>
      <c r="D736" s="260" t="n">
        <v>2.15</v>
      </c>
      <c r="E736" s="260" t="n">
        <v>8.75</v>
      </c>
      <c r="F736" s="260" t="n">
        <v>8.869999999999999</v>
      </c>
      <c r="G736" s="260" t="n">
        <v>2.15</v>
      </c>
      <c r="H736" s="260" t="n">
        <v>3.66</v>
      </c>
      <c r="I736" s="260" t="n">
        <v>0.55</v>
      </c>
      <c r="J736" s="260" t="n">
        <v>1.06</v>
      </c>
      <c r="K736" s="260" t="n">
        <v>0.88</v>
      </c>
      <c r="L736" s="260" t="n">
        <v>-1.21</v>
      </c>
    </row>
    <row r="737" hidden="1">
      <c r="A737" s="259" t="inlineStr">
        <is>
          <t>Sundaram Flexi Cap Fund - Regular Plan</t>
        </is>
      </c>
      <c r="B737" s="261">
        <f>VLOOKUP(A737, '[2]fund-selector'!$A$2:$F$853,6,FALSE)</f>
        <v/>
      </c>
      <c r="C737" s="258" t="n">
        <v>6.46</v>
      </c>
      <c r="D737" s="260" t="n">
        <v>2.03</v>
      </c>
      <c r="E737" s="259" t="n">
        <v>0</v>
      </c>
      <c r="F737" s="259" t="n">
        <v>0</v>
      </c>
      <c r="G737" s="260" t="n">
        <v>2.03</v>
      </c>
      <c r="H737" s="259" t="n">
        <v>0</v>
      </c>
      <c r="I737" s="259" t="n">
        <v>0</v>
      </c>
      <c r="J737" s="259" t="n">
        <v>0</v>
      </c>
      <c r="K737" s="259" t="n">
        <v>0</v>
      </c>
      <c r="L737" s="259" t="n">
        <v>0</v>
      </c>
    </row>
    <row r="738" hidden="1">
      <c r="A738" s="259" t="inlineStr">
        <is>
          <t>Sundaram Focused Fund</t>
        </is>
      </c>
      <c r="B738" s="261">
        <f>VLOOKUP(A738, '[2]fund-selector'!$A$2:$F$853,6,FALSE)</f>
        <v/>
      </c>
      <c r="C738" s="258" t="n">
        <v>0.95</v>
      </c>
      <c r="D738" s="260" t="n">
        <v>2.27</v>
      </c>
      <c r="E738" s="260" t="n">
        <v>19.13</v>
      </c>
      <c r="F738" s="260" t="n">
        <v>20.5</v>
      </c>
      <c r="G738" s="260" t="n">
        <v>2.27</v>
      </c>
      <c r="H738" s="260" t="n">
        <v>13.22</v>
      </c>
      <c r="I738" s="260" t="n">
        <v>0.7</v>
      </c>
      <c r="J738" s="260" t="n">
        <v>1.19</v>
      </c>
      <c r="K738" s="260" t="n">
        <v>0.87</v>
      </c>
      <c r="L738" s="260" t="n">
        <v>-0.8</v>
      </c>
    </row>
    <row r="739" hidden="1">
      <c r="A739" s="259" t="inlineStr">
        <is>
          <t>Sundaram Large and Mid Cap Fund</t>
        </is>
      </c>
      <c r="B739" s="261">
        <f>VLOOKUP(A739, '[2]fund-selector'!$A$2:$F$853,6,FALSE)</f>
        <v/>
      </c>
      <c r="C739" s="258" t="n">
        <v>1.32</v>
      </c>
      <c r="D739" s="260" t="n">
        <v>1.82</v>
      </c>
      <c r="E739" s="260" t="n">
        <v>20.78</v>
      </c>
      <c r="F739" s="260" t="n">
        <v>22.79</v>
      </c>
      <c r="G739" s="260" t="n">
        <v>1.82</v>
      </c>
      <c r="H739" s="260" t="n">
        <v>14.95</v>
      </c>
      <c r="I739" s="260" t="n">
        <v>0.75</v>
      </c>
      <c r="J739" s="260" t="n">
        <v>1.1</v>
      </c>
      <c r="K739" s="260" t="n">
        <v>1</v>
      </c>
      <c r="L739" s="260" t="n">
        <v>0.21</v>
      </c>
    </row>
    <row r="740" hidden="1">
      <c r="A740" s="259" t="inlineStr">
        <is>
          <t>Sundaram Large Cap Fund - Regular Plan</t>
        </is>
      </c>
      <c r="B740" s="261">
        <f>VLOOKUP(A740, '[2]fund-selector'!$A$2:$F$853,6,FALSE)</f>
        <v/>
      </c>
      <c r="C740" s="258" t="n">
        <v>3.27</v>
      </c>
      <c r="D740" s="260" t="n">
        <v>1.91</v>
      </c>
      <c r="E740" s="260" t="n">
        <v>17.47</v>
      </c>
      <c r="F740" s="260" t="n">
        <v>18.05</v>
      </c>
      <c r="G740" s="260" t="n">
        <v>1.91</v>
      </c>
      <c r="H740" s="260" t="n">
        <v>12.61</v>
      </c>
      <c r="I740" s="260" t="n">
        <v>0.64</v>
      </c>
      <c r="J740" s="260" t="n">
        <v>1.07</v>
      </c>
      <c r="K740" s="260" t="n">
        <v>0.9</v>
      </c>
      <c r="L740" s="260" t="n">
        <v>-1.27</v>
      </c>
    </row>
    <row r="741" hidden="1">
      <c r="A741" s="259" t="inlineStr">
        <is>
          <t>Sundaram Mid Cap Fund - Regular Plan</t>
        </is>
      </c>
      <c r="B741" s="261">
        <f>VLOOKUP(A741, '[2]fund-selector'!$A$2:$F$853,6,FALSE)</f>
        <v/>
      </c>
      <c r="C741" s="258" t="n">
        <v>5.78</v>
      </c>
      <c r="D741" s="260" t="n">
        <v>1.75</v>
      </c>
      <c r="E741" s="260" t="n">
        <v>29.63</v>
      </c>
      <c r="F741" s="260" t="n">
        <v>28.57</v>
      </c>
      <c r="G741" s="260" t="n">
        <v>1.75</v>
      </c>
      <c r="H741" s="260" t="n">
        <v>16.4</v>
      </c>
      <c r="I741" s="260" t="n">
        <v>1.16</v>
      </c>
      <c r="J741" s="260" t="n">
        <v>1.59</v>
      </c>
      <c r="K741" s="260" t="n">
        <v>0.9399999999999999</v>
      </c>
      <c r="L741" s="260" t="n">
        <v>2.02</v>
      </c>
    </row>
    <row r="742" hidden="1">
      <c r="A742" s="259" t="inlineStr">
        <is>
          <t>Sundaram Multi Asset Allocation Fund - Regular Plan</t>
        </is>
      </c>
      <c r="B742" s="261">
        <f>VLOOKUP(A742, '[2]fund-selector'!$A$2:$F$853,6,FALSE)</f>
        <v/>
      </c>
      <c r="C742" s="258" t="n">
        <v>10.5</v>
      </c>
      <c r="D742" s="260" t="n">
        <v>1.86</v>
      </c>
      <c r="E742" s="259" t="n">
        <v>0</v>
      </c>
      <c r="F742" s="259" t="n">
        <v>0</v>
      </c>
      <c r="G742" s="260" t="n">
        <v>1.86</v>
      </c>
      <c r="H742" s="259" t="n">
        <v>0</v>
      </c>
      <c r="I742" s="259" t="n">
        <v>0</v>
      </c>
      <c r="J742" s="259" t="n">
        <v>0</v>
      </c>
      <c r="K742" s="259" t="n">
        <v>0</v>
      </c>
      <c r="L742" s="259" t="n">
        <v>0</v>
      </c>
    </row>
    <row r="743" hidden="1">
      <c r="A743" s="259" t="inlineStr">
        <is>
          <t>Sundaram Multi Cap Fund</t>
        </is>
      </c>
      <c r="B743" s="261">
        <f>VLOOKUP(A743, '[2]fund-selector'!$A$2:$F$853,6,FALSE)</f>
        <v/>
      </c>
      <c r="C743" s="258" t="n">
        <v>3.5</v>
      </c>
      <c r="D743" s="260" t="n">
        <v>2</v>
      </c>
      <c r="E743" s="260" t="n">
        <v>21.62</v>
      </c>
      <c r="F743" s="260" t="n">
        <v>23.56</v>
      </c>
      <c r="G743" s="260" t="n">
        <v>2</v>
      </c>
      <c r="H743" s="260" t="n">
        <v>14.39</v>
      </c>
      <c r="I743" s="260" t="n">
        <v>0.84</v>
      </c>
      <c r="J743" s="260" t="n">
        <v>1.28</v>
      </c>
      <c r="K743" s="260" t="n">
        <v>0.9</v>
      </c>
      <c r="L743" s="260" t="n">
        <v>-0.97</v>
      </c>
    </row>
    <row r="744" hidden="1">
      <c r="A744" s="259" t="inlineStr">
        <is>
          <t>Sundaram Nifty 100 Equal Weight Fund</t>
        </is>
      </c>
      <c r="B744" s="261">
        <f>VLOOKUP(A744, '[2]fund-selector'!$A$2:$F$853,6,FALSE)</f>
        <v/>
      </c>
      <c r="C744" s="258" t="n">
        <v>-1.36</v>
      </c>
      <c r="D744" s="260" t="n">
        <v>1.08</v>
      </c>
      <c r="E744" s="260" t="n">
        <v>21.24</v>
      </c>
      <c r="F744" s="260" t="n">
        <v>22.14</v>
      </c>
      <c r="G744" s="260" t="n">
        <v>1.08</v>
      </c>
      <c r="H744" s="260" t="n">
        <v>15.9</v>
      </c>
      <c r="I744" s="260" t="n">
        <v>0.73</v>
      </c>
      <c r="J744" s="260" t="n">
        <v>1.25</v>
      </c>
      <c r="K744" s="260" t="n">
        <v>1.12</v>
      </c>
      <c r="L744" s="260" t="n">
        <v>0.16</v>
      </c>
    </row>
    <row r="745" hidden="1">
      <c r="A745" s="259" t="inlineStr">
        <is>
          <t>Sundaram Services Fund - Regular Plan</t>
        </is>
      </c>
      <c r="B745" s="261">
        <f>VLOOKUP(A745, '[2]fund-selector'!$A$2:$F$853,6,FALSE)</f>
        <v/>
      </c>
      <c r="C745" s="258" t="n">
        <v>14.09</v>
      </c>
      <c r="D745" s="260" t="n">
        <v>1.89</v>
      </c>
      <c r="E745" s="260" t="n">
        <v>23.64</v>
      </c>
      <c r="F745" s="260" t="n">
        <v>26.3</v>
      </c>
      <c r="G745" s="260" t="n">
        <v>1.89</v>
      </c>
      <c r="H745" s="260" t="n">
        <v>13.5</v>
      </c>
      <c r="I745" s="260" t="n">
        <v>0.96</v>
      </c>
      <c r="J745" s="260" t="n">
        <v>1.63</v>
      </c>
      <c r="K745" s="260" t="n">
        <v>0.87</v>
      </c>
      <c r="L745" s="260" t="n">
        <v>2.87</v>
      </c>
    </row>
    <row r="746" hidden="1">
      <c r="A746" s="259" t="inlineStr">
        <is>
          <t>Sundaram Small Cap Fund - Regular Plan</t>
        </is>
      </c>
      <c r="B746" s="261">
        <f>VLOOKUP(A746, '[2]fund-selector'!$A$2:$F$853,6,FALSE)</f>
        <v/>
      </c>
      <c r="C746" s="258" t="n">
        <v>2.77</v>
      </c>
      <c r="D746" s="260" t="n">
        <v>1.94</v>
      </c>
      <c r="E746" s="260" t="n">
        <v>26.42</v>
      </c>
      <c r="F746" s="260" t="n">
        <v>31.86</v>
      </c>
      <c r="G746" s="260" t="n">
        <v>1.94</v>
      </c>
      <c r="H746" s="260" t="n">
        <v>16.11</v>
      </c>
      <c r="I746" s="260" t="n">
        <v>1.01</v>
      </c>
      <c r="J746" s="260" t="n">
        <v>1.39</v>
      </c>
      <c r="K746" s="260" t="n">
        <v>0.8</v>
      </c>
      <c r="L746" s="260" t="n">
        <v>1.7</v>
      </c>
    </row>
    <row r="747" hidden="1">
      <c r="A747" s="259" t="inlineStr">
        <is>
          <t>Tata Arbitrage Fund - Regular Plan</t>
        </is>
      </c>
      <c r="B747" s="261">
        <f>VLOOKUP(A747, '[2]fund-selector'!$A$2:$F$853,6,FALSE)</f>
        <v/>
      </c>
      <c r="C747" s="258" t="n">
        <v>6.94</v>
      </c>
      <c r="D747" s="260" t="n">
        <v>1.08</v>
      </c>
      <c r="E747" s="260" t="n">
        <v>6.81</v>
      </c>
      <c r="F747" s="260" t="n">
        <v>5.5</v>
      </c>
      <c r="G747" s="260" t="n">
        <v>1.08</v>
      </c>
      <c r="H747" s="260" t="n">
        <v>0.51</v>
      </c>
      <c r="I747" s="260" t="n">
        <v>0.41</v>
      </c>
      <c r="J747" s="260" t="n">
        <v>0.47</v>
      </c>
      <c r="K747" s="260" t="n">
        <v>0.62</v>
      </c>
      <c r="L747" s="260" t="n">
        <v>1.39</v>
      </c>
    </row>
    <row r="748" hidden="1">
      <c r="A748" s="259" t="inlineStr">
        <is>
          <t>Tata Balanced Advantage Fund - Regular Plan</t>
        </is>
      </c>
      <c r="B748" s="261">
        <f>VLOOKUP(A748, '[2]fund-selector'!$A$2:$F$853,6,FALSE)</f>
        <v/>
      </c>
      <c r="C748" s="258" t="n">
        <v>3.49</v>
      </c>
      <c r="D748" s="260" t="n">
        <v>1.69</v>
      </c>
      <c r="E748" s="260" t="n">
        <v>13.56</v>
      </c>
      <c r="F748" s="260" t="n">
        <v>13.77</v>
      </c>
      <c r="G748" s="260" t="n">
        <v>1.69</v>
      </c>
      <c r="H748" s="260" t="n">
        <v>7.07</v>
      </c>
      <c r="I748" s="260" t="n">
        <v>0.75</v>
      </c>
      <c r="J748" s="260" t="n">
        <v>1.2</v>
      </c>
      <c r="K748" s="260" t="n">
        <v>0.67</v>
      </c>
      <c r="L748" s="260" t="n">
        <v>-0.03</v>
      </c>
    </row>
    <row r="749" hidden="1">
      <c r="A749" s="259" t="inlineStr">
        <is>
          <t>Tata BSE Quality Index Fund - Regular Plan</t>
        </is>
      </c>
      <c r="B749" s="261">
        <f>VLOOKUP(A749, '[2]fund-selector'!$A$2:$F$853,6,FALSE)</f>
        <v/>
      </c>
      <c r="C749" s="258" t="inlineStr">
        <is>
          <t>--</t>
        </is>
      </c>
      <c r="D749" s="260" t="n">
        <v>1.09</v>
      </c>
      <c r="E749" s="259" t="n">
        <v>0</v>
      </c>
      <c r="F749" s="259" t="n">
        <v>0</v>
      </c>
      <c r="G749" s="260" t="n">
        <v>1.09</v>
      </c>
      <c r="H749" s="259" t="n">
        <v>0</v>
      </c>
      <c r="I749" s="259" t="n">
        <v>0</v>
      </c>
      <c r="J749" s="259" t="n">
        <v>0</v>
      </c>
      <c r="K749" s="259" t="n">
        <v>0</v>
      </c>
      <c r="L749" s="259" t="n">
        <v>0</v>
      </c>
    </row>
    <row r="750" hidden="1">
      <c r="A750" s="259" t="inlineStr">
        <is>
          <t>Tata BSE Select Business Groups Index Fund - Regular Plan</t>
        </is>
      </c>
      <c r="B750" s="261">
        <f>VLOOKUP(A750, '[2]fund-selector'!$A$2:$F$853,6,FALSE)</f>
        <v/>
      </c>
      <c r="C750" s="258" t="inlineStr">
        <is>
          <t>--</t>
        </is>
      </c>
      <c r="D750" s="260" t="n">
        <v>1.08</v>
      </c>
      <c r="E750" s="259" t="n">
        <v>0</v>
      </c>
      <c r="F750" s="259" t="n">
        <v>0</v>
      </c>
      <c r="G750" s="260" t="n">
        <v>1.08</v>
      </c>
      <c r="H750" s="259" t="n">
        <v>0</v>
      </c>
      <c r="I750" s="259" t="n">
        <v>0</v>
      </c>
      <c r="J750" s="259" t="n">
        <v>0</v>
      </c>
      <c r="K750" s="259" t="n">
        <v>0</v>
      </c>
      <c r="L750" s="259" t="n">
        <v>0</v>
      </c>
    </row>
    <row r="751" hidden="1">
      <c r="A751" s="259" t="inlineStr">
        <is>
          <t>Tata BSE Sensex Index Fund - Regular Plan</t>
        </is>
      </c>
      <c r="B751" s="261">
        <f>VLOOKUP(A751, '[2]fund-selector'!$A$2:$F$853,6,FALSE)</f>
        <v/>
      </c>
      <c r="C751" s="258" t="n">
        <v>5.64</v>
      </c>
      <c r="D751" s="260" t="n">
        <v>0.57</v>
      </c>
      <c r="E751" s="260" t="n">
        <v>17.08</v>
      </c>
      <c r="F751" s="260" t="n">
        <v>18.83</v>
      </c>
      <c r="G751" s="260" t="n">
        <v>0.57</v>
      </c>
      <c r="H751" s="260" t="n">
        <v>12.67</v>
      </c>
      <c r="I751" s="260" t="n">
        <v>0.62</v>
      </c>
      <c r="J751" s="260" t="n">
        <v>1.02</v>
      </c>
      <c r="K751" s="260" t="n">
        <v>0.91</v>
      </c>
      <c r="L751" s="260" t="n">
        <v>-1.55</v>
      </c>
    </row>
    <row r="752" hidden="1">
      <c r="A752" s="259" t="inlineStr">
        <is>
          <t>Tata Business Cycle Fund - Regular Plan</t>
        </is>
      </c>
      <c r="B752" s="261">
        <f>VLOOKUP(A752, '[2]fund-selector'!$A$2:$F$853,6,FALSE)</f>
        <v/>
      </c>
      <c r="C752" s="258" t="n">
        <v>-2.95</v>
      </c>
      <c r="D752" s="260" t="n">
        <v>1.91</v>
      </c>
      <c r="E752" s="260" t="n">
        <v>25.05</v>
      </c>
      <c r="F752" s="259" t="n">
        <v>0</v>
      </c>
      <c r="G752" s="260" t="n">
        <v>1.91</v>
      </c>
      <c r="H752" s="260" t="n">
        <v>14.41</v>
      </c>
      <c r="I752" s="260" t="n">
        <v>1.03</v>
      </c>
      <c r="J752" s="260" t="n">
        <v>1.58</v>
      </c>
      <c r="K752" s="260" t="n">
        <v>0.96</v>
      </c>
      <c r="L752" s="260" t="n">
        <v>3.75</v>
      </c>
    </row>
    <row r="753" hidden="1">
      <c r="A753" s="259" t="inlineStr">
        <is>
          <t>Tata Ethical Fund - Regular Plan</t>
        </is>
      </c>
      <c r="B753" s="261">
        <f>VLOOKUP(A753, '[2]fund-selector'!$A$2:$F$853,6,FALSE)</f>
        <v/>
      </c>
      <c r="C753" s="258" t="n">
        <v>-4.94</v>
      </c>
      <c r="D753" s="260" t="n">
        <v>1.9</v>
      </c>
      <c r="E753" s="260" t="n">
        <v>15.49</v>
      </c>
      <c r="F753" s="260" t="n">
        <v>20.06</v>
      </c>
      <c r="G753" s="260" t="n">
        <v>1.9</v>
      </c>
      <c r="H753" s="260" t="n">
        <v>14.08</v>
      </c>
      <c r="I753" s="260" t="n">
        <v>0.45</v>
      </c>
      <c r="J753" s="260" t="n">
        <v>0.6</v>
      </c>
      <c r="K753" s="260" t="n">
        <v>0.9</v>
      </c>
      <c r="L753" s="260" t="n">
        <v>-4.02</v>
      </c>
    </row>
    <row r="754" hidden="1">
      <c r="A754" s="259" t="inlineStr">
        <is>
          <t>Tata Flexi Cap Fund - Regular Plan</t>
        </is>
      </c>
      <c r="B754" s="261">
        <f>VLOOKUP(A754, '[2]fund-selector'!$A$2:$F$853,6,FALSE)</f>
        <v/>
      </c>
      <c r="C754" s="258" t="n">
        <v>7.74</v>
      </c>
      <c r="D754" s="260" t="n">
        <v>1.9</v>
      </c>
      <c r="E754" s="260" t="n">
        <v>20.11</v>
      </c>
      <c r="F754" s="260" t="n">
        <v>19.38</v>
      </c>
      <c r="G754" s="260" t="n">
        <v>1.9</v>
      </c>
      <c r="H754" s="260" t="n">
        <v>12.22</v>
      </c>
      <c r="I754" s="260" t="n">
        <v>0.85</v>
      </c>
      <c r="J754" s="260" t="n">
        <v>1.5</v>
      </c>
      <c r="K754" s="260" t="n">
        <v>0.8</v>
      </c>
      <c r="L754" s="260" t="n">
        <v>1.19</v>
      </c>
    </row>
    <row r="755" hidden="1">
      <c r="A755" s="259" t="inlineStr">
        <is>
          <t>Tata Focused Equity Fund - Regular Plan</t>
        </is>
      </c>
      <c r="B755" s="261">
        <f>VLOOKUP(A755, '[2]fund-selector'!$A$2:$F$853,6,FALSE)</f>
        <v/>
      </c>
      <c r="C755" s="258" t="n">
        <v>0.74</v>
      </c>
      <c r="D755" s="260" t="n">
        <v>2.04</v>
      </c>
      <c r="E755" s="260" t="n">
        <v>20.01</v>
      </c>
      <c r="F755" s="260" t="n">
        <v>22.08</v>
      </c>
      <c r="G755" s="260" t="n">
        <v>2.04</v>
      </c>
      <c r="H755" s="260" t="n">
        <v>14.17</v>
      </c>
      <c r="I755" s="260" t="n">
        <v>0.73</v>
      </c>
      <c r="J755" s="260" t="n">
        <v>1.11</v>
      </c>
      <c r="K755" s="260" t="n">
        <v>0.93</v>
      </c>
      <c r="L755" s="260" t="n">
        <v>-0.4</v>
      </c>
    </row>
    <row r="756" hidden="1">
      <c r="A756" s="259" t="inlineStr">
        <is>
          <t>Tata Housing Opportunities Fund - Regular Plan</t>
        </is>
      </c>
      <c r="B756" s="261">
        <f>VLOOKUP(A756, '[2]fund-selector'!$A$2:$F$853,6,FALSE)</f>
        <v/>
      </c>
      <c r="C756" s="258" t="n">
        <v>-5.82</v>
      </c>
      <c r="D756" s="260" t="n">
        <v>2.36</v>
      </c>
      <c r="E756" s="259" t="n">
        <v>0</v>
      </c>
      <c r="F756" s="259" t="n">
        <v>0</v>
      </c>
      <c r="G756" s="260" t="n">
        <v>2.36</v>
      </c>
      <c r="H756" s="259" t="n">
        <v>0</v>
      </c>
      <c r="I756" s="259" t="n">
        <v>0</v>
      </c>
      <c r="J756" s="259" t="n">
        <v>0</v>
      </c>
      <c r="K756" s="259" t="n">
        <v>0</v>
      </c>
      <c r="L756" s="259" t="n">
        <v>0</v>
      </c>
    </row>
    <row r="757" hidden="1">
      <c r="A757" s="259" t="inlineStr">
        <is>
          <t>Tata Hybrid Equity Fund - Regular Plan</t>
        </is>
      </c>
      <c r="B757" s="261">
        <f>VLOOKUP(A757, '[2]fund-selector'!$A$2:$F$853,6,FALSE)</f>
        <v/>
      </c>
      <c r="C757" s="258" t="n">
        <v>2.8</v>
      </c>
      <c r="D757" s="260" t="n">
        <v>1.92</v>
      </c>
      <c r="E757" s="260" t="n">
        <v>15.77</v>
      </c>
      <c r="F757" s="260" t="n">
        <v>17.16</v>
      </c>
      <c r="G757" s="260" t="n">
        <v>1.92</v>
      </c>
      <c r="H757" s="260" t="n">
        <v>10.4</v>
      </c>
      <c r="I757" s="260" t="n">
        <v>0.71</v>
      </c>
      <c r="J757" s="260" t="n">
        <v>1.1</v>
      </c>
      <c r="K757" s="260" t="n">
        <v>0.85</v>
      </c>
      <c r="L757" s="260" t="n">
        <v>-0.75</v>
      </c>
    </row>
    <row r="758" hidden="1">
      <c r="A758" s="259" t="inlineStr">
        <is>
          <t>Tata India Innovation Fund - Regular Plan</t>
        </is>
      </c>
      <c r="B758" s="261">
        <f>VLOOKUP(A758, '[2]fund-selector'!$A$2:$F$853,6,FALSE)</f>
        <v/>
      </c>
      <c r="C758" s="258" t="inlineStr">
        <is>
          <t>--</t>
        </is>
      </c>
      <c r="D758" s="260" t="n">
        <v>2.03</v>
      </c>
      <c r="E758" s="259" t="n">
        <v>0</v>
      </c>
      <c r="F758" s="259" t="n">
        <v>0</v>
      </c>
      <c r="G758" s="260" t="n">
        <v>2.03</v>
      </c>
      <c r="H758" s="259" t="n">
        <v>0</v>
      </c>
      <c r="I758" s="259" t="n">
        <v>0</v>
      </c>
      <c r="J758" s="259" t="n">
        <v>0</v>
      </c>
      <c r="K758" s="259" t="n">
        <v>0</v>
      </c>
      <c r="L758" s="259" t="n">
        <v>0</v>
      </c>
    </row>
    <row r="759" hidden="1">
      <c r="A759" s="259" t="inlineStr">
        <is>
          <t>Tata Large Cap Fund - Regular Plan</t>
        </is>
      </c>
      <c r="B759" s="261">
        <f>VLOOKUP(A759, '[2]fund-selector'!$A$2:$F$853,6,FALSE)</f>
        <v/>
      </c>
      <c r="C759" s="258" t="n">
        <v>1.58</v>
      </c>
      <c r="D759" s="260" t="n">
        <v>2.01</v>
      </c>
      <c r="E759" s="260" t="n">
        <v>19.55</v>
      </c>
      <c r="F759" s="260" t="n">
        <v>20.98</v>
      </c>
      <c r="G759" s="260" t="n">
        <v>2.01</v>
      </c>
      <c r="H759" s="260" t="n">
        <v>13.6</v>
      </c>
      <c r="I759" s="260" t="n">
        <v>0.74</v>
      </c>
      <c r="J759" s="260" t="n">
        <v>1.21</v>
      </c>
      <c r="K759" s="260" t="n">
        <v>0.98</v>
      </c>
      <c r="L759" s="260" t="n">
        <v>-0.04</v>
      </c>
    </row>
    <row r="760" hidden="1">
      <c r="A760" s="259" t="inlineStr">
        <is>
          <t>Tata Large &amp; Mid Cap Fund - Regular Plan</t>
        </is>
      </c>
      <c r="B760" s="261">
        <f>VLOOKUP(A760, '[2]fund-selector'!$A$2:$F$853,6,FALSE)</f>
        <v/>
      </c>
      <c r="C760" s="258" t="n">
        <v>1.46</v>
      </c>
      <c r="D760" s="260" t="n">
        <v>1.75</v>
      </c>
      <c r="E760" s="260" t="n">
        <v>21.4</v>
      </c>
      <c r="F760" s="260" t="n">
        <v>22.03</v>
      </c>
      <c r="G760" s="260" t="n">
        <v>1.75</v>
      </c>
      <c r="H760" s="260" t="n">
        <v>13.26</v>
      </c>
      <c r="I760" s="260" t="n">
        <v>0.89</v>
      </c>
      <c r="J760" s="260" t="n">
        <v>1.47</v>
      </c>
      <c r="K760" s="260" t="n">
        <v>0.89</v>
      </c>
      <c r="L760" s="260" t="n">
        <v>1.96</v>
      </c>
    </row>
    <row r="761" hidden="1">
      <c r="A761" s="259" t="inlineStr">
        <is>
          <t>Tata Midcap Growth Fund - Regular Plan</t>
        </is>
      </c>
      <c r="B761" s="261">
        <f>VLOOKUP(A761, '[2]fund-selector'!$A$2:$F$853,6,FALSE)</f>
        <v/>
      </c>
      <c r="C761" s="258" t="n">
        <v>-2.96</v>
      </c>
      <c r="D761" s="260" t="n">
        <v>1.85</v>
      </c>
      <c r="E761" s="260" t="n">
        <v>25.6</v>
      </c>
      <c r="F761" s="260" t="n">
        <v>26.4</v>
      </c>
      <c r="G761" s="260" t="n">
        <v>1.85</v>
      </c>
      <c r="H761" s="260" t="n">
        <v>15.64</v>
      </c>
      <c r="I761" s="260" t="n">
        <v>0.96</v>
      </c>
      <c r="J761" s="260" t="n">
        <v>1.38</v>
      </c>
      <c r="K761" s="260" t="n">
        <v>0.91</v>
      </c>
      <c r="L761" s="260" t="n">
        <v>-1.44</v>
      </c>
    </row>
    <row r="762" hidden="1">
      <c r="A762" s="259" t="inlineStr">
        <is>
          <t>Tata Multi Asset Opportunities Fund - Regular Plan</t>
        </is>
      </c>
      <c r="B762" s="261">
        <f>VLOOKUP(A762, '[2]fund-selector'!$A$2:$F$853,6,FALSE)</f>
        <v/>
      </c>
      <c r="C762" s="258" t="n">
        <v>5.89</v>
      </c>
      <c r="D762" s="260" t="n">
        <v>1.84</v>
      </c>
      <c r="E762" s="260" t="n">
        <v>17.23</v>
      </c>
      <c r="F762" s="260" t="n">
        <v>18.06</v>
      </c>
      <c r="G762" s="260" t="n">
        <v>1.84</v>
      </c>
      <c r="H762" s="260" t="n">
        <v>8.539999999999999</v>
      </c>
      <c r="I762" s="260" t="n">
        <v>0.96</v>
      </c>
      <c r="J762" s="260" t="n">
        <v>1.55</v>
      </c>
      <c r="K762" s="260" t="n">
        <v>0.86</v>
      </c>
      <c r="L762" s="260" t="n">
        <v>0.55</v>
      </c>
    </row>
    <row r="763" hidden="1">
      <c r="A763" s="259" t="inlineStr">
        <is>
          <t>Tata Multicap Fund - Regular Plan</t>
        </is>
      </c>
      <c r="B763" s="261">
        <f>VLOOKUP(A763, '[2]fund-selector'!$A$2:$F$853,6,FALSE)</f>
        <v/>
      </c>
      <c r="C763" s="258" t="n">
        <v>-2.99</v>
      </c>
      <c r="D763" s="260" t="n">
        <v>1.88</v>
      </c>
      <c r="E763" s="259" t="n">
        <v>0</v>
      </c>
      <c r="F763" s="259" t="n">
        <v>0</v>
      </c>
      <c r="G763" s="260" t="n">
        <v>1.88</v>
      </c>
      <c r="H763" s="259" t="n">
        <v>0</v>
      </c>
      <c r="I763" s="259" t="n">
        <v>0</v>
      </c>
      <c r="J763" s="259" t="n">
        <v>0</v>
      </c>
      <c r="K763" s="259" t="n">
        <v>0</v>
      </c>
      <c r="L763" s="259" t="n">
        <v>0</v>
      </c>
    </row>
    <row r="764" hidden="1">
      <c r="A764" s="259" t="inlineStr">
        <is>
          <t>Tata Nifty200 Alpha 30 Index Fund - Regular Plan</t>
        </is>
      </c>
      <c r="B764" s="261">
        <f>VLOOKUP(A764, '[2]fund-selector'!$A$2:$F$853,6,FALSE)</f>
        <v/>
      </c>
      <c r="C764" s="258" t="inlineStr">
        <is>
          <t>--</t>
        </is>
      </c>
      <c r="D764" s="260" t="n">
        <v>1.11</v>
      </c>
      <c r="E764" s="259" t="n">
        <v>0</v>
      </c>
      <c r="F764" s="259" t="n">
        <v>0</v>
      </c>
      <c r="G764" s="260" t="n">
        <v>1.11</v>
      </c>
      <c r="H764" s="259" t="n">
        <v>0</v>
      </c>
      <c r="I764" s="259" t="n">
        <v>0</v>
      </c>
      <c r="J764" s="259" t="n">
        <v>0</v>
      </c>
      <c r="K764" s="259" t="n">
        <v>0</v>
      </c>
      <c r="L764" s="259" t="n">
        <v>0</v>
      </c>
    </row>
    <row r="765" hidden="1">
      <c r="A765" s="259" t="inlineStr">
        <is>
          <t>Tata Nifty500 Multicap India Manufacturing 50:30:20 Index Fund - Regular Plan</t>
        </is>
      </c>
      <c r="B765" s="261">
        <f>VLOOKUP(A765, '[2]fund-selector'!$A$2:$F$853,6,FALSE)</f>
        <v/>
      </c>
      <c r="C765" s="258" t="n">
        <v>-1.28</v>
      </c>
      <c r="D765" s="260" t="n">
        <v>1.11</v>
      </c>
      <c r="E765" s="259" t="n">
        <v>0</v>
      </c>
      <c r="F765" s="259" t="n">
        <v>0</v>
      </c>
      <c r="G765" s="260" t="n">
        <v>1.11</v>
      </c>
      <c r="H765" s="259" t="n">
        <v>0</v>
      </c>
      <c r="I765" s="259" t="n">
        <v>0</v>
      </c>
      <c r="J765" s="259" t="n">
        <v>0</v>
      </c>
      <c r="K765" s="259" t="n">
        <v>0</v>
      </c>
      <c r="L765" s="259" t="n">
        <v>0</v>
      </c>
    </row>
    <row r="766" hidden="1">
      <c r="A766" s="259" t="inlineStr">
        <is>
          <t>Tata Nifty 50 Exchange Traded Fund</t>
        </is>
      </c>
      <c r="B766" s="261">
        <f>VLOOKUP(A766, '[2]fund-selector'!$A$2:$F$853,6,FALSE)</f>
        <v/>
      </c>
      <c r="C766" s="258" t="n">
        <v>6.44</v>
      </c>
      <c r="D766" s="260" t="n">
        <v>0.06</v>
      </c>
      <c r="E766" s="260" t="n">
        <v>18.58</v>
      </c>
      <c r="F766" s="260" t="n">
        <v>20.64</v>
      </c>
      <c r="G766" s="260" t="n">
        <v>0.06</v>
      </c>
      <c r="H766" s="260" t="n">
        <v>13.1</v>
      </c>
      <c r="I766" s="260" t="n">
        <v>0.6899999999999999</v>
      </c>
      <c r="J766" s="260" t="n">
        <v>1.17</v>
      </c>
      <c r="K766" s="260" t="n">
        <v>0.95</v>
      </c>
      <c r="L766" s="260" t="n">
        <v>-0.76</v>
      </c>
    </row>
    <row r="767" hidden="1">
      <c r="A767" s="259" t="inlineStr">
        <is>
          <t>Tata Nifty 50 Index Fund - Regular Plan</t>
        </is>
      </c>
      <c r="B767" s="261">
        <f>VLOOKUP(A767, '[2]fund-selector'!$A$2:$F$853,6,FALSE)</f>
        <v/>
      </c>
      <c r="C767" s="258" t="n">
        <v>5.85</v>
      </c>
      <c r="D767" s="260" t="n">
        <v>0.51</v>
      </c>
      <c r="E767" s="260" t="n">
        <v>17.96</v>
      </c>
      <c r="F767" s="260" t="n">
        <v>19.85</v>
      </c>
      <c r="G767" s="260" t="n">
        <v>0.51</v>
      </c>
      <c r="H767" s="260" t="n">
        <v>13.1</v>
      </c>
      <c r="I767" s="260" t="n">
        <v>0.64</v>
      </c>
      <c r="J767" s="260" t="n">
        <v>1.1</v>
      </c>
      <c r="K767" s="260" t="n">
        <v>0.95</v>
      </c>
      <c r="L767" s="260" t="n">
        <v>-1.29</v>
      </c>
    </row>
    <row r="768" hidden="1">
      <c r="A768" s="259" t="inlineStr">
        <is>
          <t>Tata Nifty Auto Index Fund - Regular Plan</t>
        </is>
      </c>
      <c r="B768" s="261">
        <f>VLOOKUP(A768, '[2]fund-selector'!$A$2:$F$853,6,FALSE)</f>
        <v/>
      </c>
      <c r="C768" s="258" t="n">
        <v>-7.99</v>
      </c>
      <c r="D768" s="260" t="n">
        <v>1.11</v>
      </c>
      <c r="E768" s="259" t="n">
        <v>0</v>
      </c>
      <c r="F768" s="259" t="n">
        <v>0</v>
      </c>
      <c r="G768" s="260" t="n">
        <v>1.11</v>
      </c>
      <c r="H768" s="259" t="n">
        <v>0</v>
      </c>
      <c r="I768" s="259" t="n">
        <v>0</v>
      </c>
      <c r="J768" s="259" t="n">
        <v>0</v>
      </c>
      <c r="K768" s="259" t="n">
        <v>0</v>
      </c>
      <c r="L768" s="259" t="n">
        <v>0</v>
      </c>
    </row>
    <row r="769" hidden="1">
      <c r="A769" s="259" t="inlineStr">
        <is>
          <t>Tata Nifty Capital Markets Index Fund - Regular Plan</t>
        </is>
      </c>
      <c r="B769" s="261">
        <f>VLOOKUP(A769, '[2]fund-selector'!$A$2:$F$853,6,FALSE)</f>
        <v/>
      </c>
      <c r="C769" s="258" t="inlineStr">
        <is>
          <t>--</t>
        </is>
      </c>
      <c r="D769" s="260" t="n">
        <v>1.12</v>
      </c>
      <c r="E769" s="259" t="n">
        <v>0</v>
      </c>
      <c r="F769" s="259" t="n">
        <v>0</v>
      </c>
      <c r="G769" s="260" t="n">
        <v>1.12</v>
      </c>
      <c r="H769" s="259" t="n">
        <v>0</v>
      </c>
      <c r="I769" s="259" t="n">
        <v>0</v>
      </c>
      <c r="J769" s="259" t="n">
        <v>0</v>
      </c>
      <c r="K769" s="259" t="n">
        <v>0</v>
      </c>
      <c r="L769" s="259" t="n">
        <v>0</v>
      </c>
    </row>
    <row r="770" hidden="1">
      <c r="A770" s="259" t="inlineStr">
        <is>
          <t>Tata Nifty India Tourism Index Fund - Regular Plan</t>
        </is>
      </c>
      <c r="B770" s="261">
        <f>VLOOKUP(A770, '[2]fund-selector'!$A$2:$F$853,6,FALSE)</f>
        <v/>
      </c>
      <c r="C770" s="258" t="inlineStr">
        <is>
          <t>--</t>
        </is>
      </c>
      <c r="D770" s="260" t="n">
        <v>1.11</v>
      </c>
      <c r="E770" s="259" t="n">
        <v>0</v>
      </c>
      <c r="F770" s="259" t="n">
        <v>0</v>
      </c>
      <c r="G770" s="260" t="n">
        <v>1.11</v>
      </c>
      <c r="H770" s="259" t="n">
        <v>0</v>
      </c>
      <c r="I770" s="259" t="n">
        <v>0</v>
      </c>
      <c r="J770" s="259" t="n">
        <v>0</v>
      </c>
      <c r="K770" s="259" t="n">
        <v>0</v>
      </c>
      <c r="L770" s="259" t="n">
        <v>0</v>
      </c>
    </row>
    <row r="771" hidden="1">
      <c r="A771" s="259" t="inlineStr">
        <is>
          <t>Tata Nifty Midcap 150 Index Fund - Regular Plan</t>
        </is>
      </c>
      <c r="B771" s="261">
        <f>VLOOKUP(A771, '[2]fund-selector'!$A$2:$F$853,6,FALSE)</f>
        <v/>
      </c>
      <c r="C771" s="258" t="inlineStr">
        <is>
          <t>--</t>
        </is>
      </c>
      <c r="D771" s="259" t="n">
        <v>0</v>
      </c>
      <c r="E771" s="259" t="n">
        <v>0</v>
      </c>
      <c r="F771" s="259" t="n">
        <v>0</v>
      </c>
      <c r="G771" s="259" t="n">
        <v>0</v>
      </c>
      <c r="H771" s="259" t="n">
        <v>0</v>
      </c>
      <c r="I771" s="259" t="n">
        <v>0</v>
      </c>
      <c r="J771" s="259" t="n">
        <v>0</v>
      </c>
      <c r="K771" s="259" t="n">
        <v>0</v>
      </c>
      <c r="L771" s="259" t="n">
        <v>0</v>
      </c>
    </row>
    <row r="772" hidden="1">
      <c r="A772" s="259" t="inlineStr">
        <is>
          <t>Tata Nifty Midcap 150 Momentum 50 Index Fund - Regular Plan</t>
        </is>
      </c>
      <c r="B772" s="261">
        <f>VLOOKUP(A772, '[2]fund-selector'!$A$2:$F$853,6,FALSE)</f>
        <v/>
      </c>
      <c r="C772" s="258" t="n">
        <v>-3.9</v>
      </c>
      <c r="D772" s="260" t="n">
        <v>1.05</v>
      </c>
      <c r="E772" s="259" t="n">
        <v>0</v>
      </c>
      <c r="F772" s="259" t="n">
        <v>0</v>
      </c>
      <c r="G772" s="260" t="n">
        <v>1.05</v>
      </c>
      <c r="H772" s="259" t="n">
        <v>0</v>
      </c>
      <c r="I772" s="259" t="n">
        <v>0</v>
      </c>
      <c r="J772" s="259" t="n">
        <v>0</v>
      </c>
      <c r="K772" s="259" t="n">
        <v>0</v>
      </c>
      <c r="L772" s="259" t="n">
        <v>0</v>
      </c>
    </row>
    <row r="773" hidden="1">
      <c r="A773" s="259" t="inlineStr">
        <is>
          <t>Tata Nifty Realty Index Fund - Regular Plan</t>
        </is>
      </c>
      <c r="B773" s="261">
        <f>VLOOKUP(A773, '[2]fund-selector'!$A$2:$F$853,6,FALSE)</f>
        <v/>
      </c>
      <c r="C773" s="258" t="n">
        <v>-12.08</v>
      </c>
      <c r="D773" s="260" t="n">
        <v>1.11</v>
      </c>
      <c r="E773" s="259" t="n">
        <v>0</v>
      </c>
      <c r="F773" s="259" t="n">
        <v>0</v>
      </c>
      <c r="G773" s="260" t="n">
        <v>1.11</v>
      </c>
      <c r="H773" s="259" t="n">
        <v>0</v>
      </c>
      <c r="I773" s="259" t="n">
        <v>0</v>
      </c>
      <c r="J773" s="259" t="n">
        <v>0</v>
      </c>
      <c r="K773" s="259" t="n">
        <v>0</v>
      </c>
      <c r="L773" s="259" t="n">
        <v>0</v>
      </c>
    </row>
    <row r="774" hidden="1">
      <c r="A774" s="259" t="inlineStr">
        <is>
          <t>Tata Retirement Savings Fund - Conservative Plan - Regular Plan</t>
        </is>
      </c>
      <c r="B774" s="261">
        <f>VLOOKUP(A774, '[2]fund-selector'!$A$2:$F$853,6,FALSE)</f>
        <v/>
      </c>
      <c r="C774" s="258" t="n">
        <v>5.49</v>
      </c>
      <c r="D774" s="260" t="n">
        <v>2.17</v>
      </c>
      <c r="E774" s="260" t="n">
        <v>10.01</v>
      </c>
      <c r="F774" s="260" t="n">
        <v>8.33</v>
      </c>
      <c r="G774" s="260" t="n">
        <v>2.17</v>
      </c>
      <c r="H774" s="260" t="n">
        <v>4.5</v>
      </c>
      <c r="I774" s="260" t="n">
        <v>0.59</v>
      </c>
      <c r="J774" s="260" t="n">
        <v>0.84</v>
      </c>
      <c r="K774" s="260" t="n">
        <v>1.03</v>
      </c>
      <c r="L774" s="260" t="n">
        <v>-1.12</v>
      </c>
    </row>
    <row r="775" hidden="1">
      <c r="A775" s="259" t="inlineStr">
        <is>
          <t>Tata Retirement Savings Fund - Moderate Plan - Regular Plan</t>
        </is>
      </c>
      <c r="B775" s="261">
        <f>VLOOKUP(A775, '[2]fund-selector'!$A$2:$F$853,6,FALSE)</f>
        <v/>
      </c>
      <c r="C775" s="258" t="n">
        <v>6.02</v>
      </c>
      <c r="D775" s="260" t="n">
        <v>2</v>
      </c>
      <c r="E775" s="260" t="n">
        <v>19.12</v>
      </c>
      <c r="F775" s="260" t="n">
        <v>17.2</v>
      </c>
      <c r="G775" s="260" t="n">
        <v>2</v>
      </c>
      <c r="H775" s="260" t="n">
        <v>11.59</v>
      </c>
      <c r="I775" s="260" t="n">
        <v>0.84</v>
      </c>
      <c r="J775" s="260" t="n">
        <v>1.13</v>
      </c>
      <c r="K775" s="260" t="n">
        <v>0.9</v>
      </c>
      <c r="L775" s="260" t="n">
        <v>1.03</v>
      </c>
    </row>
    <row r="776" hidden="1">
      <c r="A776" s="259" t="inlineStr">
        <is>
          <t>Tata Retirement Savings Fund - Progressive Plan - Regular Plan</t>
        </is>
      </c>
      <c r="B776" s="261">
        <f>VLOOKUP(A776, '[2]fund-selector'!$A$2:$F$853,6,FALSE)</f>
        <v/>
      </c>
      <c r="C776" s="258" t="n">
        <v>4.61</v>
      </c>
      <c r="D776" s="260" t="n">
        <v>2</v>
      </c>
      <c r="E776" s="260" t="n">
        <v>20.98</v>
      </c>
      <c r="F776" s="260" t="n">
        <v>18.7</v>
      </c>
      <c r="G776" s="260" t="n">
        <v>2</v>
      </c>
      <c r="H776" s="260" t="n">
        <v>13.75</v>
      </c>
      <c r="I776" s="260" t="n">
        <v>0.8100000000000001</v>
      </c>
      <c r="J776" s="260" t="n">
        <v>1.06</v>
      </c>
      <c r="K776" s="260" t="n">
        <v>0.88</v>
      </c>
      <c r="L776" s="260" t="n">
        <v>0.99</v>
      </c>
    </row>
    <row r="777" hidden="1">
      <c r="A777" s="259" t="inlineStr">
        <is>
          <t>Tata Small Cap Fund - Regular Plan</t>
        </is>
      </c>
      <c r="B777" s="261">
        <f>VLOOKUP(A777, '[2]fund-selector'!$A$2:$F$853,6,FALSE)</f>
        <v/>
      </c>
      <c r="C777" s="258" t="n">
        <v>2.51</v>
      </c>
      <c r="D777" s="260" t="n">
        <v>1.68</v>
      </c>
      <c r="E777" s="260" t="n">
        <v>27.38</v>
      </c>
      <c r="F777" s="260" t="n">
        <v>33.07</v>
      </c>
      <c r="G777" s="260" t="n">
        <v>1.68</v>
      </c>
      <c r="H777" s="260" t="n">
        <v>16.37</v>
      </c>
      <c r="I777" s="260" t="n">
        <v>1.06</v>
      </c>
      <c r="J777" s="260" t="n">
        <v>1.47</v>
      </c>
      <c r="K777" s="260" t="n">
        <v>0.78</v>
      </c>
      <c r="L777" s="260" t="n">
        <v>3.11</v>
      </c>
    </row>
    <row r="778" hidden="1">
      <c r="A778" s="259" t="inlineStr">
        <is>
          <t>Tata Young Citizens Fund - Regular Plan</t>
        </is>
      </c>
      <c r="B778" s="261">
        <f>VLOOKUP(A778, '[2]fund-selector'!$A$2:$F$853,6,FALSE)</f>
        <v/>
      </c>
      <c r="C778" s="258" t="n">
        <v>3.13</v>
      </c>
      <c r="D778" s="260" t="n">
        <v>2.58</v>
      </c>
      <c r="E778" s="260" t="n">
        <v>19.7</v>
      </c>
      <c r="F778" s="260" t="n">
        <v>20.68</v>
      </c>
      <c r="G778" s="260" t="n">
        <v>2.58</v>
      </c>
      <c r="H778" s="260" t="n">
        <v>13.53</v>
      </c>
      <c r="I778" s="260" t="n">
        <v>0.74</v>
      </c>
      <c r="J778" s="260" t="n">
        <v>1.16</v>
      </c>
      <c r="K778" s="260" t="n">
        <v>0.9</v>
      </c>
      <c r="L778" s="260" t="n">
        <v>-0.36</v>
      </c>
    </row>
    <row r="779" hidden="1">
      <c r="A779" s="259" t="inlineStr">
        <is>
          <t>Taurus Ethical Fund - Regular Plan</t>
        </is>
      </c>
      <c r="B779" s="261">
        <f>VLOOKUP(A779, '[2]fund-selector'!$A$2:$F$853,6,FALSE)</f>
        <v/>
      </c>
      <c r="C779" s="258" t="n">
        <v>-0.92</v>
      </c>
      <c r="D779" s="260" t="n">
        <v>2.39</v>
      </c>
      <c r="E779" s="260" t="n">
        <v>18.93</v>
      </c>
      <c r="F779" s="260" t="n">
        <v>19.83</v>
      </c>
      <c r="G779" s="260" t="n">
        <v>2.39</v>
      </c>
      <c r="H779" s="260" t="n">
        <v>14.82</v>
      </c>
      <c r="I779" s="260" t="n">
        <v>0.66</v>
      </c>
      <c r="J779" s="260" t="n">
        <v>0.9399999999999999</v>
      </c>
      <c r="K779" s="260" t="n">
        <v>0.93</v>
      </c>
      <c r="L779" s="260" t="n">
        <v>-0.9399999999999999</v>
      </c>
    </row>
    <row r="780" hidden="1">
      <c r="A780" s="259" t="inlineStr">
        <is>
          <t>Taurus Flexi Cap Fund - Regular Plan</t>
        </is>
      </c>
      <c r="B780" s="261">
        <f>VLOOKUP(A780, '[2]fund-selector'!$A$2:$F$853,6,FALSE)</f>
        <v/>
      </c>
      <c r="C780" s="258" t="n">
        <v>-2.2</v>
      </c>
      <c r="D780" s="260" t="n">
        <v>2.64</v>
      </c>
      <c r="E780" s="260" t="n">
        <v>19.62</v>
      </c>
      <c r="F780" s="260" t="n">
        <v>19.02</v>
      </c>
      <c r="G780" s="260" t="n">
        <v>2.64</v>
      </c>
      <c r="H780" s="260" t="n">
        <v>15.7</v>
      </c>
      <c r="I780" s="260" t="n">
        <v>0.63</v>
      </c>
      <c r="J780" s="260" t="n">
        <v>0.95</v>
      </c>
      <c r="K780" s="260" t="n">
        <v>1.02</v>
      </c>
      <c r="L780" s="260" t="n">
        <v>-1.88</v>
      </c>
    </row>
    <row r="781" hidden="1">
      <c r="A781" s="259" t="inlineStr">
        <is>
          <t>Taurus Large Cap Fund - Regular Plan</t>
        </is>
      </c>
      <c r="B781" s="261">
        <f>VLOOKUP(A781, '[2]fund-selector'!$A$2:$F$853,6,FALSE)</f>
        <v/>
      </c>
      <c r="C781" s="258" t="n">
        <v>1.15</v>
      </c>
      <c r="D781" s="260" t="n">
        <v>2.59</v>
      </c>
      <c r="E781" s="260" t="n">
        <v>20.29</v>
      </c>
      <c r="F781" s="260" t="n">
        <v>18.95</v>
      </c>
      <c r="G781" s="260" t="n">
        <v>2.59</v>
      </c>
      <c r="H781" s="260" t="n">
        <v>16.49</v>
      </c>
      <c r="I781" s="260" t="n">
        <v>0.63</v>
      </c>
      <c r="J781" s="260" t="n">
        <v>0.99</v>
      </c>
      <c r="K781" s="260" t="n">
        <v>1.1</v>
      </c>
      <c r="L781" s="260" t="n">
        <v>-1</v>
      </c>
    </row>
    <row r="782" hidden="1">
      <c r="A782" s="259" t="inlineStr">
        <is>
          <t>Taurus Mid Cap Fund - Regular Plan</t>
        </is>
      </c>
      <c r="B782" s="261">
        <f>VLOOKUP(A782, '[2]fund-selector'!$A$2:$F$853,6,FALSE)</f>
        <v/>
      </c>
      <c r="C782" s="258" t="n">
        <v>-4.28</v>
      </c>
      <c r="D782" s="260" t="n">
        <v>2.56</v>
      </c>
      <c r="E782" s="260" t="n">
        <v>23.41</v>
      </c>
      <c r="F782" s="260" t="n">
        <v>23.41</v>
      </c>
      <c r="G782" s="260" t="n">
        <v>2.56</v>
      </c>
      <c r="H782" s="260" t="n">
        <v>17.48</v>
      </c>
      <c r="I782" s="260" t="n">
        <v>0.82</v>
      </c>
      <c r="J782" s="260" t="n">
        <v>1.44</v>
      </c>
      <c r="K782" s="260" t="n">
        <v>0.99</v>
      </c>
      <c r="L782" s="260" t="n">
        <v>-3.52</v>
      </c>
    </row>
    <row r="783" hidden="1">
      <c r="A783" s="259" t="inlineStr">
        <is>
          <t>Taurus Nifty 50 Index Fund - Regular Plan</t>
        </is>
      </c>
      <c r="B783" s="261">
        <f>VLOOKUP(A783, '[2]fund-selector'!$A$2:$F$853,6,FALSE)</f>
        <v/>
      </c>
      <c r="C783" s="258" t="n">
        <v>5.31</v>
      </c>
      <c r="D783" s="260" t="n">
        <v>1.07</v>
      </c>
      <c r="E783" s="260" t="n">
        <v>17.27</v>
      </c>
      <c r="F783" s="260" t="n">
        <v>19.6</v>
      </c>
      <c r="G783" s="260" t="n">
        <v>1.07</v>
      </c>
      <c r="H783" s="260" t="n">
        <v>13.02</v>
      </c>
      <c r="I783" s="260" t="n">
        <v>0.61</v>
      </c>
      <c r="J783" s="260" t="n">
        <v>1.05</v>
      </c>
      <c r="K783" s="260" t="n">
        <v>0.9399999999999999</v>
      </c>
      <c r="L783" s="260" t="n">
        <v>-1.78</v>
      </c>
    </row>
    <row r="784" hidden="1">
      <c r="A784" s="259" t="inlineStr">
        <is>
          <t>TRUSTMF Flexi Cap Fund - Regular Plan</t>
        </is>
      </c>
      <c r="B784" s="261">
        <f>VLOOKUP(A784, '[2]fund-selector'!$A$2:$F$853,6,FALSE)</f>
        <v/>
      </c>
      <c r="C784" s="258" t="n">
        <v>3.98</v>
      </c>
      <c r="D784" s="260" t="n">
        <v>2.12</v>
      </c>
      <c r="E784" s="259" t="n">
        <v>0</v>
      </c>
      <c r="F784" s="259" t="n">
        <v>0</v>
      </c>
      <c r="G784" s="260" t="n">
        <v>2.12</v>
      </c>
      <c r="H784" s="259" t="n">
        <v>0</v>
      </c>
      <c r="I784" s="259" t="n">
        <v>0</v>
      </c>
      <c r="J784" s="259" t="n">
        <v>0</v>
      </c>
      <c r="K784" s="259" t="n">
        <v>0</v>
      </c>
      <c r="L784" s="259" t="n">
        <v>0</v>
      </c>
    </row>
    <row r="785" hidden="1">
      <c r="A785" s="259" t="inlineStr">
        <is>
          <t>TRUSTMF Small Cap Fund - Regular Plan</t>
        </is>
      </c>
      <c r="B785" s="261">
        <f>VLOOKUP(A785, '[2]fund-selector'!$A$2:$F$853,6,FALSE)</f>
        <v/>
      </c>
      <c r="C785" s="258" t="inlineStr">
        <is>
          <t>--</t>
        </is>
      </c>
      <c r="D785" s="260" t="n">
        <v>2.17</v>
      </c>
      <c r="E785" s="259" t="n">
        <v>0</v>
      </c>
      <c r="F785" s="259" t="n">
        <v>0</v>
      </c>
      <c r="G785" s="260" t="n">
        <v>2.17</v>
      </c>
      <c r="H785" s="259" t="n">
        <v>0</v>
      </c>
      <c r="I785" s="259" t="n">
        <v>0</v>
      </c>
      <c r="J785" s="259" t="n">
        <v>0</v>
      </c>
      <c r="K785" s="259" t="n">
        <v>0</v>
      </c>
      <c r="L785" s="259" t="n">
        <v>0</v>
      </c>
    </row>
    <row r="786" hidden="1">
      <c r="A786" s="259" t="inlineStr">
        <is>
          <t>Unifi Dynamic Asset Allocation Fund - Regular Plan</t>
        </is>
      </c>
      <c r="B786" s="261">
        <f>VLOOKUP(A786, '[2]fund-selector'!$A$2:$F$853,6,FALSE)</f>
        <v/>
      </c>
      <c r="C786" s="258" t="inlineStr">
        <is>
          <t>--</t>
        </is>
      </c>
      <c r="D786" s="260" t="n">
        <v>1.52</v>
      </c>
      <c r="E786" s="259" t="n">
        <v>0</v>
      </c>
      <c r="F786" s="259" t="n">
        <v>0</v>
      </c>
      <c r="G786" s="260" t="n">
        <v>1.52</v>
      </c>
      <c r="H786" s="259" t="n">
        <v>0</v>
      </c>
      <c r="I786" s="259" t="n">
        <v>0</v>
      </c>
      <c r="J786" s="259" t="n">
        <v>0</v>
      </c>
      <c r="K786" s="259" t="n">
        <v>0</v>
      </c>
      <c r="L786" s="259" t="n">
        <v>0</v>
      </c>
    </row>
    <row r="787" hidden="1">
      <c r="A787" s="259" t="inlineStr">
        <is>
          <t>Unifi Flexi Cap Fund - Regular Plan</t>
        </is>
      </c>
      <c r="B787" s="261">
        <f>VLOOKUP(A787, '[2]fund-selector'!$A$2:$F$853,6,FALSE)</f>
        <v/>
      </c>
      <c r="C787" s="258" t="inlineStr">
        <is>
          <t>--</t>
        </is>
      </c>
      <c r="D787" s="259" t="n">
        <v>0</v>
      </c>
      <c r="E787" s="259" t="n">
        <v>0</v>
      </c>
      <c r="F787" s="259" t="n">
        <v>0</v>
      </c>
      <c r="G787" s="259" t="n">
        <v>0</v>
      </c>
      <c r="H787" s="259" t="n">
        <v>0</v>
      </c>
      <c r="I787" s="259" t="n">
        <v>0</v>
      </c>
      <c r="J787" s="259" t="n">
        <v>0</v>
      </c>
      <c r="K787" s="259" t="n">
        <v>0</v>
      </c>
      <c r="L787" s="259" t="n">
        <v>0</v>
      </c>
    </row>
    <row r="788" hidden="1">
      <c r="A788" s="259" t="inlineStr">
        <is>
          <t>Union Active Momentum Fund - Regular Plan</t>
        </is>
      </c>
      <c r="B788" s="261">
        <f>VLOOKUP(A788, '[2]fund-selector'!$A$2:$F$853,6,FALSE)</f>
        <v/>
      </c>
      <c r="C788" s="258" t="inlineStr">
        <is>
          <t>--</t>
        </is>
      </c>
      <c r="D788" s="260" t="n">
        <v>2.44</v>
      </c>
      <c r="E788" s="259" t="n">
        <v>0</v>
      </c>
      <c r="F788" s="259" t="n">
        <v>0</v>
      </c>
      <c r="G788" s="260" t="n">
        <v>2.44</v>
      </c>
      <c r="H788" s="259" t="n">
        <v>0</v>
      </c>
      <c r="I788" s="259" t="n">
        <v>0</v>
      </c>
      <c r="J788" s="259" t="n">
        <v>0</v>
      </c>
      <c r="K788" s="259" t="n">
        <v>0</v>
      </c>
      <c r="L788" s="259" t="n">
        <v>0</v>
      </c>
    </row>
    <row r="789" hidden="1">
      <c r="A789" s="259" t="inlineStr">
        <is>
          <t>Union Aggressive Hybrid Fund - Regular Plan</t>
        </is>
      </c>
      <c r="B789" s="261">
        <f>VLOOKUP(A789, '[2]fund-selector'!$A$2:$F$853,6,FALSE)</f>
        <v/>
      </c>
      <c r="C789" s="258" t="n">
        <v>5.6</v>
      </c>
      <c r="D789" s="260" t="n">
        <v>2.37</v>
      </c>
      <c r="E789" s="260" t="n">
        <v>16.71</v>
      </c>
      <c r="F789" s="259" t="n">
        <v>0</v>
      </c>
      <c r="G789" s="260" t="n">
        <v>2.37</v>
      </c>
      <c r="H789" s="260" t="n">
        <v>10.76</v>
      </c>
      <c r="I789" s="260" t="n">
        <v>0.74</v>
      </c>
      <c r="J789" s="260" t="n">
        <v>1.14</v>
      </c>
      <c r="K789" s="260" t="n">
        <v>0.88</v>
      </c>
      <c r="L789" s="260" t="n">
        <v>-0.46</v>
      </c>
    </row>
    <row r="790" hidden="1">
      <c r="A790" s="259" t="inlineStr">
        <is>
          <t>Union Arbitrage Fund - Regular Plan</t>
        </is>
      </c>
      <c r="B790" s="261">
        <f>VLOOKUP(A790, '[2]fund-selector'!$A$2:$F$853,6,FALSE)</f>
        <v/>
      </c>
      <c r="C790" s="258" t="n">
        <v>6.69</v>
      </c>
      <c r="D790" s="260" t="n">
        <v>1.07</v>
      </c>
      <c r="E790" s="260" t="n">
        <v>6.71</v>
      </c>
      <c r="F790" s="260" t="n">
        <v>5.31</v>
      </c>
      <c r="G790" s="260" t="n">
        <v>1.07</v>
      </c>
      <c r="H790" s="260" t="n">
        <v>0.5600000000000001</v>
      </c>
      <c r="I790" s="260" t="n">
        <v>0.23</v>
      </c>
      <c r="J790" s="260" t="n">
        <v>0.27</v>
      </c>
      <c r="K790" s="260" t="n">
        <v>0.51</v>
      </c>
      <c r="L790" s="260" t="n">
        <v>1.1</v>
      </c>
    </row>
    <row r="791" hidden="1">
      <c r="A791" s="259" t="inlineStr">
        <is>
          <t>Union Balanced Advantage Fund - Regular Plan</t>
        </is>
      </c>
      <c r="B791" s="261">
        <f>VLOOKUP(A791, '[2]fund-selector'!$A$2:$F$853,6,FALSE)</f>
        <v/>
      </c>
      <c r="C791" s="258" t="n">
        <v>3.87</v>
      </c>
      <c r="D791" s="260" t="n">
        <v>2.15</v>
      </c>
      <c r="E791" s="260" t="n">
        <v>12.11</v>
      </c>
      <c r="F791" s="260" t="n">
        <v>12.34</v>
      </c>
      <c r="G791" s="260" t="n">
        <v>2.15</v>
      </c>
      <c r="H791" s="260" t="n">
        <v>7.08</v>
      </c>
      <c r="I791" s="260" t="n">
        <v>0.61</v>
      </c>
      <c r="J791" s="260" t="n">
        <v>0.91</v>
      </c>
      <c r="K791" s="260" t="n">
        <v>0.67</v>
      </c>
      <c r="L791" s="260" t="n">
        <v>-0.97</v>
      </c>
    </row>
    <row r="792" hidden="1">
      <c r="A792" s="259" t="inlineStr">
        <is>
          <t>Union Business Cycle Fund - Regular Plan</t>
        </is>
      </c>
      <c r="B792" s="261">
        <f>VLOOKUP(A792, '[2]fund-selector'!$A$2:$F$853,6,FALSE)</f>
        <v/>
      </c>
      <c r="C792" s="258" t="n">
        <v>-2.33</v>
      </c>
      <c r="D792" s="260" t="n">
        <v>2.36</v>
      </c>
      <c r="E792" s="259" t="n">
        <v>0</v>
      </c>
      <c r="F792" s="259" t="n">
        <v>0</v>
      </c>
      <c r="G792" s="260" t="n">
        <v>2.36</v>
      </c>
      <c r="H792" s="259" t="n">
        <v>0</v>
      </c>
      <c r="I792" s="259" t="n">
        <v>0</v>
      </c>
      <c r="J792" s="259" t="n">
        <v>0</v>
      </c>
      <c r="K792" s="259" t="n">
        <v>0</v>
      </c>
      <c r="L792" s="259" t="n">
        <v>0</v>
      </c>
    </row>
    <row r="793" hidden="1">
      <c r="A793" s="259" t="inlineStr">
        <is>
          <t>Union Children's Fund - Regular Plan</t>
        </is>
      </c>
      <c r="B793" s="261">
        <f>VLOOKUP(A793, '[2]fund-selector'!$A$2:$F$853,6,FALSE)</f>
        <v/>
      </c>
      <c r="C793" s="258" t="n">
        <v>6.05</v>
      </c>
      <c r="D793" s="260" t="n">
        <v>2.42</v>
      </c>
      <c r="E793" s="259" t="n">
        <v>0</v>
      </c>
      <c r="F793" s="259" t="n">
        <v>0</v>
      </c>
      <c r="G793" s="260" t="n">
        <v>2.42</v>
      </c>
      <c r="H793" s="259" t="n">
        <v>0</v>
      </c>
      <c r="I793" s="259" t="n">
        <v>0</v>
      </c>
      <c r="J793" s="259" t="n">
        <v>0</v>
      </c>
      <c r="K793" s="259" t="n">
        <v>0</v>
      </c>
      <c r="L793" s="259" t="n">
        <v>0</v>
      </c>
    </row>
    <row r="794" hidden="1">
      <c r="A794" s="259" t="inlineStr">
        <is>
          <t>Union Flexi Cap Fund</t>
        </is>
      </c>
      <c r="B794" s="261">
        <f>VLOOKUP(A794, '[2]fund-selector'!$A$2:$F$853,6,FALSE)</f>
        <v/>
      </c>
      <c r="C794" s="258" t="n">
        <v>3.24</v>
      </c>
      <c r="D794" s="260" t="n">
        <v>2.02</v>
      </c>
      <c r="E794" s="260" t="n">
        <v>20.29</v>
      </c>
      <c r="F794" s="260" t="n">
        <v>22.09</v>
      </c>
      <c r="G794" s="260" t="n">
        <v>2.02</v>
      </c>
      <c r="H794" s="260" t="n">
        <v>13.52</v>
      </c>
      <c r="I794" s="260" t="n">
        <v>0.78</v>
      </c>
      <c r="J794" s="260" t="n">
        <v>1.07</v>
      </c>
      <c r="K794" s="260" t="n">
        <v>0.9</v>
      </c>
      <c r="L794" s="260" t="n">
        <v>0.25</v>
      </c>
    </row>
    <row r="795" hidden="1">
      <c r="A795" s="259" t="inlineStr">
        <is>
          <t>Union Focused Fund - Regular Plan</t>
        </is>
      </c>
      <c r="B795" s="261">
        <f>VLOOKUP(A795, '[2]fund-selector'!$A$2:$F$853,6,FALSE)</f>
        <v/>
      </c>
      <c r="C795" s="258" t="n">
        <v>0.49</v>
      </c>
      <c r="D795" s="260" t="n">
        <v>2.49</v>
      </c>
      <c r="E795" s="260" t="n">
        <v>16.85</v>
      </c>
      <c r="F795" s="260" t="n">
        <v>19.43</v>
      </c>
      <c r="G795" s="260" t="n">
        <v>2.49</v>
      </c>
      <c r="H795" s="260" t="n">
        <v>12.93</v>
      </c>
      <c r="I795" s="260" t="n">
        <v>0.6</v>
      </c>
      <c r="J795" s="260" t="n">
        <v>0.85</v>
      </c>
      <c r="K795" s="260" t="n">
        <v>0.84</v>
      </c>
      <c r="L795" s="260" t="n">
        <v>-1.86</v>
      </c>
    </row>
    <row r="796" hidden="1">
      <c r="A796" s="259" t="inlineStr">
        <is>
          <t>Union Innovation &amp; Opportunities Fund - Regular Plan</t>
        </is>
      </c>
      <c r="B796" s="261">
        <f>VLOOKUP(A796, '[2]fund-selector'!$A$2:$F$853,6,FALSE)</f>
        <v/>
      </c>
      <c r="C796" s="258" t="n">
        <v>5.27</v>
      </c>
      <c r="D796" s="260" t="n">
        <v>2.21</v>
      </c>
      <c r="E796" s="259" t="n">
        <v>0</v>
      </c>
      <c r="F796" s="259" t="n">
        <v>0</v>
      </c>
      <c r="G796" s="260" t="n">
        <v>2.21</v>
      </c>
      <c r="H796" s="259" t="n">
        <v>0</v>
      </c>
      <c r="I796" s="259" t="n">
        <v>0</v>
      </c>
      <c r="J796" s="259" t="n">
        <v>0</v>
      </c>
      <c r="K796" s="259" t="n">
        <v>0</v>
      </c>
      <c r="L796" s="259" t="n">
        <v>0</v>
      </c>
    </row>
    <row r="797" hidden="1">
      <c r="A797" s="259" t="inlineStr">
        <is>
          <t>Union Largecap Fund - Regular Plan</t>
        </is>
      </c>
      <c r="B797" s="261">
        <f>VLOOKUP(A797, '[2]fund-selector'!$A$2:$F$853,6,FALSE)</f>
        <v/>
      </c>
      <c r="C797" s="258" t="n">
        <v>0.09</v>
      </c>
      <c r="D797" s="260" t="n">
        <v>2.49</v>
      </c>
      <c r="E797" s="260" t="n">
        <v>17.44</v>
      </c>
      <c r="F797" s="260" t="n">
        <v>18.78</v>
      </c>
      <c r="G797" s="260" t="n">
        <v>2.49</v>
      </c>
      <c r="H797" s="260" t="n">
        <v>12.93</v>
      </c>
      <c r="I797" s="260" t="n">
        <v>0.62</v>
      </c>
      <c r="J797" s="260" t="n">
        <v>1.08</v>
      </c>
      <c r="K797" s="260" t="n">
        <v>0.92</v>
      </c>
      <c r="L797" s="260" t="n">
        <v>-1.41</v>
      </c>
    </row>
    <row r="798" hidden="1">
      <c r="A798" s="259" t="inlineStr">
        <is>
          <t>Union Large &amp; Midcap Fund - Regular Plan</t>
        </is>
      </c>
      <c r="B798" s="261">
        <f>VLOOKUP(A798, '[2]fund-selector'!$A$2:$F$853,6,FALSE)</f>
        <v/>
      </c>
      <c r="C798" s="258" t="n">
        <v>1.3</v>
      </c>
      <c r="D798" s="260" t="n">
        <v>2.27</v>
      </c>
      <c r="E798" s="260" t="n">
        <v>20.34</v>
      </c>
      <c r="F798" s="260" t="n">
        <v>22.06</v>
      </c>
      <c r="G798" s="260" t="n">
        <v>2.27</v>
      </c>
      <c r="H798" s="260" t="n">
        <v>14.43</v>
      </c>
      <c r="I798" s="260" t="n">
        <v>0.73</v>
      </c>
      <c r="J798" s="260" t="n">
        <v>0.92</v>
      </c>
      <c r="K798" s="260" t="n">
        <v>0.92</v>
      </c>
      <c r="L798" s="260" t="n">
        <v>0.42</v>
      </c>
    </row>
    <row r="799" hidden="1">
      <c r="A799" s="259" t="inlineStr">
        <is>
          <t>Union Midcap Fund - Regular Plan</t>
        </is>
      </c>
      <c r="B799" s="261">
        <f>VLOOKUP(A799, '[2]fund-selector'!$A$2:$F$853,6,FALSE)</f>
        <v/>
      </c>
      <c r="C799" s="258" t="n">
        <v>2.51</v>
      </c>
      <c r="D799" s="260" t="n">
        <v>2.1</v>
      </c>
      <c r="E799" s="260" t="n">
        <v>24.33</v>
      </c>
      <c r="F799" s="260" t="n">
        <v>28.94</v>
      </c>
      <c r="G799" s="260" t="n">
        <v>2.1</v>
      </c>
      <c r="H799" s="260" t="n">
        <v>16.73</v>
      </c>
      <c r="I799" s="260" t="n">
        <v>0.85</v>
      </c>
      <c r="J799" s="260" t="n">
        <v>1.13</v>
      </c>
      <c r="K799" s="260" t="n">
        <v>0.9399999999999999</v>
      </c>
      <c r="L799" s="260" t="n">
        <v>-2.84</v>
      </c>
    </row>
    <row r="800" hidden="1">
      <c r="A800" s="259" t="inlineStr">
        <is>
          <t>Union Multi Asset Allocation Fund - Regular Plan</t>
        </is>
      </c>
      <c r="B800" s="261">
        <f>VLOOKUP(A800, '[2]fund-selector'!$A$2:$F$853,6,FALSE)</f>
        <v/>
      </c>
      <c r="C800" s="258" t="inlineStr">
        <is>
          <t>--</t>
        </is>
      </c>
      <c r="D800" s="260" t="n">
        <v>2.2</v>
      </c>
      <c r="E800" s="259" t="n">
        <v>0</v>
      </c>
      <c r="F800" s="259" t="n">
        <v>0</v>
      </c>
      <c r="G800" s="260" t="n">
        <v>2.2</v>
      </c>
      <c r="H800" s="259" t="n">
        <v>0</v>
      </c>
      <c r="I800" s="259" t="n">
        <v>0</v>
      </c>
      <c r="J800" s="259" t="n">
        <v>0</v>
      </c>
      <c r="K800" s="259" t="n">
        <v>0</v>
      </c>
      <c r="L800" s="259" t="n">
        <v>0</v>
      </c>
    </row>
    <row r="801" hidden="1">
      <c r="A801" s="259" t="inlineStr">
        <is>
          <t>Union Multicap Fund - Regular Plan</t>
        </is>
      </c>
      <c r="B801" s="261">
        <f>VLOOKUP(A801, '[2]fund-selector'!$A$2:$F$853,6,FALSE)</f>
        <v/>
      </c>
      <c r="C801" s="258" t="n">
        <v>2.2</v>
      </c>
      <c r="D801" s="260" t="n">
        <v>2.19</v>
      </c>
      <c r="E801" s="259" t="n">
        <v>0</v>
      </c>
      <c r="F801" s="259" t="n">
        <v>0</v>
      </c>
      <c r="G801" s="260" t="n">
        <v>2.19</v>
      </c>
      <c r="H801" s="259" t="n">
        <v>0</v>
      </c>
      <c r="I801" s="259" t="n">
        <v>0</v>
      </c>
      <c r="J801" s="259" t="n">
        <v>0</v>
      </c>
      <c r="K801" s="259" t="n">
        <v>0</v>
      </c>
      <c r="L801" s="259" t="n">
        <v>0</v>
      </c>
    </row>
    <row r="802" hidden="1">
      <c r="A802" s="259" t="inlineStr">
        <is>
          <t>Union Retirement Fund - Regular Plan</t>
        </is>
      </c>
      <c r="B802" s="261">
        <f>VLOOKUP(A802, '[2]fund-selector'!$A$2:$F$853,6,FALSE)</f>
        <v/>
      </c>
      <c r="C802" s="258" t="n">
        <v>3.73</v>
      </c>
      <c r="D802" s="260" t="n">
        <v>2.37</v>
      </c>
      <c r="E802" s="259" t="n">
        <v>0</v>
      </c>
      <c r="F802" s="259" t="n">
        <v>0</v>
      </c>
      <c r="G802" s="260" t="n">
        <v>2.37</v>
      </c>
      <c r="H802" s="259" t="n">
        <v>0</v>
      </c>
      <c r="I802" s="259" t="n">
        <v>0</v>
      </c>
      <c r="J802" s="259" t="n">
        <v>0</v>
      </c>
      <c r="K802" s="259" t="n">
        <v>0</v>
      </c>
      <c r="L802" s="259" t="n">
        <v>0</v>
      </c>
    </row>
    <row r="803" hidden="1">
      <c r="A803" s="259" t="inlineStr">
        <is>
          <t>Union Small Cap Fund - Regular Plan</t>
        </is>
      </c>
      <c r="B803" s="261">
        <f>VLOOKUP(A803, '[2]fund-selector'!$A$2:$F$853,6,FALSE)</f>
        <v/>
      </c>
      <c r="C803" s="258" t="n">
        <v>0.54</v>
      </c>
      <c r="D803" s="260" t="n">
        <v>2.12</v>
      </c>
      <c r="E803" s="260" t="n">
        <v>22.39</v>
      </c>
      <c r="F803" s="260" t="n">
        <v>30.01</v>
      </c>
      <c r="G803" s="260" t="n">
        <v>2.12</v>
      </c>
      <c r="H803" s="260" t="n">
        <v>18.13</v>
      </c>
      <c r="I803" s="260" t="n">
        <v>0.71</v>
      </c>
      <c r="J803" s="260" t="n">
        <v>0.95</v>
      </c>
      <c r="K803" s="260" t="n">
        <v>0.85</v>
      </c>
      <c r="L803" s="260" t="n">
        <v>-2.53</v>
      </c>
    </row>
    <row r="804" hidden="1">
      <c r="A804" s="259" t="inlineStr">
        <is>
          <t>UTI Aggressive Hybrid Fund - Regular Plan</t>
        </is>
      </c>
      <c r="B804" s="261">
        <f>VLOOKUP(A804, '[2]fund-selector'!$A$2:$F$853,6,FALSE)</f>
        <v/>
      </c>
      <c r="C804" s="258" t="n">
        <v>6.92</v>
      </c>
      <c r="D804" s="260" t="n">
        <v>1.88</v>
      </c>
      <c r="E804" s="260" t="n">
        <v>20.58</v>
      </c>
      <c r="F804" s="260" t="n">
        <v>21.76</v>
      </c>
      <c r="G804" s="260" t="n">
        <v>1.88</v>
      </c>
      <c r="H804" s="260" t="n">
        <v>10.1</v>
      </c>
      <c r="I804" s="260" t="n">
        <v>1.11</v>
      </c>
      <c r="J804" s="260" t="n">
        <v>1.7</v>
      </c>
      <c r="K804" s="260" t="n">
        <v>0.83</v>
      </c>
      <c r="L804" s="260" t="n">
        <v>3.21</v>
      </c>
    </row>
    <row r="805" hidden="1">
      <c r="A805" s="259" t="inlineStr">
        <is>
          <t>UTI Arbitrage Fund - Regular Plan</t>
        </is>
      </c>
      <c r="B805" s="261">
        <f>VLOOKUP(A805, '[2]fund-selector'!$A$2:$F$853,6,FALSE)</f>
        <v/>
      </c>
      <c r="C805" s="258" t="n">
        <v>7.12</v>
      </c>
      <c r="D805" s="260" t="n">
        <v>0.76</v>
      </c>
      <c r="E805" s="260" t="n">
        <v>6.89</v>
      </c>
      <c r="F805" s="260" t="n">
        <v>5.57</v>
      </c>
      <c r="G805" s="260" t="n">
        <v>0.76</v>
      </c>
      <c r="H805" s="260" t="n">
        <v>0.5600000000000001</v>
      </c>
      <c r="I805" s="260" t="n">
        <v>0.5</v>
      </c>
      <c r="J805" s="260" t="n">
        <v>0.54</v>
      </c>
      <c r="K805" s="260" t="n">
        <v>0.66</v>
      </c>
      <c r="L805" s="260" t="n">
        <v>1.54</v>
      </c>
    </row>
    <row r="806" hidden="1">
      <c r="A806" s="259" t="inlineStr">
        <is>
          <t>UTI Balanced Advantage Fund - Regular Plan</t>
        </is>
      </c>
      <c r="B806" s="261">
        <f>VLOOKUP(A806, '[2]fund-selector'!$A$2:$F$853,6,FALSE)</f>
        <v/>
      </c>
      <c r="C806" s="258" t="n">
        <v>8.23</v>
      </c>
      <c r="D806" s="260" t="n">
        <v>1.92</v>
      </c>
      <c r="E806" s="259" t="n">
        <v>0</v>
      </c>
      <c r="F806" s="259" t="n">
        <v>0</v>
      </c>
      <c r="G806" s="260" t="n">
        <v>1.92</v>
      </c>
      <c r="H806" s="259" t="n">
        <v>0</v>
      </c>
      <c r="I806" s="259" t="n">
        <v>0</v>
      </c>
      <c r="J806" s="259" t="n">
        <v>0</v>
      </c>
      <c r="K806" s="259" t="n">
        <v>0</v>
      </c>
      <c r="L806" s="259" t="n">
        <v>0</v>
      </c>
    </row>
    <row r="807" hidden="1">
      <c r="A807" s="259" t="inlineStr">
        <is>
          <t>UTI BSE Housing Index Fund - Regular Plan</t>
        </is>
      </c>
      <c r="B807" s="261">
        <f>VLOOKUP(A807, '[2]fund-selector'!$A$2:$F$853,6,FALSE)</f>
        <v/>
      </c>
      <c r="C807" s="258" t="n">
        <v>-8.18</v>
      </c>
      <c r="D807" s="260" t="n">
        <v>0.98</v>
      </c>
      <c r="E807" s="259" t="n">
        <v>0</v>
      </c>
      <c r="F807" s="259" t="n">
        <v>0</v>
      </c>
      <c r="G807" s="260" t="n">
        <v>0.98</v>
      </c>
      <c r="H807" s="259" t="n">
        <v>0</v>
      </c>
      <c r="I807" s="259" t="n">
        <v>0</v>
      </c>
      <c r="J807" s="259" t="n">
        <v>0</v>
      </c>
      <c r="K807" s="259" t="n">
        <v>0</v>
      </c>
      <c r="L807" s="259" t="n">
        <v>0</v>
      </c>
    </row>
    <row r="808" hidden="1">
      <c r="A808" s="259" t="inlineStr">
        <is>
          <t>UTI BSE Low Volatility Index Fund - Regular Plan</t>
        </is>
      </c>
      <c r="B808" s="261">
        <f>VLOOKUP(A808, '[2]fund-selector'!$A$2:$F$853,6,FALSE)</f>
        <v/>
      </c>
      <c r="C808" s="258" t="n">
        <v>0.36</v>
      </c>
      <c r="D808" s="260" t="n">
        <v>0.91</v>
      </c>
      <c r="E808" s="260" t="n">
        <v>19.57</v>
      </c>
      <c r="F808" s="259" t="n">
        <v>0</v>
      </c>
      <c r="G808" s="260" t="n">
        <v>0.91</v>
      </c>
      <c r="H808" s="260" t="n">
        <v>13.58</v>
      </c>
      <c r="I808" s="260" t="n">
        <v>0.74</v>
      </c>
      <c r="J808" s="260" t="n">
        <v>1.15</v>
      </c>
      <c r="K808" s="260" t="n">
        <v>0.9</v>
      </c>
      <c r="L808" s="260" t="n">
        <v>0.16</v>
      </c>
    </row>
    <row r="809" hidden="1">
      <c r="A809" s="259" t="inlineStr">
        <is>
          <t>UTI BSE Sensex ETF</t>
        </is>
      </c>
      <c r="B809" s="261">
        <f>VLOOKUP(A809, '[2]fund-selector'!$A$2:$F$853,6,FALSE)</f>
        <v/>
      </c>
      <c r="C809" s="258" t="n">
        <v>6.28</v>
      </c>
      <c r="D809" s="260" t="n">
        <v>0.05</v>
      </c>
      <c r="E809" s="260" t="n">
        <v>17.83</v>
      </c>
      <c r="F809" s="260" t="n">
        <v>19.91</v>
      </c>
      <c r="G809" s="260" t="n">
        <v>0.05</v>
      </c>
      <c r="H809" s="260" t="n">
        <v>12.71</v>
      </c>
      <c r="I809" s="260" t="n">
        <v>0.66</v>
      </c>
      <c r="J809" s="260" t="n">
        <v>1.1</v>
      </c>
      <c r="K809" s="260" t="n">
        <v>0.91</v>
      </c>
      <c r="L809" s="260" t="n">
        <v>-0.95</v>
      </c>
    </row>
    <row r="810" hidden="1">
      <c r="A810" s="259" t="inlineStr">
        <is>
          <t>UTI BSE Sensex Index Fund - Regular Plan</t>
        </is>
      </c>
      <c r="B810" s="261">
        <f>VLOOKUP(A810, '[2]fund-selector'!$A$2:$F$853,6,FALSE)</f>
        <v/>
      </c>
      <c r="C810" s="258" t="n">
        <v>5.98</v>
      </c>
      <c r="D810" s="260" t="n">
        <v>0.3</v>
      </c>
      <c r="E810" s="260" t="n">
        <v>17.46</v>
      </c>
      <c r="F810" s="259" t="n">
        <v>0</v>
      </c>
      <c r="G810" s="260" t="n">
        <v>0.3</v>
      </c>
      <c r="H810" s="260" t="n">
        <v>12.71</v>
      </c>
      <c r="I810" s="260" t="n">
        <v>0.64</v>
      </c>
      <c r="J810" s="260" t="n">
        <v>1.06</v>
      </c>
      <c r="K810" s="260" t="n">
        <v>0.91</v>
      </c>
      <c r="L810" s="260" t="n">
        <v>-1.27</v>
      </c>
    </row>
    <row r="811" hidden="1">
      <c r="A811" s="259" t="inlineStr">
        <is>
          <t>UTI BSE Sensex Next 50 ETF</t>
        </is>
      </c>
      <c r="B811" s="261">
        <f>VLOOKUP(A811, '[2]fund-selector'!$A$2:$F$853,6,FALSE)</f>
        <v/>
      </c>
      <c r="C811" s="258" t="n">
        <v>1.17</v>
      </c>
      <c r="D811" s="260" t="n">
        <v>0.21</v>
      </c>
      <c r="E811" s="260" t="n">
        <v>26.02</v>
      </c>
      <c r="F811" s="260" t="n">
        <v>25.73</v>
      </c>
      <c r="G811" s="260" t="n">
        <v>0.21</v>
      </c>
      <c r="H811" s="260" t="n">
        <v>17.76</v>
      </c>
      <c r="I811" s="260" t="n">
        <v>0.89</v>
      </c>
      <c r="J811" s="260" t="n">
        <v>1.3</v>
      </c>
      <c r="K811" s="260" t="n">
        <v>1.22</v>
      </c>
      <c r="L811" s="260" t="n">
        <v>3.36</v>
      </c>
    </row>
    <row r="812" hidden="1">
      <c r="A812" s="259" t="inlineStr">
        <is>
          <t>UTI Children's Equity Fund - Regular Plan</t>
        </is>
      </c>
      <c r="B812" s="261">
        <f>VLOOKUP(A812, '[2]fund-selector'!$A$2:$F$853,6,FALSE)</f>
        <v/>
      </c>
      <c r="C812" s="258" t="n">
        <v>1.38</v>
      </c>
      <c r="D812" s="260" t="n">
        <v>2.25</v>
      </c>
      <c r="E812" s="260" t="n">
        <v>18.31</v>
      </c>
      <c r="F812" s="260" t="n">
        <v>19.9</v>
      </c>
      <c r="G812" s="260" t="n">
        <v>2.25</v>
      </c>
      <c r="H812" s="260" t="n">
        <v>14.08</v>
      </c>
      <c r="I812" s="260" t="n">
        <v>0.61</v>
      </c>
      <c r="J812" s="260" t="n">
        <v>0.99</v>
      </c>
      <c r="K812" s="260" t="n">
        <v>0.93</v>
      </c>
      <c r="L812" s="260" t="n">
        <v>-2.16</v>
      </c>
    </row>
    <row r="813" hidden="1">
      <c r="A813" s="259" t="inlineStr">
        <is>
          <t>UTI Children's Hybrid Fund - Regular Plan</t>
        </is>
      </c>
      <c r="B813" s="261">
        <f>VLOOKUP(A813, '[2]fund-selector'!$A$2:$F$853,6,FALSE)</f>
        <v/>
      </c>
      <c r="C813" s="258" t="n">
        <v>6.21</v>
      </c>
      <c r="D813" s="260" t="n">
        <v>1.73</v>
      </c>
      <c r="E813" s="260" t="n">
        <v>12.14</v>
      </c>
      <c r="F813" s="260" t="n">
        <v>12.49</v>
      </c>
      <c r="G813" s="260" t="n">
        <v>1.73</v>
      </c>
      <c r="H813" s="260" t="n">
        <v>6.22</v>
      </c>
      <c r="I813" s="260" t="n">
        <v>0.7</v>
      </c>
      <c r="J813" s="260" t="n">
        <v>1.09</v>
      </c>
      <c r="K813" s="260" t="n">
        <v>0.62</v>
      </c>
      <c r="L813" s="260" t="n">
        <v>-0.61</v>
      </c>
    </row>
    <row r="814" hidden="1">
      <c r="A814" s="259" t="inlineStr">
        <is>
          <t>UTI Conservative Hybrid Fund - Regular Plan</t>
        </is>
      </c>
      <c r="B814" s="261">
        <f>VLOOKUP(A814, '[2]fund-selector'!$A$2:$F$853,6,FALSE)</f>
        <v/>
      </c>
      <c r="C814" s="258" t="n">
        <v>8.26</v>
      </c>
      <c r="D814" s="260" t="n">
        <v>1.82</v>
      </c>
      <c r="E814" s="260" t="n">
        <v>11.58</v>
      </c>
      <c r="F814" s="260" t="n">
        <v>11.74</v>
      </c>
      <c r="G814" s="260" t="n">
        <v>1.82</v>
      </c>
      <c r="H814" s="260" t="n">
        <v>4.12</v>
      </c>
      <c r="I814" s="260" t="n">
        <v>1</v>
      </c>
      <c r="J814" s="260" t="n">
        <v>1.65</v>
      </c>
      <c r="K814" s="260" t="n">
        <v>1.01</v>
      </c>
      <c r="L814" s="260" t="n">
        <v>0.44</v>
      </c>
    </row>
    <row r="815" hidden="1">
      <c r="A815" s="259" t="inlineStr">
        <is>
          <t>UTI Flexi Cap Fund - Regular Plan</t>
        </is>
      </c>
      <c r="B815" s="261">
        <f>VLOOKUP(A815, '[2]fund-selector'!$A$2:$F$853,6,FALSE)</f>
        <v/>
      </c>
      <c r="C815" s="258" t="n">
        <v>7.63</v>
      </c>
      <c r="D815" s="260" t="n">
        <v>1.66</v>
      </c>
      <c r="E815" s="260" t="n">
        <v>15.63</v>
      </c>
      <c r="F815" s="260" t="n">
        <v>18.85</v>
      </c>
      <c r="G815" s="260" t="n">
        <v>1.66</v>
      </c>
      <c r="H815" s="260" t="n">
        <v>13.97</v>
      </c>
      <c r="I815" s="260" t="n">
        <v>0.44</v>
      </c>
      <c r="J815" s="260" t="n">
        <v>0.71</v>
      </c>
      <c r="K815" s="260" t="n">
        <v>0.88</v>
      </c>
      <c r="L815" s="260" t="n">
        <v>-3.97</v>
      </c>
    </row>
    <row r="816" hidden="1">
      <c r="A816" s="259" t="inlineStr">
        <is>
          <t>UTI Focused Fund - Regular Plan</t>
        </is>
      </c>
      <c r="B816" s="261">
        <f>VLOOKUP(A816, '[2]fund-selector'!$A$2:$F$853,6,FALSE)</f>
        <v/>
      </c>
      <c r="C816" s="258" t="n">
        <v>1.4</v>
      </c>
      <c r="D816" s="260" t="n">
        <v>1.96</v>
      </c>
      <c r="E816" s="260" t="n">
        <v>20.55</v>
      </c>
      <c r="F816" s="259" t="n">
        <v>0</v>
      </c>
      <c r="G816" s="260" t="n">
        <v>1.96</v>
      </c>
      <c r="H816" s="260" t="n">
        <v>14.3</v>
      </c>
      <c r="I816" s="260" t="n">
        <v>0.73</v>
      </c>
      <c r="J816" s="260" t="n">
        <v>1.17</v>
      </c>
      <c r="K816" s="260" t="n">
        <v>0.93</v>
      </c>
      <c r="L816" s="260" t="n">
        <v>-0.29</v>
      </c>
    </row>
    <row r="817" hidden="1">
      <c r="A817" s="259" t="inlineStr">
        <is>
          <t>UTI Innovation Fund - Regular Plan</t>
        </is>
      </c>
      <c r="B817" s="261">
        <f>VLOOKUP(A817, '[2]fund-selector'!$A$2:$F$853,6,FALSE)</f>
        <v/>
      </c>
      <c r="C817" s="258" t="n">
        <v>1.11</v>
      </c>
      <c r="D817" s="260" t="n">
        <v>2.29</v>
      </c>
      <c r="E817" s="259" t="n">
        <v>0</v>
      </c>
      <c r="F817" s="259" t="n">
        <v>0</v>
      </c>
      <c r="G817" s="260" t="n">
        <v>2.29</v>
      </c>
      <c r="H817" s="259" t="n">
        <v>0</v>
      </c>
      <c r="I817" s="259" t="n">
        <v>0</v>
      </c>
      <c r="J817" s="259" t="n">
        <v>0</v>
      </c>
      <c r="K817" s="259" t="n">
        <v>0</v>
      </c>
      <c r="L817" s="259" t="n">
        <v>0</v>
      </c>
    </row>
    <row r="818" hidden="1">
      <c r="A818" s="259" t="inlineStr">
        <is>
          <t>UTI Large Cap Fund - Regular Plan</t>
        </is>
      </c>
      <c r="B818" s="261">
        <f>VLOOKUP(A818, '[2]fund-selector'!$A$2:$F$853,6,FALSE)</f>
        <v/>
      </c>
      <c r="C818" s="258" t="n">
        <v>4.4</v>
      </c>
      <c r="D818" s="260" t="n">
        <v>1.75</v>
      </c>
      <c r="E818" s="260" t="n">
        <v>17.43</v>
      </c>
      <c r="F818" s="260" t="n">
        <v>19.29</v>
      </c>
      <c r="G818" s="260" t="n">
        <v>1.75</v>
      </c>
      <c r="H818" s="260" t="n">
        <v>12.76</v>
      </c>
      <c r="I818" s="260" t="n">
        <v>0.6</v>
      </c>
      <c r="J818" s="260" t="n">
        <v>0.97</v>
      </c>
      <c r="K818" s="260" t="n">
        <v>0.91</v>
      </c>
      <c r="L818" s="260" t="n">
        <v>-1.71</v>
      </c>
    </row>
    <row r="819" hidden="1">
      <c r="A819" s="259" t="inlineStr">
        <is>
          <t>UTI Large &amp; Mid Cap Fund - Regular Plan</t>
        </is>
      </c>
      <c r="B819" s="261">
        <f>VLOOKUP(A819, '[2]fund-selector'!$A$2:$F$853,6,FALSE)</f>
        <v/>
      </c>
      <c r="C819" s="258" t="n">
        <v>6.5</v>
      </c>
      <c r="D819" s="260" t="n">
        <v>1.93</v>
      </c>
      <c r="E819" s="260" t="n">
        <v>26.81</v>
      </c>
      <c r="F819" s="260" t="n">
        <v>27.74</v>
      </c>
      <c r="G819" s="260" t="n">
        <v>1.93</v>
      </c>
      <c r="H819" s="260" t="n">
        <v>14.07</v>
      </c>
      <c r="I819" s="260" t="n">
        <v>1.15</v>
      </c>
      <c r="J819" s="260" t="n">
        <v>1.75</v>
      </c>
      <c r="K819" s="260" t="n">
        <v>0.95</v>
      </c>
      <c r="L819" s="260" t="n">
        <v>5.69</v>
      </c>
    </row>
    <row r="820" hidden="1">
      <c r="A820" s="259" t="inlineStr">
        <is>
          <t>UTI Mid Cap Fund - Regular Plan</t>
        </is>
      </c>
      <c r="B820" s="261">
        <f>VLOOKUP(A820, '[2]fund-selector'!$A$2:$F$853,6,FALSE)</f>
        <v/>
      </c>
      <c r="C820" s="258" t="n">
        <v>0.45</v>
      </c>
      <c r="D820" s="260" t="n">
        <v>1.76</v>
      </c>
      <c r="E820" s="260" t="n">
        <v>23</v>
      </c>
      <c r="F820" s="260" t="n">
        <v>26.44</v>
      </c>
      <c r="G820" s="260" t="n">
        <v>1.76</v>
      </c>
      <c r="H820" s="260" t="n">
        <v>16.37</v>
      </c>
      <c r="I820" s="260" t="n">
        <v>0.8100000000000001</v>
      </c>
      <c r="J820" s="260" t="n">
        <v>1.16</v>
      </c>
      <c r="K820" s="260" t="n">
        <v>0.9399999999999999</v>
      </c>
      <c r="L820" s="260" t="n">
        <v>-3.74</v>
      </c>
    </row>
    <row r="821" hidden="1">
      <c r="A821" s="259" t="inlineStr">
        <is>
          <t>UTI Multi Asset Allocation Fund - Regular Plan</t>
        </is>
      </c>
      <c r="B821" s="261">
        <f>VLOOKUP(A821, '[2]fund-selector'!$A$2:$F$853,6,FALSE)</f>
        <v/>
      </c>
      <c r="C821" s="258" t="n">
        <v>6.98</v>
      </c>
      <c r="D821" s="260" t="n">
        <v>1.74</v>
      </c>
      <c r="E821" s="260" t="n">
        <v>22.37</v>
      </c>
      <c r="F821" s="260" t="n">
        <v>17.21</v>
      </c>
      <c r="G821" s="260" t="n">
        <v>1.74</v>
      </c>
      <c r="H821" s="260" t="n">
        <v>8.949999999999999</v>
      </c>
      <c r="I821" s="260" t="n">
        <v>1.41</v>
      </c>
      <c r="J821" s="260" t="n">
        <v>2.02</v>
      </c>
      <c r="K821" s="260" t="n">
        <v>0.86</v>
      </c>
      <c r="L821" s="260" t="n">
        <v>4.95</v>
      </c>
    </row>
    <row r="822">
      <c r="A822" s="296" t="inlineStr">
        <is>
          <t>UTI Multi Cap Fund - Regular Plan</t>
        </is>
      </c>
      <c r="B822" s="261">
        <f>VLOOKUP(A822, '[2]fund-selector'!$A$2:$F$853,6,FALSE)</f>
        <v/>
      </c>
      <c r="C822" s="258" t="inlineStr">
        <is>
          <t>--</t>
        </is>
      </c>
      <c r="D822" s="260" t="n">
        <v>2.16</v>
      </c>
      <c r="E822" s="259" t="n">
        <v>0</v>
      </c>
      <c r="F822" s="259" t="n">
        <v>0</v>
      </c>
      <c r="G822" s="260" t="n">
        <v>2.16</v>
      </c>
      <c r="H822" s="259" t="n">
        <v>0</v>
      </c>
      <c r="I822" s="259" t="n">
        <v>0</v>
      </c>
      <c r="J822" s="259" t="n">
        <v>0</v>
      </c>
      <c r="K822" s="259" t="n">
        <v>0</v>
      </c>
      <c r="L822" s="259" t="n">
        <v>0</v>
      </c>
    </row>
    <row r="823" hidden="1">
      <c r="A823" s="259" t="inlineStr">
        <is>
          <t>UTI Nifty200 Momentum 30 Index Fund - Regular Plan</t>
        </is>
      </c>
      <c r="B823" s="261">
        <f>VLOOKUP(A823, '[2]fund-selector'!$A$2:$F$853,6,FALSE)</f>
        <v/>
      </c>
      <c r="C823" s="258" t="n">
        <v>-12.85</v>
      </c>
      <c r="D823" s="260" t="n">
        <v>0.92</v>
      </c>
      <c r="E823" s="260" t="n">
        <v>24.46</v>
      </c>
      <c r="F823" s="259" t="n">
        <v>0</v>
      </c>
      <c r="G823" s="260" t="n">
        <v>0.92</v>
      </c>
      <c r="H823" s="260" t="n">
        <v>19.28</v>
      </c>
      <c r="I823" s="260" t="n">
        <v>0.7</v>
      </c>
      <c r="J823" s="260" t="n">
        <v>1.01</v>
      </c>
      <c r="K823" s="260" t="n">
        <v>1.23</v>
      </c>
      <c r="L823" s="260" t="n">
        <v>0.09</v>
      </c>
    </row>
    <row r="824" hidden="1">
      <c r="A824" s="259" t="inlineStr">
        <is>
          <t>UTI Nifty200 Quality 30 Index Fund - Regular Plan</t>
        </is>
      </c>
      <c r="B824" s="261">
        <f>VLOOKUP(A824, '[2]fund-selector'!$A$2:$F$853,6,FALSE)</f>
        <v/>
      </c>
      <c r="C824" s="258" t="inlineStr">
        <is>
          <t>--</t>
        </is>
      </c>
      <c r="D824" s="260" t="n">
        <v>1.05</v>
      </c>
      <c r="E824" s="259" t="n">
        <v>0</v>
      </c>
      <c r="F824" s="259" t="n">
        <v>0</v>
      </c>
      <c r="G824" s="260" t="n">
        <v>1.05</v>
      </c>
      <c r="H824" s="259" t="n">
        <v>0</v>
      </c>
      <c r="I824" s="259" t="n">
        <v>0</v>
      </c>
      <c r="J824" s="259" t="n">
        <v>0</v>
      </c>
      <c r="K824" s="259" t="n">
        <v>0</v>
      </c>
      <c r="L824" s="259" t="n">
        <v>0</v>
      </c>
    </row>
    <row r="825" hidden="1">
      <c r="A825" s="259" t="inlineStr">
        <is>
          <t>UTI NIFTY50 Equal Weight Index Fund - Regular Plan</t>
        </is>
      </c>
      <c r="B825" s="261">
        <f>VLOOKUP(A825, '[2]fund-selector'!$A$2:$F$853,6,FALSE)</f>
        <v/>
      </c>
      <c r="C825" s="258" t="n">
        <v>3.88</v>
      </c>
      <c r="D825" s="260" t="n">
        <v>1.03</v>
      </c>
      <c r="E825" s="259" t="n">
        <v>0</v>
      </c>
      <c r="F825" s="259" t="n">
        <v>0</v>
      </c>
      <c r="G825" s="260" t="n">
        <v>1.03</v>
      </c>
      <c r="H825" s="259" t="n">
        <v>0</v>
      </c>
      <c r="I825" s="259" t="n">
        <v>0</v>
      </c>
      <c r="J825" s="259" t="n">
        <v>0</v>
      </c>
      <c r="K825" s="259" t="n">
        <v>0</v>
      </c>
      <c r="L825" s="259" t="n">
        <v>0</v>
      </c>
    </row>
    <row r="826" hidden="1">
      <c r="A826" s="259" t="inlineStr">
        <is>
          <t>UTI Nifty 50 ETF</t>
        </is>
      </c>
      <c r="B826" s="261">
        <f>VLOOKUP(A826, '[2]fund-selector'!$A$2:$F$853,6,FALSE)</f>
        <v/>
      </c>
      <c r="C826" s="258" t="n">
        <v>6.49</v>
      </c>
      <c r="D826" s="260" t="n">
        <v>0.05</v>
      </c>
      <c r="E826" s="260" t="n">
        <v>18.65</v>
      </c>
      <c r="F826" s="260" t="n">
        <v>20.64</v>
      </c>
      <c r="G826" s="260" t="n">
        <v>0.05</v>
      </c>
      <c r="H826" s="260" t="n">
        <v>13.13</v>
      </c>
      <c r="I826" s="260" t="n">
        <v>0.6899999999999999</v>
      </c>
      <c r="J826" s="260" t="n">
        <v>1.17</v>
      </c>
      <c r="K826" s="260" t="n">
        <v>0.95</v>
      </c>
      <c r="L826" s="260" t="n">
        <v>-0.73</v>
      </c>
    </row>
    <row r="827" hidden="1">
      <c r="A827" s="259" t="inlineStr">
        <is>
          <t>UTI Nifty 50 Index Fund - Regular Plan</t>
        </is>
      </c>
      <c r="B827" s="261">
        <f>VLOOKUP(A827, '[2]fund-selector'!$A$2:$F$853,6,FALSE)</f>
        <v/>
      </c>
      <c r="C827" s="258" t="n">
        <v>6.23</v>
      </c>
      <c r="D827" s="260" t="n">
        <v>0.27</v>
      </c>
      <c r="E827" s="260" t="n">
        <v>18.31</v>
      </c>
      <c r="F827" s="260" t="n">
        <v>20.33</v>
      </c>
      <c r="G827" s="260" t="n">
        <v>0.27</v>
      </c>
      <c r="H827" s="260" t="n">
        <v>13.13</v>
      </c>
      <c r="I827" s="260" t="n">
        <v>0.67</v>
      </c>
      <c r="J827" s="260" t="n">
        <v>1.14</v>
      </c>
      <c r="K827" s="260" t="n">
        <v>0.95</v>
      </c>
      <c r="L827" s="260" t="n">
        <v>-1.02</v>
      </c>
    </row>
    <row r="828" hidden="1">
      <c r="A828" s="259" t="inlineStr">
        <is>
          <t>UTI Nifty Alpha Low-Volatility 30 Index Fund - Regular Plan</t>
        </is>
      </c>
      <c r="B828" s="261">
        <f>VLOOKUP(A828, '[2]fund-selector'!$A$2:$F$853,6,FALSE)</f>
        <v/>
      </c>
      <c r="C828" s="258" t="inlineStr">
        <is>
          <t>--</t>
        </is>
      </c>
      <c r="D828" s="260" t="n">
        <v>1.03</v>
      </c>
      <c r="E828" s="259" t="n">
        <v>0</v>
      </c>
      <c r="F828" s="259" t="n">
        <v>0</v>
      </c>
      <c r="G828" s="260" t="n">
        <v>1.03</v>
      </c>
      <c r="H828" s="259" t="n">
        <v>0</v>
      </c>
      <c r="I828" s="259" t="n">
        <v>0</v>
      </c>
      <c r="J828" s="259" t="n">
        <v>0</v>
      </c>
      <c r="K828" s="259" t="n">
        <v>0</v>
      </c>
      <c r="L828" s="259" t="n">
        <v>0</v>
      </c>
    </row>
    <row r="829" hidden="1">
      <c r="A829" s="259" t="inlineStr">
        <is>
          <t>UTI Nifty India Manufacturing Index Fund - Regular Plan</t>
        </is>
      </c>
      <c r="B829" s="261">
        <f>VLOOKUP(A829, '[2]fund-selector'!$A$2:$F$853,6,FALSE)</f>
        <v/>
      </c>
      <c r="C829" s="258" t="inlineStr">
        <is>
          <t>--</t>
        </is>
      </c>
      <c r="D829" s="260" t="n">
        <v>1.04</v>
      </c>
      <c r="E829" s="259" t="n">
        <v>0</v>
      </c>
      <c r="F829" s="259" t="n">
        <v>0</v>
      </c>
      <c r="G829" s="260" t="n">
        <v>1.04</v>
      </c>
      <c r="H829" s="259" t="n">
        <v>0</v>
      </c>
      <c r="I829" s="259" t="n">
        <v>0</v>
      </c>
      <c r="J829" s="259" t="n">
        <v>0</v>
      </c>
      <c r="K829" s="259" t="n">
        <v>0</v>
      </c>
      <c r="L829" s="259" t="n">
        <v>0</v>
      </c>
    </row>
    <row r="830" hidden="1">
      <c r="A830" s="259" t="inlineStr">
        <is>
          <t>UTI Nifty Midcap 150 ETF</t>
        </is>
      </c>
      <c r="B830" s="261">
        <f>VLOOKUP(A830, '[2]fund-selector'!$A$2:$F$853,6,FALSE)</f>
        <v/>
      </c>
      <c r="C830" s="258" t="n">
        <v>2.46</v>
      </c>
      <c r="D830" s="260" t="n">
        <v>0.25</v>
      </c>
      <c r="E830" s="259" t="n">
        <v>0</v>
      </c>
      <c r="F830" s="259" t="n">
        <v>0</v>
      </c>
      <c r="G830" s="260" t="n">
        <v>0.25</v>
      </c>
      <c r="H830" s="259" t="n">
        <v>0</v>
      </c>
      <c r="I830" s="259" t="n">
        <v>0</v>
      </c>
      <c r="J830" s="259" t="n">
        <v>0</v>
      </c>
      <c r="K830" s="259" t="n">
        <v>0</v>
      </c>
      <c r="L830" s="259" t="n">
        <v>0</v>
      </c>
    </row>
    <row r="831" hidden="1">
      <c r="A831" s="259" t="inlineStr">
        <is>
          <t>UTI Nifty Midcap 150 Index Fund - Regular Plan</t>
        </is>
      </c>
      <c r="B831" s="261">
        <f>VLOOKUP(A831, '[2]fund-selector'!$A$2:$F$853,6,FALSE)</f>
        <v/>
      </c>
      <c r="C831" s="258" t="inlineStr">
        <is>
          <t>--</t>
        </is>
      </c>
      <c r="D831" s="260" t="n">
        <v>1.04</v>
      </c>
      <c r="E831" s="259" t="n">
        <v>0</v>
      </c>
      <c r="F831" s="259" t="n">
        <v>0</v>
      </c>
      <c r="G831" s="260" t="n">
        <v>1.04</v>
      </c>
      <c r="H831" s="259" t="n">
        <v>0</v>
      </c>
      <c r="I831" s="259" t="n">
        <v>0</v>
      </c>
      <c r="J831" s="259" t="n">
        <v>0</v>
      </c>
      <c r="K831" s="259" t="n">
        <v>0</v>
      </c>
      <c r="L831" s="259" t="n">
        <v>0</v>
      </c>
    </row>
    <row r="832" hidden="1">
      <c r="A832" s="259" t="inlineStr">
        <is>
          <t>UTI Nifty Midcap 150 Quality 50 Index Fund - Regular Plan</t>
        </is>
      </c>
      <c r="B832" s="261">
        <f>VLOOKUP(A832, '[2]fund-selector'!$A$2:$F$853,6,FALSE)</f>
        <v/>
      </c>
      <c r="C832" s="258" t="n">
        <v>-0.28</v>
      </c>
      <c r="D832" s="260" t="n">
        <v>0.88</v>
      </c>
      <c r="E832" s="260" t="n">
        <v>18.02</v>
      </c>
      <c r="F832" s="259" t="n">
        <v>0</v>
      </c>
      <c r="G832" s="260" t="n">
        <v>0.88</v>
      </c>
      <c r="H832" s="260" t="n">
        <v>15.58</v>
      </c>
      <c r="I832" s="260" t="n">
        <v>0.62</v>
      </c>
      <c r="J832" s="260" t="n">
        <v>0.96</v>
      </c>
      <c r="K832" s="260" t="n">
        <v>0.87</v>
      </c>
      <c r="L832" s="260" t="n">
        <v>-6.23</v>
      </c>
    </row>
    <row r="833" hidden="1">
      <c r="A833" s="259" t="inlineStr">
        <is>
          <t>UTI Nifty Midsmallcap 400 Momentum Quality 100 Index Fund - Regular Plan</t>
        </is>
      </c>
      <c r="B833" s="261">
        <f>VLOOKUP(A833, '[2]fund-selector'!$A$2:$F$853,6,FALSE)</f>
        <v/>
      </c>
      <c r="C833" s="258" t="inlineStr">
        <is>
          <t>--</t>
        </is>
      </c>
      <c r="D833" s="260" t="n">
        <v>1.03</v>
      </c>
      <c r="E833" s="259" t="n">
        <v>0</v>
      </c>
      <c r="F833" s="259" t="n">
        <v>0</v>
      </c>
      <c r="G833" s="260" t="n">
        <v>1.03</v>
      </c>
      <c r="H833" s="259" t="n">
        <v>0</v>
      </c>
      <c r="I833" s="259" t="n">
        <v>0</v>
      </c>
      <c r="J833" s="259" t="n">
        <v>0</v>
      </c>
      <c r="K833" s="259" t="n">
        <v>0</v>
      </c>
      <c r="L833" s="259" t="n">
        <v>0</v>
      </c>
    </row>
    <row r="834" hidden="1">
      <c r="A834" s="259" t="inlineStr">
        <is>
          <t>UTI Nifty Next 50 Exchange Traded Fund</t>
        </is>
      </c>
      <c r="B834" s="261">
        <f>VLOOKUP(A834, '[2]fund-selector'!$A$2:$F$853,6,FALSE)</f>
        <v/>
      </c>
      <c r="C834" s="258" t="n">
        <v>-7.28</v>
      </c>
      <c r="D834" s="260" t="n">
        <v>0.15</v>
      </c>
      <c r="E834" s="260" t="n">
        <v>23.32</v>
      </c>
      <c r="F834" s="260" t="n">
        <v>21.93</v>
      </c>
      <c r="G834" s="260" t="n">
        <v>0.15</v>
      </c>
      <c r="H834" s="260" t="n">
        <v>19.55</v>
      </c>
      <c r="I834" s="260" t="n">
        <v>0.73</v>
      </c>
      <c r="J834" s="260" t="n">
        <v>1.08</v>
      </c>
      <c r="K834" s="260" t="n">
        <v>1.3</v>
      </c>
      <c r="L834" s="260" t="n">
        <v>0.85</v>
      </c>
    </row>
    <row r="835" hidden="1">
      <c r="A835" s="259" t="inlineStr">
        <is>
          <t>UTI Nifty Next 50 Index Fund - Regular Plan</t>
        </is>
      </c>
      <c r="B835" s="261">
        <f>VLOOKUP(A835, '[2]fund-selector'!$A$2:$F$853,6,FALSE)</f>
        <v/>
      </c>
      <c r="C835" s="258" t="n">
        <v>-7.97</v>
      </c>
      <c r="D835" s="260" t="n">
        <v>0.79</v>
      </c>
      <c r="E835" s="260" t="n">
        <v>22.45</v>
      </c>
      <c r="F835" s="260" t="n">
        <v>21.03</v>
      </c>
      <c r="G835" s="260" t="n">
        <v>0.79</v>
      </c>
      <c r="H835" s="260" t="n">
        <v>19.53</v>
      </c>
      <c r="I835" s="260" t="n">
        <v>0.6899999999999999</v>
      </c>
      <c r="J835" s="260" t="n">
        <v>1.03</v>
      </c>
      <c r="K835" s="260" t="n">
        <v>1.3</v>
      </c>
      <c r="L835" s="260" t="n">
        <v>0.16</v>
      </c>
    </row>
    <row r="836" hidden="1">
      <c r="A836" s="259" t="inlineStr">
        <is>
          <t>UTI Quant Fund - Regular Plan</t>
        </is>
      </c>
      <c r="B836" s="261">
        <f>VLOOKUP(A836, '[2]fund-selector'!$A$2:$F$853,6,FALSE)</f>
        <v/>
      </c>
      <c r="C836" s="258" t="inlineStr">
        <is>
          <t>--</t>
        </is>
      </c>
      <c r="D836" s="260" t="n">
        <v>2.02</v>
      </c>
      <c r="E836" s="259" t="n">
        <v>0</v>
      </c>
      <c r="F836" s="259" t="n">
        <v>0</v>
      </c>
      <c r="G836" s="260" t="n">
        <v>2.02</v>
      </c>
      <c r="H836" s="259" t="n">
        <v>0</v>
      </c>
      <c r="I836" s="259" t="n">
        <v>0</v>
      </c>
      <c r="J836" s="259" t="n">
        <v>0</v>
      </c>
      <c r="K836" s="259" t="n">
        <v>0</v>
      </c>
      <c r="L836" s="259" t="n">
        <v>0</v>
      </c>
    </row>
    <row r="837" hidden="1">
      <c r="A837" s="259" t="inlineStr">
        <is>
          <t>UTI Retirement Fund - Regular Plan</t>
        </is>
      </c>
      <c r="B837" s="261">
        <f>VLOOKUP(A837, '[2]fund-selector'!$A$2:$F$853,6,FALSE)</f>
        <v/>
      </c>
      <c r="C837" s="258" t="n">
        <v>7.9</v>
      </c>
      <c r="D837" s="260" t="n">
        <v>1.66</v>
      </c>
      <c r="E837" s="260" t="n">
        <v>14.6</v>
      </c>
      <c r="F837" s="260" t="n">
        <v>14.75</v>
      </c>
      <c r="G837" s="260" t="n">
        <v>1.66</v>
      </c>
      <c r="H837" s="260" t="n">
        <v>5.96</v>
      </c>
      <c r="I837" s="260" t="n">
        <v>1.12</v>
      </c>
      <c r="J837" s="260" t="n">
        <v>1.73</v>
      </c>
      <c r="K837" s="260" t="n">
        <v>0.6</v>
      </c>
      <c r="L837" s="260" t="n">
        <v>1.89</v>
      </c>
    </row>
    <row r="838" hidden="1">
      <c r="A838" s="259" t="inlineStr">
        <is>
          <t>UTI Small Cap Fund - Regular Plan</t>
        </is>
      </c>
      <c r="B838" s="261">
        <f>VLOOKUP(A838, '[2]fund-selector'!$A$2:$F$853,6,FALSE)</f>
        <v/>
      </c>
      <c r="C838" s="258" t="n">
        <v>6.7</v>
      </c>
      <c r="D838" s="260" t="n">
        <v>1.86</v>
      </c>
      <c r="E838" s="260" t="n">
        <v>24.35</v>
      </c>
      <c r="F838" s="259" t="n">
        <v>0</v>
      </c>
      <c r="G838" s="260" t="n">
        <v>1.86</v>
      </c>
      <c r="H838" s="260" t="n">
        <v>17.13</v>
      </c>
      <c r="I838" s="260" t="n">
        <v>0.82</v>
      </c>
      <c r="J838" s="260" t="n">
        <v>1.14</v>
      </c>
      <c r="K838" s="260" t="n">
        <v>0.83</v>
      </c>
      <c r="L838" s="260" t="n">
        <v>-1.03</v>
      </c>
    </row>
    <row r="839" hidden="1">
      <c r="A839" s="259" t="inlineStr">
        <is>
          <t>UTI Transportation and Logistics Fund - Regular Plan</t>
        </is>
      </c>
      <c r="B839" s="261">
        <f>VLOOKUP(A839, '[2]fund-selector'!$A$2:$F$853,6,FALSE)</f>
        <v/>
      </c>
      <c r="C839" s="258" t="n">
        <v>-6.15</v>
      </c>
      <c r="D839" s="260" t="n">
        <v>1.94</v>
      </c>
      <c r="E839" s="260" t="n">
        <v>25.87</v>
      </c>
      <c r="F839" s="260" t="n">
        <v>27.36</v>
      </c>
      <c r="G839" s="260" t="n">
        <v>1.94</v>
      </c>
      <c r="H839" s="260" t="n">
        <v>16.44</v>
      </c>
      <c r="I839" s="260" t="n">
        <v>0.95</v>
      </c>
      <c r="J839" s="260" t="n">
        <v>1.35</v>
      </c>
      <c r="K839" s="260" t="n">
        <v>0.98</v>
      </c>
      <c r="L839" s="260" t="n">
        <v>4.35</v>
      </c>
    </row>
    <row r="840" hidden="1">
      <c r="A840" s="259" t="inlineStr">
        <is>
          <t>UTI Unit Linked Insurance Plan</t>
        </is>
      </c>
      <c r="B840" s="261">
        <f>VLOOKUP(A840, '[2]fund-selector'!$A$2:$F$853,6,FALSE)</f>
        <v/>
      </c>
      <c r="C840" s="258" t="n">
        <v>9.52</v>
      </c>
      <c r="D840" s="260" t="n">
        <v>1.64</v>
      </c>
      <c r="E840" s="260" t="n">
        <v>11.29</v>
      </c>
      <c r="F840" s="260" t="n">
        <v>11.66</v>
      </c>
      <c r="G840" s="260" t="n">
        <v>1.64</v>
      </c>
      <c r="H840" s="260" t="n">
        <v>6.23</v>
      </c>
      <c r="I840" s="260" t="n">
        <v>0.5600000000000001</v>
      </c>
      <c r="J840" s="260" t="n">
        <v>0.89</v>
      </c>
      <c r="K840" s="260" t="n">
        <v>0.55</v>
      </c>
      <c r="L840" s="260" t="n">
        <v>-0.88</v>
      </c>
    </row>
    <row r="841" hidden="1">
      <c r="A841" s="259" t="inlineStr">
        <is>
          <t>WhiteOak Capital Arbitrage Fund - Regular Plan</t>
        </is>
      </c>
      <c r="B841" s="261">
        <f>VLOOKUP(A841, '[2]fund-selector'!$A$2:$F$853,6,FALSE)</f>
        <v/>
      </c>
      <c r="C841" s="258" t="inlineStr">
        <is>
          <t>--</t>
        </is>
      </c>
      <c r="D841" s="260" t="n">
        <v>1.12</v>
      </c>
      <c r="E841" s="259" t="n">
        <v>0</v>
      </c>
      <c r="F841" s="259" t="n">
        <v>0</v>
      </c>
      <c r="G841" s="260" t="n">
        <v>1.12</v>
      </c>
      <c r="H841" s="259" t="n">
        <v>0</v>
      </c>
      <c r="I841" s="259" t="n">
        <v>0</v>
      </c>
      <c r="J841" s="259" t="n">
        <v>0</v>
      </c>
      <c r="K841" s="259" t="n">
        <v>0</v>
      </c>
      <c r="L841" s="259" t="n">
        <v>0</v>
      </c>
    </row>
    <row r="842" hidden="1">
      <c r="A842" s="259" t="inlineStr">
        <is>
          <t>WhiteOak Capital Balanced Advantage Fund - Regular Plan</t>
        </is>
      </c>
      <c r="B842" s="261">
        <f>VLOOKUP(A842, '[2]fund-selector'!$A$2:$F$853,6,FALSE)</f>
        <v/>
      </c>
      <c r="C842" s="258" t="n">
        <v>8.93</v>
      </c>
      <c r="D842" s="260" t="n">
        <v>2.06</v>
      </c>
      <c r="E842" s="259" t="n">
        <v>0</v>
      </c>
      <c r="F842" s="259" t="n">
        <v>0</v>
      </c>
      <c r="G842" s="260" t="n">
        <v>2.06</v>
      </c>
      <c r="H842" s="259" t="n">
        <v>0</v>
      </c>
      <c r="I842" s="259" t="n">
        <v>0</v>
      </c>
      <c r="J842" s="259" t="n">
        <v>0</v>
      </c>
      <c r="K842" s="259" t="n">
        <v>0</v>
      </c>
      <c r="L842" s="259" t="n">
        <v>0</v>
      </c>
    </row>
    <row r="843" hidden="1">
      <c r="A843" s="259" t="inlineStr">
        <is>
          <t>WhiteOak Capital Balanced Hybrid Fund - Regular Plan</t>
        </is>
      </c>
      <c r="B843" s="261">
        <f>VLOOKUP(A843, '[2]fund-selector'!$A$2:$F$853,6,FALSE)</f>
        <v/>
      </c>
      <c r="C843" s="258" t="n">
        <v>7.3</v>
      </c>
      <c r="D843" s="260" t="n">
        <v>2.14</v>
      </c>
      <c r="E843" s="259" t="n">
        <v>0</v>
      </c>
      <c r="F843" s="259" t="n">
        <v>0</v>
      </c>
      <c r="G843" s="260" t="n">
        <v>2.14</v>
      </c>
      <c r="H843" s="259" t="n">
        <v>0</v>
      </c>
      <c r="I843" s="259" t="n">
        <v>0</v>
      </c>
      <c r="J843" s="259" t="n">
        <v>0</v>
      </c>
      <c r="K843" s="259" t="n">
        <v>0</v>
      </c>
      <c r="L843" s="259" t="n">
        <v>0</v>
      </c>
    </row>
    <row r="844" hidden="1">
      <c r="A844" s="259" t="inlineStr">
        <is>
          <t>WhiteOak Capital Flexi Cap Fund - Regular Plan</t>
        </is>
      </c>
      <c r="B844" s="261">
        <f>VLOOKUP(A844, '[2]fund-selector'!$A$2:$F$853,6,FALSE)</f>
        <v/>
      </c>
      <c r="C844" s="258" t="n">
        <v>8.31</v>
      </c>
      <c r="D844" s="260" t="n">
        <v>1.82</v>
      </c>
      <c r="E844" s="259" t="n">
        <v>0</v>
      </c>
      <c r="F844" s="259" t="n">
        <v>0</v>
      </c>
      <c r="G844" s="260" t="n">
        <v>1.82</v>
      </c>
      <c r="H844" s="259" t="n">
        <v>0</v>
      </c>
      <c r="I844" s="259" t="n">
        <v>0</v>
      </c>
      <c r="J844" s="259" t="n">
        <v>0</v>
      </c>
      <c r="K844" s="259" t="n">
        <v>0</v>
      </c>
      <c r="L844" s="259" t="n">
        <v>0</v>
      </c>
    </row>
    <row r="845" hidden="1">
      <c r="A845" s="259" t="inlineStr">
        <is>
          <t>WhiteOak Capital Large Cap Fund - Regular Plan</t>
        </is>
      </c>
      <c r="B845" s="261">
        <f>VLOOKUP(A845, '[2]fund-selector'!$A$2:$F$853,6,FALSE)</f>
        <v/>
      </c>
      <c r="C845" s="258" t="n">
        <v>6.22</v>
      </c>
      <c r="D845" s="260" t="n">
        <v>2.2</v>
      </c>
      <c r="E845" s="259" t="n">
        <v>0</v>
      </c>
      <c r="F845" s="259" t="n">
        <v>0</v>
      </c>
      <c r="G845" s="260" t="n">
        <v>2.2</v>
      </c>
      <c r="H845" s="259" t="n">
        <v>0</v>
      </c>
      <c r="I845" s="259" t="n">
        <v>0</v>
      </c>
      <c r="J845" s="259" t="n">
        <v>0</v>
      </c>
      <c r="K845" s="259" t="n">
        <v>0</v>
      </c>
      <c r="L845" s="259" t="n">
        <v>0</v>
      </c>
    </row>
    <row r="846" hidden="1">
      <c r="A846" s="259" t="inlineStr">
        <is>
          <t>WhiteOak Capital Large &amp; Mid Cap Fund - Regular Plan</t>
        </is>
      </c>
      <c r="B846" s="261">
        <f>VLOOKUP(A846, '[2]fund-selector'!$A$2:$F$853,6,FALSE)</f>
        <v/>
      </c>
      <c r="C846" s="258" t="n">
        <v>6.81</v>
      </c>
      <c r="D846" s="260" t="n">
        <v>2.04</v>
      </c>
      <c r="E846" s="259" t="n">
        <v>0</v>
      </c>
      <c r="F846" s="259" t="n">
        <v>0</v>
      </c>
      <c r="G846" s="260" t="n">
        <v>2.04</v>
      </c>
      <c r="H846" s="259" t="n">
        <v>0</v>
      </c>
      <c r="I846" s="259" t="n">
        <v>0</v>
      </c>
      <c r="J846" s="259" t="n">
        <v>0</v>
      </c>
      <c r="K846" s="259" t="n">
        <v>0</v>
      </c>
      <c r="L846" s="259" t="n">
        <v>0</v>
      </c>
    </row>
    <row r="847" hidden="1">
      <c r="A847" s="259" t="inlineStr">
        <is>
          <t>WhiteOak Capital Mid Cap Fund - Regular Plan</t>
        </is>
      </c>
      <c r="B847" s="261">
        <f>VLOOKUP(A847, '[2]fund-selector'!$A$2:$F$853,6,FALSE)</f>
        <v/>
      </c>
      <c r="C847" s="258" t="n">
        <v>10.25</v>
      </c>
      <c r="D847" s="260" t="n">
        <v>1.88</v>
      </c>
      <c r="E847" s="259" t="n">
        <v>0</v>
      </c>
      <c r="F847" s="259" t="n">
        <v>0</v>
      </c>
      <c r="G847" s="260" t="n">
        <v>1.88</v>
      </c>
      <c r="H847" s="259" t="n">
        <v>0</v>
      </c>
      <c r="I847" s="259" t="n">
        <v>0</v>
      </c>
      <c r="J847" s="259" t="n">
        <v>0</v>
      </c>
      <c r="K847" s="259" t="n">
        <v>0</v>
      </c>
      <c r="L847" s="259" t="n">
        <v>0</v>
      </c>
    </row>
    <row r="848" hidden="1">
      <c r="A848" s="259" t="inlineStr">
        <is>
          <t>WhiteOak Capital Multi Asset Allocation Fund - Regular Plan</t>
        </is>
      </c>
      <c r="B848" s="261">
        <f>VLOOKUP(A848, '[2]fund-selector'!$A$2:$F$853,6,FALSE)</f>
        <v/>
      </c>
      <c r="C848" s="258" t="n">
        <v>15.18</v>
      </c>
      <c r="D848" s="260" t="n">
        <v>1.73</v>
      </c>
      <c r="E848" s="259" t="n">
        <v>0</v>
      </c>
      <c r="F848" s="259" t="n">
        <v>0</v>
      </c>
      <c r="G848" s="260" t="n">
        <v>1.73</v>
      </c>
      <c r="H848" s="259" t="n">
        <v>0</v>
      </c>
      <c r="I848" s="259" t="n">
        <v>0</v>
      </c>
      <c r="J848" s="259" t="n">
        <v>0</v>
      </c>
      <c r="K848" s="259" t="n">
        <v>0</v>
      </c>
      <c r="L848" s="259" t="n">
        <v>0</v>
      </c>
    </row>
    <row r="849" hidden="1">
      <c r="A849" s="259" t="inlineStr">
        <is>
          <t>WhiteOak Capital Multi Cap Fund - Regular Plan</t>
        </is>
      </c>
      <c r="B849" s="261">
        <f>VLOOKUP(A849, '[2]fund-selector'!$A$2:$F$853,6,FALSE)</f>
        <v/>
      </c>
      <c r="C849" s="258" t="n">
        <v>9.800000000000001</v>
      </c>
      <c r="D849" s="260" t="n">
        <v>2.01</v>
      </c>
      <c r="E849" s="259" t="n">
        <v>0</v>
      </c>
      <c r="F849" s="259" t="n">
        <v>0</v>
      </c>
      <c r="G849" s="260" t="n">
        <v>2.01</v>
      </c>
      <c r="H849" s="259" t="n">
        <v>0</v>
      </c>
      <c r="I849" s="259" t="n">
        <v>0</v>
      </c>
      <c r="J849" s="259" t="n">
        <v>0</v>
      </c>
      <c r="K849" s="259" t="n">
        <v>0</v>
      </c>
      <c r="L849" s="259" t="n">
        <v>0</v>
      </c>
    </row>
    <row r="850" hidden="1">
      <c r="A850" s="259" t="inlineStr">
        <is>
          <t>WhiteOak Capital Quality Equity Fund - Regular Plan</t>
        </is>
      </c>
      <c r="B850" s="261">
        <f>VLOOKUP(A850, '[2]fund-selector'!$A$2:$F$853,6,FALSE)</f>
        <v/>
      </c>
      <c r="C850" s="258" t="inlineStr">
        <is>
          <t>--</t>
        </is>
      </c>
      <c r="D850" s="260" t="n">
        <v>2.36</v>
      </c>
      <c r="E850" s="259" t="n">
        <v>0</v>
      </c>
      <c r="F850" s="259" t="n">
        <v>0</v>
      </c>
      <c r="G850" s="260" t="n">
        <v>2.36</v>
      </c>
      <c r="H850" s="259" t="n">
        <v>0</v>
      </c>
      <c r="I850" s="259" t="n">
        <v>0</v>
      </c>
      <c r="J850" s="259" t="n">
        <v>0</v>
      </c>
      <c r="K850" s="259" t="n">
        <v>0</v>
      </c>
      <c r="L850" s="259" t="n">
        <v>0</v>
      </c>
    </row>
    <row r="851" hidden="1">
      <c r="A851" s="259" t="inlineStr">
        <is>
          <t>WhiteOak Capital Special Opportunities Fund - Regular Plan</t>
        </is>
      </c>
      <c r="B851" s="261">
        <f>VLOOKUP(A851, '[2]fund-selector'!$A$2:$F$853,6,FALSE)</f>
        <v/>
      </c>
      <c r="C851" s="258" t="n">
        <v>14.93</v>
      </c>
      <c r="D851" s="260" t="n">
        <v>2.19</v>
      </c>
      <c r="E851" s="259" t="n">
        <v>0</v>
      </c>
      <c r="F851" s="259" t="n">
        <v>0</v>
      </c>
      <c r="G851" s="260" t="n">
        <v>2.19</v>
      </c>
      <c r="H851" s="259" t="n">
        <v>0</v>
      </c>
      <c r="I851" s="259" t="n">
        <v>0</v>
      </c>
      <c r="J851" s="259" t="n">
        <v>0</v>
      </c>
      <c r="K851" s="259" t="n">
        <v>0</v>
      </c>
      <c r="L851" s="259" t="n">
        <v>0</v>
      </c>
    </row>
    <row r="852" hidden="1">
      <c r="A852" s="259" t="inlineStr">
        <is>
          <t>Zerodha Nifty 100 ETF</t>
        </is>
      </c>
      <c r="B852" s="261">
        <f>VLOOKUP(A852, '[2]fund-selector'!$A$2:$F$853,6,FALSE)</f>
        <v/>
      </c>
      <c r="C852" s="258" t="n">
        <v>3.87</v>
      </c>
      <c r="D852" s="260" t="n">
        <v>0.25</v>
      </c>
      <c r="E852" s="259" t="n">
        <v>0</v>
      </c>
      <c r="F852" s="259" t="n">
        <v>0</v>
      </c>
      <c r="G852" s="260" t="n">
        <v>0.25</v>
      </c>
      <c r="H852" s="259" t="n">
        <v>0</v>
      </c>
      <c r="I852" s="259" t="n">
        <v>0</v>
      </c>
      <c r="J852" s="259" t="n">
        <v>0</v>
      </c>
      <c r="K852" s="259" t="n">
        <v>0</v>
      </c>
      <c r="L852" s="259" t="n">
        <v>0</v>
      </c>
    </row>
    <row r="853" hidden="1">
      <c r="A853" s="259" t="inlineStr">
        <is>
          <t>Zerodha Nifty Midcap 150 ETF</t>
        </is>
      </c>
      <c r="B853" s="261">
        <f>VLOOKUP(A853, '[2]fund-selector'!$A$2:$F$853,6,FALSE)</f>
        <v/>
      </c>
      <c r="C853" s="258" t="n">
        <v>3.01</v>
      </c>
      <c r="D853" s="260" t="n">
        <v>0.21</v>
      </c>
      <c r="E853" s="259" t="n">
        <v>0</v>
      </c>
      <c r="F853" s="259" t="n">
        <v>0</v>
      </c>
      <c r="G853" s="260" t="n">
        <v>0.21</v>
      </c>
      <c r="H853" s="259" t="n">
        <v>0</v>
      </c>
      <c r="I853" s="259" t="n">
        <v>0</v>
      </c>
      <c r="J853" s="259" t="n">
        <v>0</v>
      </c>
      <c r="K853" s="259" t="n">
        <v>0</v>
      </c>
      <c r="L853" s="259" t="n">
        <v>0</v>
      </c>
    </row>
  </sheetData>
  <autoFilter ref="A1:L853">
    <filterColumn colId="0" hiddenButton="0" showButton="1">
      <colorFilter dxfId="7"/>
    </filterColumn>
    <filterColumn colId="1" hiddenButton="0" showButton="1">
      <filters>
        <filter val="EQ-MLC"/>
      </filters>
    </filterColumn>
  </autoFilter>
  <pageMargins left="0.7" right="0.7" top="0.75" bottom="0.75" header="0.3" footer="0.3"/>
  <pageSetup orientation="portrait"/>
</worksheet>
</file>

<file path=xl/worksheets/sheet16.xml><?xml version="1.0" encoding="utf-8"?>
<worksheet xmlns="http://schemas.openxmlformats.org/spreadsheetml/2006/main">
  <sheetPr codeName="Sheet7"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" right="0.7" top="0.75" bottom="0.75" header="0.3" footer="0.3"/>
</worksheet>
</file>

<file path=xl/worksheets/sheet17.xml><?xml version="1.0" encoding="utf-8"?>
<worksheet xmlns="http://schemas.openxmlformats.org/spreadsheetml/2006/main">
  <sheetPr codeName="Sheet8">
    <outlinePr summaryBelow="1" summaryRight="1"/>
    <pageSetUpPr/>
  </sheetPr>
  <dimension ref="B2:L42"/>
  <sheetViews>
    <sheetView zoomScale="81" workbookViewId="0">
      <selection activeCell="B4" sqref="B4"/>
    </sheetView>
  </sheetViews>
  <sheetFormatPr baseColWidth="8" defaultRowHeight="15"/>
  <cols>
    <col width="61.85546875" bestFit="1" customWidth="1" style="84" min="2" max="2"/>
    <col width="15.140625" customWidth="1" style="84" min="3" max="3"/>
    <col hidden="1" width="15.140625" customWidth="1" style="84" min="4" max="10"/>
    <col hidden="1" width="15.140625" customWidth="1" min="11" max="11"/>
  </cols>
  <sheetData>
    <row r="1" ht="15" customHeight="1" thickBot="1"/>
    <row r="2">
      <c r="B2" s="85" t="inlineStr">
        <is>
          <t>AMC</t>
        </is>
      </c>
      <c r="C2" s="87" t="inlineStr">
        <is>
          <t>AUM (In Cr)</t>
        </is>
      </c>
      <c r="D2" s="86" t="inlineStr">
        <is>
          <t>No. of Schemes</t>
        </is>
      </c>
      <c r="E2" s="86" t="inlineStr">
        <is>
          <t>3-Year Return</t>
        </is>
      </c>
      <c r="F2" s="86" t="inlineStr">
        <is>
          <t>5-Year Return</t>
        </is>
      </c>
      <c r="G2" s="86" t="inlineStr">
        <is>
          <t>10 Year Return</t>
        </is>
      </c>
      <c r="H2" s="86" t="inlineStr">
        <is>
          <t>Sharpe</t>
        </is>
      </c>
      <c r="I2" s="86" t="inlineStr">
        <is>
          <t>Sortino</t>
        </is>
      </c>
      <c r="J2" s="86" t="inlineStr">
        <is>
          <t>Alpha</t>
        </is>
      </c>
      <c r="K2" s="87" t="inlineStr">
        <is>
          <t>Expense Ratio</t>
        </is>
      </c>
      <c r="L2" s="84" t="n"/>
    </row>
    <row r="3">
      <c r="B3" s="88" t="inlineStr">
        <is>
          <t>SBI Funds Management Ltd</t>
        </is>
      </c>
      <c r="C3" s="104" t="n">
        <v>1034098.66</v>
      </c>
      <c r="D3" s="90" t="n"/>
      <c r="K3" s="431" t="n"/>
    </row>
    <row r="4">
      <c r="B4" s="88" t="inlineStr">
        <is>
          <t>ICICI Prudential Asset Management Company Limited</t>
        </is>
      </c>
      <c r="C4" s="104" t="n">
        <v>886179.1899999999</v>
      </c>
      <c r="D4" s="90" t="n"/>
      <c r="K4" s="431" t="n"/>
    </row>
    <row r="5">
      <c r="B5" s="88" t="inlineStr">
        <is>
          <t>HDFC Asset Management Co Ltd</t>
        </is>
      </c>
      <c r="C5" s="104" t="n">
        <v>763496.85</v>
      </c>
      <c r="D5" s="90" t="n"/>
      <c r="K5" s="431" t="n"/>
    </row>
    <row r="6">
      <c r="B6" s="88" t="inlineStr">
        <is>
          <t>Nippon Life India Asset Management Ltd</t>
        </is>
      </c>
      <c r="C6" s="104" t="n">
        <v>542752.7</v>
      </c>
      <c r="D6" s="90" t="n"/>
      <c r="K6" s="431" t="n"/>
    </row>
    <row r="7">
      <c r="B7" s="88" t="inlineStr">
        <is>
          <t>Kotak Mahindra Asset Management Co Ltd</t>
        </is>
      </c>
      <c r="C7" s="104" t="n">
        <v>471500.26</v>
      </c>
      <c r="D7" s="90" t="n"/>
      <c r="K7" s="431" t="n"/>
    </row>
    <row r="8">
      <c r="B8" s="88" t="inlineStr">
        <is>
          <t>Aditya Birla Sun Life AMC Ltd</t>
        </is>
      </c>
      <c r="C8" s="104" t="n">
        <v>379792.96</v>
      </c>
      <c r="D8" s="90" t="n"/>
      <c r="K8" s="431" t="n"/>
    </row>
    <row r="9" hidden="1">
      <c r="B9" s="88" t="inlineStr">
        <is>
          <t>Axis Asset Management Company Limited</t>
        </is>
      </c>
      <c r="C9" s="104" t="n">
        <v>310162.27</v>
      </c>
      <c r="D9" s="90" t="n"/>
      <c r="K9" s="431" t="n"/>
    </row>
    <row r="10" ht="15" customHeight="1" thickBot="1">
      <c r="B10" s="91" t="inlineStr">
        <is>
          <t>UTI Asset Management Co Ltd</t>
        </is>
      </c>
      <c r="C10" s="105" t="n">
        <v>304941.71</v>
      </c>
      <c r="D10" s="90" t="n"/>
      <c r="K10" s="431" t="n"/>
    </row>
    <row r="11" hidden="1">
      <c r="B11" s="88" t="inlineStr">
        <is>
          <t>Tata Asset Management Limited</t>
        </is>
      </c>
      <c r="C11" s="89" t="n">
        <v>182116.44</v>
      </c>
      <c r="D11" s="90" t="n"/>
      <c r="K11" s="431" t="n"/>
    </row>
    <row r="12" hidden="1">
      <c r="B12" s="88" t="inlineStr">
        <is>
          <t>Mirae Asset Investment Managers (India) Private Limited</t>
        </is>
      </c>
      <c r="C12" s="89" t="n">
        <v>181243.81</v>
      </c>
      <c r="D12" s="90" t="n"/>
      <c r="K12" s="431" t="n"/>
    </row>
    <row r="13" hidden="1">
      <c r="B13" s="88" t="inlineStr">
        <is>
          <t>Edelweiss Asset Management Limited</t>
        </is>
      </c>
      <c r="C13" s="89" t="n">
        <v>164624.63</v>
      </c>
      <c r="D13" s="90" t="n"/>
      <c r="K13" s="431" t="n"/>
    </row>
    <row r="14" hidden="1">
      <c r="B14" s="88" t="inlineStr">
        <is>
          <t>DSP Asset Managers Private Limited</t>
        </is>
      </c>
      <c r="C14" s="89" t="n">
        <v>164014.31</v>
      </c>
      <c r="D14" s="90" t="n"/>
      <c r="K14" s="431" t="n"/>
    </row>
    <row r="15" hidden="1">
      <c r="B15" s="88" t="inlineStr">
        <is>
          <t>Bandhan Asset Management Company Limited</t>
        </is>
      </c>
      <c r="C15" s="89" t="n">
        <v>163552.2</v>
      </c>
      <c r="D15" s="90" t="n"/>
      <c r="K15" s="431" t="n"/>
    </row>
    <row r="16" hidden="1">
      <c r="B16" s="88" t="inlineStr">
        <is>
          <t>HSBC Asset Management (India) Private Ltd</t>
        </is>
      </c>
      <c r="C16" s="89" t="n">
        <v>120934.56</v>
      </c>
      <c r="D16" s="90" t="n"/>
      <c r="K16" s="431" t="n"/>
    </row>
    <row r="17" hidden="1">
      <c r="B17" s="88" t="inlineStr">
        <is>
          <t>Invesco Asset Management (India) Private Ltd</t>
        </is>
      </c>
      <c r="C17" s="89" t="n">
        <v>107273.5</v>
      </c>
      <c r="D17" s="90" t="n"/>
      <c r="K17" s="431" t="n"/>
    </row>
    <row r="18" hidden="1">
      <c r="B18" s="88" t="inlineStr">
        <is>
          <t>Canara Robeco Asset Management Co. Ltd.</t>
        </is>
      </c>
      <c r="C18" s="89" t="n">
        <v>104080.37</v>
      </c>
      <c r="D18" s="90" t="n"/>
      <c r="K18" s="431" t="n"/>
    </row>
    <row r="19" hidden="1">
      <c r="B19" s="88" t="inlineStr">
        <is>
          <t>PPFAS Asset Management Pvt. Ltd</t>
        </is>
      </c>
      <c r="C19" s="89" t="n">
        <v>100327.67</v>
      </c>
      <c r="D19" s="90" t="n"/>
      <c r="K19" s="431" t="n"/>
    </row>
    <row r="20" hidden="1">
      <c r="B20" s="88" t="inlineStr">
        <is>
          <t>Franklin Templeton Asst Mgmt(IND)Pvt Ltd</t>
        </is>
      </c>
      <c r="C20" s="89" t="n">
        <v>98381.14</v>
      </c>
      <c r="D20" s="90" t="n"/>
      <c r="K20" s="431" t="n"/>
    </row>
    <row r="21" hidden="1">
      <c r="B21" s="88" t="inlineStr">
        <is>
          <t>Motilal Oswal Asset Management Company Limited - Portfolio Managers</t>
        </is>
      </c>
      <c r="C21" s="89" t="n">
        <v>94674.84</v>
      </c>
      <c r="D21" s="90" t="n"/>
      <c r="K21" s="431" t="n"/>
    </row>
    <row r="22" hidden="1">
      <c r="B22" s="88" t="inlineStr">
        <is>
          <t>Quant Money Managers Limited</t>
        </is>
      </c>
      <c r="C22" s="89" t="n">
        <v>82153.25</v>
      </c>
      <c r="D22" s="90" t="n"/>
      <c r="K22" s="431" t="n"/>
    </row>
    <row r="23" hidden="1">
      <c r="B23" s="88" t="inlineStr">
        <is>
          <t>Sundaram Asset Management Company Ltd</t>
        </is>
      </c>
      <c r="C23" s="89" t="n">
        <v>61992.7</v>
      </c>
      <c r="D23" s="90" t="n"/>
      <c r="K23" s="431" t="n"/>
    </row>
    <row r="24" hidden="1">
      <c r="B24" s="88" t="inlineStr">
        <is>
          <t>Baroda BNP Paribas Asset Management India Pvt. Ltd.</t>
        </is>
      </c>
      <c r="C24" s="89" t="n">
        <v>43607.09</v>
      </c>
      <c r="D24" s="90" t="n"/>
      <c r="K24" s="431" t="n"/>
    </row>
    <row r="25" hidden="1">
      <c r="B25" s="88" t="inlineStr">
        <is>
          <t>Union Asset Management Co. Pvt. Ltd.</t>
        </is>
      </c>
      <c r="C25" s="89" t="n">
        <v>40926.18</v>
      </c>
      <c r="D25" s="90" t="n"/>
      <c r="K25" s="431" t="n"/>
    </row>
    <row r="26" hidden="1">
      <c r="B26" s="88" t="inlineStr">
        <is>
          <t>LIC Mutual Fund Asset Management Limited</t>
        </is>
      </c>
      <c r="C26" s="89" t="n">
        <v>34106.58</v>
      </c>
      <c r="D26" s="90" t="n"/>
      <c r="K26" s="431" t="n"/>
    </row>
    <row r="27" hidden="1">
      <c r="B27" s="88" t="inlineStr">
        <is>
          <t>JM Financial Asset Management Limited</t>
        </is>
      </c>
      <c r="C27" s="89" t="n">
        <v>27122.61</v>
      </c>
      <c r="D27" s="90" t="n"/>
      <c r="K27" s="431" t="n"/>
    </row>
    <row r="28" hidden="1">
      <c r="B28" s="88" t="inlineStr">
        <is>
          <t>Mahindra Manulife Investment Management Pvt. Ltd.</t>
        </is>
      </c>
      <c r="C28" s="89" t="n">
        <v>25615.5</v>
      </c>
      <c r="D28" s="90" t="n"/>
      <c r="K28" s="431" t="n"/>
    </row>
    <row r="29" hidden="1">
      <c r="B29" s="88" t="inlineStr">
        <is>
          <t>PGIM India Asset Management Private Limited</t>
        </is>
      </c>
      <c r="C29" s="89" t="n">
        <v>22919.75</v>
      </c>
      <c r="D29" s="90" t="n"/>
      <c r="K29" s="431" t="n"/>
    </row>
    <row r="30" hidden="1">
      <c r="B30" s="88" t="inlineStr">
        <is>
          <t>Bajaj Finserv Asset Management Limited</t>
        </is>
      </c>
      <c r="C30" s="89" t="n">
        <v>20427.69</v>
      </c>
      <c r="D30" s="90" t="n"/>
      <c r="K30" s="431" t="n"/>
    </row>
    <row r="31" hidden="1">
      <c r="B31" s="88" t="inlineStr">
        <is>
          <t>WhiteOak Capital Asset Management Limited</t>
        </is>
      </c>
      <c r="C31" s="89" t="n">
        <v>14995.73</v>
      </c>
      <c r="D31" s="90" t="n"/>
      <c r="K31" s="431" t="n"/>
    </row>
    <row r="32" hidden="1">
      <c r="B32" s="88" t="inlineStr">
        <is>
          <t>DSP Asset Managers Private Limited</t>
        </is>
      </c>
      <c r="C32" s="89" t="n">
        <v>11260.94</v>
      </c>
      <c r="D32" s="90" t="n"/>
      <c r="K32" s="431" t="n"/>
    </row>
    <row r="33" hidden="1">
      <c r="B33" s="88" t="inlineStr">
        <is>
          <t>360 ONE Asset Management Limited</t>
        </is>
      </c>
      <c r="C33" s="89" t="n">
        <v>10951.32</v>
      </c>
      <c r="D33" s="90" t="n"/>
      <c r="K33" s="431" t="n"/>
    </row>
    <row r="34" hidden="1">
      <c r="B34" s="88" t="inlineStr">
        <is>
          <t>Bank of India Investment Managers Private Limited</t>
        </is>
      </c>
      <c r="C34" s="89" t="n">
        <v>10791.73</v>
      </c>
      <c r="D34" s="90" t="n"/>
      <c r="K34" s="431" t="n"/>
    </row>
    <row r="35" hidden="1">
      <c r="B35" s="88" t="inlineStr">
        <is>
          <t>ITI Asset Management Limited</t>
        </is>
      </c>
      <c r="C35" s="89" t="n">
        <v>8657.93</v>
      </c>
      <c r="D35" s="90" t="n"/>
      <c r="K35" s="431" t="n"/>
    </row>
    <row r="36" hidden="1">
      <c r="B36" s="88" t="inlineStr">
        <is>
          <t>Navi AMC Limited</t>
        </is>
      </c>
      <c r="C36" s="89" t="n">
        <v>7529.93</v>
      </c>
      <c r="D36" s="90" t="n"/>
      <c r="K36" s="431" t="n"/>
    </row>
    <row r="37" hidden="1">
      <c r="B37" s="88" t="inlineStr">
        <is>
          <t>NJ Asset Management Private Limited</t>
        </is>
      </c>
      <c r="C37" s="89" t="n">
        <v>6181.62</v>
      </c>
      <c r="D37" s="90" t="n"/>
      <c r="K37" s="431" t="n"/>
    </row>
    <row r="38" hidden="1">
      <c r="B38" s="88" t="inlineStr">
        <is>
          <t>Zerodha Asset Management Private Limited</t>
        </is>
      </c>
      <c r="C38" s="89" t="n">
        <v>5066.5</v>
      </c>
      <c r="D38" s="90" t="n"/>
      <c r="K38" s="431" t="n"/>
    </row>
    <row r="39" hidden="1">
      <c r="B39" s="88" t="inlineStr">
        <is>
          <t>Quantum Asset Management Co Pvt. Ltd.</t>
        </is>
      </c>
      <c r="C39" s="89" t="n">
        <v>2935.95</v>
      </c>
      <c r="D39" s="90" t="n"/>
      <c r="K39" s="431" t="n"/>
    </row>
    <row r="40" hidden="1">
      <c r="B40" s="88" t="inlineStr">
        <is>
          <t>Samco Asset Management Pvt Ltd</t>
        </is>
      </c>
      <c r="C40" s="89" t="n">
        <v>2631.83</v>
      </c>
      <c r="D40" s="90" t="n"/>
      <c r="K40" s="431" t="n"/>
    </row>
    <row r="41" hidden="1">
      <c r="B41" s="88" t="inlineStr">
        <is>
          <t>Trust Asset Management Private Limited</t>
        </is>
      </c>
      <c r="C41" s="89" t="n">
        <v>2334.58</v>
      </c>
      <c r="D41" s="90" t="n"/>
      <c r="K41" s="431" t="n"/>
    </row>
    <row r="42" hidden="1" ht="15" customHeight="1" thickBot="1">
      <c r="B42" s="91" t="inlineStr">
        <is>
          <t>IDBI Asset Management Limited</t>
        </is>
      </c>
      <c r="C42" s="93" t="n">
        <v>1941.91</v>
      </c>
      <c r="D42" s="94" t="n"/>
      <c r="E42" s="92" t="n"/>
      <c r="F42" s="92" t="n"/>
      <c r="G42" s="92" t="n"/>
      <c r="H42" s="92" t="n"/>
      <c r="I42" s="92" t="n"/>
      <c r="J42" s="92" t="n"/>
      <c r="K42" s="95" t="n"/>
    </row>
  </sheetData>
  <pageMargins left="0.7" right="0.7" top="0.75" bottom="0.75" header="0.3" footer="0.3"/>
  <pageSetup orientation="portrait"/>
</worksheet>
</file>

<file path=xl/worksheets/sheet18.xml><?xml version="1.0" encoding="utf-8"?>
<worksheet xmlns="http://schemas.openxmlformats.org/spreadsheetml/2006/main">
  <sheetPr codeName="Sheet9">
    <outlinePr summaryBelow="1" summaryRight="1"/>
    <pageSetUpPr/>
  </sheetPr>
  <dimension ref="B2:I10"/>
  <sheetViews>
    <sheetView zoomScale="92" workbookViewId="0">
      <selection activeCell="H23" sqref="H23"/>
    </sheetView>
  </sheetViews>
  <sheetFormatPr baseColWidth="8" defaultRowHeight="15"/>
  <cols>
    <col width="27.85546875" customWidth="1" min="2" max="2"/>
    <col width="19.85546875" customWidth="1" min="3" max="10"/>
  </cols>
  <sheetData>
    <row r="2">
      <c r="B2" s="37" t="inlineStr">
        <is>
          <t>Assumptions</t>
        </is>
      </c>
    </row>
    <row r="3">
      <c r="B3" s="37" t="n"/>
    </row>
    <row r="4">
      <c r="B4" s="454" t="inlineStr">
        <is>
          <t>Weightage Assumptions</t>
        </is>
      </c>
      <c r="C4" s="455" t="n"/>
      <c r="D4" s="455" t="n"/>
      <c r="E4" s="455" t="n"/>
      <c r="F4" s="455" t="n"/>
      <c r="G4" s="455" t="n"/>
      <c r="H4" s="455" t="n"/>
      <c r="I4" s="456" t="n"/>
    </row>
    <row r="5">
      <c r="B5" s="64" t="n"/>
      <c r="C5" s="65" t="inlineStr">
        <is>
          <t>Large Cap Fund</t>
        </is>
      </c>
      <c r="D5" s="65" t="inlineStr">
        <is>
          <t>Large &amp; Mid Cap Funds</t>
        </is>
      </c>
      <c r="E5" s="65" t="inlineStr">
        <is>
          <t>Flexicap fund</t>
        </is>
      </c>
      <c r="F5" s="65" t="inlineStr">
        <is>
          <t>Midcap</t>
        </is>
      </c>
      <c r="G5" s="65" t="inlineStr">
        <is>
          <t>Small Cap</t>
        </is>
      </c>
      <c r="H5" s="65" t="inlineStr">
        <is>
          <t>Balanced Fund</t>
        </is>
      </c>
      <c r="I5" s="66" t="inlineStr">
        <is>
          <t>Asset Allocator Fund</t>
        </is>
      </c>
    </row>
    <row r="6">
      <c r="B6" s="421" t="inlineStr">
        <is>
          <t>Historical Performance Metrics</t>
        </is>
      </c>
      <c r="C6" s="57" t="n">
        <v>0.35</v>
      </c>
      <c r="D6" s="58" t="n">
        <v>0.35</v>
      </c>
      <c r="E6" s="58" t="n">
        <v>0.2999999999999999</v>
      </c>
      <c r="F6" s="54" t="n">
        <v>0.2999999999999999</v>
      </c>
      <c r="G6" s="54" t="n">
        <v>0.2</v>
      </c>
      <c r="H6" s="58" t="n">
        <v>0.25</v>
      </c>
      <c r="I6" s="59" t="n">
        <v>0.25</v>
      </c>
    </row>
    <row r="7">
      <c r="B7" s="421" t="inlineStr">
        <is>
          <t>Risk</t>
        </is>
      </c>
      <c r="C7" s="57" t="n">
        <v>0.3</v>
      </c>
      <c r="D7" s="54" t="n">
        <v>0.3</v>
      </c>
      <c r="E7" s="54" t="n">
        <v>0.3</v>
      </c>
      <c r="F7" s="54" t="n">
        <v>0.25</v>
      </c>
      <c r="G7" s="54" t="n">
        <v>0.25</v>
      </c>
      <c r="H7" s="54" t="n">
        <v>0.35</v>
      </c>
      <c r="I7" s="60" t="n">
        <v>0.35</v>
      </c>
    </row>
    <row r="8">
      <c r="B8" s="421" t="inlineStr">
        <is>
          <t>Return</t>
        </is>
      </c>
      <c r="C8" s="57" t="n">
        <v>0.2</v>
      </c>
      <c r="D8" s="54" t="n">
        <v>0.2</v>
      </c>
      <c r="E8" s="54" t="n">
        <v>0.25</v>
      </c>
      <c r="F8" s="54" t="n">
        <v>0.3</v>
      </c>
      <c r="G8" s="54" t="n">
        <v>0.4</v>
      </c>
      <c r="H8" s="54" t="n">
        <v>0.25</v>
      </c>
      <c r="I8" s="60" t="n">
        <v>0.25</v>
      </c>
    </row>
    <row r="9">
      <c r="B9" s="422" t="inlineStr">
        <is>
          <t>Fund Management &amp; Expense</t>
        </is>
      </c>
      <c r="C9" s="61" t="n">
        <v>0.15</v>
      </c>
      <c r="D9" s="62" t="n">
        <v>0.15</v>
      </c>
      <c r="E9" s="62" t="n">
        <v>0.15</v>
      </c>
      <c r="F9" s="62" t="n">
        <v>0.15</v>
      </c>
      <c r="G9" s="62" t="n">
        <v>0.15</v>
      </c>
      <c r="H9" s="62" t="n">
        <v>0.15</v>
      </c>
      <c r="I9" s="63" t="n">
        <v>0.15</v>
      </c>
    </row>
    <row r="10">
      <c r="D10" s="54" t="n"/>
      <c r="E10" s="54" t="n"/>
      <c r="H10" s="54" t="n"/>
      <c r="I10" s="54" t="n"/>
    </row>
  </sheetData>
  <mergeCells count="1">
    <mergeCell ref="B4:I4"/>
  </mergeCells>
  <pageMargins left="0.7" right="0.7" top="0.75" bottom="0.75" header="0.3" footer="0.3"/>
</worksheet>
</file>

<file path=xl/worksheets/sheet19.xml><?xml version="1.0" encoding="utf-8"?>
<worksheet xmlns:r="http://schemas.openxmlformats.org/officeDocument/2006/relationships" xmlns="http://schemas.openxmlformats.org/spreadsheetml/2006/main">
  <sheetPr codeName="Sheet10">
    <outlinePr summaryBelow="1" summaryRight="1"/>
    <pageSetUpPr/>
  </sheetPr>
  <dimension ref="B3:F41"/>
  <sheetViews>
    <sheetView zoomScale="88" workbookViewId="0">
      <selection activeCell="A1" sqref="A1"/>
    </sheetView>
  </sheetViews>
  <sheetFormatPr baseColWidth="8" defaultRowHeight="15"/>
  <cols>
    <col width="25.42578125" bestFit="1" customWidth="1" style="42" min="2" max="2"/>
    <col width="52.42578125" bestFit="1" customWidth="1" style="42" min="3" max="3"/>
    <col width="25.42578125" customWidth="1" style="42" min="4" max="5"/>
    <col width="47.42578125" customWidth="1" style="42" min="6" max="6"/>
  </cols>
  <sheetData>
    <row r="2" ht="15" customHeight="1" thickBot="1"/>
    <row r="3" ht="15" customHeight="1" thickBot="1">
      <c r="B3" s="44" t="n"/>
      <c r="C3" s="50" t="inlineStr">
        <is>
          <t>Formula</t>
        </is>
      </c>
      <c r="D3" s="50" t="inlineStr">
        <is>
          <t>Performance</t>
        </is>
      </c>
      <c r="E3" s="50" t="inlineStr">
        <is>
          <t>Best for MF Estimation</t>
        </is>
      </c>
      <c r="F3" s="51" t="inlineStr">
        <is>
          <t>Definition</t>
        </is>
      </c>
    </row>
    <row r="4">
      <c r="B4" s="45" t="inlineStr">
        <is>
          <t>Performance Metrics</t>
        </is>
      </c>
      <c r="C4" s="46" t="n"/>
      <c r="D4" s="46" t="n"/>
      <c r="E4" s="46" t="n"/>
      <c r="F4" s="47" t="n"/>
    </row>
    <row r="5">
      <c r="B5" s="5" t="inlineStr">
        <is>
          <t>3-Year</t>
        </is>
      </c>
      <c r="C5" s="1" t="n"/>
      <c r="D5" s="1" t="n"/>
      <c r="E5" s="1" t="n"/>
      <c r="F5" s="6" t="n"/>
    </row>
    <row r="6">
      <c r="B6" s="5" t="inlineStr">
        <is>
          <t>5-Year (&amp; above) CAGR</t>
        </is>
      </c>
      <c r="C6" s="1" t="n"/>
      <c r="D6" s="1" t="n"/>
      <c r="E6" s="1" t="n"/>
      <c r="F6" s="6" t="n"/>
    </row>
    <row r="7">
      <c r="B7" s="5" t="inlineStr">
        <is>
          <t>Point to Point Return</t>
        </is>
      </c>
      <c r="C7" s="1" t="n"/>
      <c r="D7" s="1" t="n"/>
      <c r="E7" s="1" t="n"/>
      <c r="F7" s="6" t="n"/>
    </row>
    <row r="8">
      <c r="B8" s="53" t="inlineStr">
        <is>
          <t>Performannce against TRI</t>
        </is>
      </c>
      <c r="C8" s="1" t="n"/>
      <c r="D8" s="1" t="n"/>
      <c r="E8" s="1" t="n"/>
      <c r="F8" s="6" t="n"/>
    </row>
    <row r="9">
      <c r="B9" s="4" t="inlineStr">
        <is>
          <t>Risk</t>
        </is>
      </c>
      <c r="C9" s="48" t="n"/>
      <c r="D9" s="48" t="n"/>
      <c r="E9" s="48" t="n"/>
      <c r="F9" s="49" t="n"/>
    </row>
    <row r="10" ht="43.5" customHeight="1">
      <c r="B10" s="5" t="inlineStr">
        <is>
          <t>Beta</t>
        </is>
      </c>
      <c r="C10" s="1" t="n"/>
      <c r="D10" s="55" t="inlineStr">
        <is>
          <t>A beta less than 1 indicates lower volatility than the market.</t>
        </is>
      </c>
      <c r="E10" s="1" t="n"/>
      <c r="F10" s="6" t="inlineStr">
        <is>
          <t>Measures the fund's sensitivity to market movements.</t>
        </is>
      </c>
    </row>
    <row r="11" ht="30" customHeight="1">
      <c r="B11" s="5" t="inlineStr">
        <is>
          <t>SD</t>
        </is>
      </c>
      <c r="C11" s="1" t="n"/>
      <c r="D11" s="52" t="inlineStr">
        <is>
          <t>Lower the better</t>
        </is>
      </c>
      <c r="E11" s="1" t="n"/>
      <c r="F11" s="6" t="inlineStr">
        <is>
          <t>Represents the riskiness of the stock or the mutual fund</t>
        </is>
      </c>
    </row>
    <row r="12" ht="29.1" customHeight="1">
      <c r="B12" s="5" t="inlineStr">
        <is>
          <t>Sharpe</t>
        </is>
      </c>
      <c r="C12" s="1" t="inlineStr">
        <is>
          <t>(Fund Return – Risk-Free Return)/SD of the fund</t>
        </is>
      </c>
      <c r="D12" s="52" t="inlineStr">
        <is>
          <t>Higher the better</t>
        </is>
      </c>
      <c r="E12" s="1" t="n"/>
      <c r="F12" s="6" t="inlineStr">
        <is>
          <t>Measures the return per unit of risk by considering both the positive and negative returns</t>
        </is>
      </c>
    </row>
    <row r="13" ht="29.1" customHeight="1">
      <c r="B13" s="7" t="inlineStr">
        <is>
          <t>Sortino</t>
        </is>
      </c>
      <c r="C13" s="2" t="inlineStr">
        <is>
          <t>(Fund Return – Risk-Free Return)/Downside Risk</t>
        </is>
      </c>
      <c r="D13" s="2" t="n"/>
      <c r="E13" s="2" t="n"/>
      <c r="F13" s="8" t="inlineStr">
        <is>
          <t>Modifies the Sharpe ratio and includes just the downside risk</t>
        </is>
      </c>
    </row>
    <row r="14">
      <c r="B14" s="4" t="inlineStr">
        <is>
          <t>Return</t>
        </is>
      </c>
      <c r="C14" s="48" t="n"/>
      <c r="D14" s="48" t="n"/>
      <c r="E14" s="48" t="n"/>
      <c r="F14" s="49" t="n"/>
    </row>
    <row r="15" ht="29.1" customHeight="1">
      <c r="B15" s="5" t="inlineStr">
        <is>
          <t>Alpha</t>
        </is>
      </c>
      <c r="C15" s="1" t="inlineStr">
        <is>
          <t>Rp​−[Rf​+β(Rm​−Rf​)]</t>
        </is>
      </c>
      <c r="D15" s="1" t="n"/>
      <c r="E15" s="1" t="n"/>
      <c r="F15" s="6" t="inlineStr">
        <is>
          <t>Excess return of the mutual fund over the benchmark return, on a risk-adjusted basis.</t>
        </is>
      </c>
    </row>
    <row r="16" ht="29.1" customHeight="1">
      <c r="B16" s="5" t="inlineStr">
        <is>
          <t>Upside Capture Ratio</t>
        </is>
      </c>
      <c r="C16" s="1" t="n"/>
      <c r="D16" s="1" t="n"/>
      <c r="E16" s="1" t="n"/>
      <c r="F16" s="6" t="inlineStr">
        <is>
          <t>estimate of how much of the Index’s upside the fund has captured</t>
        </is>
      </c>
    </row>
    <row r="17" ht="29.1" customHeight="1">
      <c r="B17" s="7" t="inlineStr">
        <is>
          <t>Downside capture ratio</t>
        </is>
      </c>
      <c r="C17" s="2" t="n"/>
      <c r="D17" s="2" t="n"/>
      <c r="E17" s="2" t="n"/>
      <c r="F17" s="8" t="inlineStr">
        <is>
          <t>estimate of how much of the Index’s downside returns the fund has captured.</t>
        </is>
      </c>
    </row>
    <row r="18" ht="29.1" customHeight="1">
      <c r="B18" s="9" t="inlineStr">
        <is>
          <t>Fund Management &amp; Expense</t>
        </is>
      </c>
      <c r="C18" s="3" t="n"/>
      <c r="D18" s="3" t="n"/>
      <c r="E18" s="3" t="n"/>
      <c r="F18" s="43" t="n"/>
    </row>
    <row r="19">
      <c r="B19" s="5" t="inlineStr">
        <is>
          <t>Expense Ratio</t>
        </is>
      </c>
      <c r="C19" s="1" t="n"/>
      <c r="D19" s="1" t="inlineStr">
        <is>
          <t>Lower the better</t>
        </is>
      </c>
      <c r="E19" s="1" t="n"/>
      <c r="F19" s="6" t="inlineStr">
        <is>
          <t>Reflects the fund's operating costs.</t>
        </is>
      </c>
    </row>
    <row r="20" ht="29.45" customHeight="1" thickBot="1">
      <c r="B20" s="10" t="inlineStr">
        <is>
          <t>Turnover Ratio</t>
        </is>
      </c>
      <c r="C20" s="11" t="n"/>
      <c r="D20" s="11" t="n"/>
      <c r="E20" s="11" t="n"/>
      <c r="F20" s="12" t="inlineStr">
        <is>
          <t>Indicates how frequently assets within the fund are traded.</t>
        </is>
      </c>
    </row>
    <row r="21" ht="15" customHeight="1" thickBot="1"/>
    <row r="22">
      <c r="B22" s="96" t="n"/>
      <c r="C22" s="97" t="inlineStr">
        <is>
          <t>What It Measures</t>
        </is>
      </c>
      <c r="D22" s="98" t="inlineStr">
        <is>
          <t>Impact</t>
        </is>
      </c>
    </row>
    <row r="23">
      <c r="B23" s="99" t="inlineStr">
        <is>
          <t>YTM</t>
        </is>
      </c>
      <c r="C23" s="42" t="inlineStr">
        <is>
          <t>Expected annual return if held to maturity</t>
        </is>
      </c>
      <c r="D23" s="100" t="inlineStr">
        <is>
          <t>Higher YTM = Higher future returns</t>
        </is>
      </c>
    </row>
    <row r="24">
      <c r="B24" s="99" t="inlineStr">
        <is>
          <t>Average Maturity</t>
        </is>
      </c>
      <c r="C24" s="42" t="inlineStr">
        <is>
          <t>Weighted average time to maturity</t>
        </is>
      </c>
      <c r="D24" s="100" t="inlineStr">
        <is>
          <t>Longer maturity = More interest rate risk</t>
        </is>
      </c>
    </row>
    <row r="25">
      <c r="B25" s="99" t="inlineStr">
        <is>
          <t>Modified Duration</t>
        </is>
      </c>
      <c r="C25" s="42" t="inlineStr">
        <is>
          <t>Price sensitivity to interest rates</t>
        </is>
      </c>
      <c r="D25" s="100" t="inlineStr">
        <is>
          <t>Higher = More risk</t>
        </is>
      </c>
    </row>
    <row r="26">
      <c r="B26" s="99" t="inlineStr">
        <is>
          <t>Current Yield</t>
        </is>
      </c>
      <c r="C26" s="42" t="inlineStr">
        <is>
          <t>Income return from interest</t>
        </is>
      </c>
      <c r="D26" s="100" t="inlineStr">
        <is>
          <t>Higher = More regular income</t>
        </is>
      </c>
    </row>
    <row r="27">
      <c r="B27" s="277" t="inlineStr">
        <is>
          <t>Credit Rating</t>
        </is>
      </c>
      <c r="C27" s="42" t="inlineStr">
        <is>
          <t>Bond safety</t>
        </is>
      </c>
      <c r="D27" s="100" t="inlineStr">
        <is>
          <t>AAA = Safe, BB or lower = Risky</t>
        </is>
      </c>
    </row>
    <row r="28">
      <c r="B28" s="277" t="inlineStr">
        <is>
          <t>Interest Rate Risk</t>
        </is>
      </c>
      <c r="C28" s="42" t="inlineStr">
        <is>
          <t>NAV change due to interest rate shifts</t>
        </is>
      </c>
      <c r="D28" s="100" t="inlineStr">
        <is>
          <t>Higher duration = Higher risk</t>
        </is>
      </c>
    </row>
    <row r="29">
      <c r="B29" s="277" t="inlineStr">
        <is>
          <t>Liquidity Risk</t>
        </is>
      </c>
      <c r="C29" s="42" t="inlineStr">
        <is>
          <t>Ease of selling bonds</t>
        </is>
      </c>
      <c r="D29" s="100" t="inlineStr">
        <is>
          <t>Higher risk in illiquid bonds</t>
        </is>
      </c>
    </row>
    <row r="30">
      <c r="B30" s="99" t="inlineStr">
        <is>
          <t>Sharpe Ratio</t>
        </is>
      </c>
      <c r="C30" s="42" t="inlineStr">
        <is>
          <t>Risk-adjusted return</t>
        </is>
      </c>
      <c r="D30" s="100" t="inlineStr">
        <is>
          <t>Higher = Better fund performance</t>
        </is>
      </c>
    </row>
    <row r="31" ht="15" customHeight="1" thickBot="1">
      <c r="B31" s="101" t="inlineStr">
        <is>
          <t>Expense Ratio</t>
        </is>
      </c>
      <c r="C31" s="102" t="inlineStr">
        <is>
          <t>Fund management cost</t>
        </is>
      </c>
      <c r="D31" s="103" t="inlineStr">
        <is>
          <t>Lower = More investor returns</t>
        </is>
      </c>
    </row>
    <row r="34">
      <c r="B34" s="189" t="inlineStr">
        <is>
          <t>Funds</t>
        </is>
      </c>
    </row>
    <row r="35">
      <c r="B35" t="inlineStr">
        <is>
          <t>Large Cap Fund</t>
        </is>
      </c>
      <c r="C35" t="inlineStr">
        <is>
          <t>Ultra Short Duration Fund</t>
        </is>
      </c>
    </row>
    <row r="36">
      <c r="B36" t="inlineStr">
        <is>
          <t>Large &amp; Mid Cap Funds</t>
        </is>
      </c>
      <c r="C36" t="inlineStr">
        <is>
          <t>Low Duration Fund</t>
        </is>
      </c>
    </row>
    <row r="37">
      <c r="B37" t="inlineStr">
        <is>
          <t>Flexicap fund</t>
        </is>
      </c>
      <c r="C37" t="inlineStr">
        <is>
          <t>Short Duration Fund</t>
        </is>
      </c>
    </row>
    <row r="38">
      <c r="B38" t="inlineStr">
        <is>
          <t>Midcap</t>
        </is>
      </c>
      <c r="C38" t="inlineStr">
        <is>
          <t>Medium Duration Fund</t>
        </is>
      </c>
    </row>
    <row r="39">
      <c r="B39" t="inlineStr">
        <is>
          <t>Small Cap</t>
        </is>
      </c>
      <c r="C39" t="inlineStr">
        <is>
          <t>Medium to Long Duration Fund</t>
        </is>
      </c>
    </row>
    <row r="40">
      <c r="B40" t="inlineStr">
        <is>
          <t>Balanced Fund</t>
        </is>
      </c>
    </row>
    <row r="41">
      <c r="B41" t="inlineStr">
        <is>
          <t>Asset Allocator Fund</t>
        </is>
      </c>
    </row>
  </sheetData>
  <hyperlinks>
    <hyperlink ref="B8" r:id="rId1"/>
  </hyperlinks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Kanak Yadav</dc:creator>
  <dcterms:created xsi:type="dcterms:W3CDTF">2025-03-24T09:15:42Z</dcterms:created>
  <dcterms:modified xsi:type="dcterms:W3CDTF">2026-07-03T12:16:37Z</dcterms:modified>
  <cp:lastModifiedBy>Mutual Fund</cp:lastModifiedBy>
  <cp:lastPrinted>2026-06-26T10:36:39Z</cp:lastPrinted>
</cp:coreProperties>
</file>