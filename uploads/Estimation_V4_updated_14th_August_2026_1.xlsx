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3" fillId="20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2" fillId="19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4" fillId="0" borderId="41" applyAlignment="1" pivotButton="0" quotePrefix="0" xfId="7">
      <alignment horizontal="left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0" fillId="19" borderId="85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10" fontId="26" fillId="0" borderId="85" applyAlignment="1" pivotButton="0" quotePrefix="0" xfId="7">
      <alignment horizontal="center" vertical="center" shrinkToFit="1"/>
    </xf>
    <xf numFmtId="0" fontId="2" fillId="12" borderId="8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2" fontId="14" fillId="13" borderId="15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3" t="inlineStr">
        <is>
          <t>Weightage for AMC Ranking</t>
        </is>
      </c>
      <c r="C3" s="364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81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4"/>
    <col width="8" customWidth="1" style="329" min="15" max="16384"/>
  </cols>
  <sheetData>
    <row r="2" ht="15" customHeight="1">
      <c r="A2" s="358" t="inlineStr">
        <is>
          <t>Financial Product Catalog: A Ready Reckoner , As on 14th August 2026</t>
        </is>
      </c>
      <c r="B2" s="354" t="n"/>
      <c r="C2" s="354" t="n"/>
      <c r="D2" s="354" t="n"/>
      <c r="E2" s="354" t="n"/>
      <c r="F2" s="354" t="n"/>
      <c r="G2" s="355" t="n"/>
    </row>
    <row r="3" ht="15" customHeight="1">
      <c r="A3" s="353" t="n"/>
      <c r="B3" s="354" t="n"/>
      <c r="C3" s="354" t="n"/>
      <c r="D3" s="354" t="n"/>
      <c r="E3" s="354" t="n"/>
      <c r="F3" s="354" t="n"/>
      <c r="G3" s="355" t="n"/>
    </row>
    <row r="4" ht="15" customHeight="1">
      <c r="A4" s="358" t="inlineStr">
        <is>
          <t>Whats new? (August 2026)</t>
        </is>
      </c>
      <c r="B4" s="354" t="n"/>
      <c r="C4" s="355" t="n"/>
      <c r="D4" s="353" t="n"/>
      <c r="E4" s="359" t="inlineStr">
        <is>
          <t>Debt</t>
        </is>
      </c>
      <c r="F4" s="354" t="n"/>
      <c r="G4" s="355" t="n"/>
    </row>
    <row r="5" ht="15" customHeight="1">
      <c r="A5" s="356" t="inlineStr">
        <is>
          <t>Fund Name</t>
        </is>
      </c>
      <c r="B5" s="356" t="inlineStr">
        <is>
          <t>End Date</t>
        </is>
      </c>
      <c r="C5" s="355" t="n"/>
      <c r="D5" s="353" t="n"/>
      <c r="E5" s="354" t="n"/>
      <c r="F5" s="354" t="n"/>
      <c r="G5" s="355" t="n"/>
    </row>
    <row r="6" ht="25.5" customHeight="1">
      <c r="A6" s="362" t="inlineStr">
        <is>
          <t>SBI Balanced Hybrid Fund</t>
        </is>
      </c>
      <c r="B6" s="362" t="inlineStr">
        <is>
          <t>Aug 24, 2026</t>
        </is>
      </c>
      <c r="C6" s="355" t="n"/>
      <c r="D6" s="353" t="n"/>
      <c r="E6" s="343" t="inlineStr">
        <is>
          <t>Debt Mutual Funds (Ultra Short Duration)</t>
        </is>
      </c>
      <c r="F6" s="356" t="inlineStr">
        <is>
          <t>3-Year Return</t>
        </is>
      </c>
      <c r="G6" s="356" t="inlineStr">
        <is>
          <t>1-Year Return</t>
        </is>
      </c>
    </row>
    <row r="7" ht="15" customHeight="1">
      <c r="A7" s="362" t="inlineStr">
        <is>
          <t>UTI Balanced Hybrid Fund</t>
        </is>
      </c>
      <c r="B7" s="362" t="inlineStr">
        <is>
          <t>Aug 28, 2026</t>
        </is>
      </c>
      <c r="C7" s="355" t="n"/>
      <c r="D7" s="361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ITI Multi Asset Allocation Fund</t>
        </is>
      </c>
      <c r="B8" s="362" t="inlineStr">
        <is>
          <t>Aug 31, 2026</t>
        </is>
      </c>
      <c r="C8" s="355" t="n"/>
      <c r="D8" s="433" t="n"/>
      <c r="E8" s="343" t="inlineStr">
        <is>
          <t>Ultra Short - Fund Name ( Return CAGR )</t>
        </is>
      </c>
      <c r="F8" s="356" t="inlineStr">
        <is>
          <t>3-Year Return</t>
        </is>
      </c>
      <c r="G8" s="356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62" t="inlineStr">
        <is>
          <t>Sep 01, 2026</t>
        </is>
      </c>
      <c r="C9" s="355" t="n"/>
      <c r="D9" s="353" t="n"/>
      <c r="E9" s="362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59" t="inlineStr">
        <is>
          <t>Equity</t>
        </is>
      </c>
      <c r="B10" s="354" t="n"/>
      <c r="C10" s="355" t="n"/>
      <c r="D10" s="433" t="n"/>
      <c r="E10" s="362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56" t="inlineStr">
        <is>
          <t>Large Cap - Funds</t>
        </is>
      </c>
      <c r="B11" s="356" t="inlineStr">
        <is>
          <t>3-Year Return</t>
        </is>
      </c>
      <c r="C11" s="356" t="inlineStr">
        <is>
          <t>1-Year Return</t>
        </is>
      </c>
      <c r="D11" s="353" t="n"/>
      <c r="E11" s="362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0.0912</v>
      </c>
      <c r="C12" s="345" t="n">
        <v>-0.0031</v>
      </c>
      <c r="D12" s="360" t="n"/>
      <c r="E12" s="353" t="n"/>
      <c r="F12" s="354" t="n"/>
      <c r="G12" s="355" t="n"/>
    </row>
    <row r="13" ht="25.5" customHeight="1">
      <c r="A13" s="343" t="inlineStr">
        <is>
          <t>Large Cap - Funds (Return CAGR)</t>
        </is>
      </c>
      <c r="B13" s="356" t="inlineStr">
        <is>
          <t>3-Year Return</t>
        </is>
      </c>
      <c r="C13" s="356" t="inlineStr">
        <is>
          <t>1-Year Return</t>
        </is>
      </c>
      <c r="D13" s="360" t="n"/>
      <c r="E13" s="343" t="inlineStr">
        <is>
          <t>Debt Mutual Funds (Low Duration)</t>
        </is>
      </c>
      <c r="F13" s="356" t="inlineStr">
        <is>
          <t>3-Year Return</t>
        </is>
      </c>
      <c r="G13" s="356" t="inlineStr">
        <is>
          <t>1-Year Return</t>
        </is>
      </c>
    </row>
    <row r="14">
      <c r="A14" s="362">
        <f>'Summary '!D4</f>
        <v/>
      </c>
      <c r="B14" s="346">
        <f>'Summary '!E4</f>
        <v/>
      </c>
      <c r="C14" s="346">
        <f>'Summary '!F4</f>
        <v/>
      </c>
      <c r="D14" s="360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62">
        <f>'Summary '!D5</f>
        <v/>
      </c>
      <c r="B15" s="346">
        <f>'Summary '!E5</f>
        <v/>
      </c>
      <c r="C15" s="346">
        <f>'Summary '!F5</f>
        <v/>
      </c>
      <c r="D15" s="360" t="n"/>
      <c r="E15" s="343" t="inlineStr">
        <is>
          <t>Low Duration - Funds ( Return CAGR )</t>
        </is>
      </c>
      <c r="F15" s="356" t="inlineStr">
        <is>
          <t>3-Year Return</t>
        </is>
      </c>
      <c r="G15" s="356" t="inlineStr">
        <is>
          <t>1-Year Return</t>
        </is>
      </c>
    </row>
    <row r="16">
      <c r="A16" s="362">
        <f>'Summary '!D6</f>
        <v/>
      </c>
      <c r="B16" s="346">
        <f>'Summary '!E6</f>
        <v/>
      </c>
      <c r="C16" s="346">
        <f>'Summary '!F6</f>
        <v/>
      </c>
      <c r="D16" s="360" t="n"/>
      <c r="E16" s="362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57" t="n">
        <v>2572605</v>
      </c>
      <c r="C17" s="355" t="n"/>
      <c r="D17" s="361" t="n"/>
      <c r="E17" s="362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53" t="n"/>
      <c r="B18" s="354" t="n"/>
      <c r="C18" s="354" t="n"/>
      <c r="D18" s="355" t="n"/>
      <c r="E18" s="362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56" t="inlineStr">
        <is>
          <t>3-Year Return</t>
        </is>
      </c>
      <c r="C19" s="356" t="inlineStr">
        <is>
          <t>1-Year Return</t>
        </is>
      </c>
      <c r="D19" s="348" t="n"/>
      <c r="E19" s="353" t="n"/>
      <c r="F19" s="354" t="n"/>
      <c r="G19" s="355" t="n"/>
    </row>
    <row r="20" ht="25.5" customHeight="1">
      <c r="A20" s="362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56" t="inlineStr">
        <is>
          <t>3-Year Return</t>
        </is>
      </c>
      <c r="G20" s="356" t="inlineStr">
        <is>
          <t>1-Year Return</t>
        </is>
      </c>
    </row>
    <row r="21">
      <c r="A21" s="362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62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56" t="inlineStr">
        <is>
          <t>3-Year Return</t>
        </is>
      </c>
      <c r="G22" s="356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57" t="n">
        <v>2646895</v>
      </c>
      <c r="C23" s="355" t="n"/>
      <c r="D23" s="348" t="n"/>
      <c r="E23" s="362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53" t="n"/>
      <c r="B24" s="354" t="n"/>
      <c r="C24" s="355" t="n"/>
      <c r="D24" s="348" t="n"/>
      <c r="E24" s="362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56" t="inlineStr">
        <is>
          <t>Mid Cap - Funds</t>
        </is>
      </c>
      <c r="B25" s="356" t="inlineStr">
        <is>
          <t>3-Year Return</t>
        </is>
      </c>
      <c r="C25" s="356" t="inlineStr">
        <is>
          <t>1-Year Return</t>
        </is>
      </c>
      <c r="D25" s="348" t="n"/>
      <c r="E25" s="362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0.1965</v>
      </c>
      <c r="C26" s="345" t="n">
        <v>0.1362</v>
      </c>
      <c r="D26" s="348" t="n"/>
      <c r="E26" s="353" t="n"/>
      <c r="F26" s="354" t="n"/>
      <c r="G26" s="355" t="n"/>
    </row>
    <row r="27" ht="25.5" customHeight="1">
      <c r="A27" s="343" t="inlineStr">
        <is>
          <t>Mid Cap - Funds  (Return CAGR)</t>
        </is>
      </c>
      <c r="B27" s="356" t="inlineStr">
        <is>
          <t>3-Year CAGR</t>
        </is>
      </c>
      <c r="C27" s="356" t="inlineStr">
        <is>
          <t>1-Year Return</t>
        </is>
      </c>
      <c r="D27" s="341" t="n"/>
      <c r="E27" s="343" t="inlineStr">
        <is>
          <t>Debt Mutual Funds (Medium Duration)</t>
        </is>
      </c>
      <c r="F27" s="356" t="inlineStr">
        <is>
          <t>3-Year Return</t>
        </is>
      </c>
      <c r="G27" s="356" t="inlineStr">
        <is>
          <t>1-Year Return</t>
        </is>
      </c>
    </row>
    <row r="28">
      <c r="A28" s="362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62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56" t="inlineStr">
        <is>
          <t>3-Year Return</t>
        </is>
      </c>
      <c r="G29" s="356" t="inlineStr">
        <is>
          <t>1-Year Return</t>
        </is>
      </c>
    </row>
    <row r="30" ht="25.5" customHeight="1">
      <c r="A30" s="362">
        <f>'Summary '!D14</f>
        <v/>
      </c>
      <c r="B30" s="346">
        <f>'Summary '!E14</f>
        <v/>
      </c>
      <c r="C30" s="346">
        <f>'Summary '!F14</f>
        <v/>
      </c>
      <c r="D30" s="341" t="n"/>
      <c r="E30" s="362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57" t="n">
        <v>2767450</v>
      </c>
      <c r="C31" s="355" t="n"/>
      <c r="D31" s="341" t="n"/>
      <c r="E31" s="362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53" t="n"/>
      <c r="B32" s="354" t="n"/>
      <c r="C32" s="355" t="n"/>
      <c r="D32" s="341" t="n"/>
      <c r="E32" s="362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56" t="inlineStr">
        <is>
          <t>Small Cap - Funds</t>
        </is>
      </c>
      <c r="B33" s="356" t="inlineStr">
        <is>
          <t>3-Year Return</t>
        </is>
      </c>
      <c r="C33" s="356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0.1987</v>
      </c>
      <c r="C34" s="345" t="n">
        <v>0.1358</v>
      </c>
      <c r="D34" s="348" t="n"/>
      <c r="E34" s="343" t="inlineStr">
        <is>
          <t>Debt Mutual Funds (Medium to Long Duration)</t>
        </is>
      </c>
      <c r="F34" s="356" t="inlineStr">
        <is>
          <t>3-Year Return</t>
        </is>
      </c>
      <c r="G34" s="356" t="inlineStr">
        <is>
          <t>1-Year Return</t>
        </is>
      </c>
    </row>
    <row r="35">
      <c r="A35" s="343" t="inlineStr">
        <is>
          <t>Small Cap - Funds ( Return CAGR )</t>
        </is>
      </c>
      <c r="B35" s="356" t="inlineStr">
        <is>
          <t>3-Yr CAGR</t>
        </is>
      </c>
      <c r="C35" s="356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62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56" t="inlineStr">
        <is>
          <t>3-Year Return</t>
        </is>
      </c>
      <c r="G36" s="356" t="inlineStr">
        <is>
          <t>1-Year Return</t>
        </is>
      </c>
    </row>
    <row r="37" ht="25.5" customHeight="1">
      <c r="A37" s="362">
        <f>'Summary '!D17</f>
        <v/>
      </c>
      <c r="B37" s="346">
        <f>'Summary '!E17</f>
        <v/>
      </c>
      <c r="C37" s="346">
        <f>'Summary '!F17</f>
        <v/>
      </c>
      <c r="D37" s="348" t="n"/>
      <c r="E37" s="362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62">
        <f>'Summary '!D18</f>
        <v/>
      </c>
      <c r="B38" s="346">
        <f>'Summary '!E18</f>
        <v/>
      </c>
      <c r="C38" s="346">
        <f>'Summary '!F18</f>
        <v/>
      </c>
      <c r="D38" s="348" t="n"/>
      <c r="E38" s="362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57" t="n">
        <v>2767450</v>
      </c>
      <c r="C39" s="355" t="n"/>
      <c r="D39" s="348" t="n"/>
      <c r="E39" s="362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53" t="n"/>
      <c r="B40" s="354" t="n"/>
      <c r="C40" s="355" t="n"/>
      <c r="D40" s="353" t="n"/>
      <c r="E40" s="359" t="inlineStr">
        <is>
          <t>Others</t>
        </is>
      </c>
      <c r="F40" s="354" t="n"/>
      <c r="G40" s="355" t="n"/>
    </row>
    <row r="41" ht="25.5" customHeight="1">
      <c r="A41" s="356" t="inlineStr">
        <is>
          <t>Flexi Cap - Funds</t>
        </is>
      </c>
      <c r="B41" s="356" t="inlineStr">
        <is>
          <t>3-Year Return</t>
        </is>
      </c>
      <c r="C41" s="356" t="inlineStr">
        <is>
          <t>1-Year Return</t>
        </is>
      </c>
      <c r="D41" s="353" t="n"/>
      <c r="E41" s="356" t="inlineStr">
        <is>
          <t>Multi Asset</t>
        </is>
      </c>
      <c r="F41" s="356" t="inlineStr">
        <is>
          <t>3-Year Return</t>
        </is>
      </c>
      <c r="G41" s="356" t="inlineStr">
        <is>
          <t>1-Year Return</t>
        </is>
      </c>
    </row>
    <row r="42" ht="25.5" customHeight="1">
      <c r="A42" s="362">
        <f>'Summary '!D20</f>
        <v/>
      </c>
      <c r="B42" s="346" t="n">
        <v>0.1751</v>
      </c>
      <c r="C42" s="346" t="n">
        <v>0.0611</v>
      </c>
      <c r="D42" s="353" t="n"/>
      <c r="E42" s="344" t="inlineStr">
        <is>
          <t>Nifty 500</t>
        </is>
      </c>
      <c r="F42" s="345" t="n">
        <v>0.1301</v>
      </c>
      <c r="G42" s="345" t="n">
        <v>0.0486</v>
      </c>
    </row>
    <row r="43">
      <c r="A43" s="362">
        <f>'Summary '!D21</f>
        <v/>
      </c>
      <c r="B43" s="346">
        <f>'Summary '!E21</f>
        <v/>
      </c>
      <c r="C43" s="346">
        <f>'Summary '!F21</f>
        <v/>
      </c>
      <c r="D43" s="353" t="n"/>
      <c r="E43" s="362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62">
        <f>'Summary '!D22</f>
        <v/>
      </c>
      <c r="B44" s="346">
        <f>'Summary '!E22</f>
        <v/>
      </c>
      <c r="C44" s="346">
        <f>'Summary '!F22</f>
        <v/>
      </c>
      <c r="D44" s="353" t="n"/>
      <c r="E44" s="362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57" t="n">
        <v>2669566</v>
      </c>
      <c r="C45" s="355" t="n"/>
      <c r="D45" s="353" t="n"/>
      <c r="E45" s="362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53" t="n"/>
      <c r="E46" s="353" t="n"/>
      <c r="F46" s="353" t="n"/>
      <c r="G46" s="353" t="n"/>
    </row>
    <row r="47" ht="25.5" customHeight="1">
      <c r="A47" s="356" t="inlineStr">
        <is>
          <t>Thematic</t>
        </is>
      </c>
      <c r="B47" s="356" t="inlineStr">
        <is>
          <t>3-Year Return</t>
        </is>
      </c>
      <c r="C47" s="356" t="inlineStr">
        <is>
          <t>1-Year Return</t>
        </is>
      </c>
      <c r="D47" s="353" t="n"/>
      <c r="E47" s="356" t="inlineStr">
        <is>
          <t>BAF</t>
        </is>
      </c>
      <c r="F47" s="356" t="inlineStr">
        <is>
          <t>3-Year Return</t>
        </is>
      </c>
      <c r="G47" s="356" t="inlineStr">
        <is>
          <t>1-Year Return</t>
        </is>
      </c>
    </row>
    <row r="48">
      <c r="A48" s="344" t="inlineStr">
        <is>
          <t>Nifty 500</t>
        </is>
      </c>
      <c r="B48" s="345" t="n">
        <v>0.1301</v>
      </c>
      <c r="C48" s="345" t="n">
        <v>0.0486</v>
      </c>
      <c r="D48" s="353" t="n"/>
      <c r="E48" s="344" t="inlineStr">
        <is>
          <t>Nifty 50</t>
        </is>
      </c>
      <c r="F48" s="345" t="n">
        <v>0.0912</v>
      </c>
      <c r="G48" s="345" t="n">
        <v>-0.0031</v>
      </c>
    </row>
    <row r="49" ht="25.5" customHeight="1">
      <c r="A49" s="362">
        <f>'Summary '!D43</f>
        <v/>
      </c>
      <c r="B49" s="346">
        <f>'Summary '!E43</f>
        <v/>
      </c>
      <c r="C49" s="346">
        <f>'Summary '!F43</f>
        <v/>
      </c>
      <c r="D49" s="353" t="n"/>
      <c r="E49" s="362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62">
        <f>'Summary '!D44</f>
        <v/>
      </c>
      <c r="B50" s="346">
        <f>'Summary '!E44</f>
        <v/>
      </c>
      <c r="C50" s="346">
        <f>'Summary '!F44</f>
        <v/>
      </c>
      <c r="D50" s="353" t="n"/>
      <c r="E50" s="362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62">
        <f>'Summary '!D45</f>
        <v/>
      </c>
      <c r="B51" s="346">
        <f>'Summary '!E45</f>
        <v/>
      </c>
      <c r="C51" s="349">
        <f>'Summary '!F45</f>
        <v/>
      </c>
      <c r="D51" s="353" t="n"/>
      <c r="E51" s="362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H15" sqref="H15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2"/>
    <col width="8.7109375" customWidth="1" style="333" min="13" max="16384"/>
  </cols>
  <sheetData>
    <row r="2" ht="15" customHeight="1">
      <c r="B2" s="365" t="inlineStr">
        <is>
          <t>Financial Product Catalog: A Ready Reckoner , As on 14th August 2026</t>
        </is>
      </c>
      <c r="C2" s="366" t="n"/>
      <c r="D2" s="366" t="n"/>
      <c r="E2" s="367" t="n"/>
    </row>
    <row r="3" ht="15" customHeight="1">
      <c r="B3" s="375" t="n"/>
      <c r="C3" s="366" t="n"/>
      <c r="D3" s="366" t="n"/>
      <c r="E3" s="367" t="n"/>
    </row>
    <row r="4" ht="15" customHeight="1">
      <c r="B4" s="374" t="inlineStr">
        <is>
          <t>Credit ratings assessed by (e.g., CRISIL, ICRA, CARE)</t>
        </is>
      </c>
      <c r="C4" s="366" t="n"/>
      <c r="D4" s="366" t="n"/>
      <c r="E4" s="367" t="n"/>
    </row>
    <row r="5" ht="15" customHeight="1">
      <c r="B5" s="373" t="n"/>
      <c r="C5" s="366" t="n"/>
      <c r="D5" s="366" t="n"/>
      <c r="E5" s="367" t="n"/>
    </row>
    <row r="6" ht="15" customHeight="1">
      <c r="B6" s="371" t="inlineStr">
        <is>
          <t>Corporate FD's</t>
        </is>
      </c>
      <c r="C6" s="366" t="n"/>
      <c r="D6" s="366" t="n"/>
      <c r="E6" s="367" t="n"/>
    </row>
    <row r="7" ht="25.5" customHeight="1">
      <c r="B7" s="369" t="inlineStr">
        <is>
          <t>Institution</t>
        </is>
      </c>
      <c r="C7" s="369" t="inlineStr">
        <is>
          <t>3-Year FD Rate</t>
        </is>
      </c>
      <c r="D7" s="367" t="n"/>
      <c r="E7" s="369" t="inlineStr">
        <is>
          <t>1-Year FD Rate</t>
        </is>
      </c>
    </row>
    <row r="8" ht="15" customHeight="1">
      <c r="B8" s="334" t="inlineStr">
        <is>
          <t>SBI Bank FD</t>
        </is>
      </c>
      <c r="C8" s="370" t="inlineStr">
        <is>
          <t>6.30% - 6.80%</t>
        </is>
      </c>
      <c r="D8" s="367" t="n"/>
      <c r="E8" s="370" t="inlineStr">
        <is>
          <t>6.25% - 6.75%</t>
        </is>
      </c>
    </row>
    <row r="9" ht="13.5" customHeight="1">
      <c r="B9" s="331" t="inlineStr">
        <is>
          <t>Shriram Finance</t>
        </is>
      </c>
      <c r="C9" s="368" t="inlineStr">
        <is>
          <t>7.50% – 8.00%</t>
        </is>
      </c>
      <c r="D9" s="367" t="n"/>
      <c r="E9" s="368" t="inlineStr">
        <is>
          <t>6.85% – 7.35%</t>
        </is>
      </c>
    </row>
    <row r="10" ht="13.5" customHeight="1">
      <c r="B10" s="331" t="inlineStr">
        <is>
          <t>Bajaj Finance</t>
        </is>
      </c>
      <c r="C10" s="368" t="inlineStr">
        <is>
          <t>7.40% – 7.75%</t>
        </is>
      </c>
      <c r="D10" s="367" t="n"/>
      <c r="E10" s="368" t="inlineStr">
        <is>
          <t>6.60% – 6.95%</t>
        </is>
      </c>
    </row>
    <row r="11" ht="13.5" customHeight="1">
      <c r="B11" s="337" t="inlineStr">
        <is>
          <t>PNB Housing Finance</t>
        </is>
      </c>
      <c r="C11" s="368" t="inlineStr">
        <is>
          <t>7.10% – 7.35%</t>
        </is>
      </c>
      <c r="D11" s="367" t="n"/>
      <c r="E11" s="368" t="inlineStr">
        <is>
          <t>6.70% – 6.95%</t>
        </is>
      </c>
    </row>
    <row r="12" ht="13.5" customHeight="1">
      <c r="B12" s="331" t="inlineStr">
        <is>
          <t>ICICI Home Finance</t>
        </is>
      </c>
      <c r="C12" s="372" t="inlineStr">
        <is>
          <t>7.10% -7.45%</t>
        </is>
      </c>
      <c r="D12" s="367" t="n"/>
      <c r="E12" s="368" t="inlineStr">
        <is>
          <t>6.85% – 7.20%</t>
        </is>
      </c>
    </row>
    <row r="13" ht="13.5" customHeight="1">
      <c r="B13" s="337" t="inlineStr">
        <is>
          <t>LIC Housing Finance</t>
        </is>
      </c>
      <c r="C13" s="372" t="inlineStr">
        <is>
          <t>6.85% -7.10%</t>
        </is>
      </c>
      <c r="D13" s="367" t="n"/>
      <c r="E13" s="368" t="inlineStr">
        <is>
          <t>6.70% – 6.95%</t>
        </is>
      </c>
    </row>
    <row r="14" ht="15" customHeight="1">
      <c r="B14" s="371" t="inlineStr">
        <is>
          <t>Capital Gain Bonds/NCD</t>
        </is>
      </c>
      <c r="C14" s="366" t="n"/>
      <c r="D14" s="366" t="n"/>
      <c r="E14" s="367" t="n"/>
    </row>
    <row r="15" ht="15" customHeight="1">
      <c r="B15" s="369" t="inlineStr">
        <is>
          <t>Index Name</t>
        </is>
      </c>
      <c r="C15" s="369" t="inlineStr">
        <is>
          <t>5-Year Return</t>
        </is>
      </c>
      <c r="D15" s="366" t="n"/>
      <c r="E15" s="367" t="n"/>
    </row>
    <row r="16" ht="25.5" customHeight="1">
      <c r="B16" s="332" t="inlineStr">
        <is>
          <t>NIFTY 10 Year Benchmark G-Sec Index</t>
        </is>
      </c>
      <c r="C16" s="376" t="n">
        <v>0.055</v>
      </c>
      <c r="D16" s="366" t="n"/>
      <c r="E16" s="367" t="n"/>
    </row>
    <row r="17" ht="15" customHeight="1">
      <c r="B17" s="369" t="inlineStr">
        <is>
          <t>Issuer</t>
        </is>
      </c>
      <c r="C17" s="369" t="inlineStr">
        <is>
          <t>Interest Rate</t>
        </is>
      </c>
      <c r="D17" s="369" t="inlineStr">
        <is>
          <t>Tenure</t>
        </is>
      </c>
      <c r="E17" s="367" t="n"/>
    </row>
    <row r="18" ht="15" customHeight="1">
      <c r="B18" s="331" t="inlineStr">
        <is>
          <t>IRFC</t>
        </is>
      </c>
      <c r="C18" s="368" t="inlineStr">
        <is>
          <t>5.25% p.a.</t>
        </is>
      </c>
      <c r="D18" s="368" t="inlineStr">
        <is>
          <t>5 years</t>
        </is>
      </c>
      <c r="E18" s="367" t="n"/>
    </row>
    <row r="19" ht="15" customHeight="1">
      <c r="B19" s="331" t="inlineStr">
        <is>
          <t>PFC</t>
        </is>
      </c>
      <c r="C19" s="368" t="inlineStr">
        <is>
          <t>5.25% p.a.</t>
        </is>
      </c>
      <c r="D19" s="368" t="inlineStr">
        <is>
          <t>5 years</t>
        </is>
      </c>
      <c r="E19" s="367" t="n"/>
    </row>
    <row r="20" ht="15" customHeight="1">
      <c r="B20" s="331" t="inlineStr">
        <is>
          <t>REC</t>
        </is>
      </c>
      <c r="C20" s="368" t="inlineStr">
        <is>
          <t>5.25% p.a.</t>
        </is>
      </c>
      <c r="D20" s="368" t="inlineStr">
        <is>
          <t>5 years</t>
        </is>
      </c>
      <c r="E20" s="367" t="n"/>
    </row>
    <row r="21" ht="15" customHeight="1">
      <c r="B21" s="373" t="n"/>
      <c r="C21" s="366" t="n"/>
      <c r="D21" s="366" t="n"/>
      <c r="E21" s="367" t="n"/>
    </row>
    <row r="22" ht="15" customHeight="1">
      <c r="B22" s="371" t="inlineStr">
        <is>
          <t>RBI Floating Rate Savings Bond</t>
        </is>
      </c>
      <c r="C22" s="367" t="n"/>
      <c r="D22" s="371" t="inlineStr">
        <is>
          <t>Interest Rate</t>
        </is>
      </c>
      <c r="E22" s="367" t="n"/>
    </row>
    <row r="23" ht="15" customHeight="1">
      <c r="B23" s="368" t="inlineStr">
        <is>
          <t>HDFC</t>
        </is>
      </c>
      <c r="C23" s="367" t="n"/>
      <c r="D23" s="368" t="inlineStr">
        <is>
          <t>8.05% p.a.</t>
        </is>
      </c>
      <c r="E23" s="367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2"/>
    <col width="8.7109375" customWidth="1" style="115" min="23" max="16384"/>
  </cols>
  <sheetData>
    <row r="1" ht="15" customHeight="1" thickBot="1"/>
    <row r="2">
      <c r="B2" s="384" t="inlineStr">
        <is>
          <t>Equity</t>
        </is>
      </c>
      <c r="C2" s="385" t="n"/>
      <c r="D2" s="385" t="n"/>
      <c r="E2" s="385" t="n"/>
      <c r="F2" s="386" t="n"/>
      <c r="H2" s="384" t="inlineStr">
        <is>
          <t>Debt</t>
        </is>
      </c>
      <c r="I2" s="385" t="n"/>
      <c r="J2" s="385" t="n"/>
      <c r="K2" s="385" t="n"/>
      <c r="L2" s="38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80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80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81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81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80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80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81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81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80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80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81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81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80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80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81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81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80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7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81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79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80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81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3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2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7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79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2"/>
    <col width="8.7109375" customWidth="1" style="15" min="23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5" t="n"/>
      <c r="D4" s="385" t="n"/>
      <c r="E4" s="38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5" t="n"/>
      <c r="D25" s="385" t="n"/>
      <c r="E25" s="38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5" t="n"/>
      <c r="D34" s="385" t="n"/>
      <c r="E34" s="38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5" t="n"/>
      <c r="D37" s="385" t="n"/>
      <c r="E37" s="38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60" t="n"/>
      <c r="G6" s="360" t="n"/>
      <c r="H6" s="360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61" t="n"/>
      <c r="G7" s="361" t="n"/>
      <c r="H7" s="361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-0.4964</v>
      </c>
      <c r="F6" s="248" t="n">
        <v>11.1643</v>
      </c>
      <c r="G6" s="248" t="n">
        <v>10.4597</v>
      </c>
      <c r="H6" s="248" t="n">
        <v>11.2826</v>
      </c>
      <c r="I6" s="248" t="n">
        <v>0.0360525275072628</v>
      </c>
      <c r="J6" s="248" t="n">
        <v>0.168687623298955</v>
      </c>
      <c r="K6" s="248" t="n">
        <v>1.00812413145905</v>
      </c>
      <c r="L6" s="248" t="n">
        <v>11.8210087731845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-0.0326</v>
      </c>
      <c r="F7" s="248" t="n">
        <v>10.7445</v>
      </c>
      <c r="G7" s="248" t="n">
        <v>12.4799</v>
      </c>
      <c r="H7" s="248" t="n">
        <v>12.0862</v>
      </c>
      <c r="I7" s="249" t="n">
        <v>0.0367531476194319</v>
      </c>
      <c r="J7" s="249" t="n">
        <v>0.168508678268474</v>
      </c>
      <c r="K7" s="249" t="n">
        <v>0.941067047678505</v>
      </c>
      <c r="L7" s="249" t="n">
        <v>11.1247870524202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-1.849</v>
      </c>
      <c r="F8" s="248" t="n">
        <v>12.5272</v>
      </c>
      <c r="G8" s="248" t="n">
        <v>12.5862</v>
      </c>
      <c r="H8" s="248" t="n">
        <v>13.1097</v>
      </c>
      <c r="I8" s="249" t="n">
        <v>0.0483575299199979</v>
      </c>
      <c r="J8" s="249" t="n">
        <v>0.299517461294905</v>
      </c>
      <c r="K8" s="249" t="n">
        <v>0.930417882972408</v>
      </c>
      <c r="L8" s="249" t="n">
        <v>11.1080895272279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-0.3525</v>
      </c>
      <c r="F9" s="248" t="n">
        <v>11.252</v>
      </c>
      <c r="G9" s="248" t="n">
        <v>9.9626</v>
      </c>
      <c r="H9" s="248" t="n">
        <v>11.8504</v>
      </c>
      <c r="I9" s="249" t="n">
        <v>0.036538396130605</v>
      </c>
      <c r="J9" s="249" t="n">
        <v>0.170311263141255</v>
      </c>
      <c r="K9" s="249" t="n">
        <v>0.970709413318767</v>
      </c>
      <c r="L9" s="249" t="n">
        <v>11.4467153150359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-1.7915</v>
      </c>
      <c r="F10" s="248" t="n">
        <v>12.2756</v>
      </c>
      <c r="G10" s="248" t="n">
        <v>14.4045</v>
      </c>
      <c r="H10" s="248" t="n">
        <v>13.5727</v>
      </c>
      <c r="I10" s="249" t="n">
        <v>0.0464699971604885</v>
      </c>
      <c r="J10" s="249" t="n">
        <v>0.267984277736779</v>
      </c>
      <c r="K10" s="249" t="n">
        <v>0.962535745229477</v>
      </c>
      <c r="L10" s="249" t="n">
        <v>11.3677156306544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1.3077</v>
      </c>
      <c r="F11" s="248" t="n">
        <v>10.4131</v>
      </c>
      <c r="G11" s="248" t="n">
        <v>10.5029</v>
      </c>
      <c r="H11" s="248" t="n">
        <v>11.3981</v>
      </c>
      <c r="I11" s="249" t="n">
        <v>0.0298451705750247</v>
      </c>
      <c r="J11" s="249" t="n">
        <v>0.07543120338400459</v>
      </c>
      <c r="K11" s="249" t="n">
        <v>0.941147432338947</v>
      </c>
      <c r="L11" s="249" t="n">
        <v>11.0544235061873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-2.7443</v>
      </c>
      <c r="F12" s="251" t="n">
        <v>8.772600000000001</v>
      </c>
      <c r="G12" s="251" t="n">
        <v>7.9079</v>
      </c>
      <c r="H12" s="251" t="n">
        <v>10.8649</v>
      </c>
      <c r="I12" s="250" t="n">
        <v>0.0201418704755188</v>
      </c>
      <c r="J12" s="250" t="n">
        <v>-0.0354035755372281</v>
      </c>
      <c r="K12" s="250" t="n">
        <v>0.981174839353803</v>
      </c>
      <c r="L12" s="250" t="n">
        <v>11.4145279672794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4.1737</v>
      </c>
      <c r="F17" s="252" t="n">
        <v>13.9015</v>
      </c>
      <c r="G17" s="248" t="n">
        <v>14.2544</v>
      </c>
      <c r="H17" s="248" t="n">
        <v>14.1601</v>
      </c>
      <c r="I17" s="249" t="n">
        <v>0.0575361476945483</v>
      </c>
      <c r="J17" s="249" t="n">
        <v>0.193865194663301</v>
      </c>
      <c r="K17" s="249" t="n">
        <v>0.877203013757601</v>
      </c>
      <c r="L17" s="249" t="n">
        <v>11.2668413984231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4.1996</v>
      </c>
      <c r="F18" s="252" t="n">
        <v>14.8889</v>
      </c>
      <c r="G18" s="248" t="n">
        <v>14.0891</v>
      </c>
      <c r="H18" s="248" t="n">
        <v>14.5404</v>
      </c>
      <c r="I18" s="249" t="n">
        <v>0.0581825425955557</v>
      </c>
      <c r="J18" s="249" t="n">
        <v>0.244090351134586</v>
      </c>
      <c r="K18" s="249" t="n">
        <v>0.956437369041611</v>
      </c>
      <c r="L18" s="249" t="n">
        <v>12.736978237371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3.349</v>
      </c>
      <c r="F19" s="252" t="n">
        <v>14.6509</v>
      </c>
      <c r="G19" s="248" t="n">
        <v>15.8551</v>
      </c>
      <c r="H19" s="248" t="n">
        <v>14.4063</v>
      </c>
      <c r="I19" s="249" t="n">
        <v>0.0582839721793303</v>
      </c>
      <c r="J19" s="249" t="n">
        <v>0.221721382800712</v>
      </c>
      <c r="K19" s="249" t="n">
        <v>1.04835381178693</v>
      </c>
      <c r="L19" s="249" t="n">
        <v>13.1504762936256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5.8223</v>
      </c>
      <c r="F20" s="252" t="n">
        <v>17.2085</v>
      </c>
      <c r="G20" s="248" t="n">
        <v>17.7538</v>
      </c>
      <c r="H20" s="248" t="n">
        <v>14.9596</v>
      </c>
      <c r="I20" s="249" t="n">
        <v>0.0784631599627863</v>
      </c>
      <c r="J20" s="249" t="n">
        <v>0.461292375065698</v>
      </c>
      <c r="K20" s="249" t="n">
        <v>0.891270972919067</v>
      </c>
      <c r="L20" s="249" t="n">
        <v>11.7814570686176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3.6418</v>
      </c>
      <c r="F21" s="252" t="n">
        <v>16.8642</v>
      </c>
      <c r="G21" s="248" t="n">
        <v>14.6246</v>
      </c>
      <c r="H21" s="248" t="n">
        <v>12.7429</v>
      </c>
      <c r="I21" s="249" t="n">
        <v>0.0715770811853346</v>
      </c>
      <c r="J21" s="249" t="n">
        <v>0.388731765090462</v>
      </c>
      <c r="K21" s="249" t="n">
        <v>0.9767910427679229</v>
      </c>
      <c r="L21" s="249" t="n">
        <v>12.5219868831162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7.3832</v>
      </c>
      <c r="F22" s="252" t="n">
        <v>13.0309</v>
      </c>
      <c r="G22" s="248" t="n">
        <v>9.2654</v>
      </c>
      <c r="H22" s="248" t="n">
        <v>10.971</v>
      </c>
      <c r="I22" s="249" t="n">
        <v>0.0463851565923452</v>
      </c>
      <c r="J22" s="249" t="n">
        <v>0.0740576481485776</v>
      </c>
      <c r="K22" s="249" t="n">
        <v>1.04908570973744</v>
      </c>
      <c r="L22" s="249" t="n">
        <v>13.3486358698155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4.4717</v>
      </c>
      <c r="F23" s="254" t="n">
        <v>16.4504</v>
      </c>
      <c r="G23" s="251" t="n">
        <v>15.0325</v>
      </c>
      <c r="H23" s="251" t="n">
        <v>13.7103</v>
      </c>
      <c r="I23" s="250" t="n">
        <v>0.0724865457983509</v>
      </c>
      <c r="J23" s="250" t="n">
        <v>0.385074157382534</v>
      </c>
      <c r="K23" s="250" t="n">
        <v>0.9338666697517251</v>
      </c>
      <c r="L23" s="250" t="n">
        <v>12.0067178852969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7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9.379</v>
      </c>
      <c r="F28" s="248" t="n">
        <v>19.498</v>
      </c>
      <c r="G28" s="248" t="n">
        <v>20.6196</v>
      </c>
      <c r="H28" s="248" t="n">
        <v>16.9642</v>
      </c>
      <c r="I28" s="249" t="n">
        <v>0.0851257247924871</v>
      </c>
      <c r="J28" s="249" t="n">
        <v>0.440100539968273</v>
      </c>
      <c r="K28" s="249" t="n">
        <v>0.889335721001969</v>
      </c>
      <c r="L28" s="249" t="n">
        <v>13.3349412495656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7.161</v>
      </c>
      <c r="F29" s="248" t="n">
        <v>18.7329</v>
      </c>
      <c r="G29" s="248" t="n">
        <v>17.2942</v>
      </c>
      <c r="H29" s="248" t="n">
        <v>16.9133</v>
      </c>
      <c r="I29" s="249" t="n">
        <v>0.07575573720850511</v>
      </c>
      <c r="J29" s="249" t="n">
        <v>0.380688017775206</v>
      </c>
      <c r="K29" s="249" t="n">
        <v>0.943307947781176</v>
      </c>
      <c r="L29" s="249" t="n">
        <v>14.7568379885432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8.7834</v>
      </c>
      <c r="F30" s="248" t="n">
        <v>20.7192</v>
      </c>
      <c r="G30" s="248" t="n">
        <v>19.4935</v>
      </c>
      <c r="H30" s="248" t="n">
        <v>17.8625</v>
      </c>
      <c r="I30" s="249" t="n">
        <v>0.08406455852469211</v>
      </c>
      <c r="J30" s="249" t="n">
        <v>0.473713397835086</v>
      </c>
      <c r="K30" s="249" t="n">
        <v>0.995284046348844</v>
      </c>
      <c r="L30" s="249" t="n">
        <v>14.8881005839889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5.4322</v>
      </c>
      <c r="F31" s="248" t="n">
        <v>12.7883</v>
      </c>
      <c r="G31" s="248" t="n">
        <v>14.6989</v>
      </c>
      <c r="H31" s="248" t="n">
        <v>13.3856</v>
      </c>
      <c r="I31" s="249" t="n">
        <v>0.042996298505751</v>
      </c>
      <c r="J31" s="249" t="n">
        <v>-0.112489770560197</v>
      </c>
      <c r="K31" s="249" t="n">
        <v>0.88873420460931</v>
      </c>
      <c r="L31" s="249" t="n">
        <v>13.5380519531554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5.5887</v>
      </c>
      <c r="F32" s="248" t="n">
        <v>13.7671</v>
      </c>
      <c r="G32" s="248" t="n">
        <v>13.3654</v>
      </c>
      <c r="H32" s="248" t="n">
        <v>13.6419</v>
      </c>
      <c r="I32" s="249" t="n">
        <v>0.0495772398758562</v>
      </c>
      <c r="J32" s="249" t="n">
        <v>-0.0380818695556494</v>
      </c>
      <c r="K32" s="249" t="n">
        <v>0.973723708004567</v>
      </c>
      <c r="L32" s="249" t="n">
        <v>14.5816145139872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15.786</v>
      </c>
      <c r="F33" s="248" t="n">
        <v>23.3813</v>
      </c>
      <c r="G33" s="248" t="n">
        <v>18.4913</v>
      </c>
      <c r="H33" s="248" t="n">
        <v>16.4602</v>
      </c>
      <c r="I33" s="249" t="n">
        <v>0.0893313694362511</v>
      </c>
      <c r="J33" s="249" t="n">
        <v>0.620923000360132</v>
      </c>
      <c r="K33" s="249" t="n">
        <v>1.01775942396915</v>
      </c>
      <c r="L33" s="249" t="n">
        <v>15.8548613265626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9.9404</v>
      </c>
      <c r="F34" s="251" t="n">
        <v>17.8199</v>
      </c>
      <c r="G34" s="251" t="n">
        <v>15.3875</v>
      </c>
      <c r="H34" s="251" t="n">
        <v>13.282</v>
      </c>
      <c r="I34" s="250" t="n">
        <v>0.0667372884332372</v>
      </c>
      <c r="J34" s="250" t="n">
        <v>0.210192077932461</v>
      </c>
      <c r="K34" s="250" t="n">
        <v>1.05474211927594</v>
      </c>
      <c r="L34" s="250" t="n">
        <v>15.5012108797756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7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9.817600000000001</v>
      </c>
      <c r="F39" s="248" t="n">
        <v>17.0662</v>
      </c>
      <c r="G39" s="248" t="n">
        <v>20.0911</v>
      </c>
      <c r="H39" s="248" t="n">
        <v>20.6313</v>
      </c>
      <c r="I39" s="249" t="n">
        <v>0.0616771445945847</v>
      </c>
      <c r="J39" s="249" t="n">
        <v>0.316377913498703</v>
      </c>
      <c r="K39" s="249" t="n">
        <v>0.850943467001418</v>
      </c>
      <c r="L39" s="249" t="n">
        <v>16.3724436880667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-1.4969</v>
      </c>
      <c r="F40" s="248" t="n">
        <v>11.8507</v>
      </c>
      <c r="G40" s="248" t="n">
        <v>15.7831</v>
      </c>
      <c r="H40" s="248" t="n">
        <v>16.7008</v>
      </c>
      <c r="I40" s="249" t="n">
        <v>0.04151565440512</v>
      </c>
      <c r="J40" s="249" t="n">
        <v>0.09601518429735641</v>
      </c>
      <c r="K40" s="249" t="n">
        <v>0.7912673486746949</v>
      </c>
      <c r="L40" s="249" t="n">
        <v>15.0206204381045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7.3856</v>
      </c>
      <c r="F41" s="248" t="n">
        <v>12.9108</v>
      </c>
      <c r="G41" s="248" t="n">
        <v>15.1653</v>
      </c>
      <c r="H41" s="248" t="n">
        <v>18.0777</v>
      </c>
      <c r="I41" s="249" t="n">
        <v>0.0445829998405728</v>
      </c>
      <c r="J41" s="249" t="n">
        <v>0.144004071623424</v>
      </c>
      <c r="K41" s="249" t="n">
        <v>0.814129904774858</v>
      </c>
      <c r="L41" s="249" t="n">
        <v>15.4054983750628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5.9319</v>
      </c>
      <c r="F42" s="248" t="n">
        <v>13.07</v>
      </c>
      <c r="G42" s="248" t="n">
        <v>13.6292</v>
      </c>
      <c r="H42" s="248" t="n">
        <v>16.1907</v>
      </c>
      <c r="I42" s="249" t="n">
        <v>0.0440515198788469</v>
      </c>
      <c r="J42" s="249" t="n">
        <v>0.0362678032872923</v>
      </c>
      <c r="K42" s="249" t="n">
        <v>0.839718586597632</v>
      </c>
      <c r="L42" s="249" t="n">
        <v>16.3569473836111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4.0425</v>
      </c>
      <c r="F43" s="248" t="n">
        <v>12.7033</v>
      </c>
      <c r="G43" s="248" t="n">
        <v>14.9811</v>
      </c>
      <c r="H43" s="248" t="n">
        <v>15.3489</v>
      </c>
      <c r="I43" s="249" t="n">
        <v>0.0437706637607015</v>
      </c>
      <c r="J43" s="249" t="n">
        <v>0.0396707917476419</v>
      </c>
      <c r="K43" s="249" t="n">
        <v>0.750651498675913</v>
      </c>
      <c r="L43" s="249" t="n">
        <v>14.8814571444706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17.7142</v>
      </c>
      <c r="F44" s="248" t="n">
        <v>16.4908</v>
      </c>
      <c r="G44" s="248" t="n">
        <v>14.7623</v>
      </c>
      <c r="H44" s="248" t="n">
        <v>12.7943</v>
      </c>
      <c r="I44" s="249" t="n">
        <v>0.0581846086832682</v>
      </c>
      <c r="J44" s="249" t="n">
        <v>0.397884221104678</v>
      </c>
      <c r="K44" s="249" t="n">
        <v>0.897115144795267</v>
      </c>
      <c r="L44" s="249" t="n">
        <v>17.1185082003804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6.6801</v>
      </c>
      <c r="F45" s="251" t="n">
        <v>15.5476</v>
      </c>
      <c r="G45" s="251" t="n">
        <v>15.8552</v>
      </c>
      <c r="H45" s="251" t="n">
        <v>0</v>
      </c>
      <c r="I45" s="250" t="n">
        <v>0.0519452891940753</v>
      </c>
      <c r="J45" s="250" t="n">
        <v>0.152628663910169</v>
      </c>
      <c r="K45" s="250" t="n">
        <v>0.8813698859765871</v>
      </c>
      <c r="L45" s="250" t="n">
        <v>16.7647655623044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7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13.7511</v>
      </c>
      <c r="F50" s="248" t="n">
        <v>16.1902</v>
      </c>
      <c r="G50" s="248" t="n">
        <v>12.7932</v>
      </c>
      <c r="H50" s="248" t="n">
        <v>14.4697</v>
      </c>
      <c r="I50" s="249" t="n">
        <v>0.08438249561333989</v>
      </c>
      <c r="J50" s="249" t="n">
        <v>0.542440508798463</v>
      </c>
      <c r="K50" s="249" t="n">
        <v>0.6712098610327289</v>
      </c>
      <c r="L50" s="249" t="n">
        <v>9.29873052040873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1.1567</v>
      </c>
      <c r="F51" s="248" t="n">
        <v>16.1903</v>
      </c>
      <c r="G51" s="248" t="n">
        <v>18.7211</v>
      </c>
      <c r="H51" s="248" t="n">
        <v>13.8657</v>
      </c>
      <c r="I51" s="249" t="n">
        <v>0.0732580705571509</v>
      </c>
      <c r="J51" s="249" t="n">
        <v>0.498413369238264</v>
      </c>
      <c r="K51" s="249" t="n">
        <v>0.887176510303875</v>
      </c>
      <c r="L51" s="249" t="n">
        <v>11.5701051169733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2.5696</v>
      </c>
      <c r="F52" s="248" t="n">
        <v>11.8086</v>
      </c>
      <c r="G52" s="248" t="n">
        <v>5.6832</v>
      </c>
      <c r="H52" s="248" t="n">
        <v>11.3571</v>
      </c>
      <c r="I52" s="249" t="n">
        <v>0.0305415807712044</v>
      </c>
      <c r="J52" s="249" t="n">
        <v>0.00482148972403396</v>
      </c>
      <c r="K52" s="249" t="n">
        <v>0.983393775613683</v>
      </c>
      <c r="L52" s="249" t="n">
        <v>12.83111534208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2.3055</v>
      </c>
      <c r="F54" s="248" t="n">
        <v>11.2913</v>
      </c>
      <c r="G54" s="248" t="n">
        <v>11.8653</v>
      </c>
      <c r="H54" s="248" t="n">
        <v>12.6995</v>
      </c>
      <c r="I54" s="249" t="n">
        <v>0.0424238955607246</v>
      </c>
      <c r="J54" s="249" t="n">
        <v>0.163385343880022</v>
      </c>
      <c r="K54" s="249" t="n">
        <v>0.943608127378277</v>
      </c>
      <c r="L54" s="249" t="n">
        <v>12.0077731553356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8.6328</v>
      </c>
      <c r="F55" s="248" t="n">
        <v>15.5994</v>
      </c>
      <c r="G55" s="248" t="n">
        <v>12.823</v>
      </c>
      <c r="H55" s="248" t="n">
        <v>0</v>
      </c>
      <c r="I55" s="249" t="n">
        <v>0.0625561627423723</v>
      </c>
      <c r="J55" s="249" t="n">
        <v>0.380104349094221</v>
      </c>
      <c r="K55" s="249" t="n">
        <v>0.970093962111229</v>
      </c>
      <c r="L55" s="249" t="n">
        <v>12.1799452197335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1.4348</v>
      </c>
      <c r="F56" s="251" t="n">
        <v>11.3733</v>
      </c>
      <c r="G56" s="251" t="n">
        <v>0</v>
      </c>
      <c r="H56" s="251" t="n">
        <v>0</v>
      </c>
      <c r="I56" s="250" t="n">
        <v>0.0373772063456515</v>
      </c>
      <c r="J56" s="250" t="n">
        <v>0.0776926355734677</v>
      </c>
      <c r="K56" s="250" t="n">
        <v>1.00169907815753</v>
      </c>
      <c r="L56" s="250" t="n">
        <v>12.6269096538516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7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1.8178</v>
      </c>
      <c r="F61" s="248" t="n">
        <v>12.7011</v>
      </c>
      <c r="G61" s="248" t="n">
        <v>15.3869</v>
      </c>
      <c r="H61" s="248" t="n">
        <v>13.668</v>
      </c>
      <c r="I61" s="249" t="n">
        <v>0.0686301587089253</v>
      </c>
      <c r="J61" s="249" t="n">
        <v>0</v>
      </c>
      <c r="K61" s="249" t="n">
        <v>0</v>
      </c>
      <c r="L61" s="249" t="n">
        <v>8.84125603163289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7.1629</v>
      </c>
      <c r="F62" s="248" t="n">
        <v>12.2681</v>
      </c>
      <c r="G62" s="248" t="n">
        <v>11.257</v>
      </c>
      <c r="H62" s="248" t="n">
        <v>10.8378</v>
      </c>
      <c r="I62" s="249" t="n">
        <v>0.0799640614407726</v>
      </c>
      <c r="J62" s="249" t="n">
        <v>0</v>
      </c>
      <c r="K62" s="249" t="n">
        <v>0</v>
      </c>
      <c r="L62" s="249" t="n">
        <v>6.53500240378428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3.5563</v>
      </c>
      <c r="F63" s="248" t="n">
        <v>10.1354</v>
      </c>
      <c r="G63" s="248" t="n">
        <v>0</v>
      </c>
      <c r="H63" s="248" t="n">
        <v>0</v>
      </c>
      <c r="I63" s="249" t="n">
        <v>0.0577151521646736</v>
      </c>
      <c r="J63" s="249" t="n">
        <v>0</v>
      </c>
      <c r="K63" s="249" t="n">
        <v>0</v>
      </c>
      <c r="L63" s="249" t="n">
        <v>6.01587114524219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3.5554</v>
      </c>
      <c r="F64" s="248" t="n">
        <v>9.6968</v>
      </c>
      <c r="G64" s="248" t="n">
        <v>8.7271</v>
      </c>
      <c r="H64" s="248" t="n">
        <v>0</v>
      </c>
      <c r="I64" s="249" t="n">
        <v>0.0436611316846591</v>
      </c>
      <c r="J64" s="249" t="n">
        <v>0</v>
      </c>
      <c r="K64" s="249" t="n">
        <v>0</v>
      </c>
      <c r="L64" s="249" t="n">
        <v>6.9506650130127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-0.0111</v>
      </c>
      <c r="F65" s="248" t="n">
        <v>8.452</v>
      </c>
      <c r="G65" s="248" t="n">
        <v>0</v>
      </c>
      <c r="H65" s="248" t="n">
        <v>0</v>
      </c>
      <c r="I65" s="249" t="n">
        <v>0.0362821018899443</v>
      </c>
      <c r="J65" s="249" t="n">
        <v>0</v>
      </c>
      <c r="K65" s="249" t="n">
        <v>0</v>
      </c>
      <c r="L65" s="249" t="n">
        <v>7.04616871222395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4.461</v>
      </c>
      <c r="F66" s="248" t="n">
        <v>10.9082</v>
      </c>
      <c r="G66" s="248" t="n">
        <v>9.2737</v>
      </c>
      <c r="H66" s="248" t="n">
        <v>10.1434</v>
      </c>
      <c r="I66" s="249" t="n">
        <v>0.0561229017137189</v>
      </c>
      <c r="J66" s="249" t="n">
        <v>0</v>
      </c>
      <c r="K66" s="249" t="n">
        <v>0</v>
      </c>
      <c r="L66" s="249" t="n">
        <v>7.11970919214461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7.3079</v>
      </c>
      <c r="F67" s="251" t="n">
        <v>11.9093</v>
      </c>
      <c r="G67" s="251" t="n">
        <v>10.0243</v>
      </c>
      <c r="H67" s="251" t="n">
        <v>10.2825</v>
      </c>
      <c r="I67" s="250" t="n">
        <v>0.0670240908754814</v>
      </c>
      <c r="J67" s="250" t="n">
        <v>0</v>
      </c>
      <c r="K67" s="250" t="n">
        <v>0</v>
      </c>
      <c r="L67" s="250" t="n">
        <v>7.13789264873162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4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7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7.267</v>
      </c>
      <c r="F72" s="248" t="n">
        <v>15.2268</v>
      </c>
      <c r="G72" s="248" t="n">
        <v>16.9804</v>
      </c>
      <c r="H72" s="248" t="n">
        <v>14.8041</v>
      </c>
      <c r="I72" s="249" t="n">
        <v>0.100297046215352</v>
      </c>
      <c r="J72" s="249" t="n">
        <v>0</v>
      </c>
      <c r="K72" s="249" t="n">
        <v>0</v>
      </c>
      <c r="L72" s="249" t="n">
        <v>87.49774889773541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12.9055</v>
      </c>
      <c r="F73" s="248" t="n">
        <v>15.4128</v>
      </c>
      <c r="G73" s="248" t="n">
        <v>13.4062</v>
      </c>
      <c r="H73" s="248" t="n">
        <v>11.2526</v>
      </c>
      <c r="I73" s="249" t="n">
        <v>0.105317791784422</v>
      </c>
      <c r="J73" s="249" t="n">
        <v>0</v>
      </c>
      <c r="K73" s="249" t="n">
        <v>0</v>
      </c>
      <c r="L73" s="249" t="n">
        <v>84.31068353396731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19.725</v>
      </c>
      <c r="F74" s="248" t="n">
        <v>0</v>
      </c>
      <c r="G74" s="248" t="n">
        <v>0</v>
      </c>
      <c r="H74" s="248" t="n">
        <v>0</v>
      </c>
      <c r="I74" s="249" t="n">
        <v>0.101303530502488</v>
      </c>
      <c r="J74" s="249" t="n">
        <v>0</v>
      </c>
      <c r="K74" s="249" t="n">
        <v>0</v>
      </c>
      <c r="L74" s="249" t="n">
        <v>111.664075100595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15.7023</v>
      </c>
      <c r="F75" s="248" t="n">
        <v>19.06</v>
      </c>
      <c r="G75" s="248" t="n">
        <v>15.1319</v>
      </c>
      <c r="H75" s="248" t="n">
        <v>0</v>
      </c>
      <c r="I75" s="249" t="n">
        <v>0.124163807237775</v>
      </c>
      <c r="J75" s="249" t="n">
        <v>0</v>
      </c>
      <c r="K75" s="249" t="n">
        <v>0</v>
      </c>
      <c r="L75" s="249" t="n">
        <v>92.8853958941498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7.3782</v>
      </c>
      <c r="F76" s="248" t="n">
        <v>16.2665</v>
      </c>
      <c r="G76" s="248" t="n">
        <v>13.4175</v>
      </c>
      <c r="H76" s="248" t="n">
        <v>10.4508</v>
      </c>
      <c r="I76" s="249" t="n">
        <v>0.08931565405355631</v>
      </c>
      <c r="J76" s="249" t="n">
        <v>0</v>
      </c>
      <c r="K76" s="249" t="n">
        <v>0</v>
      </c>
      <c r="L76" s="249" t="n">
        <v>100.638507479535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15.7085</v>
      </c>
      <c r="F78" s="251" t="n">
        <v>16.282</v>
      </c>
      <c r="G78" s="251" t="n">
        <v>0</v>
      </c>
      <c r="H78" s="251" t="n">
        <v>0</v>
      </c>
      <c r="I78" s="250" t="n">
        <v>0.08493479675925571</v>
      </c>
      <c r="J78" s="250" t="n">
        <v>0</v>
      </c>
      <c r="K78" s="250" t="n">
        <v>0</v>
      </c>
      <c r="L78" s="250" t="n">
        <v>105.151453224076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4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12.3445</v>
      </c>
      <c r="F83" s="84" t="n">
        <v>22.6282</v>
      </c>
      <c r="G83" s="84" t="n">
        <v>23.7539</v>
      </c>
      <c r="H83" s="84" t="n">
        <v>0</v>
      </c>
      <c r="I83" s="84" t="n">
        <v>0.0714387445559154</v>
      </c>
      <c r="J83" s="84" t="n">
        <v>0.373702597902521</v>
      </c>
      <c r="K83" s="84" t="n">
        <v>0.959194257800249</v>
      </c>
      <c r="L83" s="84" t="n">
        <v>19.6609550197765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5.4645</v>
      </c>
      <c r="F84" s="84" t="n">
        <v>11.4393</v>
      </c>
      <c r="G84" s="84" t="n">
        <v>11.5459</v>
      </c>
      <c r="H84" s="84" t="n">
        <v>11.3789</v>
      </c>
      <c r="I84" s="84" t="n">
        <v>0.034009678588472</v>
      </c>
      <c r="J84" s="84" t="n">
        <v>0.0502001886578008</v>
      </c>
      <c r="K84" s="84" t="n">
        <v>0.942547890912899</v>
      </c>
      <c r="L84" s="84" t="n">
        <v>14.1045079457397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7.9748</v>
      </c>
      <c r="F85" s="84" t="n">
        <v>0</v>
      </c>
      <c r="G85" s="84" t="n">
        <v>0</v>
      </c>
      <c r="H85" s="84" t="n">
        <v>0</v>
      </c>
      <c r="I85" s="84" t="n">
        <v>-0.0185702975659993</v>
      </c>
      <c r="J85" s="84" t="n">
        <v>-0.018866238335798</v>
      </c>
      <c r="K85" s="84" t="n">
        <v>1.07853026727835</v>
      </c>
      <c r="L85" s="84" t="n">
        <v>13.3996046018224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8.567500000000001</v>
      </c>
      <c r="F86" s="84" t="n">
        <v>13.6415</v>
      </c>
      <c r="G86" s="84" t="n">
        <v>0</v>
      </c>
      <c r="H86" s="84" t="n">
        <v>0</v>
      </c>
      <c r="I86" s="84" t="n">
        <v>0.0481845116371378</v>
      </c>
      <c r="J86" s="84" t="n">
        <v>0.239646757731025</v>
      </c>
      <c r="K86" s="84" t="n">
        <v>0.995126634188769</v>
      </c>
      <c r="L86" s="84" t="n">
        <v>12.4260550263524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3.9474</v>
      </c>
      <c r="F87" s="84" t="n">
        <v>0</v>
      </c>
      <c r="G87" s="84" t="n">
        <v>0</v>
      </c>
      <c r="H87" s="84" t="n">
        <v>0</v>
      </c>
      <c r="I87" s="84" t="n">
        <v>0.009789562832561331</v>
      </c>
      <c r="J87" s="84" t="n">
        <v>0</v>
      </c>
      <c r="K87" s="84" t="n">
        <v>0</v>
      </c>
      <c r="L87" s="84" t="n">
        <v>13.9556940268819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22.093</v>
      </c>
      <c r="F88" s="84" t="n">
        <v>0</v>
      </c>
      <c r="G88" s="84" t="n">
        <v>0</v>
      </c>
      <c r="H88" s="84" t="n">
        <v>0</v>
      </c>
      <c r="I88" s="84" t="n">
        <v>0.0803911589949209</v>
      </c>
      <c r="J88" s="84" t="n">
        <v>1.29038386828126</v>
      </c>
      <c r="K88" s="84" t="n">
        <v>0.0375283548626193</v>
      </c>
      <c r="L88" s="84" t="n">
        <v>18.1330020125654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25.9432</v>
      </c>
      <c r="F89" s="84" t="n">
        <v>22.4911</v>
      </c>
      <c r="G89" s="84" t="n">
        <v>15.9547</v>
      </c>
      <c r="H89" s="84" t="n">
        <v>13.6231</v>
      </c>
      <c r="I89" s="84" t="n">
        <v>0.08656946029713571</v>
      </c>
      <c r="J89" s="84" t="n">
        <v>0.395209775761933</v>
      </c>
      <c r="K89" s="84" t="n">
        <v>1.02337962332074</v>
      </c>
      <c r="L89" s="84" t="n">
        <v>15.0125513915954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15.3725</v>
      </c>
      <c r="F90" s="84" t="n">
        <v>20.7264</v>
      </c>
      <c r="G90" s="84" t="n">
        <v>13.6032</v>
      </c>
      <c r="H90" s="84" t="n">
        <v>0</v>
      </c>
      <c r="I90" s="84" t="n">
        <v>0.0942030863220991</v>
      </c>
      <c r="J90" s="84" t="n">
        <v>0.213472746580661</v>
      </c>
      <c r="K90" s="84" t="n">
        <v>0.909245303947834</v>
      </c>
      <c r="L90" s="84" t="n">
        <v>13.7411865104882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15.6627</v>
      </c>
      <c r="F91" s="84" t="n">
        <v>19.8368</v>
      </c>
      <c r="G91" s="84" t="n">
        <v>14.6234</v>
      </c>
      <c r="H91" s="84" t="n">
        <v>0</v>
      </c>
      <c r="I91" s="84" t="n">
        <v>0.0852642855526739</v>
      </c>
      <c r="J91" s="84" t="n">
        <v>0.712192992253176</v>
      </c>
      <c r="K91" s="84" t="n">
        <v>0.999438746350068</v>
      </c>
      <c r="L91" s="84" t="n">
        <v>12.6512271748293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2.8106</v>
      </c>
      <c r="F92" s="84" t="n">
        <v>12.1617</v>
      </c>
      <c r="G92" s="84" t="n">
        <v>8.5017</v>
      </c>
      <c r="H92" s="84" t="n">
        <v>0</v>
      </c>
      <c r="I92" s="84" t="n">
        <v>0.0380181885667821</v>
      </c>
      <c r="J92" s="84" t="n">
        <v>0.0842983847816471</v>
      </c>
      <c r="K92" s="84" t="n">
        <v>1.01903730812358</v>
      </c>
      <c r="L92" s="84" t="n">
        <v>13.1445177588413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0.1388</v>
      </c>
      <c r="F93" s="84" t="n">
        <v>0</v>
      </c>
      <c r="G93" s="84" t="n">
        <v>0</v>
      </c>
      <c r="H93" s="84" t="n">
        <v>0</v>
      </c>
      <c r="I93" s="84" t="n">
        <v>0.00928525409036499</v>
      </c>
      <c r="J93" s="84" t="n">
        <v>-0.127701711952919</v>
      </c>
      <c r="K93" s="84" t="n">
        <v>0.924266066304792</v>
      </c>
      <c r="L93" s="84" t="n">
        <v>11.3904315094923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0.5795</v>
      </c>
      <c r="F94" s="84" t="n">
        <v>0</v>
      </c>
      <c r="G94" s="84" t="n">
        <v>0</v>
      </c>
      <c r="H94" s="84" t="n">
        <v>0</v>
      </c>
      <c r="I94" s="84" t="n">
        <v>0.0115488873555728</v>
      </c>
      <c r="J94" s="84" t="n">
        <v>-0.271511434763266</v>
      </c>
      <c r="K94" s="84" t="n">
        <v>1.12470029755834</v>
      </c>
      <c r="L94" s="84" t="n">
        <v>18.4161430867371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8.127599999999999</v>
      </c>
      <c r="F95" s="84" t="n">
        <v>22.1281</v>
      </c>
      <c r="G95" s="84" t="n">
        <v>15.911</v>
      </c>
      <c r="H95" s="84" t="n">
        <v>0</v>
      </c>
      <c r="I95" s="84" t="n">
        <v>0.102867680718014</v>
      </c>
      <c r="J95" s="84" t="n">
        <v>0.308722799340431</v>
      </c>
      <c r="K95" s="84" t="n">
        <v>0.914011413660291</v>
      </c>
      <c r="L95" s="84" t="n">
        <v>13.5647910534081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-0.283</v>
      </c>
      <c r="F96" s="84" t="n">
        <v>0</v>
      </c>
      <c r="G96" s="84" t="n">
        <v>0</v>
      </c>
      <c r="H96" s="84" t="n">
        <v>0</v>
      </c>
      <c r="I96" s="84" t="n">
        <v>-0.00342298851291914</v>
      </c>
      <c r="J96" s="84" t="n">
        <v>0.108885142863394</v>
      </c>
      <c r="K96" s="84" t="n">
        <v>0.9210842135828879</v>
      </c>
      <c r="L96" s="84" t="n">
        <v>10.1353309719374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-1.0794</v>
      </c>
      <c r="F97" s="84" t="n">
        <v>11.7305</v>
      </c>
      <c r="G97" s="84" t="n">
        <v>14.4189</v>
      </c>
      <c r="H97" s="84" t="n">
        <v>0</v>
      </c>
      <c r="I97" s="84" t="n">
        <v>0.0433744013839076</v>
      </c>
      <c r="J97" s="84" t="n">
        <v>0.138313100894421</v>
      </c>
      <c r="K97" s="84" t="n">
        <v>0.872140526029155</v>
      </c>
      <c r="L97" s="84" t="n">
        <v>12.4992016804035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17.1717</v>
      </c>
      <c r="F98" s="84" t="n">
        <v>24.9182</v>
      </c>
      <c r="G98" s="84" t="n">
        <v>0</v>
      </c>
      <c r="H98" s="84" t="n">
        <v>0</v>
      </c>
      <c r="I98" s="84" t="n">
        <v>0.0928791777597486</v>
      </c>
      <c r="J98" s="84" t="n">
        <v>1.35710477346517</v>
      </c>
      <c r="K98" s="84" t="n">
        <v>0.0360639617063797</v>
      </c>
      <c r="L98" s="84" t="n">
        <v>16.2232256499449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10.7235</v>
      </c>
      <c r="F99" s="84" t="n">
        <v>16.9125</v>
      </c>
      <c r="G99" s="84" t="n">
        <v>15.2375</v>
      </c>
      <c r="H99" s="84" t="n">
        <v>0</v>
      </c>
      <c r="I99" s="84" t="n">
        <v>0.0645814028828966</v>
      </c>
      <c r="J99" s="84" t="n">
        <v>0.161510791080374</v>
      </c>
      <c r="K99" s="84" t="n">
        <v>0.931475920500543</v>
      </c>
      <c r="L99" s="84" t="n">
        <v>14.4782948102277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0.6344</v>
      </c>
      <c r="F100" s="84" t="n">
        <v>12.9738</v>
      </c>
      <c r="G100" s="84" t="n">
        <v>0</v>
      </c>
      <c r="H100" s="84" t="n">
        <v>0</v>
      </c>
      <c r="I100" s="84" t="n">
        <v>0.0502030906588007</v>
      </c>
      <c r="J100" s="84" t="n">
        <v>0.256379383618006</v>
      </c>
      <c r="K100" s="84" t="n">
        <v>0.865166778182146</v>
      </c>
      <c r="L100" s="84" t="n">
        <v>12.9063177014506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7.874</v>
      </c>
      <c r="F101" s="84" t="n">
        <v>22.3104</v>
      </c>
      <c r="G101" s="84" t="n">
        <v>0</v>
      </c>
      <c r="H101" s="84" t="n">
        <v>0</v>
      </c>
      <c r="I101" s="84" t="n">
        <v>0.0727446647066758</v>
      </c>
      <c r="J101" s="84" t="n">
        <v>0.367738042364654</v>
      </c>
      <c r="K101" s="84" t="n">
        <v>0.912005444910758</v>
      </c>
      <c r="L101" s="84" t="n">
        <v>18.5288545418083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5.1758</v>
      </c>
      <c r="F102" s="84" t="n">
        <v>0</v>
      </c>
      <c r="G102" s="84" t="n">
        <v>0</v>
      </c>
      <c r="H102" s="84" t="n">
        <v>0</v>
      </c>
      <c r="I102" s="84" t="n">
        <v>0.00157426455996672</v>
      </c>
      <c r="J102" s="84" t="n">
        <v>0.231780963711481</v>
      </c>
      <c r="K102" s="84" t="n">
        <v>0.804316863038101</v>
      </c>
      <c r="L102" s="84" t="n">
        <v>10.6909818735988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8.676299999999999</v>
      </c>
      <c r="F103" s="84" t="n">
        <v>11.8412</v>
      </c>
      <c r="G103" s="84" t="n">
        <v>12.2583</v>
      </c>
      <c r="H103" s="84" t="n">
        <v>0</v>
      </c>
      <c r="I103" s="84" t="n">
        <v>0.0530828600798137</v>
      </c>
      <c r="J103" s="84" t="n">
        <v>0.246404711476222</v>
      </c>
      <c r="K103" s="84" t="n">
        <v>0.767805735906706</v>
      </c>
      <c r="L103" s="84" t="n">
        <v>10.9286166030339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-2.9978</v>
      </c>
      <c r="F104" s="84" t="n">
        <v>12.7019</v>
      </c>
      <c r="G104" s="84" t="n">
        <v>10.1774</v>
      </c>
      <c r="H104" s="84" t="n">
        <v>0</v>
      </c>
      <c r="I104" s="84" t="n">
        <v>0.0489278278240124</v>
      </c>
      <c r="J104" s="84" t="n">
        <v>0.235290365132422</v>
      </c>
      <c r="K104" s="84" t="n">
        <v>0.939118794502572</v>
      </c>
      <c r="L104" s="84" t="n">
        <v>12.6337560847078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-2.2727</v>
      </c>
      <c r="F105" s="84" t="n">
        <v>0</v>
      </c>
      <c r="G105" s="84" t="n">
        <v>0</v>
      </c>
      <c r="H105" s="84" t="n">
        <v>0</v>
      </c>
      <c r="I105" s="84" t="n">
        <v>0.0298541589860532</v>
      </c>
      <c r="J105" s="84" t="n">
        <v>-0.133412506318581</v>
      </c>
      <c r="K105" s="84" t="n">
        <v>0.9763211108759779</v>
      </c>
      <c r="L105" s="84" t="n">
        <v>12.0310008864574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2.0167</v>
      </c>
      <c r="F106" s="84" t="n">
        <v>13.2602</v>
      </c>
      <c r="G106" s="84" t="n">
        <v>11.8478</v>
      </c>
      <c r="H106" s="84" t="n">
        <v>0</v>
      </c>
      <c r="I106" s="84" t="n">
        <v>0.0579349818709719</v>
      </c>
      <c r="J106" s="84" t="n">
        <v>0.329030582743233</v>
      </c>
      <c r="K106" s="84" t="n">
        <v>0.8434530196203039</v>
      </c>
      <c r="L106" s="84" t="n">
        <v>10.4055848834658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10.0498</v>
      </c>
      <c r="F107" s="84" t="n">
        <v>0</v>
      </c>
      <c r="G107" s="84" t="n">
        <v>0</v>
      </c>
      <c r="H107" s="84" t="n">
        <v>0</v>
      </c>
      <c r="I107" s="84" t="n">
        <v>0.0333455158954261</v>
      </c>
      <c r="J107" s="84" t="n">
        <v>0.563985375354069</v>
      </c>
      <c r="K107" s="84" t="n">
        <v>0.882067379163484</v>
      </c>
      <c r="L107" s="84" t="n">
        <v>12.4591973347481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6.7711</v>
      </c>
      <c r="F108" s="84" t="n">
        <v>12.8754</v>
      </c>
      <c r="G108" s="84" t="n">
        <v>12.3524</v>
      </c>
      <c r="H108" s="84" t="n">
        <v>0</v>
      </c>
      <c r="I108" s="84" t="n">
        <v>0.0376406011195544</v>
      </c>
      <c r="J108" s="84" t="n">
        <v>0.110240895798296</v>
      </c>
      <c r="K108" s="84" t="n">
        <v>0.982695916457152</v>
      </c>
      <c r="L108" s="84" t="n">
        <v>14.8250737749033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2.4702</v>
      </c>
      <c r="F109" s="84" t="n">
        <v>11.824</v>
      </c>
      <c r="G109" s="84" t="n">
        <v>0</v>
      </c>
      <c r="H109" s="84" t="n">
        <v>0</v>
      </c>
      <c r="I109" s="84" t="n">
        <v>0.0382714818442549</v>
      </c>
      <c r="J109" s="84" t="n">
        <v>0.0909553666542364</v>
      </c>
      <c r="K109" s="84" t="n">
        <v>1.01788154813414</v>
      </c>
      <c r="L109" s="84" t="n">
        <v>12.8448309347075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23.1972</v>
      </c>
      <c r="F110" s="84" t="n">
        <v>0</v>
      </c>
      <c r="G110" s="84" t="n">
        <v>0</v>
      </c>
      <c r="H110" s="84" t="n">
        <v>0</v>
      </c>
      <c r="I110" s="84" t="n">
        <v>0.134646734786682</v>
      </c>
      <c r="J110" s="84" t="n">
        <v>0.793494785224192</v>
      </c>
      <c r="K110" s="84" t="n">
        <v>0.932909834640814</v>
      </c>
      <c r="L110" s="84" t="n">
        <v>14.1143847730148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-10.9861</v>
      </c>
      <c r="F111" s="84" t="n">
        <v>0</v>
      </c>
      <c r="G111" s="84" t="n">
        <v>0</v>
      </c>
      <c r="H111" s="84" t="n">
        <v>0</v>
      </c>
      <c r="I111" s="84" t="n">
        <v>0.00982012587671522</v>
      </c>
      <c r="J111" s="84" t="n">
        <v>0.464631196112159</v>
      </c>
      <c r="K111" s="84" t="n">
        <v>1.04235297243144</v>
      </c>
      <c r="L111" s="84" t="n">
        <v>18.2332711804479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17.51</v>
      </c>
      <c r="F112" s="84" t="n">
        <v>26.8964</v>
      </c>
      <c r="G112" s="84" t="n">
        <v>0</v>
      </c>
      <c r="H112" s="84" t="n">
        <v>0</v>
      </c>
      <c r="I112" s="84" t="n">
        <v>0.0983074236767824</v>
      </c>
      <c r="J112" s="84" t="n">
        <v>1.54520049354758</v>
      </c>
      <c r="K112" s="84" t="n">
        <v>0.032137073651112</v>
      </c>
      <c r="L112" s="84" t="n">
        <v>17.1111641755521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-3.211</v>
      </c>
      <c r="F113" s="84" t="n">
        <v>11.1644</v>
      </c>
      <c r="G113" s="84" t="n">
        <v>12.4008</v>
      </c>
      <c r="H113" s="84" t="n">
        <v>0</v>
      </c>
      <c r="I113" s="84" t="n">
        <v>0.0366927238318212</v>
      </c>
      <c r="J113" s="84" t="n">
        <v>0.0523904546634532</v>
      </c>
      <c r="K113" s="84" t="n">
        <v>1.01469582635316</v>
      </c>
      <c r="L113" s="84" t="n">
        <v>15.9667769253859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4.873</v>
      </c>
      <c r="F115" s="84" t="n">
        <v>8.0593</v>
      </c>
      <c r="G115" s="84" t="n">
        <v>0</v>
      </c>
      <c r="H115" s="84" t="n">
        <v>0</v>
      </c>
      <c r="I115" s="84" t="n">
        <v>0.0197753076696509</v>
      </c>
      <c r="J115" s="84" t="n">
        <v>-0.203407777841477</v>
      </c>
      <c r="K115" s="84" t="n">
        <v>0.994961204281977</v>
      </c>
      <c r="L115" s="84" t="n">
        <v>13.4274852577685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17.2373</v>
      </c>
      <c r="F116" s="84" t="n">
        <v>0</v>
      </c>
      <c r="G116" s="84" t="n">
        <v>0</v>
      </c>
      <c r="H116" s="84" t="n">
        <v>0</v>
      </c>
      <c r="I116" s="84" t="n">
        <v>0.07231873918009681</v>
      </c>
      <c r="J116" s="84" t="n">
        <v>1.17122531606206</v>
      </c>
      <c r="K116" s="84" t="n">
        <v>0.889908557031467</v>
      </c>
      <c r="L116" s="84" t="n">
        <v>13.517496485988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35.0258</v>
      </c>
      <c r="F117" s="84" t="n">
        <v>0</v>
      </c>
      <c r="G117" s="84" t="n">
        <v>0</v>
      </c>
      <c r="H117" s="84" t="n">
        <v>0</v>
      </c>
      <c r="I117" s="84" t="n">
        <v>0.0439498896362362</v>
      </c>
      <c r="J117" s="84" t="n">
        <v>0.447738792185604</v>
      </c>
      <c r="K117" s="84" t="n">
        <v>0.971262008113313</v>
      </c>
      <c r="L117" s="84" t="n">
        <v>17.6254604853463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3.5471</v>
      </c>
      <c r="F118" s="84" t="n">
        <v>0</v>
      </c>
      <c r="G118" s="84" t="n">
        <v>0</v>
      </c>
      <c r="H118" s="84" t="n">
        <v>0</v>
      </c>
      <c r="I118" s="84" t="n">
        <v>-0.0221372204052137</v>
      </c>
      <c r="J118" s="84" t="n">
        <v>-0.303560246225746</v>
      </c>
      <c r="K118" s="84" t="n">
        <v>0.906522091911252</v>
      </c>
      <c r="L118" s="84" t="n">
        <v>11.7559172793375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-1.1716</v>
      </c>
      <c r="F119" s="84" t="n">
        <v>8.592599999999999</v>
      </c>
      <c r="G119" s="84" t="n">
        <v>9.624499999999999</v>
      </c>
      <c r="H119" s="84" t="n">
        <v>0</v>
      </c>
      <c r="I119" s="84" t="n">
        <v>0.0234441689867901</v>
      </c>
      <c r="J119" s="84" t="n">
        <v>0.121791180367697</v>
      </c>
      <c r="K119" s="84" t="n">
        <v>0.873012857716475</v>
      </c>
      <c r="L119" s="84" t="n">
        <v>11.1336949463517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4.2371</v>
      </c>
      <c r="F120" s="84" t="n">
        <v>0</v>
      </c>
      <c r="G120" s="84" t="n">
        <v>0</v>
      </c>
      <c r="H120" s="84" t="n">
        <v>0</v>
      </c>
      <c r="I120" s="84" t="n">
        <v>0.0538659276112868</v>
      </c>
      <c r="J120" s="84" t="n">
        <v>0.419506353876221</v>
      </c>
      <c r="K120" s="84" t="n">
        <v>1.08386313564372</v>
      </c>
      <c r="L120" s="84" t="n">
        <v>15.0893799998398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-3.3714</v>
      </c>
      <c r="F121" s="84" t="n">
        <v>11.0157</v>
      </c>
      <c r="G121" s="84" t="n">
        <v>13.2903</v>
      </c>
      <c r="H121" s="84" t="n">
        <v>12.6941</v>
      </c>
      <c r="I121" s="84" t="n">
        <v>0.0374178382758333</v>
      </c>
      <c r="J121" s="84" t="n">
        <v>0.0689650997490739</v>
      </c>
      <c r="K121" s="84" t="n">
        <v>0.9346085198687299</v>
      </c>
      <c r="L121" s="84" t="n">
        <v>13.4086395793151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19.6654</v>
      </c>
      <c r="F122" s="84" t="n">
        <v>19.1229</v>
      </c>
      <c r="G122" s="84" t="n">
        <v>11.1272</v>
      </c>
      <c r="H122" s="84" t="n">
        <v>14.9383</v>
      </c>
      <c r="I122" s="84" t="n">
        <v>0.0690321217965119</v>
      </c>
      <c r="J122" s="84" t="n">
        <v>0</v>
      </c>
      <c r="K122" s="84" t="n">
        <v>0</v>
      </c>
      <c r="L122" s="84" t="n">
        <v>14.4305155020069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145.043</v>
      </c>
      <c r="F123" s="84" t="n">
        <v>56.8651</v>
      </c>
      <c r="G123" s="84" t="n">
        <v>0</v>
      </c>
      <c r="H123" s="84" t="n">
        <v>0</v>
      </c>
      <c r="I123" s="84" t="n">
        <v>0.08540583513739861</v>
      </c>
      <c r="J123" s="84" t="n">
        <v>-0.853022111220079</v>
      </c>
      <c r="K123" s="84" t="n">
        <v>1.26919656425938</v>
      </c>
      <c r="L123" s="84" t="n">
        <v>32.8098305525408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13.5956</v>
      </c>
      <c r="F125" s="84" t="n">
        <v>0</v>
      </c>
      <c r="G125" s="84" t="n">
        <v>0</v>
      </c>
      <c r="H125" s="84" t="n">
        <v>0</v>
      </c>
      <c r="I125" s="84" t="n">
        <v>0.075577115796088</v>
      </c>
      <c r="J125" s="84" t="n">
        <v>0.5766921406797449</v>
      </c>
      <c r="K125" s="84" t="n">
        <v>0.98867973226254</v>
      </c>
      <c r="L125" s="84" t="n">
        <v>12.201108488357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4.8951</v>
      </c>
      <c r="F126" s="84" t="n">
        <v>15.8215</v>
      </c>
      <c r="G126" s="84" t="n">
        <v>14.6296</v>
      </c>
      <c r="H126" s="84" t="n">
        <v>13.8563</v>
      </c>
      <c r="I126" s="84" t="n">
        <v>0.0654117958834332</v>
      </c>
      <c r="J126" s="84" t="n">
        <v>0.454529685443539</v>
      </c>
      <c r="K126" s="84" t="n">
        <v>0.976115583165685</v>
      </c>
      <c r="L126" s="84" t="n">
        <v>11.7931904401134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10.8458</v>
      </c>
      <c r="F127" s="84" t="n">
        <v>20.5065</v>
      </c>
      <c r="G127" s="84" t="n">
        <v>15.9416</v>
      </c>
      <c r="H127" s="84" t="n">
        <v>0</v>
      </c>
      <c r="I127" s="84" t="n">
        <v>0.0860430801397134</v>
      </c>
      <c r="J127" s="84" t="n">
        <v>0.745078002589198</v>
      </c>
      <c r="K127" s="84" t="n">
        <v>0.945441619192155</v>
      </c>
      <c r="L127" s="84" t="n">
        <v>12.9548391773579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6.2708</v>
      </c>
      <c r="F128" s="84" t="n">
        <v>16.3553</v>
      </c>
      <c r="G128" s="84" t="n">
        <v>0</v>
      </c>
      <c r="H128" s="84" t="n">
        <v>0</v>
      </c>
      <c r="I128" s="84" t="n">
        <v>0.0615075950979701</v>
      </c>
      <c r="J128" s="84" t="n">
        <v>0.423601977171155</v>
      </c>
      <c r="K128" s="84" t="n">
        <v>1.06136491232414</v>
      </c>
      <c r="L128" s="84" t="n">
        <v>13.6788351801469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19.6936</v>
      </c>
      <c r="F129" s="84" t="n">
        <v>20.0225</v>
      </c>
      <c r="G129" s="84" t="n">
        <v>0</v>
      </c>
      <c r="H129" s="84" t="n">
        <v>0</v>
      </c>
      <c r="I129" s="84" t="n">
        <v>0.0866664673933613</v>
      </c>
      <c r="J129" s="84" t="n">
        <v>0.359539553936549</v>
      </c>
      <c r="K129" s="84" t="n">
        <v>0.948163656708449</v>
      </c>
      <c r="L129" s="84" t="n">
        <v>13.8171736343294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22.0892</v>
      </c>
      <c r="F130" s="84" t="n">
        <v>0</v>
      </c>
      <c r="G130" s="84" t="n">
        <v>0</v>
      </c>
      <c r="H130" s="84" t="n">
        <v>0</v>
      </c>
      <c r="I130" s="84" t="n">
        <v>0.0576795898059936</v>
      </c>
      <c r="J130" s="84" t="n">
        <v>0.192048464866091</v>
      </c>
      <c r="K130" s="84" t="n">
        <v>1.09522896841242</v>
      </c>
      <c r="L130" s="84" t="n">
        <v>14.0483955010751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18.4166</v>
      </c>
      <c r="F131" s="84" t="n">
        <v>0</v>
      </c>
      <c r="G131" s="84" t="n">
        <v>0</v>
      </c>
      <c r="H131" s="84" t="n">
        <v>0</v>
      </c>
      <c r="I131" s="84" t="n">
        <v>0.00976513098649672</v>
      </c>
      <c r="J131" s="84" t="n">
        <v>0.36159125144927</v>
      </c>
      <c r="K131" s="84" t="n">
        <v>1.12386569865921</v>
      </c>
      <c r="L131" s="84" t="n">
        <v>15.2349780515128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1.3388</v>
      </c>
      <c r="F132" s="84" t="n">
        <v>0</v>
      </c>
      <c r="G132" s="84" t="n">
        <v>0</v>
      </c>
      <c r="H132" s="84" t="n">
        <v>0</v>
      </c>
      <c r="I132" s="84" t="n">
        <v>0.0503019274421898</v>
      </c>
      <c r="J132" s="84" t="n">
        <v>0.292470756234114</v>
      </c>
      <c r="K132" s="84" t="n">
        <v>1.02447530983871</v>
      </c>
      <c r="L132" s="84" t="n">
        <v>15.3764640740157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6.7006</v>
      </c>
      <c r="F133" s="84" t="n">
        <v>13.2692</v>
      </c>
      <c r="G133" s="84" t="n">
        <v>0</v>
      </c>
      <c r="H133" s="84" t="n">
        <v>0</v>
      </c>
      <c r="I133" s="84" t="n">
        <v>0.038229415340846</v>
      </c>
      <c r="J133" s="84" t="n">
        <v>0.105116593764073</v>
      </c>
      <c r="K133" s="84" t="n">
        <v>0.97986552331863</v>
      </c>
      <c r="L133" s="84" t="n">
        <v>14.4289589561229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-0.6737</v>
      </c>
      <c r="F134" s="84" t="n">
        <v>10.159</v>
      </c>
      <c r="G134" s="84" t="n">
        <v>7.7596</v>
      </c>
      <c r="H134" s="84" t="n">
        <v>0</v>
      </c>
      <c r="I134" s="84" t="n">
        <v>0.030043590780123</v>
      </c>
      <c r="J134" s="84" t="n">
        <v>-0.0251569304368385</v>
      </c>
      <c r="K134" s="84" t="n">
        <v>0.953503203427206</v>
      </c>
      <c r="L134" s="84" t="n">
        <v>12.1010521596672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3.6162</v>
      </c>
      <c r="F135" s="84" t="n">
        <v>15.3447</v>
      </c>
      <c r="G135" s="84" t="n">
        <v>0</v>
      </c>
      <c r="H135" s="84" t="n">
        <v>0</v>
      </c>
      <c r="I135" s="84" t="n">
        <v>0.0560735790345648</v>
      </c>
      <c r="J135" s="84" t="n">
        <v>0.382907413879516</v>
      </c>
      <c r="K135" s="84" t="n">
        <v>1.07362362261535</v>
      </c>
      <c r="L135" s="84" t="n">
        <v>15.1070080772925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-8.210800000000001</v>
      </c>
      <c r="F136" s="84" t="n">
        <v>0</v>
      </c>
      <c r="G136" s="84" t="n">
        <v>0</v>
      </c>
      <c r="H136" s="84" t="n">
        <v>0</v>
      </c>
      <c r="I136" s="84" t="n">
        <v>-0.00442269527251535</v>
      </c>
      <c r="J136" s="84" t="n">
        <v>0.451453583332967</v>
      </c>
      <c r="K136" s="84" t="n">
        <v>1.00067558765664</v>
      </c>
      <c r="L136" s="84" t="n">
        <v>18.1204177398779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22.118</v>
      </c>
      <c r="F137" s="84" t="n">
        <v>0</v>
      </c>
      <c r="G137" s="84" t="n">
        <v>0</v>
      </c>
      <c r="H137" s="84" t="n">
        <v>0</v>
      </c>
      <c r="I137" s="84" t="n">
        <v>0.083149506054654</v>
      </c>
      <c r="J137" s="84" t="n">
        <v>0.312960653082418</v>
      </c>
      <c r="K137" s="84" t="n">
        <v>1.01320479404376</v>
      </c>
      <c r="L137" s="84" t="n">
        <v>15.0643516039662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4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0"/>
    <col width="8.7109375" customWidth="1" style="42" min="51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4" t="n"/>
    </row>
    <row r="5" ht="15" customHeight="1" thickBot="1">
      <c r="B5" s="262" t="n"/>
      <c r="C5" s="189" t="n"/>
      <c r="D5" s="189" t="n"/>
      <c r="E5" s="189" t="n"/>
      <c r="F5" s="420" t="n"/>
      <c r="G5" s="421" t="n"/>
      <c r="H5" s="421" t="n"/>
      <c r="I5" s="421" t="n"/>
      <c r="J5" s="421" t="n"/>
      <c r="K5" s="421" t="n"/>
      <c r="L5" s="421" t="n"/>
      <c r="M5" s="421" t="n"/>
      <c r="N5" s="421" t="n"/>
      <c r="O5" s="421" t="n"/>
      <c r="P5" s="421" t="n"/>
      <c r="Q5" s="421" t="n"/>
      <c r="R5" s="421" t="n"/>
      <c r="S5" s="421" t="n"/>
      <c r="T5" s="421" t="n"/>
      <c r="U5" s="421" t="n"/>
      <c r="V5" s="422" t="n"/>
      <c r="W5" s="420" t="n"/>
      <c r="X5" s="421" t="n"/>
      <c r="Y5" s="421" t="n"/>
      <c r="Z5" s="421" t="n"/>
      <c r="AA5" s="421" t="n"/>
      <c r="AB5" s="421" t="n"/>
      <c r="AC5" s="421" t="n"/>
      <c r="AD5" s="421" t="n"/>
      <c r="AE5" s="421" t="n"/>
      <c r="AF5" s="421" t="n"/>
      <c r="AG5" s="421" t="n"/>
      <c r="AH5" s="421" t="n"/>
      <c r="AI5" s="421" t="n"/>
      <c r="AJ5" s="421" t="n"/>
      <c r="AK5" s="421" t="n"/>
      <c r="AL5" s="421" t="n"/>
      <c r="AM5" s="422" t="n"/>
      <c r="AN5" s="427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4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7.41</v>
      </c>
      <c r="J7" s="249" t="n">
        <v>6.59</v>
      </c>
      <c r="K7" s="249" t="n">
        <v>6.28</v>
      </c>
      <c r="L7" s="249" t="n">
        <v>6.41</v>
      </c>
      <c r="M7" s="249" t="n">
        <v>7.2</v>
      </c>
      <c r="N7" s="249" t="n">
        <v>7.27</v>
      </c>
      <c r="O7" s="249" t="n">
        <v>6.49</v>
      </c>
      <c r="P7" s="249" t="n">
        <v>6.83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7.03</v>
      </c>
      <c r="J8" s="249" t="n">
        <v>6.31</v>
      </c>
      <c r="K8" s="249" t="n">
        <v>5.97</v>
      </c>
      <c r="L8" s="249" t="n">
        <v>6.07</v>
      </c>
      <c r="M8" s="249" t="n">
        <v>6.74</v>
      </c>
      <c r="N8" s="249" t="n">
        <v>6.9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7.25</v>
      </c>
      <c r="J10" s="249" t="n">
        <v>6.54</v>
      </c>
      <c r="K10" s="249" t="n">
        <v>6.22</v>
      </c>
      <c r="L10" s="249" t="n">
        <v>6.3</v>
      </c>
      <c r="M10" s="249" t="n">
        <v>6.91</v>
      </c>
      <c r="N10" s="249" t="n">
        <v>7.01</v>
      </c>
      <c r="O10" s="249" t="n">
        <v>6.27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6.77</v>
      </c>
      <c r="J11" s="249" t="n">
        <v>6.19</v>
      </c>
      <c r="K11" s="249" t="n">
        <v>5.99</v>
      </c>
      <c r="L11" s="249" t="n">
        <v>6.02</v>
      </c>
      <c r="M11" s="249" t="n">
        <v>6.65</v>
      </c>
      <c r="N11" s="249" t="n">
        <v>6.76</v>
      </c>
      <c r="O11" s="249" t="n">
        <v>6.04</v>
      </c>
      <c r="P11" s="249" t="n">
        <v>6.28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4" t="n"/>
    </row>
    <row r="17" ht="15" customHeight="1" thickBot="1">
      <c r="B17" s="262" t="n"/>
      <c r="C17" s="189" t="n"/>
      <c r="D17" s="189" t="n"/>
      <c r="E17" s="189" t="n"/>
      <c r="F17" s="420" t="n"/>
      <c r="G17" s="421" t="n"/>
      <c r="H17" s="421" t="n"/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421" t="n"/>
      <c r="R17" s="421" t="n"/>
      <c r="S17" s="421" t="n"/>
      <c r="T17" s="421" t="n"/>
      <c r="U17" s="421" t="n"/>
      <c r="V17" s="422" t="n"/>
      <c r="W17" s="420" t="n"/>
      <c r="X17" s="421" t="n"/>
      <c r="Y17" s="421" t="n"/>
      <c r="Z17" s="421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1" t="n"/>
      <c r="AJ17" s="421" t="n"/>
      <c r="AK17" s="421" t="n"/>
      <c r="AL17" s="421" t="n"/>
      <c r="AM17" s="422" t="n"/>
      <c r="AN17" s="427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4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7.11</v>
      </c>
      <c r="J22" s="248" t="n">
        <v>5.6</v>
      </c>
      <c r="K22" s="248" t="n">
        <v>5.24</v>
      </c>
      <c r="L22" s="248" t="n">
        <v>5.58</v>
      </c>
      <c r="M22" s="248" t="n">
        <v>6.5</v>
      </c>
      <c r="N22" s="248" t="n">
        <v>6.62</v>
      </c>
      <c r="O22" s="248" t="n">
        <v>5.91</v>
      </c>
      <c r="P22" s="248" t="n">
        <v>6.42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7.25</v>
      </c>
      <c r="J23" s="248" t="n">
        <v>5.98</v>
      </c>
      <c r="K23" s="248" t="n">
        <v>5.54</v>
      </c>
      <c r="L23" s="248" t="n">
        <v>5.72</v>
      </c>
      <c r="M23" s="248" t="n">
        <v>6.68</v>
      </c>
      <c r="N23" s="248" t="n">
        <v>6.76</v>
      </c>
      <c r="O23" s="248" t="n">
        <v>5.93</v>
      </c>
      <c r="P23" s="248" t="n">
        <v>6.58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4" t="n"/>
    </row>
    <row r="29" ht="15" customHeight="1" thickBot="1">
      <c r="B29" s="262" t="n"/>
      <c r="C29" s="189" t="n"/>
      <c r="D29" s="189" t="n"/>
      <c r="E29" s="189" t="n"/>
      <c r="F29" s="420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2" t="n"/>
      <c r="W29" s="420" t="n"/>
      <c r="X29" s="421" t="n"/>
      <c r="Y29" s="421" t="n"/>
      <c r="Z29" s="421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1" t="n"/>
      <c r="AJ29" s="421" t="n"/>
      <c r="AK29" s="421" t="n"/>
      <c r="AL29" s="421" t="n"/>
      <c r="AM29" s="422" t="n"/>
      <c r="AN29" s="427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4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9.76</v>
      </c>
      <c r="J31" s="248" t="n">
        <v>6.65</v>
      </c>
      <c r="K31" s="248" t="n">
        <v>5.81</v>
      </c>
      <c r="L31" s="248" t="n">
        <v>6.26</v>
      </c>
      <c r="M31" s="248" t="n">
        <v>7.31</v>
      </c>
      <c r="N31" s="248" t="n">
        <v>7.44</v>
      </c>
      <c r="O31" s="248" t="n">
        <v>6.63</v>
      </c>
      <c r="P31" s="248" t="n">
        <v>7.12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8.949999999999999</v>
      </c>
      <c r="J32" s="248" t="n">
        <v>5.51</v>
      </c>
      <c r="K32" s="248" t="n">
        <v>4.9</v>
      </c>
      <c r="L32" s="248" t="n">
        <v>5.32</v>
      </c>
      <c r="M32" s="248" t="n">
        <v>6.66</v>
      </c>
      <c r="N32" s="248" t="n">
        <v>6.88</v>
      </c>
      <c r="O32" s="248" t="n">
        <v>5.81</v>
      </c>
      <c r="P32" s="248" t="n">
        <v>6.53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8.960000000000001</v>
      </c>
      <c r="J34" s="248" t="n">
        <v>5.62</v>
      </c>
      <c r="K34" s="248" t="n">
        <v>4.94</v>
      </c>
      <c r="L34" s="248" t="n">
        <v>5.51</v>
      </c>
      <c r="M34" s="248" t="n">
        <v>6.97</v>
      </c>
      <c r="N34" s="248" t="n">
        <v>7.08</v>
      </c>
      <c r="O34" s="248" t="n">
        <v>6.01</v>
      </c>
      <c r="P34" s="248" t="n">
        <v>6.62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9.59</v>
      </c>
      <c r="J35" s="248" t="n">
        <v>5.97</v>
      </c>
      <c r="K35" s="248" t="n">
        <v>5.19</v>
      </c>
      <c r="L35" s="248" t="n">
        <v>5.88</v>
      </c>
      <c r="M35" s="248" t="n">
        <v>7.1</v>
      </c>
      <c r="N35" s="248" t="n">
        <v>7.22</v>
      </c>
      <c r="O35" s="248" t="n">
        <v>6.29</v>
      </c>
      <c r="P35" s="248" t="n">
        <v>6.9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4" t="n"/>
    </row>
    <row r="40" ht="15" customHeight="1" thickBot="1">
      <c r="B40" s="262" t="n"/>
      <c r="C40" s="189" t="n"/>
      <c r="D40" s="189" t="n"/>
      <c r="E40" s="189" t="n"/>
      <c r="F40" s="420" t="n"/>
      <c r="G40" s="421" t="n"/>
      <c r="H40" s="421" t="n"/>
      <c r="I40" s="421" t="n"/>
      <c r="J40" s="421" t="n"/>
      <c r="K40" s="421" t="n"/>
      <c r="L40" s="421" t="n"/>
      <c r="M40" s="421" t="n"/>
      <c r="N40" s="421" t="n"/>
      <c r="O40" s="421" t="n"/>
      <c r="P40" s="421" t="n"/>
      <c r="Q40" s="421" t="n"/>
      <c r="R40" s="421" t="n"/>
      <c r="S40" s="421" t="n"/>
      <c r="T40" s="421" t="n"/>
      <c r="U40" s="421" t="n"/>
      <c r="V40" s="422" t="n"/>
      <c r="W40" s="420" t="n"/>
      <c r="X40" s="421" t="n"/>
      <c r="Y40" s="421" t="n"/>
      <c r="Z40" s="421" t="n"/>
      <c r="AA40" s="421" t="n"/>
      <c r="AB40" s="421" t="n"/>
      <c r="AC40" s="421" t="n"/>
      <c r="AD40" s="421" t="n"/>
      <c r="AE40" s="421" t="n"/>
      <c r="AF40" s="421" t="n"/>
      <c r="AG40" s="421" t="n"/>
      <c r="AH40" s="421" t="n"/>
      <c r="AI40" s="421" t="n"/>
      <c r="AJ40" s="421" t="n"/>
      <c r="AK40" s="421" t="n"/>
      <c r="AL40" s="421" t="n"/>
      <c r="AM40" s="422" t="n"/>
      <c r="AN40" s="427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4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12.8</v>
      </c>
      <c r="J46" s="248" t="n">
        <v>6.55</v>
      </c>
      <c r="K46" s="248" t="n">
        <v>6.25</v>
      </c>
      <c r="L46" s="248" t="n">
        <v>7.48</v>
      </c>
      <c r="M46" s="248" t="n">
        <v>8.039999999999999</v>
      </c>
      <c r="N46" s="248" t="n">
        <v>8.210000000000001</v>
      </c>
      <c r="O46" s="248" t="n">
        <v>6.65</v>
      </c>
      <c r="P46" s="248" t="n">
        <v>6.71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4" t="n"/>
    </row>
    <row r="51" ht="15" customHeight="1" thickBot="1">
      <c r="B51" s="155" t="n"/>
      <c r="C51" s="156" t="n"/>
      <c r="D51" s="156" t="n"/>
      <c r="E51" s="156" t="n"/>
      <c r="F51" s="425" t="n"/>
      <c r="G51" s="385" t="n"/>
      <c r="H51" s="385" t="n"/>
      <c r="I51" s="385" t="n"/>
      <c r="J51" s="385" t="n"/>
      <c r="K51" s="385" t="n"/>
      <c r="L51" s="385" t="n"/>
      <c r="M51" s="385" t="n"/>
      <c r="N51" s="385" t="n"/>
      <c r="O51" s="385" t="n"/>
      <c r="P51" s="385" t="n"/>
      <c r="Q51" s="385" t="n"/>
      <c r="R51" s="385" t="n"/>
      <c r="S51" s="385" t="n"/>
      <c r="T51" s="385" t="n"/>
      <c r="U51" s="385" t="n"/>
      <c r="V51" s="426" t="n"/>
      <c r="W51" s="425" t="n"/>
      <c r="X51" s="385" t="n"/>
      <c r="Y51" s="385" t="n"/>
      <c r="Z51" s="385" t="n"/>
      <c r="AA51" s="385" t="n"/>
      <c r="AB51" s="385" t="n"/>
      <c r="AC51" s="385" t="n"/>
      <c r="AD51" s="385" t="n"/>
      <c r="AE51" s="385" t="n"/>
      <c r="AF51" s="385" t="n"/>
      <c r="AG51" s="385" t="n"/>
      <c r="AH51" s="385" t="n"/>
      <c r="AI51" s="385" t="n"/>
      <c r="AJ51" s="385" t="n"/>
      <c r="AK51" s="385" t="n"/>
      <c r="AL51" s="385" t="n"/>
      <c r="AM51" s="426" t="n"/>
      <c r="AN51" s="42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4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15.19</v>
      </c>
      <c r="J55" s="248" t="n">
        <v>7.17</v>
      </c>
      <c r="K55" s="248" t="n">
        <v>5.1</v>
      </c>
      <c r="L55" s="248" t="n">
        <v>5.39</v>
      </c>
      <c r="M55" s="248" t="n">
        <v>5.87</v>
      </c>
      <c r="N55" s="248" t="n">
        <v>6.62</v>
      </c>
      <c r="O55" s="248" t="n">
        <v>5.57</v>
      </c>
      <c r="P55" s="248" t="n">
        <v>5.98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3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4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30" t="inlineStr">
        <is>
          <t>Dynamic Allocation</t>
        </is>
      </c>
      <c r="J5" s="430" t="n"/>
      <c r="K5" s="430" t="n"/>
    </row>
    <row r="6" hidden="1">
      <c r="B6" s="79" t="n"/>
      <c r="C6" s="421" t="n"/>
      <c r="D6" s="421" t="n"/>
      <c r="E6" s="421" t="n"/>
      <c r="F6" s="421" t="n"/>
      <c r="G6" s="421" t="n"/>
      <c r="H6" s="421" t="n"/>
      <c r="I6" s="424" t="n"/>
      <c r="J6" s="424" t="n"/>
      <c r="K6" s="424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81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1" t="inlineStr">
        <is>
          <t>Weightage for Debt Fund Ranking</t>
        </is>
      </c>
      <c r="C23" s="404" t="n"/>
      <c r="D23" s="404" t="n"/>
      <c r="E23" s="404" t="n"/>
      <c r="F23" s="404" t="n"/>
      <c r="G23" s="364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81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79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29" t="inlineStr">
        <is>
          <t>Weightage for Hybrid Fund Ranking</t>
        </is>
      </c>
      <c r="C50" s="404" t="n"/>
      <c r="D50" s="404" t="n"/>
      <c r="E50" s="404" t="n"/>
      <c r="F50" s="364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81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81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79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2"/>
    <col width="8.7109375" customWidth="1" style="261" min="23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54" t="n"/>
      <c r="D4" s="354" t="n"/>
      <c r="E4" s="354" t="n"/>
      <c r="F4" s="354" t="n"/>
      <c r="G4" s="354" t="n"/>
      <c r="H4" s="354" t="n"/>
      <c r="I4" s="355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2026-08-21T11:40:27Z</dcterms:modified>
  <cp:lastModifiedBy>Mutual Fund</cp:lastModifiedBy>
  <cp:lastPrinted>2026-08-18T10:27:18Z</cp:lastPrinted>
</cp:coreProperties>
</file>