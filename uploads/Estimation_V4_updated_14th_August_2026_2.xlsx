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3" fillId="20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2" fillId="19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4" fillId="0" borderId="41" applyAlignment="1" pivotButton="0" quotePrefix="0" xfId="7">
      <alignment horizontal="left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0" fillId="19" borderId="85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10" fontId="26" fillId="0" borderId="85" applyAlignment="1" pivotButton="0" quotePrefix="0" xfId="7">
      <alignment horizontal="center" vertical="center" shrinkToFit="1"/>
    </xf>
    <xf numFmtId="0" fontId="2" fillId="12" borderId="8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2" fontId="14" fillId="13" borderId="15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3" t="inlineStr">
        <is>
          <t>Weightage for AMC Ranking</t>
        </is>
      </c>
      <c r="C3" s="364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81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4"/>
    <col width="8" customWidth="1" style="329" min="15" max="16384"/>
  </cols>
  <sheetData>
    <row r="2" ht="15" customHeight="1">
      <c r="A2" s="358" t="inlineStr">
        <is>
          <t>Financial Product Catalog: A Ready Reckoner , As on 14th August 2026</t>
        </is>
      </c>
      <c r="B2" s="354" t="n"/>
      <c r="C2" s="354" t="n"/>
      <c r="D2" s="354" t="n"/>
      <c r="E2" s="354" t="n"/>
      <c r="F2" s="354" t="n"/>
      <c r="G2" s="355" t="n"/>
    </row>
    <row r="3" ht="15" customHeight="1">
      <c r="A3" s="353" t="n"/>
      <c r="B3" s="354" t="n"/>
      <c r="C3" s="354" t="n"/>
      <c r="D3" s="354" t="n"/>
      <c r="E3" s="354" t="n"/>
      <c r="F3" s="354" t="n"/>
      <c r="G3" s="355" t="n"/>
    </row>
    <row r="4" ht="15" customHeight="1">
      <c r="A4" s="358" t="inlineStr">
        <is>
          <t>Whats new? (August 2026)</t>
        </is>
      </c>
      <c r="B4" s="354" t="n"/>
      <c r="C4" s="355" t="n"/>
      <c r="D4" s="353" t="n"/>
      <c r="E4" s="359" t="inlineStr">
        <is>
          <t>Debt</t>
        </is>
      </c>
      <c r="F4" s="354" t="n"/>
      <c r="G4" s="355" t="n"/>
    </row>
    <row r="5" ht="15" customHeight="1">
      <c r="A5" s="356" t="inlineStr">
        <is>
          <t>Fund Name</t>
        </is>
      </c>
      <c r="B5" s="356" t="inlineStr">
        <is>
          <t>End Date</t>
        </is>
      </c>
      <c r="C5" s="355" t="n"/>
      <c r="D5" s="353" t="n"/>
      <c r="E5" s="354" t="n"/>
      <c r="F5" s="354" t="n"/>
      <c r="G5" s="355" t="n"/>
    </row>
    <row r="6" ht="25.5" customHeight="1">
      <c r="A6" s="362" t="inlineStr">
        <is>
          <t>SBI Balanced Hybrid Fund</t>
        </is>
      </c>
      <c r="B6" s="362" t="inlineStr">
        <is>
          <t>Aug 24, 2026</t>
        </is>
      </c>
      <c r="C6" s="355" t="n"/>
      <c r="D6" s="353" t="n"/>
      <c r="E6" s="343" t="inlineStr">
        <is>
          <t>Debt Mutual Funds (Ultra Short Duration)</t>
        </is>
      </c>
      <c r="F6" s="356" t="inlineStr">
        <is>
          <t>3-Year Return</t>
        </is>
      </c>
      <c r="G6" s="356" t="inlineStr">
        <is>
          <t>1-Year Return</t>
        </is>
      </c>
    </row>
    <row r="7" ht="15" customHeight="1">
      <c r="A7" s="362" t="inlineStr">
        <is>
          <t>UTI Balanced Hybrid Fund</t>
        </is>
      </c>
      <c r="B7" s="362" t="inlineStr">
        <is>
          <t>Aug 28, 2026</t>
        </is>
      </c>
      <c r="C7" s="355" t="n"/>
      <c r="D7" s="361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ITI Multi Asset Allocation Fund</t>
        </is>
      </c>
      <c r="B8" s="362" t="inlineStr">
        <is>
          <t>Aug 31, 2026</t>
        </is>
      </c>
      <c r="C8" s="355" t="n"/>
      <c r="D8" s="433" t="n"/>
      <c r="E8" s="343" t="inlineStr">
        <is>
          <t>Ultra Short - Fund Name ( Return CAGR )</t>
        </is>
      </c>
      <c r="F8" s="356" t="inlineStr">
        <is>
          <t>3-Year Return</t>
        </is>
      </c>
      <c r="G8" s="356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62" t="inlineStr">
        <is>
          <t>Sep 01, 2026</t>
        </is>
      </c>
      <c r="C9" s="355" t="n"/>
      <c r="D9" s="353" t="n"/>
      <c r="E9" s="362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59" t="inlineStr">
        <is>
          <t>Equity</t>
        </is>
      </c>
      <c r="B10" s="354" t="n"/>
      <c r="C10" s="355" t="n"/>
      <c r="D10" s="433" t="n"/>
      <c r="E10" s="362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56" t="inlineStr">
        <is>
          <t>Large Cap - Funds</t>
        </is>
      </c>
      <c r="B11" s="356" t="inlineStr">
        <is>
          <t>3-Year Return</t>
        </is>
      </c>
      <c r="C11" s="356" t="inlineStr">
        <is>
          <t>1-Year Return</t>
        </is>
      </c>
      <c r="D11" s="353" t="n"/>
      <c r="E11" s="362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0.0912</v>
      </c>
      <c r="C12" s="345" t="n">
        <v>-0.0031</v>
      </c>
      <c r="D12" s="360" t="n"/>
      <c r="E12" s="353" t="n"/>
      <c r="F12" s="354" t="n"/>
      <c r="G12" s="355" t="n"/>
    </row>
    <row r="13" ht="25.5" customHeight="1">
      <c r="A13" s="343" t="inlineStr">
        <is>
          <t>Large Cap - Funds (Return CAGR)</t>
        </is>
      </c>
      <c r="B13" s="356" t="inlineStr">
        <is>
          <t>3-Year Return</t>
        </is>
      </c>
      <c r="C13" s="356" t="inlineStr">
        <is>
          <t>1-Year Return</t>
        </is>
      </c>
      <c r="D13" s="360" t="n"/>
      <c r="E13" s="343" t="inlineStr">
        <is>
          <t>Debt Mutual Funds (Low Duration)</t>
        </is>
      </c>
      <c r="F13" s="356" t="inlineStr">
        <is>
          <t>3-Year Return</t>
        </is>
      </c>
      <c r="G13" s="356" t="inlineStr">
        <is>
          <t>1-Year Return</t>
        </is>
      </c>
    </row>
    <row r="14">
      <c r="A14" s="362">
        <f>'Summary '!D4</f>
        <v/>
      </c>
      <c r="B14" s="346">
        <f>'Summary '!E4</f>
        <v/>
      </c>
      <c r="C14" s="346">
        <f>'Summary '!F4</f>
        <v/>
      </c>
      <c r="D14" s="360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62">
        <f>'Summary '!D5</f>
        <v/>
      </c>
      <c r="B15" s="346">
        <f>'Summary '!E5</f>
        <v/>
      </c>
      <c r="C15" s="346">
        <f>'Summary '!F5</f>
        <v/>
      </c>
      <c r="D15" s="360" t="n"/>
      <c r="E15" s="343" t="inlineStr">
        <is>
          <t>Low Duration - Funds ( Return CAGR )</t>
        </is>
      </c>
      <c r="F15" s="356" t="inlineStr">
        <is>
          <t>3-Year Return</t>
        </is>
      </c>
      <c r="G15" s="356" t="inlineStr">
        <is>
          <t>1-Year Return</t>
        </is>
      </c>
    </row>
    <row r="16">
      <c r="A16" s="362">
        <f>'Summary '!D6</f>
        <v/>
      </c>
      <c r="B16" s="346">
        <f>'Summary '!E6</f>
        <v/>
      </c>
      <c r="C16" s="346">
        <f>'Summary '!F6</f>
        <v/>
      </c>
      <c r="D16" s="360" t="n"/>
      <c r="E16" s="362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57" t="n">
        <v>2572605</v>
      </c>
      <c r="C17" s="355" t="n"/>
      <c r="D17" s="361" t="n"/>
      <c r="E17" s="362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53" t="n"/>
      <c r="B18" s="354" t="n"/>
      <c r="C18" s="354" t="n"/>
      <c r="D18" s="355" t="n"/>
      <c r="E18" s="362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56" t="inlineStr">
        <is>
          <t>3-Year Return</t>
        </is>
      </c>
      <c r="C19" s="356" t="inlineStr">
        <is>
          <t>1-Year Return</t>
        </is>
      </c>
      <c r="D19" s="348" t="n"/>
      <c r="E19" s="353" t="n"/>
      <c r="F19" s="354" t="n"/>
      <c r="G19" s="355" t="n"/>
    </row>
    <row r="20" ht="25.5" customHeight="1">
      <c r="A20" s="362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56" t="inlineStr">
        <is>
          <t>3-Year Return</t>
        </is>
      </c>
      <c r="G20" s="356" t="inlineStr">
        <is>
          <t>1-Year Return</t>
        </is>
      </c>
    </row>
    <row r="21">
      <c r="A21" s="362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62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56" t="inlineStr">
        <is>
          <t>3-Year Return</t>
        </is>
      </c>
      <c r="G22" s="356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57" t="n">
        <v>2646895</v>
      </c>
      <c r="C23" s="355" t="n"/>
      <c r="D23" s="348" t="n"/>
      <c r="E23" s="362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53" t="n"/>
      <c r="B24" s="354" t="n"/>
      <c r="C24" s="355" t="n"/>
      <c r="D24" s="348" t="n"/>
      <c r="E24" s="362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56" t="inlineStr">
        <is>
          <t>Mid Cap - Funds</t>
        </is>
      </c>
      <c r="B25" s="356" t="inlineStr">
        <is>
          <t>3-Year Return</t>
        </is>
      </c>
      <c r="C25" s="356" t="inlineStr">
        <is>
          <t>1-Year Return</t>
        </is>
      </c>
      <c r="D25" s="348" t="n"/>
      <c r="E25" s="362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0.1965</v>
      </c>
      <c r="C26" s="345" t="n">
        <v>0.1362</v>
      </c>
      <c r="D26" s="348" t="n"/>
      <c r="E26" s="353" t="n"/>
      <c r="F26" s="354" t="n"/>
      <c r="G26" s="355" t="n"/>
    </row>
    <row r="27" ht="25.5" customHeight="1">
      <c r="A27" s="343" t="inlineStr">
        <is>
          <t>Mid Cap - Funds  (Return CAGR)</t>
        </is>
      </c>
      <c r="B27" s="356" t="inlineStr">
        <is>
          <t>3-Year CAGR</t>
        </is>
      </c>
      <c r="C27" s="356" t="inlineStr">
        <is>
          <t>1-Year Return</t>
        </is>
      </c>
      <c r="D27" s="341" t="n"/>
      <c r="E27" s="343" t="inlineStr">
        <is>
          <t>Debt Mutual Funds (Medium Duration)</t>
        </is>
      </c>
      <c r="F27" s="356" t="inlineStr">
        <is>
          <t>3-Year Return</t>
        </is>
      </c>
      <c r="G27" s="356" t="inlineStr">
        <is>
          <t>1-Year Return</t>
        </is>
      </c>
    </row>
    <row r="28">
      <c r="A28" s="362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62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56" t="inlineStr">
        <is>
          <t>3-Year Return</t>
        </is>
      </c>
      <c r="G29" s="356" t="inlineStr">
        <is>
          <t>1-Year Return</t>
        </is>
      </c>
    </row>
    <row r="30" ht="25.5" customHeight="1">
      <c r="A30" s="362">
        <f>'Summary '!D14</f>
        <v/>
      </c>
      <c r="B30" s="346">
        <f>'Summary '!E14</f>
        <v/>
      </c>
      <c r="C30" s="346">
        <f>'Summary '!F14</f>
        <v/>
      </c>
      <c r="D30" s="341" t="n"/>
      <c r="E30" s="362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57" t="n">
        <v>2767450</v>
      </c>
      <c r="C31" s="355" t="n"/>
      <c r="D31" s="341" t="n"/>
      <c r="E31" s="362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53" t="n"/>
      <c r="B32" s="354" t="n"/>
      <c r="C32" s="355" t="n"/>
      <c r="D32" s="341" t="n"/>
      <c r="E32" s="362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56" t="inlineStr">
        <is>
          <t>Small Cap - Funds</t>
        </is>
      </c>
      <c r="B33" s="356" t="inlineStr">
        <is>
          <t>3-Year Return</t>
        </is>
      </c>
      <c r="C33" s="356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0.1987</v>
      </c>
      <c r="C34" s="345" t="n">
        <v>0.1358</v>
      </c>
      <c r="D34" s="348" t="n"/>
      <c r="E34" s="343" t="inlineStr">
        <is>
          <t>Debt Mutual Funds (Medium to Long Duration)</t>
        </is>
      </c>
      <c r="F34" s="356" t="inlineStr">
        <is>
          <t>3-Year Return</t>
        </is>
      </c>
      <c r="G34" s="356" t="inlineStr">
        <is>
          <t>1-Year Return</t>
        </is>
      </c>
    </row>
    <row r="35">
      <c r="A35" s="343" t="inlineStr">
        <is>
          <t>Small Cap - Funds ( Return CAGR )</t>
        </is>
      </c>
      <c r="B35" s="356" t="inlineStr">
        <is>
          <t>3-Yr CAGR</t>
        </is>
      </c>
      <c r="C35" s="356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62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56" t="inlineStr">
        <is>
          <t>3-Year Return</t>
        </is>
      </c>
      <c r="G36" s="356" t="inlineStr">
        <is>
          <t>1-Year Return</t>
        </is>
      </c>
    </row>
    <row r="37" ht="25.5" customHeight="1">
      <c r="A37" s="362">
        <f>'Summary '!D17</f>
        <v/>
      </c>
      <c r="B37" s="346">
        <f>'Summary '!E17</f>
        <v/>
      </c>
      <c r="C37" s="346">
        <f>'Summary '!F17</f>
        <v/>
      </c>
      <c r="D37" s="348" t="n"/>
      <c r="E37" s="362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62">
        <f>'Summary '!D18</f>
        <v/>
      </c>
      <c r="B38" s="346">
        <f>'Summary '!E18</f>
        <v/>
      </c>
      <c r="C38" s="346">
        <f>'Summary '!F18</f>
        <v/>
      </c>
      <c r="D38" s="348" t="n"/>
      <c r="E38" s="362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57" t="n">
        <v>2767450</v>
      </c>
      <c r="C39" s="355" t="n"/>
      <c r="D39" s="348" t="n"/>
      <c r="E39" s="362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53" t="n"/>
      <c r="B40" s="354" t="n"/>
      <c r="C40" s="355" t="n"/>
      <c r="D40" s="353" t="n"/>
      <c r="E40" s="359" t="inlineStr">
        <is>
          <t>Others</t>
        </is>
      </c>
      <c r="F40" s="354" t="n"/>
      <c r="G40" s="355" t="n"/>
    </row>
    <row r="41" ht="25.5" customHeight="1">
      <c r="A41" s="356" t="inlineStr">
        <is>
          <t>Flexi Cap - Funds</t>
        </is>
      </c>
      <c r="B41" s="356" t="inlineStr">
        <is>
          <t>3-Year Return</t>
        </is>
      </c>
      <c r="C41" s="356" t="inlineStr">
        <is>
          <t>1-Year Return</t>
        </is>
      </c>
      <c r="D41" s="353" t="n"/>
      <c r="E41" s="356" t="inlineStr">
        <is>
          <t>Multi Asset</t>
        </is>
      </c>
      <c r="F41" s="356" t="inlineStr">
        <is>
          <t>3-Year Return</t>
        </is>
      </c>
      <c r="G41" s="356" t="inlineStr">
        <is>
          <t>1-Year Return</t>
        </is>
      </c>
    </row>
    <row r="42" ht="25.5" customHeight="1">
      <c r="A42" s="362">
        <f>'Summary '!D20</f>
        <v/>
      </c>
      <c r="B42" s="346" t="n">
        <v>0.1751</v>
      </c>
      <c r="C42" s="346" t="n">
        <v>0.0611</v>
      </c>
      <c r="D42" s="353" t="n"/>
      <c r="E42" s="344" t="inlineStr">
        <is>
          <t>Nifty 500</t>
        </is>
      </c>
      <c r="F42" s="345" t="n">
        <v>0.1301</v>
      </c>
      <c r="G42" s="345" t="n">
        <v>0.0486</v>
      </c>
    </row>
    <row r="43">
      <c r="A43" s="362">
        <f>'Summary '!D21</f>
        <v/>
      </c>
      <c r="B43" s="346">
        <f>'Summary '!E21</f>
        <v/>
      </c>
      <c r="C43" s="346">
        <f>'Summary '!F21</f>
        <v/>
      </c>
      <c r="D43" s="353" t="n"/>
      <c r="E43" s="362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62">
        <f>'Summary '!D22</f>
        <v/>
      </c>
      <c r="B44" s="346">
        <f>'Summary '!E22</f>
        <v/>
      </c>
      <c r="C44" s="346">
        <f>'Summary '!F22</f>
        <v/>
      </c>
      <c r="D44" s="353" t="n"/>
      <c r="E44" s="362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57" t="n">
        <v>2669566</v>
      </c>
      <c r="C45" s="355" t="n"/>
      <c r="D45" s="353" t="n"/>
      <c r="E45" s="362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53" t="n"/>
      <c r="E46" s="353" t="n"/>
      <c r="F46" s="353" t="n"/>
      <c r="G46" s="353" t="n"/>
    </row>
    <row r="47" ht="25.5" customHeight="1">
      <c r="A47" s="356" t="inlineStr">
        <is>
          <t>Thematic</t>
        </is>
      </c>
      <c r="B47" s="356" t="inlineStr">
        <is>
          <t>3-Year Return</t>
        </is>
      </c>
      <c r="C47" s="356" t="inlineStr">
        <is>
          <t>1-Year Return</t>
        </is>
      </c>
      <c r="D47" s="353" t="n"/>
      <c r="E47" s="356" t="inlineStr">
        <is>
          <t>BAF</t>
        </is>
      </c>
      <c r="F47" s="356" t="inlineStr">
        <is>
          <t>3-Year Return</t>
        </is>
      </c>
      <c r="G47" s="356" t="inlineStr">
        <is>
          <t>1-Year Return</t>
        </is>
      </c>
    </row>
    <row r="48">
      <c r="A48" s="344" t="inlineStr">
        <is>
          <t>Nifty 500</t>
        </is>
      </c>
      <c r="B48" s="345" t="n">
        <v>0.1301</v>
      </c>
      <c r="C48" s="345" t="n">
        <v>0.0486</v>
      </c>
      <c r="D48" s="353" t="n"/>
      <c r="E48" s="344" t="inlineStr">
        <is>
          <t>Nifty 50</t>
        </is>
      </c>
      <c r="F48" s="345" t="n">
        <v>0.0912</v>
      </c>
      <c r="G48" s="345" t="n">
        <v>-0.0031</v>
      </c>
    </row>
    <row r="49" ht="25.5" customHeight="1">
      <c r="A49" s="362">
        <f>'Summary '!D43</f>
        <v/>
      </c>
      <c r="B49" s="346">
        <f>'Summary '!E43</f>
        <v/>
      </c>
      <c r="C49" s="346">
        <f>'Summary '!F43</f>
        <v/>
      </c>
      <c r="D49" s="353" t="n"/>
      <c r="E49" s="362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62">
        <f>'Summary '!D44</f>
        <v/>
      </c>
      <c r="B50" s="346">
        <f>'Summary '!E44</f>
        <v/>
      </c>
      <c r="C50" s="346">
        <f>'Summary '!F44</f>
        <v/>
      </c>
      <c r="D50" s="353" t="n"/>
      <c r="E50" s="362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62">
        <f>'Summary '!D45</f>
        <v/>
      </c>
      <c r="B51" s="346">
        <f>'Summary '!E45</f>
        <v/>
      </c>
      <c r="C51" s="349">
        <f>'Summary '!F45</f>
        <v/>
      </c>
      <c r="D51" s="353" t="n"/>
      <c r="E51" s="362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H15" sqref="H15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2"/>
    <col width="8.7109375" customWidth="1" style="333" min="13" max="16384"/>
  </cols>
  <sheetData>
    <row r="2" ht="15" customHeight="1">
      <c r="B2" s="365" t="inlineStr">
        <is>
          <t>Financial Product Catalog: A Ready Reckoner , As on 14th August 2026</t>
        </is>
      </c>
      <c r="C2" s="366" t="n"/>
      <c r="D2" s="366" t="n"/>
      <c r="E2" s="367" t="n"/>
    </row>
    <row r="3" ht="15" customHeight="1">
      <c r="B3" s="375" t="n"/>
      <c r="C3" s="366" t="n"/>
      <c r="D3" s="366" t="n"/>
      <c r="E3" s="367" t="n"/>
    </row>
    <row r="4" ht="15" customHeight="1">
      <c r="B4" s="374" t="inlineStr">
        <is>
          <t>Credit ratings assessed by (e.g., CRISIL, ICRA, CARE)</t>
        </is>
      </c>
      <c r="C4" s="366" t="n"/>
      <c r="D4" s="366" t="n"/>
      <c r="E4" s="367" t="n"/>
    </row>
    <row r="5" ht="15" customHeight="1">
      <c r="B5" s="373" t="n"/>
      <c r="C5" s="366" t="n"/>
      <c r="D5" s="366" t="n"/>
      <c r="E5" s="367" t="n"/>
    </row>
    <row r="6" ht="15" customHeight="1">
      <c r="B6" s="371" t="inlineStr">
        <is>
          <t>Corporate FD's</t>
        </is>
      </c>
      <c r="C6" s="366" t="n"/>
      <c r="D6" s="366" t="n"/>
      <c r="E6" s="367" t="n"/>
    </row>
    <row r="7" ht="25.5" customHeight="1">
      <c r="B7" s="369" t="inlineStr">
        <is>
          <t>Institution</t>
        </is>
      </c>
      <c r="C7" s="369" t="inlineStr">
        <is>
          <t>3-Year FD Rate</t>
        </is>
      </c>
      <c r="D7" s="367" t="n"/>
      <c r="E7" s="369" t="inlineStr">
        <is>
          <t>1-Year FD Rate</t>
        </is>
      </c>
    </row>
    <row r="8" ht="15" customHeight="1">
      <c r="B8" s="334" t="inlineStr">
        <is>
          <t>SBI Bank FD</t>
        </is>
      </c>
      <c r="C8" s="370" t="inlineStr">
        <is>
          <t>6.30% - 6.80%</t>
        </is>
      </c>
      <c r="D8" s="367" t="n"/>
      <c r="E8" s="370" t="inlineStr">
        <is>
          <t>6.25% - 6.75%</t>
        </is>
      </c>
    </row>
    <row r="9" ht="13.5" customHeight="1">
      <c r="B9" s="331" t="inlineStr">
        <is>
          <t>Shriram Finance</t>
        </is>
      </c>
      <c r="C9" s="368" t="inlineStr">
        <is>
          <t>7.50% – 8.00%</t>
        </is>
      </c>
      <c r="D9" s="367" t="n"/>
      <c r="E9" s="368" t="inlineStr">
        <is>
          <t>6.85% – 7.35%</t>
        </is>
      </c>
    </row>
    <row r="10" ht="13.5" customHeight="1">
      <c r="B10" s="331" t="inlineStr">
        <is>
          <t>Bajaj Finance</t>
        </is>
      </c>
      <c r="C10" s="368" t="inlineStr">
        <is>
          <t>7.40% – 7.75%</t>
        </is>
      </c>
      <c r="D10" s="367" t="n"/>
      <c r="E10" s="368" t="inlineStr">
        <is>
          <t>6.60% – 6.95%</t>
        </is>
      </c>
    </row>
    <row r="11" ht="13.5" customHeight="1">
      <c r="B11" s="337" t="inlineStr">
        <is>
          <t>PNB Housing Finance</t>
        </is>
      </c>
      <c r="C11" s="368" t="inlineStr">
        <is>
          <t>7.10% – 7.35%</t>
        </is>
      </c>
      <c r="D11" s="367" t="n"/>
      <c r="E11" s="368" t="inlineStr">
        <is>
          <t>6.70% – 6.95%</t>
        </is>
      </c>
    </row>
    <row r="12" ht="13.5" customHeight="1">
      <c r="B12" s="331" t="inlineStr">
        <is>
          <t>ICICI Home Finance</t>
        </is>
      </c>
      <c r="C12" s="372" t="inlineStr">
        <is>
          <t>7.10% -7.45%</t>
        </is>
      </c>
      <c r="D12" s="367" t="n"/>
      <c r="E12" s="368" t="inlineStr">
        <is>
          <t>6.85% – 7.20%</t>
        </is>
      </c>
    </row>
    <row r="13" ht="13.5" customHeight="1">
      <c r="B13" s="337" t="inlineStr">
        <is>
          <t>LIC Housing Finance</t>
        </is>
      </c>
      <c r="C13" s="372" t="inlineStr">
        <is>
          <t>6.85% -7.10%</t>
        </is>
      </c>
      <c r="D13" s="367" t="n"/>
      <c r="E13" s="368" t="inlineStr">
        <is>
          <t>6.70% – 6.95%</t>
        </is>
      </c>
    </row>
    <row r="14" ht="15" customHeight="1">
      <c r="B14" s="371" t="inlineStr">
        <is>
          <t>Capital Gain Bonds/NCD</t>
        </is>
      </c>
      <c r="C14" s="366" t="n"/>
      <c r="D14" s="366" t="n"/>
      <c r="E14" s="367" t="n"/>
    </row>
    <row r="15" ht="15" customHeight="1">
      <c r="B15" s="369" t="inlineStr">
        <is>
          <t>Index Name</t>
        </is>
      </c>
      <c r="C15" s="369" t="inlineStr">
        <is>
          <t>5-Year Return</t>
        </is>
      </c>
      <c r="D15" s="366" t="n"/>
      <c r="E15" s="367" t="n"/>
    </row>
    <row r="16" ht="25.5" customHeight="1">
      <c r="B16" s="332" t="inlineStr">
        <is>
          <t>NIFTY 10 Year Benchmark G-Sec Index</t>
        </is>
      </c>
      <c r="C16" s="376" t="n">
        <v>0.055</v>
      </c>
      <c r="D16" s="366" t="n"/>
      <c r="E16" s="367" t="n"/>
    </row>
    <row r="17" ht="15" customHeight="1">
      <c r="B17" s="369" t="inlineStr">
        <is>
          <t>Issuer</t>
        </is>
      </c>
      <c r="C17" s="369" t="inlineStr">
        <is>
          <t>Interest Rate</t>
        </is>
      </c>
      <c r="D17" s="369" t="inlineStr">
        <is>
          <t>Tenure</t>
        </is>
      </c>
      <c r="E17" s="367" t="n"/>
    </row>
    <row r="18" ht="15" customHeight="1">
      <c r="B18" s="331" t="inlineStr">
        <is>
          <t>IRFC</t>
        </is>
      </c>
      <c r="C18" s="368" t="inlineStr">
        <is>
          <t>5.25% p.a.</t>
        </is>
      </c>
      <c r="D18" s="368" t="inlineStr">
        <is>
          <t>5 years</t>
        </is>
      </c>
      <c r="E18" s="367" t="n"/>
    </row>
    <row r="19" ht="15" customHeight="1">
      <c r="B19" s="331" t="inlineStr">
        <is>
          <t>PFC</t>
        </is>
      </c>
      <c r="C19" s="368" t="inlineStr">
        <is>
          <t>5.25% p.a.</t>
        </is>
      </c>
      <c r="D19" s="368" t="inlineStr">
        <is>
          <t>5 years</t>
        </is>
      </c>
      <c r="E19" s="367" t="n"/>
    </row>
    <row r="20" ht="15" customHeight="1">
      <c r="B20" s="331" t="inlineStr">
        <is>
          <t>REC</t>
        </is>
      </c>
      <c r="C20" s="368" t="inlineStr">
        <is>
          <t>5.25% p.a.</t>
        </is>
      </c>
      <c r="D20" s="368" t="inlineStr">
        <is>
          <t>5 years</t>
        </is>
      </c>
      <c r="E20" s="367" t="n"/>
    </row>
    <row r="21" ht="15" customHeight="1">
      <c r="B21" s="373" t="n"/>
      <c r="C21" s="366" t="n"/>
      <c r="D21" s="366" t="n"/>
      <c r="E21" s="367" t="n"/>
    </row>
    <row r="22" ht="15" customHeight="1">
      <c r="B22" s="371" t="inlineStr">
        <is>
          <t>RBI Floating Rate Savings Bond</t>
        </is>
      </c>
      <c r="C22" s="367" t="n"/>
      <c r="D22" s="371" t="inlineStr">
        <is>
          <t>Interest Rate</t>
        </is>
      </c>
      <c r="E22" s="367" t="n"/>
    </row>
    <row r="23" ht="15" customHeight="1">
      <c r="B23" s="368" t="inlineStr">
        <is>
          <t>HDFC</t>
        </is>
      </c>
      <c r="C23" s="367" t="n"/>
      <c r="D23" s="368" t="inlineStr">
        <is>
          <t>8.05% p.a.</t>
        </is>
      </c>
      <c r="E23" s="367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2"/>
    <col width="8.7109375" customWidth="1" style="115" min="23" max="16384"/>
  </cols>
  <sheetData>
    <row r="1" ht="15" customHeight="1" thickBot="1"/>
    <row r="2">
      <c r="B2" s="384" t="inlineStr">
        <is>
          <t>Equity</t>
        </is>
      </c>
      <c r="C2" s="385" t="n"/>
      <c r="D2" s="385" t="n"/>
      <c r="E2" s="385" t="n"/>
      <c r="F2" s="386" t="n"/>
      <c r="H2" s="384" t="inlineStr">
        <is>
          <t>Debt</t>
        </is>
      </c>
      <c r="I2" s="385" t="n"/>
      <c r="J2" s="385" t="n"/>
      <c r="K2" s="385" t="n"/>
      <c r="L2" s="38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80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80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81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81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80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80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81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81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80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80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81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81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80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80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81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81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80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7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81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79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80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81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3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2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7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79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2"/>
    <col width="8.7109375" customWidth="1" style="15" min="23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5" t="n"/>
      <c r="D4" s="385" t="n"/>
      <c r="E4" s="38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5" t="n"/>
      <c r="D25" s="385" t="n"/>
      <c r="E25" s="38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5" t="n"/>
      <c r="D34" s="385" t="n"/>
      <c r="E34" s="38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5" t="n"/>
      <c r="D37" s="385" t="n"/>
      <c r="E37" s="38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60" t="n"/>
      <c r="G6" s="360" t="n"/>
      <c r="H6" s="360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61" t="n"/>
      <c r="G7" s="361" t="n"/>
      <c r="H7" s="361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0.4634</v>
      </c>
      <c r="F6" s="248" t="n">
        <v>10.937</v>
      </c>
      <c r="G6" s="248" t="n">
        <v>10.0313</v>
      </c>
      <c r="H6" s="248" t="n">
        <v>11.3412</v>
      </c>
      <c r="I6" s="248" t="n">
        <v>0.0342521463336754</v>
      </c>
      <c r="J6" s="248" t="n">
        <v>0.0497344930944987</v>
      </c>
      <c r="K6" s="248" t="n">
        <v>0.94717443975918</v>
      </c>
      <c r="L6" s="248" t="n">
        <v>13.1066769526916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1.3899</v>
      </c>
      <c r="F7" s="248" t="n">
        <v>10.6857</v>
      </c>
      <c r="G7" s="248" t="n">
        <v>12.1159</v>
      </c>
      <c r="H7" s="248" t="n">
        <v>12.2396</v>
      </c>
      <c r="I7" s="249" t="n">
        <v>0.0337688697606695</v>
      </c>
      <c r="J7" s="249" t="n">
        <v>0.0443345584888989</v>
      </c>
      <c r="K7" s="249" t="n">
        <v>0.9101725575216369</v>
      </c>
      <c r="L7" s="249" t="n">
        <v>12.6725302267995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-1.0963</v>
      </c>
      <c r="F8" s="248" t="n">
        <v>12.3447</v>
      </c>
      <c r="G8" s="248" t="n">
        <v>12.1386</v>
      </c>
      <c r="H8" s="248" t="n">
        <v>13.1551</v>
      </c>
      <c r="I8" s="249" t="n">
        <v>0.0438226439989047</v>
      </c>
      <c r="J8" s="249" t="n">
        <v>0.168907072562577</v>
      </c>
      <c r="K8" s="249" t="n">
        <v>0.8956774474249</v>
      </c>
      <c r="L8" s="249" t="n">
        <v>12.4684491795278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0.6326000000000001</v>
      </c>
      <c r="F9" s="248" t="n">
        <v>11.051</v>
      </c>
      <c r="G9" s="248" t="n">
        <v>9.6044</v>
      </c>
      <c r="H9" s="248" t="n">
        <v>11.907</v>
      </c>
      <c r="I9" s="249" t="n">
        <v>0.0348373014735182</v>
      </c>
      <c r="J9" s="249" t="n">
        <v>0.0582176055602255</v>
      </c>
      <c r="K9" s="249" t="n">
        <v>0.95980850906917</v>
      </c>
      <c r="L9" s="249" t="n">
        <v>13.2828801450013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-0.9397</v>
      </c>
      <c r="F10" s="248" t="n">
        <v>11.9587</v>
      </c>
      <c r="G10" s="248" t="n">
        <v>13.8685</v>
      </c>
      <c r="H10" s="248" t="n">
        <v>13.5806</v>
      </c>
      <c r="I10" s="249" t="n">
        <v>0.0410269169638918</v>
      </c>
      <c r="J10" s="249" t="n">
        <v>0.141834488577843</v>
      </c>
      <c r="K10" s="249" t="n">
        <v>0.975798724569484</v>
      </c>
      <c r="L10" s="249" t="n">
        <v>13.4337038356604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2.4662</v>
      </c>
      <c r="F11" s="248" t="n">
        <v>10.3099</v>
      </c>
      <c r="G11" s="248" t="n">
        <v>10.1251</v>
      </c>
      <c r="H11" s="248" t="n">
        <v>11.4709</v>
      </c>
      <c r="I11" s="249" t="n">
        <v>0.028793574274836</v>
      </c>
      <c r="J11" s="249" t="n">
        <v>-0.0197212704697033</v>
      </c>
      <c r="K11" s="249" t="n">
        <v>0.916842978104586</v>
      </c>
      <c r="L11" s="249" t="n">
        <v>12.6715108672934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-1.9244</v>
      </c>
      <c r="F12" s="251" t="n">
        <v>8.5236</v>
      </c>
      <c r="G12" s="251" t="n">
        <v>7.6132</v>
      </c>
      <c r="H12" s="251" t="n">
        <v>10.9278</v>
      </c>
      <c r="I12" s="250" t="n">
        <v>0.0208369515404488</v>
      </c>
      <c r="J12" s="250" t="n">
        <v>-0.120480729585078</v>
      </c>
      <c r="K12" s="250" t="n">
        <v>0.896481959967971</v>
      </c>
      <c r="L12" s="250" t="n">
        <v>12.2646534007747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6.344</v>
      </c>
      <c r="F17" s="252" t="n">
        <v>13.9065</v>
      </c>
      <c r="G17" s="248" t="n">
        <v>14.214</v>
      </c>
      <c r="H17" s="248" t="n">
        <v>14.2694</v>
      </c>
      <c r="I17" s="249" t="n">
        <v>0.0542796054092358</v>
      </c>
      <c r="J17" s="249" t="n">
        <v>0.0364999447584372</v>
      </c>
      <c r="K17" s="249" t="n">
        <v>0.8299910738837319</v>
      </c>
      <c r="L17" s="249" t="n">
        <v>12.4825994432569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6.1252</v>
      </c>
      <c r="F18" s="252" t="n">
        <v>14.4652</v>
      </c>
      <c r="G18" s="248" t="n">
        <v>13.8326</v>
      </c>
      <c r="H18" s="248" t="n">
        <v>14.6133</v>
      </c>
      <c r="I18" s="249" t="n">
        <v>0.0523237003027726</v>
      </c>
      <c r="J18" s="249" t="n">
        <v>0.00690349125729806</v>
      </c>
      <c r="K18" s="249" t="n">
        <v>0.951957833392322</v>
      </c>
      <c r="L18" s="249" t="n">
        <v>14.4481883806153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7.0249</v>
      </c>
      <c r="F20" s="252" t="n">
        <v>17.2314</v>
      </c>
      <c r="G20" s="248" t="n">
        <v>17.5967</v>
      </c>
      <c r="H20" s="248" t="n">
        <v>14.9808</v>
      </c>
      <c r="I20" s="249" t="n">
        <v>0.0720910252666366</v>
      </c>
      <c r="J20" s="249" t="n">
        <v>0.268198523922709</v>
      </c>
      <c r="K20" s="249" t="n">
        <v>0.839300744296065</v>
      </c>
      <c r="L20" s="249" t="n">
        <v>12.8813508911018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4.9527</v>
      </c>
      <c r="F21" s="252" t="n">
        <v>16.5351</v>
      </c>
      <c r="G21" s="248" t="n">
        <v>14.2011</v>
      </c>
      <c r="H21" s="248" t="n">
        <v>12.9097</v>
      </c>
      <c r="I21" s="249" t="n">
        <v>0.0626720279306525</v>
      </c>
      <c r="J21" s="249" t="n">
        <v>0.14127505939398</v>
      </c>
      <c r="K21" s="249" t="n">
        <v>0.974124467656848</v>
      </c>
      <c r="L21" s="249" t="n">
        <v>14.4848797580658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9.721500000000001</v>
      </c>
      <c r="F22" s="252" t="n">
        <v>12.7522</v>
      </c>
      <c r="G22" s="248" t="n">
        <v>8.902799999999999</v>
      </c>
      <c r="H22" s="248" t="n">
        <v>11.0691</v>
      </c>
      <c r="I22" s="249" t="n">
        <v>0.044444024773398</v>
      </c>
      <c r="J22" s="249" t="n">
        <v>-0.119832803045425</v>
      </c>
      <c r="K22" s="249" t="n">
        <v>1.00366282602449</v>
      </c>
      <c r="L22" s="249" t="n">
        <v>15.0736157242296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5.2753</v>
      </c>
      <c r="F23" s="254" t="n">
        <v>16.0615</v>
      </c>
      <c r="G23" s="251" t="n">
        <v>14.6365</v>
      </c>
      <c r="H23" s="251" t="n">
        <v>13.6936</v>
      </c>
      <c r="I23" s="250" t="n">
        <v>0.0625697342536978</v>
      </c>
      <c r="J23" s="250" t="n">
        <v>0.138371979911228</v>
      </c>
      <c r="K23" s="250" t="n">
        <v>0.921638606926457</v>
      </c>
      <c r="L23" s="250" t="n">
        <v>13.8020962008171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7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11.1956</v>
      </c>
      <c r="F28" s="248" t="n">
        <v>18.8174</v>
      </c>
      <c r="G28" s="248" t="n">
        <v>20.1648</v>
      </c>
      <c r="H28" s="248" t="n">
        <v>16.9816</v>
      </c>
      <c r="I28" s="249" t="n">
        <v>0.07904151653381419</v>
      </c>
      <c r="J28" s="249" t="n">
        <v>0.168964820377991</v>
      </c>
      <c r="K28" s="249" t="n">
        <v>0.835023921667663</v>
      </c>
      <c r="L28" s="249" t="n">
        <v>14.2384861662191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9.635</v>
      </c>
      <c r="F29" s="248" t="n">
        <v>18.592</v>
      </c>
      <c r="G29" s="248" t="n">
        <v>17.1595</v>
      </c>
      <c r="H29" s="248" t="n">
        <v>17.0071</v>
      </c>
      <c r="I29" s="249" t="n">
        <v>0.06811947461641329</v>
      </c>
      <c r="J29" s="249" t="n">
        <v>0.0613577541305665</v>
      </c>
      <c r="K29" s="249" t="n">
        <v>0.959661533141743</v>
      </c>
      <c r="L29" s="249" t="n">
        <v>17.0375494782991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11.32</v>
      </c>
      <c r="F30" s="248" t="n">
        <v>20.1047</v>
      </c>
      <c r="G30" s="248" t="n">
        <v>19.1433</v>
      </c>
      <c r="H30" s="248" t="n">
        <v>17.9311</v>
      </c>
      <c r="I30" s="249" t="n">
        <v>0.0769466583400352</v>
      </c>
      <c r="J30" s="249" t="n">
        <v>0.152178511974467</v>
      </c>
      <c r="K30" s="249" t="n">
        <v>0.965825296911569</v>
      </c>
      <c r="L30" s="249" t="n">
        <v>16.3550945945157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8.3393</v>
      </c>
      <c r="F31" s="248" t="n">
        <v>12.4898</v>
      </c>
      <c r="G31" s="248" t="n">
        <v>14.4499</v>
      </c>
      <c r="H31" s="248" t="n">
        <v>13.4975</v>
      </c>
      <c r="I31" s="249" t="n">
        <v>0.0428867318436032</v>
      </c>
      <c r="J31" s="249" t="n">
        <v>-0.321922225865949</v>
      </c>
      <c r="K31" s="249" t="n">
        <v>0.823770945696474</v>
      </c>
      <c r="L31" s="249" t="n">
        <v>14.4952739340735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7.7447</v>
      </c>
      <c r="F32" s="248" t="n">
        <v>13.2402</v>
      </c>
      <c r="G32" s="248" t="n">
        <v>13.0594</v>
      </c>
      <c r="H32" s="248" t="n">
        <v>13.6422</v>
      </c>
      <c r="I32" s="249" t="n">
        <v>0.0474169320462113</v>
      </c>
      <c r="J32" s="249" t="n">
        <v>-0.313392630692409</v>
      </c>
      <c r="K32" s="249" t="n">
        <v>0.925361139376754</v>
      </c>
      <c r="L32" s="249" t="n">
        <v>15.744367796865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12.0717</v>
      </c>
      <c r="F34" s="251" t="n">
        <v>17.0059</v>
      </c>
      <c r="G34" s="251" t="n">
        <v>15.1895</v>
      </c>
      <c r="H34" s="251" t="n">
        <v>13.3087</v>
      </c>
      <c r="I34" s="250" t="n">
        <v>0.0627252040800171</v>
      </c>
      <c r="J34" s="250" t="n">
        <v>-0.0616442036311169</v>
      </c>
      <c r="K34" s="250" t="n">
        <v>0.951514848648609</v>
      </c>
      <c r="L34" s="250" t="n">
        <v>16.393018855983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7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11.9931</v>
      </c>
      <c r="F39" s="248" t="n">
        <v>16.3726</v>
      </c>
      <c r="G39" s="248" t="n">
        <v>19.7109</v>
      </c>
      <c r="H39" s="248" t="n">
        <v>20.4959</v>
      </c>
      <c r="I39" s="249" t="n">
        <v>0.0575599570099397</v>
      </c>
      <c r="J39" s="249" t="n">
        <v>0.0426090640165808</v>
      </c>
      <c r="K39" s="249" t="n">
        <v>0.863216480857518</v>
      </c>
      <c r="L39" s="249" t="n">
        <v>17.6350010288103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-0.3737</v>
      </c>
      <c r="F40" s="248" t="n">
        <v>11.1243</v>
      </c>
      <c r="G40" s="248" t="n">
        <v>15.4738</v>
      </c>
      <c r="H40" s="248" t="n">
        <v>16.631</v>
      </c>
      <c r="I40" s="249" t="n">
        <v>0.0379654614760119</v>
      </c>
      <c r="J40" s="249" t="n">
        <v>-0.151247209765478</v>
      </c>
      <c r="K40" s="249" t="n">
        <v>0.770935355146685</v>
      </c>
      <c r="L40" s="249" t="n">
        <v>15.8475192333819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9.5006</v>
      </c>
      <c r="F41" s="248" t="n">
        <v>12.6276</v>
      </c>
      <c r="G41" s="248" t="n">
        <v>14.9036</v>
      </c>
      <c r="H41" s="248" t="n">
        <v>17.9948</v>
      </c>
      <c r="I41" s="249" t="n">
        <v>0.0427642823897425</v>
      </c>
      <c r="J41" s="249" t="n">
        <v>-0.0768857821929264</v>
      </c>
      <c r="K41" s="249" t="n">
        <v>0.785781677771014</v>
      </c>
      <c r="L41" s="249" t="n">
        <v>16.1470948077954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7.2343</v>
      </c>
      <c r="F42" s="248" t="n">
        <v>12.4864</v>
      </c>
      <c r="G42" s="248" t="n">
        <v>13.0487</v>
      </c>
      <c r="H42" s="248" t="n">
        <v>16.199</v>
      </c>
      <c r="I42" s="249" t="n">
        <v>0.039295050932396</v>
      </c>
      <c r="J42" s="249" t="n">
        <v>-0.261473061002535</v>
      </c>
      <c r="K42" s="249" t="n">
        <v>0.869793664240525</v>
      </c>
      <c r="L42" s="249" t="n">
        <v>18.282132681018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21.0022</v>
      </c>
      <c r="F44" s="248" t="n">
        <v>16.1037</v>
      </c>
      <c r="G44" s="248" t="n">
        <v>14.5223</v>
      </c>
      <c r="H44" s="248" t="n">
        <v>12.8429</v>
      </c>
      <c r="I44" s="249" t="n">
        <v>0.054490836565777</v>
      </c>
      <c r="J44" s="249" t="n">
        <v>0.12530040798374</v>
      </c>
      <c r="K44" s="249" t="n">
        <v>0.901052837463274</v>
      </c>
      <c r="L44" s="249" t="n">
        <v>18.4486145525996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8.9422</v>
      </c>
      <c r="F45" s="251" t="n">
        <v>14.8113</v>
      </c>
      <c r="G45" s="251" t="n">
        <v>15.4579</v>
      </c>
      <c r="H45" s="251" t="n">
        <v>0</v>
      </c>
      <c r="I45" s="250" t="n">
        <v>0.0503406238479385</v>
      </c>
      <c r="J45" s="250" t="n">
        <v>-0.06830424257029449</v>
      </c>
      <c r="K45" s="250" t="n">
        <v>0.855002565717059</v>
      </c>
      <c r="L45" s="250" t="n">
        <v>17.7769582293288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7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16.9677</v>
      </c>
      <c r="F50" s="248" t="n">
        <v>16.685</v>
      </c>
      <c r="G50" s="248" t="n">
        <v>12.6422</v>
      </c>
      <c r="H50" s="248" t="n">
        <v>14.7038</v>
      </c>
      <c r="I50" s="249" t="n">
        <v>0.07030830718963289</v>
      </c>
      <c r="J50" s="249" t="n">
        <v>0.435244760573737</v>
      </c>
      <c r="K50" s="249" t="n">
        <v>0.742803218796841</v>
      </c>
      <c r="L50" s="249" t="n">
        <v>12.1702015601877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2.6849</v>
      </c>
      <c r="F51" s="248" t="n">
        <v>16.2294</v>
      </c>
      <c r="G51" s="248" t="n">
        <v>18.3827</v>
      </c>
      <c r="H51" s="248" t="n">
        <v>13.9635</v>
      </c>
      <c r="I51" s="249" t="n">
        <v>0.0697439566509733</v>
      </c>
      <c r="J51" s="249" t="n">
        <v>0.36457409432847</v>
      </c>
      <c r="K51" s="249" t="n">
        <v>0.822107027548624</v>
      </c>
      <c r="L51" s="249" t="n">
        <v>12.420732456173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4.3144</v>
      </c>
      <c r="F52" s="248" t="n">
        <v>11.6294</v>
      </c>
      <c r="G52" s="248" t="n">
        <v>5.1691</v>
      </c>
      <c r="H52" s="248" t="n">
        <v>11.3717</v>
      </c>
      <c r="I52" s="249" t="n">
        <v>0.032068188951318</v>
      </c>
      <c r="J52" s="249" t="n">
        <v>-0.102936833580158</v>
      </c>
      <c r="K52" s="249" t="n">
        <v>0.924792160355125</v>
      </c>
      <c r="L52" s="249" t="n">
        <v>14.3888532422181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3.3382</v>
      </c>
      <c r="F54" s="248" t="n">
        <v>10.7685</v>
      </c>
      <c r="G54" s="248" t="n">
        <v>11.5056</v>
      </c>
      <c r="H54" s="248" t="n">
        <v>12.6062</v>
      </c>
      <c r="I54" s="249" t="n">
        <v>0.037537428148767</v>
      </c>
      <c r="J54" s="249" t="n">
        <v>-0.0170568742954782</v>
      </c>
      <c r="K54" s="249" t="n">
        <v>0.935277891773649</v>
      </c>
      <c r="L54" s="249" t="n">
        <v>13.9696792195248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9.901199999999999</v>
      </c>
      <c r="F55" s="248" t="n">
        <v>15.3571</v>
      </c>
      <c r="G55" s="248" t="n">
        <v>12.3629</v>
      </c>
      <c r="H55" s="248" t="n">
        <v>0</v>
      </c>
      <c r="I55" s="249" t="n">
        <v>0.0572257526513554</v>
      </c>
      <c r="J55" s="249" t="n">
        <v>0.213185956247632</v>
      </c>
      <c r="K55" s="249" t="n">
        <v>0.947897918966376</v>
      </c>
      <c r="L55" s="249" t="n">
        <v>13.8337667721083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7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2.5606</v>
      </c>
      <c r="F61" s="248" t="n">
        <v>12.4289</v>
      </c>
      <c r="G61" s="248" t="n">
        <v>15.0558</v>
      </c>
      <c r="H61" s="248" t="n">
        <v>13.7969</v>
      </c>
      <c r="I61" s="249" t="n">
        <v>0.0597621946201822</v>
      </c>
      <c r="J61" s="249" t="n">
        <v>0</v>
      </c>
      <c r="K61" s="249" t="n">
        <v>0</v>
      </c>
      <c r="L61" s="249" t="n">
        <v>9.809648349182121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7.248</v>
      </c>
      <c r="F62" s="248" t="n">
        <v>12.1154</v>
      </c>
      <c r="G62" s="248" t="n">
        <v>11.0458</v>
      </c>
      <c r="H62" s="248" t="n">
        <v>10.845</v>
      </c>
      <c r="I62" s="249" t="n">
        <v>0.0749238105799141</v>
      </c>
      <c r="J62" s="249" t="n">
        <v>0</v>
      </c>
      <c r="K62" s="249" t="n">
        <v>0</v>
      </c>
      <c r="L62" s="249" t="n">
        <v>6.88997708365328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4.2835</v>
      </c>
      <c r="F63" s="248" t="n">
        <v>9.884499999999999</v>
      </c>
      <c r="G63" s="248" t="n">
        <v>0</v>
      </c>
      <c r="H63" s="248" t="n">
        <v>0</v>
      </c>
      <c r="I63" s="249" t="n">
        <v>0.0486382022528124</v>
      </c>
      <c r="J63" s="249" t="n">
        <v>0</v>
      </c>
      <c r="K63" s="249" t="n">
        <v>0</v>
      </c>
      <c r="L63" s="249" t="n">
        <v>6.97952424676602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4.6408</v>
      </c>
      <c r="F64" s="248" t="n">
        <v>9.587899999999999</v>
      </c>
      <c r="G64" s="248" t="n">
        <v>8.610099999999999</v>
      </c>
      <c r="H64" s="248" t="n">
        <v>0</v>
      </c>
      <c r="I64" s="249" t="n">
        <v>0.0408580534568165</v>
      </c>
      <c r="J64" s="249" t="n">
        <v>0</v>
      </c>
      <c r="K64" s="249" t="n">
        <v>0</v>
      </c>
      <c r="L64" s="249" t="n">
        <v>8.098249074667301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0.5125</v>
      </c>
      <c r="F65" s="248" t="n">
        <v>8.2279</v>
      </c>
      <c r="G65" s="248" t="n">
        <v>0</v>
      </c>
      <c r="H65" s="248" t="n">
        <v>0</v>
      </c>
      <c r="I65" s="249" t="n">
        <v>0.0312748729351799</v>
      </c>
      <c r="J65" s="249" t="n">
        <v>0</v>
      </c>
      <c r="K65" s="249" t="n">
        <v>0</v>
      </c>
      <c r="L65" s="249" t="n">
        <v>7.74895200161134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5.3711</v>
      </c>
      <c r="F66" s="248" t="n">
        <v>10.7853</v>
      </c>
      <c r="G66" s="248" t="n">
        <v>9.170500000000001</v>
      </c>
      <c r="H66" s="248" t="n">
        <v>10.273</v>
      </c>
      <c r="I66" s="249" t="n">
        <v>0.053629571596871</v>
      </c>
      <c r="J66" s="249" t="n">
        <v>0</v>
      </c>
      <c r="K66" s="249" t="n">
        <v>0</v>
      </c>
      <c r="L66" s="249" t="n">
        <v>7.81559655625353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8.2453</v>
      </c>
      <c r="F67" s="251" t="n">
        <v>11.7284</v>
      </c>
      <c r="G67" s="251" t="n">
        <v>9.8431</v>
      </c>
      <c r="H67" s="251" t="n">
        <v>10.1954</v>
      </c>
      <c r="I67" s="250" t="n">
        <v>0.0611044320179947</v>
      </c>
      <c r="J67" s="250" t="n">
        <v>0</v>
      </c>
      <c r="K67" s="250" t="n">
        <v>0</v>
      </c>
      <c r="L67" s="250" t="n">
        <v>7.95325306968196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4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7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14.1398</v>
      </c>
      <c r="F73" s="248" t="n">
        <v>15.4108</v>
      </c>
      <c r="G73" s="248" t="n">
        <v>13.368</v>
      </c>
      <c r="H73" s="248" t="n">
        <v>11.3246</v>
      </c>
      <c r="I73" s="249" t="n">
        <v>0.09107986640743319</v>
      </c>
      <c r="J73" s="249" t="n">
        <v>0</v>
      </c>
      <c r="K73" s="249" t="n">
        <v>0</v>
      </c>
      <c r="L73" s="249" t="n">
        <v>96.34644661051369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20.9155</v>
      </c>
      <c r="F74" s="248" t="n">
        <v>0</v>
      </c>
      <c r="G74" s="248" t="n">
        <v>0</v>
      </c>
      <c r="H74" s="248" t="n">
        <v>0</v>
      </c>
      <c r="I74" s="249" t="n">
        <v>0.0855304336922863</v>
      </c>
      <c r="J74" s="249" t="n">
        <v>0</v>
      </c>
      <c r="K74" s="249" t="n">
        <v>0</v>
      </c>
      <c r="L74" s="249" t="n">
        <v>132.358114808216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17.2719</v>
      </c>
      <c r="F75" s="248" t="n">
        <v>19.331</v>
      </c>
      <c r="G75" s="248" t="n">
        <v>15.0851</v>
      </c>
      <c r="H75" s="248" t="n">
        <v>0</v>
      </c>
      <c r="I75" s="249" t="n">
        <v>0.103941075448139</v>
      </c>
      <c r="J75" s="249" t="n">
        <v>0</v>
      </c>
      <c r="K75" s="249" t="n">
        <v>0</v>
      </c>
      <c r="L75" s="249" t="n">
        <v>112.182551532564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8.2759</v>
      </c>
      <c r="F76" s="248" t="n">
        <v>16.1888</v>
      </c>
      <c r="G76" s="248" t="n">
        <v>13.2834</v>
      </c>
      <c r="H76" s="248" t="n">
        <v>10.5551</v>
      </c>
      <c r="I76" s="249" t="n">
        <v>0.07672490654267081</v>
      </c>
      <c r="J76" s="249" t="n">
        <v>0</v>
      </c>
      <c r="K76" s="249" t="n">
        <v>0</v>
      </c>
      <c r="L76" s="249" t="n">
        <v>117.726403092453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16.3279</v>
      </c>
      <c r="F78" s="251" t="n">
        <v>16.0638</v>
      </c>
      <c r="G78" s="251" t="n">
        <v>0</v>
      </c>
      <c r="H78" s="251" t="n">
        <v>0</v>
      </c>
      <c r="I78" s="250" t="n">
        <v>0.0767836154411862</v>
      </c>
      <c r="J78" s="250" t="n">
        <v>0</v>
      </c>
      <c r="K78" s="250" t="n">
        <v>0</v>
      </c>
      <c r="L78" s="250" t="n">
        <v>116.818777864604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4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15.5255</v>
      </c>
      <c r="F83" s="84" t="n">
        <v>22.3153</v>
      </c>
      <c r="G83" s="84" t="n">
        <v>23.324</v>
      </c>
      <c r="H83" s="84" t="n">
        <v>0</v>
      </c>
      <c r="I83" s="84" t="n">
        <v>0.06282033480322601</v>
      </c>
      <c r="J83" s="84" t="n">
        <v>-0.101012175963521</v>
      </c>
      <c r="K83" s="84" t="n">
        <v>0.95603091206788</v>
      </c>
      <c r="L83" s="84" t="n">
        <v>22.5093945588055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7.9544</v>
      </c>
      <c r="F84" s="84" t="n">
        <v>11.052</v>
      </c>
      <c r="G84" s="84" t="n">
        <v>11.132</v>
      </c>
      <c r="H84" s="84" t="n">
        <v>11.4912</v>
      </c>
      <c r="I84" s="84" t="n">
        <v>0.0326632182236384</v>
      </c>
      <c r="J84" s="84" t="n">
        <v>0.106345981119077</v>
      </c>
      <c r="K84" s="84" t="n">
        <v>0.917817319235932</v>
      </c>
      <c r="L84" s="84" t="n">
        <v>15.2685110933233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10.5129</v>
      </c>
      <c r="F85" s="84" t="n">
        <v>0</v>
      </c>
      <c r="G85" s="84" t="n">
        <v>0</v>
      </c>
      <c r="H85" s="84" t="n">
        <v>0</v>
      </c>
      <c r="I85" s="84" t="n">
        <v>-0.0162207111865508</v>
      </c>
      <c r="J85" s="84" t="n">
        <v>0.0301735877774421</v>
      </c>
      <c r="K85" s="84" t="n">
        <v>1.0909692927544</v>
      </c>
      <c r="L85" s="84" t="n">
        <v>16.2529323356158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11.8758</v>
      </c>
      <c r="F86" s="84" t="n">
        <v>13.9086</v>
      </c>
      <c r="G86" s="84" t="n">
        <v>0</v>
      </c>
      <c r="H86" s="84" t="n">
        <v>0</v>
      </c>
      <c r="I86" s="84" t="n">
        <v>0.0471670507056937</v>
      </c>
      <c r="J86" s="84" t="n">
        <v>0.125125688784247</v>
      </c>
      <c r="K86" s="84" t="n">
        <v>0.952473057986866</v>
      </c>
      <c r="L86" s="84" t="n">
        <v>14.0822645044377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6.5138</v>
      </c>
      <c r="F87" s="84" t="n">
        <v>0</v>
      </c>
      <c r="G87" s="84" t="n">
        <v>0</v>
      </c>
      <c r="H87" s="84" t="n">
        <v>0</v>
      </c>
      <c r="I87" s="84" t="n">
        <v>0.0108267807902364</v>
      </c>
      <c r="J87" s="84" t="n">
        <v>0</v>
      </c>
      <c r="K87" s="84" t="n">
        <v>0</v>
      </c>
      <c r="L87" s="84" t="n">
        <v>15.8178899149657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22.3009</v>
      </c>
      <c r="F88" s="84" t="n">
        <v>0</v>
      </c>
      <c r="G88" s="84" t="n">
        <v>0</v>
      </c>
      <c r="H88" s="84" t="n">
        <v>0</v>
      </c>
      <c r="I88" s="84" t="n">
        <v>0.07675685124414949</v>
      </c>
      <c r="J88" s="84" t="n">
        <v>0.156066065633713</v>
      </c>
      <c r="K88" s="84" t="n">
        <v>0.981773990621167</v>
      </c>
      <c r="L88" s="84" t="n">
        <v>18.6512140586964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28.6639</v>
      </c>
      <c r="F89" s="84" t="n">
        <v>22.3763</v>
      </c>
      <c r="G89" s="84" t="n">
        <v>15.9138</v>
      </c>
      <c r="H89" s="84" t="n">
        <v>13.714</v>
      </c>
      <c r="I89" s="84" t="n">
        <v>0.07665894213770121</v>
      </c>
      <c r="J89" s="84" t="n">
        <v>0.126594866704778</v>
      </c>
      <c r="K89" s="84" t="n">
        <v>0.98050851764279</v>
      </c>
      <c r="L89" s="84" t="n">
        <v>17.3495153659227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17.4674</v>
      </c>
      <c r="F90" s="84" t="n">
        <v>21.3075</v>
      </c>
      <c r="G90" s="84" t="n">
        <v>13.4994</v>
      </c>
      <c r="H90" s="84" t="n">
        <v>0</v>
      </c>
      <c r="I90" s="84" t="n">
        <v>0.08672156594252491</v>
      </c>
      <c r="J90" s="84" t="n">
        <v>-0.0374318894887107</v>
      </c>
      <c r="K90" s="84" t="n">
        <v>0.919583347979756</v>
      </c>
      <c r="L90" s="84" t="n">
        <v>14.2130919518326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17.4706</v>
      </c>
      <c r="F91" s="84" t="n">
        <v>19.3719</v>
      </c>
      <c r="G91" s="84" t="n">
        <v>14.3428</v>
      </c>
      <c r="H91" s="84" t="n">
        <v>0</v>
      </c>
      <c r="I91" s="84" t="n">
        <v>0.0780409316344083</v>
      </c>
      <c r="J91" s="84" t="n">
        <v>0.537037249189929</v>
      </c>
      <c r="K91" s="84" t="n">
        <v>0.932345533274074</v>
      </c>
      <c r="L91" s="84" t="n">
        <v>13.7976617675786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3.5737</v>
      </c>
      <c r="F92" s="84" t="n">
        <v>11.6272</v>
      </c>
      <c r="G92" s="84" t="n">
        <v>7.9666</v>
      </c>
      <c r="H92" s="84" t="n">
        <v>0</v>
      </c>
      <c r="I92" s="84" t="n">
        <v>0.0381755377481313</v>
      </c>
      <c r="J92" s="84" t="n">
        <v>-0.0205887990771899</v>
      </c>
      <c r="K92" s="84" t="n">
        <v>0.970022539896087</v>
      </c>
      <c r="L92" s="84" t="n">
        <v>13.9980042645379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1.2853</v>
      </c>
      <c r="F93" s="84" t="n">
        <v>0</v>
      </c>
      <c r="G93" s="84" t="n">
        <v>0</v>
      </c>
      <c r="H93" s="84" t="n">
        <v>0</v>
      </c>
      <c r="I93" s="84" t="n">
        <v>-0.00437447402867139</v>
      </c>
      <c r="J93" s="84" t="n">
        <v>-0.267286931550178</v>
      </c>
      <c r="K93" s="84" t="n">
        <v>0.928479513348018</v>
      </c>
      <c r="L93" s="84" t="n">
        <v>13.4397292405122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2.0252</v>
      </c>
      <c r="F94" s="84" t="n">
        <v>0</v>
      </c>
      <c r="G94" s="84" t="n">
        <v>0</v>
      </c>
      <c r="H94" s="84" t="n">
        <v>0</v>
      </c>
      <c r="I94" s="84" t="n">
        <v>0.0125939424377209</v>
      </c>
      <c r="J94" s="84" t="n">
        <v>-0.44365882693465</v>
      </c>
      <c r="K94" s="84" t="n">
        <v>0.945746050551534</v>
      </c>
      <c r="L94" s="84" t="n">
        <v>18.7424027053045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0.2844</v>
      </c>
      <c r="F96" s="84" t="n">
        <v>0</v>
      </c>
      <c r="G96" s="84" t="n">
        <v>0</v>
      </c>
      <c r="H96" s="84" t="n">
        <v>0</v>
      </c>
      <c r="I96" s="84" t="n">
        <v>-0.00436488528007316</v>
      </c>
      <c r="J96" s="84" t="n">
        <v>0.151559865156747</v>
      </c>
      <c r="K96" s="84" t="n">
        <v>0.925719589608627</v>
      </c>
      <c r="L96" s="84" t="n">
        <v>11.7341056442879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-1.1227</v>
      </c>
      <c r="F97" s="84" t="n">
        <v>11.3944</v>
      </c>
      <c r="G97" s="84" t="n">
        <v>14.1793</v>
      </c>
      <c r="H97" s="84" t="n">
        <v>0</v>
      </c>
      <c r="I97" s="84" t="n">
        <v>0.0362779946137195</v>
      </c>
      <c r="J97" s="84" t="n">
        <v>-0.118059464639246</v>
      </c>
      <c r="K97" s="84" t="n">
        <v>0.8941428465974121</v>
      </c>
      <c r="L97" s="84" t="n">
        <v>13.9015823853904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16.7188</v>
      </c>
      <c r="F98" s="84" t="n">
        <v>24.4884</v>
      </c>
      <c r="G98" s="84" t="n">
        <v>0</v>
      </c>
      <c r="H98" s="84" t="n">
        <v>0</v>
      </c>
      <c r="I98" s="84" t="n">
        <v>0.0878970940519203</v>
      </c>
      <c r="J98" s="84" t="n">
        <v>0.216763774858674</v>
      </c>
      <c r="K98" s="84" t="n">
        <v>0.924191117442887</v>
      </c>
      <c r="L98" s="84" t="n">
        <v>16.7450645319119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15.8341</v>
      </c>
      <c r="F99" s="84" t="n">
        <v>18.0173</v>
      </c>
      <c r="G99" s="84" t="n">
        <v>15.6812</v>
      </c>
      <c r="H99" s="84" t="n">
        <v>0</v>
      </c>
      <c r="I99" s="84" t="n">
        <v>0.060963468202992</v>
      </c>
      <c r="J99" s="84" t="n">
        <v>0.127128783079901</v>
      </c>
      <c r="K99" s="84" t="n">
        <v>0.890773482152597</v>
      </c>
      <c r="L99" s="84" t="n">
        <v>17.2023835289999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2.1056</v>
      </c>
      <c r="F100" s="84" t="n">
        <v>12.7021</v>
      </c>
      <c r="G100" s="84" t="n">
        <v>0</v>
      </c>
      <c r="H100" s="84" t="n">
        <v>0</v>
      </c>
      <c r="I100" s="84" t="n">
        <v>0.0416826797240393</v>
      </c>
      <c r="J100" s="84" t="n">
        <v>0.137838252775895</v>
      </c>
      <c r="K100" s="84" t="n">
        <v>0.819841269500073</v>
      </c>
      <c r="L100" s="84" t="n">
        <v>14.7204495186662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9.891</v>
      </c>
      <c r="F101" s="84" t="n">
        <v>21.9402</v>
      </c>
      <c r="G101" s="84" t="n">
        <v>0</v>
      </c>
      <c r="H101" s="84" t="n">
        <v>0</v>
      </c>
      <c r="I101" s="84" t="n">
        <v>0.0662022702545453</v>
      </c>
      <c r="J101" s="84" t="n">
        <v>-0.0243812092846554</v>
      </c>
      <c r="K101" s="84" t="n">
        <v>0.8439021864346929</v>
      </c>
      <c r="L101" s="84" t="n">
        <v>19.8329128561428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5.8716</v>
      </c>
      <c r="F102" s="84" t="n">
        <v>0</v>
      </c>
      <c r="G102" s="84" t="n">
        <v>0</v>
      </c>
      <c r="H102" s="84" t="n">
        <v>0</v>
      </c>
      <c r="I102" s="84" t="n">
        <v>0.008818289753247331</v>
      </c>
      <c r="J102" s="84" t="n">
        <v>0.319274623223039</v>
      </c>
      <c r="K102" s="84" t="n">
        <v>0.7217382416167279</v>
      </c>
      <c r="L102" s="84" t="n">
        <v>11.6050999067862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9.7492</v>
      </c>
      <c r="F103" s="84" t="n">
        <v>11.8005</v>
      </c>
      <c r="G103" s="84" t="n">
        <v>11.9745</v>
      </c>
      <c r="H103" s="84" t="n">
        <v>0</v>
      </c>
      <c r="I103" s="84" t="n">
        <v>0.0456562712270045</v>
      </c>
      <c r="J103" s="84" t="n">
        <v>-0.0371904623672688</v>
      </c>
      <c r="K103" s="84" t="n">
        <v>0.734599261752342</v>
      </c>
      <c r="L103" s="84" t="n">
        <v>12.6326818692144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-2.2625</v>
      </c>
      <c r="F104" s="84" t="n">
        <v>12.3362</v>
      </c>
      <c r="G104" s="84" t="n">
        <v>9.821899999999999</v>
      </c>
      <c r="H104" s="84" t="n">
        <v>0</v>
      </c>
      <c r="I104" s="84" t="n">
        <v>0.0444740372849406</v>
      </c>
      <c r="J104" s="84" t="n">
        <v>0.0759927542198562</v>
      </c>
      <c r="K104" s="84" t="n">
        <v>0.916445225886121</v>
      </c>
      <c r="L104" s="84" t="n">
        <v>13.4979918768325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-2.0299</v>
      </c>
      <c r="F105" s="84" t="n">
        <v>0</v>
      </c>
      <c r="G105" s="84" t="n">
        <v>0</v>
      </c>
      <c r="H105" s="84" t="n">
        <v>0</v>
      </c>
      <c r="I105" s="84" t="n">
        <v>0.0316941559660489</v>
      </c>
      <c r="J105" s="84" t="n">
        <v>-0.103360818222953</v>
      </c>
      <c r="K105" s="84" t="n">
        <v>0.919942553654398</v>
      </c>
      <c r="L105" s="84" t="n">
        <v>12.7011181997007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2.5627</v>
      </c>
      <c r="F106" s="84" t="n">
        <v>12.8551</v>
      </c>
      <c r="G106" s="84" t="n">
        <v>11.3662</v>
      </c>
      <c r="H106" s="84" t="n">
        <v>0</v>
      </c>
      <c r="I106" s="84" t="n">
        <v>0.0498605318528114</v>
      </c>
      <c r="J106" s="84" t="n">
        <v>0.158671267880228</v>
      </c>
      <c r="K106" s="84" t="n">
        <v>0.8076261821324</v>
      </c>
      <c r="L106" s="84" t="n">
        <v>11.5696149672508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11.3583</v>
      </c>
      <c r="F107" s="84" t="n">
        <v>0</v>
      </c>
      <c r="G107" s="84" t="n">
        <v>0</v>
      </c>
      <c r="H107" s="84" t="n">
        <v>0</v>
      </c>
      <c r="I107" s="84" t="n">
        <v>0.0295251955341148</v>
      </c>
      <c r="J107" s="84" t="n">
        <v>0.506257333771212</v>
      </c>
      <c r="K107" s="84" t="n">
        <v>0.882464435863639</v>
      </c>
      <c r="L107" s="84" t="n">
        <v>13.374734325736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9.3392</v>
      </c>
      <c r="F108" s="84" t="n">
        <v>12.8275</v>
      </c>
      <c r="G108" s="84" t="n">
        <v>11.9727</v>
      </c>
      <c r="H108" s="84" t="n">
        <v>0</v>
      </c>
      <c r="I108" s="84" t="n">
        <v>0.0378598818816482</v>
      </c>
      <c r="J108" s="84" t="n">
        <v>0.184558081626428</v>
      </c>
      <c r="K108" s="84" t="n">
        <v>0.943972129647412</v>
      </c>
      <c r="L108" s="84" t="n">
        <v>15.5339142254319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5.2168</v>
      </c>
      <c r="F109" s="84" t="n">
        <v>11.872</v>
      </c>
      <c r="G109" s="84" t="n">
        <v>0</v>
      </c>
      <c r="H109" s="84" t="n">
        <v>0</v>
      </c>
      <c r="I109" s="84" t="n">
        <v>0.0375341428960192</v>
      </c>
      <c r="J109" s="84" t="n">
        <v>-0.0410817769310534</v>
      </c>
      <c r="K109" s="84" t="n">
        <v>0.937728706527449</v>
      </c>
      <c r="L109" s="84" t="n">
        <v>14.1517590067281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26.0461</v>
      </c>
      <c r="F110" s="84" t="n">
        <v>0</v>
      </c>
      <c r="G110" s="84" t="n">
        <v>0</v>
      </c>
      <c r="H110" s="84" t="n">
        <v>0</v>
      </c>
      <c r="I110" s="84" t="n">
        <v>0.133722534511225</v>
      </c>
      <c r="J110" s="84" t="n">
        <v>0.5147442318137631</v>
      </c>
      <c r="K110" s="84" t="n">
        <v>0.951375192799974</v>
      </c>
      <c r="L110" s="84" t="n">
        <v>15.0271848998515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-12.0958</v>
      </c>
      <c r="F111" s="84" t="n">
        <v>0</v>
      </c>
      <c r="G111" s="84" t="n">
        <v>0</v>
      </c>
      <c r="H111" s="84" t="n">
        <v>0</v>
      </c>
      <c r="I111" s="84" t="n">
        <v>0.009268932579973049</v>
      </c>
      <c r="J111" s="84" t="n">
        <v>0.222464639552128</v>
      </c>
      <c r="K111" s="84" t="n">
        <v>0.997948632023037</v>
      </c>
      <c r="L111" s="84" t="n">
        <v>18.5712678479975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17.3976</v>
      </c>
      <c r="F112" s="84" t="n">
        <v>26.502</v>
      </c>
      <c r="G112" s="84" t="n">
        <v>0</v>
      </c>
      <c r="H112" s="84" t="n">
        <v>0</v>
      </c>
      <c r="I112" s="84" t="n">
        <v>0.09367891754612841</v>
      </c>
      <c r="J112" s="84" t="n">
        <v>0.32070132832749</v>
      </c>
      <c r="K112" s="84" t="n">
        <v>0.9599770100061999</v>
      </c>
      <c r="L112" s="84" t="n">
        <v>17.8162813053064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-1.8064</v>
      </c>
      <c r="F113" s="84" t="n">
        <v>10.8402</v>
      </c>
      <c r="G113" s="84" t="n">
        <v>12.0202</v>
      </c>
      <c r="H113" s="84" t="n">
        <v>0</v>
      </c>
      <c r="I113" s="84" t="n">
        <v>0.0307302833228075</v>
      </c>
      <c r="J113" s="84" t="n">
        <v>-0.07611316613352601</v>
      </c>
      <c r="K113" s="84" t="n">
        <v>0.955161399550307</v>
      </c>
      <c r="L113" s="84" t="n">
        <v>17.7906999870425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6.3901</v>
      </c>
      <c r="F115" s="84" t="n">
        <v>7.7205</v>
      </c>
      <c r="G115" s="84" t="n">
        <v>0</v>
      </c>
      <c r="H115" s="84" t="n">
        <v>0</v>
      </c>
      <c r="I115" s="84" t="n">
        <v>0.0195063098678239</v>
      </c>
      <c r="J115" s="84" t="n">
        <v>-0.446595019686183</v>
      </c>
      <c r="K115" s="84" t="n">
        <v>0.878979433449951</v>
      </c>
      <c r="L115" s="84" t="n">
        <v>15.0196611223124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19.4662</v>
      </c>
      <c r="F116" s="84" t="n">
        <v>0</v>
      </c>
      <c r="G116" s="84" t="n">
        <v>0</v>
      </c>
      <c r="H116" s="84" t="n">
        <v>0</v>
      </c>
      <c r="I116" s="84" t="n">
        <v>0.0658327956733594</v>
      </c>
      <c r="J116" s="84" t="n">
        <v>1.10767635821932</v>
      </c>
      <c r="K116" s="84" t="n">
        <v>0.899721307902633</v>
      </c>
      <c r="L116" s="84" t="n">
        <v>15.1008759252616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34.126</v>
      </c>
      <c r="F117" s="84" t="n">
        <v>0</v>
      </c>
      <c r="G117" s="84" t="n">
        <v>0</v>
      </c>
      <c r="H117" s="84" t="n">
        <v>0</v>
      </c>
      <c r="I117" s="84" t="n">
        <v>0.0394025776946406</v>
      </c>
      <c r="J117" s="84" t="n">
        <v>0.445254512634649</v>
      </c>
      <c r="K117" s="84" t="n">
        <v>0.952841447137854</v>
      </c>
      <c r="L117" s="84" t="n">
        <v>19.2276697356473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4.5075</v>
      </c>
      <c r="F118" s="84" t="n">
        <v>0</v>
      </c>
      <c r="G118" s="84" t="n">
        <v>0</v>
      </c>
      <c r="H118" s="84" t="n">
        <v>0</v>
      </c>
      <c r="I118" s="84" t="n">
        <v>-0.0331361538174273</v>
      </c>
      <c r="J118" s="84" t="n">
        <v>-0.371955667899331</v>
      </c>
      <c r="K118" s="84" t="n">
        <v>0.924911538193508</v>
      </c>
      <c r="L118" s="84" t="n">
        <v>14.0666408933505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-0.4698</v>
      </c>
      <c r="F119" s="84" t="n">
        <v>8.510300000000001</v>
      </c>
      <c r="G119" s="84" t="n">
        <v>9.2103</v>
      </c>
      <c r="H119" s="84" t="n">
        <v>0</v>
      </c>
      <c r="I119" s="84" t="n">
        <v>0.0205438815013897</v>
      </c>
      <c r="J119" s="84" t="n">
        <v>0.0114051290662037</v>
      </c>
      <c r="K119" s="84" t="n">
        <v>0.9426352100933501</v>
      </c>
      <c r="L119" s="84" t="n">
        <v>13.1559136832267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5.2593</v>
      </c>
      <c r="F120" s="84" t="n">
        <v>0</v>
      </c>
      <c r="G120" s="84" t="n">
        <v>0</v>
      </c>
      <c r="H120" s="84" t="n">
        <v>0</v>
      </c>
      <c r="I120" s="84" t="n">
        <v>0.0510484160595416</v>
      </c>
      <c r="J120" s="84" t="n">
        <v>0.223645482107073</v>
      </c>
      <c r="K120" s="84" t="n">
        <v>1.0284727330052</v>
      </c>
      <c r="L120" s="84" t="n">
        <v>16.3189722151288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-3.1621</v>
      </c>
      <c r="F121" s="84" t="n">
        <v>10.4268</v>
      </c>
      <c r="G121" s="84" t="n">
        <v>12.9535</v>
      </c>
      <c r="H121" s="84" t="n">
        <v>12.6114</v>
      </c>
      <c r="I121" s="84" t="n">
        <v>0.034387983488719</v>
      </c>
      <c r="J121" s="84" t="n">
        <v>-0.148274251692869</v>
      </c>
      <c r="K121" s="84" t="n">
        <v>0.930182971765909</v>
      </c>
      <c r="L121" s="84" t="n">
        <v>14.5164950357888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19.1351</v>
      </c>
      <c r="F122" s="84" t="n">
        <v>19.4297</v>
      </c>
      <c r="G122" s="84" t="n">
        <v>11.0007</v>
      </c>
      <c r="H122" s="84" t="n">
        <v>15.1422</v>
      </c>
      <c r="I122" s="84" t="n">
        <v>0.0684689702559098</v>
      </c>
      <c r="J122" s="84" t="n">
        <v>0</v>
      </c>
      <c r="K122" s="84" t="n">
        <v>0</v>
      </c>
      <c r="L122" s="84" t="n">
        <v>15.2122214129271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133.672</v>
      </c>
      <c r="F123" s="84" t="n">
        <v>57.4768</v>
      </c>
      <c r="G123" s="84" t="n">
        <v>0</v>
      </c>
      <c r="H123" s="84" t="n">
        <v>0</v>
      </c>
      <c r="I123" s="84" t="n">
        <v>0.118493002757593</v>
      </c>
      <c r="J123" s="84" t="n">
        <v>1.12288541019848</v>
      </c>
      <c r="K123" s="84" t="n">
        <v>1.02720208983559</v>
      </c>
      <c r="L123" s="84" t="n">
        <v>30.0279997979335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14.7789</v>
      </c>
      <c r="F125" s="84" t="n">
        <v>0</v>
      </c>
      <c r="G125" s="84" t="n">
        <v>0</v>
      </c>
      <c r="H125" s="84" t="n">
        <v>0</v>
      </c>
      <c r="I125" s="84" t="n">
        <v>0.0598359959855241</v>
      </c>
      <c r="J125" s="84" t="n">
        <v>0.591341396350703</v>
      </c>
      <c r="K125" s="84" t="n">
        <v>1.02390674016945</v>
      </c>
      <c r="L125" s="84" t="n">
        <v>14.4244168800784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5.2691</v>
      </c>
      <c r="F126" s="84" t="n">
        <v>15.5587</v>
      </c>
      <c r="G126" s="84" t="n">
        <v>14.1976</v>
      </c>
      <c r="H126" s="84" t="n">
        <v>13.9561</v>
      </c>
      <c r="I126" s="84" t="n">
        <v>0.0555640387433439</v>
      </c>
      <c r="J126" s="84" t="n">
        <v>0.26925543896315</v>
      </c>
      <c r="K126" s="84" t="n">
        <v>0.988861734915496</v>
      </c>
      <c r="L126" s="84" t="n">
        <v>14.0611930985861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11.2764</v>
      </c>
      <c r="F127" s="84" t="n">
        <v>20.2793</v>
      </c>
      <c r="G127" s="84" t="n">
        <v>15.6099</v>
      </c>
      <c r="H127" s="84" t="n">
        <v>0</v>
      </c>
      <c r="I127" s="84" t="n">
        <v>0.07813750929374159</v>
      </c>
      <c r="J127" s="84" t="n">
        <v>0.588003028754282</v>
      </c>
      <c r="K127" s="84" t="n">
        <v>0.931336417679975</v>
      </c>
      <c r="L127" s="84" t="n">
        <v>14.6354650249092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6.4289</v>
      </c>
      <c r="F128" s="84" t="n">
        <v>15.8119</v>
      </c>
      <c r="G128" s="84" t="n">
        <v>0</v>
      </c>
      <c r="H128" s="84" t="n">
        <v>0</v>
      </c>
      <c r="I128" s="84" t="n">
        <v>0.0582339847326535</v>
      </c>
      <c r="J128" s="84" t="n">
        <v>0.266721275661258</v>
      </c>
      <c r="K128" s="84" t="n">
        <v>0.979880584987647</v>
      </c>
      <c r="L128" s="84" t="n">
        <v>14.8487296357021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20.9782</v>
      </c>
      <c r="F129" s="84" t="n">
        <v>20.095</v>
      </c>
      <c r="G129" s="84" t="n">
        <v>0</v>
      </c>
      <c r="H129" s="84" t="n">
        <v>0</v>
      </c>
      <c r="I129" s="84" t="n">
        <v>0.07367826595971851</v>
      </c>
      <c r="J129" s="84" t="n">
        <v>0.0218143494088456</v>
      </c>
      <c r="K129" s="84" t="n">
        <v>0.965034933171124</v>
      </c>
      <c r="L129" s="84" t="n">
        <v>16.37150217728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22.8238</v>
      </c>
      <c r="F130" s="84" t="n">
        <v>0</v>
      </c>
      <c r="G130" s="84" t="n">
        <v>0</v>
      </c>
      <c r="H130" s="84" t="n">
        <v>0</v>
      </c>
      <c r="I130" s="84" t="n">
        <v>0.040357316303667</v>
      </c>
      <c r="J130" s="84" t="n">
        <v>0.254975941886353</v>
      </c>
      <c r="K130" s="84" t="n">
        <v>1.01145465932999</v>
      </c>
      <c r="L130" s="84" t="n">
        <v>16.9438580187647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19.991</v>
      </c>
      <c r="F131" s="84" t="n">
        <v>0</v>
      </c>
      <c r="G131" s="84" t="n">
        <v>0</v>
      </c>
      <c r="H131" s="84" t="n">
        <v>0</v>
      </c>
      <c r="I131" s="84" t="n">
        <v>0.00675642894355133</v>
      </c>
      <c r="J131" s="84" t="n">
        <v>0.416687013445691</v>
      </c>
      <c r="K131" s="84" t="n">
        <v>1.18779856452</v>
      </c>
      <c r="L131" s="84" t="n">
        <v>18.7766536271368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0.08409999999999999</v>
      </c>
      <c r="F132" s="84" t="n">
        <v>0</v>
      </c>
      <c r="G132" s="84" t="n">
        <v>0</v>
      </c>
      <c r="H132" s="84" t="n">
        <v>0</v>
      </c>
      <c r="I132" s="84" t="n">
        <v>0.0462354695462914</v>
      </c>
      <c r="J132" s="84" t="n">
        <v>0.106673055116821</v>
      </c>
      <c r="K132" s="84" t="n">
        <v>0.938840931951322</v>
      </c>
      <c r="L132" s="84" t="n">
        <v>15.7368931642818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9.2402</v>
      </c>
      <c r="F133" s="84" t="n">
        <v>12.9725</v>
      </c>
      <c r="G133" s="84" t="n">
        <v>0</v>
      </c>
      <c r="H133" s="84" t="n">
        <v>0</v>
      </c>
      <c r="I133" s="84" t="n">
        <v>0.0368089701322068</v>
      </c>
      <c r="J133" s="84" t="n">
        <v>0.165058207341006</v>
      </c>
      <c r="K133" s="84" t="n">
        <v>0.999501341544075</v>
      </c>
      <c r="L133" s="84" t="n">
        <v>16.0925821018534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-0.0704</v>
      </c>
      <c r="F134" s="84" t="n">
        <v>9.5678</v>
      </c>
      <c r="G134" s="84" t="n">
        <v>7.2272</v>
      </c>
      <c r="H134" s="84" t="n">
        <v>0</v>
      </c>
      <c r="I134" s="84" t="n">
        <v>0.0280908176012309</v>
      </c>
      <c r="J134" s="84" t="n">
        <v>-0.163374334070352</v>
      </c>
      <c r="K134" s="84" t="n">
        <v>0.928219325867275</v>
      </c>
      <c r="L134" s="84" t="n">
        <v>13.0889502489381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5.781</v>
      </c>
      <c r="F135" s="84" t="n">
        <v>15.6247</v>
      </c>
      <c r="G135" s="84" t="n">
        <v>0</v>
      </c>
      <c r="H135" s="84" t="n">
        <v>0</v>
      </c>
      <c r="I135" s="84" t="n">
        <v>0.0535848144458116</v>
      </c>
      <c r="J135" s="84" t="n">
        <v>0.229031056180303</v>
      </c>
      <c r="K135" s="84" t="n">
        <v>1.09038339379043</v>
      </c>
      <c r="L135" s="84" t="n">
        <v>16.5229434448241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-8.2491</v>
      </c>
      <c r="F136" s="84" t="n">
        <v>0</v>
      </c>
      <c r="G136" s="84" t="n">
        <v>0</v>
      </c>
      <c r="H136" s="84" t="n">
        <v>0</v>
      </c>
      <c r="I136" s="84" t="n">
        <v>-0.001371833212946</v>
      </c>
      <c r="J136" s="84" t="n">
        <v>0.336896534443553</v>
      </c>
      <c r="K136" s="84" t="n">
        <v>0.978963712688412</v>
      </c>
      <c r="L136" s="84" t="n">
        <v>18.1706293303762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25.9849</v>
      </c>
      <c r="F137" s="84" t="n">
        <v>0</v>
      </c>
      <c r="G137" s="84" t="n">
        <v>0</v>
      </c>
      <c r="H137" s="84" t="n">
        <v>0</v>
      </c>
      <c r="I137" s="84" t="n">
        <v>0.0795166693025797</v>
      </c>
      <c r="J137" s="84" t="n">
        <v>0.0993148326165396</v>
      </c>
      <c r="K137" s="84" t="n">
        <v>1.04019757978026</v>
      </c>
      <c r="L137" s="84" t="n">
        <v>16.2356026649612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4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0"/>
    <col width="8.7109375" customWidth="1" style="42" min="51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4" t="n"/>
    </row>
    <row r="5" ht="15" customHeight="1" thickBot="1">
      <c r="B5" s="262" t="n"/>
      <c r="C5" s="189" t="n"/>
      <c r="D5" s="189" t="n"/>
      <c r="E5" s="189" t="n"/>
      <c r="F5" s="420" t="n"/>
      <c r="G5" s="421" t="n"/>
      <c r="H5" s="421" t="n"/>
      <c r="I5" s="421" t="n"/>
      <c r="J5" s="421" t="n"/>
      <c r="K5" s="421" t="n"/>
      <c r="L5" s="421" t="n"/>
      <c r="M5" s="421" t="n"/>
      <c r="N5" s="421" t="n"/>
      <c r="O5" s="421" t="n"/>
      <c r="P5" s="421" t="n"/>
      <c r="Q5" s="421" t="n"/>
      <c r="R5" s="421" t="n"/>
      <c r="S5" s="421" t="n"/>
      <c r="T5" s="421" t="n"/>
      <c r="U5" s="421" t="n"/>
      <c r="V5" s="422" t="n"/>
      <c r="W5" s="420" t="n"/>
      <c r="X5" s="421" t="n"/>
      <c r="Y5" s="421" t="n"/>
      <c r="Z5" s="421" t="n"/>
      <c r="AA5" s="421" t="n"/>
      <c r="AB5" s="421" t="n"/>
      <c r="AC5" s="421" t="n"/>
      <c r="AD5" s="421" t="n"/>
      <c r="AE5" s="421" t="n"/>
      <c r="AF5" s="421" t="n"/>
      <c r="AG5" s="421" t="n"/>
      <c r="AH5" s="421" t="n"/>
      <c r="AI5" s="421" t="n"/>
      <c r="AJ5" s="421" t="n"/>
      <c r="AK5" s="421" t="n"/>
      <c r="AL5" s="421" t="n"/>
      <c r="AM5" s="422" t="n"/>
      <c r="AN5" s="427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4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7.41</v>
      </c>
      <c r="J7" s="249" t="n">
        <v>6.59</v>
      </c>
      <c r="K7" s="249" t="n">
        <v>6.28</v>
      </c>
      <c r="L7" s="249" t="n">
        <v>6.41</v>
      </c>
      <c r="M7" s="249" t="n">
        <v>7.2</v>
      </c>
      <c r="N7" s="249" t="n">
        <v>7.27</v>
      </c>
      <c r="O7" s="249" t="n">
        <v>6.49</v>
      </c>
      <c r="P7" s="249" t="n">
        <v>6.83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7.03</v>
      </c>
      <c r="J8" s="249" t="n">
        <v>6.31</v>
      </c>
      <c r="K8" s="249" t="n">
        <v>5.97</v>
      </c>
      <c r="L8" s="249" t="n">
        <v>6.07</v>
      </c>
      <c r="M8" s="249" t="n">
        <v>6.74</v>
      </c>
      <c r="N8" s="249" t="n">
        <v>6.9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7.25</v>
      </c>
      <c r="J10" s="249" t="n">
        <v>6.54</v>
      </c>
      <c r="K10" s="249" t="n">
        <v>6.22</v>
      </c>
      <c r="L10" s="249" t="n">
        <v>6.3</v>
      </c>
      <c r="M10" s="249" t="n">
        <v>6.91</v>
      </c>
      <c r="N10" s="249" t="n">
        <v>7.01</v>
      </c>
      <c r="O10" s="249" t="n">
        <v>6.27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6.77</v>
      </c>
      <c r="J11" s="249" t="n">
        <v>6.19</v>
      </c>
      <c r="K11" s="249" t="n">
        <v>5.99</v>
      </c>
      <c r="L11" s="249" t="n">
        <v>6.02</v>
      </c>
      <c r="M11" s="249" t="n">
        <v>6.65</v>
      </c>
      <c r="N11" s="249" t="n">
        <v>6.76</v>
      </c>
      <c r="O11" s="249" t="n">
        <v>6.04</v>
      </c>
      <c r="P11" s="249" t="n">
        <v>6.28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4" t="n"/>
    </row>
    <row r="17" ht="15" customHeight="1" thickBot="1">
      <c r="B17" s="262" t="n"/>
      <c r="C17" s="189" t="n"/>
      <c r="D17" s="189" t="n"/>
      <c r="E17" s="189" t="n"/>
      <c r="F17" s="420" t="n"/>
      <c r="G17" s="421" t="n"/>
      <c r="H17" s="421" t="n"/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421" t="n"/>
      <c r="R17" s="421" t="n"/>
      <c r="S17" s="421" t="n"/>
      <c r="T17" s="421" t="n"/>
      <c r="U17" s="421" t="n"/>
      <c r="V17" s="422" t="n"/>
      <c r="W17" s="420" t="n"/>
      <c r="X17" s="421" t="n"/>
      <c r="Y17" s="421" t="n"/>
      <c r="Z17" s="421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1" t="n"/>
      <c r="AJ17" s="421" t="n"/>
      <c r="AK17" s="421" t="n"/>
      <c r="AL17" s="421" t="n"/>
      <c r="AM17" s="422" t="n"/>
      <c r="AN17" s="427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4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7.11</v>
      </c>
      <c r="J22" s="248" t="n">
        <v>5.6</v>
      </c>
      <c r="K22" s="248" t="n">
        <v>5.24</v>
      </c>
      <c r="L22" s="248" t="n">
        <v>5.58</v>
      </c>
      <c r="M22" s="248" t="n">
        <v>6.5</v>
      </c>
      <c r="N22" s="248" t="n">
        <v>6.62</v>
      </c>
      <c r="O22" s="248" t="n">
        <v>5.91</v>
      </c>
      <c r="P22" s="248" t="n">
        <v>6.42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7.25</v>
      </c>
      <c r="J23" s="248" t="n">
        <v>5.98</v>
      </c>
      <c r="K23" s="248" t="n">
        <v>5.54</v>
      </c>
      <c r="L23" s="248" t="n">
        <v>5.72</v>
      </c>
      <c r="M23" s="248" t="n">
        <v>6.68</v>
      </c>
      <c r="N23" s="248" t="n">
        <v>6.76</v>
      </c>
      <c r="O23" s="248" t="n">
        <v>5.93</v>
      </c>
      <c r="P23" s="248" t="n">
        <v>6.58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4" t="n"/>
    </row>
    <row r="29" ht="15" customHeight="1" thickBot="1">
      <c r="B29" s="262" t="n"/>
      <c r="C29" s="189" t="n"/>
      <c r="D29" s="189" t="n"/>
      <c r="E29" s="189" t="n"/>
      <c r="F29" s="420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2" t="n"/>
      <c r="W29" s="420" t="n"/>
      <c r="X29" s="421" t="n"/>
      <c r="Y29" s="421" t="n"/>
      <c r="Z29" s="421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1" t="n"/>
      <c r="AJ29" s="421" t="n"/>
      <c r="AK29" s="421" t="n"/>
      <c r="AL29" s="421" t="n"/>
      <c r="AM29" s="422" t="n"/>
      <c r="AN29" s="427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4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9.76</v>
      </c>
      <c r="J31" s="248" t="n">
        <v>6.65</v>
      </c>
      <c r="K31" s="248" t="n">
        <v>5.81</v>
      </c>
      <c r="L31" s="248" t="n">
        <v>6.26</v>
      </c>
      <c r="M31" s="248" t="n">
        <v>7.31</v>
      </c>
      <c r="N31" s="248" t="n">
        <v>7.44</v>
      </c>
      <c r="O31" s="248" t="n">
        <v>6.63</v>
      </c>
      <c r="P31" s="248" t="n">
        <v>7.12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8.949999999999999</v>
      </c>
      <c r="J32" s="248" t="n">
        <v>5.51</v>
      </c>
      <c r="K32" s="248" t="n">
        <v>4.9</v>
      </c>
      <c r="L32" s="248" t="n">
        <v>5.32</v>
      </c>
      <c r="M32" s="248" t="n">
        <v>6.66</v>
      </c>
      <c r="N32" s="248" t="n">
        <v>6.88</v>
      </c>
      <c r="O32" s="248" t="n">
        <v>5.81</v>
      </c>
      <c r="P32" s="248" t="n">
        <v>6.53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8.960000000000001</v>
      </c>
      <c r="J34" s="248" t="n">
        <v>5.62</v>
      </c>
      <c r="K34" s="248" t="n">
        <v>4.94</v>
      </c>
      <c r="L34" s="248" t="n">
        <v>5.51</v>
      </c>
      <c r="M34" s="248" t="n">
        <v>6.97</v>
      </c>
      <c r="N34" s="248" t="n">
        <v>7.08</v>
      </c>
      <c r="O34" s="248" t="n">
        <v>6.01</v>
      </c>
      <c r="P34" s="248" t="n">
        <v>6.62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9.59</v>
      </c>
      <c r="J35" s="248" t="n">
        <v>5.97</v>
      </c>
      <c r="K35" s="248" t="n">
        <v>5.19</v>
      </c>
      <c r="L35" s="248" t="n">
        <v>5.88</v>
      </c>
      <c r="M35" s="248" t="n">
        <v>7.1</v>
      </c>
      <c r="N35" s="248" t="n">
        <v>7.22</v>
      </c>
      <c r="O35" s="248" t="n">
        <v>6.29</v>
      </c>
      <c r="P35" s="248" t="n">
        <v>6.9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4" t="n"/>
    </row>
    <row r="40" ht="15" customHeight="1" thickBot="1">
      <c r="B40" s="262" t="n"/>
      <c r="C40" s="189" t="n"/>
      <c r="D40" s="189" t="n"/>
      <c r="E40" s="189" t="n"/>
      <c r="F40" s="420" t="n"/>
      <c r="G40" s="421" t="n"/>
      <c r="H40" s="421" t="n"/>
      <c r="I40" s="421" t="n"/>
      <c r="J40" s="421" t="n"/>
      <c r="K40" s="421" t="n"/>
      <c r="L40" s="421" t="n"/>
      <c r="M40" s="421" t="n"/>
      <c r="N40" s="421" t="n"/>
      <c r="O40" s="421" t="n"/>
      <c r="P40" s="421" t="n"/>
      <c r="Q40" s="421" t="n"/>
      <c r="R40" s="421" t="n"/>
      <c r="S40" s="421" t="n"/>
      <c r="T40" s="421" t="n"/>
      <c r="U40" s="421" t="n"/>
      <c r="V40" s="422" t="n"/>
      <c r="W40" s="420" t="n"/>
      <c r="X40" s="421" t="n"/>
      <c r="Y40" s="421" t="n"/>
      <c r="Z40" s="421" t="n"/>
      <c r="AA40" s="421" t="n"/>
      <c r="AB40" s="421" t="n"/>
      <c r="AC40" s="421" t="n"/>
      <c r="AD40" s="421" t="n"/>
      <c r="AE40" s="421" t="n"/>
      <c r="AF40" s="421" t="n"/>
      <c r="AG40" s="421" t="n"/>
      <c r="AH40" s="421" t="n"/>
      <c r="AI40" s="421" t="n"/>
      <c r="AJ40" s="421" t="n"/>
      <c r="AK40" s="421" t="n"/>
      <c r="AL40" s="421" t="n"/>
      <c r="AM40" s="422" t="n"/>
      <c r="AN40" s="427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4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12.8</v>
      </c>
      <c r="J46" s="248" t="n">
        <v>6.55</v>
      </c>
      <c r="K46" s="248" t="n">
        <v>6.25</v>
      </c>
      <c r="L46" s="248" t="n">
        <v>7.48</v>
      </c>
      <c r="M46" s="248" t="n">
        <v>8.039999999999999</v>
      </c>
      <c r="N46" s="248" t="n">
        <v>8.210000000000001</v>
      </c>
      <c r="O46" s="248" t="n">
        <v>6.65</v>
      </c>
      <c r="P46" s="248" t="n">
        <v>6.71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4" t="n"/>
    </row>
    <row r="51" ht="15" customHeight="1" thickBot="1">
      <c r="B51" s="155" t="n"/>
      <c r="C51" s="156" t="n"/>
      <c r="D51" s="156" t="n"/>
      <c r="E51" s="156" t="n"/>
      <c r="F51" s="425" t="n"/>
      <c r="G51" s="385" t="n"/>
      <c r="H51" s="385" t="n"/>
      <c r="I51" s="385" t="n"/>
      <c r="J51" s="385" t="n"/>
      <c r="K51" s="385" t="n"/>
      <c r="L51" s="385" t="n"/>
      <c r="M51" s="385" t="n"/>
      <c r="N51" s="385" t="n"/>
      <c r="O51" s="385" t="n"/>
      <c r="P51" s="385" t="n"/>
      <c r="Q51" s="385" t="n"/>
      <c r="R51" s="385" t="n"/>
      <c r="S51" s="385" t="n"/>
      <c r="T51" s="385" t="n"/>
      <c r="U51" s="385" t="n"/>
      <c r="V51" s="426" t="n"/>
      <c r="W51" s="425" t="n"/>
      <c r="X51" s="385" t="n"/>
      <c r="Y51" s="385" t="n"/>
      <c r="Z51" s="385" t="n"/>
      <c r="AA51" s="385" t="n"/>
      <c r="AB51" s="385" t="n"/>
      <c r="AC51" s="385" t="n"/>
      <c r="AD51" s="385" t="n"/>
      <c r="AE51" s="385" t="n"/>
      <c r="AF51" s="385" t="n"/>
      <c r="AG51" s="385" t="n"/>
      <c r="AH51" s="385" t="n"/>
      <c r="AI51" s="385" t="n"/>
      <c r="AJ51" s="385" t="n"/>
      <c r="AK51" s="385" t="n"/>
      <c r="AL51" s="385" t="n"/>
      <c r="AM51" s="426" t="n"/>
      <c r="AN51" s="42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4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15.19</v>
      </c>
      <c r="J55" s="248" t="n">
        <v>7.17</v>
      </c>
      <c r="K55" s="248" t="n">
        <v>5.1</v>
      </c>
      <c r="L55" s="248" t="n">
        <v>5.39</v>
      </c>
      <c r="M55" s="248" t="n">
        <v>5.87</v>
      </c>
      <c r="N55" s="248" t="n">
        <v>6.62</v>
      </c>
      <c r="O55" s="248" t="n">
        <v>5.57</v>
      </c>
      <c r="P55" s="248" t="n">
        <v>5.98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3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4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30" t="inlineStr">
        <is>
          <t>Dynamic Allocation</t>
        </is>
      </c>
      <c r="J5" s="430" t="n"/>
      <c r="K5" s="430" t="n"/>
    </row>
    <row r="6" hidden="1">
      <c r="B6" s="79" t="n"/>
      <c r="C6" s="421" t="n"/>
      <c r="D6" s="421" t="n"/>
      <c r="E6" s="421" t="n"/>
      <c r="F6" s="421" t="n"/>
      <c r="G6" s="421" t="n"/>
      <c r="H6" s="421" t="n"/>
      <c r="I6" s="424" t="n"/>
      <c r="J6" s="424" t="n"/>
      <c r="K6" s="424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81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1" t="inlineStr">
        <is>
          <t>Weightage for Debt Fund Ranking</t>
        </is>
      </c>
      <c r="C23" s="404" t="n"/>
      <c r="D23" s="404" t="n"/>
      <c r="E23" s="404" t="n"/>
      <c r="F23" s="404" t="n"/>
      <c r="G23" s="364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81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79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29" t="inlineStr">
        <is>
          <t>Weightage for Hybrid Fund Ranking</t>
        </is>
      </c>
      <c r="C50" s="404" t="n"/>
      <c r="D50" s="404" t="n"/>
      <c r="E50" s="404" t="n"/>
      <c r="F50" s="364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81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81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79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2"/>
    <col width="8.7109375" customWidth="1" style="261" min="23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54" t="n"/>
      <c r="D4" s="354" t="n"/>
      <c r="E4" s="354" t="n"/>
      <c r="F4" s="354" t="n"/>
      <c r="G4" s="354" t="n"/>
      <c r="H4" s="354" t="n"/>
      <c r="I4" s="355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2026-08-31T12:27:25Z</dcterms:modified>
  <cp:lastModifiedBy>Mutual Fund</cp:lastModifiedBy>
  <cp:lastPrinted>2026-08-18T10:27:18Z</cp:lastPrinted>
</cp:coreProperties>
</file>