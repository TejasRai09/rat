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8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3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23" fillId="20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left" vertical="center" wrapText="1"/>
    </xf>
    <xf numFmtId="0" fontId="23" fillId="0" borderId="85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top"/>
    </xf>
    <xf numFmtId="0" fontId="25" fillId="22" borderId="85" applyAlignment="1" pivotButton="0" quotePrefix="0" xfId="7">
      <alignment horizontal="left" vertical="center" wrapText="1"/>
    </xf>
    <xf numFmtId="0" fontId="23" fillId="22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center" vertical="center" wrapText="1"/>
    </xf>
    <xf numFmtId="0" fontId="21" fillId="0" borderId="85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0" fontId="0" fillId="0" borderId="28" pivotButton="0" quotePrefix="0" xfId="0"/>
    <xf numFmtId="0" fontId="19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center" vertical="center" wrapText="1"/>
    </xf>
    <xf numFmtId="0" fontId="19" fillId="0" borderId="41" applyAlignment="1" pivotButton="0" quotePrefix="0" xfId="7">
      <alignment horizontal="left" vertical="center"/>
    </xf>
    <xf numFmtId="0" fontId="24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left" vertical="center" wrapText="1"/>
    </xf>
    <xf numFmtId="0" fontId="25" fillId="0" borderId="41" applyAlignment="1" pivotButton="0" quotePrefix="0" xfId="7">
      <alignment horizontal="left" vertical="center" wrapText="1"/>
    </xf>
    <xf numFmtId="10" fontId="26" fillId="0" borderId="41" applyAlignment="1" pivotButton="0" quotePrefix="0" xfId="7">
      <alignment horizontal="center" vertical="center" shrinkToFit="1"/>
    </xf>
    <xf numFmtId="10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horizontal="left" vertical="center" wrapText="1"/>
    </xf>
    <xf numFmtId="0" fontId="19" fillId="0" borderId="41" applyAlignment="1" pivotButton="0" quotePrefix="0" xfId="7">
      <alignment vertical="center" wrapText="1"/>
    </xf>
    <xf numFmtId="164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vertical="center" wrapText="1"/>
    </xf>
    <xf numFmtId="0" fontId="23" fillId="0" borderId="41" applyAlignment="1" pivotButton="0" quotePrefix="0" xfId="7">
      <alignment horizontal="right" vertical="center" wrapText="1" indent="1"/>
    </xf>
    <xf numFmtId="10" fontId="26" fillId="0" borderId="85" applyAlignment="1" pivotButton="0" quotePrefix="0" xfId="7">
      <alignment horizontal="center" vertical="center" shrinkToFit="1"/>
    </xf>
    <xf numFmtId="0" fontId="0" fillId="0" borderId="83" pivotButton="0" quotePrefix="0" xfId="0"/>
    <xf numFmtId="0" fontId="0" fillId="0" borderId="84" pivotButton="0" quotePrefix="0" xfId="0"/>
    <xf numFmtId="0" fontId="24" fillId="0" borderId="85" applyAlignment="1" pivotButton="0" quotePrefix="0" xfId="7">
      <alignment horizontal="center" vertical="center" wrapText="1"/>
    </xf>
    <xf numFmtId="0" fontId="23" fillId="21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left" vertical="center" wrapText="1"/>
    </xf>
    <xf numFmtId="0" fontId="22" fillId="19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center" vertical="center" wrapText="1"/>
    </xf>
    <xf numFmtId="0" fontId="23" fillId="20" borderId="85" applyAlignment="1" pivotButton="0" quotePrefix="0" xfId="7">
      <alignment horizontal="center" vertical="center" wrapText="1"/>
    </xf>
    <xf numFmtId="10" fontId="19" fillId="0" borderId="85" applyAlignment="1" pivotButton="0" quotePrefix="0" xfId="7">
      <alignment horizontal="center" vertical="center" shrinkToFit="1"/>
    </xf>
    <xf numFmtId="0" fontId="20" fillId="19" borderId="85" applyAlignment="1" pivotButton="0" quotePrefix="0" xfId="7">
      <alignment horizontal="center" vertical="center" wrapText="1"/>
    </xf>
    <xf numFmtId="0" fontId="23" fillId="22" borderId="85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19" fillId="0" borderId="41" applyAlignment="1" pivotButton="0" quotePrefix="0" xfId="7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24" fillId="0" borderId="41" applyAlignment="1" pivotButton="0" quotePrefix="0" xfId="7">
      <alignment horizontal="left" vertical="center" wrapText="1"/>
    </xf>
    <xf numFmtId="0" fontId="22" fillId="19" borderId="41" applyAlignment="1" pivotButton="0" quotePrefix="0" xfId="7">
      <alignment horizontal="center" vertical="center" wrapText="1"/>
    </xf>
    <xf numFmtId="3" fontId="23" fillId="0" borderId="41" applyAlignment="1" pivotButton="0" quotePrefix="0" xfId="7">
      <alignment horizontal="right" vertical="center" wrapText="1"/>
    </xf>
    <xf numFmtId="0" fontId="20" fillId="19" borderId="41" applyAlignment="1" pivotButton="0" quotePrefix="0" xfId="7">
      <alignment horizontal="center" vertical="center" wrapText="1"/>
    </xf>
    <xf numFmtId="0" fontId="23" fillId="20" borderId="41" applyAlignment="1" pivotButton="0" quotePrefix="0" xfId="7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41" pivotButton="0" quotePrefix="0" xfId="0"/>
    <xf numFmtId="0" fontId="0" fillId="0" borderId="41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65" t="inlineStr">
        <is>
          <t>Weightage for AMC Ranking</t>
        </is>
      </c>
      <c r="C3" s="366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78" t="inlineStr">
        <is>
          <t>AUM</t>
        </is>
      </c>
      <c r="C6" s="74" t="n">
        <v>0.15</v>
      </c>
    </row>
    <row r="7">
      <c r="A7" s="54" t="n"/>
      <c r="B7" s="37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78" t="inlineStr">
        <is>
          <t>3-Year Return</t>
        </is>
      </c>
      <c r="C9" s="74" t="n">
        <v>0.15</v>
      </c>
    </row>
    <row r="10">
      <c r="B10" s="378" t="inlineStr">
        <is>
          <t>5-Year Return</t>
        </is>
      </c>
      <c r="C10" s="74" t="n">
        <v>0.1</v>
      </c>
    </row>
    <row r="11">
      <c r="B11" s="37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78" t="inlineStr">
        <is>
          <t>Sharpe</t>
        </is>
      </c>
      <c r="C13" s="74" t="n">
        <v>0.05</v>
      </c>
    </row>
    <row r="14">
      <c r="B14" s="378" t="inlineStr">
        <is>
          <t>Sortino</t>
        </is>
      </c>
      <c r="C14" s="74" t="n">
        <v>0.075</v>
      </c>
    </row>
    <row r="15">
      <c r="B15" s="379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7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topLeftCell="A39" zoomScaleNormal="100" workbookViewId="0">
      <selection activeCell="A2" sqref="A2:G52"/>
    </sheetView>
  </sheetViews>
  <sheetFormatPr baseColWidth="8" defaultColWidth="8" defaultRowHeight="12.75"/>
  <cols>
    <col width="36.5703125" bestFit="1" customWidth="1" style="329" min="1" max="1"/>
    <col width="10.140625" customWidth="1" style="329" min="2" max="2"/>
    <col width="10.28515625" customWidth="1" style="329" min="3" max="3"/>
    <col width="2.28515625" customWidth="1" style="329" min="4" max="4"/>
    <col width="36.28515625" customWidth="1" style="329" min="5" max="5"/>
    <col width="15" customWidth="1" style="329" min="6" max="6"/>
    <col width="10.28515625" customWidth="1" style="329" min="7" max="7"/>
    <col width="8" customWidth="1" style="329" min="8" max="13"/>
    <col width="8" customWidth="1" style="329" min="14" max="16384"/>
  </cols>
  <sheetData>
    <row r="2" ht="15" customHeight="1">
      <c r="A2" s="373" t="inlineStr">
        <is>
          <t>Financial Product Catalog: A Ready Reckoner , As on 07th August 2026</t>
        </is>
      </c>
      <c r="B2" s="368" t="n"/>
      <c r="C2" s="368" t="n"/>
      <c r="D2" s="368" t="n"/>
      <c r="E2" s="368" t="n"/>
      <c r="F2" s="368" t="n"/>
      <c r="G2" s="369" t="n"/>
    </row>
    <row r="3" ht="15" customHeight="1">
      <c r="A3" s="367" t="n"/>
      <c r="B3" s="368" t="n"/>
      <c r="C3" s="368" t="n"/>
      <c r="D3" s="368" t="n"/>
      <c r="E3" s="368" t="n"/>
      <c r="F3" s="368" t="n"/>
      <c r="G3" s="369" t="n"/>
    </row>
    <row r="4" ht="15" customHeight="1">
      <c r="A4" s="373" t="inlineStr">
        <is>
          <t>Whats new? (August 2026)</t>
        </is>
      </c>
      <c r="B4" s="368" t="n"/>
      <c r="C4" s="369" t="n"/>
      <c r="D4" s="367" t="n"/>
      <c r="E4" s="371" t="inlineStr">
        <is>
          <t>Debt</t>
        </is>
      </c>
      <c r="F4" s="368" t="n"/>
      <c r="G4" s="369" t="n"/>
    </row>
    <row r="5" ht="15" customHeight="1">
      <c r="A5" s="374" t="inlineStr">
        <is>
          <t>Fund Name</t>
        </is>
      </c>
      <c r="B5" s="374" t="inlineStr">
        <is>
          <t>End Date</t>
        </is>
      </c>
      <c r="C5" s="369" t="n"/>
      <c r="D5" s="367" t="n"/>
      <c r="E5" s="368" t="n"/>
      <c r="F5" s="368" t="n"/>
      <c r="G5" s="369" t="n"/>
    </row>
    <row r="6" ht="25.5" customHeight="1">
      <c r="A6" s="370" t="inlineStr">
        <is>
          <t>Axis Nifty Energy Index Fund</t>
        </is>
      </c>
      <c r="B6" s="370" t="inlineStr">
        <is>
          <t>Aug 21, 2026</t>
        </is>
      </c>
      <c r="C6" s="369" t="n"/>
      <c r="D6" s="367" t="n"/>
      <c r="E6" s="344" t="inlineStr">
        <is>
          <t>Debt Mutual Funds (Ultra Short Duration)</t>
        </is>
      </c>
      <c r="F6" s="374" t="inlineStr">
        <is>
          <t>3-Year Return</t>
        </is>
      </c>
      <c r="G6" s="374" t="inlineStr">
        <is>
          <t>1-Year Return</t>
        </is>
      </c>
    </row>
    <row r="7" ht="15" customHeight="1">
      <c r="A7" s="370" t="inlineStr">
        <is>
          <t>Franklin India Short Term Fund</t>
        </is>
      </c>
      <c r="B7" s="370" t="inlineStr">
        <is>
          <t>Aug 11, 2026</t>
        </is>
      </c>
      <c r="C7" s="369" t="n"/>
      <c r="D7" s="376" t="n"/>
      <c r="E7" s="345" t="inlineStr">
        <is>
          <t>NIFTY Ultra Short Duration Debt Index</t>
        </is>
      </c>
      <c r="F7" s="346" t="n">
        <v>0.07530000000000001</v>
      </c>
      <c r="G7" s="346" t="n">
        <v>0.0684</v>
      </c>
    </row>
    <row r="8" ht="25.5" customHeight="1">
      <c r="A8" s="349" t="inlineStr">
        <is>
          <t>Edelweiss Nifty REIT &amp; Realty Fund</t>
        </is>
      </c>
      <c r="B8" s="370" t="inlineStr">
        <is>
          <t>Aug 19, 2026</t>
        </is>
      </c>
      <c r="C8" s="369" t="n"/>
      <c r="D8" s="434" t="n"/>
      <c r="E8" s="344" t="inlineStr">
        <is>
          <t>Ultra Short - Fund Name ( Return CAGR )</t>
        </is>
      </c>
      <c r="F8" s="374" t="inlineStr">
        <is>
          <t>3-Year Return</t>
        </is>
      </c>
      <c r="G8" s="374" t="inlineStr">
        <is>
          <t>1-Year Return</t>
        </is>
      </c>
    </row>
    <row r="9" ht="25.5" customHeight="1">
      <c r="A9" s="342" t="inlineStr">
        <is>
          <t>Kotak Diversified Equity All Cap Omni FOF</t>
        </is>
      </c>
      <c r="B9" s="370" t="inlineStr">
        <is>
          <t>Aug 19, 2026</t>
        </is>
      </c>
      <c r="C9" s="369" t="n"/>
      <c r="D9" s="367" t="n"/>
      <c r="E9" s="370">
        <f>'Summary '!J4</f>
        <v/>
      </c>
      <c r="F9" s="347">
        <f>'Summary '!K4</f>
        <v/>
      </c>
      <c r="G9" s="347">
        <f>'Summary '!L4</f>
        <v/>
      </c>
    </row>
    <row r="10" ht="25.5" customHeight="1">
      <c r="A10" s="371" t="inlineStr">
        <is>
          <t>Equity</t>
        </is>
      </c>
      <c r="B10" s="368" t="n"/>
      <c r="C10" s="369" t="n"/>
      <c r="D10" s="369" t="n"/>
      <c r="E10" s="370">
        <f>'Summary '!J5</f>
        <v/>
      </c>
      <c r="F10" s="347">
        <f>'Summary '!K5</f>
        <v/>
      </c>
      <c r="G10" s="347">
        <f>'Summary '!L5</f>
        <v/>
      </c>
    </row>
    <row r="11" ht="25.5" customHeight="1">
      <c r="A11" s="374" t="inlineStr">
        <is>
          <t>Large Cap - Funds</t>
        </is>
      </c>
      <c r="B11" s="374" t="inlineStr">
        <is>
          <t>3-Year Return</t>
        </is>
      </c>
      <c r="C11" s="374" t="inlineStr">
        <is>
          <t>1-Year Return</t>
        </is>
      </c>
      <c r="D11" s="367" t="n"/>
      <c r="E11" s="370">
        <f>'Summary '!J6</f>
        <v/>
      </c>
      <c r="F11" s="347">
        <f>'Summary '!K6</f>
        <v/>
      </c>
      <c r="G11" s="347">
        <f>'Summary '!L6</f>
        <v/>
      </c>
    </row>
    <row r="12" ht="15" customHeight="1">
      <c r="A12" s="348" t="inlineStr">
        <is>
          <t>NIFTY 50</t>
        </is>
      </c>
      <c r="B12" s="346" t="n">
        <v>0.0939</v>
      </c>
      <c r="C12" s="346" t="n">
        <v>0.0144</v>
      </c>
      <c r="D12" s="375" t="n"/>
      <c r="E12" s="367" t="n"/>
      <c r="F12" s="368" t="n"/>
      <c r="G12" s="369" t="n"/>
    </row>
    <row r="13" ht="25.5" customHeight="1">
      <c r="A13" s="344" t="inlineStr">
        <is>
          <t>Large Cap - Funds (Return CAGR)</t>
        </is>
      </c>
      <c r="B13" s="374" t="inlineStr">
        <is>
          <t>3-Year Return</t>
        </is>
      </c>
      <c r="C13" s="374" t="inlineStr">
        <is>
          <t>1-Year Return</t>
        </is>
      </c>
      <c r="D13" s="375" t="n"/>
      <c r="E13" s="344" t="inlineStr">
        <is>
          <t>Debt Mutual Funds (Low Duration)</t>
        </is>
      </c>
      <c r="F13" s="374" t="inlineStr">
        <is>
          <t>3-Year Return</t>
        </is>
      </c>
      <c r="G13" s="374" t="inlineStr">
        <is>
          <t>1-Year Return</t>
        </is>
      </c>
    </row>
    <row r="14">
      <c r="A14" s="370">
        <f>'Summary '!D4</f>
        <v/>
      </c>
      <c r="B14" s="347">
        <f>'Summary '!E4</f>
        <v/>
      </c>
      <c r="C14" s="347">
        <f>'Summary '!F4</f>
        <v/>
      </c>
      <c r="D14" s="375" t="n"/>
      <c r="E14" s="345" t="inlineStr">
        <is>
          <t>NIFTY Low Duration Debt Index</t>
        </is>
      </c>
      <c r="F14" s="346" t="n">
        <v>0.0726</v>
      </c>
      <c r="G14" s="346" t="n">
        <v>0.0626</v>
      </c>
    </row>
    <row r="15" ht="25.5" customHeight="1">
      <c r="A15" s="370">
        <f>'Summary '!D5</f>
        <v/>
      </c>
      <c r="B15" s="347">
        <f>'Summary '!E5</f>
        <v/>
      </c>
      <c r="C15" s="347">
        <f>'Summary '!F5</f>
        <v/>
      </c>
      <c r="D15" s="375" t="n"/>
      <c r="E15" s="344" t="inlineStr">
        <is>
          <t>Low Duration - Funds ( Return CAGR )</t>
        </is>
      </c>
      <c r="F15" s="374" t="inlineStr">
        <is>
          <t>3-Year Return</t>
        </is>
      </c>
      <c r="G15" s="374" t="inlineStr">
        <is>
          <t>1-Year Return</t>
        </is>
      </c>
    </row>
    <row r="16">
      <c r="A16" s="370">
        <f>'Summary '!D6</f>
        <v/>
      </c>
      <c r="B16" s="347">
        <f>'Summary '!E6</f>
        <v/>
      </c>
      <c r="C16" s="347">
        <f>'Summary '!F6</f>
        <v/>
      </c>
      <c r="D16" s="375" t="n"/>
      <c r="E16" s="370">
        <f>'Summary '!J8</f>
        <v/>
      </c>
      <c r="F16" s="347">
        <f>'Summary '!K8</f>
        <v/>
      </c>
      <c r="G16" s="347">
        <f>'Summary '!L8</f>
        <v/>
      </c>
    </row>
    <row r="17" ht="25.5" customHeight="1">
      <c r="A17" s="348" t="inlineStr">
        <is>
          <t>SIP of 50000*36=1800000, Maturity Value Would be</t>
        </is>
      </c>
      <c r="B17" s="372" t="n">
        <v>2572605</v>
      </c>
      <c r="C17" s="369" t="n"/>
      <c r="D17" s="376" t="n"/>
      <c r="E17" s="370">
        <f>'Summary '!J9</f>
        <v/>
      </c>
      <c r="F17" s="347">
        <f>'Summary '!K9</f>
        <v/>
      </c>
      <c r="G17" s="347">
        <f>'Summary '!L9</f>
        <v/>
      </c>
    </row>
    <row r="18" ht="15" customHeight="1">
      <c r="A18" s="367" t="n"/>
      <c r="B18" s="368" t="n"/>
      <c r="C18" s="368" t="n"/>
      <c r="D18" s="369" t="n"/>
      <c r="E18" s="370">
        <f>'Summary '!J10</f>
        <v/>
      </c>
      <c r="F18" s="347">
        <f>'Summary '!K10</f>
        <v/>
      </c>
      <c r="G18" s="347">
        <f>'Summary '!L10</f>
        <v/>
      </c>
    </row>
    <row r="19" ht="25.5" customHeight="1">
      <c r="A19" s="344" t="inlineStr">
        <is>
          <t>Large &amp; Mid Cap - Funds</t>
        </is>
      </c>
      <c r="B19" s="374" t="inlineStr">
        <is>
          <t>3-Year Return</t>
        </is>
      </c>
      <c r="C19" s="374" t="inlineStr">
        <is>
          <t>1-Year Return</t>
        </is>
      </c>
      <c r="D19" s="349" t="n"/>
      <c r="E19" s="367" t="n"/>
      <c r="F19" s="368" t="n"/>
      <c r="G19" s="369" t="n"/>
    </row>
    <row r="20" ht="25.5" customHeight="1">
      <c r="A20" s="370">
        <f>'Summary '!D8</f>
        <v/>
      </c>
      <c r="B20" s="347">
        <f>'Summary '!E8</f>
        <v/>
      </c>
      <c r="C20" s="347">
        <f>'Summary '!F8</f>
        <v/>
      </c>
      <c r="D20" s="349" t="n"/>
      <c r="E20" s="344" t="inlineStr">
        <is>
          <t>Debt Mutual Funds (Short Duration)</t>
        </is>
      </c>
      <c r="F20" s="374" t="inlineStr">
        <is>
          <t>3-Year Return</t>
        </is>
      </c>
      <c r="G20" s="374" t="inlineStr">
        <is>
          <t>1-Year Return</t>
        </is>
      </c>
    </row>
    <row r="21">
      <c r="A21" s="370">
        <f>'Summary '!D9</f>
        <v/>
      </c>
      <c r="B21" s="347">
        <f>'Summary '!E9</f>
        <v/>
      </c>
      <c r="C21" s="347">
        <f>'Summary '!F9</f>
        <v/>
      </c>
      <c r="D21" s="349" t="n"/>
      <c r="E21" s="348" t="inlineStr">
        <is>
          <t>NIFTY Short Duration Debt Index A-II</t>
        </is>
      </c>
      <c r="F21" s="346" t="n">
        <v>0.0699</v>
      </c>
      <c r="G21" s="346" t="n">
        <v>0.0506</v>
      </c>
    </row>
    <row r="22" ht="25.5" customHeight="1">
      <c r="A22" s="370">
        <f>'Summary '!D10</f>
        <v/>
      </c>
      <c r="B22" s="347">
        <f>'Summary '!E10</f>
        <v/>
      </c>
      <c r="C22" s="347">
        <f>'Summary '!F10</f>
        <v/>
      </c>
      <c r="D22" s="349" t="n"/>
      <c r="E22" s="344" t="inlineStr">
        <is>
          <t>Medium Term - Funds ( Return CAGR )</t>
        </is>
      </c>
      <c r="F22" s="374" t="inlineStr">
        <is>
          <t>3-Year Return</t>
        </is>
      </c>
      <c r="G22" s="374" t="inlineStr">
        <is>
          <t>1-Year Return</t>
        </is>
      </c>
    </row>
    <row r="23" ht="25.5" customHeight="1">
      <c r="A23" s="348" t="inlineStr">
        <is>
          <t>SIP of 50000*36=1800000, Maturity Value Would be</t>
        </is>
      </c>
      <c r="B23" s="372" t="n">
        <v>2646895</v>
      </c>
      <c r="C23" s="369" t="n"/>
      <c r="D23" s="349" t="n"/>
      <c r="E23" s="370">
        <f>'Summary '!J12</f>
        <v/>
      </c>
      <c r="F23" s="347">
        <f>'Summary '!K12</f>
        <v/>
      </c>
      <c r="G23" s="347">
        <f>'Summary '!L12</f>
        <v/>
      </c>
    </row>
    <row r="24" ht="15" customHeight="1">
      <c r="A24" s="367" t="n"/>
      <c r="B24" s="368" t="n"/>
      <c r="C24" s="369" t="n"/>
      <c r="D24" s="349" t="n"/>
      <c r="E24" s="370">
        <f>'Summary '!J13</f>
        <v/>
      </c>
      <c r="F24" s="347">
        <f>'Summary '!K13</f>
        <v/>
      </c>
      <c r="G24" s="347">
        <f>'Summary '!L13</f>
        <v/>
      </c>
    </row>
    <row r="25" ht="25.5" customHeight="1">
      <c r="A25" s="374" t="inlineStr">
        <is>
          <t>Mid Cap - Funds</t>
        </is>
      </c>
      <c r="B25" s="374" t="inlineStr">
        <is>
          <t>3-Year Return</t>
        </is>
      </c>
      <c r="C25" s="374" t="inlineStr">
        <is>
          <t>1-Year Return</t>
        </is>
      </c>
      <c r="D25" s="349" t="n"/>
      <c r="E25" s="370">
        <f>'Summary '!J14</f>
        <v/>
      </c>
      <c r="F25" s="347">
        <f>'Summary '!K14</f>
        <v/>
      </c>
      <c r="G25" s="347">
        <f>'Summary '!L14</f>
        <v/>
      </c>
    </row>
    <row r="26" ht="15" customHeight="1">
      <c r="A26" s="348" t="inlineStr">
        <is>
          <t>NIFTY Midcap 100</t>
        </is>
      </c>
      <c r="B26" s="346" t="n">
        <v>0.1963</v>
      </c>
      <c r="C26" s="346" t="n">
        <v>0.1227</v>
      </c>
      <c r="D26" s="349" t="n"/>
      <c r="E26" s="367" t="n"/>
      <c r="F26" s="368" t="n"/>
      <c r="G26" s="369" t="n"/>
    </row>
    <row r="27" ht="25.5" customHeight="1">
      <c r="A27" s="344" t="inlineStr">
        <is>
          <t>Mid Cap - Funds  (Return CAGR)</t>
        </is>
      </c>
      <c r="B27" s="374" t="inlineStr">
        <is>
          <t>3-Year CAGR</t>
        </is>
      </c>
      <c r="C27" s="374" t="inlineStr">
        <is>
          <t>1-Year Return</t>
        </is>
      </c>
      <c r="D27" s="342" t="n"/>
      <c r="E27" s="344" t="inlineStr">
        <is>
          <t>Debt Mutual Funds (Medium Duration)</t>
        </is>
      </c>
      <c r="F27" s="374" t="inlineStr">
        <is>
          <t>3-Year Return</t>
        </is>
      </c>
      <c r="G27" s="374" t="inlineStr">
        <is>
          <t>1-Year Return</t>
        </is>
      </c>
    </row>
    <row r="28">
      <c r="A28" s="370">
        <f>'Summary '!D12</f>
        <v/>
      </c>
      <c r="B28" s="347">
        <f>'Summary '!E12</f>
        <v/>
      </c>
      <c r="C28" s="347">
        <f>'Summary '!F12</f>
        <v/>
      </c>
      <c r="D28" s="342" t="n"/>
      <c r="E28" s="348" t="inlineStr">
        <is>
          <t>NIFTY Medium Duration Debt Index A-III</t>
        </is>
      </c>
      <c r="F28" s="346" t="n">
        <v>0.067</v>
      </c>
      <c r="G28" s="346" t="n">
        <v>0.0374</v>
      </c>
    </row>
    <row r="29" ht="25.5" customHeight="1">
      <c r="A29" s="370">
        <f>'Summary '!D13</f>
        <v/>
      </c>
      <c r="B29" s="347">
        <f>'Summary '!E13</f>
        <v/>
      </c>
      <c r="C29" s="347">
        <f>'Summary '!F13</f>
        <v/>
      </c>
      <c r="D29" s="342" t="n"/>
      <c r="E29" s="344" t="inlineStr">
        <is>
          <t>Medium Term - Funds ( Return CAGR )</t>
        </is>
      </c>
      <c r="F29" s="374" t="inlineStr">
        <is>
          <t>3-Year Return</t>
        </is>
      </c>
      <c r="G29" s="374" t="inlineStr">
        <is>
          <t>1-Year Return</t>
        </is>
      </c>
    </row>
    <row r="30" ht="25.5" customHeight="1">
      <c r="A30" s="370">
        <f>'Summary '!D14</f>
        <v/>
      </c>
      <c r="B30" s="347">
        <f>'Summary '!E14</f>
        <v/>
      </c>
      <c r="C30" s="347">
        <f>'Summary '!F14</f>
        <v/>
      </c>
      <c r="D30" s="342" t="n"/>
      <c r="E30" s="370">
        <f>'Summary '!J16</f>
        <v/>
      </c>
      <c r="F30" s="347">
        <f>'Summary '!K16</f>
        <v/>
      </c>
      <c r="G30" s="347">
        <f>'Summary '!L16</f>
        <v/>
      </c>
    </row>
    <row r="31" ht="25.5" customHeight="1">
      <c r="A31" s="348" t="inlineStr">
        <is>
          <t>SIP of 50000*36=1800000 , Maturity Value Would be</t>
        </is>
      </c>
      <c r="B31" s="372" t="n">
        <v>2767450</v>
      </c>
      <c r="C31" s="369" t="n"/>
      <c r="D31" s="342" t="n"/>
      <c r="E31" s="370">
        <f>'Summary '!J17</f>
        <v/>
      </c>
      <c r="F31" s="347">
        <f>'Summary '!K17</f>
        <v/>
      </c>
      <c r="G31" s="347">
        <f>'Summary '!L17</f>
        <v/>
      </c>
    </row>
    <row r="32" ht="25.5" customHeight="1">
      <c r="A32" s="367" t="n"/>
      <c r="B32" s="368" t="n"/>
      <c r="C32" s="369" t="n"/>
      <c r="D32" s="342" t="n"/>
      <c r="E32" s="370">
        <f>'Summary '!J18</f>
        <v/>
      </c>
      <c r="F32" s="347">
        <f>'Summary '!K18</f>
        <v/>
      </c>
      <c r="G32" s="347">
        <f>'Summary '!L18</f>
        <v/>
      </c>
    </row>
    <row r="33" ht="25.5" customHeight="1">
      <c r="A33" s="374" t="inlineStr">
        <is>
          <t>Small Cap - Funds</t>
        </is>
      </c>
      <c r="B33" s="374" t="inlineStr">
        <is>
          <t>3-Year Return</t>
        </is>
      </c>
      <c r="C33" s="374" t="inlineStr">
        <is>
          <t>1-Year Return</t>
        </is>
      </c>
      <c r="D33" s="349" t="n"/>
      <c r="E33" s="342" t="n"/>
      <c r="F33" s="342" t="n"/>
      <c r="G33" s="342" t="n"/>
    </row>
    <row r="34" ht="25.5" customHeight="1">
      <c r="A34" s="348" t="inlineStr">
        <is>
          <t>NIFTY Smallcap 100</t>
        </is>
      </c>
      <c r="B34" s="346" t="n">
        <v>0.2017</v>
      </c>
      <c r="C34" s="346" t="n">
        <v>0.1329</v>
      </c>
      <c r="D34" s="349" t="n"/>
      <c r="E34" s="344" t="inlineStr">
        <is>
          <t>Debt Mutual Funds (Medium to Long Duration)</t>
        </is>
      </c>
      <c r="F34" s="374" t="inlineStr">
        <is>
          <t>3-Year Return</t>
        </is>
      </c>
      <c r="G34" s="374" t="inlineStr">
        <is>
          <t>1-Year Return</t>
        </is>
      </c>
    </row>
    <row r="35">
      <c r="A35" s="344" t="inlineStr">
        <is>
          <t>Small Cap - Funds ( Return CAGR )</t>
        </is>
      </c>
      <c r="B35" s="374" t="inlineStr">
        <is>
          <t>3-Yr CAGR</t>
        </is>
      </c>
      <c r="C35" s="374" t="inlineStr">
        <is>
          <t>1-Yr Return</t>
        </is>
      </c>
      <c r="D35" s="349" t="n"/>
      <c r="E35" s="348" t="inlineStr">
        <is>
          <t>NIFTY Medium to Long Duration Debt Index</t>
        </is>
      </c>
      <c r="F35" s="346" t="n">
        <v>0.0595</v>
      </c>
      <c r="G35" s="346" t="n">
        <v>0.0116</v>
      </c>
    </row>
    <row r="36" ht="25.5" customHeight="1">
      <c r="A36" s="370">
        <f>'Summary '!D16</f>
        <v/>
      </c>
      <c r="B36" s="347">
        <f>'Summary '!E16</f>
        <v/>
      </c>
      <c r="C36" s="347">
        <f>'Summary '!F16</f>
        <v/>
      </c>
      <c r="D36" s="349" t="n"/>
      <c r="E36" s="344" t="inlineStr">
        <is>
          <t>Medium to Long Term - Funds ( Return CAGR )</t>
        </is>
      </c>
      <c r="F36" s="374" t="inlineStr">
        <is>
          <t>3-Year Return</t>
        </is>
      </c>
      <c r="G36" s="374" t="inlineStr">
        <is>
          <t>1-Year Return</t>
        </is>
      </c>
    </row>
    <row r="37">
      <c r="A37" s="370">
        <f>'Summary '!D17</f>
        <v/>
      </c>
      <c r="B37" s="347">
        <f>'Summary '!E17</f>
        <v/>
      </c>
      <c r="C37" s="347">
        <f>'Summary '!F17</f>
        <v/>
      </c>
      <c r="D37" s="349" t="n"/>
      <c r="E37" s="370">
        <f>'Summary '!J20</f>
        <v/>
      </c>
      <c r="F37" s="347">
        <f>'Summary '!K20</f>
        <v/>
      </c>
      <c r="G37" s="347">
        <f>'Summary '!L20</f>
        <v/>
      </c>
    </row>
    <row r="38" ht="25.5" customHeight="1">
      <c r="A38" s="370">
        <f>'Summary '!D18</f>
        <v/>
      </c>
      <c r="B38" s="347">
        <f>'Summary '!E18</f>
        <v/>
      </c>
      <c r="C38" s="347">
        <f>'Summary '!F18</f>
        <v/>
      </c>
      <c r="D38" s="349" t="n"/>
      <c r="E38" s="370">
        <f>'Summary '!J21</f>
        <v/>
      </c>
      <c r="F38" s="347">
        <f>'Summary '!K21</f>
        <v/>
      </c>
      <c r="G38" s="347">
        <f>'Summary '!L21</f>
        <v/>
      </c>
    </row>
    <row r="39" ht="25.5" customHeight="1">
      <c r="A39" s="348" t="inlineStr">
        <is>
          <t>SIP of 50000*36=1800000 , Maturity Value Would be</t>
        </is>
      </c>
      <c r="B39" s="372" t="n">
        <v>2767450</v>
      </c>
      <c r="C39" s="369" t="n"/>
      <c r="D39" s="349" t="n"/>
      <c r="E39" s="370">
        <f>'Summary '!J22</f>
        <v/>
      </c>
      <c r="F39" s="347">
        <f>'Summary '!K22</f>
        <v/>
      </c>
      <c r="G39" s="347">
        <f>'Summary '!L22</f>
        <v/>
      </c>
    </row>
    <row r="40" ht="15" customHeight="1">
      <c r="A40" s="367" t="n"/>
      <c r="B40" s="368" t="n"/>
      <c r="C40" s="369" t="n"/>
      <c r="D40" s="367" t="n"/>
      <c r="E40" s="371" t="inlineStr">
        <is>
          <t>Others</t>
        </is>
      </c>
      <c r="F40" s="368" t="n"/>
      <c r="G40" s="369" t="n"/>
    </row>
    <row r="41" ht="25.5" customHeight="1">
      <c r="A41" s="374" t="inlineStr">
        <is>
          <t>Flexi Cap - Funds</t>
        </is>
      </c>
      <c r="B41" s="374" t="inlineStr">
        <is>
          <t>3-Year Return</t>
        </is>
      </c>
      <c r="C41" s="374" t="inlineStr">
        <is>
          <t>1-Year Return</t>
        </is>
      </c>
      <c r="D41" s="367" t="n"/>
      <c r="E41" s="374" t="inlineStr">
        <is>
          <t>Multi Asset</t>
        </is>
      </c>
      <c r="F41" s="374" t="inlineStr">
        <is>
          <t>3-Year Return</t>
        </is>
      </c>
      <c r="G41" s="374" t="inlineStr">
        <is>
          <t>1-Year Return</t>
        </is>
      </c>
    </row>
    <row r="42" ht="25.5" customHeight="1">
      <c r="A42" s="370">
        <f>'Summary '!D20</f>
        <v/>
      </c>
      <c r="B42" s="347" t="n">
        <v>0.1777</v>
      </c>
      <c r="C42" s="347" t="n">
        <v>0.078</v>
      </c>
      <c r="D42" s="367" t="n"/>
      <c r="E42" s="345" t="inlineStr">
        <is>
          <t>Nifty 500</t>
        </is>
      </c>
      <c r="F42" s="346" t="n">
        <v>0.131</v>
      </c>
      <c r="G42" s="346" t="n">
        <v>0.0571</v>
      </c>
    </row>
    <row r="43">
      <c r="A43" s="370">
        <f>'Summary '!D21</f>
        <v/>
      </c>
      <c r="B43" s="347">
        <f>'Summary '!E21</f>
        <v/>
      </c>
      <c r="C43" s="347">
        <f>'Summary '!F21</f>
        <v/>
      </c>
      <c r="D43" s="367" t="n"/>
      <c r="E43" s="370">
        <f>'Summary '!D28</f>
        <v/>
      </c>
      <c r="F43" s="347">
        <f>'Summary '!E28</f>
        <v/>
      </c>
      <c r="G43" s="347">
        <f>'Summary '!F28</f>
        <v/>
      </c>
    </row>
    <row r="44" ht="25.5" customHeight="1">
      <c r="A44" s="370">
        <f>'Summary '!D22</f>
        <v/>
      </c>
      <c r="B44" s="347">
        <f>'Summary '!E22</f>
        <v/>
      </c>
      <c r="C44" s="347">
        <f>'Summary '!F22</f>
        <v/>
      </c>
      <c r="D44" s="367" t="n"/>
      <c r="E44" s="370">
        <f>'Summary '!D29</f>
        <v/>
      </c>
      <c r="F44" s="347">
        <f>'Summary '!E29</f>
        <v/>
      </c>
      <c r="G44" s="347">
        <f>'Summary '!F29</f>
        <v/>
      </c>
    </row>
    <row r="45" ht="25.5" customHeight="1">
      <c r="A45" s="348" t="inlineStr">
        <is>
          <t>SIP of 50000*36=1800000 , Maturity Value Would be</t>
        </is>
      </c>
      <c r="B45" s="372" t="n">
        <v>2669566</v>
      </c>
      <c r="C45" s="369" t="n"/>
      <c r="D45" s="367" t="n"/>
      <c r="E45" s="370">
        <f>'Summary '!D30</f>
        <v/>
      </c>
      <c r="F45" s="347">
        <f>'Summary '!E30</f>
        <v/>
      </c>
      <c r="G45" s="347">
        <f>'Summary '!F30</f>
        <v/>
      </c>
    </row>
    <row r="46">
      <c r="A46" s="349" t="n"/>
      <c r="B46" s="349" t="n"/>
      <c r="C46" s="349" t="n"/>
      <c r="D46" s="367" t="n"/>
      <c r="E46" s="367" t="n"/>
      <c r="F46" s="367" t="n"/>
      <c r="G46" s="367" t="n"/>
    </row>
    <row r="47" ht="25.5" customHeight="1">
      <c r="A47" s="374" t="inlineStr">
        <is>
          <t>Thematic</t>
        </is>
      </c>
      <c r="B47" s="374" t="inlineStr">
        <is>
          <t>3-Year Return</t>
        </is>
      </c>
      <c r="C47" s="374" t="inlineStr">
        <is>
          <t>1-Year Return</t>
        </is>
      </c>
      <c r="D47" s="367" t="n"/>
      <c r="E47" s="374" t="inlineStr">
        <is>
          <t>BAF</t>
        </is>
      </c>
      <c r="F47" s="374" t="inlineStr">
        <is>
          <t>3-Year Return</t>
        </is>
      </c>
      <c r="G47" s="374" t="inlineStr">
        <is>
          <t>1-Year Return</t>
        </is>
      </c>
    </row>
    <row r="48">
      <c r="A48" s="345" t="inlineStr">
        <is>
          <t>Nifty 500</t>
        </is>
      </c>
      <c r="B48" s="346" t="n">
        <v>0.131</v>
      </c>
      <c r="C48" s="346" t="n">
        <v>0.0571</v>
      </c>
      <c r="D48" s="367" t="n"/>
      <c r="E48" s="345" t="inlineStr">
        <is>
          <t>Nifty 50</t>
        </is>
      </c>
      <c r="F48" s="346" t="n">
        <v>0.0939</v>
      </c>
      <c r="G48" s="346" t="n">
        <v>0.0144</v>
      </c>
    </row>
    <row r="49" ht="25.5" customHeight="1">
      <c r="A49" s="370">
        <f>'Summary '!D43</f>
        <v/>
      </c>
      <c r="B49" s="347">
        <f>'Summary '!E43</f>
        <v/>
      </c>
      <c r="C49" s="347">
        <f>'Summary '!F43</f>
        <v/>
      </c>
      <c r="D49" s="367" t="n"/>
      <c r="E49" s="370">
        <f>'Summary '!D24</f>
        <v/>
      </c>
      <c r="F49" s="347">
        <f>'Summary '!E24</f>
        <v/>
      </c>
      <c r="G49" s="347">
        <f>'Summary '!F24</f>
        <v/>
      </c>
    </row>
    <row r="50" ht="25.5" customHeight="1">
      <c r="A50" s="370">
        <f>'Summary '!D44</f>
        <v/>
      </c>
      <c r="B50" s="347">
        <f>'Summary '!E44</f>
        <v/>
      </c>
      <c r="C50" s="347">
        <f>'Summary '!F44</f>
        <v/>
      </c>
      <c r="D50" s="367" t="n"/>
      <c r="E50" s="370">
        <f>'Summary '!D25</f>
        <v/>
      </c>
      <c r="F50" s="347">
        <f>'Summary '!E25</f>
        <v/>
      </c>
      <c r="G50" s="347">
        <f>'Summary '!F25</f>
        <v/>
      </c>
    </row>
    <row r="51" ht="25.5" customHeight="1">
      <c r="A51" s="370">
        <f>'Summary '!D45</f>
        <v/>
      </c>
      <c r="B51" s="347">
        <f>'Summary '!E45</f>
        <v/>
      </c>
      <c r="C51" s="350">
        <f>'Summary '!F45</f>
        <v/>
      </c>
      <c r="D51" s="367" t="n"/>
      <c r="E51" s="370">
        <f>'Summary '!D26</f>
        <v/>
      </c>
      <c r="F51" s="347">
        <f>'Summary '!E26</f>
        <v/>
      </c>
      <c r="G51" s="347">
        <f>'Summary '!F26</f>
        <v/>
      </c>
    </row>
    <row r="52">
      <c r="A52" s="351" t="n"/>
      <c r="B52" s="351" t="n"/>
      <c r="C52" s="351" t="n"/>
      <c r="D52" s="351" t="n"/>
      <c r="E52" s="351" t="n"/>
      <c r="F52" s="351" t="n"/>
      <c r="G52" s="352" t="inlineStr">
        <is>
          <t>Page 1</t>
        </is>
      </c>
    </row>
  </sheetData>
  <mergeCells count="26">
    <mergeCell ref="E19:G19"/>
    <mergeCell ref="B7:C7"/>
    <mergeCell ref="E40:G40"/>
    <mergeCell ref="B31:C31"/>
    <mergeCell ref="D5:G5"/>
    <mergeCell ref="B39:C39"/>
    <mergeCell ref="A32:C32"/>
    <mergeCell ref="B23:C23"/>
    <mergeCell ref="E26:G26"/>
    <mergeCell ref="B17:C17"/>
    <mergeCell ref="A4:C4"/>
    <mergeCell ref="B8:C8"/>
    <mergeCell ref="A10:C10"/>
    <mergeCell ref="A40:C40"/>
    <mergeCell ref="E12:G12"/>
    <mergeCell ref="B9:C9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6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topLeftCell="A10" zoomScale="130" zoomScaleNormal="130" workbookViewId="0">
      <selection activeCell="F17" sqref="F17"/>
    </sheetView>
  </sheetViews>
  <sheetFormatPr baseColWidth="8" defaultColWidth="8.7109375" defaultRowHeight="12.75"/>
  <cols>
    <col width="8.7109375" customWidth="1" style="333" min="1" max="1"/>
    <col width="24.42578125" bestFit="1" customWidth="1" style="333" min="2" max="2"/>
    <col width="11.85546875" customWidth="1" style="333" min="3" max="3"/>
    <col width="15.140625" bestFit="1" customWidth="1" style="333" min="4" max="4"/>
    <col width="12" customWidth="1" style="333" min="5" max="5"/>
    <col width="8.7109375" customWidth="1" style="333" min="6" max="11"/>
    <col width="8.7109375" customWidth="1" style="333" min="12" max="16384"/>
  </cols>
  <sheetData>
    <row r="2" ht="15" customHeight="1">
      <c r="B2" s="363" t="inlineStr">
        <is>
          <t>Financial Product Catalog: A Ready Reckoner , As on 07th August 2026</t>
        </is>
      </c>
      <c r="C2" s="354" t="n"/>
      <c r="D2" s="354" t="n"/>
      <c r="E2" s="355" t="n"/>
    </row>
    <row r="3" ht="15" customHeight="1">
      <c r="B3" s="360" t="n"/>
      <c r="C3" s="354" t="n"/>
      <c r="D3" s="354" t="n"/>
      <c r="E3" s="355" t="n"/>
    </row>
    <row r="4" ht="15" customHeight="1">
      <c r="B4" s="359" t="inlineStr">
        <is>
          <t>Credit ratings assessed by (e.g., CRISIL, ICRA, CARE)</t>
        </is>
      </c>
      <c r="C4" s="354" t="n"/>
      <c r="D4" s="354" t="n"/>
      <c r="E4" s="355" t="n"/>
    </row>
    <row r="5" ht="15" customHeight="1">
      <c r="B5" s="358" t="n"/>
      <c r="C5" s="354" t="n"/>
      <c r="D5" s="354" t="n"/>
      <c r="E5" s="355" t="n"/>
    </row>
    <row r="6" ht="15" customHeight="1">
      <c r="B6" s="357" t="inlineStr">
        <is>
          <t>Corporate FD's</t>
        </is>
      </c>
      <c r="C6" s="354" t="n"/>
      <c r="D6" s="354" t="n"/>
      <c r="E6" s="355" t="n"/>
    </row>
    <row r="7" ht="25.5" customHeight="1">
      <c r="B7" s="361" t="inlineStr">
        <is>
          <t>Institution</t>
        </is>
      </c>
      <c r="C7" s="361" t="inlineStr">
        <is>
          <t>3-Year FD Rate</t>
        </is>
      </c>
      <c r="D7" s="355" t="n"/>
      <c r="E7" s="361" t="inlineStr">
        <is>
          <t>1-Year FD Rate</t>
        </is>
      </c>
    </row>
    <row r="8" ht="15" customHeight="1">
      <c r="B8" s="334" t="inlineStr">
        <is>
          <t>SBI Bank FD</t>
        </is>
      </c>
      <c r="C8" s="364" t="inlineStr">
        <is>
          <t>6.30% - 6.80%</t>
        </is>
      </c>
      <c r="D8" s="355" t="n"/>
      <c r="E8" s="364" t="inlineStr">
        <is>
          <t>6.25% - 6.75%</t>
        </is>
      </c>
    </row>
    <row r="9" ht="13.5" customHeight="1">
      <c r="B9" s="331" t="inlineStr">
        <is>
          <t>Shriram Finance</t>
        </is>
      </c>
      <c r="C9" s="356" t="inlineStr">
        <is>
          <t>7.50% – 8.00%</t>
        </is>
      </c>
      <c r="D9" s="355" t="n"/>
      <c r="E9" s="356" t="inlineStr">
        <is>
          <t>6.85% – 7.35%</t>
        </is>
      </c>
    </row>
    <row r="10" ht="13.5" customHeight="1">
      <c r="B10" s="331" t="inlineStr">
        <is>
          <t>Bajaj Finance</t>
        </is>
      </c>
      <c r="C10" s="356" t="inlineStr">
        <is>
          <t>7.40% – 7.75%</t>
        </is>
      </c>
      <c r="D10" s="355" t="n"/>
      <c r="E10" s="356" t="inlineStr">
        <is>
          <t>6.60% – 6.95%</t>
        </is>
      </c>
    </row>
    <row r="11" ht="13.5" customHeight="1">
      <c r="B11" s="337" t="inlineStr">
        <is>
          <t>PNB Housing Finance</t>
        </is>
      </c>
      <c r="C11" s="356" t="inlineStr">
        <is>
          <t>7.10% – 7.35%</t>
        </is>
      </c>
      <c r="D11" s="355" t="n"/>
      <c r="E11" s="356" t="inlineStr">
        <is>
          <t>6.70% – 6.95%</t>
        </is>
      </c>
    </row>
    <row r="12" ht="13.5" customHeight="1">
      <c r="B12" s="331" t="inlineStr">
        <is>
          <t>ICICI Home Finance</t>
        </is>
      </c>
      <c r="C12" s="362" t="inlineStr">
        <is>
          <t>7.10% -7.45%</t>
        </is>
      </c>
      <c r="D12" s="355" t="n"/>
      <c r="E12" s="356" t="inlineStr">
        <is>
          <t>6.85% – 7.20%</t>
        </is>
      </c>
    </row>
    <row r="13" ht="13.5" customHeight="1">
      <c r="B13" s="337" t="inlineStr">
        <is>
          <t>LIC Housing Finance</t>
        </is>
      </c>
      <c r="C13" s="362" t="inlineStr">
        <is>
          <t>6.85% -7.10%</t>
        </is>
      </c>
      <c r="D13" s="355" t="n"/>
      <c r="E13" s="356" t="inlineStr">
        <is>
          <t>6.70% – 6.95%</t>
        </is>
      </c>
    </row>
    <row r="14" ht="15" customHeight="1">
      <c r="B14" s="357" t="inlineStr">
        <is>
          <t>Capital Gain Bonds/NCD</t>
        </is>
      </c>
      <c r="C14" s="354" t="n"/>
      <c r="D14" s="354" t="n"/>
      <c r="E14" s="355" t="n"/>
    </row>
    <row r="15" ht="15" customHeight="1">
      <c r="B15" s="361" t="inlineStr">
        <is>
          <t>Index Name</t>
        </is>
      </c>
      <c r="C15" s="361" t="inlineStr">
        <is>
          <t>5-Year Return</t>
        </is>
      </c>
      <c r="D15" s="354" t="n"/>
      <c r="E15" s="355" t="n"/>
    </row>
    <row r="16" ht="25.5" customHeight="1">
      <c r="B16" s="332" t="inlineStr">
        <is>
          <t>NIFTY 10 Year Benchmark G-Sec Index</t>
        </is>
      </c>
      <c r="C16" s="353" t="n">
        <v>0.055</v>
      </c>
      <c r="D16" s="354" t="n"/>
      <c r="E16" s="355" t="n"/>
    </row>
    <row r="17" ht="15" customHeight="1">
      <c r="B17" s="361" t="inlineStr">
        <is>
          <t>Issuer</t>
        </is>
      </c>
      <c r="C17" s="361" t="inlineStr">
        <is>
          <t>Interest Rate</t>
        </is>
      </c>
      <c r="D17" s="361" t="inlineStr">
        <is>
          <t>Tenure</t>
        </is>
      </c>
      <c r="E17" s="355" t="n"/>
    </row>
    <row r="18" ht="15" customHeight="1">
      <c r="B18" s="331" t="inlineStr">
        <is>
          <t>IRFC</t>
        </is>
      </c>
      <c r="C18" s="356" t="inlineStr">
        <is>
          <t>5.25% p.a.</t>
        </is>
      </c>
      <c r="D18" s="356" t="inlineStr">
        <is>
          <t>5 years</t>
        </is>
      </c>
      <c r="E18" s="355" t="n"/>
    </row>
    <row r="19" ht="15" customHeight="1">
      <c r="B19" s="331" t="inlineStr">
        <is>
          <t>PFC</t>
        </is>
      </c>
      <c r="C19" s="356" t="inlineStr">
        <is>
          <t>5.25% p.a.</t>
        </is>
      </c>
      <c r="D19" s="356" t="inlineStr">
        <is>
          <t>5 years</t>
        </is>
      </c>
      <c r="E19" s="355" t="n"/>
    </row>
    <row r="20" ht="15" customHeight="1">
      <c r="B20" s="331" t="inlineStr">
        <is>
          <t>REC</t>
        </is>
      </c>
      <c r="C20" s="356" t="inlineStr">
        <is>
          <t>5.25% p.a.</t>
        </is>
      </c>
      <c r="D20" s="356" t="inlineStr">
        <is>
          <t>5 years</t>
        </is>
      </c>
      <c r="E20" s="355" t="n"/>
    </row>
    <row r="21" ht="15" customHeight="1">
      <c r="B21" s="358" t="n"/>
      <c r="C21" s="354" t="n"/>
      <c r="D21" s="354" t="n"/>
      <c r="E21" s="355" t="n"/>
    </row>
    <row r="22" ht="15" customHeight="1">
      <c r="B22" s="357" t="inlineStr">
        <is>
          <t>RBI Floating Rate Savings Bond</t>
        </is>
      </c>
      <c r="C22" s="355" t="n"/>
      <c r="D22" s="357" t="inlineStr">
        <is>
          <t>Interest Rate</t>
        </is>
      </c>
      <c r="E22" s="355" t="n"/>
    </row>
    <row r="23" ht="15" customHeight="1">
      <c r="B23" s="356" t="inlineStr">
        <is>
          <t>HDFC</t>
        </is>
      </c>
      <c r="C23" s="355" t="n"/>
      <c r="D23" s="356" t="inlineStr">
        <is>
          <t>8.05% p.a.</t>
        </is>
      </c>
      <c r="E23" s="355" t="n"/>
    </row>
    <row r="24">
      <c r="F24" s="338" t="n"/>
      <c r="G24" s="338" t="n"/>
      <c r="H24" s="338" t="n"/>
      <c r="I24" s="338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21"/>
    <col width="8.7109375" customWidth="1" style="115" min="22" max="16384"/>
  </cols>
  <sheetData>
    <row r="1" ht="15" customHeight="1" thickBot="1"/>
    <row r="2">
      <c r="B2" s="380" t="inlineStr">
        <is>
          <t>Equity</t>
        </is>
      </c>
      <c r="C2" s="381" t="n"/>
      <c r="D2" s="381" t="n"/>
      <c r="E2" s="381" t="n"/>
      <c r="F2" s="382" t="n"/>
      <c r="H2" s="380" t="inlineStr">
        <is>
          <t>Debt</t>
        </is>
      </c>
      <c r="I2" s="381" t="n"/>
      <c r="J2" s="381" t="n"/>
      <c r="K2" s="381" t="n"/>
      <c r="L2" s="382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77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77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7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7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79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79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77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77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7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7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79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79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77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77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7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7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79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79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 ht="30" customHeight="1">
      <c r="B16" s="377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77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7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7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 ht="30" customHeight="1">
      <c r="B18" s="379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79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77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83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7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7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79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84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77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7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79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86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7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7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85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7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7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7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7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7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7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7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7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7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83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7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84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21"/>
    <col width="8.7109375" customWidth="1" style="15" min="22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91" t="inlineStr">
        <is>
          <t>Investor Profile</t>
        </is>
      </c>
      <c r="J3" s="388" t="n"/>
      <c r="K3" s="388" t="n"/>
      <c r="L3" s="388" t="n"/>
    </row>
    <row r="4" ht="14.45" customHeight="1" thickBot="1">
      <c r="B4" s="390" t="inlineStr">
        <is>
          <t>Personal &amp; Financial Information</t>
        </is>
      </c>
      <c r="C4" s="381" t="n"/>
      <c r="D4" s="381" t="n"/>
      <c r="E4" s="382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87" t="inlineStr">
        <is>
          <t>Model Portfolio</t>
        </is>
      </c>
      <c r="J18" s="388" t="n"/>
      <c r="K18" s="388" t="n"/>
      <c r="L18" s="38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90" t="inlineStr">
        <is>
          <t>Investment Objective</t>
        </is>
      </c>
      <c r="C25" s="381" t="n"/>
      <c r="D25" s="381" t="n"/>
      <c r="E25" s="382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90" t="inlineStr">
        <is>
          <t>Risk Appetite</t>
        </is>
      </c>
      <c r="C34" s="381" t="n"/>
      <c r="D34" s="381" t="n"/>
      <c r="E34" s="382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90" t="inlineStr">
        <is>
          <t>Market Experience</t>
        </is>
      </c>
      <c r="C37" s="381" t="n"/>
      <c r="D37" s="381" t="n"/>
      <c r="E37" s="382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98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97">
        <f>HLOOKUP('Investor Persona'!$E$4, 'Investor Profile'!$I$19:$L$23,F$2,FALSE)</f>
        <v/>
      </c>
      <c r="G4" s="397">
        <f>HLOOKUP('Investor Persona'!$E$4, 'Investor Profile'!$I$19:$L$23,G$2,FALSE)</f>
        <v/>
      </c>
      <c r="H4" s="397">
        <f>HLOOKUP('Investor Persona'!$E$4, 'Investor Profile'!$I$19:$L$23,H$2,FALSE)</f>
        <v/>
      </c>
      <c r="I4" s="39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98">
        <f>IF(SUM($D$5:$D$7)&lt;5,"Limited Resources",IF(SUM($D$5:$D$7)&lt;=8,"Stable Financials",IF(SUM($D$5:$D$7)&lt;=12,"Affluent",IF(SUM($D$5:$D$7)&gt;=13,"HNI/UHNI",""))))</f>
        <v/>
      </c>
      <c r="F5" s="397">
        <f>HLOOKUP('Investor Persona'!$E$5, 'Investor Profile'!$I$24:$L$28,F$2,FALSE)</f>
        <v/>
      </c>
      <c r="G5" s="397">
        <f>HLOOKUP('Investor Persona'!$E$5, 'Investor Profile'!$I$24:$L$28,G$2,FALSE)</f>
        <v/>
      </c>
      <c r="H5" s="397">
        <f>HLOOKUP('Investor Persona'!$E$5, 'Investor Profile'!$I$24:$L$28,H$2,FALSE)</f>
        <v/>
      </c>
      <c r="I5" s="39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99" t="n"/>
      <c r="F6" s="375" t="n"/>
      <c r="G6" s="375" t="n"/>
      <c r="H6" s="375" t="n"/>
      <c r="I6" s="39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00" t="n"/>
      <c r="F7" s="376" t="n"/>
      <c r="G7" s="376" t="n"/>
      <c r="H7" s="376" t="n"/>
      <c r="I7" s="39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98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97">
        <f>HLOOKUP('Investor Persona'!$E$8, 'Investor Profile'!$I$29:$L$33,F$2,FALSE)</f>
        <v/>
      </c>
      <c r="G8" s="397">
        <f>HLOOKUP('Investor Persona'!$E$8, 'Investor Profile'!$I$29:$L$33,G$2,FALSE)</f>
        <v/>
      </c>
      <c r="H8" s="397">
        <f>HLOOKUP('Investor Persona'!$E$8, 'Investor Profile'!$I$29:$L$33,H$2,FALSE)</f>
        <v/>
      </c>
      <c r="I8" s="39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98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97">
        <f>HLOOKUP('Investor Persona'!$E$9, 'Investor Profile'!$I$34:$L$38,F$2,FALSE)</f>
        <v/>
      </c>
      <c r="G9" s="397">
        <f>HLOOKUP('Investor Persona'!$E$9, 'Investor Profile'!$I$34:$L$38,G$2,FALSE)</f>
        <v/>
      </c>
      <c r="H9" s="397">
        <f>HLOOKUP('Investor Persona'!$E$9, 'Investor Profile'!$I$34:$L$38,H$2,FALSE)</f>
        <v/>
      </c>
      <c r="I9" s="39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97">
        <f>HLOOKUP('Investor Persona'!$E$10,'Investor Profile'!$I$39:$J$43,F$2,FALSE)</f>
        <v/>
      </c>
      <c r="G10" s="397">
        <f>HLOOKUP('Investor Persona'!$E$10,'Investor Profile'!$I$39:$J$43,G$2,FALSE)</f>
        <v/>
      </c>
      <c r="H10" s="397">
        <f>HLOOKUP('Investor Persona'!$E$10,'Investor Profile'!$I$39:$J$43,H$2,FALSE)</f>
        <v/>
      </c>
      <c r="I10" s="39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98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95">
        <f>HLOOKUP('Investor Persona'!$E$11,'Investor Profile'!$I$44:$L$48,F$2,FALSE)</f>
        <v/>
      </c>
      <c r="G11" s="395">
        <f>HLOOKUP('Investor Persona'!$E$11,'Investor Profile'!$I$44:$L$48,G$2,FALSE)</f>
        <v/>
      </c>
      <c r="H11" s="395">
        <f>HLOOKUP('Investor Persona'!$E$11,'Investor Profile'!$I$44:$L$48,H$2,FALSE)</f>
        <v/>
      </c>
      <c r="I11" s="401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00" t="n"/>
      <c r="F12" s="396" t="n"/>
      <c r="G12" s="396" t="n"/>
      <c r="H12" s="396" t="n"/>
      <c r="I12" s="402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5"/>
    <col width="8.7109375" customWidth="1" style="42" min="36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03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3" t="inlineStr">
        <is>
          <t>Normalized</t>
        </is>
      </c>
      <c r="N4" s="404" t="n"/>
      <c r="O4" s="404" t="n"/>
      <c r="P4" s="404" t="n"/>
      <c r="Q4" s="404" t="n"/>
      <c r="R4" s="404" t="n"/>
      <c r="S4" s="404" t="n"/>
      <c r="T4" s="404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08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1.4123</v>
      </c>
      <c r="F6" s="248" t="n">
        <v>11.0019</v>
      </c>
      <c r="G6" s="248" t="n">
        <v>10.1705</v>
      </c>
      <c r="H6" s="248" t="n">
        <v>11.3551</v>
      </c>
      <c r="I6" s="248" t="n">
        <v>0.0378488103026319</v>
      </c>
      <c r="J6" s="248" t="n">
        <v>0.0223672513452937</v>
      </c>
      <c r="K6" s="248" t="n">
        <v>0.997341619264133</v>
      </c>
      <c r="L6" s="248" t="n">
        <v>13.3675758422359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2.257</v>
      </c>
      <c r="F7" s="248" t="n">
        <v>10.6976</v>
      </c>
      <c r="G7" s="248" t="n">
        <v>12.081</v>
      </c>
      <c r="H7" s="248" t="n">
        <v>12.2737</v>
      </c>
      <c r="I7" s="249" t="n">
        <v>0.0398549276358982</v>
      </c>
      <c r="J7" s="249" t="n">
        <v>0.0488332091947874</v>
      </c>
      <c r="K7" s="249" t="n">
        <v>0.928629661463731</v>
      </c>
      <c r="L7" s="249" t="n">
        <v>12.5228312267807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0.4752</v>
      </c>
      <c r="F8" s="248" t="n">
        <v>12.5809</v>
      </c>
      <c r="G8" s="248" t="n">
        <v>12.2964</v>
      </c>
      <c r="H8" s="248" t="n">
        <v>13.2535</v>
      </c>
      <c r="I8" s="249" t="n">
        <v>0.0508742060620046</v>
      </c>
      <c r="J8" s="249" t="n">
        <v>0.183485270713821</v>
      </c>
      <c r="K8" s="249" t="n">
        <v>0.9174677389922</v>
      </c>
      <c r="L8" s="249" t="n">
        <v>12.3507878994827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1.9949</v>
      </c>
      <c r="F9" s="248" t="n">
        <v>11.2305</v>
      </c>
      <c r="G9" s="248" t="n">
        <v>9.9399</v>
      </c>
      <c r="H9" s="248" t="n">
        <v>11.9271</v>
      </c>
      <c r="I9" s="249" t="n">
        <v>0.0390791318345635</v>
      </c>
      <c r="J9" s="249" t="n">
        <v>0.0369079123464202</v>
      </c>
      <c r="K9" s="249" t="n">
        <v>0.99217261506273</v>
      </c>
      <c r="L9" s="249" t="n">
        <v>13.2546756117545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0.8169</v>
      </c>
      <c r="F10" s="248" t="n">
        <v>12.2849</v>
      </c>
      <c r="G10" s="248" t="n">
        <v>14.1908</v>
      </c>
      <c r="H10" s="248" t="n">
        <v>13.8338</v>
      </c>
      <c r="I10" s="249" t="n">
        <v>0.0484231907325109</v>
      </c>
      <c r="J10" s="249" t="n">
        <v>0.157943201233506</v>
      </c>
      <c r="K10" s="249" t="n">
        <v>0.975657428311514</v>
      </c>
      <c r="L10" s="249" t="n">
        <v>13.1513250625945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3.9897</v>
      </c>
      <c r="F11" s="248" t="n">
        <v>10.3928</v>
      </c>
      <c r="G11" s="248" t="n">
        <v>10.2364</v>
      </c>
      <c r="H11" s="248" t="n">
        <v>11.5498</v>
      </c>
      <c r="I11" s="249" t="n">
        <v>0.0331446344509432</v>
      </c>
      <c r="J11" s="249" t="n">
        <v>-0.0388532642794012</v>
      </c>
      <c r="K11" s="249" t="n">
        <v>0.925459575897841</v>
      </c>
      <c r="L11" s="249" t="n">
        <v>12.5327627329072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-0.1454</v>
      </c>
      <c r="F12" s="251" t="n">
        <v>8.6533</v>
      </c>
      <c r="G12" s="251" t="n">
        <v>7.8553</v>
      </c>
      <c r="H12" s="251" t="n">
        <v>10.9889</v>
      </c>
      <c r="I12" s="250" t="n">
        <v>0.0243825599523027</v>
      </c>
      <c r="J12" s="250" t="n">
        <v>-0.159652693657476</v>
      </c>
      <c r="K12" s="250" t="n">
        <v>0.978914753195422</v>
      </c>
      <c r="L12" s="250" t="n">
        <v>13.1582587597595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03" t="inlineStr">
        <is>
          <t>Actuals</t>
        </is>
      </c>
      <c r="F15" s="404" t="n"/>
      <c r="G15" s="404" t="n"/>
      <c r="H15" s="404" t="n"/>
      <c r="I15" s="404" t="n"/>
      <c r="J15" s="404" t="n"/>
      <c r="K15" s="404" t="n"/>
      <c r="L15" s="404" t="n"/>
      <c r="M15" s="403" t="inlineStr">
        <is>
          <t>Normalized</t>
        </is>
      </c>
      <c r="N15" s="404" t="n"/>
      <c r="O15" s="404" t="n"/>
      <c r="P15" s="404" t="n"/>
      <c r="Q15" s="404" t="n"/>
      <c r="R15" s="404" t="n"/>
      <c r="S15" s="404" t="n"/>
      <c r="T15" s="404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8.1501</v>
      </c>
      <c r="F17" s="252" t="n">
        <v>14.0757</v>
      </c>
      <c r="G17" s="248" t="n">
        <v>14.1162</v>
      </c>
      <c r="H17" s="248" t="n">
        <v>14.5508</v>
      </c>
      <c r="I17" s="249" t="n">
        <v>0.058840852880957</v>
      </c>
      <c r="J17" s="249" t="n">
        <v>0.0446299912316392</v>
      </c>
      <c r="K17" s="249" t="n">
        <v>0.844214943560029</v>
      </c>
      <c r="L17" s="249" t="n">
        <v>13.0521060534508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6.7235</v>
      </c>
      <c r="F18" s="252" t="n">
        <v>14.7566</v>
      </c>
      <c r="G18" s="248" t="n">
        <v>13.8964</v>
      </c>
      <c r="H18" s="248" t="n">
        <v>14.7026</v>
      </c>
      <c r="I18" s="249" t="n">
        <v>0.0571863450925932</v>
      </c>
      <c r="J18" s="249" t="n">
        <v>0.0253935790308323</v>
      </c>
      <c r="K18" s="249" t="n">
        <v>0.922548217962886</v>
      </c>
      <c r="L18" s="249" t="n">
        <v>14.4094844720269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5.9804</v>
      </c>
      <c r="F19" s="252" t="n">
        <v>14.6467</v>
      </c>
      <c r="G19" s="248" t="n">
        <v>15.5715</v>
      </c>
      <c r="H19" s="248" t="n">
        <v>14.5721</v>
      </c>
      <c r="I19" s="249" t="n">
        <v>0.0585623723642775</v>
      </c>
      <c r="J19" s="249" t="n">
        <v>0.0221024911297927</v>
      </c>
      <c r="K19" s="249" t="n">
        <v>0.975852767452673</v>
      </c>
      <c r="L19" s="249" t="n">
        <v>14.8026684644381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9.104699999999999</v>
      </c>
      <c r="F20" s="252" t="n">
        <v>17.0867</v>
      </c>
      <c r="G20" s="248" t="n">
        <v>17.1607</v>
      </c>
      <c r="H20" s="248" t="n">
        <v>15.2198</v>
      </c>
      <c r="I20" s="249" t="n">
        <v>0.0780057031184561</v>
      </c>
      <c r="J20" s="249" t="n">
        <v>0.3000164935994</v>
      </c>
      <c r="K20" s="249" t="n">
        <v>0.81974971499545</v>
      </c>
      <c r="L20" s="249" t="n">
        <v>12.9433867965891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6.4816</v>
      </c>
      <c r="F21" s="252" t="n">
        <v>16.6689</v>
      </c>
      <c r="G21" s="248" t="n">
        <v>14.443</v>
      </c>
      <c r="H21" s="248" t="n">
        <v>12.9276</v>
      </c>
      <c r="I21" s="249" t="n">
        <v>0.0658467597076263</v>
      </c>
      <c r="J21" s="249" t="n">
        <v>0.139423680809239</v>
      </c>
      <c r="K21" s="249" t="n">
        <v>0.994480349817279</v>
      </c>
      <c r="L21" s="249" t="n">
        <v>15.1917287193487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10.2901</v>
      </c>
      <c r="F22" s="252" t="n">
        <v>12.7791</v>
      </c>
      <c r="G22" s="248" t="n">
        <v>9.143800000000001</v>
      </c>
      <c r="H22" s="248" t="n">
        <v>11.1307</v>
      </c>
      <c r="I22" s="249" t="n">
        <v>0.0448180928500321</v>
      </c>
      <c r="J22" s="249" t="n">
        <v>-0.183383092918983</v>
      </c>
      <c r="K22" s="249" t="n">
        <v>1.03612453479188</v>
      </c>
      <c r="L22" s="249" t="n">
        <v>15.9214696111752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7.2871</v>
      </c>
      <c r="F23" s="254" t="n">
        <v>16.419</v>
      </c>
      <c r="G23" s="251" t="n">
        <v>14.6834</v>
      </c>
      <c r="H23" s="251" t="n">
        <v>13.8657</v>
      </c>
      <c r="I23" s="250" t="n">
        <v>0.0690695207661801</v>
      </c>
      <c r="J23" s="250" t="n">
        <v>0.179765614086409</v>
      </c>
      <c r="K23" s="250" t="n">
        <v>0.915871476972017</v>
      </c>
      <c r="L23" s="250" t="n">
        <v>14.0817230260251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03" t="inlineStr">
        <is>
          <t>Actuals</t>
        </is>
      </c>
      <c r="F26" s="404" t="n"/>
      <c r="G26" s="404" t="n"/>
      <c r="H26" s="404" t="n"/>
      <c r="I26" s="404" t="n"/>
      <c r="J26" s="404" t="n"/>
      <c r="K26" s="404" t="n"/>
      <c r="L26" s="404" t="n"/>
      <c r="M26" s="403" t="inlineStr">
        <is>
          <t>Normalized</t>
        </is>
      </c>
      <c r="N26" s="404" t="n"/>
      <c r="O26" s="404" t="n"/>
      <c r="P26" s="404" t="n"/>
      <c r="Q26" s="404" t="n"/>
      <c r="R26" s="404" t="n"/>
      <c r="S26" s="404" t="n"/>
      <c r="T26" s="404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20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11.8771</v>
      </c>
      <c r="F28" s="248" t="n">
        <v>19.6041</v>
      </c>
      <c r="G28" s="248" t="n">
        <v>20.1218</v>
      </c>
      <c r="H28" s="248" t="n">
        <v>17.3017</v>
      </c>
      <c r="I28" s="249" t="n">
        <v>0.0783676490879745</v>
      </c>
      <c r="J28" s="249" t="n">
        <v>0.147428873362913</v>
      </c>
      <c r="K28" s="249" t="n">
        <v>0.859763126468005</v>
      </c>
      <c r="L28" s="249" t="n">
        <v>15.4795610924515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9.5837</v>
      </c>
      <c r="F29" s="248" t="n">
        <v>18.7946</v>
      </c>
      <c r="G29" s="248" t="n">
        <v>17.0693</v>
      </c>
      <c r="H29" s="248" t="n">
        <v>17.117</v>
      </c>
      <c r="I29" s="249" t="n">
        <v>0.07238063032300721</v>
      </c>
      <c r="J29" s="249" t="n">
        <v>0.0950336402035736</v>
      </c>
      <c r="K29" s="249" t="n">
        <v>0.885638810003765</v>
      </c>
      <c r="L29" s="249" t="n">
        <v>16.4791910276046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11.9868</v>
      </c>
      <c r="F30" s="248" t="n">
        <v>20.7973</v>
      </c>
      <c r="G30" s="248" t="n">
        <v>19.4225</v>
      </c>
      <c r="H30" s="248" t="n">
        <v>18.1223</v>
      </c>
      <c r="I30" s="249" t="n">
        <v>0.0789774347489751</v>
      </c>
      <c r="J30" s="249" t="n">
        <v>0.16506828988188</v>
      </c>
      <c r="K30" s="249" t="n">
        <v>0.941277447867941</v>
      </c>
      <c r="L30" s="249" t="n">
        <v>16.862695427582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8.697900000000001</v>
      </c>
      <c r="F31" s="248" t="n">
        <v>12.7508</v>
      </c>
      <c r="G31" s="248" t="n">
        <v>14.35</v>
      </c>
      <c r="H31" s="248" t="n">
        <v>13.629</v>
      </c>
      <c r="I31" s="249" t="n">
        <v>0.0439523849358317</v>
      </c>
      <c r="J31" s="249" t="n">
        <v>-0.342499845225509</v>
      </c>
      <c r="K31" s="249" t="n">
        <v>0.797550137132196</v>
      </c>
      <c r="L31" s="249" t="n">
        <v>14.6989908681402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8.757099999999999</v>
      </c>
      <c r="F32" s="248" t="n">
        <v>13.486</v>
      </c>
      <c r="G32" s="248" t="n">
        <v>13.131</v>
      </c>
      <c r="H32" s="248" t="n">
        <v>13.8629</v>
      </c>
      <c r="I32" s="249" t="n">
        <v>0.0492574888503545</v>
      </c>
      <c r="J32" s="249" t="n">
        <v>-0.321504659890502</v>
      </c>
      <c r="K32" s="249" t="n">
        <v>0.912513216519882</v>
      </c>
      <c r="L32" s="249" t="n">
        <v>16.4349932390691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18.8078</v>
      </c>
      <c r="F33" s="248" t="n">
        <v>23.2072</v>
      </c>
      <c r="G33" s="248" t="n">
        <v>18.0556</v>
      </c>
      <c r="H33" s="248" t="n">
        <v>16.7025</v>
      </c>
      <c r="I33" s="249" t="n">
        <v>0.0810176050821723</v>
      </c>
      <c r="J33" s="249" t="n">
        <v>0.2398282491097</v>
      </c>
      <c r="K33" s="249" t="n">
        <v>1.0063932036742</v>
      </c>
      <c r="L33" s="249" t="n">
        <v>18.3570314670078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12.018</v>
      </c>
      <c r="F34" s="251" t="n">
        <v>17.3525</v>
      </c>
      <c r="G34" s="251" t="n">
        <v>15.0723</v>
      </c>
      <c r="H34" s="251" t="n">
        <v>13.5248</v>
      </c>
      <c r="I34" s="250" t="n">
        <v>0.0642398683857329</v>
      </c>
      <c r="J34" s="250" t="n">
        <v>-0.0865678794676903</v>
      </c>
      <c r="K34" s="250" t="n">
        <v>0.966323264068657</v>
      </c>
      <c r="L34" s="250" t="n">
        <v>17.2973626693085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03" t="inlineStr">
        <is>
          <t>Actuals</t>
        </is>
      </c>
      <c r="F37" s="404" t="n"/>
      <c r="G37" s="404" t="n"/>
      <c r="H37" s="404" t="n"/>
      <c r="I37" s="404" t="n"/>
      <c r="J37" s="404" t="n"/>
      <c r="K37" s="404" t="n"/>
      <c r="L37" s="404" t="n"/>
      <c r="M37" s="403" t="inlineStr">
        <is>
          <t>Normalized</t>
        </is>
      </c>
      <c r="N37" s="404" t="n"/>
      <c r="O37" s="404" t="n"/>
      <c r="P37" s="404" t="n"/>
      <c r="Q37" s="404" t="n"/>
      <c r="R37" s="404" t="n"/>
      <c r="S37" s="404" t="n"/>
      <c r="T37" s="404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20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11.7152</v>
      </c>
      <c r="F39" s="248" t="n">
        <v>16.6599</v>
      </c>
      <c r="G39" s="248" t="n">
        <v>19.2874</v>
      </c>
      <c r="H39" s="248" t="n">
        <v>20.8278</v>
      </c>
      <c r="I39" s="249" t="n">
        <v>0.0586217707712868</v>
      </c>
      <c r="J39" s="249" t="n">
        <v>0.0341822609978966</v>
      </c>
      <c r="K39" s="249" t="n">
        <v>0.85084513928476</v>
      </c>
      <c r="L39" s="249" t="n">
        <v>18.434289549127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1.6146</v>
      </c>
      <c r="F40" s="248" t="n">
        <v>12.2682</v>
      </c>
      <c r="G40" s="248" t="n">
        <v>15.2968</v>
      </c>
      <c r="H40" s="248" t="n">
        <v>17.0613</v>
      </c>
      <c r="I40" s="249" t="n">
        <v>0.0420605987822767</v>
      </c>
      <c r="J40" s="249" t="n">
        <v>-0.154865281538173</v>
      </c>
      <c r="K40" s="249" t="n">
        <v>0.82415490802498</v>
      </c>
      <c r="L40" s="249" t="n">
        <v>17.6444947975726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10.231</v>
      </c>
      <c r="F41" s="248" t="n">
        <v>12.7328</v>
      </c>
      <c r="G41" s="248" t="n">
        <v>14.6661</v>
      </c>
      <c r="H41" s="248" t="n">
        <v>18.2709</v>
      </c>
      <c r="I41" s="249" t="n">
        <v>0.0441726350279311</v>
      </c>
      <c r="J41" s="249" t="n">
        <v>-0.0971166724750121</v>
      </c>
      <c r="K41" s="249" t="n">
        <v>0.775696113289785</v>
      </c>
      <c r="L41" s="249" t="n">
        <v>16.9141931138532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7.913</v>
      </c>
      <c r="F42" s="248" t="n">
        <v>12.8386</v>
      </c>
      <c r="G42" s="248" t="n">
        <v>13.2067</v>
      </c>
      <c r="H42" s="248" t="n">
        <v>16.3002</v>
      </c>
      <c r="I42" s="249" t="n">
        <v>0.0424043703444163</v>
      </c>
      <c r="J42" s="249" t="n">
        <v>-0.244711437773584</v>
      </c>
      <c r="K42" s="249" t="n">
        <v>0.833300371704221</v>
      </c>
      <c r="L42" s="249" t="n">
        <v>18.3985375297575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5.9305</v>
      </c>
      <c r="F43" s="248" t="n">
        <v>12.4702</v>
      </c>
      <c r="G43" s="248" t="n">
        <v>14.3747</v>
      </c>
      <c r="H43" s="248" t="n">
        <v>15.5719</v>
      </c>
      <c r="I43" s="249" t="n">
        <v>0.0414701673931884</v>
      </c>
      <c r="J43" s="249" t="n">
        <v>-0.238985878264423</v>
      </c>
      <c r="K43" s="249" t="n">
        <v>0.748302986996697</v>
      </c>
      <c r="L43" s="249" t="n">
        <v>16.4302273099249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20.4141</v>
      </c>
      <c r="F44" s="248" t="n">
        <v>16.3335</v>
      </c>
      <c r="G44" s="248" t="n">
        <v>13.9358</v>
      </c>
      <c r="H44" s="248" t="n">
        <v>13.041</v>
      </c>
      <c r="I44" s="249" t="n">
        <v>0.0560481101033959</v>
      </c>
      <c r="J44" s="249" t="n">
        <v>0.106262900456421</v>
      </c>
      <c r="K44" s="249" t="n">
        <v>0.8975856231963339</v>
      </c>
      <c r="L44" s="249" t="n">
        <v>19.3260320759289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8.788399999999999</v>
      </c>
      <c r="F45" s="251" t="n">
        <v>15.2817</v>
      </c>
      <c r="G45" s="251" t="n">
        <v>15.3582</v>
      </c>
      <c r="H45" s="251" t="n">
        <v>0</v>
      </c>
      <c r="I45" s="250" t="n">
        <v>0.0495301713646077</v>
      </c>
      <c r="J45" s="250" t="n">
        <v>-0.129900760591628</v>
      </c>
      <c r="K45" s="250" t="n">
        <v>0.871451827776095</v>
      </c>
      <c r="L45" s="250" t="n">
        <v>19.0169376351021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03" t="inlineStr">
        <is>
          <t>Actuals</t>
        </is>
      </c>
      <c r="F48" s="404" t="n"/>
      <c r="G48" s="404" t="n"/>
      <c r="H48" s="404" t="n"/>
      <c r="I48" s="404" t="n"/>
      <c r="J48" s="404" t="n"/>
      <c r="K48" s="404" t="n"/>
      <c r="L48" s="404" t="n"/>
      <c r="M48" s="403" t="inlineStr">
        <is>
          <t>Normalized</t>
        </is>
      </c>
      <c r="N48" s="404" t="n"/>
      <c r="O48" s="404" t="n"/>
      <c r="P48" s="404" t="n"/>
      <c r="Q48" s="404" t="n"/>
      <c r="R48" s="404" t="n"/>
      <c r="S48" s="404" t="n"/>
      <c r="T48" s="404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20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15.9118</v>
      </c>
      <c r="F50" s="248" t="n">
        <v>15.921</v>
      </c>
      <c r="G50" s="248" t="n">
        <v>12.5993</v>
      </c>
      <c r="H50" s="248" t="n">
        <v>14.7663</v>
      </c>
      <c r="I50" s="249" t="n">
        <v>0.07640749606705199</v>
      </c>
      <c r="J50" s="249" t="n">
        <v>0.394476833024798</v>
      </c>
      <c r="K50" s="249" t="n">
        <v>0.749801272467214</v>
      </c>
      <c r="L50" s="249" t="n">
        <v>11.4142902297421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3.6664</v>
      </c>
      <c r="F51" s="248" t="n">
        <v>16.2197</v>
      </c>
      <c r="G51" s="248" t="n">
        <v>18.1853</v>
      </c>
      <c r="H51" s="248" t="n">
        <v>14.1146</v>
      </c>
      <c r="I51" s="249" t="n">
        <v>0.07493160422234781</v>
      </c>
      <c r="J51" s="249" t="n">
        <v>0.373753202626026</v>
      </c>
      <c r="K51" s="249" t="n">
        <v>0.79214326988559</v>
      </c>
      <c r="L51" s="249" t="n">
        <v>12.1756281975347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4.4765</v>
      </c>
      <c r="F52" s="248" t="n">
        <v>11.2339</v>
      </c>
      <c r="G52" s="248" t="n">
        <v>5.7642</v>
      </c>
      <c r="H52" s="248" t="n">
        <v>11.3595</v>
      </c>
      <c r="I52" s="249" t="n">
        <v>0.0304326543795314</v>
      </c>
      <c r="J52" s="249" t="n">
        <v>-0.206614568406425</v>
      </c>
      <c r="K52" s="249" t="n">
        <v>0.986715069405033</v>
      </c>
      <c r="L52" s="249" t="n">
        <v>15.2554191809268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4.9554</v>
      </c>
      <c r="F54" s="248" t="n">
        <v>11.3019</v>
      </c>
      <c r="G54" s="248" t="n">
        <v>11.4268</v>
      </c>
      <c r="H54" s="248" t="n">
        <v>12.9571</v>
      </c>
      <c r="I54" s="249" t="n">
        <v>0.0436871577391624</v>
      </c>
      <c r="J54" s="249" t="n">
        <v>-0.00475476922526541</v>
      </c>
      <c r="K54" s="249" t="n">
        <v>0.953171699824319</v>
      </c>
      <c r="L54" s="249" t="n">
        <v>14.1040231399008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11.3433</v>
      </c>
      <c r="F55" s="248" t="n">
        <v>15.7408</v>
      </c>
      <c r="G55" s="248" t="n">
        <v>12.6953</v>
      </c>
      <c r="H55" s="248" t="n">
        <v>0</v>
      </c>
      <c r="I55" s="249" t="n">
        <v>0.0615217494386992</v>
      </c>
      <c r="J55" s="249" t="n">
        <v>0.218641088873133</v>
      </c>
      <c r="K55" s="249" t="n">
        <v>0.958727656758779</v>
      </c>
      <c r="L55" s="249" t="n">
        <v>14.1492991036596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4.1546</v>
      </c>
      <c r="F56" s="251" t="n">
        <v>10.9848</v>
      </c>
      <c r="G56" s="251" t="n">
        <v>0</v>
      </c>
      <c r="H56" s="251" t="n">
        <v>0</v>
      </c>
      <c r="I56" s="250" t="n">
        <v>0.0369455933343907</v>
      </c>
      <c r="J56" s="250" t="n">
        <v>-0.129815145564125</v>
      </c>
      <c r="K56" s="250" t="n">
        <v>0.964862953014066</v>
      </c>
      <c r="L56" s="250" t="n">
        <v>14.2426958587599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05" t="inlineStr">
        <is>
          <t>Actuals</t>
        </is>
      </c>
      <c r="F59" s="404" t="n"/>
      <c r="G59" s="404" t="n"/>
      <c r="H59" s="404" t="n"/>
      <c r="I59" s="404" t="n"/>
      <c r="J59" s="404" t="n"/>
      <c r="K59" s="404" t="n"/>
      <c r="L59" s="403" t="inlineStr">
        <is>
          <t>Normalized</t>
        </is>
      </c>
      <c r="M59" s="404" t="n"/>
      <c r="N59" s="404" t="n"/>
      <c r="O59" s="404" t="n"/>
      <c r="P59" s="404" t="n"/>
      <c r="Q59" s="404" t="n"/>
      <c r="R59" s="404" t="n"/>
      <c r="S59" s="404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20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3.3637</v>
      </c>
      <c r="F61" s="248" t="n">
        <v>13.0402</v>
      </c>
      <c r="G61" s="248" t="n">
        <v>14.9797</v>
      </c>
      <c r="H61" s="248" t="n">
        <v>13.907</v>
      </c>
      <c r="I61" s="249" t="n">
        <v>0.07278393749094229</v>
      </c>
      <c r="J61" s="249" t="n">
        <v>0</v>
      </c>
      <c r="K61" s="249" t="n">
        <v>0</v>
      </c>
      <c r="L61" s="249" t="n">
        <v>9.21853185149137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9.125500000000001</v>
      </c>
      <c r="F62" s="248" t="n">
        <v>12.3084</v>
      </c>
      <c r="G62" s="248" t="n">
        <v>11.138</v>
      </c>
      <c r="H62" s="248" t="n">
        <v>10.912</v>
      </c>
      <c r="I62" s="249" t="n">
        <v>0.0799075318327354</v>
      </c>
      <c r="J62" s="249" t="n">
        <v>0</v>
      </c>
      <c r="K62" s="249" t="n">
        <v>0</v>
      </c>
      <c r="L62" s="249" t="n">
        <v>6.9908897236174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5.439</v>
      </c>
      <c r="F63" s="248" t="n">
        <v>10.3073</v>
      </c>
      <c r="G63" s="248" t="n">
        <v>0</v>
      </c>
      <c r="H63" s="248" t="n">
        <v>0</v>
      </c>
      <c r="I63" s="249" t="n">
        <v>0.0666985634029324</v>
      </c>
      <c r="J63" s="249" t="n">
        <v>0</v>
      </c>
      <c r="K63" s="249" t="n">
        <v>0</v>
      </c>
      <c r="L63" s="249" t="n">
        <v>6.18284038455377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5.3201</v>
      </c>
      <c r="F64" s="248" t="n">
        <v>9.813000000000001</v>
      </c>
      <c r="G64" s="248" t="n">
        <v>8.8164</v>
      </c>
      <c r="H64" s="248" t="n">
        <v>0</v>
      </c>
      <c r="I64" s="249" t="n">
        <v>0.0437645993893961</v>
      </c>
      <c r="J64" s="249" t="n">
        <v>0</v>
      </c>
      <c r="K64" s="249" t="n">
        <v>0</v>
      </c>
      <c r="L64" s="249" t="n">
        <v>8.163469328356729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1.8652</v>
      </c>
      <c r="F65" s="248" t="n">
        <v>8.302</v>
      </c>
      <c r="G65" s="248" t="n">
        <v>0</v>
      </c>
      <c r="H65" s="248" t="n">
        <v>0</v>
      </c>
      <c r="I65" s="249" t="n">
        <v>0.0318996409550914</v>
      </c>
      <c r="J65" s="249" t="n">
        <v>0</v>
      </c>
      <c r="K65" s="249" t="n">
        <v>0</v>
      </c>
      <c r="L65" s="249" t="n">
        <v>7.8086404712792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6.2111</v>
      </c>
      <c r="F66" s="248" t="n">
        <v>10.906</v>
      </c>
      <c r="G66" s="248" t="n">
        <v>9.273899999999999</v>
      </c>
      <c r="H66" s="248" t="n">
        <v>10.3114</v>
      </c>
      <c r="I66" s="249" t="n">
        <v>0.0583136405722422</v>
      </c>
      <c r="J66" s="249" t="n">
        <v>0</v>
      </c>
      <c r="K66" s="249" t="n">
        <v>0</v>
      </c>
      <c r="L66" s="249" t="n">
        <v>7.8135290158627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8.6952</v>
      </c>
      <c r="F67" s="251" t="n">
        <v>11.7795</v>
      </c>
      <c r="G67" s="251" t="n">
        <v>9.827</v>
      </c>
      <c r="H67" s="251" t="n">
        <v>10.3754</v>
      </c>
      <c r="I67" s="250" t="n">
        <v>0.0647738560361263</v>
      </c>
      <c r="J67" s="250" t="n">
        <v>0</v>
      </c>
      <c r="K67" s="250" t="n">
        <v>0</v>
      </c>
      <c r="L67" s="250" t="n">
        <v>7.99250817802977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05" t="inlineStr">
        <is>
          <t>Actuals</t>
        </is>
      </c>
      <c r="F70" s="404" t="n"/>
      <c r="G70" s="404" t="n"/>
      <c r="H70" s="404" t="n"/>
      <c r="I70" s="404" t="n"/>
      <c r="J70" s="404" t="n"/>
      <c r="K70" s="404" t="n"/>
      <c r="L70" s="406" t="inlineStr">
        <is>
          <t>Normalized</t>
        </is>
      </c>
      <c r="M70" s="404" t="n"/>
      <c r="N70" s="404" t="n"/>
      <c r="O70" s="404" t="n"/>
      <c r="P70" s="404" t="n"/>
      <c r="Q70" s="404" t="n"/>
      <c r="R70" s="404" t="n"/>
      <c r="S70" s="366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20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9.754200000000001</v>
      </c>
      <c r="F72" s="248" t="n">
        <v>15.4485</v>
      </c>
      <c r="G72" s="248" t="n">
        <v>16.6961</v>
      </c>
      <c r="H72" s="248" t="n">
        <v>15.1364</v>
      </c>
      <c r="I72" s="249" t="n">
        <v>0.110114592620768</v>
      </c>
      <c r="J72" s="249" t="n">
        <v>0</v>
      </c>
      <c r="K72" s="249" t="n">
        <v>0</v>
      </c>
      <c r="L72" s="249" t="n">
        <v>89.5777664382352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14.7746</v>
      </c>
      <c r="F73" s="248" t="n">
        <v>15.4094</v>
      </c>
      <c r="G73" s="248" t="n">
        <v>13.5229</v>
      </c>
      <c r="H73" s="248" t="n">
        <v>11.3979</v>
      </c>
      <c r="I73" s="249" t="n">
        <v>0.106717627198345</v>
      </c>
      <c r="J73" s="249" t="n">
        <v>0</v>
      </c>
      <c r="K73" s="249" t="n">
        <v>0</v>
      </c>
      <c r="L73" s="249" t="n">
        <v>93.93078880517371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22.4095</v>
      </c>
      <c r="F74" s="248" t="n">
        <v>0</v>
      </c>
      <c r="G74" s="248" t="n">
        <v>0</v>
      </c>
      <c r="H74" s="248" t="n">
        <v>0</v>
      </c>
      <c r="I74" s="249" t="n">
        <v>0.09326919652093479</v>
      </c>
      <c r="J74" s="249" t="n">
        <v>0</v>
      </c>
      <c r="K74" s="249" t="n">
        <v>0</v>
      </c>
      <c r="L74" s="249" t="n">
        <v>128.309648687197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17.2454</v>
      </c>
      <c r="F75" s="248" t="n">
        <v>18.9999</v>
      </c>
      <c r="G75" s="248" t="n">
        <v>15.0588</v>
      </c>
      <c r="H75" s="248" t="n">
        <v>0</v>
      </c>
      <c r="I75" s="249" t="n">
        <v>0.115289125086629</v>
      </c>
      <c r="J75" s="249" t="n">
        <v>0</v>
      </c>
      <c r="K75" s="249" t="n">
        <v>0</v>
      </c>
      <c r="L75" s="249" t="n">
        <v>108.407099408373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9.587899999999999</v>
      </c>
      <c r="F76" s="248" t="n">
        <v>16.4347</v>
      </c>
      <c r="G76" s="248" t="n">
        <v>13.4683</v>
      </c>
      <c r="H76" s="248" t="n">
        <v>10.5629</v>
      </c>
      <c r="I76" s="249" t="n">
        <v>0.09061751452012851</v>
      </c>
      <c r="J76" s="249" t="n">
        <v>0</v>
      </c>
      <c r="K76" s="249" t="n">
        <v>0</v>
      </c>
      <c r="L76" s="249" t="n">
        <v>107.139021838104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16.5192</v>
      </c>
      <c r="F78" s="251" t="n">
        <v>15.8033</v>
      </c>
      <c r="G78" s="251" t="n">
        <v>0</v>
      </c>
      <c r="H78" s="251" t="n">
        <v>0</v>
      </c>
      <c r="I78" s="250" t="n">
        <v>0.0837085161973596</v>
      </c>
      <c r="J78" s="250" t="n">
        <v>0</v>
      </c>
      <c r="K78" s="250" t="n">
        <v>0</v>
      </c>
      <c r="L78" s="250" t="n">
        <v>115.609726338952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05" t="inlineStr">
        <is>
          <t>Actuals</t>
        </is>
      </c>
      <c r="F81" s="404" t="n"/>
      <c r="G81" s="404" t="n"/>
      <c r="H81" s="404" t="n"/>
      <c r="I81" s="404" t="n"/>
      <c r="J81" s="404" t="n"/>
      <c r="K81" s="404" t="n"/>
      <c r="L81" s="406" t="inlineStr">
        <is>
          <t>Normalized</t>
        </is>
      </c>
      <c r="M81" s="404" t="n"/>
      <c r="N81" s="404" t="n"/>
      <c r="O81" s="404" t="n"/>
      <c r="P81" s="404" t="n"/>
      <c r="Q81" s="404" t="n"/>
      <c r="R81" s="404" t="n"/>
      <c r="S81" s="366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08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14.3526</v>
      </c>
      <c r="F83" s="84" t="n">
        <v>22.9411</v>
      </c>
      <c r="G83" s="84" t="n">
        <v>23.1341</v>
      </c>
      <c r="H83" s="84" t="n">
        <v>0</v>
      </c>
      <c r="I83" s="84" t="n">
        <v>0.0793276510914188</v>
      </c>
      <c r="J83" s="84" t="n">
        <v>-0.108049639733955</v>
      </c>
      <c r="K83" s="84" t="n">
        <v>0.9394723928538961</v>
      </c>
      <c r="L83" s="84" t="n">
        <v>18.9274108932641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6.6801</v>
      </c>
      <c r="F84" s="84" t="n">
        <v>10.9799</v>
      </c>
      <c r="G84" s="84" t="n">
        <v>11.1708</v>
      </c>
      <c r="H84" s="84" t="n">
        <v>11.5952</v>
      </c>
      <c r="I84" s="84" t="n">
        <v>0.0371773857243844</v>
      </c>
      <c r="J84" s="84" t="n">
        <v>0.119858387891712</v>
      </c>
      <c r="K84" s="84" t="n">
        <v>0.917410125977873</v>
      </c>
      <c r="L84" s="84" t="n">
        <v>14.9027551951999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12.311</v>
      </c>
      <c r="F85" s="84" t="n">
        <v>0</v>
      </c>
      <c r="G85" s="84" t="n">
        <v>0</v>
      </c>
      <c r="H85" s="84" t="n">
        <v>0</v>
      </c>
      <c r="I85" s="84" t="n">
        <v>-0.0145376891993807</v>
      </c>
      <c r="J85" s="84" t="n">
        <v>-0.0268493199600618</v>
      </c>
      <c r="K85" s="84" t="n">
        <v>1.02139322693638</v>
      </c>
      <c r="L85" s="84" t="n">
        <v>15.2072715270315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11.8828</v>
      </c>
      <c r="F86" s="84" t="n">
        <v>13.7038</v>
      </c>
      <c r="G86" s="84" t="n">
        <v>0</v>
      </c>
      <c r="H86" s="84" t="n">
        <v>0</v>
      </c>
      <c r="I86" s="84" t="n">
        <v>0.0493964476880108</v>
      </c>
      <c r="J86" s="84" t="n">
        <v>0.08871318281862731</v>
      </c>
      <c r="K86" s="84" t="n">
        <v>1.00880443333433</v>
      </c>
      <c r="L86" s="84" t="n">
        <v>14.8061560309899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6.9231</v>
      </c>
      <c r="F87" s="84" t="n">
        <v>0</v>
      </c>
      <c r="G87" s="84" t="n">
        <v>0</v>
      </c>
      <c r="H87" s="84" t="n">
        <v>0</v>
      </c>
      <c r="I87" s="84" t="n">
        <v>0.0192911339256699</v>
      </c>
      <c r="J87" s="84" t="n">
        <v>0</v>
      </c>
      <c r="K87" s="84" t="n">
        <v>0</v>
      </c>
      <c r="L87" s="84" t="n">
        <v>14.9256054590567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26.0558</v>
      </c>
      <c r="F88" s="84" t="n">
        <v>0</v>
      </c>
      <c r="G88" s="84" t="n">
        <v>0</v>
      </c>
      <c r="H88" s="84" t="n">
        <v>0</v>
      </c>
      <c r="I88" s="84" t="n">
        <v>0.0641850209690189</v>
      </c>
      <c r="J88" s="84" t="n">
        <v>0.150233604848746</v>
      </c>
      <c r="K88" s="84" t="n">
        <v>0.994901496215889</v>
      </c>
      <c r="L88" s="84" t="n">
        <v>20.7849086538702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28.4436</v>
      </c>
      <c r="F89" s="84" t="n">
        <v>21.7747</v>
      </c>
      <c r="G89" s="84" t="n">
        <v>15.4823</v>
      </c>
      <c r="H89" s="84" t="n">
        <v>13.8324</v>
      </c>
      <c r="I89" s="84" t="n">
        <v>0.08230594421578449</v>
      </c>
      <c r="J89" s="84" t="n">
        <v>0.0989842840815318</v>
      </c>
      <c r="K89" s="84" t="n">
        <v>0.97539092104236</v>
      </c>
      <c r="L89" s="84" t="n">
        <v>16.564115918506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16.5452</v>
      </c>
      <c r="F90" s="84" t="n">
        <v>20.7742</v>
      </c>
      <c r="G90" s="84" t="n">
        <v>13.8222</v>
      </c>
      <c r="H90" s="84" t="n">
        <v>0</v>
      </c>
      <c r="I90" s="84" t="n">
        <v>0.107648508897953</v>
      </c>
      <c r="J90" s="84" t="n">
        <v>0.0209908654446813</v>
      </c>
      <c r="K90" s="84" t="n">
        <v>0.904399148034515</v>
      </c>
      <c r="L90" s="84" t="n">
        <v>12.8064931669548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18.9988</v>
      </c>
      <c r="F91" s="84" t="n">
        <v>19.7093</v>
      </c>
      <c r="G91" s="84" t="n">
        <v>14.5004</v>
      </c>
      <c r="H91" s="84" t="n">
        <v>0</v>
      </c>
      <c r="I91" s="84" t="n">
        <v>0.079164890514</v>
      </c>
      <c r="J91" s="84" t="n">
        <v>0.515682966725138</v>
      </c>
      <c r="K91" s="84" t="n">
        <v>1.02613846349759</v>
      </c>
      <c r="L91" s="84" t="n">
        <v>14.9578273105491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6.0012</v>
      </c>
      <c r="F92" s="84" t="n">
        <v>12.0663</v>
      </c>
      <c r="G92" s="84" t="n">
        <v>8.65</v>
      </c>
      <c r="H92" s="84" t="n">
        <v>0</v>
      </c>
      <c r="I92" s="84" t="n">
        <v>0.0388949533385339</v>
      </c>
      <c r="J92" s="84" t="n">
        <v>-0.0816265575361933</v>
      </c>
      <c r="K92" s="84" t="n">
        <v>1.07506171289961</v>
      </c>
      <c r="L92" s="84" t="n">
        <v>15.8137567870674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3.2647</v>
      </c>
      <c r="F93" s="84" t="n">
        <v>0</v>
      </c>
      <c r="G93" s="84" t="n">
        <v>0</v>
      </c>
      <c r="H93" s="84" t="n">
        <v>0</v>
      </c>
      <c r="I93" s="84" t="n">
        <v>0.0111400795495666</v>
      </c>
      <c r="J93" s="84" t="n">
        <v>-0.126648974353251</v>
      </c>
      <c r="K93" s="84" t="n">
        <v>0.941493405976235</v>
      </c>
      <c r="L93" s="84" t="n">
        <v>11.965098292593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0.244</v>
      </c>
      <c r="F94" s="84" t="n">
        <v>0</v>
      </c>
      <c r="G94" s="84" t="n">
        <v>0</v>
      </c>
      <c r="H94" s="84" t="n">
        <v>0</v>
      </c>
      <c r="I94" s="84" t="n">
        <v>0.0104661520489381</v>
      </c>
      <c r="J94" s="84" t="n">
        <v>-0.583569268956226</v>
      </c>
      <c r="K94" s="84" t="n">
        <v>1.28828327946128</v>
      </c>
      <c r="L94" s="84" t="n">
        <v>22.4913278903416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9.048</v>
      </c>
      <c r="F95" s="84" t="n">
        <v>22.3893</v>
      </c>
      <c r="G95" s="84" t="n">
        <v>16.0429</v>
      </c>
      <c r="H95" s="84" t="n">
        <v>0</v>
      </c>
      <c r="I95" s="84" t="n">
        <v>0.113233542155526</v>
      </c>
      <c r="J95" s="84" t="n">
        <v>0.044158662649366</v>
      </c>
      <c r="K95" s="84" t="n">
        <v>0.963874087171613</v>
      </c>
      <c r="L95" s="84" t="n">
        <v>13.1678874539935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2.6012</v>
      </c>
      <c r="F96" s="84" t="n">
        <v>0</v>
      </c>
      <c r="G96" s="84" t="n">
        <v>0</v>
      </c>
      <c r="H96" s="84" t="n">
        <v>0</v>
      </c>
      <c r="I96" s="84" t="n">
        <v>-0.0101659267486057</v>
      </c>
      <c r="J96" s="84" t="n">
        <v>0.17935783671233</v>
      </c>
      <c r="K96" s="84" t="n">
        <v>0.812829658036276</v>
      </c>
      <c r="L96" s="84" t="n">
        <v>10.4369667793571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2.6747</v>
      </c>
      <c r="F97" s="84" t="n">
        <v>11.8578</v>
      </c>
      <c r="G97" s="84" t="n">
        <v>14.6304</v>
      </c>
      <c r="H97" s="84" t="n">
        <v>0</v>
      </c>
      <c r="I97" s="84" t="n">
        <v>0.0451449499361885</v>
      </c>
      <c r="J97" s="84" t="n">
        <v>-0.0273730649178889</v>
      </c>
      <c r="K97" s="84" t="n">
        <v>0.875142474261269</v>
      </c>
      <c r="L97" s="84" t="n">
        <v>13.538911335743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22.4403</v>
      </c>
      <c r="F98" s="84" t="n">
        <v>24.7031</v>
      </c>
      <c r="G98" s="84" t="n">
        <v>0</v>
      </c>
      <c r="H98" s="84" t="n">
        <v>0</v>
      </c>
      <c r="I98" s="84" t="n">
        <v>0.0824753292118915</v>
      </c>
      <c r="J98" s="84" t="n">
        <v>0.194304649245343</v>
      </c>
      <c r="K98" s="84" t="n">
        <v>0.936584169360564</v>
      </c>
      <c r="L98" s="84" t="n">
        <v>18.7218998064642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15.0177</v>
      </c>
      <c r="F99" s="84" t="n">
        <v>16.6225</v>
      </c>
      <c r="G99" s="84" t="n">
        <v>13.7496</v>
      </c>
      <c r="H99" s="84" t="n">
        <v>0</v>
      </c>
      <c r="I99" s="84" t="n">
        <v>0.0574314907895603</v>
      </c>
      <c r="J99" s="84" t="n">
        <v>-0.107564886853206</v>
      </c>
      <c r="K99" s="84" t="n">
        <v>1.06455649196583</v>
      </c>
      <c r="L99" s="84" t="n">
        <v>18.2606610613487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1.9802</v>
      </c>
      <c r="F100" s="84" t="n">
        <v>12.7935</v>
      </c>
      <c r="G100" s="84" t="n">
        <v>0</v>
      </c>
      <c r="H100" s="84" t="n">
        <v>0</v>
      </c>
      <c r="I100" s="84" t="n">
        <v>0.0507472549156876</v>
      </c>
      <c r="J100" s="84" t="n">
        <v>0.174430915787277</v>
      </c>
      <c r="K100" s="84" t="n">
        <v>0.839441870739288</v>
      </c>
      <c r="L100" s="84" t="n">
        <v>14.4213425794297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9.467499999999999</v>
      </c>
      <c r="F101" s="84" t="n">
        <v>22.5219</v>
      </c>
      <c r="G101" s="84" t="n">
        <v>0</v>
      </c>
      <c r="H101" s="84" t="n">
        <v>0</v>
      </c>
      <c r="I101" s="84" t="n">
        <v>0.08625772829923101</v>
      </c>
      <c r="J101" s="84" t="n">
        <v>0.0125983465912962</v>
      </c>
      <c r="K101" s="84" t="n">
        <v>0.816939786690931</v>
      </c>
      <c r="L101" s="84" t="n">
        <v>16.3717565885544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8.075799999999999</v>
      </c>
      <c r="F102" s="84" t="n">
        <v>0</v>
      </c>
      <c r="G102" s="84" t="n">
        <v>0</v>
      </c>
      <c r="H102" s="84" t="n">
        <v>0</v>
      </c>
      <c r="I102" s="84" t="n">
        <v>0.00644408777481164</v>
      </c>
      <c r="J102" s="84" t="n">
        <v>0.154469293614598</v>
      </c>
      <c r="K102" s="84" t="n">
        <v>0.706037121714011</v>
      </c>
      <c r="L102" s="84" t="n">
        <v>9.72447658231957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14.7598</v>
      </c>
      <c r="F103" s="84" t="n">
        <v>12.5479</v>
      </c>
      <c r="G103" s="84" t="n">
        <v>12.2564</v>
      </c>
      <c r="H103" s="84" t="n">
        <v>0</v>
      </c>
      <c r="I103" s="84" t="n">
        <v>0.0571961220546944</v>
      </c>
      <c r="J103" s="84" t="n">
        <v>0.0706905099163808</v>
      </c>
      <c r="K103" s="84" t="n">
        <v>0.748970456702857</v>
      </c>
      <c r="L103" s="84" t="n">
        <v>12.1589961527087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-0.5489000000000001</v>
      </c>
      <c r="F104" s="84" t="n">
        <v>12.6818</v>
      </c>
      <c r="G104" s="84" t="n">
        <v>10.0413</v>
      </c>
      <c r="H104" s="84" t="n">
        <v>0</v>
      </c>
      <c r="I104" s="84" t="n">
        <v>0.0485761220421458</v>
      </c>
      <c r="J104" s="84" t="n">
        <v>0.0701196108727415</v>
      </c>
      <c r="K104" s="84" t="n">
        <v>0.968382558582674</v>
      </c>
      <c r="L104" s="84" t="n">
        <v>14.3627617242154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1.7164</v>
      </c>
      <c r="F105" s="84" t="n">
        <v>0</v>
      </c>
      <c r="G105" s="84" t="n">
        <v>0</v>
      </c>
      <c r="H105" s="84" t="n">
        <v>0</v>
      </c>
      <c r="I105" s="84" t="n">
        <v>0.0308295628624029</v>
      </c>
      <c r="J105" s="84" t="n">
        <v>-0.134869032715855</v>
      </c>
      <c r="K105" s="84" t="n">
        <v>0.962429875938176</v>
      </c>
      <c r="L105" s="84" t="n">
        <v>11.7251607402896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4.3323</v>
      </c>
      <c r="F106" s="84" t="n">
        <v>12.8457</v>
      </c>
      <c r="G106" s="84" t="n">
        <v>11.2402</v>
      </c>
      <c r="H106" s="84" t="n">
        <v>0</v>
      </c>
      <c r="I106" s="84" t="n">
        <v>0.0561123094589117</v>
      </c>
      <c r="J106" s="84" t="n">
        <v>0.17019949715143</v>
      </c>
      <c r="K106" s="84" t="n">
        <v>0.857094637771887</v>
      </c>
      <c r="L106" s="84" t="n">
        <v>12.0478947077498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11.0664</v>
      </c>
      <c r="F107" s="84" t="n">
        <v>0</v>
      </c>
      <c r="G107" s="84" t="n">
        <v>0</v>
      </c>
      <c r="H107" s="84" t="n">
        <v>0</v>
      </c>
      <c r="I107" s="84" t="n">
        <v>0.0500790598780464</v>
      </c>
      <c r="J107" s="84" t="n">
        <v>0.446664061378185</v>
      </c>
      <c r="K107" s="84" t="n">
        <v>0.802196684476466</v>
      </c>
      <c r="L107" s="84" t="n">
        <v>9.33803997570174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8.266299999999999</v>
      </c>
      <c r="F108" s="84" t="n">
        <v>12.825</v>
      </c>
      <c r="G108" s="84" t="n">
        <v>11.8926</v>
      </c>
      <c r="H108" s="84" t="n">
        <v>0</v>
      </c>
      <c r="I108" s="84" t="n">
        <v>0.0406757539958987</v>
      </c>
      <c r="J108" s="84" t="n">
        <v>0.172831558475253</v>
      </c>
      <c r="K108" s="84" t="n">
        <v>0.975483698649625</v>
      </c>
      <c r="L108" s="84" t="n">
        <v>15.5990570491538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5.039</v>
      </c>
      <c r="F109" s="84" t="n">
        <v>11.4725</v>
      </c>
      <c r="G109" s="84" t="n">
        <v>0</v>
      </c>
      <c r="H109" s="84" t="n">
        <v>0</v>
      </c>
      <c r="I109" s="84" t="n">
        <v>0.0377175399389158</v>
      </c>
      <c r="J109" s="84" t="n">
        <v>-0.118006374809618</v>
      </c>
      <c r="K109" s="84" t="n">
        <v>0.9897986597107939</v>
      </c>
      <c r="L109" s="84" t="n">
        <v>14.7137819117116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23.5654</v>
      </c>
      <c r="F110" s="84" t="n">
        <v>0</v>
      </c>
      <c r="G110" s="84" t="n">
        <v>0</v>
      </c>
      <c r="H110" s="84" t="n">
        <v>0</v>
      </c>
      <c r="I110" s="84" t="n">
        <v>0.149521304916129</v>
      </c>
      <c r="J110" s="84" t="n">
        <v>0.5909719818411761</v>
      </c>
      <c r="K110" s="84" t="n">
        <v>0.89958645143968</v>
      </c>
      <c r="L110" s="84" t="n">
        <v>12.5075246169342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-6.6258</v>
      </c>
      <c r="F111" s="84" t="n">
        <v>0</v>
      </c>
      <c r="G111" s="84" t="n">
        <v>0</v>
      </c>
      <c r="H111" s="84" t="n">
        <v>0</v>
      </c>
      <c r="I111" s="84" t="n">
        <v>0.0135128373988483</v>
      </c>
      <c r="J111" s="84" t="n">
        <v>0.220730587981157</v>
      </c>
      <c r="K111" s="84" t="n">
        <v>1.00150772189387</v>
      </c>
      <c r="L111" s="84" t="n">
        <v>21.1994106612056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22.0294</v>
      </c>
      <c r="F112" s="84" t="n">
        <v>0</v>
      </c>
      <c r="G112" s="84" t="n">
        <v>0</v>
      </c>
      <c r="H112" s="84" t="n">
        <v>0</v>
      </c>
      <c r="I112" s="84" t="n">
        <v>0.08408665509758929</v>
      </c>
      <c r="J112" s="84" t="n">
        <v>0.337358650847871</v>
      </c>
      <c r="K112" s="84" t="n">
        <v>0.943720126557186</v>
      </c>
      <c r="L112" s="84" t="n">
        <v>19.6968091869013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-1.5131</v>
      </c>
      <c r="F113" s="84" t="n">
        <v>11.4433</v>
      </c>
      <c r="G113" s="84" t="n">
        <v>11.8432</v>
      </c>
      <c r="H113" s="84" t="n">
        <v>0</v>
      </c>
      <c r="I113" s="84" t="n">
        <v>0.0388181952968308</v>
      </c>
      <c r="J113" s="84" t="n">
        <v>-0.0581954431491595</v>
      </c>
      <c r="K113" s="84" t="n">
        <v>1.00613435970461</v>
      </c>
      <c r="L113" s="84" t="n">
        <v>17.5812587511676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8.7437</v>
      </c>
      <c r="F115" s="84" t="n">
        <v>8.125999999999999</v>
      </c>
      <c r="G115" s="84" t="n">
        <v>0</v>
      </c>
      <c r="H115" s="84" t="n">
        <v>0</v>
      </c>
      <c r="I115" s="84" t="n">
        <v>0.0219242263304844</v>
      </c>
      <c r="J115" s="84" t="n">
        <v>-0.568664510185534</v>
      </c>
      <c r="K115" s="84" t="n">
        <v>0.971253636935702</v>
      </c>
      <c r="L115" s="84" t="n">
        <v>14.7802532320096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18.7097</v>
      </c>
      <c r="F116" s="84" t="n">
        <v>0</v>
      </c>
      <c r="G116" s="84" t="n">
        <v>0</v>
      </c>
      <c r="H116" s="84" t="n">
        <v>0</v>
      </c>
      <c r="I116" s="84" t="n">
        <v>0.07821182233647769</v>
      </c>
      <c r="J116" s="84" t="n">
        <v>1.0361377738619</v>
      </c>
      <c r="K116" s="84" t="n">
        <v>1.10076157102496</v>
      </c>
      <c r="L116" s="84" t="n">
        <v>13.6158569566631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38.2067</v>
      </c>
      <c r="F117" s="84" t="n">
        <v>0</v>
      </c>
      <c r="G117" s="84" t="n">
        <v>0</v>
      </c>
      <c r="H117" s="84" t="n">
        <v>0</v>
      </c>
      <c r="I117" s="84" t="n">
        <v>0.035745197396179</v>
      </c>
      <c r="J117" s="84" t="n">
        <v>0.357649339651795</v>
      </c>
      <c r="K117" s="84" t="n">
        <v>0.887969840658769</v>
      </c>
      <c r="L117" s="84" t="n">
        <v>20.2440892112256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6.5301</v>
      </c>
      <c r="F118" s="84" t="n">
        <v>0</v>
      </c>
      <c r="G118" s="84" t="n">
        <v>0</v>
      </c>
      <c r="H118" s="84" t="n">
        <v>0</v>
      </c>
      <c r="I118" s="84" t="n">
        <v>-0.0108194136714903</v>
      </c>
      <c r="J118" s="84" t="n">
        <v>-0.329754520459246</v>
      </c>
      <c r="K118" s="84" t="n">
        <v>0.961693250056367</v>
      </c>
      <c r="L118" s="84" t="n">
        <v>12.2242066577561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2.7648</v>
      </c>
      <c r="F119" s="84" t="n">
        <v>8.9671</v>
      </c>
      <c r="G119" s="84" t="n">
        <v>10.1814</v>
      </c>
      <c r="H119" s="84" t="n">
        <v>0</v>
      </c>
      <c r="I119" s="84" t="n">
        <v>0.0315785511024163</v>
      </c>
      <c r="J119" s="84" t="n">
        <v>0.0985754714223515</v>
      </c>
      <c r="K119" s="84" t="n">
        <v>0.749116063711602</v>
      </c>
      <c r="L119" s="84" t="n">
        <v>11.240168050094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7.3851</v>
      </c>
      <c r="F120" s="84" t="n">
        <v>0</v>
      </c>
      <c r="G120" s="84" t="n">
        <v>0</v>
      </c>
      <c r="H120" s="84" t="n">
        <v>0</v>
      </c>
      <c r="I120" s="84" t="n">
        <v>0.050470005367563</v>
      </c>
      <c r="J120" s="84" t="n">
        <v>0.212603042934477</v>
      </c>
      <c r="K120" s="84" t="n">
        <v>1.04521703968169</v>
      </c>
      <c r="L120" s="84" t="n">
        <v>16.2840266291579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0.7817</v>
      </c>
      <c r="F121" s="84" t="n">
        <v>11.1736</v>
      </c>
      <c r="G121" s="84" t="n">
        <v>13.6879</v>
      </c>
      <c r="H121" s="84" t="n">
        <v>12.8305</v>
      </c>
      <c r="I121" s="84" t="n">
        <v>0.0396950141297718</v>
      </c>
      <c r="J121" s="84" t="n">
        <v>-0.112846612627084</v>
      </c>
      <c r="K121" s="84" t="n">
        <v>0.97225032599927</v>
      </c>
      <c r="L121" s="84" t="n">
        <v>15.0295696534006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18.6359</v>
      </c>
      <c r="F122" s="84" t="n">
        <v>18.1722</v>
      </c>
      <c r="G122" s="84" t="n">
        <v>11.1704</v>
      </c>
      <c r="H122" s="84" t="n">
        <v>15.0073</v>
      </c>
      <c r="I122" s="84" t="n">
        <v>0.0799456666554928</v>
      </c>
      <c r="J122" s="84" t="n">
        <v>0</v>
      </c>
      <c r="K122" s="84" t="n">
        <v>0</v>
      </c>
      <c r="L122" s="84" t="n">
        <v>12.5086467990754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143.159</v>
      </c>
      <c r="F123" s="84" t="n">
        <v>60.3582</v>
      </c>
      <c r="G123" s="84" t="n">
        <v>0</v>
      </c>
      <c r="H123" s="84" t="n">
        <v>0</v>
      </c>
      <c r="I123" s="84" t="n">
        <v>0.108446296335111</v>
      </c>
      <c r="J123" s="84" t="n">
        <v>0.598320651909059</v>
      </c>
      <c r="K123" s="84" t="n">
        <v>1.31412366848492</v>
      </c>
      <c r="L123" s="84" t="n">
        <v>32.0067606748127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16.0687</v>
      </c>
      <c r="F125" s="84" t="n">
        <v>0</v>
      </c>
      <c r="G125" s="84" t="n">
        <v>0</v>
      </c>
      <c r="H125" s="84" t="n">
        <v>0</v>
      </c>
      <c r="I125" s="84" t="n">
        <v>0.111554287460112</v>
      </c>
      <c r="J125" s="84" t="n">
        <v>0.660599479463083</v>
      </c>
      <c r="K125" s="84" t="n">
        <v>0.932046247728191</v>
      </c>
      <c r="L125" s="84" t="n">
        <v>11.267454586681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6.9365</v>
      </c>
      <c r="F126" s="84" t="n">
        <v>15.7882</v>
      </c>
      <c r="G126" s="84" t="n">
        <v>14.1721</v>
      </c>
      <c r="H126" s="84" t="n">
        <v>13.9146</v>
      </c>
      <c r="I126" s="84" t="n">
        <v>0.0622740462181197</v>
      </c>
      <c r="J126" s="84" t="n">
        <v>0.27961809154015</v>
      </c>
      <c r="K126" s="84" t="n">
        <v>0.9954049919714461</v>
      </c>
      <c r="L126" s="84" t="n">
        <v>13.9236348963389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12.5356</v>
      </c>
      <c r="F127" s="84" t="n">
        <v>19.9498</v>
      </c>
      <c r="G127" s="84" t="n">
        <v>15.3968</v>
      </c>
      <c r="H127" s="84" t="n">
        <v>0</v>
      </c>
      <c r="I127" s="84" t="n">
        <v>0.07777458011798501</v>
      </c>
      <c r="J127" s="84" t="n">
        <v>0.507542885221814</v>
      </c>
      <c r="K127" s="84" t="n">
        <v>0.964629616752093</v>
      </c>
      <c r="L127" s="84" t="n">
        <v>14.8169658781981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8.798500000000001</v>
      </c>
      <c r="F128" s="84" t="n">
        <v>16.2241</v>
      </c>
      <c r="G128" s="84" t="n">
        <v>0</v>
      </c>
      <c r="H128" s="84" t="n">
        <v>0</v>
      </c>
      <c r="I128" s="84" t="n">
        <v>0.0603088135641108</v>
      </c>
      <c r="J128" s="84" t="n">
        <v>0.228613793623452</v>
      </c>
      <c r="K128" s="84" t="n">
        <v>0.993667155662847</v>
      </c>
      <c r="L128" s="84" t="n">
        <v>14.9931328620778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21.8135</v>
      </c>
      <c r="F129" s="84" t="n">
        <v>19.7141</v>
      </c>
      <c r="G129" s="84" t="n">
        <v>0</v>
      </c>
      <c r="H129" s="84" t="n">
        <v>0</v>
      </c>
      <c r="I129" s="84" t="n">
        <v>0.0828813876046922</v>
      </c>
      <c r="J129" s="84" t="n">
        <v>0.0619187808188382</v>
      </c>
      <c r="K129" s="84" t="n">
        <v>0.908098382721058</v>
      </c>
      <c r="L129" s="84" t="n">
        <v>14.9494650173184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26.6226</v>
      </c>
      <c r="F130" s="84" t="n">
        <v>0</v>
      </c>
      <c r="G130" s="84" t="n">
        <v>0</v>
      </c>
      <c r="H130" s="84" t="n">
        <v>0</v>
      </c>
      <c r="I130" s="84" t="n">
        <v>0.0549450308593786</v>
      </c>
      <c r="J130" s="84" t="n">
        <v>0.150670302356735</v>
      </c>
      <c r="K130" s="84" t="n">
        <v>0.996494528970283</v>
      </c>
      <c r="L130" s="84" t="n">
        <v>14.2413771662926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21.5124</v>
      </c>
      <c r="F131" s="84" t="n">
        <v>0</v>
      </c>
      <c r="G131" s="84" t="n">
        <v>0</v>
      </c>
      <c r="H131" s="84" t="n">
        <v>0</v>
      </c>
      <c r="I131" s="84" t="n">
        <v>0.00842686743654263</v>
      </c>
      <c r="J131" s="84" t="n">
        <v>0.338423619673689</v>
      </c>
      <c r="K131" s="84" t="n">
        <v>1.07412334701082</v>
      </c>
      <c r="L131" s="84" t="n">
        <v>17.2421726478514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4.992</v>
      </c>
      <c r="F132" s="84" t="n">
        <v>0</v>
      </c>
      <c r="G132" s="84" t="n">
        <v>0</v>
      </c>
      <c r="H132" s="84" t="n">
        <v>0</v>
      </c>
      <c r="I132" s="84" t="n">
        <v>0.0444202886914434</v>
      </c>
      <c r="J132" s="84" t="n">
        <v>0.130791202362741</v>
      </c>
      <c r="K132" s="84" t="n">
        <v>0.9851322263435141</v>
      </c>
      <c r="L132" s="84" t="n">
        <v>16.1951241424254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8.555899999999999</v>
      </c>
      <c r="F133" s="84" t="n">
        <v>13.2159</v>
      </c>
      <c r="G133" s="84" t="n">
        <v>0</v>
      </c>
      <c r="H133" s="84" t="n">
        <v>0</v>
      </c>
      <c r="I133" s="84" t="n">
        <v>0.0426979513728718</v>
      </c>
      <c r="J133" s="84" t="n">
        <v>0.181821992859476</v>
      </c>
      <c r="K133" s="84" t="n">
        <v>0.947995817314178</v>
      </c>
      <c r="L133" s="84" t="n">
        <v>14.7661538733354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2.0207</v>
      </c>
      <c r="F134" s="84" t="n">
        <v>10.0482</v>
      </c>
      <c r="G134" s="84" t="n">
        <v>7.5464</v>
      </c>
      <c r="H134" s="84" t="n">
        <v>0</v>
      </c>
      <c r="I134" s="84" t="n">
        <v>0.0319805310009108</v>
      </c>
      <c r="J134" s="84" t="n">
        <v>-0.178155829513305</v>
      </c>
      <c r="K134" s="84" t="n">
        <v>0.984139209576481</v>
      </c>
      <c r="L134" s="84" t="n">
        <v>14.3719640883778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7.4628</v>
      </c>
      <c r="F135" s="84" t="n">
        <v>15.6711</v>
      </c>
      <c r="G135" s="84" t="n">
        <v>0</v>
      </c>
      <c r="H135" s="84" t="n">
        <v>0</v>
      </c>
      <c r="I135" s="84" t="n">
        <v>0.0552436903124991</v>
      </c>
      <c r="J135" s="84" t="n">
        <v>0.254432175953639</v>
      </c>
      <c r="K135" s="84" t="n">
        <v>1.02190275733577</v>
      </c>
      <c r="L135" s="84" t="n">
        <v>15.9643876955422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-5.112</v>
      </c>
      <c r="F136" s="84" t="n">
        <v>0</v>
      </c>
      <c r="G136" s="84" t="n">
        <v>0</v>
      </c>
      <c r="H136" s="84" t="n">
        <v>0</v>
      </c>
      <c r="I136" s="84" t="n">
        <v>-0.00377395690880795</v>
      </c>
      <c r="J136" s="84" t="n">
        <v>0.425523248729788</v>
      </c>
      <c r="K136" s="84" t="n">
        <v>0.991697449290051</v>
      </c>
      <c r="L136" s="84" t="n">
        <v>21.3859919452459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21.8047</v>
      </c>
      <c r="F137" s="84" t="n">
        <v>0</v>
      </c>
      <c r="G137" s="84" t="n">
        <v>0</v>
      </c>
      <c r="H137" s="84" t="n">
        <v>0</v>
      </c>
      <c r="I137" s="84" t="n">
        <v>0.089386781709185</v>
      </c>
      <c r="J137" s="84" t="n">
        <v>0.07458442839339301</v>
      </c>
      <c r="K137" s="84" t="n">
        <v>0.984767465711456</v>
      </c>
      <c r="L137" s="84" t="n">
        <v>13.7757102060639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5"/>
    <col width="8.7109375" customWidth="1" style="42" min="36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07" t="inlineStr">
        <is>
          <t>Equity Large Cap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366" t="n"/>
    </row>
    <row r="4" ht="15" customHeight="1" thickBot="1">
      <c r="B4" s="147" t="n"/>
      <c r="C4" s="148" t="n"/>
      <c r="D4" s="190" t="n"/>
      <c r="E4" s="410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11" t="n"/>
      <c r="P4" s="405" t="inlineStr">
        <is>
          <t>Normalized</t>
        </is>
      </c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8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09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5"/>
    <col width="8.7109375" customWidth="1" style="42" min="36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15" t="inlineStr">
        <is>
          <t>Equity Large &amp; Mid Cap</t>
        </is>
      </c>
      <c r="C4" s="381" t="n"/>
      <c r="D4" s="381" t="n"/>
      <c r="E4" s="381" t="n"/>
      <c r="F4" s="381" t="n"/>
      <c r="G4" s="381" t="n"/>
      <c r="H4" s="381" t="n"/>
      <c r="I4" s="381" t="n"/>
      <c r="J4" s="381" t="n"/>
      <c r="K4" s="381" t="n"/>
      <c r="L4" s="381" t="n"/>
      <c r="M4" s="381" t="n"/>
      <c r="N4" s="381" t="n"/>
      <c r="O4" s="381" t="n"/>
      <c r="P4" s="381" t="n"/>
      <c r="Q4" s="381" t="n"/>
      <c r="R4" s="381" t="n"/>
      <c r="S4" s="381" t="n"/>
      <c r="T4" s="381" t="n"/>
      <c r="U4" s="381" t="n"/>
      <c r="V4" s="381" t="n"/>
      <c r="W4" s="381" t="n"/>
      <c r="X4" s="381" t="n"/>
      <c r="Y4" s="381" t="n"/>
      <c r="Z4" s="303" t="n"/>
    </row>
    <row r="5" ht="15" customHeight="1" thickBot="1">
      <c r="B5" s="153" t="n"/>
      <c r="C5" s="154" t="n"/>
      <c r="D5" s="154" t="n"/>
      <c r="E5" s="417" t="inlineStr">
        <is>
          <t>Actuals</t>
        </is>
      </c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9" t="n"/>
      <c r="P5" s="412" t="inlineStr">
        <is>
          <t>Normalized</t>
        </is>
      </c>
      <c r="Q5" s="413" t="n"/>
      <c r="R5" s="413" t="n"/>
      <c r="S5" s="413" t="n"/>
      <c r="T5" s="413" t="n"/>
      <c r="U5" s="413" t="n"/>
      <c r="V5" s="413" t="n"/>
      <c r="W5" s="413" t="n"/>
      <c r="X5" s="413" t="n"/>
      <c r="Y5" s="414" t="n"/>
      <c r="Z5" s="416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9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49"/>
    <col width="8.7109375" customWidth="1" style="42" min="50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07" t="inlineStr">
        <is>
          <t>Ultra Short Duration Fund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04" t="n"/>
      <c r="P4" s="404" t="n"/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4" t="n"/>
      <c r="AA4" s="404" t="n"/>
      <c r="AB4" s="404" t="n"/>
      <c r="AC4" s="404" t="n"/>
      <c r="AD4" s="404" t="n"/>
      <c r="AE4" s="404" t="n"/>
      <c r="AF4" s="404" t="n"/>
      <c r="AG4" s="404" t="n"/>
      <c r="AH4" s="404" t="n"/>
      <c r="AI4" s="404" t="n"/>
      <c r="AJ4" s="404" t="n"/>
      <c r="AK4" s="404" t="n"/>
      <c r="AL4" s="404" t="n"/>
      <c r="AM4" s="404" t="n"/>
      <c r="AN4" s="366" t="n"/>
    </row>
    <row r="5" ht="15" customHeight="1" thickBot="1">
      <c r="B5" s="262" t="n"/>
      <c r="C5" s="189" t="n"/>
      <c r="D5" s="189" t="n"/>
      <c r="E5" s="189" t="n"/>
      <c r="F5" s="422" t="n"/>
      <c r="G5" s="423" t="n"/>
      <c r="H5" s="423" t="n"/>
      <c r="I5" s="423" t="n"/>
      <c r="J5" s="423" t="n"/>
      <c r="K5" s="423" t="n"/>
      <c r="L5" s="423" t="n"/>
      <c r="M5" s="423" t="n"/>
      <c r="N5" s="423" t="n"/>
      <c r="O5" s="423" t="n"/>
      <c r="P5" s="423" t="n"/>
      <c r="Q5" s="423" t="n"/>
      <c r="R5" s="423" t="n"/>
      <c r="S5" s="423" t="n"/>
      <c r="T5" s="423" t="n"/>
      <c r="U5" s="423" t="n"/>
      <c r="V5" s="424" t="n"/>
      <c r="W5" s="422" t="n"/>
      <c r="X5" s="423" t="n"/>
      <c r="Y5" s="423" t="n"/>
      <c r="Z5" s="423" t="n"/>
      <c r="AA5" s="423" t="n"/>
      <c r="AB5" s="423" t="n"/>
      <c r="AC5" s="423" t="n"/>
      <c r="AD5" s="423" t="n"/>
      <c r="AE5" s="423" t="n"/>
      <c r="AF5" s="423" t="n"/>
      <c r="AG5" s="423" t="n"/>
      <c r="AH5" s="423" t="n"/>
      <c r="AI5" s="423" t="n"/>
      <c r="AJ5" s="423" t="n"/>
      <c r="AK5" s="423" t="n"/>
      <c r="AL5" s="423" t="n"/>
      <c r="AM5" s="424" t="n"/>
      <c r="AN5" s="420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21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7.45</v>
      </c>
      <c r="G7" s="248" t="n">
        <v>0.49</v>
      </c>
      <c r="H7" s="249" t="n">
        <v>0.51</v>
      </c>
      <c r="I7" s="249" t="n">
        <v>7.08</v>
      </c>
      <c r="J7" s="249" t="n">
        <v>6.72</v>
      </c>
      <c r="K7" s="249" t="n">
        <v>6.24</v>
      </c>
      <c r="L7" s="249" t="n">
        <v>6.32</v>
      </c>
      <c r="M7" s="249" t="n">
        <v>7.19</v>
      </c>
      <c r="N7" s="249" t="n">
        <v>7.26</v>
      </c>
      <c r="O7" s="249" t="n">
        <v>6.48</v>
      </c>
      <c r="P7" s="249" t="n">
        <v>6.85</v>
      </c>
      <c r="Q7" s="84" t="n">
        <v>12.49</v>
      </c>
      <c r="R7" s="84" t="n">
        <v>53.98</v>
      </c>
      <c r="S7" s="84" t="n">
        <v>23.41</v>
      </c>
      <c r="T7" s="84" t="n">
        <v>9.68</v>
      </c>
      <c r="U7" s="84" t="n">
        <v>0</v>
      </c>
      <c r="V7" s="84" t="n">
        <v>0.44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7.2</v>
      </c>
      <c r="G8" s="248" t="n">
        <v>0.45</v>
      </c>
      <c r="H8" s="249" t="n">
        <v>0.49</v>
      </c>
      <c r="I8" s="249" t="n">
        <v>6.62</v>
      </c>
      <c r="J8" s="249" t="n">
        <v>6.42</v>
      </c>
      <c r="K8" s="249" t="n">
        <v>5.94</v>
      </c>
      <c r="L8" s="249" t="n">
        <v>5.99</v>
      </c>
      <c r="M8" s="249" t="n">
        <v>6.73</v>
      </c>
      <c r="N8" s="249" t="n">
        <v>6.89</v>
      </c>
      <c r="O8" s="249" t="n">
        <v>6.15</v>
      </c>
      <c r="P8" s="249" t="n">
        <v>0</v>
      </c>
      <c r="Q8" s="84" t="n">
        <v>8.31</v>
      </c>
      <c r="R8" s="84" t="n">
        <v>74.69</v>
      </c>
      <c r="S8" s="84" t="n">
        <v>5.08</v>
      </c>
      <c r="T8" s="84" t="n">
        <v>8.57</v>
      </c>
      <c r="U8" s="84" t="n">
        <v>0</v>
      </c>
      <c r="V8" s="84" t="n">
        <v>3.35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7.17</v>
      </c>
      <c r="G10" s="248" t="n">
        <v>0.44</v>
      </c>
      <c r="H10" s="249" t="n">
        <v>0.47</v>
      </c>
      <c r="I10" s="249" t="n">
        <v>6.92</v>
      </c>
      <c r="J10" s="249" t="n">
        <v>6.68</v>
      </c>
      <c r="K10" s="249" t="n">
        <v>6.22</v>
      </c>
      <c r="L10" s="249" t="n">
        <v>6.24</v>
      </c>
      <c r="M10" s="249" t="n">
        <v>6.9</v>
      </c>
      <c r="N10" s="249" t="n">
        <v>7</v>
      </c>
      <c r="O10" s="249" t="n">
        <v>6.26</v>
      </c>
      <c r="P10" s="249" t="n">
        <v>6.7</v>
      </c>
      <c r="Q10" s="84" t="n">
        <v>8.57</v>
      </c>
      <c r="R10" s="84" t="n">
        <v>67.94</v>
      </c>
      <c r="S10" s="84" t="n">
        <v>10.98</v>
      </c>
      <c r="T10" s="84" t="n">
        <v>7.92</v>
      </c>
      <c r="U10" s="84" t="n">
        <v>-26.53</v>
      </c>
      <c r="V10" s="84" t="n">
        <v>4.59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7.25</v>
      </c>
      <c r="G11" s="248" t="n">
        <v>0.39</v>
      </c>
      <c r="H11" s="249" t="n">
        <v>0.4</v>
      </c>
      <c r="I11" s="249" t="n">
        <v>6.46</v>
      </c>
      <c r="J11" s="249" t="n">
        <v>6.35</v>
      </c>
      <c r="K11" s="249" t="n">
        <v>6</v>
      </c>
      <c r="L11" s="249" t="n">
        <v>5.97</v>
      </c>
      <c r="M11" s="249" t="n">
        <v>6.64</v>
      </c>
      <c r="N11" s="249" t="n">
        <v>6.75</v>
      </c>
      <c r="O11" s="249" t="n">
        <v>6.04</v>
      </c>
      <c r="P11" s="249" t="n">
        <v>6.29</v>
      </c>
      <c r="Q11" s="84" t="n">
        <v>12.19</v>
      </c>
      <c r="R11" s="84" t="n">
        <v>65.83</v>
      </c>
      <c r="S11" s="84" t="n">
        <v>11.43</v>
      </c>
      <c r="T11" s="84" t="n">
        <v>6</v>
      </c>
      <c r="U11" s="84" t="n">
        <v>0</v>
      </c>
      <c r="V11" s="84" t="n">
        <v>4.54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7.31</v>
      </c>
      <c r="G12" s="248" t="n">
        <v>0.47</v>
      </c>
      <c r="H12" s="249" t="n">
        <v>0.5</v>
      </c>
      <c r="I12" s="249" t="n">
        <v>6.8</v>
      </c>
      <c r="J12" s="249" t="n">
        <v>6.63</v>
      </c>
      <c r="K12" s="249" t="n">
        <v>6.21</v>
      </c>
      <c r="L12" s="249" t="n">
        <v>6.15</v>
      </c>
      <c r="M12" s="249" t="n">
        <v>6.72</v>
      </c>
      <c r="N12" s="249" t="n">
        <v>6.8</v>
      </c>
      <c r="O12" s="249" t="n">
        <v>6.12</v>
      </c>
      <c r="P12" s="249" t="n">
        <v>5.8</v>
      </c>
      <c r="Q12" s="84" t="n">
        <v>6.95</v>
      </c>
      <c r="R12" s="84" t="n">
        <v>56.01</v>
      </c>
      <c r="S12" s="84" t="n">
        <v>7.67</v>
      </c>
      <c r="T12" s="84" t="n">
        <v>22.83</v>
      </c>
      <c r="U12" s="84" t="n">
        <v>0.02</v>
      </c>
      <c r="V12" s="84" t="n">
        <v>6.53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7.13</v>
      </c>
      <c r="G13" s="251" t="n">
        <v>0.47</v>
      </c>
      <c r="H13" s="250" t="n">
        <v>0.49</v>
      </c>
      <c r="I13" s="250" t="n">
        <v>6.7</v>
      </c>
      <c r="J13" s="250" t="n">
        <v>6.35</v>
      </c>
      <c r="K13" s="250" t="n">
        <v>5.95</v>
      </c>
      <c r="L13" s="250" t="n">
        <v>5.9</v>
      </c>
      <c r="M13" s="250" t="n">
        <v>6.57</v>
      </c>
      <c r="N13" s="250" t="n">
        <v>6.7</v>
      </c>
      <c r="O13" s="250" t="n">
        <v>6.51</v>
      </c>
      <c r="P13" s="250" t="n">
        <v>6</v>
      </c>
      <c r="Q13" s="92" t="n">
        <v>8.619999999999999</v>
      </c>
      <c r="R13" s="92" t="n">
        <v>60.19</v>
      </c>
      <c r="S13" s="92" t="n">
        <v>14.1</v>
      </c>
      <c r="T13" s="92" t="n">
        <v>11.75</v>
      </c>
      <c r="U13" s="92" t="n">
        <v>0</v>
      </c>
      <c r="V13" s="92" t="n">
        <v>5.33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07" t="inlineStr">
        <is>
          <t>Low Duration Fund</t>
        </is>
      </c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366" t="n"/>
    </row>
    <row r="17" ht="15" customHeight="1" thickBot="1">
      <c r="B17" s="262" t="n"/>
      <c r="C17" s="189" t="n"/>
      <c r="D17" s="189" t="n"/>
      <c r="E17" s="189" t="n"/>
      <c r="F17" s="422" t="n"/>
      <c r="G17" s="423" t="n"/>
      <c r="H17" s="423" t="n"/>
      <c r="I17" s="423" t="n"/>
      <c r="J17" s="423" t="n"/>
      <c r="K17" s="423" t="n"/>
      <c r="L17" s="423" t="n"/>
      <c r="M17" s="423" t="n"/>
      <c r="N17" s="423" t="n"/>
      <c r="O17" s="423" t="n"/>
      <c r="P17" s="423" t="n"/>
      <c r="Q17" s="423" t="n"/>
      <c r="R17" s="423" t="n"/>
      <c r="S17" s="423" t="n"/>
      <c r="T17" s="423" t="n"/>
      <c r="U17" s="423" t="n"/>
      <c r="V17" s="424" t="n"/>
      <c r="W17" s="422" t="n"/>
      <c r="X17" s="423" t="n"/>
      <c r="Y17" s="423" t="n"/>
      <c r="Z17" s="423" t="n"/>
      <c r="AA17" s="423" t="n"/>
      <c r="AB17" s="423" t="n"/>
      <c r="AC17" s="423" t="n"/>
      <c r="AD17" s="423" t="n"/>
      <c r="AE17" s="423" t="n"/>
      <c r="AF17" s="423" t="n"/>
      <c r="AG17" s="423" t="n"/>
      <c r="AH17" s="423" t="n"/>
      <c r="AI17" s="423" t="n"/>
      <c r="AJ17" s="423" t="n"/>
      <c r="AK17" s="423" t="n"/>
      <c r="AL17" s="423" t="n"/>
      <c r="AM17" s="424" t="n"/>
      <c r="AN17" s="420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21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7.26</v>
      </c>
      <c r="G19" s="248" t="n">
        <v>0.95</v>
      </c>
      <c r="H19" s="249" t="n">
        <v>1.01</v>
      </c>
      <c r="I19" s="248" t="n">
        <v>7.5</v>
      </c>
      <c r="J19" s="248" t="n">
        <v>6.75</v>
      </c>
      <c r="K19" s="248" t="n">
        <v>6.3</v>
      </c>
      <c r="L19" s="248" t="n">
        <v>6.37</v>
      </c>
      <c r="M19" s="248" t="n">
        <v>7.28</v>
      </c>
      <c r="N19" s="248" t="n">
        <v>7.43</v>
      </c>
      <c r="O19" s="248" t="n">
        <v>6.58</v>
      </c>
      <c r="P19" s="248" t="n">
        <v>7.04</v>
      </c>
      <c r="Q19" s="248" t="n">
        <v>11.32</v>
      </c>
      <c r="R19" s="248" t="n">
        <v>68.73999999999999</v>
      </c>
      <c r="S19" s="248" t="n">
        <v>8.470000000000001</v>
      </c>
      <c r="T19" s="248" t="n">
        <v>6.69</v>
      </c>
      <c r="U19" s="248" t="n">
        <v>-7.82</v>
      </c>
      <c r="V19" s="248" t="n">
        <v>4.78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7.43</v>
      </c>
      <c r="G20" s="248" t="n">
        <v>0.89</v>
      </c>
      <c r="H20" s="249" t="n">
        <v>0.99</v>
      </c>
      <c r="I20" s="248" t="n">
        <v>6.77</v>
      </c>
      <c r="J20" s="248" t="n">
        <v>6.19</v>
      </c>
      <c r="K20" s="248" t="n">
        <v>5.64</v>
      </c>
      <c r="L20" s="248" t="n">
        <v>5.74</v>
      </c>
      <c r="M20" s="248" t="n">
        <v>6.75</v>
      </c>
      <c r="N20" s="248" t="n">
        <v>6.89</v>
      </c>
      <c r="O20" s="248" t="n">
        <v>6.11</v>
      </c>
      <c r="P20" s="248" t="n">
        <v>6.52</v>
      </c>
      <c r="Q20" s="248" t="n">
        <v>10.94</v>
      </c>
      <c r="R20" s="248" t="n">
        <v>72.56</v>
      </c>
      <c r="S20" s="248" t="n">
        <v>2.18</v>
      </c>
      <c r="T20" s="248" t="n">
        <v>11.33</v>
      </c>
      <c r="U20" s="248" t="n">
        <v>0</v>
      </c>
      <c r="V20" s="248" t="n">
        <v>2.98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7.45</v>
      </c>
      <c r="G22" s="248" t="n">
        <v>1.01</v>
      </c>
      <c r="H22" s="249" t="n">
        <v>1.08</v>
      </c>
      <c r="I22" s="248" t="n">
        <v>6.64</v>
      </c>
      <c r="J22" s="248" t="n">
        <v>5.84</v>
      </c>
      <c r="K22" s="248" t="n">
        <v>5.33</v>
      </c>
      <c r="L22" s="248" t="n">
        <v>5.46</v>
      </c>
      <c r="M22" s="248" t="n">
        <v>6.5</v>
      </c>
      <c r="N22" s="248" t="n">
        <v>6.61</v>
      </c>
      <c r="O22" s="248" t="n">
        <v>5.91</v>
      </c>
      <c r="P22" s="248" t="n">
        <v>6.43</v>
      </c>
      <c r="Q22" s="248" t="n">
        <v>15.87</v>
      </c>
      <c r="R22" s="248" t="n">
        <v>73.23999999999999</v>
      </c>
      <c r="S22" s="248" t="n">
        <v>7.55</v>
      </c>
      <c r="T22" s="248" t="n">
        <v>11.21</v>
      </c>
      <c r="U22" s="248" t="n">
        <v>0</v>
      </c>
      <c r="V22" s="248" t="n">
        <v>-7.88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7.5</v>
      </c>
      <c r="G23" s="248" t="n">
        <v>0.88</v>
      </c>
      <c r="H23" s="249" t="n">
        <v>0.9399999999999999</v>
      </c>
      <c r="I23" s="248" t="n">
        <v>6.77</v>
      </c>
      <c r="J23" s="248" t="n">
        <v>6.21</v>
      </c>
      <c r="K23" s="248" t="n">
        <v>5.51</v>
      </c>
      <c r="L23" s="248" t="n">
        <v>5.62</v>
      </c>
      <c r="M23" s="248" t="n">
        <v>6.68</v>
      </c>
      <c r="N23" s="248" t="n">
        <v>6.75</v>
      </c>
      <c r="O23" s="248" t="n">
        <v>5.93</v>
      </c>
      <c r="P23" s="248" t="n">
        <v>6.59</v>
      </c>
      <c r="Q23" s="248" t="n">
        <v>12.34</v>
      </c>
      <c r="R23" s="248" t="n">
        <v>71.09</v>
      </c>
      <c r="S23" s="248" t="n">
        <v>5.82</v>
      </c>
      <c r="T23" s="248" t="n">
        <v>8.779999999999999</v>
      </c>
      <c r="U23" s="248" t="n">
        <v>0</v>
      </c>
      <c r="V23" s="248" t="n">
        <v>1.96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7.44</v>
      </c>
      <c r="G24" s="248" t="n">
        <v>0.96</v>
      </c>
      <c r="H24" s="249" t="n">
        <v>1.02</v>
      </c>
      <c r="I24" s="248" t="n">
        <v>7.11</v>
      </c>
      <c r="J24" s="248" t="n">
        <v>6.29</v>
      </c>
      <c r="K24" s="248" t="n">
        <v>5.74</v>
      </c>
      <c r="L24" s="248" t="n">
        <v>5.87</v>
      </c>
      <c r="M24" s="248" t="n">
        <v>6.86</v>
      </c>
      <c r="N24" s="248" t="n">
        <v>6.9</v>
      </c>
      <c r="O24" s="248" t="n">
        <v>6.08</v>
      </c>
      <c r="P24" s="248" t="n">
        <v>6.45</v>
      </c>
      <c r="Q24" s="248" t="n">
        <v>11.64</v>
      </c>
      <c r="R24" s="248" t="n">
        <v>71.5</v>
      </c>
      <c r="S24" s="248" t="n">
        <v>6.65</v>
      </c>
      <c r="T24" s="248" t="n">
        <v>7.56</v>
      </c>
      <c r="U24" s="248" t="n">
        <v>0.04</v>
      </c>
      <c r="V24" s="248" t="n">
        <v>2.61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7.2</v>
      </c>
      <c r="G25" s="251" t="n">
        <v>0.75</v>
      </c>
      <c r="H25" s="250" t="n">
        <v>0.79</v>
      </c>
      <c r="I25" s="251" t="n">
        <v>7.15</v>
      </c>
      <c r="J25" s="251" t="n">
        <v>6.58</v>
      </c>
      <c r="K25" s="251" t="n">
        <v>6.06</v>
      </c>
      <c r="L25" s="251" t="n">
        <v>6.18</v>
      </c>
      <c r="M25" s="251" t="n">
        <v>7.17</v>
      </c>
      <c r="N25" s="251" t="n">
        <v>7.2</v>
      </c>
      <c r="O25" s="251" t="n">
        <v>7.41</v>
      </c>
      <c r="P25" s="251" t="n">
        <v>5.96</v>
      </c>
      <c r="Q25" s="251" t="n">
        <v>8.220000000000001</v>
      </c>
      <c r="R25" s="251" t="n">
        <v>72.70999999999999</v>
      </c>
      <c r="S25" s="251" t="n">
        <v>3.56</v>
      </c>
      <c r="T25" s="251" t="n">
        <v>8.01</v>
      </c>
      <c r="U25" s="248" t="n">
        <v>0</v>
      </c>
      <c r="V25" s="251" t="n">
        <v>7.49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07" t="inlineStr">
        <is>
          <t>Short Duration Fund</t>
        </is>
      </c>
      <c r="C28" s="404" t="n"/>
      <c r="D28" s="404" t="n"/>
      <c r="E28" s="404" t="n"/>
      <c r="F28" s="404" t="n"/>
      <c r="G28" s="404" t="n"/>
      <c r="H28" s="404" t="n"/>
      <c r="I28" s="404" t="n"/>
      <c r="J28" s="404" t="n"/>
      <c r="K28" s="404" t="n"/>
      <c r="L28" s="404" t="n"/>
      <c r="M28" s="404" t="n"/>
      <c r="N28" s="404" t="n"/>
      <c r="O28" s="404" t="n"/>
      <c r="P28" s="404" t="n"/>
      <c r="Q28" s="404" t="n"/>
      <c r="R28" s="404" t="n"/>
      <c r="S28" s="404" t="n"/>
      <c r="T28" s="404" t="n"/>
      <c r="U28" s="404" t="n"/>
      <c r="V28" s="404" t="n"/>
      <c r="W28" s="404" t="n"/>
      <c r="X28" s="404" t="n"/>
      <c r="Y28" s="404" t="n"/>
      <c r="Z28" s="404" t="n"/>
      <c r="AA28" s="404" t="n"/>
      <c r="AB28" s="404" t="n"/>
      <c r="AC28" s="404" t="n"/>
      <c r="AD28" s="404" t="n"/>
      <c r="AE28" s="404" t="n"/>
      <c r="AF28" s="404" t="n"/>
      <c r="AG28" s="404" t="n"/>
      <c r="AH28" s="404" t="n"/>
      <c r="AI28" s="404" t="n"/>
      <c r="AJ28" s="404" t="n"/>
      <c r="AK28" s="404" t="n"/>
      <c r="AL28" s="404" t="n"/>
      <c r="AM28" s="404" t="n"/>
      <c r="AN28" s="366" t="n"/>
    </row>
    <row r="29" ht="15" customHeight="1" thickBot="1">
      <c r="B29" s="262" t="n"/>
      <c r="C29" s="189" t="n"/>
      <c r="D29" s="189" t="n"/>
      <c r="E29" s="189" t="n"/>
      <c r="F29" s="422" t="n"/>
      <c r="G29" s="423" t="n"/>
      <c r="H29" s="423" t="n"/>
      <c r="I29" s="423" t="n"/>
      <c r="J29" s="423" t="n"/>
      <c r="K29" s="423" t="n"/>
      <c r="L29" s="423" t="n"/>
      <c r="M29" s="423" t="n"/>
      <c r="N29" s="423" t="n"/>
      <c r="O29" s="423" t="n"/>
      <c r="P29" s="423" t="n"/>
      <c r="Q29" s="423" t="n"/>
      <c r="R29" s="423" t="n"/>
      <c r="S29" s="423" t="n"/>
      <c r="T29" s="423" t="n"/>
      <c r="U29" s="423" t="n"/>
      <c r="V29" s="424" t="n"/>
      <c r="W29" s="422" t="n"/>
      <c r="X29" s="423" t="n"/>
      <c r="Y29" s="423" t="n"/>
      <c r="Z29" s="423" t="n"/>
      <c r="AA29" s="423" t="n"/>
      <c r="AB29" s="423" t="n"/>
      <c r="AC29" s="423" t="n"/>
      <c r="AD29" s="423" t="n"/>
      <c r="AE29" s="423" t="n"/>
      <c r="AF29" s="423" t="n"/>
      <c r="AG29" s="423" t="n"/>
      <c r="AH29" s="423" t="n"/>
      <c r="AI29" s="423" t="n"/>
      <c r="AJ29" s="423" t="n"/>
      <c r="AK29" s="423" t="n"/>
      <c r="AL29" s="423" t="n"/>
      <c r="AM29" s="424" t="n"/>
      <c r="AN29" s="420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21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7.61</v>
      </c>
      <c r="G31" s="248" t="n">
        <v>2.93</v>
      </c>
      <c r="H31" s="249" t="n">
        <v>3.07</v>
      </c>
      <c r="I31" s="248" t="n">
        <v>8.49</v>
      </c>
      <c r="J31" s="248" t="n">
        <v>6.82</v>
      </c>
      <c r="K31" s="248" t="n">
        <v>5.87</v>
      </c>
      <c r="L31" s="248" t="n">
        <v>5.97</v>
      </c>
      <c r="M31" s="248" t="n">
        <v>7.27</v>
      </c>
      <c r="N31" s="248" t="n">
        <v>7.42</v>
      </c>
      <c r="O31" s="248" t="n">
        <v>6.63</v>
      </c>
      <c r="P31" s="248" t="n">
        <v>7.15</v>
      </c>
      <c r="Q31" s="248" t="n">
        <v>17.3</v>
      </c>
      <c r="R31" s="248" t="n">
        <v>57.81</v>
      </c>
      <c r="S31" s="248" t="n">
        <v>13.51</v>
      </c>
      <c r="T31" s="248" t="n">
        <v>7.06</v>
      </c>
      <c r="U31" s="248" t="n">
        <v>6.96</v>
      </c>
      <c r="V31" s="248" t="n">
        <v>4.33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7.55</v>
      </c>
      <c r="G32" s="248" t="n">
        <v>2.69</v>
      </c>
      <c r="H32" s="249" t="n">
        <v>2.83</v>
      </c>
      <c r="I32" s="248" t="n">
        <v>7.92</v>
      </c>
      <c r="J32" s="248" t="n">
        <v>5.83</v>
      </c>
      <c r="K32" s="248" t="n">
        <v>4.79</v>
      </c>
      <c r="L32" s="248" t="n">
        <v>4.97</v>
      </c>
      <c r="M32" s="248" t="n">
        <v>6.63</v>
      </c>
      <c r="N32" s="248" t="n">
        <v>6.85</v>
      </c>
      <c r="O32" s="248" t="n">
        <v>5.81</v>
      </c>
      <c r="P32" s="248" t="n">
        <v>6.56</v>
      </c>
      <c r="Q32" s="248" t="n">
        <v>20.87</v>
      </c>
      <c r="R32" s="248" t="n">
        <v>75.56</v>
      </c>
      <c r="S32" s="248" t="n">
        <v>0</v>
      </c>
      <c r="T32" s="248" t="n">
        <v>0</v>
      </c>
      <c r="U32" s="248" t="n">
        <v>0</v>
      </c>
      <c r="V32" s="248" t="n">
        <v>3.57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7.58</v>
      </c>
      <c r="G33" s="248" t="n">
        <v>2.5</v>
      </c>
      <c r="H33" s="249" t="n">
        <v>2.61</v>
      </c>
      <c r="I33" s="248" t="n">
        <v>8.710000000000001</v>
      </c>
      <c r="J33" s="248" t="n">
        <v>6.59</v>
      </c>
      <c r="K33" s="248" t="n">
        <v>5.46</v>
      </c>
      <c r="L33" s="248" t="n">
        <v>5.7</v>
      </c>
      <c r="M33" s="248" t="n">
        <v>7.22</v>
      </c>
      <c r="N33" s="248" t="n">
        <v>7.44</v>
      </c>
      <c r="O33" s="248" t="n">
        <v>6.37</v>
      </c>
      <c r="P33" s="248" t="n">
        <v>7.16</v>
      </c>
      <c r="Q33" s="248" t="n">
        <v>9.69</v>
      </c>
      <c r="R33" s="248" t="n">
        <v>71.25</v>
      </c>
      <c r="S33" s="248" t="n">
        <v>6.62</v>
      </c>
      <c r="T33" s="248" t="n">
        <v>7.72</v>
      </c>
      <c r="U33" s="248" t="n">
        <v>0</v>
      </c>
      <c r="V33" s="248" t="n">
        <v>4.73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7.5</v>
      </c>
      <c r="G34" s="248" t="n">
        <v>2.65</v>
      </c>
      <c r="H34" s="249" t="n">
        <v>2.81</v>
      </c>
      <c r="I34" s="248" t="n">
        <v>8.09</v>
      </c>
      <c r="J34" s="248" t="n">
        <v>5.97</v>
      </c>
      <c r="K34" s="248" t="n">
        <v>4.91</v>
      </c>
      <c r="L34" s="248" t="n">
        <v>5.25</v>
      </c>
      <c r="M34" s="248" t="n">
        <v>6.97</v>
      </c>
      <c r="N34" s="248" t="n">
        <v>7.06</v>
      </c>
      <c r="O34" s="248" t="n">
        <v>6.02</v>
      </c>
      <c r="P34" s="248" t="n">
        <v>6.64</v>
      </c>
      <c r="Q34" s="248" t="n">
        <v>16.56</v>
      </c>
      <c r="R34" s="248" t="n">
        <v>65.58</v>
      </c>
      <c r="S34" s="248" t="n">
        <v>6.95</v>
      </c>
      <c r="T34" s="248" t="n">
        <v>6.7</v>
      </c>
      <c r="U34" s="248" t="n">
        <v>-5.36</v>
      </c>
      <c r="V34" s="248" t="n">
        <v>4.22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7.76</v>
      </c>
      <c r="G35" s="248" t="n">
        <v>2.71</v>
      </c>
      <c r="H35" s="249" t="n">
        <v>2.88</v>
      </c>
      <c r="I35" s="248" t="n">
        <v>8.85</v>
      </c>
      <c r="J35" s="248" t="n">
        <v>6.42</v>
      </c>
      <c r="K35" s="248" t="n">
        <v>5.29</v>
      </c>
      <c r="L35" s="248" t="n">
        <v>5.56</v>
      </c>
      <c r="M35" s="248" t="n">
        <v>7.09</v>
      </c>
      <c r="N35" s="248" t="n">
        <v>7.2</v>
      </c>
      <c r="O35" s="248" t="n">
        <v>6.31</v>
      </c>
      <c r="P35" s="248" t="n">
        <v>6.95</v>
      </c>
      <c r="Q35" s="248" t="n">
        <v>12.93</v>
      </c>
      <c r="R35" s="248" t="n">
        <v>67.8</v>
      </c>
      <c r="S35" s="248" t="n">
        <v>10.72</v>
      </c>
      <c r="T35" s="248" t="n">
        <v>8.619999999999999</v>
      </c>
      <c r="U35" s="248" t="n">
        <v>0</v>
      </c>
      <c r="V35" s="248" t="n">
        <v>-0.07000000000000001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7.46</v>
      </c>
      <c r="G36" s="248" t="n">
        <v>2.47</v>
      </c>
      <c r="H36" s="249" t="n">
        <v>2.6</v>
      </c>
      <c r="I36" s="248" t="n">
        <v>8.73</v>
      </c>
      <c r="J36" s="248" t="n">
        <v>6.55</v>
      </c>
      <c r="K36" s="248" t="n">
        <v>5.24</v>
      </c>
      <c r="L36" s="248" t="n">
        <v>5.52</v>
      </c>
      <c r="M36" s="248" t="n">
        <v>7.23</v>
      </c>
      <c r="N36" s="248" t="n">
        <v>7.31</v>
      </c>
      <c r="O36" s="248" t="n">
        <v>6.18</v>
      </c>
      <c r="P36" s="248" t="n">
        <v>6.73</v>
      </c>
      <c r="Q36" s="248" t="n">
        <v>25.02</v>
      </c>
      <c r="R36" s="248" t="n">
        <v>57.51</v>
      </c>
      <c r="S36" s="248" t="n">
        <v>7.19</v>
      </c>
      <c r="T36" s="248" t="n">
        <v>5.65</v>
      </c>
      <c r="U36" s="248" t="n">
        <v>0.01</v>
      </c>
      <c r="V36" s="248" t="n">
        <v>4.62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7.38</v>
      </c>
      <c r="G37" s="251" t="n">
        <v>2.29</v>
      </c>
      <c r="H37" s="250" t="n">
        <v>2.42</v>
      </c>
      <c r="I37" s="251" t="n">
        <v>8.41</v>
      </c>
      <c r="J37" s="251" t="n">
        <v>6.33</v>
      </c>
      <c r="K37" s="251" t="n">
        <v>5.17</v>
      </c>
      <c r="L37" s="251" t="n">
        <v>5.31</v>
      </c>
      <c r="M37" s="251" t="n">
        <v>6.9</v>
      </c>
      <c r="N37" s="251" t="n">
        <v>7.07</v>
      </c>
      <c r="O37" s="251" t="n">
        <v>7.1</v>
      </c>
      <c r="P37" s="251" t="n">
        <v>5.98</v>
      </c>
      <c r="Q37" s="251" t="n">
        <v>12.61</v>
      </c>
      <c r="R37" s="251" t="n">
        <v>67.63</v>
      </c>
      <c r="S37" s="251" t="n">
        <v>9.52</v>
      </c>
      <c r="T37" s="251" t="n">
        <v>4.4</v>
      </c>
      <c r="U37" s="251" t="n">
        <v>0</v>
      </c>
      <c r="V37" s="251" t="n">
        <v>5.84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07" t="inlineStr">
        <is>
          <t>Medium Duration Fund</t>
        </is>
      </c>
      <c r="C39" s="404" t="n"/>
      <c r="D39" s="404" t="n"/>
      <c r="E39" s="404" t="n"/>
      <c r="F39" s="404" t="n"/>
      <c r="G39" s="404" t="n"/>
      <c r="H39" s="404" t="n"/>
      <c r="I39" s="404" t="n"/>
      <c r="J39" s="404" t="n"/>
      <c r="K39" s="404" t="n"/>
      <c r="L39" s="404" t="n"/>
      <c r="M39" s="404" t="n"/>
      <c r="N39" s="404" t="n"/>
      <c r="O39" s="404" t="n"/>
      <c r="P39" s="404" t="n"/>
      <c r="Q39" s="404" t="n"/>
      <c r="R39" s="404" t="n"/>
      <c r="S39" s="404" t="n"/>
      <c r="T39" s="404" t="n"/>
      <c r="U39" s="404" t="n"/>
      <c r="V39" s="404" t="n"/>
      <c r="W39" s="404" t="n"/>
      <c r="X39" s="404" t="n"/>
      <c r="Y39" s="404" t="n"/>
      <c r="Z39" s="404" t="n"/>
      <c r="AA39" s="404" t="n"/>
      <c r="AB39" s="404" t="n"/>
      <c r="AC39" s="404" t="n"/>
      <c r="AD39" s="404" t="n"/>
      <c r="AE39" s="404" t="n"/>
      <c r="AF39" s="404" t="n"/>
      <c r="AG39" s="404" t="n"/>
      <c r="AH39" s="404" t="n"/>
      <c r="AI39" s="404" t="n"/>
      <c r="AJ39" s="404" t="n"/>
      <c r="AK39" s="404" t="n"/>
      <c r="AL39" s="404" t="n"/>
      <c r="AM39" s="404" t="n"/>
      <c r="AN39" s="366" t="n"/>
    </row>
    <row r="40" ht="15" customHeight="1" thickBot="1">
      <c r="B40" s="262" t="n"/>
      <c r="C40" s="189" t="n"/>
      <c r="D40" s="189" t="n"/>
      <c r="E40" s="189" t="n"/>
      <c r="F40" s="422" t="n"/>
      <c r="G40" s="423" t="n"/>
      <c r="H40" s="423" t="n"/>
      <c r="I40" s="423" t="n"/>
      <c r="J40" s="423" t="n"/>
      <c r="K40" s="423" t="n"/>
      <c r="L40" s="423" t="n"/>
      <c r="M40" s="423" t="n"/>
      <c r="N40" s="423" t="n"/>
      <c r="O40" s="423" t="n"/>
      <c r="P40" s="423" t="n"/>
      <c r="Q40" s="423" t="n"/>
      <c r="R40" s="423" t="n"/>
      <c r="S40" s="423" t="n"/>
      <c r="T40" s="423" t="n"/>
      <c r="U40" s="423" t="n"/>
      <c r="V40" s="424" t="n"/>
      <c r="W40" s="422" t="n"/>
      <c r="X40" s="423" t="n"/>
      <c r="Y40" s="423" t="n"/>
      <c r="Z40" s="423" t="n"/>
      <c r="AA40" s="423" t="n"/>
      <c r="AB40" s="423" t="n"/>
      <c r="AC40" s="423" t="n"/>
      <c r="AD40" s="423" t="n"/>
      <c r="AE40" s="423" t="n"/>
      <c r="AF40" s="423" t="n"/>
      <c r="AG40" s="423" t="n"/>
      <c r="AH40" s="423" t="n"/>
      <c r="AI40" s="423" t="n"/>
      <c r="AJ40" s="423" t="n"/>
      <c r="AK40" s="423" t="n"/>
      <c r="AL40" s="423" t="n"/>
      <c r="AM40" s="424" t="n"/>
      <c r="AN40" s="420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21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8.06</v>
      </c>
      <c r="G43" s="248" t="n">
        <v>3.34</v>
      </c>
      <c r="H43" s="249" t="n">
        <v>3.51</v>
      </c>
      <c r="I43" s="248" t="n">
        <v>10.73</v>
      </c>
      <c r="J43" s="248" t="n">
        <v>7.69</v>
      </c>
      <c r="K43" s="248" t="n">
        <v>6.94</v>
      </c>
      <c r="L43" s="248" t="n">
        <v>7.23</v>
      </c>
      <c r="M43" s="248" t="n">
        <v>8.17</v>
      </c>
      <c r="N43" s="248" t="n">
        <v>7.96</v>
      </c>
      <c r="O43" s="248" t="n">
        <v>6.89</v>
      </c>
      <c r="P43" s="248" t="n">
        <v>7.3</v>
      </c>
      <c r="Q43" s="248" t="n">
        <v>17.25</v>
      </c>
      <c r="R43" s="248" t="n">
        <v>10.36</v>
      </c>
      <c r="S43" s="248" t="n">
        <v>28.52</v>
      </c>
      <c r="T43" s="248" t="n">
        <v>31.42</v>
      </c>
      <c r="U43" s="248" t="n">
        <v>4.56</v>
      </c>
      <c r="V43" s="248" t="n">
        <v>12.45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8.199999999999999</v>
      </c>
      <c r="G44" s="248" t="n">
        <v>3.02</v>
      </c>
      <c r="H44" s="249" t="n">
        <v>3.16</v>
      </c>
      <c r="I44" s="248" t="n">
        <v>10.03</v>
      </c>
      <c r="J44" s="248" t="n">
        <v>7.6</v>
      </c>
      <c r="K44" s="248" t="n">
        <v>6.2</v>
      </c>
      <c r="L44" s="248" t="n">
        <v>6.26</v>
      </c>
      <c r="M44" s="248" t="n">
        <v>7.3</v>
      </c>
      <c r="N44" s="248" t="n">
        <v>7.38</v>
      </c>
      <c r="O44" s="248" t="n">
        <v>6.27</v>
      </c>
      <c r="P44" s="248" t="n">
        <v>6.89</v>
      </c>
      <c r="Q44" s="248" t="n">
        <v>16.54</v>
      </c>
      <c r="R44" s="248" t="n">
        <v>27.38</v>
      </c>
      <c r="S44" s="248" t="n">
        <v>15.81</v>
      </c>
      <c r="T44" s="248" t="n">
        <v>24.74</v>
      </c>
      <c r="U44" s="248" t="n">
        <v>7.1</v>
      </c>
      <c r="V44" s="248" t="n">
        <v>8.42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8.050000000000001</v>
      </c>
      <c r="G45" s="248" t="n">
        <v>3.14</v>
      </c>
      <c r="H45" s="249" t="n">
        <v>3.31</v>
      </c>
      <c r="I45" s="248" t="n">
        <v>10.6</v>
      </c>
      <c r="J45" s="248" t="n">
        <v>8.15</v>
      </c>
      <c r="K45" s="248" t="n">
        <v>9.1</v>
      </c>
      <c r="L45" s="248" t="n">
        <v>8.779999999999999</v>
      </c>
      <c r="M45" s="248" t="n">
        <v>11.02</v>
      </c>
      <c r="N45" s="248" t="n">
        <v>9.99</v>
      </c>
      <c r="O45" s="248" t="n">
        <v>12.08</v>
      </c>
      <c r="P45" s="248" t="n">
        <v>8.48</v>
      </c>
      <c r="Q45" s="248" t="n">
        <v>20</v>
      </c>
      <c r="R45" s="248" t="n">
        <v>23.92</v>
      </c>
      <c r="S45" s="248" t="n">
        <v>11.74</v>
      </c>
      <c r="T45" s="248" t="n">
        <v>26.7</v>
      </c>
      <c r="U45" s="248" t="n">
        <v>8.960000000000001</v>
      </c>
      <c r="V45" s="248" t="n">
        <v>8.68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8.369999999999999</v>
      </c>
      <c r="G46" s="248" t="n">
        <v>2.99</v>
      </c>
      <c r="H46" s="249" t="n">
        <v>3.14</v>
      </c>
      <c r="I46" s="248" t="n">
        <v>10.84</v>
      </c>
      <c r="J46" s="248" t="n">
        <v>6.59</v>
      </c>
      <c r="K46" s="248" t="n">
        <v>6.15</v>
      </c>
      <c r="L46" s="248" t="n">
        <v>6.84</v>
      </c>
      <c r="M46" s="248" t="n">
        <v>7.96</v>
      </c>
      <c r="N46" s="248" t="n">
        <v>8.17</v>
      </c>
      <c r="O46" s="248" t="n">
        <v>6.61</v>
      </c>
      <c r="P46" s="248" t="n">
        <v>6.73</v>
      </c>
      <c r="Q46" s="248" t="n">
        <v>14.36</v>
      </c>
      <c r="R46" s="248" t="n">
        <v>16.6</v>
      </c>
      <c r="S46" s="248" t="n">
        <v>16.42</v>
      </c>
      <c r="T46" s="248" t="n">
        <v>32.69</v>
      </c>
      <c r="U46" s="248" t="n">
        <v>7.07</v>
      </c>
      <c r="V46" s="248" t="n">
        <v>12.86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7.76</v>
      </c>
      <c r="G47" s="248" t="n">
        <v>3.74</v>
      </c>
      <c r="H47" s="249" t="n">
        <v>3.89</v>
      </c>
      <c r="I47" s="248" t="n">
        <v>9.210000000000001</v>
      </c>
      <c r="J47" s="248" t="n">
        <v>7.29</v>
      </c>
      <c r="K47" s="248" t="n">
        <v>5.97</v>
      </c>
      <c r="L47" s="248" t="n">
        <v>6.01</v>
      </c>
      <c r="M47" s="248" t="n">
        <v>8.380000000000001</v>
      </c>
      <c r="N47" s="248" t="n">
        <v>8.039999999999999</v>
      </c>
      <c r="O47" s="248" t="n">
        <v>6.44</v>
      </c>
      <c r="P47" s="248" t="n">
        <v>3.16</v>
      </c>
      <c r="Q47" s="248" t="n">
        <v>36.7</v>
      </c>
      <c r="R47" s="248" t="n">
        <v>15.47</v>
      </c>
      <c r="S47" s="248" t="n">
        <v>7.73</v>
      </c>
      <c r="T47" s="248" t="n">
        <v>31.44</v>
      </c>
      <c r="U47" s="248" t="n">
        <v>0</v>
      </c>
      <c r="V47" s="248" t="n">
        <v>8.66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6.99</v>
      </c>
      <c r="G48" s="251" t="n">
        <v>3.02</v>
      </c>
      <c r="H48" s="250" t="n">
        <v>3.13</v>
      </c>
      <c r="I48" s="251" t="n">
        <v>8.44</v>
      </c>
      <c r="J48" s="251" t="n">
        <v>6.07</v>
      </c>
      <c r="K48" s="251" t="n">
        <v>4.78</v>
      </c>
      <c r="L48" s="251" t="n">
        <v>4.87</v>
      </c>
      <c r="M48" s="251" t="n">
        <v>6.31</v>
      </c>
      <c r="N48" s="251" t="n">
        <v>6.55</v>
      </c>
      <c r="O48" s="251" t="n">
        <v>6.2</v>
      </c>
      <c r="P48" s="251" t="n">
        <v>5.5</v>
      </c>
      <c r="Q48" s="251" t="n">
        <v>44.86</v>
      </c>
      <c r="R48" s="251" t="n">
        <v>13.35</v>
      </c>
      <c r="S48" s="251" t="n">
        <v>2.47</v>
      </c>
      <c r="T48" s="251" t="n">
        <v>19.06</v>
      </c>
      <c r="U48" s="251" t="n">
        <v>0</v>
      </c>
      <c r="V48" s="251" t="n">
        <v>20.26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07">
        <f>'Fund Ranking Criteria'!G24</f>
        <v/>
      </c>
      <c r="C50" s="404" t="n"/>
      <c r="D50" s="404" t="n"/>
      <c r="E50" s="404" t="n"/>
      <c r="F50" s="404" t="n"/>
      <c r="G50" s="404" t="n"/>
      <c r="H50" s="404" t="n"/>
      <c r="I50" s="404" t="n"/>
      <c r="J50" s="404" t="n"/>
      <c r="K50" s="404" t="n"/>
      <c r="L50" s="404" t="n"/>
      <c r="M50" s="404" t="n"/>
      <c r="N50" s="404" t="n"/>
      <c r="O50" s="404" t="n"/>
      <c r="P50" s="404" t="n"/>
      <c r="Q50" s="404" t="n"/>
      <c r="R50" s="404" t="n"/>
      <c r="S50" s="404" t="n"/>
      <c r="T50" s="404" t="n"/>
      <c r="U50" s="404" t="n"/>
      <c r="V50" s="404" t="n"/>
      <c r="W50" s="404" t="n"/>
      <c r="X50" s="404" t="n"/>
      <c r="Y50" s="404" t="n"/>
      <c r="Z50" s="404" t="n"/>
      <c r="AA50" s="404" t="n"/>
      <c r="AB50" s="404" t="n"/>
      <c r="AC50" s="404" t="n"/>
      <c r="AD50" s="404" t="n"/>
      <c r="AE50" s="404" t="n"/>
      <c r="AF50" s="404" t="n"/>
      <c r="AG50" s="404" t="n"/>
      <c r="AH50" s="404" t="n"/>
      <c r="AI50" s="404" t="n"/>
      <c r="AJ50" s="404" t="n"/>
      <c r="AK50" s="404" t="n"/>
      <c r="AL50" s="404" t="n"/>
      <c r="AM50" s="404" t="n"/>
      <c r="AN50" s="366" t="n"/>
    </row>
    <row r="51" ht="15" customHeight="1" thickBot="1">
      <c r="B51" s="155" t="n"/>
      <c r="C51" s="156" t="n"/>
      <c r="D51" s="156" t="n"/>
      <c r="E51" s="156" t="n"/>
      <c r="F51" s="426" t="n"/>
      <c r="G51" s="381" t="n"/>
      <c r="H51" s="381" t="n"/>
      <c r="I51" s="381" t="n"/>
      <c r="J51" s="381" t="n"/>
      <c r="K51" s="381" t="n"/>
      <c r="L51" s="381" t="n"/>
      <c r="M51" s="381" t="n"/>
      <c r="N51" s="381" t="n"/>
      <c r="O51" s="381" t="n"/>
      <c r="P51" s="381" t="n"/>
      <c r="Q51" s="381" t="n"/>
      <c r="R51" s="381" t="n"/>
      <c r="S51" s="381" t="n"/>
      <c r="T51" s="381" t="n"/>
      <c r="U51" s="381" t="n"/>
      <c r="V51" s="427" t="n"/>
      <c r="W51" s="426" t="n"/>
      <c r="X51" s="381" t="n"/>
      <c r="Y51" s="381" t="n"/>
      <c r="Z51" s="381" t="n"/>
      <c r="AA51" s="381" t="n"/>
      <c r="AB51" s="381" t="n"/>
      <c r="AC51" s="381" t="n"/>
      <c r="AD51" s="381" t="n"/>
      <c r="AE51" s="381" t="n"/>
      <c r="AF51" s="381" t="n"/>
      <c r="AG51" s="381" t="n"/>
      <c r="AH51" s="381" t="n"/>
      <c r="AI51" s="381" t="n"/>
      <c r="AJ51" s="381" t="n"/>
      <c r="AK51" s="381" t="n"/>
      <c r="AL51" s="381" t="n"/>
      <c r="AM51" s="427" t="n"/>
      <c r="AN51" s="425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21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7.45</v>
      </c>
      <c r="G53" s="248" t="n">
        <v>6.59</v>
      </c>
      <c r="H53" s="249" t="n">
        <v>6.86</v>
      </c>
      <c r="I53" s="248" t="n">
        <v>10.18</v>
      </c>
      <c r="J53" s="248" t="n">
        <v>7.15</v>
      </c>
      <c r="K53" s="248" t="n">
        <v>5.34</v>
      </c>
      <c r="L53" s="248" t="n">
        <v>4.69</v>
      </c>
      <c r="M53" s="248" t="n">
        <v>6.62</v>
      </c>
      <c r="N53" s="248" t="n">
        <v>7.19</v>
      </c>
      <c r="O53" s="248" t="n">
        <v>6.25</v>
      </c>
      <c r="P53" s="248" t="n">
        <v>6.85</v>
      </c>
      <c r="Q53" s="248" t="n">
        <v>57.93</v>
      </c>
      <c r="R53" s="248" t="n">
        <v>37.05</v>
      </c>
      <c r="S53" s="248" t="n">
        <v>0</v>
      </c>
      <c r="T53" s="248" t="n">
        <v>0</v>
      </c>
      <c r="U53" s="248" t="n">
        <v>0</v>
      </c>
      <c r="V53" s="248" t="n">
        <v>5.02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7.47</v>
      </c>
      <c r="G54" s="248" t="n">
        <v>6.68</v>
      </c>
      <c r="H54" s="249" t="n">
        <v>6.95</v>
      </c>
      <c r="I54" s="248" t="n">
        <v>9.6</v>
      </c>
      <c r="J54" s="248" t="n">
        <v>6.32</v>
      </c>
      <c r="K54" s="248" t="n">
        <v>4</v>
      </c>
      <c r="L54" s="248" t="n">
        <v>3.55</v>
      </c>
      <c r="M54" s="248" t="n">
        <v>5.39</v>
      </c>
      <c r="N54" s="248" t="n">
        <v>6.17</v>
      </c>
      <c r="O54" s="248" t="n">
        <v>5.51</v>
      </c>
      <c r="P54" s="248" t="n">
        <v>6.39</v>
      </c>
      <c r="Q54" s="248" t="n">
        <v>67.28</v>
      </c>
      <c r="R54" s="248" t="n">
        <v>29.63</v>
      </c>
      <c r="S54" s="248" t="n">
        <v>0</v>
      </c>
      <c r="T54" s="248" t="n">
        <v>0</v>
      </c>
      <c r="U54" s="248" t="n">
        <v>0</v>
      </c>
      <c r="V54" s="248" t="n">
        <v>3.09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7.02</v>
      </c>
      <c r="G55" s="248" t="n">
        <v>5.53</v>
      </c>
      <c r="H55" s="249" t="n">
        <v>5.75</v>
      </c>
      <c r="I55" s="248" t="n">
        <v>11.91</v>
      </c>
      <c r="J55" s="248" t="n">
        <v>7.28</v>
      </c>
      <c r="K55" s="248" t="n">
        <v>4.8</v>
      </c>
      <c r="L55" s="248" t="n">
        <v>4.29</v>
      </c>
      <c r="M55" s="248" t="n">
        <v>5.68</v>
      </c>
      <c r="N55" s="248" t="n">
        <v>6.52</v>
      </c>
      <c r="O55" s="248" t="n">
        <v>5.54</v>
      </c>
      <c r="P55" s="248" t="n">
        <v>6.05</v>
      </c>
      <c r="Q55" s="248" t="n">
        <v>45.79</v>
      </c>
      <c r="R55" s="248" t="n">
        <v>26.28</v>
      </c>
      <c r="S55" s="248" t="n">
        <v>0</v>
      </c>
      <c r="T55" s="248" t="n">
        <v>0</v>
      </c>
      <c r="U55" s="248" t="n">
        <v>0</v>
      </c>
      <c r="V55" s="248" t="n">
        <v>27.93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7.18</v>
      </c>
      <c r="G57" s="248" t="n">
        <v>6.63</v>
      </c>
      <c r="H57" s="249" t="n">
        <v>6.69</v>
      </c>
      <c r="I57" s="248" t="n">
        <v>10.49</v>
      </c>
      <c r="J57" s="248" t="n">
        <v>7.32</v>
      </c>
      <c r="K57" s="248" t="n">
        <v>4.69</v>
      </c>
      <c r="L57" s="248" t="n">
        <v>4.16</v>
      </c>
      <c r="M57" s="248" t="n">
        <v>5.74</v>
      </c>
      <c r="N57" s="248" t="n">
        <v>6.66</v>
      </c>
      <c r="O57" s="248" t="n">
        <v>5.21</v>
      </c>
      <c r="P57" s="248" t="n">
        <v>5.34</v>
      </c>
      <c r="Q57" s="248" t="n">
        <v>56.14</v>
      </c>
      <c r="R57" s="248" t="n">
        <v>31.95</v>
      </c>
      <c r="S57" s="248" t="n">
        <v>0</v>
      </c>
      <c r="T57" s="248" t="n">
        <v>0</v>
      </c>
      <c r="U57" s="248" t="n">
        <v>0</v>
      </c>
      <c r="V57" s="248" t="n">
        <v>11.91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7.2</v>
      </c>
      <c r="G58" s="248" t="n">
        <v>6.61</v>
      </c>
      <c r="H58" s="249" t="n">
        <v>6.86</v>
      </c>
      <c r="I58" s="248" t="n">
        <v>10.3</v>
      </c>
      <c r="J58" s="248" t="n">
        <v>7.38</v>
      </c>
      <c r="K58" s="248" t="n">
        <v>4.92</v>
      </c>
      <c r="L58" s="248" t="n">
        <v>4.21</v>
      </c>
      <c r="M58" s="248" t="n">
        <v>5.37</v>
      </c>
      <c r="N58" s="248" t="n">
        <v>6.23</v>
      </c>
      <c r="O58" s="248" t="n">
        <v>5.57</v>
      </c>
      <c r="P58" s="248" t="n">
        <v>6.27</v>
      </c>
      <c r="Q58" s="248" t="n">
        <v>81.04000000000001</v>
      </c>
      <c r="R58" s="248" t="n">
        <v>8.529999999999999</v>
      </c>
      <c r="S58" s="248" t="n">
        <v>0</v>
      </c>
      <c r="T58" s="248" t="n">
        <v>0</v>
      </c>
      <c r="U58" s="248" t="n">
        <v>-0.01</v>
      </c>
      <c r="V58" s="248" t="n">
        <v>10.44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7.72</v>
      </c>
      <c r="G59" s="251" t="n">
        <v>4.52</v>
      </c>
      <c r="H59" s="250" t="n">
        <v>4.71</v>
      </c>
      <c r="I59" s="251" t="n">
        <v>8.9</v>
      </c>
      <c r="J59" s="251" t="n">
        <v>6.3</v>
      </c>
      <c r="K59" s="251" t="n">
        <v>3.79</v>
      </c>
      <c r="L59" s="251" t="n">
        <v>3.93</v>
      </c>
      <c r="M59" s="251" t="n">
        <v>5.68</v>
      </c>
      <c r="N59" s="251" t="n">
        <v>6.24</v>
      </c>
      <c r="O59" s="251" t="n">
        <v>8.369999999999999</v>
      </c>
      <c r="P59" s="251" t="n">
        <v>5.09</v>
      </c>
      <c r="Q59" s="251" t="n">
        <v>34.22</v>
      </c>
      <c r="R59" s="251" t="n">
        <v>31.21</v>
      </c>
      <c r="S59" s="251" t="n">
        <v>17.21</v>
      </c>
      <c r="T59" s="251" t="n">
        <v>11.02</v>
      </c>
      <c r="U59" s="251" t="n">
        <v>0</v>
      </c>
      <c r="V59" s="251" t="n">
        <v>6.34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65" t="inlineStr">
        <is>
          <t>Weightage for Equity Fund Ranking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366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28" t="inlineStr">
        <is>
          <t>80 per cent of the corpus in top 100 companies by market cap</t>
        </is>
      </c>
      <c r="D5" s="428" t="n"/>
      <c r="E5" s="428" t="inlineStr">
        <is>
          <t>Across Large, Mid-cap, Small Cap</t>
        </is>
      </c>
      <c r="F5" s="428" t="inlineStr">
        <is>
          <t xml:space="preserve">65% of their total assets in equity
shares of mid-cap companies </t>
        </is>
      </c>
      <c r="G5" s="428" t="inlineStr">
        <is>
          <t xml:space="preserve">65% of their total assets in equity
shares of small-cap companies </t>
        </is>
      </c>
      <c r="H5" s="428" t="inlineStr">
        <is>
          <t>Set allocation strategy; 60% E &amp; 40% D</t>
        </is>
      </c>
      <c r="I5" s="429" t="inlineStr">
        <is>
          <t>Dynamic Allocation</t>
        </is>
      </c>
      <c r="J5" s="429" t="n"/>
      <c r="K5" s="429" t="n"/>
    </row>
    <row r="6" hidden="1">
      <c r="B6" s="79" t="n"/>
      <c r="C6" s="423" t="n"/>
      <c r="D6" s="423" t="n"/>
      <c r="E6" s="423" t="n"/>
      <c r="F6" s="423" t="n"/>
      <c r="G6" s="423" t="n"/>
      <c r="H6" s="423" t="n"/>
      <c r="I6" s="421" t="n"/>
      <c r="J6" s="421" t="n"/>
      <c r="K6" s="421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7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7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7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7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7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7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7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78" t="n"/>
      <c r="I18" s="409" t="n"/>
      <c r="J18" s="409" t="n"/>
      <c r="K18" s="409" t="n"/>
    </row>
    <row r="19" hidden="1">
      <c r="B19" s="37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79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30" t="inlineStr">
        <is>
          <t>Weightage for Debt Fund Ranking</t>
        </is>
      </c>
      <c r="C23" s="404" t="n"/>
      <c r="D23" s="404" t="n"/>
      <c r="E23" s="404" t="n"/>
      <c r="F23" s="404" t="n"/>
      <c r="G23" s="366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7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7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7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7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7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7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7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7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79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7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7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7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7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7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84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31" t="inlineStr">
        <is>
          <t>Weightage for Hybrid Fund Ranking</t>
        </is>
      </c>
      <c r="C50" s="404" t="n"/>
      <c r="D50" s="404" t="n"/>
      <c r="E50" s="404" t="n"/>
      <c r="F50" s="366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7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7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7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7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79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7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7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7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79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7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7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7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7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7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84" t="inlineStr">
        <is>
          <t>Cash and Fixed Deposits</t>
        </is>
      </c>
      <c r="C71" s="396" t="n"/>
      <c r="D71" s="233" t="n"/>
      <c r="E71" s="39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21"/>
    <col width="8.7109375" customWidth="1" style="261" min="22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09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09" t="n"/>
    </row>
    <row r="5">
      <c r="B5" s="88" t="inlineStr">
        <is>
          <t>HDFC Asset Management Co Ltd</t>
        </is>
      </c>
      <c r="C5" s="104" t="n">
        <v>763496.85</v>
      </c>
      <c r="D5" s="90" t="n"/>
      <c r="K5" s="409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09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09" t="n"/>
    </row>
    <row r="8">
      <c r="B8" s="88" t="inlineStr">
        <is>
          <t>Aditya Birla Sun Life AMC Ltd</t>
        </is>
      </c>
      <c r="C8" s="104" t="n">
        <v>379792.96</v>
      </c>
      <c r="D8" s="90" t="n"/>
      <c r="K8" s="409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09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09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09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09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09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09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09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09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09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09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09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09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09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09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09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09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09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09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09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09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09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09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09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09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09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09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09" t="n"/>
    </row>
    <row r="36" hidden="1">
      <c r="B36" s="88" t="inlineStr">
        <is>
          <t>Navi AMC Limited</t>
        </is>
      </c>
      <c r="C36" s="89" t="n">
        <v>7529.93</v>
      </c>
      <c r="D36" s="90" t="n"/>
      <c r="K36" s="409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09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09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09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09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09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32" t="inlineStr">
        <is>
          <t>Weightage Assumptions</t>
        </is>
      </c>
      <c r="C4" s="368" t="n"/>
      <c r="D4" s="368" t="n"/>
      <c r="E4" s="368" t="n"/>
      <c r="F4" s="368" t="n"/>
      <c r="G4" s="368" t="n"/>
      <c r="H4" s="368" t="n"/>
      <c r="I4" s="369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99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99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99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00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2026-08-18T05:16:24Z</dcterms:modified>
  <cp:lastModifiedBy>Mutual Fund</cp:lastModifiedBy>
  <cp:lastPrinted>2026-08-07T09:57:27Z</cp:lastPrinted>
</cp:coreProperties>
</file>