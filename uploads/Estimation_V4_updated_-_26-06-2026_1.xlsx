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10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61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19" fillId="0" borderId="90" applyAlignment="1" pivotButton="0" quotePrefix="0" xfId="7">
      <alignment horizontal="left" vertical="center" wrapText="1"/>
    </xf>
    <xf numFmtId="0" fontId="19" fillId="0" borderId="9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/>
    </xf>
    <xf numFmtId="0" fontId="19" fillId="0" borderId="0" applyAlignment="1" pivotButton="0" quotePrefix="0" xfId="7">
      <alignment horizontal="left" vertical="center" wrapText="1"/>
    </xf>
    <xf numFmtId="0" fontId="19" fillId="0" borderId="2" applyAlignment="1" pivotButton="0" quotePrefix="0" xfId="7">
      <alignment vertical="center" wrapText="1"/>
    </xf>
    <xf numFmtId="0" fontId="19" fillId="0" borderId="0" applyAlignment="1" pivotButton="0" quotePrefix="0" xfId="7">
      <alignment vertical="center" wrapText="1"/>
    </xf>
    <xf numFmtId="0" fontId="19" fillId="0" borderId="3" applyAlignment="1" pivotButton="0" quotePrefix="0" xfId="7">
      <alignment horizontal="left" vertical="center" wrapText="1"/>
    </xf>
    <xf numFmtId="0" fontId="19" fillId="0" borderId="95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center" vertical="center" wrapText="1"/>
    </xf>
    <xf numFmtId="0" fontId="23" fillId="20" borderId="93" applyAlignment="1" pivotButton="0" quotePrefix="0" xfId="7">
      <alignment horizontal="center" vertical="center" wrapText="1"/>
    </xf>
    <xf numFmtId="0" fontId="24" fillId="0" borderId="92" applyAlignment="1" pivotButton="0" quotePrefix="0" xfId="7">
      <alignment horizontal="left" vertical="center" wrapText="1"/>
    </xf>
    <xf numFmtId="0" fontId="24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left" vertical="center" wrapText="1"/>
    </xf>
    <xf numFmtId="0" fontId="23" fillId="20" borderId="94" applyAlignment="1" pivotButton="0" quotePrefix="0" xfId="7">
      <alignment horizontal="center" vertical="center" wrapText="1"/>
    </xf>
    <xf numFmtId="10" fontId="26" fillId="0" borderId="93" applyAlignment="1" pivotButton="0" quotePrefix="0" xfId="7">
      <alignment horizontal="center" vertical="center" shrinkToFit="1"/>
    </xf>
    <xf numFmtId="10" fontId="26" fillId="0" borderId="94" applyAlignment="1" pivotButton="0" quotePrefix="0" xfId="7">
      <alignment horizontal="center" vertical="center" shrinkToFit="1"/>
    </xf>
    <xf numFmtId="10" fontId="19" fillId="0" borderId="93" applyAlignment="1" pivotButton="0" quotePrefix="0" xfId="7">
      <alignment horizontal="center" vertical="center" shrinkToFit="1"/>
    </xf>
    <xf numFmtId="10" fontId="19" fillId="0" borderId="94" applyAlignment="1" pivotButton="0" quotePrefix="0" xfId="7">
      <alignment horizontal="center" vertical="center" shrinkToFit="1"/>
    </xf>
    <xf numFmtId="0" fontId="23" fillId="0" borderId="92" applyAlignment="1" pivotButton="0" quotePrefix="0" xfId="7">
      <alignment horizontal="left" vertical="center" wrapText="1"/>
    </xf>
    <xf numFmtId="0" fontId="23" fillId="20" borderId="92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  <xf numFmtId="164" fontId="19" fillId="0" borderId="94" applyAlignment="1" pivotButton="0" quotePrefix="0" xfId="7">
      <alignment horizontal="center" vertical="center" shrinkToFit="1"/>
    </xf>
    <xf numFmtId="0" fontId="23" fillId="0" borderId="4" applyAlignment="1" pivotButton="0" quotePrefix="0" xfId="7">
      <alignment vertical="center" wrapText="1"/>
    </xf>
    <xf numFmtId="0" fontId="23" fillId="0" borderId="5" applyAlignment="1" pivotButton="0" quotePrefix="0" xfId="7">
      <alignment vertical="center" wrapText="1"/>
    </xf>
    <xf numFmtId="0" fontId="23" fillId="0" borderId="6" applyAlignment="1" pivotButton="0" quotePrefix="0" xfId="7">
      <alignment horizontal="right" vertical="center" wrapText="1" indent="1"/>
    </xf>
    <xf numFmtId="0" fontId="19" fillId="0" borderId="0" applyAlignment="1" pivotButton="0" quotePrefix="0" xfId="7">
      <alignment horizontal="left" vertical="top"/>
    </xf>
    <xf numFmtId="0" fontId="25" fillId="22" borderId="93" applyAlignment="1" pivotButton="0" quotePrefix="0" xfId="7">
      <alignment horizontal="left" vertical="center" wrapText="1"/>
    </xf>
    <xf numFmtId="0" fontId="23" fillId="22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center" vertical="center" wrapText="1"/>
    </xf>
    <xf numFmtId="0" fontId="21" fillId="0" borderId="93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10" fontId="26" fillId="0" borderId="93" applyAlignment="1" pivotButton="0" quotePrefix="0" xfId="7">
      <alignment horizontal="center" vertical="center" shrinkToFit="1"/>
    </xf>
    <xf numFmtId="0" fontId="0" fillId="0" borderId="88" pivotButton="0" quotePrefix="0" xfId="0"/>
    <xf numFmtId="0" fontId="0" fillId="0" borderId="89" pivotButton="0" quotePrefix="0" xfId="0"/>
    <xf numFmtId="0" fontId="24" fillId="0" borderId="93" applyAlignment="1" pivotButton="0" quotePrefix="0" xfId="7">
      <alignment horizontal="center" vertical="center" wrapText="1"/>
    </xf>
    <xf numFmtId="0" fontId="24" fillId="0" borderId="93" applyAlignment="1" pivotButton="0" quotePrefix="0" xfId="7">
      <alignment horizontal="left" vertical="center" wrapText="1"/>
    </xf>
    <xf numFmtId="10" fontId="19" fillId="0" borderId="93" applyAlignment="1" pivotButton="0" quotePrefix="0" xfId="7">
      <alignment horizontal="center" vertical="center" shrinkToFit="1"/>
    </xf>
    <xf numFmtId="0" fontId="19" fillId="0" borderId="93" applyAlignment="1" pivotButton="0" quotePrefix="0" xfId="7">
      <alignment horizontal="left" vertical="center" wrapText="1"/>
    </xf>
    <xf numFmtId="0" fontId="23" fillId="20" borderId="93" applyAlignment="1" pivotButton="0" quotePrefix="0" xfId="7">
      <alignment horizontal="center" vertical="center" wrapText="1"/>
    </xf>
    <xf numFmtId="0" fontId="23" fillId="21" borderId="93" applyAlignment="1" pivotButton="0" quotePrefix="0" xfId="7">
      <alignment horizontal="center" vertical="center" wrapText="1"/>
    </xf>
    <xf numFmtId="0" fontId="22" fillId="19" borderId="93" applyAlignment="1" pivotButton="0" quotePrefix="0" xfId="7">
      <alignment horizontal="center" vertical="center" wrapText="1"/>
    </xf>
    <xf numFmtId="0" fontId="19" fillId="0" borderId="93" applyAlignment="1" pivotButton="0" quotePrefix="0" xfId="7">
      <alignment horizontal="center" vertical="center" wrapText="1"/>
    </xf>
    <xf numFmtId="0" fontId="20" fillId="19" borderId="93" applyAlignment="1" pivotButton="0" quotePrefix="0" xfId="7">
      <alignment horizontal="center" vertical="center" wrapText="1"/>
    </xf>
    <xf numFmtId="0" fontId="23" fillId="22" borderId="93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3" fontId="23" fillId="0" borderId="93" applyAlignment="1" pivotButton="0" quotePrefix="0" xfId="7">
      <alignment horizontal="right" vertical="center" wrapText="1"/>
    </xf>
    <xf numFmtId="0" fontId="19" fillId="0" borderId="94" applyAlignment="1" pivotButton="0" quotePrefix="0" xfId="7">
      <alignment horizontal="left" vertical="center" wrapText="1"/>
    </xf>
    <xf numFmtId="0" fontId="0" fillId="0" borderId="91" pivotButton="0" quotePrefix="0" xfId="0"/>
    <xf numFmtId="0" fontId="19" fillId="0" borderId="90" applyAlignment="1" pivotButton="0" quotePrefix="0" xfId="7">
      <alignment horizontal="left" vertical="center" wrapText="1"/>
    </xf>
    <xf numFmtId="0" fontId="0" fillId="0" borderId="90" pivotButton="0" quotePrefix="0" xfId="0"/>
    <xf numFmtId="0" fontId="19" fillId="0" borderId="87" applyAlignment="1" pivotButton="0" quotePrefix="0" xfId="7">
      <alignment horizontal="left" vertical="center" wrapText="1"/>
    </xf>
    <xf numFmtId="0" fontId="22" fillId="19" borderId="92" applyAlignment="1" pivotButton="0" quotePrefix="0" xfId="7">
      <alignment horizontal="center" vertical="center" wrapText="1"/>
    </xf>
    <xf numFmtId="0" fontId="19" fillId="0" borderId="98" applyAlignment="1" pivotButton="0" quotePrefix="0" xfId="7">
      <alignment horizontal="left" vertical="center" wrapText="1"/>
    </xf>
    <xf numFmtId="0" fontId="0" fillId="0" borderId="85" pivotButton="0" quotePrefix="0" xfId="0"/>
    <xf numFmtId="0" fontId="0" fillId="0" borderId="86" pivotButton="0" quotePrefix="0" xfId="0"/>
    <xf numFmtId="0" fontId="19" fillId="0" borderId="92" applyAlignment="1" pivotButton="0" quotePrefix="0" xfId="7">
      <alignment horizontal="left" vertical="center" wrapText="1"/>
    </xf>
    <xf numFmtId="0" fontId="19" fillId="0" borderId="99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center"/>
    </xf>
    <xf numFmtId="0" fontId="0" fillId="0" borderId="3" pivotButton="0" quotePrefix="0" xfId="0"/>
    <xf numFmtId="0" fontId="19" fillId="0" borderId="96" applyAlignment="1" pivotButton="0" quotePrefix="0" xfId="7">
      <alignment horizontal="left" vertical="center" wrapText="1"/>
    </xf>
    <xf numFmtId="0" fontId="0" fillId="0" borderId="95" pivotButton="0" quotePrefix="0" xfId="0"/>
    <xf numFmtId="0" fontId="20" fillId="19" borderId="92" applyAlignment="1" pivotButton="0" quotePrefix="0" xfId="7">
      <alignment horizontal="center" vertical="center" wrapText="1"/>
    </xf>
    <xf numFmtId="0" fontId="20" fillId="19" borderId="97" applyAlignment="1" pivotButton="0" quotePrefix="0" xfId="7">
      <alignment horizontal="center" vertical="center" wrapText="1"/>
    </xf>
    <xf numFmtId="0" fontId="0" fillId="0" borderId="83" pivotButton="0" quotePrefix="0" xfId="0"/>
    <xf numFmtId="0" fontId="0" fillId="0" borderId="84" pivotButton="0" quotePrefix="0" xfId="0"/>
    <xf numFmtId="0" fontId="22" fillId="19" borderId="94" applyAlignment="1" pivotButton="0" quotePrefix="0" xfId="7">
      <alignment horizontal="center" vertical="center" wrapText="1"/>
    </xf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27" pivotButton="0" quotePrefix="0" xfId="0"/>
    <xf numFmtId="0" fontId="0" fillId="0" borderId="28" pivotButton="0" quotePrefix="0" xfId="0"/>
    <xf numFmtId="0" fontId="23" fillId="0" borderId="92" applyAlignment="1" pivotButton="0" quotePrefix="0" xfId="7">
      <alignment horizontal="left" vertical="center" wrapText="1"/>
    </xf>
    <xf numFmtId="0" fontId="25" fillId="0" borderId="92" applyAlignment="1" pivotButton="0" quotePrefix="0" xfId="7">
      <alignment horizontal="left" vertical="center" wrapText="1"/>
    </xf>
    <xf numFmtId="0" fontId="25" fillId="0" borderId="93" applyAlignment="1" pivotButton="0" quotePrefix="0" xfId="7">
      <alignment horizontal="left" vertical="center" wrapText="1"/>
    </xf>
    <xf numFmtId="0" fontId="23" fillId="0" borderId="93" applyAlignment="1" pivotButton="0" quotePrefix="0" xfId="7">
      <alignment horizontal="left" vertical="center" wrapText="1"/>
    </xf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74" t="inlineStr">
        <is>
          <t>Weightage for AMC Ranking</t>
        </is>
      </c>
      <c r="C3" s="375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98" t="inlineStr">
        <is>
          <t>AUM</t>
        </is>
      </c>
      <c r="C6" s="74" t="n">
        <v>0.15</v>
      </c>
    </row>
    <row r="7">
      <c r="A7" s="54" t="n"/>
      <c r="B7" s="39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98" t="inlineStr">
        <is>
          <t>3-Year Return</t>
        </is>
      </c>
      <c r="C9" s="74" t="n">
        <v>0.15</v>
      </c>
    </row>
    <row r="10">
      <c r="B10" s="398" t="inlineStr">
        <is>
          <t>5-Year Return</t>
        </is>
      </c>
      <c r="C10" s="74" t="n">
        <v>0.1</v>
      </c>
    </row>
    <row r="11">
      <c r="B11" s="39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98" t="inlineStr">
        <is>
          <t>Sharpe</t>
        </is>
      </c>
      <c r="C13" s="74" t="n">
        <v>0.05</v>
      </c>
    </row>
    <row r="14">
      <c r="B14" s="398" t="inlineStr">
        <is>
          <t>Sortino</t>
        </is>
      </c>
      <c r="C14" s="74" t="n">
        <v>0.075</v>
      </c>
    </row>
    <row r="15">
      <c r="B15" s="39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9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topLeftCell="A51" zoomScaleNormal="100" workbookViewId="0">
      <selection activeCell="A54" sqref="A54:D75"/>
    </sheetView>
  </sheetViews>
  <sheetFormatPr baseColWidth="8" defaultColWidth="8" defaultRowHeight="12.75"/>
  <cols>
    <col width="36.5703125" bestFit="1" customWidth="1" style="388" min="1" max="1"/>
    <col width="10.140625" customWidth="1" style="388" min="2" max="2"/>
    <col width="10.28515625" customWidth="1" style="388" min="3" max="3"/>
    <col width="2.28515625" customWidth="1" style="388" min="4" max="4"/>
    <col width="36.28515625" customWidth="1" style="388" min="5" max="5"/>
    <col width="15" customWidth="1" style="388" min="6" max="6"/>
    <col width="10.28515625" customWidth="1" style="388" min="7" max="7"/>
    <col width="8" customWidth="1" style="388" min="8" max="11"/>
    <col width="8" customWidth="1" style="388" min="12" max="16384"/>
  </cols>
  <sheetData>
    <row r="2" ht="15" customHeight="1">
      <c r="A2" s="393" t="inlineStr">
        <is>
          <t>Financial Product Catalog: A Ready Reckoner , As on 26th June 2026</t>
        </is>
      </c>
      <c r="B2" s="394" t="n"/>
      <c r="C2" s="394" t="n"/>
      <c r="D2" s="394" t="n"/>
      <c r="E2" s="394" t="n"/>
      <c r="F2" s="394" t="n"/>
      <c r="G2" s="395" t="n"/>
    </row>
    <row r="3" ht="15" customHeight="1">
      <c r="A3" s="383" t="n"/>
      <c r="B3" s="384" t="n"/>
      <c r="C3" s="384" t="n"/>
      <c r="D3" s="384" t="n"/>
      <c r="E3" s="384" t="n"/>
      <c r="F3" s="384" t="n"/>
      <c r="G3" s="385" t="n"/>
    </row>
    <row r="4" ht="15" customHeight="1">
      <c r="A4" s="392" t="inlineStr">
        <is>
          <t>Whats new? (July 2026)</t>
        </is>
      </c>
      <c r="B4" s="362" t="n"/>
      <c r="C4" s="363" t="n"/>
      <c r="D4" s="379" t="n"/>
      <c r="E4" s="396" t="inlineStr">
        <is>
          <t>Debt</t>
        </is>
      </c>
      <c r="F4" s="362" t="n"/>
      <c r="G4" s="378" t="n"/>
    </row>
    <row r="5" ht="15" customHeight="1">
      <c r="A5" s="338" t="inlineStr">
        <is>
          <t>Fund Name</t>
        </is>
      </c>
      <c r="B5" s="368" t="inlineStr">
        <is>
          <t>End Date</t>
        </is>
      </c>
      <c r="C5" s="363" t="n"/>
      <c r="D5" s="387" t="n"/>
      <c r="G5" s="389" t="n"/>
    </row>
    <row r="6" ht="25.5" customHeight="1">
      <c r="A6" s="340" t="inlineStr">
        <is>
          <t>HDFC Nifty Auto Index Fund - Powered by India's Auto Momentum (NFO)</t>
        </is>
      </c>
      <c r="B6" s="365" t="inlineStr">
        <is>
          <t>July 03, 2026</t>
        </is>
      </c>
      <c r="C6" s="363" t="n"/>
      <c r="D6" s="379" t="n"/>
      <c r="E6" s="342" t="inlineStr">
        <is>
          <t>Debt Mutual Funds (Ultra Short Duration)</t>
        </is>
      </c>
      <c r="F6" s="368" t="inlineStr">
        <is>
          <t>3-Year Return</t>
        </is>
      </c>
      <c r="G6" s="343" t="inlineStr">
        <is>
          <t>1-Year Return</t>
        </is>
      </c>
    </row>
    <row r="7" ht="15" customHeight="1">
      <c r="A7" s="340" t="inlineStr">
        <is>
          <t>TRUSTMF Large &amp; Mid Cap Fund (NFO)</t>
        </is>
      </c>
      <c r="B7" s="365" t="inlineStr">
        <is>
          <t>July 17, 2026</t>
        </is>
      </c>
      <c r="C7" s="363" t="n"/>
      <c r="D7" s="380" t="n"/>
      <c r="E7" s="459" t="inlineStr">
        <is>
          <t>NIFTY Ultra Short Duration Debt Index</t>
        </is>
      </c>
      <c r="F7" s="361" t="n">
        <v>0.0613</v>
      </c>
      <c r="G7" s="345" t="n">
        <v>0.0032</v>
      </c>
    </row>
    <row r="8" ht="25.5" customHeight="1">
      <c r="A8" s="390" t="n"/>
      <c r="D8" s="391" t="n"/>
      <c r="E8" s="342" t="inlineStr">
        <is>
          <t>Ultra Short - Fund Name ( Return CAGR )</t>
        </is>
      </c>
      <c r="F8" s="368" t="inlineStr">
        <is>
          <t>3-Year Return</t>
        </is>
      </c>
      <c r="G8" s="343" t="inlineStr">
        <is>
          <t>1-Year Return</t>
        </is>
      </c>
    </row>
    <row r="9" ht="25.5" customHeight="1">
      <c r="A9" s="382" t="inlineStr">
        <is>
          <t>Equity</t>
        </is>
      </c>
      <c r="B9" s="362" t="n"/>
      <c r="C9" s="363" t="n"/>
      <c r="D9" s="379" t="n"/>
      <c r="E9" s="365">
        <f>'Summary '!J4</f>
        <v/>
      </c>
      <c r="F9" s="366">
        <f>'Summary '!K4</f>
        <v/>
      </c>
      <c r="G9" s="347">
        <f>'Summary '!L4</f>
        <v/>
      </c>
    </row>
    <row r="10" ht="25.5" customHeight="1">
      <c r="A10" s="390" t="n"/>
      <c r="D10" s="391" t="n"/>
      <c r="E10" s="365">
        <f>'Summary '!J5</f>
        <v/>
      </c>
      <c r="F10" s="366">
        <f>'Summary '!K5</f>
        <v/>
      </c>
      <c r="G10" s="347">
        <f>'Summary '!L5</f>
        <v/>
      </c>
    </row>
    <row r="11" ht="25.5" customHeight="1">
      <c r="A11" s="338" t="inlineStr">
        <is>
          <t>Large Cap - Funds</t>
        </is>
      </c>
      <c r="B11" s="368" t="inlineStr">
        <is>
          <t>3-Year Return</t>
        </is>
      </c>
      <c r="C11" s="368" t="inlineStr">
        <is>
          <t>1-Year Return</t>
        </is>
      </c>
      <c r="D11" s="379" t="n"/>
      <c r="E11" s="365">
        <f>'Summary '!J6</f>
        <v/>
      </c>
      <c r="F11" s="366">
        <f>'Summary '!K6</f>
        <v/>
      </c>
      <c r="G11" s="347">
        <f>'Summary '!L6</f>
        <v/>
      </c>
    </row>
    <row r="12" ht="15" customHeight="1">
      <c r="A12" s="457" t="inlineStr">
        <is>
          <t>NIFTY 50</t>
        </is>
      </c>
      <c r="B12" s="361" t="n">
        <v>0.101</v>
      </c>
      <c r="C12" s="361" t="n">
        <v>-0.0351</v>
      </c>
      <c r="D12" s="380" t="n"/>
      <c r="E12" s="377" t="n"/>
      <c r="F12" s="362" t="n"/>
      <c r="G12" s="378" t="n"/>
    </row>
    <row r="13" ht="25.5" customHeight="1">
      <c r="A13" s="349" t="inlineStr">
        <is>
          <t>Large Cap - Funds (Return CAGR)</t>
        </is>
      </c>
      <c r="B13" s="368" t="inlineStr">
        <is>
          <t>3-Year Return</t>
        </is>
      </c>
      <c r="C13" s="368" t="inlineStr">
        <is>
          <t>1-Year Return</t>
        </is>
      </c>
      <c r="D13" s="380" t="n"/>
      <c r="E13" s="342" t="inlineStr">
        <is>
          <t>Debt Mutual Funds (Low Duration)</t>
        </is>
      </c>
      <c r="F13" s="368" t="inlineStr">
        <is>
          <t>3-Year Return</t>
        </is>
      </c>
      <c r="G13" s="343" t="inlineStr">
        <is>
          <t>1-Year Return</t>
        </is>
      </c>
    </row>
    <row r="14">
      <c r="A14" s="340">
        <f>'Summary '!D4</f>
        <v/>
      </c>
      <c r="B14" s="366">
        <f>'Summary '!E4</f>
        <v/>
      </c>
      <c r="C14" s="366">
        <f>'Summary '!F4</f>
        <v/>
      </c>
      <c r="D14" s="380" t="n"/>
      <c r="E14" s="459" t="inlineStr">
        <is>
          <t>NIFTY Low Duration Debt Index</t>
        </is>
      </c>
      <c r="F14" s="361" t="n">
        <v>0.0711</v>
      </c>
      <c r="G14" s="345" t="n">
        <v>0.0583</v>
      </c>
    </row>
    <row r="15" ht="25.5" customHeight="1">
      <c r="A15" s="340">
        <f>'Summary '!D5</f>
        <v/>
      </c>
      <c r="B15" s="366">
        <f>'Summary '!E5</f>
        <v/>
      </c>
      <c r="C15" s="366">
        <f>'Summary '!F5</f>
        <v/>
      </c>
      <c r="D15" s="380" t="n"/>
      <c r="E15" s="342" t="inlineStr">
        <is>
          <t>Low Duration - Funds ( Return CAGR )</t>
        </is>
      </c>
      <c r="F15" s="368" t="inlineStr">
        <is>
          <t>3-Year Return</t>
        </is>
      </c>
      <c r="G15" s="343" t="inlineStr">
        <is>
          <t>1-Year Return</t>
        </is>
      </c>
    </row>
    <row r="16">
      <c r="A16" s="340">
        <f>'Summary '!D6</f>
        <v/>
      </c>
      <c r="B16" s="366">
        <f>'Summary '!E6</f>
        <v/>
      </c>
      <c r="C16" s="366">
        <f>'Summary '!F6</f>
        <v/>
      </c>
      <c r="D16" s="380" t="n"/>
      <c r="E16" s="365">
        <f>'Summary '!J8</f>
        <v/>
      </c>
      <c r="F16" s="366">
        <f>'Summary '!K8</f>
        <v/>
      </c>
      <c r="G16" s="347">
        <f>'Summary '!L8</f>
        <v/>
      </c>
    </row>
    <row r="17" ht="25.5" customHeight="1">
      <c r="A17" s="457" t="inlineStr">
        <is>
          <t>SIP of 50000*36=1800000, Maturity Value Would be</t>
        </is>
      </c>
      <c r="B17" s="376" t="n">
        <v>2572605</v>
      </c>
      <c r="C17" s="363" t="n"/>
      <c r="D17" s="380" t="n"/>
      <c r="E17" s="365">
        <f>'Summary '!J9</f>
        <v/>
      </c>
      <c r="F17" s="366">
        <f>'Summary '!K9</f>
        <v/>
      </c>
      <c r="G17" s="347">
        <f>'Summary '!L9</f>
        <v/>
      </c>
    </row>
    <row r="18" ht="15" customHeight="1">
      <c r="A18" s="390" t="n"/>
      <c r="D18" s="391" t="n"/>
      <c r="E18" s="365">
        <f>'Summary '!J10</f>
        <v/>
      </c>
      <c r="F18" s="366">
        <f>'Summary '!K10</f>
        <v/>
      </c>
      <c r="G18" s="347">
        <f>'Summary '!L10</f>
        <v/>
      </c>
    </row>
    <row r="19" ht="25.5" customHeight="1">
      <c r="A19" s="349" t="inlineStr">
        <is>
          <t>Large &amp; Mid Cap - Funds</t>
        </is>
      </c>
      <c r="B19" s="368" t="inlineStr">
        <is>
          <t>3-Year Return</t>
        </is>
      </c>
      <c r="C19" s="368" t="inlineStr">
        <is>
          <t>1-Year Return</t>
        </is>
      </c>
      <c r="D19" s="331" t="n"/>
      <c r="E19" s="377" t="n"/>
      <c r="F19" s="362" t="n"/>
      <c r="G19" s="378" t="n"/>
    </row>
    <row r="20" ht="25.5" customHeight="1">
      <c r="A20" s="340">
        <f>'Summary '!D8</f>
        <v/>
      </c>
      <c r="B20" s="366">
        <f>'Summary '!E8</f>
        <v/>
      </c>
      <c r="C20" s="366">
        <f>'Summary '!F8</f>
        <v/>
      </c>
      <c r="D20" s="331" t="n"/>
      <c r="E20" s="342" t="inlineStr">
        <is>
          <t>Debt Mutual Funds (Short Duration)</t>
        </is>
      </c>
      <c r="F20" s="368" t="inlineStr">
        <is>
          <t>3-Year Return</t>
        </is>
      </c>
      <c r="G20" s="343" t="inlineStr">
        <is>
          <t>1-Year Return</t>
        </is>
      </c>
    </row>
    <row r="21">
      <c r="A21" s="340">
        <f>'Summary '!D9</f>
        <v/>
      </c>
      <c r="B21" s="366">
        <f>'Summary '!E9</f>
        <v/>
      </c>
      <c r="C21" s="366">
        <f>'Summary '!F9</f>
        <v/>
      </c>
      <c r="D21" s="331" t="n"/>
      <c r="E21" s="460" t="inlineStr">
        <is>
          <t>NIFTY Short Duration Debt Index A-II</t>
        </is>
      </c>
      <c r="F21" s="361" t="n">
        <v>0.06569999999999999</v>
      </c>
      <c r="G21" s="345" t="n">
        <v>0.07630000000000001</v>
      </c>
    </row>
    <row r="22" ht="25.5" customHeight="1">
      <c r="A22" s="340">
        <f>'Summary '!D10</f>
        <v/>
      </c>
      <c r="B22" s="366">
        <f>'Summary '!E10</f>
        <v/>
      </c>
      <c r="C22" s="366">
        <f>'Summary '!F10</f>
        <v/>
      </c>
      <c r="D22" s="331" t="n"/>
      <c r="E22" s="342" t="inlineStr">
        <is>
          <t>Medium Term - Funds ( Return CAGR )</t>
        </is>
      </c>
      <c r="F22" s="368" t="inlineStr">
        <is>
          <t>3-Year Return</t>
        </is>
      </c>
      <c r="G22" s="343" t="inlineStr">
        <is>
          <t>1-Year Return</t>
        </is>
      </c>
    </row>
    <row r="23" ht="25.5" customHeight="1">
      <c r="A23" s="457" t="inlineStr">
        <is>
          <t>SIP of 50000*36=1800000, Maturity Value Would be</t>
        </is>
      </c>
      <c r="B23" s="376" t="n">
        <v>2646895</v>
      </c>
      <c r="C23" s="363" t="n"/>
      <c r="D23" s="331" t="n"/>
      <c r="E23" s="365">
        <f>'Summary '!J12</f>
        <v/>
      </c>
      <c r="F23" s="366">
        <f>'Summary '!K12</f>
        <v/>
      </c>
      <c r="G23" s="347">
        <f>'Summary '!L12</f>
        <v/>
      </c>
    </row>
    <row r="24" ht="15" customHeight="1">
      <c r="A24" s="386" t="n"/>
      <c r="B24" s="362" t="n"/>
      <c r="C24" s="363" t="n"/>
      <c r="D24" s="331" t="n"/>
      <c r="E24" s="365">
        <f>'Summary '!J13</f>
        <v/>
      </c>
      <c r="F24" s="366">
        <f>'Summary '!K13</f>
        <v/>
      </c>
      <c r="G24" s="347">
        <f>'Summary '!L13</f>
        <v/>
      </c>
    </row>
    <row r="25" ht="25.5" customHeight="1">
      <c r="A25" s="338" t="inlineStr">
        <is>
          <t>Mid Cap - Funds</t>
        </is>
      </c>
      <c r="B25" s="368" t="inlineStr">
        <is>
          <t>3-Year Return</t>
        </is>
      </c>
      <c r="C25" s="368" t="inlineStr">
        <is>
          <t>1-Year Return</t>
        </is>
      </c>
      <c r="D25" s="331" t="n"/>
      <c r="E25" s="365">
        <f>'Summary '!J14</f>
        <v/>
      </c>
      <c r="F25" s="366">
        <f>'Summary '!K14</f>
        <v/>
      </c>
      <c r="G25" s="347">
        <f>'Summary '!L14</f>
        <v/>
      </c>
    </row>
    <row r="26" ht="15" customHeight="1">
      <c r="A26" s="457" t="inlineStr">
        <is>
          <t>NIFTY Midcap 100</t>
        </is>
      </c>
      <c r="B26" s="361" t="n">
        <v>0.2182</v>
      </c>
      <c r="C26" s="361" t="n">
        <v>0.0557</v>
      </c>
      <c r="D26" s="331" t="n"/>
      <c r="E26" s="377" t="n"/>
      <c r="F26" s="362" t="n"/>
      <c r="G26" s="378" t="n"/>
    </row>
    <row r="27" ht="25.5" customHeight="1">
      <c r="A27" s="349" t="inlineStr">
        <is>
          <t>Mid Cap - Funds  (Return CAGR)</t>
        </is>
      </c>
      <c r="B27" s="368" t="inlineStr">
        <is>
          <t>3-Year CAGR</t>
        </is>
      </c>
      <c r="C27" s="368" t="inlineStr">
        <is>
          <t>1-Year Return</t>
        </is>
      </c>
      <c r="E27" s="342" t="inlineStr">
        <is>
          <t>Debt Mutual Funds (Medium Duration)</t>
        </is>
      </c>
      <c r="F27" s="368" t="inlineStr">
        <is>
          <t>3-Year Return</t>
        </is>
      </c>
      <c r="G27" s="343" t="inlineStr">
        <is>
          <t>1-Year Return</t>
        </is>
      </c>
    </row>
    <row r="28">
      <c r="A28" s="340">
        <f>'Summary '!D12</f>
        <v/>
      </c>
      <c r="B28" s="366">
        <f>'Summary '!E12</f>
        <v/>
      </c>
      <c r="C28" s="366">
        <f>'Summary '!F12</f>
        <v/>
      </c>
      <c r="E28" s="460" t="inlineStr">
        <is>
          <t>NIFTY Medium Duration Debt Index A-III</t>
        </is>
      </c>
      <c r="F28" s="361" t="n">
        <v>0.0401</v>
      </c>
      <c r="G28" s="345" t="n">
        <v>0.0331</v>
      </c>
    </row>
    <row r="29" ht="25.5" customHeight="1">
      <c r="A29" s="340">
        <f>'Summary '!D13</f>
        <v/>
      </c>
      <c r="B29" s="366">
        <f>'Summary '!E13</f>
        <v/>
      </c>
      <c r="C29" s="366">
        <f>'Summary '!F13</f>
        <v/>
      </c>
      <c r="E29" s="342" t="inlineStr">
        <is>
          <t>Medium Term - Funds ( Return CAGR )</t>
        </is>
      </c>
      <c r="F29" s="368" t="inlineStr">
        <is>
          <t>3-Year Return</t>
        </is>
      </c>
      <c r="G29" s="343" t="inlineStr">
        <is>
          <t>1-Year Return</t>
        </is>
      </c>
    </row>
    <row r="30" ht="25.5" customHeight="1">
      <c r="A30" s="340">
        <f>'Summary '!D14</f>
        <v/>
      </c>
      <c r="B30" s="366">
        <f>'Summary '!E14</f>
        <v/>
      </c>
      <c r="C30" s="366">
        <f>'Summary '!F14</f>
        <v/>
      </c>
      <c r="E30" s="365">
        <f>'Summary '!J16</f>
        <v/>
      </c>
      <c r="F30" s="366">
        <f>'Summary '!K16</f>
        <v/>
      </c>
      <c r="G30" s="347">
        <f>'Summary '!L16</f>
        <v/>
      </c>
    </row>
    <row r="31" ht="25.5" customHeight="1">
      <c r="A31" s="457" t="inlineStr">
        <is>
          <t>SIP of 50000*36=1800000 , Maturity Value Would be</t>
        </is>
      </c>
      <c r="B31" s="376" t="n">
        <v>2767450</v>
      </c>
      <c r="C31" s="363" t="n"/>
      <c r="E31" s="365">
        <f>'Summary '!J17</f>
        <v/>
      </c>
      <c r="F31" s="366">
        <f>'Summary '!K17</f>
        <v/>
      </c>
      <c r="G31" s="347">
        <f>'Summary '!L17</f>
        <v/>
      </c>
    </row>
    <row r="32" ht="25.5" customHeight="1">
      <c r="A32" s="386" t="n"/>
      <c r="B32" s="362" t="n"/>
      <c r="C32" s="363" t="n"/>
      <c r="E32" s="365">
        <f>'Summary '!J18</f>
        <v/>
      </c>
      <c r="F32" s="366">
        <f>'Summary '!K18</f>
        <v/>
      </c>
      <c r="G32" s="347">
        <f>'Summary '!L18</f>
        <v/>
      </c>
    </row>
    <row r="33" ht="25.5" customHeight="1">
      <c r="A33" s="338" t="inlineStr">
        <is>
          <t>Small Cap - Funds</t>
        </is>
      </c>
      <c r="B33" s="368" t="inlineStr">
        <is>
          <t>3-Year Return</t>
        </is>
      </c>
      <c r="C33" s="368" t="inlineStr">
        <is>
          <t>1-Year Return</t>
        </is>
      </c>
      <c r="D33" s="331" t="n"/>
      <c r="G33" s="332" t="n"/>
    </row>
    <row r="34" ht="25.5" customHeight="1">
      <c r="A34" s="457" t="inlineStr">
        <is>
          <t>NIFTY Smallcap 100</t>
        </is>
      </c>
      <c r="B34" s="361" t="n">
        <v>0.2176</v>
      </c>
      <c r="C34" s="361" t="n">
        <v>0.009900000000000001</v>
      </c>
      <c r="D34" s="331" t="n"/>
      <c r="E34" s="342" t="inlineStr">
        <is>
          <t>Debt Mutual Funds (Medium to Long Duration)</t>
        </is>
      </c>
      <c r="F34" s="368" t="inlineStr">
        <is>
          <t>3-Year Return</t>
        </is>
      </c>
      <c r="G34" s="343" t="inlineStr">
        <is>
          <t>1-Year Return</t>
        </is>
      </c>
    </row>
    <row r="35">
      <c r="A35" s="349" t="inlineStr">
        <is>
          <t>Small Cap - Funds ( Return CAGR )</t>
        </is>
      </c>
      <c r="B35" s="368" t="inlineStr">
        <is>
          <t>3-Yr CAGR</t>
        </is>
      </c>
      <c r="C35" s="368" t="inlineStr">
        <is>
          <t>1-Yr Return</t>
        </is>
      </c>
      <c r="D35" s="331" t="n"/>
      <c r="E35" s="460" t="inlineStr">
        <is>
          <t>NIFTY Medium to Long Duration Debt Index</t>
        </is>
      </c>
      <c r="F35" s="361" t="n">
        <v>-0.0124</v>
      </c>
      <c r="G35" s="345" t="n">
        <v>0.0566</v>
      </c>
    </row>
    <row r="36" ht="25.5" customHeight="1">
      <c r="A36" s="340">
        <f>'Summary '!D16</f>
        <v/>
      </c>
      <c r="B36" s="366">
        <f>'Summary '!E16</f>
        <v/>
      </c>
      <c r="C36" s="366">
        <f>'Summary '!F16</f>
        <v/>
      </c>
      <c r="D36" s="331" t="n"/>
      <c r="E36" s="342" t="inlineStr">
        <is>
          <t>Medium to Long Term - Funds ( Return CAGR )</t>
        </is>
      </c>
      <c r="F36" s="368" t="inlineStr">
        <is>
          <t>3-Year Return</t>
        </is>
      </c>
      <c r="G36" s="343" t="inlineStr">
        <is>
          <t>1-Year Return</t>
        </is>
      </c>
    </row>
    <row r="37">
      <c r="A37" s="340">
        <f>'Summary '!D17</f>
        <v/>
      </c>
      <c r="B37" s="366">
        <f>'Summary '!E17</f>
        <v/>
      </c>
      <c r="C37" s="366">
        <f>'Summary '!F17</f>
        <v/>
      </c>
      <c r="D37" s="331" t="n"/>
      <c r="E37" s="365">
        <f>'Summary '!J20</f>
        <v/>
      </c>
      <c r="F37" s="366">
        <f>'Summary '!K20</f>
        <v/>
      </c>
      <c r="G37" s="347">
        <f>'Summary '!L20</f>
        <v/>
      </c>
    </row>
    <row r="38">
      <c r="A38" s="340">
        <f>'Summary '!D18</f>
        <v/>
      </c>
      <c r="B38" s="366">
        <f>'Summary '!E18</f>
        <v/>
      </c>
      <c r="C38" s="366">
        <f>'Summary '!F18</f>
        <v/>
      </c>
      <c r="D38" s="331" t="n"/>
      <c r="E38" s="365">
        <f>'Summary '!J21</f>
        <v/>
      </c>
      <c r="F38" s="366">
        <f>'Summary '!K21</f>
        <v/>
      </c>
      <c r="G38" s="347">
        <f>'Summary '!L21</f>
        <v/>
      </c>
    </row>
    <row r="39" ht="25.5" customHeight="1">
      <c r="A39" s="457" t="inlineStr">
        <is>
          <t>SIP of 50000*36=1800000 , Maturity Value Would be</t>
        </is>
      </c>
      <c r="B39" s="376" t="n">
        <v>2767450</v>
      </c>
      <c r="C39" s="363" t="n"/>
      <c r="D39" s="331" t="n"/>
      <c r="E39" s="365">
        <f>'Summary '!J22</f>
        <v/>
      </c>
      <c r="F39" s="366">
        <f>'Summary '!K22</f>
        <v/>
      </c>
      <c r="G39" s="347">
        <f>'Summary '!L22</f>
        <v/>
      </c>
    </row>
    <row r="40" ht="15" customHeight="1">
      <c r="A40" s="381" t="n"/>
      <c r="B40" s="362" t="n"/>
      <c r="C40" s="362" t="n"/>
      <c r="D40" s="333" t="n"/>
      <c r="E40" s="396" t="inlineStr">
        <is>
          <t>Others</t>
        </is>
      </c>
      <c r="F40" s="362" t="n"/>
      <c r="G40" s="378" t="n"/>
    </row>
    <row r="41" ht="25.5" customHeight="1">
      <c r="A41" s="338" t="inlineStr">
        <is>
          <t>Flexi Cap - Funds</t>
        </is>
      </c>
      <c r="B41" s="368" t="inlineStr">
        <is>
          <t>3-Year Return</t>
        </is>
      </c>
      <c r="C41" s="368" t="inlineStr">
        <is>
          <t>1-Year Return</t>
        </is>
      </c>
      <c r="D41" s="379" t="n"/>
      <c r="E41" s="368" t="inlineStr">
        <is>
          <t>Multi Asset</t>
        </is>
      </c>
      <c r="F41" s="368" t="inlineStr">
        <is>
          <t>3-Year Return</t>
        </is>
      </c>
      <c r="G41" s="343" t="inlineStr">
        <is>
          <t>1-Year Return</t>
        </is>
      </c>
    </row>
    <row r="42" ht="25.5" customHeight="1">
      <c r="A42" s="340">
        <f>'Summary '!D20</f>
        <v/>
      </c>
      <c r="B42" s="366">
        <f>'Summary '!E20</f>
        <v/>
      </c>
      <c r="C42" s="366">
        <f>'Summary '!F20</f>
        <v/>
      </c>
      <c r="D42" s="379" t="n"/>
      <c r="E42" s="459" t="inlineStr">
        <is>
          <t>Nifty 500</t>
        </is>
      </c>
      <c r="F42" s="361" t="n">
        <v>0.141</v>
      </c>
      <c r="G42" s="361" t="n">
        <v>0.0023</v>
      </c>
    </row>
    <row r="43">
      <c r="A43" s="340">
        <f>'Summary '!D21</f>
        <v/>
      </c>
      <c r="B43" s="366">
        <f>'Summary '!E21</f>
        <v/>
      </c>
      <c r="C43" s="366">
        <f>'Summary '!F21</f>
        <v/>
      </c>
      <c r="D43" s="379" t="n"/>
      <c r="E43" s="365">
        <f>'Summary '!D28</f>
        <v/>
      </c>
      <c r="F43" s="366">
        <f>'Summary '!E28</f>
        <v/>
      </c>
      <c r="G43" s="347">
        <f>'Summary '!F28</f>
        <v/>
      </c>
    </row>
    <row r="44" ht="25.5" customHeight="1">
      <c r="A44" s="340">
        <f>'Summary '!D22</f>
        <v/>
      </c>
      <c r="B44" s="366">
        <f>'Summary '!E22</f>
        <v/>
      </c>
      <c r="C44" s="366">
        <f>'Summary '!F22</f>
        <v/>
      </c>
      <c r="D44" s="379" t="n"/>
      <c r="E44" s="365">
        <f>'Summary '!D29</f>
        <v/>
      </c>
      <c r="F44" s="366">
        <f>'Summary '!E29</f>
        <v/>
      </c>
      <c r="G44" s="347">
        <f>'Summary '!F29</f>
        <v/>
      </c>
    </row>
    <row r="45" ht="25.5" customHeight="1">
      <c r="A45" s="457" t="inlineStr">
        <is>
          <t>SIP of 50000*36=1800000 , Maturity Value Would be</t>
        </is>
      </c>
      <c r="B45" s="376" t="n">
        <v>2669566</v>
      </c>
      <c r="C45" s="363" t="n"/>
      <c r="D45" s="379" t="n"/>
      <c r="E45" s="365">
        <f>'Summary '!D30</f>
        <v/>
      </c>
      <c r="F45" s="366">
        <f>'Summary '!E30</f>
        <v/>
      </c>
      <c r="G45" s="347">
        <f>'Summary '!F30</f>
        <v/>
      </c>
    </row>
    <row r="46">
      <c r="A46" s="334" t="n"/>
      <c r="B46" s="335" t="n"/>
      <c r="C46" s="335" t="n"/>
      <c r="D46" s="333" t="n"/>
      <c r="E46" s="333" t="n"/>
      <c r="F46" s="333" t="n"/>
      <c r="G46" s="336" t="n"/>
    </row>
    <row r="47" ht="25.5" customHeight="1">
      <c r="A47" s="338" t="inlineStr">
        <is>
          <t>Thematic</t>
        </is>
      </c>
      <c r="B47" s="368" t="inlineStr">
        <is>
          <t>3-Year Return</t>
        </is>
      </c>
      <c r="C47" s="343" t="inlineStr">
        <is>
          <t>1-Year Return</t>
        </is>
      </c>
      <c r="D47" s="337" t="n"/>
      <c r="E47" s="368" t="inlineStr">
        <is>
          <t>BAF</t>
        </is>
      </c>
      <c r="F47" s="368" t="inlineStr">
        <is>
          <t>3-Year Return</t>
        </is>
      </c>
      <c r="G47" s="343" t="inlineStr">
        <is>
          <t>1-Year Return</t>
        </is>
      </c>
    </row>
    <row r="48">
      <c r="A48" s="458" t="inlineStr">
        <is>
          <t>Nifty 500</t>
        </is>
      </c>
      <c r="B48" s="361" t="n">
        <v>0.141</v>
      </c>
      <c r="C48" s="361" t="n">
        <v>0.0023</v>
      </c>
      <c r="D48" s="337" t="n"/>
      <c r="E48" s="459" t="inlineStr">
        <is>
          <t>Nifty 50</t>
        </is>
      </c>
      <c r="F48" s="361" t="n">
        <v>0.011</v>
      </c>
      <c r="G48" s="361" t="n">
        <v>-0.0351</v>
      </c>
    </row>
    <row r="49" ht="25.5" customHeight="1">
      <c r="A49" s="340">
        <f>'Summary '!D43</f>
        <v/>
      </c>
      <c r="B49" s="366">
        <f>'Summary '!E43</f>
        <v/>
      </c>
      <c r="C49" s="347">
        <f>'Summary '!F43</f>
        <v/>
      </c>
      <c r="D49" s="337" t="n"/>
      <c r="E49" s="365">
        <f>'Summary '!D24</f>
        <v/>
      </c>
      <c r="F49" s="366">
        <f>'Summary '!E24</f>
        <v/>
      </c>
      <c r="G49" s="347">
        <f>'Summary '!F24</f>
        <v/>
      </c>
    </row>
    <row r="50" ht="25.5" customHeight="1">
      <c r="A50" s="340">
        <f>'Summary '!D44</f>
        <v/>
      </c>
      <c r="B50" s="366">
        <f>'Summary '!E44</f>
        <v/>
      </c>
      <c r="C50" s="347">
        <f>'Summary '!F44</f>
        <v/>
      </c>
      <c r="D50" s="337" t="n"/>
      <c r="E50" s="365">
        <f>'Summary '!D25</f>
        <v/>
      </c>
      <c r="F50" s="366">
        <f>'Summary '!E25</f>
        <v/>
      </c>
      <c r="G50" s="347">
        <f>'Summary '!F25</f>
        <v/>
      </c>
    </row>
    <row r="51" ht="25.5" customHeight="1">
      <c r="A51" s="340">
        <f>'Summary '!D45</f>
        <v/>
      </c>
      <c r="B51" s="366">
        <f>'Summary '!E45</f>
        <v/>
      </c>
      <c r="C51" s="351">
        <f>'Summary '!F45</f>
        <v/>
      </c>
      <c r="D51" s="337" t="n"/>
      <c r="E51" s="365">
        <f>'Summary '!D26</f>
        <v/>
      </c>
      <c r="F51" s="366">
        <f>'Summary '!E26</f>
        <v/>
      </c>
      <c r="G51" s="347">
        <f>'Summary '!F26</f>
        <v/>
      </c>
    </row>
    <row r="52">
      <c r="A52" s="352" t="n"/>
      <c r="B52" s="353" t="n"/>
      <c r="C52" s="353" t="n"/>
      <c r="D52" s="353" t="n"/>
      <c r="E52" s="353" t="n"/>
      <c r="F52" s="353" t="n"/>
      <c r="G52" s="354" t="inlineStr">
        <is>
          <t>Page 1</t>
        </is>
      </c>
    </row>
  </sheetData>
  <mergeCells count="26">
    <mergeCell ref="A8:D8"/>
    <mergeCell ref="E19:G19"/>
    <mergeCell ref="B7:C7"/>
    <mergeCell ref="E40:G40"/>
    <mergeCell ref="B31:C31"/>
    <mergeCell ref="A10:D10"/>
    <mergeCell ref="D5:G5"/>
    <mergeCell ref="B39:C39"/>
    <mergeCell ref="A32:C32"/>
    <mergeCell ref="B23:C23"/>
    <mergeCell ref="E26:G26"/>
    <mergeCell ref="B17:C17"/>
    <mergeCell ref="A4:C4"/>
    <mergeCell ref="A40:C40"/>
    <mergeCell ref="A9:C9"/>
    <mergeCell ref="E12:G12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7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B2" sqref="B2:E23"/>
    </sheetView>
  </sheetViews>
  <sheetFormatPr baseColWidth="8" defaultColWidth="8.7109375" defaultRowHeight="12.75"/>
  <cols>
    <col width="8.7109375" customWidth="1" style="355" min="1" max="1"/>
    <col width="24.42578125" bestFit="1" customWidth="1" style="355" min="2" max="2"/>
    <col width="11.85546875" customWidth="1" style="355" min="3" max="3"/>
    <col width="15.140625" bestFit="1" customWidth="1" style="355" min="4" max="4"/>
    <col width="12" customWidth="1" style="355" min="5" max="5"/>
    <col width="8.7109375" customWidth="1" style="355" min="6" max="9"/>
    <col width="8.7109375" customWidth="1" style="355" min="10" max="16384"/>
  </cols>
  <sheetData>
    <row r="2" ht="15" customHeight="1">
      <c r="B2" s="372" t="inlineStr">
        <is>
          <t>Financial Product Catalog: A Ready Reckoner , As on 26th June 2026</t>
        </is>
      </c>
      <c r="C2" s="362" t="n"/>
      <c r="D2" s="362" t="n"/>
      <c r="E2" s="363" t="n"/>
    </row>
    <row r="3" ht="15" customHeight="1">
      <c r="B3" s="371" t="n"/>
      <c r="C3" s="362" t="n"/>
      <c r="D3" s="362" t="n"/>
      <c r="E3" s="363" t="n"/>
    </row>
    <row r="4" ht="15" customHeight="1">
      <c r="B4" s="370" t="inlineStr">
        <is>
          <t>Credit ratings assessed by (e.g., CRISIL, ICRA, CARE)</t>
        </is>
      </c>
      <c r="C4" s="362" t="n"/>
      <c r="D4" s="362" t="n"/>
      <c r="E4" s="363" t="n"/>
    </row>
    <row r="5" ht="15" customHeight="1">
      <c r="B5" s="367" t="n"/>
      <c r="C5" s="362" t="n"/>
      <c r="D5" s="362" t="n"/>
      <c r="E5" s="363" t="n"/>
    </row>
    <row r="6" ht="15" customHeight="1">
      <c r="B6" s="369" t="inlineStr">
        <is>
          <t>Corporate FD's</t>
        </is>
      </c>
      <c r="C6" s="362" t="n"/>
      <c r="D6" s="362" t="n"/>
      <c r="E6" s="363" t="n"/>
    </row>
    <row r="7" ht="25.5" customHeight="1">
      <c r="B7" s="368" t="inlineStr">
        <is>
          <t>Institution</t>
        </is>
      </c>
      <c r="C7" s="368" t="inlineStr">
        <is>
          <t>3-Year FD Rate</t>
        </is>
      </c>
      <c r="D7" s="363" t="n"/>
      <c r="E7" s="368" t="inlineStr">
        <is>
          <t>1-Year FD Rate</t>
        </is>
      </c>
    </row>
    <row r="8" ht="15" customHeight="1">
      <c r="B8" s="356" t="inlineStr">
        <is>
          <t>SBI Bank FD</t>
        </is>
      </c>
      <c r="C8" s="373" t="inlineStr">
        <is>
          <t>6.30% - 6.80%</t>
        </is>
      </c>
      <c r="D8" s="363" t="n"/>
      <c r="E8" s="373" t="inlineStr">
        <is>
          <t>6.25% - 6.75%</t>
        </is>
      </c>
    </row>
    <row r="9" ht="13.5" customHeight="1">
      <c r="B9" s="365" t="inlineStr">
        <is>
          <t>Shriram Finance</t>
        </is>
      </c>
      <c r="C9" s="364" t="inlineStr">
        <is>
          <t>7.25% – 7.75%</t>
        </is>
      </c>
      <c r="D9" s="363" t="n"/>
      <c r="E9" s="364" t="inlineStr">
        <is>
          <t>6.75% – 7.25%</t>
        </is>
      </c>
    </row>
    <row r="10" ht="13.5" customHeight="1">
      <c r="B10" s="365" t="inlineStr">
        <is>
          <t>Bajaj Finance</t>
        </is>
      </c>
      <c r="C10" s="364" t="inlineStr">
        <is>
          <t>7.40% – 7.75%</t>
        </is>
      </c>
      <c r="D10" s="363" t="n"/>
      <c r="E10" s="364" t="inlineStr">
        <is>
          <t>6.60% – 6.95%</t>
        </is>
      </c>
    </row>
    <row r="11" ht="13.5" customHeight="1">
      <c r="B11" s="359" t="inlineStr">
        <is>
          <t>PNB Housing Finance</t>
        </is>
      </c>
      <c r="C11" s="364" t="inlineStr">
        <is>
          <t>6.90% – 7.15%</t>
        </is>
      </c>
      <c r="D11" s="363" t="n"/>
      <c r="E11" s="364" t="inlineStr">
        <is>
          <t>6.60% – 6.85%</t>
        </is>
      </c>
    </row>
    <row r="12" ht="13.5" customHeight="1">
      <c r="B12" s="365" t="inlineStr">
        <is>
          <t>ICICI Home Finance</t>
        </is>
      </c>
      <c r="C12" s="366" t="inlineStr">
        <is>
          <t>6.90% -7.25%</t>
        </is>
      </c>
      <c r="D12" s="363" t="n"/>
      <c r="E12" s="364" t="inlineStr">
        <is>
          <t>6.75% – 7.10%</t>
        </is>
      </c>
    </row>
    <row r="13" ht="13.5" customHeight="1">
      <c r="B13" s="359" t="inlineStr">
        <is>
          <t>LIC Housing Finance</t>
        </is>
      </c>
      <c r="C13" s="366" t="inlineStr">
        <is>
          <t>6.85% -7.10%</t>
        </is>
      </c>
      <c r="D13" s="363" t="n"/>
      <c r="E13" s="364" t="inlineStr">
        <is>
          <t>6.70% – 6.95%</t>
        </is>
      </c>
    </row>
    <row r="14" ht="15" customHeight="1">
      <c r="B14" s="369" t="inlineStr">
        <is>
          <t>Capital Gain Bonds/NCD</t>
        </is>
      </c>
      <c r="C14" s="362" t="n"/>
      <c r="D14" s="362" t="n"/>
      <c r="E14" s="363" t="n"/>
    </row>
    <row r="15" ht="15" customHeight="1">
      <c r="B15" s="368" t="inlineStr">
        <is>
          <t>Index Name</t>
        </is>
      </c>
      <c r="C15" s="368" t="inlineStr">
        <is>
          <t>5-Year Return</t>
        </is>
      </c>
      <c r="D15" s="362" t="n"/>
      <c r="E15" s="363" t="n"/>
    </row>
    <row r="16" ht="25.5" customHeight="1">
      <c r="B16" s="460" t="inlineStr">
        <is>
          <t>NIFTY 10 Year Benchmark G-Sec Index</t>
        </is>
      </c>
      <c r="C16" s="361" t="n">
        <v>0.0552</v>
      </c>
      <c r="D16" s="362" t="n"/>
      <c r="E16" s="363" t="n"/>
    </row>
    <row r="17" ht="15" customHeight="1">
      <c r="B17" s="368" t="inlineStr">
        <is>
          <t>Issuer</t>
        </is>
      </c>
      <c r="C17" s="368" t="inlineStr">
        <is>
          <t>Interest Rate</t>
        </is>
      </c>
      <c r="D17" s="368" t="inlineStr">
        <is>
          <t>Tenure</t>
        </is>
      </c>
      <c r="E17" s="363" t="n"/>
    </row>
    <row r="18" ht="15" customHeight="1">
      <c r="B18" s="365" t="inlineStr">
        <is>
          <t>IRFC</t>
        </is>
      </c>
      <c r="C18" s="364" t="inlineStr">
        <is>
          <t>5.25% p.a.</t>
        </is>
      </c>
      <c r="D18" s="364" t="inlineStr">
        <is>
          <t>5 years</t>
        </is>
      </c>
      <c r="E18" s="363" t="n"/>
    </row>
    <row r="19" ht="15" customHeight="1">
      <c r="B19" s="365" t="inlineStr">
        <is>
          <t>PFC</t>
        </is>
      </c>
      <c r="C19" s="364" t="inlineStr">
        <is>
          <t>5.25% p.a.</t>
        </is>
      </c>
      <c r="D19" s="364" t="inlineStr">
        <is>
          <t>5 years</t>
        </is>
      </c>
      <c r="E19" s="363" t="n"/>
    </row>
    <row r="20" ht="15" customHeight="1">
      <c r="B20" s="365" t="inlineStr">
        <is>
          <t>REC</t>
        </is>
      </c>
      <c r="C20" s="364" t="inlineStr">
        <is>
          <t>5.25% p.a.</t>
        </is>
      </c>
      <c r="D20" s="364" t="inlineStr">
        <is>
          <t>5 years</t>
        </is>
      </c>
      <c r="E20" s="363" t="n"/>
    </row>
    <row r="21" ht="15" customHeight="1">
      <c r="B21" s="367" t="n"/>
      <c r="C21" s="362" t="n"/>
      <c r="D21" s="362" t="n"/>
      <c r="E21" s="363" t="n"/>
    </row>
    <row r="22" ht="15" customHeight="1">
      <c r="B22" s="369" t="inlineStr">
        <is>
          <t>RBI Floating Rate Savings Bond</t>
        </is>
      </c>
      <c r="C22" s="363" t="n"/>
      <c r="D22" s="369" t="inlineStr">
        <is>
          <t>Interest Rate</t>
        </is>
      </c>
      <c r="E22" s="363" t="n"/>
    </row>
    <row r="23" ht="15" customHeight="1">
      <c r="B23" s="364" t="inlineStr">
        <is>
          <t>HDFC</t>
        </is>
      </c>
      <c r="C23" s="363" t="n"/>
      <c r="D23" s="364" t="inlineStr">
        <is>
          <t>8.05% p.a.</t>
        </is>
      </c>
      <c r="E23" s="363" t="n"/>
    </row>
    <row r="24">
      <c r="F24" s="360" t="n"/>
      <c r="G24" s="360" t="n"/>
      <c r="H24" s="360" t="n"/>
      <c r="I24" s="360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19"/>
    <col width="8.7109375" customWidth="1" style="115" min="20" max="16384"/>
  </cols>
  <sheetData>
    <row r="1" ht="15" customHeight="1" thickBot="1"/>
    <row r="2">
      <c r="B2" s="400" t="inlineStr">
        <is>
          <t>Equity</t>
        </is>
      </c>
      <c r="C2" s="401" t="n"/>
      <c r="D2" s="401" t="n"/>
      <c r="E2" s="401" t="n"/>
      <c r="F2" s="402" t="n"/>
      <c r="H2" s="400" t="inlineStr">
        <is>
          <t>Debt</t>
        </is>
      </c>
      <c r="I2" s="401" t="n"/>
      <c r="J2" s="401" t="n"/>
      <c r="K2" s="401" t="n"/>
      <c r="L2" s="40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9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9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9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9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9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9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9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9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9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9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9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9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>
      <c r="B12" s="39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9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9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9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9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9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>
      <c r="B16" s="39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9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9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9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>
      <c r="B18" s="39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9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9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40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>
      <c r="B21" s="39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9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9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40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9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9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9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40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9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9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40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9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9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9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9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9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9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9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9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9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40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9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40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19"/>
    <col width="8.7109375" customWidth="1" style="15" min="20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411" t="inlineStr">
        <is>
          <t>Investor Profile</t>
        </is>
      </c>
      <c r="J3" s="408" t="n"/>
      <c r="K3" s="408" t="n"/>
      <c r="L3" s="408" t="n"/>
    </row>
    <row r="4" ht="14.45" customHeight="1" thickBot="1">
      <c r="B4" s="410" t="inlineStr">
        <is>
          <t>Personal &amp; Financial Information</t>
        </is>
      </c>
      <c r="C4" s="401" t="n"/>
      <c r="D4" s="401" t="n"/>
      <c r="E4" s="40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407" t="inlineStr">
        <is>
          <t>Model Portfolio</t>
        </is>
      </c>
      <c r="J18" s="408" t="n"/>
      <c r="K18" s="408" t="n"/>
      <c r="L18" s="40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410" t="inlineStr">
        <is>
          <t>Investment Objective</t>
        </is>
      </c>
      <c r="C25" s="401" t="n"/>
      <c r="D25" s="401" t="n"/>
      <c r="E25" s="40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410" t="inlineStr">
        <is>
          <t>Risk Appetite</t>
        </is>
      </c>
      <c r="C34" s="401" t="n"/>
      <c r="D34" s="401" t="n"/>
      <c r="E34" s="40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410" t="inlineStr">
        <is>
          <t>Market Experience</t>
        </is>
      </c>
      <c r="C37" s="401" t="n"/>
      <c r="D37" s="401" t="n"/>
      <c r="E37" s="40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420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417">
        <f>HLOOKUP('Investor Persona'!$E$4, 'Investor Profile'!$I$19:$L$23,F$2,FALSE)</f>
        <v/>
      </c>
      <c r="G4" s="417">
        <f>HLOOKUP('Investor Persona'!$E$4, 'Investor Profile'!$I$19:$L$23,G$2,FALSE)</f>
        <v/>
      </c>
      <c r="H4" s="417">
        <f>HLOOKUP('Investor Persona'!$E$4, 'Investor Profile'!$I$19:$L$23,H$2,FALSE)</f>
        <v/>
      </c>
      <c r="I4" s="41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420">
        <f>IF(SUM($D$5:$D$7)&lt;5,"Limited Resources",IF(SUM($D$5:$D$7)&lt;=8,"Stable Financials",IF(SUM($D$5:$D$7)&lt;=12,"Affluent",IF(SUM($D$5:$D$7)&gt;=13,"HNI/UHNI",""))))</f>
        <v/>
      </c>
      <c r="F5" s="417">
        <f>HLOOKUP('Investor Persona'!$E$5, 'Investor Profile'!$I$24:$L$28,F$2,FALSE)</f>
        <v/>
      </c>
      <c r="G5" s="417">
        <f>HLOOKUP('Investor Persona'!$E$5, 'Investor Profile'!$I$24:$L$28,G$2,FALSE)</f>
        <v/>
      </c>
      <c r="H5" s="417">
        <f>HLOOKUP('Investor Persona'!$E$5, 'Investor Profile'!$I$24:$L$28,H$2,FALSE)</f>
        <v/>
      </c>
      <c r="I5" s="41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421" t="n"/>
      <c r="F6" s="418" t="n"/>
      <c r="G6" s="418" t="n"/>
      <c r="H6" s="418" t="n"/>
      <c r="I6" s="41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22" t="n"/>
      <c r="F7" s="419" t="n"/>
      <c r="G7" s="419" t="n"/>
      <c r="H7" s="419" t="n"/>
      <c r="I7" s="41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420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417">
        <f>HLOOKUP('Investor Persona'!$E$8, 'Investor Profile'!$I$29:$L$33,F$2,FALSE)</f>
        <v/>
      </c>
      <c r="G8" s="417">
        <f>HLOOKUP('Investor Persona'!$E$8, 'Investor Profile'!$I$29:$L$33,G$2,FALSE)</f>
        <v/>
      </c>
      <c r="H8" s="417">
        <f>HLOOKUP('Investor Persona'!$E$8, 'Investor Profile'!$I$29:$L$33,H$2,FALSE)</f>
        <v/>
      </c>
      <c r="I8" s="41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420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417">
        <f>HLOOKUP('Investor Persona'!$E$9, 'Investor Profile'!$I$34:$L$38,F$2,FALSE)</f>
        <v/>
      </c>
      <c r="G9" s="417">
        <f>HLOOKUP('Investor Persona'!$E$9, 'Investor Profile'!$I$34:$L$38,G$2,FALSE)</f>
        <v/>
      </c>
      <c r="H9" s="417">
        <f>HLOOKUP('Investor Persona'!$E$9, 'Investor Profile'!$I$34:$L$38,H$2,FALSE)</f>
        <v/>
      </c>
      <c r="I9" s="41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417">
        <f>HLOOKUP('Investor Persona'!$E$10,'Investor Profile'!$I$39:$J$43,F$2,FALSE)</f>
        <v/>
      </c>
      <c r="G10" s="417">
        <f>HLOOKUP('Investor Persona'!$E$10,'Investor Profile'!$I$39:$J$43,G$2,FALSE)</f>
        <v/>
      </c>
      <c r="H10" s="417">
        <f>HLOOKUP('Investor Persona'!$E$10,'Investor Profile'!$I$39:$J$43,H$2,FALSE)</f>
        <v/>
      </c>
      <c r="I10" s="41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420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415">
        <f>HLOOKUP('Investor Persona'!$E$11,'Investor Profile'!$I$44:$L$48,F$2,FALSE)</f>
        <v/>
      </c>
      <c r="G11" s="415">
        <f>HLOOKUP('Investor Persona'!$E$11,'Investor Profile'!$I$44:$L$48,G$2,FALSE)</f>
        <v/>
      </c>
      <c r="H11" s="415">
        <f>HLOOKUP('Investor Persona'!$E$11,'Investor Profile'!$I$44:$L$48,H$2,FALSE)</f>
        <v/>
      </c>
      <c r="I11" s="423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22" t="n"/>
      <c r="F12" s="416" t="n"/>
      <c r="G12" s="416" t="n"/>
      <c r="H12" s="416" t="n"/>
      <c r="I12" s="424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25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5" t="inlineStr">
        <is>
          <t>Normalized</t>
        </is>
      </c>
      <c r="N4" s="426" t="n"/>
      <c r="O4" s="426" t="n"/>
      <c r="P4" s="426" t="n"/>
      <c r="Q4" s="426" t="n"/>
      <c r="R4" s="426" t="n"/>
      <c r="S4" s="426" t="n"/>
      <c r="T4" s="426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30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-3.5108</v>
      </c>
      <c r="F6" s="248" t="n">
        <v>10.818</v>
      </c>
      <c r="G6" s="248" t="n">
        <v>11.0272</v>
      </c>
      <c r="H6" s="248" t="n">
        <v>11.6726</v>
      </c>
      <c r="I6" s="248" t="n">
        <v>0.043269173718464</v>
      </c>
      <c r="J6" s="248" t="n">
        <v>-0.249273672090025</v>
      </c>
      <c r="K6" s="248" t="n">
        <v>0.965073130510584</v>
      </c>
      <c r="L6" s="248" t="n">
        <v>13.0578171150772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-1.7376</v>
      </c>
      <c r="F7" s="248" t="n">
        <v>11.1786</v>
      </c>
      <c r="G7" s="248" t="n">
        <v>12.5332</v>
      </c>
      <c r="H7" s="248" t="n">
        <v>12.7008</v>
      </c>
      <c r="I7" s="249" t="n">
        <v>0.0453040780379629</v>
      </c>
      <c r="J7" s="249" t="n">
        <v>-0.218892250189612</v>
      </c>
      <c r="K7" s="249" t="n">
        <v>0.9607941597427631</v>
      </c>
      <c r="L7" s="249" t="n">
        <v>13.062224172863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-2.2619</v>
      </c>
      <c r="F8" s="248" t="n">
        <v>13.3058</v>
      </c>
      <c r="G8" s="248" t="n">
        <v>13.4689</v>
      </c>
      <c r="H8" s="248" t="n">
        <v>13.6005</v>
      </c>
      <c r="I8" s="249" t="n">
        <v>0.0595253711667088</v>
      </c>
      <c r="J8" s="249" t="n">
        <v>-0.039833830523525</v>
      </c>
      <c r="K8" s="249" t="n">
        <v>0.93476805864428</v>
      </c>
      <c r="L8" s="249" t="n">
        <v>12.5807040349682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-2.0433</v>
      </c>
      <c r="F9" s="248" t="n">
        <v>11.3725</v>
      </c>
      <c r="G9" s="248" t="n">
        <v>10.6377</v>
      </c>
      <c r="H9" s="248" t="n">
        <v>12.1893</v>
      </c>
      <c r="I9" s="249" t="n">
        <v>0.0441860115699</v>
      </c>
      <c r="J9" s="249" t="n">
        <v>-0.233455803786293</v>
      </c>
      <c r="K9" s="249" t="n">
        <v>0.969306378747434</v>
      </c>
      <c r="L9" s="249" t="n">
        <v>13.2256925286363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-1.1888</v>
      </c>
      <c r="F10" s="248" t="n">
        <v>13.5064</v>
      </c>
      <c r="G10" s="248" t="n">
        <v>15.3112</v>
      </c>
      <c r="H10" s="248" t="n">
        <v>14.1928</v>
      </c>
      <c r="I10" s="249" t="n">
        <v>0.0584203382731081</v>
      </c>
      <c r="J10" s="249" t="n">
        <v>-0.0450524471855435</v>
      </c>
      <c r="K10" s="249" t="n">
        <v>0.954821965443775</v>
      </c>
      <c r="L10" s="249" t="n">
        <v>13.0194131638543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0.9096</v>
      </c>
      <c r="F11" s="248" t="n">
        <v>10.6537</v>
      </c>
      <c r="G11" s="248" t="n">
        <v>11.3848</v>
      </c>
      <c r="H11" s="248" t="n">
        <v>12.0264</v>
      </c>
      <c r="I11" s="249" t="n">
        <v>0.0429896682206237</v>
      </c>
      <c r="J11" s="249" t="n">
        <v>-0.249561657815183</v>
      </c>
      <c r="K11" s="249" t="n">
        <v>0.933387091251787</v>
      </c>
      <c r="L11" s="249" t="n">
        <v>12.5147090025754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-5.2442</v>
      </c>
      <c r="F12" s="251" t="n">
        <v>8.268800000000001</v>
      </c>
      <c r="G12" s="251" t="n">
        <v>8.414300000000001</v>
      </c>
      <c r="H12" s="251" t="n">
        <v>11.0563</v>
      </c>
      <c r="I12" s="250" t="n">
        <v>0.029177099114558</v>
      </c>
      <c r="J12" s="250" t="n">
        <v>-0.41230577765656</v>
      </c>
      <c r="K12" s="250" t="n">
        <v>0.9181776836558539</v>
      </c>
      <c r="L12" s="250" t="n">
        <v>12.4215848679621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25" t="inlineStr">
        <is>
          <t>Actuals</t>
        </is>
      </c>
      <c r="F15" s="426" t="n"/>
      <c r="G15" s="426" t="n"/>
      <c r="H15" s="426" t="n"/>
      <c r="I15" s="426" t="n"/>
      <c r="J15" s="426" t="n"/>
      <c r="K15" s="426" t="n"/>
      <c r="L15" s="426" t="n"/>
      <c r="M15" s="425" t="inlineStr">
        <is>
          <t>Normalized</t>
        </is>
      </c>
      <c r="N15" s="426" t="n"/>
      <c r="O15" s="426" t="n"/>
      <c r="P15" s="426" t="n"/>
      <c r="Q15" s="426" t="n"/>
      <c r="R15" s="426" t="n"/>
      <c r="S15" s="426" t="n"/>
      <c r="T15" s="426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3.4584</v>
      </c>
      <c r="F17" s="252" t="n">
        <v>14.5413</v>
      </c>
      <c r="G17" s="248" t="n">
        <v>14.2098</v>
      </c>
      <c r="H17" s="248" t="n">
        <v>14.7781</v>
      </c>
      <c r="I17" s="249" t="n">
        <v>0.06462536413482529</v>
      </c>
      <c r="J17" s="249" t="n">
        <v>-0.282313402995424</v>
      </c>
      <c r="K17" s="249" t="n">
        <v>0.8387165353279989</v>
      </c>
      <c r="L17" s="249" t="n">
        <v>12.7062276292041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2.3967</v>
      </c>
      <c r="F18" s="252" t="n">
        <v>15.4685</v>
      </c>
      <c r="G18" s="248" t="n">
        <v>14.4415</v>
      </c>
      <c r="H18" s="248" t="n">
        <v>15.1444</v>
      </c>
      <c r="I18" s="249" t="n">
        <v>0.0630340123325263</v>
      </c>
      <c r="J18" s="249" t="n">
        <v>-0.306838198675671</v>
      </c>
      <c r="K18" s="249" t="n">
        <v>0.897863659195689</v>
      </c>
      <c r="L18" s="249" t="n">
        <v>14.4252613576383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-0.0275</v>
      </c>
      <c r="F19" s="252" t="n">
        <v>15.6648</v>
      </c>
      <c r="G19" s="248" t="n">
        <v>15.9392</v>
      </c>
      <c r="H19" s="248" t="n">
        <v>14.6782</v>
      </c>
      <c r="I19" s="249" t="n">
        <v>0.0637536468371392</v>
      </c>
      <c r="J19" s="249" t="n">
        <v>-0.408042505174736</v>
      </c>
      <c r="K19" s="249" t="n">
        <v>1.02589431883355</v>
      </c>
      <c r="L19" s="249" t="n">
        <v>15.3950438282093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1.7667</v>
      </c>
      <c r="F20" s="252" t="n">
        <v>17.3411</v>
      </c>
      <c r="G20" s="248" t="n">
        <v>17.5651</v>
      </c>
      <c r="H20" s="248" t="n">
        <v>15.2345</v>
      </c>
      <c r="I20" s="249" t="n">
        <v>0.0793959545629717</v>
      </c>
      <c r="J20" s="249" t="n">
        <v>-0.134352876518498</v>
      </c>
      <c r="K20" s="249" t="n">
        <v>0.8522736812478729</v>
      </c>
      <c r="L20" s="249" t="n">
        <v>12.847224196572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0.7356</v>
      </c>
      <c r="F21" s="252" t="n">
        <v>17.0799</v>
      </c>
      <c r="G21" s="248" t="n">
        <v>15.2559</v>
      </c>
      <c r="H21" s="248" t="n">
        <v>12.9945</v>
      </c>
      <c r="I21" s="249" t="n">
        <v>0.0703107942647722</v>
      </c>
      <c r="J21" s="249" t="n">
        <v>-0.273384998156708</v>
      </c>
      <c r="K21" s="249" t="n">
        <v>0.973278395381894</v>
      </c>
      <c r="L21" s="249" t="n">
        <v>14.8608979322054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2.3081</v>
      </c>
      <c r="F22" s="252" t="n">
        <v>12.6192</v>
      </c>
      <c r="G22" s="248" t="n">
        <v>9.165800000000001</v>
      </c>
      <c r="H22" s="248" t="n">
        <v>11.4467</v>
      </c>
      <c r="I22" s="249" t="n">
        <v>0.0470079162061227</v>
      </c>
      <c r="J22" s="249" t="n">
        <v>-0.608086299564544</v>
      </c>
      <c r="K22" s="249" t="n">
        <v>0.978746714164711</v>
      </c>
      <c r="L22" s="249" t="n">
        <v>15.2652342837372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1.4682</v>
      </c>
      <c r="F23" s="254" t="n">
        <v>17.5232</v>
      </c>
      <c r="G23" s="251" t="n">
        <v>15.3713</v>
      </c>
      <c r="H23" s="251" t="n">
        <v>13.9676</v>
      </c>
      <c r="I23" s="250" t="n">
        <v>0.0775652333197831</v>
      </c>
      <c r="J23" s="250" t="n">
        <v>-0.168937705725515</v>
      </c>
      <c r="K23" s="250" t="n">
        <v>0.94097007223392</v>
      </c>
      <c r="L23" s="250" t="n">
        <v>14.2534026500214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25" t="inlineStr">
        <is>
          <t>Actuals</t>
        </is>
      </c>
      <c r="F26" s="426" t="n"/>
      <c r="G26" s="426" t="n"/>
      <c r="H26" s="426" t="n"/>
      <c r="I26" s="426" t="n"/>
      <c r="J26" s="426" t="n"/>
      <c r="K26" s="426" t="n"/>
      <c r="L26" s="426" t="n"/>
      <c r="M26" s="425" t="inlineStr">
        <is>
          <t>Normalized</t>
        </is>
      </c>
      <c r="N26" s="426" t="n"/>
      <c r="O26" s="426" t="n"/>
      <c r="P26" s="426" t="n"/>
      <c r="Q26" s="426" t="n"/>
      <c r="R26" s="426" t="n"/>
      <c r="S26" s="426" t="n"/>
      <c r="T26" s="426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42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5.2219</v>
      </c>
      <c r="F28" s="248" t="n">
        <v>20.2535</v>
      </c>
      <c r="G28" s="248" t="n">
        <v>19.895</v>
      </c>
      <c r="H28" s="248" t="n">
        <v>17.7039</v>
      </c>
      <c r="I28" s="249" t="n">
        <v>0.0900293832137225</v>
      </c>
      <c r="J28" s="249" t="n">
        <v>-0.224446007573051</v>
      </c>
      <c r="K28" s="249" t="n">
        <v>0.840470561535397</v>
      </c>
      <c r="L28" s="249" t="n">
        <v>14.8116168812544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6.4515</v>
      </c>
      <c r="F29" s="248" t="n">
        <v>19.9624</v>
      </c>
      <c r="G29" s="248" t="n">
        <v>17.2785</v>
      </c>
      <c r="H29" s="248" t="n">
        <v>17.4377</v>
      </c>
      <c r="I29" s="249" t="n">
        <v>0.0748519288619153</v>
      </c>
      <c r="J29" s="249" t="n">
        <v>-0.430714670643022</v>
      </c>
      <c r="K29" s="249" t="n">
        <v>0.920727937207788</v>
      </c>
      <c r="L29" s="249" t="n">
        <v>17.0467224189332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7.0293</v>
      </c>
      <c r="F30" s="248" t="n">
        <v>22.2248</v>
      </c>
      <c r="G30" s="248" t="n">
        <v>20.5176</v>
      </c>
      <c r="H30" s="248" t="n">
        <v>18.4653</v>
      </c>
      <c r="I30" s="249" t="n">
        <v>0.08531069766909689</v>
      </c>
      <c r="J30" s="249" t="n">
        <v>-0.32197174468659</v>
      </c>
      <c r="K30" s="249" t="n">
        <v>0.960443189473956</v>
      </c>
      <c r="L30" s="249" t="n">
        <v>17.0944635643039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1.2138</v>
      </c>
      <c r="F31" s="248" t="n">
        <v>12.8218</v>
      </c>
      <c r="G31" s="248" t="n">
        <v>14.7892</v>
      </c>
      <c r="H31" s="248" t="n">
        <v>13.8291</v>
      </c>
      <c r="I31" s="249" t="n">
        <v>0.0505685411262179</v>
      </c>
      <c r="J31" s="249" t="n">
        <v>-0.8671960713399141</v>
      </c>
      <c r="K31" s="249" t="n">
        <v>0.87961584334284</v>
      </c>
      <c r="L31" s="249" t="n">
        <v>15.0942021795131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0.1034</v>
      </c>
      <c r="F32" s="248" t="n">
        <v>13.6194</v>
      </c>
      <c r="G32" s="248" t="n">
        <v>13.1283</v>
      </c>
      <c r="H32" s="248" t="n">
        <v>13.7352</v>
      </c>
      <c r="I32" s="249" t="n">
        <v>0.0507562237404279</v>
      </c>
      <c r="J32" s="249" t="n">
        <v>-0.895687517080565</v>
      </c>
      <c r="K32" s="249" t="n">
        <v>0.94367075216785</v>
      </c>
      <c r="L32" s="249" t="n">
        <v>16.8163582526095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11.1763</v>
      </c>
      <c r="F33" s="248" t="n">
        <v>24.0011</v>
      </c>
      <c r="G33" s="248" t="n">
        <v>18.1472</v>
      </c>
      <c r="H33" s="248" t="n">
        <v>16.7518</v>
      </c>
      <c r="I33" s="249" t="n">
        <v>0.0871312955994977</v>
      </c>
      <c r="J33" s="249" t="n">
        <v>-0.324301441968927</v>
      </c>
      <c r="K33" s="249" t="n">
        <v>1.01216819966724</v>
      </c>
      <c r="L33" s="249" t="n">
        <v>17.8109399311625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6.1482</v>
      </c>
      <c r="F34" s="251" t="n">
        <v>18.3777</v>
      </c>
      <c r="G34" s="251" t="n">
        <v>15.8535</v>
      </c>
      <c r="H34" s="251" t="n">
        <v>13.7934</v>
      </c>
      <c r="I34" s="250" t="n">
        <v>0.0682678951644206</v>
      </c>
      <c r="J34" s="250" t="n">
        <v>-0.608249944492653</v>
      </c>
      <c r="K34" s="250" t="n">
        <v>0.951734492844888</v>
      </c>
      <c r="L34" s="250" t="n">
        <v>16.9321121470737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25" t="inlineStr">
        <is>
          <t>Actuals</t>
        </is>
      </c>
      <c r="F37" s="426" t="n"/>
      <c r="G37" s="426" t="n"/>
      <c r="H37" s="426" t="n"/>
      <c r="I37" s="426" t="n"/>
      <c r="J37" s="426" t="n"/>
      <c r="K37" s="426" t="n"/>
      <c r="L37" s="426" t="n"/>
      <c r="M37" s="425" t="inlineStr">
        <is>
          <t>Normalized</t>
        </is>
      </c>
      <c r="N37" s="426" t="n"/>
      <c r="O37" s="426" t="n"/>
      <c r="P37" s="426" t="n"/>
      <c r="Q37" s="426" t="n"/>
      <c r="R37" s="426" t="n"/>
      <c r="S37" s="426" t="n"/>
      <c r="T37" s="426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42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5.257</v>
      </c>
      <c r="F39" s="248" t="n">
        <v>18.5674</v>
      </c>
      <c r="G39" s="248" t="n">
        <v>19.9665</v>
      </c>
      <c r="H39" s="248" t="n">
        <v>20.7588</v>
      </c>
      <c r="I39" s="249" t="n">
        <v>0.0670723791744204</v>
      </c>
      <c r="J39" s="249" t="n">
        <v>-0.42452184352635</v>
      </c>
      <c r="K39" s="249" t="n">
        <v>0.845378763638447</v>
      </c>
      <c r="L39" s="249" t="n">
        <v>18.1813753398441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-1.9655</v>
      </c>
      <c r="F40" s="248" t="n">
        <v>13.8491</v>
      </c>
      <c r="G40" s="248" t="n">
        <v>15.7236</v>
      </c>
      <c r="H40" s="248" t="n">
        <v>17.2368</v>
      </c>
      <c r="I40" s="249" t="n">
        <v>0.05047914649394</v>
      </c>
      <c r="J40" s="249" t="n">
        <v>-0.5312581787681629</v>
      </c>
      <c r="K40" s="249" t="n">
        <v>0.775951155925678</v>
      </c>
      <c r="L40" s="249" t="n">
        <v>16.6813535729886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3.7673</v>
      </c>
      <c r="F41" s="248" t="n">
        <v>13.6755</v>
      </c>
      <c r="G41" s="248" t="n">
        <v>14.3178</v>
      </c>
      <c r="H41" s="248" t="n">
        <v>18.1457</v>
      </c>
      <c r="I41" s="249" t="n">
        <v>0.0494824104617225</v>
      </c>
      <c r="J41" s="249" t="n">
        <v>-0.538845255513663</v>
      </c>
      <c r="K41" s="249" t="n">
        <v>0.762958407708601</v>
      </c>
      <c r="L41" s="249" t="n">
        <v>16.399325853193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1.1072</v>
      </c>
      <c r="F42" s="248" t="n">
        <v>13.3683</v>
      </c>
      <c r="G42" s="248" t="n">
        <v>13.5284</v>
      </c>
      <c r="H42" s="248" t="n">
        <v>16.6289</v>
      </c>
      <c r="I42" s="249" t="n">
        <v>0.046645148825157</v>
      </c>
      <c r="J42" s="249" t="n">
        <v>-0.7630354346104991</v>
      </c>
      <c r="K42" s="249" t="n">
        <v>0.835709770804251</v>
      </c>
      <c r="L42" s="249" t="n">
        <v>18.4831959682546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0.9697</v>
      </c>
      <c r="F43" s="248" t="n">
        <v>13.0487</v>
      </c>
      <c r="G43" s="248" t="n">
        <v>15.0855</v>
      </c>
      <c r="H43" s="248" t="n">
        <v>15.8833</v>
      </c>
      <c r="I43" s="249" t="n">
        <v>0.0487080350786178</v>
      </c>
      <c r="J43" s="249" t="n">
        <v>-0.718750421638539</v>
      </c>
      <c r="K43" s="249" t="n">
        <v>0.775967882332925</v>
      </c>
      <c r="L43" s="249" t="n">
        <v>16.2243800153108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9.9183</v>
      </c>
      <c r="F44" s="248" t="n">
        <v>17.199</v>
      </c>
      <c r="G44" s="248" t="n">
        <v>13.4554</v>
      </c>
      <c r="H44" s="248" t="n">
        <v>13.0379</v>
      </c>
      <c r="I44" s="249" t="n">
        <v>0.0581154112857355</v>
      </c>
      <c r="J44" s="249" t="n">
        <v>-0.447956414482073</v>
      </c>
      <c r="K44" s="249" t="n">
        <v>0.879511658088139</v>
      </c>
      <c r="L44" s="249" t="n">
        <v>19.0766784161452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2.7138</v>
      </c>
      <c r="F45" s="251" t="n">
        <v>16.0758</v>
      </c>
      <c r="G45" s="251" t="n">
        <v>15.4742</v>
      </c>
      <c r="H45" s="251" t="n">
        <v>0</v>
      </c>
      <c r="I45" s="250" t="n">
        <v>0.0550140844170298</v>
      </c>
      <c r="J45" s="250" t="n">
        <v>-0.63540356675843</v>
      </c>
      <c r="K45" s="250" t="n">
        <v>0.855520477180748</v>
      </c>
      <c r="L45" s="250" t="n">
        <v>18.6917361455455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25" t="inlineStr">
        <is>
          <t>Actuals</t>
        </is>
      </c>
      <c r="F48" s="426" t="n"/>
      <c r="G48" s="426" t="n"/>
      <c r="H48" s="426" t="n"/>
      <c r="I48" s="426" t="n"/>
      <c r="J48" s="426" t="n"/>
      <c r="K48" s="426" t="n"/>
      <c r="L48" s="426" t="n"/>
      <c r="M48" s="425" t="inlineStr">
        <is>
          <t>Normalized</t>
        </is>
      </c>
      <c r="N48" s="426" t="n"/>
      <c r="O48" s="426" t="n"/>
      <c r="P48" s="426" t="n"/>
      <c r="Q48" s="426" t="n"/>
      <c r="R48" s="426" t="n"/>
      <c r="S48" s="426" t="n"/>
      <c r="T48" s="426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42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8.935600000000001</v>
      </c>
      <c r="F50" s="248" t="n">
        <v>16.088</v>
      </c>
      <c r="G50" s="248" t="n">
        <v>12.8748</v>
      </c>
      <c r="H50" s="248" t="n">
        <v>14.7842</v>
      </c>
      <c r="I50" s="249" t="n">
        <v>0.0728209479326858</v>
      </c>
      <c r="J50" s="249" t="n">
        <v>0.0556888951553419</v>
      </c>
      <c r="K50" s="249" t="n">
        <v>0.844159254618174</v>
      </c>
      <c r="L50" s="249" t="n">
        <v>12.6448841831676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0.642</v>
      </c>
      <c r="F51" s="248" t="n">
        <v>16.8522</v>
      </c>
      <c r="G51" s="248" t="n">
        <v>18.9232</v>
      </c>
      <c r="H51" s="248" t="n">
        <v>14.1204</v>
      </c>
      <c r="I51" s="249" t="n">
        <v>0.0814606245983221</v>
      </c>
      <c r="J51" s="249" t="n">
        <v>0.0817961144445306</v>
      </c>
      <c r="K51" s="249" t="n">
        <v>0.814662295994629</v>
      </c>
      <c r="L51" s="249" t="n">
        <v>12.1764105920703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-3.0016</v>
      </c>
      <c r="F52" s="248" t="n">
        <v>8.9414</v>
      </c>
      <c r="G52" s="248" t="n">
        <v>5.5015</v>
      </c>
      <c r="H52" s="248" t="n">
        <v>11.4049</v>
      </c>
      <c r="I52" s="249" t="n">
        <v>0.0284641611680159</v>
      </c>
      <c r="J52" s="249" t="n">
        <v>-0.612068248441645</v>
      </c>
      <c r="K52" s="249" t="n">
        <v>0.920264237756188</v>
      </c>
      <c r="L52" s="249" t="n">
        <v>14.6151191377053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1.0994</v>
      </c>
      <c r="F54" s="248" t="n">
        <v>12.8955</v>
      </c>
      <c r="G54" s="248" t="n">
        <v>12.2132</v>
      </c>
      <c r="H54" s="248" t="n">
        <v>13.1839</v>
      </c>
      <c r="I54" s="249" t="n">
        <v>0.0493498802724161</v>
      </c>
      <c r="J54" s="249" t="n">
        <v>-0.318517769606719</v>
      </c>
      <c r="K54" s="249" t="n">
        <v>0.930023588476805</v>
      </c>
      <c r="L54" s="249" t="n">
        <v>13.9582704807195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7.2689</v>
      </c>
      <c r="F55" s="248" t="n">
        <v>15.5309</v>
      </c>
      <c r="G55" s="248" t="n">
        <v>13.2063</v>
      </c>
      <c r="H55" s="248" t="n">
        <v>0</v>
      </c>
      <c r="I55" s="249" t="n">
        <v>0.06541306227931649</v>
      </c>
      <c r="J55" s="249" t="n">
        <v>-0.115760516443657</v>
      </c>
      <c r="K55" s="249" t="n">
        <v>0.909654673076048</v>
      </c>
      <c r="L55" s="249" t="n">
        <v>13.7657878585821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-2.9274</v>
      </c>
      <c r="F56" s="251" t="n">
        <v>10.1508</v>
      </c>
      <c r="G56" s="251" t="n">
        <v>0</v>
      </c>
      <c r="H56" s="251" t="n">
        <v>0</v>
      </c>
      <c r="I56" s="250" t="n">
        <v>0.0388923594524809</v>
      </c>
      <c r="J56" s="250" t="n">
        <v>-0.5062912491741141</v>
      </c>
      <c r="K56" s="250" t="n">
        <v>0.938140309541789</v>
      </c>
      <c r="L56" s="250" t="n">
        <v>13.9295843478994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27" t="inlineStr">
        <is>
          <t>Actuals</t>
        </is>
      </c>
      <c r="F59" s="426" t="n"/>
      <c r="G59" s="426" t="n"/>
      <c r="H59" s="426" t="n"/>
      <c r="I59" s="426" t="n"/>
      <c r="J59" s="426" t="n"/>
      <c r="K59" s="426" t="n"/>
      <c r="L59" s="425" t="inlineStr">
        <is>
          <t>Normalized</t>
        </is>
      </c>
      <c r="M59" s="426" t="n"/>
      <c r="N59" s="426" t="n"/>
      <c r="O59" s="426" t="n"/>
      <c r="P59" s="426" t="n"/>
      <c r="Q59" s="426" t="n"/>
      <c r="R59" s="426" t="n"/>
      <c r="S59" s="426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42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0.1311</v>
      </c>
      <c r="F61" s="248" t="n">
        <v>14.1607</v>
      </c>
      <c r="G61" s="248" t="n">
        <v>15.1964</v>
      </c>
      <c r="H61" s="248" t="n">
        <v>14.2787</v>
      </c>
      <c r="I61" s="249" t="n">
        <v>0.0756787762856833</v>
      </c>
      <c r="J61" s="249" t="n">
        <v>0</v>
      </c>
      <c r="K61" s="249" t="n">
        <v>0</v>
      </c>
      <c r="L61" s="249" t="n">
        <v>10.0189313071745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5.327</v>
      </c>
      <c r="F62" s="248" t="n">
        <v>11.952</v>
      </c>
      <c r="G62" s="248" t="n">
        <v>11.0169</v>
      </c>
      <c r="H62" s="248" t="n">
        <v>10.9405</v>
      </c>
      <c r="I62" s="249" t="n">
        <v>0.0779754173933133</v>
      </c>
      <c r="J62" s="249" t="n">
        <v>0</v>
      </c>
      <c r="K62" s="249" t="n">
        <v>0</v>
      </c>
      <c r="L62" s="249" t="n">
        <v>6.95691304111238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2.0928</v>
      </c>
      <c r="F63" s="248" t="n">
        <v>10.8249</v>
      </c>
      <c r="G63" s="248" t="n">
        <v>0</v>
      </c>
      <c r="H63" s="248" t="n">
        <v>0</v>
      </c>
      <c r="I63" s="249" t="n">
        <v>0.0644650233576297</v>
      </c>
      <c r="J63" s="249" t="n">
        <v>0</v>
      </c>
      <c r="K63" s="249" t="n">
        <v>0</v>
      </c>
      <c r="L63" s="249" t="n">
        <v>7.38188218366082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1.8</v>
      </c>
      <c r="F64" s="248" t="n">
        <v>9.6959</v>
      </c>
      <c r="G64" s="248" t="n">
        <v>8.943</v>
      </c>
      <c r="H64" s="248" t="n">
        <v>0</v>
      </c>
      <c r="I64" s="249" t="n">
        <v>0.045058113551422</v>
      </c>
      <c r="J64" s="249" t="n">
        <v>0</v>
      </c>
      <c r="K64" s="249" t="n">
        <v>0</v>
      </c>
      <c r="L64" s="249" t="n">
        <v>8.49966453953458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-2.153</v>
      </c>
      <c r="F65" s="248" t="n">
        <v>0</v>
      </c>
      <c r="G65" s="248" t="n">
        <v>0</v>
      </c>
      <c r="H65" s="248" t="n">
        <v>0</v>
      </c>
      <c r="I65" s="249" t="n">
        <v>0.0263216734303019</v>
      </c>
      <c r="J65" s="249" t="n">
        <v>0</v>
      </c>
      <c r="K65" s="249" t="n">
        <v>0</v>
      </c>
      <c r="L65" s="249" t="n">
        <v>8.12908047292968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3.3405</v>
      </c>
      <c r="F66" s="248" t="n">
        <v>11.0065</v>
      </c>
      <c r="G66" s="248" t="n">
        <v>9.608700000000001</v>
      </c>
      <c r="H66" s="248" t="n">
        <v>10.6226</v>
      </c>
      <c r="I66" s="249" t="n">
        <v>0.0607757428609893</v>
      </c>
      <c r="J66" s="249" t="n">
        <v>0</v>
      </c>
      <c r="K66" s="249" t="n">
        <v>0</v>
      </c>
      <c r="L66" s="249" t="n">
        <v>7.90447233443989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4.0048</v>
      </c>
      <c r="F67" s="251" t="n">
        <v>11.434</v>
      </c>
      <c r="G67" s="251" t="n">
        <v>9.8705</v>
      </c>
      <c r="H67" s="251" t="n">
        <v>10.4761</v>
      </c>
      <c r="I67" s="250" t="n">
        <v>0.06510117278833551</v>
      </c>
      <c r="J67" s="250" t="n">
        <v>0</v>
      </c>
      <c r="K67" s="250" t="n">
        <v>0</v>
      </c>
      <c r="L67" s="250" t="n">
        <v>8.007005420311801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27" t="inlineStr">
        <is>
          <t>Actuals</t>
        </is>
      </c>
      <c r="F70" s="426" t="n"/>
      <c r="G70" s="426" t="n"/>
      <c r="H70" s="426" t="n"/>
      <c r="I70" s="426" t="n"/>
      <c r="J70" s="426" t="n"/>
      <c r="K70" s="426" t="n"/>
      <c r="L70" s="428" t="inlineStr">
        <is>
          <t>Normalized</t>
        </is>
      </c>
      <c r="M70" s="426" t="n"/>
      <c r="N70" s="426" t="n"/>
      <c r="O70" s="426" t="n"/>
      <c r="P70" s="426" t="n"/>
      <c r="Q70" s="426" t="n"/>
      <c r="R70" s="426" t="n"/>
      <c r="S70" s="375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42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5.5899</v>
      </c>
      <c r="F72" s="248" t="n">
        <v>16.0272</v>
      </c>
      <c r="G72" s="248" t="n">
        <v>17.2278</v>
      </c>
      <c r="H72" s="248" t="n">
        <v>15.3521</v>
      </c>
      <c r="I72" s="249" t="n">
        <v>0.108098462234656</v>
      </c>
      <c r="J72" s="249" t="n">
        <v>0</v>
      </c>
      <c r="K72" s="249" t="n">
        <v>0</v>
      </c>
      <c r="L72" s="249" t="n">
        <v>94.33169201446709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11.8176</v>
      </c>
      <c r="F73" s="248" t="n">
        <v>16.476</v>
      </c>
      <c r="G73" s="248" t="n">
        <v>13.5211</v>
      </c>
      <c r="H73" s="248" t="n">
        <v>11.4361</v>
      </c>
      <c r="I73" s="249" t="n">
        <v>0.10950972958762</v>
      </c>
      <c r="J73" s="249" t="n">
        <v>0</v>
      </c>
      <c r="K73" s="249" t="n">
        <v>0</v>
      </c>
      <c r="L73" s="249" t="n">
        <v>95.5363527172824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19.3493</v>
      </c>
      <c r="F74" s="248" t="n">
        <v>0</v>
      </c>
      <c r="G74" s="248" t="n">
        <v>0</v>
      </c>
      <c r="H74" s="248" t="n">
        <v>0</v>
      </c>
      <c r="I74" s="249" t="n">
        <v>0.0841714701964008</v>
      </c>
      <c r="J74" s="249" t="n">
        <v>0</v>
      </c>
      <c r="K74" s="249" t="n">
        <v>0</v>
      </c>
      <c r="L74" s="249" t="n">
        <v>146.678763739085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12.8865</v>
      </c>
      <c r="F75" s="248" t="n">
        <v>18.6368</v>
      </c>
      <c r="G75" s="248" t="n">
        <v>15.0161</v>
      </c>
      <c r="H75" s="248" t="n">
        <v>0</v>
      </c>
      <c r="I75" s="249" t="n">
        <v>0.115399581223937</v>
      </c>
      <c r="J75" s="249" t="n">
        <v>0</v>
      </c>
      <c r="K75" s="249" t="n">
        <v>0</v>
      </c>
      <c r="L75" s="249" t="n">
        <v>108.177651788638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4.6713</v>
      </c>
      <c r="F76" s="248" t="n">
        <v>15.8342</v>
      </c>
      <c r="G76" s="248" t="n">
        <v>13.3481</v>
      </c>
      <c r="H76" s="248" t="n">
        <v>10.5914</v>
      </c>
      <c r="I76" s="249" t="n">
        <v>0.0848790905779121</v>
      </c>
      <c r="J76" s="249" t="n">
        <v>0</v>
      </c>
      <c r="K76" s="249" t="n">
        <v>0</v>
      </c>
      <c r="L76" s="249" t="n">
        <v>120.663691787036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13.4504</v>
      </c>
      <c r="F78" s="251" t="n">
        <v>15.9105</v>
      </c>
      <c r="G78" s="251" t="n">
        <v>0</v>
      </c>
      <c r="H78" s="251" t="n">
        <v>0</v>
      </c>
      <c r="I78" s="250" t="n">
        <v>0.0866835140833314</v>
      </c>
      <c r="J78" s="250" t="n">
        <v>0</v>
      </c>
      <c r="K78" s="250" t="n">
        <v>0</v>
      </c>
      <c r="L78" s="250" t="n">
        <v>116.315557969906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27" t="inlineStr">
        <is>
          <t>Actuals</t>
        </is>
      </c>
      <c r="F81" s="426" t="n"/>
      <c r="G81" s="426" t="n"/>
      <c r="H81" s="426" t="n"/>
      <c r="I81" s="426" t="n"/>
      <c r="J81" s="426" t="n"/>
      <c r="K81" s="426" t="n"/>
      <c r="L81" s="428" t="inlineStr">
        <is>
          <t>Normalized</t>
        </is>
      </c>
      <c r="M81" s="426" t="n"/>
      <c r="N81" s="426" t="n"/>
      <c r="O81" s="426" t="n"/>
      <c r="P81" s="426" t="n"/>
      <c r="Q81" s="426" t="n"/>
      <c r="R81" s="426" t="n"/>
      <c r="S81" s="375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30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9.0039</v>
      </c>
      <c r="F83" s="84" t="n">
        <v>25.5926</v>
      </c>
      <c r="G83" s="84" t="n">
        <v>22.9928</v>
      </c>
      <c r="H83" s="84" t="n">
        <v>0</v>
      </c>
      <c r="I83" s="84" t="n">
        <v>0.07616035123444689</v>
      </c>
      <c r="J83" s="84" t="n">
        <v>-0.640584998066026</v>
      </c>
      <c r="K83" s="84" t="n">
        <v>1.01721628109872</v>
      </c>
      <c r="L83" s="84" t="n">
        <v>22.2841240715549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3.9697</v>
      </c>
      <c r="F84" s="84" t="n">
        <v>12.6805</v>
      </c>
      <c r="G84" s="84" t="n">
        <v>12.3824</v>
      </c>
      <c r="H84" s="84" t="n">
        <v>12.7246</v>
      </c>
      <c r="I84" s="84" t="n">
        <v>0.0480403250872981</v>
      </c>
      <c r="J84" s="84" t="n">
        <v>-0.0336564041574565</v>
      </c>
      <c r="K84" s="84" t="n">
        <v>0.9613463298016049</v>
      </c>
      <c r="L84" s="84" t="n">
        <v>15.2461469303606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4.3433</v>
      </c>
      <c r="F85" s="84" t="n">
        <v>0</v>
      </c>
      <c r="G85" s="84" t="n">
        <v>0</v>
      </c>
      <c r="H85" s="84" t="n">
        <v>0</v>
      </c>
      <c r="I85" s="84" t="n">
        <v>-0.0162893418035418</v>
      </c>
      <c r="J85" s="84" t="n">
        <v>-0.6393550391039871</v>
      </c>
      <c r="K85" s="84" t="n">
        <v>1.05896008732232</v>
      </c>
      <c r="L85" s="84" t="n">
        <v>17.8087029133352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1.4381</v>
      </c>
      <c r="F86" s="84" t="n">
        <v>12.3334</v>
      </c>
      <c r="G86" s="84" t="n">
        <v>0</v>
      </c>
      <c r="H86" s="84" t="n">
        <v>0</v>
      </c>
      <c r="I86" s="84" t="n">
        <v>0.0484888219458221</v>
      </c>
      <c r="J86" s="84" t="n">
        <v>-0.293840930244501</v>
      </c>
      <c r="K86" s="84" t="n">
        <v>0.943667973330662</v>
      </c>
      <c r="L86" s="84" t="n">
        <v>13.884903196571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0.644</v>
      </c>
      <c r="F87" s="84" t="n">
        <v>0</v>
      </c>
      <c r="G87" s="84" t="n">
        <v>0</v>
      </c>
      <c r="H87" s="84" t="n">
        <v>0</v>
      </c>
      <c r="I87" s="84" t="n">
        <v>0.00771081879292212</v>
      </c>
      <c r="J87" s="84" t="n">
        <v>0</v>
      </c>
      <c r="K87" s="84" t="n">
        <v>0</v>
      </c>
      <c r="L87" s="84" t="n">
        <v>16.7166517240243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15.9389</v>
      </c>
      <c r="F88" s="84" t="n">
        <v>0</v>
      </c>
      <c r="G88" s="84" t="n">
        <v>0</v>
      </c>
      <c r="H88" s="84" t="n">
        <v>0</v>
      </c>
      <c r="I88" s="84" t="n">
        <v>0.0576696977397793</v>
      </c>
      <c r="J88" s="84" t="n">
        <v>-0.444920176013043</v>
      </c>
      <c r="K88" s="84" t="n">
        <v>0.944430944814853</v>
      </c>
      <c r="L88" s="84" t="n">
        <v>19.3163410410006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15.3846</v>
      </c>
      <c r="F89" s="84" t="n">
        <v>20.5346</v>
      </c>
      <c r="G89" s="84" t="n">
        <v>13.8866</v>
      </c>
      <c r="H89" s="84" t="n">
        <v>13.7459</v>
      </c>
      <c r="I89" s="84" t="n">
        <v>0.0791341435539334</v>
      </c>
      <c r="J89" s="84" t="n">
        <v>-0.405713879499988</v>
      </c>
      <c r="K89" s="84" t="n">
        <v>0.972269885515029</v>
      </c>
      <c r="L89" s="84" t="n">
        <v>16.6509524013939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13.7875</v>
      </c>
      <c r="F90" s="84" t="n">
        <v>22.3267</v>
      </c>
      <c r="G90" s="84" t="n">
        <v>12.8118</v>
      </c>
      <c r="H90" s="84" t="n">
        <v>0</v>
      </c>
      <c r="I90" s="84" t="n">
        <v>0.0966784516554277</v>
      </c>
      <c r="J90" s="84" t="n">
        <v>-0.279154736854051</v>
      </c>
      <c r="K90" s="84" t="n">
        <v>0.88461479666763</v>
      </c>
      <c r="L90" s="84" t="n">
        <v>15.4845840128732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13.6162</v>
      </c>
      <c r="F91" s="84" t="n">
        <v>20.2188</v>
      </c>
      <c r="G91" s="84" t="n">
        <v>15.0746</v>
      </c>
      <c r="H91" s="84" t="n">
        <v>0</v>
      </c>
      <c r="I91" s="84" t="n">
        <v>0.08863459183945289</v>
      </c>
      <c r="J91" s="84" t="n">
        <v>0.226017463213866</v>
      </c>
      <c r="K91" s="84" t="n">
        <v>0.951458687852112</v>
      </c>
      <c r="L91" s="84" t="n">
        <v>14.1772151343105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-1.2792</v>
      </c>
      <c r="F92" s="84" t="n">
        <v>11.423</v>
      </c>
      <c r="G92" s="84" t="n">
        <v>9.063499999999999</v>
      </c>
      <c r="H92" s="84" t="n">
        <v>0</v>
      </c>
      <c r="I92" s="84" t="n">
        <v>0.0429007029138181</v>
      </c>
      <c r="J92" s="84" t="n">
        <v>-0.350892905827185</v>
      </c>
      <c r="K92" s="84" t="n">
        <v>0.995127546742393</v>
      </c>
      <c r="L92" s="84" t="n">
        <v>14.2267641930584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-4.2284</v>
      </c>
      <c r="F93" s="84" t="n">
        <v>0</v>
      </c>
      <c r="G93" s="84" t="n">
        <v>0</v>
      </c>
      <c r="H93" s="84" t="n">
        <v>0</v>
      </c>
      <c r="I93" s="84" t="n">
        <v>-0.0132663711672677</v>
      </c>
      <c r="J93" s="84" t="n">
        <v>-0.29512832530487</v>
      </c>
      <c r="K93" s="84" t="n">
        <v>0.974389049576292</v>
      </c>
      <c r="L93" s="84" t="n">
        <v>16.2164029366705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-2.9562</v>
      </c>
      <c r="F94" s="84" t="n">
        <v>0</v>
      </c>
      <c r="G94" s="84" t="n">
        <v>0</v>
      </c>
      <c r="H94" s="84" t="n">
        <v>0</v>
      </c>
      <c r="I94" s="84" t="n">
        <v>0.00299776592341455</v>
      </c>
      <c r="J94" s="84" t="n">
        <v>-1.10987596920279</v>
      </c>
      <c r="K94" s="84" t="n">
        <v>1.03016964561526</v>
      </c>
      <c r="L94" s="84" t="n">
        <v>20.9151258147305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8.8384</v>
      </c>
      <c r="F95" s="84" t="n">
        <v>25.4307</v>
      </c>
      <c r="G95" s="84" t="n">
        <v>15.6995</v>
      </c>
      <c r="H95" s="84" t="n">
        <v>0</v>
      </c>
      <c r="I95" s="84" t="n">
        <v>0.106283830542614</v>
      </c>
      <c r="J95" s="84" t="n">
        <v>-0.1779480536364</v>
      </c>
      <c r="K95" s="84" t="n">
        <v>0.93535817948832</v>
      </c>
      <c r="L95" s="84" t="n">
        <v>15.9960151687492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-1.0358</v>
      </c>
      <c r="F96" s="84" t="n">
        <v>0</v>
      </c>
      <c r="G96" s="84" t="n">
        <v>0</v>
      </c>
      <c r="H96" s="84" t="n">
        <v>0</v>
      </c>
      <c r="I96" s="84" t="n">
        <v>-0.00538988652216747</v>
      </c>
      <c r="J96" s="84" t="n">
        <v>0.0231473149622766</v>
      </c>
      <c r="K96" s="84" t="n">
        <v>0.985913789826953</v>
      </c>
      <c r="L96" s="84" t="n">
        <v>14.028528537993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-0.6357</v>
      </c>
      <c r="F97" s="84" t="n">
        <v>12.263</v>
      </c>
      <c r="G97" s="84" t="n">
        <v>14.2913</v>
      </c>
      <c r="H97" s="84" t="n">
        <v>0</v>
      </c>
      <c r="I97" s="84" t="n">
        <v>0.0480810739765384</v>
      </c>
      <c r="J97" s="84" t="n">
        <v>-0.268653677953041</v>
      </c>
      <c r="K97" s="84" t="n">
        <v>0.868351268347918</v>
      </c>
      <c r="L97" s="84" t="n">
        <v>14.4708369780556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13.4874</v>
      </c>
      <c r="F98" s="84" t="n">
        <v>22.3228</v>
      </c>
      <c r="G98" s="84" t="n">
        <v>0</v>
      </c>
      <c r="H98" s="84" t="n">
        <v>0</v>
      </c>
      <c r="I98" s="84" t="n">
        <v>0.0837484900489695</v>
      </c>
      <c r="J98" s="84" t="n">
        <v>-0.302023600388602</v>
      </c>
      <c r="K98" s="84" t="n">
        <v>0.9224778496162021</v>
      </c>
      <c r="L98" s="84" t="n">
        <v>17.1568061355103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6.5998</v>
      </c>
      <c r="F99" s="84" t="n">
        <v>16.6881</v>
      </c>
      <c r="G99" s="84" t="n">
        <v>15.3332</v>
      </c>
      <c r="H99" s="84" t="n">
        <v>0</v>
      </c>
      <c r="I99" s="84" t="n">
        <v>0.0594662006459596</v>
      </c>
      <c r="J99" s="84" t="n">
        <v>-0.516709743762843</v>
      </c>
      <c r="K99" s="84" t="n">
        <v>0.906448041893918</v>
      </c>
      <c r="L99" s="84" t="n">
        <v>17.1102029999859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0.6904</v>
      </c>
      <c r="F100" s="84" t="n">
        <v>14.4509</v>
      </c>
      <c r="G100" s="84" t="n">
        <v>0</v>
      </c>
      <c r="H100" s="84" t="n">
        <v>0</v>
      </c>
      <c r="I100" s="84" t="n">
        <v>0.0591454048054656</v>
      </c>
      <c r="J100" s="84" t="n">
        <v>-0.13510138532128</v>
      </c>
      <c r="K100" s="84" t="n">
        <v>0.868186282241953</v>
      </c>
      <c r="L100" s="84" t="n">
        <v>14.0353499493659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6.2772</v>
      </c>
      <c r="F101" s="84" t="n">
        <v>24.1563</v>
      </c>
      <c r="G101" s="84" t="n">
        <v>0</v>
      </c>
      <c r="H101" s="84" t="n">
        <v>0</v>
      </c>
      <c r="I101" s="84" t="n">
        <v>0.0810013863074167</v>
      </c>
      <c r="J101" s="84" t="n">
        <v>-0.462796434394163</v>
      </c>
      <c r="K101" s="84" t="n">
        <v>0.876311331835145</v>
      </c>
      <c r="L101" s="84" t="n">
        <v>19.149420008932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1.5595</v>
      </c>
      <c r="F102" s="84" t="n">
        <v>0</v>
      </c>
      <c r="G102" s="84" t="n">
        <v>0</v>
      </c>
      <c r="H102" s="84" t="n">
        <v>0</v>
      </c>
      <c r="I102" s="84" t="n">
        <v>-0.00852583077282467</v>
      </c>
      <c r="J102" s="84" t="n">
        <v>0.280869110666527</v>
      </c>
      <c r="K102" s="84" t="n">
        <v>0.784412492636412</v>
      </c>
      <c r="L102" s="84" t="n">
        <v>12.4781028240346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7.3781</v>
      </c>
      <c r="F103" s="84" t="n">
        <v>12.6396</v>
      </c>
      <c r="G103" s="84" t="n">
        <v>12.3003</v>
      </c>
      <c r="H103" s="84" t="n">
        <v>0</v>
      </c>
      <c r="I103" s="84" t="n">
        <v>0.0559063170366317</v>
      </c>
      <c r="J103" s="84" t="n">
        <v>-0.23466282102265</v>
      </c>
      <c r="K103" s="84" t="n">
        <v>0.71704264954787</v>
      </c>
      <c r="L103" s="84" t="n">
        <v>12.775859131869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-6.0326</v>
      </c>
      <c r="F104" s="84" t="n">
        <v>13.3707</v>
      </c>
      <c r="G104" s="84" t="n">
        <v>10.3977</v>
      </c>
      <c r="H104" s="84" t="n">
        <v>0</v>
      </c>
      <c r="I104" s="84" t="n">
        <v>0.0552813486600567</v>
      </c>
      <c r="J104" s="84" t="n">
        <v>-0.229300858796915</v>
      </c>
      <c r="K104" s="84" t="n">
        <v>1.03886920306352</v>
      </c>
      <c r="L104" s="84" t="n">
        <v>14.0043967689941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-0.8985</v>
      </c>
      <c r="F105" s="84" t="n">
        <v>0</v>
      </c>
      <c r="G105" s="84" t="n">
        <v>0</v>
      </c>
      <c r="H105" s="84" t="n">
        <v>0</v>
      </c>
      <c r="I105" s="84" t="n">
        <v>0.0113206652340398</v>
      </c>
      <c r="J105" s="84" t="n">
        <v>-0.09858927499078669</v>
      </c>
      <c r="K105" s="84" t="n">
        <v>0.918591295361851</v>
      </c>
      <c r="L105" s="84" t="n">
        <v>16.8353427822602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-2.1617</v>
      </c>
      <c r="F106" s="84" t="n">
        <v>12.9473</v>
      </c>
      <c r="G106" s="84" t="n">
        <v>11.8383</v>
      </c>
      <c r="H106" s="84" t="n">
        <v>0</v>
      </c>
      <c r="I106" s="84" t="n">
        <v>0.05763496827128</v>
      </c>
      <c r="J106" s="84" t="n">
        <v>-0.148247585961803</v>
      </c>
      <c r="K106" s="84" t="n">
        <v>0.857388434141537</v>
      </c>
      <c r="L106" s="84" t="n">
        <v>12.0583465030342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0</v>
      </c>
      <c r="F107" s="84" t="n">
        <v>0</v>
      </c>
      <c r="G107" s="84" t="n">
        <v>0</v>
      </c>
      <c r="H107" s="84" t="n">
        <v>0</v>
      </c>
      <c r="I107" s="84" t="n">
        <v>0.0321188154132541</v>
      </c>
      <c r="J107" s="84" t="n">
        <v>0.509994374852702</v>
      </c>
      <c r="K107" s="84" t="n">
        <v>0.903395592465758</v>
      </c>
      <c r="L107" s="84" t="n">
        <v>14.1818554683918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5.2813</v>
      </c>
      <c r="F108" s="84" t="n">
        <v>13.3013</v>
      </c>
      <c r="G108" s="84" t="n">
        <v>12.9868</v>
      </c>
      <c r="H108" s="84" t="n">
        <v>0</v>
      </c>
      <c r="I108" s="84" t="n">
        <v>0.0527286802089095</v>
      </c>
      <c r="J108" s="84" t="n">
        <v>0.0179508699597116</v>
      </c>
      <c r="K108" s="84" t="n">
        <v>0.974276726311003</v>
      </c>
      <c r="L108" s="84" t="n">
        <v>15.0646899527692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3.7688</v>
      </c>
      <c r="F109" s="84" t="n">
        <v>11.5732</v>
      </c>
      <c r="G109" s="84" t="n">
        <v>0</v>
      </c>
      <c r="H109" s="84" t="n">
        <v>0</v>
      </c>
      <c r="I109" s="84" t="n">
        <v>0.0446731180901399</v>
      </c>
      <c r="J109" s="84" t="n">
        <v>-0.388550370093089</v>
      </c>
      <c r="K109" s="84" t="n">
        <v>0.917925325882225</v>
      </c>
      <c r="L109" s="84" t="n">
        <v>14.2571660835116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22.1403</v>
      </c>
      <c r="F110" s="84" t="n">
        <v>0</v>
      </c>
      <c r="G110" s="84" t="n">
        <v>0</v>
      </c>
      <c r="H110" s="84" t="n">
        <v>0</v>
      </c>
      <c r="I110" s="84" t="n">
        <v>0.118002169621484</v>
      </c>
      <c r="J110" s="84" t="n">
        <v>0.07942620181279871</v>
      </c>
      <c r="K110" s="84" t="n">
        <v>0.971947457745124</v>
      </c>
      <c r="L110" s="84" t="n">
        <v>16.5324764772578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-24.0176</v>
      </c>
      <c r="F111" s="84" t="n">
        <v>0</v>
      </c>
      <c r="G111" s="84" t="n">
        <v>0</v>
      </c>
      <c r="H111" s="84" t="n">
        <v>0</v>
      </c>
      <c r="I111" s="84" t="n">
        <v>-0.00153854480576512</v>
      </c>
      <c r="J111" s="84" t="n">
        <v>-0.196447561942147</v>
      </c>
      <c r="K111" s="84" t="n">
        <v>0.976653140322353</v>
      </c>
      <c r="L111" s="84" t="n">
        <v>20.3761490964777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14.5369</v>
      </c>
      <c r="F112" s="84" t="n">
        <v>0</v>
      </c>
      <c r="G112" s="84" t="n">
        <v>0</v>
      </c>
      <c r="H112" s="84" t="n">
        <v>0</v>
      </c>
      <c r="I112" s="84" t="n">
        <v>0.0775496430499393</v>
      </c>
      <c r="J112" s="84" t="n">
        <v>-0.183317920618655</v>
      </c>
      <c r="K112" s="84" t="n">
        <v>0.94552032145014</v>
      </c>
      <c r="L112" s="84" t="n">
        <v>18.7584834601672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-3.6858</v>
      </c>
      <c r="F113" s="84" t="n">
        <v>13.6614</v>
      </c>
      <c r="G113" s="84" t="n">
        <v>13.3265</v>
      </c>
      <c r="H113" s="84" t="n">
        <v>0</v>
      </c>
      <c r="I113" s="84" t="n">
        <v>0.0492644259716537</v>
      </c>
      <c r="J113" s="84" t="n">
        <v>-0.337593525135495</v>
      </c>
      <c r="K113" s="84" t="n">
        <v>0.985262514195183</v>
      </c>
      <c r="L113" s="84" t="n">
        <v>16.8648077027514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3.9311</v>
      </c>
      <c r="F115" s="84" t="n">
        <v>7.384</v>
      </c>
      <c r="G115" s="84" t="n">
        <v>0</v>
      </c>
      <c r="H115" s="84" t="n">
        <v>0</v>
      </c>
      <c r="I115" s="84" t="n">
        <v>0.0204685563091852</v>
      </c>
      <c r="J115" s="84" t="n">
        <v>-0.970813984440442</v>
      </c>
      <c r="K115" s="84" t="n">
        <v>0.924510997912779</v>
      </c>
      <c r="L115" s="84" t="n">
        <v>15.2155243573479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0</v>
      </c>
      <c r="F116" s="84" t="n">
        <v>0</v>
      </c>
      <c r="G116" s="84" t="n">
        <v>0</v>
      </c>
      <c r="H116" s="84" t="n">
        <v>0</v>
      </c>
      <c r="I116" s="84" t="n">
        <v>0.0412829584930301</v>
      </c>
      <c r="J116" s="84" t="n">
        <v>0.652522541683059</v>
      </c>
      <c r="K116" s="84" t="n">
        <v>0.8677568218575999</v>
      </c>
      <c r="L116" s="84" t="n">
        <v>14.5382551334185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24.7975</v>
      </c>
      <c r="F117" s="84" t="n">
        <v>0</v>
      </c>
      <c r="G117" s="84" t="n">
        <v>0</v>
      </c>
      <c r="H117" s="84" t="n">
        <v>0</v>
      </c>
      <c r="I117" s="84" t="n">
        <v>0.019652428082239</v>
      </c>
      <c r="J117" s="84" t="n">
        <v>-0.349822667957454</v>
      </c>
      <c r="K117" s="84" t="n">
        <v>0.870145634749012</v>
      </c>
      <c r="L117" s="84" t="n">
        <v>20.0867334667692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-1.853</v>
      </c>
      <c r="F118" s="84" t="n">
        <v>0</v>
      </c>
      <c r="G118" s="84" t="n">
        <v>0</v>
      </c>
      <c r="H118" s="84" t="n">
        <v>0</v>
      </c>
      <c r="I118" s="84" t="n">
        <v>-0.0421516575351966</v>
      </c>
      <c r="J118" s="84" t="n">
        <v>-0.741923006292618</v>
      </c>
      <c r="K118" s="84" t="n">
        <v>0.873278132559707</v>
      </c>
      <c r="L118" s="84" t="n">
        <v>15.900407155989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0.0267</v>
      </c>
      <c r="F119" s="84" t="n">
        <v>9.426</v>
      </c>
      <c r="G119" s="84" t="n">
        <v>10.4764</v>
      </c>
      <c r="H119" s="84" t="n">
        <v>0</v>
      </c>
      <c r="I119" s="84" t="n">
        <v>0.034482275758817</v>
      </c>
      <c r="J119" s="84" t="n">
        <v>-0.206150002322337</v>
      </c>
      <c r="K119" s="84" t="n">
        <v>1.00503363890229</v>
      </c>
      <c r="L119" s="84" t="n">
        <v>13.9009578923329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3.079</v>
      </c>
      <c r="F120" s="84" t="n">
        <v>0</v>
      </c>
      <c r="G120" s="84" t="n">
        <v>0</v>
      </c>
      <c r="H120" s="84" t="n">
        <v>0</v>
      </c>
      <c r="I120" s="84" t="n">
        <v>0.0461757707761394</v>
      </c>
      <c r="J120" s="84" t="n">
        <v>-0.241921071458778</v>
      </c>
      <c r="K120" s="84" t="n">
        <v>0.970662601361003</v>
      </c>
      <c r="L120" s="84" t="n">
        <v>15.8924897824364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-4.1823</v>
      </c>
      <c r="F121" s="84" t="n">
        <v>11.367</v>
      </c>
      <c r="G121" s="84" t="n">
        <v>13.9101</v>
      </c>
      <c r="H121" s="84" t="n">
        <v>12.6292</v>
      </c>
      <c r="I121" s="84" t="n">
        <v>0.0386344364656206</v>
      </c>
      <c r="J121" s="84" t="n">
        <v>-0.40337928618476</v>
      </c>
      <c r="K121" s="84" t="n">
        <v>0.906852792491171</v>
      </c>
      <c r="L121" s="84" t="n">
        <v>15.6287816123892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15.2026</v>
      </c>
      <c r="F122" s="84" t="n">
        <v>17.4109</v>
      </c>
      <c r="G122" s="84" t="n">
        <v>9.737399999999999</v>
      </c>
      <c r="H122" s="84" t="n">
        <v>15.1281</v>
      </c>
      <c r="I122" s="84" t="n">
        <v>0.07224030289752301</v>
      </c>
      <c r="J122" s="84" t="n">
        <v>0</v>
      </c>
      <c r="K122" s="84" t="n">
        <v>0</v>
      </c>
      <c r="L122" s="84" t="n">
        <v>14.1503259147769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176.037</v>
      </c>
      <c r="F123" s="84" t="n">
        <v>61.287</v>
      </c>
      <c r="G123" s="84" t="n">
        <v>0</v>
      </c>
      <c r="H123" s="84" t="n">
        <v>0</v>
      </c>
      <c r="I123" s="84" t="n">
        <v>0.142575222059984</v>
      </c>
      <c r="J123" s="84" t="n">
        <v>1.59483385414582</v>
      </c>
      <c r="K123" s="84" t="n">
        <v>1.00150999345466</v>
      </c>
      <c r="L123" s="84" t="n">
        <v>29.5129536280896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7.9368</v>
      </c>
      <c r="F125" s="84" t="n">
        <v>0</v>
      </c>
      <c r="G125" s="84" t="n">
        <v>0</v>
      </c>
      <c r="H125" s="84" t="n">
        <v>0</v>
      </c>
      <c r="I125" s="84" t="n">
        <v>0.0803437937357013</v>
      </c>
      <c r="J125" s="84" t="n">
        <v>0.518235800748275</v>
      </c>
      <c r="K125" s="84" t="n">
        <v>0.973843024423229</v>
      </c>
      <c r="L125" s="84" t="n">
        <v>14.9645412686238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1.2586</v>
      </c>
      <c r="F126" s="84" t="n">
        <v>15.8109</v>
      </c>
      <c r="G126" s="84" t="n">
        <v>15.0868</v>
      </c>
      <c r="H126" s="84" t="n">
        <v>14.2435</v>
      </c>
      <c r="I126" s="84" t="n">
        <v>0.0676852239348254</v>
      </c>
      <c r="J126" s="84" t="n">
        <v>-0.00503096313309348</v>
      </c>
      <c r="K126" s="84" t="n">
        <v>0.96312875122679</v>
      </c>
      <c r="L126" s="84" t="n">
        <v>13.9202202070093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9.192399999999999</v>
      </c>
      <c r="F127" s="84" t="n">
        <v>19.7368</v>
      </c>
      <c r="G127" s="84" t="n">
        <v>15.1206</v>
      </c>
      <c r="H127" s="84" t="n">
        <v>0</v>
      </c>
      <c r="I127" s="84" t="n">
        <v>0.0833422624920611</v>
      </c>
      <c r="J127" s="84" t="n">
        <v>0.267130657215968</v>
      </c>
      <c r="K127" s="84" t="n">
        <v>0.8860495921172</v>
      </c>
      <c r="L127" s="84" t="n">
        <v>14.4548027082852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4.9234</v>
      </c>
      <c r="F128" s="84" t="n">
        <v>15.765</v>
      </c>
      <c r="G128" s="84" t="n">
        <v>0</v>
      </c>
      <c r="H128" s="84" t="n">
        <v>0</v>
      </c>
      <c r="I128" s="84" t="n">
        <v>0.0643980490430409</v>
      </c>
      <c r="J128" s="84" t="n">
        <v>-0.121146906577823</v>
      </c>
      <c r="K128" s="84" t="n">
        <v>0.953009524820901</v>
      </c>
      <c r="L128" s="84" t="n">
        <v>14.6512190489999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11.7653</v>
      </c>
      <c r="F129" s="84" t="n">
        <v>19.5804</v>
      </c>
      <c r="G129" s="84" t="n">
        <v>0</v>
      </c>
      <c r="H129" s="84" t="n">
        <v>0</v>
      </c>
      <c r="I129" s="84" t="n">
        <v>0.0765609021432675</v>
      </c>
      <c r="J129" s="84" t="n">
        <v>-0.454049556625098</v>
      </c>
      <c r="K129" s="84" t="n">
        <v>0.970147218794589</v>
      </c>
      <c r="L129" s="84" t="n">
        <v>16.5301173984641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24.0191</v>
      </c>
      <c r="F130" s="84" t="n">
        <v>0</v>
      </c>
      <c r="G130" s="84" t="n">
        <v>0</v>
      </c>
      <c r="H130" s="84" t="n">
        <v>0</v>
      </c>
      <c r="I130" s="84" t="n">
        <v>0.0422139175910831</v>
      </c>
      <c r="J130" s="84" t="n">
        <v>0.190786544894864</v>
      </c>
      <c r="K130" s="84" t="n">
        <v>1.03626494116748</v>
      </c>
      <c r="L130" s="84" t="n">
        <v>18.7239829778654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11.9231</v>
      </c>
      <c r="F131" s="84" t="n">
        <v>0</v>
      </c>
      <c r="G131" s="84" t="n">
        <v>0</v>
      </c>
      <c r="H131" s="84" t="n">
        <v>0</v>
      </c>
      <c r="I131" s="84" t="n">
        <v>0.000321127716904133</v>
      </c>
      <c r="J131" s="84" t="n">
        <v>-0.414914581042101</v>
      </c>
      <c r="K131" s="84" t="n">
        <v>1.16912940231678</v>
      </c>
      <c r="L131" s="84" t="n">
        <v>19.3573891650129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4.7372</v>
      </c>
      <c r="F132" s="84" t="n">
        <v>0</v>
      </c>
      <c r="G132" s="84" t="n">
        <v>0</v>
      </c>
      <c r="H132" s="84" t="n">
        <v>0</v>
      </c>
      <c r="I132" s="84" t="n">
        <v>0.0423109023751918</v>
      </c>
      <c r="J132" s="84" t="n">
        <v>-0.247883590135772</v>
      </c>
      <c r="K132" s="84" t="n">
        <v>0.970199860888457</v>
      </c>
      <c r="L132" s="84" t="n">
        <v>17.0108277787182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5.563</v>
      </c>
      <c r="F133" s="84" t="n">
        <v>13.1624</v>
      </c>
      <c r="G133" s="84" t="n">
        <v>0</v>
      </c>
      <c r="H133" s="84" t="n">
        <v>0</v>
      </c>
      <c r="I133" s="84" t="n">
        <v>0.0501661531021193</v>
      </c>
      <c r="J133" s="84" t="n">
        <v>-0.0231558787130505</v>
      </c>
      <c r="K133" s="84" t="n">
        <v>0.961896591654385</v>
      </c>
      <c r="L133" s="84" t="n">
        <v>14.8181359726696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-2.8878</v>
      </c>
      <c r="F134" s="84" t="n">
        <v>10.0216</v>
      </c>
      <c r="G134" s="84" t="n">
        <v>7.9156</v>
      </c>
      <c r="H134" s="84" t="n">
        <v>0</v>
      </c>
      <c r="I134" s="84" t="n">
        <v>0.0367906372153823</v>
      </c>
      <c r="J134" s="84" t="n">
        <v>-0.398523039143677</v>
      </c>
      <c r="K134" s="84" t="n">
        <v>0.900087211381471</v>
      </c>
      <c r="L134" s="84" t="n">
        <v>12.7995885713178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1.2761</v>
      </c>
      <c r="F135" s="84" t="n">
        <v>0</v>
      </c>
      <c r="G135" s="84" t="n">
        <v>0</v>
      </c>
      <c r="H135" s="84" t="n">
        <v>0</v>
      </c>
      <c r="I135" s="84" t="n">
        <v>0.0496009431296776</v>
      </c>
      <c r="J135" s="84" t="n">
        <v>-0.12669362210502</v>
      </c>
      <c r="K135" s="84" t="n">
        <v>1.06051481028759</v>
      </c>
      <c r="L135" s="84" t="n">
        <v>17.0299757962762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-23.2846</v>
      </c>
      <c r="F136" s="84" t="n">
        <v>0</v>
      </c>
      <c r="G136" s="84" t="n">
        <v>0</v>
      </c>
      <c r="H136" s="84" t="n">
        <v>0</v>
      </c>
      <c r="I136" s="84" t="n">
        <v>-0.0226429342781045</v>
      </c>
      <c r="J136" s="84" t="n">
        <v>-0.661916643407124</v>
      </c>
      <c r="K136" s="84" t="n">
        <v>0.9691001466643639</v>
      </c>
      <c r="L136" s="84" t="n">
        <v>20.9116762963943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19.0505</v>
      </c>
      <c r="F137" s="84" t="n">
        <v>0</v>
      </c>
      <c r="G137" s="84" t="n">
        <v>0</v>
      </c>
      <c r="H137" s="84" t="n">
        <v>0</v>
      </c>
      <c r="I137" s="84" t="n">
        <v>0.06457687490470811</v>
      </c>
      <c r="J137" s="84" t="n">
        <v>-0.307788974767294</v>
      </c>
      <c r="K137" s="84" t="n">
        <v>0.997121533881938</v>
      </c>
      <c r="L137" s="84" t="n">
        <v>17.2818722276296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29" t="inlineStr">
        <is>
          <t>Equity Large Cap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426" t="n"/>
      <c r="L3" s="426" t="n"/>
      <c r="M3" s="426" t="n"/>
      <c r="N3" s="426" t="n"/>
      <c r="O3" s="426" t="n"/>
      <c r="P3" s="426" t="n"/>
      <c r="Q3" s="426" t="n"/>
      <c r="R3" s="426" t="n"/>
      <c r="S3" s="426" t="n"/>
      <c r="T3" s="426" t="n"/>
      <c r="U3" s="426" t="n"/>
      <c r="V3" s="426" t="n"/>
      <c r="W3" s="426" t="n"/>
      <c r="X3" s="426" t="n"/>
      <c r="Y3" s="426" t="n"/>
      <c r="Z3" s="375" t="n"/>
    </row>
    <row r="4" ht="15" customHeight="1" thickBot="1">
      <c r="B4" s="147" t="n"/>
      <c r="C4" s="148" t="n"/>
      <c r="D4" s="190" t="n"/>
      <c r="E4" s="432" t="inlineStr">
        <is>
          <t>Actuals</t>
        </is>
      </c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33" t="n"/>
      <c r="P4" s="427" t="inlineStr">
        <is>
          <t>Normalized</t>
        </is>
      </c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30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31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3"/>
    <col width="8.7109375" customWidth="1" style="42" min="34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37" t="inlineStr">
        <is>
          <t>Equity Large &amp; Mid Cap</t>
        </is>
      </c>
      <c r="C4" s="401" t="n"/>
      <c r="D4" s="401" t="n"/>
      <c r="E4" s="401" t="n"/>
      <c r="F4" s="401" t="n"/>
      <c r="G4" s="401" t="n"/>
      <c r="H4" s="401" t="n"/>
      <c r="I4" s="401" t="n"/>
      <c r="J4" s="401" t="n"/>
      <c r="K4" s="401" t="n"/>
      <c r="L4" s="401" t="n"/>
      <c r="M4" s="401" t="n"/>
      <c r="N4" s="401" t="n"/>
      <c r="O4" s="401" t="n"/>
      <c r="P4" s="401" t="n"/>
      <c r="Q4" s="401" t="n"/>
      <c r="R4" s="401" t="n"/>
      <c r="S4" s="401" t="n"/>
      <c r="T4" s="401" t="n"/>
      <c r="U4" s="401" t="n"/>
      <c r="V4" s="401" t="n"/>
      <c r="W4" s="401" t="n"/>
      <c r="X4" s="401" t="n"/>
      <c r="Y4" s="401" t="n"/>
      <c r="Z4" s="303" t="n"/>
    </row>
    <row r="5" ht="15" customHeight="1" thickBot="1">
      <c r="B5" s="153" t="n"/>
      <c r="C5" s="154" t="n"/>
      <c r="D5" s="154" t="n"/>
      <c r="E5" s="439" t="inlineStr">
        <is>
          <t>Actuals</t>
        </is>
      </c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1" t="n"/>
      <c r="P5" s="434" t="inlineStr">
        <is>
          <t>Normalized</t>
        </is>
      </c>
      <c r="Q5" s="435" t="n"/>
      <c r="R5" s="435" t="n"/>
      <c r="S5" s="435" t="n"/>
      <c r="T5" s="435" t="n"/>
      <c r="U5" s="435" t="n"/>
      <c r="V5" s="435" t="n"/>
      <c r="W5" s="435" t="n"/>
      <c r="X5" s="435" t="n"/>
      <c r="Y5" s="436" t="n"/>
      <c r="Z5" s="438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41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47"/>
    <col width="8.7109375" customWidth="1" style="42" min="48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29" t="inlineStr">
        <is>
          <t>Ultra Short Duration Fund</t>
        </is>
      </c>
      <c r="C4" s="426" t="n"/>
      <c r="D4" s="426" t="n"/>
      <c r="E4" s="426" t="n"/>
      <c r="F4" s="426" t="n"/>
      <c r="G4" s="426" t="n"/>
      <c r="H4" s="426" t="n"/>
      <c r="I4" s="426" t="n"/>
      <c r="J4" s="426" t="n"/>
      <c r="K4" s="426" t="n"/>
      <c r="L4" s="426" t="n"/>
      <c r="M4" s="426" t="n"/>
      <c r="N4" s="426" t="n"/>
      <c r="O4" s="426" t="n"/>
      <c r="P4" s="426" t="n"/>
      <c r="Q4" s="426" t="n"/>
      <c r="R4" s="426" t="n"/>
      <c r="S4" s="426" t="n"/>
      <c r="T4" s="426" t="n"/>
      <c r="U4" s="426" t="n"/>
      <c r="V4" s="426" t="n"/>
      <c r="W4" s="426" t="n"/>
      <c r="X4" s="426" t="n"/>
      <c r="Y4" s="426" t="n"/>
      <c r="Z4" s="426" t="n"/>
      <c r="AA4" s="426" t="n"/>
      <c r="AB4" s="426" t="n"/>
      <c r="AC4" s="426" t="n"/>
      <c r="AD4" s="426" t="n"/>
      <c r="AE4" s="426" t="n"/>
      <c r="AF4" s="426" t="n"/>
      <c r="AG4" s="426" t="n"/>
      <c r="AH4" s="426" t="n"/>
      <c r="AI4" s="426" t="n"/>
      <c r="AJ4" s="426" t="n"/>
      <c r="AK4" s="426" t="n"/>
      <c r="AL4" s="426" t="n"/>
      <c r="AM4" s="426" t="n"/>
      <c r="AN4" s="375" t="n"/>
    </row>
    <row r="5" ht="15" customHeight="1" thickBot="1">
      <c r="B5" s="262" t="n"/>
      <c r="C5" s="189" t="n"/>
      <c r="D5" s="189" t="n"/>
      <c r="E5" s="189" t="n"/>
      <c r="F5" s="444" t="n"/>
      <c r="G5" s="445" t="n"/>
      <c r="H5" s="445" t="n"/>
      <c r="I5" s="445" t="n"/>
      <c r="J5" s="445" t="n"/>
      <c r="K5" s="445" t="n"/>
      <c r="L5" s="445" t="n"/>
      <c r="M5" s="445" t="n"/>
      <c r="N5" s="445" t="n"/>
      <c r="O5" s="445" t="n"/>
      <c r="P5" s="445" t="n"/>
      <c r="Q5" s="445" t="n"/>
      <c r="R5" s="445" t="n"/>
      <c r="S5" s="445" t="n"/>
      <c r="T5" s="445" t="n"/>
      <c r="U5" s="445" t="n"/>
      <c r="V5" s="446" t="n"/>
      <c r="W5" s="444" t="n"/>
      <c r="X5" s="445" t="n"/>
      <c r="Y5" s="445" t="n"/>
      <c r="Z5" s="445" t="n"/>
      <c r="AA5" s="445" t="n"/>
      <c r="AB5" s="445" t="n"/>
      <c r="AC5" s="445" t="n"/>
      <c r="AD5" s="445" t="n"/>
      <c r="AE5" s="445" t="n"/>
      <c r="AF5" s="445" t="n"/>
      <c r="AG5" s="445" t="n"/>
      <c r="AH5" s="445" t="n"/>
      <c r="AI5" s="445" t="n"/>
      <c r="AJ5" s="445" t="n"/>
      <c r="AK5" s="445" t="n"/>
      <c r="AL5" s="445" t="n"/>
      <c r="AM5" s="446" t="n"/>
      <c r="AN5" s="442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43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7.98</v>
      </c>
      <c r="G7" s="248" t="n">
        <v>0.46</v>
      </c>
      <c r="H7" s="249" t="n">
        <v>0.49</v>
      </c>
      <c r="I7" s="249" t="n">
        <v>6.9</v>
      </c>
      <c r="J7" s="249" t="n">
        <v>5.96</v>
      </c>
      <c r="K7" s="249" t="n">
        <v>6.07</v>
      </c>
      <c r="L7" s="249" t="n">
        <v>6.19</v>
      </c>
      <c r="M7" s="249" t="n">
        <v>7.14</v>
      </c>
      <c r="N7" s="249" t="n">
        <v>7.23</v>
      </c>
      <c r="O7" s="249" t="n">
        <v>6.4</v>
      </c>
      <c r="P7" s="249" t="n">
        <v>6.89</v>
      </c>
      <c r="Q7" s="84" t="n">
        <v>12.05</v>
      </c>
      <c r="R7" s="84" t="n">
        <v>60.06</v>
      </c>
      <c r="S7" s="84" t="n">
        <v>19.84</v>
      </c>
      <c r="T7" s="84" t="n">
        <v>10.92</v>
      </c>
      <c r="U7" s="84" t="n">
        <v>0</v>
      </c>
      <c r="V7" s="84" t="n">
        <v>-2.87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7.61</v>
      </c>
      <c r="G8" s="248" t="n">
        <v>0.43</v>
      </c>
      <c r="H8" s="249" t="n">
        <v>0.47</v>
      </c>
      <c r="I8" s="249" t="n">
        <v>6.63</v>
      </c>
      <c r="J8" s="249" t="n">
        <v>5.67</v>
      </c>
      <c r="K8" s="249" t="n">
        <v>5.77</v>
      </c>
      <c r="L8" s="249" t="n">
        <v>5.85</v>
      </c>
      <c r="M8" s="249" t="n">
        <v>6.72</v>
      </c>
      <c r="N8" s="249" t="n">
        <v>6.86</v>
      </c>
      <c r="O8" s="249" t="n">
        <v>6.06</v>
      </c>
      <c r="P8" s="249" t="n">
        <v>0</v>
      </c>
      <c r="Q8" s="84" t="n">
        <v>8.81</v>
      </c>
      <c r="R8" s="84" t="n">
        <v>78.23</v>
      </c>
      <c r="S8" s="84" t="n">
        <v>2.31</v>
      </c>
      <c r="T8" s="84" t="n">
        <v>5.31</v>
      </c>
      <c r="U8" s="84" t="n">
        <v>0</v>
      </c>
      <c r="V8" s="84" t="n">
        <v>5.33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7.79</v>
      </c>
      <c r="G10" s="248" t="n">
        <v>0.44</v>
      </c>
      <c r="H10" s="249" t="n">
        <v>0.48</v>
      </c>
      <c r="I10" s="249" t="n">
        <v>7.16</v>
      </c>
      <c r="J10" s="249" t="n">
        <v>6.07</v>
      </c>
      <c r="K10" s="249" t="n">
        <v>6.07</v>
      </c>
      <c r="L10" s="249" t="n">
        <v>6.13</v>
      </c>
      <c r="M10" s="249" t="n">
        <v>6.88</v>
      </c>
      <c r="N10" s="249" t="n">
        <v>6.97</v>
      </c>
      <c r="O10" s="249" t="n">
        <v>6.18</v>
      </c>
      <c r="P10" s="249" t="n">
        <v>6.76</v>
      </c>
      <c r="Q10" s="84" t="n">
        <v>9.779999999999999</v>
      </c>
      <c r="R10" s="84" t="n">
        <v>68.43000000000001</v>
      </c>
      <c r="S10" s="84" t="n">
        <v>7.49</v>
      </c>
      <c r="T10" s="84" t="n">
        <v>9.630000000000001</v>
      </c>
      <c r="U10" s="84" t="n">
        <v>-14.06</v>
      </c>
      <c r="V10" s="84" t="n">
        <v>4.67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7.9</v>
      </c>
      <c r="G11" s="248" t="n">
        <v>0.4</v>
      </c>
      <c r="H11" s="249" t="n">
        <v>0.41</v>
      </c>
      <c r="I11" s="249" t="n">
        <v>6.35</v>
      </c>
      <c r="J11" s="249" t="n">
        <v>5.75</v>
      </c>
      <c r="K11" s="249" t="n">
        <v>5.79</v>
      </c>
      <c r="L11" s="249" t="n">
        <v>5.82</v>
      </c>
      <c r="M11" s="249" t="n">
        <v>6.62</v>
      </c>
      <c r="N11" s="249" t="n">
        <v>6.73</v>
      </c>
      <c r="O11" s="249" t="n">
        <v>5.95</v>
      </c>
      <c r="P11" s="249" t="n">
        <v>6.32</v>
      </c>
      <c r="Q11" s="84" t="n">
        <v>13.33</v>
      </c>
      <c r="R11" s="84" t="n">
        <v>67.15000000000001</v>
      </c>
      <c r="S11" s="84" t="n">
        <v>10.13</v>
      </c>
      <c r="T11" s="84" t="n">
        <v>5.79</v>
      </c>
      <c r="U11" s="84" t="n">
        <v>0</v>
      </c>
      <c r="V11" s="84" t="n">
        <v>3.6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7.83</v>
      </c>
      <c r="G12" s="248" t="n">
        <v>0.42</v>
      </c>
      <c r="H12" s="249" t="n">
        <v>0.45</v>
      </c>
      <c r="I12" s="249" t="n">
        <v>7.15</v>
      </c>
      <c r="J12" s="249" t="n">
        <v>6.14</v>
      </c>
      <c r="K12" s="249" t="n">
        <v>6.06</v>
      </c>
      <c r="L12" s="249" t="n">
        <v>6.05</v>
      </c>
      <c r="M12" s="249" t="n">
        <v>6.72</v>
      </c>
      <c r="N12" s="249" t="n">
        <v>6.78</v>
      </c>
      <c r="O12" s="249" t="n">
        <v>6.56</v>
      </c>
      <c r="P12" s="249" t="n">
        <v>5.79</v>
      </c>
      <c r="Q12" s="84" t="n">
        <v>9.039999999999999</v>
      </c>
      <c r="R12" s="84" t="n">
        <v>56.81</v>
      </c>
      <c r="S12" s="84" t="n">
        <v>9.06</v>
      </c>
      <c r="T12" s="84" t="n">
        <v>19.13</v>
      </c>
      <c r="U12" s="84" t="n">
        <v>0.04</v>
      </c>
      <c r="V12" s="84" t="n">
        <v>5.93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7.61</v>
      </c>
      <c r="G13" s="251" t="n">
        <v>0.34</v>
      </c>
      <c r="H13" s="250" t="n">
        <v>0.42</v>
      </c>
      <c r="I13" s="250" t="n">
        <v>6.88</v>
      </c>
      <c r="J13" s="250" t="n">
        <v>5.78</v>
      </c>
      <c r="K13" s="250" t="n">
        <v>5.77</v>
      </c>
      <c r="L13" s="250" t="n">
        <v>5.77</v>
      </c>
      <c r="M13" s="250" t="n">
        <v>6.56</v>
      </c>
      <c r="N13" s="250" t="n">
        <v>6.68</v>
      </c>
      <c r="O13" s="250" t="n">
        <v>6.42</v>
      </c>
      <c r="P13" s="250" t="n">
        <v>6.03</v>
      </c>
      <c r="Q13" s="92" t="n">
        <v>5.62</v>
      </c>
      <c r="R13" s="92" t="n">
        <v>62.96</v>
      </c>
      <c r="S13" s="92" t="n">
        <v>11.48</v>
      </c>
      <c r="T13" s="92" t="n">
        <v>8.59</v>
      </c>
      <c r="U13" s="92" t="n">
        <v>0</v>
      </c>
      <c r="V13" s="92" t="n">
        <v>11.35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29" t="inlineStr">
        <is>
          <t>Low Duration Fund</t>
        </is>
      </c>
      <c r="C16" s="426" t="n"/>
      <c r="D16" s="426" t="n"/>
      <c r="E16" s="426" t="n"/>
      <c r="F16" s="426" t="n"/>
      <c r="G16" s="426" t="n"/>
      <c r="H16" s="426" t="n"/>
      <c r="I16" s="426" t="n"/>
      <c r="J16" s="426" t="n"/>
      <c r="K16" s="426" t="n"/>
      <c r="L16" s="426" t="n"/>
      <c r="M16" s="426" t="n"/>
      <c r="N16" s="426" t="n"/>
      <c r="O16" s="426" t="n"/>
      <c r="P16" s="426" t="n"/>
      <c r="Q16" s="426" t="n"/>
      <c r="R16" s="426" t="n"/>
      <c r="S16" s="426" t="n"/>
      <c r="T16" s="426" t="n"/>
      <c r="U16" s="426" t="n"/>
      <c r="V16" s="426" t="n"/>
      <c r="W16" s="426" t="n"/>
      <c r="X16" s="426" t="n"/>
      <c r="Y16" s="426" t="n"/>
      <c r="Z16" s="426" t="n"/>
      <c r="AA16" s="426" t="n"/>
      <c r="AB16" s="426" t="n"/>
      <c r="AC16" s="426" t="n"/>
      <c r="AD16" s="426" t="n"/>
      <c r="AE16" s="426" t="n"/>
      <c r="AF16" s="426" t="n"/>
      <c r="AG16" s="426" t="n"/>
      <c r="AH16" s="426" t="n"/>
      <c r="AI16" s="426" t="n"/>
      <c r="AJ16" s="426" t="n"/>
      <c r="AK16" s="426" t="n"/>
      <c r="AL16" s="426" t="n"/>
      <c r="AM16" s="426" t="n"/>
      <c r="AN16" s="375" t="n"/>
    </row>
    <row r="17" ht="15" customHeight="1" thickBot="1">
      <c r="B17" s="262" t="n"/>
      <c r="C17" s="189" t="n"/>
      <c r="D17" s="189" t="n"/>
      <c r="E17" s="189" t="n"/>
      <c r="F17" s="444" t="n"/>
      <c r="G17" s="445" t="n"/>
      <c r="H17" s="445" t="n"/>
      <c r="I17" s="445" t="n"/>
      <c r="J17" s="445" t="n"/>
      <c r="K17" s="445" t="n"/>
      <c r="L17" s="445" t="n"/>
      <c r="M17" s="445" t="n"/>
      <c r="N17" s="445" t="n"/>
      <c r="O17" s="445" t="n"/>
      <c r="P17" s="445" t="n"/>
      <c r="Q17" s="445" t="n"/>
      <c r="R17" s="445" t="n"/>
      <c r="S17" s="445" t="n"/>
      <c r="T17" s="445" t="n"/>
      <c r="U17" s="445" t="n"/>
      <c r="V17" s="446" t="n"/>
      <c r="W17" s="444" t="n"/>
      <c r="X17" s="445" t="n"/>
      <c r="Y17" s="445" t="n"/>
      <c r="Z17" s="445" t="n"/>
      <c r="AA17" s="445" t="n"/>
      <c r="AB17" s="445" t="n"/>
      <c r="AC17" s="445" t="n"/>
      <c r="AD17" s="445" t="n"/>
      <c r="AE17" s="445" t="n"/>
      <c r="AF17" s="445" t="n"/>
      <c r="AG17" s="445" t="n"/>
      <c r="AH17" s="445" t="n"/>
      <c r="AI17" s="445" t="n"/>
      <c r="AJ17" s="445" t="n"/>
      <c r="AK17" s="445" t="n"/>
      <c r="AL17" s="445" t="n"/>
      <c r="AM17" s="446" t="n"/>
      <c r="AN17" s="442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43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7.95</v>
      </c>
      <c r="G19" s="248" t="n">
        <v>0.95</v>
      </c>
      <c r="H19" s="249" t="n">
        <v>1.01</v>
      </c>
      <c r="I19" s="248" t="n">
        <v>7.24</v>
      </c>
      <c r="J19" s="248" t="n">
        <v>5.91</v>
      </c>
      <c r="K19" s="248" t="n">
        <v>6.18</v>
      </c>
      <c r="L19" s="248" t="n">
        <v>6.2</v>
      </c>
      <c r="M19" s="248" t="n">
        <v>7.3</v>
      </c>
      <c r="N19" s="248" t="n">
        <v>7.45</v>
      </c>
      <c r="O19" s="248" t="n">
        <v>6.52</v>
      </c>
      <c r="P19" s="248" t="n">
        <v>7.07</v>
      </c>
      <c r="Q19" s="248" t="n">
        <v>8.949999999999999</v>
      </c>
      <c r="R19" s="248" t="n">
        <v>73.29000000000001</v>
      </c>
      <c r="S19" s="248" t="n">
        <v>6.89</v>
      </c>
      <c r="T19" s="248" t="n">
        <v>7.01</v>
      </c>
      <c r="U19" s="248" t="n">
        <v>-5.6</v>
      </c>
      <c r="V19" s="248" t="n">
        <v>3.86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7.82</v>
      </c>
      <c r="G20" s="248" t="n">
        <v>0.88</v>
      </c>
      <c r="H20" s="249" t="n">
        <v>0.95</v>
      </c>
      <c r="I20" s="248" t="n">
        <v>6.6</v>
      </c>
      <c r="J20" s="248" t="n">
        <v>5.42</v>
      </c>
      <c r="K20" s="248" t="n">
        <v>5.6</v>
      </c>
      <c r="L20" s="248" t="n">
        <v>5.59</v>
      </c>
      <c r="M20" s="248" t="n">
        <v>6.79</v>
      </c>
      <c r="N20" s="248" t="n">
        <v>6.9</v>
      </c>
      <c r="O20" s="248" t="n">
        <v>6.03</v>
      </c>
      <c r="P20" s="248" t="n">
        <v>6.57</v>
      </c>
      <c r="Q20" s="248" t="n">
        <v>13.35</v>
      </c>
      <c r="R20" s="248" t="n">
        <v>67.59</v>
      </c>
      <c r="S20" s="248" t="n">
        <v>1.71</v>
      </c>
      <c r="T20" s="248" t="n">
        <v>14.47</v>
      </c>
      <c r="U20" s="248" t="n">
        <v>0</v>
      </c>
      <c r="V20" s="248" t="n">
        <v>2.88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7.7</v>
      </c>
      <c r="G22" s="248" t="n">
        <v>0.85</v>
      </c>
      <c r="H22" s="249" t="n">
        <v>0.91</v>
      </c>
      <c r="I22" s="248" t="n">
        <v>6.31</v>
      </c>
      <c r="J22" s="248" t="n">
        <v>4.97</v>
      </c>
      <c r="K22" s="248" t="n">
        <v>5.3</v>
      </c>
      <c r="L22" s="248" t="n">
        <v>5.35</v>
      </c>
      <c r="M22" s="248" t="n">
        <v>6.49</v>
      </c>
      <c r="N22" s="248" t="n">
        <v>6.58</v>
      </c>
      <c r="O22" s="248" t="n">
        <v>5.83</v>
      </c>
      <c r="P22" s="248" t="n">
        <v>6.47</v>
      </c>
      <c r="Q22" s="248" t="n">
        <v>12.03</v>
      </c>
      <c r="R22" s="248" t="n">
        <v>71.34999999999999</v>
      </c>
      <c r="S22" s="248" t="n">
        <v>4.35</v>
      </c>
      <c r="T22" s="248" t="n">
        <v>9.81</v>
      </c>
      <c r="U22" s="248" t="n">
        <v>0</v>
      </c>
      <c r="V22" s="248" t="n">
        <v>2.46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8.130000000000001</v>
      </c>
      <c r="G23" s="248" t="n">
        <v>0.93</v>
      </c>
      <c r="H23" s="249" t="n">
        <v>0.99</v>
      </c>
      <c r="I23" s="248" t="n">
        <v>6.24</v>
      </c>
      <c r="J23" s="248" t="n">
        <v>5.17</v>
      </c>
      <c r="K23" s="248" t="n">
        <v>5.35</v>
      </c>
      <c r="L23" s="248" t="n">
        <v>5.41</v>
      </c>
      <c r="M23" s="248" t="n">
        <v>6.65</v>
      </c>
      <c r="N23" s="248" t="n">
        <v>6.71</v>
      </c>
      <c r="O23" s="248" t="n">
        <v>5.84</v>
      </c>
      <c r="P23" s="248" t="n">
        <v>6.62</v>
      </c>
      <c r="Q23" s="248" t="n">
        <v>12.85</v>
      </c>
      <c r="R23" s="248" t="n">
        <v>68.36</v>
      </c>
      <c r="S23" s="248" t="n">
        <v>5.6</v>
      </c>
      <c r="T23" s="248" t="n">
        <v>11.98</v>
      </c>
      <c r="U23" s="248" t="n">
        <v>0</v>
      </c>
      <c r="V23" s="248" t="n">
        <v>1.21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7.88</v>
      </c>
      <c r="G24" s="248" t="n">
        <v>0.92</v>
      </c>
      <c r="H24" s="249" t="n">
        <v>0.98</v>
      </c>
      <c r="I24" s="248" t="n">
        <v>6.93</v>
      </c>
      <c r="J24" s="248" t="n">
        <v>5.48</v>
      </c>
      <c r="K24" s="248" t="n">
        <v>5.64</v>
      </c>
      <c r="L24" s="248" t="n">
        <v>5.73</v>
      </c>
      <c r="M24" s="248" t="n">
        <v>6.86</v>
      </c>
      <c r="N24" s="248" t="n">
        <v>6.86</v>
      </c>
      <c r="O24" s="248" t="n">
        <v>6.02</v>
      </c>
      <c r="P24" s="248" t="n">
        <v>6.48</v>
      </c>
      <c r="Q24" s="248" t="n">
        <v>10.98</v>
      </c>
      <c r="R24" s="248" t="n">
        <v>69.16</v>
      </c>
      <c r="S24" s="248" t="n">
        <v>6.37</v>
      </c>
      <c r="T24" s="248" t="n">
        <v>8.640000000000001</v>
      </c>
      <c r="U24" s="248" t="n">
        <v>0.07000000000000001</v>
      </c>
      <c r="V24" s="248" t="n">
        <v>4.79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7.77</v>
      </c>
      <c r="G25" s="251" t="n">
        <v>0.6899999999999999</v>
      </c>
      <c r="H25" s="250" t="n">
        <v>0.8100000000000001</v>
      </c>
      <c r="I25" s="251" t="n">
        <v>7.14</v>
      </c>
      <c r="J25" s="251" t="n">
        <v>5.82</v>
      </c>
      <c r="K25" s="251" t="n">
        <v>6</v>
      </c>
      <c r="L25" s="251" t="n">
        <v>6.03</v>
      </c>
      <c r="M25" s="251" t="n">
        <v>7.18</v>
      </c>
      <c r="N25" s="251" t="n">
        <v>7.17</v>
      </c>
      <c r="O25" s="251" t="n">
        <v>7.34</v>
      </c>
      <c r="P25" s="251" t="n">
        <v>5.99</v>
      </c>
      <c r="Q25" s="251" t="n">
        <v>6.16</v>
      </c>
      <c r="R25" s="251" t="n">
        <v>73.56999999999999</v>
      </c>
      <c r="S25" s="251" t="n">
        <v>2.37</v>
      </c>
      <c r="T25" s="251" t="n">
        <v>6.97</v>
      </c>
      <c r="U25" s="248" t="n">
        <v>0</v>
      </c>
      <c r="V25" s="251" t="n">
        <v>10.93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29" t="inlineStr">
        <is>
          <t>Short Duration Fund</t>
        </is>
      </c>
      <c r="C28" s="426" t="n"/>
      <c r="D28" s="426" t="n"/>
      <c r="E28" s="426" t="n"/>
      <c r="F28" s="426" t="n"/>
      <c r="G28" s="426" t="n"/>
      <c r="H28" s="426" t="n"/>
      <c r="I28" s="426" t="n"/>
      <c r="J28" s="426" t="n"/>
      <c r="K28" s="426" t="n"/>
      <c r="L28" s="426" t="n"/>
      <c r="M28" s="426" t="n"/>
      <c r="N28" s="426" t="n"/>
      <c r="O28" s="426" t="n"/>
      <c r="P28" s="426" t="n"/>
      <c r="Q28" s="426" t="n"/>
      <c r="R28" s="426" t="n"/>
      <c r="S28" s="426" t="n"/>
      <c r="T28" s="426" t="n"/>
      <c r="U28" s="426" t="n"/>
      <c r="V28" s="426" t="n"/>
      <c r="W28" s="426" t="n"/>
      <c r="X28" s="426" t="n"/>
      <c r="Y28" s="426" t="n"/>
      <c r="Z28" s="426" t="n"/>
      <c r="AA28" s="426" t="n"/>
      <c r="AB28" s="426" t="n"/>
      <c r="AC28" s="426" t="n"/>
      <c r="AD28" s="426" t="n"/>
      <c r="AE28" s="426" t="n"/>
      <c r="AF28" s="426" t="n"/>
      <c r="AG28" s="426" t="n"/>
      <c r="AH28" s="426" t="n"/>
      <c r="AI28" s="426" t="n"/>
      <c r="AJ28" s="426" t="n"/>
      <c r="AK28" s="426" t="n"/>
      <c r="AL28" s="426" t="n"/>
      <c r="AM28" s="426" t="n"/>
      <c r="AN28" s="375" t="n"/>
    </row>
    <row r="29" ht="15" customHeight="1" thickBot="1">
      <c r="B29" s="262" t="n"/>
      <c r="C29" s="189" t="n"/>
      <c r="D29" s="189" t="n"/>
      <c r="E29" s="189" t="n"/>
      <c r="F29" s="444" t="n"/>
      <c r="G29" s="445" t="n"/>
      <c r="H29" s="445" t="n"/>
      <c r="I29" s="445" t="n"/>
      <c r="J29" s="445" t="n"/>
      <c r="K29" s="445" t="n"/>
      <c r="L29" s="445" t="n"/>
      <c r="M29" s="445" t="n"/>
      <c r="N29" s="445" t="n"/>
      <c r="O29" s="445" t="n"/>
      <c r="P29" s="445" t="n"/>
      <c r="Q29" s="445" t="n"/>
      <c r="R29" s="445" t="n"/>
      <c r="S29" s="445" t="n"/>
      <c r="T29" s="445" t="n"/>
      <c r="U29" s="445" t="n"/>
      <c r="V29" s="446" t="n"/>
      <c r="W29" s="444" t="n"/>
      <c r="X29" s="445" t="n"/>
      <c r="Y29" s="445" t="n"/>
      <c r="Z29" s="445" t="n"/>
      <c r="AA29" s="445" t="n"/>
      <c r="AB29" s="445" t="n"/>
      <c r="AC29" s="445" t="n"/>
      <c r="AD29" s="445" t="n"/>
      <c r="AE29" s="445" t="n"/>
      <c r="AF29" s="445" t="n"/>
      <c r="AG29" s="445" t="n"/>
      <c r="AH29" s="445" t="n"/>
      <c r="AI29" s="445" t="n"/>
      <c r="AJ29" s="445" t="n"/>
      <c r="AK29" s="445" t="n"/>
      <c r="AL29" s="445" t="n"/>
      <c r="AM29" s="446" t="n"/>
      <c r="AN29" s="442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43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8.140000000000001</v>
      </c>
      <c r="G31" s="248" t="n">
        <v>2.72</v>
      </c>
      <c r="H31" s="249" t="n">
        <v>2.86</v>
      </c>
      <c r="I31" s="248" t="n">
        <v>8.56</v>
      </c>
      <c r="J31" s="248" t="n">
        <v>5.59</v>
      </c>
      <c r="K31" s="248" t="n">
        <v>5.91</v>
      </c>
      <c r="L31" s="248" t="n">
        <v>5.75</v>
      </c>
      <c r="M31" s="248" t="n">
        <v>7.37</v>
      </c>
      <c r="N31" s="248" t="n">
        <v>7.38</v>
      </c>
      <c r="O31" s="248" t="n">
        <v>6.52</v>
      </c>
      <c r="P31" s="248" t="n">
        <v>7.28</v>
      </c>
      <c r="Q31" s="248" t="n">
        <v>17.87</v>
      </c>
      <c r="R31" s="248" t="n">
        <v>59.64</v>
      </c>
      <c r="S31" s="248" t="n">
        <v>9.220000000000001</v>
      </c>
      <c r="T31" s="248" t="n">
        <v>10.48</v>
      </c>
      <c r="U31" s="248" t="n">
        <v>3.53</v>
      </c>
      <c r="V31" s="248" t="n">
        <v>2.79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7.94</v>
      </c>
      <c r="G32" s="248" t="n">
        <v>2.07</v>
      </c>
      <c r="H32" s="249" t="n">
        <v>2.19</v>
      </c>
      <c r="I32" s="248" t="n">
        <v>6.99</v>
      </c>
      <c r="J32" s="248" t="n">
        <v>4.57</v>
      </c>
      <c r="K32" s="248" t="n">
        <v>4.86</v>
      </c>
      <c r="L32" s="248" t="n">
        <v>4.56</v>
      </c>
      <c r="M32" s="248" t="n">
        <v>6.76</v>
      </c>
      <c r="N32" s="248" t="n">
        <v>6.77</v>
      </c>
      <c r="O32" s="248" t="n">
        <v>5.73</v>
      </c>
      <c r="P32" s="248" t="n">
        <v>6.65</v>
      </c>
      <c r="Q32" s="248" t="n">
        <v>15.67</v>
      </c>
      <c r="R32" s="248" t="n">
        <v>81.3</v>
      </c>
      <c r="S32" s="248" t="n">
        <v>0</v>
      </c>
      <c r="T32" s="248" t="n">
        <v>0</v>
      </c>
      <c r="U32" s="248" t="n">
        <v>0</v>
      </c>
      <c r="V32" s="248" t="n">
        <v>3.02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8.01</v>
      </c>
      <c r="G33" s="248" t="n">
        <v>2.41</v>
      </c>
      <c r="H33" s="249" t="n">
        <v>2.56</v>
      </c>
      <c r="I33" s="248" t="n">
        <v>8.050000000000001</v>
      </c>
      <c r="J33" s="248" t="n">
        <v>5.33</v>
      </c>
      <c r="K33" s="248" t="n">
        <v>5.65</v>
      </c>
      <c r="L33" s="248" t="n">
        <v>5.41</v>
      </c>
      <c r="M33" s="248" t="n">
        <v>7.35</v>
      </c>
      <c r="N33" s="248" t="n">
        <v>7.36</v>
      </c>
      <c r="O33" s="248" t="n">
        <v>6.31</v>
      </c>
      <c r="P33" s="248" t="n">
        <v>7.22</v>
      </c>
      <c r="Q33" s="248" t="n">
        <v>10.77</v>
      </c>
      <c r="R33" s="248" t="n">
        <v>69.44</v>
      </c>
      <c r="S33" s="248" t="n">
        <v>6.93</v>
      </c>
      <c r="T33" s="248" t="n">
        <v>9.539999999999999</v>
      </c>
      <c r="U33" s="248" t="n">
        <v>0</v>
      </c>
      <c r="V33" s="248" t="n">
        <v>3.33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7.94</v>
      </c>
      <c r="G34" s="248" t="n">
        <v>2.01</v>
      </c>
      <c r="H34" s="249" t="n">
        <v>2.12</v>
      </c>
      <c r="I34" s="248" t="n">
        <v>7.27</v>
      </c>
      <c r="J34" s="248" t="n">
        <v>4.7</v>
      </c>
      <c r="K34" s="248" t="n">
        <v>4.99</v>
      </c>
      <c r="L34" s="248" t="n">
        <v>4.98</v>
      </c>
      <c r="M34" s="248" t="n">
        <v>7.07</v>
      </c>
      <c r="N34" s="248" t="n">
        <v>6.98</v>
      </c>
      <c r="O34" s="248" t="n">
        <v>5.96</v>
      </c>
      <c r="P34" s="248" t="n">
        <v>6.72</v>
      </c>
      <c r="Q34" s="248" t="n">
        <v>14.62</v>
      </c>
      <c r="R34" s="248" t="n">
        <v>61.45</v>
      </c>
      <c r="S34" s="248" t="n">
        <v>8.31</v>
      </c>
      <c r="T34" s="248" t="n">
        <v>7.39</v>
      </c>
      <c r="U34" s="248" t="n">
        <v>-3.61</v>
      </c>
      <c r="V34" s="248" t="n">
        <v>8.23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7.8</v>
      </c>
      <c r="G35" s="248" t="n">
        <v>2.11</v>
      </c>
      <c r="H35" s="249" t="n">
        <v>2.26</v>
      </c>
      <c r="I35" s="248" t="n">
        <v>7.62</v>
      </c>
      <c r="J35" s="248" t="n">
        <v>4.8</v>
      </c>
      <c r="K35" s="248" t="n">
        <v>5.4</v>
      </c>
      <c r="L35" s="248" t="n">
        <v>5.2</v>
      </c>
      <c r="M35" s="248" t="n">
        <v>7.12</v>
      </c>
      <c r="N35" s="248" t="n">
        <v>7.08</v>
      </c>
      <c r="O35" s="248" t="n">
        <v>6.23</v>
      </c>
      <c r="P35" s="248" t="n">
        <v>7.08</v>
      </c>
      <c r="Q35" s="248" t="n">
        <v>11.88</v>
      </c>
      <c r="R35" s="248" t="n">
        <v>65.64</v>
      </c>
      <c r="S35" s="248" t="n">
        <v>5.03</v>
      </c>
      <c r="T35" s="248" t="n">
        <v>10.29</v>
      </c>
      <c r="U35" s="248" t="n">
        <v>0</v>
      </c>
      <c r="V35" s="248" t="n">
        <v>7.16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8.029999999999999</v>
      </c>
      <c r="G36" s="248" t="n">
        <v>2.3</v>
      </c>
      <c r="H36" s="249" t="n">
        <v>2.43</v>
      </c>
      <c r="I36" s="248" t="n">
        <v>7.85</v>
      </c>
      <c r="J36" s="248" t="n">
        <v>5.28</v>
      </c>
      <c r="K36" s="248" t="n">
        <v>5.46</v>
      </c>
      <c r="L36" s="248" t="n">
        <v>5.24</v>
      </c>
      <c r="M36" s="248" t="n">
        <v>7.35</v>
      </c>
      <c r="N36" s="248" t="n">
        <v>7.21</v>
      </c>
      <c r="O36" s="248" t="n">
        <v>6.12</v>
      </c>
      <c r="P36" s="248" t="n">
        <v>6.82</v>
      </c>
      <c r="Q36" s="248" t="n">
        <v>21.39</v>
      </c>
      <c r="R36" s="248" t="n">
        <v>60.82</v>
      </c>
      <c r="S36" s="248" t="n">
        <v>7.32</v>
      </c>
      <c r="T36" s="248" t="n">
        <v>6.57</v>
      </c>
      <c r="U36" s="248" t="n">
        <v>0</v>
      </c>
      <c r="V36" s="248" t="n">
        <v>3.9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7.92</v>
      </c>
      <c r="G37" s="251" t="n">
        <v>1.77</v>
      </c>
      <c r="H37" s="250" t="n">
        <v>2.14</v>
      </c>
      <c r="I37" s="251" t="n">
        <v>7.79</v>
      </c>
      <c r="J37" s="251" t="n">
        <v>4.92</v>
      </c>
      <c r="K37" s="251" t="n">
        <v>5.03</v>
      </c>
      <c r="L37" s="251" t="n">
        <v>4.92</v>
      </c>
      <c r="M37" s="251" t="n">
        <v>6.9</v>
      </c>
      <c r="N37" s="251" t="n">
        <v>6.95</v>
      </c>
      <c r="O37" s="251" t="n">
        <v>7.02</v>
      </c>
      <c r="P37" s="251" t="n">
        <v>6.08</v>
      </c>
      <c r="Q37" s="251" t="n">
        <v>13.56</v>
      </c>
      <c r="R37" s="251" t="n">
        <v>66.84999999999999</v>
      </c>
      <c r="S37" s="251" t="n">
        <v>9.210000000000001</v>
      </c>
      <c r="T37" s="251" t="n">
        <v>5.17</v>
      </c>
      <c r="U37" s="251" t="n">
        <v>0</v>
      </c>
      <c r="V37" s="251" t="n">
        <v>5.22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29" t="inlineStr">
        <is>
          <t>Medium Duration Fund</t>
        </is>
      </c>
      <c r="C39" s="426" t="n"/>
      <c r="D39" s="426" t="n"/>
      <c r="E39" s="426" t="n"/>
      <c r="F39" s="426" t="n"/>
      <c r="G39" s="426" t="n"/>
      <c r="H39" s="426" t="n"/>
      <c r="I39" s="426" t="n"/>
      <c r="J39" s="426" t="n"/>
      <c r="K39" s="426" t="n"/>
      <c r="L39" s="426" t="n"/>
      <c r="M39" s="426" t="n"/>
      <c r="N39" s="426" t="n"/>
      <c r="O39" s="426" t="n"/>
      <c r="P39" s="426" t="n"/>
      <c r="Q39" s="426" t="n"/>
      <c r="R39" s="426" t="n"/>
      <c r="S39" s="426" t="n"/>
      <c r="T39" s="426" t="n"/>
      <c r="U39" s="426" t="n"/>
      <c r="V39" s="426" t="n"/>
      <c r="W39" s="426" t="n"/>
      <c r="X39" s="426" t="n"/>
      <c r="Y39" s="426" t="n"/>
      <c r="Z39" s="426" t="n"/>
      <c r="AA39" s="426" t="n"/>
      <c r="AB39" s="426" t="n"/>
      <c r="AC39" s="426" t="n"/>
      <c r="AD39" s="426" t="n"/>
      <c r="AE39" s="426" t="n"/>
      <c r="AF39" s="426" t="n"/>
      <c r="AG39" s="426" t="n"/>
      <c r="AH39" s="426" t="n"/>
      <c r="AI39" s="426" t="n"/>
      <c r="AJ39" s="426" t="n"/>
      <c r="AK39" s="426" t="n"/>
      <c r="AL39" s="426" t="n"/>
      <c r="AM39" s="426" t="n"/>
      <c r="AN39" s="375" t="n"/>
    </row>
    <row r="40" ht="15" customHeight="1" thickBot="1">
      <c r="B40" s="262" t="n"/>
      <c r="C40" s="189" t="n"/>
      <c r="D40" s="189" t="n"/>
      <c r="E40" s="189" t="n"/>
      <c r="F40" s="444" t="n"/>
      <c r="G40" s="445" t="n"/>
      <c r="H40" s="445" t="n"/>
      <c r="I40" s="445" t="n"/>
      <c r="J40" s="445" t="n"/>
      <c r="K40" s="445" t="n"/>
      <c r="L40" s="445" t="n"/>
      <c r="M40" s="445" t="n"/>
      <c r="N40" s="445" t="n"/>
      <c r="O40" s="445" t="n"/>
      <c r="P40" s="445" t="n"/>
      <c r="Q40" s="445" t="n"/>
      <c r="R40" s="445" t="n"/>
      <c r="S40" s="445" t="n"/>
      <c r="T40" s="445" t="n"/>
      <c r="U40" s="445" t="n"/>
      <c r="V40" s="446" t="n"/>
      <c r="W40" s="444" t="n"/>
      <c r="X40" s="445" t="n"/>
      <c r="Y40" s="445" t="n"/>
      <c r="Z40" s="445" t="n"/>
      <c r="AA40" s="445" t="n"/>
      <c r="AB40" s="445" t="n"/>
      <c r="AC40" s="445" t="n"/>
      <c r="AD40" s="445" t="n"/>
      <c r="AE40" s="445" t="n"/>
      <c r="AF40" s="445" t="n"/>
      <c r="AG40" s="445" t="n"/>
      <c r="AH40" s="445" t="n"/>
      <c r="AI40" s="445" t="n"/>
      <c r="AJ40" s="445" t="n"/>
      <c r="AK40" s="445" t="n"/>
      <c r="AL40" s="445" t="n"/>
      <c r="AM40" s="446" t="n"/>
      <c r="AN40" s="442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43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8.57</v>
      </c>
      <c r="G43" s="248" t="n">
        <v>3.24</v>
      </c>
      <c r="H43" s="249" t="n">
        <v>3.39</v>
      </c>
      <c r="I43" s="248" t="n">
        <v>10.03</v>
      </c>
      <c r="J43" s="248" t="n">
        <v>6.34</v>
      </c>
      <c r="K43" s="248" t="n">
        <v>6.92</v>
      </c>
      <c r="L43" s="248" t="n">
        <v>6.8</v>
      </c>
      <c r="M43" s="248" t="n">
        <v>8.119999999999999</v>
      </c>
      <c r="N43" s="248" t="n">
        <v>7.75</v>
      </c>
      <c r="O43" s="248" t="n">
        <v>6.73</v>
      </c>
      <c r="P43" s="248" t="n">
        <v>7.39</v>
      </c>
      <c r="Q43" s="248" t="n">
        <v>18.44</v>
      </c>
      <c r="R43" s="248" t="n">
        <v>14.48</v>
      </c>
      <c r="S43" s="248" t="n">
        <v>22.58</v>
      </c>
      <c r="T43" s="248" t="n">
        <v>31.76</v>
      </c>
      <c r="U43" s="248" t="n">
        <v>1.38</v>
      </c>
      <c r="V43" s="248" t="n">
        <v>12.75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8.59</v>
      </c>
      <c r="G44" s="248" t="n">
        <v>2.95</v>
      </c>
      <c r="H44" s="249" t="n">
        <v>3.1</v>
      </c>
      <c r="I44" s="248" t="n">
        <v>8.98</v>
      </c>
      <c r="J44" s="248" t="n">
        <v>6.04</v>
      </c>
      <c r="K44" s="248" t="n">
        <v>6.1</v>
      </c>
      <c r="L44" s="248" t="n">
        <v>5.7</v>
      </c>
      <c r="M44" s="248" t="n">
        <v>7.34</v>
      </c>
      <c r="N44" s="248" t="n">
        <v>7.18</v>
      </c>
      <c r="O44" s="248" t="n">
        <v>6.16</v>
      </c>
      <c r="P44" s="248" t="n">
        <v>7.02</v>
      </c>
      <c r="Q44" s="248" t="n">
        <v>16.14</v>
      </c>
      <c r="R44" s="248" t="n">
        <v>23.76</v>
      </c>
      <c r="S44" s="248" t="n">
        <v>16.61</v>
      </c>
      <c r="T44" s="248" t="n">
        <v>29.38</v>
      </c>
      <c r="U44" s="248" t="n">
        <v>6.87</v>
      </c>
      <c r="V44" s="248" t="n">
        <v>7.24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8.49</v>
      </c>
      <c r="G45" s="248" t="n">
        <v>2.85</v>
      </c>
      <c r="H45" s="249" t="n">
        <v>3.01</v>
      </c>
      <c r="I45" s="248" t="n">
        <v>10.49</v>
      </c>
      <c r="J45" s="248" t="n">
        <v>10.11</v>
      </c>
      <c r="K45" s="248" t="n">
        <v>9.109999999999999</v>
      </c>
      <c r="L45" s="248" t="n">
        <v>8.33</v>
      </c>
      <c r="M45" s="248" t="n">
        <v>11.07</v>
      </c>
      <c r="N45" s="248" t="n">
        <v>9.779999999999999</v>
      </c>
      <c r="O45" s="248" t="n">
        <v>11.96</v>
      </c>
      <c r="P45" s="248" t="n">
        <v>8.539999999999999</v>
      </c>
      <c r="Q45" s="248" t="n">
        <v>21.84</v>
      </c>
      <c r="R45" s="248" t="n">
        <v>19.3</v>
      </c>
      <c r="S45" s="248" t="n">
        <v>11.74</v>
      </c>
      <c r="T45" s="248" t="n">
        <v>24.26</v>
      </c>
      <c r="U45" s="248" t="n">
        <v>14.16</v>
      </c>
      <c r="V45" s="248" t="n">
        <v>8.699999999999999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8.720000000000001</v>
      </c>
      <c r="G46" s="248" t="n">
        <v>2.7</v>
      </c>
      <c r="H46" s="249" t="n">
        <v>2.84</v>
      </c>
      <c r="I46" s="248" t="n">
        <v>8.539999999999999</v>
      </c>
      <c r="J46" s="248" t="n">
        <v>5.31</v>
      </c>
      <c r="K46" s="248" t="n">
        <v>6.17</v>
      </c>
      <c r="L46" s="248" t="n">
        <v>6.18</v>
      </c>
      <c r="M46" s="248" t="n">
        <v>7.92</v>
      </c>
      <c r="N46" s="248" t="n">
        <v>7.89</v>
      </c>
      <c r="O46" s="248" t="n">
        <v>6.48</v>
      </c>
      <c r="P46" s="248" t="n">
        <v>6.82</v>
      </c>
      <c r="Q46" s="248" t="n">
        <v>11.08</v>
      </c>
      <c r="R46" s="248" t="n">
        <v>20.79</v>
      </c>
      <c r="S46" s="248" t="n">
        <v>14.43</v>
      </c>
      <c r="T46" s="248" t="n">
        <v>32.9</v>
      </c>
      <c r="U46" s="248" t="n">
        <v>7.54</v>
      </c>
      <c r="V46" s="248" t="n">
        <v>13.27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8.08</v>
      </c>
      <c r="G47" s="248" t="n">
        <v>3.09</v>
      </c>
      <c r="H47" s="249" t="n">
        <v>3.23</v>
      </c>
      <c r="I47" s="248" t="n">
        <v>8.69</v>
      </c>
      <c r="J47" s="248" t="n">
        <v>6.08</v>
      </c>
      <c r="K47" s="248" t="n">
        <v>6.04</v>
      </c>
      <c r="L47" s="248" t="n">
        <v>7.96</v>
      </c>
      <c r="M47" s="248" t="n">
        <v>8.51</v>
      </c>
      <c r="N47" s="248" t="n">
        <v>7.86</v>
      </c>
      <c r="O47" s="248" t="n">
        <v>9.09</v>
      </c>
      <c r="P47" s="248" t="n">
        <v>3.28</v>
      </c>
      <c r="Q47" s="248" t="n">
        <v>23.42</v>
      </c>
      <c r="R47" s="248" t="n">
        <v>22.09</v>
      </c>
      <c r="S47" s="248" t="n">
        <v>5.48</v>
      </c>
      <c r="T47" s="248" t="n">
        <v>34.16</v>
      </c>
      <c r="U47" s="248" t="n">
        <v>0</v>
      </c>
      <c r="V47" s="248" t="n">
        <v>14.85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7.55</v>
      </c>
      <c r="G48" s="251" t="n">
        <v>3.18</v>
      </c>
      <c r="H48" s="250" t="n">
        <v>3.31</v>
      </c>
      <c r="I48" s="251" t="n">
        <v>7.23</v>
      </c>
      <c r="J48" s="251" t="n">
        <v>4.65</v>
      </c>
      <c r="K48" s="251" t="n">
        <v>4.64</v>
      </c>
      <c r="L48" s="251" t="n">
        <v>4.23</v>
      </c>
      <c r="M48" s="251" t="n">
        <v>6.41</v>
      </c>
      <c r="N48" s="251" t="n">
        <v>6.39</v>
      </c>
      <c r="O48" s="251" t="n">
        <v>6.12</v>
      </c>
      <c r="P48" s="251" t="n">
        <v>5.6</v>
      </c>
      <c r="Q48" s="251" t="n">
        <v>44.92</v>
      </c>
      <c r="R48" s="251" t="n">
        <v>16.28</v>
      </c>
      <c r="S48" s="251" t="n">
        <v>2.5</v>
      </c>
      <c r="T48" s="251" t="n">
        <v>19.37</v>
      </c>
      <c r="U48" s="251" t="n">
        <v>0</v>
      </c>
      <c r="V48" s="251" t="n">
        <v>16.93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29">
        <f>'Fund Ranking Criteria'!G24</f>
        <v/>
      </c>
      <c r="C50" s="426" t="n"/>
      <c r="D50" s="426" t="n"/>
      <c r="E50" s="426" t="n"/>
      <c r="F50" s="426" t="n"/>
      <c r="G50" s="426" t="n"/>
      <c r="H50" s="426" t="n"/>
      <c r="I50" s="426" t="n"/>
      <c r="J50" s="426" t="n"/>
      <c r="K50" s="426" t="n"/>
      <c r="L50" s="426" t="n"/>
      <c r="M50" s="426" t="n"/>
      <c r="N50" s="426" t="n"/>
      <c r="O50" s="426" t="n"/>
      <c r="P50" s="426" t="n"/>
      <c r="Q50" s="426" t="n"/>
      <c r="R50" s="426" t="n"/>
      <c r="S50" s="426" t="n"/>
      <c r="T50" s="426" t="n"/>
      <c r="U50" s="426" t="n"/>
      <c r="V50" s="426" t="n"/>
      <c r="W50" s="426" t="n"/>
      <c r="X50" s="426" t="n"/>
      <c r="Y50" s="426" t="n"/>
      <c r="Z50" s="426" t="n"/>
      <c r="AA50" s="426" t="n"/>
      <c r="AB50" s="426" t="n"/>
      <c r="AC50" s="426" t="n"/>
      <c r="AD50" s="426" t="n"/>
      <c r="AE50" s="426" t="n"/>
      <c r="AF50" s="426" t="n"/>
      <c r="AG50" s="426" t="n"/>
      <c r="AH50" s="426" t="n"/>
      <c r="AI50" s="426" t="n"/>
      <c r="AJ50" s="426" t="n"/>
      <c r="AK50" s="426" t="n"/>
      <c r="AL50" s="426" t="n"/>
      <c r="AM50" s="426" t="n"/>
      <c r="AN50" s="375" t="n"/>
    </row>
    <row r="51" ht="15" customHeight="1" thickBot="1">
      <c r="B51" s="155" t="n"/>
      <c r="C51" s="156" t="n"/>
      <c r="D51" s="156" t="n"/>
      <c r="E51" s="156" t="n"/>
      <c r="F51" s="448" t="n"/>
      <c r="G51" s="401" t="n"/>
      <c r="H51" s="401" t="n"/>
      <c r="I51" s="401" t="n"/>
      <c r="J51" s="401" t="n"/>
      <c r="K51" s="401" t="n"/>
      <c r="L51" s="401" t="n"/>
      <c r="M51" s="401" t="n"/>
      <c r="N51" s="401" t="n"/>
      <c r="O51" s="401" t="n"/>
      <c r="P51" s="401" t="n"/>
      <c r="Q51" s="401" t="n"/>
      <c r="R51" s="401" t="n"/>
      <c r="S51" s="401" t="n"/>
      <c r="T51" s="401" t="n"/>
      <c r="U51" s="401" t="n"/>
      <c r="V51" s="449" t="n"/>
      <c r="W51" s="448" t="n"/>
      <c r="X51" s="401" t="n"/>
      <c r="Y51" s="401" t="n"/>
      <c r="Z51" s="401" t="n"/>
      <c r="AA51" s="401" t="n"/>
      <c r="AB51" s="401" t="n"/>
      <c r="AC51" s="401" t="n"/>
      <c r="AD51" s="401" t="n"/>
      <c r="AE51" s="401" t="n"/>
      <c r="AF51" s="401" t="n"/>
      <c r="AG51" s="401" t="n"/>
      <c r="AH51" s="401" t="n"/>
      <c r="AI51" s="401" t="n"/>
      <c r="AJ51" s="401" t="n"/>
      <c r="AK51" s="401" t="n"/>
      <c r="AL51" s="401" t="n"/>
      <c r="AM51" s="449" t="n"/>
      <c r="AN51" s="447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43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7.85</v>
      </c>
      <c r="G53" s="248" t="n">
        <v>6.47</v>
      </c>
      <c r="H53" s="249" t="n">
        <v>6.74</v>
      </c>
      <c r="I53" s="248" t="n">
        <v>10.98</v>
      </c>
      <c r="J53" s="248" t="n">
        <v>4.96</v>
      </c>
      <c r="K53" s="248" t="n">
        <v>5.23</v>
      </c>
      <c r="L53" s="248" t="n">
        <v>4</v>
      </c>
      <c r="M53" s="248" t="n">
        <v>6.8</v>
      </c>
      <c r="N53" s="248" t="n">
        <v>7.04</v>
      </c>
      <c r="O53" s="248" t="n">
        <v>6.04</v>
      </c>
      <c r="P53" s="248" t="n">
        <v>7.05</v>
      </c>
      <c r="Q53" s="248" t="n">
        <v>56.18</v>
      </c>
      <c r="R53" s="248" t="n">
        <v>41.27</v>
      </c>
      <c r="S53" s="248" t="n">
        <v>0</v>
      </c>
      <c r="T53" s="248" t="n">
        <v>0</v>
      </c>
      <c r="U53" s="248" t="n">
        <v>0</v>
      </c>
      <c r="V53" s="248" t="n">
        <v>2.55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7.74</v>
      </c>
      <c r="G54" s="248" t="n">
        <v>6.47</v>
      </c>
      <c r="H54" s="249" t="n">
        <v>6.74</v>
      </c>
      <c r="I54" s="248" t="n">
        <v>10.5</v>
      </c>
      <c r="J54" s="248" t="n">
        <v>3.99</v>
      </c>
      <c r="K54" s="248" t="n">
        <v>3.91</v>
      </c>
      <c r="L54" s="248" t="n">
        <v>2.93</v>
      </c>
      <c r="M54" s="248" t="n">
        <v>5.58</v>
      </c>
      <c r="N54" s="248" t="n">
        <v>6</v>
      </c>
      <c r="O54" s="248" t="n">
        <v>5.41</v>
      </c>
      <c r="P54" s="248" t="n">
        <v>6.74</v>
      </c>
      <c r="Q54" s="248" t="n">
        <v>65.14</v>
      </c>
      <c r="R54" s="248" t="n">
        <v>28.63</v>
      </c>
      <c r="S54" s="248" t="n">
        <v>0</v>
      </c>
      <c r="T54" s="248" t="n">
        <v>0</v>
      </c>
      <c r="U54" s="248" t="n">
        <v>0</v>
      </c>
      <c r="V54" s="248" t="n">
        <v>6.23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7.59</v>
      </c>
      <c r="G55" s="248" t="n">
        <v>4.64</v>
      </c>
      <c r="H55" s="249" t="n">
        <v>4.83</v>
      </c>
      <c r="I55" s="248" t="n">
        <v>11.52</v>
      </c>
      <c r="J55" s="248" t="n">
        <v>4.92</v>
      </c>
      <c r="K55" s="248" t="n">
        <v>4.54</v>
      </c>
      <c r="L55" s="248" t="n">
        <v>3.27</v>
      </c>
      <c r="M55" s="248" t="n">
        <v>5.74</v>
      </c>
      <c r="N55" s="248" t="n">
        <v>6.28</v>
      </c>
      <c r="O55" s="248" t="n">
        <v>5.35</v>
      </c>
      <c r="P55" s="248" t="n">
        <v>6.35</v>
      </c>
      <c r="Q55" s="248" t="n">
        <v>53.58</v>
      </c>
      <c r="R55" s="248" t="n">
        <v>30.07</v>
      </c>
      <c r="S55" s="248" t="n">
        <v>0</v>
      </c>
      <c r="T55" s="248" t="n">
        <v>0</v>
      </c>
      <c r="U55" s="248" t="n">
        <v>0</v>
      </c>
      <c r="V55" s="248" t="n">
        <v>16.34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7.34</v>
      </c>
      <c r="G57" s="248" t="n">
        <v>6.44</v>
      </c>
      <c r="H57" s="249" t="n">
        <v>6.7</v>
      </c>
      <c r="I57" s="248" t="n">
        <v>10.19</v>
      </c>
      <c r="J57" s="248" t="n">
        <v>4.73</v>
      </c>
      <c r="K57" s="248" t="n">
        <v>4.24</v>
      </c>
      <c r="L57" s="248" t="n">
        <v>3.14</v>
      </c>
      <c r="M57" s="248" t="n">
        <v>5.91</v>
      </c>
      <c r="N57" s="248" t="n">
        <v>6.35</v>
      </c>
      <c r="O57" s="248" t="n">
        <v>5.04</v>
      </c>
      <c r="P57" s="248" t="n">
        <v>5.72</v>
      </c>
      <c r="Q57" s="248" t="n">
        <v>68.77</v>
      </c>
      <c r="R57" s="248" t="n">
        <v>25.02</v>
      </c>
      <c r="S57" s="248" t="n">
        <v>0</v>
      </c>
      <c r="T57" s="248" t="n">
        <v>0</v>
      </c>
      <c r="U57" s="248" t="n">
        <v>0</v>
      </c>
      <c r="V57" s="248" t="n">
        <v>6.21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7.41</v>
      </c>
      <c r="G58" s="248" t="n">
        <v>6.43</v>
      </c>
      <c r="H58" s="249" t="n">
        <v>6.69</v>
      </c>
      <c r="I58" s="248" t="n">
        <v>9.869999999999999</v>
      </c>
      <c r="J58" s="248" t="n">
        <v>4.92</v>
      </c>
      <c r="K58" s="248" t="n">
        <v>4.49</v>
      </c>
      <c r="L58" s="248" t="n">
        <v>3.22</v>
      </c>
      <c r="M58" s="248" t="n">
        <v>5.5</v>
      </c>
      <c r="N58" s="248" t="n">
        <v>5.99</v>
      </c>
      <c r="O58" s="248" t="n">
        <v>5.37</v>
      </c>
      <c r="P58" s="248" t="n">
        <v>6.57</v>
      </c>
      <c r="Q58" s="248" t="n">
        <v>84.70999999999999</v>
      </c>
      <c r="R58" s="248" t="n">
        <v>8.380000000000001</v>
      </c>
      <c r="S58" s="248" t="n">
        <v>0</v>
      </c>
      <c r="T58" s="248" t="n">
        <v>0</v>
      </c>
      <c r="U58" s="248" t="n">
        <v>0.24</v>
      </c>
      <c r="V58" s="248" t="n">
        <v>6.66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8.09</v>
      </c>
      <c r="G59" s="251" t="n">
        <v>4.53</v>
      </c>
      <c r="H59" s="250" t="n">
        <v>4.71</v>
      </c>
      <c r="I59" s="251" t="n">
        <v>8.16</v>
      </c>
      <c r="J59" s="251" t="n">
        <v>3.79</v>
      </c>
      <c r="K59" s="251" t="n">
        <v>3.68</v>
      </c>
      <c r="L59" s="251" t="n">
        <v>2.89</v>
      </c>
      <c r="M59" s="251" t="n">
        <v>5.8</v>
      </c>
      <c r="N59" s="251" t="n">
        <v>6</v>
      </c>
      <c r="O59" s="251" t="n">
        <v>8.220000000000001</v>
      </c>
      <c r="P59" s="251" t="n">
        <v>5.36</v>
      </c>
      <c r="Q59" s="251" t="n">
        <v>43.16</v>
      </c>
      <c r="R59" s="251" t="n">
        <v>30.75</v>
      </c>
      <c r="S59" s="251" t="n">
        <v>17.15</v>
      </c>
      <c r="T59" s="251" t="n">
        <v>4.98</v>
      </c>
      <c r="U59" s="251" t="n">
        <v>0</v>
      </c>
      <c r="V59" s="251" t="n">
        <v>3.97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74" t="inlineStr">
        <is>
          <t>Weightage for Equity Fund Ranking</t>
        </is>
      </c>
      <c r="C3" s="426" t="n"/>
      <c r="D3" s="426" t="n"/>
      <c r="E3" s="426" t="n"/>
      <c r="F3" s="426" t="n"/>
      <c r="G3" s="426" t="n"/>
      <c r="H3" s="426" t="n"/>
      <c r="I3" s="426" t="n"/>
      <c r="J3" s="426" t="n"/>
      <c r="K3" s="375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50" t="inlineStr">
        <is>
          <t>80 per cent of the corpus in top 100 companies by market cap</t>
        </is>
      </c>
      <c r="D5" s="450" t="n"/>
      <c r="E5" s="450" t="inlineStr">
        <is>
          <t>Across Large, Mid-cap, Small Cap</t>
        </is>
      </c>
      <c r="F5" s="450" t="inlineStr">
        <is>
          <t xml:space="preserve">65% of their total assets in equity
shares of mid-cap companies </t>
        </is>
      </c>
      <c r="G5" s="450" t="inlineStr">
        <is>
          <t xml:space="preserve">65% of their total assets in equity
shares of small-cap companies </t>
        </is>
      </c>
      <c r="H5" s="450" t="inlineStr">
        <is>
          <t>Set allocation strategy; 60% E &amp; 40% D</t>
        </is>
      </c>
      <c r="I5" s="451" t="inlineStr">
        <is>
          <t>Dynamic Allocation</t>
        </is>
      </c>
      <c r="J5" s="451" t="n"/>
      <c r="K5" s="451" t="n"/>
    </row>
    <row r="6" hidden="1">
      <c r="B6" s="79" t="n"/>
      <c r="C6" s="445" t="n"/>
      <c r="D6" s="445" t="n"/>
      <c r="E6" s="445" t="n"/>
      <c r="F6" s="445" t="n"/>
      <c r="G6" s="445" t="n"/>
      <c r="H6" s="445" t="n"/>
      <c r="I6" s="443" t="n"/>
      <c r="J6" s="443" t="n"/>
      <c r="K6" s="443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9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9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9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9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9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9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9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98" t="n"/>
      <c r="I18" s="431" t="n"/>
      <c r="J18" s="431" t="n"/>
      <c r="K18" s="431" t="n"/>
    </row>
    <row r="19" hidden="1">
      <c r="B19" s="39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9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52" t="inlineStr">
        <is>
          <t>Weightage for Debt Fund Ranking</t>
        </is>
      </c>
      <c r="C23" s="426" t="n"/>
      <c r="D23" s="426" t="n"/>
      <c r="E23" s="426" t="n"/>
      <c r="F23" s="426" t="n"/>
      <c r="G23" s="375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9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9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9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9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9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9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9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9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9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9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9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9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9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9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40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53" t="inlineStr">
        <is>
          <t>Weightage for Hybrid Fund Ranking</t>
        </is>
      </c>
      <c r="C50" s="426" t="n"/>
      <c r="D50" s="426" t="n"/>
      <c r="E50" s="426" t="n"/>
      <c r="F50" s="375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9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9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9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9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9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9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9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9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9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9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9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9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9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9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404" t="inlineStr">
        <is>
          <t>Cash and Fixed Deposits</t>
        </is>
      </c>
      <c r="C71" s="416" t="n"/>
      <c r="D71" s="233" t="n"/>
      <c r="E71" s="41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19"/>
    <col width="8.7109375" customWidth="1" style="261" min="20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31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31" t="n"/>
    </row>
    <row r="5">
      <c r="B5" s="88" t="inlineStr">
        <is>
          <t>HDFC Asset Management Co Ltd</t>
        </is>
      </c>
      <c r="C5" s="104" t="n">
        <v>763496.85</v>
      </c>
      <c r="D5" s="90" t="n"/>
      <c r="K5" s="431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31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31" t="n"/>
    </row>
    <row r="8">
      <c r="B8" s="88" t="inlineStr">
        <is>
          <t>Aditya Birla Sun Life AMC Ltd</t>
        </is>
      </c>
      <c r="C8" s="104" t="n">
        <v>379792.96</v>
      </c>
      <c r="D8" s="90" t="n"/>
      <c r="K8" s="431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31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31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31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31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31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31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31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31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31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31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31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31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31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31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31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31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31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31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31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31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31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31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31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31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31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31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31" t="n"/>
    </row>
    <row r="36" hidden="1">
      <c r="B36" s="88" t="inlineStr">
        <is>
          <t>Navi AMC Limited</t>
        </is>
      </c>
      <c r="C36" s="89" t="n">
        <v>7529.93</v>
      </c>
      <c r="D36" s="90" t="n"/>
      <c r="K36" s="431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31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31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31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31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31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54" t="inlineStr">
        <is>
          <t>Weightage Assumptions</t>
        </is>
      </c>
      <c r="C4" s="455" t="n"/>
      <c r="D4" s="455" t="n"/>
      <c r="E4" s="455" t="n"/>
      <c r="F4" s="455" t="n"/>
      <c r="G4" s="455" t="n"/>
      <c r="H4" s="455" t="n"/>
      <c r="I4" s="456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421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421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421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22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2026-07-03T12:16:46Z</dcterms:modified>
  <cp:lastModifiedBy>Mutual Fund</cp:lastModifiedBy>
  <cp:lastPrinted>2026-06-26T10:36:39Z</cp:lastPrinted>
</cp:coreProperties>
</file>