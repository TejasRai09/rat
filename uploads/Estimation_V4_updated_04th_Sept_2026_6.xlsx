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0" fontId="19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vertical="center" wrapText="1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  <xf numFmtId="0" fontId="0" fillId="0" borderId="41" pivotButton="0" quotePrefix="0" xfId="0"/>
    <xf numFmtId="10" fontId="26" fillId="0" borderId="85" applyAlignment="1" pivotButton="0" quotePrefix="0" xfId="7">
      <alignment horizontal="center" vertical="center" shrinkToFi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20" fillId="19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19" fillId="0" borderId="41" applyAlignment="1" pivotButton="0" quotePrefix="0" xfId="7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4" fillId="0" borderId="41" applyAlignment="1" pivotButton="0" quotePrefix="0" xfId="7">
      <alignment horizontal="left" vertical="center" wrapText="1"/>
    </xf>
    <xf numFmtId="0" fontId="22" fillId="19" borderId="41" applyAlignment="1" pivotButton="0" quotePrefix="0" xfId="7">
      <alignment horizontal="center" vertical="center" wrapText="1"/>
    </xf>
    <xf numFmtId="3" fontId="23" fillId="0" borderId="41" applyAlignment="1" pivotButton="0" quotePrefix="0" xfId="7">
      <alignment horizontal="right" vertical="center" wrapText="1"/>
    </xf>
    <xf numFmtId="0" fontId="20" fillId="19" borderId="41" applyAlignment="1" pivotButton="0" quotePrefix="0" xfId="7">
      <alignment horizontal="center" vertical="center" wrapText="1"/>
    </xf>
    <xf numFmtId="0" fontId="23" fillId="20" borderId="41" applyAlignment="1" pivotButton="0" quotePrefix="0" xfId="7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41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65" t="inlineStr">
        <is>
          <t>Weightage for AMC Ranking</t>
        </is>
      </c>
      <c r="C3" s="366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78" t="inlineStr">
        <is>
          <t>AUM</t>
        </is>
      </c>
      <c r="C6" s="74" t="n">
        <v>0.15</v>
      </c>
    </row>
    <row r="7">
      <c r="A7" s="54" t="n"/>
      <c r="B7" s="37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78" t="inlineStr">
        <is>
          <t>3-Year Return</t>
        </is>
      </c>
      <c r="C9" s="74" t="n">
        <v>0.15</v>
      </c>
    </row>
    <row r="10">
      <c r="B10" s="378" t="inlineStr">
        <is>
          <t>5-Year Return</t>
        </is>
      </c>
      <c r="C10" s="74" t="n">
        <v>0.1</v>
      </c>
    </row>
    <row r="11">
      <c r="B11" s="37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78" t="inlineStr">
        <is>
          <t>Sharpe</t>
        </is>
      </c>
      <c r="C13" s="74" t="n">
        <v>0.05</v>
      </c>
    </row>
    <row r="14">
      <c r="B14" s="378" t="inlineStr">
        <is>
          <t>Sortino</t>
        </is>
      </c>
      <c r="C14" s="74" t="n">
        <v>0.075</v>
      </c>
    </row>
    <row r="15">
      <c r="B15" s="37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7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zoomScaleNormal="100" workbookViewId="0">
      <selection activeCell="I6" sqref="I6"/>
    </sheetView>
  </sheetViews>
  <sheetFormatPr baseColWidth="8" defaultColWidth="8" defaultRowHeight="12.75"/>
  <cols>
    <col width="36.5703125" bestFit="1" customWidth="1" style="329" min="1" max="1"/>
    <col width="9" bestFit="1" customWidth="1" style="329" min="2" max="2"/>
    <col width="10.140625" bestFit="1" customWidth="1" style="329" min="3" max="3"/>
    <col width="2.28515625" customWidth="1" style="329" min="4" max="4"/>
    <col width="36.7109375" customWidth="1" style="329" min="5" max="5"/>
    <col width="12" bestFit="1" customWidth="1" style="329" min="6" max="6"/>
    <col width="7.42578125" bestFit="1" customWidth="1" style="329" min="7" max="7"/>
    <col width="8" customWidth="1" style="329" min="8" max="16"/>
    <col width="8" customWidth="1" style="329" min="17" max="16384"/>
  </cols>
  <sheetData>
    <row r="2" ht="15" customHeight="1">
      <c r="A2" s="373" t="inlineStr">
        <is>
          <t>Financial Product Catalog: A Ready Reckoner , As on 04th September 2026</t>
        </is>
      </c>
      <c r="B2" s="368" t="n"/>
      <c r="C2" s="368" t="n"/>
      <c r="D2" s="368" t="n"/>
      <c r="E2" s="368" t="n"/>
      <c r="F2" s="368" t="n"/>
      <c r="G2" s="369" t="n"/>
    </row>
    <row r="3" ht="15" customHeight="1">
      <c r="A3" s="367" t="n"/>
      <c r="B3" s="368" t="n"/>
      <c r="C3" s="368" t="n"/>
      <c r="D3" s="368" t="n"/>
      <c r="E3" s="368" t="n"/>
      <c r="F3" s="368" t="n"/>
      <c r="G3" s="369" t="n"/>
    </row>
    <row r="4" ht="15" customHeight="1">
      <c r="A4" s="373" t="inlineStr">
        <is>
          <t>Whats new? (August 2026)</t>
        </is>
      </c>
      <c r="B4" s="368" t="n"/>
      <c r="C4" s="369" t="n"/>
      <c r="D4" s="367" t="n"/>
      <c r="E4" s="371" t="inlineStr">
        <is>
          <t>Debt</t>
        </is>
      </c>
      <c r="F4" s="368" t="n"/>
      <c r="G4" s="369" t="n"/>
    </row>
    <row r="5" ht="15" customHeight="1">
      <c r="A5" s="374" t="inlineStr">
        <is>
          <t>Fund Name</t>
        </is>
      </c>
      <c r="B5" s="374" t="inlineStr">
        <is>
          <t>End Date</t>
        </is>
      </c>
      <c r="C5" s="369" t="n"/>
      <c r="D5" s="367" t="n"/>
      <c r="E5" s="368" t="n"/>
      <c r="F5" s="368" t="n"/>
      <c r="G5" s="369" t="n"/>
    </row>
    <row r="6" ht="25.5" customHeight="1">
      <c r="A6" s="370" t="inlineStr">
        <is>
          <t>Bank Of India Value Fund</t>
        </is>
      </c>
      <c r="B6" s="370" t="inlineStr">
        <is>
          <t>Sept 11, 2026</t>
        </is>
      </c>
      <c r="C6" s="369" t="n"/>
      <c r="D6" s="367" t="n"/>
      <c r="E6" s="343" t="inlineStr">
        <is>
          <t>Debt Mutual Funds (Ultra Short Duration)</t>
        </is>
      </c>
      <c r="F6" s="374" t="inlineStr">
        <is>
          <t>3-Year Return</t>
        </is>
      </c>
      <c r="G6" s="374" t="inlineStr">
        <is>
          <t>1-Year Return</t>
        </is>
      </c>
    </row>
    <row r="7" ht="25.5" customHeight="1">
      <c r="A7" s="370" t="inlineStr">
        <is>
          <t>ICICI Prudential Dynamic Asset Allocation Passive Fund of Fund</t>
        </is>
      </c>
      <c r="B7" s="370" t="inlineStr">
        <is>
          <t>Sept 09, 2026</t>
        </is>
      </c>
      <c r="C7" s="369" t="n"/>
      <c r="D7" s="376" t="n"/>
      <c r="E7" s="344" t="inlineStr">
        <is>
          <t>NIFTY Ultra Short Duration Debt Index</t>
        </is>
      </c>
      <c r="F7" s="345" t="n">
        <v>0.0755</v>
      </c>
      <c r="G7" s="345" t="n">
        <v>0.0699</v>
      </c>
    </row>
    <row r="8" ht="25.5" customHeight="1">
      <c r="A8" s="348" t="inlineStr">
        <is>
          <t>Motilal Oswal Quality Fund</t>
        </is>
      </c>
      <c r="B8" s="370" t="inlineStr">
        <is>
          <t>Sept 11, 2026</t>
        </is>
      </c>
      <c r="C8" s="369" t="n"/>
      <c r="D8" s="433" t="n"/>
      <c r="E8" s="343" t="inlineStr">
        <is>
          <t>Ultra Short - Fund Name ( Return CAGR )</t>
        </is>
      </c>
      <c r="F8" s="374" t="inlineStr">
        <is>
          <t>3-Year Return</t>
        </is>
      </c>
      <c r="G8" s="374" t="inlineStr">
        <is>
          <t>1-Year Return</t>
        </is>
      </c>
    </row>
    <row r="9" ht="25.5" customHeight="1">
      <c r="A9" s="341" t="inlineStr">
        <is>
          <t>UTI BSE India Sector Leaders Index Fund</t>
        </is>
      </c>
      <c r="B9" s="370" t="inlineStr">
        <is>
          <t>Sep 11, 2026</t>
        </is>
      </c>
      <c r="C9" s="369" t="n"/>
      <c r="D9" s="367" t="n"/>
      <c r="E9" s="370">
        <f>'Summary '!J4</f>
        <v/>
      </c>
      <c r="F9" s="346">
        <f>'Summary '!K4</f>
        <v/>
      </c>
      <c r="G9" s="346">
        <f>'Summary '!L4</f>
        <v/>
      </c>
    </row>
    <row r="10" ht="25.5" customHeight="1">
      <c r="A10" s="371" t="inlineStr">
        <is>
          <t>Equity</t>
        </is>
      </c>
      <c r="B10" s="368" t="n"/>
      <c r="C10" s="369" t="n"/>
      <c r="D10" s="433" t="n"/>
      <c r="E10" s="370">
        <f>'Summary '!J5</f>
        <v/>
      </c>
      <c r="F10" s="346">
        <f>'Summary '!K5</f>
        <v/>
      </c>
      <c r="G10" s="346">
        <f>'Summary '!L5</f>
        <v/>
      </c>
    </row>
    <row r="11" ht="25.5" customHeight="1">
      <c r="A11" s="374" t="inlineStr">
        <is>
          <t>Large Cap - Funds</t>
        </is>
      </c>
      <c r="B11" s="374" t="inlineStr">
        <is>
          <t>3-Year Return</t>
        </is>
      </c>
      <c r="C11" s="374" t="inlineStr">
        <is>
          <t>1-Year Return</t>
        </is>
      </c>
      <c r="D11" s="367" t="n"/>
      <c r="E11" s="370">
        <f>'Summary '!J6</f>
        <v/>
      </c>
      <c r="F11" s="346">
        <f>'Summary '!K6</f>
        <v/>
      </c>
      <c r="G11" s="346">
        <f>'Summary '!L6</f>
        <v/>
      </c>
    </row>
    <row r="12" ht="15" customHeight="1">
      <c r="A12" s="347" t="inlineStr">
        <is>
          <t>NIFTY 50</t>
        </is>
      </c>
      <c r="B12" s="345" t="n">
        <v>0.0835</v>
      </c>
      <c r="C12" s="345" t="n">
        <v>-0.0235</v>
      </c>
      <c r="D12" s="375" t="n"/>
      <c r="E12" s="367" t="n"/>
      <c r="F12" s="368" t="n"/>
      <c r="G12" s="369" t="n"/>
    </row>
    <row r="13" ht="25.5" customHeight="1">
      <c r="A13" s="343" t="inlineStr">
        <is>
          <t>Large Cap - Funds (Return CAGR)</t>
        </is>
      </c>
      <c r="B13" s="374" t="inlineStr">
        <is>
          <t>3-Year Return</t>
        </is>
      </c>
      <c r="C13" s="374" t="inlineStr">
        <is>
          <t>1-Year Return</t>
        </is>
      </c>
      <c r="D13" s="375" t="n"/>
      <c r="E13" s="343" t="inlineStr">
        <is>
          <t>Debt Mutual Funds (Low Duration)</t>
        </is>
      </c>
      <c r="F13" s="374" t="inlineStr">
        <is>
          <t>3-Year Return</t>
        </is>
      </c>
      <c r="G13" s="374" t="inlineStr">
        <is>
          <t>1-Year Return</t>
        </is>
      </c>
    </row>
    <row r="14">
      <c r="A14" s="370">
        <f>'Summary '!D4</f>
        <v/>
      </c>
      <c r="B14" s="346">
        <f>'Summary '!E4</f>
        <v/>
      </c>
      <c r="C14" s="346">
        <f>'Summary '!F4</f>
        <v/>
      </c>
      <c r="D14" s="375" t="n"/>
      <c r="E14" s="344" t="inlineStr">
        <is>
          <t>NIFTY Low Duration Debt Index</t>
        </is>
      </c>
      <c r="F14" s="345" t="n">
        <v>0.0725</v>
      </c>
      <c r="G14" s="345" t="n">
        <v>0.06370000000000001</v>
      </c>
    </row>
    <row r="15" ht="25.5" customHeight="1">
      <c r="A15" s="370">
        <f>'Summary '!D5</f>
        <v/>
      </c>
      <c r="B15" s="346">
        <f>'Summary '!E5</f>
        <v/>
      </c>
      <c r="C15" s="346">
        <f>'Summary '!F5</f>
        <v/>
      </c>
      <c r="D15" s="375" t="n"/>
      <c r="E15" s="343" t="inlineStr">
        <is>
          <t>Low Duration - Funds ( Return CAGR )</t>
        </is>
      </c>
      <c r="F15" s="374" t="inlineStr">
        <is>
          <t>3-Year Return</t>
        </is>
      </c>
      <c r="G15" s="374" t="inlineStr">
        <is>
          <t>1-Year Return</t>
        </is>
      </c>
    </row>
    <row r="16">
      <c r="A16" s="370">
        <f>'Summary '!D6</f>
        <v/>
      </c>
      <c r="B16" s="346">
        <f>'Summary '!E6</f>
        <v/>
      </c>
      <c r="C16" s="346">
        <f>'Summary '!F6</f>
        <v/>
      </c>
      <c r="D16" s="375" t="n"/>
      <c r="E16" s="370">
        <f>'Summary '!J8</f>
        <v/>
      </c>
      <c r="F16" s="346">
        <f>'Summary '!K8</f>
        <v/>
      </c>
      <c r="G16" s="346">
        <f>'Summary '!L8</f>
        <v/>
      </c>
    </row>
    <row r="17" ht="25.5" customHeight="1">
      <c r="A17" s="347" t="inlineStr">
        <is>
          <t>SIP of 50000*36=1800000, Maturity Value Would be</t>
        </is>
      </c>
      <c r="B17" s="372" t="n">
        <v>2572605</v>
      </c>
      <c r="C17" s="369" t="n"/>
      <c r="D17" s="376" t="n"/>
      <c r="E17" s="370">
        <f>'Summary '!J9</f>
        <v/>
      </c>
      <c r="F17" s="346">
        <f>'Summary '!K9</f>
        <v/>
      </c>
      <c r="G17" s="346">
        <f>'Summary '!L9</f>
        <v/>
      </c>
    </row>
    <row r="18" ht="25.5" customHeight="1">
      <c r="A18" s="367" t="n"/>
      <c r="B18" s="368" t="n"/>
      <c r="C18" s="368" t="n"/>
      <c r="D18" s="369" t="n"/>
      <c r="E18" s="370">
        <f>'Summary '!J10</f>
        <v/>
      </c>
      <c r="F18" s="346">
        <f>'Summary '!K10</f>
        <v/>
      </c>
      <c r="G18" s="346">
        <f>'Summary '!L10</f>
        <v/>
      </c>
    </row>
    <row r="19" ht="25.5" customHeight="1">
      <c r="A19" s="343" t="inlineStr">
        <is>
          <t>Large &amp; Mid Cap - Funds</t>
        </is>
      </c>
      <c r="B19" s="374" t="inlineStr">
        <is>
          <t>3-Year Return</t>
        </is>
      </c>
      <c r="C19" s="374" t="inlineStr">
        <is>
          <t>1-Year Return</t>
        </is>
      </c>
      <c r="D19" s="348" t="n"/>
      <c r="E19" s="367" t="n"/>
      <c r="F19" s="368" t="n"/>
      <c r="G19" s="369" t="n"/>
    </row>
    <row r="20" ht="25.5" customHeight="1">
      <c r="A20" s="370">
        <f>'Summary '!D8</f>
        <v/>
      </c>
      <c r="B20" s="346">
        <f>'Summary '!E8</f>
        <v/>
      </c>
      <c r="C20" s="346">
        <f>'Summary '!F8</f>
        <v/>
      </c>
      <c r="D20" s="348" t="n"/>
      <c r="E20" s="343" t="inlineStr">
        <is>
          <t>Debt Mutual Funds (Short Duration)</t>
        </is>
      </c>
      <c r="F20" s="374" t="inlineStr">
        <is>
          <t>3-Year Return</t>
        </is>
      </c>
      <c r="G20" s="374" t="inlineStr">
        <is>
          <t>1-Year Return</t>
        </is>
      </c>
    </row>
    <row r="21">
      <c r="A21" s="370">
        <f>'Summary '!D9</f>
        <v/>
      </c>
      <c r="B21" s="346">
        <f>'Summary '!E9</f>
        <v/>
      </c>
      <c r="C21" s="346">
        <f>'Summary '!F9</f>
        <v/>
      </c>
      <c r="D21" s="348" t="n"/>
      <c r="E21" s="347" t="inlineStr">
        <is>
          <t>NIFTY Short Duration Debt Index A-II</t>
        </is>
      </c>
      <c r="F21" s="345" t="n">
        <v>0.06859999999999999</v>
      </c>
      <c r="G21" s="345" t="n">
        <v>0.0501</v>
      </c>
    </row>
    <row r="22" ht="25.5" customHeight="1">
      <c r="A22" s="370">
        <f>'Summary '!D10</f>
        <v/>
      </c>
      <c r="B22" s="346">
        <f>'Summary '!E10</f>
        <v/>
      </c>
      <c r="C22" s="346">
        <f>'Summary '!F10</f>
        <v/>
      </c>
      <c r="D22" s="348" t="n"/>
      <c r="E22" s="343" t="inlineStr">
        <is>
          <t>Medium Term - Funds ( Return CAGR )</t>
        </is>
      </c>
      <c r="F22" s="374" t="inlineStr">
        <is>
          <t>3-Year Return</t>
        </is>
      </c>
      <c r="G22" s="374" t="inlineStr">
        <is>
          <t>1-Year Return</t>
        </is>
      </c>
    </row>
    <row r="23" ht="25.5" customHeight="1">
      <c r="A23" s="347" t="inlineStr">
        <is>
          <t>SIP of 50000*36=1800000, Maturity Value Would be</t>
        </is>
      </c>
      <c r="B23" s="372" t="n">
        <v>2646895</v>
      </c>
      <c r="C23" s="369" t="n"/>
      <c r="D23" s="348" t="n"/>
      <c r="E23" s="370">
        <f>'Summary '!J12</f>
        <v/>
      </c>
      <c r="F23" s="346">
        <f>'Summary '!K12</f>
        <v/>
      </c>
      <c r="G23" s="346">
        <f>'Summary '!L12</f>
        <v/>
      </c>
    </row>
    <row r="24" ht="25.5" customHeight="1">
      <c r="A24" s="367" t="n"/>
      <c r="B24" s="368" t="n"/>
      <c r="C24" s="369" t="n"/>
      <c r="D24" s="348" t="n"/>
      <c r="E24" s="370">
        <f>'Summary '!J13</f>
        <v/>
      </c>
      <c r="F24" s="346">
        <f>'Summary '!K13</f>
        <v/>
      </c>
      <c r="G24" s="346">
        <f>'Summary '!L13</f>
        <v/>
      </c>
    </row>
    <row r="25" ht="25.5" customHeight="1">
      <c r="A25" s="374" t="inlineStr">
        <is>
          <t>Mid Cap - Funds</t>
        </is>
      </c>
      <c r="B25" s="374" t="inlineStr">
        <is>
          <t>3-Year Return</t>
        </is>
      </c>
      <c r="C25" s="374" t="inlineStr">
        <is>
          <t>1-Year Return</t>
        </is>
      </c>
      <c r="D25" s="348" t="n"/>
      <c r="E25" s="370">
        <f>'Summary '!J14</f>
        <v/>
      </c>
      <c r="F25" s="346">
        <f>'Summary '!K14</f>
        <v/>
      </c>
      <c r="G25" s="346">
        <f>'Summary '!L14</f>
        <v/>
      </c>
    </row>
    <row r="26" ht="15" customHeight="1">
      <c r="A26" s="347" t="inlineStr">
        <is>
          <t>NIFTY Midcap 100</t>
        </is>
      </c>
      <c r="B26" s="345" t="n">
        <v>0.177</v>
      </c>
      <c r="C26" s="345" t="n">
        <v>0.1093</v>
      </c>
      <c r="D26" s="348" t="n"/>
      <c r="E26" s="367" t="n"/>
      <c r="F26" s="368" t="n"/>
      <c r="G26" s="369" t="n"/>
    </row>
    <row r="27" ht="25.5" customHeight="1">
      <c r="A27" s="343" t="inlineStr">
        <is>
          <t>Mid Cap - Funds  (Return CAGR)</t>
        </is>
      </c>
      <c r="B27" s="374" t="inlineStr">
        <is>
          <t>3-Year CAGR</t>
        </is>
      </c>
      <c r="C27" s="374" t="inlineStr">
        <is>
          <t>1-Year Return</t>
        </is>
      </c>
      <c r="D27" s="341" t="n"/>
      <c r="E27" s="343" t="inlineStr">
        <is>
          <t>Debt Mutual Funds (Medium Duration)</t>
        </is>
      </c>
      <c r="F27" s="374" t="inlineStr">
        <is>
          <t>3-Year Return</t>
        </is>
      </c>
      <c r="G27" s="374" t="inlineStr">
        <is>
          <t>1-Year Return</t>
        </is>
      </c>
    </row>
    <row r="28">
      <c r="A28" s="370">
        <f>'Summary '!D12</f>
        <v/>
      </c>
      <c r="B28" s="346">
        <f>'Summary '!E12</f>
        <v/>
      </c>
      <c r="C28" s="346">
        <f>'Summary '!F12</f>
        <v/>
      </c>
      <c r="D28" s="341" t="n"/>
      <c r="E28" s="347" t="inlineStr">
        <is>
          <t>NIFTY Medium Duration Debt Index A-III</t>
        </is>
      </c>
      <c r="F28" s="345" t="n">
        <v>0.0643</v>
      </c>
      <c r="G28" s="345" t="n">
        <v>0.0374</v>
      </c>
    </row>
    <row r="29" ht="25.5" customHeight="1">
      <c r="A29" s="370">
        <f>'Summary '!D13</f>
        <v/>
      </c>
      <c r="B29" s="346">
        <f>'Summary '!E13</f>
        <v/>
      </c>
      <c r="C29" s="346">
        <f>'Summary '!F13</f>
        <v/>
      </c>
      <c r="D29" s="341" t="n"/>
      <c r="E29" s="343" t="inlineStr">
        <is>
          <t>Medium Term - Funds ( Return CAGR )</t>
        </is>
      </c>
      <c r="F29" s="374" t="inlineStr">
        <is>
          <t>3-Year Return</t>
        </is>
      </c>
      <c r="G29" s="374" t="inlineStr">
        <is>
          <t>1-Year Return</t>
        </is>
      </c>
    </row>
    <row r="30" ht="25.5" customHeight="1">
      <c r="A30" s="370">
        <f>'Summary '!D14</f>
        <v/>
      </c>
      <c r="B30" s="346">
        <f>'Summary '!E14</f>
        <v/>
      </c>
      <c r="C30" s="346">
        <f>'Summary '!F14</f>
        <v/>
      </c>
      <c r="D30" s="341" t="n"/>
      <c r="E30" s="370">
        <f>'Summary '!J16</f>
        <v/>
      </c>
      <c r="F30" s="346">
        <f>'Summary '!K16</f>
        <v/>
      </c>
      <c r="G30" s="346">
        <f>'Summary '!L16</f>
        <v/>
      </c>
    </row>
    <row r="31" ht="25.5" customHeight="1">
      <c r="A31" s="347" t="inlineStr">
        <is>
          <t>SIP of 50000*36=1800000 , Maturity Value Would be</t>
        </is>
      </c>
      <c r="B31" s="372" t="n">
        <v>2767450</v>
      </c>
      <c r="C31" s="369" t="n"/>
      <c r="D31" s="341" t="n"/>
      <c r="E31" s="370">
        <f>'Summary '!J17</f>
        <v/>
      </c>
      <c r="F31" s="346">
        <f>'Summary '!K17</f>
        <v/>
      </c>
      <c r="G31" s="346">
        <f>'Summary '!L17</f>
        <v/>
      </c>
    </row>
    <row r="32" ht="15" customHeight="1">
      <c r="A32" s="367" t="n"/>
      <c r="B32" s="368" t="n"/>
      <c r="C32" s="369" t="n"/>
      <c r="D32" s="341" t="n"/>
      <c r="E32" s="370">
        <f>'Summary '!J18</f>
        <v/>
      </c>
      <c r="F32" s="346">
        <f>'Summary '!K18</f>
        <v/>
      </c>
      <c r="G32" s="346">
        <f>'Summary '!L18</f>
        <v/>
      </c>
    </row>
    <row r="33" ht="25.5" customHeight="1">
      <c r="A33" s="374" t="inlineStr">
        <is>
          <t>Small Cap - Funds</t>
        </is>
      </c>
      <c r="B33" s="374" t="inlineStr">
        <is>
          <t>3-Year Return</t>
        </is>
      </c>
      <c r="C33" s="374" t="inlineStr">
        <is>
          <t>1-Year Return</t>
        </is>
      </c>
      <c r="D33" s="348" t="n"/>
      <c r="E33" s="341" t="n"/>
      <c r="F33" s="341" t="n"/>
      <c r="G33" s="341" t="n"/>
    </row>
    <row r="34" ht="25.5" customHeight="1">
      <c r="A34" s="347" t="inlineStr">
        <is>
          <t>NIFTY Smallcap 100</t>
        </is>
      </c>
      <c r="B34" s="345" t="n">
        <v>0.1822</v>
      </c>
      <c r="C34" s="345" t="n">
        <v>0.1365</v>
      </c>
      <c r="D34" s="348" t="n"/>
      <c r="E34" s="343" t="inlineStr">
        <is>
          <t>Debt Mutual Funds (Medium to Long Duration)</t>
        </is>
      </c>
      <c r="F34" s="374" t="inlineStr">
        <is>
          <t>3-Year Return</t>
        </is>
      </c>
      <c r="G34" s="374" t="inlineStr">
        <is>
          <t>1-Year Return</t>
        </is>
      </c>
    </row>
    <row r="35">
      <c r="A35" s="343" t="inlineStr">
        <is>
          <t>Small Cap - Funds ( Return CAGR )</t>
        </is>
      </c>
      <c r="B35" s="374" t="inlineStr">
        <is>
          <t>3-Yr CAGR</t>
        </is>
      </c>
      <c r="C35" s="374" t="inlineStr">
        <is>
          <t>1-Yr Return</t>
        </is>
      </c>
      <c r="D35" s="348" t="n"/>
      <c r="E35" s="347" t="inlineStr">
        <is>
          <t>NIFTY Medium to Long Duration Debt Index</t>
        </is>
      </c>
      <c r="F35" s="345" t="n">
        <v>0.0547</v>
      </c>
      <c r="G35" s="345" t="n">
        <v>0.0125</v>
      </c>
    </row>
    <row r="36" ht="25.5" customHeight="1">
      <c r="A36" s="370">
        <f>'Summary '!D16</f>
        <v/>
      </c>
      <c r="B36" s="346">
        <f>'Summary '!E16</f>
        <v/>
      </c>
      <c r="C36" s="346">
        <f>'Summary '!F16</f>
        <v/>
      </c>
      <c r="D36" s="348" t="n"/>
      <c r="E36" s="343" t="inlineStr">
        <is>
          <t>Medium to Long Term - Funds ( Return CAGR )</t>
        </is>
      </c>
      <c r="F36" s="374" t="inlineStr">
        <is>
          <t>3-Year Return</t>
        </is>
      </c>
      <c r="G36" s="374" t="inlineStr">
        <is>
          <t>1-Year Return</t>
        </is>
      </c>
    </row>
    <row r="37" ht="25.5" customHeight="1">
      <c r="A37" s="370">
        <f>'Summary '!D17</f>
        <v/>
      </c>
      <c r="B37" s="346">
        <f>'Summary '!E17</f>
        <v/>
      </c>
      <c r="C37" s="346">
        <f>'Summary '!F17</f>
        <v/>
      </c>
      <c r="D37" s="348" t="n"/>
      <c r="E37" s="370">
        <f>'Summary '!J20</f>
        <v/>
      </c>
      <c r="F37" s="346">
        <f>'Summary '!K20</f>
        <v/>
      </c>
      <c r="G37" s="346">
        <f>'Summary '!L20</f>
        <v/>
      </c>
    </row>
    <row r="38" ht="25.5" customHeight="1">
      <c r="A38" s="370">
        <f>'Summary '!D18</f>
        <v/>
      </c>
      <c r="B38" s="346">
        <f>'Summary '!E18</f>
        <v/>
      </c>
      <c r="C38" s="346">
        <f>'Summary '!F18</f>
        <v/>
      </c>
      <c r="D38" s="348" t="n"/>
      <c r="E38" s="370">
        <f>'Summary '!J21</f>
        <v/>
      </c>
      <c r="F38" s="346">
        <f>'Summary '!K21</f>
        <v/>
      </c>
      <c r="G38" s="346">
        <f>'Summary '!L21</f>
        <v/>
      </c>
    </row>
    <row r="39" ht="25.5" customHeight="1">
      <c r="A39" s="347" t="inlineStr">
        <is>
          <t>SIP of 50000*36=1800000 , Maturity Value Would be</t>
        </is>
      </c>
      <c r="B39" s="372" t="n">
        <v>2767450</v>
      </c>
      <c r="C39" s="369" t="n"/>
      <c r="D39" s="348" t="n"/>
      <c r="E39" s="370">
        <f>'Summary '!J22</f>
        <v/>
      </c>
      <c r="F39" s="346">
        <f>'Summary '!K22</f>
        <v/>
      </c>
      <c r="G39" s="346">
        <f>'Summary '!L22</f>
        <v/>
      </c>
    </row>
    <row r="40" ht="15" customHeight="1">
      <c r="A40" s="367" t="n"/>
      <c r="B40" s="368" t="n"/>
      <c r="C40" s="369" t="n"/>
      <c r="D40" s="367" t="n"/>
      <c r="E40" s="371" t="inlineStr">
        <is>
          <t>Others</t>
        </is>
      </c>
      <c r="F40" s="368" t="n"/>
      <c r="G40" s="369" t="n"/>
    </row>
    <row r="41" ht="25.5" customHeight="1">
      <c r="A41" s="374" t="inlineStr">
        <is>
          <t>Flexi Cap - Funds</t>
        </is>
      </c>
      <c r="B41" s="374" t="inlineStr">
        <is>
          <t>3-Year Return</t>
        </is>
      </c>
      <c r="C41" s="374" t="inlineStr">
        <is>
          <t>1-Year Return</t>
        </is>
      </c>
      <c r="D41" s="367" t="n"/>
      <c r="E41" s="374" t="inlineStr">
        <is>
          <t>Multi Asset</t>
        </is>
      </c>
      <c r="F41" s="374" t="inlineStr">
        <is>
          <t>3-Year Return</t>
        </is>
      </c>
      <c r="G41" s="374" t="inlineStr">
        <is>
          <t>1-Year Return</t>
        </is>
      </c>
    </row>
    <row r="42" ht="25.5" customHeight="1">
      <c r="A42" s="370">
        <f>'Summary '!D20</f>
        <v/>
      </c>
      <c r="B42" s="346" t="n">
        <v>0.1778</v>
      </c>
      <c r="C42" s="346" t="n">
        <v>0.0382</v>
      </c>
      <c r="D42" s="367" t="n"/>
      <c r="E42" s="344" t="inlineStr">
        <is>
          <t>Nifty 500</t>
        </is>
      </c>
      <c r="F42" s="345" t="n">
        <v>0.1191</v>
      </c>
      <c r="G42" s="345" t="n">
        <v>0.0263</v>
      </c>
    </row>
    <row r="43">
      <c r="A43" s="370">
        <f>'Summary '!D21</f>
        <v/>
      </c>
      <c r="B43" s="346">
        <f>'Summary '!E21</f>
        <v/>
      </c>
      <c r="C43" s="346">
        <f>'Summary '!F21</f>
        <v/>
      </c>
      <c r="D43" s="367" t="n"/>
      <c r="E43" s="370">
        <f>'Summary '!D28</f>
        <v/>
      </c>
      <c r="F43" s="346">
        <f>'Summary '!E28</f>
        <v/>
      </c>
      <c r="G43" s="346">
        <f>'Summary '!F28</f>
        <v/>
      </c>
    </row>
    <row r="44" ht="25.5" customHeight="1">
      <c r="A44" s="370">
        <f>'Summary '!D22</f>
        <v/>
      </c>
      <c r="B44" s="346">
        <f>'Summary '!E22</f>
        <v/>
      </c>
      <c r="C44" s="346">
        <f>'Summary '!F22</f>
        <v/>
      </c>
      <c r="D44" s="367" t="n"/>
      <c r="E44" s="370">
        <f>'Summary '!D29</f>
        <v/>
      </c>
      <c r="F44" s="346">
        <f>'Summary '!E29</f>
        <v/>
      </c>
      <c r="G44" s="346">
        <f>'Summary '!F29</f>
        <v/>
      </c>
    </row>
    <row r="45" ht="25.5" customHeight="1">
      <c r="A45" s="347" t="inlineStr">
        <is>
          <t>SIP of 50000*36=1800000 , Maturity Value Would be</t>
        </is>
      </c>
      <c r="B45" s="372" t="n">
        <v>2669566</v>
      </c>
      <c r="C45" s="369" t="n"/>
      <c r="D45" s="367" t="n"/>
      <c r="E45" s="370">
        <f>'Summary '!D30</f>
        <v/>
      </c>
      <c r="F45" s="346">
        <f>'Summary '!E30</f>
        <v/>
      </c>
      <c r="G45" s="346">
        <f>'Summary '!F30</f>
        <v/>
      </c>
    </row>
    <row r="46">
      <c r="A46" s="348" t="n"/>
      <c r="B46" s="348" t="n"/>
      <c r="C46" s="348" t="n"/>
      <c r="D46" s="367" t="n"/>
      <c r="E46" s="367" t="n"/>
      <c r="F46" s="367" t="n"/>
      <c r="G46" s="367" t="n"/>
    </row>
    <row r="47" ht="25.5" customHeight="1">
      <c r="A47" s="374" t="inlineStr">
        <is>
          <t>Thematic</t>
        </is>
      </c>
      <c r="B47" s="374" t="inlineStr">
        <is>
          <t>3-Year Return</t>
        </is>
      </c>
      <c r="C47" s="374" t="inlineStr">
        <is>
          <t>1-Year Return</t>
        </is>
      </c>
      <c r="D47" s="367" t="n"/>
      <c r="E47" s="374" t="inlineStr">
        <is>
          <t>BAF</t>
        </is>
      </c>
      <c r="F47" s="374" t="inlineStr">
        <is>
          <t>3-Year Return</t>
        </is>
      </c>
      <c r="G47" s="374" t="inlineStr">
        <is>
          <t>1-Year Return</t>
        </is>
      </c>
    </row>
    <row r="48">
      <c r="A48" s="344" t="inlineStr">
        <is>
          <t>Nifty 500</t>
        </is>
      </c>
      <c r="B48" s="345" t="n">
        <v>0.1191</v>
      </c>
      <c r="C48" s="345" t="n">
        <v>0.0263</v>
      </c>
      <c r="D48" s="367" t="n"/>
      <c r="E48" s="344" t="inlineStr">
        <is>
          <t>Nifty 50</t>
        </is>
      </c>
      <c r="F48" s="345" t="n">
        <v>0.0835</v>
      </c>
      <c r="G48" s="345" t="n">
        <v>-0.0235</v>
      </c>
    </row>
    <row r="49" ht="25.5" customHeight="1">
      <c r="A49" s="370">
        <f>'Summary '!D43</f>
        <v/>
      </c>
      <c r="B49" s="346">
        <f>'Summary '!E43</f>
        <v/>
      </c>
      <c r="C49" s="346">
        <f>'Summary '!F43</f>
        <v/>
      </c>
      <c r="D49" s="367" t="n"/>
      <c r="E49" s="370">
        <f>'Summary '!D24</f>
        <v/>
      </c>
      <c r="F49" s="346">
        <f>'Summary '!E24</f>
        <v/>
      </c>
      <c r="G49" s="346">
        <f>'Summary '!F24</f>
        <v/>
      </c>
    </row>
    <row r="50" ht="25.5" customHeight="1">
      <c r="A50" s="370">
        <f>'Summary '!D44</f>
        <v/>
      </c>
      <c r="B50" s="346">
        <f>'Summary '!E44</f>
        <v/>
      </c>
      <c r="C50" s="346">
        <f>'Summary '!F44</f>
        <v/>
      </c>
      <c r="D50" s="367" t="n"/>
      <c r="E50" s="370">
        <f>'Summary '!D25</f>
        <v/>
      </c>
      <c r="F50" s="346">
        <f>'Summary '!E25</f>
        <v/>
      </c>
      <c r="G50" s="346">
        <f>'Summary '!F25</f>
        <v/>
      </c>
    </row>
    <row r="51" ht="25.5" customHeight="1">
      <c r="A51" s="370">
        <f>'Summary '!D45</f>
        <v/>
      </c>
      <c r="B51" s="346">
        <f>'Summary '!E45</f>
        <v/>
      </c>
      <c r="C51" s="349">
        <f>'Summary '!F45</f>
        <v/>
      </c>
      <c r="D51" s="367" t="n"/>
      <c r="E51" s="370">
        <f>'Summary '!D26</f>
        <v/>
      </c>
      <c r="F51" s="346">
        <f>'Summary '!E26</f>
        <v/>
      </c>
      <c r="G51" s="346">
        <f>'Summary '!F26</f>
        <v/>
      </c>
    </row>
    <row r="52">
      <c r="A52" s="350" t="n"/>
      <c r="B52" s="350" t="n"/>
      <c r="C52" s="350" t="n"/>
      <c r="D52" s="350" t="n"/>
      <c r="E52" s="350" t="n"/>
      <c r="F52" s="350" t="n"/>
      <c r="G52" s="351" t="inlineStr">
        <is>
          <t>Page 1</t>
        </is>
      </c>
    </row>
  </sheetData>
  <mergeCells count="26">
    <mergeCell ref="E19:G19"/>
    <mergeCell ref="B7:C7"/>
    <mergeCell ref="E40:G40"/>
    <mergeCell ref="B31:C31"/>
    <mergeCell ref="D5:G5"/>
    <mergeCell ref="B39:C39"/>
    <mergeCell ref="A32:C32"/>
    <mergeCell ref="B23:C23"/>
    <mergeCell ref="E26:G26"/>
    <mergeCell ref="B17:C17"/>
    <mergeCell ref="A4:C4"/>
    <mergeCell ref="B8:C8"/>
    <mergeCell ref="A10:C10"/>
    <mergeCell ref="A40:C40"/>
    <mergeCell ref="E12:G12"/>
    <mergeCell ref="B9:C9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6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zoomScale="130" zoomScaleNormal="130" workbookViewId="0">
      <selection activeCell="G10" sqref="G10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4"/>
    <col width="8.7109375" customWidth="1" style="333" min="15" max="16384"/>
  </cols>
  <sheetData>
    <row r="2" ht="15" customHeight="1">
      <c r="B2" s="363" t="inlineStr">
        <is>
          <t>Financial Product Catalog: A Ready Reckoner , As on 04th September 2026</t>
        </is>
      </c>
      <c r="C2" s="354" t="n"/>
      <c r="D2" s="354" t="n"/>
      <c r="E2" s="355" t="n"/>
    </row>
    <row r="3" ht="15" customHeight="1">
      <c r="B3" s="360" t="n"/>
      <c r="C3" s="354" t="n"/>
      <c r="D3" s="354" t="n"/>
      <c r="E3" s="355" t="n"/>
    </row>
    <row r="4" ht="15" customHeight="1">
      <c r="B4" s="359" t="inlineStr">
        <is>
          <t>Credit ratings assessed by (e.g., CRISIL, ICRA, CARE)</t>
        </is>
      </c>
      <c r="C4" s="354" t="n"/>
      <c r="D4" s="354" t="n"/>
      <c r="E4" s="355" t="n"/>
    </row>
    <row r="5" ht="15" customHeight="1">
      <c r="B5" s="358" t="n"/>
      <c r="C5" s="354" t="n"/>
      <c r="D5" s="354" t="n"/>
      <c r="E5" s="355" t="n"/>
    </row>
    <row r="6" ht="15" customHeight="1">
      <c r="B6" s="357" t="inlineStr">
        <is>
          <t>Corporate FD's</t>
        </is>
      </c>
      <c r="C6" s="354" t="n"/>
      <c r="D6" s="354" t="n"/>
      <c r="E6" s="355" t="n"/>
    </row>
    <row r="7" ht="25.5" customHeight="1">
      <c r="B7" s="361" t="inlineStr">
        <is>
          <t>Institution</t>
        </is>
      </c>
      <c r="C7" s="361" t="inlineStr">
        <is>
          <t>3-Year FD Rate</t>
        </is>
      </c>
      <c r="D7" s="355" t="n"/>
      <c r="E7" s="361" t="inlineStr">
        <is>
          <t>1-Year FD Rate</t>
        </is>
      </c>
    </row>
    <row r="8" ht="15" customHeight="1">
      <c r="B8" s="334" t="inlineStr">
        <is>
          <t>SBI Bank FD</t>
        </is>
      </c>
      <c r="C8" s="364" t="inlineStr">
        <is>
          <t>6.30% - 6.80%</t>
        </is>
      </c>
      <c r="D8" s="355" t="n"/>
      <c r="E8" s="364" t="inlineStr">
        <is>
          <t>6.25% - 6.75%</t>
        </is>
      </c>
    </row>
    <row r="9" ht="13.5" customHeight="1">
      <c r="B9" s="331" t="inlineStr">
        <is>
          <t>Shriram Finance</t>
        </is>
      </c>
      <c r="C9" s="356" t="inlineStr">
        <is>
          <t>7.50% – 8.00%</t>
        </is>
      </c>
      <c r="D9" s="355" t="n"/>
      <c r="E9" s="356" t="inlineStr">
        <is>
          <t>6.85% – 7.35%</t>
        </is>
      </c>
    </row>
    <row r="10" ht="13.5" customHeight="1">
      <c r="B10" s="331" t="inlineStr">
        <is>
          <t>Bajaj Finance</t>
        </is>
      </c>
      <c r="C10" s="356" t="inlineStr">
        <is>
          <t>7.40% – 7.75%</t>
        </is>
      </c>
      <c r="D10" s="355" t="n"/>
      <c r="E10" s="356" t="inlineStr">
        <is>
          <t>6.60% – 6.95%</t>
        </is>
      </c>
    </row>
    <row r="11" ht="13.5" customHeight="1">
      <c r="B11" s="337" t="inlineStr">
        <is>
          <t>PNB Housing Finance</t>
        </is>
      </c>
      <c r="C11" s="356" t="inlineStr">
        <is>
          <t>7.10% – 7.35%</t>
        </is>
      </c>
      <c r="D11" s="355" t="n"/>
      <c r="E11" s="356" t="inlineStr">
        <is>
          <t>6.70% – 6.95%</t>
        </is>
      </c>
    </row>
    <row r="12" ht="13.5" customHeight="1">
      <c r="B12" s="331" t="inlineStr">
        <is>
          <t>ICICI Home Finance</t>
        </is>
      </c>
      <c r="C12" s="362" t="inlineStr">
        <is>
          <t>7.10% -7.45%</t>
        </is>
      </c>
      <c r="D12" s="355" t="n"/>
      <c r="E12" s="356" t="inlineStr">
        <is>
          <t>6.85% – 7.20%</t>
        </is>
      </c>
    </row>
    <row r="13" ht="13.5" customHeight="1">
      <c r="B13" s="337" t="inlineStr">
        <is>
          <t>LIC Housing Finance</t>
        </is>
      </c>
      <c r="C13" s="362" t="inlineStr">
        <is>
          <t>6.85% -7.10%</t>
        </is>
      </c>
      <c r="D13" s="355" t="n"/>
      <c r="E13" s="356" t="inlineStr">
        <is>
          <t>6.70% – 6.95%</t>
        </is>
      </c>
    </row>
    <row r="14" ht="15" customHeight="1">
      <c r="B14" s="357" t="inlineStr">
        <is>
          <t>Capital Gain Bonds/NCD</t>
        </is>
      </c>
      <c r="C14" s="354" t="n"/>
      <c r="D14" s="354" t="n"/>
      <c r="E14" s="355" t="n"/>
    </row>
    <row r="15" ht="15" customHeight="1">
      <c r="B15" s="361" t="inlineStr">
        <is>
          <t>Index Name</t>
        </is>
      </c>
      <c r="C15" s="361" t="inlineStr">
        <is>
          <t>5-Year Return</t>
        </is>
      </c>
      <c r="D15" s="354" t="n"/>
      <c r="E15" s="355" t="n"/>
    </row>
    <row r="16" ht="25.5" customHeight="1">
      <c r="B16" s="332" t="inlineStr">
        <is>
          <t>NIFTY 10 Year Benchmark G-Sec Index</t>
        </is>
      </c>
      <c r="C16" s="353" t="n">
        <v>0.0536</v>
      </c>
      <c r="D16" s="354" t="n"/>
      <c r="E16" s="355" t="n"/>
    </row>
    <row r="17" ht="15" customHeight="1">
      <c r="B17" s="361" t="inlineStr">
        <is>
          <t>Issuer</t>
        </is>
      </c>
      <c r="C17" s="361" t="inlineStr">
        <is>
          <t>Interest Rate</t>
        </is>
      </c>
      <c r="D17" s="361" t="inlineStr">
        <is>
          <t>Tenure</t>
        </is>
      </c>
      <c r="E17" s="355" t="n"/>
    </row>
    <row r="18" ht="15" customHeight="1">
      <c r="B18" s="331" t="inlineStr">
        <is>
          <t>IRFC</t>
        </is>
      </c>
      <c r="C18" s="356" t="inlineStr">
        <is>
          <t>5.25% p.a.</t>
        </is>
      </c>
      <c r="D18" s="356" t="inlineStr">
        <is>
          <t>5 years</t>
        </is>
      </c>
      <c r="E18" s="355" t="n"/>
    </row>
    <row r="19" ht="15" customHeight="1">
      <c r="B19" s="331" t="inlineStr">
        <is>
          <t>PFC</t>
        </is>
      </c>
      <c r="C19" s="356" t="inlineStr">
        <is>
          <t>5.25% p.a.</t>
        </is>
      </c>
      <c r="D19" s="356" t="inlineStr">
        <is>
          <t>5 years</t>
        </is>
      </c>
      <c r="E19" s="355" t="n"/>
    </row>
    <row r="20" ht="15" customHeight="1">
      <c r="B20" s="331" t="inlineStr">
        <is>
          <t>REC</t>
        </is>
      </c>
      <c r="C20" s="356" t="inlineStr">
        <is>
          <t>5.25% p.a.</t>
        </is>
      </c>
      <c r="D20" s="356" t="inlineStr">
        <is>
          <t>5 years</t>
        </is>
      </c>
      <c r="E20" s="355" t="n"/>
    </row>
    <row r="21" ht="15" customHeight="1">
      <c r="B21" s="358" t="n"/>
      <c r="C21" s="354" t="n"/>
      <c r="D21" s="354" t="n"/>
      <c r="E21" s="355" t="n"/>
    </row>
    <row r="22" ht="15" customHeight="1">
      <c r="B22" s="357" t="inlineStr">
        <is>
          <t>RBI Floating Rate Savings Bond</t>
        </is>
      </c>
      <c r="C22" s="355" t="n"/>
      <c r="D22" s="357" t="inlineStr">
        <is>
          <t>Interest Rate</t>
        </is>
      </c>
      <c r="E22" s="355" t="n"/>
    </row>
    <row r="23" ht="15" customHeight="1">
      <c r="B23" s="356" t="inlineStr">
        <is>
          <t>HDFC</t>
        </is>
      </c>
      <c r="C23" s="355" t="n"/>
      <c r="D23" s="356" t="inlineStr">
        <is>
          <t>8.05% p.a.</t>
        </is>
      </c>
      <c r="E23" s="355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4"/>
    <col width="8.7109375" customWidth="1" style="115" min="25" max="16384"/>
  </cols>
  <sheetData>
    <row r="1" ht="15" customHeight="1" thickBot="1"/>
    <row r="2">
      <c r="B2" s="380" t="inlineStr">
        <is>
          <t>Equity</t>
        </is>
      </c>
      <c r="C2" s="381" t="n"/>
      <c r="D2" s="381" t="n"/>
      <c r="E2" s="381" t="n"/>
      <c r="F2" s="382" t="n"/>
      <c r="H2" s="380" t="inlineStr">
        <is>
          <t>Debt</t>
        </is>
      </c>
      <c r="I2" s="381" t="n"/>
      <c r="J2" s="381" t="n"/>
      <c r="K2" s="381" t="n"/>
      <c r="L2" s="38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7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7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7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7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7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7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7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7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7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7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7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7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 ht="30" customHeight="1">
      <c r="B12" s="37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7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7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7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7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7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7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7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7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7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7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7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7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8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 ht="30" customHeight="1">
      <c r="B21" s="37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7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7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8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7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7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7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8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7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7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8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7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7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7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7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7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7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7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7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7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8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7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8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4"/>
    <col width="8.7109375" customWidth="1" style="15" min="25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91" t="inlineStr">
        <is>
          <t>Investor Profile</t>
        </is>
      </c>
      <c r="J3" s="388" t="n"/>
      <c r="K3" s="388" t="n"/>
      <c r="L3" s="388" t="n"/>
    </row>
    <row r="4" ht="14.45" customHeight="1" thickBot="1">
      <c r="B4" s="390" t="inlineStr">
        <is>
          <t>Personal &amp; Financial Information</t>
        </is>
      </c>
      <c r="C4" s="381" t="n"/>
      <c r="D4" s="381" t="n"/>
      <c r="E4" s="38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87" t="inlineStr">
        <is>
          <t>Model Portfolio</t>
        </is>
      </c>
      <c r="J18" s="388" t="n"/>
      <c r="K18" s="388" t="n"/>
      <c r="L18" s="38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90" t="inlineStr">
        <is>
          <t>Investment Objective</t>
        </is>
      </c>
      <c r="C25" s="381" t="n"/>
      <c r="D25" s="381" t="n"/>
      <c r="E25" s="38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90" t="inlineStr">
        <is>
          <t>Risk Appetite</t>
        </is>
      </c>
      <c r="C34" s="381" t="n"/>
      <c r="D34" s="381" t="n"/>
      <c r="E34" s="38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90" t="inlineStr">
        <is>
          <t>Market Experience</t>
        </is>
      </c>
      <c r="C37" s="381" t="n"/>
      <c r="D37" s="381" t="n"/>
      <c r="E37" s="38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98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97">
        <f>HLOOKUP('Investor Persona'!$E$4, 'Investor Profile'!$I$19:$L$23,F$2,FALSE)</f>
        <v/>
      </c>
      <c r="G4" s="397">
        <f>HLOOKUP('Investor Persona'!$E$4, 'Investor Profile'!$I$19:$L$23,G$2,FALSE)</f>
        <v/>
      </c>
      <c r="H4" s="397">
        <f>HLOOKUP('Investor Persona'!$E$4, 'Investor Profile'!$I$19:$L$23,H$2,FALSE)</f>
        <v/>
      </c>
      <c r="I4" s="39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98">
        <f>IF(SUM($D$5:$D$7)&lt;5,"Limited Resources",IF(SUM($D$5:$D$7)&lt;=8,"Stable Financials",IF(SUM($D$5:$D$7)&lt;=12,"Affluent",IF(SUM($D$5:$D$7)&gt;=13,"HNI/UHNI",""))))</f>
        <v/>
      </c>
      <c r="F5" s="397">
        <f>HLOOKUP('Investor Persona'!$E$5, 'Investor Profile'!$I$24:$L$28,F$2,FALSE)</f>
        <v/>
      </c>
      <c r="G5" s="397">
        <f>HLOOKUP('Investor Persona'!$E$5, 'Investor Profile'!$I$24:$L$28,G$2,FALSE)</f>
        <v/>
      </c>
      <c r="H5" s="397">
        <f>HLOOKUP('Investor Persona'!$E$5, 'Investor Profile'!$I$24:$L$28,H$2,FALSE)</f>
        <v/>
      </c>
      <c r="I5" s="39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99" t="n"/>
      <c r="F6" s="375" t="n"/>
      <c r="G6" s="375" t="n"/>
      <c r="H6" s="375" t="n"/>
      <c r="I6" s="39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00" t="n"/>
      <c r="F7" s="376" t="n"/>
      <c r="G7" s="376" t="n"/>
      <c r="H7" s="376" t="n"/>
      <c r="I7" s="39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98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97">
        <f>HLOOKUP('Investor Persona'!$E$8, 'Investor Profile'!$I$29:$L$33,F$2,FALSE)</f>
        <v/>
      </c>
      <c r="G8" s="397">
        <f>HLOOKUP('Investor Persona'!$E$8, 'Investor Profile'!$I$29:$L$33,G$2,FALSE)</f>
        <v/>
      </c>
      <c r="H8" s="397">
        <f>HLOOKUP('Investor Persona'!$E$8, 'Investor Profile'!$I$29:$L$33,H$2,FALSE)</f>
        <v/>
      </c>
      <c r="I8" s="39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98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97">
        <f>HLOOKUP('Investor Persona'!$E$9, 'Investor Profile'!$I$34:$L$38,F$2,FALSE)</f>
        <v/>
      </c>
      <c r="G9" s="397">
        <f>HLOOKUP('Investor Persona'!$E$9, 'Investor Profile'!$I$34:$L$38,G$2,FALSE)</f>
        <v/>
      </c>
      <c r="H9" s="397">
        <f>HLOOKUP('Investor Persona'!$E$9, 'Investor Profile'!$I$34:$L$38,H$2,FALSE)</f>
        <v/>
      </c>
      <c r="I9" s="39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97">
        <f>HLOOKUP('Investor Persona'!$E$10,'Investor Profile'!$I$39:$J$43,F$2,FALSE)</f>
        <v/>
      </c>
      <c r="G10" s="397">
        <f>HLOOKUP('Investor Persona'!$E$10,'Investor Profile'!$I$39:$J$43,G$2,FALSE)</f>
        <v/>
      </c>
      <c r="H10" s="397">
        <f>HLOOKUP('Investor Persona'!$E$10,'Investor Profile'!$I$39:$J$43,H$2,FALSE)</f>
        <v/>
      </c>
      <c r="I10" s="39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98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95">
        <f>HLOOKUP('Investor Persona'!$E$11,'Investor Profile'!$I$44:$L$48,F$2,FALSE)</f>
        <v/>
      </c>
      <c r="G11" s="395">
        <f>HLOOKUP('Investor Persona'!$E$11,'Investor Profile'!$I$44:$L$48,G$2,FALSE)</f>
        <v/>
      </c>
      <c r="H11" s="395">
        <f>HLOOKUP('Investor Persona'!$E$11,'Investor Profile'!$I$44:$L$48,H$2,FALSE)</f>
        <v/>
      </c>
      <c r="I11" s="401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00" t="n"/>
      <c r="F12" s="396" t="n"/>
      <c r="G12" s="396" t="n"/>
      <c r="H12" s="396" t="n"/>
      <c r="I12" s="402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03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3" t="inlineStr">
        <is>
          <t>Normalized</t>
        </is>
      </c>
      <c r="N4" s="404" t="n"/>
      <c r="O4" s="404" t="n"/>
      <c r="P4" s="404" t="n"/>
      <c r="Q4" s="404" t="n"/>
      <c r="R4" s="404" t="n"/>
      <c r="S4" s="404" t="n"/>
      <c r="T4" s="404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08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-3.3024</v>
      </c>
      <c r="F6" s="248" t="n">
        <v>8.5427</v>
      </c>
      <c r="G6" s="248" t="n">
        <v>8.5207</v>
      </c>
      <c r="H6" s="248" t="n">
        <v>10.6111</v>
      </c>
      <c r="I6" s="248" t="n">
        <v>0.030286051061005</v>
      </c>
      <c r="J6" s="248" t="n">
        <v>0.0113468771189164</v>
      </c>
      <c r="K6" s="248" t="n">
        <v>0.9860193934820199</v>
      </c>
      <c r="L6" s="248" t="n">
        <v>12.1191730558868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-2.1604</v>
      </c>
      <c r="F7" s="248" t="n">
        <v>8.354799999999999</v>
      </c>
      <c r="G7" s="248" t="n">
        <v>10.6762</v>
      </c>
      <c r="H7" s="248" t="n">
        <v>11.4821</v>
      </c>
      <c r="I7" s="249" t="n">
        <v>0.0301539047612726</v>
      </c>
      <c r="J7" s="249" t="n">
        <v>0.0129753929503376</v>
      </c>
      <c r="K7" s="249" t="n">
        <v>0.9509956697238861</v>
      </c>
      <c r="L7" s="249" t="n">
        <v>11.8072936835745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-4.406</v>
      </c>
      <c r="F8" s="248" t="n">
        <v>9.931699999999999</v>
      </c>
      <c r="G8" s="248" t="n">
        <v>10.6454</v>
      </c>
      <c r="H8" s="248" t="n">
        <v>12.3989</v>
      </c>
      <c r="I8" s="249" t="n">
        <v>0.0406378634113423</v>
      </c>
      <c r="J8" s="249" t="n">
        <v>0.132418465815698</v>
      </c>
      <c r="K8" s="249" t="n">
        <v>0.928429562497032</v>
      </c>
      <c r="L8" s="249" t="n">
        <v>11.5000785570937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-2.5281</v>
      </c>
      <c r="F9" s="248" t="n">
        <v>8.915800000000001</v>
      </c>
      <c r="G9" s="248" t="n">
        <v>8.1174</v>
      </c>
      <c r="H9" s="248" t="n">
        <v>11.2829</v>
      </c>
      <c r="I9" s="249" t="n">
        <v>0.0326129868862856</v>
      </c>
      <c r="J9" s="249" t="n">
        <v>0.0385821090668178</v>
      </c>
      <c r="K9" s="249" t="n">
        <v>0.981433038584835</v>
      </c>
      <c r="L9" s="249" t="n">
        <v>12.0388437026712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-4.4223</v>
      </c>
      <c r="F10" s="248" t="n">
        <v>9.5258</v>
      </c>
      <c r="G10" s="248" t="n">
        <v>12.2847</v>
      </c>
      <c r="H10" s="248" t="n">
        <v>12.8674</v>
      </c>
      <c r="I10" s="249" t="n">
        <v>0.037994517861686</v>
      </c>
      <c r="J10" s="249" t="n">
        <v>0.106753100226014</v>
      </c>
      <c r="K10" s="249" t="n">
        <v>1.00126741687382</v>
      </c>
      <c r="L10" s="249" t="n">
        <v>12.2987475672482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-1.8491</v>
      </c>
      <c r="F11" s="248" t="n">
        <v>7.9606</v>
      </c>
      <c r="G11" s="248" t="n">
        <v>8.520799999999999</v>
      </c>
      <c r="H11" s="248" t="n">
        <v>10.8213</v>
      </c>
      <c r="I11" s="249" t="n">
        <v>0.0273565676215605</v>
      </c>
      <c r="J11" s="249" t="n">
        <v>-0.0181690412184903</v>
      </c>
      <c r="K11" s="249" t="n">
        <v>0.893560343188763</v>
      </c>
      <c r="L11" s="249" t="n">
        <v>11.0971583319361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-5.1646</v>
      </c>
      <c r="F12" s="251" t="n">
        <v>6.3548</v>
      </c>
      <c r="G12" s="251" t="n">
        <v>5.9941</v>
      </c>
      <c r="H12" s="251" t="n">
        <v>10.3038</v>
      </c>
      <c r="I12" s="250" t="n">
        <v>0.0171814696631664</v>
      </c>
      <c r="J12" s="250" t="n">
        <v>-0.141593061960305</v>
      </c>
      <c r="K12" s="250" t="n">
        <v>0.955285441704674</v>
      </c>
      <c r="L12" s="250" t="n">
        <v>11.7790760842261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03" t="inlineStr">
        <is>
          <t>Actuals</t>
        </is>
      </c>
      <c r="F15" s="404" t="n"/>
      <c r="G15" s="404" t="n"/>
      <c r="H15" s="404" t="n"/>
      <c r="I15" s="404" t="n"/>
      <c r="J15" s="404" t="n"/>
      <c r="K15" s="404" t="n"/>
      <c r="L15" s="404" t="n"/>
      <c r="M15" s="403" t="inlineStr">
        <is>
          <t>Normalized</t>
        </is>
      </c>
      <c r="N15" s="404" t="n"/>
      <c r="O15" s="404" t="n"/>
      <c r="P15" s="404" t="n"/>
      <c r="Q15" s="404" t="n"/>
      <c r="R15" s="404" t="n"/>
      <c r="S15" s="404" t="n"/>
      <c r="T15" s="404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1.8685</v>
      </c>
      <c r="F17" s="252" t="n">
        <v>11.1823</v>
      </c>
      <c r="G17" s="248" t="n">
        <v>12.6518</v>
      </c>
      <c r="H17" s="248" t="n">
        <v>13.5115</v>
      </c>
      <c r="I17" s="249" t="n">
        <v>0.0477671389257139</v>
      </c>
      <c r="J17" s="249" t="n">
        <v>-0.0991586377411643</v>
      </c>
      <c r="K17" s="249" t="n">
        <v>0.8220161945779449</v>
      </c>
      <c r="L17" s="249" t="n">
        <v>11.9441141001999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3.9908</v>
      </c>
      <c r="F18" s="252" t="n">
        <v>13.1089</v>
      </c>
      <c r="G18" s="248" t="n">
        <v>12.5279</v>
      </c>
      <c r="H18" s="248" t="n">
        <v>14.1551</v>
      </c>
      <c r="I18" s="249" t="n">
        <v>0.0537546567283008</v>
      </c>
      <c r="J18" s="249" t="n">
        <v>-0.09786886503667561</v>
      </c>
      <c r="K18" s="249" t="n">
        <v>0.946568396277371</v>
      </c>
      <c r="L18" s="249" t="n">
        <v>13.8109694546075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5.9804</v>
      </c>
      <c r="F19" s="252" t="n">
        <v>14.6467</v>
      </c>
      <c r="G19" s="248" t="n">
        <v>15.5715</v>
      </c>
      <c r="H19" s="248" t="n">
        <v>14.5721</v>
      </c>
      <c r="I19" s="249" t="n">
        <v>0.0585623723642775</v>
      </c>
      <c r="J19" s="249" t="n">
        <v>0.0221024911297927</v>
      </c>
      <c r="K19" s="249" t="n">
        <v>0.975852767452673</v>
      </c>
      <c r="L19" s="249" t="n">
        <v>14.8026684644381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2.4975</v>
      </c>
      <c r="F20" s="252" t="n">
        <v>14.5969</v>
      </c>
      <c r="G20" s="248" t="n">
        <v>15.6854</v>
      </c>
      <c r="H20" s="248" t="n">
        <v>14.3648</v>
      </c>
      <c r="I20" s="249" t="n">
        <v>0.0667966836672423</v>
      </c>
      <c r="J20" s="249" t="n">
        <v>0.239233860689079</v>
      </c>
      <c r="K20" s="249" t="n">
        <v>0.841891841561224</v>
      </c>
      <c r="L20" s="249" t="n">
        <v>12.3123027199714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0.4644</v>
      </c>
      <c r="F21" s="252" t="n">
        <v>13.3769</v>
      </c>
      <c r="G21" s="248" t="n">
        <v>12.5374</v>
      </c>
      <c r="H21" s="248" t="n">
        <v>12.1254</v>
      </c>
      <c r="I21" s="249" t="n">
        <v>0.0588156136861946</v>
      </c>
      <c r="J21" s="249" t="n">
        <v>0.131727481182712</v>
      </c>
      <c r="K21" s="249" t="n">
        <v>0.965772703617224</v>
      </c>
      <c r="L21" s="249" t="n">
        <v>13.6142106893948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5.6368</v>
      </c>
      <c r="F22" s="252" t="n">
        <v>10.2099</v>
      </c>
      <c r="G22" s="248" t="n">
        <v>7.154</v>
      </c>
      <c r="H22" s="248" t="n">
        <v>10.3163</v>
      </c>
      <c r="I22" s="249" t="n">
        <v>0.0402543640107947</v>
      </c>
      <c r="J22" s="249" t="n">
        <v>-0.120655628007614</v>
      </c>
      <c r="K22" s="249" t="n">
        <v>0.989475161267345</v>
      </c>
      <c r="L22" s="249" t="n">
        <v>14.0298821556697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1.9888</v>
      </c>
      <c r="F23" s="254" t="n">
        <v>13.635</v>
      </c>
      <c r="G23" s="251" t="n">
        <v>13.2483</v>
      </c>
      <c r="H23" s="251" t="n">
        <v>13.1218</v>
      </c>
      <c r="I23" s="250" t="n">
        <v>0.0586726958322501</v>
      </c>
      <c r="J23" s="250" t="n">
        <v>0.126868590039928</v>
      </c>
      <c r="K23" s="250" t="n">
        <v>0.942696461186341</v>
      </c>
      <c r="L23" s="250" t="n">
        <v>13.2921132069757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03" t="inlineStr">
        <is>
          <t>Actuals</t>
        </is>
      </c>
      <c r="F26" s="404" t="n"/>
      <c r="G26" s="404" t="n"/>
      <c r="H26" s="404" t="n"/>
      <c r="I26" s="404" t="n"/>
      <c r="J26" s="404" t="n"/>
      <c r="K26" s="404" t="n"/>
      <c r="L26" s="404" t="n"/>
      <c r="M26" s="403" t="inlineStr">
        <is>
          <t>Normalized</t>
        </is>
      </c>
      <c r="N26" s="404" t="n"/>
      <c r="O26" s="404" t="n"/>
      <c r="P26" s="404" t="n"/>
      <c r="Q26" s="404" t="n"/>
      <c r="R26" s="404" t="n"/>
      <c r="S26" s="404" t="n"/>
      <c r="T26" s="404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20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7.0827</v>
      </c>
      <c r="F28" s="248" t="n">
        <v>16.1748</v>
      </c>
      <c r="G28" s="248" t="n">
        <v>18.3884</v>
      </c>
      <c r="H28" s="248" t="n">
        <v>16.3787</v>
      </c>
      <c r="I28" s="249" t="n">
        <v>0.0745498237438746</v>
      </c>
      <c r="J28" s="249" t="n">
        <v>0.186684733316522</v>
      </c>
      <c r="K28" s="249" t="n">
        <v>0.843909261102824</v>
      </c>
      <c r="L28" s="249" t="n">
        <v>14.0201483354601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7.8792</v>
      </c>
      <c r="F29" s="248" t="n">
        <v>17.491</v>
      </c>
      <c r="G29" s="248" t="n">
        <v>15.9466</v>
      </c>
      <c r="H29" s="248" t="n">
        <v>16.7558</v>
      </c>
      <c r="I29" s="249" t="n">
        <v>0.0698106342043204</v>
      </c>
      <c r="J29" s="249" t="n">
        <v>-0.08278342924167111</v>
      </c>
      <c r="K29" s="249" t="n">
        <v>0.956309620940665</v>
      </c>
      <c r="L29" s="249" t="n">
        <v>16.1676525879228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7.6062</v>
      </c>
      <c r="F30" s="248" t="n">
        <v>16.79</v>
      </c>
      <c r="G30" s="248" t="n">
        <v>17.3673</v>
      </c>
      <c r="H30" s="248" t="n">
        <v>17.3071</v>
      </c>
      <c r="I30" s="249" t="n">
        <v>0.07244860688032111</v>
      </c>
      <c r="J30" s="249" t="n">
        <v>0.166723515274996</v>
      </c>
      <c r="K30" s="249" t="n">
        <v>0.94884864940256</v>
      </c>
      <c r="L30" s="249" t="n">
        <v>15.6247856120382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4.6854</v>
      </c>
      <c r="F31" s="248" t="n">
        <v>9.469799999999999</v>
      </c>
      <c r="G31" s="248" t="n">
        <v>12.7899</v>
      </c>
      <c r="H31" s="248" t="n">
        <v>13.0151</v>
      </c>
      <c r="I31" s="249" t="n">
        <v>0.0406947554138667</v>
      </c>
      <c r="J31" s="249" t="n">
        <v>-0.257984655490294</v>
      </c>
      <c r="K31" s="249" t="n">
        <v>0.799231068304994</v>
      </c>
      <c r="L31" s="249" t="n">
        <v>13.6400563564727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4.1276</v>
      </c>
      <c r="F32" s="248" t="n">
        <v>10.7305</v>
      </c>
      <c r="G32" s="248" t="n">
        <v>11.2781</v>
      </c>
      <c r="H32" s="248" t="n">
        <v>13.0951</v>
      </c>
      <c r="I32" s="249" t="n">
        <v>0.0409301624542579</v>
      </c>
      <c r="J32" s="249" t="n">
        <v>-0.31134377120956</v>
      </c>
      <c r="K32" s="249" t="n">
        <v>0.9303944380850659</v>
      </c>
      <c r="L32" s="249" t="n">
        <v>15.5179707644633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18.8078</v>
      </c>
      <c r="F33" s="248" t="n">
        <v>23.2072</v>
      </c>
      <c r="G33" s="248" t="n">
        <v>18.0556</v>
      </c>
      <c r="H33" s="248" t="n">
        <v>16.7025</v>
      </c>
      <c r="I33" s="249" t="n">
        <v>0.0810176050821723</v>
      </c>
      <c r="J33" s="249" t="n">
        <v>0.2398282491097</v>
      </c>
      <c r="K33" s="249" t="n">
        <v>1.0063932036742</v>
      </c>
      <c r="L33" s="249" t="n">
        <v>18.3570314670078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7.4405</v>
      </c>
      <c r="F34" s="251" t="n">
        <v>13.9556</v>
      </c>
      <c r="G34" s="251" t="n">
        <v>13.402</v>
      </c>
      <c r="H34" s="251" t="n">
        <v>12.7065</v>
      </c>
      <c r="I34" s="250" t="n">
        <v>0.0591176587282818</v>
      </c>
      <c r="J34" s="250" t="n">
        <v>-0.031066365896905</v>
      </c>
      <c r="K34" s="250" t="n">
        <v>0.930097160470156</v>
      </c>
      <c r="L34" s="250" t="n">
        <v>15.4797748545936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03" t="inlineStr">
        <is>
          <t>Actuals</t>
        </is>
      </c>
      <c r="F37" s="404" t="n"/>
      <c r="G37" s="404" t="n"/>
      <c r="H37" s="404" t="n"/>
      <c r="I37" s="404" t="n"/>
      <c r="J37" s="404" t="n"/>
      <c r="K37" s="404" t="n"/>
      <c r="L37" s="404" t="n"/>
      <c r="M37" s="403" t="inlineStr">
        <is>
          <t>Normalized</t>
        </is>
      </c>
      <c r="N37" s="404" t="n"/>
      <c r="O37" s="404" t="n"/>
      <c r="P37" s="404" t="n"/>
      <c r="Q37" s="404" t="n"/>
      <c r="R37" s="404" t="n"/>
      <c r="S37" s="404" t="n"/>
      <c r="T37" s="404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20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9.2309</v>
      </c>
      <c r="F39" s="248" t="n">
        <v>13.8546</v>
      </c>
      <c r="G39" s="248" t="n">
        <v>18.2561</v>
      </c>
      <c r="H39" s="248" t="n">
        <v>20.0437</v>
      </c>
      <c r="I39" s="249" t="n">
        <v>0.055582047061213</v>
      </c>
      <c r="J39" s="249" t="n">
        <v>0.0339549541466684</v>
      </c>
      <c r="K39" s="249" t="n">
        <v>0.837742327740684</v>
      </c>
      <c r="L39" s="249" t="n">
        <v>16.8998217129795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-2.9317</v>
      </c>
      <c r="F40" s="248" t="n">
        <v>9.443</v>
      </c>
      <c r="G40" s="248" t="n">
        <v>14.2972</v>
      </c>
      <c r="H40" s="248" t="n">
        <v>16.2082</v>
      </c>
      <c r="I40" s="249" t="n">
        <v>0.0349270398248657</v>
      </c>
      <c r="J40" s="249" t="n">
        <v>-0.196574972115433</v>
      </c>
      <c r="K40" s="249" t="n">
        <v>0.8336140919196</v>
      </c>
      <c r="L40" s="249" t="n">
        <v>16.6739711097944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7.5227</v>
      </c>
      <c r="F41" s="248" t="n">
        <v>10.8624</v>
      </c>
      <c r="G41" s="248" t="n">
        <v>13.6826</v>
      </c>
      <c r="H41" s="248" t="n">
        <v>17.7314</v>
      </c>
      <c r="I41" s="249" t="n">
        <v>0.0432895784212336</v>
      </c>
      <c r="J41" s="249" t="n">
        <v>-0.0396657990349042</v>
      </c>
      <c r="K41" s="249" t="n">
        <v>0.739782570939773</v>
      </c>
      <c r="L41" s="249" t="n">
        <v>15.0521997105596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4.9039</v>
      </c>
      <c r="F42" s="248" t="n">
        <v>10.4921</v>
      </c>
      <c r="G42" s="248" t="n">
        <v>11.8348</v>
      </c>
      <c r="H42" s="248" t="n">
        <v>15.8349</v>
      </c>
      <c r="I42" s="249" t="n">
        <v>0.0381805201606875</v>
      </c>
      <c r="J42" s="249" t="n">
        <v>-0.239774931878888</v>
      </c>
      <c r="K42" s="249" t="n">
        <v>0.826405613551642</v>
      </c>
      <c r="L42" s="249" t="n">
        <v>17.1119956102762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5.9305</v>
      </c>
      <c r="F43" s="248" t="n">
        <v>12.4702</v>
      </c>
      <c r="G43" s="248" t="n">
        <v>14.3747</v>
      </c>
      <c r="H43" s="248" t="n">
        <v>15.5719</v>
      </c>
      <c r="I43" s="249" t="n">
        <v>0.0414701673931884</v>
      </c>
      <c r="J43" s="249" t="n">
        <v>-0.238985878264423</v>
      </c>
      <c r="K43" s="249" t="n">
        <v>0.748302986996697</v>
      </c>
      <c r="L43" s="249" t="n">
        <v>16.4302273099249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19.622</v>
      </c>
      <c r="F44" s="248" t="n">
        <v>14.4758</v>
      </c>
      <c r="G44" s="248" t="n">
        <v>13.5528</v>
      </c>
      <c r="H44" s="248" t="n">
        <v>12.6418</v>
      </c>
      <c r="I44" s="249" t="n">
        <v>0.05411112944072</v>
      </c>
      <c r="J44" s="249" t="n">
        <v>0.138938044827529</v>
      </c>
      <c r="K44" s="249" t="n">
        <v>0.883874951943338</v>
      </c>
      <c r="L44" s="249" t="n">
        <v>17.830903512091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6.2334</v>
      </c>
      <c r="F45" s="251" t="n">
        <v>12.6296</v>
      </c>
      <c r="G45" s="251" t="n">
        <v>14.1193</v>
      </c>
      <c r="H45" s="251" t="n">
        <v>0</v>
      </c>
      <c r="I45" s="250" t="n">
        <v>0.0467503581865114</v>
      </c>
      <c r="J45" s="250" t="n">
        <v>-0.106808967931399</v>
      </c>
      <c r="K45" s="250" t="n">
        <v>0.879065016270425</v>
      </c>
      <c r="L45" s="250" t="n">
        <v>18.0366822823433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03" t="inlineStr">
        <is>
          <t>Actuals</t>
        </is>
      </c>
      <c r="F48" s="404" t="n"/>
      <c r="G48" s="404" t="n"/>
      <c r="H48" s="404" t="n"/>
      <c r="I48" s="404" t="n"/>
      <c r="J48" s="404" t="n"/>
      <c r="K48" s="404" t="n"/>
      <c r="L48" s="404" t="n"/>
      <c r="M48" s="403" t="inlineStr">
        <is>
          <t>Normalized</t>
        </is>
      </c>
      <c r="N48" s="404" t="n"/>
      <c r="O48" s="404" t="n"/>
      <c r="P48" s="404" t="n"/>
      <c r="Q48" s="404" t="n"/>
      <c r="R48" s="404" t="n"/>
      <c r="S48" s="404" t="n"/>
      <c r="T48" s="404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20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12.4103</v>
      </c>
      <c r="F50" s="248" t="n">
        <v>14.834</v>
      </c>
      <c r="G50" s="248" t="n">
        <v>11.2442</v>
      </c>
      <c r="H50" s="248" t="n">
        <v>14.2514</v>
      </c>
      <c r="I50" s="249" t="n">
        <v>0.0778900336949801</v>
      </c>
      <c r="J50" s="249" t="n">
        <v>0.36016688843458</v>
      </c>
      <c r="K50" s="249" t="n">
        <v>0.715254456556328</v>
      </c>
      <c r="L50" s="249" t="n">
        <v>10.4131540989958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-1.2021</v>
      </c>
      <c r="F51" s="248" t="n">
        <v>13.9095</v>
      </c>
      <c r="G51" s="248" t="n">
        <v>16.9669</v>
      </c>
      <c r="H51" s="248" t="n">
        <v>13.3058</v>
      </c>
      <c r="I51" s="249" t="n">
        <v>0.0703093373444505</v>
      </c>
      <c r="J51" s="249" t="n">
        <v>0.348264644019587</v>
      </c>
      <c r="K51" s="249" t="n">
        <v>0.778781780062463</v>
      </c>
      <c r="L51" s="249" t="n">
        <v>10.9658262556073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1.4077</v>
      </c>
      <c r="F52" s="248" t="n">
        <v>9.6754</v>
      </c>
      <c r="G52" s="248" t="n">
        <v>3.7828</v>
      </c>
      <c r="H52" s="248" t="n">
        <v>10.7848</v>
      </c>
      <c r="I52" s="249" t="n">
        <v>0.0330794551299607</v>
      </c>
      <c r="J52" s="249" t="n">
        <v>-0.0575382619718008</v>
      </c>
      <c r="K52" s="249" t="n">
        <v>0.904108535073091</v>
      </c>
      <c r="L52" s="249" t="n">
        <v>13.0965415654367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0.0173</v>
      </c>
      <c r="F54" s="248" t="n">
        <v>8.2569</v>
      </c>
      <c r="G54" s="248" t="n">
        <v>9.897600000000001</v>
      </c>
      <c r="H54" s="248" t="n">
        <v>12.1216</v>
      </c>
      <c r="I54" s="249" t="n">
        <v>0.0316650710553097</v>
      </c>
      <c r="J54" s="249" t="n">
        <v>-0.0818437008804367</v>
      </c>
      <c r="K54" s="249" t="n">
        <v>0.950996824327918</v>
      </c>
      <c r="L54" s="249" t="n">
        <v>12.8624903313505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5.8069</v>
      </c>
      <c r="F55" s="248" t="n">
        <v>12.836</v>
      </c>
      <c r="G55" s="248" t="n">
        <v>10.7607</v>
      </c>
      <c r="H55" s="248" t="n">
        <v>0</v>
      </c>
      <c r="I55" s="249" t="n">
        <v>0.0543024756282596</v>
      </c>
      <c r="J55" s="249" t="n">
        <v>0.186099339591888</v>
      </c>
      <c r="K55" s="249" t="n">
        <v>0.973633636888544</v>
      </c>
      <c r="L55" s="249" t="n">
        <v>13.1596838079723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4.1546</v>
      </c>
      <c r="F56" s="251" t="n">
        <v>10.9848</v>
      </c>
      <c r="G56" s="251" t="n">
        <v>0</v>
      </c>
      <c r="H56" s="251" t="n">
        <v>0</v>
      </c>
      <c r="I56" s="250" t="n">
        <v>0.0369455933343907</v>
      </c>
      <c r="J56" s="250" t="n">
        <v>-0.129815145564125</v>
      </c>
      <c r="K56" s="250" t="n">
        <v>0.964862953014066</v>
      </c>
      <c r="L56" s="250" t="n">
        <v>14.2426958587599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05" t="inlineStr">
        <is>
          <t>Actuals</t>
        </is>
      </c>
      <c r="F59" s="404" t="n"/>
      <c r="G59" s="404" t="n"/>
      <c r="H59" s="404" t="n"/>
      <c r="I59" s="404" t="n"/>
      <c r="J59" s="404" t="n"/>
      <c r="K59" s="404" t="n"/>
      <c r="L59" s="403" t="inlineStr">
        <is>
          <t>Normalized</t>
        </is>
      </c>
      <c r="M59" s="404" t="n"/>
      <c r="N59" s="404" t="n"/>
      <c r="O59" s="404" t="n"/>
      <c r="P59" s="404" t="n"/>
      <c r="Q59" s="404" t="n"/>
      <c r="R59" s="404" t="n"/>
      <c r="S59" s="404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20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0.27</v>
      </c>
      <c r="F61" s="248" t="n">
        <v>10.4526</v>
      </c>
      <c r="G61" s="248" t="n">
        <v>14.0249</v>
      </c>
      <c r="H61" s="248" t="n">
        <v>13.2434</v>
      </c>
      <c r="I61" s="249" t="n">
        <v>0.058520606822067</v>
      </c>
      <c r="J61" s="249" t="n">
        <v>0</v>
      </c>
      <c r="K61" s="249" t="n">
        <v>0</v>
      </c>
      <c r="L61" s="249" t="n">
        <v>9.03534950149476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4.2261</v>
      </c>
      <c r="F62" s="248" t="n">
        <v>10.5613</v>
      </c>
      <c r="G62" s="248" t="n">
        <v>10.2271</v>
      </c>
      <c r="H62" s="248" t="n">
        <v>10.3938</v>
      </c>
      <c r="I62" s="249" t="n">
        <v>0.0683590029116483</v>
      </c>
      <c r="J62" s="249" t="n">
        <v>0</v>
      </c>
      <c r="K62" s="249" t="n">
        <v>0</v>
      </c>
      <c r="L62" s="249" t="n">
        <v>6.74176491070773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2.4025</v>
      </c>
      <c r="F63" s="248" t="n">
        <v>8.7188</v>
      </c>
      <c r="G63" s="248" t="n">
        <v>9.267099999999999</v>
      </c>
      <c r="H63" s="248" t="n">
        <v>0</v>
      </c>
      <c r="I63" s="249" t="n">
        <v>0.0484851096705781</v>
      </c>
      <c r="J63" s="249" t="n">
        <v>0</v>
      </c>
      <c r="K63" s="249" t="n">
        <v>0</v>
      </c>
      <c r="L63" s="249" t="n">
        <v>6.4839700320908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2.3486</v>
      </c>
      <c r="F64" s="248" t="n">
        <v>8.4145</v>
      </c>
      <c r="G64" s="248" t="n">
        <v>7.8955</v>
      </c>
      <c r="H64" s="248" t="n">
        <v>0</v>
      </c>
      <c r="I64" s="249" t="n">
        <v>0.0396965810263882</v>
      </c>
      <c r="J64" s="249" t="n">
        <v>0</v>
      </c>
      <c r="K64" s="249" t="n">
        <v>0</v>
      </c>
      <c r="L64" s="249" t="n">
        <v>7.46411231673994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-2.0126</v>
      </c>
      <c r="F65" s="248" t="n">
        <v>6.8586</v>
      </c>
      <c r="G65" s="248" t="n">
        <v>0</v>
      </c>
      <c r="H65" s="248" t="n">
        <v>0</v>
      </c>
      <c r="I65" s="249" t="n">
        <v>0.0244358815396929</v>
      </c>
      <c r="J65" s="249" t="n">
        <v>0</v>
      </c>
      <c r="K65" s="249" t="n">
        <v>0</v>
      </c>
      <c r="L65" s="249" t="n">
        <v>7.22836823263776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2.6602</v>
      </c>
      <c r="F66" s="248" t="n">
        <v>9.312200000000001</v>
      </c>
      <c r="G66" s="248" t="n">
        <v>8.4718</v>
      </c>
      <c r="H66" s="248" t="n">
        <v>9.7081</v>
      </c>
      <c r="I66" s="249" t="n">
        <v>0.0520217422678417</v>
      </c>
      <c r="J66" s="249" t="n">
        <v>0</v>
      </c>
      <c r="K66" s="249" t="n">
        <v>0</v>
      </c>
      <c r="L66" s="249" t="n">
        <v>7.27903954757279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5.835</v>
      </c>
      <c r="F67" s="251" t="n">
        <v>10.4748</v>
      </c>
      <c r="G67" s="251" t="n">
        <v>9.1602</v>
      </c>
      <c r="H67" s="251" t="n">
        <v>9.832800000000001</v>
      </c>
      <c r="I67" s="250" t="n">
        <v>0.0612958529370439</v>
      </c>
      <c r="J67" s="250" t="n">
        <v>0</v>
      </c>
      <c r="K67" s="250" t="n">
        <v>0</v>
      </c>
      <c r="L67" s="250" t="n">
        <v>7.38660879027333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05" t="inlineStr">
        <is>
          <t>Actuals</t>
        </is>
      </c>
      <c r="F70" s="404" t="n"/>
      <c r="G70" s="404" t="n"/>
      <c r="H70" s="404" t="n"/>
      <c r="I70" s="404" t="n"/>
      <c r="J70" s="404" t="n"/>
      <c r="K70" s="404" t="n"/>
      <c r="L70" s="406" t="inlineStr">
        <is>
          <t>Normalized</t>
        </is>
      </c>
      <c r="M70" s="404" t="n"/>
      <c r="N70" s="404" t="n"/>
      <c r="O70" s="404" t="n"/>
      <c r="P70" s="404" t="n"/>
      <c r="Q70" s="404" t="n"/>
      <c r="R70" s="404" t="n"/>
      <c r="S70" s="366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20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9.754200000000001</v>
      </c>
      <c r="F72" s="248" t="n">
        <v>15.4485</v>
      </c>
      <c r="G72" s="248" t="n">
        <v>16.6961</v>
      </c>
      <c r="H72" s="248" t="n">
        <v>15.1364</v>
      </c>
      <c r="I72" s="249" t="n">
        <v>0.110114592620768</v>
      </c>
      <c r="J72" s="249" t="n">
        <v>0</v>
      </c>
      <c r="K72" s="249" t="n">
        <v>0</v>
      </c>
      <c r="L72" s="249" t="n">
        <v>89.5777664382352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11.1802</v>
      </c>
      <c r="F73" s="248" t="n">
        <v>14.006</v>
      </c>
      <c r="G73" s="248" t="n">
        <v>12.6749</v>
      </c>
      <c r="H73" s="248" t="n">
        <v>11.1458</v>
      </c>
      <c r="I73" s="249" t="n">
        <v>0.09653574160168379</v>
      </c>
      <c r="J73" s="249" t="n">
        <v>0</v>
      </c>
      <c r="K73" s="249" t="n">
        <v>0</v>
      </c>
      <c r="L73" s="249" t="n">
        <v>88.3284933092212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15.5912</v>
      </c>
      <c r="F74" s="248" t="n">
        <v>0</v>
      </c>
      <c r="G74" s="248" t="n">
        <v>0</v>
      </c>
      <c r="H74" s="248" t="n">
        <v>0</v>
      </c>
      <c r="I74" s="249" t="n">
        <v>0.0863009400915704</v>
      </c>
      <c r="J74" s="249" t="n">
        <v>0</v>
      </c>
      <c r="K74" s="249" t="n">
        <v>0</v>
      </c>
      <c r="L74" s="249" t="n">
        <v>125.207829860788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12.2893</v>
      </c>
      <c r="F75" s="248" t="n">
        <v>17.4222</v>
      </c>
      <c r="G75" s="248" t="n">
        <v>14.221</v>
      </c>
      <c r="H75" s="248" t="n">
        <v>0</v>
      </c>
      <c r="I75" s="249" t="n">
        <v>0.106941700551973</v>
      </c>
      <c r="J75" s="249" t="n">
        <v>0</v>
      </c>
      <c r="K75" s="249" t="n">
        <v>0</v>
      </c>
      <c r="L75" s="249" t="n">
        <v>107.385158444117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3.6741</v>
      </c>
      <c r="F76" s="248" t="n">
        <v>14.0165</v>
      </c>
      <c r="G76" s="248" t="n">
        <v>12.2033</v>
      </c>
      <c r="H76" s="248" t="n">
        <v>10.0902</v>
      </c>
      <c r="I76" s="249" t="n">
        <v>0.0837467305109888</v>
      </c>
      <c r="J76" s="249" t="n">
        <v>0</v>
      </c>
      <c r="K76" s="249" t="n">
        <v>0</v>
      </c>
      <c r="L76" s="249" t="n">
        <v>106.238174864827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12.0293</v>
      </c>
      <c r="F78" s="251" t="n">
        <v>14.4325</v>
      </c>
      <c r="G78" s="251" t="n">
        <v>0</v>
      </c>
      <c r="H78" s="251" t="n">
        <v>0</v>
      </c>
      <c r="I78" s="250" t="n">
        <v>0.0813668742522521</v>
      </c>
      <c r="J78" s="250" t="n">
        <v>0</v>
      </c>
      <c r="K78" s="250" t="n">
        <v>0</v>
      </c>
      <c r="L78" s="250" t="n">
        <v>107.154413163107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05" t="inlineStr">
        <is>
          <t>Actuals</t>
        </is>
      </c>
      <c r="F81" s="404" t="n"/>
      <c r="G81" s="404" t="n"/>
      <c r="H81" s="404" t="n"/>
      <c r="I81" s="404" t="n"/>
      <c r="J81" s="404" t="n"/>
      <c r="K81" s="404" t="n"/>
      <c r="L81" s="406" t="inlineStr">
        <is>
          <t>Normalized</t>
        </is>
      </c>
      <c r="M81" s="404" t="n"/>
      <c r="N81" s="404" t="n"/>
      <c r="O81" s="404" t="n"/>
      <c r="P81" s="404" t="n"/>
      <c r="Q81" s="404" t="n"/>
      <c r="R81" s="404" t="n"/>
      <c r="S81" s="366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08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12.6293</v>
      </c>
      <c r="F83" s="84" t="n">
        <v>18.2243</v>
      </c>
      <c r="G83" s="84" t="n">
        <v>22.0612</v>
      </c>
      <c r="H83" s="84" t="n">
        <v>0</v>
      </c>
      <c r="I83" s="84" t="n">
        <v>0.07028978951128489</v>
      </c>
      <c r="J83" s="84" t="n">
        <v>-0.0691227642361549</v>
      </c>
      <c r="K83" s="84" t="n">
        <v>0.925182842919142</v>
      </c>
      <c r="L83" s="84" t="n">
        <v>19.2412355554693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4.3041</v>
      </c>
      <c r="F84" s="84" t="n">
        <v>9.263299999999999</v>
      </c>
      <c r="G84" s="84" t="n">
        <v>9.763199999999999</v>
      </c>
      <c r="H84" s="84" t="n">
        <v>10.8569</v>
      </c>
      <c r="I84" s="84" t="n">
        <v>0.0324452600996949</v>
      </c>
      <c r="J84" s="84" t="n">
        <v>0.0618539512714402</v>
      </c>
      <c r="K84" s="84" t="n">
        <v>0.898046785090614</v>
      </c>
      <c r="L84" s="84" t="n">
        <v>12.7942849196197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7.0601</v>
      </c>
      <c r="F85" s="84" t="n">
        <v>0</v>
      </c>
      <c r="G85" s="84" t="n">
        <v>0</v>
      </c>
      <c r="H85" s="84" t="n">
        <v>0</v>
      </c>
      <c r="I85" s="84" t="n">
        <v>-0.0252329348094764</v>
      </c>
      <c r="J85" s="84" t="n">
        <v>-0.0168628578706041</v>
      </c>
      <c r="K85" s="84" t="n">
        <v>0.99561793345565</v>
      </c>
      <c r="L85" s="84" t="n">
        <v>13.0300674561365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8.7409</v>
      </c>
      <c r="F86" s="84" t="n">
        <v>12.0105</v>
      </c>
      <c r="G86" s="84" t="n">
        <v>0</v>
      </c>
      <c r="H86" s="84" t="n">
        <v>0</v>
      </c>
      <c r="I86" s="84" t="n">
        <v>0.0491497678317125</v>
      </c>
      <c r="J86" s="84" t="n">
        <v>0.0209643551163954</v>
      </c>
      <c r="K86" s="84" t="n">
        <v>0.993672100311499</v>
      </c>
      <c r="L86" s="84" t="n">
        <v>13.1719794918125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1.1184</v>
      </c>
      <c r="F87" s="84" t="n">
        <v>0</v>
      </c>
      <c r="G87" s="84" t="n">
        <v>0</v>
      </c>
      <c r="H87" s="84" t="n">
        <v>0</v>
      </c>
      <c r="I87" s="84" t="n">
        <v>0.00578397991796891</v>
      </c>
      <c r="J87" s="84" t="n">
        <v>0</v>
      </c>
      <c r="K87" s="84" t="n">
        <v>0</v>
      </c>
      <c r="L87" s="84" t="n">
        <v>16.0682129141601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15.7507</v>
      </c>
      <c r="F88" s="84" t="n">
        <v>0</v>
      </c>
      <c r="G88" s="84" t="n">
        <v>0</v>
      </c>
      <c r="H88" s="84" t="n">
        <v>0</v>
      </c>
      <c r="I88" s="84" t="n">
        <v>0.06724517115054759</v>
      </c>
      <c r="J88" s="84" t="n">
        <v>0.254094651892667</v>
      </c>
      <c r="K88" s="84" t="n">
        <v>0.973673221906126</v>
      </c>
      <c r="L88" s="84" t="n">
        <v>18.2978814814771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23.1711</v>
      </c>
      <c r="F89" s="84" t="n">
        <v>20.2622</v>
      </c>
      <c r="G89" s="84" t="n">
        <v>14.5357</v>
      </c>
      <c r="H89" s="84" t="n">
        <v>13.2239</v>
      </c>
      <c r="I89" s="84" t="n">
        <v>0.0853602701315356</v>
      </c>
      <c r="J89" s="84" t="n">
        <v>0.262935127916092</v>
      </c>
      <c r="K89" s="84" t="n">
        <v>0.90561693944223</v>
      </c>
      <c r="L89" s="84" t="n">
        <v>14.9059285618227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16.1981</v>
      </c>
      <c r="F90" s="84" t="n">
        <v>20.2975</v>
      </c>
      <c r="G90" s="84" t="n">
        <v>12.8825</v>
      </c>
      <c r="H90" s="84" t="n">
        <v>0</v>
      </c>
      <c r="I90" s="84" t="n">
        <v>0.0910995385084519</v>
      </c>
      <c r="J90" s="84" t="n">
        <v>-0.0425231199904166</v>
      </c>
      <c r="K90" s="84" t="n">
        <v>0.879678685296865</v>
      </c>
      <c r="L90" s="84" t="n">
        <v>12.1184979258813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13.1369</v>
      </c>
      <c r="F91" s="84" t="n">
        <v>17.2684</v>
      </c>
      <c r="G91" s="84" t="n">
        <v>12.9633</v>
      </c>
      <c r="H91" s="84" t="n">
        <v>0</v>
      </c>
      <c r="I91" s="84" t="n">
        <v>0.07977991650670629</v>
      </c>
      <c r="J91" s="84" t="n">
        <v>0.540628109834254</v>
      </c>
      <c r="K91" s="84" t="n">
        <v>0.956624631515453</v>
      </c>
      <c r="L91" s="84" t="n">
        <v>12.9438351227407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-0.5634</v>
      </c>
      <c r="F92" s="84" t="n">
        <v>9.051600000000001</v>
      </c>
      <c r="G92" s="84" t="n">
        <v>6.2669</v>
      </c>
      <c r="H92" s="84" t="n">
        <v>0</v>
      </c>
      <c r="I92" s="84" t="n">
        <v>0.0320351425791114</v>
      </c>
      <c r="J92" s="84" t="n">
        <v>-0.06353463072390859</v>
      </c>
      <c r="K92" s="84" t="n">
        <v>1.04802176313948</v>
      </c>
      <c r="L92" s="84" t="n">
        <v>14.2642332893696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-3.5615</v>
      </c>
      <c r="F93" s="84" t="n">
        <v>0</v>
      </c>
      <c r="G93" s="84" t="n">
        <v>0</v>
      </c>
      <c r="H93" s="84" t="n">
        <v>0</v>
      </c>
      <c r="I93" s="84" t="n">
        <v>-0.0130782556547586</v>
      </c>
      <c r="J93" s="84" t="n">
        <v>-0.167921944705655</v>
      </c>
      <c r="K93" s="84" t="n">
        <v>1.09893971563078</v>
      </c>
      <c r="L93" s="84" t="n">
        <v>14.3509393143067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-1.3448</v>
      </c>
      <c r="F94" s="84" t="n">
        <v>0</v>
      </c>
      <c r="G94" s="84" t="n">
        <v>0</v>
      </c>
      <c r="H94" s="84" t="n">
        <v>0</v>
      </c>
      <c r="I94" s="84" t="n">
        <v>0.00783728866436843</v>
      </c>
      <c r="J94" s="84" t="n">
        <v>-0.530998214016688</v>
      </c>
      <c r="K94" s="84" t="n">
        <v>1.2242520290147</v>
      </c>
      <c r="L94" s="84" t="n">
        <v>20.6278602800677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9.048</v>
      </c>
      <c r="F95" s="84" t="n">
        <v>22.3893</v>
      </c>
      <c r="G95" s="84" t="n">
        <v>16.0429</v>
      </c>
      <c r="H95" s="84" t="n">
        <v>0</v>
      </c>
      <c r="I95" s="84" t="n">
        <v>0.113233542155526</v>
      </c>
      <c r="J95" s="84" t="n">
        <v>0.044158662649366</v>
      </c>
      <c r="K95" s="84" t="n">
        <v>0.963874087171613</v>
      </c>
      <c r="L95" s="84" t="n">
        <v>13.1678874539935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-2.7384</v>
      </c>
      <c r="F96" s="84" t="n">
        <v>0</v>
      </c>
      <c r="G96" s="84" t="n">
        <v>0</v>
      </c>
      <c r="H96" s="84" t="n">
        <v>0</v>
      </c>
      <c r="I96" s="84" t="n">
        <v>-0.0254711443395133</v>
      </c>
      <c r="J96" s="84" t="n">
        <v>0.136541350245248</v>
      </c>
      <c r="K96" s="84" t="n">
        <v>0.786193496460998</v>
      </c>
      <c r="L96" s="84" t="n">
        <v>9.87647249472125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-6.071</v>
      </c>
      <c r="F97" s="84" t="n">
        <v>8.909000000000001</v>
      </c>
      <c r="G97" s="84" t="n">
        <v>12.145</v>
      </c>
      <c r="H97" s="84" t="n">
        <v>0</v>
      </c>
      <c r="I97" s="84" t="n">
        <v>0.0316977338419507</v>
      </c>
      <c r="J97" s="84" t="n">
        <v>-0.163635533789923</v>
      </c>
      <c r="K97" s="84" t="n">
        <v>0.946915697818035</v>
      </c>
      <c r="L97" s="84" t="n">
        <v>13.1277393171073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7.767</v>
      </c>
      <c r="F98" s="84" t="n">
        <v>21.1021</v>
      </c>
      <c r="G98" s="84" t="n">
        <v>0</v>
      </c>
      <c r="H98" s="84" t="n">
        <v>0</v>
      </c>
      <c r="I98" s="84" t="n">
        <v>0.08150120441957211</v>
      </c>
      <c r="J98" s="84" t="n">
        <v>0.220583545309174</v>
      </c>
      <c r="K98" s="84" t="n">
        <v>0.937296199174631</v>
      </c>
      <c r="L98" s="84" t="n">
        <v>17.0388443543009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11.4343</v>
      </c>
      <c r="F99" s="84" t="n">
        <v>14.2922</v>
      </c>
      <c r="G99" s="84" t="n">
        <v>13.8231</v>
      </c>
      <c r="H99" s="84" t="n">
        <v>0</v>
      </c>
      <c r="I99" s="84" t="n">
        <v>0.0569082131387514</v>
      </c>
      <c r="J99" s="84" t="n">
        <v>-0.09410985334111351</v>
      </c>
      <c r="K99" s="84" t="n">
        <v>0.963116717728108</v>
      </c>
      <c r="L99" s="84" t="n">
        <v>15.8636343676581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-0.8178</v>
      </c>
      <c r="F100" s="84" t="n">
        <v>9.963699999999999</v>
      </c>
      <c r="G100" s="84" t="n">
        <v>0</v>
      </c>
      <c r="H100" s="84" t="n">
        <v>0</v>
      </c>
      <c r="I100" s="84" t="n">
        <v>0.0402849647562406</v>
      </c>
      <c r="J100" s="84" t="n">
        <v>0.105050416376526</v>
      </c>
      <c r="K100" s="84" t="n">
        <v>0.869207751228099</v>
      </c>
      <c r="L100" s="84" t="n">
        <v>13.1247469663561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8.8645</v>
      </c>
      <c r="F101" s="84" t="n">
        <v>19.5037</v>
      </c>
      <c r="G101" s="84" t="n">
        <v>0</v>
      </c>
      <c r="H101" s="84" t="n">
        <v>0</v>
      </c>
      <c r="I101" s="84" t="n">
        <v>0.07575038125930619</v>
      </c>
      <c r="J101" s="84" t="n">
        <v>0.0300096918047019</v>
      </c>
      <c r="K101" s="84" t="n">
        <v>0.831379688548332</v>
      </c>
      <c r="L101" s="84" t="n">
        <v>17.2601385561231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3.4047</v>
      </c>
      <c r="F102" s="84" t="n">
        <v>0</v>
      </c>
      <c r="G102" s="84" t="n">
        <v>0</v>
      </c>
      <c r="H102" s="84" t="n">
        <v>0</v>
      </c>
      <c r="I102" s="84" t="n">
        <v>-0.0129166431509406</v>
      </c>
      <c r="J102" s="84" t="n">
        <v>0.279045670670518</v>
      </c>
      <c r="K102" s="84" t="n">
        <v>0.691611178831842</v>
      </c>
      <c r="L102" s="84" t="n">
        <v>10.3542360687144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4.9703</v>
      </c>
      <c r="F103" s="84" t="n">
        <v>9.2963</v>
      </c>
      <c r="G103" s="84" t="n">
        <v>10.655</v>
      </c>
      <c r="H103" s="84" t="n">
        <v>0</v>
      </c>
      <c r="I103" s="84" t="n">
        <v>0.0362984225411571</v>
      </c>
      <c r="J103" s="84" t="n">
        <v>-0.357603718010405</v>
      </c>
      <c r="K103" s="84" t="n">
        <v>0.835723132391702</v>
      </c>
      <c r="L103" s="84" t="n">
        <v>12.2110786297992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-6.3563</v>
      </c>
      <c r="F104" s="84" t="n">
        <v>9.757099999999999</v>
      </c>
      <c r="G104" s="84" t="n">
        <v>8.354900000000001</v>
      </c>
      <c r="H104" s="84" t="n">
        <v>0</v>
      </c>
      <c r="I104" s="84" t="n">
        <v>0.0381311175048308</v>
      </c>
      <c r="J104" s="84" t="n">
        <v>0.0222589114210181</v>
      </c>
      <c r="K104" s="84" t="n">
        <v>0.965342494650329</v>
      </c>
      <c r="L104" s="84" t="n">
        <v>13.1569265306279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-6.9626</v>
      </c>
      <c r="F105" s="84" t="n">
        <v>0</v>
      </c>
      <c r="G105" s="84" t="n">
        <v>0</v>
      </c>
      <c r="H105" s="84" t="n">
        <v>0</v>
      </c>
      <c r="I105" s="84" t="n">
        <v>0.000350134888878119</v>
      </c>
      <c r="J105" s="84" t="n">
        <v>-0.104259330922217</v>
      </c>
      <c r="K105" s="84" t="n">
        <v>0.9675561057473691</v>
      </c>
      <c r="L105" s="84" t="n">
        <v>12.6039298497251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-1.3968</v>
      </c>
      <c r="F106" s="84" t="n">
        <v>10.6301</v>
      </c>
      <c r="G106" s="84" t="n">
        <v>10.0932</v>
      </c>
      <c r="H106" s="84" t="n">
        <v>0</v>
      </c>
      <c r="I106" s="84" t="n">
        <v>0.0464943906315153</v>
      </c>
      <c r="J106" s="84" t="n">
        <v>0.126821772973591</v>
      </c>
      <c r="K106" s="84" t="n">
        <v>0.853059966316716</v>
      </c>
      <c r="L106" s="84" t="n">
        <v>11.0075827215857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8.143000000000001</v>
      </c>
      <c r="F107" s="84" t="n">
        <v>0</v>
      </c>
      <c r="G107" s="84" t="n">
        <v>0</v>
      </c>
      <c r="H107" s="84" t="n">
        <v>0</v>
      </c>
      <c r="I107" s="84" t="n">
        <v>0.0402408439235212</v>
      </c>
      <c r="J107" s="84" t="n">
        <v>0.465410831465234</v>
      </c>
      <c r="K107" s="84" t="n">
        <v>0.794488069125728</v>
      </c>
      <c r="L107" s="84" t="n">
        <v>8.920708365705689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6.1803</v>
      </c>
      <c r="F108" s="84" t="n">
        <v>10.7182</v>
      </c>
      <c r="G108" s="84" t="n">
        <v>10.619</v>
      </c>
      <c r="H108" s="84" t="n">
        <v>0</v>
      </c>
      <c r="I108" s="84" t="n">
        <v>0.0396033277396185</v>
      </c>
      <c r="J108" s="84" t="n">
        <v>0.15646504955242</v>
      </c>
      <c r="K108" s="84" t="n">
        <v>0.961417768860258</v>
      </c>
      <c r="L108" s="84" t="n">
        <v>13.5002016776381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3.1085</v>
      </c>
      <c r="F109" s="84" t="n">
        <v>10.4352</v>
      </c>
      <c r="G109" s="84" t="n">
        <v>0</v>
      </c>
      <c r="H109" s="84" t="n">
        <v>0</v>
      </c>
      <c r="I109" s="84" t="n">
        <v>0.0380276236644486</v>
      </c>
      <c r="J109" s="84" t="n">
        <v>-0.00827888405927435</v>
      </c>
      <c r="K109" s="84" t="n">
        <v>0.986233610590725</v>
      </c>
      <c r="L109" s="84" t="n">
        <v>13.8600470954544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26.8524</v>
      </c>
      <c r="F110" s="84" t="n">
        <v>0</v>
      </c>
      <c r="G110" s="84" t="n">
        <v>0</v>
      </c>
      <c r="H110" s="84" t="n">
        <v>0</v>
      </c>
      <c r="I110" s="84" t="n">
        <v>0.16107072131653</v>
      </c>
      <c r="J110" s="84" t="n">
        <v>0.671339635005421</v>
      </c>
      <c r="K110" s="84" t="n">
        <v>0.866458698503086</v>
      </c>
      <c r="L110" s="84" t="n">
        <v>11.8625647678327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-15.7926</v>
      </c>
      <c r="F111" s="84" t="n">
        <v>4.2324</v>
      </c>
      <c r="G111" s="84" t="n">
        <v>0</v>
      </c>
      <c r="H111" s="84" t="n">
        <v>0</v>
      </c>
      <c r="I111" s="84" t="n">
        <v>0.00418360583081684</v>
      </c>
      <c r="J111" s="84" t="n">
        <v>0.179643729732448</v>
      </c>
      <c r="K111" s="84" t="n">
        <v>0.997359267341475</v>
      </c>
      <c r="L111" s="84" t="n">
        <v>20.2599413576635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8.569900000000001</v>
      </c>
      <c r="F112" s="84" t="n">
        <v>23.9128</v>
      </c>
      <c r="G112" s="84" t="n">
        <v>0</v>
      </c>
      <c r="H112" s="84" t="n">
        <v>0</v>
      </c>
      <c r="I112" s="84" t="n">
        <v>0.08617484947531701</v>
      </c>
      <c r="J112" s="84" t="n">
        <v>0.422096394093943</v>
      </c>
      <c r="K112" s="84" t="n">
        <v>0.916532855851094</v>
      </c>
      <c r="L112" s="84" t="n">
        <v>17.3621996566029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-4.625</v>
      </c>
      <c r="F113" s="84" t="n">
        <v>8.216100000000001</v>
      </c>
      <c r="G113" s="84" t="n">
        <v>10.6426</v>
      </c>
      <c r="H113" s="84" t="n">
        <v>0</v>
      </c>
      <c r="I113" s="84" t="n">
        <v>0.0284478832243069</v>
      </c>
      <c r="J113" s="84" t="n">
        <v>-0.119632045167822</v>
      </c>
      <c r="K113" s="84" t="n">
        <v>1.01475424220877</v>
      </c>
      <c r="L113" s="84" t="n">
        <v>15.6249138647679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2.7436</v>
      </c>
      <c r="F115" s="84" t="n">
        <v>6.4652</v>
      </c>
      <c r="G115" s="84" t="n">
        <v>0</v>
      </c>
      <c r="H115" s="84" t="n">
        <v>0</v>
      </c>
      <c r="I115" s="84" t="n">
        <v>0.0176819396707531</v>
      </c>
      <c r="J115" s="84" t="n">
        <v>-0.455855002121675</v>
      </c>
      <c r="K115" s="84" t="n">
        <v>0.908346187480972</v>
      </c>
      <c r="L115" s="84" t="n">
        <v>13.2867080393237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15.8157</v>
      </c>
      <c r="F116" s="84" t="n">
        <v>0</v>
      </c>
      <c r="G116" s="84" t="n">
        <v>0</v>
      </c>
      <c r="H116" s="84" t="n">
        <v>0</v>
      </c>
      <c r="I116" s="84" t="n">
        <v>0.0870155290684546</v>
      </c>
      <c r="J116" s="84" t="n">
        <v>1.332472627258</v>
      </c>
      <c r="K116" s="84" t="n">
        <v>1.09231119537203</v>
      </c>
      <c r="L116" s="84" t="n">
        <v>13.6313668936568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25.8491</v>
      </c>
      <c r="F117" s="84" t="n">
        <v>0</v>
      </c>
      <c r="G117" s="84" t="n">
        <v>0</v>
      </c>
      <c r="H117" s="84" t="n">
        <v>0</v>
      </c>
      <c r="I117" s="84" t="n">
        <v>0.0419785419260377</v>
      </c>
      <c r="J117" s="84" t="n">
        <v>0.624230032542385</v>
      </c>
      <c r="K117" s="84" t="n">
        <v>0.8686959655698639</v>
      </c>
      <c r="L117" s="84" t="n">
        <v>18.6486837402646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-0.6618000000000001</v>
      </c>
      <c r="F118" s="84" t="n">
        <v>0</v>
      </c>
      <c r="G118" s="84" t="n">
        <v>0</v>
      </c>
      <c r="H118" s="84" t="n">
        <v>0</v>
      </c>
      <c r="I118" s="84" t="n">
        <v>-0.0352098759418936</v>
      </c>
      <c r="J118" s="84" t="n">
        <v>-0.364144911408868</v>
      </c>
      <c r="K118" s="84" t="n">
        <v>0.964916741525248</v>
      </c>
      <c r="L118" s="84" t="n">
        <v>12.9748544198443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-4.0032</v>
      </c>
      <c r="F119" s="84" t="n">
        <v>6.9604</v>
      </c>
      <c r="G119" s="84" t="n">
        <v>7.8351</v>
      </c>
      <c r="H119" s="84" t="n">
        <v>0</v>
      </c>
      <c r="I119" s="84" t="n">
        <v>0.0172487149657371</v>
      </c>
      <c r="J119" s="84" t="n">
        <v>0.0123738058743931</v>
      </c>
      <c r="K119" s="84" t="n">
        <v>0.817449266881587</v>
      </c>
      <c r="L119" s="84" t="n">
        <v>11.0978178051909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1.9158</v>
      </c>
      <c r="F120" s="84" t="n">
        <v>13.2233</v>
      </c>
      <c r="G120" s="84" t="n">
        <v>0</v>
      </c>
      <c r="H120" s="84" t="n">
        <v>0</v>
      </c>
      <c r="I120" s="84" t="n">
        <v>0.0481305303669801</v>
      </c>
      <c r="J120" s="84" t="n">
        <v>0.207465171292808</v>
      </c>
      <c r="K120" s="84" t="n">
        <v>1.02111477583182</v>
      </c>
      <c r="L120" s="84" t="n">
        <v>14.4362068922739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-8.268700000000001</v>
      </c>
      <c r="F121" s="84" t="n">
        <v>7.8901</v>
      </c>
      <c r="G121" s="84" t="n">
        <v>11.0887</v>
      </c>
      <c r="H121" s="84" t="n">
        <v>12.1416</v>
      </c>
      <c r="I121" s="84" t="n">
        <v>0.0268417760564235</v>
      </c>
      <c r="J121" s="84" t="n">
        <v>-0.241198559580621</v>
      </c>
      <c r="K121" s="84" t="n">
        <v>1.0068744288672</v>
      </c>
      <c r="L121" s="84" t="n">
        <v>13.9806945811588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15.0416</v>
      </c>
      <c r="F122" s="84" t="n">
        <v>17.4689</v>
      </c>
      <c r="G122" s="84" t="n">
        <v>10.5152</v>
      </c>
      <c r="H122" s="84" t="n">
        <v>15.0319</v>
      </c>
      <c r="I122" s="84" t="n">
        <v>0.07104175529493791</v>
      </c>
      <c r="J122" s="84" t="n">
        <v>0</v>
      </c>
      <c r="K122" s="84" t="n">
        <v>0</v>
      </c>
      <c r="L122" s="84" t="n">
        <v>13.2831250647772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116.822</v>
      </c>
      <c r="F123" s="84" t="n">
        <v>57.853</v>
      </c>
      <c r="G123" s="84" t="n">
        <v>0</v>
      </c>
      <c r="H123" s="84" t="n">
        <v>0</v>
      </c>
      <c r="I123" s="84" t="n">
        <v>0.101474368290512</v>
      </c>
      <c r="J123" s="84" t="n">
        <v>-0.182429395678808</v>
      </c>
      <c r="K123" s="84" t="n">
        <v>1.49216338808048</v>
      </c>
      <c r="L123" s="84" t="n">
        <v>41.1547152579021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9.9747</v>
      </c>
      <c r="F125" s="84" t="n">
        <v>0</v>
      </c>
      <c r="G125" s="84" t="n">
        <v>0</v>
      </c>
      <c r="H125" s="84" t="n">
        <v>0</v>
      </c>
      <c r="I125" s="84" t="n">
        <v>0.07914428299685571</v>
      </c>
      <c r="J125" s="84" t="n">
        <v>0.612765630117709</v>
      </c>
      <c r="K125" s="84" t="n">
        <v>0.961932399367761</v>
      </c>
      <c r="L125" s="84" t="n">
        <v>12.7790049585065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0.8971</v>
      </c>
      <c r="F126" s="84" t="n">
        <v>12.9869</v>
      </c>
      <c r="G126" s="84" t="n">
        <v>12.6313</v>
      </c>
      <c r="H126" s="84" t="n">
        <v>13.0687</v>
      </c>
      <c r="I126" s="84" t="n">
        <v>0.0565700695854481</v>
      </c>
      <c r="J126" s="84" t="n">
        <v>0.271680823676228</v>
      </c>
      <c r="K126" s="84" t="n">
        <v>0.983229207790251</v>
      </c>
      <c r="L126" s="84" t="n">
        <v>12.6461344155914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9.130800000000001</v>
      </c>
      <c r="F127" s="84" t="n">
        <v>18.0098</v>
      </c>
      <c r="G127" s="84" t="n">
        <v>14.15</v>
      </c>
      <c r="H127" s="84" t="n">
        <v>0</v>
      </c>
      <c r="I127" s="84" t="n">
        <v>0.0781116031780896</v>
      </c>
      <c r="J127" s="84" t="n">
        <v>0.445977509254012</v>
      </c>
      <c r="K127" s="84" t="n">
        <v>1.00653382440186</v>
      </c>
      <c r="L127" s="84" t="n">
        <v>14.2277643699159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3.7312</v>
      </c>
      <c r="F128" s="84" t="n">
        <v>13.8244</v>
      </c>
      <c r="G128" s="84" t="n">
        <v>0</v>
      </c>
      <c r="H128" s="84" t="n">
        <v>0</v>
      </c>
      <c r="I128" s="84" t="n">
        <v>0.0603237320844902</v>
      </c>
      <c r="J128" s="84" t="n">
        <v>0.291505394096402</v>
      </c>
      <c r="K128" s="84" t="n">
        <v>0.949203895989299</v>
      </c>
      <c r="L128" s="84" t="n">
        <v>13.3736520901424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16.7892</v>
      </c>
      <c r="F129" s="84" t="n">
        <v>18.3927</v>
      </c>
      <c r="G129" s="84" t="n">
        <v>0</v>
      </c>
      <c r="H129" s="84" t="n">
        <v>0</v>
      </c>
      <c r="I129" s="84" t="n">
        <v>0.0796503126150773</v>
      </c>
      <c r="J129" s="84" t="n">
        <v>0.131409774286726</v>
      </c>
      <c r="K129" s="84" t="n">
        <v>0.890483357466694</v>
      </c>
      <c r="L129" s="84" t="n">
        <v>14.1114349365283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18.8656</v>
      </c>
      <c r="F130" s="84" t="n">
        <v>0</v>
      </c>
      <c r="G130" s="84" t="n">
        <v>0</v>
      </c>
      <c r="H130" s="84" t="n">
        <v>0</v>
      </c>
      <c r="I130" s="84" t="n">
        <v>0.0456929773045336</v>
      </c>
      <c r="J130" s="84" t="n">
        <v>0.526512179095781</v>
      </c>
      <c r="K130" s="84" t="n">
        <v>0.949478837682538</v>
      </c>
      <c r="L130" s="84" t="n">
        <v>14.5236129857697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17.0613</v>
      </c>
      <c r="F131" s="84" t="n">
        <v>0</v>
      </c>
      <c r="G131" s="84" t="n">
        <v>0</v>
      </c>
      <c r="H131" s="84" t="n">
        <v>0</v>
      </c>
      <c r="I131" s="84" t="n">
        <v>0.00858828758667775</v>
      </c>
      <c r="J131" s="84" t="n">
        <v>0.459335832009551</v>
      </c>
      <c r="K131" s="84" t="n">
        <v>1.11748367432676</v>
      </c>
      <c r="L131" s="84" t="n">
        <v>16.2723060606145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-3.2844</v>
      </c>
      <c r="F132" s="84" t="n">
        <v>0</v>
      </c>
      <c r="G132" s="84" t="n">
        <v>0</v>
      </c>
      <c r="H132" s="84" t="n">
        <v>0</v>
      </c>
      <c r="I132" s="84" t="n">
        <v>0.0420996302581368</v>
      </c>
      <c r="J132" s="84" t="n">
        <v>0.212396860738864</v>
      </c>
      <c r="K132" s="84" t="n">
        <v>0.985742717474817</v>
      </c>
      <c r="L132" s="84" t="n">
        <v>14.8670912097546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5.6724</v>
      </c>
      <c r="F133" s="84" t="n">
        <v>11.0232</v>
      </c>
      <c r="G133" s="84" t="n">
        <v>0</v>
      </c>
      <c r="H133" s="84" t="n">
        <v>0</v>
      </c>
      <c r="I133" s="84" t="n">
        <v>0.0422575862724649</v>
      </c>
      <c r="J133" s="84" t="n">
        <v>0.18555290865815</v>
      </c>
      <c r="K133" s="84" t="n">
        <v>0.948730070994802</v>
      </c>
      <c r="L133" s="84" t="n">
        <v>13.2224749887883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-4.5513</v>
      </c>
      <c r="F134" s="84" t="n">
        <v>7.109</v>
      </c>
      <c r="G134" s="84" t="n">
        <v>5.7018</v>
      </c>
      <c r="H134" s="84" t="n">
        <v>0</v>
      </c>
      <c r="I134" s="84" t="n">
        <v>0.0222116686407126</v>
      </c>
      <c r="J134" s="84" t="n">
        <v>-0.191367986913765</v>
      </c>
      <c r="K134" s="84" t="n">
        <v>0.955121175928601</v>
      </c>
      <c r="L134" s="84" t="n">
        <v>12.7403791230886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1.8025</v>
      </c>
      <c r="F135" s="84" t="n">
        <v>13.4207</v>
      </c>
      <c r="G135" s="84" t="n">
        <v>0</v>
      </c>
      <c r="H135" s="84" t="n">
        <v>0</v>
      </c>
      <c r="I135" s="84" t="n">
        <v>0.0546686676382236</v>
      </c>
      <c r="J135" s="84" t="n">
        <v>0.301174858260646</v>
      </c>
      <c r="K135" s="84" t="n">
        <v>1.00188257226824</v>
      </c>
      <c r="L135" s="84" t="n">
        <v>14.275453640067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-11.7526</v>
      </c>
      <c r="F136" s="84" t="n">
        <v>0</v>
      </c>
      <c r="G136" s="84" t="n">
        <v>0</v>
      </c>
      <c r="H136" s="84" t="n">
        <v>0</v>
      </c>
      <c r="I136" s="84" t="n">
        <v>-0.0107759645786519</v>
      </c>
      <c r="J136" s="84" t="n">
        <v>0.118400103621065</v>
      </c>
      <c r="K136" s="84" t="n">
        <v>0.9931984956593241</v>
      </c>
      <c r="L136" s="84" t="n">
        <v>20.0822272024013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27.2113</v>
      </c>
      <c r="F137" s="84" t="n">
        <v>0</v>
      </c>
      <c r="G137" s="84" t="n">
        <v>0</v>
      </c>
      <c r="H137" s="84" t="n">
        <v>0</v>
      </c>
      <c r="I137" s="84" t="n">
        <v>0.09339873377151819</v>
      </c>
      <c r="J137" s="84" t="n">
        <v>0.346075324907833</v>
      </c>
      <c r="K137" s="84" t="n">
        <v>0.91662102986163</v>
      </c>
      <c r="L137" s="84" t="n">
        <v>13.2507322615189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07" t="inlineStr">
        <is>
          <t>Equity Large Cap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366" t="n"/>
    </row>
    <row r="4" ht="15" customHeight="1" thickBot="1">
      <c r="B4" s="147" t="n"/>
      <c r="C4" s="148" t="n"/>
      <c r="D4" s="190" t="n"/>
      <c r="E4" s="410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11" t="n"/>
      <c r="P4" s="405" t="inlineStr">
        <is>
          <t>Normalized</t>
        </is>
      </c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8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09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15" t="inlineStr">
        <is>
          <t>Equity Large &amp; Mid Cap</t>
        </is>
      </c>
      <c r="C4" s="381" t="n"/>
      <c r="D4" s="381" t="n"/>
      <c r="E4" s="381" t="n"/>
      <c r="F4" s="381" t="n"/>
      <c r="G4" s="381" t="n"/>
      <c r="H4" s="381" t="n"/>
      <c r="I4" s="381" t="n"/>
      <c r="J4" s="381" t="n"/>
      <c r="K4" s="381" t="n"/>
      <c r="L4" s="381" t="n"/>
      <c r="M4" s="381" t="n"/>
      <c r="N4" s="381" t="n"/>
      <c r="O4" s="381" t="n"/>
      <c r="P4" s="381" t="n"/>
      <c r="Q4" s="381" t="n"/>
      <c r="R4" s="381" t="n"/>
      <c r="S4" s="381" t="n"/>
      <c r="T4" s="381" t="n"/>
      <c r="U4" s="381" t="n"/>
      <c r="V4" s="381" t="n"/>
      <c r="W4" s="381" t="n"/>
      <c r="X4" s="381" t="n"/>
      <c r="Y4" s="381" t="n"/>
      <c r="Z4" s="303" t="n"/>
    </row>
    <row r="5" ht="15" customHeight="1" thickBot="1">
      <c r="B5" s="153" t="n"/>
      <c r="C5" s="154" t="n"/>
      <c r="D5" s="154" t="n"/>
      <c r="E5" s="417" t="inlineStr">
        <is>
          <t>Actuals</t>
        </is>
      </c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9" t="n"/>
      <c r="P5" s="412" t="inlineStr">
        <is>
          <t>Normalized</t>
        </is>
      </c>
      <c r="Q5" s="413" t="n"/>
      <c r="R5" s="413" t="n"/>
      <c r="S5" s="413" t="n"/>
      <c r="T5" s="413" t="n"/>
      <c r="U5" s="413" t="n"/>
      <c r="V5" s="413" t="n"/>
      <c r="W5" s="413" t="n"/>
      <c r="X5" s="413" t="n"/>
      <c r="Y5" s="414" t="n"/>
      <c r="Z5" s="416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9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52"/>
    <col width="8.7109375" customWidth="1" style="42" min="53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07" t="inlineStr">
        <is>
          <t>Ultra Short Duration Fund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04" t="n"/>
      <c r="P4" s="404" t="n"/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4" t="n"/>
      <c r="AA4" s="404" t="n"/>
      <c r="AB4" s="404" t="n"/>
      <c r="AC4" s="404" t="n"/>
      <c r="AD4" s="404" t="n"/>
      <c r="AE4" s="404" t="n"/>
      <c r="AF4" s="404" t="n"/>
      <c r="AG4" s="404" t="n"/>
      <c r="AH4" s="404" t="n"/>
      <c r="AI4" s="404" t="n"/>
      <c r="AJ4" s="404" t="n"/>
      <c r="AK4" s="404" t="n"/>
      <c r="AL4" s="404" t="n"/>
      <c r="AM4" s="404" t="n"/>
      <c r="AN4" s="366" t="n"/>
    </row>
    <row r="5" ht="15" customHeight="1" thickBot="1">
      <c r="B5" s="262" t="n"/>
      <c r="C5" s="189" t="n"/>
      <c r="D5" s="189" t="n"/>
      <c r="E5" s="189" t="n"/>
      <c r="F5" s="422" t="n"/>
      <c r="G5" s="423" t="n"/>
      <c r="H5" s="423" t="n"/>
      <c r="I5" s="423" t="n"/>
      <c r="J5" s="423" t="n"/>
      <c r="K5" s="423" t="n"/>
      <c r="L5" s="423" t="n"/>
      <c r="M5" s="423" t="n"/>
      <c r="N5" s="423" t="n"/>
      <c r="O5" s="423" t="n"/>
      <c r="P5" s="423" t="n"/>
      <c r="Q5" s="423" t="n"/>
      <c r="R5" s="423" t="n"/>
      <c r="S5" s="423" t="n"/>
      <c r="T5" s="423" t="n"/>
      <c r="U5" s="423" t="n"/>
      <c r="V5" s="424" t="n"/>
      <c r="W5" s="422" t="n"/>
      <c r="X5" s="423" t="n"/>
      <c r="Y5" s="423" t="n"/>
      <c r="Z5" s="423" t="n"/>
      <c r="AA5" s="423" t="n"/>
      <c r="AB5" s="423" t="n"/>
      <c r="AC5" s="423" t="n"/>
      <c r="AD5" s="423" t="n"/>
      <c r="AE5" s="423" t="n"/>
      <c r="AF5" s="423" t="n"/>
      <c r="AG5" s="423" t="n"/>
      <c r="AH5" s="423" t="n"/>
      <c r="AI5" s="423" t="n"/>
      <c r="AJ5" s="423" t="n"/>
      <c r="AK5" s="423" t="n"/>
      <c r="AL5" s="423" t="n"/>
      <c r="AM5" s="424" t="n"/>
      <c r="AN5" s="420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21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7.42</v>
      </c>
      <c r="G7" s="248" t="n">
        <v>0.47</v>
      </c>
      <c r="H7" s="249" t="n">
        <v>0.5</v>
      </c>
      <c r="I7" s="249" t="n">
        <v>8.34</v>
      </c>
      <c r="J7" s="249" t="n">
        <v>6.5</v>
      </c>
      <c r="K7" s="249" t="n">
        <v>6.16</v>
      </c>
      <c r="L7" s="249" t="n">
        <v>6.31</v>
      </c>
      <c r="M7" s="249" t="n">
        <v>7.13</v>
      </c>
      <c r="N7" s="249" t="n">
        <v>7.24</v>
      </c>
      <c r="O7" s="249" t="n">
        <v>6.49</v>
      </c>
      <c r="P7" s="249" t="n">
        <v>6.82</v>
      </c>
      <c r="Q7" s="84" t="n">
        <v>12.49</v>
      </c>
      <c r="R7" s="84" t="n">
        <v>53.98</v>
      </c>
      <c r="S7" s="84" t="n">
        <v>23.41</v>
      </c>
      <c r="T7" s="84" t="n">
        <v>9.68</v>
      </c>
      <c r="U7" s="84" t="n">
        <v>0</v>
      </c>
      <c r="V7" s="84" t="n">
        <v>0.44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7.2</v>
      </c>
      <c r="G8" s="248" t="n">
        <v>0.45</v>
      </c>
      <c r="H8" s="249" t="n">
        <v>0.49</v>
      </c>
      <c r="I8" s="249" t="n">
        <v>8.199999999999999</v>
      </c>
      <c r="J8" s="249" t="n">
        <v>6.53</v>
      </c>
      <c r="K8" s="249" t="n">
        <v>6.11</v>
      </c>
      <c r="L8" s="249" t="n">
        <v>6.18</v>
      </c>
      <c r="M8" s="249" t="n">
        <v>6.75</v>
      </c>
      <c r="N8" s="249" t="n">
        <v>6.92</v>
      </c>
      <c r="O8" s="249" t="n">
        <v>6.19</v>
      </c>
      <c r="P8" s="249" t="n">
        <v>0</v>
      </c>
      <c r="Q8" s="84" t="n">
        <v>8.31</v>
      </c>
      <c r="R8" s="84" t="n">
        <v>74.69</v>
      </c>
      <c r="S8" s="84" t="n">
        <v>5.08</v>
      </c>
      <c r="T8" s="84" t="n">
        <v>8.57</v>
      </c>
      <c r="U8" s="84" t="n">
        <v>0</v>
      </c>
      <c r="V8" s="84" t="n">
        <v>3.35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7.22</v>
      </c>
      <c r="G10" s="248" t="n">
        <v>0.43</v>
      </c>
      <c r="H10" s="249" t="n">
        <v>0.47</v>
      </c>
      <c r="I10" s="249" t="n">
        <v>8.130000000000001</v>
      </c>
      <c r="J10" s="249" t="n">
        <v>6.76</v>
      </c>
      <c r="K10" s="249" t="n">
        <v>6.34</v>
      </c>
      <c r="L10" s="249" t="n">
        <v>6.39</v>
      </c>
      <c r="M10" s="249" t="n">
        <v>6.92</v>
      </c>
      <c r="N10" s="249" t="n">
        <v>7.02</v>
      </c>
      <c r="O10" s="249" t="n">
        <v>6.3</v>
      </c>
      <c r="P10" s="249" t="n">
        <v>6.67</v>
      </c>
      <c r="Q10" s="84" t="n">
        <v>8.57</v>
      </c>
      <c r="R10" s="84" t="n">
        <v>67.94</v>
      </c>
      <c r="S10" s="84" t="n">
        <v>10.98</v>
      </c>
      <c r="T10" s="84" t="n">
        <v>7.92</v>
      </c>
      <c r="U10" s="84" t="n">
        <v>-26.53</v>
      </c>
      <c r="V10" s="84" t="n">
        <v>4.59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7.25</v>
      </c>
      <c r="G11" s="248" t="n">
        <v>0.39</v>
      </c>
      <c r="H11" s="249" t="n">
        <v>0.4</v>
      </c>
      <c r="I11" s="249" t="n">
        <v>7.75</v>
      </c>
      <c r="J11" s="249" t="n">
        <v>6.13</v>
      </c>
      <c r="K11" s="249" t="n">
        <v>5.9</v>
      </c>
      <c r="L11" s="249" t="n">
        <v>5.96</v>
      </c>
      <c r="M11" s="249" t="n">
        <v>6.59</v>
      </c>
      <c r="N11" s="249" t="n">
        <v>6.73</v>
      </c>
      <c r="O11" s="249" t="n">
        <v>6.05</v>
      </c>
      <c r="P11" s="249" t="n">
        <v>6.27</v>
      </c>
      <c r="Q11" s="84" t="n">
        <v>12.19</v>
      </c>
      <c r="R11" s="84" t="n">
        <v>65.83</v>
      </c>
      <c r="S11" s="84" t="n">
        <v>11.43</v>
      </c>
      <c r="T11" s="84" t="n">
        <v>6</v>
      </c>
      <c r="U11" s="84" t="n">
        <v>0</v>
      </c>
      <c r="V11" s="84" t="n">
        <v>4.54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7.35</v>
      </c>
      <c r="G12" s="248" t="n">
        <v>0.45</v>
      </c>
      <c r="H12" s="249" t="n">
        <v>0.48</v>
      </c>
      <c r="I12" s="249" t="n">
        <v>7.05</v>
      </c>
      <c r="J12" s="249" t="n">
        <v>6.51</v>
      </c>
      <c r="K12" s="249" t="n">
        <v>6.22</v>
      </c>
      <c r="L12" s="249" t="n">
        <v>6.2</v>
      </c>
      <c r="M12" s="249" t="n">
        <v>6.73</v>
      </c>
      <c r="N12" s="249" t="n">
        <v>6.81</v>
      </c>
      <c r="O12" s="249" t="n">
        <v>6.12</v>
      </c>
      <c r="P12" s="249" t="n">
        <v>5.8</v>
      </c>
      <c r="Q12" s="84" t="n">
        <v>6.95</v>
      </c>
      <c r="R12" s="84" t="n">
        <v>56.01</v>
      </c>
      <c r="S12" s="84" t="n">
        <v>7.67</v>
      </c>
      <c r="T12" s="84" t="n">
        <v>22.83</v>
      </c>
      <c r="U12" s="84" t="n">
        <v>0.02</v>
      </c>
      <c r="V12" s="84" t="n">
        <v>6.53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7.13</v>
      </c>
      <c r="G13" s="251" t="n">
        <v>0.44</v>
      </c>
      <c r="H13" s="250" t="n">
        <v>0.46</v>
      </c>
      <c r="I13" s="250" t="n">
        <v>7.05</v>
      </c>
      <c r="J13" s="250" t="n">
        <v>6.29</v>
      </c>
      <c r="K13" s="250" t="n">
        <v>5.98</v>
      </c>
      <c r="L13" s="250" t="n">
        <v>5.98</v>
      </c>
      <c r="M13" s="250" t="n">
        <v>6.58</v>
      </c>
      <c r="N13" s="250" t="n">
        <v>6.71</v>
      </c>
      <c r="O13" s="250" t="n">
        <v>6.52</v>
      </c>
      <c r="P13" s="250" t="n">
        <v>5.99</v>
      </c>
      <c r="Q13" s="92" t="n">
        <v>8.619999999999999</v>
      </c>
      <c r="R13" s="92" t="n">
        <v>60.19</v>
      </c>
      <c r="S13" s="92" t="n">
        <v>14.1</v>
      </c>
      <c r="T13" s="92" t="n">
        <v>11.75</v>
      </c>
      <c r="U13" s="92" t="n">
        <v>0</v>
      </c>
      <c r="V13" s="92" t="n">
        <v>5.33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07" t="inlineStr">
        <is>
          <t>Low Duration Fund</t>
        </is>
      </c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366" t="n"/>
    </row>
    <row r="17" ht="15" customHeight="1" thickBot="1">
      <c r="B17" s="262" t="n"/>
      <c r="C17" s="189" t="n"/>
      <c r="D17" s="189" t="n"/>
      <c r="E17" s="189" t="n"/>
      <c r="F17" s="422" t="n"/>
      <c r="G17" s="423" t="n"/>
      <c r="H17" s="423" t="n"/>
      <c r="I17" s="423" t="n"/>
      <c r="J17" s="423" t="n"/>
      <c r="K17" s="423" t="n"/>
      <c r="L17" s="423" t="n"/>
      <c r="M17" s="423" t="n"/>
      <c r="N17" s="423" t="n"/>
      <c r="O17" s="423" t="n"/>
      <c r="P17" s="423" t="n"/>
      <c r="Q17" s="423" t="n"/>
      <c r="R17" s="423" t="n"/>
      <c r="S17" s="423" t="n"/>
      <c r="T17" s="423" t="n"/>
      <c r="U17" s="423" t="n"/>
      <c r="V17" s="424" t="n"/>
      <c r="W17" s="422" t="n"/>
      <c r="X17" s="423" t="n"/>
      <c r="Y17" s="423" t="n"/>
      <c r="Z17" s="423" t="n"/>
      <c r="AA17" s="423" t="n"/>
      <c r="AB17" s="423" t="n"/>
      <c r="AC17" s="423" t="n"/>
      <c r="AD17" s="423" t="n"/>
      <c r="AE17" s="423" t="n"/>
      <c r="AF17" s="423" t="n"/>
      <c r="AG17" s="423" t="n"/>
      <c r="AH17" s="423" t="n"/>
      <c r="AI17" s="423" t="n"/>
      <c r="AJ17" s="423" t="n"/>
      <c r="AK17" s="423" t="n"/>
      <c r="AL17" s="423" t="n"/>
      <c r="AM17" s="424" t="n"/>
      <c r="AN17" s="420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21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7.26</v>
      </c>
      <c r="G19" s="248" t="n">
        <v>0.95</v>
      </c>
      <c r="H19" s="249" t="n">
        <v>1.01</v>
      </c>
      <c r="I19" s="248" t="n">
        <v>8.06</v>
      </c>
      <c r="J19" s="248" t="n">
        <v>6.55</v>
      </c>
      <c r="K19" s="248" t="n">
        <v>6.24</v>
      </c>
      <c r="L19" s="248" t="n">
        <v>6.47</v>
      </c>
      <c r="M19" s="248" t="n">
        <v>7.29</v>
      </c>
      <c r="N19" s="248" t="n">
        <v>7.44</v>
      </c>
      <c r="O19" s="248" t="n">
        <v>6.58</v>
      </c>
      <c r="P19" s="248" t="n">
        <v>7.03</v>
      </c>
      <c r="Q19" s="248" t="n">
        <v>11.32</v>
      </c>
      <c r="R19" s="248" t="n">
        <v>68.73999999999999</v>
      </c>
      <c r="S19" s="248" t="n">
        <v>8.470000000000001</v>
      </c>
      <c r="T19" s="248" t="n">
        <v>6.69</v>
      </c>
      <c r="U19" s="248" t="n">
        <v>-7.82</v>
      </c>
      <c r="V19" s="248" t="n">
        <v>4.78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7.43</v>
      </c>
      <c r="G20" s="248" t="n">
        <v>0.92</v>
      </c>
      <c r="H20" s="249" t="n">
        <v>0.99</v>
      </c>
      <c r="I20" s="248" t="n">
        <v>7.16</v>
      </c>
      <c r="J20" s="248" t="n">
        <v>5.95</v>
      </c>
      <c r="K20" s="248" t="n">
        <v>5.68</v>
      </c>
      <c r="L20" s="248" t="n">
        <v>5.85</v>
      </c>
      <c r="M20" s="248" t="n">
        <v>6.75</v>
      </c>
      <c r="N20" s="248" t="n">
        <v>6.89</v>
      </c>
      <c r="O20" s="248" t="n">
        <v>6.11</v>
      </c>
      <c r="P20" s="248" t="n">
        <v>6.51</v>
      </c>
      <c r="Q20" s="248" t="n">
        <v>10.94</v>
      </c>
      <c r="R20" s="248" t="n">
        <v>72.56</v>
      </c>
      <c r="S20" s="248" t="n">
        <v>2.18</v>
      </c>
      <c r="T20" s="248" t="n">
        <v>11.33</v>
      </c>
      <c r="U20" s="248" t="n">
        <v>0</v>
      </c>
      <c r="V20" s="248" t="n">
        <v>2.98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7.48</v>
      </c>
      <c r="G22" s="248" t="n">
        <v>0.91</v>
      </c>
      <c r="H22" s="249" t="n">
        <v>0.98</v>
      </c>
      <c r="I22" s="248" t="n">
        <v>7.59</v>
      </c>
      <c r="J22" s="248" t="n">
        <v>5.28</v>
      </c>
      <c r="K22" s="248" t="n">
        <v>4.93</v>
      </c>
      <c r="L22" s="248" t="n">
        <v>5.38</v>
      </c>
      <c r="M22" s="248" t="n">
        <v>6.37</v>
      </c>
      <c r="N22" s="248" t="n">
        <v>6.53</v>
      </c>
      <c r="O22" s="248" t="n">
        <v>5.87</v>
      </c>
      <c r="P22" s="248" t="n">
        <v>6.39</v>
      </c>
      <c r="Q22" s="248" t="n">
        <v>15.87</v>
      </c>
      <c r="R22" s="248" t="n">
        <v>73.23999999999999</v>
      </c>
      <c r="S22" s="248" t="n">
        <v>7.55</v>
      </c>
      <c r="T22" s="248" t="n">
        <v>11.21</v>
      </c>
      <c r="U22" s="248" t="n">
        <v>0</v>
      </c>
      <c r="V22" s="248" t="n">
        <v>-7.88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7.5</v>
      </c>
      <c r="G23" s="248" t="n">
        <v>0.88</v>
      </c>
      <c r="H23" s="249" t="n">
        <v>0.9399999999999999</v>
      </c>
      <c r="I23" s="248" t="n">
        <v>8.26</v>
      </c>
      <c r="J23" s="248" t="n">
        <v>5.69</v>
      </c>
      <c r="K23" s="248" t="n">
        <v>5.3</v>
      </c>
      <c r="L23" s="248" t="n">
        <v>5.6</v>
      </c>
      <c r="M23" s="248" t="n">
        <v>6.57</v>
      </c>
      <c r="N23" s="248" t="n">
        <v>6.69</v>
      </c>
      <c r="O23" s="248" t="n">
        <v>5.9</v>
      </c>
      <c r="P23" s="248" t="n">
        <v>6.55</v>
      </c>
      <c r="Q23" s="248" t="n">
        <v>12.34</v>
      </c>
      <c r="R23" s="248" t="n">
        <v>71.09</v>
      </c>
      <c r="S23" s="248" t="n">
        <v>5.82</v>
      </c>
      <c r="T23" s="248" t="n">
        <v>8.779999999999999</v>
      </c>
      <c r="U23" s="248" t="n">
        <v>0</v>
      </c>
      <c r="V23" s="248" t="n">
        <v>1.96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7.49</v>
      </c>
      <c r="G24" s="248" t="n">
        <v>0.93</v>
      </c>
      <c r="H24" s="249" t="n">
        <v>0.99</v>
      </c>
      <c r="I24" s="248" t="n">
        <v>7.53</v>
      </c>
      <c r="J24" s="248" t="n">
        <v>6.1</v>
      </c>
      <c r="K24" s="248" t="n">
        <v>5.74</v>
      </c>
      <c r="L24" s="248" t="n">
        <v>5.96</v>
      </c>
      <c r="M24" s="248" t="n">
        <v>6.87</v>
      </c>
      <c r="N24" s="248" t="n">
        <v>6.91</v>
      </c>
      <c r="O24" s="248" t="n">
        <v>6.08</v>
      </c>
      <c r="P24" s="248" t="n">
        <v>6.44</v>
      </c>
      <c r="Q24" s="248" t="n">
        <v>11.64</v>
      </c>
      <c r="R24" s="248" t="n">
        <v>71.5</v>
      </c>
      <c r="S24" s="248" t="n">
        <v>6.65</v>
      </c>
      <c r="T24" s="248" t="n">
        <v>7.56</v>
      </c>
      <c r="U24" s="248" t="n">
        <v>0.04</v>
      </c>
      <c r="V24" s="248" t="n">
        <v>2.61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7.25</v>
      </c>
      <c r="G25" s="251" t="n">
        <v>0.74</v>
      </c>
      <c r="H25" s="250" t="n">
        <v>0.78</v>
      </c>
      <c r="I25" s="251" t="n">
        <v>7.66</v>
      </c>
      <c r="J25" s="251" t="n">
        <v>6.37</v>
      </c>
      <c r="K25" s="251" t="n">
        <v>6.06</v>
      </c>
      <c r="L25" s="251" t="n">
        <v>6.28</v>
      </c>
      <c r="M25" s="251" t="n">
        <v>7.18</v>
      </c>
      <c r="N25" s="251" t="n">
        <v>7.22</v>
      </c>
      <c r="O25" s="251" t="n">
        <v>7.41</v>
      </c>
      <c r="P25" s="251" t="n">
        <v>5.95</v>
      </c>
      <c r="Q25" s="251" t="n">
        <v>8.220000000000001</v>
      </c>
      <c r="R25" s="251" t="n">
        <v>72.70999999999999</v>
      </c>
      <c r="S25" s="251" t="n">
        <v>3.56</v>
      </c>
      <c r="T25" s="251" t="n">
        <v>8.01</v>
      </c>
      <c r="U25" s="248" t="n">
        <v>0</v>
      </c>
      <c r="V25" s="251" t="n">
        <v>7.49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07" t="inlineStr">
        <is>
          <t>Short Duration Fund</t>
        </is>
      </c>
      <c r="C28" s="404" t="n"/>
      <c r="D28" s="404" t="n"/>
      <c r="E28" s="404" t="n"/>
      <c r="F28" s="404" t="n"/>
      <c r="G28" s="404" t="n"/>
      <c r="H28" s="404" t="n"/>
      <c r="I28" s="404" t="n"/>
      <c r="J28" s="404" t="n"/>
      <c r="K28" s="404" t="n"/>
      <c r="L28" s="404" t="n"/>
      <c r="M28" s="404" t="n"/>
      <c r="N28" s="404" t="n"/>
      <c r="O28" s="404" t="n"/>
      <c r="P28" s="404" t="n"/>
      <c r="Q28" s="404" t="n"/>
      <c r="R28" s="404" t="n"/>
      <c r="S28" s="404" t="n"/>
      <c r="T28" s="404" t="n"/>
      <c r="U28" s="404" t="n"/>
      <c r="V28" s="404" t="n"/>
      <c r="W28" s="404" t="n"/>
      <c r="X28" s="404" t="n"/>
      <c r="Y28" s="404" t="n"/>
      <c r="Z28" s="404" t="n"/>
      <c r="AA28" s="404" t="n"/>
      <c r="AB28" s="404" t="n"/>
      <c r="AC28" s="404" t="n"/>
      <c r="AD28" s="404" t="n"/>
      <c r="AE28" s="404" t="n"/>
      <c r="AF28" s="404" t="n"/>
      <c r="AG28" s="404" t="n"/>
      <c r="AH28" s="404" t="n"/>
      <c r="AI28" s="404" t="n"/>
      <c r="AJ28" s="404" t="n"/>
      <c r="AK28" s="404" t="n"/>
      <c r="AL28" s="404" t="n"/>
      <c r="AM28" s="404" t="n"/>
      <c r="AN28" s="366" t="n"/>
    </row>
    <row r="29" ht="15" customHeight="1" thickBot="1">
      <c r="B29" s="262" t="n"/>
      <c r="C29" s="189" t="n"/>
      <c r="D29" s="189" t="n"/>
      <c r="E29" s="189" t="n"/>
      <c r="F29" s="422" t="n"/>
      <c r="G29" s="423" t="n"/>
      <c r="H29" s="423" t="n"/>
      <c r="I29" s="423" t="n"/>
      <c r="J29" s="423" t="n"/>
      <c r="K29" s="423" t="n"/>
      <c r="L29" s="423" t="n"/>
      <c r="M29" s="423" t="n"/>
      <c r="N29" s="423" t="n"/>
      <c r="O29" s="423" t="n"/>
      <c r="P29" s="423" t="n"/>
      <c r="Q29" s="423" t="n"/>
      <c r="R29" s="423" t="n"/>
      <c r="S29" s="423" t="n"/>
      <c r="T29" s="423" t="n"/>
      <c r="U29" s="423" t="n"/>
      <c r="V29" s="424" t="n"/>
      <c r="W29" s="422" t="n"/>
      <c r="X29" s="423" t="n"/>
      <c r="Y29" s="423" t="n"/>
      <c r="Z29" s="423" t="n"/>
      <c r="AA29" s="423" t="n"/>
      <c r="AB29" s="423" t="n"/>
      <c r="AC29" s="423" t="n"/>
      <c r="AD29" s="423" t="n"/>
      <c r="AE29" s="423" t="n"/>
      <c r="AF29" s="423" t="n"/>
      <c r="AG29" s="423" t="n"/>
      <c r="AH29" s="423" t="n"/>
      <c r="AI29" s="423" t="n"/>
      <c r="AJ29" s="423" t="n"/>
      <c r="AK29" s="423" t="n"/>
      <c r="AL29" s="423" t="n"/>
      <c r="AM29" s="424" t="n"/>
      <c r="AN29" s="420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21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7.73</v>
      </c>
      <c r="G31" s="248" t="n">
        <v>2.76</v>
      </c>
      <c r="H31" s="249" t="n">
        <v>2.9</v>
      </c>
      <c r="I31" s="248" t="n">
        <v>9.31</v>
      </c>
      <c r="J31" s="248" t="n">
        <v>5.77</v>
      </c>
      <c r="K31" s="248" t="n">
        <v>5.37</v>
      </c>
      <c r="L31" s="248" t="n">
        <v>6</v>
      </c>
      <c r="M31" s="248" t="n">
        <v>7.08</v>
      </c>
      <c r="N31" s="248" t="n">
        <v>7.26</v>
      </c>
      <c r="O31" s="248" t="n">
        <v>6.49</v>
      </c>
      <c r="P31" s="248" t="n">
        <v>7.08</v>
      </c>
      <c r="Q31" s="248" t="n">
        <v>17.3</v>
      </c>
      <c r="R31" s="248" t="n">
        <v>57.81</v>
      </c>
      <c r="S31" s="248" t="n">
        <v>13.51</v>
      </c>
      <c r="T31" s="248" t="n">
        <v>7.06</v>
      </c>
      <c r="U31" s="248" t="n">
        <v>6.96</v>
      </c>
      <c r="V31" s="248" t="n">
        <v>4.33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7.55</v>
      </c>
      <c r="G32" s="248" t="n">
        <v>2.69</v>
      </c>
      <c r="H32" s="249" t="n">
        <v>2.83</v>
      </c>
      <c r="I32" s="248" t="n">
        <v>8.57</v>
      </c>
      <c r="J32" s="248" t="n">
        <v>4.52</v>
      </c>
      <c r="K32" s="248" t="n">
        <v>4.21</v>
      </c>
      <c r="L32" s="248" t="n">
        <v>5.05</v>
      </c>
      <c r="M32" s="248" t="n">
        <v>6.35</v>
      </c>
      <c r="N32" s="248" t="n">
        <v>6.69</v>
      </c>
      <c r="O32" s="248" t="n">
        <v>5.67</v>
      </c>
      <c r="P32" s="248" t="n">
        <v>6.47</v>
      </c>
      <c r="Q32" s="248" t="n">
        <v>20.87</v>
      </c>
      <c r="R32" s="248" t="n">
        <v>75.56</v>
      </c>
      <c r="S32" s="248" t="n">
        <v>0</v>
      </c>
      <c r="T32" s="248" t="n">
        <v>0</v>
      </c>
      <c r="U32" s="248" t="n">
        <v>0</v>
      </c>
      <c r="V32" s="248" t="n">
        <v>3.57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7.58</v>
      </c>
      <c r="G33" s="248" t="n">
        <v>2.46</v>
      </c>
      <c r="H33" s="249" t="n">
        <v>2.61</v>
      </c>
      <c r="I33" s="248" t="n">
        <v>9.48</v>
      </c>
      <c r="J33" s="248" t="n">
        <v>6.21</v>
      </c>
      <c r="K33" s="248" t="n">
        <v>5.48</v>
      </c>
      <c r="L33" s="248" t="n">
        <v>5.97</v>
      </c>
      <c r="M33" s="248" t="n">
        <v>7.23</v>
      </c>
      <c r="N33" s="248" t="n">
        <v>7.45</v>
      </c>
      <c r="O33" s="248" t="n">
        <v>6.36</v>
      </c>
      <c r="P33" s="248" t="n">
        <v>7.15</v>
      </c>
      <c r="Q33" s="248" t="n">
        <v>9.69</v>
      </c>
      <c r="R33" s="248" t="n">
        <v>71.25</v>
      </c>
      <c r="S33" s="248" t="n">
        <v>6.62</v>
      </c>
      <c r="T33" s="248" t="n">
        <v>7.72</v>
      </c>
      <c r="U33" s="248" t="n">
        <v>0</v>
      </c>
      <c r="V33" s="248" t="n">
        <v>4.73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7.62</v>
      </c>
      <c r="G34" s="248" t="n">
        <v>2.74</v>
      </c>
      <c r="H34" s="249" t="n">
        <v>2.93</v>
      </c>
      <c r="I34" s="248" t="n">
        <v>8.529999999999999</v>
      </c>
      <c r="J34" s="248" t="n">
        <v>4.54</v>
      </c>
      <c r="K34" s="248" t="n">
        <v>4.18</v>
      </c>
      <c r="L34" s="248" t="n">
        <v>5.22</v>
      </c>
      <c r="M34" s="248" t="n">
        <v>6.67</v>
      </c>
      <c r="N34" s="248" t="n">
        <v>6.89</v>
      </c>
      <c r="O34" s="248" t="n">
        <v>5.91</v>
      </c>
      <c r="P34" s="248" t="n">
        <v>6.57</v>
      </c>
      <c r="Q34" s="248" t="n">
        <v>16.56</v>
      </c>
      <c r="R34" s="248" t="n">
        <v>65.58</v>
      </c>
      <c r="S34" s="248" t="n">
        <v>6.95</v>
      </c>
      <c r="T34" s="248" t="n">
        <v>6.7</v>
      </c>
      <c r="U34" s="248" t="n">
        <v>-5.36</v>
      </c>
      <c r="V34" s="248" t="n">
        <v>4.22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7.77</v>
      </c>
      <c r="G35" s="248" t="n">
        <v>2.53</v>
      </c>
      <c r="H35" s="249" t="n">
        <v>2.69</v>
      </c>
      <c r="I35" s="248" t="n">
        <v>9.51</v>
      </c>
      <c r="J35" s="248" t="n">
        <v>5.28</v>
      </c>
      <c r="K35" s="248" t="n">
        <v>4.74</v>
      </c>
      <c r="L35" s="248" t="n">
        <v>5.63</v>
      </c>
      <c r="M35" s="248" t="n">
        <v>6.86</v>
      </c>
      <c r="N35" s="248" t="n">
        <v>7.06</v>
      </c>
      <c r="O35" s="248" t="n">
        <v>6.17</v>
      </c>
      <c r="P35" s="248" t="n">
        <v>6.86</v>
      </c>
      <c r="Q35" s="248" t="n">
        <v>12.93</v>
      </c>
      <c r="R35" s="248" t="n">
        <v>67.8</v>
      </c>
      <c r="S35" s="248" t="n">
        <v>10.72</v>
      </c>
      <c r="T35" s="248" t="n">
        <v>8.619999999999999</v>
      </c>
      <c r="U35" s="248" t="n">
        <v>0</v>
      </c>
      <c r="V35" s="248" t="n">
        <v>-0.07000000000000001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7.6</v>
      </c>
      <c r="G36" s="248" t="n">
        <v>2.53</v>
      </c>
      <c r="H36" s="249" t="n">
        <v>2.66</v>
      </c>
      <c r="I36" s="248" t="n">
        <v>9.41</v>
      </c>
      <c r="J36" s="248" t="n">
        <v>5.99</v>
      </c>
      <c r="K36" s="248" t="n">
        <v>5.22</v>
      </c>
      <c r="L36" s="248" t="n">
        <v>5.74</v>
      </c>
      <c r="M36" s="248" t="n">
        <v>7.21</v>
      </c>
      <c r="N36" s="248" t="n">
        <v>7.32</v>
      </c>
      <c r="O36" s="248" t="n">
        <v>6.15</v>
      </c>
      <c r="P36" s="248" t="n">
        <v>6.69</v>
      </c>
      <c r="Q36" s="248" t="n">
        <v>25.02</v>
      </c>
      <c r="R36" s="248" t="n">
        <v>57.51</v>
      </c>
      <c r="S36" s="248" t="n">
        <v>7.19</v>
      </c>
      <c r="T36" s="248" t="n">
        <v>5.65</v>
      </c>
      <c r="U36" s="248" t="n">
        <v>0.01</v>
      </c>
      <c r="V36" s="248" t="n">
        <v>4.62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7.5</v>
      </c>
      <c r="G37" s="251" t="n">
        <v>2.25</v>
      </c>
      <c r="H37" s="250" t="n">
        <v>2.39</v>
      </c>
      <c r="I37" s="251" t="n">
        <v>9.109999999999999</v>
      </c>
      <c r="J37" s="251" t="n">
        <v>5.95</v>
      </c>
      <c r="K37" s="251" t="n">
        <v>5.17</v>
      </c>
      <c r="L37" s="251" t="n">
        <v>5.55</v>
      </c>
      <c r="M37" s="251" t="n">
        <v>6.9</v>
      </c>
      <c r="N37" s="251" t="n">
        <v>7.08</v>
      </c>
      <c r="O37" s="251" t="n">
        <v>7.09</v>
      </c>
      <c r="P37" s="251" t="n">
        <v>5.94</v>
      </c>
      <c r="Q37" s="251" t="n">
        <v>12.61</v>
      </c>
      <c r="R37" s="251" t="n">
        <v>67.63</v>
      </c>
      <c r="S37" s="251" t="n">
        <v>9.52</v>
      </c>
      <c r="T37" s="251" t="n">
        <v>4.4</v>
      </c>
      <c r="U37" s="251" t="n">
        <v>0</v>
      </c>
      <c r="V37" s="251" t="n">
        <v>5.84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07" t="inlineStr">
        <is>
          <t>Medium Duration Fund</t>
        </is>
      </c>
      <c r="C39" s="404" t="n"/>
      <c r="D39" s="404" t="n"/>
      <c r="E39" s="404" t="n"/>
      <c r="F39" s="404" t="n"/>
      <c r="G39" s="404" t="n"/>
      <c r="H39" s="404" t="n"/>
      <c r="I39" s="404" t="n"/>
      <c r="J39" s="404" t="n"/>
      <c r="K39" s="404" t="n"/>
      <c r="L39" s="404" t="n"/>
      <c r="M39" s="404" t="n"/>
      <c r="N39" s="404" t="n"/>
      <c r="O39" s="404" t="n"/>
      <c r="P39" s="404" t="n"/>
      <c r="Q39" s="404" t="n"/>
      <c r="R39" s="404" t="n"/>
      <c r="S39" s="404" t="n"/>
      <c r="T39" s="404" t="n"/>
      <c r="U39" s="404" t="n"/>
      <c r="V39" s="404" t="n"/>
      <c r="W39" s="404" t="n"/>
      <c r="X39" s="404" t="n"/>
      <c r="Y39" s="404" t="n"/>
      <c r="Z39" s="404" t="n"/>
      <c r="AA39" s="404" t="n"/>
      <c r="AB39" s="404" t="n"/>
      <c r="AC39" s="404" t="n"/>
      <c r="AD39" s="404" t="n"/>
      <c r="AE39" s="404" t="n"/>
      <c r="AF39" s="404" t="n"/>
      <c r="AG39" s="404" t="n"/>
      <c r="AH39" s="404" t="n"/>
      <c r="AI39" s="404" t="n"/>
      <c r="AJ39" s="404" t="n"/>
      <c r="AK39" s="404" t="n"/>
      <c r="AL39" s="404" t="n"/>
      <c r="AM39" s="404" t="n"/>
      <c r="AN39" s="366" t="n"/>
    </row>
    <row r="40" ht="15" customHeight="1" thickBot="1">
      <c r="B40" s="262" t="n"/>
      <c r="C40" s="189" t="n"/>
      <c r="D40" s="189" t="n"/>
      <c r="E40" s="189" t="n"/>
      <c r="F40" s="422" t="n"/>
      <c r="G40" s="423" t="n"/>
      <c r="H40" s="423" t="n"/>
      <c r="I40" s="423" t="n"/>
      <c r="J40" s="423" t="n"/>
      <c r="K40" s="423" t="n"/>
      <c r="L40" s="423" t="n"/>
      <c r="M40" s="423" t="n"/>
      <c r="N40" s="423" t="n"/>
      <c r="O40" s="423" t="n"/>
      <c r="P40" s="423" t="n"/>
      <c r="Q40" s="423" t="n"/>
      <c r="R40" s="423" t="n"/>
      <c r="S40" s="423" t="n"/>
      <c r="T40" s="423" t="n"/>
      <c r="U40" s="423" t="n"/>
      <c r="V40" s="424" t="n"/>
      <c r="W40" s="422" t="n"/>
      <c r="X40" s="423" t="n"/>
      <c r="Y40" s="423" t="n"/>
      <c r="Z40" s="423" t="n"/>
      <c r="AA40" s="423" t="n"/>
      <c r="AB40" s="423" t="n"/>
      <c r="AC40" s="423" t="n"/>
      <c r="AD40" s="423" t="n"/>
      <c r="AE40" s="423" t="n"/>
      <c r="AF40" s="423" t="n"/>
      <c r="AG40" s="423" t="n"/>
      <c r="AH40" s="423" t="n"/>
      <c r="AI40" s="423" t="n"/>
      <c r="AJ40" s="423" t="n"/>
      <c r="AK40" s="423" t="n"/>
      <c r="AL40" s="423" t="n"/>
      <c r="AM40" s="424" t="n"/>
      <c r="AN40" s="420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21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8.06</v>
      </c>
      <c r="G43" s="248" t="n">
        <v>3.34</v>
      </c>
      <c r="H43" s="249" t="n">
        <v>3.51</v>
      </c>
      <c r="I43" s="248" t="n">
        <v>12.9</v>
      </c>
      <c r="J43" s="248" t="n">
        <v>7.71</v>
      </c>
      <c r="K43" s="248" t="n">
        <v>7.09</v>
      </c>
      <c r="L43" s="248" t="n">
        <v>7.87</v>
      </c>
      <c r="M43" s="248" t="n">
        <v>8.300000000000001</v>
      </c>
      <c r="N43" s="248" t="n">
        <v>8.050000000000001</v>
      </c>
      <c r="O43" s="248" t="n">
        <v>6.92</v>
      </c>
      <c r="P43" s="248" t="n">
        <v>7.28</v>
      </c>
      <c r="Q43" s="248" t="n">
        <v>17.25</v>
      </c>
      <c r="R43" s="248" t="n">
        <v>10.36</v>
      </c>
      <c r="S43" s="248" t="n">
        <v>28.52</v>
      </c>
      <c r="T43" s="248" t="n">
        <v>31.42</v>
      </c>
      <c r="U43" s="248" t="n">
        <v>4.56</v>
      </c>
      <c r="V43" s="248" t="n">
        <v>12.45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8.199999999999999</v>
      </c>
      <c r="G44" s="248" t="n">
        <v>3.01</v>
      </c>
      <c r="H44" s="249" t="n">
        <v>3.16</v>
      </c>
      <c r="I44" s="248" t="n">
        <v>11.59</v>
      </c>
      <c r="J44" s="248" t="n">
        <v>7.27</v>
      </c>
      <c r="K44" s="248" t="n">
        <v>6.4</v>
      </c>
      <c r="L44" s="248" t="n">
        <v>6.8</v>
      </c>
      <c r="M44" s="248" t="n">
        <v>7.37</v>
      </c>
      <c r="N44" s="248" t="n">
        <v>7.43</v>
      </c>
      <c r="O44" s="248" t="n">
        <v>6.27</v>
      </c>
      <c r="P44" s="248" t="n">
        <v>6.87</v>
      </c>
      <c r="Q44" s="248" t="n">
        <v>16.54</v>
      </c>
      <c r="R44" s="248" t="n">
        <v>27.38</v>
      </c>
      <c r="S44" s="248" t="n">
        <v>15.81</v>
      </c>
      <c r="T44" s="248" t="n">
        <v>24.74</v>
      </c>
      <c r="U44" s="248" t="n">
        <v>7.1</v>
      </c>
      <c r="V44" s="248" t="n">
        <v>8.42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8.09</v>
      </c>
      <c r="G45" s="248" t="n">
        <v>2.95</v>
      </c>
      <c r="H45" s="249" t="n">
        <v>3.12</v>
      </c>
      <c r="I45" s="248" t="n">
        <v>11.83</v>
      </c>
      <c r="J45" s="248" t="n">
        <v>7.75</v>
      </c>
      <c r="K45" s="248" t="n">
        <v>9.09</v>
      </c>
      <c r="L45" s="248" t="n">
        <v>9.1</v>
      </c>
      <c r="M45" s="248" t="n">
        <v>11.08</v>
      </c>
      <c r="N45" s="248" t="n">
        <v>10.02</v>
      </c>
      <c r="O45" s="248" t="n">
        <v>12.11</v>
      </c>
      <c r="P45" s="248" t="n">
        <v>8.44</v>
      </c>
      <c r="Q45" s="248" t="n">
        <v>20</v>
      </c>
      <c r="R45" s="248" t="n">
        <v>23.92</v>
      </c>
      <c r="S45" s="248" t="n">
        <v>11.74</v>
      </c>
      <c r="T45" s="248" t="n">
        <v>26.7</v>
      </c>
      <c r="U45" s="248" t="n">
        <v>8.960000000000001</v>
      </c>
      <c r="V45" s="248" t="n">
        <v>8.68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8.369999999999999</v>
      </c>
      <c r="G46" s="248" t="n">
        <v>2.99</v>
      </c>
      <c r="H46" s="249" t="n">
        <v>3.14</v>
      </c>
      <c r="I46" s="248" t="n">
        <v>10.8</v>
      </c>
      <c r="J46" s="248" t="n">
        <v>5.53</v>
      </c>
      <c r="K46" s="248" t="n">
        <v>5.17</v>
      </c>
      <c r="L46" s="248" t="n">
        <v>6.97</v>
      </c>
      <c r="M46" s="248" t="n">
        <v>7.63</v>
      </c>
      <c r="N46" s="248" t="n">
        <v>7.98</v>
      </c>
      <c r="O46" s="248" t="n">
        <v>6.4</v>
      </c>
      <c r="P46" s="248" t="n">
        <v>6.62</v>
      </c>
      <c r="Q46" s="248" t="n">
        <v>14.36</v>
      </c>
      <c r="R46" s="248" t="n">
        <v>16.6</v>
      </c>
      <c r="S46" s="248" t="n">
        <v>16.42</v>
      </c>
      <c r="T46" s="248" t="n">
        <v>32.69</v>
      </c>
      <c r="U46" s="248" t="n">
        <v>7.07</v>
      </c>
      <c r="V46" s="248" t="n">
        <v>12.86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7.82</v>
      </c>
      <c r="G47" s="248" t="n">
        <v>3.72</v>
      </c>
      <c r="H47" s="249" t="n">
        <v>3.88</v>
      </c>
      <c r="I47" s="248" t="n">
        <v>10.51</v>
      </c>
      <c r="J47" s="248" t="n">
        <v>6.86</v>
      </c>
      <c r="K47" s="248" t="n">
        <v>6</v>
      </c>
      <c r="L47" s="248" t="n">
        <v>6.35</v>
      </c>
      <c r="M47" s="248" t="n">
        <v>8.42</v>
      </c>
      <c r="N47" s="248" t="n">
        <v>8.08</v>
      </c>
      <c r="O47" s="248" t="n">
        <v>6.41</v>
      </c>
      <c r="P47" s="248" t="n">
        <v>3.1</v>
      </c>
      <c r="Q47" s="248" t="n">
        <v>36.7</v>
      </c>
      <c r="R47" s="248" t="n">
        <v>15.47</v>
      </c>
      <c r="S47" s="248" t="n">
        <v>7.73</v>
      </c>
      <c r="T47" s="248" t="n">
        <v>31.44</v>
      </c>
      <c r="U47" s="248" t="n">
        <v>0</v>
      </c>
      <c r="V47" s="248" t="n">
        <v>8.66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7.08</v>
      </c>
      <c r="G48" s="251" t="n">
        <v>3.07</v>
      </c>
      <c r="H48" s="250" t="n">
        <v>3.19</v>
      </c>
      <c r="I48" s="251" t="n">
        <v>9.609999999999999</v>
      </c>
      <c r="J48" s="251" t="n">
        <v>5.64</v>
      </c>
      <c r="K48" s="251" t="n">
        <v>4.79</v>
      </c>
      <c r="L48" s="251" t="n">
        <v>5.17</v>
      </c>
      <c r="M48" s="251" t="n">
        <v>6.33</v>
      </c>
      <c r="N48" s="251" t="n">
        <v>6.56</v>
      </c>
      <c r="O48" s="251" t="n">
        <v>6.17</v>
      </c>
      <c r="P48" s="251" t="n">
        <v>5.47</v>
      </c>
      <c r="Q48" s="251" t="n">
        <v>44.86</v>
      </c>
      <c r="R48" s="251" t="n">
        <v>13.35</v>
      </c>
      <c r="S48" s="251" t="n">
        <v>2.47</v>
      </c>
      <c r="T48" s="251" t="n">
        <v>19.06</v>
      </c>
      <c r="U48" s="251" t="n">
        <v>0</v>
      </c>
      <c r="V48" s="251" t="n">
        <v>20.26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07">
        <f>'Fund Ranking Criteria'!G24</f>
        <v/>
      </c>
      <c r="C50" s="404" t="n"/>
      <c r="D50" s="404" t="n"/>
      <c r="E50" s="404" t="n"/>
      <c r="F50" s="404" t="n"/>
      <c r="G50" s="404" t="n"/>
      <c r="H50" s="404" t="n"/>
      <c r="I50" s="404" t="n"/>
      <c r="J50" s="404" t="n"/>
      <c r="K50" s="404" t="n"/>
      <c r="L50" s="404" t="n"/>
      <c r="M50" s="404" t="n"/>
      <c r="N50" s="404" t="n"/>
      <c r="O50" s="404" t="n"/>
      <c r="P50" s="404" t="n"/>
      <c r="Q50" s="404" t="n"/>
      <c r="R50" s="404" t="n"/>
      <c r="S50" s="404" t="n"/>
      <c r="T50" s="404" t="n"/>
      <c r="U50" s="404" t="n"/>
      <c r="V50" s="404" t="n"/>
      <c r="W50" s="404" t="n"/>
      <c r="X50" s="404" t="n"/>
      <c r="Y50" s="404" t="n"/>
      <c r="Z50" s="404" t="n"/>
      <c r="AA50" s="404" t="n"/>
      <c r="AB50" s="404" t="n"/>
      <c r="AC50" s="404" t="n"/>
      <c r="AD50" s="404" t="n"/>
      <c r="AE50" s="404" t="n"/>
      <c r="AF50" s="404" t="n"/>
      <c r="AG50" s="404" t="n"/>
      <c r="AH50" s="404" t="n"/>
      <c r="AI50" s="404" t="n"/>
      <c r="AJ50" s="404" t="n"/>
      <c r="AK50" s="404" t="n"/>
      <c r="AL50" s="404" t="n"/>
      <c r="AM50" s="404" t="n"/>
      <c r="AN50" s="366" t="n"/>
    </row>
    <row r="51" ht="15" customHeight="1" thickBot="1">
      <c r="B51" s="155" t="n"/>
      <c r="C51" s="156" t="n"/>
      <c r="D51" s="156" t="n"/>
      <c r="E51" s="156" t="n"/>
      <c r="F51" s="426" t="n"/>
      <c r="G51" s="381" t="n"/>
      <c r="H51" s="381" t="n"/>
      <c r="I51" s="381" t="n"/>
      <c r="J51" s="381" t="n"/>
      <c r="K51" s="381" t="n"/>
      <c r="L51" s="381" t="n"/>
      <c r="M51" s="381" t="n"/>
      <c r="N51" s="381" t="n"/>
      <c r="O51" s="381" t="n"/>
      <c r="P51" s="381" t="n"/>
      <c r="Q51" s="381" t="n"/>
      <c r="R51" s="381" t="n"/>
      <c r="S51" s="381" t="n"/>
      <c r="T51" s="381" t="n"/>
      <c r="U51" s="381" t="n"/>
      <c r="V51" s="427" t="n"/>
      <c r="W51" s="426" t="n"/>
      <c r="X51" s="381" t="n"/>
      <c r="Y51" s="381" t="n"/>
      <c r="Z51" s="381" t="n"/>
      <c r="AA51" s="381" t="n"/>
      <c r="AB51" s="381" t="n"/>
      <c r="AC51" s="381" t="n"/>
      <c r="AD51" s="381" t="n"/>
      <c r="AE51" s="381" t="n"/>
      <c r="AF51" s="381" t="n"/>
      <c r="AG51" s="381" t="n"/>
      <c r="AH51" s="381" t="n"/>
      <c r="AI51" s="381" t="n"/>
      <c r="AJ51" s="381" t="n"/>
      <c r="AK51" s="381" t="n"/>
      <c r="AL51" s="381" t="n"/>
      <c r="AM51" s="427" t="n"/>
      <c r="AN51" s="425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21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7.45</v>
      </c>
      <c r="G53" s="248" t="n">
        <v>6.59</v>
      </c>
      <c r="H53" s="249" t="n">
        <v>6.86</v>
      </c>
      <c r="I53" s="248" t="n">
        <v>13.61</v>
      </c>
      <c r="J53" s="248" t="n">
        <v>7.72</v>
      </c>
      <c r="K53" s="248" t="n">
        <v>5.75</v>
      </c>
      <c r="L53" s="248" t="n">
        <v>5.74</v>
      </c>
      <c r="M53" s="248" t="n">
        <v>6.8</v>
      </c>
      <c r="N53" s="248" t="n">
        <v>7.31</v>
      </c>
      <c r="O53" s="248" t="n">
        <v>6.3</v>
      </c>
      <c r="P53" s="248" t="n">
        <v>6.79</v>
      </c>
      <c r="Q53" s="248" t="n">
        <v>57.93</v>
      </c>
      <c r="R53" s="248" t="n">
        <v>37.05</v>
      </c>
      <c r="S53" s="248" t="n">
        <v>0</v>
      </c>
      <c r="T53" s="248" t="n">
        <v>0</v>
      </c>
      <c r="U53" s="248" t="n">
        <v>0</v>
      </c>
      <c r="V53" s="248" t="n">
        <v>5.02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7.54</v>
      </c>
      <c r="G54" s="248" t="n">
        <v>6.6</v>
      </c>
      <c r="H54" s="249" t="n">
        <v>6.87</v>
      </c>
      <c r="I54" s="248" t="n">
        <v>13.4</v>
      </c>
      <c r="J54" s="248" t="n">
        <v>6.72</v>
      </c>
      <c r="K54" s="248" t="n">
        <v>4.63</v>
      </c>
      <c r="L54" s="248" t="n">
        <v>4.65</v>
      </c>
      <c r="M54" s="248" t="n">
        <v>5.62</v>
      </c>
      <c r="N54" s="248" t="n">
        <v>6.32</v>
      </c>
      <c r="O54" s="248" t="n">
        <v>5.56</v>
      </c>
      <c r="P54" s="248" t="n">
        <v>6.33</v>
      </c>
      <c r="Q54" s="248" t="n">
        <v>67.28</v>
      </c>
      <c r="R54" s="248" t="n">
        <v>29.63</v>
      </c>
      <c r="S54" s="248" t="n">
        <v>0</v>
      </c>
      <c r="T54" s="248" t="n">
        <v>0</v>
      </c>
      <c r="U54" s="248" t="n">
        <v>0</v>
      </c>
      <c r="V54" s="248" t="n">
        <v>3.09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7.02</v>
      </c>
      <c r="G55" s="248" t="n">
        <v>5.53</v>
      </c>
      <c r="H55" s="249" t="n">
        <v>5.75</v>
      </c>
      <c r="I55" s="248" t="n">
        <v>12.58</v>
      </c>
      <c r="J55" s="248" t="n">
        <v>5.19</v>
      </c>
      <c r="K55" s="248" t="n">
        <v>4.14</v>
      </c>
      <c r="L55" s="248" t="n">
        <v>5.47</v>
      </c>
      <c r="M55" s="248" t="n">
        <v>5.35</v>
      </c>
      <c r="N55" s="248" t="n">
        <v>6.35</v>
      </c>
      <c r="O55" s="248" t="n">
        <v>5.3</v>
      </c>
      <c r="P55" s="248" t="n">
        <v>5.92</v>
      </c>
      <c r="Q55" s="248" t="n">
        <v>45.79</v>
      </c>
      <c r="R55" s="248" t="n">
        <v>26.28</v>
      </c>
      <c r="S55" s="248" t="n">
        <v>0</v>
      </c>
      <c r="T55" s="248" t="n">
        <v>0</v>
      </c>
      <c r="U55" s="248" t="n">
        <v>0</v>
      </c>
      <c r="V55" s="248" t="n">
        <v>27.93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7.18</v>
      </c>
      <c r="G57" s="248" t="n">
        <v>6.42</v>
      </c>
      <c r="H57" s="249" t="n">
        <v>6.69</v>
      </c>
      <c r="I57" s="248" t="n">
        <v>14.54</v>
      </c>
      <c r="J57" s="248" t="n">
        <v>7.25</v>
      </c>
      <c r="K57" s="248" t="n">
        <v>5.4</v>
      </c>
      <c r="L57" s="248" t="n">
        <v>5.34</v>
      </c>
      <c r="M57" s="248" t="n">
        <v>5.98</v>
      </c>
      <c r="N57" s="248" t="n">
        <v>6.79</v>
      </c>
      <c r="O57" s="248" t="n">
        <v>5.28</v>
      </c>
      <c r="P57" s="248" t="n">
        <v>5.26</v>
      </c>
      <c r="Q57" s="248" t="n">
        <v>56.14</v>
      </c>
      <c r="R57" s="248" t="n">
        <v>31.95</v>
      </c>
      <c r="S57" s="248" t="n">
        <v>0</v>
      </c>
      <c r="T57" s="248" t="n">
        <v>0</v>
      </c>
      <c r="U57" s="248" t="n">
        <v>0</v>
      </c>
      <c r="V57" s="248" t="n">
        <v>11.91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7.27</v>
      </c>
      <c r="G58" s="248" t="n">
        <v>6.54</v>
      </c>
      <c r="H58" s="249" t="n">
        <v>6.79</v>
      </c>
      <c r="I58" s="248" t="n">
        <v>13.91</v>
      </c>
      <c r="J58" s="248" t="n">
        <v>7.74</v>
      </c>
      <c r="K58" s="248" t="n">
        <v>5.49</v>
      </c>
      <c r="L58" s="248" t="n">
        <v>5.41</v>
      </c>
      <c r="M58" s="248" t="n">
        <v>5.58</v>
      </c>
      <c r="N58" s="248" t="n">
        <v>6.37</v>
      </c>
      <c r="O58" s="248" t="n">
        <v>5.64</v>
      </c>
      <c r="P58" s="248" t="n">
        <v>6.22</v>
      </c>
      <c r="Q58" s="248" t="n">
        <v>81.04000000000001</v>
      </c>
      <c r="R58" s="248" t="n">
        <v>8.529999999999999</v>
      </c>
      <c r="S58" s="248" t="n">
        <v>0</v>
      </c>
      <c r="T58" s="248" t="n">
        <v>0</v>
      </c>
      <c r="U58" s="248" t="n">
        <v>-0.01</v>
      </c>
      <c r="V58" s="248" t="n">
        <v>10.44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7.79</v>
      </c>
      <c r="G59" s="251" t="n">
        <v>4.1</v>
      </c>
      <c r="H59" s="250" t="n">
        <v>4.28</v>
      </c>
      <c r="I59" s="251" t="n">
        <v>10.9</v>
      </c>
      <c r="J59" s="251" t="n">
        <v>6.06</v>
      </c>
      <c r="K59" s="251" t="n">
        <v>4.06</v>
      </c>
      <c r="L59" s="251" t="n">
        <v>4.61</v>
      </c>
      <c r="M59" s="251" t="n">
        <v>5.77</v>
      </c>
      <c r="N59" s="251" t="n">
        <v>6.31</v>
      </c>
      <c r="O59" s="251" t="n">
        <v>8.4</v>
      </c>
      <c r="P59" s="251" t="n">
        <v>5.03</v>
      </c>
      <c r="Q59" s="251" t="n">
        <v>34.22</v>
      </c>
      <c r="R59" s="251" t="n">
        <v>31.21</v>
      </c>
      <c r="S59" s="251" t="n">
        <v>17.21</v>
      </c>
      <c r="T59" s="251" t="n">
        <v>11.02</v>
      </c>
      <c r="U59" s="251" t="n">
        <v>0</v>
      </c>
      <c r="V59" s="251" t="n">
        <v>6.34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65" t="inlineStr">
        <is>
          <t>Weightage for Equity Fund Ranking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366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28" t="inlineStr">
        <is>
          <t>80 per cent of the corpus in top 100 companies by market cap</t>
        </is>
      </c>
      <c r="D5" s="428" t="n"/>
      <c r="E5" s="428" t="inlineStr">
        <is>
          <t>Across Large, Mid-cap, Small Cap</t>
        </is>
      </c>
      <c r="F5" s="428" t="inlineStr">
        <is>
          <t xml:space="preserve">65% of their total assets in equity
shares of mid-cap companies </t>
        </is>
      </c>
      <c r="G5" s="428" t="inlineStr">
        <is>
          <t xml:space="preserve">65% of their total assets in equity
shares of small-cap companies </t>
        </is>
      </c>
      <c r="H5" s="428" t="inlineStr">
        <is>
          <t>Set allocation strategy; 60% E &amp; 40% D</t>
        </is>
      </c>
      <c r="I5" s="429" t="inlineStr">
        <is>
          <t>Dynamic Allocation</t>
        </is>
      </c>
      <c r="J5" s="429" t="n"/>
      <c r="K5" s="429" t="n"/>
    </row>
    <row r="6" hidden="1">
      <c r="B6" s="79" t="n"/>
      <c r="C6" s="423" t="n"/>
      <c r="D6" s="423" t="n"/>
      <c r="E6" s="423" t="n"/>
      <c r="F6" s="423" t="n"/>
      <c r="G6" s="423" t="n"/>
      <c r="H6" s="423" t="n"/>
      <c r="I6" s="421" t="n"/>
      <c r="J6" s="421" t="n"/>
      <c r="K6" s="421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7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7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7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7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7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7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7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78" t="n"/>
      <c r="I18" s="409" t="n"/>
      <c r="J18" s="409" t="n"/>
      <c r="K18" s="409" t="n"/>
    </row>
    <row r="19" hidden="1">
      <c r="B19" s="37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7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30" t="inlineStr">
        <is>
          <t>Weightage for Debt Fund Ranking</t>
        </is>
      </c>
      <c r="C23" s="404" t="n"/>
      <c r="D23" s="404" t="n"/>
      <c r="E23" s="404" t="n"/>
      <c r="F23" s="404" t="n"/>
      <c r="G23" s="366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7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7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7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7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7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7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7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7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7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7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7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7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7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7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8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31" t="inlineStr">
        <is>
          <t>Weightage for Hybrid Fund Ranking</t>
        </is>
      </c>
      <c r="C50" s="404" t="n"/>
      <c r="D50" s="404" t="n"/>
      <c r="E50" s="404" t="n"/>
      <c r="F50" s="366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7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7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7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7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7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7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7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7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7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7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7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7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7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7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84" t="inlineStr">
        <is>
          <t>Cash and Fixed Deposits</t>
        </is>
      </c>
      <c r="C71" s="396" t="n"/>
      <c r="D71" s="233" t="n"/>
      <c r="E71" s="39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4"/>
    <col width="8.7109375" customWidth="1" style="261" min="25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09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09" t="n"/>
    </row>
    <row r="5">
      <c r="B5" s="88" t="inlineStr">
        <is>
          <t>HDFC Asset Management Co Ltd</t>
        </is>
      </c>
      <c r="C5" s="104" t="n">
        <v>763496.85</v>
      </c>
      <c r="D5" s="90" t="n"/>
      <c r="K5" s="409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09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09" t="n"/>
    </row>
    <row r="8">
      <c r="B8" s="88" t="inlineStr">
        <is>
          <t>Aditya Birla Sun Life AMC Ltd</t>
        </is>
      </c>
      <c r="C8" s="104" t="n">
        <v>379792.96</v>
      </c>
      <c r="D8" s="90" t="n"/>
      <c r="K8" s="409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09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09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09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09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09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09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09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09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09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09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09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09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09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09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09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09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09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09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09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09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09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09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09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09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09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09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09" t="n"/>
    </row>
    <row r="36" hidden="1">
      <c r="B36" s="88" t="inlineStr">
        <is>
          <t>Navi AMC Limited</t>
        </is>
      </c>
      <c r="C36" s="89" t="n">
        <v>7529.93</v>
      </c>
      <c r="D36" s="90" t="n"/>
      <c r="K36" s="409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09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09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09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09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09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32" t="inlineStr">
        <is>
          <t>Weightage Assumptions</t>
        </is>
      </c>
      <c r="C4" s="368" t="n"/>
      <c r="D4" s="368" t="n"/>
      <c r="E4" s="368" t="n"/>
      <c r="F4" s="368" t="n"/>
      <c r="G4" s="368" t="n"/>
      <c r="H4" s="368" t="n"/>
      <c r="I4" s="369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99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99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99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00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2026-09-11T12:14:45Z</dcterms:modified>
  <cp:lastModifiedBy>Mutual Fund</cp:lastModifiedBy>
  <cp:lastPrinted>2026-09-04T10:27:15Z</cp:lastPrinted>
</cp:coreProperties>
</file>